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b3d128c75d4c13" /></Relationships>
</file>

<file path=xl/workbook.xml><?xml version="1.0" encoding="utf-8"?>
<workbook xmlns="http://schemas.openxmlformats.org/spreadsheetml/2006/main" xmlns:r="http://schemas.openxmlformats.org/officeDocument/2006/relationships">
  <sheets>
    <sheet name="結合テスト目次" sheetId="1" r:id="R8bd8f43071fc4136"/>
    <sheet name="対象・観点一覧" sheetId="2" r:id="R8d0736770b2e4c4b"/>
    <sheet name="INT01_取引先契約" sheetId="3" r:id="Rcdf576473de74caa"/>
    <sheet name="INT02_審査承認" sheetId="4" r:id="R58fb1211618b4327"/>
    <sheet name="INT03_パック店舗直" sheetId="5" r:id="Ref11efe1bf1746bd"/>
    <sheet name="INT04_ユーザー契約" sheetId="6" r:id="R363e44c7cee54305"/>
    <sheet name="INT05_製番契約解約" sheetId="7" r:id="Rc637c28c98a84f8c"/>
    <sheet name="INT06_支払い連携" sheetId="8" r:id="R9381e38b88ea4e64"/>
    <sheet name="INT07_保守点検連携" sheetId="9" r:id="R1fe8660811754c86"/>
    <sheet name="INT08_作業予定連携" sheetId="10" r:id="R689712dac98f4677"/>
    <sheet name="INT09_共通連携" sheetId="11" r:id="Rb8e732e6860944e9"/>
    <sheet name="データ準備" sheetId="12" r:id="R6c61e5f8540247c1"/>
    <sheet name="単体との対応" sheetId="13" r:id="R321ff8ebea16431b"/>
    <sheet name="課題・要確認" sheetId="14" r:id="R051e6b850e5e47cd"/>
    <sheet name="資料・根拠" sheetId="15" r:id="Rd3d7d5d988a242fd"/>
    <sheet name="VB機能照合" sheetId="16" r:id="R506db4331d554d60"/>
  </sheets>
  <definedNames>
    <definedName name="_xlnm.Print_Area" localSheetId="0">'結合テスト目次'!$A$1:$J$27</definedName>
    <definedName name="_xlnm.Print_Titles" localSheetId="0">'結合テスト目次'!$9:$9</definedName>
    <definedName name="_xlnm.Print_Area" localSheetId="1">'対象・観点一覧'!$A$1:$G$22</definedName>
    <definedName name="_xlnm.Print_Titles" localSheetId="1">'対象・観点一覧'!$9:$9</definedName>
    <definedName name="_xlnm.Print_Area" localSheetId="2">'INT01_取引先契約'!$A$1:$Q$39</definedName>
    <definedName name="_xlnm.Print_Titles" localSheetId="2">'INT01_取引先契約'!$9:$9</definedName>
    <definedName name="_xlnm.Print_Area" localSheetId="3">'INT02_審査承認'!$A$1:$Q$34</definedName>
    <definedName name="_xlnm.Print_Titles" localSheetId="3">'INT02_審査承認'!$9:$9</definedName>
    <definedName name="_xlnm.Print_Area" localSheetId="4">'INT03_パック店舗直'!$A$1:$Q$28</definedName>
    <definedName name="_xlnm.Print_Titles" localSheetId="4">'INT03_パック店舗直'!$9:$9</definedName>
    <definedName name="_xlnm.Print_Area" localSheetId="5">'INT04_ユーザー契約'!$A$1:$Q$33</definedName>
    <definedName name="_xlnm.Print_Titles" localSheetId="5">'INT04_ユーザー契約'!$9:$9</definedName>
    <definedName name="_xlnm.Print_Area" localSheetId="6">'INT05_製番契約解約'!$A$1:$Q$28</definedName>
    <definedName name="_xlnm.Print_Titles" localSheetId="6">'INT05_製番契約解約'!$9:$9</definedName>
    <definedName name="_xlnm.Print_Area" localSheetId="7">'INT06_支払い連携'!$A$1:$Q$21</definedName>
    <definedName name="_xlnm.Print_Titles" localSheetId="7">'INT06_支払い連携'!$9:$9</definedName>
    <definedName name="_xlnm.Print_Area" localSheetId="8">'INT07_保守点検連携'!$A$1:$Q$24</definedName>
    <definedName name="_xlnm.Print_Titles" localSheetId="8">'INT07_保守点検連携'!$9:$9</definedName>
    <definedName name="_xlnm.Print_Area" localSheetId="9">'INT08_作業予定連携'!$A$1:$Q$41</definedName>
    <definedName name="_xlnm.Print_Titles" localSheetId="9">'INT08_作業予定連携'!$9:$9</definedName>
    <definedName name="_xlnm.Print_Area" localSheetId="10">'INT09_共通連携'!$A$1:$Q$40</definedName>
    <definedName name="_xlnm.Print_Titles" localSheetId="10">'INT09_共通連携'!$9:$9</definedName>
    <definedName name="_xlnm.Print_Area" localSheetId="11">'データ準備'!$A$1:$E$26</definedName>
    <definedName name="_xlnm.Print_Titles" localSheetId="11">'データ準備'!$9:$9</definedName>
    <definedName name="_xlnm.Print_Area" localSheetId="12">'単体との対応'!$A$1:$J$159</definedName>
    <definedName name="_xlnm.Print_Titles" localSheetId="12">'単体との対応'!$9:$9</definedName>
    <definedName name="_xlnm.Print_Area" localSheetId="13">'課題・要確認'!$A$1:$G$26</definedName>
    <definedName name="_xlnm.Print_Titles" localSheetId="13">'課題・要確認'!$9:$9</definedName>
    <definedName name="_xlnm.Print_Area" localSheetId="14">'資料・根拠'!$A$1:$F$102</definedName>
    <definedName name="_xlnm.Print_Titles" localSheetId="14">'資料・根拠'!$9:$9</definedName>
    <definedName name="_xlnm.Print_Area" localSheetId="15">'VB機能照合'!$A$1:$G$156</definedName>
    <definedName name="_xlnm.Print_Titles" localSheetId="15">'VB機能照合'!$9:$9</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x:numFmts>
  <x:fonts count="5">
    <x:font>
      <x:sz val="11"/>
      <x:name val="Carlito"/>
    </x:font>
    <x:font>
      <x:sz val="11"/>
      <x:name val="ＭＳ Ｐゴシック"/>
    </x:font>
    <x:font>
      <x:b/>
      <x:sz val="11"/>
      <x:color rgb="FFFFFFFF"/>
      <x:name val="ＭＳ Ｐゴシック"/>
    </x:font>
    <x:font>
      <x:b/>
      <x:sz val="14"/>
      <x:name val="ＭＳ Ｐゴシック"/>
    </x:font>
    <x:font>
      <x:b/>
      <x:sz val="11"/>
      <x:name val="ＭＳ Ｐゴシック"/>
    </x:font>
  </x:fonts>
  <x:fills count="6">
    <x:fill>
      <x:patternFill patternType="none"/>
    </x:fill>
    <x:fill>
      <x:patternFill patternType="gray125"/>
    </x:fill>
    <x:fill>
      <x:patternFill patternType="solid">
        <x:fgColor rgb="FF1F4E79"/>
      </x:patternFill>
    </x:fill>
    <x:fill>
      <x:patternFill patternType="solid">
        <x:fgColor rgb="FFEAF0F7"/>
      </x:patternFill>
    </x:fill>
    <x:fill>
      <x:patternFill patternType="solid">
        <x:fgColor rgb="FFFFFBE6"/>
      </x:patternFill>
    </x:fill>
    <x:fill>
      <x:patternFill patternType="solid">
        <x:fgColor rgb="FFFFFBE6"/>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201" fontId="1" fillId="4"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0" fillId="3" borderId="0" xfId="0" applyNumberFormat="1" applyFont="1" applyFill="1" applyBorder="1"/>
    <x:xf numFmtId="0" fontId="4" fillId="3" borderId="0" xfId="0" applyNumberFormat="1" applyFont="1" applyFill="1" applyBorder="1"/>
    <x:xf numFmtId="200" fontId="1" fillId="0" borderId="1" xfId="0" applyNumberFormat="1" applyFont="1" applyFill="1" applyBorder="1" applyAlignment="1">
      <x:alignment vertical="top" wrapText="1"/>
    </x:xf>
    <x:xf numFmtId="200" fontId="0" fillId="0" borderId="0" xfId="0" applyNumberFormat="1" applyFont="1" applyFill="1" applyBorder="1"/>
    <x:xf numFmtId="200" fontId="4" fillId="3" borderId="0" xfId="0" applyNumberFormat="1" applyFont="1" applyFill="1" applyBorder="1"/>
    <x:xf numFmtId="0" fontId="1" fillId="0" borderId="0"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horizontal="center" vertical="top" wrapText="1"/>
    </x:xf>
    <x:xf numFmtId="201" fontId="1" fillId="5" borderId="1" xfId="0" applyNumberFormat="1" applyFont="1" applyFill="1" applyBorder="1" applyAlignment="1">
      <x:alignment vertical="top" wrapText="1"/>
    </x:xf>
  </x:cellXfs>
  <x:cellStyles count="1">
    <x:cellStyle name="Normal" xfId="0"/>
  </x:cellStyles>
  <x:dxfs count="60">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x:bgColor rgb="FFE2F0D9"/>
        </x:patternFill>
      </x:fill>
    </x:dxf>
    <x:dxf>
      <x:fill>
        <x:patternFill>
          <x:bgColor rgb="FFFCE4D6"/>
        </x:patternFill>
      </x:fill>
    </x:dxf>
    <x:dxf>
      <x:fill>
        <x:patternFill>
          <x:bgColor rgb="FFFFF2CC"/>
        </x:patternFill>
      </x:fill>
    </x:dxf>
    <x:dxf>
      <x:fill>
        <x:patternFill>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834701830248ed" /><Relationship Type="http://schemas.openxmlformats.org/officeDocument/2006/relationships/theme" Target="/xl/theme/theme1.xml" Id="R16b89b24046946c0" /><Relationship Type="http://schemas.openxmlformats.org/officeDocument/2006/relationships/sharedStrings" Target="/xl/sharedStrings.xml" Id="R95d5d7bdeadf4ef1" /><Relationship Type="http://schemas.openxmlformats.org/officeDocument/2006/relationships/worksheet" Target="/xl/worksheets/sheet1.xml" Id="R8bd8f43071fc4136" /><Relationship Type="http://schemas.openxmlformats.org/officeDocument/2006/relationships/worksheet" Target="/xl/worksheets/sheet2.xml" Id="R8d0736770b2e4c4b" /><Relationship Type="http://schemas.openxmlformats.org/officeDocument/2006/relationships/worksheet" Target="/xl/worksheets/sheet3.xml" Id="Rcdf576473de74caa" /><Relationship Type="http://schemas.openxmlformats.org/officeDocument/2006/relationships/worksheet" Target="/xl/worksheets/sheet4.xml" Id="R58fb1211618b4327" /><Relationship Type="http://schemas.openxmlformats.org/officeDocument/2006/relationships/worksheet" Target="/xl/worksheets/sheet5.xml" Id="Ref11efe1bf1746bd" /><Relationship Type="http://schemas.openxmlformats.org/officeDocument/2006/relationships/worksheet" Target="/xl/worksheets/sheet6.xml" Id="R363e44c7cee54305" /><Relationship Type="http://schemas.openxmlformats.org/officeDocument/2006/relationships/worksheet" Target="/xl/worksheets/sheet7.xml" Id="Rc637c28c98a84f8c" /><Relationship Type="http://schemas.openxmlformats.org/officeDocument/2006/relationships/worksheet" Target="/xl/worksheets/sheet8.xml" Id="R9381e38b88ea4e64" /><Relationship Type="http://schemas.openxmlformats.org/officeDocument/2006/relationships/worksheet" Target="/xl/worksheets/sheet9.xml" Id="R1fe8660811754c86" /><Relationship Type="http://schemas.openxmlformats.org/officeDocument/2006/relationships/worksheet" Target="/xl/worksheets/sheet10.xml" Id="R689712dac98f4677" /><Relationship Type="http://schemas.openxmlformats.org/officeDocument/2006/relationships/worksheet" Target="/xl/worksheets/sheet11.xml" Id="Rb8e732e6860944e9" /><Relationship Type="http://schemas.openxmlformats.org/officeDocument/2006/relationships/worksheet" Target="/xl/worksheets/sheet12.xml" Id="R6c61e5f8540247c1" /><Relationship Type="http://schemas.openxmlformats.org/officeDocument/2006/relationships/worksheet" Target="/xl/worksheets/sheet13.xml" Id="R321ff8ebea16431b" /><Relationship Type="http://schemas.openxmlformats.org/officeDocument/2006/relationships/worksheet" Target="/xl/worksheets/sheet14.xml" Id="R051e6b850e5e47cd" /><Relationship Type="http://schemas.openxmlformats.org/officeDocument/2006/relationships/worksheet" Target="/xl/worksheets/sheet15.xml" Id="Rd3d7d5d988a242fd" /><Relationship Type="http://schemas.openxmlformats.org/officeDocument/2006/relationships/worksheet" Target="/xl/worksheets/sheet16.xml" Id="R506db4331d554d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34" hidden="0" customWidth="1"/>
    <col min="2" max="2" width="55" hidden="0" customWidth="1"/>
    <col min="3" max="3" width="16" hidden="0" customWidth="1"/>
    <col min="4" max="4" width="15" hidden="0" customWidth="1"/>
    <col min="5" max="5" width="18" hidden="0" customWidth="1"/>
    <col min="6" max="6" width="12" hidden="0" customWidth="1"/>
    <col min="7" max="7" width="12" hidden="0" customWidth="1"/>
    <col min="8" max="8" width="23" hidden="0" customWidth="1"/>
    <col min="9" max="9" width="16" hidden="0" customWidth="1"/>
    <col min="10" max="10" width="16" hidden="0" customWidth="1"/>
  </cols>
  <sheetData>
    <row r="1" ht="30" customHeight="1">
      <c r="A1" s="8" t="str">
        <v>MCM契・解約機能 結合テスト仕様書</v>
      </c>
      <c r="B1" s="3"/>
      <c r="C1" s="3"/>
      <c r="D1" s="3"/>
      <c r="E1" s="3"/>
      <c r="F1" s="3"/>
      <c r="G1" s="3"/>
      <c r="H1" s="3"/>
      <c r="I1" s="3"/>
      <c r="J1" s="3"/>
    </row>
    <row r="2" ht="26" customHeight="1">
      <c r="A2" s="3" t="str">
        <v>対象：1005/1006/1009/1010/1011/2006/2007/3002/3003/3004/3005/3007/3008。作成日：2026/10/05。機能照合反映：2026/10/06。</v>
      </c>
      <c r="B2" s="3"/>
      <c r="C2" s="3"/>
      <c r="D2" s="3"/>
      <c r="E2" s="3"/>
      <c r="F2" s="3"/>
      <c r="G2" s="3"/>
      <c r="H2" s="3"/>
      <c r="I2" s="3"/>
      <c r="J2" s="3"/>
    </row>
    <row r="3" ht="26" customHeight="1">
      <c r="A3" s="3" t="str">
        <v>結合207ケース。単体150件の原本を保持し、業務137・共通10項目の対応先と不足条件をVB機能照合に記録。</v>
      </c>
      <c r="B3" s="3"/>
      <c r="C3" s="3"/>
      <c r="D3" s="3"/>
      <c r="E3" s="3"/>
      <c r="F3" s="3"/>
      <c r="G3" s="3"/>
      <c r="H3" s="3"/>
      <c r="I3" s="3"/>
      <c r="J3" s="3"/>
    </row>
    <row r="4" ht="26" customHeight="1">
      <c r="A4" s="3" t="str">
        <v>実行順：データ準備→INT01～INT08の業務フロー→INT09の共通連携。課題は先に解消。実機・検証DB・SMTP・ネイティブExcelでの実施は未実施。</v>
      </c>
      <c r="B4" s="3"/>
      <c r="C4" s="3"/>
      <c r="D4" s="3"/>
      <c r="E4" s="3"/>
      <c r="F4" s="3"/>
      <c r="G4" s="3"/>
      <c r="H4" s="3"/>
      <c r="I4" s="3"/>
      <c r="J4" s="3"/>
    </row>
    <row r="5">
      <c r="A5" s="3"/>
      <c r="B5" s="3"/>
      <c r="C5" s="3"/>
      <c r="D5" s="3"/>
      <c r="E5" s="3"/>
      <c r="F5" s="3"/>
      <c r="G5" s="3"/>
      <c r="H5" s="3"/>
      <c r="I5" s="3"/>
      <c r="J5" s="3"/>
    </row>
    <row r="6">
      <c r="A6" s="3"/>
      <c r="B6" s="3"/>
      <c r="C6" s="3"/>
      <c r="D6" s="3"/>
      <c r="E6" s="3"/>
      <c r="F6" s="3"/>
      <c r="G6" s="3"/>
      <c r="H6" s="3"/>
      <c r="I6" s="3"/>
      <c r="J6" s="3"/>
    </row>
    <row r="7">
      <c r="A7" s="3"/>
      <c r="B7" s="3"/>
      <c r="C7" s="3"/>
      <c r="D7" s="3"/>
      <c r="E7" s="3"/>
      <c r="F7" s="3"/>
      <c r="G7" s="3"/>
      <c r="H7" s="3"/>
      <c r="I7" s="3"/>
      <c r="J7" s="3"/>
    </row>
    <row r="8">
      <c r="A8" s="3"/>
      <c r="B8" s="3"/>
      <c r="C8" s="3"/>
      <c r="D8" s="3"/>
      <c r="E8" s="3"/>
      <c r="F8" s="3"/>
      <c r="G8" s="3"/>
      <c r="H8" s="3"/>
      <c r="I8" s="3"/>
      <c r="J8" s="3"/>
    </row>
    <row r="9" ht="38" customHeight="1">
      <c r="A9" s="7" t="str">
        <v>シート</v>
      </c>
      <c r="B9" s="7" t="str">
        <v>対象の業務フロー</v>
      </c>
      <c r="C9" s="7" t="str">
        <v>テスト件数</v>
      </c>
      <c r="D9" s="7" t="str">
        <v>対象外</v>
      </c>
      <c r="E9" s="7" t="str">
        <v>実テスト件数</v>
      </c>
      <c r="F9" s="7" t="str">
        <v>OK</v>
      </c>
      <c r="G9" s="7" t="str">
        <v>NG</v>
      </c>
      <c r="H9" s="7" t="str">
        <v>保留・未実施</v>
      </c>
      <c r="I9" s="7" t="str">
        <v>実施率</v>
      </c>
      <c r="J9" s="7" t="str">
        <v>合格率</v>
      </c>
    </row>
    <row r="10" ht="44" customHeight="1">
      <c r="A10" s="4" t="str">
        <v>INT01_取引先契約</v>
      </c>
      <c r="B10" s="4" t="str">
        <v>取引先契約内容・機器設定</v>
      </c>
      <c r="C10" s="4" t="n">
        <f>'INT01_取引先契約'!B6</f>
        <v>30</v>
      </c>
      <c r="D10" s="4" t="n">
        <f>'INT01_取引先契約'!D6</f>
        <v>0</v>
      </c>
      <c r="E10" s="4" t="n">
        <f>'INT01_取引先契約'!F6</f>
        <v>30</v>
      </c>
      <c r="F10" s="4" t="n">
        <f>'INT01_取引先契約'!H6</f>
        <v>0</v>
      </c>
      <c r="G10" s="4" t="n">
        <f>'INT01_取引先契約'!J6</f>
        <v>0</v>
      </c>
      <c r="H10" s="4" t="n">
        <f>'INT01_取引先契約'!L6</f>
        <v>30</v>
      </c>
      <c r="I10" s="19" t="n">
        <f>'INT01_取引先契約'!N6</f>
        <v>0</v>
      </c>
      <c r="J10" s="19" t="n">
        <f>'INT01_取引先契約'!P6</f>
        <v>0</v>
      </c>
    </row>
    <row r="11" ht="44" customHeight="1">
      <c r="A11" s="4" t="str">
        <v>INT02_審査承認</v>
      </c>
      <c r="B11" s="4" t="str">
        <v>取引先契約の申請・審査・承認</v>
      </c>
      <c r="C11" s="4" t="n">
        <f>'INT02_審査承認'!B6</f>
        <v>25</v>
      </c>
      <c r="D11" s="4" t="n">
        <f>'INT02_審査承認'!D6</f>
        <v>0</v>
      </c>
      <c r="E11" s="4" t="n">
        <f>'INT02_審査承認'!F6</f>
        <v>25</v>
      </c>
      <c r="F11" s="4" t="n">
        <f>'INT02_審査承認'!H6</f>
        <v>0</v>
      </c>
      <c r="G11" s="4" t="n">
        <f>'INT02_審査承認'!J6</f>
        <v>0</v>
      </c>
      <c r="H11" s="4" t="n">
        <f>'INT02_審査承認'!L6</f>
        <v>25</v>
      </c>
      <c r="I11" s="19" t="n">
        <f>'INT02_審査承認'!N6</f>
        <v>0</v>
      </c>
      <c r="J11" s="19" t="n">
        <f>'INT02_審査承認'!P6</f>
        <v>0</v>
      </c>
    </row>
    <row r="12" ht="44" customHeight="1">
      <c r="A12" s="4" t="str">
        <v>INT03_パック店舗直</v>
      </c>
      <c r="B12" s="4" t="str">
        <v>パック契約・店舗直契約</v>
      </c>
      <c r="C12" s="4" t="n">
        <f>'INT03_パック店舗直'!B6</f>
        <v>19</v>
      </c>
      <c r="D12" s="4" t="n">
        <f>'INT03_パック店舗直'!D6</f>
        <v>0</v>
      </c>
      <c r="E12" s="4" t="n">
        <f>'INT03_パック店舗直'!F6</f>
        <v>19</v>
      </c>
      <c r="F12" s="4" t="n">
        <f>'INT03_パック店舗直'!H6</f>
        <v>0</v>
      </c>
      <c r="G12" s="4" t="n">
        <f>'INT03_パック店舗直'!J6</f>
        <v>0</v>
      </c>
      <c r="H12" s="4" t="n">
        <f>'INT03_パック店舗直'!L6</f>
        <v>19</v>
      </c>
      <c r="I12" s="19" t="n">
        <f>'INT03_パック店舗直'!N6</f>
        <v>0</v>
      </c>
      <c r="J12" s="19" t="n">
        <f>'INT03_パック店舗直'!P6</f>
        <v>0</v>
      </c>
    </row>
    <row r="13" ht="44" customHeight="1">
      <c r="A13" s="4" t="str">
        <v>INT04_ユーザー契約</v>
      </c>
      <c r="B13" s="4" t="str">
        <v>ユーザー契約内容・変更</v>
      </c>
      <c r="C13" s="4" t="n">
        <f>'INT04_ユーザー契約'!B6</f>
        <v>24</v>
      </c>
      <c r="D13" s="4" t="n">
        <f>'INT04_ユーザー契約'!D6</f>
        <v>0</v>
      </c>
      <c r="E13" s="4" t="n">
        <f>'INT04_ユーザー契約'!F6</f>
        <v>24</v>
      </c>
      <c r="F13" s="4" t="n">
        <f>'INT04_ユーザー契約'!H6</f>
        <v>0</v>
      </c>
      <c r="G13" s="4" t="n">
        <f>'INT04_ユーザー契約'!J6</f>
        <v>0</v>
      </c>
      <c r="H13" s="4" t="n">
        <f>'INT04_ユーザー契約'!L6</f>
        <v>24</v>
      </c>
      <c r="I13" s="19" t="n">
        <f>'INT04_ユーザー契約'!N6</f>
        <v>0</v>
      </c>
      <c r="J13" s="19" t="n">
        <f>'INT04_ユーザー契約'!P6</f>
        <v>0</v>
      </c>
    </row>
    <row r="14" ht="44" customHeight="1">
      <c r="A14" s="4" t="str">
        <v>INT05_製番契約解約</v>
      </c>
      <c r="B14" s="4" t="str">
        <v>契約・解約製番検索／製番確認</v>
      </c>
      <c r="C14" s="4" t="n">
        <f>'INT05_製番契約解約'!B6</f>
        <v>19</v>
      </c>
      <c r="D14" s="4" t="n">
        <f>'INT05_製番契約解約'!D6</f>
        <v>0</v>
      </c>
      <c r="E14" s="4" t="n">
        <f>'INT05_製番契約解約'!F6</f>
        <v>19</v>
      </c>
      <c r="F14" s="4" t="n">
        <f>'INT05_製番契約解約'!H6</f>
        <v>0</v>
      </c>
      <c r="G14" s="4" t="n">
        <f>'INT05_製番契約解約'!J6</f>
        <v>0</v>
      </c>
      <c r="H14" s="4" t="n">
        <f>'INT05_製番契約解約'!L6</f>
        <v>19</v>
      </c>
      <c r="I14" s="19" t="n">
        <f>'INT05_製番契約解約'!N6</f>
        <v>0</v>
      </c>
      <c r="J14" s="19" t="n">
        <f>'INT05_製番契約解約'!P6</f>
        <v>0</v>
      </c>
    </row>
    <row r="15" ht="44" customHeight="1">
      <c r="A15" s="4" t="str">
        <v>INT06_支払い連携</v>
      </c>
      <c r="B15" s="4" t="str">
        <v>支払い明細出力との連携</v>
      </c>
      <c r="C15" s="4" t="n">
        <f>'INT06_支払い連携'!B6</f>
        <v>12</v>
      </c>
      <c r="D15" s="4" t="n">
        <f>'INT06_支払い連携'!D6</f>
        <v>0</v>
      </c>
      <c r="E15" s="4" t="n">
        <f>'INT06_支払い連携'!F6</f>
        <v>12</v>
      </c>
      <c r="F15" s="4" t="n">
        <f>'INT06_支払い連携'!H6</f>
        <v>0</v>
      </c>
      <c r="G15" s="4" t="n">
        <f>'INT06_支払い連携'!J6</f>
        <v>0</v>
      </c>
      <c r="H15" s="4" t="n">
        <f>'INT06_支払い連携'!L6</f>
        <v>12</v>
      </c>
      <c r="I15" s="19" t="n">
        <f>'INT06_支払い連携'!N6</f>
        <v>0</v>
      </c>
      <c r="J15" s="19" t="n">
        <f>'INT06_支払い連携'!P6</f>
        <v>0</v>
      </c>
    </row>
    <row r="16" ht="44" customHeight="1">
      <c r="A16" s="4" t="str">
        <v>INT07_保守点検連携</v>
      </c>
      <c r="B16" s="4" t="str">
        <v>保守点検・帳票との連携</v>
      </c>
      <c r="C16" s="4" t="n">
        <f>'INT07_保守点検連携'!B6</f>
        <v>15</v>
      </c>
      <c r="D16" s="4" t="n">
        <f>'INT07_保守点検連携'!D6</f>
        <v>0</v>
      </c>
      <c r="E16" s="4" t="n">
        <f>'INT07_保守点検連携'!F6</f>
        <v>15</v>
      </c>
      <c r="F16" s="4" t="n">
        <f>'INT07_保守点検連携'!H6</f>
        <v>0</v>
      </c>
      <c r="G16" s="4" t="n">
        <f>'INT07_保守点検連携'!J6</f>
        <v>0</v>
      </c>
      <c r="H16" s="4" t="n">
        <f>'INT07_保守点検連携'!L6</f>
        <v>15</v>
      </c>
      <c r="I16" s="19" t="n">
        <f>'INT07_保守点検連携'!N6</f>
        <v>0</v>
      </c>
      <c r="J16" s="19" t="n">
        <f>'INT07_保守点検連携'!P6</f>
        <v>0</v>
      </c>
    </row>
    <row r="17" ht="44" customHeight="1">
      <c r="A17" s="4" t="str">
        <v>INT08_作業予定連携</v>
      </c>
      <c r="B17" s="4" t="str">
        <v>作業予定一覧・登録・帳票</v>
      </c>
      <c r="C17" s="4" t="n">
        <f>'INT08_作業予定連携'!B6</f>
        <v>32</v>
      </c>
      <c r="D17" s="4" t="n">
        <f>'INT08_作業予定連携'!D6</f>
        <v>0</v>
      </c>
      <c r="E17" s="4" t="n">
        <f>'INT08_作業予定連携'!F6</f>
        <v>32</v>
      </c>
      <c r="F17" s="4" t="n">
        <f>'INT08_作業予定連携'!H6</f>
        <v>0</v>
      </c>
      <c r="G17" s="4" t="n">
        <f>'INT08_作業予定連携'!J6</f>
        <v>0</v>
      </c>
      <c r="H17" s="4" t="n">
        <f>'INT08_作業予定連携'!L6</f>
        <v>32</v>
      </c>
      <c r="I17" s="19" t="n">
        <f>'INT08_作業予定連携'!N6</f>
        <v>0</v>
      </c>
      <c r="J17" s="19" t="n">
        <f>'INT08_作業予定連携'!P6</f>
        <v>0</v>
      </c>
    </row>
    <row r="18" ht="44" customHeight="1">
      <c r="A18" s="4" t="str">
        <v>INT09_共通連携</v>
      </c>
      <c r="B18" s="4" t="str">
        <v>権限・排他・セッション・保存先</v>
      </c>
      <c r="C18" s="4" t="n">
        <f>'INT09_共通連携'!B6</f>
        <v>31</v>
      </c>
      <c r="D18" s="4" t="n">
        <f>'INT09_共通連携'!D6</f>
        <v>0</v>
      </c>
      <c r="E18" s="4" t="n">
        <f>'INT09_共通連携'!F6</f>
        <v>31</v>
      </c>
      <c r="F18" s="4" t="n">
        <f>'INT09_共通連携'!H6</f>
        <v>0</v>
      </c>
      <c r="G18" s="4" t="n">
        <f>'INT09_共通連携'!J6</f>
        <v>0</v>
      </c>
      <c r="H18" s="4" t="n">
        <f>'INT09_共通連携'!L6</f>
        <v>31</v>
      </c>
      <c r="I18" s="19" t="n">
        <f>'INT09_共通連携'!N6</f>
        <v>0</v>
      </c>
      <c r="J18" s="19" t="n">
        <f>'INT09_共通連携'!P6</f>
        <v>0</v>
      </c>
    </row>
    <row r="19">
      <c r="I19" s="20"/>
      <c r="J19" s="20"/>
    </row>
    <row r="20" ht="32" customHeight="1">
      <c r="A20" s="18" t="str">
        <v>合計（率は総件数から再計算）</v>
      </c>
      <c r="B20" s="18"/>
      <c r="C20" s="18" t="n">
        <f>SUM(C10:C18)</f>
        <v>207</v>
      </c>
      <c r="D20" s="18" t="n">
        <f>SUM(D10:D18)</f>
        <v>0</v>
      </c>
      <c r="E20" s="18" t="n">
        <f>SUM(E10:E18)</f>
        <v>207</v>
      </c>
      <c r="F20" s="18" t="n">
        <f>SUM(F10:F18)</f>
        <v>0</v>
      </c>
      <c r="G20" s="18" t="n">
        <f>SUM(G10:G18)</f>
        <v>0</v>
      </c>
      <c r="H20" s="18" t="n">
        <f>SUM(H10:H18)</f>
        <v>207</v>
      </c>
      <c r="I20" s="21" t="n">
        <f>IF(E20=0,0,(F20+G20)/E20)</f>
        <v>0</v>
      </c>
      <c r="J20" s="21" t="n">
        <f>IF(E20=0,0,F20/E20)</f>
        <v>0</v>
      </c>
    </row>
    <row r="23" ht="45" customHeight="1">
      <c r="A23" s="3" t="str">
        <v>重複確認</v>
      </c>
      <c r="B23" s="3"/>
      <c r="C23" s="3" t="str">
        <v>単体150件を対応表に1回ずつ記録。70件は単体に分担、80件は連携を追加。結果は未実施。</v>
      </c>
      <c r="D23" s="3"/>
      <c r="E23" s="3"/>
      <c r="F23" s="3"/>
      <c r="G23" s="3"/>
      <c r="H23" s="3"/>
      <c r="I23" s="3"/>
      <c r="J23" s="3"/>
    </row>
    <row r="24" ht="45" customHeight="1">
      <c r="A24" s="3" t="str">
        <v>未収録画面</v>
      </c>
      <c r="B24" s="3"/>
      <c r="C24" s="3" t="str">
        <v>2007、3002、3003、3004、3005、3007、3008の単体は共有版にない。別版受領時に追加照合する。</v>
      </c>
      <c r="D24" s="3"/>
      <c r="E24" s="3"/>
      <c r="F24" s="3"/>
      <c r="G24" s="3"/>
      <c r="H24" s="3"/>
      <c r="I24" s="3"/>
      <c r="J24" s="3"/>
    </row>
    <row r="25" ht="45" customHeight="1">
      <c r="A25" s="3" t="str">
        <v>実施結果</v>
      </c>
      <c r="B25" s="3"/>
      <c r="C25" s="3" t="str">
        <v>黄色のI～Oを入力。初回結果I、再テスト結果M、最終判定Pは自動。記入者と実施日は実行時に入力する。</v>
      </c>
      <c r="D25" s="3"/>
      <c r="E25" s="3"/>
      <c r="F25" s="3"/>
      <c r="G25" s="3"/>
      <c r="H25" s="3"/>
      <c r="I25" s="3"/>
      <c r="J25" s="3"/>
    </row>
    <row r="26" ht="45" customHeight="1">
      <c r="A26" s="3" t="str">
        <v>判定と証跡</v>
      </c>
      <c r="B26" s="3"/>
      <c r="C26" s="3" t="str">
        <v>対象ID・期間ID・出力ファイル・変更前後DBの証跡を不具合内容または備考へ記録。見た目だけで連携成功としない。</v>
      </c>
      <c r="D26" s="3"/>
      <c r="E26" s="3"/>
      <c r="F26" s="3"/>
      <c r="G26" s="3"/>
      <c r="H26" s="3"/>
      <c r="I26" s="3"/>
      <c r="J26" s="3"/>
    </row>
    <row r="27" ht="45" customHeight="1">
      <c r="A27" s="3" t="str">
        <v>未確認</v>
      </c>
      <c r="B27" s="3"/>
      <c r="C27" s="3" t="str">
        <v>実環境のDB内容、添付実体、Officeのアプリ起動・印刷、SMTPと応答性能はこの仕様書作成では実行確認していない。</v>
      </c>
      <c r="D27" s="3"/>
      <c r="E27" s="3"/>
      <c r="F27" s="3"/>
      <c r="G27" s="3"/>
      <c r="H27" s="3"/>
      <c r="I27" s="3"/>
      <c r="J27" s="3"/>
    </row>
  </sheetData>
  <mergeCells>
    <mergeCell ref="A1:H1"/>
    <mergeCell ref="A2:J2"/>
    <mergeCell ref="A3:J3"/>
    <mergeCell ref="A4:J4"/>
    <mergeCell ref="A20:B20"/>
    <mergeCell ref="A23:B23"/>
    <mergeCell ref="C23:J23"/>
    <mergeCell ref="A24:B24"/>
    <mergeCell ref="C24:J24"/>
    <mergeCell ref="A25:B25"/>
    <mergeCell ref="C25:J25"/>
    <mergeCell ref="A26:B26"/>
    <mergeCell ref="C26:J26"/>
    <mergeCell ref="A27:B27"/>
    <mergeCell ref="C27:J27"/>
  </mergeCells>
  <pageMargins left="0.3" right="0.3" top="0.4" bottom="0.4" header="0.2" footer="0.2"/>
  <pageSetup orientation="landscape" paperSize="8" scale="100" fitToWidth="0" fitToHeight="0"/>
</worksheet>
</file>

<file path=xl/worksheets/sheet2.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9" hidden="0" customWidth="1"/>
    <col min="2" max="2" width="38" hidden="0" customWidth="1"/>
    <col min="3" max="3" width="29" hidden="0" customWidth="1"/>
    <col min="4" max="4" width="70" hidden="0" customWidth="1"/>
    <col min="5" max="5" width="36" hidden="0" customWidth="1"/>
    <col min="6" max="6" width="65" hidden="0" customWidth="1"/>
    <col min="7" max="7" width="30" hidden="0" customWidth="1"/>
  </cols>
  <sheetData>
    <row r="1" ht="30" customHeight="1">
      <c r="A1" s="8" t="str">
        <v>対象13画面と確認工程の対応</v>
      </c>
      <c r="B1" s="3"/>
      <c r="C1" s="3"/>
      <c r="D1" s="3"/>
      <c r="E1" s="3"/>
      <c r="F1" s="3"/>
      <c r="G1" s="3"/>
    </row>
    <row r="2" ht="26" customHeight="1">
      <c r="A2" s="3" t="str">
        <v>単体工程と結合工程を合わせて対象を管理する。件数は確認完了の保証ではなく、対応ケースを追跡するためのもの。</v>
      </c>
      <c r="B2" s="3"/>
      <c r="C2" s="3"/>
      <c r="D2" s="3"/>
      <c r="E2" s="3"/>
      <c r="F2" s="3"/>
      <c r="G2" s="3"/>
    </row>
    <row r="3" ht="26" customHeight="1">
      <c r="A3" s="3" t="str">
        <v>1006U・2007Uは2画面、3004Uは全9タブを含む。関連する検索・マスタ・帳票は連携確認に必要な範囲だけ扱う。</v>
      </c>
      <c r="B3" s="3"/>
      <c r="C3" s="3"/>
      <c r="D3" s="3"/>
      <c r="E3" s="3"/>
      <c r="F3" s="3"/>
      <c r="G3" s="3"/>
    </row>
    <row r="4" ht="26" customHeight="1">
      <c r="A4" s="3"/>
      <c r="B4" s="3"/>
      <c r="C4" s="3"/>
      <c r="D4" s="3"/>
      <c r="E4" s="3"/>
      <c r="F4" s="3"/>
      <c r="G4" s="3"/>
    </row>
    <row r="5">
      <c r="A5" s="3"/>
      <c r="B5" s="3"/>
      <c r="C5" s="3"/>
      <c r="D5" s="3"/>
      <c r="E5" s="3"/>
      <c r="F5" s="3"/>
      <c r="G5" s="3"/>
    </row>
    <row r="6">
      <c r="A6" s="3"/>
      <c r="B6" s="3"/>
      <c r="C6" s="3"/>
      <c r="D6" s="3"/>
      <c r="E6" s="3"/>
      <c r="F6" s="3"/>
      <c r="G6" s="3"/>
    </row>
    <row r="7">
      <c r="A7" s="3"/>
      <c r="B7" s="3"/>
      <c r="C7" s="3"/>
      <c r="D7" s="3"/>
      <c r="E7" s="3"/>
      <c r="F7" s="3"/>
      <c r="G7" s="3"/>
    </row>
    <row r="8">
      <c r="A8" s="3"/>
      <c r="B8" s="3"/>
      <c r="C8" s="3"/>
      <c r="D8" s="3"/>
      <c r="E8" s="3"/>
      <c r="F8" s="3"/>
      <c r="G8" s="3"/>
    </row>
    <row r="9" ht="38" customHeight="1">
      <c r="A9" s="7" t="str">
        <v>機能ID</v>
      </c>
      <c r="B9" s="7" t="str">
        <v>画面名</v>
      </c>
      <c r="C9" s="7" t="str">
        <v>共有単体版の収録</v>
      </c>
      <c r="D9" s="7" t="str">
        <v>結合ケースID</v>
      </c>
      <c r="E9" s="7" t="str">
        <v>結合の実施区分</v>
      </c>
      <c r="F9" s="7" t="str">
        <v>単体に委ねる範囲</v>
      </c>
      <c r="G9" s="7" t="str">
        <v>課題ID</v>
      </c>
    </row>
    <row r="10" ht="337" customHeight="1">
      <c r="A10" s="4" t="str">
        <v>MCM1005U</v>
      </c>
      <c r="B10" s="4" t="str">
        <v>取引先契約内容</v>
      </c>
      <c r="C10" s="4" t="str">
        <v>収録 30件</v>
      </c>
      <c r="D10" s="4" t="str">
        <v>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v>
      </c>
      <c r="E10" s="4" t="str">
        <v>正常系 / 仕様照合 / 異常系 / 排他 / 権限連携 / セッション / 環境連携 / 取消 / 更新連携</v>
      </c>
      <c r="F10" s="4" t="str">
        <v>表示・書式・入力項目単独チェックは単体工程。単体との対応に全ケース記録。</v>
      </c>
      <c r="G10" s="4" t="str">
        <v>Q02 / Q04 / Q08</v>
      </c>
    </row>
    <row r="11" ht="99" customHeight="1">
      <c r="A11" s="4" t="str">
        <v>MCM1006U</v>
      </c>
      <c r="B11" s="4" t="str">
        <v>取引先契約機器設定（2画面）</v>
      </c>
      <c r="C11" s="4" t="str">
        <v>収録 27件</v>
      </c>
      <c r="D11" s="4" t="str">
        <v>INT01-02, INT01-03, INT01-04, INT01-05, INT01-06, INT01-07, INT01-08, INT01-09, INT01-10, INT01-11, INT01-12, INT01-18, INT03-02, INT03-10, INT05-09, INT09-04, INT09-05, INT09-06, INT09-17, INT09-18, INT09-19, INT01-19, INT09-28, INT01-20, INT01-21, INT01-22, INT01-28, INT01-29</v>
      </c>
      <c r="E11" s="4" t="str">
        <v>正常系 / 仕様照合 / 権限連携 / 排他 / セッション</v>
      </c>
      <c r="F11" s="4" t="str">
        <v>表示・書式・入力項目単独チェックは単体工程。単体との対応に全ケース記録。</v>
      </c>
      <c r="G11" s="4" t="str">
        <v>Q01</v>
      </c>
    </row>
    <row r="12" ht="48" customHeight="1">
      <c r="A12" s="4" t="str">
        <v>MCM1009U</v>
      </c>
      <c r="B12" s="4" t="str">
        <v>パック契約・解約</v>
      </c>
      <c r="C12" s="4" t="str">
        <v>収録 20件</v>
      </c>
      <c r="D12" s="4" t="str">
        <v>INT03-01, INT03-02, INT03-03, INT03-04, INT03-05, INT03-06, INT03-07, INT03-08, INT05-11, INT09-04, INT09-07, INT03-17, INT03-19</v>
      </c>
      <c r="E12" s="4" t="str">
        <v>正常系 / 異常系 / 排他 / 権限連携 / 取消</v>
      </c>
      <c r="F12" s="4" t="str">
        <v>表示・書式・入力項目単独チェックは単体工程。単体との対応に全ケース記録。</v>
      </c>
      <c r="G12" s="4" t="str">
        <v>Q07</v>
      </c>
    </row>
    <row r="13" ht="48" customHeight="1">
      <c r="A13" s="4" t="str">
        <v>MCM1010U</v>
      </c>
      <c r="B13" s="4" t="str">
        <v>店舗直契約・解約</v>
      </c>
      <c r="C13" s="4" t="str">
        <v>収録 21件</v>
      </c>
      <c r="D13" s="4" t="str">
        <v>INT03-09, INT03-10, INT03-11, INT03-12, INT03-13, INT03-14, INT03-15, INT03-16, INT09-05, INT09-07, INT03-18, INT03-19</v>
      </c>
      <c r="E13" s="4" t="str">
        <v>正常系 / 異常系 / 排他 / 権限連携 / 取消</v>
      </c>
      <c r="F13" s="4" t="str">
        <v>表示・書式・入力項目単独チェックは単体工程。単体との対応に全ケース記録。</v>
      </c>
      <c r="G13" s="4" t="str">
        <v>－</v>
      </c>
    </row>
    <row r="14" ht="99" customHeight="1">
      <c r="A14" s="4" t="str">
        <v>MCM1011U</v>
      </c>
      <c r="B14" s="4" t="str">
        <v>審査・承認（取引先契約）</v>
      </c>
      <c r="C14" s="4" t="str">
        <v>収録 26件</v>
      </c>
      <c r="D14" s="4" t="str">
        <v>INT02-01, INT02-02, INT02-03, INT02-04, INT02-05, INT02-06, INT02-07, INT02-08, INT02-09, INT02-10, INT02-11, INT02-12, INT02-13, INT02-14, INT02-15, INT02-16, INT02-17, INT02-18, INT02-19, INT02-20, INT02-21, INT06-08, INT09-03, INT09-07, INT09-08, INT09-23, INT09-25, INT09-26, INT02-22, INT02-23, INT02-24, INT01-30, INT02-25</v>
      </c>
      <c r="E14" s="4" t="str">
        <v>正常系 / 異常系 / 排他 / 外部連携 / 権限連携 / 環境連携 / 仕様照合</v>
      </c>
      <c r="F14" s="4" t="str">
        <v>表示・書式・入力項目単独チェックは単体工程。単体との対応に全ケース記録。</v>
      </c>
      <c r="G14" s="4" t="str">
        <v>Q02 / Q03 / Q08 / Q15</v>
      </c>
    </row>
    <row r="15" ht="184" customHeight="1">
      <c r="A15" s="4" t="str">
        <v>MCM2006U</v>
      </c>
      <c r="B15" s="4" t="str">
        <v>ユーザー契約内容</v>
      </c>
      <c r="C15" s="4" t="str">
        <v>収録 26件</v>
      </c>
      <c r="D15" s="4" t="str">
        <v>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v>
      </c>
      <c r="E15" s="4" t="str">
        <v>正常系 / 仕様照合 / 異常系 / 排他 / 権限連携 / セッション</v>
      </c>
      <c r="F15" s="4" t="str">
        <v>表示・書式・入力項目単独チェックは単体工程。単体との対応に全ケース記録。</v>
      </c>
      <c r="G15" s="4" t="str">
        <v>Q04 / Q05 / Q08 / Q12 / Q13 / Q14、Q17</v>
      </c>
    </row>
    <row r="16" ht="65" customHeight="1">
      <c r="A16" s="4" t="str">
        <v>MCM2007U</v>
      </c>
      <c r="B16" s="4" t="str">
        <v>ユーザー契約内容変更（2画面）</v>
      </c>
      <c r="C16" s="4" t="str">
        <v>共有単体版に未収録</v>
      </c>
      <c r="D16" s="4" t="str">
        <v>INT04-02, INT04-03, INT04-04, INT04-05, INT04-06, INT04-07, INT04-08, INT04-09, INT04-16, INT05-07, INT09-06, INT09-17, INT09-18, INT09-19, INT09-28, INT04-18, INT04-19, INT04-23, INT04-24, INT04-25</v>
      </c>
      <c r="E16" s="4" t="str">
        <v>正常系 / 仕様照合 / 権限連携 / 排他 / セッション</v>
      </c>
      <c r="F16" s="4" t="str">
        <v>表示・書式・入力項目単独チェックは単体工程。本共有版には単体ケースなし。別版があれば重複再照合。</v>
      </c>
      <c r="G16" s="4" t="str">
        <v>Q01 / Q10 / Q13</v>
      </c>
    </row>
    <row r="17" ht="99" customHeight="1">
      <c r="A17" s="4" t="str">
        <v>MCM3002U</v>
      </c>
      <c r="B17" s="4" t="str">
        <v>支払い明細出力指示</v>
      </c>
      <c r="C17" s="4" t="str">
        <v>共有単体版に未収録</v>
      </c>
      <c r="D17" s="4" t="str">
        <v>INT01-08, INT01-15, INT01-16, INT02-05, INT03-05, INT03-13, INT04-13, INT05-11, INT05-13, INT05-14, INT05-16, INT06-01, INT06-02, INT06-03, INT06-04, INT06-05, INT06-07, INT06-08, INT06-09, INT06-10, INT06-11, INT07-01, INT07-11, INT07-12, INT07-13, INT04-17, INT04-21, INT05-18, INT06-12, INT06-13, INT07-14, INT07-15</v>
      </c>
      <c r="E17" s="4" t="str">
        <v>正常系 / 異常系</v>
      </c>
      <c r="F17" s="4" t="str">
        <v>表示・書式・入力項目単独チェックは単体工程。本共有版には単体ケースなし。別版があれば重複再照合。</v>
      </c>
      <c r="G17" s="4" t="str">
        <v>Q04 / Q10 / Q11 / Q16</v>
      </c>
    </row>
    <row r="18" ht="65" customHeight="1">
      <c r="A18" s="4" t="str">
        <v>MCM3003U</v>
      </c>
      <c r="B18" s="4" t="str">
        <v>保守点検</v>
      </c>
      <c r="C18" s="4" t="str">
        <v>共有単体版に未収録</v>
      </c>
      <c r="D18" s="4" t="str">
        <v>INT01-16, INT02-05, INT07-01, INT07-02, INT07-03, INT07-04, INT07-05, INT07-06, INT07-07, INT07-08, INT07-09, INT07-10, INT07-11, INT07-12, INT07-13, INT07-14, INT07-15, INT01-29</v>
      </c>
      <c r="E18" s="4" t="str">
        <v>正常系 / 更新連携</v>
      </c>
      <c r="F18" s="4" t="str">
        <v>表示・書式・入力項目単独チェックは単体工程。本共有版には単体ケースなし。別版があれば重複再照合。</v>
      </c>
      <c r="G18" s="4" t="str">
        <v>Q04 / Q10 / Q16</v>
      </c>
    </row>
    <row r="19" ht="133" customHeight="1">
      <c r="A19" s="4" t="str">
        <v>MCM3004U</v>
      </c>
      <c r="B19" s="4" t="str">
        <v>作業予定一覧（9タブ）</v>
      </c>
      <c r="C19" s="4" t="str">
        <v>共有単体版に未収録</v>
      </c>
      <c r="D19" s="4" t="str">
        <v>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v>
      </c>
      <c r="E19" s="4" t="str">
        <v>正常系 / 異常系 / 権限連携 / 性能連携</v>
      </c>
      <c r="F19" s="4" t="str">
        <v>表示・書式・入力項目単独チェックは単体工程。本共有版には単体ケースなし。別版があれば重複再照合。</v>
      </c>
      <c r="G19" s="4" t="str">
        <v>Q09 / Q10 / Q16</v>
      </c>
    </row>
    <row r="20" ht="116" customHeight="1">
      <c r="A20" s="4" t="str">
        <v>MCM3005U</v>
      </c>
      <c r="B20" s="4" t="str">
        <v>作業予定登録</v>
      </c>
      <c r="C20" s="4" t="str">
        <v>共有単体版に未収録</v>
      </c>
      <c r="D20" s="4" t="str">
        <v>INT06-01, INT06-02, INT06-04, INT06-05, INT06-09, INT06-10, INT08-07, INT08-16, INT08-17, INT08-18, INT08-19, INT08-20, INT08-21, INT09-11, INT09-16, INT09-20, INT09-21, INT09-22, INT09-23, INT09-24, INT09-25, INT09-26, INT06-12, INT06-13, INT08-23, INT08-24, INT08-25, INT08-26, INT08-27, INT08-28, INT08-29, INT08-30, INT08-34, INT09-30, INT09-31</v>
      </c>
      <c r="E20" s="4" t="str">
        <v>正常系 / 異常系 / 権限連携 / 排他 / セッション / 環境連携</v>
      </c>
      <c r="F20" s="4" t="str">
        <v>表示・書式・入力項目単独チェックは単体工程。本共有版には単体ケースなし。別版があれば重複再照合。</v>
      </c>
      <c r="G20" s="4" t="str">
        <v>Q02 / Q08 / Q10</v>
      </c>
    </row>
    <row r="21" ht="82" customHeight="1">
      <c r="A21" s="4" t="str">
        <v>MCM3007U</v>
      </c>
      <c r="B21" s="4" t="str">
        <v>契約・解約製番検索</v>
      </c>
      <c r="C21" s="4" t="str">
        <v>共有単体版に未収録</v>
      </c>
      <c r="D21" s="4" t="str">
        <v>INT03-04, INT03-05, INT03-06, INT03-07, INT03-08, INT03-12, INT03-13, INT03-14, INT03-15, INT03-16, INT05-01, INT05-02, INT05-03, INT05-04, INT05-05, INT05-06, INT05-07, INT05-08, INT05-09, INT05-10, INT05-11, INT05-12, INT09-06, INT09-07, INT09-27</v>
      </c>
      <c r="E21" s="4" t="str">
        <v>正常系 / 異常系 / 排他 / 権限連携 / 性能連携</v>
      </c>
      <c r="F21" s="4" t="str">
        <v>表示・書式・入力項目単独チェックは単体工程。本共有版には単体ケースなし。別版があれば重複再照合。</v>
      </c>
      <c r="G21" s="4" t="str">
        <v>Q09 / Q10</v>
      </c>
    </row>
    <row r="22" ht="65" customHeight="1">
      <c r="A22" s="4" t="str">
        <v>MCM3008U</v>
      </c>
      <c r="B22" s="4" t="str">
        <v>製番登録確認</v>
      </c>
      <c r="C22" s="4" t="str">
        <v>共有単体版に未収録</v>
      </c>
      <c r="D22" s="4" t="str">
        <v>INT04-12, INT04-13, INT05-13, INT05-14, INT05-15, INT05-16, INT05-17, INT06-07, INT06-11, INT08-06, INT04-17, INT04-21, INT05-18, INT05-19</v>
      </c>
      <c r="E22" s="4" t="str">
        <v>正常系 / 排他 / 異常系</v>
      </c>
      <c r="F22" s="4" t="str">
        <v>表示・書式・入力項目単独チェックは単体工程。本共有版には単体ケースなし。別版があれば重複再照合。</v>
      </c>
      <c r="G22" s="4" t="str">
        <v>Q06 / Q10 / Q14</v>
      </c>
    </row>
  </sheetData>
  <mergeCells>
    <mergeCell ref="A1:G1"/>
    <mergeCell ref="A2:G2"/>
    <mergeCell ref="A3:G3"/>
    <mergeCell ref="A4:G4"/>
  </mergeCells>
  <pageMargins left="0.3" right="0.3" top="0.4" bottom="0.4" header="0.2" footer="0.2"/>
  <pageSetup orientation="landscape" paperSize="8" scale="100" fitToWidth="0" fitToHeight="0"/>
</worksheet>
</file>

<file path=xl/worksheets/sheet3.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結合テスト仕様書｜取引先契約内容・機器設定</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COUNTA(A10:A39)</f>
        <v>30</v>
      </c>
      <c r="C6" s="9" t="str">
        <v>対象外件数</v>
      </c>
      <c r="D6" s="9" t="n">
        <f>COUNTIF(P10:P39,"対象外")</f>
        <v>0</v>
      </c>
      <c r="E6" s="9" t="str">
        <v>実テスト件数</v>
      </c>
      <c r="F6" s="9" t="n">
        <f>B6-D6</f>
        <v>30</v>
      </c>
      <c r="G6" s="9" t="str">
        <v>完了件数OK</v>
      </c>
      <c r="H6" s="9" t="n">
        <f>COUNTIF(P10:P39,"OK")</f>
        <v>0</v>
      </c>
      <c r="I6" s="9" t="str">
        <v>NG件数</v>
      </c>
      <c r="J6" s="9" t="n">
        <f>COUNTIF(P10:P39,"NG")</f>
        <v>0</v>
      </c>
      <c r="K6" s="9" t="str">
        <v>保留</v>
      </c>
      <c r="L6" s="9" t="n">
        <f>MAX(0,F6-H6-J6)</f>
        <v>30</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99" customHeight="1">
      <c r="A10" s="15" t="str">
        <v>INT01-01</v>
      </c>
      <c r="B10" s="15" t="str">
        <v>正常系</v>
      </c>
      <c r="C10" s="4" t="str">
        <v>検索行の契約キーと履歴期間の一致</v>
      </c>
      <c r="D10" s="4" t="str">
        <v>1003U→1005U</v>
      </c>
      <c r="E10" s="4" t="str">
        <v>D00共通
D01。似た契約NOの別契約を含む検索結果。複数期間を持つ。</v>
      </c>
      <c r="F10" s="4" t="str">
        <v>手順1：1003Uで対象行を開く。
手順2：契約ID・期間IDを記録し、別期間を開いてDBの同じキーと照合する。</v>
      </c>
      <c r="G10" s="4" t="str">
        <v>選択した契約の期間・取引先・プラント・機器が一貫して同じキーを参照し、隣の契約や別期間の内容が混入しない。</v>
      </c>
      <c r="H10" s="4" t="str">
        <v>－（表示文言のみの確認は単体に委ねる）</v>
      </c>
      <c r="I10" s="16"/>
      <c r="J10" s="13"/>
      <c r="K10" s="14"/>
      <c r="L10" s="13"/>
      <c r="M10" s="16"/>
      <c r="N10" s="13"/>
      <c r="O10" s="14"/>
      <c r="P10" s="15" t="str">
        <f>IF(I10="","未実施",IF(M10="",I10,M10))</f>
        <v>未実施</v>
      </c>
      <c r="Q10" s="4" t="str">
        <v>関連単体：1005-1
単体の表示・単独操作ではなく、期待結果の連携部分を追加判定。
根拠：R1005</v>
      </c>
    </row>
    <row r="11" ht="116" customHeight="1">
      <c r="A11" s="15" t="str">
        <v>INT01-02</v>
      </c>
      <c r="B11" s="15" t="str">
        <v>正常系</v>
      </c>
      <c r="C11" s="4" t="str">
        <v>見積から新規契約を作成し検索へ反映</v>
      </c>
      <c r="D11" s="4" t="str">
        <v>1003U→1006U1/U2→1005U→1003U</v>
      </c>
      <c r="E11" s="4" t="str">
        <v>D00共通
D02。作成権限A。契約未作成の見積。</v>
      </c>
      <c r="F11" s="4" t="str">
        <v>手順1：見積行の契約作成から進み、構成・明細・個体を選び摘要、1005Uで登録。
手順2：1003Uを同条件で再検索し契約を開く。</v>
      </c>
      <c r="G11" s="4" t="str">
        <v>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v>
      </c>
      <c r="H11" s="4" t="str">
        <v>－（表示文言のみの確認は単体に委ねる）</v>
      </c>
      <c r="I11" s="16"/>
      <c r="J11" s="13"/>
      <c r="K11" s="14"/>
      <c r="L11" s="13"/>
      <c r="M11" s="16"/>
      <c r="N11" s="13"/>
      <c r="O11" s="14"/>
      <c r="P11" s="15" t="str">
        <f>IF(I11="","未実施",IF(M11="",I11,M11))</f>
        <v>未実施</v>
      </c>
      <c r="Q11" s="4" t="str">
        <v>関連単体：1005-17, 1006-1, 1006-2, 1006-24
単体の表示・単独操作ではなく、期待結果の連携部分を追加判定。
根拠：R1006 / R1005</v>
      </c>
    </row>
    <row r="12" ht="150" customHeight="1">
      <c r="A12" s="15" t="str">
        <v>INT01-03</v>
      </c>
      <c r="B12" s="15" t="str">
        <v>正常系</v>
      </c>
      <c r="C12" s="4" t="str">
        <v>複数見積の選定と契約への集約</v>
      </c>
      <c r="D12" s="4" t="str">
        <v>1006U1/U2→1005U</v>
      </c>
      <c r="E12" s="4" t="str">
        <v>D00共通
D02。異なる見積NO・単価を持つ2見積、共通プラント。 同じ明細に複数単価、保守条件の異なる単価を準備し、VBの並び順と先頭単価を記録する。</v>
      </c>
      <c r="F12" s="4" t="str">
        <v>手順1：2見積を選択して次へ。
手順2：各見積の対象個体を摘要、登録後に契約機器・単価を元見積と照合する。
手順3： 明細金額・標準価格・仕切価格を単価別の保存値から照合し、保守表示の採用元も確認する。</v>
      </c>
      <c r="G12" s="4" t="str">
        <v>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v>
      </c>
      <c r="H12" s="4" t="str">
        <v>－（表示文言のみの確認は単体に委ねる）</v>
      </c>
      <c r="I12" s="16"/>
      <c r="J12" s="13"/>
      <c r="K12" s="14"/>
      <c r="L12" s="13"/>
      <c r="M12" s="16"/>
      <c r="N12" s="13"/>
      <c r="O12" s="14"/>
      <c r="P12" s="15" t="str">
        <f>IF(I12="","未実施",IF(M12="",I12,M12))</f>
        <v>未実施</v>
      </c>
      <c r="Q12" s="4" t="str">
        <v>関連単体：1006-12, 1006-13, 1006-24
単体の表示・単独操作ではなく、期待結果の連携部分を追加判定。
根拠：R1006 / R1005</v>
      </c>
    </row>
    <row r="13" ht="116" customHeight="1">
      <c r="A13" s="15" t="str">
        <v>INT01-04</v>
      </c>
      <c r="B13" s="15" t="str">
        <v>正常系</v>
      </c>
      <c r="C13" s="4" t="str">
        <v>下位個体の除外が保存数量と帳票に反映</v>
      </c>
      <c r="D13" s="4" t="str">
        <v>1006U2→1005U→1003P</v>
      </c>
      <c r="E13" s="4" t="str">
        <v>D00共通
D02。同一明細に数量の異なる個体2件以上。</v>
      </c>
      <c r="F13" s="4" t="str">
        <v>手順1：個体の一部だけ契約有無をONにして摘要、登録・契約発行。
手順2：契約明細・単価数量・帳票を選定個体合計と照合する。</v>
      </c>
      <c r="G13" s="4" t="str">
        <v>契約明細と単価の数量が採用個体の数量合計と一致し、除外個体が帳票の数量・金額に加算されない。</v>
      </c>
      <c r="H13" s="4" t="str">
        <v>－（表示文言のみの確認は単体に委ねる）</v>
      </c>
      <c r="I13" s="16"/>
      <c r="J13" s="13"/>
      <c r="K13" s="14"/>
      <c r="L13" s="13"/>
      <c r="M13" s="16"/>
      <c r="N13" s="13"/>
      <c r="O13" s="14"/>
      <c r="P13" s="15" t="str">
        <f>IF(I13="","未実施",IF(M13="",I13,M13))</f>
        <v>未実施</v>
      </c>
      <c r="Q13" s="4" t="str">
        <v>関連単体：1006-18, 1006-19, 1006-20, 1006-21, 1006-24
単体の表示・単独操作ではなく、期待結果の連携部分を追加判定。
根拠：R1006 / R1005</v>
      </c>
    </row>
    <row r="14" ht="116" customHeight="1">
      <c r="A14" s="15" t="str">
        <v>INT01-05</v>
      </c>
      <c r="B14" s="15" t="str">
        <v>正常系</v>
      </c>
      <c r="C14" s="4" t="str">
        <v>未選定見積の構成が契約に混入しない</v>
      </c>
      <c r="D14" s="4" t="str">
        <v>1006U1/U2→1005U</v>
      </c>
      <c r="E14" s="4" t="str">
        <v>D00共通
D02。前画面で選ばない見積に同名機器がある。</v>
      </c>
      <c r="F14" s="4" t="str">
        <v>手順1：見積を1件だけ選び、2画面目で対象構成を摘要して登録する。
手順2：契約の個体ID一覧と選択元を照合する。</v>
      </c>
      <c r="G14" s="4" t="str">
        <v>画面に見えていても前画面の未選定見積に属する構成・明細・個体・単価は保存されない。</v>
      </c>
      <c r="H14" s="4" t="str">
        <v>－（表示文言のみの確認は単体に委ねる）</v>
      </c>
      <c r="I14" s="16"/>
      <c r="J14" s="13"/>
      <c r="K14" s="14"/>
      <c r="L14" s="13"/>
      <c r="M14" s="16"/>
      <c r="N14" s="13"/>
      <c r="O14" s="14"/>
      <c r="P14" s="15" t="str">
        <f>IF(I14="","未実施",IF(M14="",I14,M14))</f>
        <v>未実施</v>
      </c>
      <c r="Q14" s="4" t="str">
        <v>関連単体：1006-14, 1006-15, 1006-16, 1006-17
単体の表示・単独操作ではなく、期待結果の連携部分を追加判定。
根拠：R1006 / R1005</v>
      </c>
    </row>
    <row r="15" ht="150" customHeight="1">
      <c r="A15" s="15" t="str">
        <v>INT01-06</v>
      </c>
      <c r="B15" s="15" t="str">
        <v>正常系</v>
      </c>
      <c r="C15" s="4" t="str">
        <v>期間を短縮した選定単価の受け渡し</v>
      </c>
      <c r="D15" s="4" t="str">
        <v>1006U1/U2→1005U→1003P</v>
      </c>
      <c r="E15" s="4" t="str">
        <v>D00共通
D02/D15。出精値引き0。単価の開始側短縮・終了側短縮・期間内包・対象期間外と、元終了日なしを分ける。元金額が元月数で割り切れない比較単価も用意する。</v>
      </c>
      <c r="F15" s="4" t="str">
        <v>手順1：各条件で契約期間を設定し摘要・登録・発行。
手順2：元開始終了月・元月数・余り・対象月数・数量を記録し、採用単価IDと保存・表示・帳票金額を照合する。</v>
      </c>
      <c r="G15" s="4" t="str">
        <v>期間外の単価は採用しない。元終了なしは元月数12、その他は終了翌日までの月差を使う。元金額の余りを除いて月割りし、元開始月が契約開始月以後なら余りを加算する。開始側を切り詰めた場合と区別し、余りの存在だけでエラーにしない。保存・期間表示・帳票が同じ採用単価と金額になる。</v>
      </c>
      <c r="H15" s="4" t="str">
        <v>－（表示文言のみの確認は単体に委ねる）</v>
      </c>
      <c r="I15" s="16"/>
      <c r="J15" s="13"/>
      <c r="K15" s="14"/>
      <c r="L15" s="13"/>
      <c r="M15" s="16"/>
      <c r="N15" s="13"/>
      <c r="O15" s="14"/>
      <c r="P15" s="15" t="str">
        <f>IF(I15="","未実施",IF(M15="",I15,M15))</f>
        <v>未実施</v>
      </c>
      <c r="Q15" s="4" t="str">
        <v>関連単体：1006-9, 1006-11, 1006-24
単体の表示・単独操作ではなく、期待結果の連携部分を追加判定。
根拠：R1006/R1005 setTankaKin・GetYYYYMM、VB1006-08/VB1005-25</v>
      </c>
    </row>
    <row r="16" ht="116" customHeight="1">
      <c r="A16" s="15" t="str">
        <v>INT01-07</v>
      </c>
      <c r="B16" s="15" t="str">
        <v>正常系</v>
      </c>
      <c r="C16" s="4" t="str">
        <v>未承認の未来期間を同日開始で変更</v>
      </c>
      <c r="D16" s="4" t="str">
        <v>1005U→1006U→1005U</v>
      </c>
      <c r="E16" s="4" t="str">
        <v>D00共通
D01/D15。開始日が実行日より後、承認済み添付がない最新の未来期間。出精値引き0。</v>
      </c>
      <c r="F16" s="4" t="str">
        <v>手順1：変更摘要開始日を元開始日と同じにし、機器を入れ替えて摘要・登録。
手順2：履歴と期間IDを再確認する。</v>
      </c>
      <c r="G16" s="4" t="str">
        <v>未承認の未来期間を更新し、置換だけのために期間を増やさない。前の有効期間の日付調整と、更新対象の機器・金額が保存される。現在・過去・承認済み未来期間の履歴分岐はINT01-20/21で別判定する。</v>
      </c>
      <c r="H16" s="4" t="str">
        <v>－（表示文言のみの確認は単体に委ねる）</v>
      </c>
      <c r="I16" s="16"/>
      <c r="J16" s="13"/>
      <c r="K16" s="14"/>
      <c r="L16" s="13"/>
      <c r="M16" s="16"/>
      <c r="N16" s="13"/>
      <c r="O16" s="14"/>
      <c r="P16" s="15" t="str">
        <f>IF(I16="","未実施",IF(M16="",I16,M16))</f>
        <v>未実施</v>
      </c>
      <c r="Q16" s="4" t="str">
        <v>関連単体：1006-3, 1006-25
単体の表示・単独操作ではなく、期待結果の連携部分を追加判定。
根拠：R1005 Screen 100～281 / TabControl 1630～1700、R1006</v>
      </c>
    </row>
    <row r="17" ht="99" customHeight="1">
      <c r="A17" s="15" t="str">
        <v>INT01-08</v>
      </c>
      <c r="B17" s="15" t="str">
        <v>正常系</v>
      </c>
      <c r="C17" s="4" t="str">
        <v>期間途中からの変更で履歴を分割</v>
      </c>
      <c r="D17" s="4" t="str">
        <v>1005U→1006U→1005U→3002U</v>
      </c>
      <c r="E17" s="4" t="str">
        <v>D00共通
D01。最新期間の途中に変更日を置ける。D07の支払条件も準備。</v>
      </c>
      <c r="F17" s="4" t="str">
        <v>手順1：期間途中の日を指定して変更・摘要・登録。
手順2：旧新期間を開き、変更月前後の支払い抽出を行う。</v>
      </c>
      <c r="G17" s="4" t="str">
        <v>旧期間終了日が新開始日の前日となり、新旧期間に重複・空白がない。変更前の履歴機器と変更後の機器・単価を、それぞれの月で利用する。</v>
      </c>
      <c r="H17" s="4" t="str">
        <v>－（表示文言のみの確認は単体に委ねる）</v>
      </c>
      <c r="I17" s="16"/>
      <c r="J17" s="13"/>
      <c r="K17" s="14"/>
      <c r="L17" s="13"/>
      <c r="M17" s="16"/>
      <c r="N17" s="13"/>
      <c r="O17" s="14"/>
      <c r="P17" s="15" t="str">
        <f>IF(I17="","未実施",IF(M17="",I17,M17))</f>
        <v>未実施</v>
      </c>
      <c r="Q17" s="4" t="str">
        <v>関連単体：1006-3, 1006-25
単体の表示・単独操作ではなく、期待結果の連携部分を追加判定。
根拠：R1005 / R1006 / R3002</v>
      </c>
    </row>
    <row r="18" ht="99" customHeight="1">
      <c r="A18" s="15" t="str">
        <v>INT01-09</v>
      </c>
      <c r="B18" s="15" t="str">
        <v>正常系</v>
      </c>
      <c r="C18" s="4" t="str">
        <v>期間末日の翌日から更新期間を追加</v>
      </c>
      <c r="D18" s="4" t="str">
        <v>1005U→1006U→1005U</v>
      </c>
      <c r="E18" s="4" t="str">
        <v>D00共通
D01。最新期間。変更可能範囲に終了翌日が含まれる。</v>
      </c>
      <c r="F18" s="4" t="str">
        <v>手順1：終了翌日を変更摘要開始日として次期機器を選定・登録し、全期間と次回更新日を照合する。</v>
      </c>
      <c r="G18" s="4" t="str">
        <v>既存期間は維持され、翌日開始の期間が1件追加される。次回更新日が最新終了日の翌日を示し、期間が重複しない。</v>
      </c>
      <c r="H18" s="4" t="str">
        <v>－（表示文言のみの確認は単体に委ねる）</v>
      </c>
      <c r="I18" s="16"/>
      <c r="J18" s="13"/>
      <c r="K18" s="14"/>
      <c r="L18" s="13"/>
      <c r="M18" s="16"/>
      <c r="N18" s="13"/>
      <c r="O18" s="14"/>
      <c r="P18" s="15" t="str">
        <f>IF(I18="","未実施",IF(M18="",I18,M18))</f>
        <v>未実施</v>
      </c>
      <c r="Q18" s="4" t="str">
        <v>関連単体：1006-25
単体の表示・単独操作ではなく、期待結果の連携部分を追加判定。
根拠：R1005 / R1006</v>
      </c>
    </row>
    <row r="19" ht="99" customHeight="1">
      <c r="A19" s="15" t="str">
        <v>INT01-10</v>
      </c>
      <c r="B19" s="15" t="str">
        <v>正常系</v>
      </c>
      <c r="C19" s="4" t="str">
        <v>変更途中で戻った場合の親データ保護</v>
      </c>
      <c r="D19" s="4" t="str">
        <v>1005U→1006U→1005U</v>
      </c>
      <c r="E19" s="4" t="str">
        <v>D00共通
D01。親画面に未登録の備考を入力。</v>
      </c>
      <c r="F19" s="4" t="str">
        <v>手順1：変更へ進み選定内容を変える。
手順2：摘要せず閉じる／戻る。
手順3：親内容とDBを比較する。</v>
      </c>
      <c r="G19" s="4" t="str">
        <v>機器変更案は保存されず、元の契約・期間・選定内容がDBに残る。親に保持すべき入力が他契約の入力で置き換わらない。</v>
      </c>
      <c r="H19" s="4" t="str">
        <v>－（表示文言のみの確認は単体に委ねる）</v>
      </c>
      <c r="I19" s="16"/>
      <c r="J19" s="13"/>
      <c r="K19" s="14"/>
      <c r="L19" s="13"/>
      <c r="M19" s="16"/>
      <c r="N19" s="13"/>
      <c r="O19" s="14"/>
      <c r="P19" s="15" t="str">
        <f>IF(I19="","未実施",IF(M19="",I19,M19))</f>
        <v>未実施</v>
      </c>
      <c r="Q19" s="4" t="str">
        <v>関連単体：1006-22, 1006-25
単体の表示・単独操作ではなく、期待結果の連携部分を追加判定。
根拠：R1005 / R1006</v>
      </c>
    </row>
    <row r="20" ht="99" customHeight="1">
      <c r="A20" s="15" t="str">
        <v>INT01-11</v>
      </c>
      <c r="B20" s="15" t="str">
        <v>正常系</v>
      </c>
      <c r="C20" s="4" t="str">
        <v>選定を戻って変更した後は最終案だけ保存</v>
      </c>
      <c r="D20" s="4" t="str">
        <v>1006U1/U2→1005U</v>
      </c>
      <c r="E20" s="4" t="str">
        <v>D00共通
D02。2見積。</v>
      </c>
      <c r="F20" s="4" t="str">
        <v>手順1：1つ目の案で2画面目へ進む。
手順2：前へ戻り別見積を選び直し、摘要・登録する。</v>
      </c>
      <c r="G20" s="4" t="str">
        <v>前へ戻る以前の構成・個体・単価が残留せず、最後に摘要した案だけがDBと再表示の契約に反映される。</v>
      </c>
      <c r="H20" s="4" t="str">
        <v>－（表示文言のみの確認は単体に委ねる）</v>
      </c>
      <c r="I20" s="16"/>
      <c r="J20" s="13"/>
      <c r="K20" s="14"/>
      <c r="L20" s="13"/>
      <c r="M20" s="16"/>
      <c r="N20" s="13"/>
      <c r="O20" s="14"/>
      <c r="P20" s="15" t="str">
        <f>IF(I20="","未実施",IF(M20="",I20,M20))</f>
        <v>未実施</v>
      </c>
      <c r="Q20" s="4" t="str">
        <v>関連単体：1006-22, 1006-24
単体の表示・単独操作ではなく、期待結果の連携部分を追加判定。
根拠：R1006 / R1005</v>
      </c>
    </row>
    <row r="21" ht="99" customHeight="1">
      <c r="A21" s="15" t="str">
        <v>INT01-12</v>
      </c>
      <c r="B21" s="15" t="str">
        <v>正常系</v>
      </c>
      <c r="C21" s="4" t="str">
        <v>未登録の新規選定を終了した際の孤立データ防止</v>
      </c>
      <c r="D21" s="4" t="str">
        <v>1006U→1005U→1003U</v>
      </c>
      <c r="E21" s="4" t="str">
        <v>D00共通
D02。新規契約。事前に該当見積の契約件数を記録。</v>
      </c>
      <c r="F21" s="4" t="str">
        <v>手順1：摘要で1005Uへ進み、登録せず閉じる。
手順2：1003Uを再検索し契約・期間件数を照合する。</v>
      </c>
      <c r="G21" s="4" t="str">
        <v>摘要だけでは契約が確定せず、検索結果に新規契約や孤立期間・機器が増えない。</v>
      </c>
      <c r="H21" s="4" t="str">
        <v>－（表示文言のみの確認は単体に委ねる）</v>
      </c>
      <c r="I21" s="16"/>
      <c r="J21" s="13"/>
      <c r="K21" s="14"/>
      <c r="L21" s="13"/>
      <c r="M21" s="16"/>
      <c r="N21" s="13"/>
      <c r="O21" s="14"/>
      <c r="P21" s="15" t="str">
        <f>IF(I21="","未実施",IF(M21="",I21,M21))</f>
        <v>未実施</v>
      </c>
      <c r="Q21" s="4" t="str">
        <v>関連単体：1006-24
単体の表示・単独操作ではなく、期待結果の連携部分を追加判定。
根拠：R1006 / R1005</v>
      </c>
    </row>
    <row r="22" ht="99" customHeight="1">
      <c r="A22" s="15" t="str">
        <v>INT01-13</v>
      </c>
      <c r="B22" s="15" t="str">
        <v>正常系</v>
      </c>
      <c r="C22" s="4" t="str">
        <v>未保存の変更を契約発行前に保存</v>
      </c>
      <c r="D22" s="4" t="str">
        <v>1005U→1003P→1003U</v>
      </c>
      <c r="E22" s="4" t="str">
        <v>D00共通
D01。編集可能な期間。帳票に出る契約内容を変更。</v>
      </c>
      <c r="F22" s="4" t="str">
        <v>手順1：登録を単独で押さず契約発行を押し、保存確認を承認する。
手順2：出力と再検索後の契約を照合する。</v>
      </c>
      <c r="G22" s="4" t="str">
        <v>保存した変更内容を帳票が使用し、発行だけ古い値にならない。対象期間が別タブへずれず、DBと帳票が一致する。</v>
      </c>
      <c r="H22" s="4" t="str">
        <v>－（表示文言のみの確認は単体に委ねる）</v>
      </c>
      <c r="I22" s="16"/>
      <c r="J22" s="13"/>
      <c r="K22" s="14"/>
      <c r="L22" s="13"/>
      <c r="M22" s="16"/>
      <c r="N22" s="13"/>
      <c r="O22" s="14"/>
      <c r="P22" s="15" t="str">
        <f>IF(I22="","未実施",IF(M22="",I22,M22))</f>
        <v>未実施</v>
      </c>
      <c r="Q22" s="4" t="str">
        <v>関連単体：1005-17, 1005-23
単体の表示・単独操作ではなく、期待結果の連携部分を追加判定。
根拠：R1005</v>
      </c>
    </row>
    <row r="23" ht="201" customHeight="1">
      <c r="A23" s="15" t="str">
        <v>INT01-14</v>
      </c>
      <c r="B23" s="15" t="str">
        <v>正常系</v>
      </c>
      <c r="C23" s="4" t="str">
        <v>帳票に新規・増減・継続機器を出し分け</v>
      </c>
      <c r="D23" s="4" t="str">
        <v>1005U→1003P</v>
      </c>
      <c r="E23" s="4" t="str">
        <v>D00共通
D01/D02。前期間との差に追加・削除・数量増減・継続を各1件持たせる。 継続機器には名称・セット数・手配製番・数量の変更を持たせる。個体の日付は空と入力済みを区別する。点検の追加削除はINT01-29へ分担。 ON点検月、異なる元見積NO・同じ手配製番の重複・空の手配製番を準備。</v>
      </c>
      <c r="F23" s="4" t="str">
        <v>手順1：各条件の契約を登録して対象期間の契約発行を行い、旧新機器と帳票を照合する。
手順2： 保存後の構成・明細・個体・単価も旧新チェックの差分と照合する。</v>
      </c>
      <c r="G23" s="4" t="str">
        <v>新規は契約、追加・削除・継続はVBの区分と数量に一致し、同じ個体の二重計上や削除分の契約金額への加算がない。 OFF→ONは正しい親へ追加、ON→OFFは対象だけ解除、ON→ONはVBが変更する属性・数量を更新する。数量変更後の単価合計と帳票は保存値に一致し、元の契約履歴へ変更を漏らさない。 帳票の点検回数・ON月と、重複を除いた元見積NO・空白を除いた手配製番の連結が保存対象に一致する。</v>
      </c>
      <c r="H23" s="4" t="str">
        <v>－（表示文言のみの確認は単体に委ねる）</v>
      </c>
      <c r="I23" s="16"/>
      <c r="J23" s="13"/>
      <c r="K23" s="14"/>
      <c r="L23" s="13"/>
      <c r="M23" s="16"/>
      <c r="N23" s="13"/>
      <c r="O23" s="14"/>
      <c r="P23" s="15" t="str">
        <f>IF(I23="","未実施",IF(M23="",I23,M23))</f>
        <v>未実施</v>
      </c>
      <c r="Q23" s="4" t="str">
        <v>関連単体：1005-23
単体の表示・単独操作ではなく、期待結果の連携部分を追加判定。
根拠：R1005 、VB1005-21/23/24</v>
      </c>
    </row>
    <row r="24" ht="150" customHeight="1">
      <c r="A24" s="15" t="str">
        <v>INT01-15</v>
      </c>
      <c r="B24" s="15" t="str">
        <v>正常系</v>
      </c>
      <c r="C24" s="4" t="str">
        <v>解約日を登録した契約発行の内容</v>
      </c>
      <c r="D24" s="4" t="str">
        <v>1005U→1003P→3002U</v>
      </c>
      <c r="E24" s="4" t="str">
        <v>D00共通
D01。承認済み添付を持つ契約。合意済みの解約手順で解約日を設定。</v>
      </c>
      <c r="F24" s="4" t="str">
        <v>手順1：解約日を保存して契約発行し、支払対象月を解約日前後で照合する。</v>
      </c>
      <c r="G24" s="4" t="str">
        <v>解約帳票は対象契約・期間・解約日・機器を使用する。解約後の対象外支払月が抽出されず、解約前の履歴を勝手に消さない。</v>
      </c>
      <c r="H24" s="4" t="str">
        <v>－（表示文言のみの確認は単体に委ねる）</v>
      </c>
      <c r="I24" s="16"/>
      <c r="J24" s="13"/>
      <c r="K24" s="14"/>
      <c r="L24" s="13"/>
      <c r="M24" s="16"/>
      <c r="N24" s="13"/>
      <c r="O24" s="14"/>
      <c r="P24" s="15" t="str">
        <f>IF(I24="","未実施",IF(M24="",I24,M24))</f>
        <v>未実施</v>
      </c>
      <c r="Q24" s="4" t="str">
        <v>関連単体：1005-3, 1005-23, 1005-24
単体の表示・単独操作ではなく、期待結果の連携部分を追加判定。
根拠：R1005 / R3002
実施前にQ04の条件・期待を確認。</v>
      </c>
    </row>
    <row r="25" ht="116" customHeight="1">
      <c r="A25" s="15" t="str">
        <v>INT01-16</v>
      </c>
      <c r="B25" s="15" t="str">
        <v>正常系</v>
      </c>
      <c r="C25" s="4" t="str">
        <v>契約日程変更が点検と支払い予定に反映</v>
      </c>
      <c r="D25" s="4" t="str">
        <v>1005U→3002U/3003U</v>
      </c>
      <c r="E25" s="4" t="str">
        <v>D00共通
D01/D07/D08。編集可能な最新期間、変更前後に点検・支払月を持つ。</v>
      </c>
      <c r="F25" s="4" t="str">
        <v>手順1：期間変更を登録し、対象月の支払い・点検を再検索する。
手順2：期間ID・各予定月を旧値と比較する。</v>
      </c>
      <c r="G25" s="4" t="str">
        <v>登録した期間と予定月の組が各出力に反映され、前期間の予定や期間外の予定が新期間のデータとして混入しない。</v>
      </c>
      <c r="H25" s="4" t="str">
        <v>－（表示文言のみの確認は単体に委ねる）</v>
      </c>
      <c r="I25" s="16"/>
      <c r="J25" s="13"/>
      <c r="K25" s="14"/>
      <c r="L25" s="13"/>
      <c r="M25" s="16"/>
      <c r="N25" s="13"/>
      <c r="O25" s="14"/>
      <c r="P25" s="15" t="str">
        <f>IF(I25="","未実施",IF(M25="",I25,M25))</f>
        <v>未実施</v>
      </c>
      <c r="Q25" s="4" t="str">
        <v>関連単体：1005-13, 1005-14, 1005-15
単体の表示・単独操作ではなく、期待結果の連携部分を追加判定。
根拠：R1005 / R3002 / R3003</v>
      </c>
    </row>
    <row r="26" ht="116" customHeight="1">
      <c r="A26" s="15" t="str">
        <v>INT01-17</v>
      </c>
      <c r="B26" s="15" t="str">
        <v>正常系</v>
      </c>
      <c r="C26" s="4" t="str">
        <v>期間を切り替えても添付と帳票のキーが一致</v>
      </c>
      <c r="D26" s="4" t="str">
        <v>1005U→1003P/添付</v>
      </c>
      <c r="E26" s="4" t="str">
        <v>D00共通
D01/D06。過去・最新期間それぞれ異なる添付。</v>
      </c>
      <c r="F26" s="4" t="str">
        <v>手順1：過去→最新の順に期間を切り替え、各添付を開き、発行可能な期間で契約発行する。</v>
      </c>
      <c r="G26" s="4" t="str">
        <v>各添付は選択期間所属のファイルを返し、帳票も指定した期間を用いる。他期間の資料・機器・金額が混在しない。 契約NO変更が全期間の保持値へ同期し、選択期間の終了日表示と発行対象が一致する。</v>
      </c>
      <c r="H26" s="4" t="str">
        <v>－（表示文言のみの確認は単体に委ねる）</v>
      </c>
      <c r="I26" s="16"/>
      <c r="J26" s="13"/>
      <c r="K26" s="14"/>
      <c r="L26" s="13"/>
      <c r="M26" s="16"/>
      <c r="N26" s="13"/>
      <c r="O26" s="14"/>
      <c r="P26" s="15" t="str">
        <f>IF(I26="","未実施",IF(M26="",I26,M26))</f>
        <v>未実施</v>
      </c>
      <c r="Q26" s="4" t="str">
        <v>関連単体：1005-19, 1005-23
単体の表示・単独操作ではなく、期待結果の連携部分を追加判定。
根拠：R1005 、VB1005-29</v>
      </c>
    </row>
    <row r="27" ht="116" customHeight="1">
      <c r="A27" s="15" t="str">
        <v>INT01-18</v>
      </c>
      <c r="B27" s="15" t="str">
        <v>仕様照合</v>
      </c>
      <c r="C27" s="4" t="str">
        <v>重複機器で次画面・親契約への反映を中止</v>
      </c>
      <c r="D27" s="4" t="str">
        <v>1006U1/U2→1005U</v>
      </c>
      <c r="E27" s="4" t="str">
        <v>D00共通
D02。同一個体を含む複数見積。親契約の機器・数量とDB件数を処理前に記録する。</v>
      </c>
      <c r="F27" s="4" t="str">
        <v>手順1：同一機器が重複する見積を選択して次へを押す。
手順2：通知後の画面、親契約とDB件数を照合する。</v>
      </c>
      <c r="G27" s="4" t="str">
        <v>MSG_0038Eの通知は共通処理の例外で中止する。2画面目へ進まず、親契約の機器・数量・単価とDBを変更しない。警告後に続行することを期待結果にしない。</v>
      </c>
      <c r="H27" s="4" t="str">
        <v>－（表示文言のみの確認は単体に委ねる）</v>
      </c>
      <c r="I27" s="16"/>
      <c r="J27" s="13"/>
      <c r="K27" s="14"/>
      <c r="L27" s="13"/>
      <c r="M27" s="16"/>
      <c r="N27" s="13"/>
      <c r="O27" s="14"/>
      <c r="P27" s="15" t="str">
        <f>IF(I27="","未実施",IF(M27="",I27,M27))</f>
        <v>未実施</v>
      </c>
      <c r="Q27" s="4" t="str">
        <v>関連単体：1006-8
単体の表示・単独操作ではなく、期待結果の連携部分を追加判定。
根拠：R1006 nextButton_Click、共通C06、VB1006-03</v>
      </c>
    </row>
    <row r="28" ht="116" customHeight="1">
      <c r="A28" s="15" t="str">
        <v>INT01-19</v>
      </c>
      <c r="B28" s="15" t="str">
        <v>仕様照合</v>
      </c>
      <c r="C28" s="4" t="str">
        <v>下位チェック不足で親契約への摘要を中止</v>
      </c>
      <c r="D28" s="4" t="str">
        <v>1006U2→1005U</v>
      </c>
      <c r="E28" s="4" t="str">
        <v>D00共通
D02。構成・明細・個体のいずれかが0件の選定案を各々準備。親契約の処理前内容を記録。</v>
      </c>
      <c r="F28" s="4" t="str">
        <v>手順1：不足条件ごとに摘要を押し、通知後に選定画面と親内容・DB件数を比較する。</v>
      </c>
      <c r="G28" s="4" t="str">
        <v>MSG_0023Eの共通例外で摘要を中止する。親契約へ戻り値を反映せず、元の期間・機器・数量を保持する。新規契約・期間を確定しない。</v>
      </c>
      <c r="H28" s="4" t="str">
        <v>－（表示文言のみの確認は単体に委ねる）</v>
      </c>
      <c r="I28" s="16"/>
      <c r="J28" s="13"/>
      <c r="K28" s="14"/>
      <c r="L28" s="13"/>
      <c r="M28" s="16"/>
      <c r="N28" s="13"/>
      <c r="O28" s="14"/>
      <c r="P28" s="15" t="str">
        <f>IF(I28="","未実施",IF(M28="",I28,M28))</f>
        <v>未実施</v>
      </c>
      <c r="Q28" s="4" t="str">
        <v>関連単体：1006-23
単体の表示・単独操作ではなく、期待結果の連携部分を追加判定。
根拠：R1006 tekiyoButton_Click、共通C06、VB1006-10</v>
      </c>
    </row>
    <row r="29" ht="116" customHeight="1">
      <c r="A29" s="15" t="str">
        <v>INT01-20</v>
      </c>
      <c r="B29" s="15" t="str">
        <v>正常系</v>
      </c>
      <c r="C29" s="4" t="str">
        <v>現在・過去期間の同日変更で無効履歴を保持</v>
      </c>
      <c r="D29" s="4" t="str">
        <v>1005U→1006U→1005U</v>
      </c>
      <c r="E29" s="4" t="str">
        <v>D00共通
D01/D15。現在日を含む最新期間、および過去日の変更可能期間を別契約で準備。</v>
      </c>
      <c r="F29" s="4" t="str">
        <v>手順1：開始日と同日で機器変更・摘要・登録し、元期間IDと新期間ID・機器を開き直して照合する。</v>
      </c>
      <c r="G29" s="4" t="str">
        <v>旧期間は無効の履歴として残り、新たな有効期間が同日開始で追加される。有効期間を二重にしない。元期間の機器・金額を新案で上書きしない。</v>
      </c>
      <c r="H29" s="4" t="str">
        <v>－（表示文言のみの確認は単体に委ねる）</v>
      </c>
      <c r="I29" s="16"/>
      <c r="J29" s="13"/>
      <c r="K29" s="14"/>
      <c r="L29" s="13"/>
      <c r="M29" s="16"/>
      <c r="N29" s="13"/>
      <c r="O29" s="14"/>
      <c r="P29" s="15" t="str">
        <f>IF(I29="","未実施",IF(M29="",I29,M29))</f>
        <v>未実施</v>
      </c>
      <c r="Q29" s="4" t="str">
        <v>関連単体：1006-25
単体の表示・単独操作ではなく、期待結果の連携部分を追加判定。
根拠：R1005 Screen 100～281 / TabControl 1630～1700、R1006</v>
      </c>
    </row>
    <row r="30" ht="133" customHeight="1">
      <c r="A30" s="15" t="str">
        <v>INT01-21</v>
      </c>
      <c r="B30" s="15" t="str">
        <v>正常系</v>
      </c>
      <c r="C30" s="4" t="str">
        <v>承認済み未来期間の変更で履歴と添付を保持</v>
      </c>
      <c r="D30" s="4" t="str">
        <v>1005U→1006U→1005U</v>
      </c>
      <c r="E30" s="4" t="str">
        <v>D00共通
D01/D15。承認済み添付がある未来期間。元開始日と同日、および期間途中の変更を別契約で準備。</v>
      </c>
      <c r="F30" s="4" t="str">
        <v>手順1：両条件で変更・摘要・登録し、旧新期間の有効性・終了日・機器・承認済み資料の所属を照合する。</v>
      </c>
      <c r="G30" s="4" t="str">
        <v>同日変更では旧期間を無効として残し新期間を追加。途中変更では旧終了日を新開始日前日にして新期間を追加する。承認済み資料を新期間の未承認資料へ付け替えない。</v>
      </c>
      <c r="H30" s="4" t="str">
        <v>－（表示文言のみの確認は単体に委ねる）</v>
      </c>
      <c r="I30" s="16"/>
      <c r="J30" s="13"/>
      <c r="K30" s="14"/>
      <c r="L30" s="13"/>
      <c r="M30" s="16"/>
      <c r="N30" s="13"/>
      <c r="O30" s="14"/>
      <c r="P30" s="15" t="str">
        <f>IF(I30="","未実施",IF(M30="",I30,M30))</f>
        <v>未実施</v>
      </c>
      <c r="Q30" s="4" t="str">
        <v>関連単体：1006-25
単体の表示・単独操作ではなく、期待結果の連携部分を追加判定。
根拠：R1005 Screen 100～281 / Service previewSelection、R1006</v>
      </c>
    </row>
    <row r="31" ht="116" customHeight="1">
      <c r="A31" s="15" t="str">
        <v>INT01-22</v>
      </c>
      <c r="B31" s="15" t="str">
        <v>正常系</v>
      </c>
      <c r="C31" s="4" t="str">
        <v>未登録の追加期間を再選定して案を置換</v>
      </c>
      <c r="D31" s="4" t="str">
        <v>1005U→1006U→1005U</v>
      </c>
      <c r="E31" s="4" t="str">
        <v>D00共通
D01/D15。変更摘要で作った新期間をまだ登録していない。</v>
      </c>
      <c r="F31" s="4" t="str">
        <v>手順1：新期間から再度変更し開始日と機器を選び直す。
手順2：摘要・登録し元期間と追加期間の件数・終了日を照合する。</v>
      </c>
      <c r="G31" s="4" t="str">
        <v>未登録案を更新し、追加期間を繰返し増やさない。元期間の終了日・無効状態は最終案に従って再計算され、最初の案の短縮日が残らない。</v>
      </c>
      <c r="H31" s="4" t="str">
        <v>－（表示文言のみの確認は単体に委ねる）</v>
      </c>
      <c r="I31" s="16"/>
      <c r="J31" s="13"/>
      <c r="K31" s="14"/>
      <c r="L31" s="13"/>
      <c r="M31" s="16"/>
      <c r="N31" s="13"/>
      <c r="O31" s="14"/>
      <c r="P31" s="15" t="str">
        <f>IF(I31="","未実施",IF(M31="",I31,M31))</f>
        <v>未実施</v>
      </c>
      <c r="Q31" s="4" t="str">
        <v>関連単体：1006-25
単体の表示・単独操作ではなく、期待結果の連携部分を追加判定。
根拠：R1005 Screen 169～224、R1006</v>
      </c>
    </row>
    <row r="32" ht="150" customHeight="1">
      <c r="A32" s="15" t="str">
        <v>INT01-23</v>
      </c>
      <c r="B32" s="15" t="str">
        <v>正常系</v>
      </c>
      <c r="C32" s="4" t="str">
        <v>一次納入日起算の個体期限が契約登録から反映</v>
      </c>
      <c r="D32" s="4" t="str">
        <v>1005U→0013U/3004U</v>
      </c>
      <c r="E32" s="4" t="str">
        <v>D00共通
D14。起算日区分が一次納入日、契約可能期間2年、個体期限と満了予定は空。メーカー保守期限なし。</v>
      </c>
      <c r="F32" s="4" t="str">
        <v>手順1：初回契約日を設定または変更して登録。
手順2：個体マスタと作業予定の対象を開き直し日付・個体キーを照合する。</v>
      </c>
      <c r="G32" s="4" t="str">
        <v>起算日は一次納入日。満了予定は起算日＋2年－1日、メーカー保守期限なしの契約期限も同日となる。起算日が違う比較個体へ流用しない。終息対象は該当ビュー条件で確認する。</v>
      </c>
      <c r="H32" s="4" t="str">
        <v>－（表示文言のみの確認は単体に委ねる）</v>
      </c>
      <c r="I32" s="16"/>
      <c r="J32" s="13"/>
      <c r="K32" s="14"/>
      <c r="L32" s="13"/>
      <c r="M32" s="16"/>
      <c r="N32" s="13"/>
      <c r="O32" s="14"/>
      <c r="P32" s="15" t="str">
        <f>IF(I32="","未実施",IF(M32="",I32,M32))</f>
        <v>未実施</v>
      </c>
      <c r="Q32" s="4" t="str">
        <v>関連単体：1005-17
単体の表示・単独操作ではなく、期待結果の連携部分を追加判定。
根拠：R1005 Screen 894～996、R3004
実施前にQ16の条件・期待を確認。</v>
      </c>
    </row>
    <row r="33" ht="150" customHeight="1">
      <c r="A33" s="15" t="str">
        <v>INT01-24</v>
      </c>
      <c r="B33" s="15" t="str">
        <v>正常系</v>
      </c>
      <c r="C33" s="4" t="str">
        <v>二次納入日起算の個体期限が契約登録から反映</v>
      </c>
      <c r="D33" s="4" t="str">
        <v>1005U→0013U/3004U</v>
      </c>
      <c r="E33" s="4" t="str">
        <v>D00共通
D14。起算日区分が二次納入日、契約可能期間2年、個体期限と満了予定は空。メーカー保守期限なし。</v>
      </c>
      <c r="F33" s="4" t="str">
        <v>手順1：初回契約日を設定または変更して登録。
手順2：個体マスタと作業予定の対象を開き直し日付・個体キーを照合する。</v>
      </c>
      <c r="G33" s="4" t="str">
        <v>起算日は二次納入日。満了予定は起算日＋2年－1日、メーカー保守期限なしの契約期限も同日となる。起算日が違う比較個体へ流用しない。終息対象は該当ビュー条件で確認する。</v>
      </c>
      <c r="H33" s="4" t="str">
        <v>－（表示文言のみの確認は単体に委ねる）</v>
      </c>
      <c r="I33" s="16"/>
      <c r="J33" s="13"/>
      <c r="K33" s="14"/>
      <c r="L33" s="13"/>
      <c r="M33" s="16"/>
      <c r="N33" s="13"/>
      <c r="O33" s="14"/>
      <c r="P33" s="15" t="str">
        <f>IF(I33="","未実施",IF(M33="",I33,M33))</f>
        <v>未実施</v>
      </c>
      <c r="Q33" s="4" t="str">
        <v>関連単体：1005-17
単体の表示・単独操作ではなく、期待結果の連携部分を追加判定。
根拠：R1005 Screen 894～996、R3004
実施前にQ16の条件・期待を確認。</v>
      </c>
    </row>
    <row r="34" ht="150" customHeight="1">
      <c r="A34" s="15" t="str">
        <v>INT01-25</v>
      </c>
      <c r="B34" s="15" t="str">
        <v>正常系</v>
      </c>
      <c r="C34" s="4" t="str">
        <v>契約日起算の個体期限が契約登録から反映</v>
      </c>
      <c r="D34" s="4" t="str">
        <v>1005U→0013U/3004U</v>
      </c>
      <c r="E34" s="4" t="str">
        <v>D00共通
D14。起算日区分が契約日、契約可能期間2年、個体期限と満了予定は空。メーカー保守期限なし。</v>
      </c>
      <c r="F34" s="4" t="str">
        <v>手順1：初回契約日を設定または変更して登録。
手順2：個体マスタと作業予定の対象を開き直し日付・個体キーを照合する。</v>
      </c>
      <c r="G34" s="4" t="str">
        <v>起算日は保存する初回契約日。満了予定は起算日＋2年－1日、メーカー保守期限なしの契約期限も同日となる。起算日が違う比較個体へ流用しない。終息対象は該当ビュー条件で確認する。</v>
      </c>
      <c r="H34" s="4" t="str">
        <v>－（表示文言のみの確認は単体に委ねる）</v>
      </c>
      <c r="I34" s="16"/>
      <c r="J34" s="13"/>
      <c r="K34" s="14"/>
      <c r="L34" s="13"/>
      <c r="M34" s="16"/>
      <c r="N34" s="13"/>
      <c r="O34" s="14"/>
      <c r="P34" s="15" t="str">
        <f>IF(I34="","未実施",IF(M34="",I34,M34))</f>
        <v>未実施</v>
      </c>
      <c r="Q34" s="4" t="str">
        <v>関連単体：1005-17
単体の表示・単独操作ではなく、期待結果の連携部分を追加判定。
根拠：R1005 Screen 894～996、R3004
実施前にQ16の条件・期待を確認。</v>
      </c>
    </row>
    <row r="35" ht="99" customHeight="1">
      <c r="A35" s="15" t="str">
        <v>INT01-26</v>
      </c>
      <c r="B35" s="15" t="str">
        <v>正常系</v>
      </c>
      <c r="C35" s="4" t="str">
        <v>メーカー期限との早い方と欠損時補完</v>
      </c>
      <c r="D35" s="4" t="str">
        <v>1005U→0013U</v>
      </c>
      <c r="E35" s="4" t="str">
        <v>D00共通
D14。メーカー期限が算出満了より早い／遅い／起算日なしでメーカー期限だけ有り／双方なしの個体を別々に準備。</v>
      </c>
      <c r="F35" s="4" t="str">
        <v>手順1：初回契約日の設定・変更を登録し各個体の契約期限・満了予定を比較する。</v>
      </c>
      <c r="G35" s="4" t="str">
        <v>両日があると契約期限は早い方。算出満了だけあればそれを、メーカー期限だけあればそれを採用。双方算出不能なら空欄。満了予定へメーカー期限を誤転記しない。</v>
      </c>
      <c r="H35" s="4" t="str">
        <v>－（表示文言のみの確認は単体に委ねる）</v>
      </c>
      <c r="I35" s="16"/>
      <c r="J35" s="13"/>
      <c r="K35" s="14"/>
      <c r="L35" s="13"/>
      <c r="M35" s="16"/>
      <c r="N35" s="13"/>
      <c r="O35" s="14"/>
      <c r="P35" s="15" t="str">
        <f>IF(I35="","未実施",IF(M35="",I35,M35))</f>
        <v>未実施</v>
      </c>
      <c r="Q35" s="4" t="str">
        <v>関連単体：1005-17
単体の表示・単独操作ではなく、期待結果の連携部分を追加判定。
根拠：R1005 Screen 936～990</v>
      </c>
    </row>
    <row r="36" ht="99" customHeight="1">
      <c r="A36" s="15" t="str">
        <v>INT01-27</v>
      </c>
      <c r="B36" s="15" t="str">
        <v>正常系</v>
      </c>
      <c r="C36" s="4" t="str">
        <v>既存の個体期限を初回契約日変更で上書きしない</v>
      </c>
      <c r="D36" s="4" t="str">
        <v>1005U→0013U</v>
      </c>
      <c r="E36" s="4" t="str">
        <v>D00共通
D14。契約期限・満了予定が既設定、片方だけ空の個体を用意。</v>
      </c>
      <c r="F36" s="4" t="str">
        <v>手順1：初回契約日を変更して登録し、個体マスタの両日付を変更前と照合する。</v>
      </c>
      <c r="G36" s="4" t="str">
        <v>既に設定された各日付は維持される。空だった項目だけ新しい算出可能値を補完し、他個体や既設定値を上書きしない。</v>
      </c>
      <c r="H36" s="4" t="str">
        <v>－（表示文言のみの確認は単体に委ねる）</v>
      </c>
      <c r="I36" s="16"/>
      <c r="J36" s="13"/>
      <c r="K36" s="14"/>
      <c r="L36" s="13"/>
      <c r="M36" s="16"/>
      <c r="N36" s="13"/>
      <c r="O36" s="14"/>
      <c r="P36" s="15" t="str">
        <f>IF(I36="","未実施",IF(M36="",I36,M36))</f>
        <v>未実施</v>
      </c>
      <c r="Q36" s="4" t="str">
        <v>関連単体：1005-17
単体の表示・単独操作ではなく、期待結果の連携部分を追加判定。
根拠：R1005 Screen 973～990</v>
      </c>
    </row>
    <row r="37" ht="116" customHeight="1">
      <c r="A37" s="15" t="str">
        <v>INT01-28</v>
      </c>
      <c r="B37" s="15" t="str">
        <v>正常系</v>
      </c>
      <c r="C37" s="4" t="str">
        <v>未承認未来期間の開始日変更を既存期間へ保存</v>
      </c>
      <c r="D37" s="4" t="str">
        <v>1005U→1006U→1005U</v>
      </c>
      <c r="E37" s="4" t="str">
        <v>D00共通
D01/D15。前の有効期間と、未承認の未来期間。開始日の変更が許される範囲を確認。</v>
      </c>
      <c r="F37" s="4" t="str">
        <v>手順1：未来期間の開始日を同日以外へ変更、摘要・登録。
手順2：前期間の終了日と未来期間ID・機器を再表示する。</v>
      </c>
      <c r="G37" s="4" t="str">
        <v>未承認未来期間の既存内容を更新し、開始日の変更だけで旧未来期間を別の有効期間として残さない。前の有効期間の終了日は最終開始日に従って調整する。</v>
      </c>
      <c r="H37" s="4" t="str">
        <v>－（表示文言のみの確認は単体に委ねる）</v>
      </c>
      <c r="I37" s="16"/>
      <c r="J37" s="13"/>
      <c r="K37" s="14"/>
      <c r="L37" s="13"/>
      <c r="M37" s="16"/>
      <c r="N37" s="13"/>
      <c r="O37" s="14"/>
      <c r="P37" s="15" t="str">
        <f>IF(I37="","未実施",IF(M37="",I37,M37))</f>
        <v>未実施</v>
      </c>
      <c r="Q37" s="4" t="str">
        <v>関連単体：1006-25
単体の表示・単独操作ではなく、期待結果の連携部分を追加判定。
根拠：R1005 Screen 225～281、R1006</v>
      </c>
    </row>
    <row r="38" ht="133" customHeight="1">
      <c r="A38" s="15" t="str">
        <v>INT01-29</v>
      </c>
      <c r="B38" s="15" t="str">
        <v>正常系</v>
      </c>
      <c r="C38" s="4" t="str">
        <v>機器明細の選定差分が点検親子の保存へ反映</v>
      </c>
      <c r="D38" s="4" t="str">
        <v>1005U→1006U→1005U→3003U</v>
      </c>
      <c r="E38" s="4" t="str">
        <v>D00共通
D01/D08。構成＋親分類が同じ明細2件と、それぞれ異なる組の明細。元点検検索1件と0件／複数件を別データで準備し、点検親・月別明細のIDを記録。</v>
      </c>
      <c r="F38" s="4" t="str">
        <v>手順1：明細追加を摘要・登録し、点検行と親キー・引継ぎ内容を確認する。
手順2：別の解除対象では明細をOFFにして登録し、再表示・点検の後続抽出を照合する。</v>
      </c>
      <c r="G38" s="4" t="str">
        <v>同じ構成＋親分類の点検を重複追加しない。元点検が1件のときだけ内容を引き継ぐ。解除対象の明細・点検・月別点検明細を対応して削除し、他組・他期間の点検を残す。保存後の点検出力も同じ対象を使う。</v>
      </c>
      <c r="H38" s="4" t="str">
        <v>－（連携先・保存結果を判定し、表示文言だけは単体に委ねる）</v>
      </c>
      <c r="I38" s="24"/>
      <c r="J38" s="23"/>
      <c r="K38" s="25"/>
      <c r="L38" s="23"/>
      <c r="M38" s="24"/>
      <c r="N38" s="23"/>
      <c r="O38" s="25"/>
      <c r="P38" s="15" t="str">
        <f>IF(I38="","未実施",IF(M38="",I38,M38))</f>
        <v>未実施</v>
      </c>
      <c r="Q38" s="4" t="str">
        <v>関連単体：1005-14, 1006-25
単体の表示・単独操作ではなく、期待結果の連携部分を追加判定。
根拠：R1005 setKikiMeisaiDataTable・getTenkenJoho、VB1005-22</v>
      </c>
    </row>
    <row r="39" ht="184" customHeight="1">
      <c r="A39" s="15" t="str">
        <v>INT01-30</v>
      </c>
      <c r="B39" s="15" t="str">
        <v>異常系</v>
      </c>
      <c r="C39" s="4" t="str">
        <v>保存エラー・確認取消で発行と申請を確定しない</v>
      </c>
      <c r="D39" s="4" t="str">
        <v>1005U→1003P/1011U</v>
      </c>
      <c r="E39" s="4" t="str">
        <v>D00共通
D01/D03/D08。終了日が開始日以下、点検／支払の指定回数がON月数未満、支払開始月OFFを別契約で準備。比較用に同数・ON月数不足の正常保存可能な条件も用意。</v>
      </c>
      <c r="F39" s="4" t="str">
        <v>手順1：未保存の状態から契約発行／申請を押す。
手順2：各エラーまたは支払開始月の確認取消後、DB・帳票生成と1011Uの申請対象を処理前と比較する。
手順3：正常比較条件も保存して照合する。</v>
      </c>
      <c r="G39" s="4" t="str">
        <v>期間・回数のE通知または確認取消で保存を中止し、帳票や申請状態だけを先行確定しない。回数の条件は指定回数&lt;ON月数であり、他の保存条件が正しければ同数・ON月数不足をこの条件だけで拒否しない。取消後の親子DB・添付状態は処理前を保つ。</v>
      </c>
      <c r="H39" s="4" t="str">
        <v>－（連携先・保存結果を判定し、表示文言だけは単体に委ねる）</v>
      </c>
      <c r="I39" s="24"/>
      <c r="J39" s="23"/>
      <c r="K39" s="25"/>
      <c r="L39" s="23"/>
      <c r="M39" s="24"/>
      <c r="N39" s="23"/>
      <c r="O39" s="25"/>
      <c r="P39" s="15" t="str">
        <f>IF(I39="","未実施",IF(M39="",I39,M39))</f>
        <v>未実施</v>
      </c>
      <c r="Q39" s="4" t="str">
        <v>関連単体：1005-13, 1005-14, 1005-15, 1005-16, 1005-23, 1005-26
単体の表示・単独操作ではなく、期待結果の連携部分を追加判定。
根拠：R1005 UpdButton・KeiyakuHakoButton_Click・SinseiButton_Click、VB1005-13/14/16/17、共通C06/C12</v>
      </c>
    </row>
  </sheetData>
  <mergeCells>
    <mergeCell ref="A1:H1"/>
    <mergeCell ref="A2:Q2"/>
    <mergeCell ref="A3:Q3"/>
    <mergeCell ref="A4:Q4"/>
    <mergeCell ref="A8:H8"/>
  </mergeCells>
  <conditionalFormatting sqref="P10:P37">
    <cfRule type="cellIs" dxfId="0" priority="1" operator="equal">
      <formula>"OK"</formula>
    </cfRule>
    <cfRule type="cellIs" dxfId="1" priority="2" operator="equal">
      <formula>"NG"</formula>
    </cfRule>
    <cfRule type="cellIs" dxfId="2" priority="3" operator="equal">
      <formula>"保留"</formula>
    </cfRule>
    <cfRule type="cellIs" dxfId="3" priority="4" operator="equal">
      <formula>"対象外"</formula>
    </cfRule>
  </conditionalFormatting>
  <conditionalFormatting sqref="P38:P39">
    <cfRule type="cellIs" dxfId="36" priority="5" operator="equal">
      <formula>"OK"</formula>
    </cfRule>
    <cfRule type="cellIs" dxfId="37" priority="6" operator="equal">
      <formula>"NG"</formula>
    </cfRule>
    <cfRule type="cellIs" dxfId="38" priority="7" operator="equal">
      <formula>"保留"</formula>
    </cfRule>
    <cfRule type="cellIs" dxfId="39" priority="8" operator="equal">
      <formula>"対象外"</formula>
    </cfRule>
  </conditionalFormatting>
  <dataValidations count="4">
    <dataValidation type="list" sqref="I10:I37">
      <formula1>"OK,NG,保留,対象外"</formula1>
    </dataValidation>
    <dataValidation type="list" sqref="M10:M37">
      <formula1>"OK,NG,保留,対象外"</formula1>
    </dataValidation>
    <dataValidation type="list" sqref="I38:I39">
      <formula1>"OK,NG,保留,対象外"</formula1>
    </dataValidation>
    <dataValidation type="list" sqref="M38:M39">
      <formula1>"OK,NG,保留,対象外"</formula1>
    </dataValidation>
  </dataValidations>
  <pageMargins left="0.3" right="0.3" top="0.4" bottom="0.4" header="0.2" footer="0.2"/>
  <pageSetup orientation="landscape" paperSize="8" scale="100" fitToWidth="0" fitToHeight="0"/>
</worksheet>
</file>

<file path=xl/worksheets/sheet4.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結合テスト仕様書｜取引先契約の申請・審査・承認</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COUNTA(A10:A34)</f>
        <v>25</v>
      </c>
      <c r="C6" s="9" t="str">
        <v>対象外件数</v>
      </c>
      <c r="D6" s="9" t="n">
        <f>COUNTIF(P10:P34,"対象外")</f>
        <v>0</v>
      </c>
      <c r="E6" s="9" t="str">
        <v>実テスト件数</v>
      </c>
      <c r="F6" s="9" t="n">
        <f>B6-D6</f>
        <v>25</v>
      </c>
      <c r="G6" s="9" t="str">
        <v>完了件数OK</v>
      </c>
      <c r="H6" s="9" t="n">
        <f>COUNTIF(P10:P34,"OK")</f>
        <v>0</v>
      </c>
      <c r="I6" s="9" t="str">
        <v>NG件数</v>
      </c>
      <c r="J6" s="9" t="n">
        <f>COUNTIF(P10:P34,"NG")</f>
        <v>0</v>
      </c>
      <c r="K6" s="9" t="str">
        <v>保留</v>
      </c>
      <c r="L6" s="9" t="n">
        <f>MAX(0,F6-H6-J6)</f>
        <v>25</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99" customHeight="1">
      <c r="A10" s="15" t="str">
        <v>INT02-01</v>
      </c>
      <c r="B10" s="15" t="str">
        <v>正常系</v>
      </c>
      <c r="C10" s="4" t="str">
        <v>申請した契約・期間・添付が審査一覧に現れる</v>
      </c>
      <c r="D10" s="4" t="str">
        <v>1005U→1011U</v>
      </c>
      <c r="E10" s="4" t="str">
        <v>D00共通
D03。作成中の契約、対象期間に作成中の添付あり。</v>
      </c>
      <c r="F10" s="4" t="str">
        <v>手順1：1005Uで申請。
手順2：別セッションの審査担当Bで1011Uを検索し契約NO・期間・添付IDを照合する。</v>
      </c>
      <c r="G10" s="4" t="str">
        <v>対象契約・申請期間だけが審査中として表示され、申請した資料が同じ期間へ結び付く。別期間・別契約の資料を含めない。</v>
      </c>
      <c r="H10" s="4" t="str">
        <v>－（表示文言のみの確認は単体に委ねる）</v>
      </c>
      <c r="I10" s="16"/>
      <c r="J10" s="13"/>
      <c r="K10" s="14"/>
      <c r="L10" s="13"/>
      <c r="M10" s="16"/>
      <c r="N10" s="13"/>
      <c r="O10" s="14"/>
      <c r="P10" s="15" t="str">
        <f>IF(I10="","未実施",IF(M10="",I10,M10))</f>
        <v>未実施</v>
      </c>
      <c r="Q10" s="4" t="str">
        <v>関連単体：1005-26, 1011-5
単体の表示・単独操作ではなく、期待結果の連携部分を追加判定。
根拠：R1005 / R1011</v>
      </c>
    </row>
    <row r="11" ht="116" customHeight="1">
      <c r="A11" s="15" t="str">
        <v>INT02-02</v>
      </c>
      <c r="B11" s="15" t="str">
        <v>正常系</v>
      </c>
      <c r="C11" s="4" t="str">
        <v>未保存変更の申請が審査対象金額に反映</v>
      </c>
      <c r="D11" s="4" t="str">
        <v>1005U→1011U</v>
      </c>
      <c r="E11" s="4" t="str">
        <v>D00共通
D03。未保存の金額・備考変更。必要な作成中添付あり。</v>
      </c>
      <c r="F11" s="4" t="str">
        <v>手順1：登録を単独で押さず申請し保存確認を承認。
手順2：Bで審査一覧を再検索する。</v>
      </c>
      <c r="G11" s="4" t="str">
        <v>保存後の期間金額を審査一覧と限度額判定に使用する。DB・審査対象・添付対象が同じ申請で確定する。</v>
      </c>
      <c r="H11" s="4" t="str">
        <v>－（表示文言のみの確認は単体に委ねる）</v>
      </c>
      <c r="I11" s="16"/>
      <c r="J11" s="13"/>
      <c r="K11" s="14"/>
      <c r="L11" s="13"/>
      <c r="M11" s="16"/>
      <c r="N11" s="13"/>
      <c r="O11" s="14"/>
      <c r="P11" s="15" t="str">
        <f>IF(I11="","未実施",IF(M11="",I11,M11))</f>
        <v>未実施</v>
      </c>
      <c r="Q11" s="4" t="str">
        <v>関連単体：1005-26, 1011-9, 1011-10
単体の表示・単独操作ではなく、期待結果の連携部分を追加判定。
根拠：R1005 / R1011</v>
      </c>
    </row>
    <row r="12" ht="99" customHeight="1">
      <c r="A12" s="15" t="str">
        <v>INT02-03</v>
      </c>
      <c r="B12" s="15" t="str">
        <v>正常系</v>
      </c>
      <c r="C12" s="4" t="str">
        <v>審査一覧の契約リンクは申請対象を参照</v>
      </c>
      <c r="D12" s="4" t="str">
        <v>1011U→1005U</v>
      </c>
      <c r="E12" s="4" t="str">
        <v>D00共通
D03。似た契約NOと複数期間を含む審査一覧。</v>
      </c>
      <c r="F12" s="4" t="str">
        <v>手順1：対象行の契約NOを開いて契約IDを照合。
手順2：1011Uに戻り選択行と対象資料を確認する。</v>
      </c>
      <c r="G12" s="4" t="str">
        <v>審査行と同じ契約を参照し、審査からの参照経路が通常変更経路に化けない。元の審査対象と選択期間が他契約に移らない。</v>
      </c>
      <c r="H12" s="4" t="str">
        <v>－（表示文言のみの確認は単体に委ねる）</v>
      </c>
      <c r="I12" s="16"/>
      <c r="J12" s="13"/>
      <c r="K12" s="14"/>
      <c r="L12" s="13"/>
      <c r="M12" s="16"/>
      <c r="N12" s="13"/>
      <c r="O12" s="14"/>
      <c r="P12" s="15" t="str">
        <f>IF(I12="","未実施",IF(M12="",I12,M12))</f>
        <v>未実施</v>
      </c>
      <c r="Q12" s="4" t="str">
        <v>関連単体：1011-14
単体の表示・単独操作ではなく、期待結果の連携部分を追加判定。
根拠：R1011 / R1005</v>
      </c>
    </row>
    <row r="13" ht="116" customHeight="1">
      <c r="A13" s="15" t="str">
        <v>INT02-04</v>
      </c>
      <c r="B13" s="15" t="str">
        <v>正常系</v>
      </c>
      <c r="C13" s="4" t="str">
        <v>審査完了が契約側の状態・履歴に反映</v>
      </c>
      <c r="D13" s="4" t="str">
        <v>1011U→1005U</v>
      </c>
      <c r="E13" s="4" t="str">
        <v>D00共通
D03。審査限度額以内、審査担当B。</v>
      </c>
      <c r="F13" s="4" t="str">
        <v>手順1：1011Uで審査中の契約を承認。
手順2：Aで1005Uを開き直し、対象期間・添付・審査者日時を確認する。</v>
      </c>
      <c r="G13" s="4" t="str">
        <v>契約と申請資料の状態が承認中として一致し、審査者・日時が同じ処理に対応する。1005Uでの再表示が審査前の状態に戻らない。</v>
      </c>
      <c r="H13" s="4" t="str">
        <v>－（表示文言のみの確認は単体に委ねる）</v>
      </c>
      <c r="I13" s="16"/>
      <c r="J13" s="13"/>
      <c r="K13" s="14"/>
      <c r="L13" s="13"/>
      <c r="M13" s="16"/>
      <c r="N13" s="13"/>
      <c r="O13" s="14"/>
      <c r="P13" s="15" t="str">
        <f>IF(I13="","未実施",IF(M13="",I13,M13))</f>
        <v>未実施</v>
      </c>
      <c r="Q13" s="4" t="str">
        <v>関連単体：1011-21, 1005-4, 1005-5
単体の表示・単独操作ではなく、期待結果の連携部分を追加判定。
根拠：R1011 / R1005</v>
      </c>
    </row>
    <row r="14" ht="116" customHeight="1">
      <c r="A14" s="15" t="str">
        <v>INT02-05</v>
      </c>
      <c r="B14" s="15" t="str">
        <v>正常系</v>
      </c>
      <c r="C14" s="4" t="str">
        <v>最終承認で有効期間と保存済み資料が一致</v>
      </c>
      <c r="D14" s="4" t="str">
        <v>1011U→1005U→3002U/3003U</v>
      </c>
      <c r="E14" s="4" t="str">
        <v>D00共通
D03/D07/D08。承認担当Cの限度額以内。</v>
      </c>
      <c r="F14" s="4" t="str">
        <v>手順1：承認中の対象を承認。
手順2：1005Uで履歴・資料を確認し、承認済み期間の支払い・点検を検索する。</v>
      </c>
      <c r="G14" s="4" t="str">
        <v>親契約と申請添付は承認済みとなり、対象期間の有効フラグは有効になる。期間に承認状態列があると仮定しない。審査者情報を保持し承認者日時を設定、後続出力が有効期間を参照する。</v>
      </c>
      <c r="H14" s="4" t="str">
        <v>－（表示文言のみの確認は単体に委ねる）</v>
      </c>
      <c r="I14" s="16"/>
      <c r="J14" s="13"/>
      <c r="K14" s="14"/>
      <c r="L14" s="13"/>
      <c r="M14" s="16"/>
      <c r="N14" s="13"/>
      <c r="O14" s="14"/>
      <c r="P14" s="15" t="str">
        <f>IF(I14="","未実施",IF(M14="",I14,M14))</f>
        <v>未実施</v>
      </c>
      <c r="Q14" s="4" t="str">
        <v>関連単体：1011-22
単体の表示・単独操作ではなく、期待結果の連携部分を追加判定。
根拠：R1011 / R1005 / R3002 / R3003</v>
      </c>
    </row>
    <row r="15" ht="99" customHeight="1">
      <c r="A15" s="15" t="str">
        <v>INT02-06</v>
      </c>
      <c r="B15" s="15" t="str">
        <v>正常系</v>
      </c>
      <c r="C15" s="4" t="str">
        <v>同一契約の複数申請期間を一括審査</v>
      </c>
      <c r="D15" s="4" t="str">
        <v>1011U→1005U</v>
      </c>
      <c r="E15" s="4" t="str">
        <v>D00共通
D03。同一契約に対象の申請期間2件、別契約にも1件。</v>
      </c>
      <c r="F15" s="4" t="str">
        <v>手順1：同一契約の2期間だけを選択して審査し、契約・各期間・添付の状態と未選択契約を確認する。</v>
      </c>
      <c r="G15" s="4" t="str">
        <v>同一契約の状態を二段階進めず、選択期間ごとに対応資料が一段階進む。未選択の別契約は変わらない。</v>
      </c>
      <c r="H15" s="4" t="str">
        <v>－（表示文言のみの確認は単体に委ねる）</v>
      </c>
      <c r="I15" s="16"/>
      <c r="J15" s="13"/>
      <c r="K15" s="14"/>
      <c r="L15" s="13"/>
      <c r="M15" s="16"/>
      <c r="N15" s="13"/>
      <c r="O15" s="14"/>
      <c r="P15" s="15" t="str">
        <f>IF(I15="","未実施",IF(M15="",I15,M15))</f>
        <v>未実施</v>
      </c>
      <c r="Q15" s="4" t="str">
        <v>関連単体：1011-21, 1011-22
単体の表示・単独操作ではなく、期待結果の連携部分を追加判定。
根拠：R1011 / R1005</v>
      </c>
    </row>
    <row r="16" ht="99" customHeight="1">
      <c r="A16" s="15" t="str">
        <v>INT02-07</v>
      </c>
      <c r="B16" s="15" t="str">
        <v>正常系</v>
      </c>
      <c r="C16" s="4" t="str">
        <v>審査段階の差戻しから修正・再申請</v>
      </c>
      <c r="D16" s="4" t="str">
        <v>1011U→1005U→1011U</v>
      </c>
      <c r="E16" s="4" t="str">
        <v>D00共通
D03。審査中の期間、以前の承認済み資料も別に保持。</v>
      </c>
      <c r="F16" s="4" t="str">
        <v>手順1：Bが差戻し。
手順2：Aが1005Uを開き修正、差戻し資料を整理して再申請。
手順3：Bが再検索する。</v>
      </c>
      <c r="G16" s="4" t="str">
        <v>差戻した対象が修正可能な状態になり、再申請した期間と資料だけが審査中へ戻る。以前の承認済み資料の状態・内容を変えない。</v>
      </c>
      <c r="H16" s="4" t="str">
        <v>－（表示文言のみの確認は単体に委ねる）</v>
      </c>
      <c r="I16" s="16"/>
      <c r="J16" s="13"/>
      <c r="K16" s="14"/>
      <c r="L16" s="13"/>
      <c r="M16" s="16"/>
      <c r="N16" s="13"/>
      <c r="O16" s="14"/>
      <c r="P16" s="15" t="str">
        <f>IF(I16="","未実施",IF(M16="",I16,M16))</f>
        <v>未実施</v>
      </c>
      <c r="Q16" s="4" t="str">
        <v>関連単体：1011-25, 1005-26
単体の表示・単独操作ではなく、期待結果の連携部分を追加判定。
根拠：R1011 / R1005</v>
      </c>
    </row>
    <row r="17" ht="99" customHeight="1">
      <c r="A17" s="15" t="str">
        <v>INT02-08</v>
      </c>
      <c r="B17" s="15" t="str">
        <v>正常系</v>
      </c>
      <c r="C17" s="4" t="str">
        <v>承認段階の差戻し後に審査から再開</v>
      </c>
      <c r="D17" s="4" t="str">
        <v>1011U→1005U→1011U</v>
      </c>
      <c r="E17" s="4" t="str">
        <v>D00共通
D03。承認中の対象期間。</v>
      </c>
      <c r="F17" s="4" t="str">
        <v>手順1：Cが差戻し。
手順2：Aが内容と添付を修正して再申請し、B/Cの各セッションで検索する。</v>
      </c>
      <c r="G17" s="4" t="str">
        <v>再申請は承認中に直接復帰せず審査中から再開し、修正後の金額・資料を再審査する。古い承認依頼を承認できない。</v>
      </c>
      <c r="H17" s="4" t="str">
        <v>－（表示文言のみの確認は単体に委ねる）</v>
      </c>
      <c r="I17" s="16"/>
      <c r="J17" s="13"/>
      <c r="K17" s="14"/>
      <c r="L17" s="13"/>
      <c r="M17" s="16"/>
      <c r="N17" s="13"/>
      <c r="O17" s="14"/>
      <c r="P17" s="15" t="str">
        <f>IF(I17="","未実施",IF(M17="",I17,M17))</f>
        <v>未実施</v>
      </c>
      <c r="Q17" s="4" t="str">
        <v>関連単体：1011-25, 1005-26
単体の表示・単独操作ではなく、期待結果の連携部分を追加判定。
根拠：R1011 / R1005</v>
      </c>
    </row>
    <row r="18" ht="133" customHeight="1">
      <c r="A18" s="15" t="str">
        <v>INT02-09</v>
      </c>
      <c r="B18" s="15" t="str">
        <v>正常系</v>
      </c>
      <c r="C18" s="4" t="str">
        <v>契約画面で追加した資料を審査担当が取得</v>
      </c>
      <c r="D18" s="4" t="str">
        <v>1005U→1011U/別PC</v>
      </c>
      <c r="E18" s="4" t="str">
        <v>D00共通
D06。AとBは別PC・別セッション。xls/xlsx/docx/pptx/PDFの試験資料。</v>
      </c>
      <c r="F18" s="4" t="str">
        <v>手順1：Aが対象期間へ資料を追加・申請。
手順2：Bが審査一覧の添付を取得し、元ファイルの内容・ハッシュと照合する。</v>
      </c>
      <c r="G18" s="4" t="str">
        <v>追加者PCに依存せず、指定した資料の同じバイト列を取得できる。別資料が返らず500エラーにならない。アプリ起動方式はQ02確定後に確認する。</v>
      </c>
      <c r="H18" s="4" t="str">
        <v>－（表示文言のみの確認は単体に委ねる）</v>
      </c>
      <c r="I18" s="16"/>
      <c r="J18" s="13"/>
      <c r="K18" s="14"/>
      <c r="L18" s="13"/>
      <c r="M18" s="16"/>
      <c r="N18" s="13"/>
      <c r="O18" s="14"/>
      <c r="P18" s="15" t="str">
        <f>IF(I18="","未実施",IF(M18="",I18,M18))</f>
        <v>未実施</v>
      </c>
      <c r="Q18" s="4" t="str">
        <v>関連単体：1005-19, 1011-16
単体の表示・単独操作ではなく、期待結果の連携部分を追加判定。
根拠：R1005 / R1011
実施前にQ02の条件・期待を確認。</v>
      </c>
    </row>
    <row r="19" ht="116" customHeight="1">
      <c r="A19" s="15" t="str">
        <v>INT02-10</v>
      </c>
      <c r="B19" s="15" t="str">
        <v>正常系</v>
      </c>
      <c r="C19" s="4" t="str">
        <v>審査押印が添付取得と最終承認に反映</v>
      </c>
      <c r="D19" s="4" t="str">
        <v>1011U→添付→1005U</v>
      </c>
      <c r="E19" s="4" t="str">
        <v>D00共通
D03/D06。押印対象シートと全押印図形を持つ原紙の複製。 対象形式は.xlsxと大文字拡張子.XLSX。審査中／承認中に対応する押印位置を原紙で記録する。</v>
      </c>
      <c r="F19" s="4" t="str">
        <v>手順1：Bが審査後に資料を取得し審査印を確認。
手順2：Cが承認後に取得し承認印と既存審査印を確認する。</v>
      </c>
      <c r="G19" s="4" t="str">
        <v>正しい期間の帳票だけに各担当者・日付が押印され、審査印を最終承認で消さない。DB状態と取得資料の段階が一致する。</v>
      </c>
      <c r="H19" s="4" t="str">
        <v>－（表示文言のみの確認は単体に委ねる）</v>
      </c>
      <c r="I19" s="16"/>
      <c r="J19" s="13"/>
      <c r="K19" s="14"/>
      <c r="L19" s="13"/>
      <c r="M19" s="16"/>
      <c r="N19" s="13"/>
      <c r="O19" s="14"/>
      <c r="P19" s="15" t="str">
        <f>IF(I19="","未実施",IF(M19="",I19,M19))</f>
        <v>未実施</v>
      </c>
      <c r="Q19" s="4" t="str">
        <v>関連単体：1011-21, 1011-22, 1011-16
単体の表示・単独操作ではなく、期待結果の連携部分を追加判定。
根拠：R1011 / R1005</v>
      </c>
    </row>
    <row r="20" ht="133" customHeight="1">
      <c r="A20" s="15" t="str">
        <v>INT02-11</v>
      </c>
      <c r="B20" s="15" t="str">
        <v>正常系</v>
      </c>
      <c r="C20" s="4" t="str">
        <v>非押印資料は審査後も内容を保持</v>
      </c>
      <c r="D20" s="4" t="str">
        <v>1011U→添付</v>
      </c>
      <c r="E20" s="4" t="str">
        <v>D00共通
D03/D06。.xls・Word・PDF等と、.xlsxだが取引先の対象シートを持たないファイル。すべて処理前ハッシュを保存。</v>
      </c>
      <c r="F20" s="4" t="str">
        <v>手順1：対象期間を審査し、各資料を取得して審査前のファイルと比較する。</v>
      </c>
      <c r="G20" s="4" t="str">
        <v>VBでは.xlsx以外を開かず捺印なしの成功として処理する。.xlsxでも対象シートがなければ捺印しない。対象外資料のバイト列・所属を保持し、正常な審査状態更新を妨げない。Webで対象形式を拡大する場合は移行差異として合意して判定する。</v>
      </c>
      <c r="H20" s="4" t="str">
        <v>－（表示文言のみの確認は単体に委ねる）</v>
      </c>
      <c r="I20" s="16"/>
      <c r="J20" s="13"/>
      <c r="K20" s="14"/>
      <c r="L20" s="13"/>
      <c r="M20" s="16"/>
      <c r="N20" s="13"/>
      <c r="O20" s="14"/>
      <c r="P20" s="15" t="str">
        <f>IF(I20="","未実施",IF(M20="",I20,M20))</f>
        <v>未実施</v>
      </c>
      <c r="Q20" s="4" t="str">
        <v>関連単体：1011-16, 1011-21
単体の表示・単独操作ではなく、期待結果の連携部分を追加判定。
根拠：R1011 WriteDataInExcel、共通C13、VB1011-07/11</v>
      </c>
    </row>
    <row r="21" ht="150" customHeight="1">
      <c r="A21" s="15" t="str">
        <v>INT02-12</v>
      </c>
      <c r="B21" s="15" t="str">
        <v>異常系</v>
      </c>
      <c r="C21" s="4" t="str">
        <v>押印の伝播例外でDBを戻し外部資料の状態を確認</v>
      </c>
      <c r="D21" s="4" t="str">
        <v>1011U→1005U/添付</v>
      </c>
      <c r="E21" s="4" t="str">
        <v>D00共通
D03/D06。必要図形を欠く.xlsx、Open／Writeで例外となる試験資料。先行で正常な資料もある一括処理を別に準備。処理前DBと各資料のハッシュを記録。</v>
      </c>
      <c r="F21" s="4" t="str">
        <v>手順1：対象を審査。
手順2：エラー後に契約・期間・添付状態、元資料のハッシュを確認する。</v>
      </c>
      <c r="G21" s="4" t="str">
        <v>Open／Write等の伝播例外では共通処理がDBをロールバックする。既に保存したExcelはDBロールバックの対象外なので、DBと各資料の状態を別々に照合する。Webの全件保護・資料復元の期待はQ15で合意した単位に従い、VBで必ずファイルまで戻るとは記載しない。</v>
      </c>
      <c r="H21" s="4" t="str">
        <v>－（表示文言のみの確認は単体に委ねる）</v>
      </c>
      <c r="I21" s="16"/>
      <c r="J21" s="13"/>
      <c r="K21" s="14"/>
      <c r="L21" s="13"/>
      <c r="M21" s="16"/>
      <c r="N21" s="13"/>
      <c r="O21" s="14"/>
      <c r="P21" s="15" t="str">
        <f>IF(I21="","未実施",IF(M21="",I21,M21))</f>
        <v>未実施</v>
      </c>
      <c r="Q21" s="4" t="str">
        <v>関連単体：1011-21
単体の表示・単独操作ではなく、期待結果の連携部分を追加判定。
根拠：R1011 SYONINButton_Click、共通C12/C13、VB1011-06/11
実施前にQ15の条件・期待を確認。</v>
      </c>
    </row>
    <row r="22" ht="133" customHeight="1">
      <c r="A22" s="15" t="str">
        <v>INT02-13</v>
      </c>
      <c r="B22" s="15" t="str">
        <v>排他</v>
      </c>
      <c r="C22" s="4" t="str">
        <v>一括審査に競合行がある場合の全件保護</v>
      </c>
      <c r="D22" s="4" t="str">
        <v>1011U→1005U</v>
      </c>
      <c r="E22" s="4" t="str">
        <v>D00共通
D03。2契約をBが検索後、一方をCが差戻し等で更新。</v>
      </c>
      <c r="F22" s="4" t="str">
        <v>手順1：Bは古い一覧の2行を一括審査。
手順2：両契約・期間・添付を確認する。</v>
      </c>
      <c r="G22" s="4" t="str">
        <v>Web移行時の全件保護が合意された場合、競合検出で全件中止し先行Cの結果を維持する。VBの途中打切りとは異なるため、全件取消の期待はQ15で合意してから判定する。</v>
      </c>
      <c r="H22" s="4" t="str">
        <v>－（表示文言のみの確認は単体に委ねる）</v>
      </c>
      <c r="I22" s="16"/>
      <c r="J22" s="13"/>
      <c r="K22" s="14"/>
      <c r="L22" s="13"/>
      <c r="M22" s="16"/>
      <c r="N22" s="13"/>
      <c r="O22" s="14"/>
      <c r="P22" s="15" t="str">
        <f>IF(I22="","未実施",IF(M22="",I22,M22))</f>
        <v>未実施</v>
      </c>
      <c r="Q22" s="4" t="str">
        <v>関連単体：1011-21
単体の表示・単独操作ではなく、期待結果の連携部分を追加判定。
根拠：R1011 / R1005
実施前にQ15の条件・期待を確認。</v>
      </c>
    </row>
    <row r="23" ht="99" customHeight="1">
      <c r="A23" s="15" t="str">
        <v>INT02-14</v>
      </c>
      <c r="B23" s="15" t="str">
        <v>正常系</v>
      </c>
      <c r="C23" s="4" t="str">
        <v>差戻しで承認済み過去資料を保護</v>
      </c>
      <c r="D23" s="4" t="str">
        <v>1011U→1005U/添付</v>
      </c>
      <c r="E23" s="4" t="str">
        <v>D00共通
D03。過去承認済み資料と今回の申請資料が混在。</v>
      </c>
      <c r="F23" s="4" t="str">
        <v>手順1：今回の申請期間を差戻し、1005Uと資料内容を処理前に照合する。</v>
      </c>
      <c r="G23" s="4" t="str">
        <v>対象の未承認資料だけが差戻しとなり、承認済み資料・過去期間の有効性・押印を変えない。</v>
      </c>
      <c r="H23" s="4" t="str">
        <v>－（表示文言のみの確認は単体に委ねる）</v>
      </c>
      <c r="I23" s="16"/>
      <c r="J23" s="13"/>
      <c r="K23" s="14"/>
      <c r="L23" s="13"/>
      <c r="M23" s="16"/>
      <c r="N23" s="13"/>
      <c r="O23" s="14"/>
      <c r="P23" s="15" t="str">
        <f>IF(I23="","未実施",IF(M23="",I23,M23))</f>
        <v>未実施</v>
      </c>
      <c r="Q23" s="4" t="str">
        <v>関連単体：1011-25, 1005-21
単体の表示・単独操作ではなく、期待結果の連携部分を追加判定。
根拠：R1011 / R1005</v>
      </c>
    </row>
    <row r="24" ht="116" customHeight="1">
      <c r="A24" s="15" t="str">
        <v>INT02-15</v>
      </c>
      <c r="B24" s="15" t="str">
        <v>正常系</v>
      </c>
      <c r="C24" s="4" t="str">
        <v>審査依頼者と異なる担当者の限度額反映</v>
      </c>
      <c r="D24" s="4" t="str">
        <v>3006U→1011U→1005U</v>
      </c>
      <c r="E24" s="4" t="str">
        <v>D00共通
D03/D05。BとCに別の審査・承認限度額を設定し再ログイン。</v>
      </c>
      <c r="F24" s="4" t="str">
        <v>手順1：限度額ちょうどの契約をB、超える別契約をB、承認対象をCで処理して契約側の結果を確認する。</v>
      </c>
      <c r="G24" s="4" t="str">
        <v>担当者マスタの本人設定が審査・承認処理に使われる。許可対象だけ後続状態へ進み、上限超過対象のDB・ファイルは変わらない。</v>
      </c>
      <c r="H24" s="4" t="str">
        <v>－（表示文言のみの確認は単体に委ねる）</v>
      </c>
      <c r="I24" s="16"/>
      <c r="J24" s="13"/>
      <c r="K24" s="14"/>
      <c r="L24" s="13"/>
      <c r="M24" s="16"/>
      <c r="N24" s="13"/>
      <c r="O24" s="14"/>
      <c r="P24" s="15" t="str">
        <f>IF(I24="","未実施",IF(M24="",I24,M24))</f>
        <v>未実施</v>
      </c>
      <c r="Q24" s="4" t="str">
        <v>関連単体：1011-9, 1011-10, 1011-12
単体の表示・単独操作ではなく、期待結果の連携部分を追加判定。
根拠：R1011 / R1005</v>
      </c>
    </row>
    <row r="25" ht="150" customHeight="1">
      <c r="A25" s="15" t="str">
        <v>INT02-16</v>
      </c>
      <c r="B25" s="15" t="str">
        <v>外部連携</v>
      </c>
      <c r="C25" s="4" t="str">
        <v>承認依頼メールが送信対象になる条件</v>
      </c>
      <c r="D25" s="4" t="str">
        <v>3006U→1011U→メール</v>
      </c>
      <c r="E25" s="4" t="str">
        <v>D00共通
D03/D05/D10。審査担当Bの契約承認上限が対象仕切合計より大きい。上位者ID、双方のメールアドレス、試験SMTPを設定。 上限の比較は通知するログイン本人の契約承認上限であり、候補の上位者の上限ではない。</v>
      </c>
      <c r="F25" s="4" t="str">
        <v>手順1：担当者設定後に再ログインし該当契約を処理する。
手順2：試験メールボックスとDB・添付の確定結果を照合する。</v>
      </c>
      <c r="G25" s="4" t="str">
        <v>審査完了後、設定した上位者の試験メールボックスに対象契約を示す通知が届く。依頼者への完了通知と混同しない。 上位候補は本人より上の階層から取得し、候補0件または送信元・先のいずれかが空なら送信しない。</v>
      </c>
      <c r="H25" s="4" t="str">
        <v>－（表示文言のみの確認は単体に委ねる）</v>
      </c>
      <c r="I25" s="16"/>
      <c r="J25" s="13"/>
      <c r="K25" s="14"/>
      <c r="L25" s="13"/>
      <c r="M25" s="16"/>
      <c r="N25" s="13"/>
      <c r="O25" s="14"/>
      <c r="P25" s="15" t="str">
        <f>IF(I25="","未実施",IF(M25="",I25,M25))</f>
        <v>未実施</v>
      </c>
      <c r="Q25" s="4" t="str">
        <v>関連単体：1011-21
単体の表示・単独操作ではなく、期待結果の連携部分を追加判定。
根拠：R1011 / Mcm1011uMailService.prepare・afterCommit
実施前にQ03の条件・期待を確認。</v>
      </c>
    </row>
    <row r="26" ht="150" customHeight="1">
      <c r="A26" s="15" t="str">
        <v>INT02-17</v>
      </c>
      <c r="B26" s="15" t="str">
        <v>外部連携</v>
      </c>
      <c r="C26" s="4" t="str">
        <v>同じ上位者の承認依頼を重複送信しない</v>
      </c>
      <c r="D26" s="4" t="str">
        <v>3006U→1011U→メール</v>
      </c>
      <c r="E26" s="4" t="str">
        <v>D00共通
D03/D05/D10。同じ上位者に向けた対象契約2件を一括審査。</v>
      </c>
      <c r="F26" s="4" t="str">
        <v>手順1：担当者設定後に再ログインし該当契約を処理する。
手順2：試験メールボックスとDB・添付の確定結果を照合する。</v>
      </c>
      <c r="G26" s="4" t="str">
        <v>VBの上位者単位の集約に従い、同じ承認先への通知が重複せず、対象契約を確認できる。 集約キーは同じ上位者のログインIDであり、メール文字列だけの一致で別人をまとめない。</v>
      </c>
      <c r="H26" s="4" t="str">
        <v>－（表示文言のみの確認は単体に委ねる）</v>
      </c>
      <c r="I26" s="16"/>
      <c r="J26" s="13"/>
      <c r="K26" s="14"/>
      <c r="L26" s="13"/>
      <c r="M26" s="16"/>
      <c r="N26" s="13"/>
      <c r="O26" s="14"/>
      <c r="P26" s="15" t="str">
        <f>IF(I26="","未実施",IF(M26="",I26,M26))</f>
        <v>未実施</v>
      </c>
      <c r="Q26" s="4" t="str">
        <v>関連単体：1011-21
単体の表示・単独操作ではなく、期待結果の連携部分を追加判定。
根拠：R1011 / Mcm1011uMailService.prepare・afterCommit
実施前にQ03の条件・期待を確認。</v>
      </c>
    </row>
    <row r="27" ht="150" customHeight="1">
      <c r="A27" s="15" t="str">
        <v>INT02-18</v>
      </c>
      <c r="B27" s="15" t="str">
        <v>外部連携</v>
      </c>
      <c r="C27" s="4" t="str">
        <v>承認上限ちょうどでは通知対象にしない</v>
      </c>
      <c r="D27" s="4" t="str">
        <v>3006U→1011U→メール</v>
      </c>
      <c r="E27" s="4" t="str">
        <v>D00共通
D03/D05/D10。契約承認上限と仕切合計が同額。 上限の比較は通知するログイン本人の契約承認上限であり、候補の上位者の上限ではない。</v>
      </c>
      <c r="F27" s="4" t="str">
        <v>手順1：担当者設定後に再ログインし該当契約を処理する。
手順2：試験メールボックスとDB・添付の確定結果を照合する。</v>
      </c>
      <c r="G27" s="4" t="str">
        <v>審査可否の上限以下判定とメール条件の上限より小さい判定を混同せず、この条件で承認依頼メールを送らない。</v>
      </c>
      <c r="H27" s="4" t="str">
        <v>－（表示文言のみの確認は単体に委ねる）</v>
      </c>
      <c r="I27" s="16"/>
      <c r="J27" s="13"/>
      <c r="K27" s="14"/>
      <c r="L27" s="13"/>
      <c r="M27" s="16"/>
      <c r="N27" s="13"/>
      <c r="O27" s="14"/>
      <c r="P27" s="15" t="str">
        <f>IF(I27="","未実施",IF(M27="",I27,M27))</f>
        <v>未実施</v>
      </c>
      <c r="Q27" s="4" t="str">
        <v>関連単体：1011-21
単体の表示・単独操作ではなく、期待結果の連携部分を追加判定。
根拠：R1011 / Mcm1011uMailService.prepare・afterCommit
実施前にQ03の条件・期待を確認。</v>
      </c>
    </row>
    <row r="28" ht="150" customHeight="1">
      <c r="A28" s="15" t="str">
        <v>INT02-19</v>
      </c>
      <c r="B28" s="15" t="str">
        <v>外部連携</v>
      </c>
      <c r="C28" s="4" t="str">
        <v>通知条件を満たさない審査の完了</v>
      </c>
      <c r="D28" s="4" t="str">
        <v>3006U→1011U→メール</v>
      </c>
      <c r="E28" s="4" t="str">
        <v>D00共通
D03/D05/D10。上位者ID未設定、または送信元／先アドレス空。条件ごとに別契約を使う。</v>
      </c>
      <c r="F28" s="4" t="str">
        <v>手順1：担当者設定後に再ログインし該当契約を処理する。
手順2：試験メールボックスとDB・添付の確定結果を照合する。</v>
      </c>
      <c r="G28" s="4" t="str">
        <v>通知しない条件でも審査のDB・期間・資料の更新は完了し、未送信を送信済みと誤認させない。</v>
      </c>
      <c r="H28" s="4" t="str">
        <v>－（表示文言のみの確認は単体に委ねる）</v>
      </c>
      <c r="I28" s="16"/>
      <c r="J28" s="13"/>
      <c r="K28" s="14"/>
      <c r="L28" s="13"/>
      <c r="M28" s="16"/>
      <c r="N28" s="13"/>
      <c r="O28" s="14"/>
      <c r="P28" s="15" t="str">
        <f>IF(I28="","未実施",IF(M28="",I28,M28))</f>
        <v>未実施</v>
      </c>
      <c r="Q28" s="4" t="str">
        <v>関連単体：1011-21
単体の表示・単独操作ではなく、期待結果の連携部分を追加判定。
根拠：R1011 / Mcm1011uMailService.prepare・afterCommit
実施前にQ03の条件・期待を確認。</v>
      </c>
    </row>
    <row r="29" ht="150" customHeight="1">
      <c r="A29" s="15" t="str">
        <v>INT02-20</v>
      </c>
      <c r="B29" s="15" t="str">
        <v>外部連携</v>
      </c>
      <c r="C29" s="4" t="str">
        <v>最終承認で審査時の依頼通知を再送しない</v>
      </c>
      <c r="D29" s="4" t="str">
        <v>3006U→1011U→メール</v>
      </c>
      <c r="E29" s="4" t="str">
        <v>D00共通
D03/D05/D10。承認中の契約、審査通知は送信済み。</v>
      </c>
      <c r="F29" s="4" t="str">
        <v>手順1：担当者設定後に再ログインし該当契約を処理する。
手順2：試験メールボックスとDB・添付の確定結果を照合する。</v>
      </c>
      <c r="G29" s="4" t="str">
        <v>最終承認による契約・資料の確定が完了し、審査段階の承認依頼メールを重複送信しない。</v>
      </c>
      <c r="H29" s="4" t="str">
        <v>－（表示文言のみの確認は単体に委ねる）</v>
      </c>
      <c r="I29" s="16"/>
      <c r="J29" s="13"/>
      <c r="K29" s="14"/>
      <c r="L29" s="13"/>
      <c r="M29" s="16"/>
      <c r="N29" s="13"/>
      <c r="O29" s="14"/>
      <c r="P29" s="15" t="str">
        <f>IF(I29="","未実施",IF(M29="",I29,M29))</f>
        <v>未実施</v>
      </c>
      <c r="Q29" s="4" t="str">
        <v>関連単体：1011-21
単体の表示・単独操作ではなく、期待結果の連携部分を追加判定。
根拠：R1011 / Mcm1011uMailService.prepare・afterCommit
実施前にQ03の条件・期待を確認。</v>
      </c>
    </row>
    <row r="30" ht="133" customHeight="1">
      <c r="A30" s="15" t="str">
        <v>INT02-21</v>
      </c>
      <c r="B30" s="15" t="str">
        <v>異常系</v>
      </c>
      <c r="C30" s="4" t="str">
        <v>SMTP送信失敗後に審査を重複実行しない</v>
      </c>
      <c r="D30" s="4" t="str">
        <v>1011U→1005U/メール</v>
      </c>
      <c r="E30" s="4" t="str">
        <v>D00共通
D03/D10。送信条件は正常、試験SMTPの送信だけ失敗する環境。</v>
      </c>
      <c r="F30" s="4" t="str">
        <v>手順1：審査を実行し送信失敗案内を確認。
手順2：再検索後の状態・取得資料を調べ、同じ旧行で再実行を試みる。</v>
      </c>
      <c r="G30" s="4" t="str">
        <v>審査は確定済みである旨が分かり、状態や押印を巻き戻さない。同じ旧審査依頼を二重実行しない。通知の再送方法は運用確認事項。</v>
      </c>
      <c r="H30" s="4" t="str">
        <v>－（表示文言のみの確認は単体に委ねる）</v>
      </c>
      <c r="I30" s="16"/>
      <c r="J30" s="13"/>
      <c r="K30" s="14"/>
      <c r="L30" s="13"/>
      <c r="M30" s="16"/>
      <c r="N30" s="13"/>
      <c r="O30" s="14"/>
      <c r="P30" s="15" t="str">
        <f>IF(I30="","未実施",IF(M30="",I30,M30))</f>
        <v>未実施</v>
      </c>
      <c r="Q30" s="4" t="str">
        <v>関連単体：1011-21
単体の表示・単独操作ではなく、期待結果の連携部分を追加判定。
根拠：R1011 / R1005
実施前にQ03の条件・期待を確認。</v>
      </c>
    </row>
    <row r="31" ht="133" customHeight="1">
      <c r="A31" s="15" t="str">
        <v>INT02-22</v>
      </c>
      <c r="B31" s="15" t="str">
        <v>異常系</v>
      </c>
      <c r="C31" s="4" t="str">
        <v>メール送信準備エラーでは審査前に止める</v>
      </c>
      <c r="D31" s="4" t="str">
        <v>1011U→1005U/添付</v>
      </c>
      <c r="E31" s="4" t="str">
        <v>D00共通
D03/D10。通知対象になるがSMTP設定欠落など送信準備に不備。</v>
      </c>
      <c r="F31" s="4" t="str">
        <v>手順1：審査を実行し、契約・期間・添付状態とファイルハッシュを処理前と比較する。</v>
      </c>
      <c r="G31" s="4" t="str">
        <v>現在のWebの事前検証では審査と押印を確定せず、処理前の状態を維持する。この運用をQ03で合意後に判定し、送信後失敗ケースと区別する。</v>
      </c>
      <c r="H31" s="4" t="str">
        <v>－（表示文言のみの確認は単体に委ねる）</v>
      </c>
      <c r="I31" s="16"/>
      <c r="J31" s="13"/>
      <c r="K31" s="14"/>
      <c r="L31" s="13"/>
      <c r="M31" s="16"/>
      <c r="N31" s="13"/>
      <c r="O31" s="14"/>
      <c r="P31" s="15" t="str">
        <f>IF(I31="","未実施",IF(M31="",I31,M31))</f>
        <v>未実施</v>
      </c>
      <c r="Q31" s="4" t="str">
        <v>関連単体：1011-21
単体の表示・単独操作ではなく、期待結果の連携部分を追加判定。
根拠：R1011 / R1005
実施前にQ03の条件・期待を確認。</v>
      </c>
    </row>
    <row r="32" ht="133" customHeight="1">
      <c r="A32" s="15" t="str">
        <v>INT02-23</v>
      </c>
      <c r="B32" s="15" t="str">
        <v>排他</v>
      </c>
      <c r="C32" s="4" t="str">
        <v>押印処理中に他者が変更した資料を保護</v>
      </c>
      <c r="D32" s="4" t="str">
        <v>1011U→添付/1005U</v>
      </c>
      <c r="E32" s="4" t="str">
        <v>D00共通
D03/D06。検証専用原紙。処理途中の実体変更を管理者が再現。</v>
      </c>
      <c r="F32" s="4" t="str">
        <v>手順1：審査押印中に別担当の実体変更を発生させ、処理結果・DB状態・元資料の内容を比較する。</v>
      </c>
      <c r="G32" s="4" t="str">
        <v>ファイル競合を検出して審査を部分確定せず、他者が変更した実体を古いバックアップで上書きしない。証跡と必要な復旧方法を管理者へ残す。</v>
      </c>
      <c r="H32" s="4" t="str">
        <v>－（表示文言のみの確認は単体に委ねる）</v>
      </c>
      <c r="I32" s="16"/>
      <c r="J32" s="13"/>
      <c r="K32" s="14"/>
      <c r="L32" s="13"/>
      <c r="M32" s="16"/>
      <c r="N32" s="13"/>
      <c r="O32" s="14"/>
      <c r="P32" s="15" t="str">
        <f>IF(I32="","未実施",IF(M32="",I32,M32))</f>
        <v>未実施</v>
      </c>
      <c r="Q32" s="4" t="str">
        <v>関連単体：1011-21
単体の表示・単独操作ではなく、期待結果の連携部分を追加判定。
根拠：R1011 / R1005
実施前にQ08の条件・期待を確認。</v>
      </c>
    </row>
    <row r="33" ht="150" customHeight="1">
      <c r="A33" s="15" t="str">
        <v>INT02-24</v>
      </c>
      <c r="B33" s="15" t="str">
        <v>仕様照合</v>
      </c>
      <c r="C33" s="4" t="str">
        <v>有効な申請と破棄・解約の選択混在</v>
      </c>
      <c r="D33" s="4" t="str">
        <v>1011U→1005U</v>
      </c>
      <c r="E33" s="4" t="str">
        <v>D00共通
D03。有効な審査対象と破棄・解約の対象外行を準備。検証専用契約。</v>
      </c>
      <c r="F33" s="4" t="str">
        <v>手順1：混在選択で審査を実施し、対象外の資料・DBと有効対象の処理を照合する。</v>
      </c>
      <c r="G33" s="4" t="str">
        <v>VBは破棄・解約のチェックを外して残りの対象を処理する。対象外は更新しない。Webの全件拒否を採用する場合はQ15で移行差異を合意し、合意結果に従って判定する。</v>
      </c>
      <c r="H33" s="4" t="str">
        <v>－（表示文言のみの確認は単体に委ねる）</v>
      </c>
      <c r="I33" s="16"/>
      <c r="J33" s="13"/>
      <c r="K33" s="14"/>
      <c r="L33" s="13"/>
      <c r="M33" s="16"/>
      <c r="N33" s="13"/>
      <c r="O33" s="14"/>
      <c r="P33" s="15" t="str">
        <f>IF(I33="","未実施",IF(M33="",I33,M33))</f>
        <v>未実施</v>
      </c>
      <c r="Q33" s="4" t="str">
        <v>関連単体：1011-19
単体の表示・単独操作ではなく、期待結果の連携部分を追加判定。
根拠：R1011 Screen 248～278 / validateCurrent
実施前にQ15の条件・期待を確認。</v>
      </c>
    </row>
    <row r="34" ht="150" customHeight="1">
      <c r="A34" s="15" t="str">
        <v>INT02-25</v>
      </c>
      <c r="B34" s="15" t="str">
        <v>異常系</v>
      </c>
      <c r="C34" s="4" t="str">
        <v>捺印保存のFalseと例外で確定範囲を区別</v>
      </c>
      <c r="D34" s="4" t="str">
        <v>1011U→1005U/添付</v>
      </c>
      <c r="E34" s="4" t="str">
        <v>D00共通
D03/D06。審査対象2契約と複数.xlsx。SaveAsだけが失敗してFalseを返す条件を管理者が準備。Open／Write例外はINT02-12に分担。</v>
      </c>
      <c r="F34" s="4" t="str">
        <v>手順1：一括審査し、失敗資料・先行資料・後続契約ごとのDB状態とファイルハッシュ、通知候補を照合する。</v>
      </c>
      <c r="G34" s="4" t="str">
        <v>VBのSaveAs失敗Falseは内側の添付ループを抜ける経路であり、伝播例外による全DBロールバックと同じ扱いにしない。先行DB更新のコミットや外側の契約処理継続の有無を記録する。WebはQ15で合意した保存単位・資料保護に従って判定し、未合意の部分確定を合格扱いにしない。</v>
      </c>
      <c r="H34" s="4" t="str">
        <v>－（連携先・保存結果を判定し、表示文言だけは単体に委ねる）</v>
      </c>
      <c r="I34" s="24"/>
      <c r="J34" s="23"/>
      <c r="K34" s="25"/>
      <c r="L34" s="23"/>
      <c r="M34" s="24"/>
      <c r="N34" s="23"/>
      <c r="O34" s="25"/>
      <c r="P34" s="15" t="str">
        <f>IF(I34="","未実施",IF(M34="",I34,M34))</f>
        <v>未実施</v>
      </c>
      <c r="Q34" s="4" t="str">
        <v>関連単体：1011-21
単体の表示・単独操作ではなく、期待結果の連携部分を追加判定。
根拠：R1011 SYONINButton_Click、共通C12/C13、VB1011-06/11
実施前にQ15の条件・期待を確認。</v>
      </c>
    </row>
  </sheetData>
  <mergeCells>
    <mergeCell ref="A1:H1"/>
    <mergeCell ref="A2:Q2"/>
    <mergeCell ref="A3:Q3"/>
    <mergeCell ref="A4:Q4"/>
    <mergeCell ref="A8:H8"/>
  </mergeCells>
  <conditionalFormatting sqref="P10:P33">
    <cfRule type="cellIs" dxfId="4" priority="1" operator="equal">
      <formula>"OK"</formula>
    </cfRule>
    <cfRule type="cellIs" dxfId="5" priority="2" operator="equal">
      <formula>"NG"</formula>
    </cfRule>
    <cfRule type="cellIs" dxfId="6" priority="3" operator="equal">
      <formula>"保留"</formula>
    </cfRule>
    <cfRule type="cellIs" dxfId="7" priority="4" operator="equal">
      <formula>"対象外"</formula>
    </cfRule>
  </conditionalFormatting>
  <conditionalFormatting sqref="P34:P34">
    <cfRule type="cellIs" dxfId="40" priority="5" operator="equal">
      <formula>"OK"</formula>
    </cfRule>
    <cfRule type="cellIs" dxfId="41" priority="6" operator="equal">
      <formula>"NG"</formula>
    </cfRule>
    <cfRule type="cellIs" dxfId="42" priority="7" operator="equal">
      <formula>"保留"</formula>
    </cfRule>
    <cfRule type="cellIs" dxfId="43" priority="8" operator="equal">
      <formula>"対象外"</formula>
    </cfRule>
  </conditionalFormatting>
  <dataValidations count="4">
    <dataValidation type="list" sqref="I10:I33">
      <formula1>"OK,NG,保留,対象外"</formula1>
    </dataValidation>
    <dataValidation type="list" sqref="M10:M33">
      <formula1>"OK,NG,保留,対象外"</formula1>
    </dataValidation>
    <dataValidation type="list" sqref="I34">
      <formula1>"OK,NG,保留,対象外"</formula1>
    </dataValidation>
    <dataValidation type="list" sqref="M34">
      <formula1>"OK,NG,保留,対象外"</formula1>
    </dataValidation>
  </dataValidations>
  <pageMargins left="0.3" right="0.3" top="0.4" bottom="0.4" header="0.2" footer="0.2"/>
  <pageSetup orientation="landscape" paperSize="8" scale="100" fitToWidth="0" fitToHeight="0"/>
</worksheet>
</file>

<file path=xl/worksheets/sheet5.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結合テスト仕様書｜パック契約・店舗直契約</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単体の入力チェック・初期表示・単独CRUDは「単体との対応」に委ねる。未実施の結果欄は空欄。Q付きケースは実施条件を確定後に着手する。</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COUNTA(A10:A28)</f>
        <v>19</v>
      </c>
      <c r="C6" s="9" t="str">
        <v>対象外件数</v>
      </c>
      <c r="D6" s="9" t="n">
        <f>COUNTIF(P10:P28,"対象外")</f>
        <v>0</v>
      </c>
      <c r="E6" s="9" t="str">
        <v>実テスト件数</v>
      </c>
      <c r="F6" s="9" t="n">
        <f>B6-D6</f>
        <v>19</v>
      </c>
      <c r="G6" s="9" t="str">
        <v>完了件数OK</v>
      </c>
      <c r="H6" s="9" t="n">
        <f>COUNTIF(P10:P28,"OK")</f>
        <v>0</v>
      </c>
      <c r="I6" s="9" t="str">
        <v>NG件数</v>
      </c>
      <c r="J6" s="9" t="n">
        <f>COUNTIF(P10:P28,"NG")</f>
        <v>0</v>
      </c>
      <c r="K6" s="9" t="str">
        <v>保留</v>
      </c>
      <c r="L6" s="9" t="n">
        <f>MAX(0,F6-H6-J6)</f>
        <v>19</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99" customHeight="1">
      <c r="A10" s="15" t="str">
        <v>INT03-01</v>
      </c>
      <c r="B10" s="15" t="str">
        <v>正常系</v>
      </c>
      <c r="C10" s="4" t="str">
        <v>パックの見積リンクと取引先見積の一致</v>
      </c>
      <c r="D10" s="4" t="str">
        <v>1009U→1004U</v>
      </c>
      <c r="E10" s="4" t="str">
        <v>D00共通
D04。パックの対象行と似た別行。</v>
      </c>
      <c r="F10" s="4" t="str">
        <v>手順1：見積依頼NOを開き、元行の見積ID・取引先・納入先・期間を照合して戻る。</v>
      </c>
      <c r="G10" s="4" t="str">
        <v>選択した見積の詳細だけが開かれ、契約行のIDや別行を使用しない。検索条件を保持して元の対象を再確認できる。</v>
      </c>
      <c r="H10" s="4" t="str">
        <v>－（表示文言のみの確認は単体に委ねる）</v>
      </c>
      <c r="I10" s="16"/>
      <c r="J10" s="13"/>
      <c r="K10" s="14"/>
      <c r="L10" s="13"/>
      <c r="M10" s="16"/>
      <c r="N10" s="13"/>
      <c r="O10" s="14"/>
      <c r="P10" s="15" t="str">
        <f>IF(I10="","未実施",IF(M10="",I10,M10))</f>
        <v>未実施</v>
      </c>
      <c r="Q10" s="4" t="str">
        <v>関連単体：1009-13
単体の表示・単独操作ではなく、期待結果の連携部分を追加判定。
根拠：R1009</v>
      </c>
    </row>
    <row r="11" ht="99" customHeight="1">
      <c r="A11" s="15" t="str">
        <v>INT03-02</v>
      </c>
      <c r="B11" s="15" t="str">
        <v>正常系</v>
      </c>
      <c r="C11" s="4" t="str">
        <v>パックからの契約作成が分類を保持</v>
      </c>
      <c r="D11" s="4" t="str">
        <v>1009U→1006U→1005U→1009U</v>
      </c>
      <c r="E11" s="4" t="str">
        <v>D00共通
D04/D02。パックの未契約見積。</v>
      </c>
      <c r="F11" s="4" t="str">
        <v>手順1：契約作成から機器選定・摘要・登録し、元画面と3007Uで再検索する。</v>
      </c>
      <c r="G11" s="4" t="str">
        <v>選定した見積に対応する契約ができ、PACK_FLG=1の条件でパック検索に現れる。TENPO_FLGも1で店舗対応条件も満たす場合は、店舗直側にも同じ契約が現れてよい。分類を相互排他と仮定しない。</v>
      </c>
      <c r="H11" s="4" t="str">
        <v>－（表示文言のみの確認は単体に委ねる）</v>
      </c>
      <c r="I11" s="16"/>
      <c r="J11" s="13"/>
      <c r="K11" s="14"/>
      <c r="L11" s="13"/>
      <c r="M11" s="16"/>
      <c r="N11" s="13"/>
      <c r="O11" s="14"/>
      <c r="P11" s="15" t="str">
        <f>IF(I11="","未実施",IF(M11="",I11,M11))</f>
        <v>未実施</v>
      </c>
      <c r="Q11" s="4" t="str">
        <v>関連単体：1009-15
単体の表示・単独操作ではなく、期待結果の連携部分を追加判定。
根拠：R1009 / R1006 / R1005</v>
      </c>
    </row>
    <row r="12" ht="99" customHeight="1">
      <c r="A12" s="15" t="str">
        <v>INT03-03</v>
      </c>
      <c r="B12" s="15" t="str">
        <v>正常系</v>
      </c>
      <c r="C12" s="4" t="str">
        <v>パックの契約リンクは同じ履歴を参照</v>
      </c>
      <c r="D12" s="4" t="str">
        <v>1009U→1005U</v>
      </c>
      <c r="E12" s="4" t="str">
        <v>D00共通
D04/D01。パックの複数期間契約。</v>
      </c>
      <c r="F12" s="4" t="str">
        <v>手順1：契約NOを開いて期間・個体IDを照合し、登録可能な備考を変更して再検索する。</v>
      </c>
      <c r="G12" s="4" t="str">
        <v>一覧の契約キーと内容画面の履歴キーが一致し、変更内容が同じ契約にだけ反映される。</v>
      </c>
      <c r="H12" s="4" t="str">
        <v>－（表示文言のみの確認は単体に委ねる）</v>
      </c>
      <c r="I12" s="16"/>
      <c r="J12" s="13"/>
      <c r="K12" s="14"/>
      <c r="L12" s="13"/>
      <c r="M12" s="16"/>
      <c r="N12" s="13"/>
      <c r="O12" s="14"/>
      <c r="P12" s="15" t="str">
        <f>IF(I12="","未実施",IF(M12="",I12,M12))</f>
        <v>未実施</v>
      </c>
      <c r="Q12" s="4" t="str">
        <v>関連単体：1009-14
単体の表示・単独操作ではなく、期待結果の連携部分を追加判定。
根拠：R1009 / R1005</v>
      </c>
    </row>
    <row r="13" ht="99" customHeight="1">
      <c r="A13" s="15" t="str">
        <v>INT03-04</v>
      </c>
      <c r="B13" s="15" t="str">
        <v>正常系</v>
      </c>
      <c r="C13" s="4" t="str">
        <v>パックの破棄で契約と元見積を同時更新</v>
      </c>
      <c r="D13" s="4" t="str">
        <v>1009U→3007U/1003U</v>
      </c>
      <c r="E13" s="4" t="str">
        <v>D00共通
D04。パック契約。過去月の支払いなし。</v>
      </c>
      <c r="F13" s="4" t="str">
        <v>手順1：元見積・契約のIDと状態を記録。
手順2：契約破棄を実行し、破棄を含め元画面と3007U/1003Uを再検索する。</v>
      </c>
      <c r="G13" s="4" t="str">
        <v>契約は破棄、対応する元見積は見積として再利用可能な状態となる。双方が同じ処理で確定し別契約を変えない。</v>
      </c>
      <c r="H13" s="4" t="str">
        <v>－（表示文言のみの確認は単体に委ねる）</v>
      </c>
      <c r="I13" s="16"/>
      <c r="J13" s="13"/>
      <c r="K13" s="14"/>
      <c r="L13" s="13"/>
      <c r="M13" s="16"/>
      <c r="N13" s="13"/>
      <c r="O13" s="14"/>
      <c r="P13" s="15" t="str">
        <f>IF(I13="","未実施",IF(M13="",I13,M13))</f>
        <v>未実施</v>
      </c>
      <c r="Q13" s="4" t="str">
        <v>関連単体：1009-19
単体の表示・単独操作ではなく、期待結果の連携部分を追加判定。
根拠：R1009 / R3007</v>
      </c>
    </row>
    <row r="14" ht="99" customHeight="1">
      <c r="A14" s="15" t="str">
        <v>INT03-05</v>
      </c>
      <c r="B14" s="15" t="str">
        <v>異常系</v>
      </c>
      <c r="C14" s="4" t="str">
        <v>パックの過去支払発生時に両側を保護</v>
      </c>
      <c r="D14" s="4" t="str">
        <v>1009U→3002U/3007U</v>
      </c>
      <c r="E14" s="4" t="str">
        <v>D00共通
D04/D07。パック契約、最初の支払月が実行月より前。</v>
      </c>
      <c r="F14" s="4" t="str">
        <v>手順1：支払い出力で対象を確認後、契約破棄を実行。
手順2：元見積と契約を他画面でも再検索する。</v>
      </c>
      <c r="G14" s="4" t="str">
        <v>破棄が拒否され、契約だけ破棄・見積だけ復帰する部分更新を残さない。既存支払いの参照結果を保つ。</v>
      </c>
      <c r="H14" s="4" t="str">
        <v>－（表示文言のみの確認は単体に委ねる）</v>
      </c>
      <c r="I14" s="16"/>
      <c r="J14" s="13"/>
      <c r="K14" s="14"/>
      <c r="L14" s="13"/>
      <c r="M14" s="16"/>
      <c r="N14" s="13"/>
      <c r="O14" s="14"/>
      <c r="P14" s="15" t="str">
        <f>IF(I14="","未実施",IF(M14="",I14,M14))</f>
        <v>未実施</v>
      </c>
      <c r="Q14" s="4" t="str">
        <v>関連単体：1009-18
単体の表示・単独操作ではなく、期待結果の連携部分を追加判定。
根拠：R1009 / R3002 / R3007</v>
      </c>
    </row>
    <row r="15" ht="99" customHeight="1">
      <c r="A15" s="15" t="str">
        <v>INT03-06</v>
      </c>
      <c r="B15" s="15" t="str">
        <v>正常系</v>
      </c>
      <c r="C15" s="4" t="str">
        <v>パックの当月・未来支払い境界で破棄整合</v>
      </c>
      <c r="D15" s="4" t="str">
        <v>1009U→3007U</v>
      </c>
      <c r="E15" s="4" t="str">
        <v>D00共通
D04。最初の支払月が当月の契約と未来月の契約を別々に準備。</v>
      </c>
      <c r="F15" s="4" t="str">
        <v>手順1：各契約を破棄し元見積・契約の状態を照合する。
手順2：過去支払ケースと比較する。</v>
      </c>
      <c r="G15" s="4" t="str">
        <v>VBの過去月支払判定に従い、当月・未来月を過去支払として誤拒否しない。破棄成功時は双方の状態が整合する。</v>
      </c>
      <c r="H15" s="4" t="str">
        <v>－（表示文言のみの確認は単体に委ねる）</v>
      </c>
      <c r="I15" s="16"/>
      <c r="J15" s="13"/>
      <c r="K15" s="14"/>
      <c r="L15" s="13"/>
      <c r="M15" s="16"/>
      <c r="N15" s="13"/>
      <c r="O15" s="14"/>
      <c r="P15" s="15" t="str">
        <f>IF(I15="","未実施",IF(M15="",I15,M15))</f>
        <v>未実施</v>
      </c>
      <c r="Q15" s="4" t="str">
        <v>関連単体：1009-18
単体の表示・単独操作ではなく、期待結果の連携部分を追加判定。
根拠：R1009 / R3007</v>
      </c>
    </row>
    <row r="16" ht="116" customHeight="1">
      <c r="A16" s="15" t="str">
        <v>INT03-07</v>
      </c>
      <c r="B16" s="15" t="str">
        <v>正常系</v>
      </c>
      <c r="C16" s="4" t="str">
        <v>パックの並び替え後に別契約を更新しない</v>
      </c>
      <c r="D16" s="4" t="str">
        <v>1009U→1005U/3007U</v>
      </c>
      <c r="E16" s="4" t="str">
        <v>D00共通
D04。対象の前後に破棄可能な別契約を配置。</v>
      </c>
      <c r="F16" s="4" t="str">
        <v>手順1：一覧の並びが変わる操作後に対象契約を開き、対象行の破棄を実行。
手順2：全3件を再検索する。</v>
      </c>
      <c r="G16" s="4" t="str">
        <v>表示した対象の契約IDが詳細・破棄操作へ渡り、元の行番号にあった別契約を開いたり破棄したりしない。</v>
      </c>
      <c r="H16" s="4" t="str">
        <v>－（表示文言のみの確認は単体に委ねる）</v>
      </c>
      <c r="I16" s="16"/>
      <c r="J16" s="13"/>
      <c r="K16" s="14"/>
      <c r="L16" s="13"/>
      <c r="M16" s="16"/>
      <c r="N16" s="13"/>
      <c r="O16" s="14"/>
      <c r="P16" s="15" t="str">
        <f>IF(I16="","未実施",IF(M16="",I16,M16))</f>
        <v>未実施</v>
      </c>
      <c r="Q16" s="4" t="str">
        <v>関連単体：1009-11, 1009-14, 1009-19
単体の表示・単独操作ではなく、期待結果の連携部分を追加判定。
根拠：R1009 / R1005 / R3007</v>
      </c>
    </row>
    <row r="17" ht="99" customHeight="1">
      <c r="A17" s="15" t="str">
        <v>INT03-08</v>
      </c>
      <c r="B17" s="15" t="str">
        <v>排他</v>
      </c>
      <c r="C17" s="4" t="str">
        <v>パックの古い一覧からの二重破棄防止</v>
      </c>
      <c r="D17" s="4" t="str">
        <v>1009U→3007U</v>
      </c>
      <c r="E17" s="4" t="str">
        <v>D00共通
D04。A/Bが同じ契約を検索。</v>
      </c>
      <c r="F17" s="4" t="str">
        <v>手順1：Aが先に破棄。
手順2：Bは検索し直さず同じ行を破棄し、元見積と契約を再確認する。</v>
      </c>
      <c r="G17" s="4" t="str">
        <v>後発処理は最新状態を確認して拒否され、先発の結果を保つ。見積の重複復帰や別契約の更新を起こさない。</v>
      </c>
      <c r="H17" s="4" t="str">
        <v>－（表示文言のみの確認は単体に委ねる）</v>
      </c>
      <c r="I17" s="16"/>
      <c r="J17" s="13"/>
      <c r="K17" s="14"/>
      <c r="L17" s="13"/>
      <c r="M17" s="16"/>
      <c r="N17" s="13"/>
      <c r="O17" s="14"/>
      <c r="P17" s="15" t="str">
        <f>IF(I17="","未実施",IF(M17="",I17,M17))</f>
        <v>未実施</v>
      </c>
      <c r="Q17" s="4" t="str">
        <v>関連単体：1009-19
単体の表示・単独操作ではなく、期待結果の連携部分を追加判定。
根拠：R1009 / R3007</v>
      </c>
    </row>
    <row r="18" ht="99" customHeight="1">
      <c r="A18" s="15" t="str">
        <v>INT03-09</v>
      </c>
      <c r="B18" s="15" t="str">
        <v>正常系</v>
      </c>
      <c r="C18" s="4" t="str">
        <v>店舗直の見積リンクと取引先見積の一致</v>
      </c>
      <c r="D18" s="4" t="str">
        <v>1010U→1004U</v>
      </c>
      <c r="E18" s="4" t="str">
        <v>D00共通
D04。店舗直の対象行と似た別行。</v>
      </c>
      <c r="F18" s="4" t="str">
        <v>手順1：見積依頼NOを開き、元行の見積ID・取引先・納入先・期間を照合して戻る。</v>
      </c>
      <c r="G18" s="4" t="str">
        <v>選択した見積の詳細だけが開かれ、契約行のIDや別行を使用しない。検索条件を保持して元の対象を再確認できる。</v>
      </c>
      <c r="H18" s="4" t="str">
        <v>－（表示文言のみの確認は単体に委ねる）</v>
      </c>
      <c r="I18" s="16"/>
      <c r="J18" s="13"/>
      <c r="K18" s="14"/>
      <c r="L18" s="13"/>
      <c r="M18" s="16"/>
      <c r="N18" s="13"/>
      <c r="O18" s="14"/>
      <c r="P18" s="15" t="str">
        <f>IF(I18="","未実施",IF(M18="",I18,M18))</f>
        <v>未実施</v>
      </c>
      <c r="Q18" s="4" t="str">
        <v>関連単体：1010-14
単体の表示・単独操作ではなく、期待結果の連携部分を追加判定。
根拠：R1010</v>
      </c>
    </row>
    <row r="19" ht="99" customHeight="1">
      <c r="A19" s="15" t="str">
        <v>INT03-10</v>
      </c>
      <c r="B19" s="15" t="str">
        <v>正常系</v>
      </c>
      <c r="C19" s="4" t="str">
        <v>店舗直からの契約作成が分類を保持</v>
      </c>
      <c r="D19" s="4" t="str">
        <v>1010U→1006U→1005U→1010U</v>
      </c>
      <c r="E19" s="4" t="str">
        <v>D00共通
D04/D02。店舗直の未契約見積。</v>
      </c>
      <c r="F19" s="4" t="str">
        <v>手順1：契約作成から機器選定・摘要・登録し、元画面と3007Uで再検索する。</v>
      </c>
      <c r="G19" s="4" t="str">
        <v>選定した見積に対応する契約ができ、TENPO_FLG=1かつプラント・店舗の結合条件を満たして店舗直検索に現れる。PACK_FLGも1ならパック検索にも同じ契約が現れてよい。</v>
      </c>
      <c r="H19" s="4" t="str">
        <v>－（表示文言のみの確認は単体に委ねる）</v>
      </c>
      <c r="I19" s="16"/>
      <c r="J19" s="13"/>
      <c r="K19" s="14"/>
      <c r="L19" s="13"/>
      <c r="M19" s="16"/>
      <c r="N19" s="13"/>
      <c r="O19" s="14"/>
      <c r="P19" s="15" t="str">
        <f>IF(I19="","未実施",IF(M19="",I19,M19))</f>
        <v>未実施</v>
      </c>
      <c r="Q19" s="4" t="str">
        <v>関連単体：1010-16
単体の表示・単独操作ではなく、期待結果の連携部分を追加判定。
根拠：R1010 / R1006 / R1005</v>
      </c>
    </row>
    <row r="20" ht="99" customHeight="1">
      <c r="A20" s="15" t="str">
        <v>INT03-11</v>
      </c>
      <c r="B20" s="15" t="str">
        <v>正常系</v>
      </c>
      <c r="C20" s="4" t="str">
        <v>店舗直の契約リンクは同じ履歴を参照</v>
      </c>
      <c r="D20" s="4" t="str">
        <v>1010U→1005U</v>
      </c>
      <c r="E20" s="4" t="str">
        <v>D00共通
D04/D01。店舗直の複数期間契約。</v>
      </c>
      <c r="F20" s="4" t="str">
        <v>手順1：契約NOを開いて期間・個体IDを照合し、登録可能な備考を変更して再検索する。</v>
      </c>
      <c r="G20" s="4" t="str">
        <v>一覧の契約キーと内容画面の履歴キーが一致し、変更内容が同じ契約にだけ反映される。</v>
      </c>
      <c r="H20" s="4" t="str">
        <v>－（表示文言のみの確認は単体に委ねる）</v>
      </c>
      <c r="I20" s="16"/>
      <c r="J20" s="13"/>
      <c r="K20" s="14"/>
      <c r="L20" s="13"/>
      <c r="M20" s="16"/>
      <c r="N20" s="13"/>
      <c r="O20" s="14"/>
      <c r="P20" s="15" t="str">
        <f>IF(I20="","未実施",IF(M20="",I20,M20))</f>
        <v>未実施</v>
      </c>
      <c r="Q20" s="4" t="str">
        <v>関連単体：1010-15
単体の表示・単独操作ではなく、期待結果の連携部分を追加判定。
根拠：R1010 / R1005</v>
      </c>
    </row>
    <row r="21" ht="99" customHeight="1">
      <c r="A21" s="15" t="str">
        <v>INT03-12</v>
      </c>
      <c r="B21" s="15" t="str">
        <v>正常系</v>
      </c>
      <c r="C21" s="4" t="str">
        <v>店舗直の破棄で契約と元見積を同時更新</v>
      </c>
      <c r="D21" s="4" t="str">
        <v>1010U→3007U/1003U</v>
      </c>
      <c r="E21" s="4" t="str">
        <v>D00共通
D04。店舗直契約。過去月の支払いなし。</v>
      </c>
      <c r="F21" s="4" t="str">
        <v>手順1：元見積・契約のIDと状態を記録。
手順2：契約破棄を実行し、破棄を含め元画面と3007U/1003Uを再検索する。</v>
      </c>
      <c r="G21" s="4" t="str">
        <v>契約は破棄、対応する元見積は見積として再利用可能な状態となる。双方が同じ処理で確定し別契約を変えない。</v>
      </c>
      <c r="H21" s="4" t="str">
        <v>－（表示文言のみの確認は単体に委ねる）</v>
      </c>
      <c r="I21" s="16"/>
      <c r="J21" s="13"/>
      <c r="K21" s="14"/>
      <c r="L21" s="13"/>
      <c r="M21" s="16"/>
      <c r="N21" s="13"/>
      <c r="O21" s="14"/>
      <c r="P21" s="15" t="str">
        <f>IF(I21="","未実施",IF(M21="",I21,M21))</f>
        <v>未実施</v>
      </c>
      <c r="Q21" s="4" t="str">
        <v>関連単体：1010-20
単体の表示・単独操作ではなく、期待結果の連携部分を追加判定。
根拠：R1010 / R3007</v>
      </c>
    </row>
    <row r="22" ht="99" customHeight="1">
      <c r="A22" s="15" t="str">
        <v>INT03-13</v>
      </c>
      <c r="B22" s="15" t="str">
        <v>異常系</v>
      </c>
      <c r="C22" s="4" t="str">
        <v>店舗直の過去支払発生時に両側を保護</v>
      </c>
      <c r="D22" s="4" t="str">
        <v>1010U→3002U/3007U</v>
      </c>
      <c r="E22" s="4" t="str">
        <v>D00共通
D04/D07。店舗直契約、最初の支払月が実行月より前。</v>
      </c>
      <c r="F22" s="4" t="str">
        <v>手順1：支払い出力で対象を確認後、契約破棄を実行。
手順2：元見積と契約を他画面でも再検索する。</v>
      </c>
      <c r="G22" s="4" t="str">
        <v>破棄が拒否され、契約だけ破棄・見積だけ復帰する部分更新を残さない。既存支払いの参照結果を保つ。</v>
      </c>
      <c r="H22" s="4" t="str">
        <v>－（表示文言のみの確認は単体に委ねる）</v>
      </c>
      <c r="I22" s="16"/>
      <c r="J22" s="13"/>
      <c r="K22" s="14"/>
      <c r="L22" s="13"/>
      <c r="M22" s="16"/>
      <c r="N22" s="13"/>
      <c r="O22" s="14"/>
      <c r="P22" s="15" t="str">
        <f>IF(I22="","未実施",IF(M22="",I22,M22))</f>
        <v>未実施</v>
      </c>
      <c r="Q22" s="4" t="str">
        <v>関連単体：1010-19
単体の表示・単独操作ではなく、期待結果の連携部分を追加判定。
根拠：R1010 / R3002 / R3007</v>
      </c>
    </row>
    <row r="23" ht="99" customHeight="1">
      <c r="A23" s="15" t="str">
        <v>INT03-14</v>
      </c>
      <c r="B23" s="15" t="str">
        <v>正常系</v>
      </c>
      <c r="C23" s="4" t="str">
        <v>店舗直の当月・未来支払い境界で破棄整合</v>
      </c>
      <c r="D23" s="4" t="str">
        <v>1010U→3007U</v>
      </c>
      <c r="E23" s="4" t="str">
        <v>D00共通
D04。最初の支払月が当月の契約と未来月の契約を別々に準備。</v>
      </c>
      <c r="F23" s="4" t="str">
        <v>手順1：各契約を破棄し元見積・契約の状態を照合する。
手順2：過去支払ケースと比較する。</v>
      </c>
      <c r="G23" s="4" t="str">
        <v>VBの過去月支払判定に従い、当月・未来月を過去支払として誤拒否しない。破棄成功時は双方の状態が整合する。</v>
      </c>
      <c r="H23" s="4" t="str">
        <v>－（表示文言のみの確認は単体に委ねる）</v>
      </c>
      <c r="I23" s="16"/>
      <c r="J23" s="13"/>
      <c r="K23" s="14"/>
      <c r="L23" s="13"/>
      <c r="M23" s="16"/>
      <c r="N23" s="13"/>
      <c r="O23" s="14"/>
      <c r="P23" s="15" t="str">
        <f>IF(I23="","未実施",IF(M23="",I23,M23))</f>
        <v>未実施</v>
      </c>
      <c r="Q23" s="4" t="str">
        <v>関連単体：1010-19
単体の表示・単独操作ではなく、期待結果の連携部分を追加判定。
根拠：R1010 / R3007</v>
      </c>
    </row>
    <row r="24" ht="116" customHeight="1">
      <c r="A24" s="15" t="str">
        <v>INT03-15</v>
      </c>
      <c r="B24" s="15" t="str">
        <v>正常系</v>
      </c>
      <c r="C24" s="4" t="str">
        <v>店舗直の並び替え後に別契約を更新しない</v>
      </c>
      <c r="D24" s="4" t="str">
        <v>1010U→1005U/3007U</v>
      </c>
      <c r="E24" s="4" t="str">
        <v>D00共通
D04。対象の前後に破棄可能な別契約を配置。</v>
      </c>
      <c r="F24" s="4" t="str">
        <v>手順1：一覧の並びが変わる操作後に対象契約を開き、対象行の破棄を実行。
手順2：全3件を再検索する。</v>
      </c>
      <c r="G24" s="4" t="str">
        <v>表示した対象の契約IDが詳細・破棄操作へ渡り、元の行番号にあった別契約を開いたり破棄したりしない。</v>
      </c>
      <c r="H24" s="4" t="str">
        <v>－（表示文言のみの確認は単体に委ねる）</v>
      </c>
      <c r="I24" s="16"/>
      <c r="J24" s="13"/>
      <c r="K24" s="14"/>
      <c r="L24" s="13"/>
      <c r="M24" s="16"/>
      <c r="N24" s="13"/>
      <c r="O24" s="14"/>
      <c r="P24" s="15" t="str">
        <f>IF(I24="","未実施",IF(M24="",I24,M24))</f>
        <v>未実施</v>
      </c>
      <c r="Q24" s="4" t="str">
        <v>関連単体：1010-12, 1010-15, 1010-20
単体の表示・単独操作ではなく、期待結果の連携部分を追加判定。
根拠：R1010 / R1005 / R3007</v>
      </c>
    </row>
    <row r="25" ht="99" customHeight="1">
      <c r="A25" s="15" t="str">
        <v>INT03-16</v>
      </c>
      <c r="B25" s="15" t="str">
        <v>排他</v>
      </c>
      <c r="C25" s="4" t="str">
        <v>店舗直の古い一覧からの二重破棄防止</v>
      </c>
      <c r="D25" s="4" t="str">
        <v>1010U→3007U</v>
      </c>
      <c r="E25" s="4" t="str">
        <v>D00共通
D04。A/Bが同じ契約を検索。</v>
      </c>
      <c r="F25" s="4" t="str">
        <v>手順1：Aが先に破棄。
手順2：Bは検索し直さず同じ行を破棄し、元見積と契約を再確認する。</v>
      </c>
      <c r="G25" s="4" t="str">
        <v>後発処理は最新状態を確認して拒否され、先発の結果を保つ。見積の重複復帰や別契約の更新を起こさない。</v>
      </c>
      <c r="H25" s="4" t="str">
        <v>－（表示文言のみの確認は単体に委ねる）</v>
      </c>
      <c r="I25" s="16"/>
      <c r="J25" s="13"/>
      <c r="K25" s="14"/>
      <c r="L25" s="13"/>
      <c r="M25" s="16"/>
      <c r="N25" s="13"/>
      <c r="O25" s="14"/>
      <c r="P25" s="15" t="str">
        <f>IF(I25="","未実施",IF(M25="",I25,M25))</f>
        <v>未実施</v>
      </c>
      <c r="Q25" s="4" t="str">
        <v>関連単体：1010-20
単体の表示・単独操作ではなく、期待結果の連携部分を追加判定。
根拠：R1010 / R3007</v>
      </c>
    </row>
    <row r="26" ht="82" customHeight="1">
      <c r="A26" s="15" t="str">
        <v>INT03-17</v>
      </c>
      <c r="B26" s="15" t="str">
        <v>取消</v>
      </c>
      <c r="C26" s="4" t="str">
        <v>パックの破棄取消で元見積・契約を保持</v>
      </c>
      <c r="D26" s="4" t="str">
        <v>1009U→1005U</v>
      </c>
      <c r="E26" s="4" t="str">
        <v>D00共通
D04。破棄可能なパック契約。</v>
      </c>
      <c r="F26" s="4" t="str">
        <v>手順1：破棄の確認を取消し、同条件を再検索、契約内容と元見積状態を照合する。</v>
      </c>
      <c r="G26" s="4" t="str">
        <v>契約の破棄状態・元見積の復帰状態・監査値がいずれも変わらず、元の契約と履歴を参照できる。</v>
      </c>
      <c r="H26" s="4" t="str">
        <v>－（表示文言のみの確認は単体に委ねる）</v>
      </c>
      <c r="I26" s="16"/>
      <c r="J26" s="13"/>
      <c r="K26" s="14"/>
      <c r="L26" s="13"/>
      <c r="M26" s="16"/>
      <c r="N26" s="13"/>
      <c r="O26" s="14"/>
      <c r="P26" s="15" t="str">
        <f>IF(I26="","未実施",IF(M26="",I26,M26))</f>
        <v>未実施</v>
      </c>
      <c r="Q26" s="4" t="str">
        <v>単体未収録画面を含む／単体にない連携判定。
根拠：R1009 Screen 210～254</v>
      </c>
    </row>
    <row r="27" ht="82" customHeight="1">
      <c r="A27" s="15" t="str">
        <v>INT03-18</v>
      </c>
      <c r="B27" s="15" t="str">
        <v>取消</v>
      </c>
      <c r="C27" s="4" t="str">
        <v>店舗直の破棄取消で元見積・契約を保持</v>
      </c>
      <c r="D27" s="4" t="str">
        <v>1010U→1005U</v>
      </c>
      <c r="E27" s="4" t="str">
        <v>D00共通
D04。破棄可能な店舗直契約。</v>
      </c>
      <c r="F27" s="4" t="str">
        <v>手順1：破棄の確認を取消し、同条件を再検索、契約内容と元見積状態を照合する。</v>
      </c>
      <c r="G27" s="4" t="str">
        <v>契約の破棄状態・元見積の復帰状態・監査値がいずれも変わらず、元の契約と履歴を参照できる。</v>
      </c>
      <c r="H27" s="4" t="str">
        <v>－（表示文言のみの確認は単体に委ねる）</v>
      </c>
      <c r="I27" s="16"/>
      <c r="J27" s="13"/>
      <c r="K27" s="14"/>
      <c r="L27" s="13"/>
      <c r="M27" s="16"/>
      <c r="N27" s="13"/>
      <c r="O27" s="14"/>
      <c r="P27" s="15" t="str">
        <f>IF(I27="","未実施",IF(M27="",I27,M27))</f>
        <v>未実施</v>
      </c>
      <c r="Q27" s="4" t="str">
        <v>単体未収録画面を含む／単体にない連携判定。
根拠：R1010 Screen 210～254</v>
      </c>
    </row>
    <row r="28" ht="82" customHeight="1">
      <c r="A28" s="15" t="str">
        <v>INT03-19</v>
      </c>
      <c r="B28" s="15" t="str">
        <v>正常系</v>
      </c>
      <c r="C28" s="4" t="str">
        <v>パック・店舗直の両フラグを満たす同一契約</v>
      </c>
      <c r="D28" s="4" t="str">
        <v>1009U/1010U→1005U</v>
      </c>
      <c r="E28" s="4" t="str">
        <v>D00共通
D04。元見積のPACK_FLG=1/TENPO_FLG=1。店舗直のプラント・事業所対応も成立。</v>
      </c>
      <c r="F28" s="4" t="str">
        <v>手順1：両検索で同じ契約を開き、契約内容・期間キーを照合。
手順2：一方で変更登録後、他方から再表示する。</v>
      </c>
      <c r="G28" s="4" t="str">
        <v>両条件に該当する同一契約が両検索で同じキーを指す。片方からの許可された更新を他方でも参照でき、別の契約を分類ごとに二重作成しない。</v>
      </c>
      <c r="H28" s="4" t="str">
        <v>－（表示文言のみの確認は単体に委ねる）</v>
      </c>
      <c r="I28" s="16"/>
      <c r="J28" s="13"/>
      <c r="K28" s="14"/>
      <c r="L28" s="13"/>
      <c r="M28" s="16"/>
      <c r="N28" s="13"/>
      <c r="O28" s="14"/>
      <c r="P28" s="15" t="str">
        <f>IF(I28="","未実施",IF(M28="",I28,M28))</f>
        <v>未実施</v>
      </c>
      <c r="Q28" s="4" t="str">
        <v>単体未収録画面を含む／単体にない連携判定。
根拠：R1009/R1010 MCM_1003_V TableAdapter、R1005</v>
      </c>
    </row>
  </sheetData>
  <mergeCells>
    <mergeCell ref="A1:H1"/>
    <mergeCell ref="A2:Q2"/>
    <mergeCell ref="A3:Q3"/>
    <mergeCell ref="A4:Q4"/>
    <mergeCell ref="A8:H8"/>
  </mergeCells>
  <conditionalFormatting sqref="P10:P28">
    <cfRule type="cellIs" dxfId="8" priority="1" operator="equal">
      <formula>"OK"</formula>
    </cfRule>
    <cfRule type="cellIs" dxfId="9" priority="2" operator="equal">
      <formula>"NG"</formula>
    </cfRule>
    <cfRule type="cellIs" dxfId="10" priority="3" operator="equal">
      <formula>"保留"</formula>
    </cfRule>
    <cfRule type="cellIs" dxfId="11" priority="4" operator="equal">
      <formula>"対象外"</formula>
    </cfRule>
  </conditionalFormatting>
  <dataValidations count="2">
    <dataValidation type="list" sqref="I10:I28">
      <formula1>"OK,NG,保留,対象外"</formula1>
    </dataValidation>
    <dataValidation type="list" sqref="M10:M28">
      <formula1>"OK,NG,保留,対象外"</formula1>
    </dataValidation>
  </dataValidations>
  <pageMargins left="0.3" right="0.3" top="0.4" bottom="0.4" header="0.2" footer="0.2"/>
  <pageSetup orientation="landscape" paperSize="8" scale="100" fitToWidth="0" fitToHeight="0"/>
</worksheet>
</file>

<file path=xl/worksheets/sheet6.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結合テスト仕様書｜ユーザー契約内容・変更</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COUNTA(A10:A33)</f>
        <v>24</v>
      </c>
      <c r="C6" s="9" t="str">
        <v>対象外件数</v>
      </c>
      <c r="D6" s="9" t="n">
        <f>COUNTIF(P10:P33,"対象外")</f>
        <v>0</v>
      </c>
      <c r="E6" s="9" t="str">
        <v>実テスト件数</v>
      </c>
      <c r="F6" s="9" t="n">
        <f>B6-D6</f>
        <v>24</v>
      </c>
      <c r="G6" s="9" t="str">
        <v>完了件数OK</v>
      </c>
      <c r="H6" s="9" t="n">
        <f>COUNTIF(P10:P33,"OK")</f>
        <v>0</v>
      </c>
      <c r="I6" s="9" t="str">
        <v>NG件数</v>
      </c>
      <c r="J6" s="9" t="n">
        <f>COUNTIF(P10:P33,"NG")</f>
        <v>0</v>
      </c>
      <c r="K6" s="9" t="str">
        <v>保留</v>
      </c>
      <c r="L6" s="9" t="n">
        <f>MAX(0,F6-H6-J6)</f>
        <v>24</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99" customHeight="1">
      <c r="A10" s="15" t="str">
        <v>INT04-01</v>
      </c>
      <c r="B10" s="15" t="str">
        <v>正常系</v>
      </c>
      <c r="C10" s="4" t="str">
        <v>検索選択のユーザー契約と期間キーが一致</v>
      </c>
      <c r="D10" s="4" t="str">
        <v>2004U→2006U</v>
      </c>
      <c r="E10" s="4" t="str">
        <v>D00共通
D01のユーザー契約版。複数契約・複数期間。</v>
      </c>
      <c r="F10" s="4" t="str">
        <v>手順1：2004Uで契約NOを選び、契約・各期間・ブランド・構成・明細・個体のキーを照合する。</v>
      </c>
      <c r="G10" s="4" t="str">
        <v>同じユーザー契約に属する履歴だけを参照し、取引先契約や別期間の機器を取り違えない。</v>
      </c>
      <c r="H10" s="4" t="str">
        <v>－（表示文言のみの確認は単体に委ねる）</v>
      </c>
      <c r="I10" s="16"/>
      <c r="J10" s="13"/>
      <c r="K10" s="14"/>
      <c r="L10" s="13"/>
      <c r="M10" s="16"/>
      <c r="N10" s="13"/>
      <c r="O10" s="14"/>
      <c r="P10" s="15" t="str">
        <f>IF(I10="","未実施",IF(M10="",I10,M10))</f>
        <v>未実施</v>
      </c>
      <c r="Q10" s="4" t="str">
        <v>関連単体：2006-1
単体の表示・単独操作ではなく、期待結果の連携部分を追加判定。
根拠：R2006</v>
      </c>
    </row>
    <row r="11" ht="99" customHeight="1">
      <c r="A11" s="15" t="str">
        <v>INT04-02</v>
      </c>
      <c r="B11" s="15" t="str">
        <v>正常系</v>
      </c>
      <c r="C11" s="4" t="str">
        <v>新規見積からユーザー契約を確定</v>
      </c>
      <c r="D11" s="4" t="str">
        <v>2004U→2007U→2006U→2004U</v>
      </c>
      <c r="E11" s="4" t="str">
        <v>D00共通
D02のユーザー見積版、作成権限A。2004Uの検索結果から選択する。3007U入口はINT05-07で別確認。</v>
      </c>
      <c r="F11" s="4" t="str">
        <v>手順1：2004Uの対象見積から契約作成、2画面でブランド・個体を選定し摘要。
手順2：2006Uで登録し、2004Uを同じ条件で再検索して契約を開く。</v>
      </c>
      <c r="G11" s="4" t="str">
        <v>見積と選定機器の対応を保ったユーザー契約が1件確定する。摘要だけでは検索に確定契約を出さず、登録後の契約キーを後続画面で参照できる。</v>
      </c>
      <c r="H11" s="4" t="str">
        <v>－（表示文言のみの確認は単体に委ねる）</v>
      </c>
      <c r="I11" s="16"/>
      <c r="J11" s="13"/>
      <c r="K11" s="14"/>
      <c r="L11" s="13"/>
      <c r="M11" s="16"/>
      <c r="N11" s="13"/>
      <c r="O11" s="14"/>
      <c r="P11" s="15" t="str">
        <f>IF(I11="","未実施",IF(M11="",I11,M11))</f>
        <v>未実施</v>
      </c>
      <c r="Q11" s="4" t="str">
        <v>関連単体：2006-3
単体の表示・単独操作ではなく、期待結果の連携部分を追加判定。
根拠：R2007 / R2006</v>
      </c>
    </row>
    <row r="12" ht="133" customHeight="1">
      <c r="A12" s="15" t="str">
        <v>INT04-03</v>
      </c>
      <c r="B12" s="15" t="str">
        <v>正常系</v>
      </c>
      <c r="C12" s="4" t="str">
        <v>選定ブランドと未選定ブランドの採用元を保持</v>
      </c>
      <c r="D12" s="4" t="str">
        <v>2007U1/U2→2006U</v>
      </c>
      <c r="E12" s="4" t="str">
        <v>D00共通
D02。プラントに2ブランド。1つは選定見積から採用し、もう1つは未選定でマスタに存在。同名機器を別ブランドにも持たせる。</v>
      </c>
      <c r="F12" s="4" t="str">
        <v>手順1：1ブランドだけを選び次へ、対象個体を摘要・登録。
手順2：親の4階層とDBの参照キーを照合する。</v>
      </c>
      <c r="G12" s="4" t="str">
        <v>選定ブランドは元見積、未選定の残るプラントブランドはマスタから契約期間へ追加される。未選定ブランド行の存在自体を混入と判定しない。ブランド・構成・明細・個体の親子キーを維持し、未採用機器を選定機器として保存しない。</v>
      </c>
      <c r="H12" s="4" t="str">
        <v>－（表示文言のみの確認は単体に委ねる）</v>
      </c>
      <c r="I12" s="16"/>
      <c r="J12" s="13"/>
      <c r="K12" s="14"/>
      <c r="L12" s="13"/>
      <c r="M12" s="16"/>
      <c r="N12" s="13"/>
      <c r="O12" s="14"/>
      <c r="P12" s="15" t="str">
        <f>IF(I12="","未実施",IF(M12="",I12,M12))</f>
        <v>未実施</v>
      </c>
      <c r="Q12" s="4" t="str">
        <v>関連単体：2006-3
単体の表示・単独操作ではなく、期待結果の連携部分を追加判定。
根拠：R2006 SearchSinki・setKikiKoseiDataTable、VB2006-14/15、R2007</v>
      </c>
    </row>
    <row r="13" ht="116" customHeight="1">
      <c r="A13" s="15" t="str">
        <v>INT04-04</v>
      </c>
      <c r="B13" s="15" t="str">
        <v>正常系</v>
      </c>
      <c r="C13" s="4" t="str">
        <v>個体選定変更が数量と保守金額へ反映</v>
      </c>
      <c r="D13" s="4" t="str">
        <v>2007U2→2006U→3004U</v>
      </c>
      <c r="E13" s="4" t="str">
        <v>D00共通
D02。選定する個体管理明細を2件以上持つ構成。各明細の選定個体数が同じ場合／異なる場合／個体管理明細なしを別データで準備。</v>
      </c>
      <c r="F13" s="4" t="str">
        <v>手順1：個体の一部を選定し摘要・登録。
手順2：契約の各階層数量と保守金額、該当する作業予定確認を照合する。</v>
      </c>
      <c r="G13" s="4" t="str">
        <v>選定した個体管理明細ごとのON個体数が全て同じなら構成セット数はその数となる。異なる場合または対象明細0件なら1となる。摘要後の階層数量が登録・再表示でも同じ採用内容を示す。保守金額は対応する選定元を使う。</v>
      </c>
      <c r="H13" s="4" t="str">
        <v>－（表示文言のみの確認は単体に委ねる）</v>
      </c>
      <c r="I13" s="16"/>
      <c r="J13" s="13"/>
      <c r="K13" s="14"/>
      <c r="L13" s="13"/>
      <c r="M13" s="16"/>
      <c r="N13" s="13"/>
      <c r="O13" s="14"/>
      <c r="P13" s="15" t="str">
        <f>IF(I13="","未実施",IF(M13="",I13,M13))</f>
        <v>未実施</v>
      </c>
      <c r="Q13" s="4" t="str">
        <v>関連単体：2006-3
単体の表示・単独操作ではなく、期待結果の連携部分を追加判定。
根拠：R2007 u2 Screen 407～454、R2006</v>
      </c>
    </row>
    <row r="14" ht="116" customHeight="1">
      <c r="A14" s="15" t="str">
        <v>INT04-05</v>
      </c>
      <c r="B14" s="15" t="str">
        <v>正常系</v>
      </c>
      <c r="C14" s="4" t="str">
        <v>未来期間の同日開始変更を保存</v>
      </c>
      <c r="D14" s="4" t="str">
        <v>2006U→2007U→2006U</v>
      </c>
      <c r="E14" s="4" t="str">
        <v>D00共通
D01/D15。実行日より後の最新ユーザー期間と、その前の有効期間。</v>
      </c>
      <c r="F14" s="4" t="str">
        <v>手順1：変更摘要開始日を元開始日と同じにして機器を変更・摘要・登録し再表示する。</v>
      </c>
      <c r="G14" s="4" t="str">
        <v>未来期間の内容を更新し、既存の未来期間を不要に増やさない。前の有効期間の日付調整を保存し、別契約・過去履歴の機器を変えない。現在・過去期間とは分岐を分ける。</v>
      </c>
      <c r="H14" s="4" t="str">
        <v>－（表示文言のみの確認は単体に委ねる）</v>
      </c>
      <c r="I14" s="16"/>
      <c r="J14" s="13"/>
      <c r="K14" s="14"/>
      <c r="L14" s="13"/>
      <c r="M14" s="16"/>
      <c r="N14" s="13"/>
      <c r="O14" s="14"/>
      <c r="P14" s="15" t="str">
        <f>IF(I14="","未実施",IF(M14="",I14,M14))</f>
        <v>未実施</v>
      </c>
      <c r="Q14" s="4" t="str">
        <v>関連単体：2006-24
単体の表示・単独操作ではなく、期待結果の連携部分を追加判定。
根拠：R2006 Screen 156～186、R2007</v>
      </c>
    </row>
    <row r="15" ht="167" customHeight="1">
      <c r="A15" s="15" t="str">
        <v>INT04-06</v>
      </c>
      <c r="B15" s="15" t="str">
        <v>正常系</v>
      </c>
      <c r="C15" s="4" t="str">
        <v>途中変更で旧新期間を連続保存</v>
      </c>
      <c r="D15" s="4" t="str">
        <v>2006U→2007U→2006U</v>
      </c>
      <c r="E15" s="4" t="str">
        <v>D00共通
D01。最新ユーザー期間に途中変更日を設定できる。 構成と明細にOFF→ON・ON→OFF・ON→ON、セット数・数量・単位・手配製番・保守方法の変更を準備。個体の入力済み／空日付も分ける。</v>
      </c>
      <c r="F15" s="4" t="str">
        <v>手順1：途中日からの機器変更を摘要・登録。
手順2：旧新期間の開始終了・採用個体・次回更新日を再確認する。</v>
      </c>
      <c r="G15" s="4" t="str">
        <v>旧終了日が新開始日前日、新期間が変更日開始となり、空白・重複がない。旧新で機器と金額を正しく保持する。 構成・明細の追加・解除・維持属性を差分どおり保存する。個体ON→ONには1005Uと同じ属性更新分岐がないため、存在しない転記を期待しない。追加日付と解除対象の親キーを区別し、旧期間の機器は保持する。</v>
      </c>
      <c r="H15" s="4" t="str">
        <v>－（表示文言のみの確認は単体に委ねる）</v>
      </c>
      <c r="I15" s="16"/>
      <c r="J15" s="13"/>
      <c r="K15" s="14"/>
      <c r="L15" s="13"/>
      <c r="M15" s="16"/>
      <c r="N15" s="13"/>
      <c r="O15" s="14"/>
      <c r="P15" s="15" t="str">
        <f>IF(I15="","未実施",IF(M15="",I15,M15))</f>
        <v>未実施</v>
      </c>
      <c r="Q15" s="4" t="str">
        <v>関連単体：2006-24
単体の表示・単独操作ではなく、期待結果の連携部分を追加判定。
根拠：R2006 / R2007 、VB2006-15/16</v>
      </c>
    </row>
    <row r="16" ht="99" customHeight="1">
      <c r="A16" s="15" t="str">
        <v>INT04-07</v>
      </c>
      <c r="B16" s="15" t="str">
        <v>正常系</v>
      </c>
      <c r="C16" s="4" t="str">
        <v>最新期間の翌日から新期間を追加</v>
      </c>
      <c r="D16" s="4" t="str">
        <v>2006U→2007U→2006U</v>
      </c>
      <c r="E16" s="4" t="str">
        <v>D00共通
D01。最新ユーザー期間、終了翌日が変更可能。</v>
      </c>
      <c r="F16" s="4" t="str">
        <v>手順1：終了翌日から更新案を摘要・登録して全期間を再表示する。</v>
      </c>
      <c r="G16" s="4" t="str">
        <v>元期間を上書きせず翌日開始の期間を追加し、次回更新日が最後の終了日の翌日と一致する。</v>
      </c>
      <c r="H16" s="4" t="str">
        <v>－（表示文言のみの確認は単体に委ねる）</v>
      </c>
      <c r="I16" s="16"/>
      <c r="J16" s="13"/>
      <c r="K16" s="14"/>
      <c r="L16" s="13"/>
      <c r="M16" s="16"/>
      <c r="N16" s="13"/>
      <c r="O16" s="14"/>
      <c r="P16" s="15" t="str">
        <f>IF(I16="","未実施",IF(M16="",I16,M16))</f>
        <v>未実施</v>
      </c>
      <c r="Q16" s="4" t="str">
        <v>関連単体：2006-5, 2006-24
単体の表示・単独操作ではなく、期待結果の連携部分を追加判定。
根拠：R2006 / R2007</v>
      </c>
    </row>
    <row r="17" ht="99" customHeight="1">
      <c r="A17" s="15" t="str">
        <v>INT04-08</v>
      </c>
      <c r="B17" s="15" t="str">
        <v>正常系</v>
      </c>
      <c r="C17" s="4" t="str">
        <v>変更案を取消した際の親データ保護</v>
      </c>
      <c r="D17" s="4" t="str">
        <v>2006U→2007U→2006U</v>
      </c>
      <c r="E17" s="4" t="str">
        <v>D00共通
D01。親画面で入力した備考がある。</v>
      </c>
      <c r="F17" s="4" t="str">
        <v>手順1：変更へ進み機器を変え、摘要せず戻る。
手順2：親画面と保存済みDBを比較する。</v>
      </c>
      <c r="G17" s="4" t="str">
        <v>取消した変更案による期間・機器の保存をしない。別契約の案が親へ反映されず、元の履歴を保つ。</v>
      </c>
      <c r="H17" s="4" t="str">
        <v>－（表示文言のみの確認は単体に委ねる）</v>
      </c>
      <c r="I17" s="16"/>
      <c r="J17" s="13"/>
      <c r="K17" s="14"/>
      <c r="L17" s="13"/>
      <c r="M17" s="16"/>
      <c r="N17" s="13"/>
      <c r="O17" s="14"/>
      <c r="P17" s="15" t="str">
        <f>IF(I17="","未実施",IF(M17="",I17,M17))</f>
        <v>未実施</v>
      </c>
      <c r="Q17" s="4" t="str">
        <v>関連単体：2006-24
単体の表示・単独操作ではなく、期待結果の連携部分を追加判定。
根拠：R2006 / R2007</v>
      </c>
    </row>
    <row r="18" ht="116" customHeight="1">
      <c r="A18" s="15" t="str">
        <v>INT04-09</v>
      </c>
      <c r="B18" s="15" t="str">
        <v>正常系</v>
      </c>
      <c r="C18" s="4" t="str">
        <v>前画面でブランドを選び直した最終案を保存</v>
      </c>
      <c r="D18" s="4" t="str">
        <v>2007U1/U2→2006U</v>
      </c>
      <c r="E18" s="4" t="str">
        <v>D00共通
D02。2ブランド。</v>
      </c>
      <c r="F18" s="4" t="str">
        <v>手順1：2画面目から前へ戻りブランドを変更、再選定・摘要・登録する。</v>
      </c>
      <c r="G18" s="4" t="str">
        <v>最終選定の見積・ブランドと機器を契約へ反映する。プラントの未選定ブランドはマスタ由来の補完として残り得るので、前案の選定機器・単価が残留することと区別する。最終選定外の機器を採用機器として保存しない。</v>
      </c>
      <c r="H18" s="4" t="str">
        <v>－（表示文言のみの確認は単体に委ねる）</v>
      </c>
      <c r="I18" s="16"/>
      <c r="J18" s="13"/>
      <c r="K18" s="14"/>
      <c r="L18" s="13"/>
      <c r="M18" s="16"/>
      <c r="N18" s="13"/>
      <c r="O18" s="14"/>
      <c r="P18" s="15" t="str">
        <f>IF(I18="","未実施",IF(M18="",I18,M18))</f>
        <v>未実施</v>
      </c>
      <c r="Q18" s="4" t="str">
        <v>関連単体：2006-3
単体の表示・単独操作ではなく、期待結果の連携部分を追加判定。
根拠：R2007 / R2006</v>
      </c>
    </row>
    <row r="19" ht="133" customHeight="1">
      <c r="A19" s="15" t="str">
        <v>INT04-10</v>
      </c>
      <c r="B19" s="15" t="str">
        <v>正常系</v>
      </c>
      <c r="C19" s="4" t="str">
        <v>隣接期間の日付調整を登録後も維持</v>
      </c>
      <c r="D19" s="4" t="str">
        <v>2006U→2004U/3004U</v>
      </c>
      <c r="E19" s="4" t="str">
        <v>D00共通
D01。隣接期間2件以上。D05のロック解除可能な担当者。</v>
      </c>
      <c r="F19" s="4" t="str">
        <v>手順1：許可された操作で終了日を変更し隣接調整を確認して登録。
手順2：別画面から開き直し終息対象を検索する。</v>
      </c>
      <c r="G19" s="4" t="str">
        <v>画面内調整だけでなく、全期間の連続性と次回更新日がDBへ保存され、終息確認も登録後の終了日を使う。</v>
      </c>
      <c r="H19" s="4" t="str">
        <v>－（表示文言のみの確認は単体に委ねる）</v>
      </c>
      <c r="I19" s="16"/>
      <c r="J19" s="13"/>
      <c r="K19" s="14"/>
      <c r="L19" s="13"/>
      <c r="M19" s="16"/>
      <c r="N19" s="13"/>
      <c r="O19" s="14"/>
      <c r="P19" s="15" t="str">
        <f>IF(I19="","未実施",IF(M19="",I19,M19))</f>
        <v>未実施</v>
      </c>
      <c r="Q19" s="4" t="str">
        <v>関連単体：2006-17, 2006-18
単体の表示・単独操作ではなく、期待結果の連携部分を追加判定。
根拠：R2006 / R3004
実施前にQ05の条件・期待を確認。</v>
      </c>
    </row>
    <row r="20" ht="99" customHeight="1">
      <c r="A20" s="15" t="str">
        <v>INT04-11</v>
      </c>
      <c r="B20" s="15" t="str">
        <v>正常系</v>
      </c>
      <c r="C20" s="4" t="str">
        <v>複数期間を切り替えて別期間を上書きしない</v>
      </c>
      <c r="D20" s="4" t="str">
        <v>2006U→2004U</v>
      </c>
      <c r="E20" s="4" t="str">
        <v>D00共通
D01。識別可能な備考・機器を持つ複数期間。</v>
      </c>
      <c r="F20" s="4" t="str">
        <v>手順1：編集可能な最新期間の備考を変更し他タブを表示して戻り登録。
手順2：各期間を開き直す。</v>
      </c>
      <c r="G20" s="4" t="str">
        <v>変更した期間だけに値が保存され、参照した過去期間の金額・機器・備考を上書きしない。</v>
      </c>
      <c r="H20" s="4" t="str">
        <v>－（表示文言のみの確認は単体に委ねる）</v>
      </c>
      <c r="I20" s="16"/>
      <c r="J20" s="13"/>
      <c r="K20" s="14"/>
      <c r="L20" s="13"/>
      <c r="M20" s="16"/>
      <c r="N20" s="13"/>
      <c r="O20" s="14"/>
      <c r="P20" s="15" t="str">
        <f>IF(I20="","未実施",IF(M20="",I20,M20))</f>
        <v>未実施</v>
      </c>
      <c r="Q20" s="4" t="str">
        <v>関連単体：2006-4, 2006-19
単体の表示・単独操作ではなく、期待結果の連携部分を追加判定。
根拠：R2006</v>
      </c>
    </row>
    <row r="21" ht="133" customHeight="1">
      <c r="A21" s="15" t="str">
        <v>INT04-12</v>
      </c>
      <c r="B21" s="15" t="str">
        <v>正常系</v>
      </c>
      <c r="C21" s="4" t="str">
        <v>製番の登録が確認依頼一覧に現れる</v>
      </c>
      <c r="D21" s="4" t="str">
        <v>2006U→3008U</v>
      </c>
      <c r="E21" s="4" t="str">
        <v>D00共通
D01/D09。未確認の新規製番、実行月を含む期間。</v>
      </c>
      <c r="F21" s="4" t="str">
        <v>手順1：2006Uで製番と開始終了月を登録。
手順2：別担当Bが3008Uで対象契約を検索する。</v>
      </c>
      <c r="G21" s="4" t="str">
        <v>追加製番は未確認となり、確認依頼者名・依頼日時が追加担当の処理を示す。同じ製番ID・契約・期間の依頼が3008Uに現れ、別契約へ混入しない。</v>
      </c>
      <c r="H21" s="4" t="str">
        <v>－（表示文言のみの確認は単体に委ねる）</v>
      </c>
      <c r="I21" s="16"/>
      <c r="J21" s="13"/>
      <c r="K21" s="14"/>
      <c r="L21" s="13"/>
      <c r="M21" s="16"/>
      <c r="N21" s="13"/>
      <c r="O21" s="14"/>
      <c r="P21" s="15" t="str">
        <f>IF(I21="","未実施",IF(M21="",I21,M21))</f>
        <v>未実施</v>
      </c>
      <c r="Q21" s="4" t="str">
        <v>関連単体：2006-19
単体の表示・単独操作ではなく、期待結果の連携部分を追加判定。
根拠：R2006 / R3008
実施前にQ14の条件・期待を確認。</v>
      </c>
    </row>
    <row r="22" ht="99" customHeight="1">
      <c r="A22" s="15" t="str">
        <v>INT04-13</v>
      </c>
      <c r="B22" s="15" t="str">
        <v>正常系</v>
      </c>
      <c r="C22" s="4" t="str">
        <v>製番削除が確認・支払対象から外れる</v>
      </c>
      <c r="D22" s="4" t="str">
        <v>2006U→3008U/3002U</v>
      </c>
      <c r="E22" s="4" t="str">
        <v>D00共通
D09/D07。試験専用の製番を持つ契約。削除前対象を記録。</v>
      </c>
      <c r="F22" s="4" t="str">
        <v>手順1：2006Uで製番行を削除し登録。
手順2：開き直し、3008Uと3002Uを再検索する。</v>
      </c>
      <c r="G22" s="4" t="str">
        <v>削除対象だけがDBと確認一覧から除外される。削除製番の結合で支払いを抽出せず、他製番・契約を残す。</v>
      </c>
      <c r="H22" s="4" t="str">
        <v>－（表示文言のみの確認は単体に委ねる）</v>
      </c>
      <c r="I22" s="16"/>
      <c r="J22" s="13"/>
      <c r="K22" s="14"/>
      <c r="L22" s="13"/>
      <c r="M22" s="16"/>
      <c r="N22" s="13"/>
      <c r="O22" s="14"/>
      <c r="P22" s="15" t="str">
        <f>IF(I22="","未実施",IF(M22="",I22,M22))</f>
        <v>未実施</v>
      </c>
      <c r="Q22" s="4" t="str">
        <v>関連単体：2006-22
単体の表示・単独操作ではなく、期待結果の連携部分を追加判定。
根拠：R2006 / R3008 / R3002</v>
      </c>
    </row>
    <row r="23" ht="133" customHeight="1">
      <c r="A23" s="15" t="str">
        <v>INT04-14</v>
      </c>
      <c r="B23" s="15" t="str">
        <v>正常系</v>
      </c>
      <c r="C23" s="4" t="str">
        <v>ユーザー点検削除の保存と他期間保護</v>
      </c>
      <c r="D23" s="4" t="str">
        <v>2006U→2004U→2006U</v>
      </c>
      <c r="E23" s="4" t="str">
        <v>D00共通
D08。ユーザー期間ごとに内容の異なる点検行を準備。取引先側にも比較用の別点検を準備。</v>
      </c>
      <c r="F23" s="4" t="str">
        <v>手順1：ユーザー契約の対象点検行を削除して登録。
手順2：2004Uから同契約を開き直し、対象期間と別期間の点検をDBの期間キーで照合する。</v>
      </c>
      <c r="G23" s="4" t="str">
        <v>対象のユーザー点検だけが保存先MCM_UK_TENKENから削除される。他期間・取引先点検MCM_TK_TENKENを削除しない。3003Uの取引先点検ビューへの直接連携を期待結果にしない。</v>
      </c>
      <c r="H23" s="4" t="str">
        <v>－（表示文言のみの確認は単体に委ねる）</v>
      </c>
      <c r="I23" s="16"/>
      <c r="J23" s="13"/>
      <c r="K23" s="14"/>
      <c r="L23" s="13"/>
      <c r="M23" s="16"/>
      <c r="N23" s="13"/>
      <c r="O23" s="14"/>
      <c r="P23" s="15" t="str">
        <f>IF(I23="","未実施",IF(M23="",I23,M23))</f>
        <v>未実施</v>
      </c>
      <c r="Q23" s="4" t="str">
        <v>関連単体：2006-23
単体の表示・単独操作ではなく、期待結果の連携部分を追加判定。
根拠：R2006 Fields save / Repository findTenkenList、R3003 TableAdapter</v>
      </c>
    </row>
    <row r="24" ht="99" customHeight="1">
      <c r="A24" s="15" t="str">
        <v>INT04-15</v>
      </c>
      <c r="B24" s="15" t="str">
        <v>正常系</v>
      </c>
      <c r="C24" s="4" t="str">
        <v>製番0件の契約が不足製番確認へ反映</v>
      </c>
      <c r="D24" s="4" t="str">
        <v>2006U→3004U</v>
      </c>
      <c r="E24" s="4" t="str">
        <v>D00共通
D01。対象期間内の契約で製番0件、その他の不足製番抽出条件は満たす。</v>
      </c>
      <c r="F24" s="4" t="str">
        <v>手順1：契約内容を登録後、3004Uの不足製番確認を検索して契約IDと対象期間を照合する。</v>
      </c>
      <c r="G24" s="4" t="str">
        <v>登録は可能だが製番不足として確認対象となり、製番が存在する別契約の行と取り違えない。</v>
      </c>
      <c r="H24" s="4" t="str">
        <v>－（表示文言のみの確認は単体に委ねる）</v>
      </c>
      <c r="I24" s="16"/>
      <c r="J24" s="13"/>
      <c r="K24" s="14"/>
      <c r="L24" s="13"/>
      <c r="M24" s="16"/>
      <c r="N24" s="13"/>
      <c r="O24" s="14"/>
      <c r="P24" s="15" t="str">
        <f>IF(I24="","未実施",IF(M24="",I24,M24))</f>
        <v>未実施</v>
      </c>
      <c r="Q24" s="4" t="str">
        <v>関連単体：2006-26
単体の表示・単独操作ではなく、期待結果の連携部分を追加判定。
根拠：R2006 / R3004</v>
      </c>
    </row>
    <row r="25" ht="82" customHeight="1">
      <c r="A25" s="15" t="str">
        <v>INT04-16</v>
      </c>
      <c r="B25" s="15" t="str">
        <v>仕様照合</v>
      </c>
      <c r="C25" s="4" t="str">
        <v>ユーザー見積の個体重複で受渡しを中止</v>
      </c>
      <c r="D25" s="4" t="str">
        <v>2007U→2006U</v>
      </c>
      <c r="E25" s="4" t="str">
        <v>D00共通
D02。同一個体を含む複数ユーザー見積。</v>
      </c>
      <c r="F25" s="4" t="str">
        <v>手順1：同一個体を含む見積を選択し次へを押す。
手順2：通知後の2画面目への遷移と親契約・DBを確認する。</v>
      </c>
      <c r="G25" s="4" t="str">
        <v>MSG_0038Eは共通の例外で中止する。機器選定2画面目へ進まず、採用個体の二重計上や親契約への未検証の受渡しをしない。</v>
      </c>
      <c r="H25" s="4" t="str">
        <v>－（表示文言のみの確認は単体に委ねる）</v>
      </c>
      <c r="I25" s="16"/>
      <c r="J25" s="13"/>
      <c r="K25" s="14"/>
      <c r="L25" s="13"/>
      <c r="M25" s="16"/>
      <c r="N25" s="13"/>
      <c r="O25" s="14"/>
      <c r="P25" s="15" t="str">
        <f>IF(I25="","未実施",IF(M25="",I25,M25))</f>
        <v>未実施</v>
      </c>
      <c r="Q25" s="4" t="str">
        <v>単体未収録画面を含む／単体にない連携判定。
根拠：R2007 nextButton_Click、共通C06、VB2007-03</v>
      </c>
    </row>
    <row r="26" ht="218" customHeight="1">
      <c r="A26" s="15" t="str">
        <v>INT04-17</v>
      </c>
      <c r="B26" s="15" t="str">
        <v>正常系</v>
      </c>
      <c r="C26" s="4" t="str">
        <v>製番の対象月変更・再確認が支払いと監査情報へ反映</v>
      </c>
      <c r="D26" s="4" t="str">
        <v>2006U→3008U→3002U</v>
      </c>
      <c r="E26" s="4" t="str">
        <v>D00共通
D09/D07。Aが変更できる確認済み製番と、未変更の確認済み比較行。変更前後の支払対象月を識別し、依頼者Aとは別人のBが確認できる。</v>
      </c>
      <c r="F26" s="4" t="str">
        <v>手順1：Aが確認済み製番の開始終了月を変更して登録。
手順2：3008Uで対象製番の再確認依頼・依頼者名・依頼日時を確認し、再確認前の新月の支払抽出を照合する。
手順3：Bが再確認後、変更前後の月で支払抽出と製番監査値を確認。
手順4：未変更の比較行も開き直す。</v>
      </c>
      <c r="G26" s="4" t="str">
        <v>変更行だけが再確認となり、依頼者名・日時はAの登録を示す。Bの再確認前に変更製番を確認済みとして新月へ結合しない。再確認後は同じ製番IDの新開始終了月に従って支払対象が切り替わり、確認者・日時はBの処理を示す。未変更行の確認者・日時は維持される。</v>
      </c>
      <c r="H26" s="4" t="str">
        <v>－（表示文言のみの確認は単体に委ねる）</v>
      </c>
      <c r="I26" s="16"/>
      <c r="J26" s="13"/>
      <c r="K26" s="14"/>
      <c r="L26" s="13"/>
      <c r="M26" s="16"/>
      <c r="N26" s="13"/>
      <c r="O26" s="14"/>
      <c r="P26" s="15" t="str">
        <f>IF(I26="","未実施",IF(M26="",I26,M26))</f>
        <v>未実施</v>
      </c>
      <c r="Q26" s="4" t="str">
        <v>関連単体：2006-19
単体の表示・単独操作ではなく、期待結果の連携部分を追加判定。
根拠：R2006 Screen 493～530 / Fields・Repository、R3008、R3002 / R2006 Screen 493～518 / Fields・Repository、R3008
実施前にQ14の条件・期待を確認。
統合元：INT04-20（番号は再利用しない）</v>
      </c>
    </row>
    <row r="27" ht="150" customHeight="1">
      <c r="A27" s="15" t="str">
        <v>INT04-18</v>
      </c>
      <c r="B27" s="15" t="str">
        <v>正常系</v>
      </c>
      <c r="C27" s="4" t="str">
        <v>現在・過去期間の同日変更で履歴を保持</v>
      </c>
      <c r="D27" s="4" t="str">
        <v>2006U→2007U→2006U</v>
      </c>
      <c r="E27" s="4" t="str">
        <v>D00共通
D01/D15。現在／過去の変更可能な最新期間。未来期間とは別データ。</v>
      </c>
      <c r="F27" s="4" t="str">
        <v>手順1：同日開始で変更・摘要・登録し、旧新期間IDと機器を再表示する。</v>
      </c>
      <c r="G27" s="4" t="str">
        <v>旧期間と旧機器は無効履歴として残り、新期間IDで有効内容を保存する。旧IDで旧機器を置換しない。Webの既存ID再利用との差をQ13で検証する。</v>
      </c>
      <c r="H27" s="4" t="str">
        <v>－（表示文言のみの確認は単体に委ねる）</v>
      </c>
      <c r="I27" s="16"/>
      <c r="J27" s="13"/>
      <c r="K27" s="14"/>
      <c r="L27" s="13"/>
      <c r="M27" s="16"/>
      <c r="N27" s="13"/>
      <c r="O27" s="14"/>
      <c r="P27" s="15" t="str">
        <f>IF(I27="","未実施",IF(M27="",I27,M27))</f>
        <v>未実施</v>
      </c>
      <c r="Q27" s="4" t="str">
        <v>関連単体：2006-24
単体の表示・単独操作ではなく、期待結果の連携部分を追加判定。
根拠：R2006 Screen 54～109 / Service 141～181、R2007
実施前にQ13の条件・期待を確認。</v>
      </c>
    </row>
    <row r="28" ht="150" customHeight="1">
      <c r="A28" s="15" t="str">
        <v>INT04-19</v>
      </c>
      <c r="B28" s="15" t="str">
        <v>正常系</v>
      </c>
      <c r="C28" s="4" t="str">
        <v>未登録ユーザー新期間の再変更で案を置換</v>
      </c>
      <c r="D28" s="4" t="str">
        <v>2006U→2007U→2006U</v>
      </c>
      <c r="E28" s="4" t="str">
        <v>D00共通
D01/D15。変更摘要の新期間は未登録。</v>
      </c>
      <c r="F28" s="4" t="str">
        <v>手順1：新期間から再変更して開始日を選び直し摘要・登録。
手順2：元期間と新期間を再表示する。</v>
      </c>
      <c r="G28" s="4" t="str">
        <v>未登録案だけを置換し、元期間終了日・無効状態を最終案へ戻して調整する。前の案の機器や期間を重複保存せず、管理店舗・担当者を引き継ぐ。</v>
      </c>
      <c r="H28" s="4" t="str">
        <v>－（表示文言のみの確認は単体に委ねる）</v>
      </c>
      <c r="I28" s="16"/>
      <c r="J28" s="13"/>
      <c r="K28" s="14"/>
      <c r="L28" s="13"/>
      <c r="M28" s="16"/>
      <c r="N28" s="13"/>
      <c r="O28" s="14"/>
      <c r="P28" s="15" t="str">
        <f>IF(I28="","未実施",IF(M28="",I28,M28))</f>
        <v>未実施</v>
      </c>
      <c r="Q28" s="4" t="str">
        <v>関連単体：2006-24
単体の表示・単独操作ではなく、期待結果の連携部分を追加判定。
根拠：R2006 Screen 111～154、R2007
実施前にQ13の条件・期待を確認。</v>
      </c>
    </row>
    <row r="29" ht="150" customHeight="1">
      <c r="A29" s="15" t="str">
        <v>INT04-21</v>
      </c>
      <c r="B29" s="15" t="str">
        <v>正常系</v>
      </c>
      <c r="C29" s="4" t="str">
        <v>製番の月初・月末正規化を後続検索へ反映</v>
      </c>
      <c r="D29" s="4" t="str">
        <v>2006U→3008U/3002U</v>
      </c>
      <c r="E29" s="4" t="str">
        <v>D00共通
D09/D07。2月を含む開始終了月。閏年と通常年を別々に準備。</v>
      </c>
      <c r="F29" s="4" t="str">
        <v>手順1：製番の開始終了月を登録しDB日付と月初・月末の後続抽出を照合する。</v>
      </c>
      <c r="G29" s="4" t="str">
        <v>開始日は指定月1日、終了日は指定月末として保存される。2月末も実暦に一致し、開始終了境界を含む月を他月へずらさない。</v>
      </c>
      <c r="H29" s="4" t="str">
        <v>－（表示文言のみの確認は単体に委ねる）</v>
      </c>
      <c r="I29" s="16"/>
      <c r="J29" s="13"/>
      <c r="K29" s="14"/>
      <c r="L29" s="13"/>
      <c r="M29" s="16"/>
      <c r="N29" s="13"/>
      <c r="O29" s="14"/>
      <c r="P29" s="15" t="str">
        <f>IF(I29="","未実施",IF(M29="",I29,M29))</f>
        <v>未実施</v>
      </c>
      <c r="Q29" s="4" t="str">
        <v>関連単体：2006-19
単体の表示・単独操作ではなく、期待結果の連携部分を追加判定。
根拠：R2006 Screen 527以降 / Fields bindRow、R3002/R3008
実施前にQ14の条件・期待を確認。</v>
      </c>
    </row>
    <row r="30" ht="150" customHeight="1">
      <c r="A30" s="15" t="str">
        <v>INT04-22</v>
      </c>
      <c r="B30" s="15" t="str">
        <v>正常系</v>
      </c>
      <c r="C30" s="4" t="str">
        <v>契約日付を空に戻した保存の後続整合</v>
      </c>
      <c r="D30" s="4" t="str">
        <v>2006U→2004U/3004U</v>
      </c>
      <c r="E30" s="4" t="str">
        <v>D00共通
D01。満了日・延長満了日・解約日を編集できる契約。正式な解約取消条件はQ04。</v>
      </c>
      <c r="F30" s="4" t="str">
        <v>手順1：対象日付を空に戻して登録、再表示・DB NULL・作業予定対象を照合する。</v>
      </c>
      <c r="G30" s="4" t="str">
        <v>空欄をNULLとして保存し旧日付を保持しない。日付変更後のビュー対象が保存値と整合する。入力しただけで解約状態が自動で契約へ戻ると仮定しない。</v>
      </c>
      <c r="H30" s="4" t="str">
        <v>－（表示文言のみの確認は単体に委ねる）</v>
      </c>
      <c r="I30" s="16"/>
      <c r="J30" s="13"/>
      <c r="K30" s="14"/>
      <c r="L30" s="13"/>
      <c r="M30" s="16"/>
      <c r="N30" s="13"/>
      <c r="O30" s="14"/>
      <c r="P30" s="15" t="str">
        <f>IF(I30="","未実施",IF(M30="",I30,M30))</f>
        <v>未実施</v>
      </c>
      <c r="Q30" s="4" t="str">
        <v>関連単体：2006-19
単体の表示・単独操作ではなく、期待結果の連携部分を追加判定。
根拠：R2006 Screen 873～936 / Fields HEADER、R3004
実施前にQ04の条件・期待を確認。</v>
      </c>
    </row>
    <row r="31" ht="167" customHeight="1">
      <c r="A31" s="15" t="str">
        <v>INT04-23</v>
      </c>
      <c r="B31" s="15" t="str">
        <v>正常系</v>
      </c>
      <c r="C31" s="4" t="str">
        <v>未来ユーザー期間の開始日変更で既存期間を更新</v>
      </c>
      <c r="D31" s="4" t="str">
        <v>2006U→2007U→2006U</v>
      </c>
      <c r="E31" s="4" t="str">
        <v>D00共通
D01/D15。前の有効期間と未来期間。未来期間の元開始日以外で許可される変更日。</v>
      </c>
      <c r="F31" s="4" t="str">
        <v>手順1：未来期間の開始日を変更、摘要・登録し、前期間の日付・未来期間IDと機器を照合する。</v>
      </c>
      <c r="G31" s="4" t="str">
        <v>VBの未来分岐では既存の未来期間を更新し、前の有効期間を新開始日前日まで調整する。旧未来期間の途中分割として追加期間を作る現在期間の処理と区別する。</v>
      </c>
      <c r="H31" s="4" t="str">
        <v>－（表示文言のみの確認は単体に委ねる）</v>
      </c>
      <c r="I31" s="16"/>
      <c r="J31" s="13"/>
      <c r="K31" s="14"/>
      <c r="L31" s="13"/>
      <c r="M31" s="16"/>
      <c r="N31" s="13"/>
      <c r="O31" s="14"/>
      <c r="P31" s="15" t="str">
        <f>IF(I31="","未実施",IF(M31="",I31,M31))</f>
        <v>未実施</v>
      </c>
      <c r="Q31" s="4" t="str">
        <v>関連単体：2006-24
単体の表示・単独操作ではなく、期待結果の連携部分を追加判定。
根拠：R2006 Screen 156～186 / Service applyPendingKikan、R2007
実施前にQ13の条件・期待を確認。</v>
      </c>
    </row>
    <row r="32" ht="150" customHeight="1">
      <c r="A32" s="15" t="str">
        <v>INT04-24</v>
      </c>
      <c r="B32" s="15" t="str">
        <v>正常系</v>
      </c>
      <c r="C32" s="4" t="str">
        <v>複数ブランドの保守集約を契約期間へ反映</v>
      </c>
      <c r="D32" s="4" t="str">
        <v>2007U→2006U</v>
      </c>
      <c r="E32" s="4" t="str">
        <v>D00共通
D02。元基本見積が1件取得できるブランドと0件／複数件を分ける。時間帯0・大小、保守方法同じ／異なるブランドを別契約で用意。方法不一致時の期待はQ17で確定。</v>
      </c>
      <c r="F32" s="4" t="str">
        <v>手順1：ブランドを複数選定して摘要・登録。
手順2：ブランドごとの元保守条件、期間の時間帯・保守方法を保存・再表示と照合する。</v>
      </c>
      <c r="G32" s="4" t="str">
        <v>時間帯はVBの0または小さい値の採用条件に一致する。保守方法が異なるときは、空にする変数と戻す変数が異なるVBコードを根拠に一律空欄と断定しない。Q17で合意した集約結果を期間へ保存し、別ブランドや旧期間の条件を誤転記しない。</v>
      </c>
      <c r="H32" s="4" t="str">
        <v>－（連携先・保存結果を判定し、表示文言だけは単体に委ねる）</v>
      </c>
      <c r="I32" s="24"/>
      <c r="J32" s="23"/>
      <c r="K32" s="25"/>
      <c r="L32" s="23"/>
      <c r="M32" s="24"/>
      <c r="N32" s="23"/>
      <c r="O32" s="25"/>
      <c r="P32" s="15" t="str">
        <f>IF(I32="","未実施",IF(M32="",I32,M32))</f>
        <v>未実施</v>
      </c>
      <c r="Q32" s="4" t="str">
        <v>関連単体：2006-3
単体の表示・単独操作ではなく、期待結果の連携部分を追加判定。
根拠：R2006 getHoshuJoho・SearchSinki、VB2006-17
実施前にQ17の条件・期待を確認。</v>
      </c>
    </row>
    <row r="33" ht="116" customHeight="1">
      <c r="A33" s="15" t="str">
        <v>INT04-25</v>
      </c>
      <c r="B33" s="15" t="str">
        <v>正常系</v>
      </c>
      <c r="C33" s="4" t="str">
        <v>元見積の依頼店舗を新規契約の依頼元へ反映</v>
      </c>
      <c r="D33" s="4" t="str">
        <v>2007U→2006U</v>
      </c>
      <c r="E33" s="4" t="str">
        <v>D00共通
D02。既知の店舗IDあり／なし。元見積から取得する店舗が1種類／0種類／複数種類を分け、元店舗名を記録。見積一覧NULLの異常前提は別途確認。</v>
      </c>
      <c r="F33" s="4" t="str">
        <v>手順1：各条件の選定を摘要・登録し、親契約と期間の依頼元・保存後再表示を照合する。</v>
      </c>
      <c r="G33" s="4" t="str">
        <v>既知の店舗IDを優先する。未設定時は元見積から1店舗だけ取得できる場合に採用し、0・複数はID0・名称空欄の条件を区別する。無関係な店舗を自動採用しない。元一覧NULLの呼出条件は未確認として実施対象を確定する。</v>
      </c>
      <c r="H33" s="4" t="str">
        <v>－（連携先・保存結果を判定し、表示文言だけは単体に委ねる）</v>
      </c>
      <c r="I33" s="24"/>
      <c r="J33" s="23"/>
      <c r="K33" s="25"/>
      <c r="L33" s="23"/>
      <c r="M33" s="24"/>
      <c r="N33" s="23"/>
      <c r="O33" s="25"/>
      <c r="P33" s="15" t="str">
        <f>IF(I33="","未実施",IF(M33="",I33,M33))</f>
        <v>未実施</v>
      </c>
      <c r="Q33" s="4" t="str">
        <v>関連単体：2006-3
単体の表示・単独操作ではなく、期待結果の連携部分を追加判定。
根拠：R2006 getIraiTenpo・SearchSinki、VB2006-18</v>
      </c>
    </row>
  </sheetData>
  <mergeCells>
    <mergeCell ref="A1:H1"/>
    <mergeCell ref="A2:Q2"/>
    <mergeCell ref="A3:Q3"/>
    <mergeCell ref="A4:Q4"/>
    <mergeCell ref="A8:H8"/>
  </mergeCells>
  <conditionalFormatting sqref="P10:P31">
    <cfRule type="cellIs" dxfId="12" priority="1" operator="equal">
      <formula>"OK"</formula>
    </cfRule>
    <cfRule type="cellIs" dxfId="13" priority="2" operator="equal">
      <formula>"NG"</formula>
    </cfRule>
    <cfRule type="cellIs" dxfId="14" priority="3" operator="equal">
      <formula>"保留"</formula>
    </cfRule>
    <cfRule type="cellIs" dxfId="15" priority="4" operator="equal">
      <formula>"対象外"</formula>
    </cfRule>
  </conditionalFormatting>
  <conditionalFormatting sqref="P32:P33">
    <cfRule type="cellIs" dxfId="44" priority="5" operator="equal">
      <formula>"OK"</formula>
    </cfRule>
    <cfRule type="cellIs" dxfId="45" priority="6" operator="equal">
      <formula>"NG"</formula>
    </cfRule>
    <cfRule type="cellIs" dxfId="46" priority="7" operator="equal">
      <formula>"保留"</formula>
    </cfRule>
    <cfRule type="cellIs" dxfId="47" priority="8" operator="equal">
      <formula>"対象外"</formula>
    </cfRule>
  </conditionalFormatting>
  <dataValidations count="4">
    <dataValidation type="list" sqref="I10:I31">
      <formula1>"OK,NG,保留,対象外"</formula1>
    </dataValidation>
    <dataValidation type="list" sqref="M10:M31">
      <formula1>"OK,NG,保留,対象外"</formula1>
    </dataValidation>
    <dataValidation type="list" sqref="I32:I33">
      <formula1>"OK,NG,保留,対象外"</formula1>
    </dataValidation>
    <dataValidation type="list" sqref="M32:M33">
      <formula1>"OK,NG,保留,対象外"</formula1>
    </dataValidation>
  </dataValidations>
  <pageMargins left="0.3" right="0.3" top="0.4" bottom="0.4" header="0.2" footer="0.2"/>
  <pageSetup orientation="landscape" paperSize="8" scale="100" fitToWidth="0" fitToHeight="0"/>
</worksheet>
</file>

<file path=xl/worksheets/sheet7.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結合テスト仕様書｜契約・解約製番検索／製番確認</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COUNTA(A10:A28)</f>
        <v>19</v>
      </c>
      <c r="C6" s="9" t="str">
        <v>対象外件数</v>
      </c>
      <c r="D6" s="9" t="n">
        <f>COUNTIF(P10:P28,"対象外")</f>
        <v>0</v>
      </c>
      <c r="E6" s="9" t="str">
        <v>実テスト件数</v>
      </c>
      <c r="F6" s="9" t="n">
        <f>B6-D6</f>
        <v>19</v>
      </c>
      <c r="G6" s="9" t="str">
        <v>完了件数OK</v>
      </c>
      <c r="H6" s="9" t="n">
        <f>COUNTIF(P10:P28,"OK")</f>
        <v>0</v>
      </c>
      <c r="I6" s="9" t="str">
        <v>NG件数</v>
      </c>
      <c r="J6" s="9" t="n">
        <f>COUNTIF(P10:P28,"NG")</f>
        <v>0</v>
      </c>
      <c r="K6" s="9" t="str">
        <v>保留</v>
      </c>
      <c r="L6" s="9" t="n">
        <f>MAX(0,F6-H6-J6)</f>
        <v>19</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82" customHeight="1">
      <c r="A10" s="15" t="str">
        <v>INT05-01</v>
      </c>
      <c r="B10" s="15" t="str">
        <v>正常系</v>
      </c>
      <c r="C10" s="4" t="str">
        <v>ユーザー見積リンクのキー受渡し</v>
      </c>
      <c r="D10" s="4" t="str">
        <v>3007U→2003U</v>
      </c>
      <c r="E10" s="4" t="str">
        <v>D00共通
D04。1納入先に2プラント、上下段に似たNOを持つ対象行。</v>
      </c>
      <c r="F10" s="4" t="str">
        <v>手順1：対象行のリンクを開き、元行の親ID・見積ID・プラントIDと詳細を照合して戻る。</v>
      </c>
      <c r="G10" s="4" t="str">
        <v>中段で選択した見積のブランド・機器・納入先が元行と一致し、別プラントの見積を開かない。</v>
      </c>
      <c r="H10" s="4" t="str">
        <v>－（表示文言のみの確認は単体に委ねる）</v>
      </c>
      <c r="I10" s="16"/>
      <c r="J10" s="13"/>
      <c r="K10" s="14"/>
      <c r="L10" s="13"/>
      <c r="M10" s="16"/>
      <c r="N10" s="13"/>
      <c r="O10" s="14"/>
      <c r="P10" s="15" t="str">
        <f>IF(I10="","未実施",IF(M10="",I10,M10))</f>
        <v>未実施</v>
      </c>
      <c r="Q10" s="4" t="str">
        <v>単体未収録画面を含む／単体にない連携判定。
根拠：R3007</v>
      </c>
    </row>
    <row r="11" ht="82" customHeight="1">
      <c r="A11" s="15" t="str">
        <v>INT05-02</v>
      </c>
      <c r="B11" s="15" t="str">
        <v>正常系</v>
      </c>
      <c r="C11" s="4" t="str">
        <v>取引先見積リンクのキー受渡し</v>
      </c>
      <c r="D11" s="4" t="str">
        <v>3007U→1004U</v>
      </c>
      <c r="E11" s="4" t="str">
        <v>D00共通
D04。1納入先に2プラント、上下段に似たNOを持つ対象行。</v>
      </c>
      <c r="F11" s="4" t="str">
        <v>手順1：対象行のリンクを開き、元行の親ID・見積ID・プラントIDと詳細を照合して戻る。</v>
      </c>
      <c r="G11" s="4" t="str">
        <v>下段で選択した見積と取引先・機器・期間が一致し、中段のユーザー見積IDを流用しない。</v>
      </c>
      <c r="H11" s="4" t="str">
        <v>－（表示文言のみの確認は単体に委ねる）</v>
      </c>
      <c r="I11" s="16"/>
      <c r="J11" s="13"/>
      <c r="K11" s="14"/>
      <c r="L11" s="13"/>
      <c r="M11" s="16"/>
      <c r="N11" s="13"/>
      <c r="O11" s="14"/>
      <c r="P11" s="15" t="str">
        <f>IF(I11="","未実施",IF(M11="",I11,M11))</f>
        <v>未実施</v>
      </c>
      <c r="Q11" s="4" t="str">
        <v>単体未収録画面を含む／単体にない連携判定。
根拠：R3007</v>
      </c>
    </row>
    <row r="12" ht="82" customHeight="1">
      <c r="A12" s="15" t="str">
        <v>INT05-03</v>
      </c>
      <c r="B12" s="15" t="str">
        <v>正常系</v>
      </c>
      <c r="C12" s="4" t="str">
        <v>ユーザー契約リンクのキー受渡し</v>
      </c>
      <c r="D12" s="4" t="str">
        <v>3007U→2006U</v>
      </c>
      <c r="E12" s="4" t="str">
        <v>D00共通
D04。1納入先に2プラント、上下段に似たNOを持つ対象行。</v>
      </c>
      <c r="F12" s="4" t="str">
        <v>手順1：対象行のリンクを開き、元行の親ID・見積ID・プラントIDと詳細を照合して戻る。</v>
      </c>
      <c r="G12" s="4" t="str">
        <v>中段の契約と同じ親契約・期間履歴を参照し、同じNOに似た別契約を開かない。</v>
      </c>
      <c r="H12" s="4" t="str">
        <v>－（表示文言のみの確認は単体に委ねる）</v>
      </c>
      <c r="I12" s="16"/>
      <c r="J12" s="13"/>
      <c r="K12" s="14"/>
      <c r="L12" s="13"/>
      <c r="M12" s="16"/>
      <c r="N12" s="13"/>
      <c r="O12" s="14"/>
      <c r="P12" s="15" t="str">
        <f>IF(I12="","未実施",IF(M12="",I12,M12))</f>
        <v>未実施</v>
      </c>
      <c r="Q12" s="4" t="str">
        <v>単体未収録画面を含む／単体にない連携判定。
根拠：R3007 / R2006</v>
      </c>
    </row>
    <row r="13" ht="82" customHeight="1">
      <c r="A13" s="15" t="str">
        <v>INT05-04</v>
      </c>
      <c r="B13" s="15" t="str">
        <v>正常系</v>
      </c>
      <c r="C13" s="4" t="str">
        <v>取引先契約リンクのキー受渡し</v>
      </c>
      <c r="D13" s="4" t="str">
        <v>3007U→1005U</v>
      </c>
      <c r="E13" s="4" t="str">
        <v>D00共通
D04。1納入先に2プラント、上下段に似たNOを持つ対象行。</v>
      </c>
      <c r="F13" s="4" t="str">
        <v>手順1：対象行のリンクを開き、元行の親ID・見積ID・プラントIDと詳細を照合して戻る。</v>
      </c>
      <c r="G13" s="4" t="str">
        <v>下段の取引先契約と同じ親契約・期間履歴を参照し、ユーザー契約のキーを流用しない。</v>
      </c>
      <c r="H13" s="4" t="str">
        <v>－（表示文言のみの確認は単体に委ねる）</v>
      </c>
      <c r="I13" s="16"/>
      <c r="J13" s="13"/>
      <c r="K13" s="14"/>
      <c r="L13" s="13"/>
      <c r="M13" s="16"/>
      <c r="N13" s="13"/>
      <c r="O13" s="14"/>
      <c r="P13" s="15" t="str">
        <f>IF(I13="","未実施",IF(M13="",I13,M13))</f>
        <v>未実施</v>
      </c>
      <c r="Q13" s="4" t="str">
        <v>単体未収録画面を含む／単体にない連携判定。
根拠：R3007 / R1005</v>
      </c>
    </row>
    <row r="14" ht="82" customHeight="1">
      <c r="A14" s="15" t="str">
        <v>INT05-05</v>
      </c>
      <c r="B14" s="15" t="str">
        <v>正常系</v>
      </c>
      <c r="C14" s="4" t="str">
        <v>プラントを切り替えて契約を正しく選択</v>
      </c>
      <c r="D14" s="4" t="str">
        <v>3007U→1005U/2006U</v>
      </c>
      <c r="E14" s="4" t="str">
        <v>D00共通
D04。プラント2件、上下段に各対象行。</v>
      </c>
      <c r="F14" s="4" t="str">
        <v>手順1：上段でプラントA→Bと切り替え、中下段の契約を開く。
手順2：両詳細のプラントIDを照合する。</v>
      </c>
      <c r="G14" s="4" t="str">
        <v>表示・操作したプラントの契約だけにリンクし、選択前の中下段の行番号を使って別契約へ遷移しない。</v>
      </c>
      <c r="H14" s="4" t="str">
        <v>－（表示文言のみの確認は単体に委ねる）</v>
      </c>
      <c r="I14" s="16"/>
      <c r="J14" s="13"/>
      <c r="K14" s="14"/>
      <c r="L14" s="13"/>
      <c r="M14" s="16"/>
      <c r="N14" s="13"/>
      <c r="O14" s="14"/>
      <c r="P14" s="15" t="str">
        <f>IF(I14="","未実施",IF(M14="",I14,M14))</f>
        <v>未実施</v>
      </c>
      <c r="Q14" s="4" t="str">
        <v>単体未収録画面を含む／単体にない連携判定。
根拠：R3007 / R1005 / R2006</v>
      </c>
    </row>
    <row r="15" ht="82" customHeight="1">
      <c r="A15" s="15" t="str">
        <v>INT05-06</v>
      </c>
      <c r="B15" s="15" t="str">
        <v>異常系</v>
      </c>
      <c r="C15" s="4" t="str">
        <v>検索0件後に以前の契約を操作させない</v>
      </c>
      <c r="D15" s="4" t="str">
        <v>3007U→1005U/2006U</v>
      </c>
      <c r="E15" s="4" t="str">
        <v>D00共通
D04。初回検索に結果あり、次の条件は0件。</v>
      </c>
      <c r="F15" s="4" t="str">
        <v>手順1：結果表示後に0件の条件を検索し、中段・下段と各リンク操作を確認する。</v>
      </c>
      <c r="G15" s="4" t="str">
        <v>上段だけ消えて古い中下段が残ることがなく、旧検索の契約への作成・破棄・詳細操作を誤って実行しない。</v>
      </c>
      <c r="H15" s="4" t="str">
        <v>－（表示文言のみの確認は単体に委ねる）</v>
      </c>
      <c r="I15" s="16"/>
      <c r="J15" s="13"/>
      <c r="K15" s="14"/>
      <c r="L15" s="13"/>
      <c r="M15" s="16"/>
      <c r="N15" s="13"/>
      <c r="O15" s="14"/>
      <c r="P15" s="15" t="str">
        <f>IF(I15="","未実施",IF(M15="",I15,M15))</f>
        <v>未実施</v>
      </c>
      <c r="Q15" s="4" t="str">
        <v>単体未収録画面を含む／単体にない連携判定。
根拠：R3007 / R1005 / R2006</v>
      </c>
    </row>
    <row r="16" ht="82" customHeight="1">
      <c r="A16" s="15" t="str">
        <v>INT05-07</v>
      </c>
      <c r="B16" s="15" t="str">
        <v>正常系</v>
      </c>
      <c r="C16" s="4" t="str">
        <v>ユーザー契約を検索から作成して元見積に結び付け</v>
      </c>
      <c r="D16" s="4" t="str">
        <v>3007U→2007U→2006U→3007U</v>
      </c>
      <c r="E16" s="4" t="str">
        <v>D00共通
D02/D04。ユーザー見積、作成権限A。</v>
      </c>
      <c r="F16" s="4" t="str">
        <v>手順1：該当段の契約作成から選定・摘要・親登録。
手順2：3007Uを同じプラントで再検索する。</v>
      </c>
      <c r="G16" s="4" t="str">
        <v>元見積と結び付いたユーザー契約だけが対象段に反映され、別段や別プラントの契約として作成しない。</v>
      </c>
      <c r="H16" s="4" t="str">
        <v>－（表示文言のみの確認は単体に委ねる）</v>
      </c>
      <c r="I16" s="16"/>
      <c r="J16" s="13"/>
      <c r="K16" s="14"/>
      <c r="L16" s="13"/>
      <c r="M16" s="16"/>
      <c r="N16" s="13"/>
      <c r="O16" s="14"/>
      <c r="P16" s="15" t="str">
        <f>IF(I16="","未実施",IF(M16="",I16,M16))</f>
        <v>未実施</v>
      </c>
      <c r="Q16" s="4" t="str">
        <v>単体未収録画面を含む／単体にない連携判定。
根拠：R3007 / R2007 / R2006</v>
      </c>
    </row>
    <row r="17" ht="82" customHeight="1">
      <c r="A17" s="15" t="str">
        <v>INT05-08</v>
      </c>
      <c r="B17" s="15" t="str">
        <v>正常系</v>
      </c>
      <c r="C17" s="4" t="str">
        <v>ユーザー契約破棄の親と見積の整合</v>
      </c>
      <c r="D17" s="4" t="str">
        <v>3007U→2004U</v>
      </c>
      <c r="E17" s="4" t="str">
        <v>D00共通
D04。ユーザー契約の破棄可能行。</v>
      </c>
      <c r="F17" s="4" t="str">
        <v>手順1：対象行を破棄して破棄を含め再検索し、対応する見積と契約状態を別検索でも確認する。</v>
      </c>
      <c r="G17" s="4" t="str">
        <v>選択したユーザー契約と元見積だけが所定状態に更新される。他段の同名・同番号に近い契約は変更しない。</v>
      </c>
      <c r="H17" s="4" t="str">
        <v>－（表示文言のみの確認は単体に委ねる）</v>
      </c>
      <c r="I17" s="16"/>
      <c r="J17" s="13"/>
      <c r="K17" s="14"/>
      <c r="L17" s="13"/>
      <c r="M17" s="16"/>
      <c r="N17" s="13"/>
      <c r="O17" s="14"/>
      <c r="P17" s="15" t="str">
        <f>IF(I17="","未実施",IF(M17="",I17,M17))</f>
        <v>未実施</v>
      </c>
      <c r="Q17" s="4" t="str">
        <v>単体未収録画面を含む／単体にない連携判定。
根拠：R3007</v>
      </c>
    </row>
    <row r="18" ht="82" customHeight="1">
      <c r="A18" s="15" t="str">
        <v>INT05-09</v>
      </c>
      <c r="B18" s="15" t="str">
        <v>正常系</v>
      </c>
      <c r="C18" s="4" t="str">
        <v>取引先契約を検索から作成して元見積に結び付け</v>
      </c>
      <c r="D18" s="4" t="str">
        <v>3007U→1006U→1005U→3007U</v>
      </c>
      <c r="E18" s="4" t="str">
        <v>D00共通
D02/D04。取引先見積、作成権限A。</v>
      </c>
      <c r="F18" s="4" t="str">
        <v>手順1：該当段の契約作成から選定・摘要・親登録。
手順2：3007Uを同じプラントで再検索する。</v>
      </c>
      <c r="G18" s="4" t="str">
        <v>元見積と結び付いた取引先契約だけが対象段に反映され、別段や別プラントの契約として作成しない。</v>
      </c>
      <c r="H18" s="4" t="str">
        <v>－（表示文言のみの確認は単体に委ねる）</v>
      </c>
      <c r="I18" s="16"/>
      <c r="J18" s="13"/>
      <c r="K18" s="14"/>
      <c r="L18" s="13"/>
      <c r="M18" s="16"/>
      <c r="N18" s="13"/>
      <c r="O18" s="14"/>
      <c r="P18" s="15" t="str">
        <f>IF(I18="","未実施",IF(M18="",I18,M18))</f>
        <v>未実施</v>
      </c>
      <c r="Q18" s="4" t="str">
        <v>単体未収録画面を含む／単体にない連携判定。
根拠：R3007 / R1006 / R1005</v>
      </c>
    </row>
    <row r="19" ht="82" customHeight="1">
      <c r="A19" s="15" t="str">
        <v>INT05-10</v>
      </c>
      <c r="B19" s="15" t="str">
        <v>正常系</v>
      </c>
      <c r="C19" s="4" t="str">
        <v>取引先契約破棄の親と見積の整合</v>
      </c>
      <c r="D19" s="4" t="str">
        <v>3007U→1003U</v>
      </c>
      <c r="E19" s="4" t="str">
        <v>D00共通
D04。取引先契約の破棄可能行。</v>
      </c>
      <c r="F19" s="4" t="str">
        <v>手順1：対象行を破棄して破棄を含め再検索し、対応する見積と契約状態を別検索でも確認する。</v>
      </c>
      <c r="G19" s="4" t="str">
        <v>選択した取引先契約と元見積だけが所定状態に更新される。他段の同名・同番号に近い契約は変更しない。</v>
      </c>
      <c r="H19" s="4" t="str">
        <v>－（表示文言のみの確認は単体に委ねる）</v>
      </c>
      <c r="I19" s="16"/>
      <c r="J19" s="13"/>
      <c r="K19" s="14"/>
      <c r="L19" s="13"/>
      <c r="M19" s="16"/>
      <c r="N19" s="13"/>
      <c r="O19" s="14"/>
      <c r="P19" s="15" t="str">
        <f>IF(I19="","未実施",IF(M19="",I19,M19))</f>
        <v>未実施</v>
      </c>
      <c r="Q19" s="4" t="str">
        <v>単体未収録画面を含む／単体にない連携判定。
根拠：R3007</v>
      </c>
    </row>
    <row r="20" ht="99" customHeight="1">
      <c r="A20" s="15" t="str">
        <v>INT05-11</v>
      </c>
      <c r="B20" s="15" t="str">
        <v>異常系</v>
      </c>
      <c r="C20" s="4" t="str">
        <v>取引先の過去支払あり破棄拒否を他画面と一致</v>
      </c>
      <c r="D20" s="4" t="str">
        <v>3007U→3002U/1009U</v>
      </c>
      <c r="E20" s="4" t="str">
        <v>D00共通
D04/D07。過去月支払ありの取引先契約。</v>
      </c>
      <c r="F20" s="4" t="str">
        <v>手順1：3007Uで破棄を試み、1009U/1010U経路と契約・見積状態を比較する。</v>
      </c>
      <c r="G20" s="4" t="str">
        <v>検索画面によって破棄条件が変わらず、どの経路でも過去支払対象の契約・見積を保護する。</v>
      </c>
      <c r="H20" s="4" t="str">
        <v>－（表示文言のみの確認は単体に委ねる）</v>
      </c>
      <c r="I20" s="16"/>
      <c r="J20" s="13"/>
      <c r="K20" s="14"/>
      <c r="L20" s="13"/>
      <c r="M20" s="16"/>
      <c r="N20" s="13"/>
      <c r="O20" s="14"/>
      <c r="P20" s="15" t="str">
        <f>IF(I20="","未実施",IF(M20="",I20,M20))</f>
        <v>未実施</v>
      </c>
      <c r="Q20" s="4" t="str">
        <v>関連単体：1009-18, 1010-19
単体の表示・単独操作ではなく、期待結果の連携部分を追加判定。
根拠：R3007 / R3002 / R1009</v>
      </c>
    </row>
    <row r="21" ht="82" customHeight="1">
      <c r="A21" s="15" t="str">
        <v>INT05-12</v>
      </c>
      <c r="B21" s="15" t="str">
        <v>正常系</v>
      </c>
      <c r="C21" s="4" t="str">
        <v>納入先・プラント・機器マスタ参照の一致</v>
      </c>
      <c r="D21" s="4" t="str">
        <v>3007U→0011U/0012U/0013U</v>
      </c>
      <c r="E21" s="4" t="str">
        <v>D00共通
D04。ブランド・機器を持つプラント。各マスタ参照権限。</v>
      </c>
      <c r="F21" s="4" t="str">
        <v>手順1：納入先、プラント、納入機器への各参照を開き、元検索のIDとマスタを照合する。</v>
      </c>
      <c r="G21" s="4" t="str">
        <v>参照先が選択納入先・プラント・ブランドに対応する。参照のために契約の変更案や選択キーを別対象へ差し替えない。</v>
      </c>
      <c r="H21" s="4" t="str">
        <v>－（表示文言のみの確認は単体に委ねる）</v>
      </c>
      <c r="I21" s="16"/>
      <c r="J21" s="13"/>
      <c r="K21" s="14"/>
      <c r="L21" s="13"/>
      <c r="M21" s="16"/>
      <c r="N21" s="13"/>
      <c r="O21" s="14"/>
      <c r="P21" s="15" t="str">
        <f>IF(I21="","未実施",IF(M21="",I21,M21))</f>
        <v>未実施</v>
      </c>
      <c r="Q21" s="4" t="str">
        <v>単体未収録画面を含む／単体にない連携判定。
根拠：R3007</v>
      </c>
    </row>
    <row r="22" ht="82" customHeight="1">
      <c r="A22" s="15" t="str">
        <v>INT05-13</v>
      </c>
      <c r="B22" s="15" t="str">
        <v>正常系</v>
      </c>
      <c r="C22" s="4" t="str">
        <v>別担当者の製番確認が契約と支払いへ反映</v>
      </c>
      <c r="D22" s="4" t="str">
        <v>2006U→3008U→3002U</v>
      </c>
      <c r="E22" s="4" t="str">
        <v>D00共通
D09/D07。依頼者Aとは別名の確認者B、未確認製番。</v>
      </c>
      <c r="F22" s="4" t="str">
        <v>手順1：Aが製番を登録しBが確認する。
手順2：2006Uを開き直し、支払い対象月を検索する。</v>
      </c>
      <c r="G22" s="4" t="str">
        <v>対象製番が確認済みとして同じ契約に保存され、確認者・日時がBの処理を示す。確認済み製番の結合条件を満たす支払対象が抽出される。</v>
      </c>
      <c r="H22" s="4" t="str">
        <v>－（表示文言のみの確認は単体に委ねる）</v>
      </c>
      <c r="I22" s="16"/>
      <c r="J22" s="13"/>
      <c r="K22" s="14"/>
      <c r="L22" s="13"/>
      <c r="M22" s="16"/>
      <c r="N22" s="13"/>
      <c r="O22" s="14"/>
      <c r="P22" s="15" t="str">
        <f>IF(I22="","未実施",IF(M22="",I22,M22))</f>
        <v>未実施</v>
      </c>
      <c r="Q22" s="4" t="str">
        <v>単体未収録画面を含む／単体にない連携判定。
根拠：R2006 / R3008 / R3002</v>
      </c>
    </row>
    <row r="23" ht="82" customHeight="1">
      <c r="A23" s="15" t="str">
        <v>INT05-14</v>
      </c>
      <c r="B23" s="15" t="str">
        <v>正常系</v>
      </c>
      <c r="C23" s="4" t="str">
        <v>依頼者本人の確認を除外して別依頼だけ確定</v>
      </c>
      <c r="D23" s="4" t="str">
        <v>3008U→2006U/3002U</v>
      </c>
      <c r="E23" s="4" t="str">
        <v>D00共通
D09。A自身の依頼と別担当者依頼を同時検索。</v>
      </c>
      <c r="F23" s="4" t="str">
        <v>手順1：Aで両方をチェックして確認し、各製番の状態・監査値と支払い抽出を比較する。</v>
      </c>
      <c r="G23" s="4" t="str">
        <v>本人依頼は確認しない。確認可能な他者依頼だけが確定し、対象外の確認日・確認者を勝手に付けない。</v>
      </c>
      <c r="H23" s="4" t="str">
        <v>－（表示文言のみの確認は単体に委ねる）</v>
      </c>
      <c r="I23" s="16"/>
      <c r="J23" s="13"/>
      <c r="K23" s="14"/>
      <c r="L23" s="13"/>
      <c r="M23" s="16"/>
      <c r="N23" s="13"/>
      <c r="O23" s="14"/>
      <c r="P23" s="15" t="str">
        <f>IF(I23="","未実施",IF(M23="",I23,M23))</f>
        <v>未実施</v>
      </c>
      <c r="Q23" s="4" t="str">
        <v>単体未収録画面を含む／単体にない連携判定。
根拠：R3008 / R2006 / R3002</v>
      </c>
    </row>
    <row r="24" ht="82" customHeight="1">
      <c r="A24" s="15" t="str">
        <v>INT05-15</v>
      </c>
      <c r="B24" s="15" t="str">
        <v>正常系</v>
      </c>
      <c r="C24" s="4" t="str">
        <v>確認済みと未確認の混在から対象だけ確認</v>
      </c>
      <c r="D24" s="4" t="str">
        <v>3008U→2006U</v>
      </c>
      <c r="E24" s="4" t="str">
        <v>D00共通
D09。確認済み・未確認・再確認の製番を準備。</v>
      </c>
      <c r="F24" s="4" t="str">
        <v>手順1：同時に検索してチェック・確認し、全3件の状態と監査値を照合する。</v>
      </c>
      <c r="G24" s="4" t="str">
        <v>未確認・再確認の対象だけ確認済みとなり、既存確認済みの担当者・日時を上書きしない。</v>
      </c>
      <c r="H24" s="4" t="str">
        <v>－（表示文言のみの確認は単体に委ねる）</v>
      </c>
      <c r="I24" s="16"/>
      <c r="J24" s="13"/>
      <c r="K24" s="14"/>
      <c r="L24" s="13"/>
      <c r="M24" s="16"/>
      <c r="N24" s="13"/>
      <c r="O24" s="14"/>
      <c r="P24" s="15" t="str">
        <f>IF(I24="","未実施",IF(M24="",I24,M24))</f>
        <v>未実施</v>
      </c>
      <c r="Q24" s="4" t="str">
        <v>単体未収録画面を含む／単体にない連携判定。
根拠：R3008 / R2006</v>
      </c>
    </row>
    <row r="25" ht="82" customHeight="1">
      <c r="A25" s="15" t="str">
        <v>INT05-16</v>
      </c>
      <c r="B25" s="15" t="str">
        <v>正常系</v>
      </c>
      <c r="C25" s="4" t="str">
        <v>製番確認を取消して後続抽出を変えない</v>
      </c>
      <c r="D25" s="4" t="str">
        <v>3008U→3002U</v>
      </c>
      <c r="E25" s="4" t="str">
        <v>D00共通
D09/D07。未確認の対象製番だけが不足条件。</v>
      </c>
      <c r="F25" s="4" t="str">
        <v>手順1：確認を押して確認ダイアログを取消。
手順2：契約側・DB状態と支払い抽出を照合する。</v>
      </c>
      <c r="G25" s="4" t="str">
        <v>確認状態・監査値が変わらず、未確認製番を確認済み条件の支払対象として新たに抽出しない。</v>
      </c>
      <c r="H25" s="4" t="str">
        <v>－（表示文言のみの確認は単体に委ねる）</v>
      </c>
      <c r="I25" s="16"/>
      <c r="J25" s="13"/>
      <c r="K25" s="14"/>
      <c r="L25" s="13"/>
      <c r="M25" s="16"/>
      <c r="N25" s="13"/>
      <c r="O25" s="14"/>
      <c r="P25" s="15" t="str">
        <f>IF(I25="","未実施",IF(M25="",I25,M25))</f>
        <v>未実施</v>
      </c>
      <c r="Q25" s="4" t="str">
        <v>単体未収録画面を含む／単体にない連携判定。
根拠：R3008 / R3002</v>
      </c>
    </row>
    <row r="26" ht="99" customHeight="1">
      <c r="A26" s="15" t="str">
        <v>INT05-17</v>
      </c>
      <c r="B26" s="15" t="str">
        <v>排他</v>
      </c>
      <c r="C26" s="4" t="str">
        <v>二人が同時確認した際に先行者を保護</v>
      </c>
      <c r="D26" s="4" t="str">
        <v>3008U→2006U</v>
      </c>
      <c r="E26" s="4" t="str">
        <v>D00共通
D09。B/Cが同じ未確認製番を検索。</v>
      </c>
      <c r="F26" s="4" t="str">
        <v>手順1：Bが先に確認しCが古い一覧で確認する。
手順2：DBの更新件数・確認者日時と完了案内を照合する。</v>
      </c>
      <c r="G26" s="4" t="str">
        <v>先行者Bの確認情報を維持し、更新0件を新たな確認成功件数として扱わない。現コードの件数加算はQ06で要確認。</v>
      </c>
      <c r="H26" s="4" t="str">
        <v>－（表示文言のみの確認は単体に委ねる）</v>
      </c>
      <c r="I26" s="16"/>
      <c r="J26" s="13"/>
      <c r="K26" s="14"/>
      <c r="L26" s="13"/>
      <c r="M26" s="16"/>
      <c r="N26" s="13"/>
      <c r="O26" s="14"/>
      <c r="P26" s="15" t="str">
        <f>IF(I26="","未実施",IF(M26="",I26,M26))</f>
        <v>未実施</v>
      </c>
      <c r="Q26" s="4" t="str">
        <v>単体未収録画面を含む／単体にない連携判定。
根拠：R3008 / R2006
実施前にQ06の条件・期待を確認。</v>
      </c>
    </row>
    <row r="27" ht="82" customHeight="1">
      <c r="A27" s="15" t="str">
        <v>INT05-18</v>
      </c>
      <c r="B27" s="15" t="str">
        <v>異常系</v>
      </c>
      <c r="C27" s="4" t="str">
        <v>本人依頼・確認済みだけの選択で再確定しない</v>
      </c>
      <c r="D27" s="4" t="str">
        <v>3008U→2006U/3002U</v>
      </c>
      <c r="E27" s="4" t="str">
        <v>D00共通
D09。本人の依頼と既確認行のみを選択。有効な他人依頼は選ばない。</v>
      </c>
      <c r="F27" s="4" t="str">
        <v>手順1：確認を実行し、契約製番の確認情報と支払対象を処理前と照合する。</v>
      </c>
      <c r="G27" s="4" t="str">
        <v>確認可能対象なしと案内し、製番状態・確認者・確認日時・支払対象を変更しない。有効な選択を別行から勝手に補わない。</v>
      </c>
      <c r="H27" s="4" t="str">
        <v>－（表示文言のみの確認は単体に委ねる）</v>
      </c>
      <c r="I27" s="16"/>
      <c r="J27" s="13"/>
      <c r="K27" s="14"/>
      <c r="L27" s="13"/>
      <c r="M27" s="16"/>
      <c r="N27" s="13"/>
      <c r="O27" s="14"/>
      <c r="P27" s="15" t="str">
        <f>IF(I27="","未実施",IF(M27="",I27,M27))</f>
        <v>未実施</v>
      </c>
      <c r="Q27" s="4" t="str">
        <v>単体未収録画面を含む／単体にない連携判定。
根拠：R3008 Screen 83～148</v>
      </c>
    </row>
    <row r="28" ht="116" customHeight="1">
      <c r="A28" s="15" t="str">
        <v>INT05-19</v>
      </c>
      <c r="B28" s="15" t="str">
        <v>正常系</v>
      </c>
      <c r="C28" s="4" t="str">
        <v>有効な最大期間だけを製番確認候補へ採用</v>
      </c>
      <c r="D28" s="4" t="str">
        <v>2006U→3008U</v>
      </c>
      <c r="E28" s="4" t="str">
        <v>D00共通
D09/D15。全期間の最大IDが有効0の契約と、最大IDが無効で古い期間だけ有効0の契約。確認区分0／2／1を用意。通常操作で作れない条件は管理者の試験データで準備。</v>
      </c>
      <c r="F28" s="4" t="str">
        <v>手順1：元契約の期間状態を記録し3008Uで検索。
手順2：候補の製番ID・契約期間・確認区分を元データと照合する。</v>
      </c>
      <c r="G28" s="4" t="str">
        <v>全期間の最大IDという条件と、有効0という条件を両方満たす製番だけを候補にする。最大IDが無効なら古い有効期間へ勝手に戻って候補化しない。確認済み1は除外し未確認0・再確認2を区別する。</v>
      </c>
      <c r="H28" s="4" t="str">
        <v>－（連携先・保存結果を判定し、表示文言だけは単体に委ねる）</v>
      </c>
      <c r="I28" s="24"/>
      <c r="J28" s="23"/>
      <c r="K28" s="25"/>
      <c r="L28" s="23"/>
      <c r="M28" s="24"/>
      <c r="N28" s="23"/>
      <c r="O28" s="25"/>
      <c r="P28" s="15" t="str">
        <f>IF(I28="","未実施",IF(M28="",I28,M28))</f>
        <v>未実施</v>
      </c>
      <c r="Q28" s="4" t="str">
        <v>単体未収録画面を含む／単体にない連携判定。
根拠：R3008 TableAdapter、VB3008-02
実施前にQ08の条件・期待を確認。</v>
      </c>
    </row>
  </sheetData>
  <mergeCells>
    <mergeCell ref="A1:H1"/>
    <mergeCell ref="A2:Q2"/>
    <mergeCell ref="A3:Q3"/>
    <mergeCell ref="A4:Q4"/>
    <mergeCell ref="A8:H8"/>
  </mergeCells>
  <conditionalFormatting sqref="P10:P27">
    <cfRule type="cellIs" dxfId="16" priority="1" operator="equal">
      <formula>"OK"</formula>
    </cfRule>
    <cfRule type="cellIs" dxfId="17" priority="2" operator="equal">
      <formula>"NG"</formula>
    </cfRule>
    <cfRule type="cellIs" dxfId="18" priority="3" operator="equal">
      <formula>"保留"</formula>
    </cfRule>
    <cfRule type="cellIs" dxfId="19" priority="4" operator="equal">
      <formula>"対象外"</formula>
    </cfRule>
  </conditionalFormatting>
  <conditionalFormatting sqref="P28:P28">
    <cfRule type="cellIs" dxfId="48" priority="5" operator="equal">
      <formula>"OK"</formula>
    </cfRule>
    <cfRule type="cellIs" dxfId="49" priority="6" operator="equal">
      <formula>"NG"</formula>
    </cfRule>
    <cfRule type="cellIs" dxfId="50" priority="7" operator="equal">
      <formula>"保留"</formula>
    </cfRule>
    <cfRule type="cellIs" dxfId="51" priority="8" operator="equal">
      <formula>"対象外"</formula>
    </cfRule>
  </conditionalFormatting>
  <dataValidations count="4">
    <dataValidation type="list" sqref="I10:I27">
      <formula1>"OK,NG,保留,対象外"</formula1>
    </dataValidation>
    <dataValidation type="list" sqref="M10:M27">
      <formula1>"OK,NG,保留,対象外"</formula1>
    </dataValidation>
    <dataValidation type="list" sqref="I28">
      <formula1>"OK,NG,保留,対象外"</formula1>
    </dataValidation>
    <dataValidation type="list" sqref="M28">
      <formula1>"OK,NG,保留,対象外"</formula1>
    </dataValidation>
  </dataValidations>
  <pageMargins left="0.3" right="0.3" top="0.4" bottom="0.4" header="0.2" footer="0.2"/>
  <pageSetup orientation="landscape" paperSize="8" scale="100" fitToWidth="0" fitToHeight="0"/>
</worksheet>
</file>

<file path=xl/worksheets/sheet8.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結合テスト仕様書｜支払い明細出力との連携</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単体の入力チェック・初期表示・単独CRUDは「単体との対応」に委ねる。未実施の結果欄は空欄。Q付きケースは実施条件を確定後に着手する。</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COUNTA(A10:A21)</f>
        <v>12</v>
      </c>
      <c r="C6" s="9" t="str">
        <v>対象外件数</v>
      </c>
      <c r="D6" s="9" t="n">
        <f>COUNTIF(P10:P21,"対象外")</f>
        <v>0</v>
      </c>
      <c r="E6" s="9" t="str">
        <v>実テスト件数</v>
      </c>
      <c r="F6" s="9" t="n">
        <f>B6-D6</f>
        <v>12</v>
      </c>
      <c r="G6" s="9" t="str">
        <v>完了件数OK</v>
      </c>
      <c r="H6" s="9" t="n">
        <f>COUNTIF(P10:P21,"OK")</f>
        <v>0</v>
      </c>
      <c r="I6" s="9" t="str">
        <v>NG件数</v>
      </c>
      <c r="J6" s="9" t="n">
        <f>COUNTIF(P10:P21,"NG")</f>
        <v>0</v>
      </c>
      <c r="K6" s="9" t="str">
        <v>保留</v>
      </c>
      <c r="L6" s="9" t="n">
        <f>MAX(0,F6-H6-J6)</f>
        <v>12</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116" customHeight="1">
      <c r="A10" s="15" t="str">
        <v>INT06-01</v>
      </c>
      <c r="B10" s="15" t="str">
        <v>正常系</v>
      </c>
      <c r="C10" s="4" t="str">
        <v>年払い契約の支払い月が抽出・2帳票に一致</v>
      </c>
      <c r="D10" s="4" t="str">
        <v>1005U→3002U→3001P/3005P</v>
      </c>
      <c r="E10" s="4" t="str">
        <v>D00共通
D07。年払い、確認済み製番、抽出ビューの全結合条件を満たす。</v>
      </c>
      <c r="F10" s="4" t="str">
        <v>手順1：1005Uの支払設定・期間IDを記録し3002Uで該当月と年払いを検索、出力ZIPの2帳票を開く。</v>
      </c>
      <c r="G10" s="4" t="str">
        <v>契約・取引先・製番・対象月が一覧と両帳票で一致する。違う支払区分の契約を含めず、同じ取引先の明細を正しい集計先へまとめる。</v>
      </c>
      <c r="H10" s="4" t="str">
        <v>－（表示文言のみの確認は単体に委ねる）</v>
      </c>
      <c r="I10" s="16"/>
      <c r="J10" s="13"/>
      <c r="K10" s="14"/>
      <c r="L10" s="13"/>
      <c r="M10" s="16"/>
      <c r="N10" s="13"/>
      <c r="O10" s="14"/>
      <c r="P10" s="15" t="str">
        <f>IF(I10="","未実施",IF(M10="",I10,M10))</f>
        <v>未実施</v>
      </c>
      <c r="Q10" s="4" t="str">
        <v>関連単体：1005-15, 1005-17
単体の表示・単独操作ではなく、期待結果の連携部分を追加判定。
根拠：R1005 / R3002 TableAdapter・ExcelService</v>
      </c>
    </row>
    <row r="11" ht="116" customHeight="1">
      <c r="A11" s="15" t="str">
        <v>INT06-02</v>
      </c>
      <c r="B11" s="15" t="str">
        <v>正常系</v>
      </c>
      <c r="C11" s="4" t="str">
        <v>月払い契約の支払い月が抽出・2帳票に一致</v>
      </c>
      <c r="D11" s="4" t="str">
        <v>1005U→3002U→3001P/3005P</v>
      </c>
      <c r="E11" s="4" t="str">
        <v>D00共通
D07。月払い、確認済み製番、抽出ビューの全結合条件を満たす。</v>
      </c>
      <c r="F11" s="4" t="str">
        <v>手順1：1005Uの支払設定・期間IDを記録し3002Uで該当月と月払いを検索、出力ZIPの2帳票を開く。</v>
      </c>
      <c r="G11" s="4" t="str">
        <v>契約・取引先・製番・対象月が一覧と両帳票で一致する。違う支払区分の契約を含めず、同じ取引先の明細を正しい集計先へまとめる。</v>
      </c>
      <c r="H11" s="4" t="str">
        <v>－（表示文言のみの確認は単体に委ねる）</v>
      </c>
      <c r="I11" s="16"/>
      <c r="J11" s="13"/>
      <c r="K11" s="14"/>
      <c r="L11" s="13"/>
      <c r="M11" s="16"/>
      <c r="N11" s="13"/>
      <c r="O11" s="14"/>
      <c r="P11" s="15" t="str">
        <f>IF(I11="","未実施",IF(M11="",I11,M11))</f>
        <v>未実施</v>
      </c>
      <c r="Q11" s="4" t="str">
        <v>関連単体：1005-15, 1005-17
単体の表示・単独操作ではなく、期待結果の連携部分を追加判定。
根拠：R1005 / R3002 TableAdapter・ExcelService</v>
      </c>
    </row>
    <row r="12" ht="116" customHeight="1">
      <c r="A12" s="15" t="str">
        <v>INT06-03</v>
      </c>
      <c r="B12" s="15" t="str">
        <v>正常系</v>
      </c>
      <c r="C12" s="4" t="str">
        <v>支払月変更が出力対象月へ反映</v>
      </c>
      <c r="D12" s="4" t="str">
        <v>1005U→3002U</v>
      </c>
      <c r="E12" s="4" t="str">
        <v>D00共通
D07。編集可能期間の支払チェック月を1月分移動できる。</v>
      </c>
      <c r="F12" s="4" t="str">
        <v>手順1：支払月を変更・登録し旧月と新月の両方を検索・出力する。</v>
      </c>
      <c r="G12" s="4" t="str">
        <v>旧月の対象が新月に正しく切り替わり、両月で二重支払い対象にしない。契約期間と対象明細IDが一致する。</v>
      </c>
      <c r="H12" s="4" t="str">
        <v>－（表示文言のみの確認は単体に委ねる）</v>
      </c>
      <c r="I12" s="16"/>
      <c r="J12" s="13"/>
      <c r="K12" s="14"/>
      <c r="L12" s="13"/>
      <c r="M12" s="16"/>
      <c r="N12" s="13"/>
      <c r="O12" s="14"/>
      <c r="P12" s="15" t="str">
        <f>IF(I12="","未実施",IF(M12="",I12,M12))</f>
        <v>未実施</v>
      </c>
      <c r="Q12" s="4" t="str">
        <v>関連単体：1005-15
単体の表示・単独操作ではなく、期待結果の連携部分を追加判定。
根拠：R1005 / R3002 TableAdapter・ExcelService</v>
      </c>
    </row>
    <row r="13" ht="116" customHeight="1">
      <c r="A13" s="15" t="str">
        <v>INT06-04</v>
      </c>
      <c r="B13" s="15" t="str">
        <v>正常系</v>
      </c>
      <c r="C13" s="4" t="str">
        <v>期間切替月で新旧単価を使い分け</v>
      </c>
      <c r="D13" s="4" t="str">
        <v>1005U→3002U→3005P</v>
      </c>
      <c r="E13" s="4" t="str">
        <v>D00共通
D07。隣接する旧新期間で仕切単価が異なる。</v>
      </c>
      <c r="F13" s="4" t="str">
        <v>手順1：切替前月・切替月を各検索・出力し、採用期間IDと支払金額をVB同条件出力に照合する。</v>
      </c>
      <c r="G13" s="4" t="str">
        <v>対象月に有効な最新開始期間を用い、新旧単価を混ぜたり両期間を二重加算したりしない。端数を含めVBと一致する。</v>
      </c>
      <c r="H13" s="4" t="str">
        <v>－（表示文言のみの確認は単体に委ねる）</v>
      </c>
      <c r="I13" s="16"/>
      <c r="J13" s="13"/>
      <c r="K13" s="14"/>
      <c r="L13" s="13"/>
      <c r="M13" s="16"/>
      <c r="N13" s="13"/>
      <c r="O13" s="14"/>
      <c r="P13" s="15" t="str">
        <f>IF(I13="","未実施",IF(M13="",I13,M13))</f>
        <v>未実施</v>
      </c>
      <c r="Q13" s="4" t="str">
        <v>関連単体：1006-25
単体の表示・単独操作ではなく、期待結果の連携部分を追加判定。
根拠：R1005 / R3002 TableAdapter・ExcelService</v>
      </c>
    </row>
    <row r="14" ht="116" customHeight="1">
      <c r="A14" s="15" t="str">
        <v>INT06-05</v>
      </c>
      <c r="B14" s="15" t="str">
        <v>正常系</v>
      </c>
      <c r="C14" s="4" t="str">
        <v>支払回数・端数の配賦が登録値と帳票に一致</v>
      </c>
      <c r="D14" s="4" t="str">
        <v>1005U→3002U→3005P</v>
      </c>
      <c r="E14" s="4" t="str">
        <v>D00共通
D07。12で割り切れない金額、支払チェックが複数月。VB同条件の出力を取得。</v>
      </c>
      <c r="F14" s="4" t="str">
        <v>手順1：対象月を順に出力し、金額・累計・最終支払を照合する。</v>
      </c>
      <c r="G14" s="4" t="str">
        <v>契約の登録金額・支払月設定から算出した各月額と総額がVB条件に一致し、端数の重複配賦・欠落がない。</v>
      </c>
      <c r="H14" s="4" t="str">
        <v>－（表示文言のみの確認は単体に委ねる）</v>
      </c>
      <c r="I14" s="16"/>
      <c r="J14" s="13"/>
      <c r="K14" s="14"/>
      <c r="L14" s="13"/>
      <c r="M14" s="16"/>
      <c r="N14" s="13"/>
      <c r="O14" s="14"/>
      <c r="P14" s="15" t="str">
        <f>IF(I14="","未実施",IF(M14="",I14,M14))</f>
        <v>未実施</v>
      </c>
      <c r="Q14" s="4" t="str">
        <v>関連単体：1005-15
単体の表示・単独操作ではなく、期待結果の連携部分を追加判定。
根拠：R1005 / R3002 TableAdapter・ExcelService</v>
      </c>
    </row>
    <row r="15" ht="82" customHeight="1">
      <c r="A15" s="15" t="str">
        <v>INT06-07</v>
      </c>
      <c r="B15" s="15" t="str">
        <v>正常系</v>
      </c>
      <c r="C15" s="4" t="str">
        <v>未確認・対象外期間の製番を支払いに含めない</v>
      </c>
      <c r="D15" s="4" t="str">
        <v>2006U/3008U→3002U</v>
      </c>
      <c r="E15" s="4" t="str">
        <v>D00共通
D07/D09。未確認、確認済みだが対象月が製番期間外、対象月内確認済みを別々に準備。</v>
      </c>
      <c r="F15" s="4" t="str">
        <v>手順1：同じ支払月で3条件を検索して出力し製番IDを比較する。</v>
      </c>
      <c r="G15" s="4" t="str">
        <v>対象月内で確認済みの製番だけが結合される。未確認や期間外の製番の存在で対象が増えない。</v>
      </c>
      <c r="H15" s="4" t="str">
        <v>－（表示文言のみの確認は単体に委ねる）</v>
      </c>
      <c r="I15" s="16"/>
      <c r="J15" s="13"/>
      <c r="K15" s="14"/>
      <c r="L15" s="13"/>
      <c r="M15" s="16"/>
      <c r="N15" s="13"/>
      <c r="O15" s="14"/>
      <c r="P15" s="15" t="str">
        <f>IF(I15="","未実施",IF(M15="",I15,M15))</f>
        <v>未実施</v>
      </c>
      <c r="Q15" s="4" t="str">
        <v>単体未収録画面を含む／単体にない連携判定。
根拠：R2006 / R3002 TableAdapter・ExcelService</v>
      </c>
    </row>
    <row r="16" ht="116" customHeight="1">
      <c r="A16" s="15" t="str">
        <v>INT06-08</v>
      </c>
      <c r="B16" s="15" t="str">
        <v>正常系</v>
      </c>
      <c r="C16" s="4" t="str">
        <v>無効・未承認期間の支払いを確定出力しない</v>
      </c>
      <c r="D16" s="4" t="str">
        <v>1005U/1011U→3002U</v>
      </c>
      <c r="E16" s="4" t="str">
        <v>D00共通
D07/D03。承認前期間と承認後期間を識別できる。</v>
      </c>
      <c r="F16" s="4" t="str">
        <v>手順1：承認前に検索して記録し、最終承認後に同条件で検索・出力する。</v>
      </c>
      <c r="G16" s="4" t="str">
        <v>有効フラグ等の対象条件に従って確定期間の支払いを使用する。未確定期間と旧確定期間を重複出力しない。</v>
      </c>
      <c r="H16" s="4" t="str">
        <v>－（表示文言のみの確認は単体に委ねる）</v>
      </c>
      <c r="I16" s="16"/>
      <c r="J16" s="13"/>
      <c r="K16" s="14"/>
      <c r="L16" s="13"/>
      <c r="M16" s="16"/>
      <c r="N16" s="13"/>
      <c r="O16" s="14"/>
      <c r="P16" s="15" t="str">
        <f>IF(I16="","未実施",IF(M16="",I16,M16))</f>
        <v>未実施</v>
      </c>
      <c r="Q16" s="4" t="str">
        <v>関連単体：1011-22
単体の表示・単独操作ではなく、期待結果の連携部分を追加判定。
根拠：R1005 / R3002 TableAdapter・ExcelService</v>
      </c>
    </row>
    <row r="17" ht="116" customHeight="1">
      <c r="A17" s="15" t="str">
        <v>INT06-09</v>
      </c>
      <c r="B17" s="15" t="str">
        <v>正常系</v>
      </c>
      <c r="C17" s="4" t="str">
        <v>検索後の契約更新を帳票出力時に再取得</v>
      </c>
      <c r="D17" s="4" t="str">
        <v>1005U→3002U→3005P</v>
      </c>
      <c r="E17" s="4" t="str">
        <v>D00共通
D07。Aが3002Uを検索後、Bが対象契約の出力項目を有効な手順で更新。</v>
      </c>
      <c r="F17" s="4" t="str">
        <v>手順1：Aは同じ対象月のまま出力し、出力時点の契約と照合する。</v>
      </c>
      <c r="G17" s="4" t="str">
        <v>3002Uの出力用再取得により最新の有効契約データを使用する。画面の古い金額と出力値が異なる場合は再検索で一致を確認する。</v>
      </c>
      <c r="H17" s="4" t="str">
        <v>－（表示文言のみの確認は単体に委ねる）</v>
      </c>
      <c r="I17" s="16"/>
      <c r="J17" s="13"/>
      <c r="K17" s="14"/>
      <c r="L17" s="13"/>
      <c r="M17" s="16"/>
      <c r="N17" s="13"/>
      <c r="O17" s="14"/>
      <c r="P17" s="15" t="str">
        <f>IF(I17="","未実施",IF(M17="",I17,M17))</f>
        <v>未実施</v>
      </c>
      <c r="Q17" s="4" t="str">
        <v>関連単体：1005-17
単体の表示・単独操作ではなく、期待結果の連携部分を追加判定。
根拠：R1005 / R3002 TableAdapter・ExcelService</v>
      </c>
    </row>
    <row r="18" ht="116" customHeight="1">
      <c r="A18" s="15" t="str">
        <v>INT06-10</v>
      </c>
      <c r="B18" s="15" t="str">
        <v>正常系</v>
      </c>
      <c r="C18" s="4" t="str">
        <v>取引先単位の宛先と明細集計の一致</v>
      </c>
      <c r="D18" s="4" t="str">
        <v>0017U/1005U→3002U→3001P/3005P</v>
      </c>
      <c r="E18" s="4" t="str">
        <v>D00共通
D07。同じ取引先2契約、別取引先1契約。窓口担当者設定あり。</v>
      </c>
      <c r="F18" s="4" t="str">
        <v>手順1：3契約を含む対象月を出力。
手順2：ZIP内の発注確認書・支払い明細の各ブックで、取引先別シートの宛先・契約NO・合計を窓口マスタと照合する。</v>
      </c>
      <c r="G18" s="4" t="str">
        <v>各帳票ブック内で取引先ごとにシートを分け、同一取引先の2契約をそのシートへまとめる。宛先は取引先窓口の出力用区分2・有効0の条件を満たす担当者を採用し、取引先間で宛先・集計を混ぜない。</v>
      </c>
      <c r="H18" s="4" t="str">
        <v>－（表示文言のみの確認は単体に委ねる）</v>
      </c>
      <c r="I18" s="16"/>
      <c r="J18" s="13"/>
      <c r="K18" s="14"/>
      <c r="L18" s="13"/>
      <c r="M18" s="16"/>
      <c r="N18" s="13"/>
      <c r="O18" s="14"/>
      <c r="P18" s="15" t="str">
        <f>IF(I18="","未実施",IF(M18="",I18,M18))</f>
        <v>未実施</v>
      </c>
      <c r="Q18" s="4" t="str">
        <v>単体未収録画面を含む／単体にない連携判定。
根拠：R1005 / R3002 TableAdapter・ExcelService</v>
      </c>
    </row>
    <row r="19" ht="82" customHeight="1">
      <c r="A19" s="15" t="str">
        <v>INT06-11</v>
      </c>
      <c r="B19" s="15" t="str">
        <v>異常系</v>
      </c>
      <c r="C19" s="4" t="str">
        <v>検索結果消失時に以前の支払帳票を返さない</v>
      </c>
      <c r="D19" s="4" t="str">
        <v>1005U/3008U→3002U</v>
      </c>
      <c r="E19" s="4" t="str">
        <v>D00共通
D07。初回は対象あり、別担当が条件を満たさない状態へ変更する試験用契約。</v>
      </c>
      <c r="F19" s="4" t="str">
        <v>手順1：検索後に対象状態が変わったことを確認し、同条件の出力を実行する。</v>
      </c>
      <c r="G19" s="4" t="str">
        <v>出力用再取得が0件なら旧検索の帳票を返さず対象なしを案内する。別の支払月や取引先のデータで代用しない。</v>
      </c>
      <c r="H19" s="4" t="str">
        <v>－（表示文言のみの確認は単体に委ねる）</v>
      </c>
      <c r="I19" s="16"/>
      <c r="J19" s="13"/>
      <c r="K19" s="14"/>
      <c r="L19" s="13"/>
      <c r="M19" s="16"/>
      <c r="N19" s="13"/>
      <c r="O19" s="14"/>
      <c r="P19" s="15" t="str">
        <f>IF(I19="","未実施",IF(M19="",I19,M19))</f>
        <v>未実施</v>
      </c>
      <c r="Q19" s="4" t="str">
        <v>単体未収録画面を含む／単体にない連携判定。
根拠：R1005 / R3002 TableAdapter・ExcelService</v>
      </c>
    </row>
    <row r="20" ht="133" customHeight="1">
      <c r="A20" s="15" t="str">
        <v>INT06-12</v>
      </c>
      <c r="B20" s="15" t="str">
        <v>正常系</v>
      </c>
      <c r="C20" s="4" t="str">
        <v>支払ON・OFFの保存値で抽出対象を分離</v>
      </c>
      <c r="D20" s="4" t="str">
        <v>1005U→3002U→3001P/3005P</v>
      </c>
      <c r="E20" s="4" t="str">
        <v>D00共通
D07。同条件の3契約でON=1/OFF=0、ON=0/OFF=0、ON=1/OFF=1。</v>
      </c>
      <c r="F20" s="4" t="str">
        <v>手順1：支払設定を登録し同じ月と区分で抽出・出力。
手順2：対象明細をDB条件と照合する。</v>
      </c>
      <c r="G20" s="4" t="str">
        <v>ON=1かつOFF=0の支払明細だけを採用し、対象外明細の存在で金額や宛先の集計を増やさない。</v>
      </c>
      <c r="H20" s="4" t="str">
        <v>－（表示文言のみの確認は単体に委ねる）</v>
      </c>
      <c r="I20" s="16"/>
      <c r="J20" s="13"/>
      <c r="K20" s="14"/>
      <c r="L20" s="13"/>
      <c r="M20" s="16"/>
      <c r="N20" s="13"/>
      <c r="O20" s="14"/>
      <c r="P20" s="15" t="str">
        <f>IF(I20="","未実施",IF(M20="",I20,M20))</f>
        <v>未実施</v>
      </c>
      <c r="Q20" s="4" t="str">
        <v>関連単体：1005-15
単体の表示・単独操作ではなく、期待結果の連携部分を追加判定。
根拠：R1005 / R3002
実施前にQ16の条件・期待を確認。</v>
      </c>
    </row>
    <row r="21" ht="201" customHeight="1">
      <c r="A21" s="15" t="str">
        <v>INT06-13</v>
      </c>
      <c r="B21" s="15" t="str">
        <v>正常系</v>
      </c>
      <c r="C21" s="4" t="str">
        <v>取引先・ユーザー解約日の支払境界と製番印を区別</v>
      </c>
      <c r="D21" s="4" t="str">
        <v>1005U/2006U→3002U→3001P/3005P</v>
      </c>
      <c r="E21" s="4" t="str">
        <v>D00共通
D07。取引先解約日とユーザー解約日が、支払対象日より前／同日／後の試験契約。隣接月も準備し、正式な解約手順はQ04、ビューと製番印の条件はQ16で確定。</v>
      </c>
      <c r="F21" s="4" t="str">
        <v>手順1：合意した操作で各解約日を保存。
手順2：解約前後の対象月と同日境界を3002Uで検索・出力し、一覧・発注確認書・支払い明細の採否とHARD_SEIBANの解約印を元契約に照合する。</v>
      </c>
      <c r="G21" s="4" t="str">
        <v>取引先解約日は支払対象月の日付&lt;=解約日の境界で採否を決め、解約後の対象外月を出力せず解約前の有効な支払いを保持する。ユーザー解約日はビューの製番印を制御し、取引先側の除外と混同しない。一覧と両帳票の対象・印はQ16で確認した条件に一致する。</v>
      </c>
      <c r="H21" s="4" t="str">
        <v>－（表示文言のみの確認は単体に委ねる）</v>
      </c>
      <c r="I21" s="16"/>
      <c r="J21" s="13"/>
      <c r="K21" s="14"/>
      <c r="L21" s="13"/>
      <c r="M21" s="16"/>
      <c r="N21" s="13"/>
      <c r="O21" s="14"/>
      <c r="P21" s="15" t="str">
        <f>IF(I21="","未実施",IF(M21="",I21,M21))</f>
        <v>未実施</v>
      </c>
      <c r="Q21" s="4" t="str">
        <v>関連単体：1005-3
単体の表示・単独操作ではなく、期待結果の連携部分を追加判定。
根拠：R3002 TableAdapter、R1005/R2006 / R1005 / R3002 TableAdapter・ExcelService
実施前にQ16・Q04の条件・期待を確認。
統合元：INT06-06（番号は再利用しない）</v>
      </c>
    </row>
  </sheetData>
  <mergeCells>
    <mergeCell ref="A1:H1"/>
    <mergeCell ref="A2:Q2"/>
    <mergeCell ref="A3:Q3"/>
    <mergeCell ref="A4:Q4"/>
    <mergeCell ref="A8:H8"/>
  </mergeCells>
  <conditionalFormatting sqref="P10:P21">
    <cfRule type="cellIs" dxfId="20" priority="1" operator="equal">
      <formula>"OK"</formula>
    </cfRule>
    <cfRule type="cellIs" dxfId="21" priority="2" operator="equal">
      <formula>"NG"</formula>
    </cfRule>
    <cfRule type="cellIs" dxfId="22" priority="3" operator="equal">
      <formula>"保留"</formula>
    </cfRule>
    <cfRule type="cellIs" dxfId="23" priority="4" operator="equal">
      <formula>"対象外"</formula>
    </cfRule>
  </conditionalFormatting>
  <dataValidations count="2">
    <dataValidation type="list" sqref="I10:I21">
      <formula1>"OK,NG,保留,対象外"</formula1>
    </dataValidation>
    <dataValidation type="list" sqref="M10:M21">
      <formula1>"OK,NG,保留,対象外"</formula1>
    </dataValidation>
  </dataValidations>
  <pageMargins left="0.3" right="0.3" top="0.4" bottom="0.4" header="0.2" footer="0.2"/>
  <pageSetup orientation="landscape" paperSize="8" scale="100" fitToWidth="0" fitToHeight="0"/>
</worksheet>
</file>

<file path=xl/worksheets/sheet9.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結合テスト仕様書｜保守点検・帳票との連携</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単体の入力チェック・初期表示・単独CRUDは「単体との対応」に委ねる。未実施の結果欄は空欄。Q付きケースは実施条件を確定後に着手する。</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COUNTA(A10:A24)</f>
        <v>15</v>
      </c>
      <c r="C6" s="9" t="str">
        <v>対象外件数</v>
      </c>
      <c r="D6" s="9" t="n">
        <f>COUNTIF(P10:P24,"対象外")</f>
        <v>0</v>
      </c>
      <c r="E6" s="9" t="str">
        <v>実テスト件数</v>
      </c>
      <c r="F6" s="9" t="n">
        <f>B6-D6</f>
        <v>15</v>
      </c>
      <c r="G6" s="9" t="str">
        <v>完了件数OK</v>
      </c>
      <c r="H6" s="9" t="n">
        <f>COUNTIF(P10:P24,"OK")</f>
        <v>0</v>
      </c>
      <c r="I6" s="9" t="str">
        <v>NG件数</v>
      </c>
      <c r="J6" s="9" t="n">
        <f>COUNTIF(P10:P24,"NG")</f>
        <v>0</v>
      </c>
      <c r="K6" s="9" t="str">
        <v>保留</v>
      </c>
      <c r="L6" s="9" t="n">
        <f>MAX(0,F6-H6-J6)</f>
        <v>15</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116" customHeight="1">
      <c r="A10" s="15" t="str">
        <v>INT07-01</v>
      </c>
      <c r="B10" s="15" t="str">
        <v>正常系</v>
      </c>
      <c r="C10" s="4" t="str">
        <v>契約点検月の登録が全件抽出へ反映</v>
      </c>
      <c r="D10" s="4" t="str">
        <v>1005U→3003U→3002P/3003P</v>
      </c>
      <c r="E10" s="4" t="str">
        <v>D00共通
D08。個体管理あり、対象月に点検ON、未解約・未撤去。</v>
      </c>
      <c r="F10" s="4" t="str">
        <v>手順1：1005Uで点検予定を登録し3003Uで月範囲の全件を検索、DB登録用データと作業用リストを出力する。</v>
      </c>
      <c r="G10" s="4" t="str">
        <v>対象契約・個体・点検月・曜日が一覧と両帳票に対応し、契約期間外や点検OFFの予定を含めない。</v>
      </c>
      <c r="H10" s="4" t="str">
        <v>－（表示文言のみの確認は単体に委ねる）</v>
      </c>
      <c r="I10" s="16"/>
      <c r="J10" s="13"/>
      <c r="K10" s="14"/>
      <c r="L10" s="13"/>
      <c r="M10" s="16"/>
      <c r="N10" s="13"/>
      <c r="O10" s="14"/>
      <c r="P10" s="15" t="str">
        <f>IF(I10="","未実施",IF(M10="",I10,M10))</f>
        <v>未実施</v>
      </c>
      <c r="Q10" s="4" t="str">
        <v>関連単体：1005-14
単体の表示・単独操作ではなく、期待結果の連携部分を追加判定。
根拠：R1005 / R3003 TableAdapter・ExcelService</v>
      </c>
    </row>
    <row r="11" ht="116" customHeight="1">
      <c r="A11" s="15" t="str">
        <v>INT07-02</v>
      </c>
      <c r="B11" s="15" t="str">
        <v>正常系</v>
      </c>
      <c r="C11" s="4" t="str">
        <v>点検ON/OFFの変更が差分抽出へ反映</v>
      </c>
      <c r="D11" s="4" t="str">
        <v>1005U→3003U</v>
      </c>
      <c r="E11" s="4" t="str">
        <v>D00共通
D08。変更前後の点検ON日時を記録できる。</v>
      </c>
      <c r="F11" s="4" t="str">
        <v>手順1：点検月を変更・登録し、当日の差分と全件を検索・出力する。</v>
      </c>
      <c r="G11" s="4" t="str">
        <v>変更対象の登録日時条件に応じて差分へ反映され、全件の最終状態と整合する。OFFにした予定を古いON行として出力しない。</v>
      </c>
      <c r="H11" s="4" t="str">
        <v>－（表示文言のみの確認は単体に委ねる）</v>
      </c>
      <c r="I11" s="16"/>
      <c r="J11" s="13"/>
      <c r="K11" s="14"/>
      <c r="L11" s="13"/>
      <c r="M11" s="16"/>
      <c r="N11" s="13"/>
      <c r="O11" s="14"/>
      <c r="P11" s="15" t="str">
        <f>IF(I11="","未実施",IF(M11="",I11,M11))</f>
        <v>未実施</v>
      </c>
      <c r="Q11" s="4" t="str">
        <v>関連単体：1005-14
単体の表示・単独操作ではなく、期待結果の連携部分を追加判定。
根拠：R1005 / R3003 TableAdapter・ExcelService</v>
      </c>
    </row>
    <row r="12" ht="116" customHeight="1">
      <c r="A12" s="15" t="str">
        <v>INT07-03</v>
      </c>
      <c r="B12" s="15" t="str">
        <v>正常系</v>
      </c>
      <c r="C12" s="4" t="str">
        <v>期間末と新期間開始の点検を二重抽出しない</v>
      </c>
      <c r="D12" s="4" t="str">
        <v>1005U→3003U</v>
      </c>
      <c r="E12" s="4" t="str">
        <v>D00共通
D08。隣接2期間に同じ個体の点検、切替月を識別できる。</v>
      </c>
      <c r="F12" s="4" t="str">
        <v>手順1：旧終了月・新開始月をまたぐ全件検索と出力を行う。</v>
      </c>
      <c r="G12" s="4" t="str">
        <v>抽出条件で採用する期間が一意となり、同じ個体・月・曜日の予定を旧新から重複させず、境界の必要予定を欠落させない。</v>
      </c>
      <c r="H12" s="4" t="str">
        <v>－（表示文言のみの確認は単体に委ねる）</v>
      </c>
      <c r="I12" s="16"/>
      <c r="J12" s="13"/>
      <c r="K12" s="14"/>
      <c r="L12" s="13"/>
      <c r="M12" s="16"/>
      <c r="N12" s="13"/>
      <c r="O12" s="14"/>
      <c r="P12" s="15" t="str">
        <f>IF(I12="","未実施",IF(M12="",I12,M12))</f>
        <v>未実施</v>
      </c>
      <c r="Q12" s="4" t="str">
        <v>関連単体：1006-25
単体の表示・単独操作ではなく、期待結果の連携部分を追加判定。
根拠：R1005 / R3003 TableAdapter・ExcelService</v>
      </c>
    </row>
    <row r="13" ht="82" customHeight="1">
      <c r="A13" s="15" t="str">
        <v>INT07-04</v>
      </c>
      <c r="B13" s="15" t="str">
        <v>正常系</v>
      </c>
      <c r="C13" s="4" t="str">
        <v>自動更新の翌年点検を抽出</v>
      </c>
      <c r="D13" s="4" t="str">
        <v>1005U→3003U</v>
      </c>
      <c r="E13" s="4" t="str">
        <v>D00共通
D08。自動更新ON、次期間なし、個体管理あり、解約・撤去なし。</v>
      </c>
      <c r="F13" s="4" t="str">
        <v>手順1：元点検の12か月後を対象に検索・出力し、元期間の予定と照合する。</v>
      </c>
      <c r="G13" s="4" t="str">
        <v>自動更新条件に合致する翌年予定だけが生成され、点検月・個体・曜日を正しく引き継ぐ。</v>
      </c>
      <c r="H13" s="4" t="str">
        <v>－（表示文言のみの確認は単体に委ねる）</v>
      </c>
      <c r="I13" s="16"/>
      <c r="J13" s="13"/>
      <c r="K13" s="14"/>
      <c r="L13" s="13"/>
      <c r="M13" s="16"/>
      <c r="N13" s="13"/>
      <c r="O13" s="14"/>
      <c r="P13" s="15" t="str">
        <f>IF(I13="","未実施",IF(M13="",I13,M13))</f>
        <v>未実施</v>
      </c>
      <c r="Q13" s="4" t="str">
        <v>単体未収録画面を含む／単体にない連携判定。
根拠：R1005 / R3003 TableAdapter・ExcelService</v>
      </c>
    </row>
    <row r="14" ht="82" customHeight="1">
      <c r="A14" s="15" t="str">
        <v>INT07-05</v>
      </c>
      <c r="B14" s="15" t="str">
        <v>正常系</v>
      </c>
      <c r="C14" s="4" t="str">
        <v>次期間あり／自動更新OFFの翌年重複を抑止</v>
      </c>
      <c r="D14" s="4" t="str">
        <v>1005U→3003U</v>
      </c>
      <c r="E14" s="4" t="str">
        <v>D00共通
D08。次期間あり、自動更新OFFを別契約で準備。</v>
      </c>
      <c r="F14" s="4" t="str">
        <v>手順1：12か月後を検索・出力し、翌年生成対象の契約と比較する。</v>
      </c>
      <c r="G14" s="4" t="str">
        <v>翌年自動生成の対象外条件では元期間を延長抽出しない。存在する次期間の予定と二重計上しない。</v>
      </c>
      <c r="H14" s="4" t="str">
        <v>－（表示文言のみの確認は単体に委ねる）</v>
      </c>
      <c r="I14" s="16"/>
      <c r="J14" s="13"/>
      <c r="K14" s="14"/>
      <c r="L14" s="13"/>
      <c r="M14" s="16"/>
      <c r="N14" s="13"/>
      <c r="O14" s="14"/>
      <c r="P14" s="15" t="str">
        <f>IF(I14="","未実施",IF(M14="",I14,M14))</f>
        <v>未実施</v>
      </c>
      <c r="Q14" s="4" t="str">
        <v>単体未収録画面を含む／単体にない連携判定。
根拠：R1005 / R3003 TableAdapter・ExcelService</v>
      </c>
    </row>
    <row r="15" ht="150" customHeight="1">
      <c r="A15" s="15" t="str">
        <v>INT07-06</v>
      </c>
      <c r="B15" s="15" t="str">
        <v>正常系</v>
      </c>
      <c r="C15" s="4" t="str">
        <v>解約・個体撤去後の点検を出力しない</v>
      </c>
      <c r="D15" s="4" t="str">
        <v>1005U/0013U→3003U</v>
      </c>
      <c r="E15" s="4" t="str">
        <v>D00共通
D08。解約日／撤去日の前後に点検月がある。</v>
      </c>
      <c r="F15" s="4" t="str">
        <v>手順1：合意済み操作で各日付を設定し登録。
手順2：前後の点検月を全件・差分で出力する。</v>
      </c>
      <c r="G15" s="4" t="str">
        <v>個体の管理・撤去、契約の解約条件に従い対象外予定を除外し、それ以前の有効な点検予定を保つ。</v>
      </c>
      <c r="H15" s="4" t="str">
        <v>－（表示文言のみの確認は単体に委ねる）</v>
      </c>
      <c r="I15" s="16"/>
      <c r="J15" s="13"/>
      <c r="K15" s="14"/>
      <c r="L15" s="13"/>
      <c r="M15" s="16"/>
      <c r="N15" s="13"/>
      <c r="O15" s="14"/>
      <c r="P15" s="15" t="str">
        <f>IF(I15="","未実施",IF(M15="",I15,M15))</f>
        <v>未実施</v>
      </c>
      <c r="Q15" s="4" t="str">
        <v>関連単体：1005-3
単体の表示・単独操作ではなく、期待結果の連携部分を追加判定。
根拠：R1005 / R3003 TableAdapter・ExcelService
実施前にQ04の条件・期待を確認。</v>
      </c>
    </row>
    <row r="16" ht="82" customHeight="1">
      <c r="A16" s="15" t="str">
        <v>INT07-07</v>
      </c>
      <c r="B16" s="15" t="str">
        <v>正常系</v>
      </c>
      <c r="C16" s="4" t="str">
        <v>差分の開始登録日のみを点検登録日時へ適用</v>
      </c>
      <c r="D16" s="4" t="str">
        <v>1005U→3003U</v>
      </c>
      <c r="E16" s="4" t="str">
        <v>D00共通
D08。指定日の前日・当日・翌日にON登録された予定。開始登録日のみを指定。</v>
      </c>
      <c r="F16" s="4" t="str">
        <v>手順1：差分検索と帳票出力を行い、DBのON登録日と採用点検IDを照合する。</v>
      </c>
      <c r="G16" s="4" t="str">
        <v>指定側の境界日を含む登録日時条件で抽出し、未指定側を勝手に当日に限定しない。一覧と出力の対象が一致する。</v>
      </c>
      <c r="H16" s="4" t="str">
        <v>－（表示文言のみの確認は単体に委ねる）</v>
      </c>
      <c r="I16" s="16"/>
      <c r="J16" s="13"/>
      <c r="K16" s="14"/>
      <c r="L16" s="13"/>
      <c r="M16" s="16"/>
      <c r="N16" s="13"/>
      <c r="O16" s="14"/>
      <c r="P16" s="15" t="str">
        <f>IF(I16="","未実施",IF(M16="",I16,M16))</f>
        <v>未実施</v>
      </c>
      <c r="Q16" s="4" t="str">
        <v>単体未収録画面を含む／単体にない連携判定。
根拠：R1005 / R3003 TableAdapter・ExcelService</v>
      </c>
    </row>
    <row r="17" ht="82" customHeight="1">
      <c r="A17" s="15" t="str">
        <v>INT07-08</v>
      </c>
      <c r="B17" s="15" t="str">
        <v>正常系</v>
      </c>
      <c r="C17" s="4" t="str">
        <v>差分の終了登録日のみを点検登録日時へ適用</v>
      </c>
      <c r="D17" s="4" t="str">
        <v>1005U→3003U</v>
      </c>
      <c r="E17" s="4" t="str">
        <v>D00共通
D08。指定日の前日・当日・翌日にON登録された予定。終了登録日のみを指定。</v>
      </c>
      <c r="F17" s="4" t="str">
        <v>手順1：差分検索と帳票出力を行い、DBのON登録日と採用点検IDを照合する。</v>
      </c>
      <c r="G17" s="4" t="str">
        <v>指定側の境界日を含む登録日時条件で抽出し、未指定側を勝手に当日に限定しない。一覧と出力の対象が一致する。</v>
      </c>
      <c r="H17" s="4" t="str">
        <v>－（表示文言のみの確認は単体に委ねる）</v>
      </c>
      <c r="I17" s="16"/>
      <c r="J17" s="13"/>
      <c r="K17" s="14"/>
      <c r="L17" s="13"/>
      <c r="M17" s="16"/>
      <c r="N17" s="13"/>
      <c r="O17" s="14"/>
      <c r="P17" s="15" t="str">
        <f>IF(I17="","未実施",IF(M17="",I17,M17))</f>
        <v>未実施</v>
      </c>
      <c r="Q17" s="4" t="str">
        <v>単体未収録画面を含む／単体にない連携判定。
根拠：R1005 / R3003 TableAdapter・ExcelService</v>
      </c>
    </row>
    <row r="18" ht="82" customHeight="1">
      <c r="A18" s="15" t="str">
        <v>INT07-09</v>
      </c>
      <c r="B18" s="15" t="str">
        <v>正常系</v>
      </c>
      <c r="C18" s="4" t="str">
        <v>差分の開始・終了登録日の両方を点検登録日時へ適用</v>
      </c>
      <c r="D18" s="4" t="str">
        <v>1005U→3003U</v>
      </c>
      <c r="E18" s="4" t="str">
        <v>D00共通
D08。指定日の前日・当日・翌日にON登録された予定。開始・終了登録日の両方を指定。</v>
      </c>
      <c r="F18" s="4" t="str">
        <v>手順1：差分検索と帳票出力を行い、DBのON登録日と採用点検IDを照合する。</v>
      </c>
      <c r="G18" s="4" t="str">
        <v>指定側の境界日を含む登録日時条件で抽出し、未指定側を勝手に当日に限定しない。一覧と出力の対象が一致する。</v>
      </c>
      <c r="H18" s="4" t="str">
        <v>－（表示文言のみの確認は単体に委ねる）</v>
      </c>
      <c r="I18" s="16"/>
      <c r="J18" s="13"/>
      <c r="K18" s="14"/>
      <c r="L18" s="13"/>
      <c r="M18" s="16"/>
      <c r="N18" s="13"/>
      <c r="O18" s="14"/>
      <c r="P18" s="15" t="str">
        <f>IF(I18="","未実施",IF(M18="",I18,M18))</f>
        <v>未実施</v>
      </c>
      <c r="Q18" s="4" t="str">
        <v>単体未収録画面を含む／単体にない連携判定。
根拠：R1005 / R3003 TableAdapter・ExcelService</v>
      </c>
    </row>
    <row r="19" ht="82" customHeight="1">
      <c r="A19" s="15" t="str">
        <v>INT07-10</v>
      </c>
      <c r="B19" s="15" t="str">
        <v>正常系</v>
      </c>
      <c r="C19" s="4" t="str">
        <v>マスタ変更と期間の保存名称を正しく使い分け</v>
      </c>
      <c r="D19" s="4" t="str">
        <v>0011U/0012U/0017U→3003U</v>
      </c>
      <c r="E19" s="4" t="str">
        <v>D00共通
D08。現在のマスタ名称と契約期間保存名称が異なる対象。マスタ欠損条件は管理者準備。</v>
      </c>
      <c r="F19" s="4" t="str">
        <v>手順1：全件検索・出力し、名称・住所・連絡先をマスタと期間保存値に照合する。</v>
      </c>
      <c r="G19" s="4" t="str">
        <v>VBの現在マスタ優先／保存値補完条件で一貫して表示・出力し、参照先不足で契約に関係しない名称を混入しない。</v>
      </c>
      <c r="H19" s="4" t="str">
        <v>－（表示文言のみの確認は単体に委ねる）</v>
      </c>
      <c r="I19" s="16"/>
      <c r="J19" s="13"/>
      <c r="K19" s="14"/>
      <c r="L19" s="13"/>
      <c r="M19" s="16"/>
      <c r="N19" s="13"/>
      <c r="O19" s="14"/>
      <c r="P19" s="15" t="str">
        <f>IF(I19="","未実施",IF(M19="",I19,M19))</f>
        <v>未実施</v>
      </c>
      <c r="Q19" s="4" t="str">
        <v>単体未収録画面を含む／単体にない連携判定。
根拠：R1005 / R3003 TableAdapter・ExcelService</v>
      </c>
    </row>
    <row r="20" ht="99" customHeight="1">
      <c r="A20" s="15" t="str">
        <v>INT07-11</v>
      </c>
      <c r="B20" s="15" t="str">
        <v>正常系</v>
      </c>
      <c r="C20" s="4" t="str">
        <v>同一プラント・月・曜日を最大5機器で展開</v>
      </c>
      <c r="D20" s="4" t="str">
        <v>3003U→3002P/3003P</v>
      </c>
      <c r="E20" s="4" t="str">
        <v>D00共通
D08。同一グループに4・5・6機器、別グループも準備。</v>
      </c>
      <c r="F20" s="4" t="str">
        <v>手順1：DB登録用データと作業用リストを出力。
手順2：プラント・月・曜日・機器名等の一覧値と全出力行を照合する。</v>
      </c>
      <c r="G20" s="4" t="str">
        <v>DB登録用の5機器ブロックと折返しがVBに一致し、6件目を落とさず別グループと混在させない。作業用リストにも全対象がある。</v>
      </c>
      <c r="H20" s="4" t="str">
        <v>－（表示文言のみの確認は単体に委ねる）</v>
      </c>
      <c r="I20" s="16"/>
      <c r="J20" s="13"/>
      <c r="K20" s="14"/>
      <c r="L20" s="13"/>
      <c r="M20" s="16"/>
      <c r="N20" s="13"/>
      <c r="O20" s="14"/>
      <c r="P20" s="15" t="str">
        <f>IF(I20="","未実施",IF(M20="",I20,M20))</f>
        <v>未実施</v>
      </c>
      <c r="Q20" s="4" t="str">
        <v>単体未収録画面を含む／単体にない連携判定。
根拠：R1005 / R3003 TableAdapter・ExcelService</v>
      </c>
    </row>
    <row r="21" ht="82" customHeight="1">
      <c r="A21" s="15" t="str">
        <v>INT07-12</v>
      </c>
      <c r="B21" s="15" t="str">
        <v>正常系</v>
      </c>
      <c r="C21" s="4" t="str">
        <v>原紙行数を超える点検が両帳票で欠落しない</v>
      </c>
      <c r="D21" s="4" t="str">
        <v>3003U→3002P/3003P</v>
      </c>
      <c r="E21" s="4" t="str">
        <v>D00共通
D08。原紙の58行を超える点検出力対象。</v>
      </c>
      <c r="F21" s="4" t="str">
        <v>手順1：一覧件数を記録し両帳票を出力。
手順2：先頭・境界・末尾の個体と追加列を確認する。</v>
      </c>
      <c r="G21" s="4" t="str">
        <v>原紙末尾以降も契約日・解約日・契約番号・保守会社・備考を含む対象内容を失わない。追加行でも読み取れる書式を維持する。</v>
      </c>
      <c r="H21" s="4" t="str">
        <v>－（表示文言のみの確認は単体に委ねる）</v>
      </c>
      <c r="I21" s="16"/>
      <c r="J21" s="13"/>
      <c r="K21" s="14"/>
      <c r="L21" s="13"/>
      <c r="M21" s="16"/>
      <c r="N21" s="13"/>
      <c r="O21" s="14"/>
      <c r="P21" s="15" t="str">
        <f>IF(I21="","未実施",IF(M21="",I21,M21))</f>
        <v>未実施</v>
      </c>
      <c r="Q21" s="4" t="str">
        <v>単体未収録画面を含む／単体にない連携判定。
根拠：R1005 / R3003 TableAdapter・ExcelService</v>
      </c>
    </row>
    <row r="22" ht="82" customHeight="1">
      <c r="A22" s="15" t="str">
        <v>INT07-13</v>
      </c>
      <c r="B22" s="15" t="str">
        <v>正常系</v>
      </c>
      <c r="C22" s="4" t="str">
        <v>DB登録用出力はMCMの点検データを書き換えない</v>
      </c>
      <c r="D22" s="4" t="str">
        <v>3003U→3002P</v>
      </c>
      <c r="E22" s="4" t="str">
        <v>D00共通
D08。出力前の点検・契約監査値を記録。</v>
      </c>
      <c r="F22" s="4" t="str">
        <v>手順1：DB登録用データを出力しMCM側の件数・監査値を再確認する。</v>
      </c>
      <c r="G22" s="4" t="str">
        <v>DB登録用は登録用Excelの生成であり、出力操作だけでMCMの契約・点検予定・支払いを更新しない。</v>
      </c>
      <c r="H22" s="4" t="str">
        <v>－（表示文言のみの確認は単体に委ねる）</v>
      </c>
      <c r="I22" s="16"/>
      <c r="J22" s="13"/>
      <c r="K22" s="14"/>
      <c r="L22" s="13"/>
      <c r="M22" s="16"/>
      <c r="N22" s="13"/>
      <c r="O22" s="14"/>
      <c r="P22" s="15" t="str">
        <f>IF(I22="","未実施",IF(M22="",I22,M22))</f>
        <v>未実施</v>
      </c>
      <c r="Q22" s="4" t="str">
        <v>単体未収録画面を含む／単体にない連携判定。
根拠：R1005 / R3003 TableAdapter・ExcelService</v>
      </c>
    </row>
    <row r="23" ht="99" customHeight="1">
      <c r="A23" s="15" t="str">
        <v>INT07-14</v>
      </c>
      <c r="B23" s="15" t="str">
        <v>更新連携</v>
      </c>
      <c r="C23" s="4" t="str">
        <v>両点検帳票の出力時再取得を確認</v>
      </c>
      <c r="D23" s="4" t="str">
        <v>1005U→3003U→3002P/3003P</v>
      </c>
      <c r="E23" s="4" t="str">
        <v>D00共通
D08。Aが抽出した後Bが点検ON/OFFを変更・登録できる。</v>
      </c>
      <c r="F23" s="4" t="str">
        <v>手順1：Aが表示後Bが変更。
手順2：AでDB登録用と作業用リストをそれぞれ出力して最新点検データと照合する。</v>
      </c>
      <c r="G23" s="4" t="str">
        <v>各出力ボタンは検索を実行し直し、最新の対象を使用する。変更で0件なら旧結果を返さず、3004Uの表示済み結果出力と混同しない。</v>
      </c>
      <c r="H23" s="4" t="str">
        <v>－（表示文言のみの確認は単体に委ねる）</v>
      </c>
      <c r="I23" s="16"/>
      <c r="J23" s="13"/>
      <c r="K23" s="14"/>
      <c r="L23" s="13"/>
      <c r="M23" s="16"/>
      <c r="N23" s="13"/>
      <c r="O23" s="14"/>
      <c r="P23" s="15" t="str">
        <f>IF(I23="","未実施",IF(M23="",I23,M23))</f>
        <v>未実施</v>
      </c>
      <c r="Q23" s="4" t="str">
        <v>関連単体：1005-14
単体の表示・単独操作ではなく、期待結果の連携部分を追加判定。
根拠：R3003 Screen 46～155</v>
      </c>
    </row>
    <row r="24" ht="116" customHeight="1">
      <c r="A24" s="15" t="str">
        <v>INT07-15</v>
      </c>
      <c r="B24" s="15" t="str">
        <v>正常系</v>
      </c>
      <c r="C24" s="4" t="str">
        <v>同じ点検投影行の重複をDISTINCTで抑止</v>
      </c>
      <c r="D24" s="4" t="str">
        <v>1005U→3003U→3002P/3003P</v>
      </c>
      <c r="E24" s="4" t="str">
        <v>D00共通
D08。結合元の複数行からVB TableAdapterの全選択列が完全一致する行が発生する検証データ。曜日や備考の異なる比較行も用意。</v>
      </c>
      <c r="F24" s="4" t="str">
        <v>手順1：両帳票を出力し、VBのDISTINCT選択列で重複集合を照合する。</v>
      </c>
      <c r="G24" s="4" t="str">
        <v>全選択列が一致する行だけを一度採用する。曜日・備考等の異なる点検まで同一個体という理由でまとめて落とさず、両帳票で対象集合が一致する。</v>
      </c>
      <c r="H24" s="4" t="str">
        <v>－（表示文言のみの確認は単体に委ねる）</v>
      </c>
      <c r="I24" s="16"/>
      <c r="J24" s="13"/>
      <c r="K24" s="14"/>
      <c r="L24" s="13"/>
      <c r="M24" s="16"/>
      <c r="N24" s="13"/>
      <c r="O24" s="14"/>
      <c r="P24" s="15" t="str">
        <f>IF(I24="","未実施",IF(M24="",I24,M24))</f>
        <v>未実施</v>
      </c>
      <c r="Q24" s="4" t="str">
        <v>単体未収録画面を含む／単体にない連携判定。
根拠：R3003 TableAdapter SELECT DISTINCT
実施前にQ16の条件・期待を確認。</v>
      </c>
    </row>
  </sheetData>
  <mergeCells>
    <mergeCell ref="A1:H1"/>
    <mergeCell ref="A2:Q2"/>
    <mergeCell ref="A3:Q3"/>
    <mergeCell ref="A4:Q4"/>
    <mergeCell ref="A8:H8"/>
  </mergeCells>
  <conditionalFormatting sqref="P10:P24">
    <cfRule type="cellIs" dxfId="24" priority="1" operator="equal">
      <formula>"OK"</formula>
    </cfRule>
    <cfRule type="cellIs" dxfId="25" priority="2" operator="equal">
      <formula>"NG"</formula>
    </cfRule>
    <cfRule type="cellIs" dxfId="26" priority="3" operator="equal">
      <formula>"保留"</formula>
    </cfRule>
    <cfRule type="cellIs" dxfId="27" priority="4" operator="equal">
      <formula>"対象外"</formula>
    </cfRule>
  </conditionalFormatting>
  <dataValidations count="2">
    <dataValidation type="list" sqref="I10:I24">
      <formula1>"OK,NG,保留,対象外"</formula1>
    </dataValidation>
    <dataValidation type="list" sqref="M10:M24">
      <formula1>"OK,NG,保留,対象外"</formula1>
    </dataValidation>
  </dataValidations>
  <pageMargins left="0.3" right="0.3" top="0.4" bottom="0.4" header="0.2" footer="0.2"/>
  <pageSetup orientation="landscape" paperSize="8" scale="100" fitToWidth="0" fitToHeight="0"/>
</worksheet>
</file>

<file path=xl/worksheets/sheet10.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結合テスト仕様書｜作業予定一覧・登録・帳票</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COUNTA(A10:A41)</f>
        <v>32</v>
      </c>
      <c r="C6" s="9" t="str">
        <v>対象外件数</v>
      </c>
      <c r="D6" s="9" t="n">
        <f>COUNTIF(P10:P41,"対象外")</f>
        <v>0</v>
      </c>
      <c r="E6" s="9" t="str">
        <v>実テスト件数</v>
      </c>
      <c r="F6" s="9" t="n">
        <f>B6-D6</f>
        <v>32</v>
      </c>
      <c r="G6" s="9" t="str">
        <v>完了件数OK</v>
      </c>
      <c r="H6" s="9" t="n">
        <f>COUNTIF(P10:P41,"OK")</f>
        <v>0</v>
      </c>
      <c r="I6" s="9" t="str">
        <v>NG件数</v>
      </c>
      <c r="J6" s="9" t="n">
        <f>COUNTIF(P10:P41,"NG")</f>
        <v>0</v>
      </c>
      <c r="K6" s="9" t="str">
        <v>保留</v>
      </c>
      <c r="L6" s="9" t="n">
        <f>MAX(0,F6-H6-J6)</f>
        <v>32</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133" customHeight="1">
      <c r="A10" s="15" t="str">
        <v>INT08-01</v>
      </c>
      <c r="B10" s="15" t="str">
        <v>正常系</v>
      </c>
      <c r="C10" s="4" t="str">
        <v>ユーザ契約終息確認の登録データ・一覧・帳票の一致</v>
      </c>
      <c r="D10" s="4" t="str">
        <v>2006U→3004U→3004P</v>
      </c>
      <c r="E10" s="4" t="str">
        <v>D00共通
D11。終了日が対象期間内のユーザー契約と期間外契約。</v>
      </c>
      <c r="F10" s="4" t="str">
        <v>手順1：元画面でデータを確認・登録。
手順2：3004Uの「ユーザ契約終息確認」を条件指定で検索しExcel出力。
手順3：先頭・末尾と対象外行を照合する。</v>
      </c>
      <c r="G10" s="4" t="str">
        <v>MCM_ALERT1_VのSEARCH_DTと、指定月・期間・分類条件に合致する同じ契約を一覧・帳票で示す。契約期間の終了日とビューの検索日を同一と仮定しない。ビュー内部の期限生成はQ16で元データと照合する。</v>
      </c>
      <c r="H10" s="4" t="str">
        <v>－（表示文言のみの確認は単体に委ねる）</v>
      </c>
      <c r="I10" s="16"/>
      <c r="J10" s="13"/>
      <c r="K10" s="14"/>
      <c r="L10" s="13"/>
      <c r="M10" s="16"/>
      <c r="N10" s="13"/>
      <c r="O10" s="14"/>
      <c r="P10" s="15" t="str">
        <f>IF(I10="","未実施",IF(M10="",I10,M10))</f>
        <v>未実施</v>
      </c>
      <c r="Q10" s="4" t="str">
        <v>単体未収録画面を含む／単体にない連携判定。
根拠：R2006 / R3004
実施前にQ16の条件・期待を確認。</v>
      </c>
    </row>
    <row r="11" ht="133" customHeight="1">
      <c r="A11" s="15" t="str">
        <v>INT08-02</v>
      </c>
      <c r="B11" s="15" t="str">
        <v>正常系</v>
      </c>
      <c r="C11" s="4" t="str">
        <v>取引先契約終息確認の登録データ・一覧・帳票の一致</v>
      </c>
      <c r="D11" s="4" t="str">
        <v>1005U→3004U→3004P</v>
      </c>
      <c r="E11" s="4" t="str">
        <v>D00共通
D11。終了日が対象範囲内の通常・パック契約。</v>
      </c>
      <c r="F11" s="4" t="str">
        <v>手順1：元画面でデータを確認・登録。
手順2：3004Uの「取引先契約終息確認」を条件指定で検索しExcel出力。
手順3：先頭・末尾と対象外行を照合する。</v>
      </c>
      <c r="G11" s="4" t="str">
        <v>MCM_ALERT2_VのSEARCH_DTと、指定月・期間・分類条件に合致する同じ契約を一覧・帳票で示す。契約期間の終了日とビューの検索日を同一と仮定しない。ビュー内部の期限生成はQ16で元データと照合する。</v>
      </c>
      <c r="H11" s="4" t="str">
        <v>－（表示文言のみの確認は単体に委ねる）</v>
      </c>
      <c r="I11" s="16"/>
      <c r="J11" s="13"/>
      <c r="K11" s="14"/>
      <c r="L11" s="13"/>
      <c r="M11" s="16"/>
      <c r="N11" s="13"/>
      <c r="O11" s="14"/>
      <c r="P11" s="15" t="str">
        <f>IF(I11="","未実施",IF(M11="",I11,M11))</f>
        <v>未実施</v>
      </c>
      <c r="Q11" s="4" t="str">
        <v>単体未収録画面を含む／単体にない連携判定。
根拠：R1005 / R3004
実施前にQ16の条件・期待を確認。</v>
      </c>
    </row>
    <row r="12" ht="133" customHeight="1">
      <c r="A12" s="15" t="str">
        <v>INT08-03</v>
      </c>
      <c r="B12" s="15" t="str">
        <v>正常系</v>
      </c>
      <c r="C12" s="4" t="str">
        <v>個体終息確認（通常更新）の登録データ・一覧・帳票の一致</v>
      </c>
      <c r="D12" s="4" t="str">
        <v>1005U/0013U→3004U→3004P</v>
      </c>
      <c r="E12" s="4" t="str">
        <v>D00共通
D11。通常更新条件の個体と契約完了条件の個体。</v>
      </c>
      <c r="F12" s="4" t="str">
        <v>手順1：元画面でデータを確認・登録。
手順2：3004Uの「個体終息確認（通常更新）」を条件指定で検索しExcel出力。
手順3：先頭・末尾と対象外行を照合する。</v>
      </c>
      <c r="G12" s="4" t="str">
        <v>通常更新に該当する契約個体と期限が一致し、契約完了側の個体を誤って採用しない。</v>
      </c>
      <c r="H12" s="4" t="str">
        <v>－（表示文言のみの確認は単体に委ねる）</v>
      </c>
      <c r="I12" s="16"/>
      <c r="J12" s="13"/>
      <c r="K12" s="14"/>
      <c r="L12" s="13"/>
      <c r="M12" s="16"/>
      <c r="N12" s="13"/>
      <c r="O12" s="14"/>
      <c r="P12" s="15" t="str">
        <f>IF(I12="","未実施",IF(M12="",I12,M12))</f>
        <v>未実施</v>
      </c>
      <c r="Q12" s="4" t="str">
        <v>単体未収録画面を含む／単体にない連携判定。
根拠：R1005 / R3004</v>
      </c>
    </row>
    <row r="13" ht="133" customHeight="1">
      <c r="A13" s="15" t="str">
        <v>INT08-04</v>
      </c>
      <c r="B13" s="15" t="str">
        <v>正常系</v>
      </c>
      <c r="C13" s="4" t="str">
        <v>個体終息確認（契約完了）の登録データ・一覧・帳票の一致</v>
      </c>
      <c r="D13" s="4" t="str">
        <v>1005U/0013U→3004U→3004P</v>
      </c>
      <c r="E13" s="4" t="str">
        <v>D00共通
D11。契約完了条件を満たす個体と通常更新の個体。</v>
      </c>
      <c r="F13" s="4" t="str">
        <v>手順1：元画面でデータを確認・登録。
手順2：3004Uの「個体終息確認（契約完了）」を条件指定で検索しExcel出力。
手順3：先頭・末尾と対象外行を照合する。</v>
      </c>
      <c r="G13" s="4" t="str">
        <v>契約完了に該当する契約個体・満了予定が一致し、通常更新側の個体を誤って採用しない。</v>
      </c>
      <c r="H13" s="4" t="str">
        <v>－（表示文言のみの確認は単体に委ねる）</v>
      </c>
      <c r="I13" s="16"/>
      <c r="J13" s="13"/>
      <c r="K13" s="14"/>
      <c r="L13" s="13"/>
      <c r="M13" s="16"/>
      <c r="N13" s="13"/>
      <c r="O13" s="14"/>
      <c r="P13" s="15" t="str">
        <f>IF(I13="","未実施",IF(M13="",I13,M13))</f>
        <v>未実施</v>
      </c>
      <c r="Q13" s="4" t="str">
        <v>単体未収録画面を含む／単体にない連携判定。
根拠：R1005 / R3004</v>
      </c>
    </row>
    <row r="14" ht="150" customHeight="1">
      <c r="A14" s="15" t="str">
        <v>INT08-05</v>
      </c>
      <c r="B14" s="15" t="str">
        <v>正常系</v>
      </c>
      <c r="C14" s="4" t="str">
        <v>契約差異の両基準・切替・登録データと帳票の一致</v>
      </c>
      <c r="D14" s="4" t="str">
        <v>1005U/2006U→3004U→3004P</v>
      </c>
      <c r="E14" s="4" t="str">
        <v>D00共通
D11/D15。同じプラントのユーザー・取引先両契約が結び付く行。UK側検索日が早い組、TK側が早い組の組を用意。両基準の対象日は指定月範囲内。</v>
      </c>
      <c r="F14" s="4" t="str">
        <v>手順1：元契約のデータを確認・登録。
手順2：3004Uの契約差異確認をユーザ基準で検索・出力する。
手順3：同じ画面で取引先基準へ切り替えて再検索・出力し、先頭・末尾・対象外と元契約キーを照合する。</v>
      </c>
      <c r="G14" s="4" t="str">
        <v>ユーザ基準はUK側検索日＜TK側検索日、取引先基準は逆の行を抽出する。基準側検索日は指定範囲内となる。基準切替後に前回結果を流用せず、一覧と帳票は各基準の同じ契約キー・対象集合を示す。同値・NULLの採否はINT08-31へ分担する。相手契約がないだけで採用されるとは仮定しない。</v>
      </c>
      <c r="H14" s="4" t="str">
        <v>－（表示文言のみの確認は単体に委ねる）</v>
      </c>
      <c r="I14" s="16"/>
      <c r="J14" s="13"/>
      <c r="K14" s="14"/>
      <c r="L14" s="13"/>
      <c r="M14" s="16"/>
      <c r="N14" s="13"/>
      <c r="O14" s="14"/>
      <c r="P14" s="15" t="str">
        <f>IF(I14="","未実施",IF(M14="",I14,M14))</f>
        <v>未実施</v>
      </c>
      <c r="Q14" s="4" t="str">
        <v>単体未収録画面を含む／単体にない連携判定。
根拠：R3004 ALERT5_V_UKA/TKA TableAdapter
実施前にQ16の条件・期待を確認。
統合元：INT08-11（番号は再利用しない）</v>
      </c>
    </row>
    <row r="15" ht="116" customHeight="1">
      <c r="A15" s="15" t="str">
        <v>INT08-06</v>
      </c>
      <c r="B15" s="15" t="str">
        <v>正常系</v>
      </c>
      <c r="C15" s="4" t="str">
        <v>不足製番確認の登録データ・一覧・帳票の一致</v>
      </c>
      <c r="D15" s="4" t="str">
        <v>2006U/3008U→3004U→3004P</v>
      </c>
      <c r="E15" s="4" t="str">
        <v>D00共通
D11。対象期間のユーザー契約に必要な製番が不足するものと充足するもの。</v>
      </c>
      <c r="F15" s="4" t="str">
        <v>手順1：元画面でデータを確認・登録。
手順2：3004Uの「不足製番確認」を条件指定で検索しExcel出力。
手順3：先頭・末尾と対象外行を照合する。</v>
      </c>
      <c r="G15" s="4" t="str">
        <v>登録製番と対象期間の不足条件に対応する契約だけを出し、充足契約を不足と誤認しない。</v>
      </c>
      <c r="H15" s="4" t="str">
        <v>－（表示文言のみの確認は単体に委ねる）</v>
      </c>
      <c r="I15" s="16"/>
      <c r="J15" s="13"/>
      <c r="K15" s="14"/>
      <c r="L15" s="13"/>
      <c r="M15" s="16"/>
      <c r="N15" s="13"/>
      <c r="O15" s="14"/>
      <c r="P15" s="15" t="str">
        <f>IF(I15="","未実施",IF(M15="",I15,M15))</f>
        <v>未実施</v>
      </c>
      <c r="Q15" s="4" t="str">
        <v>単体未収録画面を含む／単体にない連携判定。
根拠：R2006 / R3008 / R3004</v>
      </c>
    </row>
    <row r="16" ht="150" customHeight="1">
      <c r="A16" s="15" t="str">
        <v>INT08-07</v>
      </c>
      <c r="B16" s="15" t="str">
        <v>正常系</v>
      </c>
      <c r="C16" s="4" t="str">
        <v>新規予定の登録・完了条件・詳細・備忘録の一致</v>
      </c>
      <c r="D16" s="4" t="str">
        <v>3005U→3004U→3004P</v>
      </c>
      <c r="E16" s="4" t="str">
        <v>D00共通
D11/D12。作成権限A。予定日・内容・備考を識別できる新規未完了予定。比較用に対象期間内の完了予定と、対象期間外の予定を準備。 新規起動は受渡しのない経路を使い、予定ID0を渡した既存参照と区別する。</v>
      </c>
      <c r="F16" s="4" t="str">
        <v>手順1：3005Uで未完了予定を新規登録し、予定IDと登録内容を記録。
手順2：3004Uで該当月を未完了のみ／完了含むの各条件で検索し、備忘録を出力する。
手順3：新規対象を一覧から開き直し、元データ・先頭末尾・比較予定を照合する。</v>
      </c>
      <c r="G16" s="4" t="str">
        <v>登録した予定ID・予定日・内容・担当者が一覧・詳細・備忘録で同じ対象を示し、未登録案を出さない。未完了のみでは完了予定を除外し、完了含むでは対象期間内の両状態を採用する。期間外の予定は含めない。備考は保存・詳細再表示で一致する。</v>
      </c>
      <c r="H16" s="4" t="str">
        <v>－（表示文言のみの確認は単体に委ねる）</v>
      </c>
      <c r="I16" s="16"/>
      <c r="J16" s="13"/>
      <c r="K16" s="14"/>
      <c r="L16" s="13"/>
      <c r="M16" s="16"/>
      <c r="N16" s="13"/>
      <c r="O16" s="14"/>
      <c r="P16" s="15" t="str">
        <f>IF(I16="","未実施",IF(M16="",I16,M16))</f>
        <v>未実施</v>
      </c>
      <c r="Q16" s="4" t="str">
        <v>単体未収録画面を含む／単体にない連携判定。
根拠：R3005 / R3004
統合元：INT08-15（番号は再利用しない）</v>
      </c>
    </row>
    <row r="17" ht="116" customHeight="1">
      <c r="A17" s="15" t="str">
        <v>INT08-08</v>
      </c>
      <c r="B17" s="15" t="str">
        <v>正常系</v>
      </c>
      <c r="C17" s="4" t="str">
        <v>バッテリー交換の登録データ・一覧・帳票の一致</v>
      </c>
      <c r="D17" s="4" t="str">
        <v>0013U/1005U/2006U→3004U→3004P</v>
      </c>
      <c r="E17" s="4" t="str">
        <v>D00共通
D11。対象条件を満たすバッテリー機器と非対象機器。</v>
      </c>
      <c r="F17" s="4" t="str">
        <v>手順1：元画面でデータを確認・登録。
手順2：3004Uの「バッテリー交換」を条件指定で検索しExcel出力。
手順3：先頭・末尾と対象外行を照合する。</v>
      </c>
      <c r="G17" s="4" t="str">
        <v>登録した機器・期間と交換対象条件に対応する個体を出し、非対象機器や別プラントを混入させない。</v>
      </c>
      <c r="H17" s="4" t="str">
        <v>－（表示文言のみの確認は単体に委ねる）</v>
      </c>
      <c r="I17" s="16"/>
      <c r="J17" s="13"/>
      <c r="K17" s="14"/>
      <c r="L17" s="13"/>
      <c r="M17" s="16"/>
      <c r="N17" s="13"/>
      <c r="O17" s="14"/>
      <c r="P17" s="15" t="str">
        <f>IF(I17="","未実施",IF(M17="",I17,M17))</f>
        <v>未実施</v>
      </c>
      <c r="Q17" s="4" t="str">
        <v>単体未収録画面を含む／単体にない連携判定。
根拠：R1005 / R2006 / R3004</v>
      </c>
    </row>
    <row r="18" ht="116" customHeight="1">
      <c r="A18" s="15" t="str">
        <v>INT08-09</v>
      </c>
      <c r="B18" s="15" t="str">
        <v>正常系</v>
      </c>
      <c r="C18" s="4" t="str">
        <v>取引先契約確認の登録データ・一覧・帳票の一致</v>
      </c>
      <c r="D18" s="4" t="str">
        <v>1005U→3004U→3004P</v>
      </c>
      <c r="E18" s="4" t="str">
        <v>D00共通
D11。指定日の契約を持つ取引先2社、指定日外の契約。</v>
      </c>
      <c r="F18" s="4" t="str">
        <v>手順1：元画面でデータを確認・登録。
手順2：3004Uの「取引先契約確認」を条件指定で検索しExcel出力。
手順3：先頭・末尾と対象外行を照合する。</v>
      </c>
      <c r="G18" s="4" t="str">
        <v>指定日・取引先条件に合致する契約・製番が一致する。表示を許可された金額だけを一覧と帳票に出す。</v>
      </c>
      <c r="H18" s="4" t="str">
        <v>－（表示文言のみの確認は単体に委ねる）</v>
      </c>
      <c r="I18" s="16"/>
      <c r="J18" s="13"/>
      <c r="K18" s="14"/>
      <c r="L18" s="13"/>
      <c r="M18" s="16"/>
      <c r="N18" s="13"/>
      <c r="O18" s="14"/>
      <c r="P18" s="15" t="str">
        <f>IF(I18="","未実施",IF(M18="",I18,M18))</f>
        <v>未実施</v>
      </c>
      <c r="Q18" s="4" t="str">
        <v>単体未収録画面を含む／単体にない連携判定。
根拠：R1005 / R3004</v>
      </c>
    </row>
    <row r="19" ht="82" customHeight="1">
      <c r="A19" s="15" t="str">
        <v>INT08-10</v>
      </c>
      <c r="B19" s="15" t="str">
        <v>正常系</v>
      </c>
      <c r="C19" s="4" t="str">
        <v>取引先終息の全て／通常／パックを出力に反映</v>
      </c>
      <c r="D19" s="4" t="str">
        <v>1005U→3004U→3004P</v>
      </c>
      <c r="E19" s="4" t="str">
        <v>D00共通
D11。対象期間内に通常・パック各契約。</v>
      </c>
      <c r="F19" s="4" t="str">
        <v>手順1：取引先契約終息確認の3条件で検索・出力し、対象契約ID集合を比較する。</v>
      </c>
      <c r="G19" s="4" t="str">
        <v>全てが通常とパックの対象を含み、各指定では反対の契約を含めない。条件と帳票の対象集合が一致する。</v>
      </c>
      <c r="H19" s="4" t="str">
        <v>－（表示文言のみの確認は単体に委ねる）</v>
      </c>
      <c r="I19" s="16"/>
      <c r="J19" s="13"/>
      <c r="K19" s="14"/>
      <c r="L19" s="13"/>
      <c r="M19" s="16"/>
      <c r="N19" s="13"/>
      <c r="O19" s="14"/>
      <c r="P19" s="15" t="str">
        <f>IF(I19="","未実施",IF(M19="",I19,M19))</f>
        <v>未実施</v>
      </c>
      <c r="Q19" s="4" t="str">
        <v>単体未収録画面を含む／単体にない連携判定。
根拠：R1005 / R3004</v>
      </c>
    </row>
    <row r="20" ht="82" customHeight="1">
      <c r="A20" s="15" t="str">
        <v>INT08-12</v>
      </c>
      <c r="B20" s="15" t="str">
        <v>正常系</v>
      </c>
      <c r="C20" s="4" t="str">
        <v>各タブの条件と保存結果を相互混入させない</v>
      </c>
      <c r="D20" s="4" t="str">
        <v>3004U→3004P</v>
      </c>
      <c r="E20" s="4" t="str">
        <v>D00共通
D11。9タブに異なる対象月・識別可能な結果を用意。</v>
      </c>
      <c r="F20" s="4" t="str">
        <v>手順1：3タブ以上を順に検索し往復して各Excelを出力する。
手順2：残るタブも同じ手順で条件を照合する。</v>
      </c>
      <c r="G20" s="4" t="str">
        <v>タブごとの条件・結果が対応し、他タブの結果・件数・ファイル名で代用しない。対象外タブの再検索を勝手に行わない。</v>
      </c>
      <c r="H20" s="4" t="str">
        <v>－（表示文言のみの確認は単体に委ねる）</v>
      </c>
      <c r="I20" s="16"/>
      <c r="J20" s="13"/>
      <c r="K20" s="14"/>
      <c r="L20" s="13"/>
      <c r="M20" s="16"/>
      <c r="N20" s="13"/>
      <c r="O20" s="14"/>
      <c r="P20" s="15" t="str">
        <f>IF(I20="","未実施",IF(M20="",I20,M20))</f>
        <v>未実施</v>
      </c>
      <c r="Q20" s="4" t="str">
        <v>単体未収録画面を含む／単体にない連携判定。
根拠：R3004</v>
      </c>
    </row>
    <row r="21" ht="82" customHeight="1">
      <c r="A21" s="15" t="str">
        <v>INT08-13</v>
      </c>
      <c r="B21" s="15" t="str">
        <v>正常系</v>
      </c>
      <c r="C21" s="4" t="str">
        <v>条件を入力し直しても表示済み結果を出力</v>
      </c>
      <c r="D21" s="4" t="str">
        <v>3004U→3004P</v>
      </c>
      <c r="E21" s="4" t="str">
        <v>D00共通
D11。検索済み結果あり。別条件でも対象を準備。</v>
      </c>
      <c r="F21" s="4" t="str">
        <v>手順1：検索後に入力条件だけ変更して検索せずExcel出力。
手順2：続いて再検索後に再出力する。</v>
      </c>
      <c r="G21" s="4" t="str">
        <v>検索せず出力した帳票は現在表示中の保存結果を使う。再検索後は新結果を使い、条件だけ変えた未検索結果を生成しない。</v>
      </c>
      <c r="H21" s="4" t="str">
        <v>－（表示文言のみの確認は単体に委ねる）</v>
      </c>
      <c r="I21" s="16"/>
      <c r="J21" s="13"/>
      <c r="K21" s="14"/>
      <c r="L21" s="13"/>
      <c r="M21" s="16"/>
      <c r="N21" s="13"/>
      <c r="O21" s="14"/>
      <c r="P21" s="15" t="str">
        <f>IF(I21="","未実施",IF(M21="",I21,M21))</f>
        <v>未実施</v>
      </c>
      <c r="Q21" s="4" t="str">
        <v>単体未収録画面を含む／単体にない連携判定。
根拠：R3004</v>
      </c>
    </row>
    <row r="22" ht="82" customHeight="1">
      <c r="A22" s="15" t="str">
        <v>INT08-14</v>
      </c>
      <c r="B22" s="15" t="str">
        <v>正常系</v>
      </c>
      <c r="C22" s="4" t="str">
        <v>検索後に元契約を変えても表示結果出力と一致</v>
      </c>
      <c r="D22" s="4" t="str">
        <v>1005U/2006U→3004U→3004P</v>
      </c>
      <c r="E22" s="4" t="str">
        <v>D00共通
D11。Aの検索後Bが契約を変更。</v>
      </c>
      <c r="F22" s="4" t="str">
        <v>手順1：Aは再検索せず出力し表示と照合、次に再検索して出力する。</v>
      </c>
      <c r="G22" s="4" t="str">
        <v>3004Uは表示済み結果を出力するため前者は表示と一致する。後者は変更後の契約に対応し、両動作を3002Uの再取得方式と混同しない。</v>
      </c>
      <c r="H22" s="4" t="str">
        <v>－（表示文言のみの確認は単体に委ねる）</v>
      </c>
      <c r="I22" s="16"/>
      <c r="J22" s="13"/>
      <c r="K22" s="14"/>
      <c r="L22" s="13"/>
      <c r="M22" s="16"/>
      <c r="N22" s="13"/>
      <c r="O22" s="14"/>
      <c r="P22" s="15" t="str">
        <f>IF(I22="","未実施",IF(M22="",I22,M22))</f>
        <v>未実施</v>
      </c>
      <c r="Q22" s="4" t="str">
        <v>単体未収録画面を含む／単体にない連携判定。
根拠：R1005 / R2006 / R3004</v>
      </c>
    </row>
    <row r="23" ht="82" customHeight="1">
      <c r="A23" s="15" t="str">
        <v>INT08-16</v>
      </c>
      <c r="B23" s="15" t="str">
        <v>正常系</v>
      </c>
      <c r="C23" s="4" t="str">
        <v>作業予定の完了変更が完了含む条件に反映</v>
      </c>
      <c r="D23" s="4" t="str">
        <v>3005U→3004U→3004P</v>
      </c>
      <c r="E23" s="4" t="str">
        <v>D00共通
D12。未完了予定と対象月。</v>
      </c>
      <c r="F23" s="4" t="str">
        <v>手順1：予定を完了で登録。
手順2：予定登録検索の完了含むOFF/ONで検索・出力する。</v>
      </c>
      <c r="G23" s="4" t="str">
        <v>未完了のみから対象が外れ、完了含むで同じ予定IDが出る。別予定の完了を変更しない。</v>
      </c>
      <c r="H23" s="4" t="str">
        <v>－（表示文言のみの確認は単体に委ねる）</v>
      </c>
      <c r="I23" s="16"/>
      <c r="J23" s="13"/>
      <c r="K23" s="14"/>
      <c r="L23" s="13"/>
      <c r="M23" s="16"/>
      <c r="N23" s="13"/>
      <c r="O23" s="14"/>
      <c r="P23" s="15" t="str">
        <f>IF(I23="","未実施",IF(M23="",I23,M23))</f>
        <v>未実施</v>
      </c>
      <c r="Q23" s="4" t="str">
        <v>単体未収録画面を含む／単体にない連携判定。
根拠：R3005 / R3004</v>
      </c>
    </row>
    <row r="24" ht="82" customHeight="1">
      <c r="A24" s="15" t="str">
        <v>INT08-17</v>
      </c>
      <c r="B24" s="15" t="str">
        <v>正常系</v>
      </c>
      <c r="C24" s="4" t="str">
        <v>作業予定日を変更すると対象月が切り替わる</v>
      </c>
      <c r="D24" s="4" t="str">
        <v>3005U→3004U</v>
      </c>
      <c r="E24" s="4" t="str">
        <v>D00共通
D12。予定月を別月に移せる試験予定。</v>
      </c>
      <c r="F24" s="4" t="str">
        <v>手順1：予定日を変更・登録し旧月と新月を検索する。</v>
      </c>
      <c r="G24" s="4" t="str">
        <v>同じ予定IDが新月へ移り旧月には残らない。内容・添付と親予定の対応は維持される。</v>
      </c>
      <c r="H24" s="4" t="str">
        <v>－（表示文言のみの確認は単体に委ねる）</v>
      </c>
      <c r="I24" s="16"/>
      <c r="J24" s="13"/>
      <c r="K24" s="14"/>
      <c r="L24" s="13"/>
      <c r="M24" s="16"/>
      <c r="N24" s="13"/>
      <c r="O24" s="14"/>
      <c r="P24" s="15" t="str">
        <f>IF(I24="","未実施",IF(M24="",I24,M24))</f>
        <v>未実施</v>
      </c>
      <c r="Q24" s="4" t="str">
        <v>単体未収録画面を含む／単体にない連携判定。
根拠：R3005 / R3004</v>
      </c>
    </row>
    <row r="25" ht="133" customHeight="1">
      <c r="A25" s="15" t="str">
        <v>INT08-18</v>
      </c>
      <c r="B25" s="15" t="str">
        <v>正常系</v>
      </c>
      <c r="C25" s="4" t="str">
        <v>新規予定は親登録後に添付を追加</v>
      </c>
      <c r="D25" s="4" t="str">
        <v>3005U→3004U→添付</v>
      </c>
      <c r="E25" s="4" t="str">
        <v>D00共通
D12/D06。新規予定。 同名と別名の追加用ファイルを準備する。</v>
      </c>
      <c r="F25" s="4" t="str">
        <v>手順1：親予定を登録後に添付を追加。
手順2：3004Uから予定を開き別担当で資料を取得する。
手順3： 別名追加と同名再追加を行い、添付ID・件数と既存ファイルのハッシュを照合する。</v>
      </c>
      <c r="G25" s="4" t="str">
        <v>存在する予定IDにだけ添付が結び付き、別担当が同じ内容を取得できる。親未登録の孤立添付を作らない。 同じ予定ID＋ファイル名の同名追加は既存資料を保護し、別名は既存資料があっても追加できる。取消・実体失敗は共通連携で別判定する。</v>
      </c>
      <c r="H25" s="4" t="str">
        <v>－（表示文言のみの確認は単体に委ねる）</v>
      </c>
      <c r="I25" s="16"/>
      <c r="J25" s="13"/>
      <c r="K25" s="14"/>
      <c r="L25" s="13"/>
      <c r="M25" s="16"/>
      <c r="N25" s="13"/>
      <c r="O25" s="14"/>
      <c r="P25" s="15" t="str">
        <f>IF(I25="","未実施",IF(M25="",I25,M25))</f>
        <v>未実施</v>
      </c>
      <c r="Q25" s="4" t="str">
        <v>単体未収録画面を含む／単体にない連携判定。
根拠：R3005 / R3004</v>
      </c>
    </row>
    <row r="26" ht="82" customHeight="1">
      <c r="A26" s="15" t="str">
        <v>INT08-19</v>
      </c>
      <c r="B26" s="15" t="str">
        <v>異常系</v>
      </c>
      <c r="C26" s="4" t="str">
        <v>添付が残る作業予定の削除を防止</v>
      </c>
      <c r="D26" s="4" t="str">
        <v>3005U→3004U/添付</v>
      </c>
      <c r="E26" s="4" t="str">
        <v>D00共通
D12/D06。添付ありの試験予定。</v>
      </c>
      <c r="F26" s="4" t="str">
        <v>手順1：作業予定削除を指定して登録。
手順2：再検索後に予定と資料を確認する。</v>
      </c>
      <c r="G26" s="4" t="str">
        <v>添付削除が必要な旨を案内し親予定を消さない。元の予定と資料が別画面から引き続き参照できる。</v>
      </c>
      <c r="H26" s="4" t="str">
        <v>－（表示文言のみの確認は単体に委ねる）</v>
      </c>
      <c r="I26" s="16"/>
      <c r="J26" s="13"/>
      <c r="K26" s="14"/>
      <c r="L26" s="13"/>
      <c r="M26" s="16"/>
      <c r="N26" s="13"/>
      <c r="O26" s="14"/>
      <c r="P26" s="15" t="str">
        <f>IF(I26="","未実施",IF(M26="",I26,M26))</f>
        <v>未実施</v>
      </c>
      <c r="Q26" s="4" t="str">
        <v>単体未収録画面を含む／単体にない連携判定。
根拠：R3005 / R3004</v>
      </c>
    </row>
    <row r="27" ht="82" customHeight="1">
      <c r="A27" s="15" t="str">
        <v>INT08-20</v>
      </c>
      <c r="B27" s="15" t="str">
        <v>正常系</v>
      </c>
      <c r="C27" s="4" t="str">
        <v>添付削除後に作業予定を削除して一覧へ反映</v>
      </c>
      <c r="D27" s="4" t="str">
        <v>3005U→3004U</v>
      </c>
      <c r="E27" s="4" t="str">
        <v>D00共通
D12/D06。試験専用予定と添付。</v>
      </c>
      <c r="F27" s="4" t="str">
        <v>手順1：添付を削除してから作業予定削除を指定して登録。
手順2：3004Uを再検索する。</v>
      </c>
      <c r="G27" s="4" t="str">
        <v>対象添付・親予定だけが削除され、一覧・備忘録の再検索から外れる。他の予定の資料を削除しない。</v>
      </c>
      <c r="H27" s="4" t="str">
        <v>－（表示文言のみの確認は単体に委ねる）</v>
      </c>
      <c r="I27" s="16"/>
      <c r="J27" s="13"/>
      <c r="K27" s="14"/>
      <c r="L27" s="13"/>
      <c r="M27" s="16"/>
      <c r="N27" s="13"/>
      <c r="O27" s="14"/>
      <c r="P27" s="15" t="str">
        <f>IF(I27="","未実施",IF(M27="",I27,M27))</f>
        <v>未実施</v>
      </c>
      <c r="Q27" s="4" t="str">
        <v>単体未収録画面を含む／単体にない連携判定。
根拠：R3005 / R3004</v>
      </c>
    </row>
    <row r="28" ht="82" customHeight="1">
      <c r="A28" s="15" t="str">
        <v>INT08-21</v>
      </c>
      <c r="B28" s="15" t="str">
        <v>正常系</v>
      </c>
      <c r="C28" s="4" t="str">
        <v>作業予定の備考・添付備考をまとめて保存</v>
      </c>
      <c r="D28" s="4" t="str">
        <v>3005U→3004U/添付</v>
      </c>
      <c r="E28" s="4" t="str">
        <v>D00共通
D12/D06。既存予定に複数添付。</v>
      </c>
      <c r="F28" s="4" t="str">
        <v>手順1：予定内容・備考と一つの添付備考を変更して登録し開き直す。</v>
      </c>
      <c r="G28" s="4" t="str">
        <v>同じ予定に変更が保存され、別添付の備考を取り違えない。更新された親と添付の監査値が処理に対応する。</v>
      </c>
      <c r="H28" s="4" t="str">
        <v>－（表示文言のみの確認は単体に委ねる）</v>
      </c>
      <c r="I28" s="16"/>
      <c r="J28" s="13"/>
      <c r="K28" s="14"/>
      <c r="L28" s="13"/>
      <c r="M28" s="16"/>
      <c r="N28" s="13"/>
      <c r="O28" s="14"/>
      <c r="P28" s="15" t="str">
        <f>IF(I28="","未実施",IF(M28="",I28,M28))</f>
        <v>未実施</v>
      </c>
      <c r="Q28" s="4" t="str">
        <v>単体未収録画面を含む／単体にない連携判定。
根拠：R3005 / R3004</v>
      </c>
    </row>
    <row r="29" ht="82" customHeight="1">
      <c r="A29" s="15" t="str">
        <v>INT08-22</v>
      </c>
      <c r="B29" s="15" t="str">
        <v>異常系</v>
      </c>
      <c r="C29" s="4" t="str">
        <v>元契約更新で終息確認が0件になった後の出力</v>
      </c>
      <c r="D29" s="4" t="str">
        <v>1005U/2006U→3004U→3004P</v>
      </c>
      <c r="E29" s="4" t="str">
        <v>D00共通
D11。終息検索に対象あり、更新後は対象期間外。</v>
      </c>
      <c r="F29" s="4" t="str">
        <v>手順1：元契約の終了日を更新し再検索してExcel出力する。</v>
      </c>
      <c r="G29" s="4" t="str">
        <v>対象0件後に以前の結果を出力せず、対象なしを案内する。他タブに結果があっても代用しない。</v>
      </c>
      <c r="H29" s="4" t="str">
        <v>－（表示文言のみの確認は単体に委ねる）</v>
      </c>
      <c r="I29" s="16"/>
      <c r="J29" s="13"/>
      <c r="K29" s="14"/>
      <c r="L29" s="13"/>
      <c r="M29" s="16"/>
      <c r="N29" s="13"/>
      <c r="O29" s="14"/>
      <c r="P29" s="15" t="str">
        <f>IF(I29="","未実施",IF(M29="",I29,M29))</f>
        <v>未実施</v>
      </c>
      <c r="Q29" s="4" t="str">
        <v>単体未収録画面を含む／単体にない連携判定。
根拠：R1005 / R2006 / R3004</v>
      </c>
    </row>
    <row r="30" ht="133" customHeight="1">
      <c r="A30" s="15" t="str">
        <v>INT08-23</v>
      </c>
      <c r="B30" s="15" t="str">
        <v>正常系</v>
      </c>
      <c r="C30" s="4" t="str">
        <v>ユーザ契約終息確認の検索期間境界を出力に一致</v>
      </c>
      <c r="D30" s="4" t="str">
        <v>1005U/2006U/3005U→3004U→3004P</v>
      </c>
      <c r="E30" s="4" t="str">
        <v>D00共通
D11/D15。基準月を1か月で検索。SEARCH_DTが月初前日・月初・月末・翌月1日・翌月2日の各行。他のビュー条件も満たす。 「ユーザ契約終息確認」固有のビュー抽出条件を満たし、他タブの候補と区別する。</v>
      </c>
      <c r="F30" s="4" t="str">
        <v>手順1：「ユーザ契約終息確認」タブで検索・出力し、元データとビューの対象日・全対象行を照合する。</v>
      </c>
      <c r="G30" s="4" t="str">
        <v>基準月1日から月末までを両端含み採用する。翌月1日は除外。開始前日と終了翌日の行は一覧・帳票に混入しない。</v>
      </c>
      <c r="H30" s="4" t="str">
        <v>－（表示文言のみの確認は単体に委ねる）</v>
      </c>
      <c r="I30" s="16"/>
      <c r="J30" s="13"/>
      <c r="K30" s="14"/>
      <c r="L30" s="13"/>
      <c r="M30" s="16"/>
      <c r="N30" s="13"/>
      <c r="O30" s="14"/>
      <c r="P30" s="15" t="str">
        <f>IF(I30="","未実施",IF(M30="",I30,M30))</f>
        <v>未実施</v>
      </c>
      <c r="Q30" s="4" t="str">
        <v>単体未収録画面を含む／単体にない連携判定。
根拠：R3004 ALERT1 TableAdapter
実施前にQ16の条件・期待を確認。</v>
      </c>
    </row>
    <row r="31" ht="133" customHeight="1">
      <c r="A31" s="15" t="str">
        <v>INT08-24</v>
      </c>
      <c r="B31" s="15" t="str">
        <v>正常系</v>
      </c>
      <c r="C31" s="4" t="str">
        <v>取引先契約終息確認の検索期間境界を出力に一致</v>
      </c>
      <c r="D31" s="4" t="str">
        <v>1005U/2006U/3005U→3004U→3004P</v>
      </c>
      <c r="E31" s="4" t="str">
        <v>D00共通
D11/D15。基準月を1か月で検索。SEARCH_DTが月初前日・月初・月末・翌月1日・翌月2日の各行。他のビュー条件も満たす。 「取引先契約終息確認」固有のビュー抽出条件を満たし、他タブの候補と区別する。</v>
      </c>
      <c r="F31" s="4" t="str">
        <v>手順1：「取引先契約終息確認」タブで検索・出力し、元データとビューの対象日・全対象行を照合する。</v>
      </c>
      <c r="G31" s="4" t="str">
        <v>基準月1日から翌月1日までを両端含み採用する。翌月1日を含む。開始前日と終了翌日の行は一覧・帳票に混入しない。</v>
      </c>
      <c r="H31" s="4" t="str">
        <v>－（表示文言のみの確認は単体に委ねる）</v>
      </c>
      <c r="I31" s="16"/>
      <c r="J31" s="13"/>
      <c r="K31" s="14"/>
      <c r="L31" s="13"/>
      <c r="M31" s="16"/>
      <c r="N31" s="13"/>
      <c r="O31" s="14"/>
      <c r="P31" s="15" t="str">
        <f>IF(I31="","未実施",IF(M31="",I31,M31))</f>
        <v>未実施</v>
      </c>
      <c r="Q31" s="4" t="str">
        <v>単体未収録画面を含む／単体にない連携判定。
根拠：R3004 ALERT2 TableAdapter
実施前にQ16の条件・期待を確認。</v>
      </c>
    </row>
    <row r="32" ht="150" customHeight="1">
      <c r="A32" s="15" t="str">
        <v>INT08-25</v>
      </c>
      <c r="B32" s="15" t="str">
        <v>正常系</v>
      </c>
      <c r="C32" s="4" t="str">
        <v>個体終息確認（通常更新）の検索期間境界を出力に一致</v>
      </c>
      <c r="D32" s="4" t="str">
        <v>1005U/2006U/3005U→3004U→3004P</v>
      </c>
      <c r="E32" s="4" t="str">
        <v>D00共通
D11/D15。基準月を1か月で検索。TKA_JIKAIKOSIN_DTが月初前日・月初・月末・翌月1日・翌月2日の各行。他のビュー条件も満たす。 「個体終息確認（通常更新）」固有のビュー抽出条件を満たし、他タブの候補と区別する。</v>
      </c>
      <c r="F32" s="4" t="str">
        <v>手順1：「個体終息確認（通常更新）」タブで検索・出力し、元データとビューの対象日・全対象行を照合する。</v>
      </c>
      <c r="G32" s="4" t="str">
        <v>基準月1日から月末までを両端含み採用する。翌月1日は除外。開始前日と終了翌日の行は一覧・帳票に混入しない。</v>
      </c>
      <c r="H32" s="4" t="str">
        <v>－（表示文言のみの確認は単体に委ねる）</v>
      </c>
      <c r="I32" s="16"/>
      <c r="J32" s="13"/>
      <c r="K32" s="14"/>
      <c r="L32" s="13"/>
      <c r="M32" s="16"/>
      <c r="N32" s="13"/>
      <c r="O32" s="14"/>
      <c r="P32" s="15" t="str">
        <f>IF(I32="","未実施",IF(M32="",I32,M32))</f>
        <v>未実施</v>
      </c>
      <c r="Q32" s="4" t="str">
        <v>単体未収録画面を含む／単体にない連携判定。
根拠：R3004 ALERT3 TableAdapter
実施前にQ16の条件・期待を確認。</v>
      </c>
    </row>
    <row r="33" ht="150" customHeight="1">
      <c r="A33" s="15" t="str">
        <v>INT08-26</v>
      </c>
      <c r="B33" s="15" t="str">
        <v>正常系</v>
      </c>
      <c r="C33" s="4" t="str">
        <v>個体終息確認（契約完了）の検索期間境界を出力に一致</v>
      </c>
      <c r="D33" s="4" t="str">
        <v>1005U/2006U/3005U→3004U→3004P</v>
      </c>
      <c r="E33" s="4" t="str">
        <v>D00共通
D11/D15。基準月を1か月で検索。TKA_JIKAIKOSIN_DTが月初前日・月初・月末・翌月1日・翌月2日の各行。他のビュー条件も満たす。 「個体終息確認（契約完了）」固有のビュー抽出条件を満たし、他タブの候補と区別する。</v>
      </c>
      <c r="F33" s="4" t="str">
        <v>手順1：「個体終息確認（契約完了）」タブで検索・出力し、元データとビューの対象日・全対象行を照合する。</v>
      </c>
      <c r="G33" s="4" t="str">
        <v>基準月1日から月末までを両端含み採用する。翌月1日は除外。開始前日と終了翌日の行は一覧・帳票に混入しない。</v>
      </c>
      <c r="H33" s="4" t="str">
        <v>－（表示文言のみの確認は単体に委ねる）</v>
      </c>
      <c r="I33" s="16"/>
      <c r="J33" s="13"/>
      <c r="K33" s="14"/>
      <c r="L33" s="13"/>
      <c r="M33" s="16"/>
      <c r="N33" s="13"/>
      <c r="O33" s="14"/>
      <c r="P33" s="15" t="str">
        <f>IF(I33="","未実施",IF(M33="",I33,M33))</f>
        <v>未実施</v>
      </c>
      <c r="Q33" s="4" t="str">
        <v>単体未収録画面を含む／単体にない連携判定。
根拠：R3004 ALERT4 TableAdapter
実施前にQ16の条件・期待を確認。</v>
      </c>
    </row>
    <row r="34" ht="133" customHeight="1">
      <c r="A34" s="15" t="str">
        <v>INT08-27</v>
      </c>
      <c r="B34" s="15" t="str">
        <v>正常系</v>
      </c>
      <c r="C34" s="4" t="str">
        <v>契約差異確認の検索期間境界を出力に一致</v>
      </c>
      <c r="D34" s="4" t="str">
        <v>1005U/2006U/3005U→3004U→3004P</v>
      </c>
      <c r="E34" s="4" t="str">
        <v>D00共通
D11/D15。基準月を1か月で検索。基準側SEARCH_DTが月初前日・月初・月末・翌月1日・翌月2日の各行。他のビュー条件も満たす。 「契約差異確認」固有のビュー抽出条件を満たし、他タブの候補と区別する。</v>
      </c>
      <c r="F34" s="4" t="str">
        <v>手順1：「契約差異確認」タブで検索・出力し、元データとビューの対象日・全対象行を照合する。</v>
      </c>
      <c r="G34" s="4" t="str">
        <v>基準月1日から月末までを両端含み採用する。翌月1日は除外。開始前日と終了翌日の行は一覧・帳票に混入しない。契約差異は大小比較、不足製番は解約比較条件も同時に満たす。</v>
      </c>
      <c r="H34" s="4" t="str">
        <v>－（表示文言のみの確認は単体に委ねる）</v>
      </c>
      <c r="I34" s="16"/>
      <c r="J34" s="13"/>
      <c r="K34" s="14"/>
      <c r="L34" s="13"/>
      <c r="M34" s="16"/>
      <c r="N34" s="13"/>
      <c r="O34" s="14"/>
      <c r="P34" s="15" t="str">
        <f>IF(I34="","未実施",IF(M34="",I34,M34))</f>
        <v>未実施</v>
      </c>
      <c r="Q34" s="4" t="str">
        <v>単体未収録画面を含む／単体にない連携判定。
根拠：R3004 ALERT5 TableAdapter
実施前にQ16の条件・期待を確認。</v>
      </c>
    </row>
    <row r="35" ht="150" customHeight="1">
      <c r="A35" s="15" t="str">
        <v>INT08-28</v>
      </c>
      <c r="B35" s="15" t="str">
        <v>正常系</v>
      </c>
      <c r="C35" s="4" t="str">
        <v>不足製番確認の検索期間境界を出力に一致</v>
      </c>
      <c r="D35" s="4" t="str">
        <v>1005U/2006U/3005U→3004U→3004P</v>
      </c>
      <c r="E35" s="4" t="str">
        <v>D00共通
D11/D15。基準月を1か月で検索。SYURYO_DT（NULLなら開始月1日）が月初前日・月初・月末・翌月1日・翌月2日の各行。他のビュー条件も満たす。 「不足製番確認」固有のビュー抽出条件を満たし、他タブの候補と区別する。</v>
      </c>
      <c r="F35" s="4" t="str">
        <v>手順1：「不足製番確認」タブで検索・出力し、元データとビューの対象日・全対象行を照合する。</v>
      </c>
      <c r="G35" s="4" t="str">
        <v>基準月1日から月末までを両端含み採用する。翌月1日は除外。開始前日と終了翌日の行は一覧・帳票に混入しない。契約差異は大小比較、不足製番は解約比較条件も同時に満たす。</v>
      </c>
      <c r="H35" s="4" t="str">
        <v>－（表示文言のみの確認は単体に委ねる）</v>
      </c>
      <c r="I35" s="16"/>
      <c r="J35" s="13"/>
      <c r="K35" s="14"/>
      <c r="L35" s="13"/>
      <c r="M35" s="16"/>
      <c r="N35" s="13"/>
      <c r="O35" s="14"/>
      <c r="P35" s="15" t="str">
        <f>IF(I35="","未実施",IF(M35="",I35,M35))</f>
        <v>未実施</v>
      </c>
      <c r="Q35" s="4" t="str">
        <v>単体未収録画面を含む／単体にない連携判定。
根拠：R3004 ALERT6 TableAdapter
実施前にQ16の条件・期待を確認。</v>
      </c>
    </row>
    <row r="36" ht="133" customHeight="1">
      <c r="A36" s="15" t="str">
        <v>INT08-29</v>
      </c>
      <c r="B36" s="15" t="str">
        <v>正常系</v>
      </c>
      <c r="C36" s="4" t="str">
        <v>予定登録検索の検索期間境界を出力に一致</v>
      </c>
      <c r="D36" s="4" t="str">
        <v>1005U/2006U/3005U→3004U→3004P</v>
      </c>
      <c r="E36" s="4" t="str">
        <v>D00共通
D11/D15。基準月を1か月で検索。YOTEI_DTが月初前日・月初・月末・翌月1日・翌月2日の各行。他のビュー条件も満たす。 「予定登録検索」固有のビュー抽出条件を満たし、他タブの候補と区別する。</v>
      </c>
      <c r="F36" s="4" t="str">
        <v>手順1：「予定登録検索」タブで検索・出力し、元データとビューの対象日・全対象行を照合する。</v>
      </c>
      <c r="G36" s="4" t="str">
        <v>基準月1日から月末までを両端含み採用する。翌月1日は除外。開始前日と終了翌日の行は一覧・帳票に混入しない。</v>
      </c>
      <c r="H36" s="4" t="str">
        <v>－（表示文言のみの確認は単体に委ねる）</v>
      </c>
      <c r="I36" s="16"/>
      <c r="J36" s="13"/>
      <c r="K36" s="14"/>
      <c r="L36" s="13"/>
      <c r="M36" s="16"/>
      <c r="N36" s="13"/>
      <c r="O36" s="14"/>
      <c r="P36" s="15" t="str">
        <f>IF(I36="","未実施",IF(M36="",I36,M36))</f>
        <v>未実施</v>
      </c>
      <c r="Q36" s="4" t="str">
        <v>単体未収録画面を含む／単体にない連携判定。
根拠：R3004 MO_SAGYOYOTEI TableAdapter</v>
      </c>
    </row>
    <row r="37" ht="133" customHeight="1">
      <c r="A37" s="15" t="str">
        <v>INT08-30</v>
      </c>
      <c r="B37" s="15" t="str">
        <v>正常系</v>
      </c>
      <c r="C37" s="4" t="str">
        <v>バッテリー交換の検索期間境界を出力に一致</v>
      </c>
      <c r="D37" s="4" t="str">
        <v>1005U/2006U/3005U→3004U→3004P</v>
      </c>
      <c r="E37" s="4" t="str">
        <v>D00共通
D11/D15。基準月を1か月で検索。SEARCH_DTが月初前日・月初・月末・翌月1日・翌月2日の各行。他のビュー条件も満たす。 「バッテリー交換」固有のビュー抽出条件を満たし、他タブの候補と区別する。</v>
      </c>
      <c r="F37" s="4" t="str">
        <v>手順1：「バッテリー交換」タブで検索・出力し、元データとビューの対象日・全対象行を照合する。</v>
      </c>
      <c r="G37" s="4" t="str">
        <v>基準月1日から月末までを両端含み採用する。翌月1日は除外。開始前日と終了翌日の行は一覧・帳票に混入しない。</v>
      </c>
      <c r="H37" s="4" t="str">
        <v>－（表示文言のみの確認は単体に委ねる）</v>
      </c>
      <c r="I37" s="16"/>
      <c r="J37" s="13"/>
      <c r="K37" s="14"/>
      <c r="L37" s="13"/>
      <c r="M37" s="16"/>
      <c r="N37" s="13"/>
      <c r="O37" s="14"/>
      <c r="P37" s="15" t="str">
        <f>IF(I37="","未実施",IF(M37="",I37,M37))</f>
        <v>未実施</v>
      </c>
      <c r="Q37" s="4" t="str">
        <v>単体未収録画面を含む／単体にない連携判定。
根拠：R3004 ALERT8 TableAdapter
実施前にQ16の条件・期待を確認。</v>
      </c>
    </row>
    <row r="38" ht="99" customHeight="1">
      <c r="A38" s="15" t="str">
        <v>INT08-31</v>
      </c>
      <c r="B38" s="15" t="str">
        <v>正常系</v>
      </c>
      <c r="C38" s="4" t="str">
        <v>契約差異の日付同値・NULLを不足と誤認しない</v>
      </c>
      <c r="D38" s="4" t="str">
        <v>1005U/2006U→3004U→3004P</v>
      </c>
      <c r="E38" s="4" t="str">
        <v>D00共通
D11/D15。双方検索日が同じ、一方NULL、UK側が早い、TK側が早い行。基準範囲は共通。</v>
      </c>
      <c r="F38" s="4" t="str">
        <v>手順1：両基準を順に検索・出力し、全4条件の採否を照合する。</v>
      </c>
      <c r="G38" s="4" t="str">
        <v>比較は厳密な＜。同値とNULL比較の行はその条件では採用しない。UK側が早い行はユーザ基準、TK側が早い行は取引先基準で出力する。 通常の両基準切替・元契約との一致はINT08-05へ分担する。</v>
      </c>
      <c r="H38" s="4" t="str">
        <v>－（表示文言のみの確認は単体に委ねる）</v>
      </c>
      <c r="I38" s="16"/>
      <c r="J38" s="13"/>
      <c r="K38" s="14"/>
      <c r="L38" s="13"/>
      <c r="M38" s="16"/>
      <c r="N38" s="13"/>
      <c r="O38" s="14"/>
      <c r="P38" s="15" t="str">
        <f>IF(I38="","未実施",IF(M38="",I38,M38))</f>
        <v>未実施</v>
      </c>
      <c r="Q38" s="4" t="str">
        <v>単体未収録画面を含む／単体にない連携判定。
根拠：R3004 ALERT5_V_UKA/TKA TableAdapter</v>
      </c>
    </row>
    <row r="39" ht="116" customHeight="1">
      <c r="A39" s="15" t="str">
        <v>INT08-32</v>
      </c>
      <c r="B39" s="15" t="str">
        <v>正常系</v>
      </c>
      <c r="C39" s="4" t="str">
        <v>不足製番の終了日NULLと解約日同日境界</v>
      </c>
      <c r="D39" s="4" t="str">
        <v>2006U→3004U→3004P</v>
      </c>
      <c r="E39" s="4" t="str">
        <v>D00共通
D11/D15。ビューの製番終了日NULLの行、および終了日がユーザー解約日の前日・同日・翌日の行。</v>
      </c>
      <c r="F39" s="4" t="str">
        <v>手順1：不足製番確認を検索・出力し、NULL補完と解約日比較を照合する。</v>
      </c>
      <c r="G39" s="4" t="str">
        <v>製番終了日NULLは範囲判定に開始月1日を使う。終了日の日時を日単位で比較し、解約日の同日・翌日を＜解約日の対象に含めない。ビュー側の未解約補完はQ16で確認する。</v>
      </c>
      <c r="H39" s="4" t="str">
        <v>－（表示文言のみの確認は単体に委ねる）</v>
      </c>
      <c r="I39" s="16"/>
      <c r="J39" s="13"/>
      <c r="K39" s="14"/>
      <c r="L39" s="13"/>
      <c r="M39" s="16"/>
      <c r="N39" s="13"/>
      <c r="O39" s="14"/>
      <c r="P39" s="15" t="str">
        <f>IF(I39="","未実施",IF(M39="",I39,M39))</f>
        <v>未実施</v>
      </c>
      <c r="Q39" s="4" t="str">
        <v>単体未収録画面を含む／単体にない連携判定。
根拠：R3004 ALERT6 TableAdapter
実施前にQ16の条件・期待を確認。</v>
      </c>
    </row>
    <row r="40" ht="82" customHeight="1">
      <c r="A40" s="15" t="str">
        <v>INT08-33</v>
      </c>
      <c r="B40" s="15" t="str">
        <v>正常系</v>
      </c>
      <c r="C40" s="4" t="str">
        <v>取引先契約確認の指定日で有効期間を一意に採用</v>
      </c>
      <c r="D40" s="4" t="str">
        <v>1005U→3004U→3004P</v>
      </c>
      <c r="E40" s="4" t="str">
        <v>D00共通
D11/D15。指定日が期間開始日・終了日となる契約、同日を含む複数期間と無効期間。</v>
      </c>
      <c r="F40" s="4" t="str">
        <v>手順1：取引先契約確認で各境界日を指定、検索・出力し採用した期間ID・金額を照合する。</v>
      </c>
      <c r="G40" s="4" t="str">
        <v>指定日を開始終了の両端含み判定し、有効フラグ&lt;=0の候補の最大期間IDを採用する。無効期間や指定日外の金額を出さず、検索結果と帳票が同一期間になる。</v>
      </c>
      <c r="H40" s="4" t="str">
        <v>－（表示文言のみの確認は単体に委ねる）</v>
      </c>
      <c r="I40" s="16"/>
      <c r="J40" s="13"/>
      <c r="K40" s="14"/>
      <c r="L40" s="13"/>
      <c r="M40" s="16"/>
      <c r="N40" s="13"/>
      <c r="O40" s="14"/>
      <c r="P40" s="15" t="str">
        <f>IF(I40="","未実施",IF(M40="",I40,M40))</f>
        <v>未実施</v>
      </c>
      <c r="Q40" s="4" t="str">
        <v>単体未収録画面を含む／単体にない連携判定。
根拠：R3004 ALERT9 TableAdapter</v>
      </c>
    </row>
    <row r="41" ht="116" customHeight="1">
      <c r="A41" s="15" t="str">
        <v>INT08-34</v>
      </c>
      <c r="B41" s="15" t="str">
        <v>異常系</v>
      </c>
      <c r="C41" s="4" t="str">
        <v>予定日未入力の保存で一覧・添付を確定しない</v>
      </c>
      <c r="D41" s="4" t="str">
        <v>3005U→3004U/添付</v>
      </c>
      <c r="E41" s="4" t="str">
        <v>D00共通
D12/D06。未登録新規予定と既存予定を分け、予定日以外は正しい値。既存は処理前内容・添付IDを記録。</v>
      </c>
      <c r="F41" s="4" t="str">
        <v>手順1：予定日を空にして登録を試み、3004Uの対象月一覧・DB・添付操作を照合する。
手順2：予定日を入れ直して正常登録し再表示する。</v>
      </c>
      <c r="G41" s="4" t="str">
        <v>通常登録の予定日は必須であり、空欄のまま親予定・添付状態を確定しない。新規には孤立添付や一覧行を作らず、既存の保存値と添付を保つ。日付修正後は同じ予定の内容を正常に保存・再表示できる。</v>
      </c>
      <c r="H41" s="4" t="str">
        <v>－（連携先・保存結果を判定し、表示文言だけは単体に委ねる）</v>
      </c>
      <c r="I41" s="24"/>
      <c r="J41" s="23"/>
      <c r="K41" s="25"/>
      <c r="L41" s="23"/>
      <c r="M41" s="24"/>
      <c r="N41" s="23"/>
      <c r="O41" s="25"/>
      <c r="P41" s="15" t="str">
        <f>IF(I41="","未実施",IF(M41="",I41,M41))</f>
        <v>未実施</v>
      </c>
      <c r="Q41" s="4" t="str">
        <v>単体未収録画面を含む／単体にない連携判定。
根拠：R3005 Required=True・UpdateButton_Click、VB3005-04、共通C08</v>
      </c>
    </row>
  </sheetData>
  <mergeCells>
    <mergeCell ref="A1:H1"/>
    <mergeCell ref="A2:Q2"/>
    <mergeCell ref="A3:Q3"/>
    <mergeCell ref="A4:Q4"/>
    <mergeCell ref="A8:H8"/>
  </mergeCells>
  <conditionalFormatting sqref="P10:P40">
    <cfRule type="cellIs" dxfId="28" priority="1" operator="equal">
      <formula>"OK"</formula>
    </cfRule>
    <cfRule type="cellIs" dxfId="29" priority="2" operator="equal">
      <formula>"NG"</formula>
    </cfRule>
    <cfRule type="cellIs" dxfId="30" priority="3" operator="equal">
      <formula>"保留"</formula>
    </cfRule>
    <cfRule type="cellIs" dxfId="31" priority="4" operator="equal">
      <formula>"対象外"</formula>
    </cfRule>
  </conditionalFormatting>
  <conditionalFormatting sqref="P41:P41">
    <cfRule type="cellIs" dxfId="52" priority="5" operator="equal">
      <formula>"OK"</formula>
    </cfRule>
    <cfRule type="cellIs" dxfId="53" priority="6" operator="equal">
      <formula>"NG"</formula>
    </cfRule>
    <cfRule type="cellIs" dxfId="54" priority="7" operator="equal">
      <formula>"保留"</formula>
    </cfRule>
    <cfRule type="cellIs" dxfId="55" priority="8" operator="equal">
      <formula>"対象外"</formula>
    </cfRule>
  </conditionalFormatting>
  <dataValidations count="4">
    <dataValidation type="list" sqref="I10:I40">
      <formula1>"OK,NG,保留,対象外"</formula1>
    </dataValidation>
    <dataValidation type="list" sqref="M10:M40">
      <formula1>"OK,NG,保留,対象外"</formula1>
    </dataValidation>
    <dataValidation type="list" sqref="I41">
      <formula1>"OK,NG,保留,対象外"</formula1>
    </dataValidation>
    <dataValidation type="list" sqref="M41">
      <formula1>"OK,NG,保留,対象外"</formula1>
    </dataValidation>
  </dataValidations>
  <pageMargins left="0.3" right="0.3" top="0.4" bottom="0.4" header="0.2" footer="0.2"/>
  <pageSetup orientation="landscape" paperSize="8" scale="100" fitToWidth="0" fitToHeight="0"/>
</worksheet>
</file>

<file path=xl/worksheets/sheet11.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1" hidden="0" customWidth="1"/>
    <col min="2" max="2" width="10.875" hidden="0" customWidth="1"/>
    <col min="3" max="3" width="25" hidden="0" customWidth="1"/>
    <col min="4" max="4" width="10.875" hidden="0" customWidth="1"/>
    <col min="5" max="5" width="34.625" hidden="0" customWidth="1"/>
    <col min="6" max="6" width="33.25" hidden="0" customWidth="1"/>
    <col min="7" max="7" width="38.125" hidden="0" customWidth="1"/>
    <col min="8" max="8" width="14.625" hidden="0" customWidth="1"/>
    <col min="9" max="9" width="10.75" hidden="0" customWidth="1"/>
    <col min="10" max="10" width="7.75" hidden="0" customWidth="1"/>
    <col min="11" max="11" width="11.625" hidden="0" customWidth="1"/>
    <col min="12" max="12" width="20.375" hidden="0" customWidth="1"/>
    <col min="13" max="13" width="13" hidden="0" customWidth="1"/>
    <col min="14" max="14" width="15.25" hidden="0" customWidth="1"/>
    <col min="15" max="15" width="15.25" hidden="0" customWidth="1"/>
    <col min="16" max="16" width="9.75" hidden="0" customWidth="1"/>
    <col min="17" max="17" width="31.625" hidden="0" customWidth="1"/>
  </cols>
  <sheetData>
    <row r="1" ht="30" customHeight="1">
      <c r="A1" s="8" t="str">
        <v>MCM契・解約機能 結合テスト仕様書｜権限・排他・セッション・保存先</v>
      </c>
      <c r="B1" s="3"/>
      <c r="C1" s="3"/>
      <c r="D1" s="3"/>
      <c r="E1" s="3"/>
      <c r="F1" s="3"/>
      <c r="G1" s="3"/>
      <c r="H1" s="3"/>
      <c r="I1" s="3"/>
      <c r="J1" s="3"/>
      <c r="K1" s="3"/>
      <c r="L1" s="3"/>
      <c r="M1" s="3"/>
      <c r="N1" s="3"/>
      <c r="O1" s="3"/>
      <c r="P1" s="3"/>
      <c r="Q1" s="3"/>
    </row>
    <row r="2" ht="26" customHeight="1">
      <c r="A2" s="3" t="str">
        <v>対象の連携判定を記載。登録の確認ダイアログはOK、取消ケースは取消を選ぶ。実IDと変更前後の証跡を記録する。</v>
      </c>
      <c r="B2" s="3"/>
      <c r="C2" s="3"/>
      <c r="D2" s="3"/>
      <c r="E2" s="3"/>
      <c r="F2" s="3"/>
      <c r="G2" s="3"/>
      <c r="H2" s="3"/>
      <c r="I2" s="3"/>
      <c r="J2" s="3"/>
      <c r="K2" s="3"/>
      <c r="L2" s="3"/>
      <c r="M2" s="3"/>
      <c r="N2" s="3"/>
      <c r="O2" s="3"/>
      <c r="P2" s="3"/>
      <c r="Q2" s="3"/>
    </row>
    <row r="3" ht="26" customHeight="1">
      <c r="A3" s="3" t="str">
        <v>単体の入力チェック・初期表示・単独CRUDは「単体との対応」に分担。未収録条件は「VB機能照合」に明記。Q付きケースは期待・環境を確定後に実施。実施結果は未記入。</v>
      </c>
      <c r="B3" s="3"/>
      <c r="C3" s="3"/>
      <c r="D3" s="3"/>
      <c r="E3" s="3"/>
      <c r="F3" s="3"/>
      <c r="G3" s="3"/>
      <c r="H3" s="3"/>
      <c r="I3" s="3"/>
      <c r="J3" s="3"/>
      <c r="K3" s="3"/>
      <c r="L3" s="3"/>
      <c r="M3" s="3"/>
      <c r="N3" s="3"/>
      <c r="O3" s="3"/>
      <c r="P3" s="3"/>
      <c r="Q3" s="3"/>
    </row>
    <row r="4" ht="26" customHeight="1">
      <c r="A4" s="3" t="str">
        <v>最終判定は再テスト結果を優先。「保留」集計は未実施も含む残件。合格率＝OK／実テスト件数。表示形式・ネイティブOfficeの動作は実行時に確認。</v>
      </c>
      <c r="B4" s="3"/>
      <c r="C4" s="3"/>
      <c r="D4" s="3"/>
      <c r="E4" s="3"/>
      <c r="F4" s="3"/>
      <c r="G4" s="3"/>
      <c r="H4" s="3"/>
      <c r="I4" s="3"/>
      <c r="J4" s="3"/>
      <c r="K4" s="3"/>
      <c r="L4" s="3"/>
      <c r="M4" s="3"/>
      <c r="N4" s="3"/>
      <c r="O4" s="3"/>
      <c r="P4" s="3"/>
      <c r="Q4" s="3"/>
    </row>
    <row r="5">
      <c r="A5" s="3"/>
      <c r="B5" s="3"/>
      <c r="C5" s="3"/>
      <c r="D5" s="3"/>
      <c r="E5" s="3"/>
      <c r="F5" s="3"/>
      <c r="G5" s="3"/>
      <c r="H5" s="3"/>
      <c r="I5" s="3"/>
      <c r="J5" s="3"/>
      <c r="K5" s="3"/>
      <c r="L5" s="3"/>
      <c r="M5" s="3"/>
      <c r="N5" s="3"/>
      <c r="O5" s="3"/>
      <c r="P5" s="3"/>
      <c r="Q5" s="3"/>
    </row>
    <row r="6" ht="38" customHeight="1">
      <c r="A6" s="9" t="str">
        <v>テスト件数</v>
      </c>
      <c r="B6" s="9" t="n">
        <f>COUNTA(A10:A40)</f>
        <v>31</v>
      </c>
      <c r="C6" s="9" t="str">
        <v>対象外件数</v>
      </c>
      <c r="D6" s="9" t="n">
        <f>COUNTIF(P10:P40,"対象外")</f>
        <v>0</v>
      </c>
      <c r="E6" s="9" t="str">
        <v>実テスト件数</v>
      </c>
      <c r="F6" s="9" t="n">
        <f>B6-D6</f>
        <v>31</v>
      </c>
      <c r="G6" s="9" t="str">
        <v>完了件数OK</v>
      </c>
      <c r="H6" s="9" t="n">
        <f>COUNTIF(P10:P40,"OK")</f>
        <v>0</v>
      </c>
      <c r="I6" s="9" t="str">
        <v>NG件数</v>
      </c>
      <c r="J6" s="9" t="n">
        <f>COUNTIF(P10:P40,"NG")</f>
        <v>0</v>
      </c>
      <c r="K6" s="9" t="str">
        <v>保留</v>
      </c>
      <c r="L6" s="9" t="n">
        <f>MAX(0,F6-H6-J6)</f>
        <v>31</v>
      </c>
      <c r="M6" s="9" t="str">
        <v>実施率</v>
      </c>
      <c r="N6" s="10" t="n">
        <f>IF(F6=0,0,(H6+J6)/F6)</f>
        <v>0</v>
      </c>
      <c r="O6" s="9" t="str">
        <v>合格率</v>
      </c>
      <c r="P6" s="10" t="n">
        <f>IF(F6=0,0,H6/F6)</f>
        <v>0</v>
      </c>
      <c r="Q6" s="3"/>
    </row>
    <row r="7">
      <c r="A7" s="3"/>
      <c r="B7" s="3"/>
      <c r="C7" s="3"/>
      <c r="D7" s="3"/>
      <c r="E7" s="3"/>
      <c r="F7" s="3"/>
      <c r="G7" s="3"/>
      <c r="H7" s="3"/>
      <c r="I7" s="3"/>
      <c r="J7" s="3"/>
      <c r="K7" s="3"/>
      <c r="L7" s="3"/>
      <c r="M7" s="3"/>
      <c r="N7" s="3"/>
      <c r="O7" s="3"/>
      <c r="P7" s="3"/>
      <c r="Q7" s="3"/>
    </row>
    <row r="8" ht="24" customHeight="1">
      <c r="A8" s="11" t="str">
        <v>単体との重複を除いた結合テストケース</v>
      </c>
      <c r="B8" s="3"/>
      <c r="C8" s="3"/>
      <c r="D8" s="3"/>
      <c r="E8" s="3"/>
      <c r="F8" s="3"/>
      <c r="G8" s="3"/>
      <c r="H8" s="3"/>
      <c r="I8" s="3"/>
      <c r="J8" s="3"/>
      <c r="K8" s="3"/>
      <c r="L8" s="3"/>
      <c r="M8" s="3"/>
      <c r="N8" s="3"/>
      <c r="O8" s="3"/>
      <c r="P8" s="3"/>
      <c r="Q8" s="3"/>
    </row>
    <row r="9" ht="38" customHeight="1">
      <c r="A9" s="7" t="str">
        <v>項番</v>
      </c>
      <c r="B9" s="7" t="str">
        <v>分類</v>
      </c>
      <c r="C9" s="7" t="str">
        <v>テスト観点</v>
      </c>
      <c r="D9" s="7" t="str">
        <v>関連画面</v>
      </c>
      <c r="E9" s="7" t="str">
        <v>テストデータ（事前条件）</v>
      </c>
      <c r="F9" s="7" t="str">
        <v>操作手順</v>
      </c>
      <c r="G9" s="7" t="str">
        <v>期待結果</v>
      </c>
      <c r="H9" s="7" t="str">
        <v>期待メッセージ</v>
      </c>
      <c r="I9" s="7" t="str">
        <v>テスト結果</v>
      </c>
      <c r="J9" s="7" t="str">
        <v>実施者</v>
      </c>
      <c r="K9" s="7" t="str">
        <v>実施日</v>
      </c>
      <c r="L9" s="7" t="str">
        <v>不具合内容</v>
      </c>
      <c r="M9" s="7" t="str">
        <v>再テスト結果</v>
      </c>
      <c r="N9" s="7" t="str">
        <v>再テスト実施者</v>
      </c>
      <c r="O9" s="7" t="str">
        <v>再テスト実施日</v>
      </c>
      <c r="P9" s="7" t="str">
        <v>最終判定</v>
      </c>
      <c r="Q9" s="7" t="str">
        <v>備考／根拠</v>
      </c>
    </row>
    <row r="10" ht="99" customHeight="1">
      <c r="A10" s="15" t="str">
        <v>INT09-01</v>
      </c>
      <c r="B10" s="15" t="str">
        <v>権限連携</v>
      </c>
      <c r="C10" s="4" t="str">
        <v>1005の権限変更を再ログイン後の更新へ適用</v>
      </c>
      <c r="D10" s="4" t="str">
        <v>3006U→1005U</v>
      </c>
      <c r="E10" s="4" t="str">
        <v>D00共通
D05。担当者の該当権限を作成→参照へ変更。</v>
      </c>
      <c r="F10" s="4" t="str">
        <v>手順1：担当者マスタで変更後にログアウト・再ログイン。
手順2：元検索から対象を開き、更新用の旧要求も再送する。</v>
      </c>
      <c r="G10" s="4" t="str">
        <v>本人の該当権限設定を画面とサーバー処理が共に適用する。参照利用者の更新で契約・資料・監査値が変わらない。</v>
      </c>
      <c r="H10" s="4" t="str">
        <v>－（表示文言のみの確認は単体に委ねる）</v>
      </c>
      <c r="I10" s="16"/>
      <c r="J10" s="13"/>
      <c r="K10" s="14"/>
      <c r="L10" s="13"/>
      <c r="M10" s="16"/>
      <c r="N10" s="13"/>
      <c r="O10" s="14"/>
      <c r="P10" s="15" t="str">
        <f>IF(I10="","未実施",IF(M10="",I10,M10))</f>
        <v>未実施</v>
      </c>
      <c r="Q10" s="4" t="str">
        <v>関連単体：1005-27, 1005-28
単体の表示・単独操作ではなく、期待結果の連携部分を追加判定。
根拠：R1005 / R共通</v>
      </c>
    </row>
    <row r="11" ht="99" customHeight="1">
      <c r="A11" s="15" t="str">
        <v>INT09-02</v>
      </c>
      <c r="B11" s="15" t="str">
        <v>権限連携</v>
      </c>
      <c r="C11" s="4" t="str">
        <v>2006の権限変更を再ログイン後の更新へ適用</v>
      </c>
      <c r="D11" s="4" t="str">
        <v>3006U→2006U</v>
      </c>
      <c r="E11" s="4" t="str">
        <v>D00共通
D05。担当者の該当権限を作成→参照へ変更。</v>
      </c>
      <c r="F11" s="4" t="str">
        <v>手順1：担当者マスタで変更後にログアウト・再ログイン。
手順2：元検索から対象を開き、更新用の旧要求も再送する。</v>
      </c>
      <c r="G11" s="4" t="str">
        <v>本人の該当権限設定を画面とサーバー処理が共に適用する。参照利用者の更新で契約・資料・監査値が変わらない。</v>
      </c>
      <c r="H11" s="4" t="str">
        <v>－（表示文言のみの確認は単体に委ねる）</v>
      </c>
      <c r="I11" s="16"/>
      <c r="J11" s="13"/>
      <c r="K11" s="14"/>
      <c r="L11" s="13"/>
      <c r="M11" s="16"/>
      <c r="N11" s="13"/>
      <c r="O11" s="14"/>
      <c r="P11" s="15" t="str">
        <f>IF(I11="","未実施",IF(M11="",I11,M11))</f>
        <v>未実施</v>
      </c>
      <c r="Q11" s="4" t="str">
        <v>関連単体：2006-10, 2006-11
単体の表示・単独操作ではなく、期待結果の連携部分を追加判定。
根拠：R2006 / R共通</v>
      </c>
    </row>
    <row r="12" ht="99" customHeight="1">
      <c r="A12" s="15" t="str">
        <v>INT09-03</v>
      </c>
      <c r="B12" s="15" t="str">
        <v>権限連携</v>
      </c>
      <c r="C12" s="4" t="str">
        <v>1011の権限変更を再ログイン後の更新へ適用</v>
      </c>
      <c r="D12" s="4" t="str">
        <v>3006U→1011U</v>
      </c>
      <c r="E12" s="4" t="str">
        <v>D00共通
D05。担当者の該当権限を作成→参照へ変更。</v>
      </c>
      <c r="F12" s="4" t="str">
        <v>手順1：担当者マスタで変更後にログアウト・再ログイン。
手順2：元検索から対象を開き、更新用の旧要求も再送する。</v>
      </c>
      <c r="G12" s="4" t="str">
        <v>本人の該当権限設定を画面とサーバー処理が共に適用する。参照利用者の更新で契約・資料・監査値が変わらない。</v>
      </c>
      <c r="H12" s="4" t="str">
        <v>－（表示文言のみの確認は単体に委ねる）</v>
      </c>
      <c r="I12" s="16"/>
      <c r="J12" s="13"/>
      <c r="K12" s="14"/>
      <c r="L12" s="13"/>
      <c r="M12" s="16"/>
      <c r="N12" s="13"/>
      <c r="O12" s="14"/>
      <c r="P12" s="15" t="str">
        <f>IF(I12="","未実施",IF(M12="",I12,M12))</f>
        <v>未実施</v>
      </c>
      <c r="Q12" s="4" t="str">
        <v>関連単体：1011-12, 1011-13
単体の表示・単独操作ではなく、期待結果の連携部分を追加判定。
根拠：R1011 / R共通</v>
      </c>
    </row>
    <row r="13" ht="150" customHeight="1">
      <c r="A13" s="15" t="str">
        <v>INT09-04</v>
      </c>
      <c r="B13" s="15" t="str">
        <v>権限連携</v>
      </c>
      <c r="C13" s="4" t="str">
        <v>1009は取引先契約の作成権限で操作を許可</v>
      </c>
      <c r="D13" s="4" t="str">
        <v>3006U→1009U→1005U/1006U</v>
      </c>
      <c r="E13" s="4" t="str">
        <v>D00共通
D05。他業務は作成だが取引先契約関連は参照の担当者。</v>
      </c>
      <c r="F13" s="4" t="str">
        <v>手順1：設定後再ログインして対象を検索。
手順2：作成・破棄列と直接作成要求を確認し、契約・見積状態を照合する。</v>
      </c>
      <c r="G13" s="4" t="str">
        <v>他業務の作成権限を流用せず、取引先契約の作成・破棄を許可しない。参照できる契約NOリンクは維持する。</v>
      </c>
      <c r="H13" s="4" t="str">
        <v>－（表示文言のみの確認は単体に委ねる）</v>
      </c>
      <c r="I13" s="16"/>
      <c r="J13" s="13"/>
      <c r="K13" s="14"/>
      <c r="L13" s="13"/>
      <c r="M13" s="16"/>
      <c r="N13" s="13"/>
      <c r="O13" s="14"/>
      <c r="P13" s="15" t="str">
        <f>IF(I13="","未実施",IF(M13="",I13,M13))</f>
        <v>未実施</v>
      </c>
      <c r="Q13" s="4" t="str">
        <v>関連単体：1009-3, 1009-4
単体の表示・単独操作ではなく、期待結果の連携部分を追加判定。
根拠：R1009 / R1005 / R1006 / R共通
実施前にQ07の条件・期待を確認。</v>
      </c>
    </row>
    <row r="14" ht="116" customHeight="1">
      <c r="A14" s="15" t="str">
        <v>INT09-05</v>
      </c>
      <c r="B14" s="15" t="str">
        <v>権限連携</v>
      </c>
      <c r="C14" s="4" t="str">
        <v>1010は取引先契約の作成権限で操作を許可</v>
      </c>
      <c r="D14" s="4" t="str">
        <v>3006U→1010U→1005U/1006U</v>
      </c>
      <c r="E14" s="4" t="str">
        <v>D00共通
D05。他業務は作成だが取引先契約関連は参照の担当者。</v>
      </c>
      <c r="F14" s="4" t="str">
        <v>手順1：設定後再ログインして対象を検索。
手順2：作成・破棄列と直接作成要求を確認し、契約・見積状態を照合する。</v>
      </c>
      <c r="G14" s="4" t="str">
        <v>他業務の作成権限を流用せず、取引先契約の作成・破棄を許可しない。参照できる契約NOリンクは維持する。</v>
      </c>
      <c r="H14" s="4" t="str">
        <v>－（表示文言のみの確認は単体に委ねる）</v>
      </c>
      <c r="I14" s="16"/>
      <c r="J14" s="13"/>
      <c r="K14" s="14"/>
      <c r="L14" s="13"/>
      <c r="M14" s="16"/>
      <c r="N14" s="13"/>
      <c r="O14" s="14"/>
      <c r="P14" s="15" t="str">
        <f>IF(I14="","未実施",IF(M14="",I14,M14))</f>
        <v>未実施</v>
      </c>
      <c r="Q14" s="4" t="str">
        <v>関連単体：1010-3, 1010-4
単体の表示・単独操作ではなく、期待結果の連携部分を追加判定。
根拠：R1010 / R1005 / R1006 / R共通</v>
      </c>
    </row>
    <row r="15" ht="82" customHeight="1">
      <c r="A15" s="15" t="str">
        <v>INT09-06</v>
      </c>
      <c r="B15" s="15" t="str">
        <v>権限連携</v>
      </c>
      <c r="C15" s="4" t="str">
        <v>上下段のユーザー／取引先権限を独立適用</v>
      </c>
      <c r="D15" s="4" t="str">
        <v>3006U→3007U→1006U/2007U</v>
      </c>
      <c r="E15" s="4" t="str">
        <v>D00共通
D05。ユーザー契約作成・取引先契約参照、逆の設定も別担当に用意。</v>
      </c>
      <c r="F15" s="4" t="str">
        <v>手順1：各担当が3007Uを検索し中下段の参照・作成・破棄を操作する。</v>
      </c>
      <c r="G15" s="4" t="str">
        <v>段ごとの対象業務権限を使い、片方の作成権限で反対側の契約を変更できない。許可された側は通常フローを完了できる。</v>
      </c>
      <c r="H15" s="4" t="str">
        <v>－（表示文言のみの確認は単体に委ねる）</v>
      </c>
      <c r="I15" s="16"/>
      <c r="J15" s="13"/>
      <c r="K15" s="14"/>
      <c r="L15" s="13"/>
      <c r="M15" s="16"/>
      <c r="N15" s="13"/>
      <c r="O15" s="14"/>
      <c r="P15" s="15" t="str">
        <f>IF(I15="","未実施",IF(M15="",I15,M15))</f>
        <v>未実施</v>
      </c>
      <c r="Q15" s="4" t="str">
        <v>単体未収録画面を含む／単体にない連携判定。
根拠：R3007 / R1006 / R2007 / R共通</v>
      </c>
    </row>
    <row r="16" ht="99" customHeight="1">
      <c r="A16" s="15" t="str">
        <v>INT09-07</v>
      </c>
      <c r="B16" s="15" t="str">
        <v>権限連携</v>
      </c>
      <c r="C16" s="4" t="str">
        <v>権限なしの関連画面リンクと直接URLを拒否</v>
      </c>
      <c r="D16" s="4" t="str">
        <v>3006U→3007U/1009U/1010U/1011U</v>
      </c>
      <c r="E16" s="4" t="str">
        <v>D00共通
D05。検索画面参照は許可、遷移先の一部機能はなし。</v>
      </c>
      <c r="F16" s="4" t="str">
        <v>手順1：対象を検索してリンクを開き、保存済みURLからも対象を開く。
手順2：許可された別リンクも開く。</v>
      </c>
      <c r="G16" s="4" t="str">
        <v>遷移先機能のなし設定をリンクとサーバーで適用し、契約情報や添付を取得・変更させない。許可された参照を一律遮断しない。</v>
      </c>
      <c r="H16" s="4" t="str">
        <v>－（表示文言のみの確認は単体に委ねる）</v>
      </c>
      <c r="I16" s="16"/>
      <c r="J16" s="13"/>
      <c r="K16" s="14"/>
      <c r="L16" s="13"/>
      <c r="M16" s="16"/>
      <c r="N16" s="13"/>
      <c r="O16" s="14"/>
      <c r="P16" s="15" t="str">
        <f>IF(I16="","未実施",IF(M16="",I16,M16))</f>
        <v>未実施</v>
      </c>
      <c r="Q16" s="4" t="str">
        <v>単体未収録画面を含む／単体にない連携判定。
根拠：R3007 / R1009 / R1010 / R1011 / R共通</v>
      </c>
    </row>
    <row r="17" ht="99" customHeight="1">
      <c r="A17" s="15" t="str">
        <v>INT09-08</v>
      </c>
      <c r="B17" s="15" t="str">
        <v>正常系</v>
      </c>
      <c r="C17" s="4" t="str">
        <v>審査用経路と通常経路で編集権限を取り違えない</v>
      </c>
      <c r="D17" s="4" t="str">
        <v>1011U→1005U</v>
      </c>
      <c r="E17" s="4" t="str">
        <v>D00共通
D05。審査からの参照と通常検索からの編集を行える担当者。</v>
      </c>
      <c r="F17" s="4" t="str">
        <v>手順1：審査画面から契約を参照後、通常検索から別契約を開く。
手順2：遷移元と対象キーを確認して保存する。</v>
      </c>
      <c r="G17" s="4" t="str">
        <v>審査経路の制限を対象に適用し、次の通常契約へ制限・解除状態を漏らさない。経路別の入力制御だけの再確認は単体へ委ねる。</v>
      </c>
      <c r="H17" s="4" t="str">
        <v>－（表示文言のみの確認は単体に委ねる）</v>
      </c>
      <c r="I17" s="16"/>
      <c r="J17" s="13"/>
      <c r="K17" s="14"/>
      <c r="L17" s="13"/>
      <c r="M17" s="16"/>
      <c r="N17" s="13"/>
      <c r="O17" s="14"/>
      <c r="P17" s="15" t="str">
        <f>IF(I17="","未実施",IF(M17="",I17,M17))</f>
        <v>未実施</v>
      </c>
      <c r="Q17" s="4" t="str">
        <v>関連単体：1011-14
単体の表示・単独操作ではなく、期待結果の連携部分を追加判定。
根拠：R1011 / R1005 / R共通</v>
      </c>
    </row>
    <row r="18" ht="99" customHeight="1">
      <c r="A18" s="15" t="str">
        <v>INT09-09</v>
      </c>
      <c r="B18" s="15" t="str">
        <v>正常系</v>
      </c>
      <c r="C18" s="4" t="str">
        <v>店舗経路の参照を通常変更に化けさせない</v>
      </c>
      <c r="D18" s="4" t="str">
        <v>2001U→1005U→1003U</v>
      </c>
      <c r="E18" s="4" t="str">
        <v>D00共通
D05。店舗経路から参照可能な取引先契約。</v>
      </c>
      <c r="F18" s="4" t="str">
        <v>手順1：店舗検索から契約を開き、同じ担当が通常検索から別契約を開く。
手順2：旧要求を新対象に送らず各対象DBを確認する。</v>
      </c>
      <c r="G18" s="4" t="str">
        <v>店舗経路で開いた契約を通常編集モードの権限として更新しない。別契約に店舗参照状態を残留させない。</v>
      </c>
      <c r="H18" s="4" t="str">
        <v>－（表示文言のみの確認は単体に委ねる）</v>
      </c>
      <c r="I18" s="16"/>
      <c r="J18" s="13"/>
      <c r="K18" s="14"/>
      <c r="L18" s="13"/>
      <c r="M18" s="16"/>
      <c r="N18" s="13"/>
      <c r="O18" s="14"/>
      <c r="P18" s="15" t="str">
        <f>IF(I18="","未実施",IF(M18="",I18,M18))</f>
        <v>未実施</v>
      </c>
      <c r="Q18" s="4" t="str">
        <v>関連単体：1005-6
単体の表示・単独操作ではなく、期待結果の連携部分を追加判定。
根拠：R1005 / R共通</v>
      </c>
    </row>
    <row r="19" ht="82" customHeight="1">
      <c r="A19" s="15" t="str">
        <v>INT09-10</v>
      </c>
      <c r="B19" s="15" t="str">
        <v>権限連携</v>
      </c>
      <c r="C19" s="4" t="str">
        <v>取引先契約権限なしでは確認帳票の金額を出さない</v>
      </c>
      <c r="D19" s="4" t="str">
        <v>3006U→3004U→3004P</v>
      </c>
      <c r="E19" s="4" t="str">
        <v>D00共通
D05/D11。作業予定一覧参照可能、取引先契約関連なし。比較担当は参照以上。</v>
      </c>
      <c r="F19" s="4" t="str">
        <v>手順1：再ログインして取引先契約確認を検索・出力し、比較担当の結果と列を照合する。</v>
      </c>
      <c r="G19" s="4" t="str">
        <v>なしの担当には金額4列を画面・帳票とも出さない。契約関連が参照以上の担当には許可範囲の金額を示し、他タブの列へ漏らさない。</v>
      </c>
      <c r="H19" s="4" t="str">
        <v>－（表示文言のみの確認は単体に委ねる）</v>
      </c>
      <c r="I19" s="16"/>
      <c r="J19" s="13"/>
      <c r="K19" s="14"/>
      <c r="L19" s="13"/>
      <c r="M19" s="16"/>
      <c r="N19" s="13"/>
      <c r="O19" s="14"/>
      <c r="P19" s="15" t="str">
        <f>IF(I19="","未実施",IF(M19="",I19,M19))</f>
        <v>未実施</v>
      </c>
      <c r="Q19" s="4" t="str">
        <v>単体未収録画面を含む／単体にない連携判定。
根拠：R3004 / R共通</v>
      </c>
    </row>
    <row r="20" ht="82" customHeight="1">
      <c r="A20" s="15" t="str">
        <v>INT09-11</v>
      </c>
      <c r="B20" s="15" t="str">
        <v>権限連携</v>
      </c>
      <c r="C20" s="4" t="str">
        <v>作業予定登録の参照制限を一覧リンクでも適用</v>
      </c>
      <c r="D20" s="4" t="str">
        <v>3006U→3004U→3005U</v>
      </c>
      <c r="E20" s="4" t="str">
        <v>D00共通
D05/D12。全体参照の担当と作成担当。</v>
      </c>
      <c r="F20" s="4" t="str">
        <v>手順1：各担当が予定一覧から登録画面リンクと保存済み直接URLを開く。</v>
      </c>
      <c r="G20" s="4" t="str">
        <v>共通仕様で登録画面を禁止する参照担当は登録画面へ入れず更新できない。許可担当は同じ予定を正常参照・保存できる。</v>
      </c>
      <c r="H20" s="4" t="str">
        <v>－（表示文言のみの確認は単体に委ねる）</v>
      </c>
      <c r="I20" s="16"/>
      <c r="J20" s="13"/>
      <c r="K20" s="14"/>
      <c r="L20" s="13"/>
      <c r="M20" s="16"/>
      <c r="N20" s="13"/>
      <c r="O20" s="14"/>
      <c r="P20" s="15" t="str">
        <f>IF(I20="","未実施",IF(M20="",I20,M20))</f>
        <v>未実施</v>
      </c>
      <c r="Q20" s="4" t="str">
        <v>単体未収録画面を含む／単体にない連携判定。
根拠：R3004 / R3005 / R共通</v>
      </c>
    </row>
    <row r="21" ht="99" customHeight="1">
      <c r="A21" s="15" t="str">
        <v>INT09-12</v>
      </c>
      <c r="B21" s="15" t="str">
        <v>権限連携</v>
      </c>
      <c r="C21" s="4" t="str">
        <v>1005のロック解除を別契約・別担当へ漏らさない</v>
      </c>
      <c r="D21" s="4" t="str">
        <v>3006U→1005U</v>
      </c>
      <c r="E21" s="4" t="str">
        <v>D00共通
D05。解除可能な担当、対象契約A/B、別セッションの一般担当。</v>
      </c>
      <c r="F21" s="4" t="str">
        <v>手順1：契約Aを解除後に契約Bを開く。
手順2：別担当もAを開き、ログアウト再ログイン後Aを確認する。</v>
      </c>
      <c r="G21" s="4" t="str">
        <v>解除は許可した利用者・契約に限定され、別契約・別担当・新ログインで解除扱いにならない。一般利用者の旧保存要求で更新できない。</v>
      </c>
      <c r="H21" s="4" t="str">
        <v>－（表示文言のみの確認は単体に委ねる）</v>
      </c>
      <c r="I21" s="16"/>
      <c r="J21" s="13"/>
      <c r="K21" s="14"/>
      <c r="L21" s="13"/>
      <c r="M21" s="16"/>
      <c r="N21" s="13"/>
      <c r="O21" s="14"/>
      <c r="P21" s="15" t="str">
        <f>IF(I21="","未実施",IF(M21="",I21,M21))</f>
        <v>未実施</v>
      </c>
      <c r="Q21" s="4" t="str">
        <v>関連単体：1005-28
単体の表示・単独操作ではなく、期待結果の連携部分を追加判定。
根拠：R1005 / R共通</v>
      </c>
    </row>
    <row r="22" ht="99" customHeight="1">
      <c r="A22" s="15" t="str">
        <v>INT09-13</v>
      </c>
      <c r="B22" s="15" t="str">
        <v>権限連携</v>
      </c>
      <c r="C22" s="4" t="str">
        <v>2006のロック解除を別契約・別担当へ漏らさない</v>
      </c>
      <c r="D22" s="4" t="str">
        <v>3006U→2006U</v>
      </c>
      <c r="E22" s="4" t="str">
        <v>D00共通
D05。解除可能な担当、対象契約A/B、別セッションの一般担当。</v>
      </c>
      <c r="F22" s="4" t="str">
        <v>手順1：契約Aを解除後に契約Bを開く。
手順2：別担当もAを開き、ログアウト再ログイン後Aを確認する。</v>
      </c>
      <c r="G22" s="4" t="str">
        <v>解除は許可した利用者・契約に限定され、別契約・別担当・新ログインで解除扱いにならない。一般利用者の旧保存要求で更新できない。</v>
      </c>
      <c r="H22" s="4" t="str">
        <v>－（表示文言のみの確認は単体に委ねる）</v>
      </c>
      <c r="I22" s="16"/>
      <c r="J22" s="13"/>
      <c r="K22" s="14"/>
      <c r="L22" s="13"/>
      <c r="M22" s="16"/>
      <c r="N22" s="13"/>
      <c r="O22" s="14"/>
      <c r="P22" s="15" t="str">
        <f>IF(I22="","未実施",IF(M22="",I22,M22))</f>
        <v>未実施</v>
      </c>
      <c r="Q22" s="4" t="str">
        <v>関連単体：2006-21
単体の表示・単独操作ではなく、期待結果の連携部分を追加判定。
根拠：R2006 / R共通</v>
      </c>
    </row>
    <row r="23" ht="99" customHeight="1">
      <c r="A23" s="15" t="str">
        <v>INT09-14</v>
      </c>
      <c r="B23" s="15" t="str">
        <v>排他</v>
      </c>
      <c r="C23" s="4" t="str">
        <v>1005の二人同時更新で後発上書きを防ぐ</v>
      </c>
      <c r="D23" s="4" t="str">
        <v>1005U→元検索</v>
      </c>
      <c r="E23" s="4" t="str">
        <v>D00共通
D01またはD12。同じ既存対象をA/Bが開き、互いに異なる内容を入力。</v>
      </c>
      <c r="F23" s="4" t="str">
        <v>手順1：Aが登録後Bが古い画面から登録。
手順2：元検索から開き直して内容・監査値を照合する。</v>
      </c>
      <c r="G23" s="4" t="str">
        <v>Bに競合を案内しAの確定内容を上書きしない。親だけ更新・子だけ旧内容など部分保存を残さない。</v>
      </c>
      <c r="H23" s="4" t="str">
        <v>－（表示文言のみの確認は単体に委ねる）</v>
      </c>
      <c r="I23" s="16"/>
      <c r="J23" s="13"/>
      <c r="K23" s="14"/>
      <c r="L23" s="13"/>
      <c r="M23" s="16"/>
      <c r="N23" s="13"/>
      <c r="O23" s="14"/>
      <c r="P23" s="15" t="str">
        <f>IF(I23="","未実施",IF(M23="",I23,M23))</f>
        <v>未実施</v>
      </c>
      <c r="Q23" s="4" t="str">
        <v>関連単体：1005-17
単体の表示・単独操作ではなく、期待結果の連携部分を追加判定。
根拠：R1005 / R共通</v>
      </c>
    </row>
    <row r="24" ht="99" customHeight="1">
      <c r="A24" s="15" t="str">
        <v>INT09-15</v>
      </c>
      <c r="B24" s="15" t="str">
        <v>排他</v>
      </c>
      <c r="C24" s="4" t="str">
        <v>2006の二人同時更新で後発上書きを防ぐ</v>
      </c>
      <c r="D24" s="4" t="str">
        <v>2006U→元検索</v>
      </c>
      <c r="E24" s="4" t="str">
        <v>D00共通
D01またはD12。同じ既存対象をA/Bが開き、互いに異なる内容を入力。</v>
      </c>
      <c r="F24" s="4" t="str">
        <v>手順1：Aが登録後Bが古い画面から登録。
手順2：元検索から開き直して内容・監査値を照合する。</v>
      </c>
      <c r="G24" s="4" t="str">
        <v>Bに競合を案内しAの確定内容を上書きしない。親だけ更新・子だけ旧内容など部分保存を残さない。</v>
      </c>
      <c r="H24" s="4" t="str">
        <v>－（表示文言のみの確認は単体に委ねる）</v>
      </c>
      <c r="I24" s="16"/>
      <c r="J24" s="13"/>
      <c r="K24" s="14"/>
      <c r="L24" s="13"/>
      <c r="M24" s="16"/>
      <c r="N24" s="13"/>
      <c r="O24" s="14"/>
      <c r="P24" s="15" t="str">
        <f>IF(I24="","未実施",IF(M24="",I24,M24))</f>
        <v>未実施</v>
      </c>
      <c r="Q24" s="4" t="str">
        <v>関連単体：2006-19
単体の表示・単独操作ではなく、期待結果の連携部分を追加判定。
根拠：R2006 / R共通</v>
      </c>
    </row>
    <row r="25" ht="82" customHeight="1">
      <c r="A25" s="15" t="str">
        <v>INT09-16</v>
      </c>
      <c r="B25" s="15" t="str">
        <v>排他</v>
      </c>
      <c r="C25" s="4" t="str">
        <v>3005の二人同時更新で後発上書きを防ぐ</v>
      </c>
      <c r="D25" s="4" t="str">
        <v>3005U→元検索</v>
      </c>
      <c r="E25" s="4" t="str">
        <v>D00共通
D01またはD12。同じ既存対象をA/Bが開き、互いに異なる内容を入力。</v>
      </c>
      <c r="F25" s="4" t="str">
        <v>手順1：Aが登録後Bが古い画面から登録。
手順2：元検索から開き直して内容・監査値を照合する。</v>
      </c>
      <c r="G25" s="4" t="str">
        <v>Bに競合を案内しAの確定内容を上書きしない。親だけ更新・子だけ旧内容など部分保存を残さない。</v>
      </c>
      <c r="H25" s="4" t="str">
        <v>－（表示文言のみの確認は単体に委ねる）</v>
      </c>
      <c r="I25" s="16"/>
      <c r="J25" s="13"/>
      <c r="K25" s="14"/>
      <c r="L25" s="13"/>
      <c r="M25" s="16"/>
      <c r="N25" s="13"/>
      <c r="O25" s="14"/>
      <c r="P25" s="15" t="str">
        <f>IF(I25="","未実施",IF(M25="",I25,M25))</f>
        <v>未実施</v>
      </c>
      <c r="Q25" s="4" t="str">
        <v>単体未収録画面を含む／単体にない連携判定。
根拠：R3005 / R共通</v>
      </c>
    </row>
    <row r="26" ht="116" customHeight="1">
      <c r="A26" s="15" t="str">
        <v>INT09-17</v>
      </c>
      <c r="B26" s="15" t="str">
        <v>排他</v>
      </c>
      <c r="C26" s="4" t="str">
        <v>選定中の元見積破棄・所属変更を確定時に再検証</v>
      </c>
      <c r="D26" s="4" t="str">
        <v>1006U/2007U→1005U/2006U</v>
      </c>
      <c r="E26" s="4" t="str">
        <v>D00共通
D02。Aが選定中にBが同じ見積を破棄する、または所属を変えて選定対象外にする。所属変更は検証専用の合意した再現手順を使う。先行契約作成の競合はINT09-28で別確認。</v>
      </c>
      <c r="F26" s="4" t="str">
        <v>手順1：Bの破棄・所属変更後、Aが古い選定案を摘要・親登録し、元見積・契約・期間の保存結果を確認する。</v>
      </c>
      <c r="G26" s="4" t="str">
        <v>確定時に元見積の現在状態・所属を再検証し、対象外見積の新契約や部分登録を残さない。選び直し可能な案内となる。</v>
      </c>
      <c r="H26" s="4" t="str">
        <v>－（表示文言のみの確認は単体に委ねる）</v>
      </c>
      <c r="I26" s="16"/>
      <c r="J26" s="13"/>
      <c r="K26" s="14"/>
      <c r="L26" s="13"/>
      <c r="M26" s="16"/>
      <c r="N26" s="13"/>
      <c r="O26" s="14"/>
      <c r="P26" s="15" t="str">
        <f>IF(I26="","未実施",IF(M26="",I26,M26))</f>
        <v>未実施</v>
      </c>
      <c r="Q26" s="4" t="str">
        <v>単体未収録画面を含む／単体にない連携判定。
根拠：R1006 / R2007 / R1005 / R2006 / R共通</v>
      </c>
    </row>
    <row r="27" ht="82" customHeight="1">
      <c r="A27" s="15" t="str">
        <v>INT09-18</v>
      </c>
      <c r="B27" s="15" t="str">
        <v>セッション</v>
      </c>
      <c r="C27" s="4" t="str">
        <v>複数タブの変更案を別契約へ摘要しない</v>
      </c>
      <c r="D27" s="4" t="str">
        <v>1005U/2006U→1006U/2007U</v>
      </c>
      <c r="E27" s="4" t="str">
        <v>D00共通
D01。Aが同じブラウザーの2タブで別契約を順に開く。</v>
      </c>
      <c r="F27" s="4" t="str">
        <v>手順1：先の契約で選定画面へ進み、後の契約を開いた後、先の古い選定画面から摘要・登録する。</v>
      </c>
      <c r="G27" s="4" t="str">
        <v>古い親トークン・選定案を後の別契約へ反映せず期限切れ・選び直しとして扱う。両契約を照合し誤更新がない。</v>
      </c>
      <c r="H27" s="4" t="str">
        <v>－（表示文言のみの確認は単体に委ねる）</v>
      </c>
      <c r="I27" s="16"/>
      <c r="J27" s="13"/>
      <c r="K27" s="14"/>
      <c r="L27" s="13"/>
      <c r="M27" s="16"/>
      <c r="N27" s="13"/>
      <c r="O27" s="14"/>
      <c r="P27" s="15" t="str">
        <f>IF(I27="","未実施",IF(M27="",I27,M27))</f>
        <v>未実施</v>
      </c>
      <c r="Q27" s="4" t="str">
        <v>単体未収録画面を含む／単体にない連携判定。
根拠：R1005 / R2006 / R1006 / R2007 / R共通</v>
      </c>
    </row>
    <row r="28" ht="82" customHeight="1">
      <c r="A28" s="15" t="str">
        <v>INT09-19</v>
      </c>
      <c r="B28" s="15" t="str">
        <v>セッション</v>
      </c>
      <c r="C28" s="4" t="str">
        <v>ログインが変わった旧選定要求を拒否</v>
      </c>
      <c r="D28" s="4" t="str">
        <v>1006U/2007U→1005U/2006U</v>
      </c>
      <c r="E28" s="4" t="str">
        <v>D00共通
D02。Aが選定中、ログアウト後に別担当Bでログイン。</v>
      </c>
      <c r="F28" s="4" t="str">
        <v>手順1：Aの旧選定画面から摘要・登録を試み、元契約と新担当セッションを確認する。</v>
      </c>
      <c r="G28" s="4" t="str">
        <v>旧担当の選定・解除・権限を引き継がず、未許可の契約・資料が更新されない。</v>
      </c>
      <c r="H28" s="4" t="str">
        <v>－（表示文言のみの確認は単体に委ねる）</v>
      </c>
      <c r="I28" s="16"/>
      <c r="J28" s="13"/>
      <c r="K28" s="14"/>
      <c r="L28" s="13"/>
      <c r="M28" s="16"/>
      <c r="N28" s="13"/>
      <c r="O28" s="14"/>
      <c r="P28" s="15" t="str">
        <f>IF(I28="","未実施",IF(M28="",I28,M28))</f>
        <v>未実施</v>
      </c>
      <c r="Q28" s="4" t="str">
        <v>単体未収録画面を含む／単体にない連携判定。
根拠：R1006 / R2007 / R1005 / R2006 / R共通</v>
      </c>
    </row>
    <row r="29" ht="82" customHeight="1">
      <c r="A29" s="15" t="str">
        <v>INT09-20</v>
      </c>
      <c r="B29" s="15" t="str">
        <v>セッション</v>
      </c>
      <c r="C29" s="4" t="str">
        <v>登録直後の再送で契約・期間を二重作成しない</v>
      </c>
      <c r="D29" s="4" t="str">
        <v>1005U/2006U/3005U→元検索</v>
      </c>
      <c r="E29" s="4" t="str">
        <v>D00共通
D02/D12。新規登録専用データ。</v>
      </c>
      <c r="F29" s="4" t="str">
        <v>手順1：各画面で新規登録後に二重クリック／画面更新／同じ登録要求再送を試み、件数を照合する。</v>
      </c>
      <c r="G29" s="4" t="str">
        <v>同じ新規操作で親契約・期間・予定が重複確定しない。成功時の対象キーを再表示し、再送失敗で先の成功を巻き戻さない。</v>
      </c>
      <c r="H29" s="4" t="str">
        <v>－（表示文言のみの確認は単体に委ねる）</v>
      </c>
      <c r="I29" s="16"/>
      <c r="J29" s="13"/>
      <c r="K29" s="14"/>
      <c r="L29" s="13"/>
      <c r="M29" s="16"/>
      <c r="N29" s="13"/>
      <c r="O29" s="14"/>
      <c r="P29" s="15" t="str">
        <f>IF(I29="","未実施",IF(M29="",I29,M29))</f>
        <v>未実施</v>
      </c>
      <c r="Q29" s="4" t="str">
        <v>単体未収録画面を含む／単体にない連携判定。
根拠：R1005 / R2006 / R3005 / R共通</v>
      </c>
    </row>
    <row r="30" ht="116" customHeight="1">
      <c r="A30" s="15" t="str">
        <v>INT09-21</v>
      </c>
      <c r="B30" s="15" t="str">
        <v>異常系</v>
      </c>
      <c r="C30" s="4" t="str">
        <v>保存の途中失敗で親子データをまとめて戻す</v>
      </c>
      <c r="D30" s="4" t="str">
        <v>1005U/2006U/3005U→元検索</v>
      </c>
      <c r="E30" s="4" t="str">
        <v>D00共通
D01/D12。検証専用環境で後続子更新だけ失敗させる条件を管理者が準備。</v>
      </c>
      <c r="F30" s="4" t="str">
        <v>手順1：親・子・監査値を記録し登録。
手順2：エラー後に別検索で開き直し処理前と照合する。</v>
      </c>
      <c r="G30" s="4" t="str">
        <v>親・期間・機器・製番・添付備考の関連保存が部分確定しない。失敗した新規の孤立子・参照先不明データを残さない。</v>
      </c>
      <c r="H30" s="4" t="str">
        <v>－（表示文言のみの確認は単体に委ねる）</v>
      </c>
      <c r="I30" s="16"/>
      <c r="J30" s="13"/>
      <c r="K30" s="14"/>
      <c r="L30" s="13"/>
      <c r="M30" s="16"/>
      <c r="N30" s="13"/>
      <c r="O30" s="14"/>
      <c r="P30" s="15" t="str">
        <f>IF(I30="","未実施",IF(M30="",I30,M30))</f>
        <v>未実施</v>
      </c>
      <c r="Q30" s="4" t="str">
        <v>単体未収録画面を含む／単体にない連携判定。
根拠：R1005 / R2006 / R3005 / R共通
実施前にQ08の条件・期待を確認。</v>
      </c>
    </row>
    <row r="31" ht="133" customHeight="1">
      <c r="A31" s="15" t="str">
        <v>INT09-22</v>
      </c>
      <c r="B31" s="15" t="str">
        <v>異常系</v>
      </c>
      <c r="C31" s="4" t="str">
        <v>添付先に書けない場合はDBと実体を不整合にしない</v>
      </c>
      <c r="D31" s="4" t="str">
        <v>1005U/3005U→添付</v>
      </c>
      <c r="E31" s="4" t="str">
        <v>D00共通
D06。検証専用のアクセス不可保存先、通常の保存先も比較。</v>
      </c>
      <c r="F31" s="4" t="str">
        <v>手順1：通常追加を確認後、管理者準備の失敗条件で追加。
手順2：DB添付件数・残存一時ファイルを確認する。</v>
      </c>
      <c r="G31" s="4" t="str">
        <v>失敗を業務エラーで案内し、取得不能な添付レコードや孤立コピーを残さない。通常保存先へ戻すと正常追加できる。</v>
      </c>
      <c r="H31" s="4" t="str">
        <v>－（表示文言のみの確認は単体に委ねる）</v>
      </c>
      <c r="I31" s="16"/>
      <c r="J31" s="13"/>
      <c r="K31" s="14"/>
      <c r="L31" s="13"/>
      <c r="M31" s="16"/>
      <c r="N31" s="13"/>
      <c r="O31" s="14"/>
      <c r="P31" s="15" t="str">
        <f>IF(I31="","未実施",IF(M31="",I31,M31))</f>
        <v>未実施</v>
      </c>
      <c r="Q31" s="4" t="str">
        <v>関連単体：1005-19
単体の表示・単独操作ではなく、期待結果の連携部分を追加判定。
根拠：R1005 / R3005 / R共通
実施前にQ08の条件・期待を確認。</v>
      </c>
    </row>
    <row r="32" ht="150" customHeight="1">
      <c r="A32" s="15" t="str">
        <v>INT09-23</v>
      </c>
      <c r="B32" s="15" t="str">
        <v>環境連携</v>
      </c>
      <c r="C32" s="4" t="str">
        <v>旧保存パスの資料を新保存先から参照</v>
      </c>
      <c r="D32" s="4" t="str">
        <v>1005U/1011U/3005U→添付</v>
      </c>
      <c r="E32" s="4" t="str">
        <v>D00共通
D06。移行済み資料、旧DIRECTORYを持つ試験レコード。移行方式はQ02で確定。</v>
      </c>
      <c r="F32" s="4" t="str">
        <v>手順1：各経路から同じ資料を取得し、移行後のファイル・DBパス・ハッシュを照合する。</v>
      </c>
      <c r="G32" s="4" t="str">
        <v>合意したパス変換またはDB移行方針で同一資料を取得でき、別資料へ誤変換しない。パスを書き換えただけでファイル未移行の状態を成功扱いにしない。</v>
      </c>
      <c r="H32" s="4" t="str">
        <v>－（表示文言のみの確認は単体に委ねる）</v>
      </c>
      <c r="I32" s="16"/>
      <c r="J32" s="13"/>
      <c r="K32" s="14"/>
      <c r="L32" s="13"/>
      <c r="M32" s="16"/>
      <c r="N32" s="13"/>
      <c r="O32" s="14"/>
      <c r="P32" s="15" t="str">
        <f>IF(I32="","未実施",IF(M32="",I32,M32))</f>
        <v>未実施</v>
      </c>
      <c r="Q32" s="4" t="str">
        <v>関連単体：1011-16
単体の表示・単独操作ではなく、期待結果の連携部分を追加判定。
根拠：R1005 / R1011 / R3005 / R共通
実施前にQ02の条件・期待を確認。</v>
      </c>
    </row>
    <row r="33" ht="99" customHeight="1">
      <c r="A33" s="15" t="str">
        <v>INT09-24</v>
      </c>
      <c r="B33" s="15" t="str">
        <v>環境連携</v>
      </c>
      <c r="C33" s="4" t="str">
        <v>localとdevでDB・添付保存先の組を一致</v>
      </c>
      <c r="D33" s="4" t="str">
        <v>1005U/3005U→別PCの参照</v>
      </c>
      <c r="E33" s="4" t="str">
        <v>D00共通
D06。local/dev各設定、各環境で識別可能な試験資料。実行プロファイルと実際の接続先を記録。</v>
      </c>
      <c r="F33" s="4" t="str">
        <v>手順1：各環境で資料を追加してDB所属と保存実体を確認。
手順2：dev追加資料を別PC・別利用者から取得する。</v>
      </c>
      <c r="G33" s="4" t="str">
        <v>同一環境のDBレコードと保存先が対応する。検証DBの資料を追加者の個人ローカルにだけ保存する運用にならず、他環境の資料を取得しない。</v>
      </c>
      <c r="H33" s="4" t="str">
        <v>－（表示文言のみの確認は単体に委ねる）</v>
      </c>
      <c r="I33" s="16"/>
      <c r="J33" s="13"/>
      <c r="K33" s="14"/>
      <c r="L33" s="13"/>
      <c r="M33" s="16"/>
      <c r="N33" s="13"/>
      <c r="O33" s="14"/>
      <c r="P33" s="15" t="str">
        <f>IF(I33="","未実施",IF(M33="",I33,M33))</f>
        <v>未実施</v>
      </c>
      <c r="Q33" s="4" t="str">
        <v>単体未収録画面を含む／単体にない連携判定。
根拠：R1005 / R3005 / R共通
実施前にQ02の条件・期待を確認。</v>
      </c>
    </row>
    <row r="34" ht="116" customHeight="1">
      <c r="A34" s="15" t="str">
        <v>INT09-25</v>
      </c>
      <c r="B34" s="15" t="str">
        <v>権限連携</v>
      </c>
      <c r="C34" s="4" t="str">
        <v>別契約の添付IDを差し替えて取得しない</v>
      </c>
      <c r="D34" s="4" t="str">
        <v>1005U/1011U/3005U→添付</v>
      </c>
      <c r="E34" s="4" t="str">
        <v>D00共通
D06。別契約・別予定の資料ID、対象画面と添付の参照権限を区別。</v>
      </c>
      <c r="F34" s="4" t="str">
        <v>手順1：許可した対象の資料取得要求を、画面対象に所属しない資料IDへ変更して再送する。</v>
      </c>
      <c r="G34" s="4" t="str">
        <v>契約・期間・予定の所属と参照権限をサーバーで検証し、別対象の資料の内容を返さない。元の対象と資料を更新しない。</v>
      </c>
      <c r="H34" s="4" t="str">
        <v>－（表示文言のみの確認は単体に委ねる）</v>
      </c>
      <c r="I34" s="16"/>
      <c r="J34" s="13"/>
      <c r="K34" s="14"/>
      <c r="L34" s="13"/>
      <c r="M34" s="16"/>
      <c r="N34" s="13"/>
      <c r="O34" s="14"/>
      <c r="P34" s="15" t="str">
        <f>IF(I34="","未実施",IF(M34="",I34,M34))</f>
        <v>未実施</v>
      </c>
      <c r="Q34" s="4" t="str">
        <v>関連単体：1011-16
単体の表示・単独操作ではなく、期待結果の連携部分を追加判定。
根拠：R1005 / R1011 / R3005 / R共通</v>
      </c>
    </row>
    <row r="35" ht="150" customHeight="1">
      <c r="A35" s="15" t="str">
        <v>INT09-26</v>
      </c>
      <c r="B35" s="15" t="str">
        <v>異常系</v>
      </c>
      <c r="C35" s="4" t="str">
        <v>資料取得中の消失・読み取り不可を500にしない</v>
      </c>
      <c r="D35" s="4" t="str">
        <v>1005U/1011U/3005U→添付</v>
      </c>
      <c r="E35" s="4" t="str">
        <v>D00共通
D06。試験専用資料を管理者が移動／アクセス不可にする。処理前内容を退避。</v>
      </c>
      <c r="F35" s="4" t="str">
        <v>手順1：リンクを開き、案内・HTTP応答と元画面再操作を確認。
手順2：復元後同じリンクを開く。</v>
      </c>
      <c r="G35" s="4" t="str">
        <v>取得不可を案内し、無関係な資料を返さず画面操作を継続できる。資料復元後に同じ所属の資料を取得できる。</v>
      </c>
      <c r="H35" s="4" t="str">
        <v>－（表示文言のみの確認は単体に委ねる）</v>
      </c>
      <c r="I35" s="16"/>
      <c r="J35" s="13"/>
      <c r="K35" s="14"/>
      <c r="L35" s="13"/>
      <c r="M35" s="16"/>
      <c r="N35" s="13"/>
      <c r="O35" s="14"/>
      <c r="P35" s="15" t="str">
        <f>IF(I35="","未実施",IF(M35="",I35,M35))</f>
        <v>未実施</v>
      </c>
      <c r="Q35" s="4" t="str">
        <v>関連単体：1011-17
単体の表示・単独操作ではなく、期待結果の連携部分を追加判定。
根拠：R1005 / R1011 / R3005 / R共通
実施前にQ02の条件・期待を確認。</v>
      </c>
    </row>
    <row r="36" ht="99" customHeight="1">
      <c r="A36" s="15" t="str">
        <v>INT09-27</v>
      </c>
      <c r="B36" s="15" t="str">
        <v>性能連携</v>
      </c>
      <c r="C36" s="4" t="str">
        <v>大量結果の選択対象を詳細・出力で維持</v>
      </c>
      <c r="D36" s="4" t="str">
        <v>3007U/3004U→詳細/3004P</v>
      </c>
      <c r="E36" s="4" t="str">
        <v>D00共通
D13。検証DBで多件数となる条件、先頭・中間・末尾を識別。</v>
      </c>
      <c r="F36" s="4" t="str">
        <v>手順1：全件表示後スクロール・選択・該当リンク・出力を実行し、実件数と選択対象を照合。
手順2：時間と操作遅延を記録する。</v>
      </c>
      <c r="G36" s="4" t="str">
        <v>選択した対象キーと詳細・出力が一致し途中欠落・別行更新・Out of Memoryがない。応答基準はQ09確定後に判定する。</v>
      </c>
      <c r="H36" s="4" t="str">
        <v>－（表示文言のみの確認は単体に委ねる）</v>
      </c>
      <c r="I36" s="16"/>
      <c r="J36" s="13"/>
      <c r="K36" s="14"/>
      <c r="L36" s="13"/>
      <c r="M36" s="16"/>
      <c r="N36" s="13"/>
      <c r="O36" s="14"/>
      <c r="P36" s="15" t="str">
        <f>IF(I36="","未実施",IF(M36="",I36,M36))</f>
        <v>未実施</v>
      </c>
      <c r="Q36" s="4" t="str">
        <v>単体未収録画面を含む／単体にない連携判定。
根拠：R3007 / R3004 / R共通
実施前にQ09の条件・期待を確認。</v>
      </c>
    </row>
    <row r="37" ht="82" customHeight="1">
      <c r="A37" s="15" t="str">
        <v>INT09-28</v>
      </c>
      <c r="B37" s="15" t="str">
        <v>排他</v>
      </c>
      <c r="C37" s="4" t="str">
        <v>同じ元見積からの同時契約作成を重複確定しない</v>
      </c>
      <c r="D37" s="4" t="str">
        <v>1006U/2007U→1005U/2006U</v>
      </c>
      <c r="E37" s="4" t="str">
        <v>D00共通
D02。A/Bが同じ未契約見積から選定済み。</v>
      </c>
      <c r="F37" s="4" t="str">
        <v>手順1：Aが先に親登録し、Bが古い選定案を登録。
手順2：元見積と契約・期間件数を別検索で照合する。</v>
      </c>
      <c r="G37" s="4" t="str">
        <v>先行登録の結果を保ち、後発の古い案から同じ元見積の契約・期間・機器を重複確定しない。選び直しの案内となる。</v>
      </c>
      <c r="H37" s="4" t="str">
        <v>－（表示文言のみの確認は単体に委ねる）</v>
      </c>
      <c r="I37" s="16"/>
      <c r="J37" s="13"/>
      <c r="K37" s="14"/>
      <c r="L37" s="13"/>
      <c r="M37" s="16"/>
      <c r="N37" s="13"/>
      <c r="O37" s="14"/>
      <c r="P37" s="15" t="str">
        <f>IF(I37="","未実施",IF(M37="",I37,M37))</f>
        <v>未実施</v>
      </c>
      <c r="Q37" s="4" t="str">
        <v>単体未収録画面を含む／単体にない連携判定。
根拠：R1006 / R2007 / R1005 / R2006 / R共通</v>
      </c>
    </row>
    <row r="38" ht="133" customHeight="1">
      <c r="A38" s="15" t="str">
        <v>INT09-29</v>
      </c>
      <c r="B38" s="15" t="str">
        <v>仕様照合</v>
      </c>
      <c r="C38" s="4" t="str">
        <v>ユーザー契約の審査参照経路の値受渡し</v>
      </c>
      <c r="D38" s="4" t="str">
        <v>審査側（Q12で特定）→2006U</v>
      </c>
      <c r="E38" s="4" t="str">
        <v>D00共通
D05。単体2006-8の遷移元区分に対応する正式な呼出経路をQ12で確認。</v>
      </c>
      <c r="F38" s="4" t="str">
        <v>手順1：確定した審査側の対象契約リンクから2006Uを開き、元行のユーザー契約IDと期間を照合。
手順2：通常検索から別契約も開く。</v>
      </c>
      <c r="G38" s="4" t="str">
        <v>正式な審査参照経路から正しい契約を渡し、編集制限を対象に適用する。通常の別契約へ審査状態を漏らさない。呼出経路未確定の間は実施せずQ12を解消する。</v>
      </c>
      <c r="H38" s="4" t="str">
        <v>－（表示文言のみの確認は単体に委ねる）</v>
      </c>
      <c r="I38" s="16"/>
      <c r="J38" s="13"/>
      <c r="K38" s="14"/>
      <c r="L38" s="13"/>
      <c r="M38" s="16"/>
      <c r="N38" s="13"/>
      <c r="O38" s="14"/>
      <c r="P38" s="15" t="str">
        <f>IF(I38="","未実施",IF(M38="",I38,M38))</f>
        <v>未実施</v>
      </c>
      <c r="Q38" s="4" t="str">
        <v>関連単体：2006-8
単体の表示・単独操作ではなく、期待結果の連携部分を追加判定。
根拠：R2006 / R共通
実施前にQ12の条件・期待を確認。</v>
      </c>
    </row>
    <row r="39" ht="99" customHeight="1">
      <c r="A39" s="15" t="str">
        <v>INT09-30</v>
      </c>
      <c r="B39" s="15" t="str">
        <v>異常系</v>
      </c>
      <c r="C39" s="4" t="str">
        <v>ファイル選択取消でDBと既存資料を保護</v>
      </c>
      <c r="D39" s="4" t="str">
        <v>1005U/3005U→添付</v>
      </c>
      <c r="E39" s="4" t="str">
        <v>D00共通
D06。保存済みの契約期間と予定、それぞれ既存資料あり。DB添付件数・ファイル一覧・ハッシュを記録。</v>
      </c>
      <c r="F39" s="4" t="str">
        <v>手順1：ファイル追加の選択ダイアログを開き取消する。
手順2：別セッションで対象を開き直し、添付件数・既存実体と保存先を照合する。</v>
      </c>
      <c r="G39" s="4" t="str">
        <v>選択取消では追加イベントへ進まず、添付レコード・コピー・一時残骸を増やさない。既存資料の内容と所属を保持する。通常の別名追加は可能なままである。</v>
      </c>
      <c r="H39" s="4" t="str">
        <v>－（連携先・保存結果を判定し、表示文言だけは単体に委ねる）</v>
      </c>
      <c r="I39" s="24"/>
      <c r="J39" s="23"/>
      <c r="K39" s="25"/>
      <c r="L39" s="23"/>
      <c r="M39" s="24"/>
      <c r="N39" s="23"/>
      <c r="O39" s="25"/>
      <c r="P39" s="15" t="str">
        <f>IF(I39="","未実施",IF(M39="",I39,M39))</f>
        <v>未実施</v>
      </c>
      <c r="Q39" s="4" t="str">
        <v>単体未収録画面を含む／単体にない連携判定。
根拠：共通C15、R1005/R3005、VB1005-18/VB3005-05</v>
      </c>
    </row>
    <row r="40" ht="116" customHeight="1">
      <c r="A40" s="15" t="str">
        <v>INT09-31</v>
      </c>
      <c r="B40" s="15" t="str">
        <v>正常系</v>
      </c>
      <c r="C40" s="4" t="str">
        <v>未保存変更の戻る・閉じる確認で親を保護</v>
      </c>
      <c r="D40" s="4" t="str">
        <v>1005U/2006U/3005U→呼出元</v>
      </c>
      <c r="E40" s="4" t="str">
        <v>D00共通
D01/D12。変更した未保存内容と処理前DBを記録。呼出履歴あり／なしを区別し、確認取消と破棄続行は別データ。</v>
      </c>
      <c r="F40" s="4" t="str">
        <v>手順1：戻るまたは閉じるを実行し確認を取消、同じ対象と入力内容を確認する。
手順2：破棄続行では元検索から開き直しDB内容を照合する。</v>
      </c>
      <c r="G40" s="4" t="str">
        <v>取消では対象と未保存入力を保持しDBを変えない。破棄続行では案を保存せず処理前の内容を再取得する。別契約へ案や解除状態を残さない。Webの戻り先は共通仕様2.2に従い、VBの履歴なし戻ると同一と仮定しない。</v>
      </c>
      <c r="H40" s="4" t="str">
        <v>－（連携先・保存結果を判定し、表示文言だけは単体に委ねる）</v>
      </c>
      <c r="I40" s="24"/>
      <c r="J40" s="23"/>
      <c r="K40" s="25"/>
      <c r="L40" s="23"/>
      <c r="M40" s="24"/>
      <c r="N40" s="23"/>
      <c r="O40" s="25"/>
      <c r="P40" s="15" t="str">
        <f>IF(I40="","未実施",IF(M40="",I40,M40))</f>
        <v>未実施</v>
      </c>
      <c r="Q40" s="4" t="str">
        <v>単体未収録画面を含む／単体にない連携判定。
根拠：共通C11、新MCM用_共通2.2、R1005/R2006/R3005</v>
      </c>
    </row>
  </sheetData>
  <mergeCells>
    <mergeCell ref="A1:H1"/>
    <mergeCell ref="A2:Q2"/>
    <mergeCell ref="A3:Q3"/>
    <mergeCell ref="A4:Q4"/>
    <mergeCell ref="A8:H8"/>
  </mergeCells>
  <conditionalFormatting sqref="P10:P38">
    <cfRule type="cellIs" dxfId="32" priority="1" operator="equal">
      <formula>"OK"</formula>
    </cfRule>
    <cfRule type="cellIs" dxfId="33" priority="2" operator="equal">
      <formula>"NG"</formula>
    </cfRule>
    <cfRule type="cellIs" dxfId="34" priority="3" operator="equal">
      <formula>"保留"</formula>
    </cfRule>
    <cfRule type="cellIs" dxfId="35" priority="4" operator="equal">
      <formula>"対象外"</formula>
    </cfRule>
  </conditionalFormatting>
  <conditionalFormatting sqref="P39:P40">
    <cfRule type="cellIs" dxfId="56" priority="5" operator="equal">
      <formula>"OK"</formula>
    </cfRule>
    <cfRule type="cellIs" dxfId="57" priority="6" operator="equal">
      <formula>"NG"</formula>
    </cfRule>
    <cfRule type="cellIs" dxfId="58" priority="7" operator="equal">
      <formula>"保留"</formula>
    </cfRule>
    <cfRule type="cellIs" dxfId="59" priority="8" operator="equal">
      <formula>"対象外"</formula>
    </cfRule>
  </conditionalFormatting>
  <dataValidations count="4">
    <dataValidation type="list" sqref="I10:I38">
      <formula1>"OK,NG,保留,対象外"</formula1>
    </dataValidation>
    <dataValidation type="list" sqref="M10:M38">
      <formula1>"OK,NG,保留,対象外"</formula1>
    </dataValidation>
    <dataValidation type="list" sqref="I39:I40">
      <formula1>"OK,NG,保留,対象外"</formula1>
    </dataValidation>
    <dataValidation type="list" sqref="M39:M40">
      <formula1>"OK,NG,保留,対象外"</formula1>
    </dataValidation>
  </dataValidations>
  <pageMargins left="0.3" right="0.3" top="0.4" bottom="0.4" header="0.2" footer="0.2"/>
  <pageSetup orientation="landscape" paperSize="8" scale="100" fitToWidth="0" fitToHeight="0"/>
</worksheet>
</file>

<file path=xl/worksheets/sheet12.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2" hidden="0" customWidth="1"/>
    <col min="2" max="2" width="30" hidden="0" customWidth="1"/>
    <col min="3" max="3" width="85" hidden="0" customWidth="1"/>
    <col min="4" max="4" width="100" hidden="0" customWidth="1"/>
    <col min="5" max="5" width="24" hidden="0" customWidth="1"/>
  </cols>
  <sheetData>
    <row r="1" ht="30" customHeight="1">
      <c r="A1" s="8" t="str">
        <v>実施前のデータ・担当者・環境準備</v>
      </c>
      <c r="B1" s="3"/>
      <c r="C1" s="3"/>
      <c r="D1" s="3"/>
      <c r="E1" s="3"/>
    </row>
    <row r="2" ht="26" customHeight="1">
      <c r="A2" s="3" t="str">
        <v>実在しない契約NOや月を架空指定しない。各条件に合うデータを選び、実ID・実行月・変更前後の証跡を記録する。</v>
      </c>
      <c r="B2" s="3"/>
      <c r="C2" s="3"/>
      <c r="D2" s="3"/>
      <c r="E2" s="3"/>
    </row>
    <row r="3" ht="26" customHeight="1">
      <c r="A3" s="3" t="str">
        <v>権限は担当者マスタの実項目となし／参照／作成で指定。別人テストは独立したログインセッション。DB確認は対象キーを限定した読取。</v>
      </c>
      <c r="B3" s="3"/>
      <c r="C3" s="3"/>
      <c r="D3" s="3"/>
      <c r="E3" s="3"/>
    </row>
    <row r="4" ht="26" customHeight="1">
      <c r="A4" s="3"/>
      <c r="B4" s="3"/>
      <c r="C4" s="3"/>
      <c r="D4" s="3"/>
      <c r="E4" s="3"/>
    </row>
    <row r="5">
      <c r="A5" s="3"/>
      <c r="B5" s="3"/>
      <c r="C5" s="3"/>
      <c r="D5" s="3"/>
      <c r="E5" s="3"/>
    </row>
    <row r="6">
      <c r="A6" s="3"/>
      <c r="B6" s="3"/>
      <c r="C6" s="3"/>
      <c r="D6" s="3"/>
      <c r="E6" s="3"/>
    </row>
    <row r="7">
      <c r="A7" s="3"/>
      <c r="B7" s="3"/>
      <c r="C7" s="3"/>
      <c r="D7" s="3"/>
      <c r="E7" s="3"/>
    </row>
    <row r="8">
      <c r="A8" s="3"/>
      <c r="B8" s="3"/>
      <c r="C8" s="3"/>
      <c r="D8" s="3"/>
      <c r="E8" s="3"/>
    </row>
    <row r="9" ht="38" customHeight="1">
      <c r="A9" s="7" t="str">
        <v>データID</v>
      </c>
      <c r="B9" s="7" t="str">
        <v>用途</v>
      </c>
      <c r="C9" s="7" t="str">
        <v>必要な条件</v>
      </c>
      <c r="D9" s="7" t="str">
        <v>準備・照合方法</v>
      </c>
      <c r="E9" s="7" t="str">
        <v>利用ケース群</v>
      </c>
    </row>
    <row r="10" ht="48" customHeight="1">
      <c r="A10" s="4" t="str">
        <v>D00</v>
      </c>
      <c r="B10" s="4" t="str">
        <v>共通の実行準備</v>
      </c>
      <c r="C10" s="4" t="str">
        <v>検証用環境のURL・DB名・実行プロファイル・ブラウザー・表示倍率・日時を記録。担当者A/B/Cは別ブラウザープロファイルでログイン。</v>
      </c>
      <c r="D10" s="4" t="str">
        <v>画面操作で作成した試験専用データを用い、実ID/契約NO/期間ID/プラントID/実行月を記録。DB照合は読取SELECTのみ。</v>
      </c>
      <c r="E10" s="4" t="str">
        <v>全ケース</v>
      </c>
    </row>
    <row r="11" ht="48" customHeight="1">
      <c r="A11" s="4" t="str">
        <v>D01</v>
      </c>
      <c r="B11" s="4" t="str">
        <v>既存契約と期間履歴</v>
      </c>
      <c r="C11" s="4" t="str">
        <v>取引先／ユーザーを区別。編集可能な最新期間、過去期間、未来期間を持つ契約。開始・終了・変更摘要可能範囲を記録。</v>
      </c>
      <c r="D11" s="4" t="str">
        <v>同名・近い契約NOの別契約を比較用に作る。対象機器・単価・点検・支払のIDと処理前監査値を保存。解約はQ04。</v>
      </c>
      <c r="E11" s="4" t="str">
        <v>INT01/INT04</v>
      </c>
    </row>
    <row r="12" ht="48" customHeight="1">
      <c r="A12" s="4" t="str">
        <v>D02</v>
      </c>
      <c r="B12" s="4" t="str">
        <v>選定元の見積</v>
      </c>
      <c r="C12" s="4" t="str">
        <v>契約作成可能で未破棄のユーザー／取引先見積。異なるNO/単価/ブランド。構成→明細→個体と数量が追跡可能。</v>
      </c>
      <c r="D12" s="4" t="str">
        <v>期間が契約期間を満たす見積を使う。出精値引き、短期月割り、同一個体重複は別データ。実見積IDを記録。</v>
      </c>
      <c r="E12" s="4" t="str">
        <v>INT01/INT04/INT05</v>
      </c>
    </row>
    <row r="13" ht="44" customHeight="1">
      <c r="A13" s="4" t="str">
        <v>D03</v>
      </c>
      <c r="B13" s="4" t="str">
        <v>申請と審査・承認</v>
      </c>
      <c r="C13" s="4" t="str">
        <v>A申請、B審査、C承認。作成中/審査中/承認中/差戻し/承認済みの対象期間と添付を識別。</v>
      </c>
      <c r="D13" s="4" t="str">
        <v>上限未満・同額・超過を別契約で用意。審査・承認日時/担当者を記録。原紙図形あり/不足は複製を使用。</v>
      </c>
      <c r="E13" s="4" t="str">
        <v>INT02</v>
      </c>
    </row>
    <row r="14" ht="48" customHeight="1">
      <c r="A14" s="4" t="str">
        <v>D04</v>
      </c>
      <c r="B14" s="4" t="str">
        <v>検索・破棄経路</v>
      </c>
      <c r="C14" s="4" t="str">
        <v>パック、店舗直、通常の見積と契約を区別。1納入先2プラント、上下段に似たNO、破棄可能／不可。</v>
      </c>
      <c r="D14" s="4" t="str">
        <v>元見積IDと契約IDをセットで記録。破棄用は専用データ。過去支払/当月/未来支払を別契約に準備。</v>
      </c>
      <c r="E14" s="4" t="str">
        <v>INT03/INT05</v>
      </c>
    </row>
    <row r="15" ht="48" customHeight="1">
      <c r="A15" s="4" t="str">
        <v>D05</v>
      </c>
      <c r="B15" s="4" t="str">
        <v>担当者・権限設定</v>
      </c>
      <c r="C15" s="4" t="str">
        <v>MCM3006U担当者マスタの利用権限：なし／参照／作成。取引先契約関連・ユーザー契約関連・作業予定等の対応を実画面または権限定義で確認。</v>
      </c>
      <c r="D15" s="4" t="str">
        <v>審査・承認、契約審査上限/契約承認上限、上位者IDも記録。権限変更後は再ログイン。保守/メンテナンス設定の実項目名を確認。内部コードを権限名称として作業者に入力させない。</v>
      </c>
      <c r="E15" s="4" t="str">
        <v>INT02/INT09</v>
      </c>
    </row>
    <row r="16" ht="48" customHeight="1">
      <c r="A16" s="4" t="str">
        <v>D06</v>
      </c>
      <c r="B16" s="4" t="str">
        <v>添付ファイル</v>
      </c>
      <c r="C16" s="4" t="str">
        <v>識別できるxls/xlsx/docx/pptx/PDF、同名別内容、押印原紙、移行旧パスの資料。内容とSHA-256を保存。</v>
      </c>
      <c r="D16" s="4" t="str">
        <v>Web稼働サーバーの保存先・サービス実行者の権限を管理者確認。別PCの追加/参照担当を準備。Q02。原本を直接壊さない。</v>
      </c>
      <c r="E16" s="4" t="str">
        <v>INT01/INT02/INT08/INT09</v>
      </c>
    </row>
    <row r="17" ht="48" customHeight="1">
      <c r="A17" s="4" t="str">
        <v>D07</v>
      </c>
      <c r="B17" s="4" t="str">
        <v>支払い対象</v>
      </c>
      <c r="C17" s="4" t="str">
        <v>契約状態が対象、期間有効フラグ&lt;=0、支払ON=1/OFF=0、対象月&lt;=解約日、対象月に採用する最新開始期間。</v>
      </c>
      <c r="D17" s="4" t="str">
        <v>MCM_TU_KEIYAKU_Vで親契約・期間・ユーザー契約が結合し、対象月内の確認済み製番があること。年払/月払の実値・対象月yyyy/MM・仕切単価を記録。親欠損/文字化けはQ11。</v>
      </c>
      <c r="E17" s="4" t="str">
        <v>INT06</v>
      </c>
    </row>
    <row r="18" ht="48" customHeight="1">
      <c r="A18" s="4" t="str">
        <v>D08</v>
      </c>
      <c r="B18" s="4" t="str">
        <v>点検対象</v>
      </c>
      <c r="C18" s="4" t="str">
        <v>個体管理あり。点検ON、月範囲内、契約期間・撤去・解約条件を満たす。翌年自動更新、次期間ありも別データ。</v>
      </c>
      <c r="D18" s="4" t="str">
        <v>プラント/月/点検可能曜日をグループキーとして記録。ON登録日境界、4/5/6機器、58行超を識別。</v>
      </c>
      <c r="E18" s="4" t="str">
        <v>INT07</v>
      </c>
    </row>
    <row r="19" ht="48" customHeight="1">
      <c r="A19" s="4" t="str">
        <v>D09</v>
      </c>
      <c r="B19" s="4" t="str">
        <v>製番確認</v>
      </c>
      <c r="C19" s="4" t="str">
        <v>同じユーザー契約の未確認/再確認/確認済み製番。開始終了月が対象月を含む。依頼者と確認者は異なる担当者名。</v>
      </c>
      <c r="D19" s="4" t="str">
        <v>製番ID・確認区分・確認者日時を記録。本人依頼混在・0件・同時確認を別データ。D07の支払結合も確認。</v>
      </c>
      <c r="E19" s="4" t="str">
        <v>INT04/INT05/INT06</v>
      </c>
    </row>
    <row r="20" ht="48" customHeight="1">
      <c r="A20" s="4" t="str">
        <v>D10</v>
      </c>
      <c r="B20" s="4" t="str">
        <v>試験メール</v>
      </c>
      <c r="C20" s="4" t="str">
        <v>SMTP、送信元・上位者宛先は試験用。上位者IDと双方のメールを設定、承認上限と仕切合計を記録。</v>
      </c>
      <c r="D20" s="4" t="str">
        <v>Q03で利用方針を確定。未設定・空アドレス・上限同額・同一宛先2契約・送信失敗を個別準備。実利用者へ誤送信しない。</v>
      </c>
      <c r="E20" s="4" t="str">
        <v>INT02</v>
      </c>
    </row>
    <row r="21" ht="48" customHeight="1">
      <c r="A21" s="4" t="str">
        <v>D11</v>
      </c>
      <c r="B21" s="4" t="str">
        <v>作業予定一覧9タブ</v>
      </c>
      <c r="C21" s="4" t="str">
        <v>各タブのSQL抽出条件を満たす対象と非対象。基準月・対象期間・取引先条件・金額許可を記録。</v>
      </c>
      <c r="D21" s="4" t="str">
        <v>範囲開始日/終了日/前後1日を含むデータを準備し元契約/機器のIDを追跡。通常/パック、差異両方向、製番不足、バッテリー条件は別データ。</v>
      </c>
      <c r="E21" s="4" t="str">
        <v>INT08</v>
      </c>
    </row>
    <row r="22" ht="44" customHeight="1">
      <c r="A22" s="4" t="str">
        <v>D12</v>
      </c>
      <c r="B22" s="4" t="str">
        <v>作業予定・添付</v>
      </c>
      <c r="C22" s="4" t="str">
        <v>予定日が対象期間内外、完了/未完了、添付あり/なしの作業予定。</v>
      </c>
      <c r="D22" s="4" t="str">
        <v>新規は親登録後に添付追加。既存予定のID・更新日時を記録。削除・競合は専用データ。</v>
      </c>
      <c r="E22" s="4" t="str">
        <v>INT08/INT09</v>
      </c>
    </row>
    <row r="23" ht="44" customHeight="1">
      <c r="A23" s="4" t="str">
        <v>D13</v>
      </c>
      <c r="B23" s="4" t="str">
        <v>多件数</v>
      </c>
      <c r="C23" s="4" t="str">
        <v>条件と実際のヒット件数を記録。先頭・中間・末尾の対象キーが識別可能。</v>
      </c>
      <c r="D23" s="4" t="str">
        <v>通常件数と多件数で選択・詳細・出力を比較。許容時間はQ09。全件取得条件と環境条件を混同しない。</v>
      </c>
      <c r="E23" s="4" t="str">
        <v>INT09</v>
      </c>
    </row>
    <row r="24" ht="48" customHeight="1">
      <c r="A24" s="4" t="str">
        <v>D14</v>
      </c>
      <c r="B24" s="4" t="str">
        <v>個体の期限計算</v>
      </c>
      <c r="C24" s="4" t="str">
        <v>一次納入日／二次納入日／初回契約日が異なる個体。起算日区分、契約可能年数、メーカー保守期限、既存期限の有無を記録。</v>
      </c>
      <c r="D24" s="4" t="str">
        <v>満了予定＝起算日＋契約可能年数－1日。期限＝算出できる期限の早い方。既存値を維持する個体も準備。</v>
      </c>
      <c r="E24" s="4" t="str">
        <v>INT01</v>
      </c>
    </row>
    <row r="25" ht="48" customHeight="1">
      <c r="A25" s="4" t="str">
        <v>D15</v>
      </c>
      <c r="B25" s="4" t="str">
        <v>VB再照合の境界データ</v>
      </c>
      <c r="C25" s="4" t="str">
        <v>D01の現在・過去・未来・未登録新期間を区別。D11は各VBビューの検索日・次回更新日・基準日を記録。</v>
      </c>
      <c r="D25" s="4" t="str">
        <v>VBのTableAdapter抽出条件を参照。ビュー内部の生成条件はQ16で現DB定義を確認。期待結果とテストデータをWebの結果だけで決めない。</v>
      </c>
      <c r="E25" s="4" t="str">
        <v>INT01/INT04/INT08</v>
      </c>
    </row>
    <row r="26" ht="48" customHeight="1">
      <c r="A26" s="4" t="str">
        <v>D16</v>
      </c>
      <c r="B26" s="4" t="str">
        <v>追加分岐の試験データ</v>
      </c>
      <c r="C26" s="4" t="str">
        <v>元単価の月数・余り、機器の旧新チェック、点検の同じ組、選定／未選定ブランド、保守集約、依頼店舗0／1／複数、全期間最大IDと有効フラグを記録。</v>
      </c>
      <c r="D26" s="4" t="str">
        <v>D01/D02/D08/D09と組み合わせ、条件ごとに別データで実施。故障再現はQ08、集約はQ17。新規仮IDと登録後IDを照合。</v>
      </c>
      <c r="E26" s="4" t="str">
        <v>INT01/INT02/INT04/INT05</v>
      </c>
    </row>
  </sheetData>
  <mergeCells>
    <mergeCell ref="A1:E1"/>
    <mergeCell ref="A2:E2"/>
    <mergeCell ref="A3:E3"/>
    <mergeCell ref="A4:E4"/>
  </mergeCells>
  <pageMargins left="0.3" right="0.3" top="0.4" bottom="0.4" header="0.2" footer="0.2"/>
  <pageSetup orientation="landscape" paperSize="8" scale="100" fitToWidth="0" fitToHeight="0"/>
</worksheet>
</file>

<file path=xl/worksheets/sheet13.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3" hidden="0" customWidth="1"/>
    <col min="2" max="2" width="43" hidden="0" customWidth="1"/>
    <col min="3" max="3" width="8" hidden="0" customWidth="1"/>
    <col min="4" max="4" width="16" hidden="0" customWidth="1"/>
    <col min="5" max="5" width="65" hidden="0" customWidth="1"/>
    <col min="6" max="6" width="25" hidden="0" customWidth="1"/>
    <col min="7" max="7" width="50" hidden="0" customWidth="1"/>
    <col min="8" max="8" width="100" hidden="0" customWidth="1"/>
    <col min="9" max="9" width="16" hidden="0" customWidth="1"/>
    <col min="10" max="10" width="70" hidden="0" customWidth="1"/>
  </cols>
  <sheetData>
    <row r="1" ht="30" customHeight="1">
      <c r="A1" s="8" t="str">
        <v>単体150ケースと結合の追加判定</v>
      </c>
      <c r="B1" s="3"/>
      <c r="C1" s="3"/>
      <c r="D1" s="3"/>
      <c r="E1" s="3"/>
      <c r="F1" s="3"/>
      <c r="G1" s="3"/>
      <c r="H1" s="3"/>
      <c r="I1" s="3"/>
      <c r="J1" s="3"/>
    </row>
    <row r="2" ht="26" customHeight="1">
      <c r="A2" s="3" t="str">
        <v>基準：MCM契・解約機能_単体テスト仕様書(261002版)。実ケースシート6画面150件を照合し、管理用の目次の件数に依存しない。</v>
      </c>
      <c r="B2" s="3"/>
      <c r="C2" s="3"/>
      <c r="D2" s="3"/>
      <c r="E2" s="3"/>
      <c r="F2" s="3"/>
      <c r="G2" s="3"/>
      <c r="H2" s="3"/>
      <c r="I2" s="3"/>
      <c r="J2" s="3"/>
    </row>
    <row r="3" ht="26" customHeight="1">
      <c r="A3" s="3" t="str">
        <v>同じ操作を使っても判定が画面間・DB・外部連携へ広がる場合だけ結合で追加する。提供版のOK/NGは結合実績として引き継がない。</v>
      </c>
      <c r="B3" s="3"/>
      <c r="C3" s="3"/>
      <c r="D3" s="3"/>
      <c r="E3" s="3"/>
      <c r="F3" s="3"/>
      <c r="G3" s="3"/>
      <c r="H3" s="3"/>
      <c r="I3" s="3"/>
      <c r="J3" s="3"/>
    </row>
    <row r="4" ht="26" customHeight="1">
      <c r="A4" s="3"/>
      <c r="B4" s="3"/>
      <c r="C4" s="3"/>
      <c r="D4" s="3"/>
      <c r="E4" s="3"/>
      <c r="F4" s="3"/>
      <c r="G4" s="3"/>
      <c r="H4" s="3"/>
      <c r="I4" s="3"/>
      <c r="J4" s="3"/>
    </row>
    <row r="5">
      <c r="A5" s="3"/>
      <c r="B5" s="3"/>
      <c r="C5" s="3"/>
      <c r="D5" s="3"/>
      <c r="E5" s="3"/>
      <c r="F5" s="3"/>
      <c r="G5" s="3"/>
      <c r="H5" s="3"/>
      <c r="I5" s="3"/>
      <c r="J5" s="3"/>
    </row>
    <row r="6">
      <c r="A6" s="3"/>
      <c r="B6" s="3"/>
      <c r="C6" s="3"/>
      <c r="D6" s="3"/>
      <c r="E6" s="3"/>
      <c r="F6" s="3"/>
      <c r="G6" s="3"/>
      <c r="H6" s="3"/>
      <c r="I6" s="3"/>
      <c r="J6" s="3"/>
    </row>
    <row r="7">
      <c r="A7" s="3"/>
      <c r="B7" s="3"/>
      <c r="C7" s="3"/>
      <c r="D7" s="3"/>
      <c r="E7" s="3"/>
      <c r="F7" s="3"/>
      <c r="G7" s="3"/>
      <c r="H7" s="3"/>
      <c r="I7" s="3"/>
      <c r="J7" s="3"/>
    </row>
    <row r="8">
      <c r="A8" s="3"/>
      <c r="B8" s="3"/>
      <c r="C8" s="3"/>
      <c r="D8" s="3"/>
      <c r="E8" s="3"/>
      <c r="F8" s="3"/>
      <c r="G8" s="3"/>
      <c r="H8" s="3"/>
      <c r="I8" s="3"/>
      <c r="J8" s="3"/>
    </row>
    <row r="9" ht="38" customHeight="1">
      <c r="A9" s="7" t="str">
        <v>単体項番</v>
      </c>
      <c r="B9" s="7" t="str">
        <v>単体シート</v>
      </c>
      <c r="C9" s="7" t="str">
        <v>元行</v>
      </c>
      <c r="D9" s="7" t="str">
        <v>分類</v>
      </c>
      <c r="E9" s="7" t="str">
        <v>単体テスト項目</v>
      </c>
      <c r="F9" s="7" t="str">
        <v>扱い</v>
      </c>
      <c r="G9" s="7" t="str">
        <v>結合ケースID</v>
      </c>
      <c r="H9" s="7" t="str">
        <v>重複除外理由／追加する判定</v>
      </c>
      <c r="I9" s="7" t="str">
        <v>提供版の判定</v>
      </c>
      <c r="J9" s="7" t="str">
        <v>実施前の注意</v>
      </c>
    </row>
    <row r="10" ht="48" customHeight="1">
      <c r="A10" s="4" t="str">
        <v>1005-1</v>
      </c>
      <c r="B10" s="4" t="str">
        <v>MCM1005U_取引先契約内容</v>
      </c>
      <c r="C10" s="4" t="n">
        <v>29</v>
      </c>
      <c r="D10" s="4" t="str">
        <v>初期表示</v>
      </c>
      <c r="E10" s="4" t="str">
        <v>MCM1005U(取引先契約内容)：契約NOリンクから遷移した場合の初期表示（既存契約の表示）</v>
      </c>
      <c r="F10" s="4" t="str">
        <v>結合で追加確認</v>
      </c>
      <c r="G10" s="4" t="str">
        <v>INT01-01</v>
      </c>
      <c r="H10" s="4" t="str">
        <v>追加判定：検索行の契約キーと履歴期間の一致。入力・表示だけの単体判定は再実施せず、保存・後続利用の期待結果を参照。</v>
      </c>
      <c r="I10" s="4" t="str">
        <v>OK</v>
      </c>
      <c r="J10" s="4" t="str">
        <v>－</v>
      </c>
    </row>
    <row r="11" ht="48" customHeight="1">
      <c r="A11" s="4" t="str">
        <v>1005-2</v>
      </c>
      <c r="B11" s="4" t="str">
        <v>MCM1005U_取引先契約内容</v>
      </c>
      <c r="C11" s="4" t="n">
        <v>30</v>
      </c>
      <c r="D11" s="4" t="str">
        <v>初期表示</v>
      </c>
      <c r="E11" s="4" t="str">
        <v>MCM1005U(取引先契約内容)：状態＝破棄の場合の編集可否制御</v>
      </c>
      <c r="F11" s="4" t="str">
        <v>単体に委ねる</v>
      </c>
      <c r="G11" s="4" t="str">
        <v>－</v>
      </c>
      <c r="H11" s="4" t="str">
        <v>画面内の表示・入力・単独操作の判定は本単体ケースで確認する。結合ケースとして同じ判定を再作成しない。</v>
      </c>
      <c r="I11" s="4" t="str">
        <v>OK</v>
      </c>
      <c r="J11" s="4" t="str">
        <v>－</v>
      </c>
    </row>
    <row r="12" ht="48" customHeight="1">
      <c r="A12" s="4" t="str">
        <v>1005-3</v>
      </c>
      <c r="B12" s="4" t="str">
        <v>MCM1005U_取引先契約内容</v>
      </c>
      <c r="C12" s="4" t="n">
        <v>31</v>
      </c>
      <c r="D12" s="4" t="str">
        <v>初期表示</v>
      </c>
      <c r="E12" s="4" t="str">
        <v>MCM1005U(取引先契約内容)：状態＝解約の場合の編集可否制御</v>
      </c>
      <c r="F12" s="4" t="str">
        <v>結合で追加確認</v>
      </c>
      <c r="G12" s="4" t="str">
        <v>INT01-15, INT07-06, INT06-13</v>
      </c>
      <c r="H12" s="4" t="str">
        <v>追加判定：解約日を登録した契約発行の内容／解約・個体撤去後の点検を出力しない／取引先・ユーザー解約日の支払境界と製番印を区別。入力・表示だけの単体判定は再実施せず、保存・後続利用の期待結果を参照。</v>
      </c>
      <c r="I12" s="4" t="str">
        <v>保留</v>
      </c>
      <c r="J12" s="4" t="str">
        <v>単体の保留は提供版の記録。現版の解消状況を確認し、結合の実績に流用しない。</v>
      </c>
    </row>
    <row r="13" ht="48" customHeight="1">
      <c r="A13" s="4" t="str">
        <v>1005-4</v>
      </c>
      <c r="B13" s="4" t="str">
        <v>MCM1005U_取引先契約内容</v>
      </c>
      <c r="C13" s="4" t="n">
        <v>32</v>
      </c>
      <c r="D13" s="4" t="str">
        <v>初期表示</v>
      </c>
      <c r="E13" s="4" t="str">
        <v>MCM1005U(取引先契約内容)：承認状態＝審査中の場合の編集可否制御</v>
      </c>
      <c r="F13" s="4" t="str">
        <v>結合で追加確認</v>
      </c>
      <c r="G13" s="4" t="str">
        <v>INT02-04</v>
      </c>
      <c r="H13" s="4" t="str">
        <v>追加判定：審査完了が契約側の状態・履歴に反映。入力・表示だけの単体判定は再実施せず、保存・後続利用の期待結果を参照。</v>
      </c>
      <c r="I13" s="4" t="str">
        <v>OK</v>
      </c>
      <c r="J13" s="4" t="str">
        <v>－</v>
      </c>
    </row>
    <row r="14" ht="48" customHeight="1">
      <c r="A14" s="4" t="str">
        <v>1005-5</v>
      </c>
      <c r="B14" s="4" t="str">
        <v>MCM1005U_取引先契約内容</v>
      </c>
      <c r="C14" s="4" t="n">
        <v>33</v>
      </c>
      <c r="D14" s="4" t="str">
        <v>初期表示</v>
      </c>
      <c r="E14" s="4" t="str">
        <v>MCM1005U(取引先契約内容)：承認状態＝承認中の場合の編集可否制御</v>
      </c>
      <c r="F14" s="4" t="str">
        <v>結合で追加確認</v>
      </c>
      <c r="G14" s="4" t="str">
        <v>INT02-04</v>
      </c>
      <c r="H14" s="4" t="str">
        <v>追加判定：審査完了が契約側の状態・履歴に反映。入力・表示だけの単体判定は再実施せず、保存・後続利用の期待結果を参照。</v>
      </c>
      <c r="I14" s="4" t="str">
        <v>OK</v>
      </c>
      <c r="J14" s="4" t="str">
        <v>－</v>
      </c>
    </row>
    <row r="15" ht="48" customHeight="1">
      <c r="A15" s="4" t="str">
        <v>1005-6</v>
      </c>
      <c r="B15" s="4" t="str">
        <v>MCM1005U_取引先契約内容</v>
      </c>
      <c r="C15" s="4" t="n">
        <v>34</v>
      </c>
      <c r="D15" s="4" t="str">
        <v>初期表示</v>
      </c>
      <c r="E15" s="4" t="str">
        <v>MCM1005U(取引先契約内容)：店舗検索一覧から遷移した場合の追加の編集不可制御（備考・更新内容欄、登録ボタン）</v>
      </c>
      <c r="F15" s="4" t="str">
        <v>結合で追加確認</v>
      </c>
      <c r="G15" s="4" t="str">
        <v>INT09-09</v>
      </c>
      <c r="H15" s="4" t="str">
        <v>追加判定：店舗経路の参照を通常変更に化けさせない。入力・表示だけの単体判定は再実施せず、保存・後続利用の期待結果を参照。</v>
      </c>
      <c r="I15" s="4" t="str">
        <v>OK</v>
      </c>
      <c r="J15" s="4" t="str">
        <v>－</v>
      </c>
    </row>
    <row r="16" ht="48" customHeight="1">
      <c r="A16" s="4" t="str">
        <v>1005-7</v>
      </c>
      <c r="B16" s="4" t="str">
        <v>MCM1005U_取引先契約内容</v>
      </c>
      <c r="C16" s="4" t="n">
        <v>35</v>
      </c>
      <c r="D16" s="4" t="str">
        <v>入力チェック</v>
      </c>
      <c r="E16" s="4" t="str">
        <v>MCM1005U(取引先契約内容)タブ内：変更摘要開始日未入力時の「変更」ボタン押下エラー</v>
      </c>
      <c r="F16" s="4" t="str">
        <v>単体に委ねる</v>
      </c>
      <c r="G16" s="4" t="str">
        <v>－</v>
      </c>
      <c r="H16" s="4" t="str">
        <v>画面内の表示・入力・単独操作の判定は本単体ケースで確認する。結合ケースとして同じ判定を再作成しない。</v>
      </c>
      <c r="I16" s="4" t="str">
        <v>NG</v>
      </c>
      <c r="J16" s="4" t="str">
        <v>単体のNGは提供版の記録。現版の解消状況を確認し、結合の実績に流用しない。</v>
      </c>
    </row>
    <row r="17" ht="48" customHeight="1">
      <c r="A17" s="4" t="str">
        <v>1005-8</v>
      </c>
      <c r="B17" s="4" t="str">
        <v>MCM1005U_取引先契約内容</v>
      </c>
      <c r="C17" s="4" t="n">
        <v>36</v>
      </c>
      <c r="D17" s="4" t="str">
        <v>入力チェック</v>
      </c>
      <c r="E17" s="4" t="str">
        <v>MCM1005U(取引先契約内容)タブ内：変更摘要開始日の形式不正時の「変更」ボタン押下エラー</v>
      </c>
      <c r="F17" s="4" t="str">
        <v>単体に委ねる</v>
      </c>
      <c r="G17" s="4" t="str">
        <v>－</v>
      </c>
      <c r="H17" s="4" t="str">
        <v>画面内の表示・入力・単独操作の判定は本単体ケースで確認する。結合ケースとして同じ判定を再作成しない。</v>
      </c>
      <c r="I17" s="4" t="str">
        <v>NG</v>
      </c>
      <c r="J17" s="4" t="str">
        <v>単体のNGは提供版の記録。現版の解消状況を確認し、結合の実績に流用しない。</v>
      </c>
    </row>
    <row r="18" ht="48" customHeight="1">
      <c r="A18" s="4" t="str">
        <v>1005-9</v>
      </c>
      <c r="B18" s="4" t="str">
        <v>MCM1005U_取引先契約内容</v>
      </c>
      <c r="C18" s="4" t="n">
        <v>37</v>
      </c>
      <c r="D18" s="4" t="str">
        <v>入力チェック</v>
      </c>
      <c r="E18" s="4" t="str">
        <v>MCM1005U(取引先契約内容)タブ内：変更摘要開始日が適用期間範囲外の場合の「変更」ボタン押下エラー</v>
      </c>
      <c r="F18" s="4" t="str">
        <v>単体に委ねる</v>
      </c>
      <c r="G18" s="4" t="str">
        <v>－</v>
      </c>
      <c r="H18" s="4" t="str">
        <v>画面内の表示・入力・単独操作の判定は本単体ケースで確認する。結合ケースとして同じ判定を再作成しない。</v>
      </c>
      <c r="I18" s="4" t="str">
        <v>NG</v>
      </c>
      <c r="J18" s="4" t="str">
        <v>単体のNGは提供版の記録。現版の解消状況を確認し、結合の実績に流用しない。</v>
      </c>
    </row>
    <row r="19" ht="48" customHeight="1">
      <c r="A19" s="4" t="str">
        <v>1005-10</v>
      </c>
      <c r="B19" s="4" t="str">
        <v>MCM1005U_取引先契約内容</v>
      </c>
      <c r="C19" s="4" t="n">
        <v>38</v>
      </c>
      <c r="D19" s="4" t="str">
        <v>入力チェック</v>
      </c>
      <c r="E19" s="4" t="str">
        <v>MCM1005U(取引先契約内容)タブ内：出精値引きがある場合の期間変更不可エラー</v>
      </c>
      <c r="F19" s="4" t="str">
        <v>単体に委ねる</v>
      </c>
      <c r="G19" s="4" t="str">
        <v>－</v>
      </c>
      <c r="H19" s="4" t="str">
        <v>画面内の表示・入力・単独操作の判定は本単体ケースで確認する。結合ケースとして同じ判定を再作成しない。</v>
      </c>
      <c r="I19" s="4" t="str">
        <v>NG</v>
      </c>
      <c r="J19" s="4" t="str">
        <v>単体のNGは提供版の記録。現版の解消状況を確認し、結合の実績に流用しない。</v>
      </c>
    </row>
    <row r="20" ht="48" customHeight="1">
      <c r="A20" s="4" t="str">
        <v>1005-11</v>
      </c>
      <c r="B20" s="4" t="str">
        <v>MCM1005U_取引先契約内容</v>
      </c>
      <c r="C20" s="4" t="n">
        <v>39</v>
      </c>
      <c r="D20" s="4" t="str">
        <v>業務ルール</v>
      </c>
      <c r="E20" s="4" t="str">
        <v>MCM1005U(取引先契約内容)タブ内：変更摘要開始日に過去日を設定した場合の確認メッセージとキャンセル時の処理中止</v>
      </c>
      <c r="F20" s="4" t="str">
        <v>単体に委ねる</v>
      </c>
      <c r="G20" s="4" t="str">
        <v>－</v>
      </c>
      <c r="H20" s="4" t="str">
        <v>画面内の表示・入力・単独操作の判定は本単体ケースで確認する。結合ケースとして同じ判定を再作成しない。</v>
      </c>
      <c r="I20" s="4" t="str">
        <v>OK</v>
      </c>
      <c r="J20" s="4" t="str">
        <v>－</v>
      </c>
    </row>
    <row r="21" ht="48" customHeight="1">
      <c r="A21" s="4" t="str">
        <v>1005-12</v>
      </c>
      <c r="B21" s="4" t="str">
        <v>MCM1005U_取引先契約内容</v>
      </c>
      <c r="C21" s="4" t="n">
        <v>40</v>
      </c>
      <c r="D21" s="4" t="str">
        <v>業務ルール</v>
      </c>
      <c r="E21" s="4" t="str">
        <v>MCM1005U(取引先契約内容)タブ内：未登録タブで変更操作した場合の確認メッセージとキャンセル時の処理中止</v>
      </c>
      <c r="F21" s="4" t="str">
        <v>単体に委ねる</v>
      </c>
      <c r="G21" s="4" t="str">
        <v>－</v>
      </c>
      <c r="H21" s="4" t="str">
        <v>画面内の表示・入力・単独操作の判定は本単体ケースで確認する。結合ケースとして同じ判定を再作成しない。</v>
      </c>
      <c r="I21" s="4" t="str">
        <v>保留</v>
      </c>
      <c r="J21" s="4" t="str">
        <v>単体の保留は提供版の記録。現版の解消状況を確認し、結合の実績に流用しない。</v>
      </c>
    </row>
    <row r="22" ht="48" customHeight="1">
      <c r="A22" s="4" t="str">
        <v>1005-13</v>
      </c>
      <c r="B22" s="4" t="str">
        <v>MCM1005U_取引先契約内容</v>
      </c>
      <c r="C22" s="4" t="n">
        <v>41</v>
      </c>
      <c r="D22" s="4" t="str">
        <v>CRUD</v>
      </c>
      <c r="E22" s="4" t="str">
        <v>MCM1005U(取引先契約内容)：期間の大小関係チェックエラー（開始日が終了日より後）</v>
      </c>
      <c r="F22" s="4" t="str">
        <v>結合で追加確認</v>
      </c>
      <c r="G22" s="4" t="str">
        <v>INT01-16, INT01-30</v>
      </c>
      <c r="H22" s="4" t="str">
        <v>追加判定：契約日程変更が点検と支払い予定に反映／保存エラー・確認取消で発行と申請を確定しない。入力・表示だけの単体判定は再実施せず、保存・後続利用の期待結果を参照。</v>
      </c>
      <c r="I22" s="4" t="str">
        <v>保留</v>
      </c>
      <c r="J22" s="4" t="str">
        <v>単体の保留は提供版の記録。現版の解消状況を確認し、結合の実績に流用しない。</v>
      </c>
    </row>
    <row r="23" ht="82" customHeight="1">
      <c r="A23" s="4" t="str">
        <v>1005-14</v>
      </c>
      <c r="B23" s="4" t="str">
        <v>MCM1005U_取引先契約内容</v>
      </c>
      <c r="C23" s="4" t="n">
        <v>42</v>
      </c>
      <c r="D23" s="4" t="str">
        <v>CRUD</v>
      </c>
      <c r="E23" s="4" t="str">
        <v>MCM1005U(取引先契約内容)：点検回数と点検月チェック数の不一致エラー</v>
      </c>
      <c r="F23" s="4" t="str">
        <v>結合で追加確認</v>
      </c>
      <c r="G23" s="4" t="str">
        <v>INT01-16, INT07-01, INT07-02, INT07-14, INT01-29, INT01-30</v>
      </c>
      <c r="H23" s="4" t="str">
        <v>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v>
      </c>
      <c r="I23" s="4" t="str">
        <v>OK</v>
      </c>
      <c r="J23" s="4" t="str">
        <v>VBは指定回数&lt;ON月数だけエラー。同数・ON月数不足も禁止する単体文言なら条件を訂正。原本本文は保持。</v>
      </c>
    </row>
    <row r="24" ht="82" customHeight="1">
      <c r="A24" s="4" t="str">
        <v>1005-15</v>
      </c>
      <c r="B24" s="4" t="str">
        <v>MCM1005U_取引先契約内容</v>
      </c>
      <c r="C24" s="4" t="n">
        <v>43</v>
      </c>
      <c r="D24" s="4" t="str">
        <v>CRUD</v>
      </c>
      <c r="E24" s="4" t="str">
        <v>MCM1005U(取引先契約内容)：支払回数と支払月チェック数の不一致エラー</v>
      </c>
      <c r="F24" s="4" t="str">
        <v>結合で追加確認</v>
      </c>
      <c r="G24" s="4" t="str">
        <v>INT01-16, INT06-01, INT06-02, INT06-03, INT06-05, INT06-12, INT01-30</v>
      </c>
      <c r="H24" s="4" t="str">
        <v>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v>
      </c>
      <c r="I24" s="4" t="str">
        <v>OK</v>
      </c>
      <c r="J24" s="4" t="str">
        <v>VBは指定回数&lt;ON月数だけエラー。同数・ON月数不足も禁止する単体文言なら条件を訂正。原本本文は保持。</v>
      </c>
    </row>
    <row r="25" ht="48" customHeight="1">
      <c r="A25" s="4" t="str">
        <v>1005-16</v>
      </c>
      <c r="B25" s="4" t="str">
        <v>MCM1005U_取引先契約内容</v>
      </c>
      <c r="C25" s="4" t="n">
        <v>44</v>
      </c>
      <c r="D25" s="4" t="str">
        <v>CRUD</v>
      </c>
      <c r="E25" s="4" t="str">
        <v>MCM1005U(取引先契約内容)：支払開始月に支払チェックがない場合の確認メッセージとキャンセル時の処理中止</v>
      </c>
      <c r="F25" s="4" t="str">
        <v>結合で追加確認</v>
      </c>
      <c r="G25" s="4" t="str">
        <v>INT01-30</v>
      </c>
      <c r="H25" s="4" t="str">
        <v>追加判定：保存エラー・確認取消で発行と申請を確定しない。入力・表示だけの単体判定は再実施せず、保存・後続利用の期待結果を参照。</v>
      </c>
      <c r="I25" s="4" t="str">
        <v>OK</v>
      </c>
      <c r="J25" s="4" t="str">
        <v>－</v>
      </c>
    </row>
    <row r="26" ht="116" customHeight="1">
      <c r="A26" s="4" t="str">
        <v>1005-17</v>
      </c>
      <c r="B26" s="4" t="str">
        <v>MCM1005U_取引先契約内容</v>
      </c>
      <c r="C26" s="4" t="n">
        <v>45</v>
      </c>
      <c r="D26" s="4" t="str">
        <v>CRUD</v>
      </c>
      <c r="E26" s="4" t="str">
        <v>MCM1005U(取引先契約内容)：新規契約登録時の確認メッセージとOK押下による登録完了</v>
      </c>
      <c r="F26" s="4" t="str">
        <v>結合で追加確認</v>
      </c>
      <c r="G26" s="4" t="str">
        <v>INT01-02, INT01-13, INT06-01, INT06-02, INT06-09, INT09-14, INT01-23, INT01-24, INT01-25, INT01-26, INT01-27</v>
      </c>
      <c r="H26" s="4" t="str">
        <v>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v>
      </c>
      <c r="I26" s="4" t="str">
        <v>NG</v>
      </c>
      <c r="J26" s="4" t="str">
        <v>単体のNGは提供版の記録。現版の解消状況を確認し、結合の実績に流用しない。</v>
      </c>
    </row>
    <row r="27" ht="48" customHeight="1">
      <c r="A27" s="4" t="str">
        <v>1005-18</v>
      </c>
      <c r="B27" s="4" t="str">
        <v>MCM1005U_取引先契約内容</v>
      </c>
      <c r="C27" s="4" t="n">
        <v>46</v>
      </c>
      <c r="D27" s="4" t="str">
        <v>CRUD</v>
      </c>
      <c r="E27" s="4" t="str">
        <v>MCM1005U(取引先契約内容)：変更なしで登録ボタンを押下した場合の処理中止</v>
      </c>
      <c r="F27" s="4" t="str">
        <v>単体に委ねる</v>
      </c>
      <c r="G27" s="4" t="str">
        <v>－</v>
      </c>
      <c r="H27" s="4" t="str">
        <v>画面内の表示・入力・単独操作の判定は本単体ケースで確認する。結合ケースとして同じ判定を再作成しない。</v>
      </c>
      <c r="I27" s="4" t="str">
        <v>NG</v>
      </c>
      <c r="J27" s="4" t="str">
        <v>単体のNGは提供版の記録。現版の解消状況を確認し、結合の実績に流用しない。</v>
      </c>
    </row>
    <row r="28" ht="65" customHeight="1">
      <c r="A28" s="4" t="str">
        <v>1005-19</v>
      </c>
      <c r="B28" s="4" t="str">
        <v>MCM1005U_取引先契約内容</v>
      </c>
      <c r="C28" s="4" t="n">
        <v>47</v>
      </c>
      <c r="D28" s="4" t="str">
        <v>CRUD</v>
      </c>
      <c r="E28" s="4" t="str">
        <v>MCM1005U(取引先契約内容)：添付ファイル追加の完了</v>
      </c>
      <c r="F28" s="4" t="str">
        <v>結合で追加確認</v>
      </c>
      <c r="G28" s="4" t="str">
        <v>INT01-17, INT02-09, INT09-22</v>
      </c>
      <c r="H28" s="4" t="str">
        <v>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v>
      </c>
      <c r="I28" s="4" t="str">
        <v>保留</v>
      </c>
      <c r="J28" s="4" t="str">
        <v>単体の保留は提供版の記録。現版の解消状況を確認し、結合の実績に流用しない。</v>
      </c>
    </row>
    <row r="29" ht="48" customHeight="1">
      <c r="A29" s="4" t="str">
        <v>1005-20</v>
      </c>
      <c r="B29" s="4" t="str">
        <v>MCM1005U_取引先契約内容</v>
      </c>
      <c r="C29" s="4" t="n">
        <v>48</v>
      </c>
      <c r="D29" s="4" t="str">
        <v>CRUD</v>
      </c>
      <c r="E29" s="4" t="str">
        <v>MCM1005U(取引先契約内容)：添付ファイル削除の完了（確認ダイアログOK押下）</v>
      </c>
      <c r="F29" s="4" t="str">
        <v>単体に委ねる</v>
      </c>
      <c r="G29" s="4" t="str">
        <v>－</v>
      </c>
      <c r="H29" s="4" t="str">
        <v>画面内の表示・入力・単独操作の判定は本単体ケースで確認する。結合ケースとして同じ判定を再作成しない。</v>
      </c>
      <c r="I29" s="4" t="str">
        <v>NG</v>
      </c>
      <c r="J29" s="4" t="str">
        <v>単体のNGは提供版の記録。現版の解消状況を確認し、結合の実績に流用しない。</v>
      </c>
    </row>
    <row r="30" ht="48" customHeight="1">
      <c r="A30" s="4" t="str">
        <v>1005-21</v>
      </c>
      <c r="B30" s="4" t="str">
        <v>MCM1005U_取引先契約内容</v>
      </c>
      <c r="C30" s="4" t="n">
        <v>49</v>
      </c>
      <c r="D30" s="4" t="str">
        <v>異常系</v>
      </c>
      <c r="E30" s="4" t="str">
        <v>MCM1005U(取引先契約内容)：承認済みの添付ファイルを削除しようとした場合のエラー</v>
      </c>
      <c r="F30" s="4" t="str">
        <v>結合で追加確認</v>
      </c>
      <c r="G30" s="4" t="str">
        <v>INT02-14</v>
      </c>
      <c r="H30" s="4" t="str">
        <v>追加判定：差戻しで承認済み過去資料を保護。入力・表示だけの単体判定は再実施せず、保存・後続利用の期待結果を参照。</v>
      </c>
      <c r="I30" s="4" t="str">
        <v>NG</v>
      </c>
      <c r="J30" s="4" t="str">
        <v>単体のNGは提供版の記録。現版の解消状況を確認し、結合の実績に流用しない。</v>
      </c>
    </row>
    <row r="31" ht="48" customHeight="1">
      <c r="A31" s="4" t="str">
        <v>1005-22</v>
      </c>
      <c r="B31" s="4" t="str">
        <v>MCM1005U_取引先契約内容</v>
      </c>
      <c r="C31" s="4" t="n">
        <v>50</v>
      </c>
      <c r="D31" s="4" t="str">
        <v>異常系</v>
      </c>
      <c r="E31" s="4" t="str">
        <v>MCM1005U(取引先契約内容)：添付ファイル未選択で「ファイル削除」ボタンを押下した場合のエラー</v>
      </c>
      <c r="F31" s="4" t="str">
        <v>単体に委ねる</v>
      </c>
      <c r="G31" s="4" t="str">
        <v>－</v>
      </c>
      <c r="H31" s="4" t="str">
        <v>画面内の表示・入力・単独操作の判定は本単体ケースで確認する。結合ケースとして同じ判定を再作成しない。</v>
      </c>
      <c r="I31" s="4" t="str">
        <v>OK</v>
      </c>
      <c r="J31" s="4" t="str">
        <v>－</v>
      </c>
    </row>
    <row r="32" ht="65" customHeight="1">
      <c r="A32" s="4" t="str">
        <v>1005-23</v>
      </c>
      <c r="B32" s="4" t="str">
        <v>MCM1005U_取引先契約内容</v>
      </c>
      <c r="C32" s="4" t="n">
        <v>51</v>
      </c>
      <c r="D32" s="4" t="str">
        <v>異常系</v>
      </c>
      <c r="E32" s="4" t="str">
        <v>MCM1005U(取引先契約内容)：承認済み添付ファイルが存在し解約日未入力の場合の契約発行不可エラー</v>
      </c>
      <c r="F32" s="4" t="str">
        <v>結合で追加確認</v>
      </c>
      <c r="G32" s="4" t="str">
        <v>INT01-13, INT01-14, INT01-15, INT01-17, INT01-30</v>
      </c>
      <c r="H32" s="4" t="str">
        <v>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v>
      </c>
      <c r="I32" s="4" t="str">
        <v>保留</v>
      </c>
      <c r="J32" s="4" t="str">
        <v>単体の保留は提供版の記録。現版の解消状況を確認し、結合の実績に流用しない。</v>
      </c>
    </row>
    <row r="33" ht="48" customHeight="1">
      <c r="A33" s="4" t="str">
        <v>1005-24</v>
      </c>
      <c r="B33" s="4" t="str">
        <v>MCM1005U_取引先契約内容</v>
      </c>
      <c r="C33" s="4" t="n">
        <v>52</v>
      </c>
      <c r="D33" s="4" t="str">
        <v>異常系</v>
      </c>
      <c r="E33" s="4" t="str">
        <v>MCM1005U(取引先契約内容)：承認済み添付ファイルが存在し解約日未入力の場合の再申請不可エラー</v>
      </c>
      <c r="F33" s="4" t="str">
        <v>結合で追加確認</v>
      </c>
      <c r="G33" s="4" t="str">
        <v>INT01-15</v>
      </c>
      <c r="H33" s="4" t="str">
        <v>追加判定：解約日を登録した契約発行の内容。入力・表示だけの単体判定は再実施せず、保存・後続利用の期待結果を参照。</v>
      </c>
      <c r="I33" s="4" t="str">
        <v>保留</v>
      </c>
      <c r="J33" s="4" t="str">
        <v>単体の保留は提供版の記録。現版の解消状況を確認し、結合の実績に流用しない。</v>
      </c>
    </row>
    <row r="34" ht="48" customHeight="1">
      <c r="A34" s="4" t="str">
        <v>1005-25</v>
      </c>
      <c r="B34" s="4" t="str">
        <v>MCM1005U_取引先契約内容</v>
      </c>
      <c r="C34" s="4" t="n">
        <v>53</v>
      </c>
      <c r="D34" s="4" t="str">
        <v>異常系</v>
      </c>
      <c r="E34" s="4" t="str">
        <v>MCM1005U(取引先契約内容)：添付ファイルなしで申請を実行した場合のエラー（作成中・差戻し以外の承認状態を除く）</v>
      </c>
      <c r="F34" s="4" t="str">
        <v>単体に委ねる</v>
      </c>
      <c r="G34" s="4" t="str">
        <v>－</v>
      </c>
      <c r="H34" s="4" t="str">
        <v>画面内の表示・入力・単独操作の判定は本単体ケースで確認する。結合ケースとして同じ判定を再作成しない。</v>
      </c>
      <c r="I34" s="4" t="str">
        <v>OK</v>
      </c>
      <c r="J34" s="4" t="str">
        <v>－</v>
      </c>
    </row>
    <row r="35" ht="65" customHeight="1">
      <c r="A35" s="4" t="str">
        <v>1005-26</v>
      </c>
      <c r="B35" s="4" t="str">
        <v>MCM1005U_取引先契約内容</v>
      </c>
      <c r="C35" s="4" t="n">
        <v>54</v>
      </c>
      <c r="D35" s="4" t="str">
        <v>業務ルール</v>
      </c>
      <c r="E35" s="4" t="str">
        <v>MCM1005U(取引先契約内容)：申請実行時の確認メッセージとOK押下による申請完了</v>
      </c>
      <c r="F35" s="4" t="str">
        <v>結合で追加確認</v>
      </c>
      <c r="G35" s="4" t="str">
        <v>INT02-01, INT02-02, INT02-07, INT02-08, INT01-30</v>
      </c>
      <c r="H35" s="4" t="str">
        <v>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v>
      </c>
      <c r="I35" s="4" t="str">
        <v>未実施</v>
      </c>
      <c r="J35" s="4" t="str">
        <v>－</v>
      </c>
    </row>
    <row r="36" ht="48" customHeight="1">
      <c r="A36" s="4" t="str">
        <v>1005-27</v>
      </c>
      <c r="B36" s="4" t="str">
        <v>MCM1005U_取引先契約内容</v>
      </c>
      <c r="C36" s="4" t="n">
        <v>55</v>
      </c>
      <c r="D36" s="4" t="str">
        <v>権限制御</v>
      </c>
      <c r="E36" s="4" t="str">
        <v>MCM1005U(取引先契約内容)：メンテナンス権限を持たないユーザーでのロック解除ボタンの非表示</v>
      </c>
      <c r="F36" s="4" t="str">
        <v>結合で追加確認</v>
      </c>
      <c r="G36" s="4" t="str">
        <v>INT09-01</v>
      </c>
      <c r="H36" s="4" t="str">
        <v>追加判定：1005の権限変更を再ログイン後の更新へ適用。入力・表示だけの単体判定は再実施せず、保存・後続利用の期待結果を参照。</v>
      </c>
      <c r="I36" s="4" t="str">
        <v>未実施</v>
      </c>
      <c r="J36" s="4" t="str">
        <v>－</v>
      </c>
    </row>
    <row r="37" ht="48" customHeight="1">
      <c r="A37" s="4" t="str">
        <v>1005-28</v>
      </c>
      <c r="B37" s="4" t="str">
        <v>MCM1005U_取引先契約内容</v>
      </c>
      <c r="C37" s="4" t="n">
        <v>56</v>
      </c>
      <c r="D37" s="4" t="str">
        <v>権限制御</v>
      </c>
      <c r="E37" s="4" t="str">
        <v>MCM1005U(取引先契約内容)：メンテナンス権限を持つユーザーでのロック解除ボタンの表示とロック解除後の全項目編集可化</v>
      </c>
      <c r="F37" s="4" t="str">
        <v>結合で追加確認</v>
      </c>
      <c r="G37" s="4" t="str">
        <v>INT09-01, INT09-12</v>
      </c>
      <c r="H37" s="4" t="str">
        <v>追加判定：1005の権限変更を再ログイン後の更新へ適用／1005のロック解除を別契約・別担当へ漏らさない。入力・表示だけの単体判定は再実施せず、保存・後続利用の期待結果を参照。</v>
      </c>
      <c r="I37" s="4" t="str">
        <v>未実施</v>
      </c>
      <c r="J37" s="4" t="str">
        <v>－</v>
      </c>
    </row>
    <row r="38" ht="48" customHeight="1">
      <c r="A38" s="4" t="str">
        <v>1005-29</v>
      </c>
      <c r="B38" s="4" t="str">
        <v>MCM1005U_取引先契約内容</v>
      </c>
      <c r="C38" s="4" t="n">
        <v>57</v>
      </c>
      <c r="D38" s="4" t="str">
        <v>境界値</v>
      </c>
      <c r="E38" s="4" t="str">
        <v>MCM1005U(取引先契約内容)：備考欄の最大文字数（4000文字）入力時の登録可否</v>
      </c>
      <c r="F38" s="4" t="str">
        <v>単体に委ねる</v>
      </c>
      <c r="G38" s="4" t="str">
        <v>－</v>
      </c>
      <c r="H38" s="4" t="str">
        <v>画面内の表示・入力・単独操作の判定は本単体ケースで確認する。結合ケースとして同じ判定を再作成しない。</v>
      </c>
      <c r="I38" s="4" t="str">
        <v>未実施</v>
      </c>
      <c r="J38" s="4" t="str">
        <v>－</v>
      </c>
    </row>
    <row r="39" ht="48" customHeight="1">
      <c r="A39" s="4" t="str">
        <v>1005-30</v>
      </c>
      <c r="B39" s="4" t="str">
        <v>MCM1005U_取引先契約内容</v>
      </c>
      <c r="C39" s="4" t="n">
        <v>58</v>
      </c>
      <c r="D39" s="4" t="str">
        <v>境界値</v>
      </c>
      <c r="E39" s="4" t="str">
        <v>MCM1005U(取引先契約内容)：保守契約時間帯欄の上限値（24）および上限超過（25）入力時の挙動</v>
      </c>
      <c r="F39" s="4" t="str">
        <v>単体に委ねる</v>
      </c>
      <c r="G39" s="4" t="str">
        <v>－</v>
      </c>
      <c r="H39" s="4" t="str">
        <v>画面内の表示・入力・単独操作の判定は本単体ケースで確認する。結合ケースとして同じ判定を再作成しない。</v>
      </c>
      <c r="I39" s="4" t="str">
        <v>未実施</v>
      </c>
      <c r="J39" s="4" t="str">
        <v>－</v>
      </c>
    </row>
    <row r="40" ht="48" customHeight="1">
      <c r="A40" s="4" t="str">
        <v>1006-1</v>
      </c>
      <c r="B40" s="4" t="str">
        <v>MCM1006U_取引先契約機器設定</v>
      </c>
      <c r="C40" s="4" t="n">
        <v>29</v>
      </c>
      <c r="D40" s="4" t="str">
        <v>初期表示</v>
      </c>
      <c r="E40" s="4" t="str">
        <v>MCM1006U1(取引先契約機器設定)：MCM1003Uの契約作成リンクから遷移した場合の初期表示</v>
      </c>
      <c r="F40" s="4" t="str">
        <v>結合で追加確認</v>
      </c>
      <c r="G40" s="4" t="str">
        <v>INT01-02</v>
      </c>
      <c r="H40" s="4" t="str">
        <v>追加判定：見積から新規契約を作成し検索へ反映。入力・表示だけの単体判定は再実施せず、保存・後続利用の期待結果を参照。</v>
      </c>
      <c r="I40" s="4" t="str">
        <v>未実施</v>
      </c>
      <c r="J40" s="4" t="str">
        <v>－</v>
      </c>
    </row>
    <row r="41" ht="48" customHeight="1">
      <c r="A41" s="4" t="str">
        <v>1006-2</v>
      </c>
      <c r="B41" s="4" t="str">
        <v>MCM1006U_取引先契約機器設定</v>
      </c>
      <c r="C41" s="4" t="n">
        <v>30</v>
      </c>
      <c r="D41" s="4" t="str">
        <v>初期表示</v>
      </c>
      <c r="E41" s="4" t="str">
        <v>MCM1006U1(取引先契約機器設定)：見積情報一覧の初期チェック状態（遷移元で選択された見積へのチェック）</v>
      </c>
      <c r="F41" s="4" t="str">
        <v>結合で追加確認</v>
      </c>
      <c r="G41" s="4" t="str">
        <v>INT01-02</v>
      </c>
      <c r="H41" s="4" t="str">
        <v>追加判定：見積から新規契約を作成し検索へ反映。入力・表示だけの単体判定は再実施せず、保存・後続利用の期待結果を参照。</v>
      </c>
      <c r="I41" s="4" t="str">
        <v>未実施</v>
      </c>
      <c r="J41" s="4" t="str">
        <v>－</v>
      </c>
    </row>
    <row r="42" ht="48" customHeight="1">
      <c r="A42" s="4" t="str">
        <v>1006-3</v>
      </c>
      <c r="B42" s="4" t="str">
        <v>MCM1006U_取引先契約機器設定</v>
      </c>
      <c r="C42" s="4" t="n">
        <v>31</v>
      </c>
      <c r="D42" s="4" t="str">
        <v>初期表示</v>
      </c>
      <c r="E42" s="4" t="str">
        <v>MCM1006U1(取引先契約機器設定)：MCM1005Uのタブ内「変更」ボタン経由で遷移した場合の開始日欄の編集不可制御</v>
      </c>
      <c r="F42" s="4" t="str">
        <v>結合で追加確認</v>
      </c>
      <c r="G42" s="4" t="str">
        <v>INT01-07, INT01-08</v>
      </c>
      <c r="H42" s="4" t="str">
        <v>追加判定：未承認の未来期間を同日開始で変更／期間途中からの変更で履歴を分割。入力・表示だけの単体判定は再実施せず、保存・後続利用の期待結果を参照。</v>
      </c>
      <c r="I42" s="4" t="str">
        <v>未実施</v>
      </c>
      <c r="J42" s="4" t="str">
        <v>－</v>
      </c>
    </row>
    <row r="43" ht="48" customHeight="1">
      <c r="A43" s="4" t="str">
        <v>1006-4</v>
      </c>
      <c r="B43" s="4" t="str">
        <v>MCM1006U_取引先契約機器設定</v>
      </c>
      <c r="C43" s="4" t="n">
        <v>32</v>
      </c>
      <c r="D43" s="4" t="str">
        <v>入力チェック</v>
      </c>
      <c r="E43" s="4" t="str">
        <v>MCM1006U1(取引先契約機器設定)：開始日・終了日が未入力の場合の「次へ」ボタン押下エラー</v>
      </c>
      <c r="F43" s="4" t="str">
        <v>単体に委ねる</v>
      </c>
      <c r="G43" s="4" t="str">
        <v>－</v>
      </c>
      <c r="H43" s="4" t="str">
        <v>画面内の表示・入力・単独操作の判定は本単体ケースで確認する。結合ケースとして同じ判定を再作成しない。</v>
      </c>
      <c r="I43" s="4" t="str">
        <v>未実施</v>
      </c>
      <c r="J43" s="4" t="str">
        <v>－</v>
      </c>
    </row>
    <row r="44" ht="48" customHeight="1">
      <c r="A44" s="4" t="str">
        <v>1006-5</v>
      </c>
      <c r="B44" s="4" t="str">
        <v>MCM1006U_取引先契約機器設定</v>
      </c>
      <c r="C44" s="4" t="n">
        <v>33</v>
      </c>
      <c r="D44" s="4" t="str">
        <v>入力チェック</v>
      </c>
      <c r="E44" s="4" t="str">
        <v>MCM1006U1(取引先契約機器設定)：開始日が終了日より後の場合の「次へ」ボタン押下エラー</v>
      </c>
      <c r="F44" s="4" t="str">
        <v>単体に委ねる</v>
      </c>
      <c r="G44" s="4" t="str">
        <v>－</v>
      </c>
      <c r="H44" s="4" t="str">
        <v>画面内の表示・入力・単独操作の判定は本単体ケースで確認する。結合ケースとして同じ判定を再作成しない。</v>
      </c>
      <c r="I44" s="4" t="str">
        <v>未実施</v>
      </c>
      <c r="J44" s="4" t="str">
        <v>－</v>
      </c>
    </row>
    <row r="45" ht="48" customHeight="1">
      <c r="A45" s="4" t="str">
        <v>1006-6</v>
      </c>
      <c r="B45" s="4" t="str">
        <v>MCM1006U_取引先契約機器設定</v>
      </c>
      <c r="C45" s="4" t="n">
        <v>34</v>
      </c>
      <c r="D45" s="4" t="str">
        <v>入力チェック</v>
      </c>
      <c r="E45" s="4" t="str">
        <v>MCM1006U1(取引先契約機器設定)：期間が1年を超える場合の「次へ」ボタン押下エラー</v>
      </c>
      <c r="F45" s="4" t="str">
        <v>単体に委ねる</v>
      </c>
      <c r="G45" s="4" t="str">
        <v>－</v>
      </c>
      <c r="H45" s="4" t="str">
        <v>画面内の表示・入力・単独操作の判定は本単体ケースで確認する。結合ケースとして同じ判定を再作成しない。</v>
      </c>
      <c r="I45" s="4" t="str">
        <v>未実施</v>
      </c>
      <c r="J45" s="4" t="str">
        <v>－</v>
      </c>
    </row>
    <row r="46" ht="48" customHeight="1">
      <c r="A46" s="4" t="str">
        <v>1006-7</v>
      </c>
      <c r="B46" s="4" t="str">
        <v>MCM1006U_取引先契約機器設定</v>
      </c>
      <c r="C46" s="4" t="n">
        <v>35</v>
      </c>
      <c r="D46" s="4" t="str">
        <v>入力チェック</v>
      </c>
      <c r="E46" s="4" t="str">
        <v>MCM1006U1(取引先契約機器設定)：見積情報一覧のチェックが0件の場合の「次へ」ボタン押下エラー</v>
      </c>
      <c r="F46" s="4" t="str">
        <v>単体に委ねる</v>
      </c>
      <c r="G46" s="4" t="str">
        <v>－</v>
      </c>
      <c r="H46" s="4" t="str">
        <v>画面内の表示・入力・単独操作の判定は本単体ケースで確認する。結合ケースとして同じ判定を再作成しない。</v>
      </c>
      <c r="I46" s="4" t="str">
        <v>未実施</v>
      </c>
      <c r="J46" s="4" t="str">
        <v>－</v>
      </c>
    </row>
    <row r="47" ht="48" customHeight="1">
      <c r="A47" s="4" t="str">
        <v>1006-8</v>
      </c>
      <c r="B47" s="4" t="str">
        <v>MCM1006U_取引先契約機器設定</v>
      </c>
      <c r="C47" s="4" t="n">
        <v>36</v>
      </c>
      <c r="D47" s="4" t="str">
        <v>入力チェック</v>
      </c>
      <c r="E47" s="4" t="str">
        <v>MCM1006U1(取引先契約機器設定)：選択した見積内に重複した機器が存在する場合の「次へ」ボタン押下エラー</v>
      </c>
      <c r="F47" s="4" t="str">
        <v>結合で追加確認</v>
      </c>
      <c r="G47" s="4" t="str">
        <v>INT01-18</v>
      </c>
      <c r="H47" s="4" t="str">
        <v>追加判定：重複機器で次画面・親契約への反映を中止。入力・表示だけの単体判定は再実施せず、保存・後続利用の期待結果を参照。</v>
      </c>
      <c r="I47" s="4" t="str">
        <v>未実施</v>
      </c>
      <c r="J47" s="4" t="str">
        <v>Q01静的解消：E通知で中止。親・DBが変更されないことを結合で確認。</v>
      </c>
    </row>
    <row r="48" ht="48" customHeight="1">
      <c r="A48" s="4" t="str">
        <v>1006-9</v>
      </c>
      <c r="B48" s="4" t="str">
        <v>MCM1006U_取引先契約機器設定</v>
      </c>
      <c r="C48" s="4" t="n">
        <v>37</v>
      </c>
      <c r="D48" s="4" t="str">
        <v>入力チェック</v>
      </c>
      <c r="E48" s="4" t="str">
        <v>MCM1006U1(取引先契約機器設定)：選択した見積に出精値引きがあり、見積期間と契約期間が一致しない場合の「次へ」ボタン押下エラー</v>
      </c>
      <c r="F48" s="4" t="str">
        <v>結合で追加確認</v>
      </c>
      <c r="G48" s="4" t="str">
        <v>INT01-06</v>
      </c>
      <c r="H48" s="4" t="str">
        <v>追加判定：期間を短縮した選定単価の受け渡し。入力・表示だけの単体判定は再実施せず、保存・後続利用の期待結果を参照。</v>
      </c>
      <c r="I48" s="4" t="str">
        <v>未実施</v>
      </c>
      <c r="J48" s="4" t="str">
        <v>－</v>
      </c>
    </row>
    <row r="49" ht="48" customHeight="1">
      <c r="A49" s="4" t="str">
        <v>1006-10</v>
      </c>
      <c r="B49" s="4" t="str">
        <v>MCM1006U_取引先契約機器設定</v>
      </c>
      <c r="C49" s="4" t="n">
        <v>38</v>
      </c>
      <c r="D49" s="4" t="str">
        <v>入力チェック</v>
      </c>
      <c r="E49" s="4" t="str">
        <v>MCM1006U1(取引先契約機器設定)：選択した見積に対応する見積期間データが0件の場合の「次へ」ボタン押下エラー</v>
      </c>
      <c r="F49" s="4" t="str">
        <v>単体に委ねる</v>
      </c>
      <c r="G49" s="4" t="str">
        <v>－</v>
      </c>
      <c r="H49" s="4" t="str">
        <v>画面内の表示・入力・単独操作の判定は本単体ケースで確認する。結合ケースとして同じ判定を再作成しない。</v>
      </c>
      <c r="I49" s="4" t="str">
        <v>未実施</v>
      </c>
      <c r="J49" s="4" t="str">
        <v>－</v>
      </c>
    </row>
    <row r="50" ht="48" customHeight="1">
      <c r="A50" s="4" t="str">
        <v>1006-11</v>
      </c>
      <c r="B50" s="4" t="str">
        <v>MCM1006U_取引先契約機器設定</v>
      </c>
      <c r="C50" s="4" t="n">
        <v>39</v>
      </c>
      <c r="D50" s="4" t="str">
        <v>入力チェック</v>
      </c>
      <c r="E50" s="4" t="str">
        <v>MCM1006U1(取引先契約機器設定)：画面入力期間が取得した見積期間の範囲を満たしていない場合の「次へ」ボタン押下エラー</v>
      </c>
      <c r="F50" s="4" t="str">
        <v>結合で追加確認</v>
      </c>
      <c r="G50" s="4" t="str">
        <v>INT01-06</v>
      </c>
      <c r="H50" s="4" t="str">
        <v>追加判定：期間を短縮した選定単価の受け渡し。入力・表示だけの単体判定は再実施せず、保存・後続利用の期待結果を参照。</v>
      </c>
      <c r="I50" s="4" t="str">
        <v>未実施</v>
      </c>
      <c r="J50" s="4" t="str">
        <v>－</v>
      </c>
    </row>
    <row r="51" ht="48" customHeight="1">
      <c r="A51" s="4" t="str">
        <v>1006-12</v>
      </c>
      <c r="B51" s="4" t="str">
        <v>MCM1006U_取引先契約機器設定</v>
      </c>
      <c r="C51" s="4" t="n">
        <v>40</v>
      </c>
      <c r="D51" s="4" t="str">
        <v>画面遷移</v>
      </c>
      <c r="E51" s="4" t="str">
        <v>MCM1006U1(取引先契約機器設定)：入力チェックをすべて満たした場合の2画面目への遷移</v>
      </c>
      <c r="F51" s="4" t="str">
        <v>結合で追加確認</v>
      </c>
      <c r="G51" s="4" t="str">
        <v>INT01-03</v>
      </c>
      <c r="H51" s="4" t="str">
        <v>追加判定：複数見積の選定と契約への集約。入力・表示だけの単体判定は再実施せず、保存・後続利用の期待結果を参照。</v>
      </c>
      <c r="I51" s="4" t="str">
        <v>未実施</v>
      </c>
      <c r="J51" s="4" t="str">
        <v>－</v>
      </c>
    </row>
    <row r="52" ht="48" customHeight="1">
      <c r="A52" s="4" t="str">
        <v>1006-13</v>
      </c>
      <c r="B52" s="4" t="str">
        <v>MCM1006U_取引先契約機器設定</v>
      </c>
      <c r="C52" s="4" t="n">
        <v>41</v>
      </c>
      <c r="D52" s="4" t="str">
        <v>初期表示</v>
      </c>
      <c r="E52" s="4" t="str">
        <v>MCM1006U2(取引先契約機器設定)：2画面目の初期表示（機器構成パターン・納入機器明細・機器個体・明細一覧の表示）</v>
      </c>
      <c r="F52" s="4" t="str">
        <v>結合で追加確認</v>
      </c>
      <c r="G52" s="4" t="str">
        <v>INT01-03</v>
      </c>
      <c r="H52" s="4" t="str">
        <v>追加判定：複数見積の選定と契約への集約。入力・表示だけの単体判定は再実施せず、保存・後続利用の期待結果を参照。</v>
      </c>
      <c r="I52" s="4" t="str">
        <v>未実施</v>
      </c>
      <c r="J52" s="4" t="str">
        <v>－</v>
      </c>
    </row>
    <row r="53" ht="48" customHeight="1">
      <c r="A53" s="4" t="str">
        <v>1006-14</v>
      </c>
      <c r="B53" s="4" t="str">
        <v>MCM1006U_取引先契約機器設定</v>
      </c>
      <c r="C53" s="4" t="n">
        <v>42</v>
      </c>
      <c r="D53" s="4" t="str">
        <v>初期表示</v>
      </c>
      <c r="E53" s="4" t="str">
        <v>MCM1006U2(取引先契約機器設定)：前画面で選定されていない機器構成・明細・個体の行の表示（見積依頼NO欄が空欄）</v>
      </c>
      <c r="F53" s="4" t="str">
        <v>結合で追加確認</v>
      </c>
      <c r="G53" s="4" t="str">
        <v>INT01-05</v>
      </c>
      <c r="H53" s="4" t="str">
        <v>追加判定：未選定見積の構成が契約に混入しない。入力・表示だけの単体判定は再実施せず、保存・後続利用の期待結果を参照。</v>
      </c>
      <c r="I53" s="4" t="str">
        <v>未実施</v>
      </c>
      <c r="J53" s="4" t="str">
        <v>－</v>
      </c>
    </row>
    <row r="54" ht="48" customHeight="1">
      <c r="A54" s="4" t="str">
        <v>1006-15</v>
      </c>
      <c r="B54" s="4" t="str">
        <v>MCM1006U_取引先契約機器設定</v>
      </c>
      <c r="C54" s="4" t="n">
        <v>43</v>
      </c>
      <c r="D54" s="4" t="str">
        <v>入力チェック</v>
      </c>
      <c r="E54" s="4" t="str">
        <v>MCM1006U2(取引先契約機器設定)：機器構成パターン一覧で前画面未選定の行の契約有無チェックを押下した場合のエラー</v>
      </c>
      <c r="F54" s="4" t="str">
        <v>結合で追加確認</v>
      </c>
      <c r="G54" s="4" t="str">
        <v>INT01-05</v>
      </c>
      <c r="H54" s="4" t="str">
        <v>追加判定：未選定見積の構成が契約に混入しない。入力・表示だけの単体判定は再実施せず、保存・後続利用の期待結果を参照。</v>
      </c>
      <c r="I54" s="4" t="str">
        <v>未実施</v>
      </c>
      <c r="J54" s="4" t="str">
        <v>－</v>
      </c>
    </row>
    <row r="55" ht="48" customHeight="1">
      <c r="A55" s="4" t="str">
        <v>1006-16</v>
      </c>
      <c r="B55" s="4" t="str">
        <v>MCM1006U_取引先契約機器設定</v>
      </c>
      <c r="C55" s="4" t="n">
        <v>44</v>
      </c>
      <c r="D55" s="4" t="str">
        <v>入力チェック</v>
      </c>
      <c r="E55" s="4" t="str">
        <v>MCM1006U2(取引先契約機器設定)：納入機器明細一覧で前画面未選定の行の契約有無チェックを押下した場合のエラー</v>
      </c>
      <c r="F55" s="4" t="str">
        <v>結合で追加確認</v>
      </c>
      <c r="G55" s="4" t="str">
        <v>INT01-05</v>
      </c>
      <c r="H55" s="4" t="str">
        <v>追加判定：未選定見積の構成が契約に混入しない。入力・表示だけの単体判定は再実施せず、保存・後続利用の期待結果を参照。</v>
      </c>
      <c r="I55" s="4" t="str">
        <v>未実施</v>
      </c>
      <c r="J55" s="4" t="str">
        <v>－</v>
      </c>
    </row>
    <row r="56" ht="48" customHeight="1">
      <c r="A56" s="4" t="str">
        <v>1006-17</v>
      </c>
      <c r="B56" s="4" t="str">
        <v>MCM1006U_取引先契約機器設定</v>
      </c>
      <c r="C56" s="4" t="n">
        <v>45</v>
      </c>
      <c r="D56" s="4" t="str">
        <v>入力チェック</v>
      </c>
      <c r="E56" s="4" t="str">
        <v>MCM1006U2(取引先契約機器設定)：機器個体・明細一覧で前画面未選定の行の契約有無チェックを押下した場合のエラー</v>
      </c>
      <c r="F56" s="4" t="str">
        <v>結合で追加確認</v>
      </c>
      <c r="G56" s="4" t="str">
        <v>INT01-05</v>
      </c>
      <c r="H56" s="4" t="str">
        <v>追加判定：未選定見積の構成が契約に混入しない。入力・表示だけの単体判定は再実施せず、保存・後続利用の期待結果を参照。</v>
      </c>
      <c r="I56" s="4" t="str">
        <v>未実施</v>
      </c>
      <c r="J56" s="4" t="str">
        <v>－</v>
      </c>
    </row>
    <row r="57" ht="48" customHeight="1">
      <c r="A57" s="4" t="str">
        <v>1006-18</v>
      </c>
      <c r="B57" s="4" t="str">
        <v>MCM1006U_取引先契約機器設定</v>
      </c>
      <c r="C57" s="4" t="n">
        <v>46</v>
      </c>
      <c r="D57" s="4" t="str">
        <v>業務ルール</v>
      </c>
      <c r="E57" s="4" t="str">
        <v>MCM1006U2(取引先契約機器設定)：機器構成パターン一覧の契約有無チェックON操作による納入機器明細・機器個体一覧への連動</v>
      </c>
      <c r="F57" s="4" t="str">
        <v>結合で追加確認</v>
      </c>
      <c r="G57" s="4" t="str">
        <v>INT01-04</v>
      </c>
      <c r="H57" s="4" t="str">
        <v>追加判定：下位個体の除外が保存数量と帳票に反映。入力・表示だけの単体判定は再実施せず、保存・後続利用の期待結果を参照。</v>
      </c>
      <c r="I57" s="4" t="str">
        <v>未実施</v>
      </c>
      <c r="J57" s="4" t="str">
        <v>－</v>
      </c>
    </row>
    <row r="58" ht="48" customHeight="1">
      <c r="A58" s="4" t="str">
        <v>1006-19</v>
      </c>
      <c r="B58" s="4" t="str">
        <v>MCM1006U_取引先契約機器設定</v>
      </c>
      <c r="C58" s="4" t="n">
        <v>47</v>
      </c>
      <c r="D58" s="4" t="str">
        <v>業務ルール</v>
      </c>
      <c r="E58" s="4" t="str">
        <v>MCM1006U2(取引先契約機器設定)：機器構成パターン一覧の契約有無チェックOFF操作による納入機器明細・機器個体一覧への連動</v>
      </c>
      <c r="F58" s="4" t="str">
        <v>結合で追加確認</v>
      </c>
      <c r="G58" s="4" t="str">
        <v>INT01-04</v>
      </c>
      <c r="H58" s="4" t="str">
        <v>追加判定：下位個体の除外が保存数量と帳票に反映。入力・表示だけの単体判定は再実施せず、保存・後続利用の期待結果を参照。</v>
      </c>
      <c r="I58" s="4" t="str">
        <v>未実施</v>
      </c>
      <c r="J58" s="4" t="str">
        <v>－</v>
      </c>
    </row>
    <row r="59" ht="48" customHeight="1">
      <c r="A59" s="4" t="str">
        <v>1006-20</v>
      </c>
      <c r="B59" s="4" t="str">
        <v>MCM1006U_取引先契約機器設定</v>
      </c>
      <c r="C59" s="4" t="n">
        <v>48</v>
      </c>
      <c r="D59" s="4" t="str">
        <v>業務ルール</v>
      </c>
      <c r="E59" s="4" t="str">
        <v>MCM1006U2(取引先契約機器設定)：納入機器明細一覧の契約有無チェックOFF操作による個体明細一覧への連動と機器構成一覧への再評価</v>
      </c>
      <c r="F59" s="4" t="str">
        <v>結合で追加確認</v>
      </c>
      <c r="G59" s="4" t="str">
        <v>INT01-04</v>
      </c>
      <c r="H59" s="4" t="str">
        <v>追加判定：下位個体の除外が保存数量と帳票に反映。入力・表示だけの単体判定は再実施せず、保存・後続利用の期待結果を参照。</v>
      </c>
      <c r="I59" s="4" t="str">
        <v>未実施</v>
      </c>
      <c r="J59" s="4" t="str">
        <v>－</v>
      </c>
    </row>
    <row r="60" ht="48" customHeight="1">
      <c r="A60" s="4" t="str">
        <v>1006-21</v>
      </c>
      <c r="B60" s="4" t="str">
        <v>MCM1006U_取引先契約機器設定</v>
      </c>
      <c r="C60" s="4" t="n">
        <v>49</v>
      </c>
      <c r="D60" s="4" t="str">
        <v>業務ルール</v>
      </c>
      <c r="E60" s="4" t="str">
        <v>MCM1006U2(取引先契約機器設定)：機器個体・明細一覧の契約有無チェックON操作による納入機器明細一覧への連動</v>
      </c>
      <c r="F60" s="4" t="str">
        <v>結合で追加確認</v>
      </c>
      <c r="G60" s="4" t="str">
        <v>INT01-04</v>
      </c>
      <c r="H60" s="4" t="str">
        <v>追加判定：下位個体の除外が保存数量と帳票に反映。入力・表示だけの単体判定は再実施せず、保存・後続利用の期待結果を参照。</v>
      </c>
      <c r="I60" s="4" t="str">
        <v>未実施</v>
      </c>
      <c r="J60" s="4" t="str">
        <v>－</v>
      </c>
    </row>
    <row r="61" ht="48" customHeight="1">
      <c r="A61" s="4" t="str">
        <v>1006-22</v>
      </c>
      <c r="B61" s="4" t="str">
        <v>MCM1006U_取引先契約機器設定</v>
      </c>
      <c r="C61" s="4" t="n">
        <v>50</v>
      </c>
      <c r="D61" s="4" t="str">
        <v>画面遷移</v>
      </c>
      <c r="E61" s="4" t="str">
        <v>MCM1006U2(取引先契約機器設定)：「前へ」ボタン押下による1画面目への遷移と入力値の保持</v>
      </c>
      <c r="F61" s="4" t="str">
        <v>結合で追加確認</v>
      </c>
      <c r="G61" s="4" t="str">
        <v>INT01-10, INT01-11</v>
      </c>
      <c r="H61" s="4" t="str">
        <v>追加判定：変更途中で戻った場合の親データ保護／選定を戻って変更した後は最終案だけ保存。入力・表示だけの単体判定は再実施せず、保存・後続利用の期待結果を参照。</v>
      </c>
      <c r="I61" s="4" t="str">
        <v>未実施</v>
      </c>
      <c r="J61" s="4" t="str">
        <v>－</v>
      </c>
    </row>
    <row r="62" ht="48" customHeight="1">
      <c r="A62" s="4" t="str">
        <v>1006-23</v>
      </c>
      <c r="B62" s="4" t="str">
        <v>MCM1006U_取引先契約機器設定</v>
      </c>
      <c r="C62" s="4" t="n">
        <v>51</v>
      </c>
      <c r="D62" s="4" t="str">
        <v>入力チェック</v>
      </c>
      <c r="E62" s="4" t="str">
        <v>MCM1006U2(取引先契約機器設定)：機器構成・機器明細・個体明細のいずれかのチェックが0件の場合の「摘要」ボタン押下エラー</v>
      </c>
      <c r="F62" s="4" t="str">
        <v>結合で追加確認</v>
      </c>
      <c r="G62" s="4" t="str">
        <v>INT01-19</v>
      </c>
      <c r="H62" s="4" t="str">
        <v>追加判定：下位チェック不足で親契約への摘要を中止。入力・表示だけの単体判定は再実施せず、保存・後続利用の期待結果を参照。</v>
      </c>
      <c r="I62" s="4" t="str">
        <v>未実施</v>
      </c>
      <c r="J62" s="4" t="str">
        <v>Q01静的解消：E通知で中止。親・DBが変更されないことを結合で確認。</v>
      </c>
    </row>
    <row r="63" ht="82" customHeight="1">
      <c r="A63" s="4" t="str">
        <v>1006-24</v>
      </c>
      <c r="B63" s="4" t="str">
        <v>MCM1006U_取引先契約機器設定</v>
      </c>
      <c r="C63" s="4" t="n">
        <v>52</v>
      </c>
      <c r="D63" s="4" t="str">
        <v>画面遷移</v>
      </c>
      <c r="E63" s="4" t="str">
        <v>MCM1006U2(取引先契約機器設定)：新規契約作成フロー（遷移元区分＝新規、タブフラグ＝0）での「摘要」ボタン押下によるMCM1005Uへの画面遷移</v>
      </c>
      <c r="F63" s="4" t="str">
        <v>結合で追加確認</v>
      </c>
      <c r="G63" s="4" t="str">
        <v>INT01-02, INT01-03, INT01-04, INT01-06, INT01-11, INT01-12</v>
      </c>
      <c r="H63" s="4" t="str">
        <v>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v>
      </c>
      <c r="I63" s="4" t="str">
        <v>未実施</v>
      </c>
      <c r="J63" s="4" t="str">
        <v>－</v>
      </c>
    </row>
    <row r="64" ht="116" customHeight="1">
      <c r="A64" s="4" t="str">
        <v>1006-25</v>
      </c>
      <c r="B64" s="4" t="str">
        <v>MCM1006U_取引先契約機器設定</v>
      </c>
      <c r="C64" s="4" t="n">
        <v>53</v>
      </c>
      <c r="D64" s="4" t="str">
        <v>画面遷移</v>
      </c>
      <c r="E64" s="4" t="str">
        <v>MCM1006U2(取引先契約機器設定)：契約内容編集・変更ボタン経由（遷移元区分＝タブ変更等）での「摘要」ボタン押下によるMCM1005Uへの戻り遷移</v>
      </c>
      <c r="F64" s="4" t="str">
        <v>結合で追加確認</v>
      </c>
      <c r="G64" s="4" t="str">
        <v>INT01-07, INT01-08, INT01-09, INT01-10, INT06-04, INT07-03, INT01-20, INT01-21, INT01-22, INT01-28, INT01-29</v>
      </c>
      <c r="H64" s="4" t="str">
        <v>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v>
      </c>
      <c r="I64" s="4" t="str">
        <v>未実施</v>
      </c>
      <c r="J64" s="4" t="str">
        <v>－</v>
      </c>
    </row>
    <row r="65" ht="48" customHeight="1">
      <c r="A65" s="4" t="str">
        <v>1006-26</v>
      </c>
      <c r="B65" s="4" t="str">
        <v>MCM1006U_取引先契約機器設定</v>
      </c>
      <c r="C65" s="4" t="n">
        <v>54</v>
      </c>
      <c r="D65" s="4" t="str">
        <v>境界値</v>
      </c>
      <c r="E65" s="4" t="str">
        <v>MCM1006U1(取引先契約機器設定)：期間の境界値（開始日＝終了日の1年後の前日、1年以内の上限）での「次へ」ボタン押下</v>
      </c>
      <c r="F65" s="4" t="str">
        <v>単体に委ねる</v>
      </c>
      <c r="G65" s="4" t="str">
        <v>－</v>
      </c>
      <c r="H65" s="4" t="str">
        <v>画面内の表示・入力・単独操作の判定は本単体ケースで確認する。結合ケースとして同じ判定を再作成しない。</v>
      </c>
      <c r="I65" s="4" t="str">
        <v>未実施</v>
      </c>
      <c r="J65" s="4" t="str">
        <v>－</v>
      </c>
    </row>
    <row r="66" ht="48" customHeight="1">
      <c r="A66" s="4" t="str">
        <v>1006-27</v>
      </c>
      <c r="B66" s="4" t="str">
        <v>MCM1006U_取引先契約機器設定</v>
      </c>
      <c r="C66" s="4" t="n">
        <v>55</v>
      </c>
      <c r="D66" s="4" t="str">
        <v>境界値</v>
      </c>
      <c r="E66" s="4" t="str">
        <v>MCM1006U1(取引先契約機器設定)：期間の境界値超過（開始日の1年後の翌日）での「次へ」ボタン押下エラー</v>
      </c>
      <c r="F66" s="4" t="str">
        <v>単体に委ねる</v>
      </c>
      <c r="G66" s="4" t="str">
        <v>－</v>
      </c>
      <c r="H66" s="4" t="str">
        <v>画面内の表示・入力・単独操作の判定は本単体ケースで確認する。結合ケースとして同じ判定を再作成しない。</v>
      </c>
      <c r="I66" s="4" t="str">
        <v>未実施</v>
      </c>
      <c r="J66" s="4" t="str">
        <v>－</v>
      </c>
    </row>
    <row r="67" ht="48" customHeight="1">
      <c r="A67" s="4" t="str">
        <v>1009-1</v>
      </c>
      <c r="B67" s="4" t="str">
        <v>MCM1009U_パック契約・解約</v>
      </c>
      <c r="C67" s="4" t="n">
        <v>28</v>
      </c>
      <c r="D67" s="4" t="str">
        <v>初期表示</v>
      </c>
      <c r="E67" s="4" t="str">
        <v>MCM1009U(パック契約・解約)：メニューからの初期表示（検索条件欄・一覧の表示内容）</v>
      </c>
      <c r="F67" s="4" t="str">
        <v>単体に委ねる</v>
      </c>
      <c r="G67" s="4" t="str">
        <v>－</v>
      </c>
      <c r="H67" s="4" t="str">
        <v>画面内の表示・入力・単独操作の判定は本単体ケースで確認する。結合ケースとして同じ判定を再作成しない。</v>
      </c>
      <c r="I67" s="4" t="str">
        <v>未実施</v>
      </c>
      <c r="J67" s="4" t="str">
        <v>－</v>
      </c>
    </row>
    <row r="68" ht="48" customHeight="1">
      <c r="A68" s="4" t="str">
        <v>1009-2</v>
      </c>
      <c r="B68" s="4" t="str">
        <v>MCM1009U_パック契約・解約</v>
      </c>
      <c r="C68" s="4" t="n">
        <v>29</v>
      </c>
      <c r="D68" s="4" t="str">
        <v>初期表示</v>
      </c>
      <c r="E68" s="4" t="str">
        <v>MCM1009U(パック契約・解約)：状態チェックボックスの初期チェック状態</v>
      </c>
      <c r="F68" s="4" t="str">
        <v>単体に委ねる</v>
      </c>
      <c r="G68" s="4" t="str">
        <v>－</v>
      </c>
      <c r="H68" s="4" t="str">
        <v>画面内の表示・入力・単独操作の判定は本単体ケースで確認する。結合ケースとして同じ判定を再作成しない。</v>
      </c>
      <c r="I68" s="4" t="str">
        <v>未実施</v>
      </c>
      <c r="J68" s="4" t="str">
        <v>－</v>
      </c>
    </row>
    <row r="69" ht="48" customHeight="1">
      <c r="A69" s="4" t="str">
        <v>1009-3</v>
      </c>
      <c r="B69" s="4" t="str">
        <v>MCM1009U_パック契約・解約</v>
      </c>
      <c r="C69" s="4" t="n">
        <v>30</v>
      </c>
      <c r="D69" s="4" t="str">
        <v>初期表示</v>
      </c>
      <c r="E69" s="4" t="str">
        <v>MCM1009U(パック契約・解約)：更新権限ユーザーでの契約作成・契約破棄リンク列の表示</v>
      </c>
      <c r="F69" s="4" t="str">
        <v>結合で追加確認</v>
      </c>
      <c r="G69" s="4" t="str">
        <v>INT09-04</v>
      </c>
      <c r="H69" s="4" t="str">
        <v>追加判定：1009は取引先契約の作成権限で操作を許可。入力・表示だけの単体判定は再実施せず、保存・後続利用の期待結果を参照。</v>
      </c>
      <c r="I69" s="4" t="str">
        <v>未実施</v>
      </c>
      <c r="J69" s="4" t="str">
        <v>－</v>
      </c>
    </row>
    <row r="70" ht="48" customHeight="1">
      <c r="A70" s="4" t="str">
        <v>1009-4</v>
      </c>
      <c r="B70" s="4" t="str">
        <v>MCM1009U_パック契約・解約</v>
      </c>
      <c r="C70" s="4" t="n">
        <v>31</v>
      </c>
      <c r="D70" s="4" t="str">
        <v>初期表示</v>
      </c>
      <c r="E70" s="4" t="str">
        <v>MCM1009U(パック契約・解約)：参照権限ユーザーでの契約作成・契約破棄リンク列の非表示</v>
      </c>
      <c r="F70" s="4" t="str">
        <v>結合で追加確認</v>
      </c>
      <c r="G70" s="4" t="str">
        <v>INT09-04</v>
      </c>
      <c r="H70" s="4" t="str">
        <v>追加判定：1009は取引先契約の作成権限で操作を許可。入力・表示だけの単体判定は再実施せず、保存・後続利用の期待結果を参照。</v>
      </c>
      <c r="I70" s="4" t="str">
        <v>未実施</v>
      </c>
      <c r="J70" s="4" t="str">
        <v>－</v>
      </c>
    </row>
    <row r="71" ht="48" customHeight="1">
      <c r="A71" s="4" t="str">
        <v>1009-5</v>
      </c>
      <c r="B71" s="4" t="str">
        <v>MCM1009U_パック契約・解約</v>
      </c>
      <c r="C71" s="4" t="n">
        <v>32</v>
      </c>
      <c r="D71" s="4" t="str">
        <v>検索</v>
      </c>
      <c r="E71" s="4" t="str">
        <v>MCM1009U(パック契約・解約)：検索条件が全て未入力・未選択の場合の「検索」ボタン押下エラー</v>
      </c>
      <c r="F71" s="4" t="str">
        <v>単体に委ねる</v>
      </c>
      <c r="G71" s="4" t="str">
        <v>－</v>
      </c>
      <c r="H71" s="4" t="str">
        <v>画面内の表示・入力・単独操作の判定は本単体ケースで確認する。結合ケースとして同じ判定を再作成しない。</v>
      </c>
      <c r="I71" s="4" t="str">
        <v>未実施</v>
      </c>
      <c r="J71" s="4" t="str">
        <v>－</v>
      </c>
    </row>
    <row r="72" ht="48" customHeight="1">
      <c r="A72" s="4" t="str">
        <v>1009-6</v>
      </c>
      <c r="B72" s="4" t="str">
        <v>MCM1009U_パック契約・解約</v>
      </c>
      <c r="C72" s="4" t="n">
        <v>33</v>
      </c>
      <c r="D72" s="4" t="str">
        <v>検索</v>
      </c>
      <c r="E72" s="4" t="str">
        <v>MCM1009U(パック契約・解約)：取引先コードのみ指定した検索（前方一致）</v>
      </c>
      <c r="F72" s="4" t="str">
        <v>単体に委ねる</v>
      </c>
      <c r="G72" s="4" t="str">
        <v>－</v>
      </c>
      <c r="H72" s="4" t="str">
        <v>画面内の表示・入力・単独操作の判定は本単体ケースで確認する。結合ケースとして同じ判定を再作成しない。</v>
      </c>
      <c r="I72" s="4" t="str">
        <v>未実施</v>
      </c>
      <c r="J72" s="4" t="str">
        <v>－</v>
      </c>
    </row>
    <row r="73" ht="48" customHeight="1">
      <c r="A73" s="4" t="str">
        <v>1009-7</v>
      </c>
      <c r="B73" s="4" t="str">
        <v>MCM1009U_パック契約・解約</v>
      </c>
      <c r="C73" s="4" t="n">
        <v>34</v>
      </c>
      <c r="D73" s="4" t="str">
        <v>検索</v>
      </c>
      <c r="E73" s="4" t="str">
        <v>MCM1009U(パック契約・解約)：取引先名のみ指定した検索（部分一致・大文字小文字無視）</v>
      </c>
      <c r="F73" s="4" t="str">
        <v>単体に委ねる</v>
      </c>
      <c r="G73" s="4" t="str">
        <v>－</v>
      </c>
      <c r="H73" s="4" t="str">
        <v>画面内の表示・入力・単独操作の判定は本単体ケースで確認する。結合ケースとして同じ判定を再作成しない。</v>
      </c>
      <c r="I73" s="4" t="str">
        <v>未実施</v>
      </c>
      <c r="J73" s="4" t="str">
        <v>－</v>
      </c>
    </row>
    <row r="74" ht="48" customHeight="1">
      <c r="A74" s="4" t="str">
        <v>1009-8</v>
      </c>
      <c r="B74" s="4" t="str">
        <v>MCM1009U_パック契約・解約</v>
      </c>
      <c r="C74" s="4" t="n">
        <v>35</v>
      </c>
      <c r="D74" s="4" t="str">
        <v>検索</v>
      </c>
      <c r="E74" s="4" t="str">
        <v>MCM1009U(パック契約・解約)：納入先名のみ指定した検索（旧納入先名を含めた部分一致）</v>
      </c>
      <c r="F74" s="4" t="str">
        <v>単体に委ねる</v>
      </c>
      <c r="G74" s="4" t="str">
        <v>－</v>
      </c>
      <c r="H74" s="4" t="str">
        <v>画面内の表示・入力・単独操作の判定は本単体ケースで確認する。結合ケースとして同じ判定を再作成しない。</v>
      </c>
      <c r="I74" s="4" t="str">
        <v>未実施</v>
      </c>
      <c r="J74" s="4" t="str">
        <v>－</v>
      </c>
    </row>
    <row r="75" ht="48" customHeight="1">
      <c r="A75" s="4" t="str">
        <v>1009-9</v>
      </c>
      <c r="B75" s="4" t="str">
        <v>MCM1009U_パック契約・解約</v>
      </c>
      <c r="C75" s="4" t="n">
        <v>36</v>
      </c>
      <c r="D75" s="4" t="str">
        <v>検索</v>
      </c>
      <c r="E75" s="4" t="str">
        <v>MCM1009U(パック契約・解約)：状態チェックボックス（見積のみ）での検索</v>
      </c>
      <c r="F75" s="4" t="str">
        <v>単体に委ねる</v>
      </c>
      <c r="G75" s="4" t="str">
        <v>－</v>
      </c>
      <c r="H75" s="4" t="str">
        <v>画面内の表示・入力・単独操作の判定は本単体ケースで確認する。結合ケースとして同じ判定を再作成しない。</v>
      </c>
      <c r="I75" s="4" t="str">
        <v>未実施</v>
      </c>
      <c r="J75" s="4" t="str">
        <v>－</v>
      </c>
    </row>
    <row r="76" ht="48" customHeight="1">
      <c r="A76" s="4" t="str">
        <v>1009-10</v>
      </c>
      <c r="B76" s="4" t="str">
        <v>MCM1009U_パック契約・解約</v>
      </c>
      <c r="C76" s="4" t="n">
        <v>37</v>
      </c>
      <c r="D76" s="4" t="str">
        <v>検索</v>
      </c>
      <c r="E76" s="4" t="str">
        <v>MCM1009U(パック契約・解約)：検索結果が0件の場合のエラー表示</v>
      </c>
      <c r="F76" s="4" t="str">
        <v>単体に委ねる</v>
      </c>
      <c r="G76" s="4" t="str">
        <v>－</v>
      </c>
      <c r="H76" s="4" t="str">
        <v>画面内の表示・入力・単独操作の判定は本単体ケースで確認する。結合ケースとして同じ判定を再作成しない。</v>
      </c>
      <c r="I76" s="4" t="str">
        <v>未実施</v>
      </c>
      <c r="J76" s="4" t="str">
        <v>－</v>
      </c>
    </row>
    <row r="77" ht="48" customHeight="1">
      <c r="A77" s="4" t="str">
        <v>1009-11</v>
      </c>
      <c r="B77" s="4" t="str">
        <v>MCM1009U_パック契約・解約</v>
      </c>
      <c r="C77" s="4" t="n">
        <v>38</v>
      </c>
      <c r="D77" s="4" t="str">
        <v>検索</v>
      </c>
      <c r="E77" s="4" t="str">
        <v>MCM1009U(パック契約・解約)：検索結果が複数件の場合の一覧表示・並び順（依頼NO降順）</v>
      </c>
      <c r="F77" s="4" t="str">
        <v>結合で追加確認</v>
      </c>
      <c r="G77" s="4" t="str">
        <v>INT03-07</v>
      </c>
      <c r="H77" s="4" t="str">
        <v>追加判定：パックの並び替え後に別契約を更新しない。入力・表示だけの単体判定は再実施せず、保存・後続利用の期待結果を参照。</v>
      </c>
      <c r="I77" s="4" t="str">
        <v>未実施</v>
      </c>
      <c r="J77" s="4" t="str">
        <v>－</v>
      </c>
    </row>
    <row r="78" ht="48" customHeight="1">
      <c r="A78" s="4" t="str">
        <v>1009-12</v>
      </c>
      <c r="B78" s="4" t="str">
        <v>MCM1009U_パック契約・解約</v>
      </c>
      <c r="C78" s="4" t="n">
        <v>39</v>
      </c>
      <c r="D78" s="4" t="str">
        <v>業務ルール</v>
      </c>
      <c r="E78" s="4" t="str">
        <v>MCM1009U(パック契約・解約)：パック契約データのみが検索対象となること</v>
      </c>
      <c r="F78" s="4" t="str">
        <v>単体に委ねる</v>
      </c>
      <c r="G78" s="4" t="str">
        <v>－</v>
      </c>
      <c r="H78" s="4" t="str">
        <v>画面内の表示・入力・単独操作の判定は本単体ケースで確認する。結合ケースとして同じ判定を再作成しない。</v>
      </c>
      <c r="I78" s="4" t="str">
        <v>未実施</v>
      </c>
      <c r="J78" s="4" t="str">
        <v>－</v>
      </c>
    </row>
    <row r="79" ht="48" customHeight="1">
      <c r="A79" s="4" t="str">
        <v>1009-13</v>
      </c>
      <c r="B79" s="4" t="str">
        <v>MCM1009U_パック契約・解約</v>
      </c>
      <c r="C79" s="4" t="n">
        <v>40</v>
      </c>
      <c r="D79" s="4" t="str">
        <v>画面遷移</v>
      </c>
      <c r="E79" s="4" t="str">
        <v>MCM1009U(パック契約・解約)：依頼NOリンク押下によるMCM1004U(取引先見積内容)への画面遷移発生</v>
      </c>
      <c r="F79" s="4" t="str">
        <v>結合で追加確認</v>
      </c>
      <c r="G79" s="4" t="str">
        <v>INT03-01</v>
      </c>
      <c r="H79" s="4" t="str">
        <v>追加判定：パックの見積リンクと取引先見積の一致。入力・表示だけの単体判定は再実施せず、保存・後続利用の期待結果を参照。</v>
      </c>
      <c r="I79" s="4" t="str">
        <v>未実施</v>
      </c>
      <c r="J79" s="4" t="str">
        <v>－</v>
      </c>
    </row>
    <row r="80" ht="48" customHeight="1">
      <c r="A80" s="4" t="str">
        <v>1009-14</v>
      </c>
      <c r="B80" s="4" t="str">
        <v>MCM1009U_パック契約・解約</v>
      </c>
      <c r="C80" s="4" t="n">
        <v>41</v>
      </c>
      <c r="D80" s="4" t="str">
        <v>画面遷移</v>
      </c>
      <c r="E80" s="4" t="str">
        <v>MCM1009U(パック契約・解約)：契約NOリンク押下によるMCM1005U(取引先契約内容)への画面遷移発生</v>
      </c>
      <c r="F80" s="4" t="str">
        <v>結合で追加確認</v>
      </c>
      <c r="G80" s="4" t="str">
        <v>INT03-03, INT03-07</v>
      </c>
      <c r="H80" s="4" t="str">
        <v>追加判定：パックの契約リンクは同じ履歴を参照／パックの並び替え後に別契約を更新しない。入力・表示だけの単体判定は再実施せず、保存・後続利用の期待結果を参照。</v>
      </c>
      <c r="I80" s="4" t="str">
        <v>未実施</v>
      </c>
      <c r="J80" s="4" t="str">
        <v>－</v>
      </c>
    </row>
    <row r="81" ht="48" customHeight="1">
      <c r="A81" s="4" t="str">
        <v>1009-15</v>
      </c>
      <c r="B81" s="4" t="str">
        <v>MCM1009U_パック契約・解約</v>
      </c>
      <c r="C81" s="4" t="n">
        <v>42</v>
      </c>
      <c r="D81" s="4" t="str">
        <v>画面遷移</v>
      </c>
      <c r="E81" s="4" t="str">
        <v>MCM1009U(パック契約・解約)：契約作成リンク押下によるMCM1006U1(取引先契約機器設定)への画面遷移発生</v>
      </c>
      <c r="F81" s="4" t="str">
        <v>結合で追加確認</v>
      </c>
      <c r="G81" s="4" t="str">
        <v>INT03-02</v>
      </c>
      <c r="H81" s="4" t="str">
        <v>追加判定：パックからの契約作成が分類を保持。入力・表示だけの単体判定は再実施せず、保存・後続利用の期待結果を参照。</v>
      </c>
      <c r="I81" s="4" t="str">
        <v>未実施</v>
      </c>
      <c r="J81" s="4" t="str">
        <v>－</v>
      </c>
    </row>
    <row r="82" ht="48" customHeight="1">
      <c r="A82" s="4" t="str">
        <v>1009-16</v>
      </c>
      <c r="B82" s="4" t="str">
        <v>MCM1009U_パック契約・解約</v>
      </c>
      <c r="C82" s="4" t="n">
        <v>43</v>
      </c>
      <c r="D82" s="4" t="str">
        <v>画面遷移</v>
      </c>
      <c r="E82" s="4" t="str">
        <v>MCM1009U(パック契約・解約)：リンク文字列が表示されていないセルを押下した場合に何も発生しないこと</v>
      </c>
      <c r="F82" s="4" t="str">
        <v>単体に委ねる</v>
      </c>
      <c r="G82" s="4" t="str">
        <v>－</v>
      </c>
      <c r="H82" s="4" t="str">
        <v>画面内の表示・入力・単独操作の判定は本単体ケースで確認する。結合ケースとして同じ判定を再作成しない。</v>
      </c>
      <c r="I82" s="4" t="str">
        <v>未実施</v>
      </c>
      <c r="J82" s="4" t="str">
        <v>－</v>
      </c>
    </row>
    <row r="83" ht="48" customHeight="1">
      <c r="A83" s="4" t="str">
        <v>1009-17</v>
      </c>
      <c r="B83" s="4" t="str">
        <v>MCM1009U_パック契約・解約</v>
      </c>
      <c r="C83" s="4" t="n">
        <v>44</v>
      </c>
      <c r="D83" s="4" t="str">
        <v>業務ルール</v>
      </c>
      <c r="E83" s="4" t="str">
        <v>MCM1009U(パック契約・解約)：契約破棄リンク押下時の確認ダイアログとキャンセル時の処理中止</v>
      </c>
      <c r="F83" s="4" t="str">
        <v>単体に委ねる</v>
      </c>
      <c r="G83" s="4" t="str">
        <v>－</v>
      </c>
      <c r="H83" s="4" t="str">
        <v>画面内の表示・入力・単独操作の判定は本単体ケースで確認する。結合ケースとして同じ判定を再作成しない。</v>
      </c>
      <c r="I83" s="4" t="str">
        <v>未実施</v>
      </c>
      <c r="J83" s="4" t="str">
        <v>－</v>
      </c>
    </row>
    <row r="84" ht="65" customHeight="1">
      <c r="A84" s="4" t="str">
        <v>1009-18</v>
      </c>
      <c r="B84" s="4" t="str">
        <v>MCM1009U_パック契約・解約</v>
      </c>
      <c r="C84" s="4" t="n">
        <v>45</v>
      </c>
      <c r="D84" s="4" t="str">
        <v>異常系</v>
      </c>
      <c r="E84" s="4" t="str">
        <v>MCM1009U(パック契約・解約)：取引先への支払が発生している場合の契約破棄エラー</v>
      </c>
      <c r="F84" s="4" t="str">
        <v>結合で追加確認</v>
      </c>
      <c r="G84" s="4" t="str">
        <v>INT03-05, INT03-06, INT05-11</v>
      </c>
      <c r="H84" s="4" t="str">
        <v>追加判定：パックの過去支払発生時に両側を保護／パックの当月・未来支払い境界で破棄整合／取引先の過去支払あり破棄拒否を他画面と一致。入力・表示だけの単体判定は再実施せず、保存・後続利用の期待結果を参照。</v>
      </c>
      <c r="I84" s="4" t="str">
        <v>未実施</v>
      </c>
      <c r="J84" s="4" t="str">
        <v>－</v>
      </c>
    </row>
    <row r="85" ht="48" customHeight="1">
      <c r="A85" s="4" t="str">
        <v>1009-19</v>
      </c>
      <c r="B85" s="4" t="str">
        <v>MCM1009U_パック契約・解約</v>
      </c>
      <c r="C85" s="4" t="n">
        <v>46</v>
      </c>
      <c r="D85" s="4" t="str">
        <v>業務ルール</v>
      </c>
      <c r="E85" s="4" t="str">
        <v>MCM1009U(パック契約・解約)：契約破棄実行後の一覧再表示（破棄済みとなった行が検索条件から外れること）</v>
      </c>
      <c r="F85" s="4" t="str">
        <v>結合で追加確認</v>
      </c>
      <c r="G85" s="4" t="str">
        <v>INT03-04, INT03-07, INT03-08</v>
      </c>
      <c r="H85" s="4" t="str">
        <v>追加判定：パックの破棄で契約と元見積を同時更新／パックの並び替え後に別契約を更新しない／パックの古い一覧からの二重破棄防止。入力・表示だけの単体判定は再実施せず、保存・後続利用の期待結果を参照。</v>
      </c>
      <c r="I85" s="4" t="str">
        <v>未実施</v>
      </c>
      <c r="J85" s="4" t="str">
        <v>－</v>
      </c>
    </row>
    <row r="86" ht="48" customHeight="1">
      <c r="A86" s="4" t="str">
        <v>1009-20</v>
      </c>
      <c r="B86" s="4" t="str">
        <v>MCM1009U_パック契約・解約</v>
      </c>
      <c r="C86" s="4" t="n">
        <v>47</v>
      </c>
      <c r="D86" s="4" t="str">
        <v>境界値</v>
      </c>
      <c r="E86" s="4" t="str">
        <v>MCM1009U(パック契約・解約)：検索結果件数の境界（1件）</v>
      </c>
      <c r="F86" s="4" t="str">
        <v>単体に委ねる</v>
      </c>
      <c r="G86" s="4" t="str">
        <v>－</v>
      </c>
      <c r="H86" s="4" t="str">
        <v>画面内の表示・入力・単独操作の判定は本単体ケースで確認する。結合ケースとして同じ判定を再作成しない。</v>
      </c>
      <c r="I86" s="4" t="str">
        <v>未実施</v>
      </c>
      <c r="J86" s="4" t="str">
        <v>－</v>
      </c>
    </row>
    <row r="87" ht="48" customHeight="1">
      <c r="A87" s="4" t="str">
        <v>1010-1</v>
      </c>
      <c r="B87" s="4" t="str">
        <v>MCM1010U_店舗直契約・解約</v>
      </c>
      <c r="C87" s="4" t="n">
        <v>28</v>
      </c>
      <c r="D87" s="4" t="str">
        <v>初期表示</v>
      </c>
      <c r="E87" s="4" t="str">
        <v>MCM1010U(店舗直契約・解約)：メニューからの初期表示（検索条件欄・一覧の表示内容）</v>
      </c>
      <c r="F87" s="4" t="str">
        <v>単体に委ねる</v>
      </c>
      <c r="G87" s="4" t="str">
        <v>－</v>
      </c>
      <c r="H87" s="4" t="str">
        <v>画面内の表示・入力・単独操作の判定は本単体ケースで確認する。結合ケースとして同じ判定を再作成しない。</v>
      </c>
      <c r="I87" s="4" t="str">
        <v>未実施</v>
      </c>
      <c r="J87" s="4" t="str">
        <v>－</v>
      </c>
    </row>
    <row r="88" ht="48" customHeight="1">
      <c r="A88" s="4" t="str">
        <v>1010-2</v>
      </c>
      <c r="B88" s="4" t="str">
        <v>MCM1010U_店舗直契約・解約</v>
      </c>
      <c r="C88" s="4" t="n">
        <v>29</v>
      </c>
      <c r="D88" s="4" t="str">
        <v>初期表示</v>
      </c>
      <c r="E88" s="4" t="str">
        <v>MCM1010U(店舗直契約・解約)：状態チェックボックスの初期チェック状態</v>
      </c>
      <c r="F88" s="4" t="str">
        <v>単体に委ねる</v>
      </c>
      <c r="G88" s="4" t="str">
        <v>－</v>
      </c>
      <c r="H88" s="4" t="str">
        <v>画面内の表示・入力・単独操作の判定は本単体ケースで確認する。結合ケースとして同じ判定を再作成しない。</v>
      </c>
      <c r="I88" s="4" t="str">
        <v>未実施</v>
      </c>
      <c r="J88" s="4" t="str">
        <v>－</v>
      </c>
    </row>
    <row r="89" ht="48" customHeight="1">
      <c r="A89" s="4" t="str">
        <v>1010-3</v>
      </c>
      <c r="B89" s="4" t="str">
        <v>MCM1010U_店舗直契約・解約</v>
      </c>
      <c r="C89" s="4" t="n">
        <v>30</v>
      </c>
      <c r="D89" s="4" t="str">
        <v>初期表示</v>
      </c>
      <c r="E89" s="4" t="str">
        <v>MCM1010U(店舗直契約・解約)：更新権限ユーザーでの契約作成・契約破棄リンク列の表示</v>
      </c>
      <c r="F89" s="4" t="str">
        <v>結合で追加確認</v>
      </c>
      <c r="G89" s="4" t="str">
        <v>INT09-05</v>
      </c>
      <c r="H89" s="4" t="str">
        <v>追加判定：1010は取引先契約の作成権限で操作を許可。入力・表示だけの単体判定は再実施せず、保存・後続利用の期待結果を参照。</v>
      </c>
      <c r="I89" s="4" t="str">
        <v>未実施</v>
      </c>
      <c r="J89" s="4" t="str">
        <v>－</v>
      </c>
    </row>
    <row r="90" ht="48" customHeight="1">
      <c r="A90" s="4" t="str">
        <v>1010-4</v>
      </c>
      <c r="B90" s="4" t="str">
        <v>MCM1010U_店舗直契約・解約</v>
      </c>
      <c r="C90" s="4" t="n">
        <v>31</v>
      </c>
      <c r="D90" s="4" t="str">
        <v>初期表示</v>
      </c>
      <c r="E90" s="4" t="str">
        <v>MCM1010U(店舗直契約・解約)：参照権限ユーザーでの契約作成・契約破棄リンク列の非表示</v>
      </c>
      <c r="F90" s="4" t="str">
        <v>結合で追加確認</v>
      </c>
      <c r="G90" s="4" t="str">
        <v>INT09-05</v>
      </c>
      <c r="H90" s="4" t="str">
        <v>追加判定：1010は取引先契約の作成権限で操作を許可。入力・表示だけの単体判定は再実施せず、保存・後続利用の期待結果を参照。</v>
      </c>
      <c r="I90" s="4" t="str">
        <v>未実施</v>
      </c>
      <c r="J90" s="4" t="str">
        <v>－</v>
      </c>
    </row>
    <row r="91" ht="48" customHeight="1">
      <c r="A91" s="4" t="str">
        <v>1010-5</v>
      </c>
      <c r="B91" s="4" t="str">
        <v>MCM1010U_店舗直契約・解約</v>
      </c>
      <c r="C91" s="4" t="n">
        <v>32</v>
      </c>
      <c r="D91" s="4" t="str">
        <v>検索</v>
      </c>
      <c r="E91" s="4" t="str">
        <v>MCM1010U(店舗直契約・解約)：検索条件が全て未入力・未選択の場合の「検索」ボタン押下エラー</v>
      </c>
      <c r="F91" s="4" t="str">
        <v>単体に委ねる</v>
      </c>
      <c r="G91" s="4" t="str">
        <v>－</v>
      </c>
      <c r="H91" s="4" t="str">
        <v>画面内の表示・入力・単独操作の判定は本単体ケースで確認する。結合ケースとして同じ判定を再作成しない。</v>
      </c>
      <c r="I91" s="4" t="str">
        <v>未実施</v>
      </c>
      <c r="J91" s="4" t="str">
        <v>－</v>
      </c>
    </row>
    <row r="92" ht="48" customHeight="1">
      <c r="A92" s="4" t="str">
        <v>1010-6</v>
      </c>
      <c r="B92" s="4" t="str">
        <v>MCM1010U_店舗直契約・解約</v>
      </c>
      <c r="C92" s="4" t="n">
        <v>33</v>
      </c>
      <c r="D92" s="4" t="str">
        <v>検索</v>
      </c>
      <c r="E92" s="4" t="str">
        <v>MCM1010U(店舗直契約・解約)：取引先コードのみ入力し他項目を全て未入力・未選択とした場合の「検索」ボタン押下エラー</v>
      </c>
      <c r="F92" s="4" t="str">
        <v>単体に委ねる</v>
      </c>
      <c r="G92" s="4" t="str">
        <v>－</v>
      </c>
      <c r="H92" s="4" t="str">
        <v>画面内の表示・入力・単独操作の判定は本単体ケースで確認する。結合ケースとして同じ判定を再作成しない。</v>
      </c>
      <c r="I92" s="4" t="str">
        <v>未実施</v>
      </c>
      <c r="J92" s="4" t="str">
        <v>－</v>
      </c>
    </row>
    <row r="93" ht="48" customHeight="1">
      <c r="A93" s="4" t="str">
        <v>1010-7</v>
      </c>
      <c r="B93" s="4" t="str">
        <v>MCM1010U_店舗直契約・解約</v>
      </c>
      <c r="C93" s="4" t="n">
        <v>34</v>
      </c>
      <c r="D93" s="4" t="str">
        <v>検索</v>
      </c>
      <c r="E93" s="4" t="str">
        <v>MCM1010U(店舗直契約・解約)：取引先コードのみ指定した検索（前方一致、状態チェックボックスは初期値のまま）</v>
      </c>
      <c r="F93" s="4" t="str">
        <v>単体に委ねる</v>
      </c>
      <c r="G93" s="4" t="str">
        <v>－</v>
      </c>
      <c r="H93" s="4" t="str">
        <v>画面内の表示・入力・単独操作の判定は本単体ケースで確認する。結合ケースとして同じ判定を再作成しない。</v>
      </c>
      <c r="I93" s="4" t="str">
        <v>未実施</v>
      </c>
      <c r="J93" s="4" t="str">
        <v>－</v>
      </c>
    </row>
    <row r="94" ht="48" customHeight="1">
      <c r="A94" s="4" t="str">
        <v>1010-8</v>
      </c>
      <c r="B94" s="4" t="str">
        <v>MCM1010U_店舗直契約・解約</v>
      </c>
      <c r="C94" s="4" t="n">
        <v>35</v>
      </c>
      <c r="D94" s="4" t="str">
        <v>検索</v>
      </c>
      <c r="E94" s="4" t="str">
        <v>MCM1010U(店舗直契約・解約)：取引先名のみ指定した検索（部分一致・大文字小文字無視）</v>
      </c>
      <c r="F94" s="4" t="str">
        <v>単体に委ねる</v>
      </c>
      <c r="G94" s="4" t="str">
        <v>－</v>
      </c>
      <c r="H94" s="4" t="str">
        <v>画面内の表示・入力・単独操作の判定は本単体ケースで確認する。結合ケースとして同じ判定を再作成しない。</v>
      </c>
      <c r="I94" s="4" t="str">
        <v>未実施</v>
      </c>
      <c r="J94" s="4" t="str">
        <v>－</v>
      </c>
    </row>
    <row r="95" ht="48" customHeight="1">
      <c r="A95" s="4" t="str">
        <v>1010-9</v>
      </c>
      <c r="B95" s="4" t="str">
        <v>MCM1010U_店舗直契約・解約</v>
      </c>
      <c r="C95" s="4" t="n">
        <v>36</v>
      </c>
      <c r="D95" s="4" t="str">
        <v>検索</v>
      </c>
      <c r="E95" s="4" t="str">
        <v>MCM1010U(店舗直契約・解約)：納入先名のみ指定した検索（旧納入先名を含めた部分一致）</v>
      </c>
      <c r="F95" s="4" t="str">
        <v>単体に委ねる</v>
      </c>
      <c r="G95" s="4" t="str">
        <v>－</v>
      </c>
      <c r="H95" s="4" t="str">
        <v>画面内の表示・入力・単独操作の判定は本単体ケースで確認する。結合ケースとして同じ判定を再作成しない。</v>
      </c>
      <c r="I95" s="4" t="str">
        <v>未実施</v>
      </c>
      <c r="J95" s="4" t="str">
        <v>－</v>
      </c>
    </row>
    <row r="96" ht="48" customHeight="1">
      <c r="A96" s="4" t="str">
        <v>1010-10</v>
      </c>
      <c r="B96" s="4" t="str">
        <v>MCM1010U_店舗直契約・解約</v>
      </c>
      <c r="C96" s="4" t="n">
        <v>37</v>
      </c>
      <c r="D96" s="4" t="str">
        <v>検索</v>
      </c>
      <c r="E96" s="4" t="str">
        <v>MCM1010U(店舗直契約・解約)：状態チェックボックス（見積のみ）での検索</v>
      </c>
      <c r="F96" s="4" t="str">
        <v>単体に委ねる</v>
      </c>
      <c r="G96" s="4" t="str">
        <v>－</v>
      </c>
      <c r="H96" s="4" t="str">
        <v>画面内の表示・入力・単独操作の判定は本単体ケースで確認する。結合ケースとして同じ判定を再作成しない。</v>
      </c>
      <c r="I96" s="4" t="str">
        <v>未実施</v>
      </c>
      <c r="J96" s="4" t="str">
        <v>－</v>
      </c>
    </row>
    <row r="97" ht="48" customHeight="1">
      <c r="A97" s="4" t="str">
        <v>1010-11</v>
      </c>
      <c r="B97" s="4" t="str">
        <v>MCM1010U_店舗直契約・解約</v>
      </c>
      <c r="C97" s="4" t="n">
        <v>38</v>
      </c>
      <c r="D97" s="4" t="str">
        <v>検索</v>
      </c>
      <c r="E97" s="4" t="str">
        <v>MCM1010U(店舗直契約・解約)：検索結果が0件の場合のエラー表示</v>
      </c>
      <c r="F97" s="4" t="str">
        <v>単体に委ねる</v>
      </c>
      <c r="G97" s="4" t="str">
        <v>－</v>
      </c>
      <c r="H97" s="4" t="str">
        <v>画面内の表示・入力・単独操作の判定は本単体ケースで確認する。結合ケースとして同じ判定を再作成しない。</v>
      </c>
      <c r="I97" s="4" t="str">
        <v>未実施</v>
      </c>
      <c r="J97" s="4" t="str">
        <v>－</v>
      </c>
    </row>
    <row r="98" ht="48" customHeight="1">
      <c r="A98" s="4" t="str">
        <v>1010-12</v>
      </c>
      <c r="B98" s="4" t="str">
        <v>MCM1010U_店舗直契約・解約</v>
      </c>
      <c r="C98" s="4" t="n">
        <v>39</v>
      </c>
      <c r="D98" s="4" t="str">
        <v>検索</v>
      </c>
      <c r="E98" s="4" t="str">
        <v>MCM1010U(店舗直契約・解約)：検索結果が複数件の場合の一覧表示・並び順（依頼NO降順）</v>
      </c>
      <c r="F98" s="4" t="str">
        <v>結合で追加確認</v>
      </c>
      <c r="G98" s="4" t="str">
        <v>INT03-15</v>
      </c>
      <c r="H98" s="4" t="str">
        <v>追加判定：店舗直の並び替え後に別契約を更新しない。入力・表示だけの単体判定は再実施せず、保存・後続利用の期待結果を参照。</v>
      </c>
      <c r="I98" s="4" t="str">
        <v>未実施</v>
      </c>
      <c r="J98" s="4" t="str">
        <v>－</v>
      </c>
    </row>
    <row r="99" ht="48" customHeight="1">
      <c r="A99" s="4" t="str">
        <v>1010-13</v>
      </c>
      <c r="B99" s="4" t="str">
        <v>MCM1010U_店舗直契約・解約</v>
      </c>
      <c r="C99" s="4" t="n">
        <v>40</v>
      </c>
      <c r="D99" s="4" t="str">
        <v>業務ルール</v>
      </c>
      <c r="E99" s="4" t="str">
        <v>MCM1010U(店舗直契約・解約)：店舗直契約データのみが検索対象となること</v>
      </c>
      <c r="F99" s="4" t="str">
        <v>単体に委ねる</v>
      </c>
      <c r="G99" s="4" t="str">
        <v>－</v>
      </c>
      <c r="H99" s="4" t="str">
        <v>画面内の表示・入力・単独操作の判定は本単体ケースで確認する。結合ケースとして同じ判定を再作成しない。</v>
      </c>
      <c r="I99" s="4" t="str">
        <v>未実施</v>
      </c>
      <c r="J99" s="4" t="str">
        <v>－</v>
      </c>
    </row>
    <row r="100" ht="48" customHeight="1">
      <c r="A100" s="4" t="str">
        <v>1010-14</v>
      </c>
      <c r="B100" s="4" t="str">
        <v>MCM1010U_店舗直契約・解約</v>
      </c>
      <c r="C100" s="4" t="n">
        <v>41</v>
      </c>
      <c r="D100" s="4" t="str">
        <v>画面遷移</v>
      </c>
      <c r="E100" s="4" t="str">
        <v>MCM1010U(店舗直契約・解約)：依頼NOリンク押下によるMCM1004U(取引先見積内容)への画面遷移発生</v>
      </c>
      <c r="F100" s="4" t="str">
        <v>結合で追加確認</v>
      </c>
      <c r="G100" s="4" t="str">
        <v>INT03-09</v>
      </c>
      <c r="H100" s="4" t="str">
        <v>追加判定：店舗直の見積リンクと取引先見積の一致。入力・表示だけの単体判定は再実施せず、保存・後続利用の期待結果を参照。</v>
      </c>
      <c r="I100" s="4" t="str">
        <v>未実施</v>
      </c>
      <c r="J100" s="4" t="str">
        <v>－</v>
      </c>
    </row>
    <row r="101" ht="48" customHeight="1">
      <c r="A101" s="4" t="str">
        <v>1010-15</v>
      </c>
      <c r="B101" s="4" t="str">
        <v>MCM1010U_店舗直契約・解約</v>
      </c>
      <c r="C101" s="4" t="n">
        <v>42</v>
      </c>
      <c r="D101" s="4" t="str">
        <v>画面遷移</v>
      </c>
      <c r="E101" s="4" t="str">
        <v>MCM1010U(店舗直契約・解約)：契約NOリンク押下によるMCM1005U(取引先契約内容)への画面遷移発生</v>
      </c>
      <c r="F101" s="4" t="str">
        <v>結合で追加確認</v>
      </c>
      <c r="G101" s="4" t="str">
        <v>INT03-11, INT03-15</v>
      </c>
      <c r="H101" s="4" t="str">
        <v>追加判定：店舗直の契約リンクは同じ履歴を参照／店舗直の並び替え後に別契約を更新しない。入力・表示だけの単体判定は再実施せず、保存・後続利用の期待結果を参照。</v>
      </c>
      <c r="I101" s="4" t="str">
        <v>未実施</v>
      </c>
      <c r="J101" s="4" t="str">
        <v>－</v>
      </c>
    </row>
    <row r="102" ht="48" customHeight="1">
      <c r="A102" s="4" t="str">
        <v>1010-16</v>
      </c>
      <c r="B102" s="4" t="str">
        <v>MCM1010U_店舗直契約・解約</v>
      </c>
      <c r="C102" s="4" t="n">
        <v>43</v>
      </c>
      <c r="D102" s="4" t="str">
        <v>画面遷移</v>
      </c>
      <c r="E102" s="4" t="str">
        <v>MCM1010U(店舗直契約・解約)：契約作成リンク押下によるMCM1006U1(取引先契約機器設定)への画面遷移発生</v>
      </c>
      <c r="F102" s="4" t="str">
        <v>結合で追加確認</v>
      </c>
      <c r="G102" s="4" t="str">
        <v>INT03-10</v>
      </c>
      <c r="H102" s="4" t="str">
        <v>追加判定：店舗直からの契約作成が分類を保持。入力・表示だけの単体判定は再実施せず、保存・後続利用の期待結果を参照。</v>
      </c>
      <c r="I102" s="4" t="str">
        <v>未実施</v>
      </c>
      <c r="J102" s="4" t="str">
        <v>－</v>
      </c>
    </row>
    <row r="103" ht="48" customHeight="1">
      <c r="A103" s="4" t="str">
        <v>1010-17</v>
      </c>
      <c r="B103" s="4" t="str">
        <v>MCM1010U_店舗直契約・解約</v>
      </c>
      <c r="C103" s="4" t="n">
        <v>44</v>
      </c>
      <c r="D103" s="4" t="str">
        <v>画面遷移</v>
      </c>
      <c r="E103" s="4" t="str">
        <v>MCM1010U(店舗直契約・解約)：リンク文字列が表示されていないセルを押下した場合に何も発生しないこと</v>
      </c>
      <c r="F103" s="4" t="str">
        <v>単体に委ねる</v>
      </c>
      <c r="G103" s="4" t="str">
        <v>－</v>
      </c>
      <c r="H103" s="4" t="str">
        <v>画面内の表示・入力・単独操作の判定は本単体ケースで確認する。結合ケースとして同じ判定を再作成しない。</v>
      </c>
      <c r="I103" s="4" t="str">
        <v>未実施</v>
      </c>
      <c r="J103" s="4" t="str">
        <v>－</v>
      </c>
    </row>
    <row r="104" ht="48" customHeight="1">
      <c r="A104" s="4" t="str">
        <v>1010-18</v>
      </c>
      <c r="B104" s="4" t="str">
        <v>MCM1010U_店舗直契約・解約</v>
      </c>
      <c r="C104" s="4" t="n">
        <v>45</v>
      </c>
      <c r="D104" s="4" t="str">
        <v>業務ルール</v>
      </c>
      <c r="E104" s="4" t="str">
        <v>MCM1010U(店舗直契約・解約)：契約破棄リンク押下時の確認ダイアログとキャンセル時の処理中止</v>
      </c>
      <c r="F104" s="4" t="str">
        <v>単体に委ねる</v>
      </c>
      <c r="G104" s="4" t="str">
        <v>－</v>
      </c>
      <c r="H104" s="4" t="str">
        <v>画面内の表示・入力・単独操作の判定は本単体ケースで確認する。結合ケースとして同じ判定を再作成しない。</v>
      </c>
      <c r="I104" s="4" t="str">
        <v>未実施</v>
      </c>
      <c r="J104" s="4" t="str">
        <v>－</v>
      </c>
    </row>
    <row r="105" ht="65" customHeight="1">
      <c r="A105" s="4" t="str">
        <v>1010-19</v>
      </c>
      <c r="B105" s="4" t="str">
        <v>MCM1010U_店舗直契約・解約</v>
      </c>
      <c r="C105" s="4" t="n">
        <v>46</v>
      </c>
      <c r="D105" s="4" t="str">
        <v>異常系</v>
      </c>
      <c r="E105" s="4" t="str">
        <v>MCM1010U(店舗直契約・解約)：取引先への支払が発生している場合の契約破棄エラー</v>
      </c>
      <c r="F105" s="4" t="str">
        <v>結合で追加確認</v>
      </c>
      <c r="G105" s="4" t="str">
        <v>INT03-13, INT03-14, INT05-11</v>
      </c>
      <c r="H105" s="4" t="str">
        <v>追加判定：店舗直の過去支払発生時に両側を保護／店舗直の当月・未来支払い境界で破棄整合／取引先の過去支払あり破棄拒否を他画面と一致。入力・表示だけの単体判定は再実施せず、保存・後続利用の期待結果を参照。</v>
      </c>
      <c r="I105" s="4" t="str">
        <v>未実施</v>
      </c>
      <c r="J105" s="4" t="str">
        <v>－</v>
      </c>
    </row>
    <row r="106" ht="48" customHeight="1">
      <c r="A106" s="4" t="str">
        <v>1010-20</v>
      </c>
      <c r="B106" s="4" t="str">
        <v>MCM1010U_店舗直契約・解約</v>
      </c>
      <c r="C106" s="4" t="n">
        <v>47</v>
      </c>
      <c r="D106" s="4" t="str">
        <v>業務ルール</v>
      </c>
      <c r="E106" s="4" t="str">
        <v>MCM1010U(店舗直契約・解約)：契約破棄実行後の一覧再表示（破棄済みとなった行が検索条件から外れること）</v>
      </c>
      <c r="F106" s="4" t="str">
        <v>結合で追加確認</v>
      </c>
      <c r="G106" s="4" t="str">
        <v>INT03-12, INT03-15, INT03-16</v>
      </c>
      <c r="H106" s="4" t="str">
        <v>追加判定：店舗直の破棄で契約と元見積を同時更新／店舗直の並び替え後に別契約を更新しない／店舗直の古い一覧からの二重破棄防止。入力・表示だけの単体判定は再実施せず、保存・後続利用の期待結果を参照。</v>
      </c>
      <c r="I106" s="4" t="str">
        <v>未実施</v>
      </c>
      <c r="J106" s="4" t="str">
        <v>－</v>
      </c>
    </row>
    <row r="107" ht="48" customHeight="1">
      <c r="A107" s="4" t="str">
        <v>1010-21</v>
      </c>
      <c r="B107" s="4" t="str">
        <v>MCM1010U_店舗直契約・解約</v>
      </c>
      <c r="C107" s="4" t="n">
        <v>48</v>
      </c>
      <c r="D107" s="4" t="str">
        <v>境界値</v>
      </c>
      <c r="E107" s="4" t="str">
        <v>MCM1010U(店舗直契約・解約)：検索結果件数の境界（1件）</v>
      </c>
      <c r="F107" s="4" t="str">
        <v>単体に委ねる</v>
      </c>
      <c r="G107" s="4" t="str">
        <v>－</v>
      </c>
      <c r="H107" s="4" t="str">
        <v>画面内の表示・入力・単独操作の判定は本単体ケースで確認する。結合ケースとして同じ判定を再作成しない。</v>
      </c>
      <c r="I107" s="4" t="str">
        <v>未実施</v>
      </c>
      <c r="J107" s="4" t="str">
        <v>－</v>
      </c>
    </row>
    <row r="108" ht="48" customHeight="1">
      <c r="A108" s="4" t="str">
        <v>1011-1</v>
      </c>
      <c r="B108" s="4" t="str">
        <v>MCM1011U_審査・承認（取引先契約）</v>
      </c>
      <c r="C108" s="4" t="n">
        <v>29</v>
      </c>
      <c r="D108" s="4" t="str">
        <v>初期表示</v>
      </c>
      <c r="E108" s="4" t="str">
        <v>MCM1011U(審査・承認（取引先契約))：審査権限のみを持つユーザーでの初期表示（審査中チェックボックスのみON）</v>
      </c>
      <c r="F108" s="4" t="str">
        <v>単体に委ねる</v>
      </c>
      <c r="G108" s="4" t="str">
        <v>－</v>
      </c>
      <c r="H108" s="4" t="str">
        <v>画面内の表示・入力・単独操作の判定は本単体ケースで確認する。結合ケースとして同じ判定を再作成しない。</v>
      </c>
      <c r="I108" s="4" t="str">
        <v>未実施</v>
      </c>
      <c r="J108" s="4" t="str">
        <v>－</v>
      </c>
    </row>
    <row r="109" ht="48" customHeight="1">
      <c r="A109" s="4" t="str">
        <v>1011-2</v>
      </c>
      <c r="B109" s="4" t="str">
        <v>MCM1011U_審査・承認（取引先契約）</v>
      </c>
      <c r="C109" s="4" t="n">
        <v>30</v>
      </c>
      <c r="D109" s="4" t="str">
        <v>初期表示</v>
      </c>
      <c r="E109" s="4" t="str">
        <v>MCM1011U(審査・承認（取引先契約))：審査権限・承認権限いずれも持たないユーザーでの初期表示（承認状態チェックボックスが全てOFF）</v>
      </c>
      <c r="F109" s="4" t="str">
        <v>単体に委ねる</v>
      </c>
      <c r="G109" s="4" t="str">
        <v>－</v>
      </c>
      <c r="H109" s="4" t="str">
        <v>画面内の表示・入力・単独操作の判定は本単体ケースで確認する。結合ケースとして同じ判定を再作成しない。</v>
      </c>
      <c r="I109" s="4" t="str">
        <v>未実施</v>
      </c>
      <c r="J109" s="4" t="str">
        <v>－</v>
      </c>
    </row>
    <row r="110" ht="48" customHeight="1">
      <c r="A110" s="4" t="str">
        <v>1011-3</v>
      </c>
      <c r="B110" s="4" t="str">
        <v>MCM1011U_審査・承認（取引先契約）</v>
      </c>
      <c r="C110" s="4" t="n">
        <v>31</v>
      </c>
      <c r="D110" s="4" t="str">
        <v>検索</v>
      </c>
      <c r="E110" s="4" t="str">
        <v>MCM1011U(審査・承認（取引先契約))：サポートIDのみ指定した検索（部分一致）</v>
      </c>
      <c r="F110" s="4" t="str">
        <v>単体に委ねる</v>
      </c>
      <c r="G110" s="4" t="str">
        <v>－</v>
      </c>
      <c r="H110" s="4" t="str">
        <v>画面内の表示・入力・単独操作の判定は本単体ケースで確認する。結合ケースとして同じ判定を再作成しない。</v>
      </c>
      <c r="I110" s="4" t="str">
        <v>未実施</v>
      </c>
      <c r="J110" s="4" t="str">
        <v>－</v>
      </c>
    </row>
    <row r="111" ht="48" customHeight="1">
      <c r="A111" s="4" t="str">
        <v>1011-4</v>
      </c>
      <c r="B111" s="4" t="str">
        <v>MCM1011U_審査・承認（取引先契約）</v>
      </c>
      <c r="C111" s="4" t="n">
        <v>32</v>
      </c>
      <c r="D111" s="4" t="str">
        <v>検索</v>
      </c>
      <c r="E111" s="4" t="str">
        <v>MCM1011U(審査・承認（取引先契約))：納入先名のみ指定した検索（部分一致）</v>
      </c>
      <c r="F111" s="4" t="str">
        <v>単体に委ねる</v>
      </c>
      <c r="G111" s="4" t="str">
        <v>－</v>
      </c>
      <c r="H111" s="4" t="str">
        <v>画面内の表示・入力・単独操作の判定は本単体ケースで確認する。結合ケースとして同じ判定を再作成しない。</v>
      </c>
      <c r="I111" s="4" t="str">
        <v>未実施</v>
      </c>
      <c r="J111" s="4" t="str">
        <v>－</v>
      </c>
    </row>
    <row r="112" ht="48" customHeight="1">
      <c r="A112" s="4" t="str">
        <v>1011-5</v>
      </c>
      <c r="B112" s="4" t="str">
        <v>MCM1011U_審査・承認（取引先契約）</v>
      </c>
      <c r="C112" s="4" t="n">
        <v>33</v>
      </c>
      <c r="D112" s="4" t="str">
        <v>検索</v>
      </c>
      <c r="E112" s="4" t="str">
        <v>MCM1011U(審査・承認（取引先契約))：承認状態チェックボックス（審査中のみ）での検索</v>
      </c>
      <c r="F112" s="4" t="str">
        <v>結合で追加確認</v>
      </c>
      <c r="G112" s="4" t="str">
        <v>INT02-01</v>
      </c>
      <c r="H112" s="4" t="str">
        <v>追加判定：申請した契約・期間・添付が審査一覧に現れる。入力・表示だけの単体判定は再実施せず、保存・後続利用の期待結果を参照。</v>
      </c>
      <c r="I112" s="4" t="str">
        <v>未実施</v>
      </c>
      <c r="J112" s="4" t="str">
        <v>－</v>
      </c>
    </row>
    <row r="113" ht="48" customHeight="1">
      <c r="A113" s="4" t="str">
        <v>1011-6</v>
      </c>
      <c r="B113" s="4" t="str">
        <v>MCM1011U_審査・承認（取引先契約）</v>
      </c>
      <c r="C113" s="4" t="n">
        <v>34</v>
      </c>
      <c r="D113" s="4" t="str">
        <v>検索</v>
      </c>
      <c r="E113" s="4" t="str">
        <v>MCM1011U(審査・承認（取引先契約))：検索結果が0件の場合の一覧表示</v>
      </c>
      <c r="F113" s="4" t="str">
        <v>単体に委ねる</v>
      </c>
      <c r="G113" s="4" t="str">
        <v>－</v>
      </c>
      <c r="H113" s="4" t="str">
        <v>画面内の表示・入力・単独操作の判定は本単体ケースで確認する。結合ケースとして同じ判定を再作成しない。</v>
      </c>
      <c r="I113" s="4" t="str">
        <v>未実施</v>
      </c>
      <c r="J113" s="4" t="str">
        <v>－</v>
      </c>
    </row>
    <row r="114" ht="48" customHeight="1">
      <c r="A114" s="4" t="str">
        <v>1011-7</v>
      </c>
      <c r="B114" s="4" t="str">
        <v>MCM1011U_審査・承認（取引先契約）</v>
      </c>
      <c r="C114" s="4" t="n">
        <v>35</v>
      </c>
      <c r="D114" s="4" t="str">
        <v>検索</v>
      </c>
      <c r="E114" s="4" t="str">
        <v>MCM1011U(審査・承認（取引先契約))：検索結果が複数件の場合の一覧表示・並び順</v>
      </c>
      <c r="F114" s="4" t="str">
        <v>単体に委ねる</v>
      </c>
      <c r="G114" s="4" t="str">
        <v>－</v>
      </c>
      <c r="H114" s="4" t="str">
        <v>画面内の表示・入力・単独操作の判定は本単体ケースで確認する。結合ケースとして同じ判定を再作成しない。</v>
      </c>
      <c r="I114" s="4" t="str">
        <v>未実施</v>
      </c>
      <c r="J114" s="4" t="str">
        <v>－</v>
      </c>
    </row>
    <row r="115" ht="48" customHeight="1">
      <c r="A115" s="4" t="str">
        <v>1011-8</v>
      </c>
      <c r="B115" s="4" t="str">
        <v>MCM1011U_審査・承認（取引先契約）</v>
      </c>
      <c r="C115" s="4" t="n">
        <v>36</v>
      </c>
      <c r="D115" s="4" t="str">
        <v>初期表示</v>
      </c>
      <c r="E115" s="4" t="str">
        <v>MCM1011U(審査・承認（取引先契約))：契約NO未発行データの一覧表示（契約NO列に"------"が表示される）</v>
      </c>
      <c r="F115" s="4" t="str">
        <v>単体に委ねる</v>
      </c>
      <c r="G115" s="4" t="str">
        <v>－</v>
      </c>
      <c r="H115" s="4" t="str">
        <v>画面内の表示・入力・単独操作の判定は本単体ケースで確認する。結合ケースとして同じ判定を再作成しない。</v>
      </c>
      <c r="I115" s="4" t="str">
        <v>未実施</v>
      </c>
      <c r="J115" s="4" t="str">
        <v>－</v>
      </c>
    </row>
    <row r="116" ht="48" customHeight="1">
      <c r="A116" s="4" t="str">
        <v>1011-9</v>
      </c>
      <c r="B116" s="4" t="str">
        <v>MCM1011U_審査・承認（取引先契約）</v>
      </c>
      <c r="C116" s="4" t="n">
        <v>37</v>
      </c>
      <c r="D116" s="4" t="str">
        <v>業務ルール</v>
      </c>
      <c r="E116" s="4" t="str">
        <v>MCM1011U(審査・承認（取引先契約))：承認状態が審査中で金額が審査限度額以下の行のチェック列が操作可能であること</v>
      </c>
      <c r="F116" s="4" t="str">
        <v>結合で追加確認</v>
      </c>
      <c r="G116" s="4" t="str">
        <v>INT02-02, INT02-15</v>
      </c>
      <c r="H116" s="4" t="str">
        <v>追加判定：未保存変更の申請が審査対象金額に反映／審査依頼者と異なる担当者の限度額反映。入力・表示だけの単体判定は再実施せず、保存・後続利用の期待結果を参照。</v>
      </c>
      <c r="I116" s="4" t="str">
        <v>未実施</v>
      </c>
      <c r="J116" s="4" t="str">
        <v>－</v>
      </c>
    </row>
    <row r="117" ht="48" customHeight="1">
      <c r="A117" s="4" t="str">
        <v>1011-10</v>
      </c>
      <c r="B117" s="4" t="str">
        <v>MCM1011U_審査・承認（取引先契約）</v>
      </c>
      <c r="C117" s="4" t="n">
        <v>38</v>
      </c>
      <c r="D117" s="4" t="str">
        <v>業務ルール</v>
      </c>
      <c r="E117" s="4" t="str">
        <v>MCM1011U(審査・承認（取引先契約))：承認状態が審査中で金額が審査限度額を超える行のチェック列が操作不可であること</v>
      </c>
      <c r="F117" s="4" t="str">
        <v>結合で追加確認</v>
      </c>
      <c r="G117" s="4" t="str">
        <v>INT02-02, INT02-15</v>
      </c>
      <c r="H117" s="4" t="str">
        <v>追加判定：未保存変更の申請が審査対象金額に反映／審査依頼者と異なる担当者の限度額反映。入力・表示だけの単体判定は再実施せず、保存・後続利用の期待結果を参照。</v>
      </c>
      <c r="I117" s="4" t="str">
        <v>未実施</v>
      </c>
      <c r="J117" s="4" t="str">
        <v>－</v>
      </c>
    </row>
    <row r="118" ht="48" customHeight="1">
      <c r="A118" s="4" t="str">
        <v>1011-11</v>
      </c>
      <c r="B118" s="4" t="str">
        <v>MCM1011U_審査・承認（取引先契約）</v>
      </c>
      <c r="C118" s="4" t="n">
        <v>39</v>
      </c>
      <c r="D118" s="4" t="str">
        <v>業務ルール</v>
      </c>
      <c r="E118" s="4" t="str">
        <v>MCM1011U(審査・承認（取引先契約))：承認状態が承認済・差戻中の行のチェック列が無条件に操作不可であること</v>
      </c>
      <c r="F118" s="4" t="str">
        <v>単体に委ねる</v>
      </c>
      <c r="G118" s="4" t="str">
        <v>－</v>
      </c>
      <c r="H118" s="4" t="str">
        <v>画面内の表示・入力・単独操作の判定は本単体ケースで確認する。結合ケースとして同じ判定を再作成しない。</v>
      </c>
      <c r="I118" s="4" t="str">
        <v>未実施</v>
      </c>
      <c r="J118" s="4" t="str">
        <v>－</v>
      </c>
    </row>
    <row r="119" ht="48" customHeight="1">
      <c r="A119" s="4" t="str">
        <v>1011-12</v>
      </c>
      <c r="B119" s="4" t="str">
        <v>MCM1011U_審査・承認（取引先契約）</v>
      </c>
      <c r="C119" s="4" t="n">
        <v>40</v>
      </c>
      <c r="D119" s="4" t="str">
        <v>権限制御</v>
      </c>
      <c r="E119" s="4" t="str">
        <v>MCM1011U(審査・承認（取引先契約))：参照権限ユーザーでの承認・差戻しボタンの非活性</v>
      </c>
      <c r="F119" s="4" t="str">
        <v>結合で追加確認</v>
      </c>
      <c r="G119" s="4" t="str">
        <v>INT02-15, INT09-03</v>
      </c>
      <c r="H119" s="4" t="str">
        <v>追加判定：審査依頼者と異なる担当者の限度額反映／1011の権限変更を再ログイン後の更新へ適用。入力・表示だけの単体判定は再実施せず、保存・後続利用の期待結果を参照。</v>
      </c>
      <c r="I119" s="4" t="str">
        <v>未実施</v>
      </c>
      <c r="J119" s="4" t="str">
        <v>－</v>
      </c>
    </row>
    <row r="120" ht="48" customHeight="1">
      <c r="A120" s="4" t="str">
        <v>1011-13</v>
      </c>
      <c r="B120" s="4" t="str">
        <v>MCM1011U_審査・承認（取引先契約）</v>
      </c>
      <c r="C120" s="4" t="n">
        <v>41</v>
      </c>
      <c r="D120" s="4" t="str">
        <v>権限制御</v>
      </c>
      <c r="E120" s="4" t="str">
        <v>MCM1011U(審査・承認（取引先契約))：参照権限ユーザーでの一覧全体の編集不可</v>
      </c>
      <c r="F120" s="4" t="str">
        <v>結合で追加確認</v>
      </c>
      <c r="G120" s="4" t="str">
        <v>INT09-03</v>
      </c>
      <c r="H120" s="4" t="str">
        <v>追加判定：1011の権限変更を再ログイン後の更新へ適用。入力・表示だけの単体判定は再実施せず、保存・後続利用の期待結果を参照。</v>
      </c>
      <c r="I120" s="4" t="str">
        <v>未実施</v>
      </c>
      <c r="J120" s="4" t="str">
        <v>－</v>
      </c>
    </row>
    <row r="121" ht="48" customHeight="1">
      <c r="A121" s="4" t="str">
        <v>1011-14</v>
      </c>
      <c r="B121" s="4" t="str">
        <v>MCM1011U_審査・承認（取引先契約）</v>
      </c>
      <c r="C121" s="4" t="n">
        <v>42</v>
      </c>
      <c r="D121" s="4" t="str">
        <v>画面遷移</v>
      </c>
      <c r="E121" s="4" t="str">
        <v>MCM1011U(審査・承認（取引先契約))：契約NOリンク押下によるMCM1005U(取引先契約内容)への画面遷移発生</v>
      </c>
      <c r="F121" s="4" t="str">
        <v>結合で追加確認</v>
      </c>
      <c r="G121" s="4" t="str">
        <v>INT02-03, INT09-08</v>
      </c>
      <c r="H121" s="4" t="str">
        <v>追加判定：審査一覧の契約リンクは申請対象を参照／審査用経路と通常経路で編集権限を取り違えない。入力・表示だけの単体判定は再実施せず、保存・後続利用の期待結果を参照。</v>
      </c>
      <c r="I121" s="4" t="str">
        <v>未実施</v>
      </c>
      <c r="J121" s="4" t="str">
        <v>－</v>
      </c>
    </row>
    <row r="122" ht="48" customHeight="1">
      <c r="A122" s="4" t="str">
        <v>1011-15</v>
      </c>
      <c r="B122" s="4" t="str">
        <v>MCM1011U_審査・承認（取引先契約）</v>
      </c>
      <c r="C122" s="4" t="n">
        <v>43</v>
      </c>
      <c r="D122" s="4" t="str">
        <v>画面遷移</v>
      </c>
      <c r="E122" s="4" t="str">
        <v>MCM1011U(審査・承認（取引先契約))：リンク文字列が表示されていないセルを押下した場合に何も発生しないこと</v>
      </c>
      <c r="F122" s="4" t="str">
        <v>単体に委ねる</v>
      </c>
      <c r="G122" s="4" t="str">
        <v>－</v>
      </c>
      <c r="H122" s="4" t="str">
        <v>画面内の表示・入力・単独操作の判定は本単体ケースで確認する。結合ケースとして同じ判定を再作成しない。</v>
      </c>
      <c r="I122" s="4" t="str">
        <v>未実施</v>
      </c>
      <c r="J122" s="4" t="str">
        <v>－</v>
      </c>
    </row>
    <row r="123" ht="65" customHeight="1">
      <c r="A123" s="4" t="str">
        <v>1011-16</v>
      </c>
      <c r="B123" s="4" t="str">
        <v>MCM1011U_審査・承認（取引先契約）</v>
      </c>
      <c r="C123" s="4" t="n">
        <v>44</v>
      </c>
      <c r="D123" s="4" t="str">
        <v>画面遷移</v>
      </c>
      <c r="E123" s="4" t="str">
        <v>MCM1011U(審査・承認（取引先契約))：添付ファイル一覧のファイル名リンク押下によるファイル起動</v>
      </c>
      <c r="F123" s="4" t="str">
        <v>結合で追加確認</v>
      </c>
      <c r="G123" s="4" t="str">
        <v>INT02-09, INT02-10, INT02-11, INT09-23, INT09-25</v>
      </c>
      <c r="H123" s="4" t="str">
        <v>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v>
      </c>
      <c r="I123" s="4" t="str">
        <v>未実施</v>
      </c>
      <c r="J123" s="4" t="str">
        <v>Q02：既定アプリ起動はWeb移行方式を要確認</v>
      </c>
    </row>
    <row r="124" ht="48" customHeight="1">
      <c r="A124" s="4" t="str">
        <v>1011-17</v>
      </c>
      <c r="B124" s="4" t="str">
        <v>MCM1011U_審査・承認（取引先契約）</v>
      </c>
      <c r="C124" s="4" t="n">
        <v>45</v>
      </c>
      <c r="D124" s="4" t="str">
        <v>異常系</v>
      </c>
      <c r="E124" s="4" t="str">
        <v>MCM1011U(審査・承認（取引先契約))：添付ファイル一覧のファイル名リンク押下時、参照先ファイルが存在しない場合のエラー</v>
      </c>
      <c r="F124" s="4" t="str">
        <v>結合で追加確認</v>
      </c>
      <c r="G124" s="4" t="str">
        <v>INT09-26</v>
      </c>
      <c r="H124" s="4" t="str">
        <v>追加判定：資料取得中の消失・読み取り不可を500にしない。入力・表示だけの単体判定は再実施せず、保存・後続利用の期待結果を参照。</v>
      </c>
      <c r="I124" s="4" t="str">
        <v>未実施</v>
      </c>
      <c r="J124" s="4" t="str">
        <v>－</v>
      </c>
    </row>
    <row r="125" ht="48" customHeight="1">
      <c r="A125" s="4" t="str">
        <v>1011-18</v>
      </c>
      <c r="B125" s="4" t="str">
        <v>MCM1011U_審査・承認（取引先契約）</v>
      </c>
      <c r="C125" s="4" t="n">
        <v>46</v>
      </c>
      <c r="D125" s="4" t="str">
        <v>業務ルール</v>
      </c>
      <c r="E125" s="4" t="str">
        <v>MCM1011U(審査・承認（取引先契約))：チェック対象が0件の状態で承認ボタンを押下した場合のエラー</v>
      </c>
      <c r="F125" s="4" t="str">
        <v>単体に委ねる</v>
      </c>
      <c r="G125" s="4" t="str">
        <v>－</v>
      </c>
      <c r="H125" s="4" t="str">
        <v>画面内の表示・入力・単独操作の判定は本単体ケースで確認する。結合ケースとして同じ判定を再作成しない。</v>
      </c>
      <c r="I125" s="4" t="str">
        <v>未実施</v>
      </c>
      <c r="J125" s="4" t="str">
        <v>－</v>
      </c>
    </row>
    <row r="126" ht="48" customHeight="1">
      <c r="A126" s="4" t="str">
        <v>1011-19</v>
      </c>
      <c r="B126" s="4" t="str">
        <v>MCM1011U_審査・承認（取引先契約）</v>
      </c>
      <c r="C126" s="4" t="n">
        <v>47</v>
      </c>
      <c r="D126" s="4" t="str">
        <v>業務ルール</v>
      </c>
      <c r="E126" s="4" t="str">
        <v>MCM1011U(審査・承認（取引先契約))：承認ボタン押下時に状態が解約・破棄のチェック済み行は承認対象から強制的に除外されること</v>
      </c>
      <c r="F126" s="4" t="str">
        <v>結合で追加確認</v>
      </c>
      <c r="G126" s="4" t="str">
        <v>INT02-24</v>
      </c>
      <c r="H126" s="4" t="str">
        <v>追加判定：有効な申請と破棄・解約の選択混在。入力・表示だけの単体判定は再実施せず、保存・後続利用の期待結果を参照。</v>
      </c>
      <c r="I126" s="4" t="str">
        <v>未実施</v>
      </c>
      <c r="J126" s="4" t="str">
        <v>－</v>
      </c>
    </row>
    <row r="127" ht="48" customHeight="1">
      <c r="A127" s="4" t="str">
        <v>1011-20</v>
      </c>
      <c r="B127" s="4" t="str">
        <v>MCM1011U_審査・承認（取引先契約）</v>
      </c>
      <c r="C127" s="4" t="n">
        <v>48</v>
      </c>
      <c r="D127" s="4" t="str">
        <v>業務ルール</v>
      </c>
      <c r="E127" s="4" t="str">
        <v>MCM1011U(審査・承認（取引先契約))：承認ボタン押下時の確認ダイアログとキャンセル時の処理中止</v>
      </c>
      <c r="F127" s="4" t="str">
        <v>単体に委ねる</v>
      </c>
      <c r="G127" s="4" t="str">
        <v>－</v>
      </c>
      <c r="H127" s="4" t="str">
        <v>画面内の表示・入力・単独操作の判定は本単体ケースで確認する。結合ケースとして同じ判定を再作成しない。</v>
      </c>
      <c r="I127" s="4" t="str">
        <v>未実施</v>
      </c>
      <c r="J127" s="4" t="str">
        <v>－</v>
      </c>
    </row>
    <row r="128" ht="133" customHeight="1">
      <c r="A128" s="4" t="str">
        <v>1011-21</v>
      </c>
      <c r="B128" s="4" t="str">
        <v>MCM1011U_審査・承認（取引先契約）</v>
      </c>
      <c r="C128" s="4" t="n">
        <v>49</v>
      </c>
      <c r="D128" s="4" t="str">
        <v>正常系</v>
      </c>
      <c r="E128" s="4" t="str">
        <v>MCM1011U(審査・承認（取引先契約))：承認ボタン押下による審査中から承認中への更新（画面上の承認状態列・審査日列・審査者列の変化）</v>
      </c>
      <c r="F128" s="4" t="str">
        <v>結合で追加確認</v>
      </c>
      <c r="G128" s="4" t="str">
        <v>INT02-04, INT02-06, INT02-10, INT02-11, INT02-12, INT02-13, INT02-16, INT02-17, INT02-18, INT02-19, INT02-20, INT02-21, INT02-22, INT02-23, INT02-25</v>
      </c>
      <c r="H128" s="4" t="str">
        <v>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v>
      </c>
      <c r="I128" s="4" t="str">
        <v>未実施</v>
      </c>
      <c r="J128" s="4" t="str">
        <v>メールは条件付き上位者宛。拡張子とFalse／例外の更新単位はQ03/Q15。</v>
      </c>
    </row>
    <row r="129" ht="65" customHeight="1">
      <c r="A129" s="4" t="str">
        <v>1011-22</v>
      </c>
      <c r="B129" s="4" t="str">
        <v>MCM1011U_審査・承認（取引先契約）</v>
      </c>
      <c r="C129" s="4" t="n">
        <v>50</v>
      </c>
      <c r="D129" s="4" t="str">
        <v>正常系</v>
      </c>
      <c r="E129" s="4" t="str">
        <v>MCM1011U(審査・承認（取引先契約))：承認ボタン押下による承認中から承認済への更新（画面上の承認状態列・承認日列・承認者列の変化）</v>
      </c>
      <c r="F129" s="4" t="str">
        <v>結合で追加確認</v>
      </c>
      <c r="G129" s="4" t="str">
        <v>INT02-05, INT02-06, INT02-10, INT06-08</v>
      </c>
      <c r="H129" s="4" t="str">
        <v>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v>
      </c>
      <c r="I129" s="4" t="str">
        <v>未実施</v>
      </c>
      <c r="J129" s="4" t="str">
        <v>－</v>
      </c>
    </row>
    <row r="130" ht="48" customHeight="1">
      <c r="A130" s="4" t="str">
        <v>1011-23</v>
      </c>
      <c r="B130" s="4" t="str">
        <v>MCM1011U_審査・承認（取引先契約）</v>
      </c>
      <c r="C130" s="4" t="n">
        <v>51</v>
      </c>
      <c r="D130" s="4" t="str">
        <v>異常系</v>
      </c>
      <c r="E130" s="4" t="str">
        <v>MCM1011U(審査・承認（取引先契約))：チェック対象が0件の状態で差戻しボタンを押下した場合のエラー</v>
      </c>
      <c r="F130" s="4" t="str">
        <v>単体に委ねる</v>
      </c>
      <c r="G130" s="4" t="str">
        <v>－</v>
      </c>
      <c r="H130" s="4" t="str">
        <v>画面内の表示・入力・単独操作の判定は本単体ケースで確認する。結合ケースとして同じ判定を再作成しない。</v>
      </c>
      <c r="I130" s="4" t="str">
        <v>未実施</v>
      </c>
      <c r="J130" s="4" t="str">
        <v>－</v>
      </c>
    </row>
    <row r="131" ht="48" customHeight="1">
      <c r="A131" s="4" t="str">
        <v>1011-24</v>
      </c>
      <c r="B131" s="4" t="str">
        <v>MCM1011U_審査・承認（取引先契約）</v>
      </c>
      <c r="C131" s="4" t="n">
        <v>52</v>
      </c>
      <c r="D131" s="4" t="str">
        <v>業務ルール</v>
      </c>
      <c r="E131" s="4" t="str">
        <v>MCM1011U(審査・承認（取引先契約))：差戻しボタン押下時の確認ダイアログとキャンセル時の処理中止</v>
      </c>
      <c r="F131" s="4" t="str">
        <v>単体に委ねる</v>
      </c>
      <c r="G131" s="4" t="str">
        <v>－</v>
      </c>
      <c r="H131" s="4" t="str">
        <v>画面内の表示・入力・単独操作の判定は本単体ケースで確認する。結合ケースとして同じ判定を再作成しない。</v>
      </c>
      <c r="I131" s="4" t="str">
        <v>未実施</v>
      </c>
      <c r="J131" s="4" t="str">
        <v>－</v>
      </c>
    </row>
    <row r="132" ht="65" customHeight="1">
      <c r="A132" s="4" t="str">
        <v>1011-25</v>
      </c>
      <c r="B132" s="4" t="str">
        <v>MCM1011U_審査・承認（取引先契約）</v>
      </c>
      <c r="C132" s="4" t="n">
        <v>53</v>
      </c>
      <c r="D132" s="4" t="str">
        <v>正常系</v>
      </c>
      <c r="E132" s="4" t="str">
        <v>MCM1011U(審査・承認（取引先契約))：差戻しボタン押下による承認状態の更新後、一覧が自動再検索されず検索ボタンの再押下で表示が反映されること</v>
      </c>
      <c r="F132" s="4" t="str">
        <v>結合で追加確認</v>
      </c>
      <c r="G132" s="4" t="str">
        <v>INT02-07, INT02-08, INT02-14</v>
      </c>
      <c r="H132" s="4" t="str">
        <v>追加判定：審査段階の差戻しから修正・再申請／承認段階の差戻し後に審査から再開／差戻しで承認済み過去資料を保護。入力・表示だけの単体判定は再実施せず、保存・後続利用の期待結果を参照。</v>
      </c>
      <c r="I132" s="4" t="str">
        <v>未実施</v>
      </c>
      <c r="J132" s="4" t="str">
        <v>－</v>
      </c>
    </row>
    <row r="133" ht="48" customHeight="1">
      <c r="A133" s="4" t="str">
        <v>1011-26</v>
      </c>
      <c r="B133" s="4" t="str">
        <v>MCM1011U_審査・承認（取引先契約）</v>
      </c>
      <c r="C133" s="4" t="n">
        <v>54</v>
      </c>
      <c r="D133" s="4" t="str">
        <v>境界値</v>
      </c>
      <c r="E133" s="4" t="str">
        <v>MCM1011U(審査・承認（取引先契約))：検索結果件数の境界（1件）</v>
      </c>
      <c r="F133" s="4" t="str">
        <v>単体に委ねる</v>
      </c>
      <c r="G133" s="4" t="str">
        <v>－</v>
      </c>
      <c r="H133" s="4" t="str">
        <v>画面内の表示・入力・単独操作の判定は本単体ケースで確認する。結合ケースとして同じ判定を再作成しない。</v>
      </c>
      <c r="I133" s="4" t="str">
        <v>未実施</v>
      </c>
      <c r="J133" s="4" t="str">
        <v>－</v>
      </c>
    </row>
    <row r="134" ht="48" customHeight="1">
      <c r="A134" s="4" t="str">
        <v>2006-1</v>
      </c>
      <c r="B134" s="4" t="str">
        <v>MCM2006U_ユーザー契約内容</v>
      </c>
      <c r="C134" s="4" t="n">
        <v>31</v>
      </c>
      <c r="D134" s="4" t="str">
        <v>初期表示</v>
      </c>
      <c r="E134" s="4" t="str">
        <v>MCM2006U(ユーザー契約内容)：契約NOリンクから遷移した場合の初期表示（既存契約・契約期間タブ件数分の表示）</v>
      </c>
      <c r="F134" s="4" t="str">
        <v>結合で追加確認</v>
      </c>
      <c r="G134" s="4" t="str">
        <v>INT04-01</v>
      </c>
      <c r="H134" s="4" t="str">
        <v>追加判定：検索選択のユーザー契約と期間キーが一致。入力・表示だけの単体判定は再実施せず、保存・後続利用の期待結果を参照。</v>
      </c>
      <c r="I134" s="4" t="str">
        <v>未実施</v>
      </c>
      <c r="J134" s="4" t="str">
        <v>－</v>
      </c>
    </row>
    <row r="135" ht="48" customHeight="1">
      <c r="A135" s="4" t="str">
        <v>2006-2</v>
      </c>
      <c r="B135" s="4" t="str">
        <v>MCM2006U_ユーザー契約内容</v>
      </c>
      <c r="C135" s="4" t="n">
        <v>32</v>
      </c>
      <c r="D135" s="4" t="str">
        <v>初期表示</v>
      </c>
      <c r="E135" s="4" t="str">
        <v>MCM2006U(ユーザー契約内容)：契約NOリンクから遷移した場合のタブ選択（現在日を含む最新タブが選択される）</v>
      </c>
      <c r="F135" s="4" t="str">
        <v>単体に委ねる</v>
      </c>
      <c r="G135" s="4" t="str">
        <v>－</v>
      </c>
      <c r="H135" s="4" t="str">
        <v>画面内の表示・入力・単独操作の判定は本単体ケースで確認する。結合ケースとして同じ判定を再作成しない。</v>
      </c>
      <c r="I135" s="4" t="str">
        <v>未実施</v>
      </c>
      <c r="J135" s="4" t="str">
        <v>Q05：操作可能条件／初期期間を再照合</v>
      </c>
    </row>
    <row r="136" ht="82" customHeight="1">
      <c r="A136" s="4" t="str">
        <v>2006-3</v>
      </c>
      <c r="B136" s="4" t="str">
        <v>MCM2006U_ユーザー契約内容</v>
      </c>
      <c r="C136" s="4" t="n">
        <v>33</v>
      </c>
      <c r="D136" s="4" t="str">
        <v>初期表示</v>
      </c>
      <c r="E136" s="4" t="str">
        <v>MCM2006U(ユーザー契約内容)：新規契約作成遷移時の初期表示（契約1件新規追加、タブ1件のみ生成）</v>
      </c>
      <c r="F136" s="4" t="str">
        <v>結合で追加確認</v>
      </c>
      <c r="G136" s="4" t="str">
        <v>INT04-02, INT04-03, INT04-04, INT04-09, INT04-24, INT04-25</v>
      </c>
      <c r="H136" s="4" t="str">
        <v>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v>
      </c>
      <c r="I136" s="4" t="str">
        <v>未実施</v>
      </c>
      <c r="J136" s="4" t="str">
        <v>－</v>
      </c>
    </row>
    <row r="137" ht="48" customHeight="1">
      <c r="A137" s="4" t="str">
        <v>2006-4</v>
      </c>
      <c r="B137" s="4" t="str">
        <v>MCM2006U_ユーザー契約内容</v>
      </c>
      <c r="C137" s="4" t="n">
        <v>34</v>
      </c>
      <c r="D137" s="4" t="str">
        <v>表示チェック</v>
      </c>
      <c r="E137" s="4" t="str">
        <v>MCM2006U(ユーザー契約内容)タブ内：タブ区分が最新タブでない場合の編集不可制御</v>
      </c>
      <c r="F137" s="4" t="str">
        <v>結合で追加確認</v>
      </c>
      <c r="G137" s="4" t="str">
        <v>INT04-11</v>
      </c>
      <c r="H137" s="4" t="str">
        <v>追加判定：複数期間を切り替えて別期間を上書きしない。入力・表示だけの単体判定は再実施せず、保存・後続利用の期待結果を参照。</v>
      </c>
      <c r="I137" s="4" t="str">
        <v>未実施</v>
      </c>
      <c r="J137" s="4" t="str">
        <v>－</v>
      </c>
    </row>
    <row r="138" ht="48" customHeight="1">
      <c r="A138" s="4" t="str">
        <v>2006-5</v>
      </c>
      <c r="B138" s="4" t="str">
        <v>MCM2006U_ユーザー契約内容</v>
      </c>
      <c r="C138" s="4" t="n">
        <v>35</v>
      </c>
      <c r="D138" s="4" t="str">
        <v>表示チェック</v>
      </c>
      <c r="E138" s="4" t="str">
        <v>MCM2006U(ユーザー契約内容)タブ内：過去タブの場合に変更摘要開始日欄・変更ボタンのみ編集可であること</v>
      </c>
      <c r="F138" s="4" t="str">
        <v>結合で追加確認</v>
      </c>
      <c r="G138" s="4" t="str">
        <v>INT04-07</v>
      </c>
      <c r="H138" s="4" t="str">
        <v>追加判定：最新期間の翌日から新期間を追加。入力・表示だけの単体判定は再実施せず、保存・後続利用の期待結果を参照。</v>
      </c>
      <c r="I138" s="4" t="str">
        <v>未実施</v>
      </c>
      <c r="J138" s="4" t="str">
        <v>－</v>
      </c>
    </row>
    <row r="139" ht="48" customHeight="1">
      <c r="A139" s="4" t="str">
        <v>2006-6</v>
      </c>
      <c r="B139" s="4" t="str">
        <v>MCM2006U_ユーザー契約内容</v>
      </c>
      <c r="C139" s="4" t="n">
        <v>36</v>
      </c>
      <c r="D139" s="4" t="str">
        <v>表示チェック</v>
      </c>
      <c r="E139" s="4" t="str">
        <v>MCM2006U(ユーザー契約内容)タブ内：状態＝破棄の場合の編集不可制御</v>
      </c>
      <c r="F139" s="4" t="str">
        <v>単体に委ねる</v>
      </c>
      <c r="G139" s="4" t="str">
        <v>－</v>
      </c>
      <c r="H139" s="4" t="str">
        <v>画面内の表示・入力・単独操作の判定は本単体ケースで確認する。結合ケースとして同じ判定を再作成しない。</v>
      </c>
      <c r="I139" s="4" t="str">
        <v>未実施</v>
      </c>
      <c r="J139" s="4" t="str">
        <v>－</v>
      </c>
    </row>
    <row r="140" ht="48" customHeight="1">
      <c r="A140" s="4" t="str">
        <v>2006-7</v>
      </c>
      <c r="B140" s="4" t="str">
        <v>MCM2006U_ユーザー契約内容</v>
      </c>
      <c r="C140" s="4" t="n">
        <v>37</v>
      </c>
      <c r="D140" s="4" t="str">
        <v>表示チェック</v>
      </c>
      <c r="E140" s="4" t="str">
        <v>MCM2006U(ユーザー契約内容)タブ内：状態＝解約の場合の編集不可制御</v>
      </c>
      <c r="F140" s="4" t="str">
        <v>単体に委ねる</v>
      </c>
      <c r="G140" s="4" t="str">
        <v>－</v>
      </c>
      <c r="H140" s="4" t="str">
        <v>画面内の表示・入力・単独操作の判定は本単体ケースで確認する。結合ケースとして同じ判定を再作成しない。</v>
      </c>
      <c r="I140" s="4" t="str">
        <v>未実施</v>
      </c>
      <c r="J140" s="4" t="str">
        <v>－</v>
      </c>
    </row>
    <row r="141" ht="48" customHeight="1">
      <c r="A141" s="4" t="str">
        <v>2006-8</v>
      </c>
      <c r="B141" s="4" t="str">
        <v>MCM2006U_ユーザー契約内容</v>
      </c>
      <c r="C141" s="4" t="n">
        <v>38</v>
      </c>
      <c r="D141" s="4" t="str">
        <v>表示チェック</v>
      </c>
      <c r="E141" s="4" t="str">
        <v>MCM2006U(ユーザー契約内容)タブ内：審査・承認一覧からの遷移の場合の編集不可制御</v>
      </c>
      <c r="F141" s="4" t="str">
        <v>結合で追加確認</v>
      </c>
      <c r="G141" s="4" t="str">
        <v>INT09-29</v>
      </c>
      <c r="H141" s="4" t="str">
        <v>追加判定：ユーザー契約の審査参照経路の値受渡し。入力・表示だけの単体判定は再実施せず、保存・後続利用の期待結果を参照。</v>
      </c>
      <c r="I141" s="4" t="str">
        <v>未実施</v>
      </c>
      <c r="J141" s="4" t="str">
        <v>Q12：審査側の正式な呼出経路を要確認</v>
      </c>
    </row>
    <row r="142" ht="48" customHeight="1">
      <c r="A142" s="4" t="str">
        <v>2006-9</v>
      </c>
      <c r="B142" s="4" t="str">
        <v>MCM2006U_ユーザー契約内容</v>
      </c>
      <c r="C142" s="4" t="n">
        <v>39</v>
      </c>
      <c r="D142" s="4" t="str">
        <v>表示チェック</v>
      </c>
      <c r="E142" s="4" t="str">
        <v>MCM2006U(ユーザー契約内容)：次回更新日欄が常に読取専用で表示されること</v>
      </c>
      <c r="F142" s="4" t="str">
        <v>単体に委ねる</v>
      </c>
      <c r="G142" s="4" t="str">
        <v>－</v>
      </c>
      <c r="H142" s="4" t="str">
        <v>画面内の表示・入力・単独操作の判定は本単体ケースで確認する。結合ケースとして同じ判定を再作成しない。</v>
      </c>
      <c r="I142" s="4" t="str">
        <v>未実施</v>
      </c>
      <c r="J142" s="4" t="str">
        <v>－</v>
      </c>
    </row>
    <row r="143" ht="48" customHeight="1">
      <c r="A143" s="4" t="str">
        <v>2006-10</v>
      </c>
      <c r="B143" s="4" t="str">
        <v>MCM2006U_ユーザー契約内容</v>
      </c>
      <c r="C143" s="4" t="n">
        <v>40</v>
      </c>
      <c r="D143" s="4" t="str">
        <v>権限制御</v>
      </c>
      <c r="E143" s="4" t="str">
        <v>MCM2006U(ユーザー契約内容)：参照権限ユーザーでの登録ボタン・ロック解除ボタン・変更ボタン・点検一覧行削除ボタンの非活性</v>
      </c>
      <c r="F143" s="4" t="str">
        <v>結合で追加確認</v>
      </c>
      <c r="G143" s="4" t="str">
        <v>INT09-02</v>
      </c>
      <c r="H143" s="4" t="str">
        <v>追加判定：2006の権限変更を再ログイン後の更新へ適用。入力・表示だけの単体判定は再実施せず、保存・後続利用の期待結果を参照。</v>
      </c>
      <c r="I143" s="4" t="str">
        <v>未実施</v>
      </c>
      <c r="J143" s="4" t="str">
        <v>－</v>
      </c>
    </row>
    <row r="144" ht="48" customHeight="1">
      <c r="A144" s="4" t="str">
        <v>2006-11</v>
      </c>
      <c r="B144" s="4" t="str">
        <v>MCM2006U_ユーザー契約内容</v>
      </c>
      <c r="C144" s="4" t="n">
        <v>41</v>
      </c>
      <c r="D144" s="4" t="str">
        <v>権限制御</v>
      </c>
      <c r="E144" s="4" t="str">
        <v>MCM2006U(ユーザー契約内容)：保守権限を持たないユーザーでのロック解除ボタン非表示</v>
      </c>
      <c r="F144" s="4" t="str">
        <v>結合で追加確認</v>
      </c>
      <c r="G144" s="4" t="str">
        <v>INT09-02</v>
      </c>
      <c r="H144" s="4" t="str">
        <v>追加判定：2006の権限変更を再ログイン後の更新へ適用。入力・表示だけの単体判定は再実施せず、保存・後続利用の期待結果を参照。</v>
      </c>
      <c r="I144" s="4" t="str">
        <v>未実施</v>
      </c>
      <c r="J144" s="4" t="str">
        <v>－</v>
      </c>
    </row>
    <row r="145" ht="48" customHeight="1">
      <c r="A145" s="4" t="str">
        <v>2006-12</v>
      </c>
      <c r="B145" s="4" t="str">
        <v>MCM2006U_ユーザー契約内容</v>
      </c>
      <c r="C145" s="4" t="n">
        <v>42</v>
      </c>
      <c r="D145" s="4" t="str">
        <v>権限制御</v>
      </c>
      <c r="E145" s="4" t="str">
        <v>MCM2006U(ユーザー契約内容)：新規契約作成遷移時のロック解除ボタン非表示</v>
      </c>
      <c r="F145" s="4" t="str">
        <v>単体に委ねる</v>
      </c>
      <c r="G145" s="4" t="str">
        <v>－</v>
      </c>
      <c r="H145" s="4" t="str">
        <v>画面内の表示・入力・単独操作の判定は本単体ケースで確認する。結合ケースとして同じ判定を再作成しない。</v>
      </c>
      <c r="I145" s="4" t="str">
        <v>未実施</v>
      </c>
      <c r="J145" s="4" t="str">
        <v>－</v>
      </c>
    </row>
    <row r="146" ht="48" customHeight="1">
      <c r="A146" s="4" t="str">
        <v>2006-13</v>
      </c>
      <c r="B146" s="4" t="str">
        <v>MCM2006U_ユーザー契約内容</v>
      </c>
      <c r="C146" s="4" t="n">
        <v>43</v>
      </c>
      <c r="D146" s="4" t="str">
        <v>入力チェック</v>
      </c>
      <c r="E146" s="4" t="str">
        <v>MCM2006U(ユーザー契約内容)：製番一覧の開始月未入力時の登録エラー</v>
      </c>
      <c r="F146" s="4" t="str">
        <v>単体に委ねる</v>
      </c>
      <c r="G146" s="4" t="str">
        <v>－</v>
      </c>
      <c r="H146" s="4" t="str">
        <v>画面内の表示・入力・単独操作の判定は本単体ケースで確認する。結合ケースとして同じ判定を再作成しない。</v>
      </c>
      <c r="I146" s="4" t="str">
        <v>未実施</v>
      </c>
      <c r="J146" s="4" t="str">
        <v>－</v>
      </c>
    </row>
    <row r="147" ht="48" customHeight="1">
      <c r="A147" s="4" t="str">
        <v>2006-14</v>
      </c>
      <c r="B147" s="4" t="str">
        <v>MCM2006U_ユーザー契約内容</v>
      </c>
      <c r="C147" s="4" t="n">
        <v>44</v>
      </c>
      <c r="D147" s="4" t="str">
        <v>入力チェック</v>
      </c>
      <c r="E147" s="4" t="str">
        <v>MCM2006U(ユーザー契約内容)：製番一覧の終了月未入力時の登録エラー</v>
      </c>
      <c r="F147" s="4" t="str">
        <v>単体に委ねる</v>
      </c>
      <c r="G147" s="4" t="str">
        <v>－</v>
      </c>
      <c r="H147" s="4" t="str">
        <v>画面内の表示・入力・単独操作の判定は本単体ケースで確認する。結合ケースとして同じ判定を再作成しない。</v>
      </c>
      <c r="I147" s="4" t="str">
        <v>未実施</v>
      </c>
      <c r="J147" s="4" t="str">
        <v>－</v>
      </c>
    </row>
    <row r="148" ht="48" customHeight="1">
      <c r="A148" s="4" t="str">
        <v>2006-15</v>
      </c>
      <c r="B148" s="4" t="str">
        <v>MCM2006U_ユーザー契約内容</v>
      </c>
      <c r="C148" s="4" t="n">
        <v>45</v>
      </c>
      <c r="D148" s="4" t="str">
        <v>入力チェック</v>
      </c>
      <c r="E148" s="4" t="str">
        <v>MCM2006U(ユーザー契約内容)：製番の開始月が終了月より後の場合の登録エラー</v>
      </c>
      <c r="F148" s="4" t="str">
        <v>単体に委ねる</v>
      </c>
      <c r="G148" s="4" t="str">
        <v>－</v>
      </c>
      <c r="H148" s="4" t="str">
        <v>画面内の表示・入力・単独操作の判定は本単体ケースで確認する。結合ケースとして同じ判定を再作成しない。</v>
      </c>
      <c r="I148" s="4" t="str">
        <v>未実施</v>
      </c>
      <c r="J148" s="4" t="str">
        <v>－</v>
      </c>
    </row>
    <row r="149" ht="48" customHeight="1">
      <c r="A149" s="4" t="str">
        <v>2006-16</v>
      </c>
      <c r="B149" s="4" t="str">
        <v>MCM2006U_ユーザー契約内容</v>
      </c>
      <c r="C149" s="4" t="n">
        <v>46</v>
      </c>
      <c r="D149" s="4" t="str">
        <v>入力チェック</v>
      </c>
      <c r="E149" s="4" t="str">
        <v>MCM2006U(ユーザー契約内容)：契約期間の終了日が開始日以前の場合の登録エラー</v>
      </c>
      <c r="F149" s="4" t="str">
        <v>単体に委ねる</v>
      </c>
      <c r="G149" s="4" t="str">
        <v>－</v>
      </c>
      <c r="H149" s="4" t="str">
        <v>画面内の表示・入力・単独操作の判定は本単体ケースで確認する。結合ケースとして同じ判定を再作成しない。</v>
      </c>
      <c r="I149" s="4" t="str">
        <v>未実施</v>
      </c>
      <c r="J149" s="4" t="str">
        <v>Q05：操作可能条件／初期期間を再照合</v>
      </c>
    </row>
    <row r="150" ht="48" customHeight="1">
      <c r="A150" s="4" t="str">
        <v>2006-17</v>
      </c>
      <c r="B150" s="4" t="str">
        <v>MCM2006U_ユーザー契約内容</v>
      </c>
      <c r="C150" s="4" t="n">
        <v>47</v>
      </c>
      <c r="D150" s="4" t="str">
        <v>入力チェック</v>
      </c>
      <c r="E150" s="4" t="str">
        <v>MCM2006Uタブ内：開始日変更時に前後タブと整合しない場合のエラー</v>
      </c>
      <c r="F150" s="4" t="str">
        <v>結合で追加確認</v>
      </c>
      <c r="G150" s="4" t="str">
        <v>INT04-10</v>
      </c>
      <c r="H150" s="4" t="str">
        <v>追加判定：隣接期間の日付調整を登録後も維持。入力・表示だけの単体判定は再実施せず、保存・後続利用の期待結果を参照。</v>
      </c>
      <c r="I150" s="4" t="str">
        <v>未実施</v>
      </c>
      <c r="J150" s="4" t="str">
        <v>Q05：操作可能条件／初期期間を再照合</v>
      </c>
    </row>
    <row r="151" ht="48" customHeight="1">
      <c r="A151" s="4" t="str">
        <v>2006-18</v>
      </c>
      <c r="B151" s="4" t="str">
        <v>MCM2006U_ユーザー契約内容</v>
      </c>
      <c r="C151" s="4" t="n">
        <v>48</v>
      </c>
      <c r="D151" s="4" t="str">
        <v>業務ルール</v>
      </c>
      <c r="E151" s="4" t="str">
        <v>MCM2006Uタブ内：終了日変更時に前後タブ期間が自動調整される場合の通知</v>
      </c>
      <c r="F151" s="4" t="str">
        <v>結合で追加確認</v>
      </c>
      <c r="G151" s="4" t="str">
        <v>INT04-10</v>
      </c>
      <c r="H151" s="4" t="str">
        <v>追加判定：隣接期間の日付調整を登録後も維持。入力・表示だけの単体判定は再実施せず、保存・後続利用の期待結果を参照。</v>
      </c>
      <c r="I151" s="4" t="str">
        <v>未実施</v>
      </c>
      <c r="J151" s="4" t="str">
        <v>Q05：操作可能条件／初期期間を再照合</v>
      </c>
    </row>
    <row r="152" ht="82" customHeight="1">
      <c r="A152" s="4" t="str">
        <v>2006-19</v>
      </c>
      <c r="B152" s="4" t="str">
        <v>MCM2006U_ユーザー契約内容</v>
      </c>
      <c r="C152" s="4" t="n">
        <v>49</v>
      </c>
      <c r="D152" s="4" t="str">
        <v>業務ルール</v>
      </c>
      <c r="E152" s="4" t="str">
        <v>MCM2006U(ユーザー契約内容)：登録ボタン押下時の保存確認ダイアログOK押下による登録完了</v>
      </c>
      <c r="F152" s="4" t="str">
        <v>結合で追加確認</v>
      </c>
      <c r="G152" s="4" t="str">
        <v>INT04-11, INT04-12, INT09-15, INT04-17, INT04-21, INT04-22</v>
      </c>
      <c r="H152" s="4" t="str">
        <v>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v>
      </c>
      <c r="I152" s="4" t="str">
        <v>未実施</v>
      </c>
      <c r="J152" s="4" t="str">
        <v>－</v>
      </c>
    </row>
    <row r="153" ht="48" customHeight="1">
      <c r="A153" s="4" t="str">
        <v>2006-20</v>
      </c>
      <c r="B153" s="4" t="str">
        <v>MCM2006U_ユーザー契約内容</v>
      </c>
      <c r="C153" s="4" t="n">
        <v>50</v>
      </c>
      <c r="D153" s="4" t="str">
        <v>業務ルール</v>
      </c>
      <c r="E153" s="4" t="str">
        <v>MCM2006U(ユーザー契約内容)：登録ボタン押下時の保存確認ダイアログキャンセルによる処理中止</v>
      </c>
      <c r="F153" s="4" t="str">
        <v>単体に委ねる</v>
      </c>
      <c r="G153" s="4" t="str">
        <v>－</v>
      </c>
      <c r="H153" s="4" t="str">
        <v>画面内の表示・入力・単独操作の判定は本単体ケースで確認する。結合ケースとして同じ判定を再作成しない。</v>
      </c>
      <c r="I153" s="4" t="str">
        <v>未実施</v>
      </c>
      <c r="J153" s="4" t="str">
        <v>－</v>
      </c>
    </row>
    <row r="154" ht="48" customHeight="1">
      <c r="A154" s="4" t="str">
        <v>2006-21</v>
      </c>
      <c r="B154" s="4" t="str">
        <v>MCM2006U_ユーザー契約内容</v>
      </c>
      <c r="C154" s="4" t="n">
        <v>51</v>
      </c>
      <c r="D154" s="4" t="str">
        <v>業務ルール</v>
      </c>
      <c r="E154" s="4" t="str">
        <v>MCM2006U(ユーザー契約内容)：ロック解除ボタン押下による全タブの編集可能化</v>
      </c>
      <c r="F154" s="4" t="str">
        <v>結合で追加確認</v>
      </c>
      <c r="G154" s="4" t="str">
        <v>INT09-13</v>
      </c>
      <c r="H154" s="4" t="str">
        <v>追加判定：2006のロック解除を別契約・別担当へ漏らさない。入力・表示だけの単体判定は再実施せず、保存・後続利用の期待結果を参照。</v>
      </c>
      <c r="I154" s="4" t="str">
        <v>未実施</v>
      </c>
      <c r="J154" s="4" t="str">
        <v>－</v>
      </c>
    </row>
    <row r="155" ht="48" customHeight="1">
      <c r="A155" s="4" t="str">
        <v>2006-22</v>
      </c>
      <c r="B155" s="4" t="str">
        <v>MCM2006U_ユーザー契約内容</v>
      </c>
      <c r="C155" s="4" t="n">
        <v>52</v>
      </c>
      <c r="D155" s="4" t="str">
        <v>CRUD</v>
      </c>
      <c r="E155" s="4" t="str">
        <v>MCM2006U(ユーザー契約内容)：製番一覧の行削除ボタン押下による行削除</v>
      </c>
      <c r="F155" s="4" t="str">
        <v>結合で追加確認</v>
      </c>
      <c r="G155" s="4" t="str">
        <v>INT04-13</v>
      </c>
      <c r="H155" s="4" t="str">
        <v>追加判定：製番削除が確認・支払対象から外れる。入力・表示だけの単体判定は再実施せず、保存・後続利用の期待結果を参照。</v>
      </c>
      <c r="I155" s="4" t="str">
        <v>未実施</v>
      </c>
      <c r="J155" s="4" t="str">
        <v>－</v>
      </c>
    </row>
    <row r="156" ht="48" customHeight="1">
      <c r="A156" s="4" t="str">
        <v>2006-23</v>
      </c>
      <c r="B156" s="4" t="str">
        <v>MCM2006U_ユーザー契約内容</v>
      </c>
      <c r="C156" s="4" t="n">
        <v>53</v>
      </c>
      <c r="D156" s="4" t="str">
        <v>CRUD</v>
      </c>
      <c r="E156" s="4" t="str">
        <v>MCM2006Uタブ内：点検一覧の行削除ボタン押下による行削除</v>
      </c>
      <c r="F156" s="4" t="str">
        <v>結合で追加確認</v>
      </c>
      <c r="G156" s="4" t="str">
        <v>INT04-14</v>
      </c>
      <c r="H156" s="4" t="str">
        <v>追加判定：ユーザー点検削除の保存と他期間保護。入力・表示だけの単体判定は再実施せず、保存・後続利用の期待結果を参照。</v>
      </c>
      <c r="I156" s="4" t="str">
        <v>未実施</v>
      </c>
      <c r="J156" s="4" t="str">
        <v>－</v>
      </c>
    </row>
    <row r="157" ht="82" customHeight="1">
      <c r="A157" s="4" t="str">
        <v>2006-24</v>
      </c>
      <c r="B157" s="4" t="str">
        <v>MCM2006U_ユーザー契約内容</v>
      </c>
      <c r="C157" s="4" t="n">
        <v>54</v>
      </c>
      <c r="D157" s="4" t="str">
        <v>画面遷移</v>
      </c>
      <c r="E157" s="4" t="str">
        <v>MCM2006Uタブ内：「変更」ボタン押下によるMCM2007Uの別ウィンドウ表示</v>
      </c>
      <c r="F157" s="4" t="str">
        <v>結合で追加確認</v>
      </c>
      <c r="G157" s="4" t="str">
        <v>INT04-05, INT04-06, INT04-07, INT04-08, INT04-18, INT04-19, INT04-23</v>
      </c>
      <c r="H157" s="4" t="str">
        <v>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v>
      </c>
      <c r="I157" s="4" t="str">
        <v>未実施</v>
      </c>
      <c r="J157" s="4" t="str">
        <v>－</v>
      </c>
    </row>
    <row r="158" ht="48" customHeight="1">
      <c r="A158" s="4" t="str">
        <v>2006-25</v>
      </c>
      <c r="B158" s="4" t="str">
        <v>MCM2006U_ユーザー契約内容</v>
      </c>
      <c r="C158" s="4" t="n">
        <v>55</v>
      </c>
      <c r="D158" s="4" t="str">
        <v>異常系</v>
      </c>
      <c r="E158" s="4" t="str">
        <v>MCM2006U(ユーザー契約内容)：変更なしで登録ボタンを押下した場合の処理中止</v>
      </c>
      <c r="F158" s="4" t="str">
        <v>単体に委ねる</v>
      </c>
      <c r="G158" s="4" t="str">
        <v>－</v>
      </c>
      <c r="H158" s="4" t="str">
        <v>画面内の表示・入力・単独操作の判定は本単体ケースで確認する。結合ケースとして同じ判定を再作成しない。</v>
      </c>
      <c r="I158" s="4" t="str">
        <v>未実施</v>
      </c>
      <c r="J158" s="4" t="str">
        <v>－</v>
      </c>
    </row>
    <row r="159" ht="48" customHeight="1">
      <c r="A159" s="4" t="str">
        <v>2006-26</v>
      </c>
      <c r="B159" s="4" t="str">
        <v>MCM2006U_ユーザー契約内容</v>
      </c>
      <c r="C159" s="4" t="n">
        <v>56</v>
      </c>
      <c r="D159" s="4" t="str">
        <v>境界値</v>
      </c>
      <c r="E159" s="4" t="str">
        <v>MCM2006U(ユーザー契約内容)：製番一覧が0件の場合の登録可否</v>
      </c>
      <c r="F159" s="4" t="str">
        <v>結合で追加確認</v>
      </c>
      <c r="G159" s="4" t="str">
        <v>INT04-15</v>
      </c>
      <c r="H159" s="4" t="str">
        <v>追加判定：製番0件の契約が不足製番確認へ反映。入力・表示だけの単体判定は再実施せず、保存・後続利用の期待結果を参照。</v>
      </c>
      <c r="I159" s="4" t="str">
        <v>未実施</v>
      </c>
      <c r="J159" s="4" t="str">
        <v>－</v>
      </c>
    </row>
  </sheetData>
  <mergeCells>
    <mergeCell ref="A1:H1"/>
    <mergeCell ref="A2:J2"/>
    <mergeCell ref="A3:J3"/>
    <mergeCell ref="A4:J4"/>
  </mergeCells>
  <pageMargins left="0.3" right="0.3" top="0.4" bottom="0.4" header="0.2" footer="0.2"/>
  <pageSetup orientation="landscape" paperSize="8" scale="100" fitToWidth="0" fitToHeight="0"/>
</worksheet>
</file>

<file path=xl/worksheets/sheet14.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2" hidden="0" customWidth="1"/>
    <col min="2" max="2" width="40" hidden="0" customWidth="1"/>
    <col min="3" max="3" width="35" hidden="0" customWidth="1"/>
    <col min="4" max="4" width="90" hidden="0" customWidth="1"/>
    <col min="5" max="5" width="100" hidden="0" customWidth="1"/>
    <col min="6" max="6" width="45" hidden="0" customWidth="1"/>
    <col min="7" max="7" width="25" hidden="0" customWidth="1"/>
  </cols>
  <sheetData>
    <row r="1" ht="30" customHeight="1">
      <c r="A1" s="8" t="str">
        <v>実施条件・資料の食い違い・静的検出事項</v>
      </c>
      <c r="B1" s="3"/>
      <c r="C1" s="3"/>
      <c r="D1" s="3"/>
      <c r="E1" s="3"/>
      <c r="F1" s="3"/>
      <c r="G1" s="3"/>
    </row>
    <row r="2" ht="26" customHeight="1">
      <c r="A2" s="3" t="str">
        <v>未確定事項をWeb実装に合わせて合格扱いにしない。静的に認めた差異と実機未確認を区別する。</v>
      </c>
      <c r="B2" s="3"/>
      <c r="C2" s="3"/>
      <c r="D2" s="3"/>
      <c r="E2" s="3"/>
      <c r="F2" s="3"/>
      <c r="G2" s="3"/>
    </row>
    <row r="3" ht="26" customHeight="1">
      <c r="A3" s="3" t="str">
        <v>Q付きケースの実施前に条件と期待を確定。課題が対象外なら責任者・理由・単体／運用等の確認先を記録する。</v>
      </c>
      <c r="B3" s="3"/>
      <c r="C3" s="3"/>
      <c r="D3" s="3"/>
      <c r="E3" s="3"/>
      <c r="F3" s="3"/>
      <c r="G3" s="3"/>
    </row>
    <row r="4" ht="26" customHeight="1">
      <c r="A4" s="3"/>
      <c r="B4" s="3"/>
      <c r="C4" s="3"/>
      <c r="D4" s="3"/>
      <c r="E4" s="3"/>
      <c r="F4" s="3"/>
      <c r="G4" s="3"/>
    </row>
    <row r="5">
      <c r="A5" s="3"/>
      <c r="B5" s="3"/>
      <c r="C5" s="3"/>
      <c r="D5" s="3"/>
      <c r="E5" s="3"/>
      <c r="F5" s="3"/>
      <c r="G5" s="3"/>
    </row>
    <row r="6">
      <c r="A6" s="3"/>
      <c r="B6" s="3"/>
      <c r="C6" s="3"/>
      <c r="D6" s="3"/>
      <c r="E6" s="3"/>
      <c r="F6" s="3"/>
      <c r="G6" s="3"/>
    </row>
    <row r="7">
      <c r="A7" s="3"/>
      <c r="B7" s="3"/>
      <c r="C7" s="3"/>
      <c r="D7" s="3"/>
      <c r="E7" s="3"/>
      <c r="F7" s="3"/>
      <c r="G7" s="3"/>
    </row>
    <row r="8">
      <c r="A8" s="3"/>
      <c r="B8" s="3"/>
      <c r="C8" s="3"/>
      <c r="D8" s="3"/>
      <c r="E8" s="3"/>
      <c r="F8" s="3"/>
      <c r="G8" s="3"/>
    </row>
    <row r="9" ht="38" customHeight="1">
      <c r="A9" s="7" t="str">
        <v>課題ID</v>
      </c>
      <c r="B9" s="7" t="str">
        <v>確認事項</v>
      </c>
      <c r="C9" s="7" t="str">
        <v>関係画面</v>
      </c>
      <c r="D9" s="7" t="str">
        <v>確認した事実</v>
      </c>
      <c r="E9" s="7" t="str">
        <v>必要な確認・対応</v>
      </c>
      <c r="F9" s="7" t="str">
        <v>根拠</v>
      </c>
      <c r="G9" s="7" t="str">
        <v>状況</v>
      </c>
    </row>
    <row r="10" ht="48" customHeight="1">
      <c r="A10" s="4" t="str">
        <v>Q01</v>
      </c>
      <c r="B10" s="4" t="str">
        <v>E通知後の中止経路（静的照合で解消）</v>
      </c>
      <c r="C10" s="4" t="str">
        <v>1006U/2007U</v>
      </c>
      <c r="D10" s="4" t="str">
        <v>1006UのMSG_0023/0037/0038と2007UのMSG_0038はE付き。画面DisplayMessageは共通基底でCPInputCheckExceptionを投げ、中止する。画面内にExitがなくても続行しない。</v>
      </c>
      <c r="E10" s="4" t="str">
        <v>INT01-18/19・INT04-16を中止の期待へ訂正。単体1006-8/23の中止期待と整合。Webでの遷移・DB保護は実行確認する。</v>
      </c>
      <c r="F10" s="4" t="str">
        <v>R1006/R2007、共通C06、CPCoreUserControl 936～985</v>
      </c>
      <c r="G10" s="4" t="str">
        <v>静的解消・実行未実施</v>
      </c>
    </row>
    <row r="11" ht="48" customHeight="1">
      <c r="A11" s="4" t="str">
        <v>Q02</v>
      </c>
      <c r="B11" s="4" t="str">
        <v>添付保存先・旧パス・開く方式の環境確認</v>
      </c>
      <c r="C11" s="4" t="str">
        <v>1005U/1011U/3005U</v>
      </c>
      <c r="D11" s="4" t="str">
        <v>検証先候補F:/uploadfolder/MCM/取引先。Web稼働サーバーでの実在・サービス実行者アクセス・本番保存先は未確定。単体1011-16は既定アプリ起動を期待。</v>
      </c>
      <c r="E11" s="4" t="str">
        <v>local/dev/prodのDBと保存先の組、旧DIRECTORY移行方針、Office/PDFのブラウザー取得／アプリ起動方式を決める。別PC取得を実機確認。</v>
      </c>
      <c r="F11" s="4" t="str">
        <v>R1005/R1011/R3005、application*.yml、1011-16/17</v>
      </c>
      <c r="G11" s="4" t="str">
        <v>未確認</v>
      </c>
    </row>
    <row r="12" ht="48" customHeight="1">
      <c r="A12" s="4" t="str">
        <v>Q03</v>
      </c>
      <c r="B12" s="4" t="str">
        <v>メールの利用条件・SMTP未設定時</v>
      </c>
      <c r="C12" s="4" t="str">
        <v>1011U</v>
      </c>
      <c r="D12" s="4" t="str">
        <v>単体備考は依頼者の完了通知と記載するが、VBとWebの処理は条件付き上位者への承認依頼。Webは送信対象でSMTP未設定時に事前エラーとなる。</v>
      </c>
      <c r="E12" s="4" t="str">
        <v>メール利用有無、正しい通知先・厳密な金額条件、未設定時の期待、失敗時の再送運用を確認。試験用アドレスのみ使用する。</v>
      </c>
      <c r="F12" s="4" t="str">
        <v>R1011 / MailService、1011-21</v>
      </c>
      <c r="G12" s="4" t="str">
        <v>未確認</v>
      </c>
    </row>
    <row r="13" ht="44" customHeight="1">
      <c r="A13" s="4" t="str">
        <v>Q04</v>
      </c>
      <c r="B13" s="4" t="str">
        <v>解約データの作成手順と状態変更</v>
      </c>
      <c r="C13" s="4" t="str">
        <v>1005U/2006U/3002U/3003U</v>
      </c>
      <c r="D13" s="4" t="str">
        <v>単体1005-3に解約手順が不明として保留記録。日時・状態・申請条件を満たすデータが必要。</v>
      </c>
      <c r="E13" s="4" t="str">
        <v>利用可能な画面操作で解約状態にする正式手順、承認前後の抽出対象を確認しD01/D07/D08を準備する。</v>
      </c>
      <c r="F13" s="4" t="str">
        <v>1005-3、R1005/R2006/R3002/R3003</v>
      </c>
      <c r="G13" s="4" t="str">
        <v>未確認</v>
      </c>
    </row>
    <row r="14" ht="48" customHeight="1">
      <c r="A14" s="4" t="str">
        <v>Q05</v>
      </c>
      <c r="B14" s="4" t="str">
        <v>過去・最新・解除期間の境界と選択期間</v>
      </c>
      <c r="C14" s="4" t="str">
        <v>2006U</v>
      </c>
      <c r="D14" s="4" t="str">
        <v>単体2006-2は現在日を含む最新タブ、Webは最新側の初期選択。単体2006-16/17/18の操作可能な日付条件は要確認。</v>
      </c>
      <c r="E14" s="4" t="str">
        <v>複数の未来期間がある際の初期選択、期間調整を許可する条件をVB・合意仕様で確認。表示だけのケースは単体を改訂する。</v>
      </c>
      <c r="F14" s="4" t="str">
        <v>2006-2/16/17/18、R2006</v>
      </c>
      <c r="G14" s="4" t="str">
        <v>未確認</v>
      </c>
    </row>
    <row r="15" ht="48" customHeight="1">
      <c r="A15" s="4" t="str">
        <v>Q06</v>
      </c>
      <c r="B15" s="4" t="str">
        <v>同時製番確認で更新0件を件数加算</v>
      </c>
      <c r="C15" s="4" t="str">
        <v>3008U</v>
      </c>
      <c r="D15" s="4" t="str">
        <v>確認SQLは未確認・再確認のみ更新するが、サービスは更新件数を確認せず処理件数を加算する。後発は更新0件でも完了案内の可能性。</v>
      </c>
      <c r="E15" s="4" t="str">
        <v>2セッションで再現し、先行者の情報保護と後発完了案内／件数の整合を確認する。必要なら修正チケット化。</v>
      </c>
      <c r="F15" s="4" t="str">
        <v>R3008 / confirmSeiban・confirm</v>
      </c>
      <c r="G15" s="4" t="str">
        <v>静的確認・実機未確認</v>
      </c>
    </row>
    <row r="16" ht="48" customHeight="1">
      <c r="A16" s="4" t="str">
        <v>Q07</v>
      </c>
      <c r="B16" s="4" t="str">
        <v>他業務の作成権限を取引先契約へ流用</v>
      </c>
      <c r="C16" s="4" t="str">
        <v>1009U</v>
      </c>
      <c r="D16" s="4" t="str">
        <v>VBは1005Uの作成権限を使用。Web1009Controllerは全体ROLE_UPDATEに基づく処理、1010側は対象機能の権限を確認する。</v>
      </c>
      <c r="E16" s="4" t="str">
        <v>他業務作成／取引先契約参照の担当で列と直接要求を確認し、VB準拠の機能単位許可へ統一が必要か判断する。</v>
      </c>
      <c r="F16" s="4" t="str">
        <v>1009-3/4、R1009/R1010</v>
      </c>
      <c r="G16" s="4" t="str">
        <v>静的確認・実機未確認</v>
      </c>
    </row>
    <row r="17" ht="48" customHeight="1">
      <c r="A17" s="4" t="str">
        <v>Q08</v>
      </c>
      <c r="B17" s="4" t="str">
        <v>失敗・ロールバック検証条件</v>
      </c>
      <c r="C17" s="4" t="str">
        <v>1005U/2006U/1011U/3005U</v>
      </c>
      <c r="D17" s="4" t="str">
        <v>通常の画面操作だけでは保存途中失敗・押印失敗・権限拒否を安定再現できない場合がある。</v>
      </c>
      <c r="E17" s="4" t="str">
        <v>検証専用データと管理者の再現条件を用意し、変更前DB・ファイルを記録。DB直接改変を作業者の通常手順にしない。</v>
      </c>
      <c r="F17" s="4" t="str">
        <v>INT02/INT09</v>
      </c>
      <c r="G17" s="4" t="str">
        <v>未確認</v>
      </c>
    </row>
    <row r="18" ht="48" customHeight="1">
      <c r="A18" s="4" t="str">
        <v>Q09</v>
      </c>
      <c r="B18" s="4" t="str">
        <v>性能受入基準・実行PC条件</v>
      </c>
      <c r="C18" s="4" t="str">
        <v>3007U/3004U</v>
      </c>
      <c r="D18" s="4" t="str">
        <v>検索件数、ブラウザー、PC、許容応答時間の合意値が未確定。0018の既知実績を別画面の合格値へ転用しない。</v>
      </c>
      <c r="E18" s="4" t="str">
        <v>通常／多件数の条件と件数、測定開始終了、許容応答時間を決める。全件表示・選択キー・帳票欠落は先に確認できる。</v>
      </c>
      <c r="F18" s="4" t="str">
        <v>D13、INT09</v>
      </c>
      <c r="G18" s="4" t="str">
        <v>未確認</v>
      </c>
    </row>
    <row r="19" ht="48" customHeight="1">
      <c r="A19" s="4" t="str">
        <v>Q10</v>
      </c>
      <c r="B19" s="4" t="str">
        <v>単体仕様の未収録7画面と既存NG</v>
      </c>
      <c r="C19" s="4" t="str">
        <v>2007U/3002U/3003U/3004U/3005U/3007U/3008U</v>
      </c>
      <c r="D19" s="4" t="str">
        <v>共有単体のケースは6画面150件。管理用の目次・明細統合は収録6画面全体を集計していない。NG/保留等も存在する。</v>
      </c>
      <c r="E19" s="4" t="str">
        <v>未収録画面の単体版があれば追加照合。既存NG/保留の解消状況は実機で確認し、結合の完了条件に必要なものを先に解消する。</v>
      </c>
      <c r="F19" s="4" t="str">
        <v>受領単体261002版／単体との対応</v>
      </c>
      <c r="G19" s="4" t="str">
        <v>未確認</v>
      </c>
    </row>
    <row r="20" ht="48" customHeight="1">
      <c r="A20" s="4" t="str">
        <v>Q11</v>
      </c>
      <c r="B20" s="4" t="str">
        <v>支払い抽出用DBの結合整合・文字化け</v>
      </c>
      <c r="C20" s="4" t="str">
        <v>3002U</v>
      </c>
      <c r="D20" s="4" t="str">
        <v>過去調査で支払明細があっても親契約との対応なしでビュー0件。年払／月払文字化けの可能性も提示された。現DBで再確認が必要。</v>
      </c>
      <c r="E20" s="4" t="str">
        <v>MCM_TK_SIHARAI_Vの全結合条件を満たすD07を用意し、支払名称を確認。0件を帳票不具合と混同しない。データ修復は別承認の作業。</v>
      </c>
      <c r="F20" s="4" t="str">
        <v>R3002 / search・searchForOutput、利用者共有ビューSQL</v>
      </c>
      <c r="G20" s="4" t="str">
        <v>未確認</v>
      </c>
    </row>
    <row r="21" ht="48" customHeight="1">
      <c r="A21" s="4" t="str">
        <v>Q12</v>
      </c>
      <c r="B21" s="4" t="str">
        <v>ユーザー契約の審査側呼出画面の特定</v>
      </c>
      <c r="C21" s="4" t="str">
        <v>2006U</v>
      </c>
      <c r="D21" s="4" t="str">
        <v>単体2006-8は審査からの参照を前提とするが正式な呼出画面は未特定。Web3001Uは見積へのリンクで、2006Uの呼出経路とは確認できない。</v>
      </c>
      <c r="E21" s="4" t="str">
        <v>VBと実画面で正式な審査参照経路・権限・ユーザー契約ID受渡しを確認する。未到達なら対象外理由と別工程の確認先を記録する。</v>
      </c>
      <c r="F21" s="4" t="str">
        <v>2006-8、R2006、Mcm3001uController</v>
      </c>
      <c r="G21" s="4" t="str">
        <v>未確認</v>
      </c>
    </row>
    <row r="22" ht="48" customHeight="1">
      <c r="A22" s="4" t="str">
        <v>Q13</v>
      </c>
      <c r="B22" s="4" t="str">
        <v>ユーザー契約の同日変更で過去内容を置換する差異</v>
      </c>
      <c r="C22" s="4" t="str">
        <v>2006U/2007U</v>
      </c>
      <c r="D22" s="4" t="str">
        <v>VB Screen 54～109は現在・過去期間を無効履歴として残し新期間を追加。Web applyPendingKikan 148～153は既存IDを再利用して期間を除去する。</v>
      </c>
      <c r="E22" s="4" t="str">
        <v>INT04-18で旧履歴・旧機器の保持を検証。未来期間と同一処理にしてよいかではなく、VBの履歴要件を基準に修正判断する。</v>
      </c>
      <c r="F22" s="4" t="str">
        <v>R2006 Screen 54～109 / Service 141～181</v>
      </c>
      <c r="G22" s="4" t="str">
        <v>静的差異確認・実機未確認</v>
      </c>
    </row>
    <row r="23" ht="48" customHeight="1">
      <c r="A23" s="4" t="str">
        <v>Q14</v>
      </c>
      <c r="B23" s="4" t="str">
        <v>製番変更時の再確認依頼と依頼者日時</v>
      </c>
      <c r="C23" s="4" t="str">
        <v>2006U/3008U</v>
      </c>
      <c r="D23" s="4" t="str">
        <v>VB UpdateButton_Click 509～516は追加を未確認、変更を再確認とし依頼者名・日時を設定。Web保存とFieldsでは同じ更新が見当たらない。</v>
      </c>
      <c r="E23" s="4" t="str">
        <v>INT04-17で確認済み製番変更後の再確認一覧、監査値、確認前後の支払結合を確認。未変更行の確認情報は維持する。</v>
      </c>
      <c r="F23" s="4" t="str">
        <v>R2006 Screen 493～518 / Repository 464～482 / Fields、R3008</v>
      </c>
      <c r="G23" s="4" t="str">
        <v>静的差異確認・実機未確認</v>
      </c>
    </row>
    <row r="24" ht="65" customHeight="1">
      <c r="A24" s="4" t="str">
        <v>Q15</v>
      </c>
      <c r="B24" s="4" t="str">
        <v>一括審査の対象外行・途中失敗の扱い</v>
      </c>
      <c r="C24" s="4" t="str">
        <v>1011U</v>
      </c>
      <c r="D24" s="4" t="str">
        <v>VBは対象外選択を外して残りを処理。.xlsxのみ押印し、他形式はTrue。SaveAsのFalseは添付ループを抜け正常終了コミットが可能。Open／Writeの伝播例外はDBをロールバックするが、既に保存した外部Excelは戻らない。</v>
      </c>
      <c r="E24" s="4" t="str">
        <v>対象外行、拡張子、False、伝播例外ごとのDB・資料・後続契約処理の確定単位を合意する。Webの一括保護・復元をVBの実挙動と混同しない。</v>
      </c>
      <c r="F24" s="4" t="str">
        <v>R1011、共通C12/C13、INT02-11/12/13/24/25</v>
      </c>
      <c r="G24" s="4" t="str">
        <v>移行差異・要合意</v>
      </c>
    </row>
    <row r="25" ht="48" customHeight="1">
      <c r="A25" s="4" t="str">
        <v>Q16</v>
      </c>
      <c r="B25" s="4" t="str">
        <v>予定・点検・支払ビュー内部の生成条件</v>
      </c>
      <c r="C25" s="4" t="str">
        <v>3002U/3003U/3004U</v>
      </c>
      <c r="D25" s="4" t="str">
        <v>VBのTableAdapter抽出条件は確認したが、接続先DBの全ビュー・支払関数定義は実機取得していない。SQLだけでビュー内の契約状態や期限生成を保証しない。</v>
      </c>
      <c r="E25" s="4" t="str">
        <v>検証DBで関連ビューとMCM_FN_SIHARAIの定義を読取り確認し、D07/D08/D11の元データ→ビュー行→一覧→帳票を照合する。</v>
      </c>
      <c r="F25" s="4" t="str">
        <v>R3002/R3003/R3004 TableAdapter、D07/D08/D11/D15</v>
      </c>
      <c r="G25" s="4" t="str">
        <v>実DB定義・実行未確認</v>
      </c>
    </row>
    <row r="26" ht="48" customHeight="1">
      <c r="A26" s="4" t="str">
        <v>Q17</v>
      </c>
      <c r="B26" s="4" t="str">
        <v>複数ブランドの保守方法集約で変数とコメントが不一致</v>
      </c>
      <c r="C26" s="4" t="str">
        <v>2006U/2007U</v>
      </c>
      <c r="D26" s="4" t="str">
        <v>getHoshuJohoは方法不一致時に作業変数hosyuhohoを空にするが、戻り値は別変数hosyuhohoReturn。コメントから必ず空欄とは確定できない。</v>
      </c>
      <c r="E26" s="4" t="str">
        <v>同じ／異なる方法と入力順でVBの結果を確認し、Webで採用する集約規則を合意する。既知のVB不整合を機械的に再現しない。</v>
      </c>
      <c r="F26" s="4" t="str">
        <v>R2006 getHoshuJoho、VB2006-17、INT04-24</v>
      </c>
      <c r="G26" s="4" t="str">
        <v>VB不整合候補・要合意</v>
      </c>
    </row>
  </sheetData>
  <mergeCells>
    <mergeCell ref="A1:G1"/>
    <mergeCell ref="A2:G2"/>
    <mergeCell ref="A3:G3"/>
    <mergeCell ref="A4:G4"/>
  </mergeCells>
  <pageMargins left="0.3" right="0.3" top="0.4" bottom="0.4" header="0.2" footer="0.2"/>
  <pageSetup orientation="landscape" paperSize="8" scale="100" fitToWidth="0" fitToHeight="0"/>
</worksheet>
</file>

<file path=xl/worksheets/sheet15.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7" hidden="0" customWidth="1"/>
    <col min="2" max="2" width="28" hidden="0" customWidth="1"/>
    <col min="3" max="3" width="115" hidden="0" customWidth="1"/>
    <col min="4" max="4" width="70" hidden="0" customWidth="1"/>
    <col min="5" max="5" width="75" hidden="0" customWidth="1"/>
    <col min="6" max="6" width="14" hidden="0" customWidth="1"/>
  </cols>
  <sheetData>
    <row r="1" ht="30" customHeight="1">
      <c r="A1" s="8" t="str">
        <v>仕様・VB・Web・受領Excelの参照先</v>
      </c>
      <c r="B1" s="3"/>
      <c r="C1" s="3"/>
      <c r="D1" s="3"/>
      <c r="E1" s="3"/>
      <c r="F1" s="3"/>
    </row>
    <row r="2" ht="26" customHeight="1">
      <c r="A2" s="3" t="str">
        <v>受領srcは変更せず、VBの期待動作とWebの操作経路・実装を照合。承認済みの共通仕様でWeb移行差異を扱う。</v>
      </c>
      <c r="B2" s="3"/>
      <c r="C2" s="3"/>
      <c r="D2" s="3"/>
      <c r="E2" s="3"/>
      <c r="F2" s="3"/>
    </row>
    <row r="3" ht="26" customHeight="1">
      <c r="A3" s="3" t="str">
        <v>同じ根拠IDの関連ファイルをまとめて参照。資料の保存先とハッシュで対象版を識別し、過去の完了記録を現在の確認済みにしない。</v>
      </c>
      <c r="B3" s="3"/>
      <c r="C3" s="3"/>
      <c r="D3" s="3"/>
      <c r="E3" s="3"/>
      <c r="F3" s="3"/>
    </row>
    <row r="4" ht="26" customHeight="1">
      <c r="A4" s="3"/>
      <c r="B4" s="3"/>
      <c r="C4" s="3"/>
      <c r="D4" s="3"/>
      <c r="E4" s="3"/>
      <c r="F4" s="3"/>
    </row>
    <row r="5">
      <c r="A5" s="3"/>
      <c r="B5" s="3"/>
      <c r="C5" s="3"/>
      <c r="D5" s="3"/>
      <c r="E5" s="3"/>
      <c r="F5" s="3"/>
    </row>
    <row r="6">
      <c r="A6" s="3"/>
      <c r="B6" s="3"/>
      <c r="C6" s="3"/>
      <c r="D6" s="3"/>
      <c r="E6" s="3"/>
      <c r="F6" s="3"/>
    </row>
    <row r="7">
      <c r="A7" s="3"/>
      <c r="B7" s="3"/>
      <c r="C7" s="3"/>
      <c r="D7" s="3"/>
      <c r="E7" s="3"/>
      <c r="F7" s="3"/>
    </row>
    <row r="8">
      <c r="A8" s="3"/>
      <c r="B8" s="3"/>
      <c r="C8" s="3"/>
      <c r="D8" s="3"/>
      <c r="E8" s="3"/>
      <c r="F8" s="3"/>
    </row>
    <row r="9" ht="38" customHeight="1">
      <c r="A9" s="7" t="str">
        <v>根拠ID</v>
      </c>
      <c r="B9" s="7" t="str">
        <v>対象</v>
      </c>
      <c r="C9" s="7" t="str">
        <v>保存先（workspace基準）</v>
      </c>
      <c r="D9" s="7" t="str">
        <v>用途</v>
      </c>
      <c r="E9" s="7" t="str">
        <v>SHA-256</v>
      </c>
      <c r="F9" s="7" t="str">
        <v>行数／件数</v>
      </c>
    </row>
    <row r="10" ht="44" customHeight="1">
      <c r="A10" s="4" t="str">
        <v>R1005</v>
      </c>
      <c r="B10" s="4" t="str">
        <v>MCM1005U</v>
      </c>
      <c r="C10" s="4" t="str">
        <v>参照用/MCM_javaコンバート用/MCM_作業用/MCM_作業用/30_APPLICATION/20_CONSUMER/MCM1005U/Mcm1005uScreen.vb</v>
      </c>
      <c r="D10" s="4" t="str">
        <v>VB期待仕様</v>
      </c>
      <c r="E10" s="4" t="str">
        <v>e50175e2bda78010d661bcb40b984f796b2d651c2aae2ec2b3aef4ec66d35abd</v>
      </c>
      <c r="F10" s="4" t="n">
        <v>2200</v>
      </c>
    </row>
    <row r="11" ht="44" customHeight="1">
      <c r="A11" s="4" t="str">
        <v>R1005</v>
      </c>
      <c r="B11" s="4" t="str">
        <v>MCM1005U</v>
      </c>
      <c r="C11" s="4" t="str">
        <v>参照用/MCM_javaコンバート用/MCM_作業用/MCM_作業用/30_APPLICATION/20_CONSUMER/MCM1005U/Mcm1005uTabControl.vb</v>
      </c>
      <c r="D11" s="4" t="str">
        <v>VB期待仕様</v>
      </c>
      <c r="E11" s="4" t="str">
        <v>dbf10f3d7643ff8ecc8cb0278c9c193b102e7a928346bef49b8ecfc675e8789e</v>
      </c>
      <c r="F11" s="4" t="n">
        <v>3017</v>
      </c>
    </row>
    <row r="12" ht="44" customHeight="1">
      <c r="A12" s="4" t="str">
        <v>R1005</v>
      </c>
      <c r="B12" s="4" t="str">
        <v>MCM1005U</v>
      </c>
      <c r="C12" s="4" t="str">
        <v>mcm-web/src/main/java/com/daifuku/mcm/controller/Mcm1005uController.java</v>
      </c>
      <c r="D12" s="4" t="str">
        <v>Web経路・実装照合</v>
      </c>
      <c r="E12" s="4" t="str">
        <v>311ab4bfb5f3d16832bc98f3ab166ae09e4a62d68b410bdd084fbc2ff358bb92</v>
      </c>
      <c r="F12" s="4" t="n">
        <v>749</v>
      </c>
    </row>
    <row r="13" ht="44" customHeight="1">
      <c r="A13" s="4" t="str">
        <v>R1005</v>
      </c>
      <c r="B13" s="4" t="str">
        <v>MCM1005U</v>
      </c>
      <c r="C13" s="4" t="str">
        <v>mcm-web/src/main/java/com/daifuku/mcm/service/Mcm1005uAttachmentService.java</v>
      </c>
      <c r="D13" s="4" t="str">
        <v>Web経路・実装照合</v>
      </c>
      <c r="E13" s="4" t="str">
        <v>27050905de917ba676560661b0b0541fbd40a0fc1744c089fc565523bce02d29</v>
      </c>
      <c r="F13" s="4" t="n">
        <v>115</v>
      </c>
    </row>
    <row r="14" ht="44" customHeight="1">
      <c r="A14" s="4" t="str">
        <v>R1005</v>
      </c>
      <c r="B14" s="4" t="str">
        <v>MCM1005U</v>
      </c>
      <c r="C14" s="4" t="str">
        <v>mcm-web/src/main/java/com/daifuku/mcm/service/Mcm1005uService.java</v>
      </c>
      <c r="D14" s="4" t="str">
        <v>Web経路・実装照合</v>
      </c>
      <c r="E14" s="4" t="str">
        <v>f1b6203b3ede369ae7f82c1d3ff068f1df3b357b9582b89dccbdce0e2dd56bcc</v>
      </c>
      <c r="F14" s="4" t="n">
        <v>1420</v>
      </c>
    </row>
    <row r="15" ht="44" customHeight="1">
      <c r="A15" s="4" t="str">
        <v>R1005</v>
      </c>
      <c r="B15" s="4" t="str">
        <v>MCM1005U</v>
      </c>
      <c r="C15" s="4" t="str">
        <v>mcm-web/src/main/java/com/daifuku/mcm/repository/Mcm1005uRepository.java</v>
      </c>
      <c r="D15" s="4" t="str">
        <v>Web経路・実装照合</v>
      </c>
      <c r="E15" s="4" t="str">
        <v>38b5baf297a6242eb3037c24ebd75bc4733b98d30695e646ab616d7d71fda587</v>
      </c>
      <c r="F15" s="4" t="n">
        <v>1179</v>
      </c>
    </row>
    <row r="16" ht="44" customHeight="1">
      <c r="A16" s="4" t="str">
        <v>R1006</v>
      </c>
      <c r="B16" s="4" t="str">
        <v>MCM1006U</v>
      </c>
      <c r="C16" s="4" t="str">
        <v>参照用/MCM_javaコンバート用/MCM_作業用/MCM_作業用/30_APPLICATION/20_CONSUMER/MCM1006U/Mcm1006u1Screen.vb</v>
      </c>
      <c r="D16" s="4" t="str">
        <v>VB期待仕様</v>
      </c>
      <c r="E16" s="4" t="str">
        <v>8edd42550e0b2fe36f3eeb140f25286ce1951634df05b23f4acf9ec3d6e7bad6</v>
      </c>
      <c r="F16" s="4" t="n">
        <v>409</v>
      </c>
    </row>
    <row r="17" ht="44" customHeight="1">
      <c r="A17" s="4" t="str">
        <v>R1006</v>
      </c>
      <c r="B17" s="4" t="str">
        <v>MCM1006U</v>
      </c>
      <c r="C17" s="4" t="str">
        <v>参照用/MCM_javaコンバート用/MCM_作業用/MCM_作業用/30_APPLICATION/20_CONSUMER/MCM1006U/Mcm1006u2Screen.vb</v>
      </c>
      <c r="D17" s="4" t="str">
        <v>VB期待仕様</v>
      </c>
      <c r="E17" s="4" t="str">
        <v>e3d1c38dd364c74e43d9c1a2816e5e8a2dae82289bb0c24e12deeb7e3e579ed9</v>
      </c>
      <c r="F17" s="4" t="n">
        <v>1073</v>
      </c>
    </row>
    <row r="18" ht="44" customHeight="1">
      <c r="A18" s="4" t="str">
        <v>R1006</v>
      </c>
      <c r="B18" s="4" t="str">
        <v>MCM1006U</v>
      </c>
      <c r="C18" s="4" t="str">
        <v>mcm-web/src/main/java/com/daifuku/mcm/controller/Mcm1006uController.java</v>
      </c>
      <c r="D18" s="4" t="str">
        <v>Web経路・実装照合</v>
      </c>
      <c r="E18" s="4" t="str">
        <v>aa7cd202938befcdaee17065739442805e745fc6742228711ee6185d72764345</v>
      </c>
      <c r="F18" s="4" t="n">
        <v>456</v>
      </c>
    </row>
    <row r="19" ht="44" customHeight="1">
      <c r="A19" s="4" t="str">
        <v>R1006</v>
      </c>
      <c r="B19" s="4" t="str">
        <v>MCM1006U</v>
      </c>
      <c r="C19" s="4" t="str">
        <v>mcm-web/src/main/java/com/daifuku/mcm/service/Mcm1006uService.java</v>
      </c>
      <c r="D19" s="4" t="str">
        <v>Web経路・実装照合</v>
      </c>
      <c r="E19" s="4" t="str">
        <v>2953e4ffd90a11a615c0290b48ec3df710fa8069cd082e68bf84150a4df2ff00</v>
      </c>
      <c r="F19" s="4" t="n">
        <v>649</v>
      </c>
    </row>
    <row r="20" ht="44" customHeight="1">
      <c r="A20" s="4" t="str">
        <v>R1006</v>
      </c>
      <c r="B20" s="4" t="str">
        <v>MCM1006U</v>
      </c>
      <c r="C20" s="4" t="str">
        <v>mcm-web/src/main/java/com/daifuku/mcm/repository/Mcm1006uRepository.java</v>
      </c>
      <c r="D20" s="4" t="str">
        <v>Web経路・実装照合</v>
      </c>
      <c r="E20" s="4" t="str">
        <v>8ee60a53a8bfa9304388246965d0b60856ee21de6a8f5745394266d6f6f113f8</v>
      </c>
      <c r="F20" s="4" t="n">
        <v>529</v>
      </c>
    </row>
    <row r="21" ht="44" customHeight="1">
      <c r="A21" s="4" t="str">
        <v>R1009</v>
      </c>
      <c r="B21" s="4" t="str">
        <v>MCM1009U</v>
      </c>
      <c r="C21" s="4" t="str">
        <v>参照用/MCM_javaコンバート用/MCM_作業用/MCM_作業用/30_APPLICATION/20_CONSUMER/MCM1009U/Mcm1009uScreen.vb</v>
      </c>
      <c r="D21" s="4" t="str">
        <v>VB期待仕様</v>
      </c>
      <c r="E21" s="4" t="str">
        <v>22f4d54acdc6e2657121ad7f5cf9c9a13b62e6f579456cd626479296bb99856c</v>
      </c>
      <c r="F21" s="4" t="n">
        <v>265</v>
      </c>
    </row>
    <row r="22" ht="44" customHeight="1">
      <c r="A22" s="4" t="str">
        <v>R1009</v>
      </c>
      <c r="B22" s="4" t="str">
        <v>MCM1009U</v>
      </c>
      <c r="C22" s="4" t="str">
        <v>mcm-web/src/main/java/com/daifuku/mcm/controller/Mcm1009uController.java</v>
      </c>
      <c r="D22" s="4" t="str">
        <v>Web経路・実装照合</v>
      </c>
      <c r="E22" s="4" t="str">
        <v>07f266b300f63a495f03d85c166c9247526be799b609283950751fb9d8991350</v>
      </c>
      <c r="F22" s="4" t="n">
        <v>203</v>
      </c>
    </row>
    <row r="23" ht="44" customHeight="1">
      <c r="A23" s="4" t="str">
        <v>R1009</v>
      </c>
      <c r="B23" s="4" t="str">
        <v>MCM1009U</v>
      </c>
      <c r="C23" s="4" t="str">
        <v>mcm-web/src/main/java/com/daifuku/mcm/service/Mcm1009uService.java</v>
      </c>
      <c r="D23" s="4" t="str">
        <v>Web経路・実装照合</v>
      </c>
      <c r="E23" s="4" t="str">
        <v>ff7f93dbeaacfb8ce05a250070391aaf664f161bb5c15e77b0249cd35c485a8d</v>
      </c>
      <c r="F23" s="4" t="n">
        <v>211</v>
      </c>
    </row>
    <row r="24" ht="44" customHeight="1">
      <c r="A24" s="4" t="str">
        <v>R1009</v>
      </c>
      <c r="B24" s="4" t="str">
        <v>MCM1009U</v>
      </c>
      <c r="C24" s="4" t="str">
        <v>mcm-web/src/main/java/com/daifuku/mcm/repository/Mcm1009uJdbcRepository.java</v>
      </c>
      <c r="D24" s="4" t="str">
        <v>Web経路・実装照合</v>
      </c>
      <c r="E24" s="4" t="str">
        <v>a3a1631926a1be489459daeb442a4f70850fb7957429139b697afd3a644bb788</v>
      </c>
      <c r="F24" s="4" t="n">
        <v>215</v>
      </c>
    </row>
    <row r="25" ht="44" customHeight="1">
      <c r="A25" s="4" t="str">
        <v>R1010</v>
      </c>
      <c r="B25" s="4" t="str">
        <v>MCM1010U</v>
      </c>
      <c r="C25" s="4" t="str">
        <v>参照用/MCM_javaコンバート用/MCM_作業用/MCM_作業用/30_APPLICATION/20_CONSUMER/MCM1010U/Mcm1010uScreen.vb</v>
      </c>
      <c r="D25" s="4" t="str">
        <v>VB期待仕様</v>
      </c>
      <c r="E25" s="4" t="str">
        <v>c8f9040aa13de280b2a66c649451d745133244d252f5e1c231b9e9a8fe290d31</v>
      </c>
      <c r="F25" s="4" t="n">
        <v>265</v>
      </c>
    </row>
    <row r="26" ht="44" customHeight="1">
      <c r="A26" s="4" t="str">
        <v>R1010</v>
      </c>
      <c r="B26" s="4" t="str">
        <v>MCM1010U</v>
      </c>
      <c r="C26" s="4" t="str">
        <v>mcm-web/src/main/java/com/daifuku/mcm/controller/Mcm1010uController.java</v>
      </c>
      <c r="D26" s="4" t="str">
        <v>Web経路・実装照合</v>
      </c>
      <c r="E26" s="4" t="str">
        <v>b2d445d1c341a7f8e3d07cc238f7013d903d91f8d717e7a7fa60c81fe02b9862</v>
      </c>
      <c r="F26" s="4" t="n">
        <v>217</v>
      </c>
    </row>
    <row r="27" ht="44" customHeight="1">
      <c r="A27" s="4" t="str">
        <v>R1010</v>
      </c>
      <c r="B27" s="4" t="str">
        <v>MCM1010U</v>
      </c>
      <c r="C27" s="4" t="str">
        <v>mcm-web/src/main/java/com/daifuku/mcm/service/Mcm1010uService.java</v>
      </c>
      <c r="D27" s="4" t="str">
        <v>Web経路・実装照合</v>
      </c>
      <c r="E27" s="4" t="str">
        <v>69ec690a5b2bb5f4ae9607a0c5019459b240eb04b6a1e41ca909b6a8e2b93d0d</v>
      </c>
      <c r="F27" s="4" t="n">
        <v>230</v>
      </c>
    </row>
    <row r="28" ht="44" customHeight="1">
      <c r="A28" s="4" t="str">
        <v>R1010</v>
      </c>
      <c r="B28" s="4" t="str">
        <v>MCM1010U</v>
      </c>
      <c r="C28" s="4" t="str">
        <v>mcm-web/src/main/java/com/daifuku/mcm/repository/Mcm1010uJdbcRepository.java</v>
      </c>
      <c r="D28" s="4" t="str">
        <v>Web経路・実装照合</v>
      </c>
      <c r="E28" s="4" t="str">
        <v>f6d7dce1516b3fc842f017265c81d6876543cc597eb8fb906d25d91148f7d0b4</v>
      </c>
      <c r="F28" s="4" t="n">
        <v>258</v>
      </c>
    </row>
    <row r="29" ht="44" customHeight="1">
      <c r="A29" s="4" t="str">
        <v>R1011</v>
      </c>
      <c r="B29" s="4" t="str">
        <v>MCM1011U</v>
      </c>
      <c r="C29" s="4" t="str">
        <v>参照用/MCM_javaコンバート用/MCM_作業用/MCM_作業用/30_APPLICATION/20_CONSUMER/MCM1011U/Mcm1011uScreen.vb</v>
      </c>
      <c r="D29" s="4" t="str">
        <v>VB期待仕様</v>
      </c>
      <c r="E29" s="4" t="str">
        <v>55606ae59f5e2dc1ba74ca5298d92685f4cc75e2b6692311972fd7a637e173de</v>
      </c>
      <c r="F29" s="4" t="n">
        <v>684</v>
      </c>
    </row>
    <row r="30" ht="44" customHeight="1">
      <c r="A30" s="4" t="str">
        <v>R1011</v>
      </c>
      <c r="B30" s="4" t="str">
        <v>MCM1011U</v>
      </c>
      <c r="C30" s="4" t="str">
        <v>mcm-web/src/main/java/com/daifuku/mcm/controller/Mcm1011uController.java</v>
      </c>
      <c r="D30" s="4" t="str">
        <v>Web経路・実装照合</v>
      </c>
      <c r="E30" s="4" t="str">
        <v>1e8b4dc24b0ad4cd0b5010ff20c2b82dbb6add2801961ff51a2a780df45bc528</v>
      </c>
      <c r="F30" s="4" t="n">
        <v>346</v>
      </c>
    </row>
    <row r="31" ht="44" customHeight="1">
      <c r="A31" s="4" t="str">
        <v>R1011</v>
      </c>
      <c r="B31" s="4" t="str">
        <v>MCM1011U</v>
      </c>
      <c r="C31" s="4" t="str">
        <v>mcm-web/src/main/java/com/daifuku/mcm/service/Mcm1011uMailService.java</v>
      </c>
      <c r="D31" s="4" t="str">
        <v>Web経路・実装照合</v>
      </c>
      <c r="E31" s="4" t="str">
        <v>12901169fb62a508348813a7392a8cc3a5601f297cc08ecd9e3340ffb9c22cc7</v>
      </c>
      <c r="F31" s="4" t="n">
        <v>65</v>
      </c>
    </row>
    <row r="32" ht="44" customHeight="1">
      <c r="A32" s="4" t="str">
        <v>R1011</v>
      </c>
      <c r="B32" s="4" t="str">
        <v>MCM1011U</v>
      </c>
      <c r="C32" s="4" t="str">
        <v>mcm-web/src/main/java/com/daifuku/mcm/service/Mcm1011uNatsuinService.java</v>
      </c>
      <c r="D32" s="4" t="str">
        <v>Web経路・実装照合</v>
      </c>
      <c r="E32" s="4" t="str">
        <v>7f89a7c958090ca34e49a41fb99ccd2e6f1ca3c91a47e685ea7fb56ae4b74d3b</v>
      </c>
      <c r="F32" s="4" t="n">
        <v>215</v>
      </c>
    </row>
    <row r="33" ht="44" customHeight="1">
      <c r="A33" s="4" t="str">
        <v>R1011</v>
      </c>
      <c r="B33" s="4" t="str">
        <v>MCM1011U</v>
      </c>
      <c r="C33" s="4" t="str">
        <v>mcm-web/src/main/java/com/daifuku/mcm/service/Mcm1011uService.java</v>
      </c>
      <c r="D33" s="4" t="str">
        <v>Web経路・実装照合</v>
      </c>
      <c r="E33" s="4" t="str">
        <v>043f97b8fd73b5275ffa6680f60ade216e37816bbfd9543fcb0bdee539247474</v>
      </c>
      <c r="F33" s="4" t="n">
        <v>172</v>
      </c>
    </row>
    <row r="34" ht="44" customHeight="1">
      <c r="A34" s="4" t="str">
        <v>R1011</v>
      </c>
      <c r="B34" s="4" t="str">
        <v>MCM1011U</v>
      </c>
      <c r="C34" s="4" t="str">
        <v>mcm-web/src/main/java/com/daifuku/mcm/repository/Mcm1011uRepository.java</v>
      </c>
      <c r="D34" s="4" t="str">
        <v>Web経路・実装照合</v>
      </c>
      <c r="E34" s="4" t="str">
        <v>2fd28f28fdeed95318aacec820ceee21302131b22e00e1e87bf781a9530ca9e6</v>
      </c>
      <c r="F34" s="4" t="n">
        <v>221</v>
      </c>
    </row>
    <row r="35" ht="44" customHeight="1">
      <c r="A35" s="4" t="str">
        <v>R2006</v>
      </c>
      <c r="B35" s="4" t="str">
        <v>MCM2006U</v>
      </c>
      <c r="C35" s="4" t="str">
        <v>参照用/MCM_javaコンバート用/MCM_作業用/MCM_作業用/30_APPLICATION/30_CUSTOMER/MCM2006U/Mcm2006uScreen.vb</v>
      </c>
      <c r="D35" s="4" t="str">
        <v>VB期待仕様</v>
      </c>
      <c r="E35" s="4" t="str">
        <v>3776431454dd5f3ec9a32d3ff16f6a5e11529f1deb018120b3c89db03e1b4a9b</v>
      </c>
      <c r="F35" s="4" t="n">
        <v>972</v>
      </c>
    </row>
    <row r="36" ht="44" customHeight="1">
      <c r="A36" s="4" t="str">
        <v>R2006</v>
      </c>
      <c r="B36" s="4" t="str">
        <v>MCM2006U</v>
      </c>
      <c r="C36" s="4" t="str">
        <v>参照用/MCM_javaコンバート用/MCM_作業用/MCM_作業用/30_APPLICATION/30_CUSTOMER/MCM2006U/Mcm2006uTabControl.vb</v>
      </c>
      <c r="D36" s="4" t="str">
        <v>VB期待仕様</v>
      </c>
      <c r="E36" s="4" t="str">
        <v>ec3ef377f2978e19ebcc51aee2f65eab8a6710aaddf2ea225195896e64027d97</v>
      </c>
      <c r="F36" s="4" t="n">
        <v>1804</v>
      </c>
    </row>
    <row r="37" ht="44" customHeight="1">
      <c r="A37" s="4" t="str">
        <v>R2006</v>
      </c>
      <c r="B37" s="4" t="str">
        <v>MCM2006U</v>
      </c>
      <c r="C37" s="4" t="str">
        <v>mcm-web/src/main/java/com/daifuku/mcm/controller/Mcm2006uController.java</v>
      </c>
      <c r="D37" s="4" t="str">
        <v>Web経路・実装照合</v>
      </c>
      <c r="E37" s="4" t="str">
        <v>671071776b10b84b8203368ce432781de49c30609d88e0006c7946989b5f371b</v>
      </c>
      <c r="F37" s="4" t="n">
        <v>234</v>
      </c>
    </row>
    <row r="38" ht="44" customHeight="1">
      <c r="A38" s="4" t="str">
        <v>R2006</v>
      </c>
      <c r="B38" s="4" t="str">
        <v>MCM2006U</v>
      </c>
      <c r="C38" s="4" t="str">
        <v>mcm-web/src/main/java/com/daifuku/mcm/service/Mcm2006uService.java</v>
      </c>
      <c r="D38" s="4" t="str">
        <v>Web経路・実装照合</v>
      </c>
      <c r="E38" s="4" t="str">
        <v>946d19e5b90b85fc5297a2e4aed99c69bf140f50f192f889f2be4a690af13f9a</v>
      </c>
      <c r="F38" s="4" t="n">
        <v>512</v>
      </c>
    </row>
    <row r="39" ht="44" customHeight="1">
      <c r="A39" s="4" t="str">
        <v>R2006</v>
      </c>
      <c r="B39" s="4" t="str">
        <v>MCM2006U</v>
      </c>
      <c r="C39" s="4" t="str">
        <v>mcm-web/src/main/java/com/daifuku/mcm/repository/Mcm2006uRepository.java</v>
      </c>
      <c r="D39" s="4" t="str">
        <v>Web経路・実装照合</v>
      </c>
      <c r="E39" s="4" t="str">
        <v>5d615c710feac45e8febe962609fe17c93b4ccd9560924f6d35e08f4d87620fa</v>
      </c>
      <c r="F39" s="4" t="n">
        <v>691</v>
      </c>
    </row>
    <row r="40" ht="44" customHeight="1">
      <c r="A40" s="4" t="str">
        <v>R2007</v>
      </c>
      <c r="B40" s="4" t="str">
        <v>MCM2007U</v>
      </c>
      <c r="C40" s="4" t="str">
        <v>参照用/MCM_javaコンバート用/MCM_作業用/MCM_作業用/30_APPLICATION/30_CUSTOMER/MCM2007U/Mcm2007u2Screen.vb</v>
      </c>
      <c r="D40" s="4" t="str">
        <v>VB期待仕様</v>
      </c>
      <c r="E40" s="4" t="str">
        <v>de2da2aa968441a60569e999e6d874c70ec3a2fb8dbe34237cc2d47649c4f46a</v>
      </c>
      <c r="F40" s="4" t="n">
        <v>953</v>
      </c>
    </row>
    <row r="41" ht="44" customHeight="1">
      <c r="A41" s="4" t="str">
        <v>R2007</v>
      </c>
      <c r="B41" s="4" t="str">
        <v>MCM2007U</v>
      </c>
      <c r="C41" s="4" t="str">
        <v>参照用/MCM_javaコンバート用/MCM_作業用/MCM_作業用/30_APPLICATION/30_CUSTOMER/MCM2007U/Mcm2007uScreen.vb</v>
      </c>
      <c r="D41" s="4" t="str">
        <v>VB期待仕様</v>
      </c>
      <c r="E41" s="4" t="str">
        <v>5919dc20ebcc549b1268d4de2d40bb735262f5f7b41c19599c8fe4b42f8e5ff8</v>
      </c>
      <c r="F41" s="4" t="n">
        <v>483</v>
      </c>
    </row>
    <row r="42" ht="44" customHeight="1">
      <c r="A42" s="4" t="str">
        <v>R2007</v>
      </c>
      <c r="B42" s="4" t="str">
        <v>MCM2007U</v>
      </c>
      <c r="C42" s="4" t="str">
        <v>mcm-web/src/main/java/com/daifuku/mcm/controller/Mcm2007uController.java</v>
      </c>
      <c r="D42" s="4" t="str">
        <v>Web経路・実装照合</v>
      </c>
      <c r="E42" s="4" t="str">
        <v>401be235d8ad847f43a1ef85bd3f3946f129996cdadc070517f9e5a16625e8b5</v>
      </c>
      <c r="F42" s="4" t="n">
        <v>197</v>
      </c>
    </row>
    <row r="43" ht="44" customHeight="1">
      <c r="A43" s="4" t="str">
        <v>R2007</v>
      </c>
      <c r="B43" s="4" t="str">
        <v>MCM2007U</v>
      </c>
      <c r="C43" s="4" t="str">
        <v>mcm-web/src/main/java/com/daifuku/mcm/service/Mcm2007uService.java</v>
      </c>
      <c r="D43" s="4" t="str">
        <v>Web経路・実装照合</v>
      </c>
      <c r="E43" s="4" t="str">
        <v>67653300c08c63fe28ff220e238cfec4c82c5a8426b500101a0352eb46bb4483</v>
      </c>
      <c r="F43" s="4" t="n">
        <v>276</v>
      </c>
    </row>
    <row r="44" ht="44" customHeight="1">
      <c r="A44" s="4" t="str">
        <v>R2007</v>
      </c>
      <c r="B44" s="4" t="str">
        <v>MCM2007U</v>
      </c>
      <c r="C44" s="4" t="str">
        <v>mcm-web/src/main/java/com/daifuku/mcm/repository/Mcm2007uRepository.java</v>
      </c>
      <c r="D44" s="4" t="str">
        <v>Web経路・実装照合</v>
      </c>
      <c r="E44" s="4" t="str">
        <v>1d1560213e1efbd2c3fbd89dc8e16bbc5e0da0e5cac2572e07b53232b623de11</v>
      </c>
      <c r="F44" s="4" t="n">
        <v>119</v>
      </c>
    </row>
    <row r="45" ht="44" customHeight="1">
      <c r="A45" s="4" t="str">
        <v>R3002</v>
      </c>
      <c r="B45" s="4" t="str">
        <v>MCM3002U</v>
      </c>
      <c r="C45" s="4" t="str">
        <v>参照用/MCM_javaコンバート用/MCM_作業用/MCM_作業用/30_APPLICATION/40_ETC/MCM3002U/Mcm3002uScreen.vb</v>
      </c>
      <c r="D45" s="4" t="str">
        <v>VB期待仕様</v>
      </c>
      <c r="E45" s="4" t="str">
        <v>ac0018a90456c656c734c46320ecf8f0e2f132bc3e1ef5c3e05582f053944b5c</v>
      </c>
      <c r="F45" s="4" t="n">
        <v>222</v>
      </c>
    </row>
    <row r="46" ht="44" customHeight="1">
      <c r="A46" s="4" t="str">
        <v>R3002</v>
      </c>
      <c r="B46" s="4" t="str">
        <v>MCM3002U</v>
      </c>
      <c r="C46" s="4" t="str">
        <v>mcm-web/src/main/java/com/daifuku/mcm/controller/Mcm3002uController.java</v>
      </c>
      <c r="D46" s="4" t="str">
        <v>Web経路・実装照合</v>
      </c>
      <c r="E46" s="4" t="str">
        <v>a3547453d4907f4c344e7af81345ae7398e9f25bf1c9c8a075e201a406d14f33</v>
      </c>
      <c r="F46" s="4" t="n">
        <v>181</v>
      </c>
    </row>
    <row r="47" ht="44" customHeight="1">
      <c r="A47" s="4" t="str">
        <v>R3002</v>
      </c>
      <c r="B47" s="4" t="str">
        <v>MCM3002U</v>
      </c>
      <c r="C47" s="4" t="str">
        <v>mcm-web/src/main/java/com/daifuku/mcm/service/Mcm3002uExcelService.java</v>
      </c>
      <c r="D47" s="4" t="str">
        <v>Web経路・実装照合</v>
      </c>
      <c r="E47" s="4" t="str">
        <v>8f127d74a45100c137d625370020744e7321d143c8ca15f4ab314c25e8d99c84</v>
      </c>
      <c r="F47" s="4" t="n">
        <v>215</v>
      </c>
    </row>
    <row r="48" ht="44" customHeight="1">
      <c r="A48" s="4" t="str">
        <v>R3002</v>
      </c>
      <c r="B48" s="4" t="str">
        <v>MCM3002U</v>
      </c>
      <c r="C48" s="4" t="str">
        <v>mcm-web/src/main/java/com/daifuku/mcm/service/Mcm3002uService.java</v>
      </c>
      <c r="D48" s="4" t="str">
        <v>Web経路・実装照合</v>
      </c>
      <c r="E48" s="4" t="str">
        <v>b49f8820f94320b0a26c4933735d76cd616f39dd253918cd4251de9999613a8e</v>
      </c>
      <c r="F48" s="4" t="n">
        <v>125</v>
      </c>
    </row>
    <row r="49" ht="44" customHeight="1">
      <c r="A49" s="4" t="str">
        <v>R3002</v>
      </c>
      <c r="B49" s="4" t="str">
        <v>MCM3002U</v>
      </c>
      <c r="C49" s="4" t="str">
        <v>mcm-web/src/main/java/com/daifuku/mcm/repository/Mcm3002uRepository.java</v>
      </c>
      <c r="D49" s="4" t="str">
        <v>Web経路・実装照合</v>
      </c>
      <c r="E49" s="4" t="str">
        <v>0074d96e9df303430cbd131a47ecc6f666ba18fa4e95395cd9ee2c3b40074965</v>
      </c>
      <c r="F49" s="4" t="n">
        <v>135</v>
      </c>
    </row>
    <row r="50" ht="44" customHeight="1">
      <c r="A50" s="4" t="str">
        <v>R3003</v>
      </c>
      <c r="B50" s="4" t="str">
        <v>MCM3003U</v>
      </c>
      <c r="C50" s="4" t="str">
        <v>参照用/MCM_javaコンバート用/MCM_作業用/MCM_作業用/30_APPLICATION/40_ETC/MCM3003U/Mcm3003uScreen.vb</v>
      </c>
      <c r="D50" s="4" t="str">
        <v>VB期待仕様</v>
      </c>
      <c r="E50" s="4" t="str">
        <v>a07e18af1ae3151494e34ceb07da3494be770002ec4411898a94edc868310d3c</v>
      </c>
      <c r="F50" s="4" t="n">
        <v>292</v>
      </c>
    </row>
    <row r="51" ht="44" customHeight="1">
      <c r="A51" s="4" t="str">
        <v>R3003</v>
      </c>
      <c r="B51" s="4" t="str">
        <v>MCM3003U</v>
      </c>
      <c r="C51" s="4" t="str">
        <v>mcm-web/src/main/java/com/daifuku/mcm/controller/Mcm3003uController.java</v>
      </c>
      <c r="D51" s="4" t="str">
        <v>Web経路・実装照合</v>
      </c>
      <c r="E51" s="4" t="str">
        <v>7585f81d3e6d0040b8fafa7c11c94967e8a01501d6e04e81d31663ffad18d5b3</v>
      </c>
      <c r="F51" s="4" t="n">
        <v>244</v>
      </c>
    </row>
    <row r="52" ht="44" customHeight="1">
      <c r="A52" s="4" t="str">
        <v>R3003</v>
      </c>
      <c r="B52" s="4" t="str">
        <v>MCM3003U</v>
      </c>
      <c r="C52" s="4" t="str">
        <v>mcm-web/src/main/java/com/daifuku/mcm/service/Mcm3003uExcelService.java</v>
      </c>
      <c r="D52" s="4" t="str">
        <v>Web経路・実装照合</v>
      </c>
      <c r="E52" s="4" t="str">
        <v>2d225fa9ed4e6ccc19a70494e69f5ba12333f6948dad9aa2d301981fde4711a8</v>
      </c>
      <c r="F52" s="4" t="n">
        <v>445</v>
      </c>
    </row>
    <row r="53" ht="44" customHeight="1">
      <c r="A53" s="4" t="str">
        <v>R3003</v>
      </c>
      <c r="B53" s="4" t="str">
        <v>MCM3003U</v>
      </c>
      <c r="C53" s="4" t="str">
        <v>mcm-web/src/main/java/com/daifuku/mcm/service/Mcm3003uService.java</v>
      </c>
      <c r="D53" s="4" t="str">
        <v>Web経路・実装照合</v>
      </c>
      <c r="E53" s="4" t="str">
        <v>8739acf2f661433f7106f2755a4343d0badbb2ae1ca53b5abed98aeead6d6b0e</v>
      </c>
      <c r="F53" s="4" t="n">
        <v>186</v>
      </c>
    </row>
    <row r="54" ht="44" customHeight="1">
      <c r="A54" s="4" t="str">
        <v>R3003</v>
      </c>
      <c r="B54" s="4" t="str">
        <v>MCM3003U</v>
      </c>
      <c r="C54" s="4" t="str">
        <v>mcm-web/src/main/java/com/daifuku/mcm/repository/Mcm3003uRepository.java</v>
      </c>
      <c r="D54" s="4" t="str">
        <v>Web経路・実装照合</v>
      </c>
      <c r="E54" s="4" t="str">
        <v>00db1ca9d48615808159c9dcd28c9a943943d08f6c4f139a1824ab165260079f</v>
      </c>
      <c r="F54" s="4" t="n">
        <v>150</v>
      </c>
    </row>
    <row r="55" ht="44" customHeight="1">
      <c r="A55" s="4" t="str">
        <v>R3003</v>
      </c>
      <c r="B55" s="4" t="str">
        <v>MCM3003U</v>
      </c>
      <c r="C55" s="4" t="str">
        <v>mcm-web/src/main/resources/sql/mcm3003u/search_tenken.sql</v>
      </c>
      <c r="D55" s="4" t="str">
        <v>Web経路・実装照合</v>
      </c>
      <c r="E55" s="4" t="str">
        <v>3238111a95f0b2aff59e09cce84df85a5825e965c573754807eb4a6ebd8202dc</v>
      </c>
      <c r="F55" s="4" t="n">
        <v>140</v>
      </c>
    </row>
    <row r="56" ht="44" customHeight="1">
      <c r="A56" s="4" t="str">
        <v>R3004</v>
      </c>
      <c r="B56" s="4" t="str">
        <v>MCM3004U</v>
      </c>
      <c r="C56" s="4" t="str">
        <v>参照用/MCM_javaコンバート用/MCM_作業用/MCM_作業用/30_APPLICATION/40_ETC/MCM3004U/Mcm3004uScreen.vb</v>
      </c>
      <c r="D56" s="4" t="str">
        <v>VB期待仕様</v>
      </c>
      <c r="E56" s="4" t="str">
        <v>36be8c7edbb8393bd1dca73d734cc072216dc0a220dcc834b91bdb753ae6b4a4</v>
      </c>
      <c r="F56" s="4" t="n">
        <v>736</v>
      </c>
    </row>
    <row r="57" ht="44" customHeight="1">
      <c r="A57" s="4" t="str">
        <v>R3004</v>
      </c>
      <c r="B57" s="4" t="str">
        <v>MCM3004U</v>
      </c>
      <c r="C57" s="4" t="str">
        <v>mcm-web/src/main/java/com/daifuku/mcm/controller/Mcm3004uController.java</v>
      </c>
      <c r="D57" s="4" t="str">
        <v>Web経路・実装照合</v>
      </c>
      <c r="E57" s="4" t="str">
        <v>0aaeb8f4045a583027946a13b82215846d418c704061c3ff2b40820091e6a57e</v>
      </c>
      <c r="F57" s="4" t="n">
        <v>295</v>
      </c>
    </row>
    <row r="58" ht="44" customHeight="1">
      <c r="A58" s="4" t="str">
        <v>R3004</v>
      </c>
      <c r="B58" s="4" t="str">
        <v>MCM3004U</v>
      </c>
      <c r="C58" s="4" t="str">
        <v>mcm-web/src/main/java/com/daifuku/mcm/service/Mcm3004pExcelService.java</v>
      </c>
      <c r="D58" s="4" t="str">
        <v>Web経路・実装照合</v>
      </c>
      <c r="E58" s="4" t="str">
        <v>220daa35f0cb446bec9d1242ad6b86c478233933e64210a58b785d58c8be3672</v>
      </c>
      <c r="F58" s="4" t="n">
        <v>446</v>
      </c>
    </row>
    <row r="59" ht="44" customHeight="1">
      <c r="A59" s="4" t="str">
        <v>R3004</v>
      </c>
      <c r="B59" s="4" t="str">
        <v>MCM3004U</v>
      </c>
      <c r="C59" s="4" t="str">
        <v>mcm-web/src/main/java/com/daifuku/mcm/service/Mcm3004uService.java</v>
      </c>
      <c r="D59" s="4" t="str">
        <v>Web経路・実装照合</v>
      </c>
      <c r="E59" s="4" t="str">
        <v>27d7f21446a3f95b6ed254bee3ad7f4329d4b5acf057e2e97a4353a9b35bc701</v>
      </c>
      <c r="F59" s="4" t="n">
        <v>244</v>
      </c>
    </row>
    <row r="60" ht="44" customHeight="1">
      <c r="A60" s="4" t="str">
        <v>R3004</v>
      </c>
      <c r="B60" s="4" t="str">
        <v>MCM3004U</v>
      </c>
      <c r="C60" s="4" t="str">
        <v>mcm-web/src/main/java/com/daifuku/mcm/repository/Mcm3004uRepository.java</v>
      </c>
      <c r="D60" s="4" t="str">
        <v>Web経路・実装照合</v>
      </c>
      <c r="E60" s="4" t="str">
        <v>5a49a646b166ef283c83ae700698ed7765248048f6b401fc02116d7a4fd96a1e</v>
      </c>
      <c r="F60" s="4" t="n">
        <v>677</v>
      </c>
    </row>
    <row r="61" ht="44" customHeight="1">
      <c r="A61" s="4" t="str">
        <v>R3005</v>
      </c>
      <c r="B61" s="4" t="str">
        <v>MCM3005U</v>
      </c>
      <c r="C61" s="4" t="str">
        <v>参照用/MCM_javaコンバート用/MCM_作業用/MCM_作業用/30_APPLICATION/40_ETC/MCM3005U/Mcm3005uScreen.vb</v>
      </c>
      <c r="D61" s="4" t="str">
        <v>VB期待仕様</v>
      </c>
      <c r="E61" s="4" t="str">
        <v>454df2a21a42c41a83069a0abeff67c2ffb9f7396fdbb44dc9bef826914b3e20</v>
      </c>
      <c r="F61" s="4" t="n">
        <v>398</v>
      </c>
    </row>
    <row r="62" ht="44" customHeight="1">
      <c r="A62" s="4" t="str">
        <v>R3005</v>
      </c>
      <c r="B62" s="4" t="str">
        <v>MCM3005U</v>
      </c>
      <c r="C62" s="4" t="str">
        <v>mcm-web/src/main/java/com/daifuku/mcm/controller/Mcm3005uController.java</v>
      </c>
      <c r="D62" s="4" t="str">
        <v>Web経路・実装照合</v>
      </c>
      <c r="E62" s="4" t="str">
        <v>6f9f730aebdc06e5c31f0b7d37f2a292bfeab48be853d6b554fb58f6a22025a7</v>
      </c>
      <c r="F62" s="4" t="n">
        <v>418</v>
      </c>
    </row>
    <row r="63" ht="44" customHeight="1">
      <c r="A63" s="4" t="str">
        <v>R3005</v>
      </c>
      <c r="B63" s="4" t="str">
        <v>MCM3005U</v>
      </c>
      <c r="C63" s="4" t="str">
        <v>mcm-web/src/main/java/com/daifuku/mcm/service/Mcm3005uAttachmentService.java</v>
      </c>
      <c r="D63" s="4" t="str">
        <v>Web経路・実装照合</v>
      </c>
      <c r="E63" s="4" t="str">
        <v>f5cf678936bdeedb9563914e9d453ef85be0ef902e58461b4a98fe70a7729f7e</v>
      </c>
      <c r="F63" s="4" t="n">
        <v>255</v>
      </c>
    </row>
    <row r="64" ht="44" customHeight="1">
      <c r="A64" s="4" t="str">
        <v>R3005</v>
      </c>
      <c r="B64" s="4" t="str">
        <v>MCM3005U</v>
      </c>
      <c r="C64" s="4" t="str">
        <v>mcm-web/src/main/java/com/daifuku/mcm/service/Mcm3005uService.java</v>
      </c>
      <c r="D64" s="4" t="str">
        <v>Web経路・実装照合</v>
      </c>
      <c r="E64" s="4" t="str">
        <v>9fe8576fbbe1528a045f265368b7c9ab195d524c43517b49c945488cffcc1b58</v>
      </c>
      <c r="F64" s="4" t="n">
        <v>291</v>
      </c>
    </row>
    <row r="65" ht="44" customHeight="1">
      <c r="A65" s="4" t="str">
        <v>R3005</v>
      </c>
      <c r="B65" s="4" t="str">
        <v>MCM3005U</v>
      </c>
      <c r="C65" s="4" t="str">
        <v>mcm-web/src/main/java/com/daifuku/mcm/repository/Mcm3005uRepository.java</v>
      </c>
      <c r="D65" s="4" t="str">
        <v>Web経路・実装照合</v>
      </c>
      <c r="E65" s="4" t="str">
        <v>27a0f3d16bd04f74d06c6ae8a91fc26a2f8e147a0bff0f4ab4f35e236fada579</v>
      </c>
      <c r="F65" s="4" t="n">
        <v>314</v>
      </c>
    </row>
    <row r="66" ht="44" customHeight="1">
      <c r="A66" s="4" t="str">
        <v>R3007</v>
      </c>
      <c r="B66" s="4" t="str">
        <v>MCM3007U</v>
      </c>
      <c r="C66" s="4" t="str">
        <v>参照用/MCM_javaコンバート用/MCM_作業用/MCM_作業用/30_APPLICATION/40_ETC/MCM3007U/Mcm3007uScreen.vb</v>
      </c>
      <c r="D66" s="4" t="str">
        <v>VB期待仕様</v>
      </c>
      <c r="E66" s="4" t="str">
        <v>488c1f09bf1807b32498079e000fb5ec615359a9c15ad150b262bc6f049e0e5a</v>
      </c>
      <c r="F66" s="4" t="n">
        <v>600</v>
      </c>
    </row>
    <row r="67" ht="44" customHeight="1">
      <c r="A67" s="4" t="str">
        <v>R3007</v>
      </c>
      <c r="B67" s="4" t="str">
        <v>MCM3007U</v>
      </c>
      <c r="C67" s="4" t="str">
        <v>mcm-web/src/main/java/com/daifuku/mcm/controller/Mcm3007uController.java</v>
      </c>
      <c r="D67" s="4" t="str">
        <v>Web経路・実装照合</v>
      </c>
      <c r="E67" s="4" t="str">
        <v>538ce4fdc03022b8900be29b907a6fcba1801e7956cc54d27680059aaf3bcc87</v>
      </c>
      <c r="F67" s="4" t="n">
        <v>71</v>
      </c>
    </row>
    <row r="68" ht="44" customHeight="1">
      <c r="A68" s="4" t="str">
        <v>R3007</v>
      </c>
      <c r="B68" s="4" t="str">
        <v>MCM3007U</v>
      </c>
      <c r="C68" s="4" t="str">
        <v>mcm-web/src/main/java/com/daifuku/mcm/service/Mcm3007uService.java</v>
      </c>
      <c r="D68" s="4" t="str">
        <v>Web経路・実装照合</v>
      </c>
      <c r="E68" s="4" t="str">
        <v>28d6397cc0a3166b5c8efe80c0b230e3c46ba9b7b423c51f464e8c857ed6f61e</v>
      </c>
      <c r="F68" s="4" t="n">
        <v>71</v>
      </c>
    </row>
    <row r="69" ht="44" customHeight="1">
      <c r="A69" s="4" t="str">
        <v>R3007</v>
      </c>
      <c r="B69" s="4" t="str">
        <v>MCM3007U</v>
      </c>
      <c r="C69" s="4" t="str">
        <v>mcm-web/src/main/java/com/daifuku/mcm/repository/Mcm3007uRepository.java</v>
      </c>
      <c r="D69" s="4" t="str">
        <v>Web経路・実装照合</v>
      </c>
      <c r="E69" s="4" t="str">
        <v>f6553f1254461b620cf86b62bcaa864f88e746bba340c265d73bb77a2c3ac768</v>
      </c>
      <c r="F69" s="4" t="n">
        <v>106</v>
      </c>
    </row>
    <row r="70" ht="44" customHeight="1">
      <c r="A70" s="4" t="str">
        <v>R3008</v>
      </c>
      <c r="B70" s="4" t="str">
        <v>MCM3008U</v>
      </c>
      <c r="C70" s="4" t="str">
        <v>参照用/MCM_javaコンバート用/MCM_作業用/MCM_作業用/30_APPLICATION/40_ETC/MCM3008U/Mcm3008uScreen.vb</v>
      </c>
      <c r="D70" s="4" t="str">
        <v>VB期待仕様</v>
      </c>
      <c r="E70" s="4" t="str">
        <v>b01fc164d03a6ba33de23eed8a3c7476ca796ff620431153b56a0a7dfa0ad983</v>
      </c>
      <c r="F70" s="4" t="n">
        <v>164</v>
      </c>
    </row>
    <row r="71" ht="44" customHeight="1">
      <c r="A71" s="4" t="str">
        <v>R3008</v>
      </c>
      <c r="B71" s="4" t="str">
        <v>MCM3008U</v>
      </c>
      <c r="C71" s="4" t="str">
        <v>mcm-web/src/main/java/com/daifuku/mcm/controller/Mcm3008uController.java</v>
      </c>
      <c r="D71" s="4" t="str">
        <v>Web経路・実装照合</v>
      </c>
      <c r="E71" s="4" t="str">
        <v>dbba7d1a6af4065806e4eae275465dbe1efa58284eb9bcffc7aed3569c61c51d</v>
      </c>
      <c r="F71" s="4" t="n">
        <v>166</v>
      </c>
    </row>
    <row r="72" ht="44" customHeight="1">
      <c r="A72" s="4" t="str">
        <v>R3008</v>
      </c>
      <c r="B72" s="4" t="str">
        <v>MCM3008U</v>
      </c>
      <c r="C72" s="4" t="str">
        <v>mcm-web/src/main/java/com/daifuku/mcm/service/Mcm3008uService.java</v>
      </c>
      <c r="D72" s="4" t="str">
        <v>Web経路・実装照合</v>
      </c>
      <c r="E72" s="4" t="str">
        <v>d87200cdf0f0feeeb93773f7ea7af7bceb8565569f64b25c13f3308e27449908</v>
      </c>
      <c r="F72" s="4" t="n">
        <v>93</v>
      </c>
    </row>
    <row r="73" ht="44" customHeight="1">
      <c r="A73" s="4" t="str">
        <v>R3008</v>
      </c>
      <c r="B73" s="4" t="str">
        <v>MCM3008U</v>
      </c>
      <c r="C73" s="4" t="str">
        <v>mcm-web/src/main/java/com/daifuku/mcm/repository/Mcm3008uRepository.java</v>
      </c>
      <c r="D73" s="4" t="str">
        <v>Web経路・実装照合</v>
      </c>
      <c r="E73" s="4" t="str">
        <v>91e690e410d81e01db45b902aa47e6bc2eb7ad98e7667b76c1acb24295a533bc</v>
      </c>
      <c r="F73" s="4" t="n">
        <v>198</v>
      </c>
    </row>
    <row r="74" ht="44" customHeight="1">
      <c r="A74" s="4" t="str">
        <v>R2006</v>
      </c>
      <c r="B74" s="4" t="str">
        <v>補助根拠</v>
      </c>
      <c r="C74" s="4" t="str">
        <v>mcm-web/src/main/java/com/daifuku/mcm/common/Mcm2006uFields.java</v>
      </c>
      <c r="D74" s="4" t="str">
        <v>補助実装・共通仕様</v>
      </c>
      <c r="E74" s="4" t="str">
        <v>f426897b4828b6c683bed4a4711eaa8989b0816e62436e3e79047b9d97f802d9</v>
      </c>
      <c r="F74" s="4" t="n">
        <v>147</v>
      </c>
    </row>
    <row r="75" ht="44" customHeight="1">
      <c r="A75" s="4" t="str">
        <v>R1011</v>
      </c>
      <c r="B75" s="4" t="str">
        <v>補助根拠</v>
      </c>
      <c r="C75" s="4" t="str">
        <v>mcm-web/src/main/java/com/daifuku/mcm/service/Mcm1011uMailService.java</v>
      </c>
      <c r="D75" s="4" t="str">
        <v>補助実装・共通仕様</v>
      </c>
      <c r="E75" s="4" t="str">
        <v>12901169fb62a508348813a7392a8cc3a5601f297cc08ecd9e3340ffb9c22cc7</v>
      </c>
      <c r="F75" s="4" t="n">
        <v>65</v>
      </c>
    </row>
    <row r="76" ht="44" customHeight="1">
      <c r="A76" s="4" t="str">
        <v>R1011</v>
      </c>
      <c r="B76" s="4" t="str">
        <v>補助根拠</v>
      </c>
      <c r="C76" s="4" t="str">
        <v>mcm-web/src/main/java/com/daifuku/mcm/service/Mcm1011uNatsuinService.java</v>
      </c>
      <c r="D76" s="4" t="str">
        <v>補助実装・共通仕様</v>
      </c>
      <c r="E76" s="4" t="str">
        <v>7f89a7c958090ca34e49a41fb99ccd2e6f1ca3c91a47e685ea7fb56ae4b74d3b</v>
      </c>
      <c r="F76" s="4" t="n">
        <v>215</v>
      </c>
    </row>
    <row r="77" ht="44" customHeight="1">
      <c r="A77" s="4" t="str">
        <v>R3002</v>
      </c>
      <c r="B77" s="4" t="str">
        <v>補助根拠</v>
      </c>
      <c r="C77" s="4" t="str">
        <v>mcm-web/src/main/java/com/daifuku/mcm/service/Mcm3002uExcelService.java</v>
      </c>
      <c r="D77" s="4" t="str">
        <v>補助実装・共通仕様</v>
      </c>
      <c r="E77" s="4" t="str">
        <v>8f127d74a45100c137d625370020744e7321d143c8ca15f4ab314c25e8d99c84</v>
      </c>
      <c r="F77" s="4" t="n">
        <v>215</v>
      </c>
    </row>
    <row r="78" ht="44" customHeight="1">
      <c r="A78" s="4" t="str">
        <v>R3003</v>
      </c>
      <c r="B78" s="4" t="str">
        <v>補助根拠</v>
      </c>
      <c r="C78" s="4" t="str">
        <v>mcm-web/src/main/java/com/daifuku/mcm/service/Mcm3003uExcelService.java</v>
      </c>
      <c r="D78" s="4" t="str">
        <v>補助実装・共通仕様</v>
      </c>
      <c r="E78" s="4" t="str">
        <v>2d225fa9ed4e6ccc19a70494e69f5ba12333f6948dad9aa2d301981fde4711a8</v>
      </c>
      <c r="F78" s="4" t="n">
        <v>445</v>
      </c>
    </row>
    <row r="79" ht="44" customHeight="1">
      <c r="A79" s="4" t="str">
        <v>R3004</v>
      </c>
      <c r="B79" s="4" t="str">
        <v>補助根拠</v>
      </c>
      <c r="C79" s="4" t="str">
        <v>mcm-web/src/main/java/com/daifuku/mcm/service/Mcm3004pExcelService.java</v>
      </c>
      <c r="D79" s="4" t="str">
        <v>補助実装・共通仕様</v>
      </c>
      <c r="E79" s="4" t="str">
        <v>220daa35f0cb446bec9d1242ad6b86c478233933e64210a58b785d58c8be3672</v>
      </c>
      <c r="F79" s="4" t="n">
        <v>446</v>
      </c>
    </row>
    <row r="80" ht="44" customHeight="1">
      <c r="A80" s="4" t="str">
        <v>R共通</v>
      </c>
      <c r="B80" s="4" t="str">
        <v>補助根拠</v>
      </c>
      <c r="C80" s="4" t="str">
        <v>mcm-web/src/main/java/com/daifuku/mcm/config/ScreenAuthorityInterceptor.java</v>
      </c>
      <c r="D80" s="4" t="str">
        <v>補助実装・共通仕様</v>
      </c>
      <c r="E80" s="4" t="str">
        <v>7675eaf40ec2ff9a151c56f9c45dc28928d3a058a49be890ae2c7809670451a9</v>
      </c>
      <c r="F80" s="4" t="n">
        <v>124</v>
      </c>
    </row>
    <row r="81" ht="44" customHeight="1">
      <c r="A81" s="4" t="str">
        <v>R共通</v>
      </c>
      <c r="B81" s="4" t="str">
        <v>補助根拠</v>
      </c>
      <c r="C81" s="4" t="str">
        <v>mcm-web/src/main/resources/templates/mcm3006u/index.html</v>
      </c>
      <c r="D81" s="4" t="str">
        <v>補助実装・共通仕様</v>
      </c>
      <c r="E81" s="4" t="str">
        <v>40cba62c47e7d4c90454cfd12f4c8197b724f7e273fcecfaf28bb96bb43bc8da</v>
      </c>
      <c r="F81" s="4" t="n">
        <v>2265</v>
      </c>
    </row>
    <row r="82" ht="44" customHeight="1">
      <c r="A82" s="4" t="str">
        <v>R共通</v>
      </c>
      <c r="B82" s="4" t="str">
        <v>補助根拠</v>
      </c>
      <c r="C82" s="4" t="str">
        <v>参照用/共通仕様/新MCM用_共通.md</v>
      </c>
      <c r="D82" s="4" t="str">
        <v>補助実装・共通仕様</v>
      </c>
      <c r="E82" s="4" t="str">
        <v>4b385bd4b056edfd3a5108e1a244c6feb9e2eeec0d60163b2abd3dd53c41b730</v>
      </c>
      <c r="F82" s="4" t="n">
        <v>471</v>
      </c>
    </row>
    <row r="83" ht="48" customHeight="1">
      <c r="A83" s="4" t="str">
        <v>R3002</v>
      </c>
      <c r="B83" s="4" t="str">
        <v>VB抽出条件</v>
      </c>
      <c r="C83" s="4" t="str">
        <v>参照用/MCM_javaコンバート用/MCM_作業用/MCM_作業用/30_APPLICATION/40_ETC/MCM3002U/Mcm3002u_MCM_TK_SIHARAI_VTableAdapter.xml</v>
      </c>
      <c r="D83" s="4" t="str">
        <v>検索式・境界・出力用の投影列</v>
      </c>
      <c r="E83" s="4" t="str">
        <v>4cf5bd7cfd3d85a6670b76e47c801c5d78f8b1a13cd8737b4033b83f92017a5d</v>
      </c>
      <c r="F83" s="4" t="n">
        <v>45</v>
      </c>
    </row>
    <row r="84" ht="48" customHeight="1">
      <c r="A84" s="4" t="str">
        <v>R3003</v>
      </c>
      <c r="B84" s="4" t="str">
        <v>VB抽出条件</v>
      </c>
      <c r="C84" s="4" t="str">
        <v>参照用/MCM_javaコンバート用/MCM_作業用/MCM_作業用/30_APPLICATION/40_ETC/MCM3003U/Mcm3003u_MCM_TK_TENKEN_VTableAdapter.xml</v>
      </c>
      <c r="D84" s="4" t="str">
        <v>検索式・境界・出力用の投影列</v>
      </c>
      <c r="E84" s="4" t="str">
        <v>45ff5bc937ed1361218201fb562e22df521ebc2cf17c8ff2b275e87bccecbbd4</v>
      </c>
      <c r="F84" s="4" t="n">
        <v>54</v>
      </c>
    </row>
    <row r="85" ht="48" customHeight="1">
      <c r="A85" s="4" t="str">
        <v>R3004</v>
      </c>
      <c r="B85" s="4" t="str">
        <v>VB抽出条件</v>
      </c>
      <c r="C85" s="4" t="str">
        <v>参照用/MCM_javaコンバート用/MCM_作業用/MCM_作業用/30_APPLICATION/40_ETC/MCM3004U/Mcm3004u_MCM_ALERT1_VTableAdapter.xml</v>
      </c>
      <c r="D85" s="4" t="str">
        <v>検索式・境界・出力用の投影列</v>
      </c>
      <c r="E85" s="4" t="str">
        <v>6d40aeb8b0e7c7bbd9bebef023811705b96669899e908ec80f61f5a94965b24a</v>
      </c>
      <c r="F85" s="4" t="n">
        <v>36</v>
      </c>
    </row>
    <row r="86" ht="48" customHeight="1">
      <c r="A86" s="4" t="str">
        <v>R3004</v>
      </c>
      <c r="B86" s="4" t="str">
        <v>VB抽出条件</v>
      </c>
      <c r="C86" s="4" t="str">
        <v>参照用/MCM_javaコンバート用/MCM_作業用/MCM_作業用/30_APPLICATION/40_ETC/MCM3004U/Mcm3004u_MCM_ALERT2_VTableAdapter.xml</v>
      </c>
      <c r="D86" s="4" t="str">
        <v>検索式・境界・出力用の投影列</v>
      </c>
      <c r="E86" s="4" t="str">
        <v>afad41da1ac416157e5018f55550bdef7db4062a910b188d9d106ff34e4cf808</v>
      </c>
      <c r="F86" s="4" t="n">
        <v>41</v>
      </c>
    </row>
    <row r="87" ht="48" customHeight="1">
      <c r="A87" s="4" t="str">
        <v>R3004</v>
      </c>
      <c r="B87" s="4" t="str">
        <v>VB抽出条件</v>
      </c>
      <c r="C87" s="4" t="str">
        <v>参照用/MCM_javaコンバート用/MCM_作業用/MCM_作業用/30_APPLICATION/40_ETC/MCM3004U/Mcm3004u_MCM_ALERT3_VTableAdapter.xml</v>
      </c>
      <c r="D87" s="4" t="str">
        <v>検索式・境界・出力用の投影列</v>
      </c>
      <c r="E87" s="4" t="str">
        <v>b5c1cd0e19ba6a16ba81ef87463822d4bf95a78b2f5cb7bce14e4b5477618065</v>
      </c>
      <c r="F87" s="4" t="n">
        <v>44</v>
      </c>
    </row>
    <row r="88" ht="48" customHeight="1">
      <c r="A88" s="4" t="str">
        <v>R3004</v>
      </c>
      <c r="B88" s="4" t="str">
        <v>VB抽出条件</v>
      </c>
      <c r="C88" s="4" t="str">
        <v>参照用/MCM_javaコンバート用/MCM_作業用/MCM_作業用/30_APPLICATION/40_ETC/MCM3004U/Mcm3004u_MCM_ALERT4_VTableAdapter.xml</v>
      </c>
      <c r="D88" s="4" t="str">
        <v>検索式・境界・出力用の投影列</v>
      </c>
      <c r="E88" s="4" t="str">
        <v>0a351662c1de0a5a76f6f66c01f217b7d3502cc6c92217f25cfc392201f5171b</v>
      </c>
      <c r="F88" s="4" t="n">
        <v>42</v>
      </c>
    </row>
    <row r="89" ht="48" customHeight="1">
      <c r="A89" s="4" t="str">
        <v>R3004</v>
      </c>
      <c r="B89" s="4" t="str">
        <v>VB抽出条件</v>
      </c>
      <c r="C89" s="4" t="str">
        <v>参照用/MCM_javaコンバート用/MCM_作業用/MCM_作業用/30_APPLICATION/40_ETC/MCM3004U/Mcm3004u_MCM_ALERT5_V_TKATableAdapter.xml</v>
      </c>
      <c r="D89" s="4" t="str">
        <v>検索式・境界・出力用の投影列</v>
      </c>
      <c r="E89" s="4" t="str">
        <v>d7b0a8259fb2b78e9ca7561d4d674bf455dbd38a627eba5f88cb303282e9e4b9</v>
      </c>
      <c r="F89" s="4" t="n">
        <v>48</v>
      </c>
    </row>
    <row r="90" ht="48" customHeight="1">
      <c r="A90" s="4" t="str">
        <v>R3004</v>
      </c>
      <c r="B90" s="4" t="str">
        <v>VB抽出条件</v>
      </c>
      <c r="C90" s="4" t="str">
        <v>参照用/MCM_javaコンバート用/MCM_作業用/MCM_作業用/30_APPLICATION/40_ETC/MCM3004U/Mcm3004u_MCM_ALERT5_V_UKATableAdapter.xml</v>
      </c>
      <c r="D90" s="4" t="str">
        <v>検索式・境界・出力用の投影列</v>
      </c>
      <c r="E90" s="4" t="str">
        <v>e3bed7ae6489cf08fef1aee38c7e805d5bf1ba8440edc00d22806d859a612ecf</v>
      </c>
      <c r="F90" s="4" t="n">
        <v>48</v>
      </c>
    </row>
    <row r="91" ht="48" customHeight="1">
      <c r="A91" s="4" t="str">
        <v>R3004</v>
      </c>
      <c r="B91" s="4" t="str">
        <v>VB抽出条件</v>
      </c>
      <c r="C91" s="4" t="str">
        <v>参照用/MCM_javaコンバート用/MCM_作業用/MCM_作業用/30_APPLICATION/40_ETC/MCM3004U/Mcm3004u_MCM_ALERT6_VTableAdapter.xml</v>
      </c>
      <c r="D91" s="4" t="str">
        <v>検索式・境界・出力用の投影列</v>
      </c>
      <c r="E91" s="4" t="str">
        <v>791186ba09421522d855e61cb81a945ec28f5d53c084481cd8a43d558cafac86</v>
      </c>
      <c r="F91" s="4" t="n">
        <v>37</v>
      </c>
    </row>
    <row r="92" ht="48" customHeight="1">
      <c r="A92" s="4" t="str">
        <v>R3004</v>
      </c>
      <c r="B92" s="4" t="str">
        <v>VB抽出条件</v>
      </c>
      <c r="C92" s="4" t="str">
        <v>参照用/MCM_javaコンバート用/MCM_作業用/MCM_作業用/30_APPLICATION/40_ETC/MCM3004U/Mcm3004u_MCM_ALERT8_VTableAdapter.xml</v>
      </c>
      <c r="D92" s="4" t="str">
        <v>検索式・境界・出力用の投影列</v>
      </c>
      <c r="E92" s="4" t="str">
        <v>f9414c18e6809a103c2be9fe79bc79a5d48c29e063d54d6b944d0d36bd8b0d76</v>
      </c>
      <c r="F92" s="4" t="n">
        <v>39</v>
      </c>
    </row>
    <row r="93" ht="48" customHeight="1">
      <c r="A93" s="4" t="str">
        <v>R3004</v>
      </c>
      <c r="B93" s="4" t="str">
        <v>VB抽出条件</v>
      </c>
      <c r="C93" s="4" t="str">
        <v>参照用/MCM_javaコンバート用/MCM_作業用/MCM_作業用/30_APPLICATION/40_ETC/MCM3004U/Mcm3004u_MCM_ALERT9_VTableAdapter.xml</v>
      </c>
      <c r="D93" s="4" t="str">
        <v>検索式・境界・出力用の投影列</v>
      </c>
      <c r="E93" s="4" t="str">
        <v>015a298420b6cb4b3b12427c0c4cb53ce39e71a5f76fd9dfdb8be57466c08b1c</v>
      </c>
      <c r="F93" s="4" t="n">
        <v>72</v>
      </c>
    </row>
    <row r="94" ht="48" customHeight="1">
      <c r="A94" s="4" t="str">
        <v>R3004</v>
      </c>
      <c r="B94" s="4" t="str">
        <v>VB抽出条件</v>
      </c>
      <c r="C94" s="4" t="str">
        <v>参照用/MCM_javaコンバート用/MCM_作業用/MCM_作業用/30_APPLICATION/40_ETC/MCM3004U/Mcm3004u_MCM_MO_SAGYOYOTEITableAdapter.xml</v>
      </c>
      <c r="D94" s="4" t="str">
        <v>検索式・境界・出力用の投影列</v>
      </c>
      <c r="E94" s="4" t="str">
        <v>aed22e4e5acaef2a5759e9ec9e777853bdd4daf79a1e0439fe19cecf71051b36</v>
      </c>
      <c r="F94" s="4" t="n">
        <v>32</v>
      </c>
    </row>
    <row r="95" ht="48" customHeight="1">
      <c r="A95" s="4" t="str">
        <v>R1009</v>
      </c>
      <c r="B95" s="4" t="str">
        <v>VB抽出条件</v>
      </c>
      <c r="C95" s="4" t="str">
        <v>参照用/MCM_javaコンバート用/MCM_作業用/MCM_作業用/30_APPLICATION/20_CONSUMER/MCM1009U/Mcm1009u_MCM_1003_VTableAdapter.xml</v>
      </c>
      <c r="D95" s="4" t="str">
        <v>検索式・境界・出力用の投影列</v>
      </c>
      <c r="E95" s="4" t="str">
        <v>131b78ea2b02f8efbce8ddfb82be96d0d7a65b71167b605b92bd08f01a1c9d15</v>
      </c>
      <c r="F95" s="4" t="n">
        <v>80</v>
      </c>
    </row>
    <row r="96" ht="48" customHeight="1">
      <c r="A96" s="4" t="str">
        <v>R1010</v>
      </c>
      <c r="B96" s="4" t="str">
        <v>VB抽出条件</v>
      </c>
      <c r="C96" s="4" t="str">
        <v>参照用/MCM_javaコンバート用/MCM_作業用/MCM_作業用/30_APPLICATION/20_CONSUMER/MCM1010U/Mcm1010u_MCM_1003_VTableAdapter.xml</v>
      </c>
      <c r="D96" s="4" t="str">
        <v>検索式・境界・出力用の投影列</v>
      </c>
      <c r="E96" s="4" t="str">
        <v>63341fe1bfcea00c86faa6d8c42e0fc8d3a89a857d176beb94f3da7515fa0501</v>
      </c>
      <c r="F96" s="4" t="n">
        <v>90</v>
      </c>
    </row>
    <row r="97" ht="44" customHeight="1">
      <c r="A97" s="4" t="str">
        <v>U261002</v>
      </c>
      <c r="B97" s="4" t="str">
        <v>単体照合基準</v>
      </c>
      <c r="C97" s="4" t="str">
        <v>参照用/仕様書作成資料/03_単体テスト仕様書/MCM契・解約機能_単体テスト仕様書(261002版).xlsx</v>
      </c>
      <c r="D97" s="4" t="str">
        <v>6画面150ケース。実施結果は結合へ転記しない。</v>
      </c>
      <c r="E97" s="4" t="str">
        <v>ba94f4fc85d9695a6bb3a55e661451a55a038b16e9cfed5a1ecfb3eaea9af78c</v>
      </c>
      <c r="F97" s="4" t="n">
        <v>150</v>
      </c>
    </row>
    <row r="98" ht="44" customHeight="1">
      <c r="A98" s="4" t="str">
        <v>Tマスタ</v>
      </c>
      <c r="B98" s="4" t="str">
        <v>書式基準</v>
      </c>
      <c r="C98" s="4" t="str">
        <v>参照用/仕様書作成資料/02_参考Excel/MCMマスタ機能 結合テスト仕様書 (1).xlsx</v>
      </c>
      <c r="D98" s="4" t="str">
        <v>17列・結果欄・集計・書式を準拠。管理用の不整合は継承しない。</v>
      </c>
      <c r="E98" s="4" t="str">
        <v>5cf49ac39adcf86af0644aa8f188dc5f70b5a18dc9407aeb90225c3411d9daaa</v>
      </c>
      <c r="F98" s="4" t="n">
        <v>7</v>
      </c>
    </row>
    <row r="99" ht="44" customHeight="1">
      <c r="A99" s="4" t="str">
        <v>VB-I</v>
      </c>
      <c r="B99" s="4" t="str">
        <v>業務137項目</v>
      </c>
      <c r="C99" s="4" t="str">
        <v>修正コード/64_契・解約機能_結合テスト仕様書/VB機能・条件分岐一覧.md</v>
      </c>
      <c r="D99" s="4" t="str">
        <v>VBから独立して整理した機能・条件。対応先と残条件はVB機能照合へ記録。</v>
      </c>
      <c r="E99" s="4" t="str">
        <v>0c389449955bbc38812fb5b76ebd566517977ce24bc531c5cf6b75ac03201bbb</v>
      </c>
      <c r="F99" s="4" t="n">
        <v>352</v>
      </c>
    </row>
    <row r="100" ht="44" customHeight="1">
      <c r="A100" s="4" t="str">
        <v>VB-B</v>
      </c>
      <c r="B100" s="4" t="str">
        <v>分岐の原文根拠</v>
      </c>
      <c r="C100" s="4" t="str">
        <v>修正コード/64_契・解約機能_結合テスト仕様書/VB条件分岐_原文根拠.md</v>
      </c>
      <c r="D100" s="4" t="str">
        <v>549処理・1,054分岐と反復。業務要約から原文メソッドへ追跡。</v>
      </c>
      <c r="E100" s="4" t="str">
        <v>111593a87bfb68537406fc000e780ffb522b0d9137044f688be7adf8d5e5c9da</v>
      </c>
      <c r="F100" s="4" t="n">
        <v>32172</v>
      </c>
    </row>
    <row r="101" ht="44" customHeight="1">
      <c r="A101" s="4" t="str">
        <v>VB-S</v>
      </c>
      <c r="B101" s="4" t="str">
        <v>SQL・画面設定の原文根拠</v>
      </c>
      <c r="C101" s="4" t="str">
        <v>修正コード/64_契・解約機能_結合テスト仕様書/VB検索SQL・画面定義_原文根拠.md</v>
      </c>
      <c r="D101" s="4" t="str">
        <v>SQL・Designer・原本ハッシュ。初期設定と実行時制御を区別。</v>
      </c>
      <c r="E101" s="4" t="str">
        <v>c67435646887f0eeb21bc58c89271422438061e8dbabff5efdf9be7e05205a9a</v>
      </c>
      <c r="F101" s="4" t="n">
        <v>14760</v>
      </c>
    </row>
    <row r="102" ht="44" customHeight="1">
      <c r="A102" s="4" t="str">
        <v>VB-C</v>
      </c>
      <c r="B102" s="4" t="str">
        <v>共通条件と追加原文</v>
      </c>
      <c r="C102" s="4" t="str">
        <v>修正コード/64_契・解約機能_結合テスト仕様書/VB共通・入力・保存条件_再確認.md</v>
      </c>
      <c r="D102" s="4" t="str">
        <v>共通C06～C15、入力候補、DataSet制約、549処理の業務対応。</v>
      </c>
      <c r="E102" s="4" t="str">
        <v>be455c37a6019d70f96f26f4f3c850e0920b3ad99d717635b4acff1df8deb4ee</v>
      </c>
      <c r="F102" s="4" t="n">
        <v>5770</v>
      </c>
    </row>
  </sheetData>
  <mergeCells>
    <mergeCell ref="A1:F1"/>
    <mergeCell ref="A2:F2"/>
    <mergeCell ref="A3:F3"/>
    <mergeCell ref="A4:F4"/>
  </mergeCells>
  <pageMargins left="0.3" right="0.3" top="0.4" bottom="0.4" header="0.2" footer="0.2"/>
  <pageSetup orientation="landscape" paperSize="8" scale="100" fitToWidth="0" fitToHeight="0"/>
</worksheet>
</file>

<file path=xl/worksheets/sheet16.xml><?xml version="1.0" encoding="utf-8"?>
<worksheet xmlns="http://schemas.openxmlformats.org/spreadsheetml/2006/main">
  <sheetPr>
    <tabColor rgb="FF1F4E79"/>
  </sheetPr>
  <sheetViews>
    <sheetView showGridLines="0" workbookViewId="0">
      <pane xSplit="1" ySplit="9" topLeftCell="B10" activePane="bottomRight" state="frozen"/>
    </sheetView>
  </sheetViews>
  <sheetFormatPr defaultRowHeight="15"/>
  <cols>
    <col min="1" max="1" width="15" hidden="0" customWidth="1"/>
    <col min="2" max="2" width="58" hidden="0" customWidth="1"/>
    <col min="3" max="3" width="75" hidden="0" customWidth="1"/>
    <col min="4" max="4" width="52" hidden="0" customWidth="1"/>
    <col min="5" max="5" width="70" hidden="0" customWidth="1"/>
    <col min="6" max="6" width="35" hidden="0" customWidth="1"/>
    <col min="7" max="7" width="85" hidden="0" customWidth="1"/>
  </cols>
  <sheetData>
    <row r="1" ht="30" customHeight="1">
      <c r="A1" s="8" t="str">
        <v>VB機能・条件分岐と単体・結合の分担</v>
      </c>
      <c r="B1" s="3"/>
      <c r="C1" s="3"/>
      <c r="D1" s="3"/>
      <c r="E1" s="3"/>
      <c r="F1" s="3"/>
      <c r="G1" s="3"/>
    </row>
    <row r="2" ht="26" customHeight="1">
      <c r="A2" s="3" t="str">
        <v>業務137項目と共通10項目を対応づけ。対応先があるだけで全条件網羅・実行合格とは判定しない。</v>
      </c>
      <c r="B2" s="3"/>
      <c r="C2" s="3"/>
      <c r="D2" s="3"/>
      <c r="E2" s="3"/>
      <c r="F2" s="3"/>
      <c r="G2" s="3"/>
    </row>
    <row r="3" ht="26" customHeight="1">
      <c r="A3" s="3" t="str">
        <v>未収録7画面・追加単体が必要な条件・要合意事項を各行に明記。入力や画面内表示だけの判定は結合へ重複追加しない。</v>
      </c>
      <c r="B3" s="3"/>
      <c r="C3" s="3"/>
      <c r="D3" s="3"/>
      <c r="E3" s="3"/>
      <c r="F3" s="3"/>
      <c r="G3" s="3"/>
    </row>
    <row r="4" ht="26" customHeight="1">
      <c r="A4" s="3"/>
      <c r="B4" s="3"/>
      <c r="C4" s="3"/>
      <c r="D4" s="3"/>
      <c r="E4" s="3"/>
      <c r="F4" s="3"/>
      <c r="G4" s="3"/>
    </row>
    <row r="5">
      <c r="A5" s="3"/>
      <c r="B5" s="3"/>
      <c r="C5" s="3"/>
      <c r="D5" s="3"/>
      <c r="E5" s="3"/>
      <c r="F5" s="3"/>
      <c r="G5" s="3"/>
    </row>
    <row r="6">
      <c r="A6" s="3"/>
      <c r="B6" s="3"/>
      <c r="C6" s="3"/>
      <c r="D6" s="3"/>
      <c r="E6" s="3"/>
      <c r="F6" s="3"/>
      <c r="G6" s="3"/>
    </row>
    <row r="7">
      <c r="A7" s="3"/>
      <c r="B7" s="3"/>
      <c r="C7" s="3"/>
      <c r="D7" s="3"/>
      <c r="E7" s="3"/>
      <c r="F7" s="3"/>
      <c r="G7" s="3"/>
    </row>
    <row r="8">
      <c r="A8" s="3"/>
      <c r="B8" s="3"/>
      <c r="C8" s="3"/>
      <c r="D8" s="3"/>
      <c r="E8" s="3"/>
      <c r="F8" s="3"/>
      <c r="G8" s="3"/>
    </row>
    <row r="9" ht="38" customHeight="1">
      <c r="A9" s="7" t="str">
        <v>機能／共通ID</v>
      </c>
      <c r="B9" s="7" t="str">
        <v>機能・条件分岐</v>
      </c>
      <c r="C9" s="7" t="str">
        <v>結合ケースID</v>
      </c>
      <c r="D9" s="7" t="str">
        <v>単体での確認先</v>
      </c>
      <c r="E9" s="7" t="str">
        <v>根拠</v>
      </c>
      <c r="F9" s="7" t="str">
        <v>対応状況</v>
      </c>
      <c r="G9" s="7" t="str">
        <v>条件・分担・残る確認</v>
      </c>
    </row>
    <row r="10" ht="48" customHeight="1">
      <c r="A10" s="4" t="str">
        <v>VB1005-01</v>
      </c>
      <c r="B10" s="4" t="str">
        <v>起動元と新規・既存</v>
      </c>
      <c r="C10" s="4" t="str">
        <v>INT01-01, INT01-02, INT02-03, INT09-09</v>
      </c>
      <c r="D10" s="4" t="str">
        <v>1005-1, 1005-6</v>
      </c>
      <c r="E10" s="4" t="str">
        <v>R1005／VB1005-01、台帳原文参照</v>
      </c>
      <c r="F10" s="4" t="str">
        <v>結合・単体分担（実行未実施）</v>
      </c>
      <c r="G10" s="4" t="str">
        <v>条件：契約リンク／審査承認／店舗からの起動、それ以外。審査・店舗経路と新規のキーを区別。</v>
      </c>
    </row>
    <row r="11" ht="48" customHeight="1">
      <c r="A11" s="4" t="str">
        <v>VB1005-02</v>
      </c>
      <c r="B11" s="4" t="str">
        <v>基本項目の編集</v>
      </c>
      <c r="C11" s="4" t="str">
        <v>INT02-04, INT09-08, INT09-09</v>
      </c>
      <c r="D11" s="4" t="str">
        <v>1005-2, 1005-3, 1005-4, 1005-5, 1005-6</v>
      </c>
      <c r="E11" s="4" t="str">
        <v>R1005／VB1005-02、台帳原文参照</v>
      </c>
      <c r="F11" s="4" t="str">
        <v>結合・単体分担（実行未実施）</v>
      </c>
      <c r="G11" s="4" t="str">
        <v>条件：破棄・解約、審査中・承認中、審査・店舗からの参照、ロック解除有無。入力活性は単体、経路・保存保護は結合。</v>
      </c>
    </row>
    <row r="12" ht="48" customHeight="1">
      <c r="A12" s="4" t="str">
        <v>VB1005-03</v>
      </c>
      <c r="B12" s="4" t="str">
        <v>期間内の編集</v>
      </c>
      <c r="C12" s="4" t="str">
        <v>INT01-07, INT01-20, INT01-21, INT09-12</v>
      </c>
      <c r="D12" s="4" t="str">
        <v>1005-2, 1005-3, 1005-4, 1005-5</v>
      </c>
      <c r="E12" s="4" t="str">
        <v>R1005／VB1005-03、台帳原文参照</v>
      </c>
      <c r="F12" s="4" t="str">
        <v>対応先あり・残条件あり</v>
      </c>
      <c r="G12" s="4" t="str">
        <v>条件：最新以外／過去／承認済み未来／破棄・解約／審査承認中／参照経路。全ての制御組合せ・終了翌日境界は単体の追加確認が必要。</v>
      </c>
    </row>
    <row r="13" ht="44" customHeight="1">
      <c r="A13" s="4" t="str">
        <v>VB1005-04</v>
      </c>
      <c r="B13" s="4" t="str">
        <v>保守担当者の解除</v>
      </c>
      <c r="C13" s="4" t="str">
        <v>INT09-01, INT09-12</v>
      </c>
      <c r="D13" s="4" t="str">
        <v>1005-27, 1005-28</v>
      </c>
      <c r="E13" s="4" t="str">
        <v>R1005／VB1005-04、台帳原文参照</v>
      </c>
      <c r="F13" s="4" t="str">
        <v>結合・単体分担（実行未実施）</v>
      </c>
      <c r="G13" s="4" t="str">
        <v>条件：保守権限なし／あり、解除前／解除後。解除の活性は単体、別対象への漏れを結合。</v>
      </c>
    </row>
    <row r="14" ht="48" customHeight="1">
      <c r="A14" s="4" t="str">
        <v>VB1005-05</v>
      </c>
      <c r="B14" s="4" t="str">
        <v>期間・機器の初期復元</v>
      </c>
      <c r="C14" s="4" t="str">
        <v>INT01-01, INT01-02, INT01-03</v>
      </c>
      <c r="D14" s="4" t="str">
        <v>－</v>
      </c>
      <c r="E14" s="4" t="str">
        <v>R1005／VB1005-05、台帳原文参照</v>
      </c>
      <c r="F14" s="4" t="str">
        <v>結合へ反映（実行未実施）</v>
      </c>
      <c r="G14" s="4" t="str">
        <v>条件：新規、既存、有効・無効期間、選定された構成・明細・個体・単価。差分・金額の詳細はVB1005-21～27へ分担。</v>
      </c>
    </row>
    <row r="15" ht="44" customHeight="1">
      <c r="A15" s="4" t="str">
        <v>VB1005-06</v>
      </c>
      <c r="B15" s="4" t="str">
        <v>選定からの取消・戻り</v>
      </c>
      <c r="C15" s="4" t="str">
        <v>INT01-10, INT01-11</v>
      </c>
      <c r="D15" s="4" t="str">
        <v>1006-22, 1006-25</v>
      </c>
      <c r="E15" s="4" t="str">
        <v>R1005／VB1005-06、台帳原文参照</v>
      </c>
      <c r="F15" s="4" t="str">
        <v>結合・単体分担（実行未実施）</v>
      </c>
      <c r="G15" s="4" t="str">
        <v>条件：戻り値なし／あり。戻り値なしと確定案の反映を分ける。</v>
      </c>
    </row>
    <row r="16" ht="44" customHeight="1">
      <c r="A16" s="4" t="str">
        <v>VB1005-07</v>
      </c>
      <c r="B16" s="4" t="str">
        <v>現在・過去期間の変更</v>
      </c>
      <c r="C16" s="4" t="str">
        <v>INT01-08, INT01-20</v>
      </c>
      <c r="D16" s="4" t="str">
        <v>1006-25</v>
      </c>
      <c r="E16" s="4" t="str">
        <v>R1005／VB1005-07、台帳原文参照</v>
      </c>
      <c r="F16" s="4" t="str">
        <v>結合・単体分担（実行未実施）</v>
      </c>
      <c r="G16" s="4" t="str">
        <v>条件：変更摘要日が元開始日と同じ／後、現在／過去。同日／途中、現在／過去を区別。</v>
      </c>
    </row>
    <row r="17" ht="44" customHeight="1">
      <c r="A17" s="4" t="str">
        <v>VB1005-08</v>
      </c>
      <c r="B17" s="4" t="str">
        <v>承認済み未来期間の変更</v>
      </c>
      <c r="C17" s="4" t="str">
        <v>INT01-21</v>
      </c>
      <c r="D17" s="4" t="str">
        <v>1006-25</v>
      </c>
      <c r="E17" s="4" t="str">
        <v>R1005／VB1005-08、台帳原文参照</v>
      </c>
      <c r="F17" s="4" t="str">
        <v>結合・単体分担（実行未実施）</v>
      </c>
      <c r="G17" s="4" t="str">
        <v>条件：摘要日が元開始日以前／後、既存の承認済み添付。承認済み添付の期間所属を保護。</v>
      </c>
    </row>
    <row r="18" ht="48" customHeight="1">
      <c r="A18" s="4" t="str">
        <v>VB1005-09</v>
      </c>
      <c r="B18" s="4" t="str">
        <v>未承認未来期間の変更</v>
      </c>
      <c r="C18" s="4" t="str">
        <v>INT01-07, INT01-28</v>
      </c>
      <c r="D18" s="4" t="str">
        <v>1006-25</v>
      </c>
      <c r="E18" s="4" t="str">
        <v>R1005／VB1005-09、台帳原文参照</v>
      </c>
      <c r="F18" s="4" t="str">
        <v>結合・単体分担（実行未実施）</v>
      </c>
      <c r="G18" s="4" t="str">
        <v>条件：未来期間、同じ開始日／開始日変更、前の有効期間の有無。未承認未来の同日／開始日変更。</v>
      </c>
    </row>
    <row r="19" ht="48" customHeight="1">
      <c r="A19" s="4" t="str">
        <v>VB1005-10</v>
      </c>
      <c r="B19" s="4" t="str">
        <v>新規案の再変更</v>
      </c>
      <c r="C19" s="4" t="str">
        <v>INT01-22</v>
      </c>
      <c r="D19" s="4" t="str">
        <v>1006-25</v>
      </c>
      <c r="E19" s="4" t="str">
        <v>R1005／VB1005-10、台帳原文参照</v>
      </c>
      <c r="F19" s="4" t="str">
        <v>結合・単体分担（実行未実施）</v>
      </c>
      <c r="G19" s="4" t="str">
        <v>条件：未登録の新規期間を再度変更、元期間と新規案の位置。未登録案の置換と旧期間調整。</v>
      </c>
    </row>
    <row r="20" ht="48" customHeight="1">
      <c r="A20" s="4" t="str">
        <v>VB1005-11</v>
      </c>
      <c r="B20" s="4" t="str">
        <v>変更摘要日の制約</v>
      </c>
      <c r="C20" s="4" t="str">
        <v>－</v>
      </c>
      <c r="D20" s="4" t="str">
        <v>1005-7, 1005-8, 1005-9, 1005-10, 1005-11, 1005-12</v>
      </c>
      <c r="E20" s="4" t="str">
        <v>R1005／VB1005-11、台帳原文参照</v>
      </c>
      <c r="F20" s="4" t="str">
        <v>単体に分担（提供版）</v>
      </c>
      <c r="G20" s="4" t="str">
        <v>条件：未入力／日付不正／許可範囲外／過去日／未登録タブ／出精値引きあり。単体の入力・取消判定に分担。</v>
      </c>
    </row>
    <row r="21" ht="44" customHeight="1">
      <c r="A21" s="4" t="str">
        <v>VB1005-12</v>
      </c>
      <c r="B21" s="4" t="str">
        <v>登録・変更有無</v>
      </c>
      <c r="C21" s="4" t="str">
        <v>INT09-21</v>
      </c>
      <c r="D21" s="4" t="str">
        <v>1005-18</v>
      </c>
      <c r="E21" s="4" t="str">
        <v>R1005／VB1005-12、台帳原文参照</v>
      </c>
      <c r="F21" s="4" t="str">
        <v>結合・単体分担（実行未実施）</v>
      </c>
      <c r="G21" s="4" t="str">
        <v>条件：変更なし／あり。変更なしは単体、保存中の親子保護は結合。</v>
      </c>
    </row>
    <row r="22" ht="44" customHeight="1">
      <c r="A22" s="4" t="str">
        <v>VB1005-13</v>
      </c>
      <c r="B22" s="4" t="str">
        <v>登録時の期間と次回更新日</v>
      </c>
      <c r="C22" s="4" t="str">
        <v>INT01-09, INT01-30</v>
      </c>
      <c r="D22" s="4" t="str">
        <v>1005-13</v>
      </c>
      <c r="E22" s="4" t="str">
        <v>R1005／VB1005-13、台帳原文参照</v>
      </c>
      <c r="F22" s="4" t="str">
        <v>結合・単体分担（実行未実施）</v>
      </c>
      <c r="G22" s="4" t="str">
        <v>条件：開始日と終了日、最終タブ、既存の次回更新日。同日終了の厳密な&lt;=、次回更新日。</v>
      </c>
    </row>
    <row r="23" ht="48" customHeight="1">
      <c r="A23" s="4" t="str">
        <v>VB1005-14</v>
      </c>
      <c r="B23" s="4" t="str">
        <v>点検・支払い月の整合</v>
      </c>
      <c r="C23" s="4" t="str">
        <v>INT01-30, INT06-03, INT07-02</v>
      </c>
      <c r="D23" s="4" t="str">
        <v>1005-14, 1005-15, 1005-16</v>
      </c>
      <c r="E23" s="4" t="str">
        <v>R1005／VB1005-14、台帳原文参照</v>
      </c>
      <c r="F23" s="4" t="str">
        <v>結合・単体分担（実行未実施）</v>
      </c>
      <c r="G23" s="4" t="str">
        <v>条件：指定回数&lt;ON月数／同数／指定回数&gt;ON月数、開始月ON／OFF、開始月警告の確認取消。指定回数&lt;ON月数だけエラー。単体の「不一致」は条件を明示する必要あり。</v>
      </c>
    </row>
    <row r="24" ht="48" customHeight="1">
      <c r="A24" s="4" t="str">
        <v>VB1005-15</v>
      </c>
      <c r="B24" s="4" t="str">
        <v>契約期限の再算出</v>
      </c>
      <c r="C24" s="4" t="str">
        <v>INT01-23, INT01-24, INT01-25, INT01-26, INT01-27</v>
      </c>
      <c r="D24" s="4" t="str">
        <v>1005-17</v>
      </c>
      <c r="E24" s="4" t="str">
        <v>R1005／VB1005-15、台帳原文参照</v>
      </c>
      <c r="F24" s="4" t="str">
        <v>結合・単体分担（実行未実施）</v>
      </c>
      <c r="G24" s="4" t="str">
        <v>条件：初回契約日変更の確認、一次／二次／契約日起算、可能期間、メーカー期限・契約満了日のNULLと大小。起算日・NULL・既設定・メーカー期限。ビュー内部はQ16。</v>
      </c>
    </row>
    <row r="25" ht="48" customHeight="1">
      <c r="A25" s="4" t="str">
        <v>VB1005-16</v>
      </c>
      <c r="B25" s="4" t="str">
        <v>契約発行</v>
      </c>
      <c r="C25" s="4" t="str">
        <v>INT01-13, INT01-15, INT01-17, INT01-30</v>
      </c>
      <c r="D25" s="4" t="str">
        <v>1005-23</v>
      </c>
      <c r="E25" s="4" t="str">
        <v>R1005／VB1005-16、台帳原文参照</v>
      </c>
      <c r="F25" s="4" t="str">
        <v>結合・単体分担（実行未実施）</v>
      </c>
      <c r="G25" s="4" t="str">
        <v>条件：承認済み資料あり＋解約日空欄、未保存変更、保存成功／失敗。発行入口と保存失敗を確認。帳票内部は別照合。</v>
      </c>
    </row>
    <row r="26" ht="48" customHeight="1">
      <c r="A26" s="4" t="str">
        <v>VB1005-17</v>
      </c>
      <c r="B26" s="4" t="str">
        <v>申請と添付状態</v>
      </c>
      <c r="C26" s="4" t="str">
        <v>INT02-01, INT02-02, INT02-07, INT02-08, INT01-30</v>
      </c>
      <c r="D26" s="4" t="str">
        <v>1005-24, 1005-25, 1005-26</v>
      </c>
      <c r="E26" s="4" t="str">
        <v>R1005／VB1005-17、台帳原文参照</v>
      </c>
      <c r="F26" s="4" t="str">
        <v>結合・単体分担（実行未実施）</v>
      </c>
      <c r="G26" s="4" t="str">
        <v>条件：承認済み資料＋解約日空欄、作成中／差戻し資料の有無、未保存変更、確認取消。再申請抑止・申請不足は単体、保存・資料状態は結合。</v>
      </c>
    </row>
    <row r="27" ht="48" customHeight="1">
      <c r="A27" s="4" t="str">
        <v>VB1005-18</v>
      </c>
      <c r="B27" s="4" t="str">
        <v>添付の追加・削除</v>
      </c>
      <c r="C27" s="4" t="str">
        <v>INT02-09, INT02-14, INT09-22, INT09-30</v>
      </c>
      <c r="D27" s="4" t="str">
        <v>1005-19, 1005-20, 1005-21, 1005-22</v>
      </c>
      <c r="E27" s="4" t="str">
        <v>R1005／VB1005-18、台帳原文参照</v>
      </c>
      <c r="F27" s="4" t="str">
        <v>対応先あり・残条件あり</v>
      </c>
      <c r="G27" s="4" t="str">
        <v>条件：未登録期間、未選択、審査中／承認中／承認済み、取消、実ファイル操作の成否。未登録・承認状態の全削除可否は単体の追加確認が必要。Q02/Q08。</v>
      </c>
    </row>
    <row r="28" ht="48" customHeight="1">
      <c r="A28" s="4" t="str">
        <v>VB1005-19</v>
      </c>
      <c r="B28" s="4" t="str">
        <v>添付の起動</v>
      </c>
      <c r="C28" s="4" t="str">
        <v>INT01-17, INT02-09, INT09-26</v>
      </c>
      <c r="D28" s="4" t="str">
        <v>1011-16, 1011-17</v>
      </c>
      <c r="E28" s="4" t="str">
        <v>R1005／VB1005-19、台帳原文参照</v>
      </c>
      <c r="F28" s="4" t="str">
        <v>対応先あり・残条件あり</v>
      </c>
      <c r="G28" s="4" t="str">
        <v>条件：行・列・値の有無、保存パスに実ファイルがある／ない。実体・パス・アプリ起動方式はQ02。1005側の無効クリックは単体追加が必要。</v>
      </c>
    </row>
    <row r="29" ht="48" customHeight="1">
      <c r="A29" s="4" t="str">
        <v>VB1005-20</v>
      </c>
      <c r="B29" s="4" t="str">
        <v>日付変更と隣接期間</v>
      </c>
      <c r="C29" s="4" t="str">
        <v>INT01-09, INT01-16, INT01-28</v>
      </c>
      <c r="D29" s="4" t="str">
        <v>1005-13</v>
      </c>
      <c r="E29" s="4" t="str">
        <v>R1005／VB1005-20、台帳原文参照</v>
      </c>
      <c r="F29" s="4" t="str">
        <v>対応先あり・残条件あり</v>
      </c>
      <c r="G29" s="4" t="str">
        <v>条件：開始／終了の日付変更、先頭・末尾・隣接タブ、空欄の契約日・解約日・満了日。入力時の全NULL変換・隣接タブ境界は単体追加が必要。</v>
      </c>
    </row>
    <row r="30" ht="48" customHeight="1">
      <c r="A30" s="4" t="str">
        <v>VB1006-01</v>
      </c>
      <c r="B30" s="4" t="str">
        <v>1画面目の初期表示</v>
      </c>
      <c r="C30" s="4" t="str">
        <v>INT01-02, INT01-07</v>
      </c>
      <c r="D30" s="4" t="str">
        <v>1006-1, 1006-2, 1006-3</v>
      </c>
      <c r="E30" s="4" t="str">
        <v>R1006／VB1006-01、台帳原文参照</v>
      </c>
      <c r="F30" s="4" t="str">
        <v>結合・単体分担（実行未実施）</v>
      </c>
      <c r="G30" s="4" t="str">
        <v>条件：新規契約作成／既存変更、受渡しの見積・プラント・取引先。起動条件と選定元の一致。</v>
      </c>
    </row>
    <row r="31" ht="48" customHeight="1">
      <c r="A31" s="4" t="str">
        <v>VB1006-02</v>
      </c>
      <c r="B31" s="4" t="str">
        <v>次へ：契約期間</v>
      </c>
      <c r="C31" s="4" t="str">
        <v>－</v>
      </c>
      <c r="D31" s="4" t="str">
        <v>1006-4, 1006-5, 1006-6, 1006-26, 1006-27</v>
      </c>
      <c r="E31" s="4" t="str">
        <v>R1006／VB1006-02、台帳原文参照</v>
      </c>
      <c r="F31" s="4" t="str">
        <v>単体に分担（提供版）</v>
      </c>
      <c r="G31" s="4" t="str">
        <v>条件：未入力、開始&gt;終了、終了&gt;開始＋1年－1日。E通知は中止。単体原本の境界説明は条件式に照らして確認。</v>
      </c>
    </row>
    <row r="32" ht="48" customHeight="1">
      <c r="A32" s="4" t="str">
        <v>VB1006-03</v>
      </c>
      <c r="B32" s="4" t="str">
        <v>次へ：選定と重複</v>
      </c>
      <c r="C32" s="4" t="str">
        <v>INT01-18</v>
      </c>
      <c r="D32" s="4" t="str">
        <v>1006-7, 1006-8</v>
      </c>
      <c r="E32" s="4" t="str">
        <v>R1006／VB1006-03、台帳原文参照</v>
      </c>
      <c r="F32" s="4" t="str">
        <v>結合・単体分担（実行未実施）</v>
      </c>
      <c r="G32" s="4" t="str">
        <v>条件：見積チェック0件、同じ機器明細・個体が複数の選定見積に存在。未選択は単体。重複時の親・DB非変更は結合。Q01は静的解消。</v>
      </c>
    </row>
    <row r="33" ht="48" customHeight="1">
      <c r="A33" s="4" t="str">
        <v>VB1006-04</v>
      </c>
      <c r="B33" s="4" t="str">
        <v>見積単価と出精値引き</v>
      </c>
      <c r="C33" s="4" t="str">
        <v>INT01-06</v>
      </c>
      <c r="D33" s="4" t="str">
        <v>1006-9, 1006-10, 1006-11</v>
      </c>
      <c r="E33" s="4" t="str">
        <v>R1006／VB1006-04、台帳原文参照</v>
      </c>
      <c r="F33" s="4" t="str">
        <v>結合・単体分担（実行未実施）</v>
      </c>
      <c r="G33" s="4" t="str">
        <v>条件：割引の有無、見積と契約の期間一致／不一致、無期限終了、12か月、契約範囲外。値引き制約は単体、受渡し計算は結合。</v>
      </c>
    </row>
    <row r="34" ht="48" customHeight="1">
      <c r="A34" s="4" t="str">
        <v>VB1006-05</v>
      </c>
      <c r="B34" s="4" t="str">
        <v>2画面目の機器復元</v>
      </c>
      <c r="C34" s="4" t="str">
        <v>INT01-03, INT01-05</v>
      </c>
      <c r="D34" s="4" t="str">
        <v>1006-12, 1006-13, 1006-14</v>
      </c>
      <c r="E34" s="4" t="str">
        <v>R1006／VB1006-05、台帳原文参照</v>
      </c>
      <c r="F34" s="4" t="str">
        <v>結合・単体分担（実行未実施）</v>
      </c>
      <c r="G34" s="4" t="str">
        <v>条件：新規／変更、受渡し構成・明細・個体、見積由来のID・単価。元見積NOと機器IDの一致。</v>
      </c>
    </row>
    <row r="35" ht="48" customHeight="1">
      <c r="A35" s="4" t="str">
        <v>VB1006-06</v>
      </c>
      <c r="B35" s="4" t="str">
        <v>構成のチェック連動</v>
      </c>
      <c r="C35" s="4" t="str">
        <v>INT01-04, INT01-05</v>
      </c>
      <c r="D35" s="4" t="str">
        <v>1006-15, 1006-18, 1006-19</v>
      </c>
      <c r="E35" s="4" t="str">
        <v>R1006／VB1006-06、台帳原文参照</v>
      </c>
      <c r="F35" s="4" t="str">
        <v>結合・単体分担（実行未実施）</v>
      </c>
      <c r="G35" s="4" t="str">
        <v>条件：対象外の構成、チェックON／OFF、子明細・個体。チェック連動は単体、数量・帳票反映は結合。</v>
      </c>
    </row>
    <row r="36" ht="44" customHeight="1">
      <c r="A36" s="4" t="str">
        <v>VB1006-07</v>
      </c>
      <c r="B36" s="4" t="str">
        <v>明細・個体のチェック連動</v>
      </c>
      <c r="C36" s="4" t="str">
        <v>INT01-04, INT01-05</v>
      </c>
      <c r="D36" s="4" t="str">
        <v>1006-16, 1006-17, 1006-20, 1006-21</v>
      </c>
      <c r="E36" s="4" t="str">
        <v>R1006／VB1006-07、台帳原文参照</v>
      </c>
      <c r="F36" s="4" t="str">
        <v>結合・単体分担（実行未実施）</v>
      </c>
      <c r="G36" s="4" t="str">
        <v>条件：明細または個体のON／OFF、親構成、残る選定子の有無。親子の採用状態と保存数量。</v>
      </c>
    </row>
    <row r="37" ht="48" customHeight="1">
      <c r="A37" s="4" t="str">
        <v>VB1006-08</v>
      </c>
      <c r="B37" s="4" t="str">
        <v>単価・月割り</v>
      </c>
      <c r="C37" s="4" t="str">
        <v>INT01-06</v>
      </c>
      <c r="D37" s="4" t="str">
        <v>1006-9, 1006-11</v>
      </c>
      <c r="E37" s="4" t="str">
        <v>R1006／VB1006-08、台帳原文参照</v>
      </c>
      <c r="F37" s="4" t="str">
        <v>結合・単体分担（実行未実施）</v>
      </c>
      <c r="G37" s="4" t="str">
        <v>条件：期間内外、開始終了年月、元単価・数量・割引。VB1005-25と類似するが選定段階の計算。</v>
      </c>
    </row>
    <row r="38" ht="48" customHeight="1">
      <c r="A38" s="4" t="str">
        <v>VB1006-09</v>
      </c>
      <c r="B38" s="4" t="str">
        <v>摘要の入力確定・単価エラー</v>
      </c>
      <c r="C38" s="4" t="str">
        <v>INT01-30</v>
      </c>
      <c r="D38" s="4" t="str">
        <v>1006-11</v>
      </c>
      <c r="E38" s="4" t="str">
        <v>R1006／VB1006-09、台帳原文参照</v>
      </c>
      <c r="F38" s="4" t="str">
        <v>対応先あり・残条件あり</v>
      </c>
      <c r="G38" s="4" t="str">
        <v>条件：未確定編集、単価チェックのエラー文字列。選定側の未確定編集・単価エラーの中止は単体追加が必要。INT01-30は親保存の失敗。</v>
      </c>
    </row>
    <row r="39" ht="48" customHeight="1">
      <c r="A39" s="4" t="str">
        <v>VB1006-10</v>
      </c>
      <c r="B39" s="4" t="str">
        <v>摘要の下位不足と遷移先</v>
      </c>
      <c r="C39" s="4" t="str">
        <v>INT01-19, INT01-02, INT01-07</v>
      </c>
      <c r="D39" s="4" t="str">
        <v>1006-23, 1006-24, 1006-25</v>
      </c>
      <c r="E39" s="4" t="str">
        <v>R1006／VB1006-10、台帳原文参照</v>
      </c>
      <c r="F39" s="4" t="str">
        <v>結合・単体分担（実行未実施）</v>
      </c>
      <c r="G39" s="4" t="str">
        <v>条件：構成／明細／個体のチェック件数、初回新規か既存編集か。不足E通知の中止、新規／編集の正常復帰。</v>
      </c>
    </row>
    <row r="40" ht="44" customHeight="1">
      <c r="A40" s="4" t="str">
        <v>VB1006-11</v>
      </c>
      <c r="B40" s="4" t="str">
        <v>前へ・チェックの確定</v>
      </c>
      <c r="C40" s="4" t="str">
        <v>INT01-10, INT01-11</v>
      </c>
      <c r="D40" s="4" t="str">
        <v>1006-22</v>
      </c>
      <c r="E40" s="4" t="str">
        <v>R1006／VB1006-11、台帳原文参照</v>
      </c>
      <c r="F40" s="4" t="str">
        <v>対応先あり・残条件あり</v>
      </c>
      <c r="G40" s="4" t="str">
        <v>条件：前へ操作、Dirty状態のチェックボックス。Dirty確定の単独判定は単体追加が必要。</v>
      </c>
    </row>
    <row r="41" ht="48" customHeight="1">
      <c r="A41" s="4" t="str">
        <v>VB1009-01</v>
      </c>
      <c r="B41" s="4" t="str">
        <v>作成・破棄列の権限</v>
      </c>
      <c r="C41" s="4" t="str">
        <v>INT09-04</v>
      </c>
      <c r="D41" s="4" t="str">
        <v>1009-3, 1009-4</v>
      </c>
      <c r="E41" s="4" t="str">
        <v>R1009／VB1009-01、台帳原文参照</v>
      </c>
      <c r="F41" s="4" t="str">
        <v>結合・単体分担（実行未実施）</v>
      </c>
      <c r="G41" s="4" t="str">
        <v>条件：取引先契約メニューの権限区分が更新あり（2）／それ以外。対象機能の権限と直接要求。Q07。</v>
      </c>
    </row>
    <row r="42" ht="48" customHeight="1">
      <c r="A42" s="4" t="str">
        <v>VB1009-02</v>
      </c>
      <c r="B42" s="4" t="str">
        <v>検索の未指定・状態・0件</v>
      </c>
      <c r="C42" s="4" t="str">
        <v>－</v>
      </c>
      <c r="D42" s="4" t="str">
        <v>1009-5, 1009-6, 1009-7, 1009-8, 1009-9, 1009-10</v>
      </c>
      <c r="E42" s="4" t="str">
        <v>R1009／VB1009-02、台帳原文参照</v>
      </c>
      <c r="F42" s="4" t="str">
        <v>単体に分担（提供版）</v>
      </c>
      <c r="G42" s="4" t="str">
        <v>条件：納入先・サポート・プラント等と状態4種、結果0件。取引先だけ・状態全OFFの未指定判定は単体前提を補足する必要あり。</v>
      </c>
    </row>
    <row r="43" ht="44" customHeight="1">
      <c r="A43" s="4" t="str">
        <v>VB1009-03</v>
      </c>
      <c r="B43" s="4" t="str">
        <v>パック固定条件・並び順</v>
      </c>
      <c r="C43" s="4" t="str">
        <v>INT03-02, INT03-19</v>
      </c>
      <c r="D43" s="4" t="str">
        <v>1009-11, 1009-12</v>
      </c>
      <c r="E43" s="4" t="str">
        <v>R1009／VB1009-03、台帳原文参照</v>
      </c>
      <c r="F43" s="4" t="str">
        <v>結合・単体分担（実行未実施）</v>
      </c>
      <c r="G43" s="4" t="str">
        <v>条件：PACK_FLG=1。SQLの並び・文字条件は単体、両分類の同一キーは結合。</v>
      </c>
    </row>
    <row r="44" ht="48" customHeight="1">
      <c r="A44" s="4" t="str">
        <v>VB1009-04</v>
      </c>
      <c r="B44" s="4" t="str">
        <v>一覧リンクの入口</v>
      </c>
      <c r="C44" s="4" t="str">
        <v>INT03-01, INT03-03, INT03-07</v>
      </c>
      <c r="D44" s="4" t="str">
        <v>1009-13, 1009-14, 1009-15, 1009-16</v>
      </c>
      <c r="E44" s="4" t="str">
        <v>R1009／VB1009-04、台帳原文参照</v>
      </c>
      <c r="F44" s="4" t="str">
        <v>結合・単体分担（実行未実施）</v>
      </c>
      <c r="G44" s="4" t="str">
        <v>条件：行見出し、リンク列以外、空値、依頼NO／契約NO／契約作成／破棄。無効クリックは単体、遷移先のキーは結合。</v>
      </c>
    </row>
    <row r="45" ht="48" customHeight="1">
      <c r="A45" s="4" t="str">
        <v>VB1009-05</v>
      </c>
      <c r="B45" s="4" t="str">
        <v>契約破棄の確認と支払い</v>
      </c>
      <c r="C45" s="4" t="str">
        <v>INT03-04, INT03-05, INT03-06, INT03-17</v>
      </c>
      <c r="D45" s="4" t="str">
        <v>1009-17, 1009-18, 1009-19</v>
      </c>
      <c r="E45" s="4" t="str">
        <v>R1009／VB1009-05、台帳原文参照</v>
      </c>
      <c r="F45" s="4" t="str">
        <v>結合・単体分担（実行未実施）</v>
      </c>
      <c r="G45" s="4" t="str">
        <v>条件：確認取消、最小支払月NULL／過去月／当月／未来月。取消・最小支払月NULL／過去／当月／未来を分ける。</v>
      </c>
    </row>
    <row r="46" ht="48" customHeight="1">
      <c r="A46" s="4" t="str">
        <v>VB1010-01</v>
      </c>
      <c r="B46" s="4" t="str">
        <v>作成・破棄列の権限</v>
      </c>
      <c r="C46" s="4" t="str">
        <v>INT09-05</v>
      </c>
      <c r="D46" s="4" t="str">
        <v>1010-3, 1010-4</v>
      </c>
      <c r="E46" s="4" t="str">
        <v>R1010／VB1010-01、台帳原文参照</v>
      </c>
      <c r="F46" s="4" t="str">
        <v>結合・単体分担（実行未実施）</v>
      </c>
      <c r="G46" s="4" t="str">
        <v>条件：取引先契約メニューの権限区分が更新あり（2）／それ以外。取引先契約メニューの作成権限。</v>
      </c>
    </row>
    <row r="47" ht="48" customHeight="1">
      <c r="A47" s="4" t="str">
        <v>VB1010-02</v>
      </c>
      <c r="B47" s="4" t="str">
        <v>検索の未指定・状態・0件</v>
      </c>
      <c r="C47" s="4" t="str">
        <v>－</v>
      </c>
      <c r="D47" s="4" t="str">
        <v>1010-5, 1010-6, 1010-7, 1010-8, 1010-9, 1010-10, 1010-11</v>
      </c>
      <c r="E47" s="4" t="str">
        <v>R1010／VB1010-02、台帳原文参照</v>
      </c>
      <c r="F47" s="4" t="str">
        <v>単体に分担（提供版）</v>
      </c>
      <c r="G47" s="4" t="str">
        <v>条件：納入先・サポート・プラント等と状態4種、結果0件。未指定と状態・取引先条件は単体。</v>
      </c>
    </row>
    <row r="48" ht="44" customHeight="1">
      <c r="A48" s="4" t="str">
        <v>VB1010-03</v>
      </c>
      <c r="B48" s="4" t="str">
        <v>店舗直固定条件・並び順</v>
      </c>
      <c r="C48" s="4" t="str">
        <v>INT03-10, INT03-19</v>
      </c>
      <c r="D48" s="4" t="str">
        <v>1010-12, 1010-13</v>
      </c>
      <c r="E48" s="4" t="str">
        <v>R1010／VB1010-03、台帳原文参照</v>
      </c>
      <c r="F48" s="4" t="str">
        <v>結合・単体分担（実行未実施）</v>
      </c>
      <c r="G48" s="4" t="str">
        <v>条件：TENPO_FLG=1とプラント・事業所の結合成立。プラント・事業所の結合、両フラグ。</v>
      </c>
    </row>
    <row r="49" ht="48" customHeight="1">
      <c r="A49" s="4" t="str">
        <v>VB1010-04</v>
      </c>
      <c r="B49" s="4" t="str">
        <v>一覧リンクの入口</v>
      </c>
      <c r="C49" s="4" t="str">
        <v>INT03-09, INT03-11, INT03-15</v>
      </c>
      <c r="D49" s="4" t="str">
        <v>1010-14, 1010-15, 1010-16, 1010-17</v>
      </c>
      <c r="E49" s="4" t="str">
        <v>R1010／VB1010-04、台帳原文参照</v>
      </c>
      <c r="F49" s="4" t="str">
        <v>結合・単体分担（実行未実施）</v>
      </c>
      <c r="G49" s="4" t="str">
        <v>条件：行見出し、リンク列以外、空値、依頼NO／契約NO／契約作成／破棄。無効クリックは単体、対象キーは結合。</v>
      </c>
    </row>
    <row r="50" ht="44" customHeight="1">
      <c r="A50" s="4" t="str">
        <v>VB1010-05</v>
      </c>
      <c r="B50" s="4" t="str">
        <v>契約破棄の確認と支払い</v>
      </c>
      <c r="C50" s="4" t="str">
        <v>INT03-12, INT03-13, INT03-14, INT03-18</v>
      </c>
      <c r="D50" s="4" t="str">
        <v>1010-18, 1010-19, 1010-20</v>
      </c>
      <c r="E50" s="4" t="str">
        <v>R1010／VB1010-05、台帳原文参照</v>
      </c>
      <c r="F50" s="4" t="str">
        <v>結合・単体分担（実行未実施）</v>
      </c>
      <c r="G50" s="4" t="str">
        <v>条件：確認取消、最小支払月NULL／過去月／当月／未来月。取引先破棄と元見積更新。</v>
      </c>
    </row>
    <row r="51" ht="48" customHeight="1">
      <c r="A51" s="4" t="str">
        <v>VB1011-01</v>
      </c>
      <c r="B51" s="4" t="str">
        <v>起動時の検索状態</v>
      </c>
      <c r="C51" s="4" t="str">
        <v>－</v>
      </c>
      <c r="D51" s="4" t="str">
        <v>1011-1, 1011-2</v>
      </c>
      <c r="E51" s="4" t="str">
        <v>R1011／VB1011-01、台帳原文参照</v>
      </c>
      <c r="F51" s="4" t="str">
        <v>対応先あり・残条件あり</v>
      </c>
      <c r="G51" s="4" t="str">
        <v>条件：担当者の審査／承認フラグ、初期状態チェック。初期チェックは単体。承認だけ／両方／タイマー検索は単体追加が必要。</v>
      </c>
    </row>
    <row r="52" ht="48" customHeight="1">
      <c r="A52" s="4" t="str">
        <v>VB1011-02</v>
      </c>
      <c r="B52" s="4" t="str">
        <v>検索と行の選択制限</v>
      </c>
      <c r="C52" s="4" t="str">
        <v>INT02-15</v>
      </c>
      <c r="D52" s="4" t="str">
        <v>1011-3, 1011-4, 1011-5, 1011-6, 1011-7, 1011-9, 1011-10, 1011-11</v>
      </c>
      <c r="E52" s="4" t="str">
        <v>R1011／VB1011-02、台帳原文参照</v>
      </c>
      <c r="F52" s="4" t="str">
        <v>対応先あり・残条件あり</v>
      </c>
      <c r="G52" s="4" t="str">
        <v>条件：状態4種、結果0件、審査上限・承認上限との金額比較。承認側限度額の同値・超過も追加確認。</v>
      </c>
    </row>
    <row r="53" ht="48" customHeight="1">
      <c r="A53" s="4" t="str">
        <v>VB1011-03</v>
      </c>
      <c r="B53" s="4" t="str">
        <v>契約内容・添付へのリンク</v>
      </c>
      <c r="C53" s="4" t="str">
        <v>INT02-03, INT02-09, INT09-26</v>
      </c>
      <c r="D53" s="4" t="str">
        <v>1011-14, 1011-15, 1011-16, 1011-17</v>
      </c>
      <c r="E53" s="4" t="str">
        <v>R1011／VB1011-03、台帳原文参照</v>
      </c>
      <c r="F53" s="4" t="str">
        <v>結合・単体分担（実行未実施）</v>
      </c>
      <c r="G53" s="4" t="str">
        <v>条件：行見出し、非リンク列、空値、添付実ファイルの不存在。空・非リンクは単体、所属・実体は結合。</v>
      </c>
    </row>
    <row r="54" ht="48" customHeight="1">
      <c r="A54" s="4" t="str">
        <v>VB1011-04</v>
      </c>
      <c r="B54" s="4" t="str">
        <v>承認前の対象整理</v>
      </c>
      <c r="C54" s="4" t="str">
        <v>INT02-24</v>
      </c>
      <c r="D54" s="4" t="str">
        <v>1011-18, 1011-19, 1011-20</v>
      </c>
      <c r="E54" s="4" t="str">
        <v>R1011／VB1011-04、台帳原文参照</v>
      </c>
      <c r="F54" s="4" t="str">
        <v>結合・単体分担（実行未実施）</v>
      </c>
      <c r="G54" s="4" t="str">
        <v>条件：チェックされた破棄・解約等、残った対象0件、確認取消。対象なし・取消は単体、混在処理はQ15。</v>
      </c>
    </row>
    <row r="55" ht="44" customHeight="1">
      <c r="A55" s="4" t="str">
        <v>VB1011-05</v>
      </c>
      <c r="B55" s="4" t="str">
        <v>審査と最終承認</v>
      </c>
      <c r="C55" s="4" t="str">
        <v>INT02-04, INT02-05, INT02-06</v>
      </c>
      <c r="D55" s="4" t="str">
        <v>1011-21, 1011-22</v>
      </c>
      <c r="E55" s="4" t="str">
        <v>R1011／VB1011-05、台帳原文参照</v>
      </c>
      <c r="F55" s="4" t="str">
        <v>結合・単体分担（実行未実施）</v>
      </c>
      <c r="G55" s="4" t="str">
        <v>条件：審査中／承認中、添付捺印成功。契約・期間・資料の段階と監査値。</v>
      </c>
    </row>
    <row r="56" ht="48" customHeight="1">
      <c r="A56" s="4" t="str">
        <v>VB1011-06</v>
      </c>
      <c r="B56" s="4" t="str">
        <v>一括承認の途中失敗</v>
      </c>
      <c r="C56" s="4" t="str">
        <v>INT02-12, INT02-25</v>
      </c>
      <c r="D56" s="4" t="str">
        <v>1011-21</v>
      </c>
      <c r="E56" s="4" t="str">
        <v>R1011／VB1011-06、台帳原文参照</v>
      </c>
      <c r="F56" s="4" t="str">
        <v>結合・単体分担（実行未実施）</v>
      </c>
      <c r="G56" s="4" t="str">
        <v>条件：添付が複数、捺印成功／False、後続の契約・添付。Falseと伝播例外、外部Excelを区別。Q15。</v>
      </c>
    </row>
    <row r="57" ht="48" customHeight="1">
      <c r="A57" s="4" t="str">
        <v>VB1011-07</v>
      </c>
      <c r="B57" s="4" t="str">
        <v>押印対象・押印位置</v>
      </c>
      <c r="C57" s="4" t="str">
        <v>INT02-10, INT02-11</v>
      </c>
      <c r="D57" s="4" t="str">
        <v>1011-21, 1011-22</v>
      </c>
      <c r="E57" s="4" t="str">
        <v>R1011／VB1011-07、台帳原文参照</v>
      </c>
      <c r="F57" s="4" t="str">
        <v>結合・単体分担（実行未実施）</v>
      </c>
      <c r="G57" s="4" t="str">
        <v>条件：シート名が取引先プレフィックスか、審査中／承認中、Excelオブジェクトの有無。対象シート・状態別位置。原紙全内部は別照合。</v>
      </c>
    </row>
    <row r="58" ht="48" customHeight="1">
      <c r="A58" s="4" t="str">
        <v>VB1011-08</v>
      </c>
      <c r="B58" s="4" t="str">
        <v>メール送信の条件</v>
      </c>
      <c r="C58" s="4" t="str">
        <v>INT02-16, INT02-18, INT02-19, INT02-20, INT02-21, INT02-22</v>
      </c>
      <c r="D58" s="4" t="str">
        <v>1011-21</v>
      </c>
      <c r="E58" s="4" t="str">
        <v>R1011／VB1011-08、台帳原文参照</v>
      </c>
      <c r="F58" s="4" t="str">
        <v>結合・単体分担（実行未実施）</v>
      </c>
      <c r="G58" s="4" t="str">
        <v>条件：処理件数&gt;0、審査中→承認中の通知候補、FROM・TOが両方非空。本人上限&gt;金額、候補・送信元先・送信失敗。Q03。</v>
      </c>
    </row>
    <row r="59" ht="44" customHeight="1">
      <c r="A59" s="4" t="str">
        <v>VB1011-09</v>
      </c>
      <c r="B59" s="4" t="str">
        <v>通知先の集約</v>
      </c>
      <c r="C59" s="4" t="str">
        <v>INT02-17</v>
      </c>
      <c r="D59" s="4" t="str">
        <v>1011-21</v>
      </c>
      <c r="E59" s="4" t="str">
        <v>R1011／VB1011-09、台帳原文参照</v>
      </c>
      <c r="F59" s="4" t="str">
        <v>結合・単体分担（実行未実施）</v>
      </c>
      <c r="G59" s="4" t="str">
        <v>条件：同じ親ログインIDの候補が既にリストにある／ない。親ログインIDごとに集約。</v>
      </c>
    </row>
    <row r="60" ht="48" customHeight="1">
      <c r="A60" s="4" t="str">
        <v>VB1011-10</v>
      </c>
      <c r="B60" s="4" t="str">
        <v>差戻し</v>
      </c>
      <c r="C60" s="4" t="str">
        <v>INT02-07, INT02-08, INT02-14</v>
      </c>
      <c r="D60" s="4" t="str">
        <v>1011-23, 1011-24, 1011-25</v>
      </c>
      <c r="E60" s="4" t="str">
        <v>R1011／VB1011-10、台帳原文参照</v>
      </c>
      <c r="F60" s="4" t="str">
        <v>結合・単体分担（実行未実施）</v>
      </c>
      <c r="G60" s="4" t="str">
        <v>条件：対象0件、確認取消、審査中／承認中／その他、処理件数0／正数。対象なし・取消は単体、資料保護・再申請は結合。</v>
      </c>
    </row>
    <row r="61" ht="44" customHeight="1">
      <c r="A61" s="4" t="str">
        <v>VB2006-01</v>
      </c>
      <c r="B61" s="4" t="str">
        <v>新規・既存の起動</v>
      </c>
      <c r="C61" s="4" t="str">
        <v>INT04-01, INT04-02</v>
      </c>
      <c r="D61" s="4" t="str">
        <v>2006-1, 2006-3</v>
      </c>
      <c r="E61" s="4" t="str">
        <v>R2006／VB2006-01、台帳原文参照</v>
      </c>
      <c r="F61" s="4" t="str">
        <v>結合・単体分担（実行未実施）</v>
      </c>
      <c r="G61" s="4" t="str">
        <v>条件：契約NOリンク／内容変更からの新規、受渡しキー。新規／既存のキー。</v>
      </c>
    </row>
    <row r="62" ht="48" customHeight="1">
      <c r="A62" s="4" t="str">
        <v>VB2006-02</v>
      </c>
      <c r="B62" s="4" t="str">
        <v>編集・変更の可否</v>
      </c>
      <c r="C62" s="4" t="str">
        <v>INT04-11, INT09-29</v>
      </c>
      <c r="D62" s="4" t="str">
        <v>2006-2, 2006-4, 2006-5, 2006-6, 2006-7, 2006-8</v>
      </c>
      <c r="E62" s="4" t="str">
        <v>R2006／VB2006-02、台帳原文参照</v>
      </c>
      <c r="F62" s="4" t="str">
        <v>結合・単体分担（実行未実施）</v>
      </c>
      <c r="G62" s="4" t="str">
        <v>条件：最新以外、過去、破棄・解約、審査からの参照、解除有無。入力活性は単体。Q05/Q12。</v>
      </c>
    </row>
    <row r="63" ht="44" customHeight="1">
      <c r="A63" s="4" t="str">
        <v>VB2006-03</v>
      </c>
      <c r="B63" s="4" t="str">
        <v>現在・過去期間の変更</v>
      </c>
      <c r="C63" s="4" t="str">
        <v>INT04-06, INT04-18</v>
      </c>
      <c r="D63" s="4" t="str">
        <v>2006-24</v>
      </c>
      <c r="E63" s="4" t="str">
        <v>R2006／VB2006-03、台帳原文参照</v>
      </c>
      <c r="F63" s="4" t="str">
        <v>結合・単体分担（実行未実施）</v>
      </c>
      <c r="G63" s="4" t="str">
        <v>条件：摘要日が元開始日と同じ／後。現在／過去の同日・途中変更。Q13。</v>
      </c>
    </row>
    <row r="64" ht="48" customHeight="1">
      <c r="A64" s="4" t="str">
        <v>VB2006-04</v>
      </c>
      <c r="B64" s="4" t="str">
        <v>新規案の再変更</v>
      </c>
      <c r="C64" s="4" t="str">
        <v>INT04-19</v>
      </c>
      <c r="D64" s="4" t="str">
        <v>2006-24</v>
      </c>
      <c r="E64" s="4" t="str">
        <v>R2006／VB2006-04、台帳原文参照</v>
      </c>
      <c r="F64" s="4" t="str">
        <v>結合・単体分担（実行未実施）</v>
      </c>
      <c r="G64" s="4" t="str">
        <v>条件：未登録タブの再選定、前タブの位置、同日／別日。未登録案の置換と前期間調整。Q13。</v>
      </c>
    </row>
    <row r="65" ht="44" customHeight="1">
      <c r="A65" s="4" t="str">
        <v>VB2006-05</v>
      </c>
      <c r="B65" s="4" t="str">
        <v>未来期間の変更</v>
      </c>
      <c r="C65" s="4" t="str">
        <v>INT04-05, INT04-23</v>
      </c>
      <c r="D65" s="4" t="str">
        <v>2006-24</v>
      </c>
      <c r="E65" s="4" t="str">
        <v>R2006／VB2006-05、台帳原文参照</v>
      </c>
      <c r="F65" s="4" t="str">
        <v>結合・単体分担（実行未実施）</v>
      </c>
      <c r="G65" s="4" t="str">
        <v>条件：未来タブ、前の有効期間、開始日同じ／変更。未来期間の同日／開始日変更。Q13。</v>
      </c>
    </row>
    <row r="66" ht="48" customHeight="1">
      <c r="A66" s="4" t="str">
        <v>VB2006-06</v>
      </c>
      <c r="B66" s="4" t="str">
        <v>変更摘要日の制約</v>
      </c>
      <c r="C66" s="4" t="str">
        <v>INT04-08</v>
      </c>
      <c r="D66" s="4" t="str">
        <v>2006-24</v>
      </c>
      <c r="E66" s="4" t="str">
        <v>R2006／VB2006-06、台帳原文参照</v>
      </c>
      <c r="F66" s="4" t="str">
        <v>対応先あり・残条件あり</v>
      </c>
      <c r="G66" s="4" t="str">
        <v>条件：未入力、不正日付、許可期間外、過去日、未登録案で確認取消。未入力・不正・許可範囲外・過去日の取消は単体追加が必要。</v>
      </c>
    </row>
    <row r="67" ht="48" customHeight="1">
      <c r="A67" s="4" t="str">
        <v>VB2006-07</v>
      </c>
      <c r="B67" s="4" t="str">
        <v>登録と製番の確認依頼</v>
      </c>
      <c r="C67" s="4" t="str">
        <v>INT04-12, INT04-17</v>
      </c>
      <c r="D67" s="4" t="str">
        <v>2006-19, 2006-25</v>
      </c>
      <c r="E67" s="4" t="str">
        <v>R2006／VB2006-07、台帳原文参照</v>
      </c>
      <c r="F67" s="4" t="str">
        <v>結合・単体分担（実行未実施）</v>
      </c>
      <c r="G67" s="4" t="str">
        <v>条件：変更なし／追加製番／変更製番／未変更製番。変更なしは単体、未確認・再確認・監査はQ14。</v>
      </c>
    </row>
    <row r="68" ht="48" customHeight="1">
      <c r="A68" s="4" t="str">
        <v>VB2006-08</v>
      </c>
      <c r="B68" s="4" t="str">
        <v>製番の対象月</v>
      </c>
      <c r="C68" s="4" t="str">
        <v>INT04-21</v>
      </c>
      <c r="D68" s="4" t="str">
        <v>2006-13, 2006-14, 2006-15</v>
      </c>
      <c r="E68" s="4" t="str">
        <v>R2006／VB2006-08、台帳原文参照</v>
      </c>
      <c r="F68" s="4" t="str">
        <v>結合・単体分担（実行未実施）</v>
      </c>
      <c r="G68" s="4" t="str">
        <v>条件：追加・変更行、開始終了月空欄、月の大小、月末の日数。入力エラーは単体、月初月末の保存後利用は結合。</v>
      </c>
    </row>
    <row r="69" ht="44" customHeight="1">
      <c r="A69" s="4" t="str">
        <v>VB2006-09</v>
      </c>
      <c r="B69" s="4" t="str">
        <v>期間と次回更新日</v>
      </c>
      <c r="C69" s="4" t="str">
        <v>INT04-07, INT04-10</v>
      </c>
      <c r="D69" s="4" t="str">
        <v>2006-9, 2006-16, 2006-17, 2006-18</v>
      </c>
      <c r="E69" s="4" t="str">
        <v>R2006／VB2006-09、台帳原文参照</v>
      </c>
      <c r="F69" s="4" t="str">
        <v>結合・単体分担（実行未実施）</v>
      </c>
      <c r="G69" s="4" t="str">
        <v>条件：各タブの開始終了、最終タブ、登録前値。厳密な期間チェックと次回更新日。Q05。</v>
      </c>
    </row>
    <row r="70" ht="48" customHeight="1">
      <c r="A70" s="4" t="str">
        <v>VB2006-10</v>
      </c>
      <c r="B70" s="4" t="str">
        <v>製番と点検の追加行</v>
      </c>
      <c r="C70" s="4" t="str">
        <v>INT04-12, INT04-14</v>
      </c>
      <c r="D70" s="4" t="str">
        <v>2006-19, 2006-23</v>
      </c>
      <c r="E70" s="4" t="str">
        <v>R2006／VB2006-10、台帳原文参照</v>
      </c>
      <c r="F70" s="4" t="str">
        <v>対応先あり・残条件あり</v>
      </c>
      <c r="G70" s="4" t="str">
        <v>条件：新規行追加、親契約・期間が未採番／採番済み。点検の新規親キーは単体追加が必要。削除と他期間保護は結合。</v>
      </c>
    </row>
    <row r="71" ht="44" customHeight="1">
      <c r="A71" s="4" t="str">
        <v>VB2006-11</v>
      </c>
      <c r="B71" s="4" t="str">
        <v>ユーザー点検の保存</v>
      </c>
      <c r="C71" s="4" t="str">
        <v>INT04-14</v>
      </c>
      <c r="D71" s="4" t="str">
        <v>2006-23</v>
      </c>
      <c r="E71" s="4" t="str">
        <v>R2006／VB2006-11、台帳原文参照</v>
      </c>
      <c r="F71" s="4" t="str">
        <v>結合・単体分担（実行未実施）</v>
      </c>
      <c r="G71" s="4" t="str">
        <v>条件：新規／変更／削除、親期間と他期間。取引先点検と保存先を混同しない。</v>
      </c>
    </row>
    <row r="72" ht="48" customHeight="1">
      <c r="A72" s="4" t="str">
        <v>VB2006-12</v>
      </c>
      <c r="B72" s="4" t="str">
        <v>入力日付・金額・依頼元</v>
      </c>
      <c r="C72" s="4" t="str">
        <v>INT04-10, INT04-22</v>
      </c>
      <c r="D72" s="4" t="str">
        <v>2006-17, 2006-18, 2006-19</v>
      </c>
      <c r="E72" s="4" t="str">
        <v>R2006／VB2006-12、台帳原文参照</v>
      </c>
      <c r="F72" s="4" t="str">
        <v>対応先あり・残条件あり</v>
      </c>
      <c r="G72" s="4" t="str">
        <v>条件：空欄の満了・延長・解約日、保守合計、店舗変更、前後期間。保守合計・店舗の編集イベントは単体追加が必要。Q04。</v>
      </c>
    </row>
    <row r="73" ht="48" customHeight="1">
      <c r="A73" s="4" t="str">
        <v>VB2006-13</v>
      </c>
      <c r="B73" s="4" t="str">
        <v>解除・参照リンク・再表示</v>
      </c>
      <c r="C73" s="4" t="str">
        <v>INT05-12, INT09-13</v>
      </c>
      <c r="D73" s="4" t="str">
        <v>2006-11, 2006-12, 2006-21</v>
      </c>
      <c r="E73" s="4" t="str">
        <v>R2006／VB2006-13、台帳原文参照</v>
      </c>
      <c r="F73" s="4" t="str">
        <v>対応先あり・残条件あり</v>
      </c>
      <c r="G73" s="4" t="str">
        <v>条件：保守権限、ロック解除、納入先リンク、登録後製番表示。製番遅延描画は単体追加が必要。</v>
      </c>
    </row>
    <row r="74" ht="48" customHeight="1">
      <c r="A74" s="4" t="str">
        <v>VB2007-01</v>
      </c>
      <c r="B74" s="4" t="str">
        <v>1画面目の初期値</v>
      </c>
      <c r="C74" s="4" t="str">
        <v>INT04-02, INT04-05</v>
      </c>
      <c r="D74" s="4" t="str">
        <v>－</v>
      </c>
      <c r="E74" s="4" t="str">
        <v>R2007／VB2007-01、台帳原文参照</v>
      </c>
      <c r="F74" s="4" t="str">
        <v>対応先あり・残条件あり</v>
      </c>
      <c r="G74" s="4" t="str">
        <v>条件：新規／変更、元見積・ブランド・プラント、既選定内容。単体未収録。初期表示単独の全条件は追加単体が必要。</v>
      </c>
    </row>
    <row r="75" ht="48" customHeight="1">
      <c r="A75" s="4" t="str">
        <v>VB2007-02</v>
      </c>
      <c r="B75" s="4" t="str">
        <v>次へ：期間と選定</v>
      </c>
      <c r="C75" s="4" t="str">
        <v>－</v>
      </c>
      <c r="D75" s="4" t="str">
        <v>－</v>
      </c>
      <c r="E75" s="4" t="str">
        <v>R2007／VB2007-02、台帳原文参照</v>
      </c>
      <c r="F75" s="4" t="str">
        <v>追加単体が必要（未収録）</v>
      </c>
      <c r="G75" s="4" t="str">
        <v>条件：終了日空欄／不正、開始&gt;終了、1年超、見積とブランド両方0件。単体未収録。期間の必須・大小・1年超・両方0件は追加単体が必要。</v>
      </c>
    </row>
    <row r="76" ht="48" customHeight="1">
      <c r="A76" s="4" t="str">
        <v>VB2007-03</v>
      </c>
      <c r="B76" s="4" t="str">
        <v>次へ：個体重複</v>
      </c>
      <c r="C76" s="4" t="str">
        <v>INT04-16</v>
      </c>
      <c r="D76" s="4" t="str">
        <v>－</v>
      </c>
      <c r="E76" s="4" t="str">
        <v>R2007／VB2007-03、台帳原文参照</v>
      </c>
      <c r="F76" s="4" t="str">
        <v>結合へ反映（実行未実施）</v>
      </c>
      <c r="G76" s="4" t="str">
        <v>条件：選択見積・ブランドに同じ個体明細が重複。単体未収録。重複E通知は共通例外で中止。</v>
      </c>
    </row>
    <row r="77" ht="48" customHeight="1">
      <c r="A77" s="4" t="str">
        <v>VB2007-04</v>
      </c>
      <c r="B77" s="4" t="str">
        <v>見積・ブランドの選定連動</v>
      </c>
      <c r="C77" s="4" t="str">
        <v>INT04-03, INT04-09</v>
      </c>
      <c r="D77" s="4" t="str">
        <v>－</v>
      </c>
      <c r="E77" s="4" t="str">
        <v>R2007／VB2007-04、台帳原文参照</v>
      </c>
      <c r="F77" s="4" t="str">
        <v>対応先あり・残条件あり</v>
      </c>
      <c r="G77" s="4" t="str">
        <v>条件：見積ON／OFF、ブランドON／OFF、対象外行。単体未収録。チェック上下連動・Dirtyの単独判定は追加単体が必要。</v>
      </c>
    </row>
    <row r="78" ht="48" customHeight="1">
      <c r="A78" s="4" t="str">
        <v>VB2007-05</v>
      </c>
      <c r="B78" s="4" t="str">
        <v>2画面目の機器復元</v>
      </c>
      <c r="C78" s="4" t="str">
        <v>INT04-02, INT04-03</v>
      </c>
      <c r="D78" s="4" t="str">
        <v>－</v>
      </c>
      <c r="E78" s="4" t="str">
        <v>R2007／VB2007-05、台帳原文参照</v>
      </c>
      <c r="F78" s="4" t="str">
        <v>対応先あり・残条件あり</v>
      </c>
      <c r="G78" s="4" t="str">
        <v>条件：起動元と既選定機器、見積NO、ブランド・構成・明細・個体。単体未収録。機器キーの復元は結合、初期列等は追加単体。</v>
      </c>
    </row>
    <row r="79" ht="48" customHeight="1">
      <c r="A79" s="4" t="str">
        <v>VB2007-06</v>
      </c>
      <c r="B79" s="4" t="str">
        <v>セット数・個体数</v>
      </c>
      <c r="C79" s="4" t="str">
        <v>INT04-04</v>
      </c>
      <c r="D79" s="4" t="str">
        <v>－</v>
      </c>
      <c r="E79" s="4" t="str">
        <v>R2007／VB2007-06、台帳原文参照</v>
      </c>
      <c r="F79" s="4" t="str">
        <v>結合へ反映（実行未実施）</v>
      </c>
      <c r="G79" s="4" t="str">
        <v>条件：構成の選定有無、セット数0／正数、個体数と一致／不一致。個体数一致／不一致／対象明細0件。単体未収録。</v>
      </c>
    </row>
    <row r="80" ht="48" customHeight="1">
      <c r="A80" s="4" t="str">
        <v>VB2007-07</v>
      </c>
      <c r="B80" s="4" t="str">
        <v>機器チェックの上下連動</v>
      </c>
      <c r="C80" s="4" t="str">
        <v>INT04-03, INT04-04</v>
      </c>
      <c r="D80" s="4" t="str">
        <v>－</v>
      </c>
      <c r="E80" s="4" t="str">
        <v>R2007／VB2007-07、台帳原文参照</v>
      </c>
      <c r="F80" s="4" t="str">
        <v>対応先あり・残条件あり</v>
      </c>
      <c r="G80" s="4" t="str">
        <v>条件：構成・明細・個体のON／OFF、残る子、対象外操作。単体未収録。対象外クリック・全チェック連動は追加単体が必要。</v>
      </c>
    </row>
    <row r="81" ht="48" customHeight="1">
      <c r="A81" s="4" t="str">
        <v>VB2007-08</v>
      </c>
      <c r="B81" s="4" t="str">
        <v>摘要の起動先と引継ぎ</v>
      </c>
      <c r="C81" s="4" t="str">
        <v>INT04-02, INT04-05, INT05-07</v>
      </c>
      <c r="D81" s="4" t="str">
        <v>－</v>
      </c>
      <c r="E81" s="4" t="str">
        <v>R2007／VB2007-08、台帳原文参照</v>
      </c>
      <c r="F81" s="4" t="str">
        <v>対応先あり・残条件あり</v>
      </c>
      <c r="G81" s="4" t="str">
        <v>条件：新規／既存、店舗見積IDあり／なし。新規／既存の採用内容。元見積なしの入口全条件は追加確認。</v>
      </c>
    </row>
    <row r="82" ht="44" customHeight="1">
      <c r="A82" s="4" t="str">
        <v>VB3002-01</v>
      </c>
      <c r="B82" s="4" t="str">
        <v>初期支払条件</v>
      </c>
      <c r="C82" s="4" t="str">
        <v>－</v>
      </c>
      <c r="D82" s="4" t="str">
        <v>－</v>
      </c>
      <c r="E82" s="4" t="str">
        <v>R3002／VB3002-01、台帳原文参照</v>
      </c>
      <c r="F82" s="4" t="str">
        <v>追加単体が必要（未収録）</v>
      </c>
      <c r="G82" s="4" t="str">
        <v>条件：システム年月、年払／月払。単体未収録。初期当月・年払ONは追加単体が必要。</v>
      </c>
    </row>
    <row r="83" ht="48" customHeight="1">
      <c r="A83" s="4" t="str">
        <v>VB3002-02</v>
      </c>
      <c r="B83" s="4" t="str">
        <v>出力条件と0件</v>
      </c>
      <c r="C83" s="4" t="str">
        <v>INT06-11</v>
      </c>
      <c r="D83" s="4" t="str">
        <v>－</v>
      </c>
      <c r="E83" s="4" t="str">
        <v>R3002／VB3002-02、台帳原文参照</v>
      </c>
      <c r="F83" s="4" t="str">
        <v>対応先あり・残条件あり</v>
      </c>
      <c r="G83" s="4" t="str">
        <v>条件：年月空欄／不正、月払ON／それ以外、結果0件。単体未収録。年月空欄・不正・月払条件は追加単体が必要。</v>
      </c>
    </row>
    <row r="84" ht="48" customHeight="1">
      <c r="A84" s="4" t="str">
        <v>VB3002-03</v>
      </c>
      <c r="B84" s="4" t="str">
        <v>支払対象・金額・窓口</v>
      </c>
      <c r="C84" s="4" t="str">
        <v>INT06-01, INT06-02, INT06-10, INT06-12, INT06-13</v>
      </c>
      <c r="D84" s="4" t="str">
        <v>－</v>
      </c>
      <c r="E84" s="4" t="str">
        <v>R3002／VB3002-03、台帳原文参照</v>
      </c>
      <c r="F84" s="4" t="str">
        <v>結合へ反映（実行未実施）</v>
      </c>
      <c r="G84" s="4" t="str">
        <v>条件：対象月の日付一致、年払／月払、有効な窓口区分2、支払計算関数。ビュー・支払関数はQ11/Q16で実DB確認。</v>
      </c>
    </row>
    <row r="85" ht="48" customHeight="1">
      <c r="A85" s="4" t="str">
        <v>VB3002-04</v>
      </c>
      <c r="B85" s="4" t="str">
        <v>取引先別の帳票組立</v>
      </c>
      <c r="C85" s="4" t="str">
        <v>INT06-01, INT06-02, INT06-10</v>
      </c>
      <c r="D85" s="4" t="str">
        <v>－</v>
      </c>
      <c r="E85" s="4" t="str">
        <v>R3002／VB3002-04、台帳原文参照</v>
      </c>
      <c r="F85" s="4" t="str">
        <v>結合へ反映（実行未実施）</v>
      </c>
      <c r="G85" s="4" t="str">
        <v>条件：取引先ID切替、各明細、同じ取引先の複数契約。取引先別のヘッダー・明細。P帳票内部・原紙は別照合。</v>
      </c>
    </row>
    <row r="86" ht="44" customHeight="1">
      <c r="A86" s="4" t="str">
        <v>VB3003-01</v>
      </c>
      <c r="B86" s="4" t="str">
        <v>出力モードと期間初期値</v>
      </c>
      <c r="C86" s="4" t="str">
        <v>INT07-01, INT07-07, INT07-08, INT07-09</v>
      </c>
      <c r="D86" s="4" t="str">
        <v>－</v>
      </c>
      <c r="E86" s="4" t="str">
        <v>R3003／VB3003-01、台帳原文参照</v>
      </c>
      <c r="F86" s="4" t="str">
        <v>対応先あり・残条件あり</v>
      </c>
      <c r="G86" s="4" t="str">
        <v>条件：全件／差分、対象期間、出力区分。単体未収録。初期値単独は追加単体が必要。</v>
      </c>
    </row>
    <row r="87" ht="48" customHeight="1">
      <c r="A87" s="4" t="str">
        <v>VB3003-02</v>
      </c>
      <c r="B87" s="4" t="str">
        <v>対象期間の検証</v>
      </c>
      <c r="C87" s="4" t="str">
        <v>－</v>
      </c>
      <c r="D87" s="4" t="str">
        <v>－</v>
      </c>
      <c r="E87" s="4" t="str">
        <v>R3003／VB3003-02、台帳原文参照</v>
      </c>
      <c r="F87" s="4" t="str">
        <v>追加単体が必要（未収録）</v>
      </c>
      <c r="G87" s="4" t="str">
        <v>条件：開始終了年月の空欄・書式不正。単体未収録。対象年月の必須・書式は追加単体が必要。</v>
      </c>
    </row>
    <row r="88" ht="48" customHeight="1">
      <c r="A88" s="4" t="str">
        <v>VB3003-03</v>
      </c>
      <c r="B88" s="4" t="str">
        <v>差分期間の片側指定</v>
      </c>
      <c r="C88" s="4" t="str">
        <v>INT07-07, INT07-08, INT07-09</v>
      </c>
      <c r="D88" s="4" t="str">
        <v>－</v>
      </c>
      <c r="E88" s="4" t="str">
        <v>R3003／VB3003-03、台帳原文参照</v>
      </c>
      <c r="F88" s="4" t="str">
        <v>対応先あり・残条件あり</v>
      </c>
      <c r="G88" s="4" t="str">
        <v>条件：全件／差分、差分開始のみ／終了のみ／両方／両方空欄。両方空欄の入力エラーは追加単体が必要。片側検索は結合。</v>
      </c>
    </row>
    <row r="89" ht="48" customHeight="1">
      <c r="A89" s="4" t="str">
        <v>VB3003-04</v>
      </c>
      <c r="B89" s="4" t="str">
        <v>点検の抽出境界</v>
      </c>
      <c r="C89" s="4" t="str">
        <v>INT07-07, INT07-08, INT07-09</v>
      </c>
      <c r="D89" s="4" t="str">
        <v>－</v>
      </c>
      <c r="E89" s="4" t="str">
        <v>R3003／VB3003-04、台帳原文参照</v>
      </c>
      <c r="F89" s="4" t="str">
        <v>結合へ反映（実行未実施）</v>
      </c>
      <c r="G89" s="4" t="str">
        <v>条件：対象月の開始終了日、ON日時の開始終了日。対象月・ON日付の両端含みと片側未指定の省略。</v>
      </c>
    </row>
    <row r="90" ht="48" customHeight="1">
      <c r="A90" s="4" t="str">
        <v>VB3003-05</v>
      </c>
      <c r="B90" s="4" t="str">
        <v>2種類の帳票出力</v>
      </c>
      <c r="C90" s="4" t="str">
        <v>INT07-01, INT07-11, INT07-12, INT07-14</v>
      </c>
      <c r="D90" s="4" t="str">
        <v>－</v>
      </c>
      <c r="E90" s="4" t="str">
        <v>R3003／VB3003-05、台帳原文参照</v>
      </c>
      <c r="F90" s="4" t="str">
        <v>対応先あり・残条件あり</v>
      </c>
      <c r="G90" s="4" t="str">
        <v>条件：DB登録用／作業用リスト、検索0件／正数。各出力時の再検索。0件とP帳票内部の全条件は追加確認。</v>
      </c>
    </row>
    <row r="91" ht="48" customHeight="1">
      <c r="A91" s="4" t="str">
        <v>VB3004-01</v>
      </c>
      <c r="B91" s="4" t="str">
        <v>9タブの初期値・金額列</v>
      </c>
      <c r="C91" s="4" t="str">
        <v>INT09-10</v>
      </c>
      <c r="D91" s="4" t="str">
        <v>－</v>
      </c>
      <c r="E91" s="4" t="str">
        <v>R3004／VB3004-01、台帳原文参照</v>
      </c>
      <c r="F91" s="4" t="str">
        <v>対応先あり・残条件あり</v>
      </c>
      <c r="G91" s="4" t="str">
        <v>条件：通常タブ4か月、不足製番13か月、当月・当日、利用権限3&lt;=0。初期期間・当月当日は追加単体が必要。金額列は権限と帳票連携。</v>
      </c>
    </row>
    <row r="92" ht="48" customHeight="1">
      <c r="A92" s="4" t="str">
        <v>VB3004-02</v>
      </c>
      <c r="B92" s="4" t="str">
        <v>ユーザー契約終息の検索</v>
      </c>
      <c r="C92" s="4" t="str">
        <v>INT08-01, INT08-23</v>
      </c>
      <c r="D92" s="4" t="str">
        <v>－</v>
      </c>
      <c r="E92" s="4" t="str">
        <v>R3004／VB3004-02、台帳原文参照</v>
      </c>
      <c r="F92" s="4" t="str">
        <v>結合へ反映（実行未実施）</v>
      </c>
      <c r="G92" s="4" t="str">
        <v>条件：開始月1日～指定月数後の前日、検索日、結果0件／正数。ビュー内部はQ16。検索条件と出力結果。</v>
      </c>
    </row>
    <row r="93" ht="48" customHeight="1">
      <c r="A93" s="4" t="str">
        <v>VB3004-03</v>
      </c>
      <c r="B93" s="4" t="str">
        <v>取引先契約終息の検索</v>
      </c>
      <c r="C93" s="4" t="str">
        <v>INT08-02, INT08-10, INT08-24</v>
      </c>
      <c r="D93" s="4" t="str">
        <v>－</v>
      </c>
      <c r="E93" s="4" t="str">
        <v>R3004／VB3004-03、台帳原文参照</v>
      </c>
      <c r="F93" s="4" t="str">
        <v>結合へ反映（実行未実施）</v>
      </c>
      <c r="G93" s="4" t="str">
        <v>条件：全て／通常／パック、開始月1日～指定月数後の1日まで含む、結果0件／正数。終了は翌月1日まで含む。Q16。</v>
      </c>
    </row>
    <row r="94" ht="44" customHeight="1">
      <c r="A94" s="4" t="str">
        <v>VB3004-04</v>
      </c>
      <c r="B94" s="4" t="str">
        <v>個体終息（通常更新）の検索</v>
      </c>
      <c r="C94" s="4" t="str">
        <v>INT08-03, INT08-25</v>
      </c>
      <c r="D94" s="4" t="str">
        <v>－</v>
      </c>
      <c r="E94" s="4" t="str">
        <v>R3004／VB3004-04、台帳原文参照</v>
      </c>
      <c r="F94" s="4" t="str">
        <v>結合へ反映（実行未実施）</v>
      </c>
      <c r="G94" s="4" t="str">
        <v>条件：次回更新日、開始月1日～指定月数後の前日、結果0件／正数。通常更新。Q16。</v>
      </c>
    </row>
    <row r="95" ht="44" customHeight="1">
      <c r="A95" s="4" t="str">
        <v>VB3004-05</v>
      </c>
      <c r="B95" s="4" t="str">
        <v>個体終息（契約完了）の検索</v>
      </c>
      <c r="C95" s="4" t="str">
        <v>INT08-04, INT08-26</v>
      </c>
      <c r="D95" s="4" t="str">
        <v>－</v>
      </c>
      <c r="E95" s="4" t="str">
        <v>R3004／VB3004-05、台帳原文参照</v>
      </c>
      <c r="F95" s="4" t="str">
        <v>結合へ反映（実行未実施）</v>
      </c>
      <c r="G95" s="4" t="str">
        <v>条件：次回更新日、開始月1日～指定月数後の前日、結果0件／正数。契約完了。Q16。</v>
      </c>
    </row>
    <row r="96" ht="48" customHeight="1">
      <c r="A96" s="4" t="str">
        <v>VB3004-06</v>
      </c>
      <c r="B96" s="4" t="str">
        <v>不足製番の検索</v>
      </c>
      <c r="C96" s="4" t="str">
        <v>INT08-06, INT08-28, INT08-32</v>
      </c>
      <c r="D96" s="4" t="str">
        <v>－</v>
      </c>
      <c r="E96" s="4" t="str">
        <v>R3004／VB3004-06、台帳原文参照</v>
      </c>
      <c r="F96" s="4" t="str">
        <v>結合へ反映（実行未実施）</v>
      </c>
      <c r="G96" s="4" t="str">
        <v>条件：終了日NULLを開始月1日へ補完、範囲内かつ製番終了日&lt;ユーザー解約日、結果0件／正数。終了NULL・解約厳密比較。Q16。</v>
      </c>
    </row>
    <row r="97" ht="48" customHeight="1">
      <c r="A97" s="4" t="str">
        <v>VB3004-07</v>
      </c>
      <c r="B97" s="4" t="str">
        <v>備忘録の検索</v>
      </c>
      <c r="C97" s="4" t="str">
        <v>INT08-07, INT08-16, INT08-29</v>
      </c>
      <c r="D97" s="4" t="str">
        <v>－</v>
      </c>
      <c r="E97" s="4" t="str">
        <v>R3004／VB3004-07、台帳原文参照</v>
      </c>
      <c r="F97" s="4" t="str">
        <v>結合へ反映（実行未実施）</v>
      </c>
      <c r="G97" s="4" t="str">
        <v>条件：未完了のみ／完了含む、予定日が開始月1日～指定月数後の前日、結果0件／正数。予定保存と未完了／完了含む。</v>
      </c>
    </row>
    <row r="98" ht="44" customHeight="1">
      <c r="A98" s="4" t="str">
        <v>VB3004-08</v>
      </c>
      <c r="B98" s="4" t="str">
        <v>バッテリー交換の検索</v>
      </c>
      <c r="C98" s="4" t="str">
        <v>INT08-08, INT08-30</v>
      </c>
      <c r="D98" s="4" t="str">
        <v>－</v>
      </c>
      <c r="E98" s="4" t="str">
        <v>R3004／VB3004-08、台帳原文参照</v>
      </c>
      <c r="F98" s="4" t="str">
        <v>結合へ反映（実行未実施）</v>
      </c>
      <c r="G98" s="4" t="str">
        <v>条件：検索日が開始月1日～指定月数後の前日、結果0件／正数。バッテリー元データはQ16。</v>
      </c>
    </row>
    <row r="99" ht="48" customHeight="1">
      <c r="A99" s="4" t="str">
        <v>VB3004-09</v>
      </c>
      <c r="B99" s="4" t="str">
        <v>契約差異の両基準</v>
      </c>
      <c r="C99" s="4" t="str">
        <v>INT08-05, INT08-27, INT08-31</v>
      </c>
      <c r="D99" s="4" t="str">
        <v>－</v>
      </c>
      <c r="E99" s="4" t="str">
        <v>R3004／VB3004-09、台帳原文参照</v>
      </c>
      <c r="F99" s="4" t="str">
        <v>結合へ反映（実行未実施）</v>
      </c>
      <c r="G99" s="4" t="str">
        <v>条件：ユーザー基準UK検索日&lt;TK検索日／取引先基準は逆、同値・NULL、基準側の日付範囲。基準の通常切替と同値・NULLは別ケースに分担。</v>
      </c>
    </row>
    <row r="100" ht="48" customHeight="1">
      <c r="A100" s="4" t="str">
        <v>VB3004-10</v>
      </c>
      <c r="B100" s="4" t="str">
        <v>取引先契約確認の期間採用</v>
      </c>
      <c r="C100" s="4" t="str">
        <v>INT08-09, INT08-33</v>
      </c>
      <c r="D100" s="4" t="str">
        <v>－</v>
      </c>
      <c r="E100" s="4" t="str">
        <v>R3004／VB3004-10、台帳原文参照</v>
      </c>
      <c r="F100" s="4" t="str">
        <v>結合へ反映（実行未実施）</v>
      </c>
      <c r="G100" s="4" t="str">
        <v>条件：指定日、取引先コード・名、有効フラグ&lt;=0、指定日を含む期間の最大ID。指定日の有効な最大期間ID。</v>
      </c>
    </row>
    <row r="101" ht="48" customHeight="1">
      <c r="A101" s="4" t="str">
        <v>VB3004-11</v>
      </c>
      <c r="B101" s="4" t="str">
        <v>条件入力の検証</v>
      </c>
      <c r="C101" s="4" t="str">
        <v>－</v>
      </c>
      <c r="D101" s="4" t="str">
        <v>－</v>
      </c>
      <c r="E101" s="4" t="str">
        <v>R3004／VB3004-11、台帳原文参照</v>
      </c>
      <c r="F101" s="4" t="str">
        <v>追加単体が必要（未収録）</v>
      </c>
      <c r="G101" s="4" t="str">
        <v>条件：年月・期間空欄、日付不正、月数が数値でない、指定日空欄／不正。単体未収録。必須・日付・数値の検査は追加単体が必要。</v>
      </c>
    </row>
    <row r="102" ht="44" customHeight="1">
      <c r="A102" s="4" t="str">
        <v>VB3004-12</v>
      </c>
      <c r="B102" s="4" t="str">
        <v>タブ1のExcel出力</v>
      </c>
      <c r="C102" s="4" t="str">
        <v>INT08-01, INT08-13, INT08-22</v>
      </c>
      <c r="D102" s="4" t="str">
        <v>－</v>
      </c>
      <c r="E102" s="4" t="str">
        <v>R3004／VB3004-12、台帳原文参照</v>
      </c>
      <c r="F102" s="4" t="str">
        <v>結合へ反映（実行未実施）</v>
      </c>
      <c r="G102" s="4" t="str">
        <v>条件：タブ1「ユーザー契約終息」の表示結果0件／正数。タブ1の表示結果出力。</v>
      </c>
    </row>
    <row r="103" ht="44" customHeight="1">
      <c r="A103" s="4" t="str">
        <v>VB3004-13</v>
      </c>
      <c r="B103" s="4" t="str">
        <v>タブ2のExcel出力</v>
      </c>
      <c r="C103" s="4" t="str">
        <v>INT08-02, INT08-13, INT08-22</v>
      </c>
      <c r="D103" s="4" t="str">
        <v>－</v>
      </c>
      <c r="E103" s="4" t="str">
        <v>R3004／VB3004-13、台帳原文参照</v>
      </c>
      <c r="F103" s="4" t="str">
        <v>結合へ反映（実行未実施）</v>
      </c>
      <c r="G103" s="4" t="str">
        <v>条件：タブ2「取引先契約終息」の表示結果0件／正数。タブ2の表示結果出力。</v>
      </c>
    </row>
    <row r="104" ht="44" customHeight="1">
      <c r="A104" s="4" t="str">
        <v>VB3004-14</v>
      </c>
      <c r="B104" s="4" t="str">
        <v>タブ3のExcel出力</v>
      </c>
      <c r="C104" s="4" t="str">
        <v>INT08-03, INT08-13, INT08-22</v>
      </c>
      <c r="D104" s="4" t="str">
        <v>－</v>
      </c>
      <c r="E104" s="4" t="str">
        <v>R3004／VB3004-14、台帳原文参照</v>
      </c>
      <c r="F104" s="4" t="str">
        <v>結合へ反映（実行未実施）</v>
      </c>
      <c r="G104" s="4" t="str">
        <v>条件：タブ3「個体終息（通常更新）」の表示結果0件／正数。タブ3の表示結果出力。</v>
      </c>
    </row>
    <row r="105" ht="44" customHeight="1">
      <c r="A105" s="4" t="str">
        <v>VB3004-15</v>
      </c>
      <c r="B105" s="4" t="str">
        <v>タブ4のExcel出力</v>
      </c>
      <c r="C105" s="4" t="str">
        <v>INT08-04, INT08-13, INT08-22</v>
      </c>
      <c r="D105" s="4" t="str">
        <v>－</v>
      </c>
      <c r="E105" s="4" t="str">
        <v>R3004／VB3004-15、台帳原文参照</v>
      </c>
      <c r="F105" s="4" t="str">
        <v>結合へ反映（実行未実施）</v>
      </c>
      <c r="G105" s="4" t="str">
        <v>条件：タブ4「個体終息（契約完了）」の表示結果0件／正数。タブ4の表示結果出力。</v>
      </c>
    </row>
    <row r="106" ht="44" customHeight="1">
      <c r="A106" s="4" t="str">
        <v>VB3004-16</v>
      </c>
      <c r="B106" s="4" t="str">
        <v>タブ5のExcel出力</v>
      </c>
      <c r="C106" s="4" t="str">
        <v>INT08-05, INT08-13, INT08-22</v>
      </c>
      <c r="D106" s="4" t="str">
        <v>－</v>
      </c>
      <c r="E106" s="4" t="str">
        <v>R3004／VB3004-16、台帳原文参照</v>
      </c>
      <c r="F106" s="4" t="str">
        <v>結合へ反映（実行未実施）</v>
      </c>
      <c r="G106" s="4" t="str">
        <v>条件：タブ5「契約差異」の表示結果0件／正数。タブ5の表示結果出力。</v>
      </c>
    </row>
    <row r="107" ht="44" customHeight="1">
      <c r="A107" s="4" t="str">
        <v>VB3004-17</v>
      </c>
      <c r="B107" s="4" t="str">
        <v>タブ6のExcel出力</v>
      </c>
      <c r="C107" s="4" t="str">
        <v>INT08-06, INT08-13, INT08-22</v>
      </c>
      <c r="D107" s="4" t="str">
        <v>－</v>
      </c>
      <c r="E107" s="4" t="str">
        <v>R3004／VB3004-17、台帳原文参照</v>
      </c>
      <c r="F107" s="4" t="str">
        <v>結合へ反映（実行未実施）</v>
      </c>
      <c r="G107" s="4" t="str">
        <v>条件：タブ6「不足製番」の表示結果0件／正数。タブ6の表示結果出力。</v>
      </c>
    </row>
    <row r="108" ht="44" customHeight="1">
      <c r="A108" s="4" t="str">
        <v>VB3004-18</v>
      </c>
      <c r="B108" s="4" t="str">
        <v>タブ7のExcel出力</v>
      </c>
      <c r="C108" s="4" t="str">
        <v>INT08-07, INT08-13, INT08-22</v>
      </c>
      <c r="D108" s="4" t="str">
        <v>－</v>
      </c>
      <c r="E108" s="4" t="str">
        <v>R3004／VB3004-18、台帳原文参照</v>
      </c>
      <c r="F108" s="4" t="str">
        <v>結合へ反映（実行未実施）</v>
      </c>
      <c r="G108" s="4" t="str">
        <v>条件：タブ7「備忘録」の表示結果0件／正数。タブ7の表示結果出力。</v>
      </c>
    </row>
    <row r="109" ht="44" customHeight="1">
      <c r="A109" s="4" t="str">
        <v>VB3004-19</v>
      </c>
      <c r="B109" s="4" t="str">
        <v>タブ8のExcel出力</v>
      </c>
      <c r="C109" s="4" t="str">
        <v>INT08-08, INT08-13, INT08-22</v>
      </c>
      <c r="D109" s="4" t="str">
        <v>－</v>
      </c>
      <c r="E109" s="4" t="str">
        <v>R3004／VB3004-19、台帳原文参照</v>
      </c>
      <c r="F109" s="4" t="str">
        <v>結合へ反映（実行未実施）</v>
      </c>
      <c r="G109" s="4" t="str">
        <v>条件：タブ8「バッテリー交換」の表示結果0件／正数。タブ8の表示結果出力。</v>
      </c>
    </row>
    <row r="110" ht="44" customHeight="1">
      <c r="A110" s="4" t="str">
        <v>VB3004-20</v>
      </c>
      <c r="B110" s="4" t="str">
        <v>タブ9のExcel出力</v>
      </c>
      <c r="C110" s="4" t="str">
        <v>INT08-09, INT08-13, INT08-22</v>
      </c>
      <c r="D110" s="4" t="str">
        <v>－</v>
      </c>
      <c r="E110" s="4" t="str">
        <v>R3004／VB3004-20、台帳原文参照</v>
      </c>
      <c r="F110" s="4" t="str">
        <v>結合へ反映（実行未実施）</v>
      </c>
      <c r="G110" s="4" t="str">
        <v>条件：タブ9「取引先契約確認」の表示結果0件／正数。タブ9の表示結果出力。</v>
      </c>
    </row>
    <row r="111" ht="48" customHeight="1">
      <c r="A111" s="4" t="str">
        <v>VB3004-21</v>
      </c>
      <c r="B111" s="4" t="str">
        <v>予定リンク・タブ切替</v>
      </c>
      <c r="C111" s="4" t="str">
        <v>INT08-07, INT08-12</v>
      </c>
      <c r="D111" s="4" t="str">
        <v>－</v>
      </c>
      <c r="E111" s="4" t="str">
        <v>R3004／VB3004-21、台帳原文参照</v>
      </c>
      <c r="F111" s="4" t="str">
        <v>対応先あり・残条件あり</v>
      </c>
      <c r="G111" s="4" t="str">
        <v>条件：行見出し／非リンク／空値、クリック／ダブルクリック、選択タブ。無効クリック・Enter対象の単独判定は追加単体が必要。</v>
      </c>
    </row>
    <row r="112" ht="48" customHeight="1">
      <c r="A112" s="4" t="str">
        <v>VB3005-01</v>
      </c>
      <c r="B112" s="4" t="str">
        <v>新規・既存・不存在</v>
      </c>
      <c r="C112" s="4" t="str">
        <v>INT08-07</v>
      </c>
      <c r="D112" s="4" t="str">
        <v>－</v>
      </c>
      <c r="E112" s="4" t="str">
        <v>R3005／VB3005-01、台帳原文参照</v>
      </c>
      <c r="F112" s="4" t="str">
        <v>対応先あり・残条件あり</v>
      </c>
      <c r="G112" s="4" t="str">
        <v>条件：受渡しなし／あり、受渡し予定ID0／正数、既存検索0件。単体未収録。受渡しID0・既存不存在の起動中止は追加単体が必要。</v>
      </c>
    </row>
    <row r="113" ht="48" customHeight="1">
      <c r="A113" s="4" t="str">
        <v>VB3005-02</v>
      </c>
      <c r="B113" s="4" t="str">
        <v>通常登録・新規後の添付</v>
      </c>
      <c r="C113" s="4" t="str">
        <v>INT08-07, INT08-18, INT08-21, INT09-21</v>
      </c>
      <c r="D113" s="4" t="str">
        <v>－</v>
      </c>
      <c r="E113" s="4" t="str">
        <v>R3005／VB3005-02、台帳原文参照</v>
      </c>
      <c r="F113" s="4" t="str">
        <v>対応先あり・残条件あり</v>
      </c>
      <c r="G113" s="4" t="str">
        <v>条件：削除チェックなし、変更フラグ・DataSet変更あり／なし、予定日必須検査、確認取消、未保存／保存済み。変更なし・確認取消の単独検査は追加単体が必要。</v>
      </c>
    </row>
    <row r="114" ht="44" customHeight="1">
      <c r="A114" s="4" t="str">
        <v>VB3005-03</v>
      </c>
      <c r="B114" s="4" t="str">
        <v>予定削除と添付有無</v>
      </c>
      <c r="C114" s="4" t="str">
        <v>INT08-19, INT08-20</v>
      </c>
      <c r="D114" s="4" t="str">
        <v>－</v>
      </c>
      <c r="E114" s="4" t="str">
        <v>R3005／VB3005-03、台帳原文参照</v>
      </c>
      <c r="F114" s="4" t="str">
        <v>結合へ反映（実行未実施）</v>
      </c>
      <c r="G114" s="4" t="str">
        <v>条件：削除チェックあり、添付0件／あり、確認取消。添付有無による親削除と一覧の整合。</v>
      </c>
    </row>
    <row r="115" ht="44" customHeight="1">
      <c r="A115" s="4" t="str">
        <v>VB3005-04</v>
      </c>
      <c r="B115" s="4" t="str">
        <v>予定日の空欄</v>
      </c>
      <c r="C115" s="4" t="str">
        <v>INT08-34</v>
      </c>
      <c r="D115" s="4" t="str">
        <v>－</v>
      </c>
      <c r="E115" s="4" t="str">
        <v>R3005／VB3005-04、台帳原文参照</v>
      </c>
      <c r="F115" s="4" t="str">
        <v>対応先あり・残条件あり</v>
      </c>
      <c r="G115" s="4" t="str">
        <v>条件：予定日が空欄／入力あり。予定日必須。空欄の入力チェックだけは追加単体。</v>
      </c>
    </row>
    <row r="116" ht="48" customHeight="1">
      <c r="A116" s="4" t="str">
        <v>VB3005-05</v>
      </c>
      <c r="B116" s="4" t="str">
        <v>添付の追加</v>
      </c>
      <c r="C116" s="4" t="str">
        <v>INT08-18, INT09-30</v>
      </c>
      <c r="D116" s="4" t="str">
        <v>－</v>
      </c>
      <c r="E116" s="4" t="str">
        <v>R3005／VB3005-05、台帳原文参照</v>
      </c>
      <c r="F116" s="4" t="str">
        <v>結合へ反映（実行未実施）</v>
      </c>
      <c r="G116" s="4" t="str">
        <v>条件：同じ予定ID・同じファイル名の既存添付がある／ない、ファイル選択・保存処理。同名・別名・選択取消。保存先はQ02。</v>
      </c>
    </row>
    <row r="117" ht="48" customHeight="1">
      <c r="A117" s="4" t="str">
        <v>VB3005-06</v>
      </c>
      <c r="B117" s="4" t="str">
        <v>添付の削除</v>
      </c>
      <c r="C117" s="4" t="str">
        <v>INT08-20, INT09-22</v>
      </c>
      <c r="D117" s="4" t="str">
        <v>－</v>
      </c>
      <c r="E117" s="4" t="str">
        <v>R3005／VB3005-06、台帳原文参照</v>
      </c>
      <c r="F117" s="4" t="str">
        <v>対応先あり・残条件あり</v>
      </c>
      <c r="G117" s="4" t="str">
        <v>条件：未選択、確認取消、実ファイル削除成功／失敗。未選択・削除取消・実体削除失敗は追加単体／異常系条件が必要。</v>
      </c>
    </row>
    <row r="118" ht="48" customHeight="1">
      <c r="A118" s="4" t="str">
        <v>VB3005-07</v>
      </c>
      <c r="B118" s="4" t="str">
        <v>添付の起動</v>
      </c>
      <c r="C118" s="4" t="str">
        <v>INT08-18, INT09-26</v>
      </c>
      <c r="D118" s="4" t="str">
        <v>－</v>
      </c>
      <c r="E118" s="4" t="str">
        <v>R3005／VB3005-07、台帳原文参照</v>
      </c>
      <c r="F118" s="4" t="str">
        <v>対応先あり・残条件あり</v>
      </c>
      <c r="G118" s="4" t="str">
        <v>条件：行見出し／対象列／行なし、ファイルが存在／不存在。取得の所属・実体。非リンククリックは追加単体が必要。Q02。</v>
      </c>
    </row>
    <row r="119" ht="48" customHeight="1">
      <c r="A119" s="4" t="str">
        <v>VB3007-01</v>
      </c>
      <c r="B119" s="4" t="str">
        <v>上下段の作成・破棄権限</v>
      </c>
      <c r="C119" s="4" t="str">
        <v>INT09-06</v>
      </c>
      <c r="D119" s="4" t="str">
        <v>－</v>
      </c>
      <c r="E119" s="4" t="str">
        <v>R3007／VB3007-01、台帳原文参照</v>
      </c>
      <c r="F119" s="4" t="str">
        <v>結合へ反映（実行未実施）</v>
      </c>
      <c r="G119" s="4" t="str">
        <v>条件：店舗契約メニュー2／それ以外、取引先契約メニュー2／それ以外。店舗と取引先の作成権限を独立。</v>
      </c>
    </row>
    <row r="120" ht="48" customHeight="1">
      <c r="A120" s="4" t="str">
        <v>VB3007-02</v>
      </c>
      <c r="B120" s="4" t="str">
        <v>検索条件・状態・0件</v>
      </c>
      <c r="C120" s="4" t="str">
        <v>INT05-05, INT05-06</v>
      </c>
      <c r="D120" s="4" t="str">
        <v>－</v>
      </c>
      <c r="E120" s="4" t="str">
        <v>R3007／VB3007-02、台帳原文参照</v>
      </c>
      <c r="F120" s="4" t="str">
        <v>対応先あり・残条件あり</v>
      </c>
      <c r="G120" s="4" t="str">
        <v>条件：条件未指定、店舗と取引先それぞれの状態4種、納入先抽出0件。未指定・全状態組合せは追加単体が必要。</v>
      </c>
    </row>
    <row r="121" ht="48" customHeight="1">
      <c r="A121" s="4" t="str">
        <v>VB3007-03</v>
      </c>
      <c r="B121" s="4" t="str">
        <v>上下段の検索対象</v>
      </c>
      <c r="C121" s="4" t="str">
        <v>INT05-01, INT05-02, INT05-03, INT05-04, INT05-05</v>
      </c>
      <c r="D121" s="4" t="str">
        <v>－</v>
      </c>
      <c r="E121" s="4" t="str">
        <v>R3007／VB3007-03、台帳原文参照</v>
      </c>
      <c r="F121" s="4" t="str">
        <v>対応先あり・残条件あり</v>
      </c>
      <c r="G121" s="4" t="str">
        <v>条件：納入先・プラント、店舗見積と取引先見積の個体管理ID結合、状態・承認状態。親子・個体結合。文字列条件の全境界は追加単体が必要。</v>
      </c>
    </row>
    <row r="122" ht="48" customHeight="1">
      <c r="A122" s="4" t="str">
        <v>VB3007-04</v>
      </c>
      <c r="B122" s="4" t="str">
        <v>納入先・プラント・ブランドの参照</v>
      </c>
      <c r="C122" s="4" t="str">
        <v>INT05-12</v>
      </c>
      <c r="D122" s="4" t="str">
        <v>－</v>
      </c>
      <c r="E122" s="4" t="str">
        <v>R3007／VB3007-04、台帳原文参照</v>
      </c>
      <c r="F122" s="4" t="str">
        <v>対応先あり・残条件あり</v>
      </c>
      <c r="G122" s="4" t="str">
        <v>条件：行見出し／空値、納入先CD／サポートID／機器構成、ブランド0件。ブランド0件通知・無効クリックは追加単体が必要。</v>
      </c>
    </row>
    <row r="123" ht="44" customHeight="1">
      <c r="A123" s="4" t="str">
        <v>VB3007-05</v>
      </c>
      <c r="B123" s="4" t="str">
        <v>店舗側の見積・契約・作成</v>
      </c>
      <c r="C123" s="4" t="str">
        <v>INT05-01, INT05-03, INT05-07</v>
      </c>
      <c r="D123" s="4" t="str">
        <v>－</v>
      </c>
      <c r="E123" s="4" t="str">
        <v>R3007／VB3007-05、台帳原文参照</v>
      </c>
      <c r="F123" s="4" t="str">
        <v>結合へ反映（実行未実施）</v>
      </c>
      <c r="G123" s="4" t="str">
        <v>条件：空値、見積NO／契約NO／契約作成。店舗側の見積・契約・新規。</v>
      </c>
    </row>
    <row r="124" ht="48" customHeight="1">
      <c r="A124" s="4" t="str">
        <v>VB3007-06</v>
      </c>
      <c r="B124" s="4" t="str">
        <v>店舗側の契約破棄</v>
      </c>
      <c r="C124" s="4" t="str">
        <v>INT05-08</v>
      </c>
      <c r="D124" s="4" t="str">
        <v>－</v>
      </c>
      <c r="E124" s="4" t="str">
        <v>R3007／VB3007-06、台帳原文参照</v>
      </c>
      <c r="F124" s="4" t="str">
        <v>対応先あり・残条件あり</v>
      </c>
      <c r="G124" s="4" t="str">
        <v>条件：破棄列、確認取消、対応する店舗見積とユーザー契約。破棄取消は追加単体が必要。過去支払いの抑止を取引先側から流用しない。</v>
      </c>
    </row>
    <row r="125" ht="48" customHeight="1">
      <c r="A125" s="4" t="str">
        <v>VB3007-07</v>
      </c>
      <c r="B125" s="4" t="str">
        <v>取引先側の見積・契約・作成</v>
      </c>
      <c r="C125" s="4" t="str">
        <v>INT05-02, INT05-04, INT05-09</v>
      </c>
      <c r="D125" s="4" t="str">
        <v>－</v>
      </c>
      <c r="E125" s="4" t="str">
        <v>R3007／VB3007-07、台帳原文参照</v>
      </c>
      <c r="F125" s="4" t="str">
        <v>結合へ反映（実行未実施）</v>
      </c>
      <c r="G125" s="4" t="str">
        <v>条件：行見出し／非リンク／空値、依頼NO／契約NO／作成列。取引先側の見積・契約・新規。</v>
      </c>
    </row>
    <row r="126" ht="48" customHeight="1">
      <c r="A126" s="4" t="str">
        <v>VB3007-08</v>
      </c>
      <c r="B126" s="4" t="str">
        <v>取引先側の契約破棄</v>
      </c>
      <c r="C126" s="4" t="str">
        <v>INT05-10, INT05-11</v>
      </c>
      <c r="D126" s="4" t="str">
        <v>－</v>
      </c>
      <c r="E126" s="4" t="str">
        <v>R3007／VB3007-08、台帳原文参照</v>
      </c>
      <c r="F126" s="4" t="str">
        <v>対応先あり・残条件あり</v>
      </c>
      <c r="G126" s="4" t="str">
        <v>条件：確認取消、支払月NULL／過去／当月／未来。取消・支払NULL／当月／未来の全経路は追加単体が必要。</v>
      </c>
    </row>
    <row r="127" ht="48" customHeight="1">
      <c r="A127" s="4" t="str">
        <v>VB3008-01</v>
      </c>
      <c r="B127" s="4" t="str">
        <v>検索の任意条件</v>
      </c>
      <c r="C127" s="4" t="str">
        <v>INT05-13</v>
      </c>
      <c r="D127" s="4" t="str">
        <v>－</v>
      </c>
      <c r="E127" s="4" t="str">
        <v>R3008／VB3008-01、台帳原文参照</v>
      </c>
      <c r="F127" s="4" t="str">
        <v>対応先あり・残条件あり</v>
      </c>
      <c r="G127" s="4" t="str">
        <v>条件：依頼事業所コンボの選択・値の有無、納入先・サポートID・プラント。単体未収録。コンボ選択なし／NULLと文字条件は追加単体が必要。</v>
      </c>
    </row>
    <row r="128" ht="48" customHeight="1">
      <c r="A128" s="4" t="str">
        <v>VB3008-02</v>
      </c>
      <c r="B128" s="4" t="str">
        <v>確認候補の抽出</v>
      </c>
      <c r="C128" s="4" t="str">
        <v>INT05-19</v>
      </c>
      <c r="D128" s="4" t="str">
        <v>－</v>
      </c>
      <c r="E128" s="4" t="str">
        <v>R3008／VB3008-02、台帳原文参照</v>
      </c>
      <c r="F128" s="4" t="str">
        <v>結合へ反映（実行未実施）</v>
      </c>
      <c r="G128" s="4" t="str">
        <v>条件：確認済み1以外、ユーザー期間有効0、契約の最大期間ID、事業所・文字列条件。最大IDは全期間の最大。試験データはQ08。</v>
      </c>
    </row>
    <row r="129" ht="48" customHeight="1">
      <c r="A129" s="4" t="str">
        <v>VB3008-03</v>
      </c>
      <c r="B129" s="4" t="str">
        <v>本人・確認済みの除外</v>
      </c>
      <c r="C129" s="4" t="str">
        <v>INT05-14, INT05-15, INT05-18</v>
      </c>
      <c r="D129" s="4" t="str">
        <v>－</v>
      </c>
      <c r="E129" s="4" t="str">
        <v>R3008／VB3008-03、台帳原文参照</v>
      </c>
      <c r="F129" s="4" t="str">
        <v>結合へ反映（実行未実施）</v>
      </c>
      <c r="G129" s="4" t="str">
        <v>条件：選択済みで依頼者が本人／確認済み。本人・既確認を除外し有効な他者対象だけを更新。</v>
      </c>
    </row>
    <row r="130" ht="44" customHeight="1">
      <c r="A130" s="4" t="str">
        <v>VB3008-04</v>
      </c>
      <c r="B130" s="4" t="str">
        <v>対象なし・取消</v>
      </c>
      <c r="C130" s="4" t="str">
        <v>INT05-16, INT05-18</v>
      </c>
      <c r="D130" s="4" t="str">
        <v>－</v>
      </c>
      <c r="E130" s="4" t="str">
        <v>R3008／VB3008-04、台帳原文参照</v>
      </c>
      <c r="F130" s="4" t="str">
        <v>結合へ反映（実行未実施）</v>
      </c>
      <c r="G130" s="4" t="str">
        <v>条件：除外後0件、確認ダイアログ取消。対象なし・取消でDBと支払抽出を保持。</v>
      </c>
    </row>
    <row r="131" ht="44" customHeight="1">
      <c r="A131" s="4" t="str">
        <v>VB3008-05</v>
      </c>
      <c r="B131" s="4" t="str">
        <v>未確認・再確認の更新</v>
      </c>
      <c r="C131" s="4" t="str">
        <v>INT04-17, INT05-13, INT05-15, INT05-17</v>
      </c>
      <c r="D131" s="4" t="str">
        <v>－</v>
      </c>
      <c r="E131" s="4" t="str">
        <v>R3008／VB3008-05、台帳原文参照</v>
      </c>
      <c r="F131" s="4" t="str">
        <v>結合へ反映（実行未実施）</v>
      </c>
      <c r="G131" s="4" t="str">
        <v>条件：区分0／2／それ以外、処理件数0／正数。区分0／2だけ1へ。件数と先行者はQ06。</v>
      </c>
    </row>
    <row r="132" ht="48" customHeight="1">
      <c r="A132" s="4" t="str">
        <v>VB1005-21</v>
      </c>
      <c r="B132" s="4" t="str">
        <v>構成の追加・解除・維持</v>
      </c>
      <c r="C132" s="4" t="str">
        <v>INT01-14</v>
      </c>
      <c r="D132" s="4" t="str">
        <v>1006-25</v>
      </c>
      <c r="E132" s="4" t="str">
        <v>R1005／VB1005-21、台帳原文参照</v>
      </c>
      <c r="F132" s="4" t="str">
        <v>対応先あり・残条件あり</v>
      </c>
      <c r="G132" s="4" t="str">
        <v>条件：旧OFF→新ON／旧ON→新OFF／旧ON→新ON、名称・セット数・手配製番変更。追加・解除・維持属性と採番後の親子を確認。</v>
      </c>
    </row>
    <row r="133" ht="48" customHeight="1">
      <c r="A133" s="4" t="str">
        <v>VB1005-22</v>
      </c>
      <c r="B133" s="4" t="str">
        <v>明細と点検の追加・解除</v>
      </c>
      <c r="C133" s="4" t="str">
        <v>INT01-29</v>
      </c>
      <c r="D133" s="4" t="str">
        <v>1005-14, 1006-25</v>
      </c>
      <c r="E133" s="4" t="str">
        <v>R1005／VB1005-22、台帳原文参照</v>
      </c>
      <c r="F133" s="4" t="str">
        <v>結合・単体分担（実行未実施）</v>
      </c>
      <c r="G133" s="4" t="str">
        <v>条件：選定の旧新状態、同じ構成＋親分類の点検がある／ない、元点検の検索1件／それ以外。点検の同じ組の重複・元取得件数・月別子削除。</v>
      </c>
    </row>
    <row r="134" ht="48" customHeight="1">
      <c r="A134" s="4" t="str">
        <v>VB1005-23</v>
      </c>
      <c r="B134" s="4" t="str">
        <v>個体の追加・解除・変更</v>
      </c>
      <c r="C134" s="4" t="str">
        <v>INT01-14</v>
      </c>
      <c r="D134" s="4" t="str">
        <v>1006-25</v>
      </c>
      <c r="E134" s="4" t="str">
        <v>R1005／VB1005-23、台帳原文参照</v>
      </c>
      <c r="F134" s="4" t="str">
        <v>結合・単体分担（実行未実施）</v>
      </c>
      <c r="G134" s="4" t="str">
        <v>条件：旧新チェック、一次納入・撤去・期限の日付NULL、名称・シリアル・設置場所変更。個体の日付NULLと維持属性。</v>
      </c>
    </row>
    <row r="135" ht="48" customHeight="1">
      <c r="A135" s="4" t="str">
        <v>VB1005-24</v>
      </c>
      <c r="B135" s="4" t="str">
        <v>単価の差分と数量変更</v>
      </c>
      <c r="C135" s="4" t="str">
        <v>INT01-14</v>
      </c>
      <c r="D135" s="4" t="str">
        <v>－</v>
      </c>
      <c r="E135" s="4" t="str">
        <v>R1005／VB1005-24、台帳原文参照</v>
      </c>
      <c r="F135" s="4" t="str">
        <v>対応先あり・残条件あり</v>
      </c>
      <c r="G135" s="4" t="str">
        <v>条件：単価の旧新選定、削除一覧、契約時間ID0／非0、終了日NULL、数量変更あり／なし。単価差分・数量変更。時間ID0／非0等の全組合せは追加照合。</v>
      </c>
    </row>
    <row r="136" ht="48" customHeight="1">
      <c r="A136" s="4" t="str">
        <v>VB1005-25</v>
      </c>
      <c r="B136" s="4" t="str">
        <v>期間変更時の月割りと端数</v>
      </c>
      <c r="C136" s="4" t="str">
        <v>INT01-06, INT06-04</v>
      </c>
      <c r="D136" s="4" t="str">
        <v>1006-9, 1006-11</v>
      </c>
      <c r="E136" s="4" t="str">
        <v>R1005／VB1005-25、台帳原文参照</v>
      </c>
      <c r="F136" s="4" t="str">
        <v>結合・単体分担（実行未実施）</v>
      </c>
      <c r="G136" s="4" t="str">
        <v>条件：契約終了月&lt;単価開始月、単価期間内包／開始側切詰め／終了側切詰め、終了NULL、開始月の前・同月・後。元期間・切詰め・余りの扱いを保存／表示／出力へ追跡。</v>
      </c>
    </row>
    <row r="137" ht="48" customHeight="1">
      <c r="A137" s="4" t="str">
        <v>VB1005-26</v>
      </c>
      <c r="B137" s="4" t="str">
        <v>機器表示の集計と保守表示</v>
      </c>
      <c r="C137" s="4" t="str">
        <v>INT01-03</v>
      </c>
      <c r="D137" s="4" t="str">
        <v>－</v>
      </c>
      <c r="E137" s="4" t="str">
        <v>R1005／VB1005-26、台帳原文参照</v>
      </c>
      <c r="F137" s="4" t="str">
        <v>対応先あり・残条件あり</v>
      </c>
      <c r="G137" s="4" t="str">
        <v>条件：単価0／1／複数、先頭単価の時間IDNULL、表示行0／正数、契約時間・保守方法の取得。金額合算・保守の先頭単価。表示0件・保守取得1件以外は単体追加が必要。</v>
      </c>
    </row>
    <row r="138" ht="48" customHeight="1">
      <c r="A138" s="4" t="str">
        <v>VB1005-27</v>
      </c>
      <c r="B138" s="4" t="str">
        <v>プラント判定と元見積IDの収集</v>
      </c>
      <c r="C138" s="4" t="str">
        <v>INT01-03</v>
      </c>
      <c r="D138" s="4" t="str">
        <v>－</v>
      </c>
      <c r="E138" s="4" t="str">
        <v>R1005／VB1005-27、台帳原文参照</v>
      </c>
      <c r="F138" s="4" t="str">
        <v>対応先あり・残条件あり</v>
      </c>
      <c r="G138" s="4" t="str">
        <v>条件：機器構成のプラント0／1／複数、単価の削除状態、同じ見積単価IDが重複。プラント0／複数・元ID重複除去の直接判定は単体追加が必要。</v>
      </c>
    </row>
    <row r="139" ht="48" customHeight="1">
      <c r="A139" s="4" t="str">
        <v>VB1005-28</v>
      </c>
      <c r="B139" s="4" t="str">
        <v>発行明細の点検月・見積NO・手配製番</v>
      </c>
      <c r="C139" s="4" t="str">
        <v>INT01-14, INT01-17</v>
      </c>
      <c r="D139" s="4" t="str">
        <v>－</v>
      </c>
      <c r="E139" s="4" t="str">
        <v>R1005／VB1005-28、台帳原文参照</v>
      </c>
      <c r="F139" s="4" t="str">
        <v>結合へ反映（実行未実施）</v>
      </c>
      <c r="G139" s="4" t="str">
        <v>条件：対応点検0／複数、月チェックON／OFF、見積NO・手配製番の取得0／正数。帳票明細の回数・ON月・DISTINCT見積NO／手配製番を補足。</v>
      </c>
    </row>
    <row r="140" ht="48" customHeight="1">
      <c r="A140" s="4" t="str">
        <v>VB1005-29</v>
      </c>
      <c r="B140" s="4" t="str">
        <v>選択期間と親契約番号の同期</v>
      </c>
      <c r="C140" s="4" t="str">
        <v>INT01-17</v>
      </c>
      <c r="D140" s="4" t="str">
        <v>－</v>
      </c>
      <c r="E140" s="4" t="str">
        <v>R1005／VB1005-29、台帳原文参照</v>
      </c>
      <c r="F140" s="4" t="str">
        <v>対応先あり・残条件あり</v>
      </c>
      <c r="G140" s="4" t="str">
        <v>条件：選択タブ番号が負／0以上、契約NO変更、未登録タブ／既存タブ。有効な選択タブの同期。タブ番号負の操作条件は単体追加が必要。</v>
      </c>
    </row>
    <row r="141" ht="48" customHeight="1">
      <c r="A141" s="4" t="str">
        <v>VB2006-14</v>
      </c>
      <c r="B141" s="4" t="str">
        <v>新規期間のブランド採用</v>
      </c>
      <c r="C141" s="4" t="str">
        <v>INT04-03, INT04-09</v>
      </c>
      <c r="D141" s="4" t="str">
        <v>2006-3</v>
      </c>
      <c r="E141" s="4" t="str">
        <v>R2006／VB2006-14、台帳原文参照</v>
      </c>
      <c r="F141" s="4" t="str">
        <v>結合・単体分担（実行未実施）</v>
      </c>
      <c r="G141" s="4" t="str">
        <v>条件：プラントのブランド一覧、選定ブランドが一覧にある／ない、未選定ブランドあり／なし。未選定ブランドはマスタ補完、未採用機器とは区別。</v>
      </c>
    </row>
    <row r="142" ht="48" customHeight="1">
      <c r="A142" s="4" t="str">
        <v>VB2006-15</v>
      </c>
      <c r="B142" s="4" t="str">
        <v>構成・明細の選定差分</v>
      </c>
      <c r="C142" s="4" t="str">
        <v>INT04-06</v>
      </c>
      <c r="D142" s="4" t="str">
        <v>2006-24</v>
      </c>
      <c r="E142" s="4" t="str">
        <v>R2006／VB2006-15、台帳原文参照</v>
      </c>
      <c r="F142" s="4" t="str">
        <v>結合・単体分担（実行未実施）</v>
      </c>
      <c r="G142" s="4" t="str">
        <v>条件：旧OFF→新ON／旧ON→新OFF／旧ON→新ON、セット数・単位・手配製番・保守方法・数量変更、時間ID0／非0。構成・明細の差分属性と親キー。</v>
      </c>
    </row>
    <row r="143" ht="48" customHeight="1">
      <c r="A143" s="4" t="str">
        <v>VB2006-16</v>
      </c>
      <c r="B143" s="4" t="str">
        <v>個体の選定差分</v>
      </c>
      <c r="C143" s="4" t="str">
        <v>INT04-06</v>
      </c>
      <c r="D143" s="4" t="str">
        <v>2006-24</v>
      </c>
      <c r="E143" s="4" t="str">
        <v>R2006／VB2006-16、台帳原文参照</v>
      </c>
      <c r="F143" s="4" t="str">
        <v>結合・単体分担（実行未実施）</v>
      </c>
      <c r="G143" s="4" t="str">
        <v>条件：旧OFF→新ON／旧ON→新OFF／旧ON→新ON、一次納入日・期限NULL。個体維持ON→ONの属性更新分岐なし。</v>
      </c>
    </row>
    <row r="144" ht="48" customHeight="1">
      <c r="A144" s="4" t="str">
        <v>VB2006-17</v>
      </c>
      <c r="B144" s="4" t="str">
        <v>保守時間帯・方法の集約</v>
      </c>
      <c r="C144" s="4" t="str">
        <v>INT04-24</v>
      </c>
      <c r="D144" s="4" t="str">
        <v>2006-3</v>
      </c>
      <c r="E144" s="4" t="str">
        <v>R2006／VB2006-17、台帳原文参照</v>
      </c>
      <c r="F144" s="4" t="str">
        <v>期待要合意（Q17）</v>
      </c>
      <c r="G144" s="4" t="str">
        <v>条件：元基本見積の取得1件／それ以外、複数ブランドの時間帯0・大小、方法同じ／異なる。方法不一致はVB不整合候補Q17。</v>
      </c>
    </row>
    <row r="145" ht="48" customHeight="1">
      <c r="A145" s="4" t="str">
        <v>VB2006-18</v>
      </c>
      <c r="B145" s="4" t="str">
        <v>依頼店舗の採用</v>
      </c>
      <c r="C145" s="4" t="str">
        <v>INT04-25</v>
      </c>
      <c r="D145" s="4" t="str">
        <v>2006-3</v>
      </c>
      <c r="E145" s="4" t="str">
        <v>R2006／VB2006-18、台帳原文参照</v>
      </c>
      <c r="F145" s="4" t="str">
        <v>対応先あり・残条件あり</v>
      </c>
      <c r="G145" s="4" t="str">
        <v>条件：既知店舗ID0／非0、見積ID一覧NULL、見積からDISTINCT店舗を取得0／1／複数。既知店舗優先・元1件／0／複数。一覧NULLの呼出は追加確認。</v>
      </c>
    </row>
    <row r="146" ht="48" customHeight="1">
      <c r="A146" s="4" t="str">
        <v>VB1011-11</v>
      </c>
      <c r="B146" s="4" t="str">
        <v>捺印対象の拡張子・保存失敗</v>
      </c>
      <c r="C146" s="4" t="str">
        <v>INT02-11, INT02-12, INT02-25</v>
      </c>
      <c r="D146" s="4" t="str">
        <v>－</v>
      </c>
      <c r="E146" s="4" t="str">
        <v>R1011／VB1011-11、台帳原文参照</v>
      </c>
      <c r="F146" s="4" t="str">
        <v>結合へ反映（実行未実施）</v>
      </c>
      <c r="G146" s="4" t="str">
        <v>条件：パス空、拡張子.xlsx／それ以外、Excel起動・読込み・書込み例外、SaveAs失敗／成功。拡張子対象・False・例外。パス空など全故障注入はQ08。</v>
      </c>
    </row>
    <row r="147" ht="44" customHeight="1">
      <c r="A147" s="4" t="str">
        <v>C06</v>
      </c>
      <c r="B147" s="4" t="str">
        <v>E通知・確認取消</v>
      </c>
      <c r="C147" s="4" t="str">
        <v>INT01-18, INT01-19, INT01-30, INT04-16</v>
      </c>
      <c r="D147" s="4" t="str">
        <v>1006-8, 1006-23</v>
      </c>
      <c r="E147" s="4" t="str">
        <v>共通原文：VB共通・入力・保存条件_再確認.md#C06</v>
      </c>
      <c r="F147" s="4" t="str">
        <v>共通分担（実行未実施）</v>
      </c>
      <c r="G147" s="4" t="str">
        <v>共通E通知と直接MessageUtilityの違いを保持。</v>
      </c>
    </row>
    <row r="148" ht="44" customHeight="1">
      <c r="A148" s="4" t="str">
        <v>C07</v>
      </c>
      <c r="B148" s="4" t="str">
        <v>起動・参照権限</v>
      </c>
      <c r="C148" s="4" t="str">
        <v>INT09-01, INT09-02, INT09-03, INT09-04, INT09-05, INT09-06, INT09-07</v>
      </c>
      <c r="D148" s="4" t="str">
        <v>－</v>
      </c>
      <c r="E148" s="4" t="str">
        <v>共通原文：VB共通・入力・保存条件_再確認.md#C07</v>
      </c>
      <c r="F148" s="4" t="str">
        <v>共通分担（実行未実施）</v>
      </c>
      <c r="G148" s="4" t="str">
        <v>AuthorityIsThroughや全コントロールの単体条件は追加確認。</v>
      </c>
    </row>
    <row r="149" ht="44" customHeight="1">
      <c r="A149" s="4" t="str">
        <v>C08</v>
      </c>
      <c r="B149" s="4" t="str">
        <v>入力検査・復元</v>
      </c>
      <c r="C149" s="4" t="str">
        <v>INT01-30, INT08-34</v>
      </c>
      <c r="D149" s="4" t="str">
        <v>1005-29, 1005-30, 2006-13, 2006-14, 2006-15</v>
      </c>
      <c r="E149" s="4" t="str">
        <v>共通原文：VB共通・入力・保存条件_再確認.md#C08</v>
      </c>
      <c r="F149" s="4" t="str">
        <v>共通分担（実行未実施）</v>
      </c>
      <c r="G149" s="4" t="str">
        <v>入力キー851候補の全定義・属性は単体追加が必要。</v>
      </c>
    </row>
    <row r="150" ht="44" customHeight="1">
      <c r="A150" s="4" t="str">
        <v>C09</v>
      </c>
      <c r="B150" s="4" t="str">
        <v>空値と0</v>
      </c>
      <c r="C150" s="4" t="str">
        <v>INT04-25</v>
      </c>
      <c r="D150" s="4" t="str">
        <v>2006-13, 2006-14</v>
      </c>
      <c r="E150" s="4" t="str">
        <v>共通原文：VB共通・入力・保存条件_再確認.md#C09</v>
      </c>
      <c r="F150" s="4" t="str">
        <v>共通分担（実行未実施）</v>
      </c>
      <c r="G150" s="4" t="str">
        <v>呼出箇所別の空白・DBNull・0の全組合せは追加単体が必要。</v>
      </c>
    </row>
    <row r="151" ht="44" customHeight="1">
      <c r="A151" s="4" t="str">
        <v>C10</v>
      </c>
      <c r="B151" s="4" t="str">
        <v>変更なし・編集確定</v>
      </c>
      <c r="C151" s="4" t="str">
        <v>INT09-21</v>
      </c>
      <c r="D151" s="4" t="str">
        <v>1005-18, 2006-25</v>
      </c>
      <c r="E151" s="4" t="str">
        <v>共通原文：VB共通・入力・保存条件_再確認.md#C10</v>
      </c>
      <c r="F151" s="4" t="str">
        <v>共通分担（実行未実施）</v>
      </c>
      <c r="G151" s="4" t="str">
        <v>変更なしは単体。各オーバーロードの順序・3005の単体は追加確認。</v>
      </c>
    </row>
    <row r="152" ht="44" customHeight="1">
      <c r="A152" s="4" t="str">
        <v>C11</v>
      </c>
      <c r="B152" s="4" t="str">
        <v>戻る・閉じる・子画面復帰</v>
      </c>
      <c r="C152" s="4" t="str">
        <v>INT01-10, INT04-08, INT09-31</v>
      </c>
      <c r="D152" s="4" t="str">
        <v>1006-22, 1006-25</v>
      </c>
      <c r="E152" s="4" t="str">
        <v>共通原文：VB共通・入力・保存条件_再確認.md#C11</v>
      </c>
      <c r="F152" s="4" t="str">
        <v>共通分担（実行未実施）</v>
      </c>
      <c r="G152" s="4" t="str">
        <v>Webの戻り先は共通仕様2.2、未保存保護は業務期待を確認。</v>
      </c>
    </row>
    <row r="153" ht="44" customHeight="1">
      <c r="A153" s="4" t="str">
        <v>C12</v>
      </c>
      <c r="B153" s="4" t="str">
        <v>DB保存・取消・例外</v>
      </c>
      <c r="C153" s="4" t="str">
        <v>INT02-12, INT02-25, INT09-14, INT09-15, INT09-16, INT09-21</v>
      </c>
      <c r="D153" s="4" t="str">
        <v>－</v>
      </c>
      <c r="E153" s="4" t="str">
        <v>共通原文：VB共通・入力・保存条件_再確認.md#C12</v>
      </c>
      <c r="F153" s="4" t="str">
        <v>共通分担（実行未実施）</v>
      </c>
      <c r="G153" s="4" t="str">
        <v>False・Exitは例外ではない。外部ファイルはDBと別。Q08/Q15。</v>
      </c>
    </row>
    <row r="154" ht="44" customHeight="1">
      <c r="A154" s="4" t="str">
        <v>C13</v>
      </c>
      <c r="B154" s="4" t="str">
        <v>捺印対象とOffice失敗</v>
      </c>
      <c r="C154" s="4" t="str">
        <v>INT02-10, INT02-11, INT02-12, INT02-25</v>
      </c>
      <c r="D154" s="4" t="str">
        <v>－</v>
      </c>
      <c r="E154" s="4" t="str">
        <v>共通原文：VB共通・入力・保存条件_再確認.md#C13</v>
      </c>
      <c r="F154" s="4" t="str">
        <v>共通分担（実行未実施）</v>
      </c>
      <c r="G154" s="4" t="str">
        <v>拡張子・対象シート・SaveAs False・伝播例外を区別。Q15。</v>
      </c>
    </row>
    <row r="155" ht="44" customHeight="1">
      <c r="A155" s="4" t="str">
        <v>C14</v>
      </c>
      <c r="B155" s="4" t="str">
        <v>SQLの未指定条件</v>
      </c>
      <c r="C155" s="4" t="str">
        <v>INT07-07, INT07-08, INT07-09</v>
      </c>
      <c r="D155" s="4" t="str">
        <v>1010-6</v>
      </c>
      <c r="E155" s="4" t="str">
        <v>共通原文：VB共通・入力・保存条件_再確認.md#C14</v>
      </c>
      <c r="F155" s="4" t="str">
        <v>共通分担（実行未実施）</v>
      </c>
      <c r="G155" s="4" t="str">
        <v>3003は各日付が別CONDITION。全SQLの複数引数は追加確認。</v>
      </c>
    </row>
    <row r="156" ht="44" customHeight="1">
      <c r="A156" s="4" t="str">
        <v>C15</v>
      </c>
      <c r="B156" s="4" t="str">
        <v>ファイル選択取消</v>
      </c>
      <c r="C156" s="4" t="str">
        <v>INT09-30</v>
      </c>
      <c r="D156" s="4" t="str">
        <v>－</v>
      </c>
      <c r="E156" s="4" t="str">
        <v>共通原文：VB共通・入力・保存条件_再確認.md#C15</v>
      </c>
      <c r="F156" s="4" t="str">
        <v>共通分担（実行未実施）</v>
      </c>
      <c r="G156" s="4" t="str">
        <v>選択取消で追加イベントを呼ばない。通常追加や実体失敗とは別。</v>
      </c>
    </row>
  </sheetData>
  <mergeCells>
    <mergeCell ref="A1:G1"/>
    <mergeCell ref="A2:G2"/>
    <mergeCell ref="A3:G3"/>
    <mergeCell ref="A4:G4"/>
  </mergeCells>
  <pageMargins left="0.3" right="0.3" top="0.4" bottom="0.4" header="0.2" footer="0.2"/>
  <pageSetup orientation="landscape" paperSize="8" scale="100" fitToWidth="0" fitToHeight="0"/>
</worksheet>
</file>