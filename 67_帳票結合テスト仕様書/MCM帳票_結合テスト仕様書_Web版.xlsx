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74daf3af0d4802" /></Relationships>
</file>

<file path=xl/workbook.xml><?xml version="1.0" encoding="utf-8"?>
<x:workbook xmlns:x="http://schemas.openxmlformats.org/spreadsheetml/2006/main">
  <x:sheets>
    <x:sheet xmlns:r="http://schemas.openxmlformats.org/officeDocument/2006/relationships" name="結合テスト目次" sheetId="1" r:id="R734395bc24f24650"/>
    <x:sheet xmlns:r="http://schemas.openxmlformats.org/officeDocument/2006/relationships" name="仕様書課題一覧" sheetId="2" r:id="Rb6dd17ea58744af1"/>
    <x:sheet xmlns:r="http://schemas.openxmlformats.org/officeDocument/2006/relationships" name="単体との分担" sheetId="3" r:id="R7d8f8b43d42141f2"/>
    <x:sheet xmlns:r="http://schemas.openxmlformats.org/officeDocument/2006/relationships" name="INT01_見積依頼から発行" sheetId="4" r:id="R83befa234b524e24"/>
    <x:sheet xmlns:r="http://schemas.openxmlformats.org/officeDocument/2006/relationships" name="INT02_依頼登録と一覧帳票" sheetId="5" r:id="R15edb24d72904017"/>
    <x:sheet xmlns:r="http://schemas.openxmlformats.org/officeDocument/2006/relationships" name="INT03_契約登録と手続依頼" sheetId="6" r:id="Rf947ac0827e24100"/>
    <x:sheet xmlns:r="http://schemas.openxmlformats.org/officeDocument/2006/relationships" name="INT04_DTS情報と一覧出力" sheetId="7" r:id="R95f3edd399254503"/>
    <x:sheet xmlns:r="http://schemas.openxmlformats.org/officeDocument/2006/relationships" name="INT05_店舗見積の保存と発行" sheetId="8" r:id="R11b7bcfe605d449a"/>
    <x:sheet xmlns:r="http://schemas.openxmlformats.org/officeDocument/2006/relationships" name="INT06_契約と支払帳票" sheetId="9" r:id="Rc3403ef2e9ec412b"/>
    <x:sheet xmlns:r="http://schemas.openxmlformats.org/officeDocument/2006/relationships" name="INT07_点検保存と外部出力" sheetId="10" r:id="R13e67fdbe09e4047"/>
    <x:sheet xmlns:r="http://schemas.openxmlformats.org/officeDocument/2006/relationships" name="INT08_作業予定と契約帳票" sheetId="11" r:id="R1a3f096363e54274"/>
    <x:sheet xmlns:r="http://schemas.openxmlformats.org/officeDocument/2006/relationships" name="INT09_権限と同時更新" sheetId="12" r:id="Ra579631897d6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4">
    <x:font>
      <x:sz val="11"/>
      <x:name val="Carlito"/>
    </x:font>
    <x:font>
      <x:sz val="11"/>
      <x:name val="ＭＳ Ｐゴシック"/>
    </x:font>
    <x:font>
      <x:b/>
      <x:sz val="15"/>
      <x:name val="ＭＳ Ｐゴシック"/>
    </x:font>
    <x:font>
      <x:b/>
      <x:sz val="11"/>
      <x:name val="ＭＳ Ｐゴシック"/>
    </x:font>
  </x:fonts>
  <x:fills count="3">
    <x:fill>
      <x:patternFill patternType="none"/>
    </x:fill>
    <x:fill>
      <x:patternFill patternType="gray125"/>
    </x:fill>
    <x:fill>
      <x:patternFill patternType="solid">
        <x:fgColor rgb="FFD9E1F2"/>
      </x:patternFill>
    </x:fill>
  </x:fills>
  <x:borders count="2">
    <x:border/>
    <x:border>
      <x:left style="thin">
        <x:color rgb="FF9CA3AF"/>
      </x:left>
      <x:right style="thin">
        <x:color rgb="FF9CA3AF"/>
      </x:right>
      <x:top style="thin">
        <x:color rgb="FF9CA3AF"/>
      </x:top>
      <x:bottom style="thin">
        <x:color rgb="FF9CA3AF"/>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0" fontId="3" fillId="2" borderId="1" xfId="0" applyNumberFormat="1" applyFont="1" applyFill="1" applyBorder="1" applyAlignment="1">
      <x:alignment vertical="top" wrapText="1"/>
    </x:xf>
    <x:xf numFmtId="200" fontId="3" fillId="2"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3e798bf2b24ab2" /><Relationship Type="http://schemas.openxmlformats.org/officeDocument/2006/relationships/theme" Target="/xl/theme/theme1.xml" Id="R68df5c7d20054c81" /><Relationship Type="http://schemas.openxmlformats.org/officeDocument/2006/relationships/sharedStrings" Target="/xl/sharedStrings.xml" Id="R5a0a217a18cc46e8" /><Relationship Type="http://schemas.openxmlformats.org/officeDocument/2006/relationships/worksheet" Target="/xl/worksheets/sheet1.xml" Id="R734395bc24f24650" /><Relationship Type="http://schemas.openxmlformats.org/officeDocument/2006/relationships/worksheet" Target="/xl/worksheets/sheet2.xml" Id="Rb6dd17ea58744af1" /><Relationship Type="http://schemas.openxmlformats.org/officeDocument/2006/relationships/worksheet" Target="/xl/worksheets/sheet3.xml" Id="R7d8f8b43d42141f2" /><Relationship Type="http://schemas.openxmlformats.org/officeDocument/2006/relationships/worksheet" Target="/xl/worksheets/sheet4.xml" Id="R83befa234b524e24" /><Relationship Type="http://schemas.openxmlformats.org/officeDocument/2006/relationships/worksheet" Target="/xl/worksheets/sheet5.xml" Id="R15edb24d72904017" /><Relationship Type="http://schemas.openxmlformats.org/officeDocument/2006/relationships/worksheet" Target="/xl/worksheets/sheet6.xml" Id="Rf947ac0827e24100" /><Relationship Type="http://schemas.openxmlformats.org/officeDocument/2006/relationships/worksheet" Target="/xl/worksheets/sheet7.xml" Id="R95f3edd399254503" /><Relationship Type="http://schemas.openxmlformats.org/officeDocument/2006/relationships/worksheet" Target="/xl/worksheets/sheet8.xml" Id="R11b7bcfe605d449a" /><Relationship Type="http://schemas.openxmlformats.org/officeDocument/2006/relationships/worksheet" Target="/xl/worksheets/sheet9.xml" Id="Rc3403ef2e9ec412b" /><Relationship Type="http://schemas.openxmlformats.org/officeDocument/2006/relationships/worksheet" Target="/xl/worksheets/sheet10.xml" Id="R13e67fdbe09e4047" /><Relationship Type="http://schemas.openxmlformats.org/officeDocument/2006/relationships/worksheet" Target="/xl/worksheets/sheet11.xml" Id="R1a3f096363e54274" /><Relationship Type="http://schemas.openxmlformats.org/officeDocument/2006/relationships/worksheet" Target="/xl/worksheets/sheet12.xml" Id="Ra579631897d6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36" hidden="0" customWidth="1"/>
    <x:col min="3" max="3" width="2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MCM帳票 結合テスト仕様書（Web版）</x:v>
      </x:c>
      <x:c r="B1" s="4"/>
      <x:c r="C1" s="4"/>
      <x:c r="D1" s="4"/>
      <x:c r="E1" s="4"/>
      <x:c r="F1" s="4"/>
      <x:c r="G1" s="4"/>
      <x:c r="H1" s="4"/>
      <x:c r="I1" s="4"/>
      <x:c r="J1" s="4"/>
      <x:c r="K1" s="4"/>
      <x:c r="L1" s="4"/>
      <x:c r="M1" s="4"/>
      <x:c r="N1" s="4"/>
      <x:c r="O1" s="4"/>
      <x:c r="P1" s="4"/>
      <x:c r="Q1" s="4"/>
    </x:row>
    <x:row r="2" ht="42" customHeight="1">
      <x:c r="A2" s="3" t="str">
        <x:v>10帳票・9業務フロー・52ケース（第3版）。2026-10-06受領srcを基準。既存結合テストExcelの17列構成に準拠。</x:v>
      </x:c>
      <x:c r="B2" s="3"/>
      <x:c r="C2" s="3"/>
      <x:c r="D2" s="3"/>
      <x:c r="E2" s="3"/>
      <x:c r="F2" s="3"/>
      <x:c r="G2" s="3"/>
      <x:c r="H2" s="3"/>
      <x:c r="I2" s="3"/>
      <x:c r="J2" s="3"/>
      <x:c r="K2" s="3"/>
      <x:c r="L2" s="3"/>
      <x:c r="M2" s="3"/>
      <x:c r="N2" s="3"/>
      <x:c r="O2" s="3"/>
      <x:c r="P2" s="3"/>
      <x:c r="Q2" s="3"/>
    </x:row>
    <x:row r="3">
      <x:c r="A3" s="3"/>
      <x:c r="B3" s="3"/>
      <x:c r="C3" s="3"/>
      <x:c r="D3" s="3"/>
      <x:c r="E3" s="3"/>
      <x:c r="F3" s="3"/>
      <x:c r="G3" s="3"/>
      <x:c r="H3" s="3"/>
      <x:c r="I3" s="3"/>
      <x:c r="J3" s="3"/>
      <x:c r="K3" s="3"/>
      <x:c r="L3" s="3"/>
      <x:c r="M3" s="3"/>
      <x:c r="N3" s="3"/>
      <x:c r="O3" s="3"/>
      <x:c r="P3" s="3"/>
      <x:c r="Q3" s="3"/>
    </x:row>
    <x:row r="4" ht="34" customHeight="1">
      <x:c r="A4" s="10" t="str">
        <x:v>フローID</x:v>
      </x:c>
      <x:c r="B4" s="10" t="str">
        <x:v>業務フロー</x:v>
      </x:c>
      <x:c r="C4" s="10" t="str">
        <x:v>対象帳票</x:v>
      </x:c>
      <x:c r="D4" s="10" t="str">
        <x:v>ケース数</x:v>
      </x:c>
      <x:c r="E4" s="10" t="str">
        <x:v>OK</x:v>
      </x:c>
      <x:c r="F4" s="10" t="str">
        <x:v>NG</x:v>
      </x:c>
      <x:c r="G4" s="10" t="str">
        <x:v>未完了</x:v>
      </x:c>
      <x:c r="H4" s="10" t="str">
        <x:v>実施率</x:v>
      </x:c>
      <x:c r="I4" s="3"/>
      <x:c r="J4" s="3"/>
      <x:c r="K4" s="3"/>
      <x:c r="L4" s="3"/>
      <x:c r="M4" s="3"/>
      <x:c r="N4" s="3"/>
      <x:c r="O4" s="3"/>
      <x:c r="P4" s="3"/>
      <x:c r="Q4" s="3"/>
    </x:row>
    <x:row r="5" ht="36" customHeight="1">
      <x:c r="A5" s="12" t="str">
        <x:v>INT01</x:v>
      </x:c>
      <x:c r="B5" s="12" t="str">
        <x:v>見積依頼から発行</x:v>
      </x:c>
      <x:c r="C5" s="12" t="str">
        <x:v>1001P</x:v>
      </x:c>
      <x:c r="D5" s="12" t="n">
        <x:f>'INT01_見積依頼から発行'!B6</x:f>
        <x:v>6</x:v>
      </x:c>
      <x:c r="E5" s="12" t="n">
        <x:f>'INT01_見積依頼から発行'!H6</x:f>
        <x:v>0</x:v>
      </x:c>
      <x:c r="F5" s="12" t="n">
        <x:f>'INT01_見積依頼から発行'!J6</x:f>
        <x:v>0</x:v>
      </x:c>
      <x:c r="G5" s="12" t="n">
        <x:f>'INT01_見積依頼から発行'!L6</x:f>
        <x:v>6</x:v>
      </x:c>
      <x:c r="H5" s="14" t="n">
        <x:f>'INT01_見積依頼から発行'!N6</x:f>
        <x:v>0</x:v>
      </x:c>
      <x:c r="I5" s="3"/>
      <x:c r="J5" s="3"/>
      <x:c r="K5" s="3"/>
      <x:c r="L5" s="3"/>
      <x:c r="M5" s="3"/>
      <x:c r="N5" s="3"/>
      <x:c r="O5" s="3"/>
      <x:c r="P5" s="3"/>
      <x:c r="Q5" s="3"/>
    </x:row>
    <x:row r="6" ht="36" customHeight="1">
      <x:c r="A6" s="12" t="str">
        <x:v>INT02</x:v>
      </x:c>
      <x:c r="B6" s="12" t="str">
        <x:v>依頼登録と一覧帳票</x:v>
      </x:c>
      <x:c r="C6" s="12" t="str">
        <x:v>1002P</x:v>
      </x:c>
      <x:c r="D6" s="12" t="n">
        <x:f>'INT02_依頼登録と一覧帳票'!B6</x:f>
        <x:v>5</x:v>
      </x:c>
      <x:c r="E6" s="12" t="n">
        <x:f>'INT02_依頼登録と一覧帳票'!H6</x:f>
        <x:v>0</x:v>
      </x:c>
      <x:c r="F6" s="12" t="n">
        <x:f>'INT02_依頼登録と一覧帳票'!J6</x:f>
        <x:v>0</x:v>
      </x:c>
      <x:c r="G6" s="12" t="n">
        <x:f>'INT02_依頼登録と一覧帳票'!L6</x:f>
        <x:v>5</x:v>
      </x:c>
      <x:c r="H6" s="14" t="n">
        <x:f>'INT02_依頼登録と一覧帳票'!N6</x:f>
        <x:v>0</x:v>
      </x:c>
      <x:c r="I6" s="3"/>
      <x:c r="J6" s="3"/>
      <x:c r="K6" s="3"/>
      <x:c r="L6" s="3"/>
      <x:c r="M6" s="3"/>
      <x:c r="N6" s="3"/>
      <x:c r="O6" s="3"/>
      <x:c r="P6" s="3"/>
      <x:c r="Q6" s="3"/>
    </x:row>
    <x:row r="7" ht="36" customHeight="1">
      <x:c r="A7" s="12" t="str">
        <x:v>INT03</x:v>
      </x:c>
      <x:c r="B7" s="12" t="str">
        <x:v>契約登録と手続依頼</x:v>
      </x:c>
      <x:c r="C7" s="12" t="str">
        <x:v>1003P</x:v>
      </x:c>
      <x:c r="D7" s="12" t="n">
        <x:f>'INT03_契約登録と手続依頼'!B6</x:f>
        <x:v>7</x:v>
      </x:c>
      <x:c r="E7" s="12" t="n">
        <x:f>'INT03_契約登録と手続依頼'!H6</x:f>
        <x:v>0</x:v>
      </x:c>
      <x:c r="F7" s="12" t="n">
        <x:f>'INT03_契約登録と手続依頼'!J6</x:f>
        <x:v>0</x:v>
      </x:c>
      <x:c r="G7" s="12" t="n">
        <x:f>'INT03_契約登録と手続依頼'!L6</x:f>
        <x:v>7</x:v>
      </x:c>
      <x:c r="H7" s="14" t="n">
        <x:f>'INT03_契約登録と手続依頼'!N6</x:f>
        <x:v>0</x:v>
      </x:c>
      <x:c r="I7" s="3"/>
      <x:c r="J7" s="3"/>
      <x:c r="K7" s="3"/>
      <x:c r="L7" s="3"/>
      <x:c r="M7" s="3"/>
      <x:c r="N7" s="3"/>
      <x:c r="O7" s="3"/>
      <x:c r="P7" s="3"/>
      <x:c r="Q7" s="3"/>
    </x:row>
    <x:row r="8" ht="36" customHeight="1">
      <x:c r="A8" s="12" t="str">
        <x:v>INT04</x:v>
      </x:c>
      <x:c r="B8" s="12" t="str">
        <x:v>DTS情報と一覧出力</x:v>
      </x:c>
      <x:c r="C8" s="12" t="str">
        <x:v>0001P</x:v>
      </x:c>
      <x:c r="D8" s="12" t="n">
        <x:f>'INT04_DTS情報と一覧出力'!B6</x:f>
        <x:v>4</x:v>
      </x:c>
      <x:c r="E8" s="12" t="n">
        <x:f>'INT04_DTS情報と一覧出力'!H6</x:f>
        <x:v>0</x:v>
      </x:c>
      <x:c r="F8" s="12" t="n">
        <x:f>'INT04_DTS情報と一覧出力'!J6</x:f>
        <x:v>0</x:v>
      </x:c>
      <x:c r="G8" s="12" t="n">
        <x:f>'INT04_DTS情報と一覧出力'!L6</x:f>
        <x:v>4</x:v>
      </x:c>
      <x:c r="H8" s="14" t="n">
        <x:f>'INT04_DTS情報と一覧出力'!N6</x:f>
        <x:v>0</x:v>
      </x:c>
      <x:c r="I8" s="3"/>
      <x:c r="J8" s="3"/>
      <x:c r="K8" s="3"/>
      <x:c r="L8" s="3"/>
      <x:c r="M8" s="3"/>
      <x:c r="N8" s="3"/>
      <x:c r="O8" s="3"/>
      <x:c r="P8" s="3"/>
      <x:c r="Q8" s="3"/>
    </x:row>
    <x:row r="9" ht="36" customHeight="1">
      <x:c r="A9" s="12" t="str">
        <x:v>INT05</x:v>
      </x:c>
      <x:c r="B9" s="12" t="str">
        <x:v>店舗見積の保存と発行</x:v>
      </x:c>
      <x:c r="C9" s="12" t="str">
        <x:v>2001P</x:v>
      </x:c>
      <x:c r="D9" s="12" t="n">
        <x:f>'INT05_店舗見積の保存と発行'!B6</x:f>
        <x:v>5</x:v>
      </x:c>
      <x:c r="E9" s="12" t="n">
        <x:f>'INT05_店舗見積の保存と発行'!H6</x:f>
        <x:v>0</x:v>
      </x:c>
      <x:c r="F9" s="12" t="n">
        <x:f>'INT05_店舗見積の保存と発行'!J6</x:f>
        <x:v>0</x:v>
      </x:c>
      <x:c r="G9" s="12" t="n">
        <x:f>'INT05_店舗見積の保存と発行'!L6</x:f>
        <x:v>5</x:v>
      </x:c>
      <x:c r="H9" s="14" t="n">
        <x:f>'INT05_店舗見積の保存と発行'!N6</x:f>
        <x:v>0</x:v>
      </x:c>
      <x:c r="I9" s="3"/>
      <x:c r="J9" s="3"/>
      <x:c r="K9" s="3"/>
      <x:c r="L9" s="3"/>
      <x:c r="M9" s="3"/>
      <x:c r="N9" s="3"/>
      <x:c r="O9" s="3"/>
      <x:c r="P9" s="3"/>
      <x:c r="Q9" s="3"/>
    </x:row>
    <x:row r="10" ht="36" customHeight="1">
      <x:c r="A10" s="12" t="str">
        <x:v>INT06</x:v>
      </x:c>
      <x:c r="B10" s="12" t="str">
        <x:v>契約と支払帳票</x:v>
      </x:c>
      <x:c r="C10" s="12" t="str">
        <x:v>3001P・3005P</x:v>
      </x:c>
      <x:c r="D10" s="12" t="n">
        <x:f>'INT06_契約と支払帳票'!B6</x:f>
        <x:v>7</x:v>
      </x:c>
      <x:c r="E10" s="12" t="n">
        <x:f>'INT06_契約と支払帳票'!H6</x:f>
        <x:v>0</x:v>
      </x:c>
      <x:c r="F10" s="12" t="n">
        <x:f>'INT06_契約と支払帳票'!J6</x:f>
        <x:v>0</x:v>
      </x:c>
      <x:c r="G10" s="12" t="n">
        <x:f>'INT06_契約と支払帳票'!L6</x:f>
        <x:v>7</x:v>
      </x:c>
      <x:c r="H10" s="14" t="n">
        <x:f>'INT06_契約と支払帳票'!N6</x:f>
        <x:v>0</x:v>
      </x:c>
      <x:c r="I10" s="3"/>
      <x:c r="J10" s="3"/>
      <x:c r="K10" s="3"/>
      <x:c r="L10" s="3"/>
      <x:c r="M10" s="3"/>
      <x:c r="N10" s="3"/>
      <x:c r="O10" s="3"/>
      <x:c r="P10" s="3"/>
      <x:c r="Q10" s="3"/>
    </x:row>
    <x:row r="11" ht="36" customHeight="1">
      <x:c r="A11" s="12" t="str">
        <x:v>INT07</x:v>
      </x:c>
      <x:c r="B11" s="12" t="str">
        <x:v>点検保存と外部出力</x:v>
      </x:c>
      <x:c r="C11" s="12" t="str">
        <x:v>3002P・3003P</x:v>
      </x:c>
      <x:c r="D11" s="12" t="n">
        <x:f>'INT07_点検保存と外部出力'!B6</x:f>
        <x:v>7</x:v>
      </x:c>
      <x:c r="E11" s="12" t="n">
        <x:f>'INT07_点検保存と外部出力'!H6</x:f>
        <x:v>0</x:v>
      </x:c>
      <x:c r="F11" s="12" t="n">
        <x:f>'INT07_点検保存と外部出力'!J6</x:f>
        <x:v>0</x:v>
      </x:c>
      <x:c r="G11" s="12" t="n">
        <x:f>'INT07_点検保存と外部出力'!L6</x:f>
        <x:v>7</x:v>
      </x:c>
      <x:c r="H11" s="14" t="n">
        <x:f>'INT07_点検保存と外部出力'!N6</x:f>
        <x:v>0</x:v>
      </x:c>
      <x:c r="I11" s="3"/>
      <x:c r="J11" s="3"/>
      <x:c r="K11" s="3"/>
      <x:c r="L11" s="3"/>
      <x:c r="M11" s="3"/>
      <x:c r="N11" s="3"/>
      <x:c r="O11" s="3"/>
      <x:c r="P11" s="3"/>
      <x:c r="Q11" s="3"/>
    </x:row>
    <x:row r="12" ht="36" customHeight="1">
      <x:c r="A12" s="12" t="str">
        <x:v>INT08</x:v>
      </x:c>
      <x:c r="B12" s="12" t="str">
        <x:v>作業予定と契約帳票</x:v>
      </x:c>
      <x:c r="C12" s="12" t="str">
        <x:v>3004P</x:v>
      </x:c>
      <x:c r="D12" s="12" t="n">
        <x:f>'INT08_作業予定と契約帳票'!B6</x:f>
        <x:v>6</x:v>
      </x:c>
      <x:c r="E12" s="12" t="n">
        <x:f>'INT08_作業予定と契約帳票'!H6</x:f>
        <x:v>0</x:v>
      </x:c>
      <x:c r="F12" s="12" t="n">
        <x:f>'INT08_作業予定と契約帳票'!J6</x:f>
        <x:v>0</x:v>
      </x:c>
      <x:c r="G12" s="12" t="n">
        <x:f>'INT08_作業予定と契約帳票'!L6</x:f>
        <x:v>6</x:v>
      </x:c>
      <x:c r="H12" s="14" t="n">
        <x:f>'INT08_作業予定と契約帳票'!N6</x:f>
        <x:v>0</x:v>
      </x:c>
      <x:c r="I12" s="3"/>
      <x:c r="J12" s="3"/>
      <x:c r="K12" s="3"/>
      <x:c r="L12" s="3"/>
      <x:c r="M12" s="3"/>
      <x:c r="N12" s="3"/>
      <x:c r="O12" s="3"/>
      <x:c r="P12" s="3"/>
      <x:c r="Q12" s="3"/>
    </x:row>
    <x:row r="13" ht="36" customHeight="1">
      <x:c r="A13" s="12" t="str">
        <x:v>INT09</x:v>
      </x:c>
      <x:c r="B13" s="12" t="str">
        <x:v>権限と同時更新</x:v>
      </x:c>
      <x:c r="C13" s="12" t="str">
        <x:v>全10帳票</x:v>
      </x:c>
      <x:c r="D13" s="12" t="n">
        <x:f>'INT09_権限と同時更新'!B6</x:f>
        <x:v>5</x:v>
      </x:c>
      <x:c r="E13" s="12" t="n">
        <x:f>'INT09_権限と同時更新'!H6</x:f>
        <x:v>0</x:v>
      </x:c>
      <x:c r="F13" s="12" t="n">
        <x:f>'INT09_権限と同時更新'!J6</x:f>
        <x:v>0</x:v>
      </x:c>
      <x:c r="G13" s="12" t="n">
        <x:f>'INT09_権限と同時更新'!L6</x:f>
        <x:v>5</x:v>
      </x:c>
      <x:c r="H13" s="14" t="n">
        <x:f>'INT09_権限と同時更新'!N6</x:f>
        <x:v>0</x:v>
      </x:c>
      <x:c r="I13" s="3"/>
      <x:c r="J13" s="3"/>
      <x:c r="K13" s="3"/>
      <x:c r="L13" s="3"/>
      <x:c r="M13" s="3"/>
      <x:c r="N13" s="3"/>
      <x:c r="O13" s="3"/>
      <x:c r="P13" s="3"/>
      <x:c r="Q13" s="3"/>
    </x:row>
    <x:row r="14">
      <x:c r="A14" s="12"/>
      <x:c r="B14" s="12" t="str">
        <x:v>合計</x:v>
      </x:c>
      <x:c r="C14" s="12"/>
      <x:c r="D14" s="12" t="n">
        <x:f>SUM(D5:D13)</x:f>
        <x:v>52</x:v>
      </x:c>
      <x:c r="E14" s="12" t="n">
        <x:f>SUM(E5:E13)</x:f>
        <x:v>0</x:v>
      </x:c>
      <x:c r="F14" s="12" t="n">
        <x:f>SUM(F5:F13)</x:f>
        <x:v>0</x:v>
      </x:c>
      <x:c r="G14" s="12" t="n">
        <x:f>SUM(G5:G13)</x:f>
        <x:v>52</x:v>
      </x:c>
      <x:c r="H14" s="14" t="n">
        <x:f>IF(SUM('INT01_見積依頼から発行'!F6,'INT02_依頼登録と一覧帳票'!F6,'INT03_契約登録と手続依頼'!F6,'INT04_DTS情報と一覧出力'!F6,'INT05_店舗見積の保存と発行'!F6,'INT06_契約と支払帳票'!F6,'INT07_点検保存と外部出力'!F6,'INT08_作業予定と契約帳票'!F6,'INT09_権限と同時更新'!F6)=0,0,(E14+F14)/SUM('INT01_見積依頼から発行'!F6,'INT02_依頼登録と一覧帳票'!F6,'INT03_契約登録と手続依頼'!F6,'INT04_DTS情報と一覧出力'!F6,'INT05_店舗見積の保存と発行'!F6,'INT06_契約と支払帳票'!F6,'INT07_点検保存と外部出力'!F6,'INT08_作業予定と契約帳票'!F6,'INT09_権限と同時更新'!F6))</x:f>
        <x:v>0</x:v>
      </x:c>
      <x:c r="I14" s="3"/>
      <x:c r="J14" s="3"/>
      <x:c r="K14" s="3"/>
      <x:c r="L14" s="3"/>
      <x:c r="M14" s="3"/>
      <x:c r="N14" s="3"/>
      <x:c r="O14" s="3"/>
      <x:c r="P14" s="3"/>
      <x:c r="Q14" s="3"/>
    </x:row>
    <x:row r="15">
      <x:c r="A15" s="3"/>
      <x:c r="B15" s="3"/>
      <x:c r="C15" s="3"/>
      <x:c r="D15" s="3"/>
      <x:c r="E15" s="3"/>
      <x:c r="F15" s="3"/>
      <x:c r="G15" s="3"/>
      <x:c r="H15" s="3"/>
      <x:c r="I15" s="3"/>
      <x:c r="J15" s="3"/>
      <x:c r="K15" s="3"/>
      <x:c r="L15" s="3"/>
      <x:c r="M15" s="3"/>
      <x:c r="N15" s="3"/>
      <x:c r="O15" s="3"/>
      <x:c r="P15" s="3"/>
      <x:c r="Q15" s="3"/>
    </x:row>
    <x:row r="16">
      <x:c r="A16" s="3"/>
      <x:c r="B16" s="3"/>
      <x:c r="C16" s="3"/>
      <x:c r="D16" s="3"/>
      <x:c r="E16" s="3"/>
      <x:c r="F16" s="3"/>
      <x:c r="G16" s="3"/>
      <x:c r="H16" s="3"/>
      <x:c r="I16" s="3"/>
      <x:c r="J16" s="3"/>
      <x:c r="K16" s="3"/>
      <x:c r="L16" s="3"/>
      <x:c r="M16" s="3"/>
      <x:c r="N16" s="3"/>
      <x:c r="O16" s="3"/>
      <x:c r="P16" s="3"/>
      <x:c r="Q16" s="3"/>
    </x:row>
    <x:row r="17" ht="46" customHeight="1">
      <x:c r="A17" s="3" t="str">
        <x:v>実施前：同梱MDの準備・課題Q01〜Q06を確認。必要なDB関連と正規画面経路を用意できないケースは保留とし、成功扱いにしない。</x:v>
      </x:c>
      <x:c r="B17" s="3"/>
      <x:c r="C17" s="3"/>
      <x:c r="D17" s="3"/>
      <x:c r="E17" s="3"/>
      <x:c r="F17" s="3"/>
      <x:c r="G17" s="3"/>
      <x:c r="H17" s="3"/>
      <x:c r="I17" s="3"/>
      <x:c r="J17" s="3"/>
      <x:c r="K17" s="3"/>
      <x:c r="L17" s="3"/>
      <x:c r="M17" s="3"/>
      <x:c r="N17" s="3"/>
      <x:c r="O17" s="3"/>
      <x:c r="P17" s="3"/>
      <x:c r="Q17" s="3"/>
    </x:row>
    <x:row r="18">
      <x:c r="A18" s="3"/>
      <x:c r="B18" s="3"/>
      <x:c r="C18" s="3"/>
      <x:c r="D18" s="3"/>
      <x:c r="E18" s="3"/>
      <x:c r="F18" s="3"/>
      <x:c r="G18" s="3"/>
      <x:c r="H18" s="3"/>
      <x:c r="I18" s="3"/>
      <x:c r="J18" s="3"/>
      <x:c r="K18" s="3"/>
      <x:c r="L18" s="3"/>
      <x:c r="M18" s="3"/>
      <x:c r="N18" s="3"/>
      <x:c r="O18" s="3"/>
      <x:c r="P18" s="3"/>
      <x:c r="Q18" s="3"/>
    </x:row>
    <x:row r="19" ht="46" customHeight="1">
      <x:c r="A19" s="3" t="str">
        <x:v>結果は未記入。最終判定は再テスト結果→初回結果→未実施の順で自動判定。「未完了」は未実施と保留を含む。対象外は実施率の分母から除外。</x:v>
      </x:c>
      <x:c r="B19" s="3"/>
      <x:c r="C19" s="3"/>
      <x:c r="D19" s="3"/>
      <x:c r="E19" s="3"/>
      <x:c r="F19" s="3"/>
      <x:c r="G19" s="3"/>
      <x:c r="H19" s="3"/>
      <x:c r="I19" s="3"/>
      <x:c r="J19" s="3"/>
      <x:c r="K19" s="3"/>
      <x:c r="L19" s="3"/>
      <x:c r="M19" s="3"/>
      <x:c r="N19" s="3"/>
      <x:c r="O19" s="3"/>
      <x:c r="P19" s="3"/>
      <x:c r="Q19" s="3"/>
    </x:row>
    <x:row r="20">
      <x:c r="A20" s="3"/>
      <x:c r="B20" s="3"/>
      <x:c r="C20" s="3"/>
      <x:c r="D20" s="3"/>
      <x:c r="E20" s="3"/>
      <x:c r="F20" s="3"/>
      <x:c r="G20" s="3"/>
      <x:c r="H20" s="3"/>
      <x:c r="I20" s="3"/>
      <x:c r="J20" s="3"/>
      <x:c r="K20" s="3"/>
      <x:c r="L20" s="3"/>
      <x:c r="M20" s="3"/>
      <x:c r="N20" s="3"/>
      <x:c r="O20" s="3"/>
      <x:c r="P20" s="3"/>
      <x:c r="Q20" s="3"/>
    </x:row>
    <x:row r="21" ht="46" customHeight="1">
      <x:c r="A21" s="3" t="str">
        <x:v>書式・レイアウト・計算境界は66の単体仕様書で確認。結合では登録→DB関連→出力→後続画面への伝播を確認し、単体の証跡は再利用。</x:v>
      </x:c>
      <x:c r="B21" s="3"/>
      <x:c r="C21" s="3"/>
      <x:c r="D21" s="3"/>
      <x:c r="E21" s="3"/>
      <x:c r="F21" s="3"/>
      <x:c r="G21" s="3"/>
      <x:c r="H21" s="3"/>
      <x:c r="I21" s="3"/>
      <x:c r="J21" s="3"/>
      <x:c r="K21" s="3"/>
      <x:c r="L21" s="3"/>
      <x:c r="M21" s="3"/>
      <x:c r="N21" s="3"/>
      <x:c r="O21" s="3"/>
      <x:c r="P21" s="3"/>
      <x:c r="Q21" s="3"/>
    </x:row>
    <x:row r="22">
      <x:c r="A22" s="3"/>
      <x:c r="B22" s="3"/>
      <x:c r="C22" s="3"/>
      <x:c r="D22" s="3"/>
      <x:c r="E22" s="3"/>
      <x:c r="F22" s="3"/>
      <x:c r="G22" s="3"/>
      <x:c r="H22" s="3"/>
      <x:c r="I22" s="3"/>
      <x:c r="J22" s="3"/>
      <x:c r="K22" s="3"/>
      <x:c r="L22" s="3"/>
      <x:c r="M22" s="3"/>
      <x:c r="N22" s="3"/>
      <x:c r="O22" s="3"/>
      <x:c r="P22" s="3"/>
      <x:c r="Q22" s="3"/>
    </x:row>
    <x:row r="23" ht="46" customHeight="1">
      <x:c r="A23" s="3" t="str">
        <x:v>未確認：実DBビュー、全上流画面の到達、実際の権限名称、外部取込、Office実機。独立した第三者レビュー・実機テストは未実施。</x:v>
      </x:c>
      <x:c r="B23" s="3"/>
      <x:c r="C23" s="3"/>
      <x:c r="D23" s="3"/>
      <x:c r="E23" s="3"/>
      <x:c r="F23" s="3"/>
      <x:c r="G23" s="3"/>
      <x:c r="H23" s="3"/>
      <x:c r="I23" s="3"/>
      <x:c r="J23" s="3"/>
      <x:c r="K23" s="3"/>
      <x:c r="L23" s="3"/>
      <x:c r="M23" s="3"/>
      <x:c r="N23" s="3"/>
      <x:c r="O23" s="3"/>
      <x:c r="P23" s="3"/>
      <x:c r="Q23" s="3"/>
    </x:row>
    <x:row r="24">
      <x:c r="A24" s="3"/>
      <x:c r="B24" s="3"/>
      <x:c r="C24" s="3"/>
      <x:c r="D24" s="3"/>
      <x:c r="E24" s="3"/>
      <x:c r="F24" s="3"/>
      <x:c r="G24" s="3"/>
      <x:c r="H24" s="3"/>
      <x:c r="I24" s="3"/>
      <x:c r="J24" s="3"/>
      <x:c r="K24" s="3"/>
      <x:c r="L24" s="3"/>
      <x:c r="M24" s="3"/>
      <x:c r="N24" s="3"/>
      <x:c r="O24" s="3"/>
      <x:c r="P24" s="3"/>
      <x:c r="Q24" s="3"/>
    </x:row>
    <x:row r="25">
      <x:c r="A25" s="3"/>
      <x:c r="B25" s="3"/>
      <x:c r="C25" s="3"/>
      <x:c r="D25" s="3"/>
      <x:c r="E25" s="3"/>
      <x:c r="F25" s="3"/>
      <x:c r="G25" s="3"/>
      <x:c r="H25" s="3"/>
      <x:c r="I25" s="3"/>
      <x:c r="J25" s="3"/>
      <x:c r="K25" s="3"/>
      <x:c r="L25" s="3"/>
      <x:c r="M25" s="3"/>
      <x:c r="N25" s="3"/>
      <x:c r="O25" s="3"/>
      <x:c r="P25" s="3"/>
      <x:c r="Q25" s="3"/>
    </x:row>
  </x:sheetData>
  <x:mergeCells>
    <x:mergeCell ref="A1:Q1"/>
    <x:mergeCell ref="A2:H2"/>
    <x:mergeCell ref="A17:H17"/>
    <x:mergeCell ref="A19:H19"/>
    <x:mergeCell ref="A21:H21"/>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74" hidden="0" customWidth="1"/>
    <x:col min="4" max="4" width="80"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仕様書課題一覧</x:v>
      </x:c>
      <x:c r="B1" s="4"/>
      <x:c r="C1" s="4"/>
      <x:c r="D1" s="4"/>
      <x:c r="E1" s="4"/>
      <x:c r="F1" s="4"/>
      <x:c r="G1" s="4"/>
      <x:c r="H1" s="4"/>
      <x:c r="I1" s="4"/>
      <x:c r="J1" s="4"/>
      <x:c r="K1" s="4"/>
      <x:c r="L1" s="4"/>
      <x:c r="M1" s="4"/>
      <x:c r="N1" s="4"/>
      <x:c r="O1" s="4"/>
      <x:c r="P1" s="4"/>
      <x:c r="Q1" s="4"/>
    </x:row>
    <x:row r="2">
      <x:c r="A2" s="3"/>
      <x:c r="B2" s="3"/>
      <x:c r="C2" s="3"/>
      <x:c r="D2" s="3"/>
      <x:c r="E2" s="3"/>
      <x:c r="F2" s="3"/>
      <x:c r="G2" s="3"/>
      <x:c r="H2" s="3"/>
      <x:c r="I2" s="3"/>
      <x:c r="J2" s="3"/>
      <x:c r="K2" s="3"/>
      <x:c r="L2" s="3"/>
      <x:c r="M2" s="3"/>
      <x:c r="N2" s="3"/>
      <x:c r="O2" s="3"/>
      <x:c r="P2" s="3"/>
      <x:c r="Q2" s="3"/>
    </x:row>
    <x:row r="3">
      <x:c r="A3" s="3"/>
      <x:c r="B3" s="3"/>
      <x:c r="C3" s="3"/>
      <x:c r="D3" s="3"/>
      <x:c r="E3" s="3"/>
      <x:c r="F3" s="3"/>
      <x:c r="G3" s="3"/>
      <x:c r="H3" s="3"/>
      <x:c r="I3" s="3"/>
      <x:c r="J3" s="3"/>
      <x:c r="K3" s="3"/>
      <x:c r="L3" s="3"/>
      <x:c r="M3" s="3"/>
      <x:c r="N3" s="3"/>
      <x:c r="O3" s="3"/>
      <x:c r="P3" s="3"/>
      <x:c r="Q3" s="3"/>
    </x:row>
    <x:row r="4" ht="34" customHeight="1">
      <x:c r="A4" s="10" t="str">
        <x:v>課題ID</x:v>
      </x:c>
      <x:c r="B4" s="10" t="str">
        <x:v>対象</x:v>
      </x:c>
      <x:c r="C4" s="10" t="str">
        <x:v>内容</x:v>
      </x:c>
      <x:c r="D4" s="10" t="str">
        <x:v>扱い／確認事項</x:v>
      </x:c>
      <x:c r="E4" s="3"/>
      <x:c r="F4" s="3"/>
      <x:c r="G4" s="3"/>
      <x:c r="H4" s="3"/>
      <x:c r="I4" s="3"/>
      <x:c r="J4" s="3"/>
      <x:c r="K4" s="3"/>
      <x:c r="L4" s="3"/>
      <x:c r="M4" s="3"/>
      <x:c r="N4" s="3"/>
      <x:c r="O4" s="3"/>
      <x:c r="P4" s="3"/>
      <x:c r="Q4" s="3"/>
    </x:row>
    <x:row r="5" ht="50" customHeight="1">
      <x:c r="A5" s="12" t="str">
        <x:v>Q01</x:v>
      </x:c>
      <x:c r="B5" s="12" t="str">
        <x:v>DTS配備・検証データ</x:v>
      </x:c>
      <x:c r="C5" s="12" t="str">
        <x:v>旧Oracleの同期・ログ記録パッケージ、Webの読取境界は確定。</x:v>
      </x:c>
      <x:c r="D5" s="12" t="str">
        <x:v>残る確認：SQL Server検証環境の同期実装・起動運用と実ログ。旧PL/SQLをSQL Serverで実行しない。</x:v>
      </x:c>
      <x:c r="E5" s="3"/>
      <x:c r="F5" s="3"/>
      <x:c r="G5" s="3"/>
      <x:c r="H5" s="3"/>
      <x:c r="I5" s="3"/>
      <x:c r="J5" s="3"/>
      <x:c r="K5" s="3"/>
      <x:c r="L5" s="3"/>
      <x:c r="M5" s="3"/>
      <x:c r="N5" s="3"/>
      <x:c r="O5" s="3"/>
      <x:c r="P5" s="3"/>
      <x:c r="Q5" s="3"/>
    </x:row>
    <x:row r="6" ht="50" customHeight="1">
      <x:c r="A6" s="12" t="str">
        <x:v>Q02</x:v>
      </x:c>
      <x:c r="B6" s="12" t="str">
        <x:v>保存先・外部取込の実環境</x:v>
      </x:c>
      <x:c r="C6" s="12" t="str">
        <x:v>設定値・保存構成・DBフルパス・取得検査・失敗時清掃は確定。</x:v>
      </x:c>
      <x:c r="D6" s="12" t="str">
        <x:v>残る確認：配備時の設定上書き、共有の存在・権限・既存パス移行、外部取込先の実操作。</x:v>
      </x:c>
      <x:c r="E6" s="3"/>
      <x:c r="F6" s="3"/>
      <x:c r="G6" s="3"/>
      <x:c r="H6" s="3"/>
      <x:c r="I6" s="3"/>
      <x:c r="J6" s="3"/>
      <x:c r="K6" s="3"/>
      <x:c r="L6" s="3"/>
      <x:c r="M6" s="3"/>
      <x:c r="N6" s="3"/>
      <x:c r="O6" s="3"/>
      <x:c r="P6" s="3"/>
      <x:c r="Q6" s="3"/>
    </x:row>
    <x:row r="7" ht="50" customHeight="1">
      <x:c r="A7" s="12" t="str">
        <x:v>Q03</x:v>
      </x:c>
      <x:c r="B7" s="12" t="str">
        <x:v>実データ整備・管理メニュー</x:v>
      </x:c>
      <x:c r="C7" s="12" t="str">
        <x:v>主要遷移（1002U／1008U、1006U、2002U／2005U、3005U）は確定。</x:v>
      </x:c>
      <x:c r="D7" s="12" t="str">
        <x:v>残る確認：実機器・製番・プラントのテストデータ、管理者用の整備手順・メニュー配備。確定経路自体を保留にしない。</x:v>
      </x:c>
      <x:c r="E7" s="3"/>
      <x:c r="F7" s="3"/>
      <x:c r="G7" s="3"/>
      <x:c r="H7" s="3"/>
      <x:c r="I7" s="3"/>
      <x:c r="J7" s="3"/>
      <x:c r="K7" s="3"/>
      <x:c r="L7" s="3"/>
      <x:c r="M7" s="3"/>
      <x:c r="N7" s="3"/>
      <x:c r="O7" s="3"/>
      <x:c r="P7" s="3"/>
      <x:c r="Q7" s="3"/>
    </x:row>
    <x:row r="8" ht="50" customHeight="1">
      <x:c r="A8" s="12" t="str">
        <x:v>Q04</x:v>
      </x:c>
      <x:c r="B8" s="12" t="str">
        <x:v>管理者解除の運用</x:v>
      </x:c>
      <x:c r="C8" s="12" t="str">
        <x:v>通常発行の状態・解約日・承認添付条件と正規解約出力は確定。</x:v>
      </x:c>
      <x:c r="D8" s="12" t="str">
        <x:v>通常ケースは実施可能。管理者ロック解除を使う例外運用の可否・実利用者だけ別途確認する。</x:v>
      </x:c>
      <x:c r="E8" s="3"/>
      <x:c r="F8" s="3"/>
      <x:c r="G8" s="3"/>
      <x:c r="H8" s="3"/>
      <x:c r="I8" s="3"/>
      <x:c r="J8" s="3"/>
      <x:c r="K8" s="3"/>
      <x:c r="L8" s="3"/>
      <x:c r="M8" s="3"/>
      <x:c r="N8" s="3"/>
      <x:c r="O8" s="3"/>
      <x:c r="P8" s="3"/>
      <x:c r="Q8" s="3"/>
    </x:row>
    <x:row r="9" ht="50" customHeight="1">
      <x:c r="A9" s="12" t="str">
        <x:v>Q05</x:v>
      </x:c>
      <x:c r="B9" s="12" t="str">
        <x:v>実DBビュー配備・対象データ</x:v>
      </x:c>
      <x:c r="C9" s="12" t="str">
        <x:v>点検ON日付・翌年展開・支払関連・差異／交換の条件はコードとVB原本で確定。</x:v>
      </x:c>
      <x:c r="D9" s="12" t="str">
        <x:v>残る確認：SQL Server実ビュー定義の同値、必要な対象データの存在。コードの条件不明ではなく配備確認へ変更。</x:v>
      </x:c>
      <x:c r="E9" s="3"/>
      <x:c r="F9" s="3"/>
      <x:c r="G9" s="3"/>
      <x:c r="H9" s="3"/>
      <x:c r="I9" s="3"/>
      <x:c r="J9" s="3"/>
      <x:c r="K9" s="3"/>
      <x:c r="L9" s="3"/>
      <x:c r="M9" s="3"/>
      <x:c r="N9" s="3"/>
      <x:c r="O9" s="3"/>
      <x:c r="P9" s="3"/>
      <x:c r="Q9" s="3"/>
    </x:row>
    <x:row r="10" ht="50" customHeight="1">
      <x:c r="A10" s="12" t="str">
        <x:v>Q06</x:v>
      </x:c>
      <x:c r="B10" s="12" t="str">
        <x:v>権限マスタの実登録</x:v>
      </x:c>
      <x:c r="C10" s="12" t="str">
        <x:v>選択名なし／参照／作成、通常発行の権限、分類3での金額表示は確定。</x:v>
      </x:c>
      <x:c r="D10" s="12" t="str">
        <x:v>残る確認：実マスタの分類名・機能対応・対象利用者の権限行・管理画面の正式項目名。独立した金額表示設定を作らない。</x:v>
      </x:c>
      <x:c r="E10" s="3"/>
      <x:c r="F10" s="3"/>
      <x:c r="G10" s="3"/>
      <x:c r="H10" s="3"/>
      <x:c r="I10" s="3"/>
      <x:c r="J10" s="3"/>
      <x:c r="K10" s="3"/>
      <x:c r="L10" s="3"/>
      <x:c r="M10" s="3"/>
      <x:c r="N10" s="3"/>
      <x:c r="O10" s="3"/>
      <x:c r="P10" s="3"/>
      <x:c r="Q10" s="3"/>
    </x:row>
    <x:row r="11" ht="50" customHeight="1">
      <x:c r="A11" s="12" t="str">
        <x:v>F01</x:v>
      </x:c>
      <x:c r="B11" s="12" t="str">
        <x:v>複数依頼書</x:v>
      </x:c>
      <x:c r="C11" s="12" t="str">
        <x:v>現行Webはdeliveriesの先頭1件のみ保持。</x:v>
      </x:c>
      <x:c r="D11" s="12" t="str">
        <x:v>INT01-004。単体1001P-17/26の検出と連携する。</x:v>
      </x:c>
      <x:c r="E11" s="3"/>
      <x:c r="F11" s="3"/>
      <x:c r="G11" s="3"/>
      <x:c r="H11" s="3"/>
      <x:c r="I11" s="3"/>
      <x:c r="J11" s="3"/>
      <x:c r="K11" s="3"/>
      <x:c r="L11" s="3"/>
      <x:c r="M11" s="3"/>
      <x:c r="N11" s="3"/>
      <x:c r="O11" s="3"/>
      <x:c r="P11" s="3"/>
      <x:c r="Q11" s="3"/>
    </x:row>
    <x:row r="12" ht="50" customHeight="1">
      <x:c r="A12" s="12" t="str">
        <x:v>F02</x:v>
      </x:c>
      <x:c r="B12" s="12" t="str">
        <x:v>依頼一覧見出し</x:v>
      </x:c>
      <x:c r="C12" s="12" t="str">
        <x:v>現行原紙10見出し、データ11列。</x:v>
      </x:c>
      <x:c r="D12" s="12" t="str">
        <x:v>主に単体1002P-3/17。結合では契約NOのDB由来対応を確認。</x:v>
      </x:c>
      <x:c r="E12" s="3"/>
      <x:c r="F12" s="3"/>
      <x:c r="G12" s="3"/>
      <x:c r="H12" s="3"/>
      <x:c r="I12" s="3"/>
      <x:c r="J12" s="3"/>
      <x:c r="K12" s="3"/>
      <x:c r="L12" s="3"/>
      <x:c r="M12" s="3"/>
      <x:c r="N12" s="3"/>
      <x:c r="O12" s="3"/>
      <x:c r="P12" s="3"/>
      <x:c r="Q12" s="3"/>
    </x:row>
    <x:row r="13" ht="50" customHeight="1">
      <x:c r="A13" s="12" t="str">
        <x:v>F03</x:v>
      </x:c>
      <x:c r="B13" s="12" t="str">
        <x:v>作業帳票の変換</x:v>
      </x:c>
      <x:c r="C13" s="12" t="str">
        <x:v>区分列以外の0/1も名称へ変換される。</x:v>
      </x:c>
      <x:c r="D13" s="12" t="str">
        <x:v>主に単体3004P-27/30/41。結合の登録IDが変換された場合は同じ不具合として起票。</x:v>
      </x:c>
      <x:c r="E13" s="3"/>
      <x:c r="F13" s="3"/>
      <x:c r="G13" s="3"/>
      <x:c r="H13" s="3"/>
      <x:c r="I13" s="3"/>
      <x:c r="J13" s="3"/>
      <x:c r="K13" s="3"/>
      <x:c r="L13" s="3"/>
      <x:c r="M13" s="3"/>
      <x:c r="N13" s="3"/>
      <x:c r="O13" s="3"/>
      <x:c r="P13" s="3"/>
      <x:c r="Q13" s="3"/>
    </x:row>
    <x:row r="14" ht="50" customHeight="1">
      <x:c r="A14" s="12" t="str">
        <x:v>R01</x:v>
      </x:c>
      <x:c r="B14" s="12" t="str">
        <x:v>レビュー範囲</x:v>
      </x:c>
      <x:c r="C14" s="12" t="str">
        <x:v>独立した人／別セッションによる全件照合、ブラウザ・実DB・Office・外部取込の実行は未実施。</x:v>
      </x:c>
      <x:c r="D14" s="12" t="str">
        <x:v>本仕様書は実施前のレビュー版。未確定を合格として扱わない。</x:v>
      </x:c>
      <x:c r="E14" s="3"/>
      <x:c r="F14" s="3"/>
      <x:c r="G14" s="3"/>
      <x:c r="H14" s="3"/>
      <x:c r="I14" s="3"/>
      <x:c r="J14" s="3"/>
      <x:c r="K14" s="3"/>
      <x:c r="L14" s="3"/>
      <x:c r="M14" s="3"/>
      <x:c r="N14" s="3"/>
      <x:c r="O14" s="3"/>
      <x:c r="P14" s="3"/>
      <x:c r="Q14" s="3"/>
    </x:row>
    <x:row r="15">
      <x:c r="A15" s="3"/>
      <x:c r="B15" s="3"/>
      <x:c r="C15" s="3"/>
      <x:c r="D15" s="3"/>
      <x:c r="E15" s="3"/>
      <x:c r="F15" s="3"/>
      <x:c r="G15" s="3"/>
      <x:c r="H15" s="3"/>
      <x:c r="I15" s="3"/>
      <x:c r="J15" s="3"/>
      <x:c r="K15" s="3"/>
      <x:c r="L15" s="3"/>
      <x:c r="M15" s="3"/>
      <x:c r="N15" s="3"/>
      <x:c r="O15" s="3"/>
      <x:c r="P15" s="3"/>
      <x:c r="Q15" s="3"/>
    </x:row>
    <x:row r="16">
      <x:c r="A16" s="3"/>
      <x:c r="B16" s="3"/>
      <x:c r="C16" s="3"/>
      <x:c r="D16" s="3"/>
      <x:c r="E16" s="3"/>
      <x:c r="F16" s="3"/>
      <x:c r="G16" s="3"/>
      <x:c r="H16" s="3"/>
      <x:c r="I16" s="3"/>
      <x:c r="J16" s="3"/>
      <x:c r="K16" s="3"/>
      <x:c r="L16" s="3"/>
      <x:c r="M16" s="3"/>
      <x:c r="N16" s="3"/>
      <x:c r="O16" s="3"/>
      <x:c r="P16" s="3"/>
      <x:c r="Q16" s="3"/>
    </x:row>
    <x:row r="17">
      <x:c r="A17" s="3"/>
      <x:c r="B17" s="3"/>
      <x:c r="C17" s="3"/>
      <x:c r="D17" s="3"/>
      <x:c r="E17" s="3"/>
      <x:c r="F17" s="3"/>
      <x:c r="G17" s="3"/>
      <x:c r="H17" s="3"/>
      <x:c r="I17" s="3"/>
      <x:c r="J17" s="3"/>
      <x:c r="K17" s="3"/>
      <x:c r="L17" s="3"/>
      <x:c r="M17" s="3"/>
      <x:c r="N17" s="3"/>
      <x:c r="O17" s="3"/>
      <x:c r="P17" s="3"/>
      <x:c r="Q17" s="3"/>
    </x:row>
    <x:row r="18" ht="34" customHeight="1">
      <x:c r="A18" s="10" t="str">
        <x:v>条件ID</x:v>
      </x:c>
      <x:c r="B18" s="10" t="str">
        <x:v>条件</x:v>
      </x:c>
      <x:c r="C18" s="10" t="str">
        <x:v>コードから確定した内容</x:v>
      </x:c>
      <x:c r="D18" s="10" t="str">
        <x:v>根拠</x:v>
      </x:c>
      <x:c r="E18" s="3"/>
      <x:c r="F18" s="3"/>
      <x:c r="G18" s="3"/>
      <x:c r="H18" s="3"/>
      <x:c r="I18" s="3"/>
      <x:c r="J18" s="3"/>
      <x:c r="K18" s="3"/>
      <x:c r="L18" s="3"/>
      <x:c r="M18" s="3"/>
      <x:c r="N18" s="3"/>
      <x:c r="O18" s="3"/>
      <x:c r="P18" s="3"/>
      <x:c r="Q18" s="3"/>
    </x:row>
    <x:row r="19" ht="57" customHeight="1">
      <x:c r="A19" s="12" t="str">
        <x:v>C01</x:v>
      </x:c>
      <x:c r="B19" s="12" t="str">
        <x:v>DTS読取境界</x:v>
      </x:c>
      <x:c r="C19" s="12" t="str">
        <x:v>旧Oracle MCM_DTSMST_PACにSP_SYNC／SP_DTSLOGあり。0020Uはログと現在状態を読むだけ。機器構成あり・DTS登録なしを現在エラーとし、PLA_CODEからPとハイフンを除いてサポートID比較。</x:v>
      </x:c>
      <x:c r="D19" s="12" t="str">
        <x:v>VB mcm_dtsmst_pac_body.sql 21・943行／Mcm0020uService.searchDtslog/searchGenzaijotai</x:v>
      </x:c>
      <x:c r="E19" s="3"/>
      <x:c r="F19" s="3"/>
      <x:c r="G19" s="3"/>
      <x:c r="H19" s="3"/>
      <x:c r="I19" s="3"/>
      <x:c r="J19" s="3"/>
      <x:c r="K19" s="3"/>
      <x:c r="L19" s="3"/>
      <x:c r="M19" s="3"/>
      <x:c r="N19" s="3"/>
      <x:c r="O19" s="3"/>
      <x:c r="P19" s="3"/>
      <x:c r="Q19" s="3"/>
    </x:row>
    <x:row r="20" ht="72" customHeight="1">
      <x:c r="A20" s="12" t="str">
        <x:v>C02</x:v>
      </x:c>
      <x:c r="B20" s="12" t="str">
        <x:v>保存先の設定</x:v>
      </x:c>
      <x:c r="C20" s="12" t="str">
        <x:v>既定local=C:/opt/mcm/upload。dev=\\ILCM-SYSDEV\uploadfolder\MCM。prod=MCM_FILE_UPLOAD_PATH。1005Uはroot/torihikisaki/契約ID/期間ID/UUID/ファイル名。DB DIRECTORYはフルパス。失敗時清掃、取得時の契約所属・root内・実在を検査。</x:v>
      </x:c>
      <x:c r="D20" s="12" t="str">
        <x:v>application*.yml／Mcm1005uAttachmentService.add/find/file</x:v>
      </x:c>
      <x:c r="E20" s="3"/>
      <x:c r="F20" s="3"/>
      <x:c r="G20" s="3"/>
      <x:c r="H20" s="3"/>
      <x:c r="I20" s="3"/>
      <x:c r="J20" s="3"/>
      <x:c r="K20" s="3"/>
      <x:c r="L20" s="3"/>
      <x:c r="M20" s="3"/>
      <x:c r="N20" s="3"/>
      <x:c r="O20" s="3"/>
      <x:c r="P20" s="3"/>
      <x:c r="Q20" s="3"/>
    </x:row>
    <x:row r="21" ht="57" customHeight="1">
      <x:c r="A21" s="12" t="str">
        <x:v>C03</x:v>
      </x:c>
      <x:c r="B21" s="12" t="str">
        <x:v>遷移経路</x:v>
      </x:c>
      <x:c r="C21" s="12" t="str">
        <x:v>複製は1プラント→1002U、複数→1008U選択→1002U。契約機器変更は1005U→1006U。店舗選定2002U→基本2003U→詳細2005U。下書きの詳細・添付・発行・申請は登録後。予定3004U→3005U。</x:v>
      </x:c>
      <x:c r="D21" s="12" t="str">
        <x:v>各Controllerとテンプレート</x:v>
      </x:c>
      <x:c r="E21" s="3"/>
      <x:c r="F21" s="3"/>
      <x:c r="G21" s="3"/>
      <x:c r="H21" s="3"/>
      <x:c r="I21" s="3"/>
      <x:c r="J21" s="3"/>
      <x:c r="K21" s="3"/>
      <x:c r="L21" s="3"/>
      <x:c r="M21" s="3"/>
      <x:c r="N21" s="3"/>
      <x:c r="O21" s="3"/>
      <x:c r="P21" s="3"/>
      <x:c r="Q21" s="3"/>
    </x:row>
    <x:row r="22" ht="57" customHeight="1">
      <x:c r="A22" s="12" t="str">
        <x:v>C04</x:v>
      </x:c>
      <x:c r="B22" s="12" t="str">
        <x:v>解約と承認済み添付</x:v>
      </x:c>
      <x:c r="C22" s="12" t="str">
        <x:v>通常発行は作成権限と編集可能状態を要求。解約日なし＋承認済み添付で再発行不可。契約状態で解約日を入力し発行すれば解約区分。状態が既に解約の契約は通常不可。管理者解除は別の例外操作。</x:v>
      </x:c>
      <x:c r="D22" s="12" t="str">
        <x:v>VB KeiyakuHakoButton_Click 1052行・setChohyo 1337行／Web checkReport/canEditDetails/contractReport</x:v>
      </x:c>
      <x:c r="E22" s="3"/>
      <x:c r="F22" s="3"/>
      <x:c r="G22" s="3"/>
      <x:c r="H22" s="3"/>
      <x:c r="I22" s="3"/>
      <x:c r="J22" s="3"/>
      <x:c r="K22" s="3"/>
      <x:c r="L22" s="3"/>
      <x:c r="M22" s="3"/>
      <x:c r="N22" s="3"/>
      <x:c r="O22" s="3"/>
      <x:c r="P22" s="3"/>
      <x:c r="Q22" s="3"/>
    </x:row>
    <x:row r="23" ht="57" customHeight="1">
      <x:c r="A23" s="12" t="str">
        <x:v>C05</x:v>
      </x:c>
      <x:c r="B23" s="12" t="str">
        <x:v>店舗見積発行</x:v>
      </x:c>
      <x:c r="C23" s="12" t="str">
        <x:v>作成権限。審査中・承認中・承認済み、承認画面からの参照遷移、破棄・解約は通常不可。更新日時競合も拒否。publishの保存と生成は同一トランザクション。</x:v>
      </x:c>
      <x:c r="D23" s="12" t="str">
        <x:v>Mcm2003uController／Mcm2003uService.requireEditable/isReadOnly/publish</x:v>
      </x:c>
      <x:c r="E23" s="3"/>
      <x:c r="F23" s="3"/>
      <x:c r="G23" s="3"/>
      <x:c r="H23" s="3"/>
      <x:c r="I23" s="3"/>
      <x:c r="J23" s="3"/>
      <x:c r="K23" s="3"/>
      <x:c r="L23" s="3"/>
      <x:c r="M23" s="3"/>
      <x:c r="N23" s="3"/>
      <x:c r="O23" s="3"/>
      <x:c r="P23" s="3"/>
      <x:c r="Q23" s="3"/>
    </x:row>
    <x:row r="24" ht="57" customHeight="1">
      <x:c r="A24" s="12" t="str">
        <x:v>C06</x:v>
      </x:c>
      <x:c r="B24" s="12" t="str">
        <x:v>点検差分とON日付</x:v>
      </x:c>
      <x:c r="C24" s="12" t="str">
        <x:v>差分は点検明細ON_DT。新規月ON登録／OFF→ON時だけ現在日を設定。ON継続で曜日等を変更してもON日付は変えない。抽出開始・終了は独立に日付比較し両端を含む。</x:v>
      </x:c>
      <x:c r="D24" s="12" t="str">
        <x:v>Mcm1005uRepository.saveMonthChecks／VB mcm_tk_tenken_base_v.sql／search_tenken.sql 134〜140行</x:v>
      </x:c>
      <x:c r="E24" s="3"/>
      <x:c r="F24" s="3"/>
      <x:c r="G24" s="3"/>
      <x:c r="H24" s="3"/>
      <x:c r="I24" s="3"/>
      <x:c r="J24" s="3"/>
      <x:c r="K24" s="3"/>
      <x:c r="L24" s="3"/>
      <x:c r="M24" s="3"/>
      <x:c r="N24" s="3"/>
      <x:c r="O24" s="3"/>
      <x:c r="P24" s="3"/>
      <x:c r="Q24" s="3"/>
    </x:row>
    <x:row r="25" ht="72" customHeight="1">
      <x:c r="A25" s="12" t="str">
        <x:v>C07</x:v>
      </x:c>
      <x:c r="B25" s="12" t="str">
        <x:v>点検の通常・翌年分</x:v>
      </x:c>
      <x:c r="C25" s="12" t="str">
        <x:v>基底ビューは契約2/4、有効期間、ON=1/OFF=0、機器構成別の該当最新期間、個体管理あり。通常分は開始月〜次開始月（なしなら終了翌月）未満かつ解約・撤去日以下。翌年分は次期間なし・自動更新あり、月+12を解約日、元月を撤去日と比較。</x:v>
      </x:c>
      <x:c r="D25" s="12" t="str">
        <x:v>VB mcm_tk_tenken_base_v.sql 121〜132行・mcm_tk_tenken_v.sql／search_tenken.sql</x:v>
      </x:c>
      <x:c r="E25" s="3"/>
      <x:c r="F25" s="3"/>
      <x:c r="G25" s="3"/>
      <x:c r="H25" s="3"/>
      <x:c r="I25" s="3"/>
      <x:c r="J25" s="3"/>
      <x:c r="K25" s="3"/>
      <x:c r="L25" s="3"/>
      <x:c r="M25" s="3"/>
      <x:c r="N25" s="3"/>
      <x:c r="O25" s="3"/>
      <x:c r="P25" s="3"/>
      <x:c r="Q25" s="3"/>
    </x:row>
    <x:row r="26" ht="57" customHeight="1">
      <x:c r="A26" s="12" t="str">
        <x:v>C08</x:v>
      </x:c>
      <x:c r="B26" s="12" t="str">
        <x:v>支払抽出の前提</x:v>
      </x:c>
      <x:c r="C26" s="12" t="str">
        <x:v>契約2/4、有効期間YUKO_FLG&lt;=0、支払ON=1/OFF=0、支払月&lt;=解約日、対象月時点の最新有効期間、製番確認区分1と対象月を含む製番期間・関連ユーザー契約が必要。期間だけのデータは出ない。</x:v>
      </x:c>
      <x:c r="D26" s="12" t="str">
        <x:v>VB mcm_tk_siharai_v.sql 71〜91行／Mcm3002uRepository</x:v>
      </x:c>
      <x:c r="E26" s="3"/>
      <x:c r="F26" s="3"/>
      <x:c r="G26" s="3"/>
      <x:c r="H26" s="3"/>
      <x:c r="I26" s="3"/>
      <x:c r="J26" s="3"/>
      <x:c r="K26" s="3"/>
      <x:c r="L26" s="3"/>
      <x:c r="M26" s="3"/>
      <x:c r="N26" s="3"/>
      <x:c r="O26" s="3"/>
      <x:c r="P26" s="3"/>
      <x:c r="Q26" s="3"/>
    </x:row>
    <x:row r="27" ht="57" customHeight="1">
      <x:c r="A27" s="12" t="str">
        <x:v>C09</x:v>
      </x:c>
      <x:c r="B27" s="12" t="str">
        <x:v>契約差異・交換</x:v>
      </x:c>
      <x:c r="C27" s="12" t="str">
        <x:v>タブ5は基準側検索日が指定期間内かつ比較側より前。等日は対象外。タブ8は寿命日&lt;=終息日、関連ユーザー契約2/4。検索日は寿命日、NULL時は当日。MC保守は個体キーと有効最新契約に関連。</x:v>
      </x:c>
      <x:c r="D27" s="12" t="str">
        <x:v>Mcm3004uRepository.searchAlert5/searchAlert8／VB mcm_alert8_v.sql</x:v>
      </x:c>
      <x:c r="E27" s="3"/>
      <x:c r="F27" s="3"/>
      <x:c r="G27" s="3"/>
      <x:c r="H27" s="3"/>
      <x:c r="I27" s="3"/>
      <x:c r="J27" s="3"/>
      <x:c r="K27" s="3"/>
      <x:c r="L27" s="3"/>
      <x:c r="M27" s="3"/>
      <x:c r="N27" s="3"/>
      <x:c r="O27" s="3"/>
      <x:c r="P27" s="3"/>
      <x:c r="Q27" s="3"/>
    </x:row>
    <x:row r="28" ht="72" customHeight="1">
      <x:c r="A28" s="12" t="str">
        <x:v>C10</x:v>
      </x:c>
      <x:c r="B28" s="12" t="str">
        <x:v>利用権限・金額4列</x:v>
      </x:c>
      <x:c r="C28" s="12" t="str">
        <x:v>VBの選択名は0=なし、1=参照、2=作成。1001Pは参照でも保存なしで出力。1003P・2001P通常発行は作成のみ。一覧系は起点利用許可で参照出力。金額4列は取引先契約関連（分類3）の参照／作成で表示、なしで非表示。独立した金額表示設定はない。</x:v>
      </x:c>
      <x:c r="D28" s="12" t="str">
        <x:v>VB McmRiyoKengenDataTable_Item.xml・McmLogin_UserInfo.xml／各Controller・ScreenAuthorityInterceptor／isKingakuVisible</x:v>
      </x:c>
      <x:c r="E28" s="3"/>
      <x:c r="F28" s="3"/>
      <x:c r="G28" s="3"/>
      <x:c r="H28" s="3"/>
      <x:c r="I28" s="3"/>
      <x:c r="J28" s="3"/>
      <x:c r="K28" s="3"/>
      <x:c r="L28" s="3"/>
      <x:c r="M28" s="3"/>
      <x:c r="N28" s="3"/>
      <x:c r="O28" s="3"/>
      <x:c r="P28" s="3"/>
      <x:c r="Q28" s="3"/>
    </x:row>
    <x:row r="29">
      <x:c r="A29" s="3"/>
      <x:c r="B29" s="3"/>
      <x:c r="C29" s="3"/>
      <x:c r="D29" s="3"/>
      <x:c r="E29" s="3"/>
      <x:c r="F29" s="3"/>
      <x:c r="G29" s="3"/>
      <x:c r="H29" s="3"/>
      <x:c r="I29" s="3"/>
      <x:c r="J29" s="3"/>
      <x:c r="K29" s="3"/>
      <x:c r="L29" s="3"/>
      <x:c r="M29" s="3"/>
      <x:c r="N29" s="3"/>
      <x:c r="O29" s="3"/>
      <x:c r="P29" s="3"/>
      <x:c r="Q29" s="3"/>
    </x:row>
    <x:row r="30">
      <x:c r="A30" s="3"/>
      <x:c r="B30" s="3"/>
      <x:c r="C30" s="3"/>
      <x:c r="D30" s="3"/>
      <x:c r="E30" s="3"/>
      <x:c r="F30" s="3"/>
      <x:c r="G30" s="3"/>
      <x:c r="H30" s="3"/>
      <x:c r="I30" s="3"/>
      <x:c r="J30" s="3"/>
      <x:c r="K30" s="3"/>
      <x:c r="L30" s="3"/>
      <x:c r="M30" s="3"/>
      <x:c r="N30" s="3"/>
      <x:c r="O30" s="3"/>
      <x:c r="P30" s="3"/>
      <x:c r="Q30" s="3"/>
    </x:row>
    <x:row r="31">
      <x:c r="A31" s="3"/>
      <x:c r="B31" s="3"/>
      <x:c r="C31" s="3"/>
      <x:c r="D31" s="3"/>
      <x:c r="E31" s="3"/>
      <x:c r="F31" s="3"/>
      <x:c r="G31" s="3"/>
      <x:c r="H31" s="3"/>
      <x:c r="I31" s="3"/>
      <x:c r="J31" s="3"/>
      <x:c r="K31" s="3"/>
      <x:c r="L31" s="3"/>
      <x:c r="M31" s="3"/>
      <x:c r="N31" s="3"/>
      <x:c r="O31" s="3"/>
      <x:c r="P31" s="3"/>
      <x:c r="Q31" s="3"/>
    </x:row>
    <x:row r="32">
      <x:c r="A32" s="3"/>
      <x:c r="B32" s="3"/>
      <x:c r="C32" s="3"/>
      <x:c r="D32" s="3"/>
      <x:c r="E32" s="3"/>
      <x:c r="F32" s="3"/>
      <x:c r="G32" s="3"/>
      <x:c r="H32" s="3"/>
      <x:c r="I32" s="3"/>
      <x:c r="J32" s="3"/>
      <x:c r="K32" s="3"/>
      <x:c r="L32" s="3"/>
      <x:c r="M32" s="3"/>
      <x:c r="N32" s="3"/>
      <x:c r="O32" s="3"/>
      <x:c r="P32" s="3"/>
      <x:c r="Q32" s="3"/>
    </x:row>
    <x:row r="33">
      <x:c r="A33" s="3"/>
      <x:c r="B33" s="3"/>
      <x:c r="C33" s="3"/>
      <x:c r="D33" s="3"/>
      <x:c r="E33" s="3"/>
      <x:c r="F33" s="3"/>
      <x:c r="G33" s="3"/>
      <x:c r="H33" s="3"/>
      <x:c r="I33" s="3"/>
      <x:c r="J33" s="3"/>
      <x:c r="K33" s="3"/>
      <x:c r="L33" s="3"/>
      <x:c r="M33" s="3"/>
      <x:c r="N33" s="3"/>
      <x:c r="O33" s="3"/>
      <x:c r="P33" s="3"/>
      <x:c r="Q33" s="3"/>
    </x:row>
    <x:row r="34">
      <x:c r="A34" s="3"/>
      <x:c r="B34" s="3"/>
      <x:c r="C34" s="3"/>
      <x:c r="D34" s="3"/>
      <x:c r="E34" s="3"/>
      <x:c r="F34" s="3"/>
      <x:c r="G34" s="3"/>
      <x:c r="H34" s="3"/>
      <x:c r="I34" s="3"/>
      <x:c r="J34" s="3"/>
      <x:c r="K34" s="3"/>
      <x:c r="L34" s="3"/>
      <x:c r="M34" s="3"/>
      <x:c r="N34" s="3"/>
      <x:c r="O34" s="3"/>
      <x:c r="P34" s="3"/>
      <x:c r="Q34" s="3"/>
    </x:row>
    <x:row r="35">
      <x:c r="A35" s="3"/>
      <x:c r="B35" s="3"/>
      <x:c r="C35" s="3"/>
      <x:c r="D35" s="3"/>
      <x:c r="E35" s="3"/>
      <x:c r="F35" s="3"/>
      <x:c r="G35" s="3"/>
      <x:c r="H35" s="3"/>
      <x:c r="I35" s="3"/>
      <x:c r="J35" s="3"/>
      <x:c r="K35" s="3"/>
      <x:c r="L35" s="3"/>
      <x:c r="M35" s="3"/>
      <x:c r="N35" s="3"/>
      <x:c r="O35" s="3"/>
      <x:c r="P35" s="3"/>
      <x:c r="Q35" s="3"/>
    </x:row>
    <x:row r="36">
      <x:c r="A36" s="3"/>
      <x:c r="B36" s="3"/>
      <x:c r="C36" s="3"/>
      <x:c r="D36" s="3"/>
      <x:c r="E36" s="3"/>
      <x:c r="F36" s="3"/>
      <x:c r="G36" s="3"/>
      <x:c r="H36" s="3"/>
      <x:c r="I36" s="3"/>
      <x:c r="J36" s="3"/>
      <x:c r="K36" s="3"/>
      <x:c r="L36" s="3"/>
      <x:c r="M36" s="3"/>
      <x:c r="N36" s="3"/>
      <x:c r="O36" s="3"/>
      <x:c r="P36" s="3"/>
      <x:c r="Q36" s="3"/>
    </x:row>
    <x:row r="37">
      <x:c r="A37" s="3"/>
      <x:c r="B37" s="3"/>
      <x:c r="C37" s="3"/>
      <x:c r="D37" s="3"/>
      <x:c r="E37" s="3"/>
      <x:c r="F37" s="3"/>
      <x:c r="G37" s="3"/>
      <x:c r="H37" s="3"/>
      <x:c r="I37" s="3"/>
      <x:c r="J37" s="3"/>
      <x:c r="K37" s="3"/>
      <x:c r="L37" s="3"/>
      <x:c r="M37" s="3"/>
      <x:c r="N37" s="3"/>
      <x:c r="O37" s="3"/>
      <x:c r="P37" s="3"/>
      <x:c r="Q37" s="3"/>
    </x:row>
    <x:row r="38">
      <x:c r="A38" s="3"/>
      <x:c r="B38" s="3"/>
      <x:c r="C38" s="3"/>
      <x:c r="D38" s="3"/>
      <x:c r="E38" s="3"/>
      <x:c r="F38" s="3"/>
      <x:c r="G38" s="3"/>
      <x:c r="H38" s="3"/>
      <x:c r="I38" s="3"/>
      <x:c r="J38" s="3"/>
      <x:c r="K38" s="3"/>
      <x:c r="L38" s="3"/>
      <x:c r="M38" s="3"/>
      <x:c r="N38" s="3"/>
      <x:c r="O38" s="3"/>
      <x:c r="P38" s="3"/>
      <x:c r="Q38" s="3"/>
    </x:row>
    <x:row r="39">
      <x:c r="A39" s="3"/>
      <x:c r="B39" s="3"/>
      <x:c r="C39" s="3"/>
      <x:c r="D39" s="3"/>
      <x:c r="E39" s="3"/>
      <x:c r="F39" s="3"/>
      <x:c r="G39" s="3"/>
      <x:c r="H39" s="3"/>
      <x:c r="I39" s="3"/>
      <x:c r="J39" s="3"/>
      <x:c r="K39" s="3"/>
      <x:c r="L39" s="3"/>
      <x:c r="M39" s="3"/>
      <x:c r="N39" s="3"/>
      <x:c r="O39" s="3"/>
      <x:c r="P39" s="3"/>
      <x:c r="Q39" s="3"/>
    </x:row>
    <x:row r="40">
      <x:c r="A40" s="3"/>
      <x:c r="B40" s="3"/>
      <x:c r="C40" s="3"/>
      <x:c r="D40" s="3"/>
      <x:c r="E40" s="3"/>
      <x:c r="F40" s="3"/>
      <x:c r="G40" s="3"/>
      <x:c r="H40" s="3"/>
      <x:c r="I40" s="3"/>
      <x:c r="J40" s="3"/>
      <x:c r="K40" s="3"/>
      <x:c r="L40" s="3"/>
      <x:c r="M40" s="3"/>
      <x:c r="N40" s="3"/>
      <x:c r="O40" s="3"/>
      <x:c r="P40" s="3"/>
      <x:c r="Q40" s="3"/>
    </x:row>
  </x:sheetData>
  <x:mergeCells>
    <x:mergeCell ref="A1:Q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60" hidden="0" customWidth="1"/>
    <x:col min="3" max="3" width="44" hidden="0" customWidth="1"/>
    <x:col min="4" max="4" width="64" hidden="0" customWidth="1"/>
    <x:col min="5" max="5" width="80" hidden="0" customWidth="1"/>
    <x:col min="6" max="6" width="36"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単体との分担・帳票対応</x:v>
      </x:c>
      <x:c r="B1" s="4"/>
      <x:c r="C1" s="4"/>
      <x:c r="D1" s="4"/>
      <x:c r="E1" s="4"/>
      <x:c r="F1" s="4"/>
      <x:c r="G1" s="4"/>
      <x:c r="H1" s="4"/>
      <x:c r="I1" s="4"/>
      <x:c r="J1" s="4"/>
      <x:c r="K1" s="4"/>
      <x:c r="L1" s="4"/>
      <x:c r="M1" s="4"/>
      <x:c r="N1" s="4"/>
      <x:c r="O1" s="4"/>
      <x:c r="P1" s="4"/>
      <x:c r="Q1" s="4"/>
    </x:row>
    <x:row r="2">
      <x:c r="A2" s="3"/>
      <x:c r="B2" s="3"/>
      <x:c r="C2" s="3"/>
      <x:c r="D2" s="3"/>
      <x:c r="E2" s="3"/>
      <x:c r="F2" s="3"/>
      <x:c r="G2" s="3"/>
      <x:c r="H2" s="3"/>
      <x:c r="I2" s="3"/>
      <x:c r="J2" s="3"/>
      <x:c r="K2" s="3"/>
      <x:c r="L2" s="3"/>
      <x:c r="M2" s="3"/>
      <x:c r="N2" s="3"/>
      <x:c r="O2" s="3"/>
      <x:c r="P2" s="3"/>
      <x:c r="Q2" s="3"/>
    </x:row>
    <x:row r="3">
      <x:c r="A3" s="3"/>
      <x:c r="B3" s="3"/>
      <x:c r="C3" s="3"/>
      <x:c r="D3" s="3"/>
      <x:c r="E3" s="3"/>
      <x:c r="F3" s="3"/>
      <x:c r="G3" s="3"/>
      <x:c r="H3" s="3"/>
      <x:c r="I3" s="3"/>
      <x:c r="J3" s="3"/>
      <x:c r="K3" s="3"/>
      <x:c r="L3" s="3"/>
      <x:c r="M3" s="3"/>
      <x:c r="N3" s="3"/>
      <x:c r="O3" s="3"/>
      <x:c r="P3" s="3"/>
      <x:c r="Q3" s="3"/>
    </x:row>
    <x:row r="4" ht="34" customHeight="1">
      <x:c r="A4" s="10" t="str">
        <x:v>フローID</x:v>
      </x:c>
      <x:c r="B4" s="10" t="str">
        <x:v>対象帳票</x:v>
      </x:c>
      <x:c r="C4" s="10" t="str">
        <x:v>単体参照</x:v>
      </x:c>
      <x:c r="D4" s="10" t="str">
        <x:v>結合の確認範囲</x:v>
      </x:c>
      <x:c r="E4" s="10" t="str">
        <x:v>根拠</x:v>
      </x:c>
      <x:c r="F4" s="3"/>
      <x:c r="G4" s="3"/>
      <x:c r="H4" s="3"/>
      <x:c r="I4" s="3"/>
      <x:c r="J4" s="3"/>
      <x:c r="K4" s="3"/>
      <x:c r="L4" s="3"/>
      <x:c r="M4" s="3"/>
      <x:c r="N4" s="3"/>
      <x:c r="O4" s="3"/>
      <x:c r="P4" s="3"/>
      <x:c r="Q4" s="3"/>
    </x:row>
    <x:row r="5" ht="50" customHeight="1">
      <x:c r="A5" s="12" t="str">
        <x:v>INT01</x:v>
      </x:c>
      <x:c r="B5" s="12" t="str">
        <x:v>1001P</x:v>
      </x:c>
      <x:c r="C5" s="12" t="str">
        <x:v>1001P-1、16、17、24〜26</x:v>
      </x:c>
      <x:c r="D5" s="12" t="str">
        <x:v>MCM1003U→MCM1002U→MCM1001P→MCM1003U</x:v>
      </x:c>
      <x:c r="E5" s="12" t="str">
        <x:v>Mcm1002u2Screen.vb IraisyoHakkoButton_Click／Mcm1002uController.iraisho・Mcm1002uService.saveAll</x:v>
      </x:c>
      <x:c r="F5" s="3"/>
      <x:c r="G5" s="3"/>
      <x:c r="H5" s="3"/>
      <x:c r="I5" s="3"/>
      <x:c r="J5" s="3"/>
      <x:c r="K5" s="3"/>
      <x:c r="L5" s="3"/>
      <x:c r="M5" s="3"/>
      <x:c r="N5" s="3"/>
      <x:c r="O5" s="3"/>
      <x:c r="P5" s="3"/>
      <x:c r="Q5" s="3"/>
    </x:row>
    <x:row r="6" ht="50" customHeight="1">
      <x:c r="A6" s="12" t="str">
        <x:v>INT02</x:v>
      </x:c>
      <x:c r="B6" s="12" t="str">
        <x:v>1002P</x:v>
      </x:c>
      <x:c r="C6" s="12" t="str">
        <x:v>1002P-4、6、10</x:v>
      </x:c>
      <x:c r="D6" s="12" t="str">
        <x:v>MCM1002U→MCM1003U→MCM1002P</x:v>
      </x:c>
      <x:c r="E6" s="12" t="str">
        <x:v>Mcm1003uScreen.vb IraiIchiranSyutsuryokuButton_Click／Mcm1003uController.excelDownload・Mcm1002pController</x:v>
      </x:c>
      <x:c r="F6" s="3"/>
      <x:c r="G6" s="3"/>
      <x:c r="H6" s="3"/>
      <x:c r="I6" s="3"/>
      <x:c r="J6" s="3"/>
      <x:c r="K6" s="3"/>
      <x:c r="L6" s="3"/>
      <x:c r="M6" s="3"/>
      <x:c r="N6" s="3"/>
      <x:c r="O6" s="3"/>
      <x:c r="P6" s="3"/>
      <x:c r="Q6" s="3"/>
    </x:row>
    <x:row r="7" ht="50" customHeight="1">
      <x:c r="A7" s="12" t="str">
        <x:v>INT03</x:v>
      </x:c>
      <x:c r="B7" s="12" t="str">
        <x:v>1003P</x:v>
      </x:c>
      <x:c r="C7" s="12" t="str">
        <x:v>1003P-4〜6、14、17〜21、26</x:v>
      </x:c>
      <x:c r="D7" s="12" t="str">
        <x:v>MCM1003U→MCM1005U↔MCM1006U→MCM1003P</x:v>
      </x:c>
      <x:c r="E7" s="12" t="str">
        <x:v>Mcm1005uScreen.vb KeiyakuHakoButton_Click／Mcm1005uController.save・Mcm1005uService.contractReport/checkReport</x:v>
      </x:c>
      <x:c r="F7" s="3"/>
      <x:c r="G7" s="3"/>
      <x:c r="H7" s="3"/>
      <x:c r="I7" s="3"/>
      <x:c r="J7" s="3"/>
      <x:c r="K7" s="3"/>
      <x:c r="L7" s="3"/>
      <x:c r="M7" s="3"/>
      <x:c r="N7" s="3"/>
      <x:c r="O7" s="3"/>
      <x:c r="P7" s="3"/>
      <x:c r="Q7" s="3"/>
    </x:row>
    <x:row r="8" ht="50" customHeight="1">
      <x:c r="A8" s="12" t="str">
        <x:v>INT04</x:v>
      </x:c>
      <x:c r="B8" s="12" t="str">
        <x:v>0001P</x:v>
      </x:c>
      <x:c r="C8" s="12" t="str">
        <x:v>0001P-4、6、7</x:v>
      </x:c>
      <x:c r="D8" s="12" t="str">
        <x:v>DTS関連マスタ／ログ→MCM0020U→MCM0001P</x:v>
      </x:c>
      <x:c r="E8" s="12" t="str">
        <x:v>Mcm0020uScreen.vb ErrorListOutputButton_Click／Mcm0020uService.searchDtslog/searchGenzaijotai・Mcm0001pController</x:v>
      </x:c>
      <x:c r="F8" s="3"/>
      <x:c r="G8" s="3"/>
      <x:c r="H8" s="3"/>
      <x:c r="I8" s="3"/>
      <x:c r="J8" s="3"/>
      <x:c r="K8" s="3"/>
      <x:c r="L8" s="3"/>
      <x:c r="M8" s="3"/>
      <x:c r="N8" s="3"/>
      <x:c r="O8" s="3"/>
      <x:c r="P8" s="3"/>
      <x:c r="Q8" s="3"/>
    </x:row>
    <x:row r="9" ht="50" customHeight="1">
      <x:c r="A9" s="12" t="str">
        <x:v>INT05</x:v>
      </x:c>
      <x:c r="B9" s="12" t="str">
        <x:v>2001P</x:v>
      </x:c>
      <x:c r="C9" s="12" t="str">
        <x:v>2001P-4、38〜41、44</x:v>
      </x:c>
      <x:c r="D9" s="12" t="str">
        <x:v>MCM2004U→MCM2003U／機器選定→MCM2001P→MCM2004U</x:v>
      </x:c>
      <x:c r="E9" s="12" t="str">
        <x:v>Mcm2003uScreen.vb HakkoButton_Click／Mcm2003uService.publish・Mcm2001pController.Report/download</x:v>
      </x:c>
      <x:c r="F9" s="3"/>
      <x:c r="G9" s="3"/>
      <x:c r="H9" s="3"/>
      <x:c r="I9" s="3"/>
      <x:c r="J9" s="3"/>
      <x:c r="K9" s="3"/>
      <x:c r="L9" s="3"/>
      <x:c r="M9" s="3"/>
      <x:c r="N9" s="3"/>
      <x:c r="O9" s="3"/>
      <x:c r="P9" s="3"/>
      <x:c r="Q9" s="3"/>
    </x:row>
    <x:row r="10" ht="50" customHeight="1">
      <x:c r="A10" s="12" t="str">
        <x:v>INT06</x:v>
      </x:c>
      <x:c r="B10" s="12" t="str">
        <x:v>3001P・3005P</x:v>
      </x:c>
      <x:c r="C10" s="12" t="str">
        <x:v>3001P-4、5、14、15／3005P-9、21</x:v>
      </x:c>
      <x:c r="D10" s="12" t="str">
        <x:v>取引先・ユーザー契約→MCM3002U→MCM3001P＋MCM3005P</x:v>
      </x:c>
      <x:c r="E10" s="12" t="str">
        <x:v>Mcm3002uScreen.vb OutputButton_Click／Mcm3002uRepository.search/getPaymentMonths・Mcm3002uService.calculatePayment</x:v>
      </x:c>
      <x:c r="F10" s="3"/>
      <x:c r="G10" s="3"/>
      <x:c r="H10" s="3"/>
      <x:c r="I10" s="3"/>
      <x:c r="J10" s="3"/>
      <x:c r="K10" s="3"/>
      <x:c r="L10" s="3"/>
      <x:c r="M10" s="3"/>
      <x:c r="N10" s="3"/>
      <x:c r="O10" s="3"/>
      <x:c r="P10" s="3"/>
      <x:c r="Q10" s="3"/>
    </x:row>
    <x:row r="11" ht="50" customHeight="1">
      <x:c r="A11" s="12" t="str">
        <x:v>INT07</x:v>
      </x:c>
      <x:c r="B11" s="12" t="str">
        <x:v>3002P・3003P</x:v>
      </x:c>
      <x:c r="C11" s="12" t="str">
        <x:v>3002P-7、8／3003P-6、7、25</x:v>
      </x:c>
      <x:c r="D11" s="12" t="str">
        <x:v>MCM1005Uの点検保存→MCM3003U→MCM3002P＋MCM3003P</x:v>
      </x:c>
      <x:c r="E11" s="12" t="str">
        <x:v>Mcm3003uScreen.vb Search／Mcm3003uRepository・search_tenken.sql（点検ビューの同値抽出）</x:v>
      </x:c>
      <x:c r="F11" s="3"/>
      <x:c r="G11" s="3"/>
      <x:c r="H11" s="3"/>
      <x:c r="I11" s="3"/>
      <x:c r="J11" s="3"/>
      <x:c r="K11" s="3"/>
      <x:c r="L11" s="3"/>
      <x:c r="M11" s="3"/>
      <x:c r="N11" s="3"/>
      <x:c r="O11" s="3"/>
      <x:c r="P11" s="3"/>
      <x:c r="Q11" s="3"/>
    </x:row>
    <x:row r="12" ht="50" customHeight="1">
      <x:c r="A12" s="12" t="str">
        <x:v>INT08</x:v>
      </x:c>
      <x:c r="B12" s="12" t="str">
        <x:v>3004P</x:v>
      </x:c>
      <x:c r="C12" s="12" t="str">
        <x:v>3004P-11〜19、24</x:v>
      </x:c>
      <x:c r="D12" s="12" t="str">
        <x:v>契約・機器／予定登録→MCM3004U→MCM3004P</x:v>
      </x:c>
      <x:c r="E12" s="12" t="str">
        <x:v>Mcm3004uScreen.vb各検索・出力／Mcm3004uRepository（MCM_ALERT1〜9_V・MCM_MO_SAGYOYOTEI）</x:v>
      </x:c>
      <x:c r="F12" s="3"/>
      <x:c r="G12" s="3"/>
      <x:c r="H12" s="3"/>
      <x:c r="I12" s="3"/>
      <x:c r="J12" s="3"/>
      <x:c r="K12" s="3"/>
      <x:c r="L12" s="3"/>
      <x:c r="M12" s="3"/>
      <x:c r="N12" s="3"/>
      <x:c r="O12" s="3"/>
      <x:c r="P12" s="3"/>
      <x:c r="Q12" s="3"/>
    </x:row>
    <x:row r="13" ht="50" customHeight="1">
      <x:c r="A13" s="12" t="str">
        <x:v>INT09</x:v>
      </x:c>
      <x:c r="B13" s="12" t="str">
        <x:v>全10帳票</x:v>
      </x:c>
      <x:c r="C13" s="12" t="str">
        <x:v>各帳票の権限ケース、W04、2001P-46、3004P-42</x:v>
      </x:c>
      <x:c r="D13" s="12" t="str">
        <x:v>担当者設定→再ログイン→起点画面→保存／帳票取得</x:v>
      </x:c>
      <x:c r="E13" s="12" t="str">
        <x:v>担当者権限取得・ScreenAuthorityInterceptor／各起点Controller／Mcm1005uServiceのlock・conflict</x:v>
      </x:c>
      <x:c r="F13" s="3"/>
      <x:c r="G13" s="3"/>
      <x:c r="H13" s="3"/>
      <x:c r="I13" s="3"/>
      <x:c r="J13" s="3"/>
      <x:c r="K13" s="3"/>
      <x:c r="L13" s="3"/>
      <x:c r="M13" s="3"/>
      <x:c r="N13" s="3"/>
      <x:c r="O13" s="3"/>
      <x:c r="P13" s="3"/>
      <x:c r="Q13" s="3"/>
    </x:row>
    <x:row r="14">
      <x:c r="A14" s="3"/>
      <x:c r="B14" s="3"/>
      <x:c r="C14" s="3"/>
      <x:c r="D14" s="3"/>
      <x:c r="E14" s="3"/>
      <x:c r="F14" s="3"/>
      <x:c r="G14" s="3"/>
      <x:c r="H14" s="3"/>
      <x:c r="I14" s="3"/>
      <x:c r="J14" s="3"/>
      <x:c r="K14" s="3"/>
      <x:c r="L14" s="3"/>
      <x:c r="M14" s="3"/>
      <x:c r="N14" s="3"/>
      <x:c r="O14" s="3"/>
      <x:c r="P14" s="3"/>
      <x:c r="Q14" s="3"/>
    </x:row>
    <x:row r="15">
      <x:c r="A15" s="3"/>
      <x:c r="B15" s="3"/>
      <x:c r="C15" s="3"/>
      <x:c r="D15" s="3"/>
      <x:c r="E15" s="3"/>
      <x:c r="F15" s="3"/>
      <x:c r="G15" s="3"/>
      <x:c r="H15" s="3"/>
      <x:c r="I15" s="3"/>
      <x:c r="J15" s="3"/>
      <x:c r="K15" s="3"/>
      <x:c r="L15" s="3"/>
      <x:c r="M15" s="3"/>
      <x:c r="N15" s="3"/>
      <x:c r="O15" s="3"/>
      <x:c r="P15" s="3"/>
      <x:c r="Q15" s="3"/>
    </x:row>
    <x:row r="16" ht="34" customHeight="1">
      <x:c r="A16" s="10" t="str">
        <x:v>区分</x:v>
      </x:c>
      <x:c r="B16" s="10" t="str">
        <x:v>分担</x:v>
      </x:c>
      <x:c r="C16" s="3"/>
      <x:c r="D16" s="3"/>
      <x:c r="E16" s="3"/>
      <x:c r="F16" s="3"/>
      <x:c r="G16" s="3"/>
      <x:c r="H16" s="3"/>
      <x:c r="I16" s="3"/>
      <x:c r="J16" s="3"/>
      <x:c r="K16" s="3"/>
      <x:c r="L16" s="3"/>
      <x:c r="M16" s="3"/>
      <x:c r="N16" s="3"/>
      <x:c r="O16" s="3"/>
      <x:c r="P16" s="3"/>
      <x:c r="Q16" s="3"/>
    </x:row>
    <x:row r="17" ht="100" customHeight="1">
      <x:c r="A17" s="12" t="str">
        <x:v>帳票内だけの確認</x:v>
      </x:c>
      <x:c r="B17" s="12" t="str">
        <x:v>見出し・色・罫線・セル位置・日付入力・改ページ・単一金額計算は単体66の284ケースに残す。</x:v>
      </x:c>
      <x:c r="C17" s="3"/>
      <x:c r="D17" s="3"/>
      <x:c r="E17" s="3"/>
      <x:c r="F17" s="3"/>
      <x:c r="G17" s="3"/>
      <x:c r="H17" s="3"/>
      <x:c r="I17" s="3"/>
      <x:c r="J17" s="3"/>
      <x:c r="K17" s="3"/>
      <x:c r="L17" s="3"/>
      <x:c r="M17" s="3"/>
      <x:c r="N17" s="3"/>
      <x:c r="O17" s="3"/>
      <x:c r="P17" s="3"/>
      <x:c r="Q17" s="3"/>
    </x:row>
    <x:row r="18" ht="100" customHeight="1">
      <x:c r="A18" s="12" t="str">
        <x:v>既存の単体結合観点</x:v>
      </x:c>
      <x:c r="B18" s="12" t="str">
        <x:v>66にもW04や複数タブ等の境界ケースが含まれる。単体ケースを二重計上せず、本仕様書では上流登録・ログイン・承認を追加した一連の観測に限定。</x:v>
      </x:c>
      <x:c r="C18" s="3"/>
      <x:c r="D18" s="3"/>
      <x:c r="E18" s="3"/>
      <x:c r="F18" s="3"/>
      <x:c r="G18" s="3"/>
      <x:c r="H18" s="3"/>
      <x:c r="I18" s="3"/>
      <x:c r="J18" s="3"/>
      <x:c r="K18" s="3"/>
      <x:c r="L18" s="3"/>
      <x:c r="M18" s="3"/>
      <x:c r="N18" s="3"/>
      <x:c r="O18" s="3"/>
      <x:c r="P18" s="3"/>
      <x:c r="Q18" s="3"/>
    </x:row>
    <x:row r="19" ht="100" customHeight="1">
      <x:c r="A19" s="12" t="str">
        <x:v>性能・停止障害</x:v>
      </x:c>
      <x:c r="B19" s="12" t="str">
        <x:v>大量件数の速度、サーバ停止、ネットワーク切断は性能・運用試験へ分担。登録途中の検証例外はトランザクション結合として含める。</x:v>
      </x:c>
      <x:c r="C19" s="3"/>
      <x:c r="D19" s="3"/>
      <x:c r="E19" s="3"/>
      <x:c r="F19" s="3"/>
      <x:c r="G19" s="3"/>
      <x:c r="H19" s="3"/>
      <x:c r="I19" s="3"/>
      <x:c r="J19" s="3"/>
      <x:c r="K19" s="3"/>
      <x:c r="L19" s="3"/>
      <x:c r="M19" s="3"/>
      <x:c r="N19" s="3"/>
      <x:c r="O19" s="3"/>
      <x:c r="P19" s="3"/>
      <x:c r="Q19" s="3"/>
    </x:row>
    <x:row r="20" ht="100" customHeight="1">
      <x:c r="A20" s="12" t="str">
        <x:v>対象外帳票・外部内部仕様</x:v>
      </x:c>
      <x:c r="B20" s="12" t="str">
        <x:v>MCM1004Pは範囲外。DTS内部処理・取込先内部の更新規約・印刷機器ごとの再現は仕様未確定で勝手に作成しない。</x:v>
      </x:c>
      <x:c r="C20" s="3"/>
      <x:c r="D20" s="3"/>
      <x:c r="E20" s="3"/>
      <x:c r="F20" s="3"/>
      <x:c r="G20" s="3"/>
      <x:c r="H20" s="3"/>
      <x:c r="I20" s="3"/>
      <x:c r="J20" s="3"/>
      <x:c r="K20" s="3"/>
      <x:c r="L20" s="3"/>
      <x:c r="M20" s="3"/>
      <x:c r="N20" s="3"/>
      <x:c r="O20" s="3"/>
      <x:c r="P20" s="3"/>
      <x:c r="Q20" s="3"/>
    </x:row>
    <x:row r="21">
      <x:c r="A21" s="3"/>
      <x:c r="B21" s="3"/>
      <x:c r="C21" s="3"/>
      <x:c r="D21" s="3"/>
      <x:c r="E21" s="3"/>
      <x:c r="F21" s="3"/>
      <x:c r="G21" s="3"/>
      <x:c r="H21" s="3"/>
      <x:c r="I21" s="3"/>
      <x:c r="J21" s="3"/>
      <x:c r="K21" s="3"/>
      <x:c r="L21" s="3"/>
      <x:c r="M21" s="3"/>
      <x:c r="N21" s="3"/>
      <x:c r="O21" s="3"/>
      <x:c r="P21" s="3"/>
      <x:c r="Q21" s="3"/>
    </x:row>
    <x:row r="22">
      <x:c r="A22" s="3"/>
      <x:c r="B22" s="3"/>
      <x:c r="C22" s="3"/>
      <x:c r="D22" s="3"/>
      <x:c r="E22" s="3"/>
      <x:c r="F22" s="3"/>
      <x:c r="G22" s="3"/>
      <x:c r="H22" s="3"/>
      <x:c r="I22" s="3"/>
      <x:c r="J22" s="3"/>
      <x:c r="K22" s="3"/>
      <x:c r="L22" s="3"/>
      <x:c r="M22" s="3"/>
      <x:c r="N22" s="3"/>
      <x:c r="O22" s="3"/>
      <x:c r="P22" s="3"/>
      <x:c r="Q22" s="3"/>
    </x:row>
    <x:row r="23">
      <x:c r="A23" s="3"/>
      <x:c r="B23" s="3"/>
      <x:c r="C23" s="3"/>
      <x:c r="D23" s="3"/>
      <x:c r="E23" s="3"/>
      <x:c r="F23" s="3"/>
      <x:c r="G23" s="3"/>
      <x:c r="H23" s="3"/>
      <x:c r="I23" s="3"/>
      <x:c r="J23" s="3"/>
      <x:c r="K23" s="3"/>
      <x:c r="L23" s="3"/>
      <x:c r="M23" s="3"/>
      <x:c r="N23" s="3"/>
      <x:c r="O23" s="3"/>
      <x:c r="P23" s="3"/>
      <x:c r="Q23" s="3"/>
    </x:row>
    <x:row r="24" ht="34" customHeight="1">
      <x:c r="A24" s="10" t="str">
        <x:v>帳票</x:v>
      </x:c>
      <x:c r="B24" s="10" t="str">
        <x:v>起点</x:v>
      </x:c>
      <x:c r="C24" s="10" t="str">
        <x:v>受渡し方式</x:v>
      </x:c>
      <x:c r="D24" s="10" t="str">
        <x:v>機能連携</x:v>
      </x:c>
      <x:c r="E24" s="10" t="str">
        <x:v>単体との分担</x:v>
      </x:c>
      <x:c r="F24" s="10" t="str">
        <x:v>権限・排他</x:v>
      </x:c>
      <x:c r="G24" s="3"/>
      <x:c r="H24" s="3"/>
      <x:c r="I24" s="3"/>
      <x:c r="J24" s="3"/>
      <x:c r="K24" s="3"/>
      <x:c r="L24" s="3"/>
      <x:c r="M24" s="3"/>
      <x:c r="N24" s="3"/>
      <x:c r="O24" s="3"/>
      <x:c r="P24" s="3"/>
      <x:c r="Q24" s="3"/>
    </x:row>
    <x:row r="25" ht="50" customHeight="1">
      <x:c r="A25" s="12" t="str">
        <x:v>1001P</x:v>
      </x:c>
      <x:c r="B25" s="12" t="str">
        <x:v>MCM1002U</x:v>
      </x:c>
      <x:c r="C25" s="12" t="str">
        <x:v>保存後の受渡し</x:v>
      </x:c>
      <x:c r="D25" s="12" t="str">
        <x:v>INT01-001〜006</x:v>
      </x:c>
      <x:c r="E25" s="12" t="str">
        <x:v>W01〜W06・帳票別全ケース</x:v>
      </x:c>
      <x:c r="F25" s="12" t="str">
        <x:v>INT09-001・003</x:v>
      </x:c>
      <x:c r="G25" s="3"/>
      <x:c r="H25" s="3"/>
      <x:c r="I25" s="3"/>
      <x:c r="J25" s="3"/>
      <x:c r="K25" s="3"/>
      <x:c r="L25" s="3"/>
      <x:c r="M25" s="3"/>
      <x:c r="N25" s="3"/>
      <x:c r="O25" s="3"/>
      <x:c r="P25" s="3"/>
      <x:c r="Q25" s="3"/>
    </x:row>
    <x:row r="26" ht="50" customHeight="1">
      <x:c r="A26" s="12" t="str">
        <x:v>1002P</x:v>
      </x:c>
      <x:c r="B26" s="12" t="str">
        <x:v>MCM1003U</x:v>
      </x:c>
      <x:c r="C26" s="12" t="str">
        <x:v>検索結果の保持</x:v>
      </x:c>
      <x:c r="D26" s="12" t="str">
        <x:v>INT02-001〜005</x:v>
      </x:c>
      <x:c r="E26" s="12" t="str">
        <x:v>W01〜W06・帳票別全ケース</x:v>
      </x:c>
      <x:c r="F26" s="12" t="str">
        <x:v>INT09-001</x:v>
      </x:c>
      <x:c r="G26" s="3"/>
      <x:c r="H26" s="3"/>
      <x:c r="I26" s="3"/>
      <x:c r="J26" s="3"/>
      <x:c r="K26" s="3"/>
      <x:c r="L26" s="3"/>
      <x:c r="M26" s="3"/>
      <x:c r="N26" s="3"/>
      <x:c r="O26" s="3"/>
      <x:c r="P26" s="3"/>
      <x:c r="Q26" s="3"/>
    </x:row>
    <x:row r="27" ht="50" customHeight="1">
      <x:c r="A27" s="12" t="str">
        <x:v>1003P</x:v>
      </x:c>
      <x:c r="B27" s="12" t="str">
        <x:v>MCM1005U↔1006U／1011U</x:v>
      </x:c>
      <x:c r="C27" s="12" t="str">
        <x:v>保存後に別要求で生成</x:v>
      </x:c>
      <x:c r="D27" s="12" t="str">
        <x:v>INT03-001〜007</x:v>
      </x:c>
      <x:c r="E27" s="12" t="str">
        <x:v>W01〜W06・帳票別全ケース</x:v>
      </x:c>
      <x:c r="F27" s="12" t="str">
        <x:v>INT09-001・004・005</x:v>
      </x:c>
      <x:c r="G27" s="3"/>
      <x:c r="H27" s="3"/>
      <x:c r="I27" s="3"/>
      <x:c r="J27" s="3"/>
      <x:c r="K27" s="3"/>
      <x:c r="L27" s="3"/>
      <x:c r="M27" s="3"/>
      <x:c r="N27" s="3"/>
      <x:c r="O27" s="3"/>
      <x:c r="P27" s="3"/>
      <x:c r="Q27" s="3"/>
    </x:row>
    <x:row r="28" ht="50" customHeight="1">
      <x:c r="A28" s="12" t="str">
        <x:v>0001P</x:v>
      </x:c>
      <x:c r="B28" s="12" t="str">
        <x:v>MCM0020U</x:v>
      </x:c>
      <x:c r="C28" s="12" t="str">
        <x:v>検索状態ID別の保持</x:v>
      </x:c>
      <x:c r="D28" s="12" t="str">
        <x:v>INT04-001〜004</x:v>
      </x:c>
      <x:c r="E28" s="12" t="str">
        <x:v>W01〜W06・帳票別全ケース</x:v>
      </x:c>
      <x:c r="F28" s="12" t="str">
        <x:v>INT09-001</x:v>
      </x:c>
      <x:c r="G28" s="3"/>
      <x:c r="H28" s="3"/>
      <x:c r="I28" s="3"/>
      <x:c r="J28" s="3"/>
      <x:c r="K28" s="3"/>
      <x:c r="L28" s="3"/>
      <x:c r="M28" s="3"/>
      <x:c r="N28" s="3"/>
      <x:c r="O28" s="3"/>
      <x:c r="P28" s="3"/>
      <x:c r="Q28" s="3"/>
    </x:row>
    <x:row r="29" ht="50" customHeight="1">
      <x:c r="A29" s="12" t="str">
        <x:v>2001P</x:v>
      </x:c>
      <x:c r="B29" s="12" t="str">
        <x:v>MCM2003U／2004U</x:v>
      </x:c>
      <x:c r="C29" s="12" t="str">
        <x:v>保存と生成が同じトランザクション</x:v>
      </x:c>
      <x:c r="D29" s="12" t="str">
        <x:v>INT05-001〜004・006</x:v>
      </x:c>
      <x:c r="E29" s="12" t="str">
        <x:v>旧INT05-005は単体2001P-46で確認</x:v>
      </x:c>
      <x:c r="F29" s="12" t="str">
        <x:v>INT09-001・003</x:v>
      </x:c>
      <x:c r="G29" s="3"/>
      <x:c r="H29" s="3"/>
      <x:c r="I29" s="3"/>
      <x:c r="J29" s="3"/>
      <x:c r="K29" s="3"/>
      <x:c r="L29" s="3"/>
      <x:c r="M29" s="3"/>
      <x:c r="N29" s="3"/>
      <x:c r="O29" s="3"/>
      <x:c r="P29" s="3"/>
      <x:c r="Q29" s="3"/>
    </x:row>
    <x:row r="30" ht="50" customHeight="1">
      <x:c r="A30" s="12" t="str">
        <x:v>3001P</x:v>
      </x:c>
      <x:c r="B30" s="12" t="str">
        <x:v>MCM3002U</x:v>
      </x:c>
      <x:c r="C30" s="12" t="str">
        <x:v>出力時DB再抽出・ZIP同時出力</x:v>
      </x:c>
      <x:c r="D30" s="12" t="str">
        <x:v>INT06-001〜007</x:v>
      </x:c>
      <x:c r="E30" s="12" t="str">
        <x:v>W01〜W06・帳票別全ケース</x:v>
      </x:c>
      <x:c r="F30" s="12" t="str">
        <x:v>INT09-001</x:v>
      </x:c>
      <x:c r="G30" s="3"/>
      <x:c r="H30" s="3"/>
      <x:c r="I30" s="3"/>
      <x:c r="J30" s="3"/>
      <x:c r="K30" s="3"/>
      <x:c r="L30" s="3"/>
      <x:c r="M30" s="3"/>
      <x:c r="N30" s="3"/>
      <x:c r="O30" s="3"/>
      <x:c r="P30" s="3"/>
      <x:c r="Q30" s="3"/>
    </x:row>
    <x:row r="31" ht="50" customHeight="1">
      <x:c r="A31" s="12" t="str">
        <x:v>3005P</x:v>
      </x:c>
      <x:c r="B31" s="12" t="str">
        <x:v>MCM3002U</x:v>
      </x:c>
      <x:c r="C31" s="12" t="str">
        <x:v>3001Pと同じ操作で個別照合</x:v>
      </x:c>
      <x:c r="D31" s="12" t="str">
        <x:v>INT06-001〜007</x:v>
      </x:c>
      <x:c r="E31" s="12" t="str">
        <x:v>W01〜W06・帳票別全ケース</x:v>
      </x:c>
      <x:c r="F31" s="12" t="str">
        <x:v>INT09-001</x:v>
      </x:c>
      <x:c r="G31" s="3"/>
      <x:c r="H31" s="3"/>
      <x:c r="I31" s="3"/>
      <x:c r="J31" s="3"/>
      <x:c r="K31" s="3"/>
      <x:c r="L31" s="3"/>
      <x:c r="M31" s="3"/>
      <x:c r="N31" s="3"/>
      <x:c r="O31" s="3"/>
      <x:c r="P31" s="3"/>
      <x:c r="Q31" s="3"/>
    </x:row>
    <x:row r="32" ht="50" customHeight="1">
      <x:c r="A32" s="12" t="str">
        <x:v>3002P</x:v>
      </x:c>
      <x:c r="B32" s="12" t="str">
        <x:v>MCM3003U</x:v>
      </x:c>
      <x:c r="C32" s="12" t="str">
        <x:v>出力時DB再抽出・画面内取得</x:v>
      </x:c>
      <x:c r="D32" s="12" t="str">
        <x:v>INT07-001〜007</x:v>
      </x:c>
      <x:c r="E32" s="12" t="str">
        <x:v>W01〜W06・帳票別全ケース</x:v>
      </x:c>
      <x:c r="F32" s="12" t="str">
        <x:v>INT09-001</x:v>
      </x:c>
      <x:c r="G32" s="3"/>
      <x:c r="H32" s="3"/>
      <x:c r="I32" s="3"/>
      <x:c r="J32" s="3"/>
      <x:c r="K32" s="3"/>
      <x:c r="L32" s="3"/>
      <x:c r="M32" s="3"/>
      <x:c r="N32" s="3"/>
      <x:c r="O32" s="3"/>
      <x:c r="P32" s="3"/>
      <x:c r="Q32" s="3"/>
    </x:row>
    <x:row r="33" ht="50" customHeight="1">
      <x:c r="A33" s="12" t="str">
        <x:v>3003P</x:v>
      </x:c>
      <x:c r="B33" s="12" t="str">
        <x:v>MCM3003U</x:v>
      </x:c>
      <x:c r="C33" s="12" t="str">
        <x:v>3002Pと別ボタンで個別取得</x:v>
      </x:c>
      <x:c r="D33" s="12" t="str">
        <x:v>INT07-001〜004・006・007</x:v>
      </x:c>
      <x:c r="E33" s="12" t="str">
        <x:v>W01〜W06・帳票別全ケース</x:v>
      </x:c>
      <x:c r="F33" s="12" t="str">
        <x:v>INT09-001</x:v>
      </x:c>
      <x:c r="G33" s="3"/>
      <x:c r="H33" s="3"/>
      <x:c r="I33" s="3"/>
      <x:c r="J33" s="3"/>
      <x:c r="K33" s="3"/>
      <x:c r="L33" s="3"/>
      <x:c r="M33" s="3"/>
      <x:c r="N33" s="3"/>
      <x:c r="O33" s="3"/>
      <x:c r="P33" s="3"/>
      <x:c r="Q33" s="3"/>
    </x:row>
    <x:row r="34" ht="50" customHeight="1">
      <x:c r="A34" s="12" t="str">
        <x:v>3004P</x:v>
      </x:c>
      <x:c r="B34" s="12" t="str">
        <x:v>MCM3004U／3005U</x:v>
      </x:c>
      <x:c r="C34" s="12" t="str">
        <x:v>9タブ別に結果を保持</x:v>
      </x:c>
      <x:c r="D34" s="12" t="str">
        <x:v>INT08-001〜006</x:v>
      </x:c>
      <x:c r="E34" s="12" t="str">
        <x:v>W01〜W06・帳票別全ケース</x:v>
      </x:c>
      <x:c r="F34" s="12" t="str">
        <x:v>INT09-001・002</x:v>
      </x:c>
      <x:c r="G34" s="3"/>
      <x:c r="H34" s="3"/>
      <x:c r="I34" s="3"/>
      <x:c r="J34" s="3"/>
      <x:c r="K34" s="3"/>
      <x:c r="L34" s="3"/>
      <x:c r="M34" s="3"/>
      <x:c r="N34" s="3"/>
      <x:c r="O34" s="3"/>
      <x:c r="P34" s="3"/>
      <x:c r="Q34" s="3"/>
    </x:row>
    <x:row r="35">
      <x:c r="A35" s="3"/>
      <x:c r="B35" s="3"/>
      <x:c r="C35" s="3"/>
      <x:c r="D35" s="3"/>
      <x:c r="E35" s="3"/>
      <x:c r="F35" s="3"/>
      <x:c r="G35" s="3"/>
      <x:c r="H35" s="3"/>
      <x:c r="I35" s="3"/>
      <x:c r="J35" s="3"/>
      <x:c r="K35" s="3"/>
      <x:c r="L35" s="3"/>
      <x:c r="M35" s="3"/>
      <x:c r="N35" s="3"/>
      <x:c r="O35" s="3"/>
      <x:c r="P35" s="3"/>
      <x:c r="Q35" s="3"/>
    </x:row>
    <x:row r="36">
      <x:c r="A36" s="3"/>
      <x:c r="B36" s="3"/>
      <x:c r="C36" s="3"/>
      <x:c r="D36" s="3"/>
      <x:c r="E36" s="3"/>
      <x:c r="F36" s="3"/>
      <x:c r="G36" s="3"/>
      <x:c r="H36" s="3"/>
      <x:c r="I36" s="3"/>
      <x:c r="J36" s="3"/>
      <x:c r="K36" s="3"/>
      <x:c r="L36" s="3"/>
      <x:c r="M36" s="3"/>
      <x:c r="N36" s="3"/>
      <x:c r="O36" s="3"/>
      <x:c r="P36" s="3"/>
      <x:c r="Q36" s="3"/>
    </x:row>
    <x:row r="37" ht="50" customHeight="1">
      <x:c r="A37" s="3" t="str">
        <x:v>各帳票・各タブの個別判定を証跡に残す。権限はQ06で期待操作を確定し、作成／参照／利用不可を帳票IDごとに確認。1帳票の成功で他帳票を合格にしない。</x:v>
      </x:c>
      <x:c r="B37" s="3"/>
      <x:c r="C37" s="3"/>
      <x:c r="D37" s="3"/>
      <x:c r="E37" s="3"/>
      <x:c r="F37" s="3"/>
      <x:c r="G37" s="3"/>
      <x:c r="H37" s="3"/>
      <x:c r="I37" s="3"/>
      <x:c r="J37" s="3"/>
      <x:c r="K37" s="3"/>
      <x:c r="L37" s="3"/>
      <x:c r="M37" s="3"/>
      <x:c r="N37" s="3"/>
      <x:c r="O37" s="3"/>
      <x:c r="P37" s="3"/>
      <x:c r="Q37" s="3"/>
    </x:row>
    <x:row r="38">
      <x:c r="A38" s="3"/>
      <x:c r="B38" s="3"/>
      <x:c r="C38" s="3"/>
      <x:c r="D38" s="3"/>
      <x:c r="E38" s="3"/>
      <x:c r="F38" s="3"/>
      <x:c r="G38" s="3"/>
      <x:c r="H38" s="3"/>
      <x:c r="I38" s="3"/>
      <x:c r="J38" s="3"/>
      <x:c r="K38" s="3"/>
      <x:c r="L38" s="3"/>
      <x:c r="M38" s="3"/>
      <x:c r="N38" s="3"/>
      <x:c r="O38" s="3"/>
      <x:c r="P38" s="3"/>
      <x:c r="Q38" s="3"/>
    </x:row>
    <x:row r="39" ht="50" customHeight="1">
      <x:c r="A39" s="3" t="str">
        <x:v>旧INT05-005は単体2001P-46と同じ確認のため分担。INT03-004は承認後の再表示、INT09-005は古い画面との競合。INT07-003の解除と007の新期間変更を分離。</x:v>
      </x:c>
      <x:c r="B39" s="3"/>
      <x:c r="C39" s="3"/>
      <x:c r="D39" s="3"/>
      <x:c r="E39" s="3"/>
      <x:c r="F39" s="3"/>
      <x:c r="G39" s="3"/>
      <x:c r="H39" s="3"/>
      <x:c r="I39" s="3"/>
      <x:c r="J39" s="3"/>
      <x:c r="K39" s="3"/>
      <x:c r="L39" s="3"/>
      <x:c r="M39" s="3"/>
      <x:c r="N39" s="3"/>
      <x:c r="O39" s="3"/>
      <x:c r="P39" s="3"/>
      <x:c r="Q39" s="3"/>
    </x:row>
    <x:row r="40">
      <x:c r="A40" s="3"/>
      <x:c r="B40" s="3"/>
      <x:c r="C40" s="3"/>
      <x:c r="D40" s="3"/>
      <x:c r="E40" s="3"/>
      <x:c r="F40" s="3"/>
      <x:c r="G40" s="3"/>
      <x:c r="H40" s="3"/>
      <x:c r="I40" s="3"/>
      <x:c r="J40" s="3"/>
      <x:c r="K40" s="3"/>
      <x:c r="L40" s="3"/>
      <x:c r="M40" s="3"/>
      <x:c r="N40" s="3"/>
      <x:c r="O40" s="3"/>
      <x:c r="P40" s="3"/>
      <x:c r="Q40" s="3"/>
    </x:row>
    <x:row r="41">
      <x:c r="A41" s="3"/>
      <x:c r="B41" s="3"/>
      <x:c r="C41" s="3"/>
      <x:c r="D41" s="3"/>
      <x:c r="E41" s="3"/>
      <x:c r="F41" s="3"/>
      <x:c r="G41" s="3"/>
      <x:c r="H41" s="3"/>
      <x:c r="I41" s="3"/>
      <x:c r="J41" s="3"/>
      <x:c r="K41" s="3"/>
      <x:c r="L41" s="3"/>
      <x:c r="M41" s="3"/>
      <x:c r="N41" s="3"/>
      <x:c r="O41" s="3"/>
      <x:c r="P41" s="3"/>
      <x:c r="Q41" s="3"/>
    </x:row>
    <x:row r="42">
      <x:c r="A42" s="3"/>
      <x:c r="B42" s="3"/>
      <x:c r="C42" s="3"/>
      <x:c r="D42" s="3"/>
      <x:c r="E42" s="3"/>
      <x:c r="F42" s="3"/>
      <x:c r="G42" s="3"/>
      <x:c r="H42" s="3"/>
      <x:c r="I42" s="3"/>
      <x:c r="J42" s="3"/>
      <x:c r="K42" s="3"/>
      <x:c r="L42" s="3"/>
      <x:c r="M42" s="3"/>
      <x:c r="N42" s="3"/>
      <x:c r="O42" s="3"/>
      <x:c r="P42" s="3"/>
      <x:c r="Q42" s="3"/>
    </x:row>
    <x:row r="43">
      <x:c r="A43" s="3"/>
      <x:c r="B43" s="3"/>
      <x:c r="C43" s="3"/>
      <x:c r="D43" s="3"/>
      <x:c r="E43" s="3"/>
      <x:c r="F43" s="3"/>
      <x:c r="G43" s="3"/>
      <x:c r="H43" s="3"/>
      <x:c r="I43" s="3"/>
      <x:c r="J43" s="3"/>
      <x:c r="K43" s="3"/>
      <x:c r="L43" s="3"/>
      <x:c r="M43" s="3"/>
      <x:c r="N43" s="3"/>
      <x:c r="O43" s="3"/>
      <x:c r="P43" s="3"/>
      <x:c r="Q43" s="3"/>
    </x:row>
    <x:row r="44">
      <x:c r="A44" s="3"/>
      <x:c r="B44" s="3"/>
      <x:c r="C44" s="3"/>
      <x:c r="D44" s="3"/>
      <x:c r="E44" s="3"/>
      <x:c r="F44" s="3"/>
      <x:c r="G44" s="3"/>
      <x:c r="H44" s="3"/>
      <x:c r="I44" s="3"/>
      <x:c r="J44" s="3"/>
      <x:c r="K44" s="3"/>
      <x:c r="L44" s="3"/>
      <x:c r="M44" s="3"/>
      <x:c r="N44" s="3"/>
      <x:c r="O44" s="3"/>
      <x:c r="P44" s="3"/>
      <x:c r="Q44" s="3"/>
    </x:row>
    <x:row r="45">
      <x:c r="A45" s="3"/>
      <x:c r="B45" s="3"/>
      <x:c r="C45" s="3"/>
      <x:c r="D45" s="3"/>
      <x:c r="E45" s="3"/>
      <x:c r="F45" s="3"/>
      <x:c r="G45" s="3"/>
      <x:c r="H45" s="3"/>
      <x:c r="I45" s="3"/>
      <x:c r="J45" s="3"/>
      <x:c r="K45" s="3"/>
      <x:c r="L45" s="3"/>
      <x:c r="M45" s="3"/>
      <x:c r="N45" s="3"/>
      <x:c r="O45" s="3"/>
      <x:c r="P45" s="3"/>
      <x:c r="Q45" s="3"/>
    </x:row>
  </x:sheetData>
  <x:mergeCells>
    <x:mergeCell ref="A1:Q1"/>
    <x:mergeCell ref="A37:F37"/>
    <x:mergeCell ref="A39:F39"/>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INT01 見積依頼から発行 結合テスト仕様書</x:v>
      </x:c>
      <x:c r="B1" s="4"/>
      <x:c r="C1" s="4"/>
      <x:c r="D1" s="4"/>
      <x:c r="E1" s="4"/>
      <x:c r="F1" s="4"/>
      <x:c r="G1" s="4"/>
      <x:c r="H1" s="4"/>
      <x:c r="I1" s="4"/>
      <x:c r="J1" s="4"/>
      <x:c r="K1" s="4"/>
      <x:c r="L1" s="4"/>
      <x:c r="M1" s="4"/>
      <x:c r="N1" s="4"/>
      <x:c r="O1" s="4"/>
      <x:c r="P1" s="4"/>
      <x:c r="Q1" s="4"/>
    </x:row>
    <x:row r="2" ht="42" customHeight="1">
      <x:c r="A2" s="3" t="str">
        <x:v>対象：1001P　根拠：Mcm1002u2Screen.vb IraisyoHakkoButton_Click／Mcm1002uController.iraisho・Mcm1002uService.saveAll</x:v>
      </x:c>
      <x:c r="B2" s="3"/>
      <x:c r="C2" s="3"/>
      <x:c r="D2" s="3"/>
      <x:c r="E2" s="3"/>
      <x:c r="F2" s="3"/>
      <x:c r="G2" s="3"/>
      <x:c r="H2" s="3"/>
      <x:c r="I2" s="3"/>
      <x:c r="J2" s="3"/>
      <x:c r="K2" s="3"/>
      <x:c r="L2" s="3"/>
      <x:c r="M2" s="3"/>
      <x:c r="N2" s="3"/>
      <x:c r="O2" s="3"/>
      <x:c r="P2" s="3"/>
      <x:c r="Q2" s="3"/>
    </x:row>
    <x:row r="3" ht="32" customHeight="1">
      <x:c r="A3" s="3" t="str">
        <x:v>業務フロー：MCM1003U→MCM1002U→MCM1001P→MCM1003U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COUNTA(A10:A15)</x:f>
        <x:v>6</x:v>
      </x:c>
      <x:c r="C6" s="10" t="str">
        <x:v>対象外</x:v>
      </x:c>
      <x:c r="D6" s="10" t="n">
        <x:f>COUNTIF(P10:P15,"対象外")</x:f>
        <x:v>0</x:v>
      </x:c>
      <x:c r="E6" s="10" t="str">
        <x:v>実ケース</x:v>
      </x:c>
      <x:c r="F6" s="10" t="n">
        <x:f>B6-D6</x:f>
        <x:v>6</x:v>
      </x:c>
      <x:c r="G6" s="10" t="str">
        <x:v>完了OK</x:v>
      </x:c>
      <x:c r="H6" s="10" t="n">
        <x:f>COUNTIF(P10:P15,"OK")</x:f>
        <x:v>0</x:v>
      </x:c>
      <x:c r="I6" s="10" t="str">
        <x:v>NG</x:v>
      </x:c>
      <x:c r="J6" s="10" t="n">
        <x:f>COUNTIF(P10:P15,"NG")</x:f>
        <x:v>0</x:v>
      </x:c>
      <x:c r="K6" s="10" t="str">
        <x:v>未完了</x:v>
      </x:c>
      <x:c r="L6" s="10" t="n">
        <x:f>MAX(0,F6-H6-J6)</x:f>
        <x:v>6</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72" customHeight="1">
      <x:c r="A10" s="12" t="str">
        <x:v>INT01-001</x:v>
      </x:c>
      <x:c r="B10" s="12" t="str">
        <x:v>登録・発行</x:v>
      </x:c>
      <x:c r="C10" s="12" t="str">
        <x:v>新規依頼の保存結果を一覧と依頼書で照合</x:v>
      </x:c>
      <x:c r="D10" s="12" t="str">
        <x:v>MCM1003U→MCM1002U→MCM1001P→MCM1003U</x:v>
      </x:c>
      <x:c r="E10" s="12" t="str">
        <x:v>作成権限。取引先A・納入先A・プラントAに8Hの機器Aを1件選定。別のプラントBも既存データとして用意。</x:v>
      </x:c>
      <x:c r="F10" s="12" t="str">
        <x:v>1. MCM1002Uの基本画面でAを選定し「次へ」。
2. 次画面で依頼書発行。
3. 取得した依頼NOを控え、MCM1003Uで再検索。
4. 開発者が同じ依頼IDの保存データを照合。</x:v>
      </x:c>
      <x:c r="G10" s="12" t="str">
        <x:v>発行した依頼NO・取引先・納入先・プラント・機器が一覧と保存データで一致。親依頼と契約時間・機器明細が同じ依頼に属し、Bの機器は混入しない。作成中から依頼への状態遷移が再検索へ反映。</x:v>
      </x:c>
      <x:c r="H10" s="12" t="str">
        <x:v>－</x:v>
      </x:c>
      <x:c r="I10" s="12"/>
      <x:c r="J10" s="12"/>
      <x:c r="K10" s="13"/>
      <x:c r="L10" s="12"/>
      <x:c r="M10" s="12"/>
      <x:c r="N10" s="12"/>
      <x:c r="O10" s="13"/>
      <x:c r="P10" s="12" t="str">
        <x:f>IF(M10&lt;&gt;"",M10,IF(I10="","未実施",I10))</x:f>
        <x:v>未実施</x:v>
      </x:c>
      <x:c r="Q10" s="12" t="str">
        <x:v>根拠B：Mcm1002u2Screen.vb IraisyoHakkoButton_Click／Mcm1002uController.iraisho・Mcm1002uService.saveAll。単体参照：1001P-1、10。分担：単体の表示・形式・計算を再実施せず、ここは画面・DB・処理間の引継ぎを確認。</x:v>
      </x:c>
    </x:row>
    <x:row r="11" ht="72" customHeight="1">
      <x:c r="A11" s="12" t="str">
        <x:v>INT01-002</x:v>
      </x:c>
      <x:c r="B11" s="12" t="str">
        <x:v>更新・引継ぎ</x:v>
      </x:c>
      <x:c r="C11" s="12" t="str">
        <x:v>既存依頼の数量変更を保存して発行</x:v>
      </x:c>
      <x:c r="D11" s="12" t="str">
        <x:v>MCM1003U→MCM1002U→MCM1001P→MCM1003U</x:v>
      </x:c>
      <x:c r="E11" s="12" t="str">
        <x:v>前ケースとは別の登録済み依頼。機器Aの数量1、作成権限。</x:v>
      </x:c>
      <x:c r="F11" s="12" t="str">
        <x:v>1. MCM1003Uでその依頼を選択し機器選定へ。
2. 数量を2に変更して依頼書発行。
3. 一覧から再度開き、DBの数量と取得帳票を照合。</x:v>
      </x:c>
      <x:c r="G11" s="12" t="str">
        <x:v>同じ依頼IDを更新し、数量2が再表示・保存済み明細・帳票に一致。別依頼の更新や不要な親レコード追加がない。</x:v>
      </x:c>
      <x:c r="H11" s="12" t="str">
        <x:v>－</x:v>
      </x:c>
      <x:c r="I11" s="12"/>
      <x:c r="J11" s="12"/>
      <x:c r="K11" s="13"/>
      <x:c r="L11" s="12"/>
      <x:c r="M11" s="12"/>
      <x:c r="N11" s="12"/>
      <x:c r="O11" s="13"/>
      <x:c r="P11" s="12" t="str">
        <x:f>IF(M11&lt;&gt;"",M11,IF(I11="","未実施",I11))</x:f>
        <x:v>未実施</x:v>
      </x:c>
      <x:c r="Q11" s="12" t="str">
        <x:v>根拠B：Mcm1002u2Screen.vb IraisyoHakkoButton_Click／Mcm1002uController.iraisho・Mcm1002uService.saveAll。単体参照：1001P-11。分担：単体の表示・形式・計算を再実施せず、ここは画面・DB・処理間の引継ぎを確認。</x:v>
      </x:c>
    </x:row>
    <x:row r="12" ht="87" customHeight="1">
      <x:c r="A12" s="12" t="str">
        <x:v>INT01-003</x:v>
      </x:c>
      <x:c r="B12" s="12" t="str">
        <x:v>複製</x:v>
      </x:c>
      <x:c r="C12" s="12" t="str">
        <x:v>複製元と複製先の依頼・出力を分離</x:v>
      </x:c>
      <x:c r="D12" s="12" t="str">
        <x:v>MCM1003U→MCM1002U→MCM1001P→MCM1003U</x:v>
      </x:c>
      <x:c r="E12" s="12" t="str">
        <x:v>作成権限。1プラントの複製元Aと複数プラントの複製元Bを準備し、元の親子ID・機器・数量を控える。</x:v>
      </x:c>
      <x:c r="F12" s="12" t="str">
        <x:v>1. MCM1003Uの「見積」複製リンクで期間情報複写の確認を行う。
2. Aは直接MCM1002U、BはMCM1008Uでプラント選択後にMCM1002Uへ。
3. 複製先を確認し依頼書発行。
4. 元と先を再検索し親子キー・帳票を比較。</x:v>
      </x:c>
      <x:c r="G12" s="12" t="str">
        <x:v>複製先の依頼NO・プラント・機器所属で依頼書を取得し、複製元は変更されない。新しい親子キーが複製先の画面に引き継がれる。</x:v>
      </x:c>
      <x:c r="H12" s="12" t="str">
        <x:v>－</x:v>
      </x:c>
      <x:c r="I12" s="12"/>
      <x:c r="J12" s="12"/>
      <x:c r="K12" s="13"/>
      <x:c r="L12" s="12"/>
      <x:c r="M12" s="12"/>
      <x:c r="N12" s="12"/>
      <x:c r="O12" s="13"/>
      <x:c r="P12" s="12" t="str">
        <x:f>IF(M12&lt;&gt;"",M12,IF(I12="","未実施",I12))</x:f>
        <x:v>未実施</x:v>
      </x:c>
      <x:c r="Q12" s="12" t="str">
        <x:v>根拠：Mcm1003uController.linkMitsumoriCopyとテンプレート。1／複数プラント、期間情報複写あり／なしを個別記録。単体1001P-5・6を参照し、結合では登録後の所属を照合。経路はコード確定済み。</x:v>
      </x:c>
    </x:row>
    <x:row r="13" ht="87" customHeight="1">
      <x:c r="A13" s="12" t="str">
        <x:v>INT01-004</x:v>
      </x:c>
      <x:c r="B13" s="12" t="str">
        <x:v>複数対象</x:v>
      </x:c>
      <x:c r="C13" s="12" t="str">
        <x:v>複数取引先の登録結果を全依頼書へ引継ぐ</x:v>
      </x:c>
      <x:c r="D13" s="12" t="str">
        <x:v>MCM1003U→MCM1002U→MCM1001P→MCM1003U</x:v>
      </x:c>
      <x:c r="E13" s="12" t="str">
        <x:v>作成利用者。取引先A/Bそれぞれに異なる依頼と機器。8Hと24Hは所属が異なる。</x:v>
      </x:c>
      <x:c r="F13" s="12" t="str">
        <x:v>1. 機器選定を保存して依頼書発行。
2. MCM1003UでA/B両依頼を再検索。
3. 全取得ファイルの依頼NO集合を再検索・親子DBキーと比較。</x:v>
      </x:c>
      <x:c r="G13" s="12" t="str">
        <x:v>登録された発行対象の依頼NO集合と取得帳票の依頼NO集合が一致。取引先・時間帯に応じた明細所属が保存済みデータと一致。先頭1件だけの欠落は不合格。</x:v>
      </x:c>
      <x:c r="H13" s="12" t="str">
        <x:v>－</x:v>
      </x:c>
      <x:c r="I13" s="12"/>
      <x:c r="J13" s="12"/>
      <x:c r="K13" s="13"/>
      <x:c r="L13" s="12"/>
      <x:c r="M13" s="12"/>
      <x:c r="N13" s="12"/>
      <x:c r="O13" s="13"/>
      <x:c r="P13" s="12" t="str">
        <x:f>IF(M13&lt;&gt;"",M13,IF(I13="","未実施",I13))</x:f>
        <x:v>未実施</x:v>
      </x:c>
      <x:c r="Q13" s="12" t="str">
        <x:v>根拠B：Mcm1002u2Screen.vb IraisyoHakkoButton_Click／Mcm1002uController.iraisho・Mcm1002uService.saveAll。単体参照：1001P-16、17、25、26。分担：単体の表示・形式・計算を再実施せず、ここは画面・DB・処理間の引継ぎを確認。F01。単体の生成だけでなく、登録済み対象集合との一致を検証。</x:v>
      </x:c>
    </x:row>
    <x:row r="14" ht="72" customHeight="1">
      <x:c r="A14" s="12" t="str">
        <x:v>INT01-005</x:v>
      </x:c>
      <x:c r="B14" s="12" t="str">
        <x:v>トランザクション</x:v>
      </x:c>
      <x:c r="C14" s="12" t="str">
        <x:v>明細保存の途中失敗で親子を不整合にしない</x:v>
      </x:c>
      <x:c r="D14" s="12" t="str">
        <x:v>MCM1003U→MCM1002U→MCM1001P→MCM1003U</x:v>
      </x:c>
      <x:c r="E14" s="12" t="str">
        <x:v>開発者テスト。検証DBの新規依頼。saveAll内で機器明細保存の後にRuntimeExceptionを1回発生させるテストフック。</x:v>
      </x:c>
      <x:c r="F14" s="12" t="str">
        <x:v>1. 発行前の依頼・契約時間・機器明細の件数を控える。
2. 依頼書発行を実施し保存途中で例外を発生。
3. 通知・DB・一覧を確認。
4. フックを解除し再実行。</x:v>
      </x:c>
      <x:c r="G14" s="12" t="str">
        <x:v>保存トランザクションが中止され、親・時間・機器の一部だけを残さない。成功帳票は取得できない。復旧後は整合する1組として登録・発行できる。</x:v>
      </x:c>
      <x:c r="H14" s="12" t="str">
        <x:v>－</x:v>
      </x:c>
      <x:c r="I14" s="12"/>
      <x:c r="J14" s="12"/>
      <x:c r="K14" s="13"/>
      <x:c r="L14" s="12"/>
      <x:c r="M14" s="12"/>
      <x:c r="N14" s="12"/>
      <x:c r="O14" s="13"/>
      <x:c r="P14" s="12" t="str">
        <x:f>IF(M14&lt;&gt;"",M14,IF(I14="","未実施",I14))</x:f>
        <x:v>未実施</x:v>
      </x:c>
      <x:c r="Q14" s="12" t="str">
        <x:v>根拠B：Mcm1002u2Screen.vb IraisyoHakkoButton_Click／Mcm1002uController.iraisho・Mcm1002uService.saveAll。単体参照：W03。分担：単体の表示・形式・計算を再実施せず、ここは画面・DB・処理間の引継ぎを確認。保存処理内の失敗。原紙生成後段の失敗とは別ケース。</x:v>
      </x:c>
    </x:row>
    <x:row r="15" ht="87" customHeight="1">
      <x:c r="A15" s="12" t="str">
        <x:v>INT01-006</x:v>
      </x:c>
      <x:c r="B15" s="12" t="str">
        <x:v>コミット境界</x:v>
      </x:c>
      <x:c r="C15" s="12" t="str">
        <x:v>保存後の依頼書生成失敗から再発行する</x:v>
      </x:c>
      <x:c r="D15" s="12" t="str">
        <x:v>MCM1003U→MCM1002U→MCM1001P→MCM1003U</x:v>
      </x:c>
      <x:c r="E15" s="12" t="str">
        <x:v>開発者テスト。保存が正常終了した後、帳票生成だけでRuntimeExceptionを1回発生。</x:v>
      </x:c>
      <x:c r="F15" s="12" t="str">
        <x:v>1. 依頼書発行し後段だけ失敗。
2. 一覧を再検索し保存済み状態と依頼NOを控える。
3. フック解除後、同じ保存済み依頼から再発行。</x:v>
      </x:c>
      <x:c r="G15" s="12" t="str">
        <x:v>生成失敗を正常な取得と通知しない。保存はsaveAllのコミット境界に従って維持され、再発行で親子を重複追加しない。保存済み内容と再発行帳票が一致。</x:v>
      </x:c>
      <x:c r="H15" s="12" t="str">
        <x:v>－</x:v>
      </x:c>
      <x:c r="I15" s="12"/>
      <x:c r="J15" s="12"/>
      <x:c r="K15" s="13"/>
      <x:c r="L15" s="12"/>
      <x:c r="M15" s="12"/>
      <x:c r="N15" s="12"/>
      <x:c r="O15" s="13"/>
      <x:c r="P15" s="12" t="str">
        <x:f>IF(M15&lt;&gt;"",M15,IF(I15="","未実施",I15))</x:f>
        <x:v>未実施</x:v>
      </x:c>
      <x:c r="Q15" s="12" t="str">
        <x:v>根拠B：Mcm1002u2Screen.vb IraisyoHakkoButton_Click／Mcm1002uController.iraisho・Mcm1002uService.saveAll。単体参照：W03。分担：単体の表示・形式・計算を再実施せず、ここは画面・DB・処理間の引継ぎを確認。WebではsaveAll後にdelivery作成・取得へ進む。2001Pの同一トランザクションとは区別。</x:v>
      </x:c>
    </x:row>
  </x:sheetData>
  <x:mergeCells>
    <x:mergeCell ref="A1:Q1"/>
    <x:mergeCell ref="A2:Q2"/>
    <x:mergeCell ref="A3:Q3"/>
  </x:mergeCells>
  <x:dataValidations count="2">
    <x:dataValidation type="list" sqref="I10:I15">
      <x:formula1>"未実施,OK,NG,保留,対象外"</x:formula1>
    </x:dataValidation>
    <x:dataValidation type="list" sqref="M10:M15">
      <x:formula1>"未実施,OK,NG,保留,対象外"</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INT02 依頼登録と一覧帳票 結合テスト仕様書</x:v>
      </x:c>
      <x:c r="B1" s="4"/>
      <x:c r="C1" s="4"/>
      <x:c r="D1" s="4"/>
      <x:c r="E1" s="4"/>
      <x:c r="F1" s="4"/>
      <x:c r="G1" s="4"/>
      <x:c r="H1" s="4"/>
      <x:c r="I1" s="4"/>
      <x:c r="J1" s="4"/>
      <x:c r="K1" s="4"/>
      <x:c r="L1" s="4"/>
      <x:c r="M1" s="4"/>
      <x:c r="N1" s="4"/>
      <x:c r="O1" s="4"/>
      <x:c r="P1" s="4"/>
      <x:c r="Q1" s="4"/>
    </x:row>
    <x:row r="2" ht="42" customHeight="1">
      <x:c r="A2" s="3" t="str">
        <x:v>対象：1002P　根拠：Mcm1003uScreen.vb IraiIchiranSyutsuryokuButton_Click／Mcm1003uController.excelDownload・Mcm1002pController</x:v>
      </x:c>
      <x:c r="B2" s="3"/>
      <x:c r="C2" s="3"/>
      <x:c r="D2" s="3"/>
      <x:c r="E2" s="3"/>
      <x:c r="F2" s="3"/>
      <x:c r="G2" s="3"/>
      <x:c r="H2" s="3"/>
      <x:c r="I2" s="3"/>
      <x:c r="J2" s="3"/>
      <x:c r="K2" s="3"/>
      <x:c r="L2" s="3"/>
      <x:c r="M2" s="3"/>
      <x:c r="N2" s="3"/>
      <x:c r="O2" s="3"/>
      <x:c r="P2" s="3"/>
      <x:c r="Q2" s="3"/>
    </x:row>
    <x:row r="3" ht="32" customHeight="1">
      <x:c r="A3" s="3" t="str">
        <x:v>業務フロー：MCM1002U→MCM1003U→MCM1002P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COUNTA(A10:A14)</x:f>
        <x:v>5</x:v>
      </x:c>
      <x:c r="C6" s="10" t="str">
        <x:v>対象外</x:v>
      </x:c>
      <x:c r="D6" s="10" t="n">
        <x:f>COUNTIF(P10:P14,"対象外")</x:f>
        <x:v>0</x:v>
      </x:c>
      <x:c r="E6" s="10" t="str">
        <x:v>実ケース</x:v>
      </x:c>
      <x:c r="F6" s="10" t="n">
        <x:f>B6-D6</x:f>
        <x:v>5</x:v>
      </x:c>
      <x:c r="G6" s="10" t="str">
        <x:v>完了OK</x:v>
      </x:c>
      <x:c r="H6" s="10" t="n">
        <x:f>COUNTIF(P10:P14,"OK")</x:f>
        <x:v>0</x:v>
      </x:c>
      <x:c r="I6" s="10" t="str">
        <x:v>NG</x:v>
      </x:c>
      <x:c r="J6" s="10" t="n">
        <x:f>COUNTIF(P10:P14,"NG")</x:f>
        <x:v>0</x:v>
      </x:c>
      <x:c r="K6" s="10" t="str">
        <x:v>未完了</x:v>
      </x:c>
      <x:c r="L6" s="10" t="n">
        <x:f>MAX(0,F6-H6-J6)</x:f>
        <x:v>5</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72" customHeight="1">
      <x:c r="A10" s="12" t="str">
        <x:v>INT02-001</x:v>
      </x:c>
      <x:c r="B10" s="12" t="str">
        <x:v>一覧反映</x:v>
      </x:c>
      <x:c r="C10" s="12" t="str">
        <x:v>発行済み依頼を再検索した結果と帳票のキー一致</x:v>
      </x:c>
      <x:c r="D10" s="12" t="str">
        <x:v>MCM1002U→MCM1003U→MCM1002P</x:v>
      </x:c>
      <x:c r="E10" s="12" t="str">
        <x:v>異なる依頼NOの登録済みA/B。片方は依頼状態へ更新した直後。</x:v>
      </x:c>
      <x:c r="F10" s="12" t="str">
        <x:v>1. MCM1003Uで状態依頼と取引先Aを条件に再検索。
2. 依頼一覧出力。
3. 登録後のDB・検索結果・出力依頼NOを比較。</x:v>
      </x:c>
      <x:c r="G10" s="12" t="str">
        <x:v>登録後の状態を満たすAだけが検索結果と帳票にあり、Bを含まない。保存した依頼NO・契約NO・取引先が正しいレコードに対応。</x:v>
      </x:c>
      <x:c r="H10" s="12" t="str">
        <x:v>－</x:v>
      </x:c>
      <x:c r="I10" s="12"/>
      <x:c r="J10" s="12"/>
      <x:c r="K10" s="13"/>
      <x:c r="L10" s="12"/>
      <x:c r="M10" s="12"/>
      <x:c r="N10" s="12"/>
      <x:c r="O10" s="13"/>
      <x:c r="P10" s="12" t="str">
        <x:f>IF(M10&lt;&gt;"",M10,IF(I10="","未実施",I10))</x:f>
        <x:v>未実施</x:v>
      </x:c>
      <x:c r="Q10" s="12" t="str">
        <x:v>根拠B：Mcm1003uScreen.vb IraiIchiranSyutsuryokuButton_Click／Mcm1003uController.excelDownload・Mcm1002pController。単体参照：1002P-4、10。分担：単体の表示・形式・計算を再実施せず、ここは画面・DB・処理間の引継ぎを確認。</x:v>
      </x:c>
    </x:row>
    <x:row r="11" ht="87" customHeight="1">
      <x:c r="A11" s="12" t="str">
        <x:v>INT02-002</x:v>
      </x:c>
      <x:c r="B11" s="12" t="str">
        <x:v>契約連携</x:v>
      </x:c>
      <x:c r="C11" s="12" t="str">
        <x:v>契約へ進んだ依頼の契約NOの伝播</x:v>
      </x:c>
      <x:c r="D11" s="12" t="str">
        <x:v>MCM1002U→MCM1003U→MCM1002P</x:v>
      </x:c>
      <x:c r="E11" s="12" t="str">
        <x:v>見積依頼を元に作成した取引先契約があり、依頼と契約の関連IDを控えられる。</x:v>
      </x:c>
      <x:c r="F11" s="12" t="str">
        <x:v>1. 契約をMCM1005Uで登録。
2. MCM1003Uで同じ依頼を再検索。
3. 依頼一覧出力し契約NOを照合。</x:v>
      </x:c>
      <x:c r="G11" s="12" t="str">
        <x:v>登録された関連契約NOが検索結果・該当依頼行の帳票へ一致して伝播。他の依頼行にその契約NOを混入しない。</x:v>
      </x:c>
      <x:c r="H11" s="12" t="str">
        <x:v>－</x:v>
      </x:c>
      <x:c r="I11" s="12"/>
      <x:c r="J11" s="12"/>
      <x:c r="K11" s="13"/>
      <x:c r="L11" s="12"/>
      <x:c r="M11" s="12"/>
      <x:c r="N11" s="12"/>
      <x:c r="O11" s="13"/>
      <x:c r="P11" s="12" t="str">
        <x:f>IF(M11&lt;&gt;"",M11,IF(I11="","未実施",I11))</x:f>
        <x:v>未実施</x:v>
      </x:c>
      <x:c r="Q11" s="12" t="str">
        <x:v>根拠B：Mcm1003uScreen.vb IraiIchiranSyutsuryokuButton_Click／Mcm1003uController.excelDownload・Mcm1002pController。単体参照：1002P-3、7。分担：単体の表示・形式・計算を再実施せず、ここは画面・DB・処理間の引継ぎを確認。F02の見出し位置の確認は単体。ここは関連契約の値の伝播。</x:v>
      </x:c>
    </x:row>
    <x:row r="12" ht="72" customHeight="1">
      <x:c r="A12" s="12" t="str">
        <x:v>INT02-003</x:v>
      </x:c>
      <x:c r="B12" s="12" t="str">
        <x:v>検索状態</x:v>
      </x:c>
      <x:c r="C12" s="12" t="str">
        <x:v>後続画面で更新後に再検索して帳票を切替</x:v>
      </x:c>
      <x:c r="D12" s="12" t="str">
        <x:v>MCM1002U→MCM1003U→MCM1002P</x:v>
      </x:c>
      <x:c r="E12" s="12" t="str">
        <x:v>MCM1003Uに依頼Aを検索表示。Aを編集可能な作成利用者。</x:v>
      </x:c>
      <x:c r="F12" s="12" t="str">
        <x:v>1. 機器選定へ遷移してAを更新し戻る。
2. 一覧を再検索して依頼一覧出力。
3. 元の値と更新後の値を比較。</x:v>
      </x:c>
      <x:c r="G12" s="12" t="str">
        <x:v>再検索した更新後の結果で出力し、画面遷移前の古い検索データを取得しない。依頼IDは同じで更新した名称・状態が保存結果に対応。</x:v>
      </x:c>
      <x:c r="H12" s="12" t="str">
        <x:v>－</x:v>
      </x:c>
      <x:c r="I12" s="12"/>
      <x:c r="J12" s="12"/>
      <x:c r="K12" s="13"/>
      <x:c r="L12" s="12"/>
      <x:c r="M12" s="12"/>
      <x:c r="N12" s="12"/>
      <x:c r="O12" s="13"/>
      <x:c r="P12" s="12" t="str">
        <x:f>IF(M12&lt;&gt;"",M12,IF(I12="","未実施",I12))</x:f>
        <x:v>未実施</x:v>
      </x:c>
      <x:c r="Q12" s="12" t="str">
        <x:v>根拠B：Mcm1003uScreen.vb IraiIchiranSyutsuryokuButton_Click／Mcm1003uController.excelDownload・Mcm1002pController。単体参照：1002P-6、10。分担：単体の表示・形式・計算を再実施せず、ここは画面・DB・処理間の引継ぎを確認。</x:v>
      </x:c>
    </x:row>
    <x:row r="13" ht="72" customHeight="1">
      <x:c r="A13" s="12" t="str">
        <x:v>INT02-004</x:v>
      </x:c>
      <x:c r="B13" s="12" t="str">
        <x:v>参照結合</x:v>
      </x:c>
      <x:c r="C13" s="12" t="str">
        <x:v>依頼者・回答期日を保存データから引継ぐ</x:v>
      </x:c>
      <x:c r="D13" s="12" t="str">
        <x:v>MCM1002U→MCM1003U→MCM1002P</x:v>
      </x:c>
      <x:c r="E13" s="12" t="str">
        <x:v>異なる依頼者A/Bと回答期日を持つ2依頼。各利用者で登録した実データ。</x:v>
      </x:c>
      <x:c r="F13" s="12" t="str">
        <x:v>1. 依頼情報をそれぞれ保存。
2. 一覧で両依頼を検索して出力。
3. 登録時の利用者・回答期日と取得行を照合。</x:v>
      </x:c>
      <x:c r="G13" s="12" t="str">
        <x:v>画面上にない出力項目も該当依頼の保存情報に対応。ログインした出力利用者の名称や、前の依頼の回答期日を全行へ流用しない。</x:v>
      </x:c>
      <x:c r="H13" s="12" t="str">
        <x:v>－</x:v>
      </x:c>
      <x:c r="I13" s="12"/>
      <x:c r="J13" s="12"/>
      <x:c r="K13" s="13"/>
      <x:c r="L13" s="12"/>
      <x:c r="M13" s="12"/>
      <x:c r="N13" s="12"/>
      <x:c r="O13" s="13"/>
      <x:c r="P13" s="12" t="str">
        <x:f>IF(M13&lt;&gt;"",M13,IF(I13="","未実施",I13))</x:f>
        <x:v>未実施</x:v>
      </x:c>
      <x:c r="Q13" s="12" t="str">
        <x:v>根拠B：Mcm1003uScreen.vb IraiIchiranSyutsuryokuButton_Click／Mcm1003uController.excelDownload・Mcm1002pController。単体参照：1002P-5。分担：単体の表示・形式・計算を再実施せず、ここは画面・DB・処理間の引継ぎを確認。</x:v>
      </x:c>
    </x:row>
    <x:row r="14" ht="102" customHeight="1">
      <x:c r="A14" s="12" t="str">
        <x:v>INT02-005</x:v>
      </x:c>
      <x:c r="B14" s="12" t="str">
        <x:v>0件への切替</x:v>
      </x:c>
      <x:c r="C14" s="12" t="str">
        <x:v>出力成功後の0件再検索で旧依頼一覧を取得しない</x:v>
      </x:c>
      <x:c r="D14" s="12" t="str">
        <x:v>MCM1002U→MCM1003U→MCM1002P</x:v>
      </x:c>
      <x:c r="E14" s="12" t="str">
        <x:v>依頼Aの一覧帳票を取得済み。同じセッションで0件条件と別依頼Bの条件を準備。</x:v>
      </x:c>
      <x:c r="F14" s="12" t="str">
        <x:v>1. Aの帳票を取得。
2. 0件条件で再検索し一覧出力。
3. Bを再検索して出力し、画面・保持結果・取得依頼NOを比較。</x:v>
      </x:c>
      <x:c r="G14" s="12" t="str">
        <x:v>0件通知時にAの帳票を返さない。次のBはBの検索結果だけに対応し、Aの一時データを混入しない。依頼DBは変更しない。</x:v>
      </x:c>
      <x:c r="H14" s="12" t="str">
        <x:v>－</x:v>
      </x:c>
      <x:c r="I14" s="12"/>
      <x:c r="J14" s="12"/>
      <x:c r="K14" s="13"/>
      <x:c r="L14" s="12"/>
      <x:c r="M14" s="12"/>
      <x:c r="N14" s="12"/>
      <x:c r="O14" s="13"/>
      <x:c r="P14" s="12" t="str">
        <x:f>IF(M14&lt;&gt;"",M14,IF(I14="","未実施",I14))</x:f>
        <x:v>未実施</x:v>
      </x:c>
      <x:c r="Q14" s="12" t="str">
        <x:v>根拠B：Mcm1003uScreen.vb IraiIchiranSyutsuryokuButton_Click／Mcm1003uController.excelDownload・Mcm1002pController。単体参照：1002P-10。分担：単体の表示・形式・計算を再実施せず、ここは画面・DB・処理間の引継ぎを確認。Mcm1003uController.search/excelDownloadの一時データ削除。初回0件とは別の成功→0件→再成功の連続操作。</x:v>
      </x:c>
    </x:row>
  </x:sheetData>
  <x:mergeCells>
    <x:mergeCell ref="A1:Q1"/>
    <x:mergeCell ref="A2:Q2"/>
    <x:mergeCell ref="A3:Q3"/>
  </x:mergeCells>
  <x:dataValidations count="2">
    <x:dataValidation type="list" sqref="I10:I14">
      <x:formula1>"未実施,OK,NG,保留,対象外"</x:formula1>
    </x:dataValidation>
    <x:dataValidation type="list" sqref="M10:M14">
      <x:formula1>"未実施,OK,NG,保留,対象外"</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INT03 契約登録と手続依頼 結合テスト仕様書</x:v>
      </x:c>
      <x:c r="B1" s="4"/>
      <x:c r="C1" s="4"/>
      <x:c r="D1" s="4"/>
      <x:c r="E1" s="4"/>
      <x:c r="F1" s="4"/>
      <x:c r="G1" s="4"/>
      <x:c r="H1" s="4"/>
      <x:c r="I1" s="4"/>
      <x:c r="J1" s="4"/>
      <x:c r="K1" s="4"/>
      <x:c r="L1" s="4"/>
      <x:c r="M1" s="4"/>
      <x:c r="N1" s="4"/>
      <x:c r="O1" s="4"/>
      <x:c r="P1" s="4"/>
      <x:c r="Q1" s="4"/>
    </x:row>
    <x:row r="2" ht="42" customHeight="1">
      <x:c r="A2" s="3" t="str">
        <x:v>対象：1003P　根拠：Mcm1005uScreen.vb KeiyakuHakoButton_Click／Mcm1005uController.save・Mcm1005uService.contractReport/checkReport</x:v>
      </x:c>
      <x:c r="B2" s="3"/>
      <x:c r="C2" s="3"/>
      <x:c r="D2" s="3"/>
      <x:c r="E2" s="3"/>
      <x:c r="F2" s="3"/>
      <x:c r="G2" s="3"/>
      <x:c r="H2" s="3"/>
      <x:c r="I2" s="3"/>
      <x:c r="J2" s="3"/>
      <x:c r="K2" s="3"/>
      <x:c r="L2" s="3"/>
      <x:c r="M2" s="3"/>
      <x:c r="N2" s="3"/>
      <x:c r="O2" s="3"/>
      <x:c r="P2" s="3"/>
      <x:c r="Q2" s="3"/>
    </x:row>
    <x:row r="3" ht="32" customHeight="1">
      <x:c r="A3" s="3" t="str">
        <x:v>業務フロー：MCM1003U→MCM1005U↔MCM1006U→MCM1003P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COUNTA(A10:A16)</x:f>
        <x:v>7</x:v>
      </x:c>
      <x:c r="C6" s="10" t="str">
        <x:v>対象外</x:v>
      </x:c>
      <x:c r="D6" s="10" t="n">
        <x:f>COUNTIF(P10:P16,"対象外")</x:f>
        <x:v>0</x:v>
      </x:c>
      <x:c r="E6" s="10" t="str">
        <x:v>実ケース</x:v>
      </x:c>
      <x:c r="F6" s="10" t="n">
        <x:f>B6-D6</x:f>
        <x:v>7</x:v>
      </x:c>
      <x:c r="G6" s="10" t="str">
        <x:v>完了OK</x:v>
      </x:c>
      <x:c r="H6" s="10" t="n">
        <x:f>COUNTIF(P10:P16,"OK")</x:f>
        <x:v>0</x:v>
      </x:c>
      <x:c r="I6" s="10" t="str">
        <x:v>NG</x:v>
      </x:c>
      <x:c r="J6" s="10" t="n">
        <x:f>COUNTIF(P10:P16,"NG")</x:f>
        <x:v>0</x:v>
      </x:c>
      <x:c r="K6" s="10" t="str">
        <x:v>未完了</x:v>
      </x:c>
      <x:c r="L6" s="10" t="n">
        <x:f>MAX(0,F6-H6-J6)</x:f>
        <x:v>7</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87" customHeight="1">
      <x:c r="A10" s="12" t="str">
        <x:v>INT03-001</x:v>
      </x:c>
      <x:c r="B10" s="12" t="str">
        <x:v>画面引継ぎ</x:v>
      </x:c>
      <x:c r="C10" s="12" t="str">
        <x:v>機器設定から戻った変更を登録後の依頼書に反映</x:v>
      </x:c>
      <x:c r="D10" s="12" t="str">
        <x:v>MCM1003U→MCM1005U↔MCM1006U→MCM1003P</x:v>
      </x:c>
      <x:c r="E10" s="12" t="str">
        <x:v>更新可能な契約Aの選択期間。機器A数量1。別契約Bが存在。</x:v>
      </x:c>
      <x:c r="F10" s="12" t="str">
        <x:v>1. AをMCM1005Uで開き機器設定へ。
2. MCM1006Uで数量2へ変更して戻る。
3. 契約発行の登録を行い取得。
4. 契約を再表示しDB・帳票を照合。</x:v>
      </x:c>
      <x:c r="G10" s="12" t="str">
        <x:v>機器設定から戻った数量2がAの選択期間に保存され、契約内容・機器明細・依頼書に対応。Bや別期間へ更新をしない。</x:v>
      </x:c>
      <x:c r="H10" s="12" t="str">
        <x:v>－</x:v>
      </x:c>
      <x:c r="I10" s="12"/>
      <x:c r="J10" s="12"/>
      <x:c r="K10" s="13"/>
      <x:c r="L10" s="12"/>
      <x:c r="M10" s="12"/>
      <x:c r="N10" s="12"/>
      <x:c r="O10" s="13"/>
      <x:c r="P10" s="12" t="str">
        <x:f>IF(M10&lt;&gt;"",M10,IF(I10="","未実施",I10))</x:f>
        <x:v>未実施</x:v>
      </x:c>
      <x:c r="Q10" s="12" t="str">
        <x:v>根拠B：Mcm1005uScreen.vb KeiyakuHakoButton_Click／Mcm1005uController.save・Mcm1005uService.contractReport/checkReport。単体参照：1003P-15。分担：単体の表示・形式・計算を再実施せず、ここは画面・DB・処理間の引継ぎを確認。下書きの登録とreportPeriodIdの引継ぎを確認。</x:v>
      </x:c>
    </x:row>
    <x:row r="11" ht="72" customHeight="1">
      <x:c r="A11" s="12" t="str">
        <x:v>INT03-002</x:v>
      </x:c>
      <x:c r="B11" s="12" t="str">
        <x:v>期間更新</x:v>
      </x:c>
      <x:c r="C11" s="12" t="str">
        <x:v>新しい期間の保存と直前有効期間の比較</x:v>
      </x:c>
      <x:c r="D11" s="12" t="str">
        <x:v>MCM1003U→MCM1005U↔MCM1006U→MCM1003P</x:v>
      </x:c>
      <x:c r="E11" s="12" t="str">
        <x:v>有効な旧期間A、無効期間X、新期間Bを持つ1契約。旧機器1、新機器2。</x:v>
      </x:c>
      <x:c r="F11" s="12" t="str">
        <x:v>1. 新期間Bを機器設定から登録。
2. Bを選択して契約発行。
3. 保存済みA/B明細と更新依頼書を照合。</x:v>
      </x:c>
      <x:c r="G11" s="12" t="str">
        <x:v>契約側はB、旧契約の比較元は直前有効A。無効Xや別契約の期間を使用しない。機器の増減行が両期間の保存済み構成に対応。</x:v>
      </x:c>
      <x:c r="H11" s="12" t="str">
        <x:v>－</x:v>
      </x:c>
      <x:c r="I11" s="12"/>
      <x:c r="J11" s="12"/>
      <x:c r="K11" s="13"/>
      <x:c r="L11" s="12"/>
      <x:c r="M11" s="12"/>
      <x:c r="N11" s="12"/>
      <x:c r="O11" s="13"/>
      <x:c r="P11" s="12" t="str">
        <x:f>IF(M11&lt;&gt;"",M11,IF(I11="","未実施",I11))</x:f>
        <x:v>未実施</x:v>
      </x:c>
      <x:c r="Q11" s="12" t="str">
        <x:v>根拠B：Mcm1005uScreen.vb KeiyakuHakoButton_Click／Mcm1005uController.save・Mcm1005uService.contractReport/checkReport。単体参照：1003P-14、17〜21。分担：単体の表示・形式・計算を再実施せず、ここは画面・DB・処理間の引継ぎを確認。</x:v>
      </x:c>
    </x:row>
    <x:row r="12" ht="87" customHeight="1">
      <x:c r="A12" s="12" t="str">
        <x:v>INT03-003</x:v>
      </x:c>
      <x:c r="B12" s="12" t="str">
        <x:v>解約連携</x:v>
      </x:c>
      <x:c r="C12" s="12" t="str">
        <x:v>契約状態で入力した解約日を解約依頼書へ反映</x:v>
      </x:c>
      <x:c r="D12" s="12" t="str">
        <x:v>MCM1003U→MCM1005U↔MCM1006U→MCM1003P</x:v>
      </x:c>
      <x:c r="E12" s="12" t="str">
        <x:v>状態「契約」で編集可能な取引先契約、作成権限。審査中・承認中ではなく、MCM1005Uで解約日を入力できる。</x:v>
      </x:c>
      <x:c r="F12" s="12" t="str">
        <x:v>1. MCM1005Uで対象期間を選び解約日を入力。
2. 状態を先に「解約」へ変更せず「契約発行」。
3. 保存済み解約日・期間・支払条件と解約依頼書を照合。
4. 別途、既に状態「解約」の契約は通常発行が禁止されることを確認。</x:v>
      </x:c>
      <x:c r="G12" s="12" t="str">
        <x:v>編集可能な契約で解約日を入力・保存した場合は、その契約・期間の解約区分で出力。解約日ありでは承認済み添付による通常再発行制限を適用しない。既に状態「解約」の契約は通常発行不可。管理者解除を通常操作に混ぜない。</x:v>
      </x:c>
      <x:c r="H12" s="12" t="str">
        <x:v>－</x:v>
      </x:c>
      <x:c r="I12" s="12"/>
      <x:c r="J12" s="12"/>
      <x:c r="K12" s="13"/>
      <x:c r="L12" s="12"/>
      <x:c r="M12" s="12"/>
      <x:c r="N12" s="12"/>
      <x:c r="O12" s="13"/>
      <x:c r="P12" s="12" t="str">
        <x:f>IF(M12&lt;&gt;"",M12,IF(I12="","未実施",I12))</x:f>
        <x:v>未実施</x:v>
      </x:c>
      <x:c r="Q12" s="12" t="str">
        <x:v>根拠：VB KeiyakuHakoButton_Click 1052行・setChohyo 1337行、Web save/checkReport/contractReport/canEditDetails。解約日入力と状態「解約」は別条件。通常の解約出力経路を確定。単体1003P-6・13・28。</x:v>
      </x:c>
    </x:row>
    <x:row r="13" ht="87" customHeight="1">
      <x:c r="A13" s="12" t="str">
        <x:v>INT03-004</x:v>
      </x:c>
      <x:c r="B13" s="12" t="str">
        <x:v>承認連携</x:v>
      </x:c>
      <x:c r="C13" s="12" t="str">
        <x:v>承認済み添付のある期間を再発行しない</x:v>
      </x:c>
      <x:c r="D13" s="12" t="str">
        <x:v>MCM1003U→MCM1005U↔MCM1006U→MCM1003P</x:v>
      </x:c>
      <x:c r="E13" s="12" t="str">
        <x:v>編集可能な契約で解約日未入力。期間Bに手続依頼書を添付・申請しMCM1011Uで承認できる。別の発行可能な未承認期間Cを用意。保存先の実アクセスだけQ02を確認。</x:v>
      </x:c>
      <x:c r="F13" s="12" t="str">
        <x:v>1. 発行帳票を期間Bに添付して申請。
2. 権限のある別利用者が審査・承認。
3. 契約内容へ戻り、承認済みのBで再発行を試す。
4. 未承認期間Cでも発行し、Bの添付でCを誤拒否しないことを確認。</x:v>
      </x:c>
      <x:c r="G13" s="12" t="str">
        <x:v>承認済み添付と承認状態の保存が再表示へ反映され、Bの再発行を拒否。他の未承認期間を誤ってBの添付で拒否しない。</x:v>
      </x:c>
      <x:c r="H13" s="12" t="str">
        <x:v>承認済みな契約手続依頼書が存在する為、再発行できません。期間タブを作成し直して下さい。</x:v>
      </x:c>
      <x:c r="I13" s="12"/>
      <x:c r="J13" s="12"/>
      <x:c r="K13" s="13"/>
      <x:c r="L13" s="12"/>
      <x:c r="M13" s="12"/>
      <x:c r="N13" s="12"/>
      <x:c r="O13" s="13"/>
      <x:c r="P13" s="12" t="str">
        <x:f>IF(M13&lt;&gt;"",M13,IF(I13="","未実施",I13))</x:f>
        <x:v>未実施</x:v>
      </x:c>
      <x:c r="Q13" s="12" t="str">
        <x:v>根拠：VB KeiyakuHakoButton_Click、Web checkReport。解約日なし＋選択期間の承認済み添付ありで拒否。添付→申請→MCM1011U審査・承認→再表示を実施。単体1003P-26。</x:v>
      </x:c>
    </x:row>
    <x:row r="14" ht="87" customHeight="1">
      <x:c r="A14" s="12" t="str">
        <x:v>INT03-005</x:v>
      </x:c>
      <x:c r="B14" s="12" t="str">
        <x:v>キー整合</x:v>
      </x:c>
      <x:c r="C14" s="12" t="str">
        <x:v>別契約の期間IDを混ぜた要求を受け付けない</x:v>
      </x:c>
      <x:c r="D14" s="12" t="str">
        <x:v>MCM1003U→MCM1005U↔MCM1006U→MCM1003P</x:v>
      </x:c>
      <x:c r="E14" s="12" t="str">
        <x:v>開発者テスト。契約A/Bを正規画面で登録し各期間IDを控える。</x:v>
      </x:c>
      <x:c r="F14" s="12" t="str">
        <x:v>1. Aの契約発行要求にBの期間IDだけを入れて送る。
2. 応答・保存済みA/B・添付を確認。</x:v>
      </x:c>
      <x:c r="G14" s="12" t="str">
        <x:v>Bの依頼書をAの操作として返さない。保存・状態変更・添付追加を行わず、不整合を通知。DBの親子所属をサーバ側で検査。</x:v>
      </x:c>
      <x:c r="H14" s="12" t="str">
        <x:v>－</x:v>
      </x:c>
      <x:c r="I14" s="12"/>
      <x:c r="J14" s="12"/>
      <x:c r="K14" s="13"/>
      <x:c r="L14" s="12"/>
      <x:c r="M14" s="12"/>
      <x:c r="N14" s="12"/>
      <x:c r="O14" s="13"/>
      <x:c r="P14" s="12" t="str">
        <x:f>IF(M14&lt;&gt;"",M14,IF(I14="","未実施",I14))</x:f>
        <x:v>未実施</x:v>
      </x:c>
      <x:c r="Q14" s="12" t="str">
        <x:v>根拠B：Mcm1005uScreen.vb KeiyakuHakoButton_Click／Mcm1005uController.save・Mcm1005uService.contractReport/checkReport。単体参照：1003P-31。分担：単体の表示・形式・計算を再実施せず、ここは画面・DB・処理間の引継ぎを確認。checkReportの契約所属検査。単体のボタン非活性では検出できない境界。</x:v>
      </x:c>
    </x:row>
    <x:row r="15" ht="87" customHeight="1">
      <x:c r="A15" s="12" t="str">
        <x:v>INT03-006</x:v>
      </x:c>
      <x:c r="B15" s="12" t="str">
        <x:v>保存の失敗</x:v>
      </x:c>
      <x:c r="C15" s="12" t="str">
        <x:v>機器設定の登録途中失敗で発行へ進まない</x:v>
      </x:c>
      <x:c r="D15" s="12" t="str">
        <x:v>MCM1003U→MCM1005U↔MCM1006U→MCM1003P</x:v>
      </x:c>
      <x:c r="E15" s="12" t="str">
        <x:v>開発者テスト。機器変更の保存トランザクション内で子明細保存後にRuntimeException。</x:v>
      </x:c>
      <x:c r="F15" s="12" t="str">
        <x:v>1. 機器設定から変更を戻して契約発行。
2. 保存途中で例外を発生。
3. 契約・期間・機器・支払・点検を再表示とDBで比較。</x:v>
      </x:c>
      <x:c r="G15" s="12" t="str">
        <x:v>変更前の親子・支払・点検を維持し、reportPeriodIdによる後続取得を正常に進めない。復旧後、同じ編集内容を改めて登録できる。</x:v>
      </x:c>
      <x:c r="H15" s="12" t="str">
        <x:v>－</x:v>
      </x:c>
      <x:c r="I15" s="12"/>
      <x:c r="J15" s="12"/>
      <x:c r="K15" s="13"/>
      <x:c r="L15" s="12"/>
      <x:c r="M15" s="12"/>
      <x:c r="N15" s="12"/>
      <x:c r="O15" s="13"/>
      <x:c r="P15" s="12" t="str">
        <x:f>IF(M15&lt;&gt;"",M15,IF(I15="","未実施",I15))</x:f>
        <x:v>未実施</x:v>
      </x:c>
      <x:c r="Q15" s="12" t="str">
        <x:v>根拠B：Mcm1005uScreen.vb KeiyakuHakoButton_Click／Mcm1005uController.save・Mcm1005uService.contractReport/checkReport。単体参照：W03。分担：単体の表示・形式・計算を再実施せず、ここは画面・DB・処理間の引継ぎを確認。saveDraft／saveのrollbackForとControllerの取得引継ぎ。</x:v>
      </x:c>
    </x:row>
    <x:row r="16" ht="102" customHeight="1">
      <x:c r="A16" s="12" t="str">
        <x:v>INT03-007</x:v>
      </x:c>
      <x:c r="B16" s="12" t="str">
        <x:v>保存後の復旧</x:v>
      </x:c>
      <x:c r="C16" s="12" t="str">
        <x:v>契約保存後の生成失敗でも保存済み期間を維持する</x:v>
      </x:c>
      <x:c r="D16" s="12" t="str">
        <x:v>MCM1003U→MCM1005U↔MCM1006U→MCM1003P</x:v>
      </x:c>
      <x:c r="E16" s="12" t="str">
        <x:v>開発者テスト。契約発行時の保存正常終了後、Mcm1005uController.contractReportの生成段階だけで例外を1回発生。</x:v>
      </x:c>
      <x:c r="F16" s="12" t="str">
        <x:v>1. 数量・支払条件を変更して契約発行し、保存後の取得だけ失敗。
2. 一覧から契約と対象期間を再表示。
3. フック解除後に同じ契約・期間を正規操作で再発行し親子キーと帳票を照合。</x:v>
      </x:c>
      <x:c r="G16" s="12" t="str">
        <x:v>コミット済みの契約・期間・明細は維持。失敗した取得を成功として扱わず、復旧後に契約や期間を重複追加しない。帳票は保存済み期間に対応。</x:v>
      </x:c>
      <x:c r="H16" s="12" t="str">
        <x:v>－</x:v>
      </x:c>
      <x:c r="I16" s="12"/>
      <x:c r="J16" s="12"/>
      <x:c r="K16" s="13"/>
      <x:c r="L16" s="12"/>
      <x:c r="M16" s="12"/>
      <x:c r="N16" s="12"/>
      <x:c r="O16" s="13"/>
      <x:c r="P16" s="12" t="str">
        <x:f>IF(M16&lt;&gt;"",M16,IF(I16="","未実施",I16))</x:f>
        <x:v>未実施</x:v>
      </x:c>
      <x:c r="Q16" s="12" t="str">
        <x:v>根拠B：Mcm1005uScreen.vb KeiyakuHakoButton_Click／Mcm1005uController.save・Mcm1005uService.contractReport/checkReport。単体参照：W03。分担：単体の表示・形式・計算を再実施せず、ここは画面・DB・処理間の引継ぎを確認。save→別GET /mcm1005u/report、contractReportはreadOnly。INT03-006の保存途中ロールバックとは境界が異なる。</x:v>
      </x:c>
    </x:row>
  </x:sheetData>
  <x:mergeCells>
    <x:mergeCell ref="A1:Q1"/>
    <x:mergeCell ref="A2:Q2"/>
    <x:mergeCell ref="A3:Q3"/>
  </x:mergeCells>
  <x:dataValidations count="2">
    <x:dataValidation type="list" sqref="I10:I16">
      <x:formula1>"未実施,OK,NG,保留,対象外"</x:formula1>
    </x:dataValidation>
    <x:dataValidation type="list" sqref="M10:M16">
      <x:formula1>"未実施,OK,NG,保留,対象外"</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INT04 DTS情報と一覧出力 結合テスト仕様書</x:v>
      </x:c>
      <x:c r="B1" s="4"/>
      <x:c r="C1" s="4"/>
      <x:c r="D1" s="4"/>
      <x:c r="E1" s="4"/>
      <x:c r="F1" s="4"/>
      <x:c r="G1" s="4"/>
      <x:c r="H1" s="4"/>
      <x:c r="I1" s="4"/>
      <x:c r="J1" s="4"/>
      <x:c r="K1" s="4"/>
      <x:c r="L1" s="4"/>
      <x:c r="M1" s="4"/>
      <x:c r="N1" s="4"/>
      <x:c r="O1" s="4"/>
      <x:c r="P1" s="4"/>
      <x:c r="Q1" s="4"/>
    </x:row>
    <x:row r="2" ht="42" customHeight="1">
      <x:c r="A2" s="3" t="str">
        <x:v>対象：0001P　根拠：Mcm0020uScreen.vb ErrorListOutputButton_Click／Mcm0020uService.searchDtslog/searchGenzaijotai・Mcm0001pController</x:v>
      </x:c>
      <x:c r="B2" s="3"/>
      <x:c r="C2" s="3"/>
      <x:c r="D2" s="3"/>
      <x:c r="E2" s="3"/>
      <x:c r="F2" s="3"/>
      <x:c r="G2" s="3"/>
      <x:c r="H2" s="3"/>
      <x:c r="I2" s="3"/>
      <x:c r="J2" s="3"/>
      <x:c r="K2" s="3"/>
      <x:c r="L2" s="3"/>
      <x:c r="M2" s="3"/>
      <x:c r="N2" s="3"/>
      <x:c r="O2" s="3"/>
      <x:c r="P2" s="3"/>
      <x:c r="Q2" s="3"/>
    </x:row>
    <x:row r="3" ht="32" customHeight="1">
      <x:c r="A3" s="3" t="str">
        <x:v>業務フロー：DTS関連マスタ／ログ→MCM0020U→MCM0001P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COUNTA(A10:A13)</x:f>
        <x:v>4</x:v>
      </x:c>
      <x:c r="C6" s="10" t="str">
        <x:v>対象外</x:v>
      </x:c>
      <x:c r="D6" s="10" t="n">
        <x:f>COUNTIF(P10:P13,"対象外")</x:f>
        <x:v>0</x:v>
      </x:c>
      <x:c r="E6" s="10" t="str">
        <x:v>実ケース</x:v>
      </x:c>
      <x:c r="F6" s="10" t="n">
        <x:f>B6-D6</x:f>
        <x:v>4</x:v>
      </x:c>
      <x:c r="G6" s="10" t="str">
        <x:v>完了OK</x:v>
      </x:c>
      <x:c r="H6" s="10" t="n">
        <x:f>COUNTIF(P10:P13,"OK")</x:f>
        <x:v>0</x:v>
      </x:c>
      <x:c r="I6" s="10" t="str">
        <x:v>NG</x:v>
      </x:c>
      <x:c r="J6" s="10" t="n">
        <x:f>COUNTIF(P10:P13,"NG")</x:f>
        <x:v>0</x:v>
      </x:c>
      <x:c r="K6" s="10" t="str">
        <x:v>未完了</x:v>
      </x:c>
      <x:c r="L6" s="10" t="n">
        <x:f>MAX(0,F6-H6-J6)</x:f>
        <x:v>4</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87" customHeight="1">
      <x:c r="A10" s="12" t="str">
        <x:v>INT04-001</x:v>
      </x:c>
      <x:c r="B10" s="12" t="str">
        <x:v>ログ連携</x:v>
      </x:c>
      <x:c r="C10" s="12" t="str">
        <x:v>処理済みDTSログのキーを検索と出力で照合</x:v>
      </x:c>
      <x:c r="D10" s="12" t="str">
        <x:v>DTS関連マスタ／ログ→MCM0020U→MCM0001P</x:v>
      </x:c>
      <x:c r="E10" s="12" t="str">
        <x:v>検証環境に正常・エラーそれぞれのDTS処理済みログが存在。採取元の実処理・日時を管理者が記録。</x:v>
      </x:c>
      <x:c r="F10" s="12" t="str">
        <x:v>1. 管理者が該当ログの日時・納入先コード・サポートIDを控える。
2. MCM0020Uでその日付・対象条件を検索。
3. Excel出力し処理ログと照合。</x:v>
      </x:c>
      <x:c r="G10" s="12" t="str">
        <x:v>DTS処理が残した対象ログと一覧・帳票の日時／キー／内容が対応。他処理のログを混入しない。MCM_MA_DTSLOGの保存情報から取得までを照合。</x:v>
      </x:c>
      <x:c r="H10" s="12" t="str">
        <x:v>－</x:v>
      </x:c>
      <x:c r="I10" s="12"/>
      <x:c r="J10" s="12"/>
      <x:c r="K10" s="13"/>
      <x:c r="L10" s="12"/>
      <x:c r="M10" s="12"/>
      <x:c r="N10" s="12"/>
      <x:c r="O10" s="13"/>
      <x:c r="P10" s="12" t="str">
        <x:f>IF(M10&lt;&gt;"",M10,IF(I10="","未実施",I10))</x:f>
        <x:v>未実施</x:v>
      </x:c>
      <x:c r="Q10" s="12" t="str">
        <x:v>根拠B：Mcm0020uScreen.vb ErrorListOutputButton_Click／Mcm0020uService.searchDtslog/searchGenzaijotai・Mcm0001pController。単体参照：0001P-4。分担：単体の表示・形式・計算を再実施せず、ここは画面・DB・処理間の引継ぎを確認。Q01：DTS実処理の起動方法と検証用データの準備。外部DTS接続自体の仕様確定は本ケースの前提。</x:v>
      </x:c>
    </x:row>
    <x:row r="11" ht="87" customHeight="1">
      <x:c r="A11" s="12" t="str">
        <x:v>INT04-002</x:v>
      </x:c>
      <x:c r="B11" s="12" t="str">
        <x:v>マスタ結合</x:v>
      </x:c>
      <x:c r="C11" s="12" t="str">
        <x:v>現状エラー判定を納入先・プラントの関係から照合</x:v>
      </x:c>
      <x:c r="D11" s="12" t="str">
        <x:v>DTS関連マスタ／ログ→MCM0020U→MCM0001P</x:v>
      </x:c>
      <x:c r="E11" s="12" t="str">
        <x:v>機器構成ありでDTSプラント未登録のプラントA、DTS登録済みB。正規マスタ整備手順で準備。</x:v>
      </x:c>
      <x:c r="F11" s="12" t="str">
        <x:v>1. A/Bの納入先・プラント・機器構成・DTSプラントの関連を控える。
2. MCM0020Uの現在状態を検索・Excel出力。</x:v>
      </x:c>
      <x:c r="G11" s="12" t="str">
        <x:v>Aだけが現状の未連携対象として一覧と帳票に現れ、Bは未登録として出ない。納入先コード・プラント名・サポートIDが同じ親子に属する。</x:v>
      </x:c>
      <x:c r="H11" s="12" t="str">
        <x:v>－</x:v>
      </x:c>
      <x:c r="I11" s="12"/>
      <x:c r="J11" s="12"/>
      <x:c r="K11" s="13"/>
      <x:c r="L11" s="12"/>
      <x:c r="M11" s="12"/>
      <x:c r="N11" s="12"/>
      <x:c r="O11" s="13"/>
      <x:c r="P11" s="12" t="str">
        <x:f>IF(M11&lt;&gt;"",M11,IF(I11="","未実施",I11))</x:f>
        <x:v>未実施</x:v>
      </x:c>
      <x:c r="Q11" s="12" t="str">
        <x:v>根拠B：Mcm0020uScreen.vb ErrorListOutputButton_Click／Mcm0020uService.searchDtslog/searchGenzaijotai・Mcm0001pController。単体参照：0001P-6。分担：単体の表示・形式・計算を再実施せず、ここは画面・DB・処理間の引継ぎを確認。Mcm0020uServiceのEXISTS機器構成・NOT EXISTS DTSプラント。画面での準備経路はQ03。</x:v>
      </x:c>
    </x:row>
    <x:row r="12" ht="87" customHeight="1">
      <x:c r="A12" s="12" t="str">
        <x:v>INT04-003</x:v>
      </x:c>
      <x:c r="B12" s="12" t="str">
        <x:v>更新の反映</x:v>
      </x:c>
      <x:c r="C12" s="12" t="str">
        <x:v>マスタ整備後の再検索で現状エラーが解消する</x:v>
      </x:c>
      <x:c r="D12" s="12" t="str">
        <x:v>DTS関連マスタ／ログ→MCM0020U→MCM0001P</x:v>
      </x:c>
      <x:c r="E12" s="12" t="str">
        <x:v>前ケースの未連携Aを管理者が正規手順でDTS登録へ整備できる。</x:v>
      </x:c>
      <x:c r="F12" s="12" t="str">
        <x:v>1. AのDTSプラント登録を完了。
2. MCM0020Uの現在状態を再検索。
3. Excel出力し別の未連携対象と比較。</x:v>
      </x:c>
      <x:c r="G12" s="12" t="str">
        <x:v>整備したAは現在状態の未連携結果から外れ、残る未連携対象だけを出力。過去ログは削除せず、現在状態と過去ログを混同しない。</x:v>
      </x:c>
      <x:c r="H12" s="12" t="str">
        <x:v>－</x:v>
      </x:c>
      <x:c r="I12" s="12"/>
      <x:c r="J12" s="12"/>
      <x:c r="K12" s="13"/>
      <x:c r="L12" s="12"/>
      <x:c r="M12" s="12"/>
      <x:c r="N12" s="12"/>
      <x:c r="O12" s="13"/>
      <x:c r="P12" s="12" t="str">
        <x:f>IF(M12&lt;&gt;"",M12,IF(I12="","未実施",I12))</x:f>
        <x:v>未実施</x:v>
      </x:c>
      <x:c r="Q12" s="12" t="str">
        <x:v>根拠B：Mcm0020uScreen.vb ErrorListOutputButton_Click／Mcm0020uService.searchDtslog/searchGenzaijotai・Mcm0001pController。単体参照：0001P-4、6。分担：単体の表示・形式・計算を再実施せず、ここは画面・DB・処理間の引継ぎを確認。DTSマスタ整備方法が未確定なら保留。DB直接編集の可否そのものを試すケースではない。</x:v>
      </x:c>
    </x:row>
    <x:row r="13" ht="102" customHeight="1">
      <x:c r="A13" s="12" t="str">
        <x:v>INT04-004</x:v>
      </x:c>
      <x:c r="B13" s="12" t="str">
        <x:v>検索状態の分離</x:v>
      </x:c>
      <x:c r="C13" s="12" t="str">
        <x:v>同じ利用者の別タブでDTS検索結果を取り違えない</x:v>
      </x:c>
      <x:c r="D13" s="12" t="str">
        <x:v>DTS関連マスタ／ログ→MCM0020U→MCM0001P</x:v>
      </x:c>
      <x:c r="E13" s="12" t="str">
        <x:v>同じログインのブラウザタブA/B。実ログから異なる日付・納入先の対象を準備。各検索状態IDを控える。</x:v>
      </x:c>
      <x:c r="F13" s="12" t="str">
        <x:v>1. タブAで対象Aを検索。
2. タブBで対象Bを検索。
3. 各タブから出力し画面結果・状態ID・ログキーを照合。</x:v>
      </x:c>
      <x:c r="G13" s="12" t="str">
        <x:v>各出力は要求した検索状態のスナップショットに対応し、後から検索した別タブの結果で上書きしない。状態が失効したら再検索を案内し他タブの帳票で代用しない。</x:v>
      </x:c>
      <x:c r="H13" s="12" t="str">
        <x:v>－</x:v>
      </x:c>
      <x:c r="I13" s="12"/>
      <x:c r="J13" s="12"/>
      <x:c r="K13" s="13"/>
      <x:c r="L13" s="12"/>
      <x:c r="M13" s="12"/>
      <x:c r="N13" s="12"/>
      <x:c r="O13" s="13"/>
      <x:c r="P13" s="12" t="str">
        <x:f>IF(M13&lt;&gt;"",M13,IF(I13="","未実施",I13))</x:f>
        <x:v>未実施</x:v>
      </x:c>
      <x:c r="Q13" s="12" t="str">
        <x:v>根拠B：Mcm0020uScreen.vb ErrorListOutputButton_Click／Mcm0020uService.searchDtslog/searchGenzaijotai・Mcm0001pController。単体参照：0001P-14。分担：単体の表示・形式・計算を再実施せず、ここは画面・DB・処理間の引継ぎを確認。Mcm0020uSearchState.findとMcm0001pController.download(state)。実ログ→別タブ検索→状態別取得の一連を確認。</x:v>
      </x:c>
    </x:row>
  </x:sheetData>
  <x:mergeCells>
    <x:mergeCell ref="A1:Q1"/>
    <x:mergeCell ref="A2:Q2"/>
    <x:mergeCell ref="A3:Q3"/>
  </x:mergeCells>
  <x:dataValidations count="2">
    <x:dataValidation type="list" sqref="I10:I13">
      <x:formula1>"未実施,OK,NG,保留,対象外"</x:formula1>
    </x:dataValidation>
    <x:dataValidation type="list" sqref="M10:M13">
      <x:formula1>"未実施,OK,NG,保留,対象外"</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INT05 店舗見積の保存と発行 結合テスト仕様書</x:v>
      </x:c>
      <x:c r="B1" s="4"/>
      <x:c r="C1" s="4"/>
      <x:c r="D1" s="4"/>
      <x:c r="E1" s="4"/>
      <x:c r="F1" s="4"/>
      <x:c r="G1" s="4"/>
      <x:c r="H1" s="4"/>
      <x:c r="I1" s="4"/>
      <x:c r="J1" s="4"/>
      <x:c r="K1" s="4"/>
      <x:c r="L1" s="4"/>
      <x:c r="M1" s="4"/>
      <x:c r="N1" s="4"/>
      <x:c r="O1" s="4"/>
      <x:c r="P1" s="4"/>
      <x:c r="Q1" s="4"/>
    </x:row>
    <x:row r="2" ht="42" customHeight="1">
      <x:c r="A2" s="3" t="str">
        <x:v>対象：2001P　根拠：Mcm2003uScreen.vb HakkoButton_Click／Mcm2003uService.publish・Mcm2001pController.Report/download</x:v>
      </x:c>
      <x:c r="B2" s="3"/>
      <x:c r="C2" s="3"/>
      <x:c r="D2" s="3"/>
      <x:c r="E2" s="3"/>
      <x:c r="F2" s="3"/>
      <x:c r="G2" s="3"/>
      <x:c r="H2" s="3"/>
      <x:c r="I2" s="3"/>
      <x:c r="J2" s="3"/>
      <x:c r="K2" s="3"/>
      <x:c r="L2" s="3"/>
      <x:c r="M2" s="3"/>
      <x:c r="N2" s="3"/>
      <x:c r="O2" s="3"/>
      <x:c r="P2" s="3"/>
      <x:c r="Q2" s="3"/>
    </x:row>
    <x:row r="3" ht="32" customHeight="1">
      <x:c r="A3" s="3" t="str">
        <x:v>業務フロー：MCM2004U→MCM2003U／機器選定→MCM2001P→MCM2004U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COUNTA(A10:A14)</x:f>
        <x:v>5</x:v>
      </x:c>
      <x:c r="C6" s="10" t="str">
        <x:v>対象外</x:v>
      </x:c>
      <x:c r="D6" s="10" t="n">
        <x:f>COUNTIF(P10:P14,"対象外")</x:f>
        <x:v>0</x:v>
      </x:c>
      <x:c r="E6" s="10" t="str">
        <x:v>実ケース</x:v>
      </x:c>
      <x:c r="F6" s="10" t="n">
        <x:f>B6-D6</x:f>
        <x:v>5</x:v>
      </x:c>
      <x:c r="G6" s="10" t="str">
        <x:v>完了OK</x:v>
      </x:c>
      <x:c r="H6" s="10" t="n">
        <x:f>COUNTIF(P10:P14,"OK")</x:f>
        <x:v>0</x:v>
      </x:c>
      <x:c r="I6" s="10" t="str">
        <x:v>NG</x:v>
      </x:c>
      <x:c r="J6" s="10" t="n">
        <x:f>COUNTIF(P10:P14,"NG")</x:f>
        <x:v>0</x:v>
      </x:c>
      <x:c r="K6" s="10" t="str">
        <x:v>未完了</x:v>
      </x:c>
      <x:c r="L6" s="10" t="n">
        <x:f>MAX(0,F6-H6-J6)</x:f>
        <x:v>5</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72" customHeight="1">
      <x:c r="A10" s="12" t="str">
        <x:v>INT05-001</x:v>
      </x:c>
      <x:c r="B10" s="12" t="str">
        <x:v>保存・状態</x:v>
      </x:c>
      <x:c r="C10" s="12" t="str">
        <x:v>発行時の登録値を帳票と再検索で照合</x:v>
      </x:c>
      <x:c r="D10" s="12" t="str">
        <x:v>MCM2004U→MCM2003U／機器選定→MCM2001P→MCM2004U</x:v>
      </x:c>
      <x:c r="E10" s="12" t="str">
        <x:v>作成中の店舗見積A、発行可能な利用者。見積有効期限と見積条件を変更。</x:v>
      </x:c>
      <x:c r="F10" s="12" t="str">
        <x:v>1. MCM2004UからAを基本設定で開く。
2. 有効期限・条件を変更して見積発行。
3. 帳票取得後に一覧で再検索し再表示。</x:v>
      </x:c>
      <x:c r="G10" s="12" t="str">
        <x:v>発行した同じ見積NOの保存値が基本設定・帳票へ一致。状態は作成中から見積へ変わり、一覧に反映。別見積への更新がない。</x:v>
      </x:c>
      <x:c r="H10" s="12" t="str">
        <x:v>－</x:v>
      </x:c>
      <x:c r="I10" s="12"/>
      <x:c r="J10" s="12"/>
      <x:c r="K10" s="13"/>
      <x:c r="L10" s="12"/>
      <x:c r="M10" s="12"/>
      <x:c r="N10" s="12"/>
      <x:c r="O10" s="13"/>
      <x:c r="P10" s="12" t="str">
        <x:f>IF(M10&lt;&gt;"",M10,IF(I10="","未実施",I10))</x:f>
        <x:v>未実施</x:v>
      </x:c>
      <x:c r="Q10" s="12" t="str">
        <x:v>根拠B：Mcm2003uScreen.vb HakkoButton_Click／Mcm2003uService.publish・Mcm2001pController.Report/download。単体参照：2001P-38、39。分担：単体の表示・形式・計算を再実施せず、ここは画面・DB・処理間の引継ぎを確認。</x:v>
      </x:c>
    </x:row>
    <x:row r="11" ht="87" customHeight="1">
      <x:c r="A11" s="12" t="str">
        <x:v>INT05-002</x:v>
      </x:c>
      <x:c r="B11" s="12" t="str">
        <x:v>明細連携</x:v>
      </x:c>
      <x:c r="C11" s="12" t="str">
        <x:v>機器選定で変更したブランド期間を帳票へ引継ぐ</x:v>
      </x:c>
      <x:c r="D11" s="12" t="str">
        <x:v>MCM2004U→MCM2003U／機器選定→MCM2001P→MCM2004U</x:v>
      </x:c>
      <x:c r="E11" s="12" t="str">
        <x:v>2ブランド×2期間の見積。各機器・数量・料金を異なる値で機器選定から保存可能。</x:v>
      </x:c>
      <x:c r="F11" s="12" t="str">
        <x:v>1. MCM2002U（保守見積機器選定）で選定・登録してMCM2003Uへ。
2. 登録済み見積のブランド・期間の「詳細設定」からMCM2005Uで変更・保存。
3. MCM2003Uで見積発行。
4. 親子キーと各シートの所属を比較。</x:v>
      </x:c>
      <x:c r="G11" s="12" t="str">
        <x:v>保存したブランド・期間・機器・数量・料金の組が対応するシート群に引き継がれる。別組の明細を複製元から混入しない。</x:v>
      </x:c>
      <x:c r="H11" s="12" t="str">
        <x:v>－</x:v>
      </x:c>
      <x:c r="I11" s="12"/>
      <x:c r="J11" s="12"/>
      <x:c r="K11" s="13"/>
      <x:c r="L11" s="12"/>
      <x:c r="M11" s="12"/>
      <x:c r="N11" s="12"/>
      <x:c r="O11" s="13"/>
      <x:c r="P11" s="12" t="str">
        <x:f>IF(M11&lt;&gt;"",M11,IF(I11="","未実施",I11))</x:f>
        <x:v>未実施</x:v>
      </x:c>
      <x:c r="Q11" s="12" t="str">
        <x:v>根拠：Mcm2003uController.detail/navigate・テンプレート。下書き時の詳細設定・添付・発行・申請は登録後に可能。単体2001P-4・44のシート数と分担。経路はコード確定済み。</x:v>
      </x:c>
    </x:row>
    <x:row r="12" ht="87" customHeight="1">
      <x:c r="A12" s="12" t="str">
        <x:v>INT05-003</x:v>
      </x:c>
      <x:c r="B12" s="12" t="str">
        <x:v>集計連携</x:v>
      </x:c>
      <x:c r="C12" s="12" t="str">
        <x:v>保存後の金額再計算と帳票合計の整合</x:v>
      </x:c>
      <x:c r="D12" s="12" t="str">
        <x:v>MCM2004U→MCM2003U／機器選定→MCM2001P→MCM2004U</x:v>
      </x:c>
      <x:c r="E12" s="12" t="str">
        <x:v>通常の入力値で数量と料金を変更できる見積。変更前の金額を控える。</x:v>
      </x:c>
      <x:c r="F12" s="12" t="str">
        <x:v>1. 機器選定を変更して保存。
2. 基本設定で発行。
3. 再表示した金額・保存集計・帳票の小計合計を比較。</x:v>
      </x:c>
      <x:c r="G12" s="12" t="str">
        <x:v>最新の保存済み明細で再計算した額が基本設定と帳票へ反映。画面の古い集計や未保存の別期間の金額を使用しない。</x:v>
      </x:c>
      <x:c r="H12" s="12" t="str">
        <x:v>－</x:v>
      </x:c>
      <x:c r="I12" s="12"/>
      <x:c r="J12" s="12"/>
      <x:c r="K12" s="13"/>
      <x:c r="L12" s="12"/>
      <x:c r="M12" s="12"/>
      <x:c r="N12" s="12"/>
      <x:c r="O12" s="13"/>
      <x:c r="P12" s="12" t="str">
        <x:f>IF(M12&lt;&gt;"",M12,IF(I12="","未実施",I12))</x:f>
        <x:v>未実施</x:v>
      </x:c>
      <x:c r="Q12" s="12" t="str">
        <x:v>根拠B：Mcm2003uScreen.vb HakkoButton_Click／Mcm2003uService.publish・Mcm2001pController.Report/download。単体参照：2001P-13、29、33。分担：単体の表示・形式・計算を再実施せず、ここは画面・DB・処理間の引継ぎを確認。丸め・数式自体の単体境界は再実施しない。</x:v>
      </x:c>
    </x:row>
    <x:row r="13" ht="87" customHeight="1">
      <x:c r="A13" s="12" t="str">
        <x:v>INT05-004</x:v>
      </x:c>
      <x:c r="B13" s="12" t="str">
        <x:v>ロールバック</x:v>
      </x:c>
      <x:c r="C13" s="12" t="str">
        <x:v>生成失敗で店舗見積の更新と状態を戻す</x:v>
      </x:c>
      <x:c r="D13" s="12" t="str">
        <x:v>MCM2004U→MCM2003U／機器選定→MCM2001P→MCM2004U</x:v>
      </x:c>
      <x:c r="E13" s="12" t="str">
        <x:v>開発者テスト。作成中見積A。publish内で原紙生成段階にRuntimeExceptionを1回発生。</x:v>
      </x:c>
      <x:c r="F13" s="12" t="str">
        <x:v>1. 保存前の条件・金額・状態・更新日時を控える。
2. 値を変更して発行し生成段階で失敗。
3. 一覧・基本設定・親子DBを再確認。</x:v>
      </x:c>
      <x:c r="G13" s="12" t="str">
        <x:v>publishの更新・集計・状態変更がロールバックし、変更前を維持。取得できる成功帳票を表示しない。失敗した見積を発行済みと扱わない。</x:v>
      </x:c>
      <x:c r="H13" s="12" t="str">
        <x:v>－</x:v>
      </x:c>
      <x:c r="I13" s="12"/>
      <x:c r="J13" s="12"/>
      <x:c r="K13" s="13"/>
      <x:c r="L13" s="12"/>
      <x:c r="M13" s="12"/>
      <x:c r="N13" s="12"/>
      <x:c r="O13" s="13"/>
      <x:c r="P13" s="12" t="str">
        <x:f>IF(M13&lt;&gt;"",M13,IF(I13="","未実施",I13))</x:f>
        <x:v>未実施</x:v>
      </x:c>
      <x:c r="Q13" s="12" t="str">
        <x:v>根拠B：Mcm2003uScreen.vb HakkoButton_Click／Mcm2003uService.publish・Mcm2001pController.Report/download。単体参照：W03。分担：単体の表示・形式・計算を再実施せず、ここは画面・DB・処理間の引継ぎを確認。@Transactional publish内の生成。1001Pの保存後生成失敗との境界差を確認。</x:v>
      </x:c>
    </x:row>
    <x:row r="14" ht="87" customHeight="1">
      <x:c r="A14" s="12" t="str">
        <x:v>INT05-006</x:v>
      </x:c>
      <x:c r="B14" s="12" t="str">
        <x:v>入力不備の伝播</x:v>
      </x:c>
      <x:c r="C14" s="12" t="str">
        <x:v>期間選択不備を登録と発行の両方で止める</x:v>
      </x:c>
      <x:c r="D14" s="12" t="str">
        <x:v>MCM2004U→MCM2003U／機器選定→MCM2001P→MCM2004U</x:v>
      </x:c>
      <x:c r="E14" s="12" t="str">
        <x:v>店舗見積の契約金額変動時期の選択を0件にできるテスト対象。値を変更している。</x:v>
      </x:c>
      <x:c r="F14" s="12" t="str">
        <x:v>1. 基本設定で期間選択を外して発行。
2. 別画面から同じ見積を再検索。
3. 保存データと取得物を確認。</x:v>
      </x:c>
      <x:c r="G14" s="12" t="str">
        <x:v>入力不備の通知後、変更値と状態を部分保存せず、帳票を取得させない。再検索で変更前を確認できる。</x:v>
      </x:c>
      <x:c r="H14" s="12" t="str">
        <x:v>－</x:v>
      </x:c>
      <x:c r="I14" s="12"/>
      <x:c r="J14" s="12"/>
      <x:c r="K14" s="13"/>
      <x:c r="L14" s="12"/>
      <x:c r="M14" s="12"/>
      <x:c r="N14" s="12"/>
      <x:c r="O14" s="13"/>
      <x:c r="P14" s="12" t="str">
        <x:f>IF(M14&lt;&gt;"",M14,IF(I14="","未実施",I14))</x:f>
        <x:v>未実施</x:v>
      </x:c>
      <x:c r="Q14" s="12" t="str">
        <x:v>根拠B：Mcm2003uScreen.vb HakkoButton_Click／Mcm2003uService.publish・Mcm2001pController.Report/download。単体参照：2001P-41。分担：単体の表示・形式・計算を再実施せず、ここは画面・DB・処理間の引継ぎを確認。通知だけの単体を再実施せず、保存・状態と後続画面の整合を確認。</x:v>
      </x:c>
    </x:row>
  </x:sheetData>
  <x:mergeCells>
    <x:mergeCell ref="A1:Q1"/>
    <x:mergeCell ref="A2:Q2"/>
    <x:mergeCell ref="A3:Q3"/>
  </x:mergeCells>
  <x:dataValidations count="2">
    <x:dataValidation type="list" sqref="I10:I14">
      <x:formula1>"未実施,OK,NG,保留,対象外"</x:formula1>
    </x:dataValidation>
    <x:dataValidation type="list" sqref="M10:M14">
      <x:formula1>"未実施,OK,NG,保留,対象外"</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INT06 契約と支払帳票 結合テスト仕様書</x:v>
      </x:c>
      <x:c r="B1" s="4"/>
      <x:c r="C1" s="4"/>
      <x:c r="D1" s="4"/>
      <x:c r="E1" s="4"/>
      <x:c r="F1" s="4"/>
      <x:c r="G1" s="4"/>
      <x:c r="H1" s="4"/>
      <x:c r="I1" s="4"/>
      <x:c r="J1" s="4"/>
      <x:c r="K1" s="4"/>
      <x:c r="L1" s="4"/>
      <x:c r="M1" s="4"/>
      <x:c r="N1" s="4"/>
      <x:c r="O1" s="4"/>
      <x:c r="P1" s="4"/>
      <x:c r="Q1" s="4"/>
    </x:row>
    <x:row r="2" ht="42" customHeight="1">
      <x:c r="A2" s="3" t="str">
        <x:v>対象：3001P・3005P　根拠：Mcm3002uScreen.vb OutputButton_Click／Mcm3002uRepository.search/getPaymentMonths・Mcm3002uService.calculatePayment</x:v>
      </x:c>
      <x:c r="B2" s="3"/>
      <x:c r="C2" s="3"/>
      <x:c r="D2" s="3"/>
      <x:c r="E2" s="3"/>
      <x:c r="F2" s="3"/>
      <x:c r="G2" s="3"/>
      <x:c r="H2" s="3"/>
      <x:c r="I2" s="3"/>
      <x:c r="J2" s="3"/>
      <x:c r="K2" s="3"/>
      <x:c r="L2" s="3"/>
      <x:c r="M2" s="3"/>
      <x:c r="N2" s="3"/>
      <x:c r="O2" s="3"/>
      <x:c r="P2" s="3"/>
      <x:c r="Q2" s="3"/>
    </x:row>
    <x:row r="3" ht="32" customHeight="1">
      <x:c r="A3" s="3" t="str">
        <x:v>業務フロー：取引先・ユーザー契約→MCM3002U→MCM3001P＋MCM3005P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COUNTA(A10:A16)</x:f>
        <x:v>7</x:v>
      </x:c>
      <x:c r="C6" s="10" t="str">
        <x:v>対象外</x:v>
      </x:c>
      <x:c r="D6" s="10" t="n">
        <x:f>COUNTIF(P10:P16,"対象外")</x:f>
        <x:v>0</x:v>
      </x:c>
      <x:c r="E6" s="10" t="str">
        <x:v>実ケース</x:v>
      </x:c>
      <x:c r="F6" s="10" t="n">
        <x:f>B6-D6</x:f>
        <x:v>7</x:v>
      </x:c>
      <x:c r="G6" s="10" t="str">
        <x:v>完了OK</x:v>
      </x:c>
      <x:c r="H6" s="10" t="n">
        <x:f>COUNTIF(P10:P16,"OK")</x:f>
        <x:v>0</x:v>
      </x:c>
      <x:c r="I6" s="10" t="str">
        <x:v>NG</x:v>
      </x:c>
      <x:c r="J6" s="10" t="n">
        <x:f>COUNTIF(P10:P16,"NG")</x:f>
        <x:v>0</x:v>
      </x:c>
      <x:c r="K6" s="10" t="str">
        <x:v>未完了</x:v>
      </x:c>
      <x:c r="L6" s="10" t="n">
        <x:f>MAX(0,F6-H6-J6)</x:f>
        <x:v>7</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102" customHeight="1">
      <x:c r="A10" s="12" t="str">
        <x:v>INT06-001</x:v>
      </x:c>
      <x:c r="B10" s="12" t="str">
        <x:v>契約・支払結合</x:v>
      </x:c>
      <x:c r="C10" s="12" t="str">
        <x:v>登録済み契約の支払い条件を両帳票へ受渡す</x:v>
      </x:c>
      <x:c r="D10" s="12" t="str">
        <x:v>取引先・ユーザー契約→MCM3002U→MCM3001P＋MCM3005P</x:v>
      </x:c>
      <x:c r="E10" s="12" t="str">
        <x:v>取引先契約と確認済みユーザー契約が関連し、有効な期間・支払ON／OFF・製番を持つ検証契約。ビューで支払候補が1件以上を管理者が事前確認。</x:v>
      </x:c>
      <x:c r="F10" s="12" t="str">
        <x:v>1. 契約画面で支払回数・対象月を保存。
2. MCM3002Uで該当月・支払区分を選び出力。
3. 支払明細・期間・関連契約をDBと両帳票で照合。</x:v>
      </x:c>
      <x:c r="G10" s="12" t="str">
        <x:v>保存した契約NO・期間・対象支払月・取引先・サポートID・製番が両帳票の同じ契約行に対応。関連ユーザー契約の別製番を混入しない。</x:v>
      </x:c>
      <x:c r="H10" s="12" t="str">
        <x:v>－</x:v>
      </x:c>
      <x:c r="I10" s="12"/>
      <x:c r="J10" s="12"/>
      <x:c r="K10" s="13"/>
      <x:c r="L10" s="12"/>
      <x:c r="M10" s="12"/>
      <x:c r="N10" s="12"/>
      <x:c r="O10" s="13"/>
      <x:c r="P10" s="12" t="str">
        <x:f>IF(M10&lt;&gt;"",M10,IF(I10="","未実施",I10))</x:f>
        <x:v>未実施</x:v>
      </x:c>
      <x:c r="Q10" s="12" t="str">
        <x:v>根拠B：Mcm3002uScreen.vb OutputButton_Click／Mcm3002uRepository.search/getPaymentMonths・Mcm3002uService.calculatePayment。単体参照：3001P-4、5／3005P-7、21。分担：単体の表示・形式・計算を再実施せず、ここは画面・DB・処理間の引継ぎを確認。MCM_TK_SIHARAI_VとMCM_TU_KEIYAKU_V。契約関連がないデータを帳票0件の不具合と誤判定しない。</x:v>
      </x:c>
    </x:row>
    <x:row r="11" ht="87" customHeight="1">
      <x:c r="A11" s="12" t="str">
        <x:v>INT06-002</x:v>
      </x:c>
      <x:c r="B11" s="12" t="str">
        <x:v>期間更新</x:v>
      </x:c>
      <x:c r="C11" s="12" t="str">
        <x:v>更新後の有効期間で支払対象が切替わる</x:v>
      </x:c>
      <x:c r="D11" s="12" t="str">
        <x:v>取引先・ユーザー契約→MCM3002U→MCM3001P＋MCM3005P</x:v>
      </x:c>
      <x:c r="E11" s="12" t="str">
        <x:v>旧期間Aと新期間Bの同じ契約。期間境界をまたぐ対象月を2つ準備。正規手順で更新済み。</x:v>
      </x:c>
      <x:c r="F11" s="12" t="str">
        <x:v>1. 契約画面でBを登録し期間所属を控える。
2. 境界前後の月で支払帳票を出力。
3. 保存した期間と両帳票を比較。</x:v>
      </x:c>
      <x:c r="G11" s="12" t="str">
        <x:v>各支払月に該当する有効期間・支払明細を選ぶ。同じ契約が旧新期間の両方として誤重複しない。契約と期間の親子関連を維持。</x:v>
      </x:c>
      <x:c r="H11" s="12" t="str">
        <x:v>－</x:v>
      </x:c>
      <x:c r="I11" s="12"/>
      <x:c r="J11" s="12"/>
      <x:c r="K11" s="13"/>
      <x:c r="L11" s="12"/>
      <x:c r="M11" s="12"/>
      <x:c r="N11" s="12"/>
      <x:c r="O11" s="13"/>
      <x:c r="P11" s="12" t="str">
        <x:f>IF(M11&lt;&gt;"",M11,IF(I11="","未実施",I11))</x:f>
        <x:v>未実施</x:v>
      </x:c>
      <x:c r="Q11" s="12" t="str">
        <x:v>根拠B：Mcm3002uScreen.vb OutputButton_Click／Mcm3002uRepository.search/getPaymentMonths・Mcm3002uService.calculatePayment。単体参照：3001P-5、27。分担：単体の表示・形式・計算を再実施せず、ここは画面・DB・処理間の引継ぎを確認。最新期間を選ぶDB条件と帳票データの受渡し。単純な年月入力は単体。</x:v>
      </x:c>
    </x:row>
    <x:row r="12" ht="87" customHeight="1">
      <x:c r="A12" s="12" t="str">
        <x:v>INT06-003</x:v>
      </x:c>
      <x:c r="B12" s="12" t="str">
        <x:v>料金関連</x:v>
      </x:c>
      <x:c r="C12" s="12" t="str">
        <x:v>見積単価の変更を契約経由で支払額へ反映</x:v>
      </x:c>
      <x:c r="D12" s="12" t="str">
        <x:v>取引先・ユーザー契約→MCM3002U→MCM3001P＋MCM3005P</x:v>
      </x:c>
      <x:c r="E12" s="12" t="str">
        <x:v>契約機器が見積単価と関連。正規の料金変更操作で変更適用期間を登録できる契約。</x:v>
      </x:c>
      <x:c r="F12" s="12" t="str">
        <x:v>1. 変更単価と適用期間を保存。
2. 契約画面で変更所属を確認。
3. 適用前後の支払月で両帳票を出力し保存単価と照合。</x:v>
      </x:c>
      <x:c r="G12" s="12" t="str">
        <x:v>契約明細→単価→見積単価／料金期間の関連に従い、対象月の額を両帳票へ反映。別機器の料金や変更前のキャッシュ値を使用しない。</x:v>
      </x:c>
      <x:c r="H12" s="12" t="str">
        <x:v>－</x:v>
      </x:c>
      <x:c r="I12" s="12"/>
      <x:c r="J12" s="12"/>
      <x:c r="K12" s="13"/>
      <x:c r="L12" s="12"/>
      <x:c r="M12" s="12"/>
      <x:c r="N12" s="12"/>
      <x:c r="O12" s="13"/>
      <x:c r="P12" s="12" t="str">
        <x:f>IF(M12&lt;&gt;"",M12,IF(I12="","未実施",I12))</x:f>
        <x:v>未実施</x:v>
      </x:c>
      <x:c r="Q12" s="12" t="str">
        <x:v>根拠B：Mcm3002uScreen.vb OutputButton_Click／Mcm3002uRepository.search/getPaymentMonths・Mcm3002uService.calculatePayment。単体参照：3001P-27／3005P-9。分担：単体の表示・形式・計算を再実施せず、ここは画面・DB・処理間の引継ぎを確認。端数配賦とHALF_EVENの計算そのものは単体。変更単価の正規登録経路はQ03。</x:v>
      </x:c>
    </x:row>
    <x:row r="13" ht="87" customHeight="1">
      <x:c r="A13" s="12" t="str">
        <x:v>INT06-004</x:v>
      </x:c>
      <x:c r="B13" s="12" t="str">
        <x:v>解約・製番</x:v>
      </x:c>
      <x:c r="C13" s="12" t="str">
        <x:v>解約登録の保存結果を支払対象と製番へ反映</x:v>
      </x:c>
      <x:c r="D13" s="12" t="str">
        <x:v>取引先・ユーザー契約→MCM3002U→MCM3001P＋MCM3005P</x:v>
      </x:c>
      <x:c r="E13" s="12" t="str">
        <x:v>解約前後の支払月を持つ契約。対応するユーザー契約の解約日・製番も管理者が確認。</x:v>
      </x:c>
      <x:c r="F13" s="12" t="str">
        <x:v>1. 正規解約手続を完了。
2. 境界月で支払帳票を出力。
3. 両契約の解約日・保存明細と照合。</x:v>
      </x:c>
      <x:c r="G13" s="12" t="str">
        <x:v>取引先の支払対象期間とユーザー契約の製番注記判定を混同せず、保存された関連解約に対応する行・注記を両帳票へ伝播。対象外月を残さない。</x:v>
      </x:c>
      <x:c r="H13" s="12" t="str">
        <x:v>－</x:v>
      </x:c>
      <x:c r="I13" s="12"/>
      <x:c r="J13" s="12"/>
      <x:c r="K13" s="13"/>
      <x:c r="L13" s="12"/>
      <x:c r="M13" s="12"/>
      <x:c r="N13" s="12"/>
      <x:c r="O13" s="13"/>
      <x:c r="P13" s="12" t="str">
        <x:f>IF(M13&lt;&gt;"",M13,IF(I13="","未実施",I13))</x:f>
        <x:v>未実施</x:v>
      </x:c>
      <x:c r="Q13" s="12" t="str">
        <x:v>根拠B：Mcm3002uScreen.vb OutputButton_Click／Mcm3002uRepository.search/getPaymentMonths・Mcm3002uService.calculatePayment。単体参照：3001P-16／3005P-12。分担：単体の表示・形式・計算を再実施せず、ここは画面・DB・処理間の引継ぎを確認。取引先解約日とユーザー解約日は別キー。日付単独の計算は単体。</x:v>
      </x:c>
    </x:row>
    <x:row r="14" ht="87" customHeight="1">
      <x:c r="A14" s="12" t="str">
        <x:v>INT06-005</x:v>
      </x:c>
      <x:c r="B14" s="12" t="str">
        <x:v>マスタ参照</x:v>
      </x:c>
      <x:c r="C14" s="12" t="str">
        <x:v>取引先窓口と送付先店舗を関連契約から取得</x:v>
      </x:c>
      <x:c r="D14" s="12" t="str">
        <x:v>取引先・ユーザー契約→MCM3002U→MCM3001P＋MCM3005P</x:v>
      </x:c>
      <x:c r="E14" s="12" t="str">
        <x:v>窓口のある取引先A/B、異なる依頼店舗を持つ契約。正規マスタ画面で登録済み。</x:v>
      </x:c>
      <x:c r="F14" s="12" t="str">
        <x:v>1. 窓口担当者と依頼店舗の保存値を控える。
2. 両取引先を含む月で支払帳票出力。
3. 発注宛先・支払送付先を契約関連と照合。</x:v>
      </x:c>
      <x:c r="G14" s="12" t="str">
        <x:v>取引先窓口は発注宛先、契約の依頼店舗は支払送付先へ正しく伝播。出力利用者の店舗や前取引先の窓口で置き換えない。</x:v>
      </x:c>
      <x:c r="H14" s="12" t="str">
        <x:v>－</x:v>
      </x:c>
      <x:c r="I14" s="12"/>
      <x:c r="J14" s="12"/>
      <x:c r="K14" s="13"/>
      <x:c r="L14" s="12"/>
      <x:c r="M14" s="12"/>
      <x:c r="N14" s="12"/>
      <x:c r="O14" s="13"/>
      <x:c r="P14" s="12" t="str">
        <x:f>IF(M14&lt;&gt;"",M14,IF(I14="","未実施",I14))</x:f>
        <x:v>未実施</x:v>
      </x:c>
      <x:c r="Q14" s="12" t="str">
        <x:v>根拠B：Mcm3002uScreen.vb OutputButton_Click／Mcm3002uRepository.search/getPaymentMonths・Mcm3002uService.calculatePayment。単体参照：3001P-8／3005P-7。分担：単体の表示・形式・計算を再実施せず、ここは画面・DB・処理間の引継ぎを確認。MCM_MA_TORIMADOGUCHI・MCM_TU_KEIYAKU_Vを参照。</x:v>
      </x:c>
    </x:row>
    <x:row r="15" ht="87" customHeight="1">
      <x:c r="A15" s="12" t="str">
        <x:v>INT06-006</x:v>
      </x:c>
      <x:c r="B15" s="12" t="str">
        <x:v>抽出前提</x:v>
      </x:c>
      <x:c r="C15" s="12" t="str">
        <x:v>関連契約のないデータを正しく対象外として説明する</x:v>
      </x:c>
      <x:c r="D15" s="12" t="str">
        <x:v>取引先・ユーザー契約→MCM3002U→MCM3001P＋MCM3005P</x:v>
      </x:c>
      <x:c r="E15" s="12" t="str">
        <x:v>保存された取引先契約はあるが、関連する確認済みユーザー契約がない対象A。整合する対照B。</x:v>
      </x:c>
      <x:c r="F15" s="12" t="str">
        <x:v>1. 管理者がビューと親子関連を読取確認。
2. 支払帳票を該当月で出力。
3. A/Bの抽出可否と関連キーを確認。</x:v>
      </x:c>
      <x:c r="G15" s="12" t="str">
        <x:v>Aは必要な関連条件を満たさず出力しない。Bだけを出力。全対象がAの場合は対象なし通知。契約データを出力に合わせて勝手に作成・変更しない。</x:v>
      </x:c>
      <x:c r="H15" s="12" t="str">
        <x:v>－</x:v>
      </x:c>
      <x:c r="I15" s="12"/>
      <x:c r="J15" s="12"/>
      <x:c r="K15" s="13"/>
      <x:c r="L15" s="12"/>
      <x:c r="M15" s="12"/>
      <x:c r="N15" s="12"/>
      <x:c r="O15" s="13"/>
      <x:c r="P15" s="12" t="str">
        <x:f>IF(M15&lt;&gt;"",M15,IF(I15="","未実施",I15))</x:f>
        <x:v>未実施</x:v>
      </x:c>
      <x:c r="Q15" s="12" t="str">
        <x:v>根拠B：Mcm3002uScreen.vb OutputButton_Click／Mcm3002uRepository.search/getPaymentMonths・Mcm3002uService.calculatePayment。単体参照：3001P-23。分担：単体の表示・形式・計算を再実施せず、ここは画面・DB・処理間の引継ぎを確認。DBデータ不足の切分け。過去の契約期間だけが残った0件を同じ不具合としない。</x:v>
      </x:c>
    </x:row>
    <x:row r="16" ht="102" customHeight="1">
      <x:c r="A16" s="12" t="str">
        <x:v>INT06-007</x:v>
      </x:c>
      <x:c r="B16" s="12" t="str">
        <x:v>表示後の再抽出</x:v>
      </x:c>
      <x:c r="C16" s="12" t="str">
        <x:v>検索表示後の支払更新を出力時のDBへ反映する</x:v>
      </x:c>
      <x:c r="D16" s="12" t="str">
        <x:v>取引先・ユーザー契約→MCM3002U→MCM3001P＋MCM3005P</x:v>
      </x:c>
      <x:c r="E16" s="12" t="str">
        <x:v>Aが支払対象を検索表示済み。Bが同じ検証DBの契約画面で対象月の支払設定を変更可能。</x:v>
      </x:c>
      <x:c r="F16" s="12" t="str">
        <x:v>1. Aが検索結果と関連IDを控える。
2. Bが支払設定を更新してコミット。
3. Aが同じ対象月で出力し両帳票と更新後DBを比較。
4. Aが再検索して表示を比較。</x:v>
      </x:c>
      <x:c r="G16" s="12" t="str">
        <x:v>出力時の最新DB対象集合が両帳票に一致。保存前の表示だけを出力元にせず対象外へ変更した支払行を残さない。再検索後の表示も更新結果に対応。</x:v>
      </x:c>
      <x:c r="H16" s="12" t="str">
        <x:v>－</x:v>
      </x:c>
      <x:c r="I16" s="12"/>
      <x:c r="J16" s="12"/>
      <x:c r="K16" s="13"/>
      <x:c r="L16" s="12"/>
      <x:c r="M16" s="12"/>
      <x:c r="N16" s="12"/>
      <x:c r="O16" s="13"/>
      <x:c r="P16" s="12" t="str">
        <x:f>IF(M16&lt;&gt;"",M16,IF(I16="","未実施",I16))</x:f>
        <x:v>未実施</x:v>
      </x:c>
      <x:c r="Q16" s="12" t="str">
        <x:v>根拠B：Mcm3002uScreen.vb OutputButton_Click／Mcm3002uRepository.search/getPaymentMonths・Mcm3002uService.calculatePayment。単体参照：3001P-4／3005P-7。分担：単体の表示・形式・計算を再実施せず、ここは画面・DB・処理間の引継ぎを確認。Mcm3002uController.output/download→searchForOutput。INT06-002は期間更新後の検索、ここは表示と出力の間の別利用者コミット。</x:v>
      </x:c>
    </x:row>
  </x:sheetData>
  <x:mergeCells>
    <x:mergeCell ref="A1:Q1"/>
    <x:mergeCell ref="A2:Q2"/>
    <x:mergeCell ref="A3:Q3"/>
  </x:mergeCells>
  <x:dataValidations count="2">
    <x:dataValidation type="list" sqref="I10:I16">
      <x:formula1>"未実施,OK,NG,保留,対象外"</x:formula1>
    </x:dataValidation>
    <x:dataValidation type="list" sqref="M10:M16">
      <x:formula1>"未実施,OK,NG,保留,対象外"</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INT07 点検保存と外部出力 結合テスト仕様書</x:v>
      </x:c>
      <x:c r="B1" s="4"/>
      <x:c r="C1" s="4"/>
      <x:c r="D1" s="4"/>
      <x:c r="E1" s="4"/>
      <x:c r="F1" s="4"/>
      <x:c r="G1" s="4"/>
      <x:c r="H1" s="4"/>
      <x:c r="I1" s="4"/>
      <x:c r="J1" s="4"/>
      <x:c r="K1" s="4"/>
      <x:c r="L1" s="4"/>
      <x:c r="M1" s="4"/>
      <x:c r="N1" s="4"/>
      <x:c r="O1" s="4"/>
      <x:c r="P1" s="4"/>
      <x:c r="Q1" s="4"/>
    </x:row>
    <x:row r="2" ht="42" customHeight="1">
      <x:c r="A2" s="3" t="str">
        <x:v>対象：3002P・3003P　根拠：Mcm3003uScreen.vb Search／Mcm3003uRepository・search_tenken.sql（点検ビューの同値抽出）</x:v>
      </x:c>
      <x:c r="B2" s="3"/>
      <x:c r="C2" s="3"/>
      <x:c r="D2" s="3"/>
      <x:c r="E2" s="3"/>
      <x:c r="F2" s="3"/>
      <x:c r="G2" s="3"/>
      <x:c r="H2" s="3"/>
      <x:c r="I2" s="3"/>
      <x:c r="J2" s="3"/>
      <x:c r="K2" s="3"/>
      <x:c r="L2" s="3"/>
      <x:c r="M2" s="3"/>
      <x:c r="N2" s="3"/>
      <x:c r="O2" s="3"/>
      <x:c r="P2" s="3"/>
      <x:c r="Q2" s="3"/>
    </x:row>
    <x:row r="3" ht="32" customHeight="1">
      <x:c r="A3" s="3" t="str">
        <x:v>業務フロー：MCM1005Uの点検保存→MCM3003U→MCM3002P＋MCM3003P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COUNTA(A10:A16)</x:f>
        <x:v>7</x:v>
      </x:c>
      <x:c r="C6" s="10" t="str">
        <x:v>対象外</x:v>
      </x:c>
      <x:c r="D6" s="10" t="n">
        <x:f>COUNTIF(P10:P16,"対象外")</x:f>
        <x:v>0</x:v>
      </x:c>
      <x:c r="E6" s="10" t="str">
        <x:v>実ケース</x:v>
      </x:c>
      <x:c r="F6" s="10" t="n">
        <x:f>B6-D6</x:f>
        <x:v>7</x:v>
      </x:c>
      <x:c r="G6" s="10" t="str">
        <x:v>完了OK</x:v>
      </x:c>
      <x:c r="H6" s="10" t="n">
        <x:f>COUNTIF(P10:P16,"OK")</x:f>
        <x:v>0</x:v>
      </x:c>
      <x:c r="I6" s="10" t="str">
        <x:v>NG</x:v>
      </x:c>
      <x:c r="J6" s="10" t="n">
        <x:f>COUNTIF(P10:P16,"NG")</x:f>
        <x:v>0</x:v>
      </x:c>
      <x:c r="K6" s="10" t="str">
        <x:v>未完了</x:v>
      </x:c>
      <x:c r="L6" s="10" t="n">
        <x:f>MAX(0,F6-H6-J6)</x:f>
        <x:v>7</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72" customHeight="1">
      <x:c r="A10" s="12" t="str">
        <x:v>INT07-001</x:v>
      </x:c>
      <x:c r="B10" s="12" t="str">
        <x:v>保存・抽出</x:v>
      </x:c>
      <x:c r="C10" s="12" t="str">
        <x:v>保存した点検予定を両帳票へ伝播</x:v>
      </x:c>
      <x:c r="D10" s="12" t="str">
        <x:v>MCM1005Uの点検保存→MCM3003U→MCM3002P＋MCM3003P</x:v>
      </x:c>
      <x:c r="E10" s="12" t="str">
        <x:v>点検対象の契約A。点検月・回数・曜日と保守会社が登録できる状態。対照の別月B。</x:v>
      </x:c>
      <x:c r="F10" s="12" t="str">
        <x:v>1. 契約内容でAの点検予定を保存。
2. MCM3003Uでその対象月の全件出力を2種類取得。
3. 保存済み点検と展開した機器枠／縦持ち行を照合。</x:v>
      </x:c>
      <x:c r="G10" s="12" t="str">
        <x:v>Aの契約・期間・機器・点検月・回数・曜日・保守会社が両帳票へ対応。対象外月Bを混入しない。横持ち行数ではなく元機器の集合で比較。</x:v>
      </x:c>
      <x:c r="H10" s="12" t="str">
        <x:v>－</x:v>
      </x:c>
      <x:c r="I10" s="12"/>
      <x:c r="J10" s="12"/>
      <x:c r="K10" s="13"/>
      <x:c r="L10" s="12"/>
      <x:c r="M10" s="12"/>
      <x:c r="N10" s="12"/>
      <x:c r="O10" s="13"/>
      <x:c r="P10" s="12" t="str">
        <x:f>IF(M10&lt;&gt;"",M10,IF(I10="","未実施",I10))</x:f>
        <x:v>未実施</x:v>
      </x:c>
      <x:c r="Q10" s="12" t="str">
        <x:v>根拠B：Mcm3003uScreen.vb Search／Mcm3003uRepository・search_tenken.sql（点検ビューの同値抽出）。単体参照：3002P-7／3003P-6、25。分担：単体の表示・形式・計算を再実施せず、ここは画面・DB・処理間の引継ぎを確認。</x:v>
      </x:c>
    </x:row>
    <x:row r="11" ht="72" customHeight="1">
      <x:c r="A11" s="12" t="str">
        <x:v>INT07-002</x:v>
      </x:c>
      <x:c r="B11" s="12" t="str">
        <x:v>更新・差分</x:v>
      </x:c>
      <x:c r="C11" s="12" t="str">
        <x:v>点検変更の更新日付を差分出力へ受渡す</x:v>
      </x:c>
      <x:c r="D11" s="12" t="str">
        <x:v>MCM1005Uの点検保存→MCM3003U→MCM3002P＋MCM3003P</x:v>
      </x:c>
      <x:c r="E11" s="12" t="str">
        <x:v>Aの点検月を新規にON登録するか、解除済み月を再ONにする。BはONのままでON日付が今回の差分範囲外。契約・期間・個体管理の抽出条件を満たす。</x:v>
      </x:c>
      <x:c r="F11" s="12" t="str">
        <x:v>1. Aの新規月または解除済み月をチェックし契約保存。
2. Bは曜日等を変更して保存するが月のON状態は変えない。
3. AのON日付を含む差分範囲で両帳票を取得。
4. 全件出力とDBのON日付・最終更新日時を比較。</x:v>
      </x:c>
      <x:c r="G11" s="12" t="str">
        <x:v>Aの新規登録／再ONで記録されたON日付が範囲内ならAを出力。ON継続のBは曜日等の変更だけではON日付を書き換えず差分に含めない。全件出力では変更後の曜日等を反映。差分を一般的な最終更新日検索と扱わない。</x:v>
      </x:c>
      <x:c r="H11" s="12" t="str">
        <x:v>－</x:v>
      </x:c>
      <x:c r="I11" s="12"/>
      <x:c r="J11" s="12"/>
      <x:c r="K11" s="13"/>
      <x:c r="L11" s="12"/>
      <x:c r="M11" s="12"/>
      <x:c r="N11" s="12"/>
      <x:c r="O11" s="13"/>
      <x:c r="P11" s="12" t="str">
        <x:f>IF(M11&lt;&gt;"",M11,IF(I11="","未実施",I11))</x:f>
        <x:v>未実施</x:v>
      </x:c>
      <x:c r="Q11" s="12" t="str">
        <x:v>根拠：Mcm1005uRepository.saveMonthChecks（新規INSERT／OFFから再ONのみON_DT更新）、VB mcm_tk_tenken_base_v、search_tenken.sqlのON_DT日付比較。新規／再ONとON継続を個別記録。単体3002P-8・26／3003P-7。</x:v>
      </x:c>
    </x:row>
    <x:row r="12" ht="87" customHeight="1">
      <x:c r="A12" s="12" t="str">
        <x:v>INT07-003</x:v>
      </x:c>
      <x:c r="B12" s="12" t="str">
        <x:v>更新・無効化</x:v>
      </x:c>
      <x:c r="C12" s="12" t="str">
        <x:v>点検予定の解除を抽出へ反映</x:v>
      </x:c>
      <x:c r="D12" s="12" t="str">
        <x:v>MCM1005Uの点検保存→MCM3003U→MCM3002P＋MCM3003P</x:v>
      </x:c>
      <x:c r="E12" s="12" t="str">
        <x:v>点検予定Aを正規操作で解除できる契約。別の点検予定Bは継続。</x:v>
      </x:c>
      <x:c r="F12" s="12" t="str">
        <x:v>1. Aの点検予定を解除し再表示。
2. 同じ対象月で両帳票を出力。
3. 解除前後の親子と抽出結果を照合。</x:v>
      </x:c>
      <x:c r="G12" s="12" t="str">
        <x:v>解除した点検Aを両帳票に残さず、継続するBを消さない。DBの解除保存と抽出の有効条件が対応。翌年展開は次期間なし・個体管理あり・自動更新ありで、点検月+12か月を解約日、元点検月を撤去日と比較する。</x:v>
      </x:c>
      <x:c r="H12" s="12" t="str">
        <x:v>－</x:v>
      </x:c>
      <x:c r="I12" s="12"/>
      <x:c r="J12" s="12"/>
      <x:c r="K12" s="13"/>
      <x:c r="L12" s="12"/>
      <x:c r="M12" s="12"/>
      <x:c r="N12" s="12"/>
      <x:c r="O12" s="13"/>
      <x:c r="P12" s="12" t="str">
        <x:f>IF(M12&lt;&gt;"",M12,IF(I12="","未実施",I12))</x:f>
        <x:v>未実施</x:v>
      </x:c>
      <x:c r="Q12" s="12" t="str">
        <x:v>根拠B：Mcm3003uScreen.vb Search／Mcm3003uRepository・search_tenken.sql（点検ビューの同値抽出）。単体参照：3002P-7／3003P-6。分担：単体の表示・形式・計算を再実施せず、ここは画面・DB・処理間の引継ぎを確認。自動更新・翌年展開条件を推測しない。 コード条件は確定。実DBの配備定義・データだけQ05に残す。</x:v>
      </x:c>
    </x:row>
    <x:row r="13" ht="87" customHeight="1">
      <x:c r="A13" s="12" t="str">
        <x:v>INT07-004</x:v>
      </x:c>
      <x:c r="B13" s="12" t="str">
        <x:v>参照マスタ</x:v>
      </x:c>
      <x:c r="C13" s="12" t="str">
        <x:v>保守会社の担当情報を登録マスタから伝播</x:v>
      </x:c>
      <x:c r="D13" s="12" t="str">
        <x:v>MCM1005Uの点検保存→MCM3003U→MCM3002P＋MCM3003P</x:v>
      </x:c>
      <x:c r="E13" s="12" t="str">
        <x:v>保守会社A/Bの事業所・担当者・電話・FAXが異なる。機器と保守会社の関連が保存済み。</x:v>
      </x:c>
      <x:c r="F13" s="12" t="str">
        <x:v>1. 正規マスタで担当情報を更新。
2. 点検出力指示を開き直し両帳票を出力。
3. 機器の所属とマスタ情報を比較。</x:v>
      </x:c>
      <x:c r="G13" s="12" t="str">
        <x:v>横持ちの各機器枠は関連する保守会社の担当情報であり、縦持ちの保守会社も同じ関連に一致。会社ID以外の似た名称で誤結合しない。</x:v>
      </x:c>
      <x:c r="H13" s="12" t="str">
        <x:v>－</x:v>
      </x:c>
      <x:c r="I13" s="12"/>
      <x:c r="J13" s="12"/>
      <x:c r="K13" s="13"/>
      <x:c r="L13" s="12"/>
      <x:c r="M13" s="12"/>
      <x:c r="N13" s="12"/>
      <x:c r="O13" s="13"/>
      <x:c r="P13" s="12" t="str">
        <x:f>IF(M13&lt;&gt;"",M13,IF(I13="","未実施",I13))</x:f>
        <x:v>未実施</x:v>
      </x:c>
      <x:c r="Q13" s="12" t="str">
        <x:v>根拠B：Mcm3003uScreen.vb Search／Mcm3003uRepository・search_tenken.sql（点検ビューの同値抽出）。単体参照：3002P-15／3003P-14。分担：単体の表示・形式・計算を再実施せず、ここは画面・DB・処理間の引継ぎを確認。ソースの保守会社結合。マスタ画面の表記・到達はQ03。</x:v>
      </x:c>
    </x:row>
    <x:row r="14" ht="87" customHeight="1">
      <x:c r="A14" s="12" t="str">
        <x:v>INT07-005</x:v>
      </x:c>
      <x:c r="B14" s="12" t="str">
        <x:v>外部受渡し</x:v>
      </x:c>
      <x:c r="C14" s="12" t="str">
        <x:v>DB登録用帳票を実際の取込先で受け入れる</x:v>
      </x:c>
      <x:c r="D14" s="12" t="str">
        <x:v>MCM1005Uの点検保存→MCM3003U→MCM3002P＋MCM3003P</x:v>
      </x:c>
      <x:c r="E14" s="12" t="str">
        <x:v>Q02で取込先・取込仕様・検証操作・期待レコードを確定済み。横持ち6機器の出力を通常画面から生成。</x:v>
      </x:c>
      <x:c r="F14" s="12" t="str">
        <x:v>1. DB登録用データを取得して原ファイルを控える。
2. 確定した検証用取込先へ渡し正規手順で取込。
3. 取込結果を元契約・点検・機器キーと照合。</x:v>
      </x:c>
      <x:c r="G14" s="12" t="str">
        <x:v>取込先で元の6機器と対象点検月の情報が欠落・重複なく受け渡される。取込先未確定なら保留とし、Excelで開けるだけで結合成功にしない。</x:v>
      </x:c>
      <x:c r="H14" s="12" t="str">
        <x:v>－</x:v>
      </x:c>
      <x:c r="I14" s="12"/>
      <x:c r="J14" s="12"/>
      <x:c r="K14" s="13"/>
      <x:c r="L14" s="12"/>
      <x:c r="M14" s="12"/>
      <x:c r="N14" s="12"/>
      <x:c r="O14" s="13"/>
      <x:c r="P14" s="12" t="str">
        <x:f>IF(M14&lt;&gt;"",M14,IF(I14="","未実施",I14))</x:f>
        <x:v>未実施</x:v>
      </x:c>
      <x:c r="Q14" s="12" t="str">
        <x:v>根拠B：Mcm3003uScreen.vb Search／Mcm3003uRepository・search_tenken.sql（点検ビューの同値抽出）。単体参照：3002P-10。分担：単体の表示・形式・計算を再実施せず、ここは画面・DB・処理間の引継ぎを確認。Q02。外部システムのロールバック・エラー規約は未定のため勝手に期待値を定めない。</x:v>
      </x:c>
    </x:row>
    <x:row r="15" ht="87" customHeight="1">
      <x:c r="A15" s="12" t="str">
        <x:v>INT07-006</x:v>
      </x:c>
      <x:c r="B15" s="12" t="str">
        <x:v>取得失敗からの復旧</x:v>
      </x:c>
      <x:c r="C15" s="12" t="str">
        <x:v>点検出力失敗後も入力と次の取得を正しくつなぐ</x:v>
      </x:c>
      <x:c r="D15" s="12" t="str">
        <x:v>MCM1005Uの点検保存→MCM3003U→MCM3002P＋MCM3003P</x:v>
      </x:c>
      <x:c r="E15" s="12" t="str">
        <x:v>開発者テスト。点検対象A/Bと正常出力できる期間。画面内取得で生成時だけ例外を1回発生。</x:v>
      </x:c>
      <x:c r="F15" s="12" t="str">
        <x:v>1. Aの対象月・全件／差分を指定して出力し生成だけ失敗。
2. 通知と入力条件を確認しフック解除。
3. Bへ条件変更して再出力。DB登録用と作業用の双方で実施。</x:v>
      </x:c>
      <x:c r="G15" s="12" t="str">
        <x:v>失敗時に旧成功ファイルやエラー本文をExcelとして保存せず、入力条件と操作可能状態を保つ。復旧後はBの条件を送信しBのDB対象集合に対応する帳票を取得。契約・点検は更新しない。</x:v>
      </x:c>
      <x:c r="H15" s="12" t="str">
        <x:v>－</x:v>
      </x:c>
      <x:c r="I15" s="12"/>
      <x:c r="J15" s="12"/>
      <x:c r="K15" s="13"/>
      <x:c r="L15" s="12"/>
      <x:c r="M15" s="12"/>
      <x:c r="N15" s="12"/>
      <x:c r="O15" s="13"/>
      <x:c r="P15" s="12" t="str">
        <x:f>IF(M15&lt;&gt;"",M15,IF(I15="","未実施",I15))</x:f>
        <x:v>未実施</x:v>
      </x:c>
      <x:c r="Q15" s="12" t="str">
        <x:v>根拠B：Mcm3003uScreen.vb Search／Mcm3003uRepository・search_tenken.sql（点検ビューの同値抽出）。単体参照：W03。分担：単体の表示・形式・計算を再実施せず、ここは画面・DB・処理間の引継ぎを確認。Mcm3003uController.download/downloadErrorと画面fetch。フォーム→要求→通知→再取得の連携を確認。</x:v>
      </x:c>
    </x:row>
    <x:row r="16" ht="102" customHeight="1">
      <x:c r="A16" s="12" t="str">
        <x:v>INT07-007</x:v>
      </x:c>
      <x:c r="B16" s="12" t="str">
        <x:v>期間の受渡し</x:v>
      </x:c>
      <x:c r="C16" s="12" t="str">
        <x:v>新期間への点検変更を旧月と新月の抽出へ反映する</x:v>
      </x:c>
      <x:c r="D16" s="12" t="str">
        <x:v>MCM1005Uの点検保存→MCM3003U→MCM3002P＋MCM3003P</x:v>
      </x:c>
      <x:c r="E16" s="12" t="str">
        <x:v>旧期間と新期間を持つ契約A。正規更新で新期間の点検月を保存可能。別契約Bは変更しない。</x:v>
      </x:c>
      <x:c r="F16" s="12" t="str">
        <x:v>1. 新期間と点検月を保存し再表示。
2. 旧月・新月で両帳票をそれぞれ出力。
3. 契約・期間・点検キーと出力所属を比較。</x:v>
      </x:c>
      <x:c r="G16" s="12" t="str">
        <x:v>旧新期間の有効条件に従う点検集合となり、新期間の機器を旧期間へ誤結合しない。別契約Bを維持し同じ点検を誤って二重展開しない。翌年展開は次期間なし・個体管理あり・自動更新ありで、点検月+12か月を解約日、元月を撤去日と比較する。</x:v>
      </x:c>
      <x:c r="H16" s="12" t="str">
        <x:v>－</x:v>
      </x:c>
      <x:c r="I16" s="12"/>
      <x:c r="J16" s="12"/>
      <x:c r="K16" s="13"/>
      <x:c r="L16" s="12"/>
      <x:c r="M16" s="12"/>
      <x:c r="N16" s="12"/>
      <x:c r="O16" s="13"/>
      <x:c r="P16" s="12" t="str">
        <x:f>IF(M16&lt;&gt;"",M16,IF(I16="","未実施",I16))</x:f>
        <x:v>未実施</x:v>
      </x:c>
      <x:c r="Q16" s="12" t="str">
        <x:v>根拠B：Mcm3003uScreen.vb Search／Mcm3003uRepository・search_tenken.sql（点検ビューの同値抽出）。単体参照：3002P-7／3003P-6。分担：単体の表示・形式・計算を再実施せず、ここは画面・DB・処理間の引継ぎを確認。旧INT07-003の「解除または期間変更」を分離。解除判定と新期間の親子所属は別の観測。 コード条件は確定。実DBの配備定義・データだけQ05に残す。</x:v>
      </x:c>
    </x:row>
  </x:sheetData>
  <x:mergeCells>
    <x:mergeCell ref="A1:Q1"/>
    <x:mergeCell ref="A2:Q2"/>
    <x:mergeCell ref="A3:Q3"/>
  </x:mergeCells>
  <x:dataValidations count="2">
    <x:dataValidation type="list" sqref="I10:I16">
      <x:formula1>"未実施,OK,NG,保留,対象外"</x:formula1>
    </x:dataValidation>
    <x:dataValidation type="list" sqref="M10:M16">
      <x:formula1>"未実施,OK,NG,保留,対象外"</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INT08 作業予定と契約帳票 結合テスト仕様書</x:v>
      </x:c>
      <x:c r="B1" s="4"/>
      <x:c r="C1" s="4"/>
      <x:c r="D1" s="4"/>
      <x:c r="E1" s="4"/>
      <x:c r="F1" s="4"/>
      <x:c r="G1" s="4"/>
      <x:c r="H1" s="4"/>
      <x:c r="I1" s="4"/>
      <x:c r="J1" s="4"/>
      <x:c r="K1" s="4"/>
      <x:c r="L1" s="4"/>
      <x:c r="M1" s="4"/>
      <x:c r="N1" s="4"/>
      <x:c r="O1" s="4"/>
      <x:c r="P1" s="4"/>
      <x:c r="Q1" s="4"/>
    </x:row>
    <x:row r="2" ht="42" customHeight="1">
      <x:c r="A2" s="3" t="str">
        <x:v>対象：3004P　根拠：Mcm3004uScreen.vb各検索・出力／Mcm3004uRepository（MCM_ALERT1〜9_V・MCM_MO_SAGYOYOTEI）</x:v>
      </x:c>
      <x:c r="B2" s="3"/>
      <x:c r="C2" s="3"/>
      <x:c r="D2" s="3"/>
      <x:c r="E2" s="3"/>
      <x:c r="F2" s="3"/>
      <x:c r="G2" s="3"/>
      <x:c r="H2" s="3"/>
      <x:c r="I2" s="3"/>
      <x:c r="J2" s="3"/>
      <x:c r="K2" s="3"/>
      <x:c r="L2" s="3"/>
      <x:c r="M2" s="3"/>
      <x:c r="N2" s="3"/>
      <x:c r="O2" s="3"/>
      <x:c r="P2" s="3"/>
      <x:c r="Q2" s="3"/>
    </x:row>
    <x:row r="3" ht="32" customHeight="1">
      <x:c r="A3" s="3" t="str">
        <x:v>業務フロー：契約・機器／予定登録→MCM3004U→MCM3004P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COUNTA(A10:A15)</x:f>
        <x:v>6</x:v>
      </x:c>
      <x:c r="C6" s="10" t="str">
        <x:v>対象外</x:v>
      </x:c>
      <x:c r="D6" s="10" t="n">
        <x:f>COUNTIF(P10:P15,"対象外")</x:f>
        <x:v>0</x:v>
      </x:c>
      <x:c r="E6" s="10" t="str">
        <x:v>実ケース</x:v>
      </x:c>
      <x:c r="F6" s="10" t="n">
        <x:f>B6-D6</x:f>
        <x:v>6</x:v>
      </x:c>
      <x:c r="G6" s="10" t="str">
        <x:v>完了OK</x:v>
      </x:c>
      <x:c r="H6" s="10" t="n">
        <x:f>COUNTIF(P10:P15,"OK")</x:f>
        <x:v>0</x:v>
      </x:c>
      <x:c r="I6" s="10" t="str">
        <x:v>NG</x:v>
      </x:c>
      <x:c r="J6" s="10" t="n">
        <x:f>COUNTIF(P10:P15,"NG")</x:f>
        <x:v>0</x:v>
      </x:c>
      <x:c r="K6" s="10" t="str">
        <x:v>未完了</x:v>
      </x:c>
      <x:c r="L6" s="10" t="n">
        <x:f>MAX(0,F6-H6-J6)</x:f>
        <x:v>6</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72" customHeight="1">
      <x:c r="A10" s="12" t="str">
        <x:v>INT08-001</x:v>
      </x:c>
      <x:c r="B10" s="12" t="str">
        <x:v>契約更新</x:v>
      </x:c>
      <x:c r="C10" s="12" t="str">
        <x:v>契約期限更新をユーザー・取引先の一覧へ反映</x:v>
      </x:c>
      <x:c r="D10" s="12" t="str">
        <x:v>契約・機器／予定登録→MCM3004U→MCM3004P</x:v>
      </x:c>
      <x:c r="E10" s="12" t="str">
        <x:v>ユーザー契約と取引先契約が関連する対象A。期限検索に該当する条件を管理者が事前確認。</x:v>
      </x:c>
      <x:c r="F10" s="12" t="str">
        <x:v>1. 正規契約画面で期限を更新して保存。
2. MCM3004Uの該当するユーザ／取引先契約確認タブを再検索。
3. Excel出力を保存済み契約と比較。</x:v>
      </x:c>
      <x:c r="G10" s="12" t="str">
        <x:v>ユーザー側・取引先側それぞれの契約IDに対応した期限と名称が一覧・帳票へ反映。別契約の期限で置き換えない。該当しなくなった対象は検索条件に従って外れる。</x:v>
      </x:c>
      <x:c r="H10" s="12" t="str">
        <x:v>－</x:v>
      </x:c>
      <x:c r="I10" s="12"/>
      <x:c r="J10" s="12"/>
      <x:c r="K10" s="13"/>
      <x:c r="L10" s="12"/>
      <x:c r="M10" s="12"/>
      <x:c r="N10" s="12"/>
      <x:c r="O10" s="13"/>
      <x:c r="P10" s="12" t="str">
        <x:f>IF(M10&lt;&gt;"",M10,IF(I10="","未実施",I10))</x:f>
        <x:v>未実施</x:v>
      </x:c>
      <x:c r="Q10" s="12" t="str">
        <x:v>根拠B：Mcm3004uScreen.vb各検索・出力／Mcm3004uRepository（MCM_ALERT1〜9_V・MCM_MO_SAGYOYOTEI）。単体参照：3004P-11、12、19。分担：単体の表示・形式・計算を再実施せず、ここは画面・DB・処理間の引継ぎを確認。</x:v>
      </x:c>
    </x:row>
    <x:row r="11" ht="57" customHeight="1">
      <x:c r="A11" s="12" t="str">
        <x:v>INT08-002</x:v>
      </x:c>
      <x:c r="B11" s="12" t="str">
        <x:v>関連比較</x:v>
      </x:c>
      <x:c r="C11" s="12" t="str">
        <x:v>両契約の差異を登録結果から検出して出力</x:v>
      </x:c>
      <x:c r="D11" s="12" t="str">
        <x:v>契約・機器／予定登録→MCM3004U→MCM3004P</x:v>
      </x:c>
      <x:c r="E11" s="12" t="str">
        <x:v>関連する両契約の検索日付が、Aはユーザー側が前、Bは取引先側が前、Cは同日となるデータ。正規更新で準備。</x:v>
      </x:c>
      <x:c r="F11" s="12" t="str">
        <x:v>1. 契約差異確認でユーザー基準と取引先基準をそれぞれ検索。
2. 帳票を取得。
3. 両契約のID・期限と比較。</x:v>
      </x:c>
      <x:c r="G11" s="12" t="str">
        <x:v>ユーザー基準はUKA_SEARCH_DTが期間内かつTKA_SEARCH_DTより前のA、取引先基準は逆のBを抽出。同日Cは出さない。関連ID・契約NO・名称・期限の組合せを維持。</x:v>
      </x:c>
      <x:c r="H11" s="12" t="str">
        <x:v>－</x:v>
      </x:c>
      <x:c r="I11" s="12"/>
      <x:c r="J11" s="12"/>
      <x:c r="K11" s="13"/>
      <x:c r="L11" s="12"/>
      <x:c r="M11" s="12"/>
      <x:c r="N11" s="12"/>
      <x:c r="O11" s="13"/>
      <x:c r="P11" s="12" t="str">
        <x:f>IF(M11&lt;&gt;"",M11,IF(I11="","未実施",I11))</x:f>
        <x:v>未実施</x:v>
      </x:c>
      <x:c r="Q11" s="12" t="str">
        <x:v>根拠：VB MCM_ALERT5_V_UKA/TKA TableAdapter、Mcm3004uRepository.searchAlert5。単体3004P-15・24。実DBの検索日付算出ビュー配備はQ05。</x:v>
      </x:c>
    </x:row>
    <x:row r="12" ht="87" customHeight="1">
      <x:c r="A12" s="12" t="str">
        <x:v>INT08-003</x:v>
      </x:c>
      <x:c r="B12" s="12" t="str">
        <x:v>機器・製番連携</x:v>
      </x:c>
      <x:c r="C12" s="12" t="str">
        <x:v>個体更新と製番を対応する作業予定へ反映</x:v>
      </x:c>
      <x:c r="D12" s="12" t="str">
        <x:v>契約・機器／予定登録→MCM3004U→MCM3004P</x:v>
      </x:c>
      <x:c r="E12" s="12" t="str">
        <x:v>通常更新／契約完了の個体と、製番不足判定に該当する契約を管理者が準備。正規操作で機器状態・製番を更新可能。</x:v>
      </x:c>
      <x:c r="F12" s="12" t="str">
        <x:v>1. 契約機器・製番の更新を保存。
2. MCM3004Uの個体終息確認2タブと不足製番確認を検索。
3. 取得帳票を更新元のキーと照合。</x:v>
      </x:c>
      <x:c r="G12" s="12" t="str">
        <x:v>各タブの判定に対応する保存済み個体・契約・製番が出力。旧個体や別契約の最終製番で対象を判定しない。</x:v>
      </x:c>
      <x:c r="H12" s="12" t="str">
        <x:v>－</x:v>
      </x:c>
      <x:c r="I12" s="12"/>
      <x:c r="J12" s="12"/>
      <x:c r="K12" s="13"/>
      <x:c r="L12" s="12"/>
      <x:c r="M12" s="12"/>
      <x:c r="N12" s="12"/>
      <x:c r="O12" s="13"/>
      <x:c r="P12" s="12" t="str">
        <x:f>IF(M12&lt;&gt;"",M12,IF(I12="","未実施",I12))</x:f>
        <x:v>未実施</x:v>
      </x:c>
      <x:c r="Q12" s="12" t="str">
        <x:v>根拠B：Mcm3004uScreen.vb各検索・出力／Mcm3004uRepository（MCM_ALERT1〜9_V・MCM_MO_SAGYOYOTEI）。単体参照：3004P-13、14、16。分担：単体の表示・形式・計算を再実施せず、ここは画面・DB・処理間の引継ぎを確認。個体・製番の正規更新画面と判定条件はQ03/Q05。内部ビューの存在だけで操作可能と断定しない。</x:v>
      </x:c>
    </x:row>
    <x:row r="13" ht="102" customHeight="1">
      <x:c r="A13" s="12" t="str">
        <x:v>INT08-004</x:v>
      </x:c>
      <x:c r="B13" s="12" t="str">
        <x:v>予定登録</x:v>
      </x:c>
      <x:c r="C13" s="12" t="str">
        <x:v>登録した作業予定を再検索して帳票へ受渡す</x:v>
      </x:c>
      <x:c r="D13" s="12" t="str">
        <x:v>契約・機器／予定登録→MCM3004U→MCM3004P</x:v>
      </x:c>
      <x:c r="E13" s="12" t="str">
        <x:v>予定登録検索で新規登録・完了更新を行える利用者。自分の予定Aと別利用者のBを準備。</x:v>
      </x:c>
      <x:c r="F13" s="12" t="str">
        <x:v>1. MCM3005U（作業予定登録）でAを追加し再表示。
2. Aの完了状態を更新後に検索しExcel出力。
3. 登録ID・担当・予定日・完了状態をDBと比較。</x:v>
      </x:c>
      <x:c r="G13" s="12" t="str">
        <x:v>保存したMCM_MO_SAGYOYOTEIの登録IDと状態が検索スナップショット・帳票へ一致。別利用者Bの予定をAとして出力しない。</x:v>
      </x:c>
      <x:c r="H13" s="12" t="str">
        <x:v>－</x:v>
      </x:c>
      <x:c r="I13" s="12"/>
      <x:c r="J13" s="12"/>
      <x:c r="K13" s="13"/>
      <x:c r="L13" s="12"/>
      <x:c r="M13" s="12"/>
      <x:c r="N13" s="12"/>
      <x:c r="O13" s="13"/>
      <x:c r="P13" s="12" t="str">
        <x:f>IF(M13&lt;&gt;"",M13,IF(I13="","未実施",I13))</x:f>
        <x:v>未実施</x:v>
      </x:c>
      <x:c r="Q13" s="12" t="str">
        <x:v>根拠B：Mcm3004uScreen.vb各検索・出力／Mcm3004uRepository（MCM_ALERT1〜9_V・MCM_MO_SAGYOYOTEI）。単体参照：3004P-17、26。分担：単体の表示・形式・計算を再実施せず、ここは画面・DB・処理間の引継ぎを確認。完了の表示変換の単体は除外。F03はIDが変換された場合の実装不具合として扱う。 3004Uの予定登録タブの行リンク→3005U→保存→戻る／再検索。</x:v>
      </x:c>
    </x:row>
    <x:row r="14" ht="57" customHeight="1">
      <x:c r="A14" s="12" t="str">
        <x:v>INT08-005</x:v>
      </x:c>
      <x:c r="B14" s="12" t="str">
        <x:v>バッテリー連携</x:v>
      </x:c>
      <x:c r="C14" s="12" t="str">
        <x:v>装置・契約の関連から交換対象を出力</x:v>
      </x:c>
      <x:c r="D14" s="12" t="str">
        <x:v>契約・機器／予定登録→MCM3004U→MCM3004P</x:v>
      </x:c>
      <x:c r="E14" s="12" t="str">
        <x:v>装置と契約が関連し、期待寿命日が個体終息日以下、関連ユーザー契約の状態が契約または解約の対象A。</x:v>
      </x:c>
      <x:c r="F14" s="12" t="str">
        <x:v>1. 正規の装置／契約登録で対象情報を保存。
2. バッテリー交換タブで基準日を指定し検索・出力。
3. 装置・バッテリー・契約キーを照合。</x:v>
      </x:c>
      <x:c r="G14" s="12" t="str">
        <x:v>装置・型式・一次納入日・期待寿命日・契約所属を対応させ出力。検索日は期待寿命日、NULL時は当日。MC保守は契約状態・有効最新期間・個体キーの関連で判定し、別装置の契約を付けない。</x:v>
      </x:c>
      <x:c r="H14" s="12" t="str">
        <x:v>－</x:v>
      </x:c>
      <x:c r="I14" s="12"/>
      <x:c r="J14" s="12"/>
      <x:c r="K14" s="13"/>
      <x:c r="L14" s="12"/>
      <x:c r="M14" s="12"/>
      <x:c r="N14" s="12"/>
      <x:c r="O14" s="13"/>
      <x:c r="P14" s="12" t="str">
        <x:f>IF(M14&lt;&gt;"",M14,IF(I14="","未実施",I14))</x:f>
        <x:v>未実施</x:v>
      </x:c>
      <x:c r="Q14" s="12" t="str">
        <x:v>根拠：VB mcm_alert8_v.sql、Web searchAlert8。SEARCH_DTのBETWEENは両端を含む。実DBのUPS・関連個体のデータと配備定義だけQ05。単体3004P-18。</x:v>
      </x:c>
    </x:row>
    <x:row r="15" ht="87" customHeight="1">
      <x:c r="A15" s="12" t="str">
        <x:v>INT08-006</x:v>
      </x:c>
      <x:c r="B15" s="12" t="str">
        <x:v>タブの受渡し</x:v>
      </x:c>
      <x:c r="C15" s="12" t="str">
        <x:v>タブ切替と0件再検索で別タブの帳票を取得しない</x:v>
      </x:c>
      <x:c r="D15" s="12" t="str">
        <x:v>契約・機器／予定登録→MCM3004U→MCM3004P</x:v>
      </x:c>
      <x:c r="E15" s="12" t="str">
        <x:v>異なる契約IDがある作業予定検索。タブAは結果あり、Bは0件となる条件を準備。</x:v>
      </x:c>
      <x:c r="F15" s="12" t="str">
        <x:v>1. Aを検索して出力。
2. Bを0件で検索して出力。
3. Aへ戻って保存済み結果で出力し、別条件で再検索して再出力。
4. タブ・表示結果・取得キーを比較。</x:v>
      </x:c>
      <x:c r="G15" s="12" t="str">
        <x:v>Bの0件時にAやBの過去帳票を返さない。Aへ戻った出力はAの保存済み結果、再検索後は新条件の結果。他タブの条件や結果を取り違えない。</x:v>
      </x:c>
      <x:c r="H15" s="12" t="str">
        <x:v>－</x:v>
      </x:c>
      <x:c r="I15" s="12"/>
      <x:c r="J15" s="12"/>
      <x:c r="K15" s="13"/>
      <x:c r="L15" s="12"/>
      <x:c r="M15" s="12"/>
      <x:c r="N15" s="12"/>
      <x:c r="O15" s="13"/>
      <x:c r="P15" s="12" t="str">
        <x:f>IF(M15&lt;&gt;"",M15,IF(I15="","未実施",I15))</x:f>
        <x:v>未実施</x:v>
      </x:c>
      <x:c r="Q15" s="12" t="str">
        <x:v>根拠B：Mcm3004uScreen.vb各検索・出力／Mcm3004uRepository（MCM_ALERT1〜9_V・MCM_MO_SAGYOYOTEI）。単体参照：3004P-19。分担：単体の表示・形式・計算を再実施せず、ここは画面・DB・処理間の引継ぎを確認。Mcm3004uController.excel/mergeとタブ別結果。単一タブの書式ではなく検索→切替→0件→再検索の受渡し。</x:v>
      </x:c>
    </x:row>
  </x:sheetData>
  <x:mergeCells>
    <x:mergeCell ref="A1:Q1"/>
    <x:mergeCell ref="A2:Q2"/>
    <x:mergeCell ref="A3:Q3"/>
  </x:mergeCells>
  <x:dataValidations count="2">
    <x:dataValidation type="list" sqref="I10:I15">
      <x:formula1>"未実施,OK,NG,保留,対象外"</x:formula1>
    </x:dataValidation>
    <x:dataValidation type="list" sqref="M10:M15">
      <x:formula1>"未実施,OK,NG,保留,対象外"</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4" hidden="0" customWidth="1"/>
    <x:col min="2" max="2" width="18" hidden="0" customWidth="1"/>
    <x:col min="3" max="3" width="36" hidden="0" customWidth="1"/>
    <x:col min="4" max="4" width="34" hidden="0" customWidth="1"/>
    <x:col min="5" max="5" width="55" hidden="0" customWidth="1"/>
    <x:col min="6" max="6" width="62" hidden="0" customWidth="1"/>
    <x:col min="7" max="7" width="66" hidden="0" customWidth="1"/>
    <x:col min="8" max="8" width="34" hidden="0" customWidth="1"/>
    <x:col min="9" max="9" width="13" hidden="0" customWidth="1"/>
    <x:col min="10" max="10" width="14" hidden="0" customWidth="1"/>
    <x:col min="11" max="11" width="15" hidden="0" customWidth="1"/>
    <x:col min="12" max="12" width="32" hidden="0" customWidth="1"/>
    <x:col min="13" max="13" width="14" hidden="0" customWidth="1"/>
    <x:col min="14" max="14" width="17" hidden="0" customWidth="1"/>
    <x:col min="15" max="15" width="17" hidden="0" customWidth="1"/>
    <x:col min="16" max="16" width="14" hidden="0" customWidth="1"/>
    <x:col min="17" max="17" width="65" hidden="0" customWidth="1"/>
  </x:cols>
  <x:sheetData>
    <x:row r="1" ht="28" customHeight="1">
      <x:c r="A1" s="4" t="str">
        <x:v>INT09 権限と同時更新 結合テスト仕様書</x:v>
      </x:c>
      <x:c r="B1" s="4"/>
      <x:c r="C1" s="4"/>
      <x:c r="D1" s="4"/>
      <x:c r="E1" s="4"/>
      <x:c r="F1" s="4"/>
      <x:c r="G1" s="4"/>
      <x:c r="H1" s="4"/>
      <x:c r="I1" s="4"/>
      <x:c r="J1" s="4"/>
      <x:c r="K1" s="4"/>
      <x:c r="L1" s="4"/>
      <x:c r="M1" s="4"/>
      <x:c r="N1" s="4"/>
      <x:c r="O1" s="4"/>
      <x:c r="P1" s="4"/>
      <x:c r="Q1" s="4"/>
    </x:row>
    <x:row r="2" ht="42" customHeight="1">
      <x:c r="A2" s="3" t="str">
        <x:v>対象：全10帳票　根拠：担当者権限取得・ScreenAuthorityInterceptor／各起点Controller／Mcm1005uServiceのlock・conflict</x:v>
      </x:c>
      <x:c r="B2" s="3"/>
      <x:c r="C2" s="3"/>
      <x:c r="D2" s="3"/>
      <x:c r="E2" s="3"/>
      <x:c r="F2" s="3"/>
      <x:c r="G2" s="3"/>
      <x:c r="H2" s="3"/>
      <x:c r="I2" s="3"/>
      <x:c r="J2" s="3"/>
      <x:c r="K2" s="3"/>
      <x:c r="L2" s="3"/>
      <x:c r="M2" s="3"/>
      <x:c r="N2" s="3"/>
      <x:c r="O2" s="3"/>
      <x:c r="P2" s="3"/>
      <x:c r="Q2" s="3"/>
    </x:row>
    <x:row r="3" ht="32" customHeight="1">
      <x:c r="A3" s="3" t="str">
        <x:v>業務フロー：担当者設定→再ログイン→起点画面→保存／帳票取得　単体との分担は備考／根拠欄を参照。実績は未記入。</x:v>
      </x:c>
      <x:c r="B3" s="3"/>
      <x:c r="C3" s="3"/>
      <x:c r="D3" s="3"/>
      <x:c r="E3" s="3"/>
      <x:c r="F3" s="3"/>
      <x:c r="G3" s="3"/>
      <x:c r="H3" s="3"/>
      <x:c r="I3" s="3"/>
      <x:c r="J3" s="3"/>
      <x:c r="K3" s="3"/>
      <x:c r="L3" s="3"/>
      <x:c r="M3" s="3"/>
      <x:c r="N3" s="3"/>
      <x:c r="O3" s="3"/>
      <x:c r="P3" s="3"/>
      <x:c r="Q3" s="3"/>
    </x:row>
    <x:row r="4">
      <x:c r="A4" s="3"/>
      <x:c r="B4" s="3"/>
      <x:c r="C4" s="3"/>
      <x:c r="D4" s="3"/>
      <x:c r="E4" s="3"/>
      <x:c r="F4" s="3"/>
      <x:c r="G4" s="3"/>
      <x:c r="H4" s="3"/>
      <x:c r="I4" s="3"/>
      <x:c r="J4" s="3"/>
      <x:c r="K4" s="3"/>
      <x:c r="L4" s="3"/>
      <x:c r="M4" s="3"/>
      <x:c r="N4" s="3"/>
      <x:c r="O4" s="3"/>
      <x:c r="P4" s="3"/>
      <x:c r="Q4" s="3"/>
    </x:row>
    <x:row r="5">
      <x:c r="A5" s="3"/>
      <x:c r="B5" s="3"/>
      <x:c r="C5" s="3"/>
      <x:c r="D5" s="3"/>
      <x:c r="E5" s="3"/>
      <x:c r="F5" s="3"/>
      <x:c r="G5" s="3"/>
      <x:c r="H5" s="3"/>
      <x:c r="I5" s="3"/>
      <x:c r="J5" s="3"/>
      <x:c r="K5" s="3"/>
      <x:c r="L5" s="3"/>
      <x:c r="M5" s="3"/>
      <x:c r="N5" s="3"/>
      <x:c r="O5" s="3"/>
      <x:c r="P5" s="3"/>
      <x:c r="Q5" s="3"/>
    </x:row>
    <x:row r="6" ht="34" customHeight="1">
      <x:c r="A6" s="10" t="str">
        <x:v>件数</x:v>
      </x:c>
      <x:c r="B6" s="10" t="n">
        <x:f>COUNTA(A10:A14)</x:f>
        <x:v>5</x:v>
      </x:c>
      <x:c r="C6" s="10" t="str">
        <x:v>対象外</x:v>
      </x:c>
      <x:c r="D6" s="10" t="n">
        <x:f>COUNTIF(P10:P14,"対象外")</x:f>
        <x:v>0</x:v>
      </x:c>
      <x:c r="E6" s="10" t="str">
        <x:v>実ケース</x:v>
      </x:c>
      <x:c r="F6" s="10" t="n">
        <x:f>B6-D6</x:f>
        <x:v>5</x:v>
      </x:c>
      <x:c r="G6" s="10" t="str">
        <x:v>完了OK</x:v>
      </x:c>
      <x:c r="H6" s="10" t="n">
        <x:f>COUNTIF(P10:P14,"OK")</x:f>
        <x:v>0</x:v>
      </x:c>
      <x:c r="I6" s="10" t="str">
        <x:v>NG</x:v>
      </x:c>
      <x:c r="J6" s="10" t="n">
        <x:f>COUNTIF(P10:P14,"NG")</x:f>
        <x:v>0</x:v>
      </x:c>
      <x:c r="K6" s="10" t="str">
        <x:v>未完了</x:v>
      </x:c>
      <x:c r="L6" s="10" t="n">
        <x:f>MAX(0,F6-H6-J6)</x:f>
        <x:v>5</x:v>
      </x:c>
      <x:c r="M6" s="10" t="str">
        <x:v>実施率</x:v>
      </x:c>
      <x:c r="N6" s="11" t="n">
        <x:f>IF(F6=0,0,(H6+J6)/F6)</x:f>
        <x:v>0</x:v>
      </x:c>
      <x:c r="O6" s="10" t="str">
        <x:v>合格率</x:v>
      </x:c>
      <x:c r="P6" s="11" t="n">
        <x:f>IF(H6+J6=0,0,H6/F6)</x:f>
        <x:v>0</x:v>
      </x:c>
      <x:c r="Q6" s="3"/>
    </x:row>
    <x:row r="7">
      <x:c r="A7" s="3"/>
      <x:c r="B7" s="3"/>
      <x:c r="C7" s="3"/>
      <x:c r="D7" s="3"/>
      <x:c r="E7" s="3"/>
      <x:c r="F7" s="3"/>
      <x:c r="G7" s="3"/>
      <x:c r="H7" s="3"/>
      <x:c r="I7" s="3"/>
      <x:c r="J7" s="3"/>
      <x:c r="K7" s="3"/>
      <x:c r="L7" s="3"/>
      <x:c r="M7" s="3"/>
      <x:c r="N7" s="3"/>
      <x:c r="O7" s="3"/>
      <x:c r="P7" s="3"/>
      <x:c r="Q7" s="3"/>
    </x:row>
    <x:row r="8">
      <x:c r="A8" s="3" t="str">
        <x:v>TEST CASES</x:v>
      </x:c>
      <x:c r="B8" s="3"/>
      <x:c r="C8" s="3"/>
      <x:c r="D8" s="3"/>
      <x:c r="E8" s="3"/>
      <x:c r="F8" s="3"/>
      <x:c r="G8" s="3"/>
      <x:c r="H8" s="3"/>
      <x:c r="I8" s="3"/>
      <x:c r="J8" s="3"/>
      <x:c r="K8" s="3"/>
      <x:c r="L8" s="3"/>
      <x:c r="M8" s="3"/>
      <x:c r="N8" s="3"/>
      <x:c r="O8" s="3"/>
      <x:c r="P8" s="3"/>
      <x:c r="Q8" s="3"/>
    </x:row>
    <x:row r="9" ht="34" customHeight="1">
      <x:c r="A9" s="10" t="str">
        <x:v>項番</x:v>
      </x:c>
      <x:c r="B9" s="10" t="str">
        <x:v>分類</x:v>
      </x:c>
      <x:c r="C9" s="10" t="str">
        <x:v>テスト観点</x:v>
      </x:c>
      <x:c r="D9" s="10" t="str">
        <x:v>関連画面</x:v>
      </x:c>
      <x:c r="E9" s="10" t="str">
        <x:v>テストデータ（事前条件）</x:v>
      </x:c>
      <x:c r="F9" s="10" t="str">
        <x:v>操作手順</x:v>
      </x:c>
      <x:c r="G9" s="10" t="str">
        <x:v>期待結果</x:v>
      </x:c>
      <x:c r="H9" s="10" t="str">
        <x:v>期待メッセージ</x:v>
      </x:c>
      <x:c r="I9" s="10" t="str">
        <x:v>テスト結果</x:v>
      </x:c>
      <x:c r="J9" s="10" t="str">
        <x:v>実施者</x:v>
      </x:c>
      <x:c r="K9" s="10" t="str">
        <x:v>実施日</x:v>
      </x:c>
      <x:c r="L9" s="10" t="str">
        <x:v>不具合内容</x:v>
      </x:c>
      <x:c r="M9" s="10" t="str">
        <x:v>再テスト結果</x:v>
      </x:c>
      <x:c r="N9" s="10" t="str">
        <x:v>再テスト実施者</x:v>
      </x:c>
      <x:c r="O9" s="10" t="str">
        <x:v>再テスト実施日</x:v>
      </x:c>
      <x:c r="P9" s="10" t="str">
        <x:v>最終判定</x:v>
      </x:c>
      <x:c r="Q9" s="10" t="str">
        <x:v>備考／根拠</x:v>
      </x:c>
    </x:row>
    <x:row r="10" ht="72" customHeight="1">
      <x:c r="A10" s="12" t="str">
        <x:v>INT09-001</x:v>
      </x:c>
      <x:c r="B10" s="12" t="str">
        <x:v>権限再取得</x:v>
      </x:c>
      <x:c r="C10" s="12" t="str">
        <x:v>設定変更後の再ログインを起点と取得へ反映</x:v>
      </x:c>
      <x:c r="D10" s="12" t="str">
        <x:v>担当者設定→再ログイン→起点画面→保存／帳票取得</x:v>
      </x:c>
      <x:c r="E10" s="12" t="str">
        <x:v>管理者と検証利用者A。選択名は「なし」「参照」「作成」（VB McmRiyoKengenDataTable_Item.xml）。機能と権限分類の実マスタ対応を管理者が確認して設定。</x:v>
      </x:c>
      <x:c r="F10" s="12" t="str">
        <x:v>1. 管理者がAを参照または利用不可へ設定。
2. Aでログアウトして再ログイン。
3. 対象メニュー・起点画面・取得要求を許可一覧に従って確認。</x:v>
      </x:c>
      <x:c r="G10" s="12" t="str">
        <x:v>再ログインの権限がメニュー・画面・取得可否へ一致。1001Pは参照でも保存なしで出力可能、1003Pの通常契約発行と2001Pの見積発行は作成のみ。一覧系は起点画面の利用を許可された参照者が出力できる。なしはメニュー・直接要求で拒否する。</x:v>
      </x:c>
      <x:c r="H10" s="12" t="str">
        <x:v>－</x:v>
      </x:c>
      <x:c r="I10" s="12"/>
      <x:c r="J10" s="12"/>
      <x:c r="K10" s="13"/>
      <x:c r="L10" s="12"/>
      <x:c r="M10" s="12"/>
      <x:c r="N10" s="12"/>
      <x:c r="O10" s="13"/>
      <x:c r="P10" s="12" t="str">
        <x:f>IF(M10&lt;&gt;"",M10,IF(I10="","未実施",I10))</x:f>
        <x:v>未実施</x:v>
      </x:c>
      <x:c r="Q10" s="12" t="str">
        <x:v>根拠：VB利用権限選択XML、1002U.iraisho、1005U.checkReport、2003U.publish、ScreenAuthorityInterceptor。帳票別・権限別に証跡を残す。Q06は実マスタ登録と管理画面の正式項目名だけ。</x:v>
      </x:c>
    </x:row>
    <x:row r="11" ht="87" customHeight="1">
      <x:c r="A11" s="12" t="str">
        <x:v>INT09-002</x:v>
      </x:c>
      <x:c r="B11" s="12" t="str">
        <x:v>金額表示権限</x:v>
      </x:c>
      <x:c r="C11" s="12" t="str">
        <x:v>取引先契約関連の権限を金額4列へ適用</x:v>
      </x:c>
      <x:c r="D11" s="12" t="str">
        <x:v>担当者設定→再ログイン→起点画面→保存／帳票取得</x:v>
      </x:c>
      <x:c r="E11" s="12" t="str">
        <x:v>MCM3004Uを利用できるA/B/C。取引先契約関連はAがなし、Bが参照、Cが作成。他分類は揃え同じ取引先契約確認対象を検索。</x:v>
      </x:c>
      <x:c r="F11" s="12" t="str">
        <x:v>1. A/B/Cで取引先契約確認タブを検索・出力。
2. Aから同タブの直接出力要求も検証。
3. 画面と帳票の金額4列を比較。
4. 管理者がこの分類の権限を変更し、同じログインで再表示・出力の判定も確認。</x:v>
      </x:c>
      <x:c r="G11" s="12" t="str">
        <x:v>取引先契約関連がなしなら金額4列は非表示、参照・作成なら表示。独立した金額表示ON/OFF設定と扱わない。Webは表示・出力ごとにDBからこの分類の権限を再取得し、直接要求でも同じ判定。その他のメニュー権限は再ログインで更新。</x:v>
      </x:c>
      <x:c r="H11" s="12" t="str">
        <x:v>－</x:v>
      </x:c>
      <x:c r="I11" s="12"/>
      <x:c r="J11" s="12"/>
      <x:c r="K11" s="13"/>
      <x:c r="L11" s="12"/>
      <x:c r="M11" s="12"/>
      <x:c r="N11" s="12"/>
      <x:c r="O11" s="13"/>
      <x:c r="P11" s="12" t="str">
        <x:f>IF(M11&lt;&gt;"",M11,IF(I11="","未実施",I11))</x:f>
        <x:v>未実施</x:v>
      </x:c>
      <x:c r="Q11" s="12" t="str">
        <x:v>根拠：VB McmLogin_UserInfo.xmlのRiyoKengen3、Mcm3004uScreenの金額制御、Web isKingakuVisibleは分類3が0より大きい場合に表示しDBから都度取得。単体3004P-28・29・42。</x:v>
      </x:c>
    </x:row>
    <x:row r="12" ht="87" customHeight="1">
      <x:c r="A12" s="12" t="str">
        <x:v>INT09-003</x:v>
      </x:c>
      <x:c r="B12" s="12" t="str">
        <x:v>利用者分離</x:v>
      </x:c>
      <x:c r="C12" s="12" t="str">
        <x:v>別利用者の発行帳票を取得しない</x:v>
      </x:c>
      <x:c r="D12" s="12" t="str">
        <x:v>担当者設定→再ログイン→起点画面→保存／帳票取得</x:v>
      </x:c>
      <x:c r="E12" s="12" t="str">
        <x:v>独立したブラウザプロファイルのA/B。異なる見積NOで発行済み。</x:v>
      </x:c>
      <x:c r="F12" s="12" t="str">
        <x:v>1. A/Bがそれぞれ正規発行し取得。
2. 開発者がAの取得URLをBのログイン状態から要求。
3. 発行元・取得内容・DBを比較。</x:v>
      </x:c>
      <x:c r="G12" s="12" t="str">
        <x:v>それぞれが自分の発行元に対応する帳票を取得。他利用者の一時発行データを返さず、見積・契約の状態も相手側で変更しない。</x:v>
      </x:c>
      <x:c r="H12" s="12" t="str">
        <x:v>－</x:v>
      </x:c>
      <x:c r="I12" s="12"/>
      <x:c r="J12" s="12"/>
      <x:c r="K12" s="13"/>
      <x:c r="L12" s="12"/>
      <x:c r="M12" s="12"/>
      <x:c r="N12" s="12"/>
      <x:c r="O12" s="13"/>
      <x:c r="P12" s="12" t="str">
        <x:f>IF(M12&lt;&gt;"",M12,IF(I12="","未実施",I12))</x:f>
        <x:v>未実施</x:v>
      </x:c>
      <x:c r="Q12" s="12" t="str">
        <x:v>根拠B：担当者権限取得・ScreenAuthorityInterceptor／各起点Controller／Mcm1005uServiceのlock・conflict。単体参照：2001P-46、W04。分担：単体の表示・形式・計算を再実施せず、ここは画面・DB・処理間の引継ぎを確認。セッション単独の単体確認ではなく、実際の登録・発行元からの分離を確認。</x:v>
      </x:c>
    </x:row>
    <x:row r="13" ht="87" customHeight="1">
      <x:c r="A13" s="12" t="str">
        <x:v>INT09-004</x:v>
      </x:c>
      <x:c r="B13" s="12" t="str">
        <x:v>排他</x:v>
      </x:c>
      <x:c r="C13" s="12" t="str">
        <x:v>先行更新後の旧画面の発行を拒否する</x:v>
      </x:c>
      <x:c r="D13" s="12" t="str">
        <x:v>担当者設定→再ログイン→起点画面→保存／帳票取得</x:v>
      </x:c>
      <x:c r="E13" s="12" t="str">
        <x:v>開発者テスト。作成権限A/Bが同じ取引先契約を開く。独立セッションと同じ検証DB。</x:v>
      </x:c>
      <x:c r="F13" s="12" t="str">
        <x:v>1. Aが数量・支払条件を変更して保存。
2. Bが古い画面のまま契約発行を実行。
3. Aの保存値・更新日時と後続取得を確認。</x:v>
      </x:c>
      <x:c r="G13" s="12" t="str">
        <x:v>Bの古い情報でAの保存値を上書きせず、競合を通知し発行へ進めない。機器・支払・点検が先行Aの整合した値のまま。再表示後の正規発行はAの保存値に対応。</x:v>
      </x:c>
      <x:c r="H13" s="12" t="str">
        <x:v>－</x:v>
      </x:c>
      <x:c r="I13" s="12"/>
      <x:c r="J13" s="12"/>
      <x:c r="K13" s="13"/>
      <x:c r="L13" s="12"/>
      <x:c r="M13" s="12"/>
      <x:c r="N13" s="12"/>
      <x:c r="O13" s="13"/>
      <x:c r="P13" s="12" t="str">
        <x:f>IF(M13&lt;&gt;"",M13,IF(I13="","未実施",I13))</x:f>
        <x:v>未実施</x:v>
      </x:c>
      <x:c r="Q13" s="12" t="str">
        <x:v>根拠B：担当者権限取得・ScreenAuthorityInterceptor／各起点Controller／Mcm1005uServiceのlock・conflict。単体参照：W03。分担：単体の表示・形式・計算を再実施せず、ここは画面・DB・処理間の引継ぎを確認。Mcm1005uServiceの契約・期間・子レコードのlock／conflict。通知文言と対象更新列は実コードで照合。</x:v>
      </x:c>
    </x:row>
    <x:row r="14" ht="87" customHeight="1">
      <x:c r="A14" s="12" t="str">
        <x:v>INT09-005</x:v>
      </x:c>
      <x:c r="B14" s="12" t="str">
        <x:v>承認・発行競合</x:v>
      </x:c>
      <x:c r="C14" s="12" t="str">
        <x:v>承認が先に完了した後の古い発行画面を拒否</x:v>
      </x:c>
      <x:c r="D14" s="12" t="str">
        <x:v>担当者設定→再ログイン→起点画面→保存／帳票取得</x:v>
      </x:c>
      <x:c r="E14" s="12" t="str">
        <x:v>Aは契約内容、Bは審査・承認画面を開き、同じ期間を対象にできる。添付保存先が準備済み。</x:v>
      </x:c>
      <x:c r="F14" s="12" t="str">
        <x:v>1. Bが審査／承認を完了。
2. Aが古い画面から登録を伴う契約発行を実行。
3. 承認状態・添付・取得結果を確認。</x:v>
      </x:c>
      <x:c r="G14" s="12" t="str">
        <x:v>サーバの最新承認状態・承認済み添付を優先し、古い画面の作成中状態へ戻して再発行しない。承認結果・添付を保持し拒否通知。</x:v>
      </x:c>
      <x:c r="H14" s="12" t="str">
        <x:v>－</x:v>
      </x:c>
      <x:c r="I14" s="12"/>
      <x:c r="J14" s="12"/>
      <x:c r="K14" s="13"/>
      <x:c r="L14" s="12"/>
      <x:c r="M14" s="12"/>
      <x:c r="N14" s="12"/>
      <x:c r="O14" s="13"/>
      <x:c r="P14" s="12" t="str">
        <x:f>IF(M14&lt;&gt;"",M14,IF(I14="","未実施",I14))</x:f>
        <x:v>未実施</x:v>
      </x:c>
      <x:c r="Q14" s="12" t="str">
        <x:v>根拠B：担当者権限取得・ScreenAuthorityInterceptor／各起点Controller／Mcm1005uServiceのlock・conflict。単体参照：1003P-26、29。分担：単体の表示・形式・計算を再実施せず、ここは画面・DB・処理間の引継ぎを確認。承認済み→古い画面の競合条件。一般の数量更新の排他ケースとは区別。</x:v>
      </x:c>
    </x:row>
  </x:sheetData>
  <x:mergeCells>
    <x:mergeCell ref="A1:Q1"/>
    <x:mergeCell ref="A2:Q2"/>
    <x:mergeCell ref="A3:Q3"/>
  </x:mergeCells>
  <x:dataValidations count="2">
    <x:dataValidation type="list" sqref="I10:I14">
      <x:formula1>"未実施,OK,NG,保留,対象外"</x:formula1>
    </x:dataValidation>
    <x:dataValidation type="list" sqref="M10:M14">
      <x:formula1>"未実施,OK,NG,保留,対象外"</x:formula1>
    </x:dataValidation>
  </x:dataValidations>
  <x:pageMargins left="0.7" right="0.7" top="0.75" bottom="0.75" header="0.3" footer="0.3"/>
</x:worksheet>
</file>