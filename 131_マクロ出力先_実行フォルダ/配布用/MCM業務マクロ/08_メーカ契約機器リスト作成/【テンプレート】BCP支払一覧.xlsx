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M03397\Desktop\temp\マクロ\作成マクロ集\終息リスト\tool\test\"/>
    </mc:Choice>
  </mc:AlternateContent>
  <bookViews>
    <workbookView xWindow="0" yWindow="0" windowWidth="25200" windowHeight="11400"/>
  </bookViews>
  <sheets>
    <sheet name="支払一覧" sheetId="1" r:id="rId1"/>
    <sheet name="取込リスト" sheetId="2" r:id="rId2"/>
    <sheet name="製番リスト" sheetId="3" r:id="rId3"/>
    <sheet name="取引先契約期間データ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1" l="1"/>
  <c r="M1" i="1"/>
  <c r="L1" i="1"/>
  <c r="J1" i="1"/>
  <c r="I1" i="1"/>
  <c r="H1" i="1"/>
  <c r="F1" i="1"/>
  <c r="C1" i="1"/>
  <c r="G1" i="1" s="1"/>
  <c r="B1" i="1"/>
  <c r="E1" i="1"/>
</calcChain>
</file>

<file path=xl/sharedStrings.xml><?xml version="1.0" encoding="utf-8"?>
<sst xmlns="http://schemas.openxmlformats.org/spreadsheetml/2006/main" count="54" uniqueCount="44">
  <si>
    <t>NO.</t>
    <phoneticPr fontId="3"/>
  </si>
  <si>
    <t>CSﾅﾝﾊﾞ</t>
  </si>
  <si>
    <t>納入先名</t>
  </si>
  <si>
    <t>店舗名</t>
  </si>
  <si>
    <t>契約書No</t>
  </si>
  <si>
    <t>取引先名</t>
  </si>
  <si>
    <t>支払回数</t>
  </si>
  <si>
    <t>支払月</t>
  </si>
  <si>
    <t>支払金額</t>
  </si>
  <si>
    <t>支払製番</t>
    <rPh sb="2" eb="3">
      <t>セイ</t>
    </rPh>
    <rPh sb="3" eb="4">
      <t>バン</t>
    </rPh>
    <phoneticPr fontId="2"/>
  </si>
  <si>
    <t>サポートID</t>
    <phoneticPr fontId="2"/>
  </si>
  <si>
    <t>取引先契約ID</t>
    <rPh sb="0" eb="2">
      <t>トリヒキ</t>
    </rPh>
    <rPh sb="2" eb="3">
      <t>サキ</t>
    </rPh>
    <rPh sb="3" eb="5">
      <t>ケイヤク</t>
    </rPh>
    <phoneticPr fontId="2"/>
  </si>
  <si>
    <t>担当店舗</t>
    <rPh sb="0" eb="2">
      <t>タントウ</t>
    </rPh>
    <rPh sb="2" eb="4">
      <t>テンポ</t>
    </rPh>
    <phoneticPr fontId="2"/>
  </si>
  <si>
    <t>合計価格</t>
    <rPh sb="0" eb="2">
      <t>ゴウケイ</t>
    </rPh>
    <rPh sb="2" eb="4">
      <t>カカク</t>
    </rPh>
    <phoneticPr fontId="2"/>
  </si>
  <si>
    <t>納入先名</t>
    <rPh sb="0" eb="2">
      <t>ノウニュウ</t>
    </rPh>
    <rPh sb="2" eb="3">
      <t>サキ</t>
    </rPh>
    <rPh sb="3" eb="4">
      <t>メイ</t>
    </rPh>
    <phoneticPr fontId="2"/>
  </si>
  <si>
    <t>取引先CD</t>
    <rPh sb="0" eb="2">
      <t>トリヒキ</t>
    </rPh>
    <rPh sb="2" eb="3">
      <t>サキ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</si>
  <si>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</si>
  <si>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取引先契約No</t>
    <rPh sb="0" eb="2">
      <t>トリヒキ</t>
    </rPh>
    <rPh sb="2" eb="3">
      <t>サキ</t>
    </rPh>
    <rPh sb="3" eb="5">
      <t>ケイヤク</t>
    </rPh>
    <phoneticPr fontId="2"/>
  </si>
  <si>
    <t>契約満了日</t>
    <rPh sb="0" eb="2">
      <t>ケイヤク</t>
    </rPh>
    <rPh sb="2" eb="4">
      <t>マンリョウ</t>
    </rPh>
    <rPh sb="4" eb="5">
      <t>ビ</t>
    </rPh>
    <phoneticPr fontId="2"/>
  </si>
  <si>
    <t>支払い回数</t>
    <rPh sb="0" eb="2">
      <t>シハラ</t>
    </rPh>
    <rPh sb="3" eb="5">
      <t>カイスウ</t>
    </rPh>
    <phoneticPr fontId="2"/>
  </si>
  <si>
    <t>製番開始</t>
    <rPh sb="0" eb="1">
      <t>セイ</t>
    </rPh>
    <rPh sb="1" eb="2">
      <t>バン</t>
    </rPh>
    <rPh sb="2" eb="4">
      <t>カイシ</t>
    </rPh>
    <phoneticPr fontId="2"/>
  </si>
  <si>
    <t>製番終了</t>
    <rPh sb="0" eb="1">
      <t>セイ</t>
    </rPh>
    <rPh sb="1" eb="2">
      <t>バン</t>
    </rPh>
    <rPh sb="2" eb="4">
      <t>シュウリョウ</t>
    </rPh>
    <phoneticPr fontId="2"/>
  </si>
  <si>
    <t>HW製番</t>
    <rPh sb="2" eb="3">
      <t>セイ</t>
    </rPh>
    <rPh sb="3" eb="4">
      <t>バン</t>
    </rPh>
    <phoneticPr fontId="2"/>
  </si>
  <si>
    <t>支払コード</t>
    <rPh sb="0" eb="2">
      <t>シハライ</t>
    </rPh>
    <phoneticPr fontId="3"/>
  </si>
  <si>
    <t>0500115</t>
  </si>
  <si>
    <t>全国農業協同組合連合会　秋田県本部</t>
  </si>
  <si>
    <t>111 盛岡</t>
  </si>
  <si>
    <t>GB547</t>
  </si>
  <si>
    <t>(株)瑞穂</t>
  </si>
  <si>
    <t>1607-003</t>
  </si>
  <si>
    <t>1BF006114</t>
  </si>
  <si>
    <t>サポートID</t>
    <phoneticPr fontId="2"/>
  </si>
  <si>
    <t>製番開始</t>
  </si>
  <si>
    <t>製番終了</t>
  </si>
  <si>
    <t>HW製番</t>
  </si>
  <si>
    <t>製番使用可否判定</t>
  </si>
  <si>
    <t>契約期間開始</t>
  </si>
  <si>
    <t>契約期間終了</t>
  </si>
  <si>
    <t>期間</t>
  </si>
  <si>
    <t>更新</t>
  </si>
  <si>
    <t>各行にコピー→</t>
    <rPh sb="0" eb="2">
      <t>カクギョウ</t>
    </rPh>
    <phoneticPr fontId="2"/>
  </si>
  <si>
    <t>↓取込リストA列からコピー</t>
    <rPh sb="1" eb="3">
      <t>トリコミ</t>
    </rPh>
    <rPh sb="7" eb="8">
      <t>レツ</t>
    </rPh>
    <phoneticPr fontId="2"/>
  </si>
  <si>
    <t>P05-00115</t>
  </si>
  <si>
    <t>盛岡カスタマーステーション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</si>
</sst>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&quot;年&quot;m&quot;月&quot;;@"/>
    <numFmt numFmtId="177" formatCode="&quot;¥&quot;#,##0_);[Red]\(&quot;¥&quot;#,##0\)"/>
    <numFmt numFmtId="178" formatCode="yyyy/mm/dd"/>
  </numFmts>
  <fonts count="6" x14ac:knownFonts="1">
    <font>
      <sz val="11"/>
      <color theme="1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left" vertical="center"/>
    </xf>
    <xf numFmtId="177" fontId="1" fillId="2" borderId="1" xfId="0" applyNumberFormat="1" applyFont="1" applyFill="1" applyBorder="1" applyAlignment="1">
      <alignment horizontal="right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5" fillId="3" borderId="1" xfId="0" applyFont="1" applyFill="1" applyBorder="1">
      <alignment vertical="center"/>
    </xf>
    <xf numFmtId="177" fontId="5" fillId="0" borderId="0" xfId="0" applyNumberFormat="1" applyFont="1">
      <alignment vertical="center"/>
    </xf>
    <xf numFmtId="49" fontId="5" fillId="0" borderId="0" xfId="0" applyNumberFormat="1" applyFont="1" applyAlignment="1"/>
    <xf numFmtId="0" fontId="5" fillId="0" borderId="0" xfId="0" applyFont="1" applyAlignment="1"/>
    <xf numFmtId="14" fontId="5" fillId="0" borderId="0" xfId="0" applyNumberFormat="1" applyFont="1" applyAlignment="1"/>
    <xf numFmtId="49" fontId="5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</cellXfs>
  <cellStyles count="1">
    <cellStyle name="標準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"/>
  <sheetViews>
    <sheetView tabSelected="1" workbookViewId="0">
      <selection activeCell="L7" sqref="L7"/>
    </sheetView>
  </sheetViews>
  <sheetFormatPr defaultRowHeight="13.5" x14ac:dyDescent="0.15"/>
  <cols>
    <col min="1" max="1" width="13.5" style="7" customWidth="1"/>
    <col min="2" max="11" width="9" style="7"/>
    <col min="12" max="12" width="9" style="13"/>
    <col min="13" max="14" width="9" style="7"/>
    <col min="17" max="16384" width="9" style="7"/>
  </cols>
  <sheetData>
    <row r="1" spans="1:16" x14ac:dyDescent="0.15">
      <c r="A1" s="7" t="s">
        <v>40</v>
      </c>
      <c r="B1" s="7" t="e">
        <f>VLOOKUP($A1,取込リスト!$A$2:$R$65536,2,FALSE)</f>
        <v>#N/A</v>
      </c>
      <c r="C1" s="7" t="e">
        <f>VLOOKUP($A1,取込リスト!$A$2:$R$65536,4,FALSE)</f>
        <v>#N/A</v>
      </c>
      <c r="E1" s="7" t="e">
        <f>"P"&amp;LEFT(B1,2)&amp;"-"&amp;RIGHT(B1,5)</f>
        <v>#N/A</v>
      </c>
      <c r="F1" s="7" t="e">
        <f>VLOOKUP($A1,取込リスト!$A$2:$R$65536,3,FALSE)</f>
        <v>#N/A</v>
      </c>
      <c r="G1" s="7" t="e">
        <f>RIGHT(C1,LEN(C1)-4)&amp;"カスタマーステーション"</f>
        <v>#N/A</v>
      </c>
      <c r="H1" s="7" t="e">
        <f>VLOOKUP($A1,取込リスト!$A$2:$R$65536,7,FALSE)</f>
        <v>#N/A</v>
      </c>
      <c r="I1" s="7" t="e">
        <f>VLOOKUP($A1,取込リスト!$A$2:$R$65536,6,FALSE)</f>
        <v>#N/A</v>
      </c>
      <c r="J1" s="7" t="e">
        <f>VLOOKUP($A1,取込リスト!$A$2:$R$65536,10,FALSE)</f>
        <v>#N/A</v>
      </c>
      <c r="L1" s="13" t="e">
        <f>VLOOKUP($A1,取込リスト!$A$2:$R$65536,18,FALSE)</f>
        <v>#N/A</v>
      </c>
      <c r="M1" s="7" t="e">
        <f>VLOOKUP($A1,取込リスト!$A$2:$R$65536,13,FALSE)</f>
        <v>#N/A</v>
      </c>
      <c r="N1" s="7" t="e">
        <f>VLOOKUP($A1,取込リスト!$A$2:$R$65536,5,FALSE)</f>
        <v>#N/A</v>
      </c>
    </row>
    <row r="2" spans="1:16" x14ac:dyDescent="0.15">
      <c r="A2" s="7" t="s">
        <v>41</v>
      </c>
    </row>
    <row r="3" spans="1:16" ht="11.25" x14ac:dyDescent="0.15">
      <c r="A3" s="12" t="s">
        <v>11</v>
      </c>
      <c r="B3" s="12" t="s">
        <v>10</v>
      </c>
      <c r="C3" s="12" t="s">
        <v>12</v>
      </c>
      <c r="D3" s="1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3" t="s">
        <v>6</v>
      </c>
      <c r="K3" s="4" t="s">
        <v>7</v>
      </c>
      <c r="L3" s="5" t="s">
        <v>8</v>
      </c>
      <c r="M3" s="5" t="s">
        <v>9</v>
      </c>
      <c r="N3" s="2" t="s">
        <v>23</v>
      </c>
      <c r="O3" s="7"/>
      <c r="P3" s="7"/>
    </row>
    <row r="4" spans="1:16" ht="11.25" x14ac:dyDescent="0.15">
      <c r="A4" s="7">
        <v>10639</v>
      </c>
      <c r="B4" s="7" t="s">
        <v>24</v>
      </c>
      <c r="C4" s="7" t="s">
        <v>26</v>
      </c>
      <c r="E4" s="7" t="s">
        <v>42</v>
      </c>
      <c r="F4" s="7" t="s">
        <v>25</v>
      </c>
      <c r="G4" s="7" t="s">
        <v>43</v>
      </c>
      <c r="H4" s="7" t="s">
        <v>29</v>
      </c>
      <c r="I4" s="7" t="s">
        <v>28</v>
      </c>
      <c r="J4" s="7">
        <v>12</v>
      </c>
      <c r="L4" s="13">
        <v>10300</v>
      </c>
      <c r="M4" s="7" t="s">
        <v>30</v>
      </c>
      <c r="N4" s="7" t="s">
        <v>27</v>
      </c>
      <c r="O4" s="7"/>
      <c r="P4" s="7"/>
    </row>
  </sheetData>
  <phoneticPr fontId="2"/>
  <conditionalFormatting sqref="H3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2"/>
  <sheetViews>
    <sheetView workbookViewId="0">
      <selection activeCell="D21" sqref="D21"/>
    </sheetView>
  </sheetViews>
  <sheetFormatPr defaultRowHeight="11.25" x14ac:dyDescent="0.15"/>
  <cols>
    <col min="1" max="6" width="9" style="6"/>
    <col min="7" max="7" width="9" style="17"/>
    <col min="8" max="8" width="11" style="18" bestFit="1" customWidth="1"/>
    <col min="9" max="10" width="9" style="6"/>
    <col min="11" max="11" width="11.625" style="6" bestFit="1" customWidth="1"/>
    <col min="12" max="16384" width="9" style="6"/>
  </cols>
  <sheetData>
    <row r="1" spans="1:19" x14ac:dyDescent="0.15">
      <c r="A1" s="6" t="s">
        <v>11</v>
      </c>
      <c r="B1" s="14" t="s">
        <v>31</v>
      </c>
      <c r="C1" s="6" t="s">
        <v>14</v>
      </c>
      <c r="D1" s="6" t="s">
        <v>12</v>
      </c>
      <c r="E1" s="6" t="s">
        <v>15</v>
      </c>
      <c r="F1" s="15" t="s">
        <v>16</v>
      </c>
      <c r="G1" s="14" t="s">
        <v>17</v>
      </c>
      <c r="H1" s="16" t="s">
        <v>18</v>
      </c>
      <c r="I1" s="15" t="s">
        <v>13</v>
      </c>
      <c r="J1" s="15" t="s">
        <v>19</v>
      </c>
      <c r="K1" s="6" t="s">
        <v>32</v>
      </c>
      <c r="L1" s="6" t="s">
        <v>33</v>
      </c>
      <c r="M1" s="6" t="s">
        <v>34</v>
      </c>
      <c r="N1" s="6" t="s">
        <v>35</v>
      </c>
      <c r="O1" s="6" t="s">
        <v>36</v>
      </c>
      <c r="P1" s="6" t="s">
        <v>37</v>
      </c>
      <c r="Q1" s="6" t="s">
        <v>38</v>
      </c>
      <c r="R1" s="6" t="s">
        <v>8</v>
      </c>
      <c r="S1" s="6" t="s">
        <v>39</v>
      </c>
    </row>
    <row r="2" spans="1:19" x14ac:dyDescent="0.15">
      <c r="K2" s="19"/>
      <c r="L2" s="19"/>
      <c r="O2" s="19"/>
      <c r="P2" s="19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"/>
  <sheetViews>
    <sheetView workbookViewId="0">
      <selection activeCell="G22" sqref="G22"/>
    </sheetView>
  </sheetViews>
  <sheetFormatPr defaultRowHeight="11.25" x14ac:dyDescent="0.15"/>
  <cols>
    <col min="1" max="6" width="9" style="7"/>
    <col min="7" max="7" width="9" style="17"/>
    <col min="8" max="9" width="9" style="18"/>
    <col min="10" max="16384" width="9" style="7"/>
  </cols>
  <sheetData>
    <row r="1" spans="1:12" x14ac:dyDescent="0.15">
      <c r="A1" s="8" t="s">
        <v>11</v>
      </c>
      <c r="B1" s="9" t="s">
        <v>10</v>
      </c>
      <c r="C1" s="10" t="s">
        <v>14</v>
      </c>
      <c r="D1" s="10" t="s">
        <v>12</v>
      </c>
      <c r="E1" s="10" t="s">
        <v>15</v>
      </c>
      <c r="F1" s="10" t="s">
        <v>16</v>
      </c>
      <c r="G1" s="9" t="s">
        <v>17</v>
      </c>
      <c r="H1" s="11" t="s">
        <v>20</v>
      </c>
      <c r="I1" s="11" t="s">
        <v>21</v>
      </c>
      <c r="J1" s="10" t="s">
        <v>22</v>
      </c>
      <c r="L1" s="10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>
      <selection activeCell="G19" sqref="G19"/>
    </sheetView>
  </sheetViews>
  <sheetFormatPr defaultRowHeight="11.25" x14ac:dyDescent="0.15"/>
  <cols>
    <col min="1" max="16384" width="9" style="6"/>
  </cols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支払一覧</vt:lpstr>
      <vt:lpstr>取込リスト</vt:lpstr>
      <vt:lpstr>製番リスト</vt:lpstr>
      <vt:lpstr>取引先契約期間データ</vt:lpstr>
    </vt:vector>
  </TitlesOfParts>
  <Company>（株）ダイフク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　優一郎</dc:creator>
  <cp:lastModifiedBy>森　優一郎</cp:lastModifiedBy>
  <dcterms:created xsi:type="dcterms:W3CDTF">2018-10-01T05:24:11Z</dcterms:created>
  <dcterms:modified xsi:type="dcterms:W3CDTF">2018-10-03T06:26:15Z</dcterms:modified>
</cp:coreProperties>
</file>