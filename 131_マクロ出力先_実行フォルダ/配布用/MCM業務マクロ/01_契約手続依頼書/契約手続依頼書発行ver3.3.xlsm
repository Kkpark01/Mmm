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保守見積作成\マクロ\"/>
    </mc:Choice>
  </mc:AlternateContent>
  <xr:revisionPtr revIDLastSave="0" documentId="13_ncr:1_{CE8021CF-1E8B-4CA9-8722-54BB8FC13CAD}" xr6:coauthVersionLast="47" xr6:coauthVersionMax="47" xr10:uidLastSave="{00000000-0000-0000-0000-000000000000}"/>
  <bookViews>
    <workbookView xWindow="480" yWindow="195" windowWidth="24885" windowHeight="14715" xr2:uid="{00000000-000D-0000-FFFF-FFFF00000000}"/>
  </bookViews>
  <sheets>
    <sheet name="取引先契約手続依頼書発行" sheetId="2" r:id="rId1"/>
    <sheet name="契約手続SQL" sheetId="1" r:id="rId2"/>
    <sheet name="解約手続SQL" sheetId="13" state="hidden" r:id="rId3"/>
    <sheet name="対象月算出シート" sheetId="9" state="hidden" r:id="rId4"/>
    <sheet name="_MCM_SQL" sheetId="14" state="veryHidden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" i="2" l="1"/>
  <c r="D20" i="2"/>
  <c r="A273" i="13"/>
  <c r="A272" i="13"/>
  <c r="A120" i="13"/>
  <c r="A119" i="13"/>
  <c r="E21" i="2"/>
  <c r="D21" i="2"/>
  <c r="A271" i="13" l="1"/>
  <c r="A118" i="13"/>
  <c r="A83" i="13"/>
  <c r="A210" i="13"/>
  <c r="A81" i="13"/>
  <c r="A208" i="13"/>
  <c r="C19" i="2"/>
  <c r="C21" i="2"/>
  <c r="C20" i="2"/>
  <c r="C18" i="2"/>
  <c r="C3" i="9" l="1"/>
  <c r="D3" i="9" s="1"/>
  <c r="E3" i="9" s="1"/>
  <c r="A262" i="1"/>
  <c r="A113" i="1"/>
</calcChain>
</file>

<file path=xl/sharedStrings.xml><?xml version="1.0" encoding="utf-8"?>
<sst xmlns="http://schemas.openxmlformats.org/spreadsheetml/2006/main" count="553" uniqueCount="208">
  <si>
    <t>SET SERVEROUTPUT ON</t>
  </si>
  <si>
    <t>SET HEADING ON</t>
  </si>
  <si>
    <t>SET FEEDBACK OFF</t>
  </si>
  <si>
    <t>SET TRIMSPOOL ON</t>
  </si>
  <si>
    <t>SET TERMOUT OFF</t>
  </si>
  <si>
    <t>SET ECHO OFF</t>
  </si>
  <si>
    <t>SET PAGESIZE 0</t>
  </si>
  <si>
    <t>SET LINESIZE 4000</t>
  </si>
  <si>
    <t>SELECT DISTINCT</t>
  </si>
  <si>
    <t xml:space="preserve"> '"' ||</t>
  </si>
  <si>
    <t>TKA.TK_KEIYAKU_ID || '","' ||</t>
  </si>
  <si>
    <t>TKA.KEIYAKU_NO || '","' ||</t>
  </si>
  <si>
    <t>TO_CHAR(TKA.SHOKAI_KEIYAKU_DT,'yyyy/mm/dd') || '","' ||</t>
  </si>
  <si>
    <t>TO_CHAR(TKA.KAIYAKU_DT,'yyyy/mm/dd') || '","' ||</t>
  </si>
  <si>
    <t>CASE</t>
  </si>
  <si>
    <t xml:space="preserve"> WHEN TKA.JOTAI = '0' THEN '依頼'</t>
  </si>
  <si>
    <t xml:space="preserve"> WHEN TKA.JOTAI = '1' THEN '見積'</t>
  </si>
  <si>
    <t xml:space="preserve"> WHEN TKA.JOTAI = '2' THEN '契約'</t>
  </si>
  <si>
    <t xml:space="preserve"> WHEN TKA.JOTAI = '3' THEN '破棄'</t>
  </si>
  <si>
    <t xml:space="preserve"> WHEN TKA.JOTAI = '4' THEN '解約'</t>
  </si>
  <si>
    <t xml:space="preserve"> WHEN TKA.JOTAI = '9' THEN '作成中'</t>
  </si>
  <si>
    <t xml:space="preserve"> ELSE NULL</t>
  </si>
  <si>
    <t>END || '","' ||</t>
  </si>
  <si>
    <t>MAK.TORIHIKISAKI_NK || '","' ||</t>
  </si>
  <si>
    <t>MAL.TORISYUTANTOSYA_NK || '","' ||</t>
  </si>
  <si>
    <t>MAA.NONYUSAKI_NK || ' ' ||</t>
  </si>
  <si>
    <t>MAA.NONYUSAKIKOJO_NK || '","' ||</t>
  </si>
  <si>
    <t>'〒' || substr(MAA.YUBIN_NO,1,3) || '-' || substr(MAA.YUBIN_NO,4,4) || '","' ||</t>
  </si>
  <si>
    <t>MAA.JUSYO1_NK || ' ' ||</t>
  </si>
  <si>
    <t>MAA.JUSYO2_NK || '","' ||</t>
  </si>
  <si>
    <t>MAB.NONYUTEL_NO || '","' ||</t>
  </si>
  <si>
    <t>MAB.NONYUBUSYO_NK || '","' ||</t>
  </si>
  <si>
    <t>MAB.NONYUTANTOSYA_NK || '","' ||</t>
  </si>
  <si>
    <t>LPAD(TO_CHAR(TKB1.SUPPORT_ID),7,'0') || '","' ||</t>
  </si>
  <si>
    <t>TKB1.SIKIRIGOKEI_KIN || '","' ||</t>
  </si>
  <si>
    <t>TKJ.KAISU || '","' ||</t>
  </si>
  <si>
    <t>TKB1.KEIYAKUJIKANTAI || '","' ||</t>
  </si>
  <si>
    <t xml:space="preserve"> WHEN TKK.ON_FLG = '1' AND TO_CHAR(TKK.TSUKI,'MM') = '01'</t>
  </si>
  <si>
    <t xml:space="preserve">  THEN '2048'</t>
  </si>
  <si>
    <t xml:space="preserve"> WHEN TKK.ON_FLG = '1' AND TO_CHAR(TKK.TSUKI,'MM') = '02'</t>
  </si>
  <si>
    <t xml:space="preserve">  THEN '1024'</t>
  </si>
  <si>
    <t xml:space="preserve"> WHEN TKK.ON_FLG = '1' AND TO_CHAR(TKK.TSUKI,'MM') = '03'</t>
  </si>
  <si>
    <t xml:space="preserve">  THEN '512'</t>
  </si>
  <si>
    <t xml:space="preserve"> WHEN TKK.ON_FLG = '1' AND TO_CHAR(TKK.TSUKI,'MM') = '04'</t>
  </si>
  <si>
    <t xml:space="preserve">  THEN '256'</t>
  </si>
  <si>
    <t xml:space="preserve"> WHEN TKK.ON_FLG = '1' AND TO_CHAR(TKK.TSUKI,'MM') = '05'</t>
  </si>
  <si>
    <t xml:space="preserve">  THEN '128'</t>
  </si>
  <si>
    <t xml:space="preserve"> WHEN TKK.ON_FLG = '1' AND TO_CHAR(TKK.TSUKI,'MM') = '06'</t>
  </si>
  <si>
    <t xml:space="preserve">  THEN '64'</t>
  </si>
  <si>
    <t xml:space="preserve"> WHEN TKK.ON_FLG = '1' AND TO_CHAR(TKK.TSUKI,'MM') = '07'</t>
  </si>
  <si>
    <t xml:space="preserve">  THEN '32'</t>
  </si>
  <si>
    <t xml:space="preserve"> WHEN TKK.ON_FLG = '1' AND TO_CHAR(TKK.TSUKI,'MM') = '08'</t>
  </si>
  <si>
    <t xml:space="preserve">  THEN '16'</t>
  </si>
  <si>
    <t xml:space="preserve"> WHEN TKK.ON_FLG = '1' AND TO_CHAR(TKK.TSUKI,'MM') = '09'</t>
  </si>
  <si>
    <t xml:space="preserve">  THEN '8'</t>
  </si>
  <si>
    <t xml:space="preserve"> WHEN TKK.ON_FLG = '1' AND TO_CHAR(TKK.TSUKI,'MM') = '10'</t>
  </si>
  <si>
    <t xml:space="preserve">  THEN '4'</t>
  </si>
  <si>
    <t xml:space="preserve"> WHEN TKK.ON_FLG = '1' AND TO_CHAR(TKK.TSUKI,'MM') = '11'</t>
  </si>
  <si>
    <t xml:space="preserve">  THEN '2'</t>
  </si>
  <si>
    <t xml:space="preserve"> WHEN TKK.ON_FLG = '1' AND TO_CHAR(TKK.TSUKI,'MM') = '12'</t>
  </si>
  <si>
    <t xml:space="preserve">  THEN '1'</t>
  </si>
  <si>
    <t>END||</t>
  </si>
  <si>
    <t xml:space="preserve"> '"'</t>
  </si>
  <si>
    <t>FROM</t>
  </si>
  <si>
    <t>MCM_TK_KEIYAKU TKA</t>
  </si>
  <si>
    <t>JOIN</t>
  </si>
  <si>
    <t>MCM_TK_KIKAN TKB1</t>
  </si>
  <si>
    <t>ON</t>
  </si>
  <si>
    <t xml:space="preserve"> TKA.TK_KEIYAKU_ID = TKB1.TK_KEIYAKU_ID</t>
  </si>
  <si>
    <t>INNER JOIN (SELECT</t>
  </si>
  <si>
    <t xml:space="preserve">             TK_KEIYAKU_ID,</t>
  </si>
  <si>
    <t xml:space="preserve">             MAX(TK_KIKAN_ID) MaxID</t>
  </si>
  <si>
    <t xml:space="preserve">            FROM</t>
  </si>
  <si>
    <t xml:space="preserve">             MCM_TK_KIKAN</t>
  </si>
  <si>
    <t xml:space="preserve">            GROUP BY</t>
  </si>
  <si>
    <t xml:space="preserve">             TK_KEIYAKU_ID) TKB2</t>
  </si>
  <si>
    <t xml:space="preserve"> TKB1.TK_KEIYAKU_ID = TKB2.TK_KEIYAKU_ID</t>
  </si>
  <si>
    <t xml:space="preserve"> AND</t>
  </si>
  <si>
    <t xml:space="preserve">  TKB1.TK_KIKAN_ID = TKB2.MaxID</t>
  </si>
  <si>
    <t xml:space="preserve"> MCM_MA_TORIHIKISAKI MAK</t>
  </si>
  <si>
    <t xml:space="preserve"> TKB1.TORIHIKISAKI_ID = MAK.TORIHIKISAKI_ID</t>
  </si>
  <si>
    <t xml:space="preserve"> MCM_MA_TORIMADOGUCHI MAL</t>
  </si>
  <si>
    <t xml:space="preserve"> TKB1.TORIHIKISAKI_ID = MAL.TORIHIKISAKI_ID</t>
  </si>
  <si>
    <t xml:space="preserve"> MCM_MA_NONYUSAKI MAA</t>
  </si>
  <si>
    <t xml:space="preserve"> TKB1.NONYUSAKI_ID = MAA.NONYUSAKI_ID</t>
  </si>
  <si>
    <t xml:space="preserve"> MCM_MA_PLANT MAB</t>
  </si>
  <si>
    <t xml:space="preserve"> TKB1.PLANT_ID = MAB.PLANT_ID</t>
  </si>
  <si>
    <t xml:space="preserve"> MCM_TK_SIHARAI TKJ</t>
  </si>
  <si>
    <t xml:space="preserve"> TKB1.TK_KIKAN_ID = TKJ.TK_KIKAN_ID</t>
  </si>
  <si>
    <t xml:space="preserve"> MCM_TK_SIHARAIMEISAI TKK</t>
  </si>
  <si>
    <t xml:space="preserve"> TKJ.TK_SIHARAI_ID = TKK.TK_SIHARAI_ID</t>
  </si>
  <si>
    <t>WHERE</t>
  </si>
  <si>
    <t xml:space="preserve"> AND MAL.MADOGUCHI_KBN = '2'</t>
  </si>
  <si>
    <t>SPOOL OFF</t>
  </si>
  <si>
    <t>quit</t>
  </si>
  <si>
    <t>SELECT</t>
  </si>
  <si>
    <t>TKC.TEHAISEIBAN || '","' ||</t>
  </si>
  <si>
    <t>TKD.KIKIHINMEI_NK || '","' ||</t>
  </si>
  <si>
    <t>TKD.KIKIKATASHIKI || '","' ||</t>
  </si>
  <si>
    <t xml:space="preserve"> WHEN MAM.KOTAIKANRI_FLG = '1'</t>
  </si>
  <si>
    <t xml:space="preserve">  THEN TO_CHAR(MAG.SERIAL_NO)</t>
  </si>
  <si>
    <t>TKH.TENKENKAISU ||'回/年","' ||</t>
  </si>
  <si>
    <t xml:space="preserve"> MCM_TK_KIKIKOSEI TKC</t>
  </si>
  <si>
    <t xml:space="preserve"> TKB1.TK_KIKAN_ID = TKC.TK_KIKAN_ID</t>
  </si>
  <si>
    <t xml:space="preserve"> MCM_TK_KIKIMEISAI TKD</t>
  </si>
  <si>
    <t xml:space="preserve"> TKC.TK_KIKIKOSEI_ID = TKD.TK_KIKIKOSEI_ID</t>
  </si>
  <si>
    <t xml:space="preserve"> MCM_MA_KIKIKOSEI MAE</t>
  </si>
  <si>
    <t xml:space="preserve"> TKC.KIKIKOSEI_ID = MAE.KIKIKOSEI_ID</t>
  </si>
  <si>
    <t xml:space="preserve"> MCM_MA_ATSUKAIKIKI MAH</t>
  </si>
  <si>
    <t xml:space="preserve"> TKD.ATSUKAIKIKI_ID = MAH.ATSUKAIKIKI_ID</t>
  </si>
  <si>
    <t xml:space="preserve"> MCM_MA_KIKIBUNRUI MAM</t>
  </si>
  <si>
    <t xml:space="preserve"> MAH.KIKIBUNRUI_ID = MAM.KIKIBUNRUI_ID</t>
  </si>
  <si>
    <t xml:space="preserve"> MCM_TK_TENKEN TKH</t>
  </si>
  <si>
    <t xml:space="preserve"> TKC.TK_KIKIKOSEI_ID = TKH.TK_KIKIKOSEI_ID</t>
  </si>
  <si>
    <t>AND</t>
  </si>
  <si>
    <t xml:space="preserve"> MAM.OYAKIKIBUNRUI_CD = TKH.OYAKIKIBUNRUI_CD</t>
  </si>
  <si>
    <t xml:space="preserve"> MCM_TK_TENKENMEISAI TKI</t>
  </si>
  <si>
    <t xml:space="preserve"> TKH.TK_TENKEN_ID = TKI.TK_TENKEN_ID</t>
  </si>
  <si>
    <t xml:space="preserve"> MCM_TK_KOTAIMEISAI TKE</t>
  </si>
  <si>
    <t xml:space="preserve"> TKD.TK_KIKIMEISAI_ID =TKE.TK_KIKIMEISAI_ID</t>
  </si>
  <si>
    <t xml:space="preserve"> MCM_MA_KIKIKOTAIKANRI MAG</t>
  </si>
  <si>
    <t xml:space="preserve"> TKE.KOTAIKANRI_ID = MAG.KOTAIKANRI_ID</t>
  </si>
  <si>
    <t>ORDER BY</t>
  </si>
  <si>
    <t>SPOOL 契約手続ヘッダ情報(先頭タブ).csv</t>
    <phoneticPr fontId="1"/>
  </si>
  <si>
    <t>対象月フラグ</t>
    <rPh sb="0" eb="2">
      <t>タイショウ</t>
    </rPh>
    <rPh sb="2" eb="3">
      <t>ツキ</t>
    </rPh>
    <phoneticPr fontId="1"/>
  </si>
  <si>
    <t>対象月値</t>
    <rPh sb="0" eb="2">
      <t>タイショウ</t>
    </rPh>
    <rPh sb="3" eb="4">
      <t>アタイ</t>
    </rPh>
    <phoneticPr fontId="1"/>
  </si>
  <si>
    <t>ELSE NULL</t>
    <phoneticPr fontId="1"/>
  </si>
  <si>
    <t>見積No（契約書No）</t>
    <rPh sb="0" eb="2">
      <t>ミツモリ</t>
    </rPh>
    <rPh sb="5" eb="7">
      <t>ケイヤク</t>
    </rPh>
    <rPh sb="7" eb="8">
      <t>ショ</t>
    </rPh>
    <phoneticPr fontId="1"/>
  </si>
  <si>
    <t>契約依頼出力指示</t>
    <rPh sb="0" eb="1">
      <t>チギリ</t>
    </rPh>
    <rPh sb="1" eb="2">
      <t>ヤク</t>
    </rPh>
    <rPh sb="2" eb="4">
      <t>イライ</t>
    </rPh>
    <rPh sb="4" eb="6">
      <t>シュツリョク</t>
    </rPh>
    <rPh sb="6" eb="8">
      <t>シジ</t>
    </rPh>
    <phoneticPr fontId="1"/>
  </si>
  <si>
    <t>対象月算出結果</t>
    <rPh sb="0" eb="2">
      <t>タイショウ</t>
    </rPh>
    <rPh sb="3" eb="5">
      <t>サンシュツ</t>
    </rPh>
    <rPh sb="5" eb="7">
      <t>ケッカ</t>
    </rPh>
    <phoneticPr fontId="1"/>
  </si>
  <si>
    <t>対象月シリアル</t>
    <rPh sb="0" eb="2">
      <t>タイショウ</t>
    </rPh>
    <rPh sb="2" eb="3">
      <t>ツキ</t>
    </rPh>
    <phoneticPr fontId="1"/>
  </si>
  <si>
    <t>出力データ情報</t>
    <rPh sb="0" eb="2">
      <t>シュツリョク</t>
    </rPh>
    <rPh sb="5" eb="7">
      <t>ジョウホウ</t>
    </rPh>
    <phoneticPr fontId="1"/>
  </si>
  <si>
    <t>サポートID</t>
    <phoneticPr fontId="1"/>
  </si>
  <si>
    <t>納入先名</t>
    <rPh sb="0" eb="2">
      <t>ノウニュウ</t>
    </rPh>
    <rPh sb="2" eb="3">
      <t>サキ</t>
    </rPh>
    <rPh sb="3" eb="4">
      <t>メイ</t>
    </rPh>
    <phoneticPr fontId="1"/>
  </si>
  <si>
    <t>取引先名</t>
    <rPh sb="0" eb="2">
      <t>トリヒキ</t>
    </rPh>
    <rPh sb="2" eb="3">
      <t>サキ</t>
    </rPh>
    <rPh sb="3" eb="4">
      <t>メイ</t>
    </rPh>
    <phoneticPr fontId="1"/>
  </si>
  <si>
    <t>MAA.NONYUSAKI_NK || '","' ||</t>
    <phoneticPr fontId="1"/>
  </si>
  <si>
    <t>prompt 納入先,契約番号,初回契約日,解約日,状態,取引先名,取引先担当者,納入先名,郵便番号,住所,納入先TEL,納入先部署,納入先担当者,サポートID,契約金額,支払回数,契約時間帯,支払月</t>
    <rPh sb="7" eb="9">
      <t>ノウニュウ</t>
    </rPh>
    <rPh sb="9" eb="10">
      <t>サキ</t>
    </rPh>
    <phoneticPr fontId="1"/>
  </si>
  <si>
    <t>見積、契約No</t>
    <rPh sb="0" eb="2">
      <t>ミツモリ</t>
    </rPh>
    <rPh sb="3" eb="5">
      <t>ケイヤク</t>
    </rPh>
    <phoneticPr fontId="1"/>
  </si>
  <si>
    <t>prompt 取引先契約ID,契約番号,構成名No,明細No,状態,サポートID,手配製番,明細/個体管理ID,機器構成名,品名,型式,数量,シリアル番号,点検回数,点検月,統合キー</t>
  </si>
  <si>
    <t>MAE.HYOJIJUN || '","' ||</t>
  </si>
  <si>
    <t>MAF.HYOJIJUN || '","' ||</t>
  </si>
  <si>
    <t>ELSE NULL</t>
  </si>
  <si>
    <t>LEFT JOIN</t>
  </si>
  <si>
    <t xml:space="preserve"> MCM_MA_KIKIMEISAI MAF</t>
  </si>
  <si>
    <t xml:space="preserve"> TKD.KIKIMEISAI_ID = MAF.KIKIMEISAI_ID</t>
  </si>
  <si>
    <t xml:space="preserve"> MAE.HYOJIJUN ASC,</t>
  </si>
  <si>
    <t xml:space="preserve"> MAF.HYOJIJUN ASC;</t>
  </si>
  <si>
    <t>SPOOL 契約手続明細.csv</t>
    <phoneticPr fontId="1"/>
  </si>
  <si>
    <t xml:space="preserve">            WHERE</t>
  </si>
  <si>
    <t xml:space="preserve">             AND</t>
  </si>
  <si>
    <t>解約依頼出力指示</t>
    <rPh sb="0" eb="2">
      <t>カイヤク</t>
    </rPh>
    <rPh sb="2" eb="4">
      <t>イライ</t>
    </rPh>
    <rPh sb="4" eb="6">
      <t>シュツリョク</t>
    </rPh>
    <rPh sb="6" eb="8">
      <t>シジ</t>
    </rPh>
    <phoneticPr fontId="1"/>
  </si>
  <si>
    <t>メーカ契約書No</t>
    <rPh sb="3" eb="5">
      <t>ケイヤク</t>
    </rPh>
    <rPh sb="5" eb="6">
      <t>ショ</t>
    </rPh>
    <phoneticPr fontId="1"/>
  </si>
  <si>
    <t>解約日</t>
    <rPh sb="0" eb="2">
      <t>カイヤク</t>
    </rPh>
    <rPh sb="2" eb="3">
      <t>ビ</t>
    </rPh>
    <phoneticPr fontId="1"/>
  </si>
  <si>
    <t>更新依頼出力指示</t>
    <rPh sb="0" eb="2">
      <t>コウシン</t>
    </rPh>
    <rPh sb="2" eb="4">
      <t>イライ</t>
    </rPh>
    <rPh sb="4" eb="6">
      <t>シュツリョク</t>
    </rPh>
    <rPh sb="6" eb="8">
      <t>シジ</t>
    </rPh>
    <phoneticPr fontId="1"/>
  </si>
  <si>
    <t>契約開始</t>
    <rPh sb="0" eb="2">
      <t>ケイヤク</t>
    </rPh>
    <rPh sb="2" eb="4">
      <t>カイシ</t>
    </rPh>
    <phoneticPr fontId="1"/>
  </si>
  <si>
    <t>新規</t>
    <rPh sb="0" eb="2">
      <t>シンキ</t>
    </rPh>
    <phoneticPr fontId="1"/>
  </si>
  <si>
    <t>解約</t>
    <rPh sb="0" eb="2">
      <t>カイヤク</t>
    </rPh>
    <phoneticPr fontId="1"/>
  </si>
  <si>
    <t>SPOOL 解約手続明細.csv</t>
    <rPh sb="6" eb="8">
      <t>カイヤク</t>
    </rPh>
    <phoneticPr fontId="1"/>
  </si>
  <si>
    <t>SPOOL 解約手続ヘッダ情報(指定タブ).csv</t>
    <rPh sb="6" eb="8">
      <t>カイヤク</t>
    </rPh>
    <rPh sb="16" eb="18">
      <t>シテイ</t>
    </rPh>
    <phoneticPr fontId="1"/>
  </si>
  <si>
    <t>MAE.KIKIKOSEI_NK || '","' ||</t>
    <phoneticPr fontId="1"/>
  </si>
  <si>
    <t>MAE.KIKIKOSEI_NK || '","' ||</t>
    <phoneticPr fontId="1"/>
  </si>
  <si>
    <t>LPAD(TO_CHAR(TKD.KIKIMEISAI_ID),8,'0') ||' / ' || LPAD(TO_CHAR(TKE.KOTAIKANRI_ID),8,'0') || '","' ||</t>
    <phoneticPr fontId="1"/>
  </si>
  <si>
    <t>LPAD(TO_CHAR(TKD.KIKIMEISAI_ID),8,'0') ||' / ' || LPAD(TO_CHAR(TKE.KOTAIKANRI_ID),8,'0') || '","' ||</t>
    <phoneticPr fontId="1"/>
  </si>
  <si>
    <t>END || '","' ||</t>
    <phoneticPr fontId="1"/>
  </si>
  <si>
    <t>LPAD(TO_CHAR(TKD.KIKIMEISAI_ID),8,'0') ||' / ' ||MAE.KIKIKOSEI_NK || '","' ||</t>
    <phoneticPr fontId="1"/>
  </si>
  <si>
    <t>LPAD(TO_CHAR(TKD.KIKIMEISAI_ID),8,'0') ||</t>
    <phoneticPr fontId="1"/>
  </si>
  <si>
    <t xml:space="preserve"> (</t>
    <phoneticPr fontId="1"/>
  </si>
  <si>
    <t>)</t>
    <phoneticPr fontId="1"/>
  </si>
  <si>
    <t>(</t>
    <phoneticPr fontId="1"/>
  </si>
  <si>
    <t xml:space="preserve"> TKB1.SUPPORT_ID ASC,</t>
    <phoneticPr fontId="1"/>
  </si>
  <si>
    <t xml:space="preserve">              MCM_TK_KIKAN.YUKO_FLG = '0'</t>
    <phoneticPr fontId="1"/>
  </si>
  <si>
    <t xml:space="preserve">             AND</t>
    <phoneticPr fontId="1"/>
  </si>
  <si>
    <t xml:space="preserve">              MCM_TK_KIKAN.YUKO_FLG = '0' </t>
    <phoneticPr fontId="1"/>
  </si>
  <si>
    <t>LEFT JOIN</t>
    <phoneticPr fontId="1"/>
  </si>
  <si>
    <t xml:space="preserve"> MAF.SURYO_NM || '","' ||</t>
    <phoneticPr fontId="1"/>
  </si>
  <si>
    <t xml:space="preserve"> AND MAL.YUKO_FLG = '0'</t>
    <phoneticPr fontId="1"/>
  </si>
  <si>
    <t xml:space="preserve"> WHEN TKI.ON_FLG = '1' AND TKI.OFF_FLG = '0' AND TO_CHAR(TKI.TSUKI,'MM') = '01'</t>
    <phoneticPr fontId="1"/>
  </si>
  <si>
    <t xml:space="preserve"> WHEN TKI.ON_FLG = '1' AND TKI.OFF_FLG = '0' AND TO_CHAR(TKI.TSUKI,'MM') = '02'</t>
    <phoneticPr fontId="1"/>
  </si>
  <si>
    <t xml:space="preserve"> WHEN TKI.ON_FLG = '1' AND TKI.OFF_FLG = '0' AND TO_CHAR(TKI.TSUKI,'MM') = '03'</t>
    <phoneticPr fontId="1"/>
  </si>
  <si>
    <t xml:space="preserve"> WHEN TKI.ON_FLG = '1' AND TKI.OFF_FLG = '0' AND TO_CHAR(TKI.TSUKI,'MM') = '04'</t>
    <phoneticPr fontId="1"/>
  </si>
  <si>
    <t xml:space="preserve"> WHEN TKI.ON_FLG = '1' AND TKI.OFF_FLG = '0' AND TO_CHAR(TKI.TSUKI,'MM') = '05'</t>
    <phoneticPr fontId="1"/>
  </si>
  <si>
    <t xml:space="preserve"> WHEN TKI.ON_FLG = '1' AND TKI.OFF_FLG = '0' AND TO_CHAR(TKI.TSUKI,'MM') = '06'</t>
    <phoneticPr fontId="1"/>
  </si>
  <si>
    <t xml:space="preserve"> WHEN TKI.ON_FLG = '1' AND TKI.OFF_FLG = '0' AND TO_CHAR(TKI.TSUKI,'MM') = '07'</t>
    <phoneticPr fontId="1"/>
  </si>
  <si>
    <t xml:space="preserve"> WHEN TKI.ON_FLG = '1' AND TKI.OFF_FLG = '0' AND TO_CHAR(TKI.TSUKI,'MM') = '08'</t>
    <phoneticPr fontId="1"/>
  </si>
  <si>
    <t xml:space="preserve"> WHEN TKI.ON_FLG = '1' AND TKI.OFF_FLG = '0' AND TO_CHAR(TKI.TSUKI,'MM') = '09'</t>
    <phoneticPr fontId="1"/>
  </si>
  <si>
    <t xml:space="preserve"> WHEN TKI.ON_FLG = '1' AND TKI.OFF_FLG = '0' AND TO_CHAR(TKI.TSUKI,'MM') = '10'</t>
    <phoneticPr fontId="1"/>
  </si>
  <si>
    <t xml:space="preserve"> WHEN TKI.ON_FLG = '1' AND TKI.OFF_FLG = '0' AND TO_CHAR(TKI.TSUKI,'MM') = '11'</t>
    <phoneticPr fontId="1"/>
  </si>
  <si>
    <t xml:space="preserve"> WHEN TKI.ON_FLG = '1' AND TKI.OFF_FLG = '0' AND TO_CHAR(TKI.TSUKI,'MM') = '12'</t>
    <phoneticPr fontId="1"/>
  </si>
  <si>
    <t>【ﾊﾟｯｸ契約】F047475274</t>
    <phoneticPr fontId="1"/>
  </si>
  <si>
    <t xml:space="preserve"> ---AND TKK.OFF_FLG = '0';</t>
    <phoneticPr fontId="1"/>
  </si>
  <si>
    <t xml:space="preserve"> WHEN TKK.ON_FLG = '1' AND TKK.OFF_FLG = '0' AND TO_CHAR(TKK.TSUKI,'MM') = '01'</t>
    <phoneticPr fontId="1"/>
  </si>
  <si>
    <t xml:space="preserve"> WHEN TKK.ON_FLG = '1' AND TKK.OFF_FLG = '0' AND TO_CHAR(TKK.TSUKI,'MM') = '02'</t>
    <phoneticPr fontId="1"/>
  </si>
  <si>
    <t xml:space="preserve"> WHEN TKK.ON_FLG = '1' AND TKK.OFF_FLG = '0' AND TO_CHAR(TKK.TSUKI,'MM') = '03'</t>
    <phoneticPr fontId="1"/>
  </si>
  <si>
    <t xml:space="preserve"> WHEN TKK.ON_FLG = '1' AND TKK.OFF_FLG = '0' AND TO_CHAR(TKK.TSUKI,'MM') = '04'</t>
    <phoneticPr fontId="1"/>
  </si>
  <si>
    <t xml:space="preserve"> WHEN TKK.ON_FLG = '1' AND TKK.OFF_FLG = '0' AND TO_CHAR(TKK.TSUKI,'MM') = '05'</t>
    <phoneticPr fontId="1"/>
  </si>
  <si>
    <t xml:space="preserve"> WHEN TKK.ON_FLG = '1' AND TKK.OFF_FLG = '0' AND TO_CHAR(TKK.TSUKI,'MM') = '06'</t>
    <phoneticPr fontId="1"/>
  </si>
  <si>
    <t xml:space="preserve"> WHEN TKK.ON_FLG = '1' AND TKK.OFF_FLG = '0' AND TO_CHAR(TKK.TSUKI,'MM') = '07'</t>
    <phoneticPr fontId="1"/>
  </si>
  <si>
    <t xml:space="preserve"> WHEN TKK.ON_FLG = '1' AND TKK.OFF_FLG = '0' AND TO_CHAR(TKK.TSUKI,'MM') = '08'</t>
    <phoneticPr fontId="1"/>
  </si>
  <si>
    <t xml:space="preserve"> WHEN TKK.ON_FLG = '1' AND TKK.OFF_FLG = '0' AND TO_CHAR(TKK.TSUKI,'MM') = '09'</t>
    <phoneticPr fontId="1"/>
  </si>
  <si>
    <t xml:space="preserve"> WHEN TKK.ON_FLG = '1' AND TKK.OFF_FLG = '0' AND TO_CHAR(TKK.TSUKI,'MM') = '10'</t>
    <phoneticPr fontId="1"/>
  </si>
  <si>
    <t xml:space="preserve"> WHEN TKK.ON_FLG = '1' AND TKK.OFF_FLG = '0' AND TO_CHAR(TKK.TSUKI,'MM') = '11'</t>
    <phoneticPr fontId="1"/>
  </si>
  <si>
    <t xml:space="preserve"> WHEN TKK.ON_FLG = '1' AND TKK.OFF_FLG = '0' AND TO_CHAR(TKK.TSUKI,'MM') = '12'</t>
    <phoneticPr fontId="1"/>
  </si>
  <si>
    <t xml:space="preserve"> AND TKK.OFF_FLG = '0';</t>
    <phoneticPr fontId="1"/>
  </si>
  <si>
    <t>JOIN</t>
    <phoneticPr fontId="1"/>
  </si>
  <si>
    <t>END || '","' ||</t>
    <phoneticPr fontId="1"/>
  </si>
  <si>
    <t xml:space="preserve">  THEN TKH.BIKO</t>
    <phoneticPr fontId="1"/>
  </si>
  <si>
    <t>END ||</t>
    <phoneticPr fontId="1"/>
  </si>
  <si>
    <t>2104-007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</si>
</sst>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8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lightDown">
        <fgColor theme="4" tint="0.59996337778862885"/>
        <bgColor indexed="65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/>
      <right/>
      <top style="thin">
        <color indexed="64"/>
      </top>
      <bottom/>
      <diagonal/>
    </border>
    <border>
      <left style="thick">
        <color rgb="FF00B0F0"/>
      </left>
      <right style="thick">
        <color rgb="FF00B0F0"/>
      </right>
      <top/>
      <bottom style="thick">
        <color rgb="FF00B0F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n">
        <color rgb="FF00B0F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2" fillId="0" borderId="3" xfId="0" applyFont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>
      <alignment vertical="center"/>
    </xf>
    <xf numFmtId="0" fontId="2" fillId="0" borderId="5" xfId="0" applyFont="1" applyBorder="1" applyAlignment="1">
      <alignment horizontal="lef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176" fontId="2" fillId="0" borderId="6" xfId="0" applyNumberFormat="1" applyFont="1" applyBorder="1">
      <alignment vertical="center"/>
    </xf>
    <xf numFmtId="176" fontId="2" fillId="0" borderId="0" xfId="0" applyNumberFormat="1" applyFont="1" applyBorder="1">
      <alignment vertical="center"/>
    </xf>
    <xf numFmtId="176" fontId="2" fillId="2" borderId="6" xfId="0" applyNumberFormat="1" applyFont="1" applyFill="1" applyBorder="1">
      <alignment vertical="center"/>
    </xf>
    <xf numFmtId="0" fontId="2" fillId="0" borderId="8" xfId="0" applyFont="1" applyBorder="1">
      <alignment vertical="center"/>
    </xf>
    <xf numFmtId="0" fontId="0" fillId="0" borderId="0" xfId="0" applyNumberFormat="1">
      <alignment vertical="center"/>
    </xf>
    <xf numFmtId="49" fontId="2" fillId="0" borderId="7" xfId="0" applyNumberFormat="1" applyFont="1" applyBorder="1" applyAlignment="1">
      <alignment vertical="center" shrinkToFit="1"/>
    </xf>
    <xf numFmtId="49" fontId="2" fillId="0" borderId="4" xfId="0" applyNumberFormat="1" applyFont="1" applyBorder="1" applyAlignment="1">
      <alignment vertical="center" shrinkToFit="1"/>
    </xf>
    <xf numFmtId="0" fontId="2" fillId="2" borderId="7" xfId="0" applyNumberFormat="1" applyFont="1" applyFill="1" applyBorder="1" applyAlignment="1">
      <alignment vertical="center" shrinkToFit="1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Relationship Id="rId10" Type="http://schemas.openxmlformats.org/officeDocument/2006/relationships/worksheet" Target="worksheets/sheet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2438400</xdr:colOff>
          <xdr:row>6</xdr:row>
          <xdr:rowOff>85725</xdr:rowOff>
        </xdr:from>
        <xdr:to>
          <xdr:col>6</xdr:col>
          <xdr:colOff>19050</xdr:colOff>
          <xdr:row>7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データ削除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104775</xdr:rowOff>
        </xdr:from>
        <xdr:to>
          <xdr:col>2</xdr:col>
          <xdr:colOff>1190625</xdr:colOff>
          <xdr:row>5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新規契約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11</xdr:row>
          <xdr:rowOff>142875</xdr:rowOff>
        </xdr:from>
        <xdr:to>
          <xdr:col>3</xdr:col>
          <xdr:colOff>0</xdr:colOff>
          <xdr:row>14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解約依頼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16</xdr:row>
          <xdr:rowOff>66675</xdr:rowOff>
        </xdr:from>
        <xdr:to>
          <xdr:col>4</xdr:col>
          <xdr:colOff>1095375</xdr:colOff>
          <xdr:row>18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契約更新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</xdr:colOff>
      <xdr:row>2</xdr:row>
      <xdr:rowOff>108916</xdr:rowOff>
    </xdr:from>
    <xdr:to>
      <xdr:col>3</xdr:col>
      <xdr:colOff>32053</xdr:colOff>
      <xdr:row>18</xdr:row>
      <xdr:rowOff>10768</xdr:rowOff>
    </xdr:to>
    <xdr:cxnSp macro="">
      <xdr:nvCxnSpPr>
        <xdr:cNvPr id="3" name="カギ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10" idx="3"/>
          <a:endCxn id="4" idx="3"/>
        </xdr:cNvCxnSpPr>
      </xdr:nvCxnSpPr>
      <xdr:spPr>
        <a:xfrm flipH="1">
          <a:off x="3587612" y="514764"/>
          <a:ext cx="22528" cy="3156917"/>
        </a:xfrm>
        <a:prstGeom prst="bentConnector3">
          <a:avLst>
            <a:gd name="adj1" fmla="val -5353107"/>
          </a:avLst>
        </a:prstGeom>
        <a:ln w="25400">
          <a:prstDash val="sys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1200150</xdr:colOff>
      <xdr:row>17</xdr:row>
      <xdr:rowOff>123825</xdr:rowOff>
    </xdr:from>
    <xdr:to>
      <xdr:col>3</xdr:col>
      <xdr:colOff>9525</xdr:colOff>
      <xdr:row>18</xdr:row>
      <xdr:rowOff>104775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33775" y="3609975"/>
          <a:ext cx="47625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1228725</xdr:colOff>
      <xdr:row>2</xdr:row>
      <xdr:rowOff>19050</xdr:rowOff>
    </xdr:from>
    <xdr:to>
      <xdr:col>3</xdr:col>
      <xdr:colOff>32053</xdr:colOff>
      <xdr:row>2</xdr:row>
      <xdr:rowOff>198782</xdr:rowOff>
    </xdr:to>
    <xdr:sp macro="" textlink="">
      <xdr:nvSpPr>
        <xdr:cNvPr id="10" name="正方形/長方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564421" y="424898"/>
          <a:ext cx="45719" cy="17973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550379</xdr:colOff>
      <xdr:row>11</xdr:row>
      <xdr:rowOff>46546</xdr:rowOff>
    </xdr:from>
    <xdr:to>
      <xdr:col>3</xdr:col>
      <xdr:colOff>551415</xdr:colOff>
      <xdr:row>18</xdr:row>
      <xdr:rowOff>205408</xdr:rowOff>
    </xdr:to>
    <xdr:cxnSp macro="">
      <xdr:nvCxnSpPr>
        <xdr:cNvPr id="15" name="カギ線コネクタ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7" idx="2"/>
          <a:endCxn id="16" idx="0"/>
        </xdr:cNvCxnSpPr>
      </xdr:nvCxnSpPr>
      <xdr:spPr>
        <a:xfrm rot="5400000">
          <a:off x="3341390" y="3078209"/>
          <a:ext cx="1575188" cy="1036"/>
        </a:xfrm>
        <a:prstGeom prst="bentConnector3">
          <a:avLst>
            <a:gd name="adj1" fmla="val 50000"/>
          </a:avLst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380171</xdr:colOff>
      <xdr:row>18</xdr:row>
      <xdr:rowOff>205408</xdr:rowOff>
    </xdr:from>
    <xdr:to>
      <xdr:col>3</xdr:col>
      <xdr:colOff>720586</xdr:colOff>
      <xdr:row>19</xdr:row>
      <xdr:rowOff>57978</xdr:rowOff>
    </xdr:to>
    <xdr:sp macro="" textlink="">
      <xdr:nvSpPr>
        <xdr:cNvPr id="16" name="正方形/長方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958258" y="3866321"/>
          <a:ext cx="340415" cy="5963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382242</xdr:colOff>
      <xdr:row>11</xdr:row>
      <xdr:rowOff>827</xdr:rowOff>
    </xdr:from>
    <xdr:to>
      <xdr:col>3</xdr:col>
      <xdr:colOff>720587</xdr:colOff>
      <xdr:row>11</xdr:row>
      <xdr:rowOff>46546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960329" y="2245414"/>
          <a:ext cx="338345" cy="45719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5</xdr:col>
      <xdr:colOff>216264</xdr:colOff>
      <xdr:row>10</xdr:row>
      <xdr:rowOff>41415</xdr:rowOff>
    </xdr:from>
    <xdr:to>
      <xdr:col>9</xdr:col>
      <xdr:colOff>585166</xdr:colOff>
      <xdr:row>18</xdr:row>
      <xdr:rowOff>62611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79134" y="2078937"/>
          <a:ext cx="5528967" cy="165287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5</xdr:col>
      <xdr:colOff>2012679</xdr:colOff>
      <xdr:row>12</xdr:row>
      <xdr:rowOff>41415</xdr:rowOff>
    </xdr:from>
    <xdr:to>
      <xdr:col>6</xdr:col>
      <xdr:colOff>115962</xdr:colOff>
      <xdr:row>13</xdr:row>
      <xdr:rowOff>24849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075549" y="2493067"/>
          <a:ext cx="1200978" cy="182217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306456</xdr:colOff>
      <xdr:row>14</xdr:row>
      <xdr:rowOff>99393</xdr:rowOff>
    </xdr:from>
    <xdr:to>
      <xdr:col>10</xdr:col>
      <xdr:colOff>323022</xdr:colOff>
      <xdr:row>17</xdr:row>
      <xdr:rowOff>57979</xdr:rowOff>
    </xdr:to>
    <xdr:sp macro="" textlink="">
      <xdr:nvSpPr>
        <xdr:cNvPr id="6" name="強調線吹き出し 2 (枠付き)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467021" y="2948610"/>
          <a:ext cx="2766392" cy="563217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-56751"/>
            <a:gd name="adj6" fmla="val -24351"/>
          </a:avLst>
        </a:prstGeom>
        <a:solidFill>
          <a:schemeClr val="bg1"/>
        </a:solidFill>
        <a:ln w="3175">
          <a:solidFill>
            <a:sysClr val="windowText" lastClr="000000"/>
          </a:solidFill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 anchorCtr="0"/>
        <a:lstStyle/>
        <a:p>
          <a:pPr algn="l"/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契約</a:t>
          </a:r>
          <a:r>
            <a:rPr kumimoji="1" lang="en-US" altLang="ja-JP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を指定してデータ出力します。</a:t>
          </a:r>
          <a:endParaRPr kumimoji="1" lang="en-US" altLang="ja-JP" sz="8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新規契約の場合は一時的にメーカ見積</a:t>
          </a:r>
          <a:r>
            <a:rPr kumimoji="1" lang="en-US" altLang="ja-JP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を入力してください。</a:t>
          </a:r>
          <a:endParaRPr kumimoji="1" lang="en-US" altLang="ja-JP" sz="800">
            <a:solidFill>
              <a:schemeClr val="tx1"/>
            </a:solidFill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pPr algn="l"/>
          <a:r>
            <a:rPr kumimoji="1" lang="en-US" altLang="ja-JP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見積</a:t>
          </a:r>
          <a:r>
            <a:rPr kumimoji="1" lang="en-US" altLang="ja-JP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No</a:t>
          </a:r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がない場合は、一意になる文字列を入力してください。</a:t>
          </a:r>
        </a:p>
      </xdr:txBody>
    </xdr:sp>
    <xdr:clientData/>
  </xdr:twoCellAnchor>
  <xdr:twoCellAnchor>
    <xdr:from>
      <xdr:col>4</xdr:col>
      <xdr:colOff>786849</xdr:colOff>
      <xdr:row>21</xdr:row>
      <xdr:rowOff>165652</xdr:rowOff>
    </xdr:from>
    <xdr:to>
      <xdr:col>5</xdr:col>
      <xdr:colOff>2103784</xdr:colOff>
      <xdr:row>23</xdr:row>
      <xdr:rowOff>124238</xdr:rowOff>
    </xdr:to>
    <xdr:sp macro="" textlink="">
      <xdr:nvSpPr>
        <xdr:cNvPr id="18" name="強調線吹き出し 2 (枠付き)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607327" y="4439478"/>
          <a:ext cx="2559327" cy="364434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-56751"/>
            <a:gd name="adj6" fmla="val -24351"/>
          </a:avLst>
        </a:prstGeom>
        <a:solidFill>
          <a:schemeClr val="bg1"/>
        </a:solidFill>
        <a:ln w="3175">
          <a:solidFill>
            <a:sysClr val="windowText" lastClr="000000"/>
          </a:solidFill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none" rtlCol="0" anchor="ctr" anchorCtr="0"/>
        <a:lstStyle/>
        <a:p>
          <a:pPr algn="l"/>
          <a:r>
            <a:rPr kumimoji="1" lang="ja-JP" altLang="en-US" sz="800">
              <a:solidFill>
                <a:schemeClr val="tx1"/>
              </a:solidFill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上段の契約依頼、解約依頼のデータが自動反映されます。</a:t>
          </a:r>
        </a:p>
      </xdr:txBody>
    </xdr:sp>
    <xdr:clientData/>
  </xdr:twoCellAnchor>
  <xdr:twoCellAnchor>
    <xdr:from>
      <xdr:col>2</xdr:col>
      <xdr:colOff>1228725</xdr:colOff>
      <xdr:row>2</xdr:row>
      <xdr:rowOff>19050</xdr:rowOff>
    </xdr:from>
    <xdr:to>
      <xdr:col>3</xdr:col>
      <xdr:colOff>32053</xdr:colOff>
      <xdr:row>2</xdr:row>
      <xdr:rowOff>207065</xdr:rowOff>
    </xdr:to>
    <xdr:sp macro="" textlink="">
      <xdr:nvSpPr>
        <xdr:cNvPr id="19" name="正方形/長方形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564421" y="424898"/>
          <a:ext cx="45719" cy="18801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1200150</xdr:colOff>
      <xdr:row>19</xdr:row>
      <xdr:rowOff>114300</xdr:rowOff>
    </xdr:from>
    <xdr:to>
      <xdr:col>4</xdr:col>
      <xdr:colOff>9525</xdr:colOff>
      <xdr:row>20</xdr:row>
      <xdr:rowOff>95250</xdr:rowOff>
    </xdr:to>
    <xdr:sp macro="" textlink="">
      <xdr:nvSpPr>
        <xdr:cNvPr id="23" name="正方形/長方形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3535846" y="3982278"/>
          <a:ext cx="51766" cy="1880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1200150</xdr:colOff>
      <xdr:row>19</xdr:row>
      <xdr:rowOff>114300</xdr:rowOff>
    </xdr:from>
    <xdr:to>
      <xdr:col>5</xdr:col>
      <xdr:colOff>9525</xdr:colOff>
      <xdr:row>20</xdr:row>
      <xdr:rowOff>95250</xdr:rowOff>
    </xdr:to>
    <xdr:sp macro="" textlink="">
      <xdr:nvSpPr>
        <xdr:cNvPr id="24" name="正方形/長方形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535846" y="3982278"/>
          <a:ext cx="51766" cy="1880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1228725</xdr:colOff>
      <xdr:row>9</xdr:row>
      <xdr:rowOff>19050</xdr:rowOff>
    </xdr:from>
    <xdr:to>
      <xdr:col>3</xdr:col>
      <xdr:colOff>32053</xdr:colOff>
      <xdr:row>9</xdr:row>
      <xdr:rowOff>198782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564421" y="424898"/>
          <a:ext cx="45719" cy="17973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1228725</xdr:colOff>
      <xdr:row>9</xdr:row>
      <xdr:rowOff>19050</xdr:rowOff>
    </xdr:from>
    <xdr:to>
      <xdr:col>3</xdr:col>
      <xdr:colOff>32053</xdr:colOff>
      <xdr:row>9</xdr:row>
      <xdr:rowOff>207065</xdr:rowOff>
    </xdr:to>
    <xdr:sp macro="" textlink="">
      <xdr:nvSpPr>
        <xdr:cNvPr id="21" name="正方形/長方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3564421" y="424898"/>
          <a:ext cx="45719" cy="18801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F30"/>
  <sheetViews>
    <sheetView showGridLines="0" tabSelected="1" zoomScale="115" zoomScaleNormal="115" workbookViewId="0">
      <selection activeCell="I7" sqref="I7"/>
    </sheetView>
  </sheetViews>
  <sheetFormatPr defaultRowHeight="15.75" x14ac:dyDescent="0.15"/>
  <cols>
    <col min="1" max="1" width="9" style="2"/>
    <col min="2" max="2" width="21.625" style="2" bestFit="1" customWidth="1"/>
    <col min="3" max="3" width="16.25" style="2" customWidth="1"/>
    <col min="4" max="5" width="16.25" customWidth="1"/>
    <col min="6" max="6" width="40.625" customWidth="1"/>
  </cols>
  <sheetData>
    <row r="2" spans="2:6" ht="16.5" thickBot="1" x14ac:dyDescent="0.2">
      <c r="B2" s="18" t="s">
        <v>128</v>
      </c>
      <c r="C2" s="19"/>
      <c r="E2" s="18" t="s">
        <v>131</v>
      </c>
      <c r="F2" s="18"/>
    </row>
    <row r="3" spans="2:6" ht="17.25" thickTop="1" thickBot="1" x14ac:dyDescent="0.2">
      <c r="B3" s="1" t="s">
        <v>127</v>
      </c>
      <c r="C3" s="16" t="s">
        <v>207</v>
      </c>
      <c r="E3" s="4" t="s">
        <v>134</v>
      </c>
      <c r="F3" s="5"/>
    </row>
    <row r="4" spans="2:6" ht="16.5" thickTop="1" x14ac:dyDescent="0.15">
      <c r="E4" s="4" t="s">
        <v>132</v>
      </c>
      <c r="F4" s="5"/>
    </row>
    <row r="5" spans="2:6" x14ac:dyDescent="0.15">
      <c r="E5" s="4" t="s">
        <v>133</v>
      </c>
      <c r="F5" s="5"/>
    </row>
    <row r="6" spans="2:6" x14ac:dyDescent="0.15">
      <c r="E6" s="4" t="s">
        <v>137</v>
      </c>
      <c r="F6" s="5"/>
    </row>
    <row r="7" spans="2:6" x14ac:dyDescent="0.15">
      <c r="E7" s="6"/>
      <c r="F7" s="7"/>
    </row>
    <row r="8" spans="2:6" x14ac:dyDescent="0.15">
      <c r="E8" s="8"/>
      <c r="F8" s="9"/>
    </row>
    <row r="9" spans="2:6" ht="16.5" thickBot="1" x14ac:dyDescent="0.2">
      <c r="B9" s="20" t="s">
        <v>150</v>
      </c>
      <c r="C9" s="21"/>
      <c r="D9" s="21"/>
      <c r="E9" s="22"/>
    </row>
    <row r="10" spans="2:6" ht="17.25" thickTop="1" thickBot="1" x14ac:dyDescent="0.2">
      <c r="B10" s="13" t="s">
        <v>151</v>
      </c>
      <c r="C10" s="16" t="s">
        <v>188</v>
      </c>
      <c r="D10" s="15"/>
      <c r="E10" s="15"/>
    </row>
    <row r="11" spans="2:6" ht="17.25" thickTop="1" thickBot="1" x14ac:dyDescent="0.2">
      <c r="B11" s="1" t="s">
        <v>152</v>
      </c>
      <c r="C11" s="10">
        <v>43982</v>
      </c>
      <c r="D11" s="10"/>
      <c r="E11" s="10"/>
    </row>
    <row r="12" spans="2:6" ht="16.5" thickTop="1" x14ac:dyDescent="0.15">
      <c r="B12" s="8"/>
      <c r="C12" s="11"/>
    </row>
    <row r="13" spans="2:6" x14ac:dyDescent="0.15">
      <c r="B13" s="8"/>
      <c r="C13" s="11"/>
    </row>
    <row r="14" spans="2:6" x14ac:dyDescent="0.15">
      <c r="B14" s="8"/>
      <c r="C14" s="11"/>
    </row>
    <row r="15" spans="2:6" x14ac:dyDescent="0.15">
      <c r="B15"/>
      <c r="C15"/>
    </row>
    <row r="16" spans="2:6" x14ac:dyDescent="0.15">
      <c r="B16"/>
      <c r="C16"/>
    </row>
    <row r="17" spans="1:5" ht="16.5" thickBot="1" x14ac:dyDescent="0.2">
      <c r="B17" s="18" t="s">
        <v>153</v>
      </c>
      <c r="C17" s="19"/>
    </row>
    <row r="18" spans="1:5" ht="16.5" thickTop="1" x14ac:dyDescent="0.15">
      <c r="A18" s="18" t="s">
        <v>155</v>
      </c>
      <c r="B18" s="1" t="s">
        <v>127</v>
      </c>
      <c r="C18" s="17" t="str">
        <f>IF(ISBLANK(C3),"",C3)</f>
        <v>2104-007</v>
      </c>
    </row>
    <row r="19" spans="1:5" ht="16.5" thickBot="1" x14ac:dyDescent="0.2">
      <c r="A19" s="18"/>
      <c r="B19" s="1" t="s">
        <v>154</v>
      </c>
      <c r="C19" s="12">
        <f>IF(ISBLANK(C11),"",C11+1)</f>
        <v>43983</v>
      </c>
    </row>
    <row r="20" spans="1:5" ht="16.5" customHeight="1" thickTop="1" x14ac:dyDescent="0.15">
      <c r="A20" s="18" t="s">
        <v>156</v>
      </c>
      <c r="B20" s="1" t="s">
        <v>127</v>
      </c>
      <c r="C20" s="17" t="str">
        <f>IF(ISBLANK(C10),"",C10)</f>
        <v>【ﾊﾟｯｸ契約】F047475274</v>
      </c>
      <c r="D20" s="17" t="str">
        <f t="shared" ref="D20:E20" si="0">IF(ISBLANK(D10),"",D10)</f>
        <v/>
      </c>
      <c r="E20" s="17" t="str">
        <f t="shared" si="0"/>
        <v/>
      </c>
    </row>
    <row r="21" spans="1:5" ht="15.75" customHeight="1" thickBot="1" x14ac:dyDescent="0.2">
      <c r="A21" s="18"/>
      <c r="B21" s="1" t="s">
        <v>152</v>
      </c>
      <c r="C21" s="12">
        <f>IF(ISBLANK(C11),"",C11)</f>
        <v>43982</v>
      </c>
      <c r="D21" s="12" t="str">
        <f t="shared" ref="D21:E21" si="1">IF(ISBLANK(D11),"",D11)</f>
        <v/>
      </c>
      <c r="E21" s="12" t="str">
        <f t="shared" si="1"/>
        <v/>
      </c>
    </row>
    <row r="22" spans="1:5" ht="16.5" thickTop="1" x14ac:dyDescent="0.15">
      <c r="B22"/>
    </row>
    <row r="23" spans="1:5" x14ac:dyDescent="0.15">
      <c r="B23"/>
    </row>
    <row r="24" spans="1:5" x14ac:dyDescent="0.15">
      <c r="B24"/>
    </row>
    <row r="25" spans="1:5" x14ac:dyDescent="0.15">
      <c r="B25"/>
      <c r="C25"/>
    </row>
    <row r="26" spans="1:5" x14ac:dyDescent="0.15">
      <c r="B26"/>
      <c r="C26"/>
    </row>
    <row r="27" spans="1:5" x14ac:dyDescent="0.15">
      <c r="B27"/>
      <c r="C27"/>
    </row>
    <row r="30" spans="1:5" x14ac:dyDescent="0.15">
      <c r="C30"/>
    </row>
  </sheetData>
  <mergeCells count="6">
    <mergeCell ref="A20:A21"/>
    <mergeCell ref="B2:C2"/>
    <mergeCell ref="E2:F2"/>
    <mergeCell ref="B17:C17"/>
    <mergeCell ref="A18:A19"/>
    <mergeCell ref="B9:E9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データクリア.Data_Clear">
                <anchor moveWithCells="1" sizeWithCells="1">
                  <from>
                    <xdr:col>5</xdr:col>
                    <xdr:colOff>2438400</xdr:colOff>
                    <xdr:row>6</xdr:row>
                    <xdr:rowOff>85725</xdr:rowOff>
                  </from>
                  <to>
                    <xdr:col>6</xdr:col>
                    <xdr:colOff>19050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契解約依頼書.ContReq_Output">
                <anchor moveWithCells="1" sizeWithCells="1">
                  <from>
                    <xdr:col>2</xdr:col>
                    <xdr:colOff>342900</xdr:colOff>
                    <xdr:row>3</xdr:row>
                    <xdr:rowOff>104775</xdr:rowOff>
                  </from>
                  <to>
                    <xdr:col>2</xdr:col>
                    <xdr:colOff>1190625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CancelReq_output">
                <anchor moveWithCells="1" sizeWithCells="1">
                  <from>
                    <xdr:col>2</xdr:col>
                    <xdr:colOff>390525</xdr:colOff>
                    <xdr:row>11</xdr:row>
                    <xdr:rowOff>142875</xdr:rowOff>
                  </from>
                  <to>
                    <xdr:col>3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CngReq_Output">
                <anchor moveWithCells="1" sizeWithCells="1">
                  <from>
                    <xdr:col>4</xdr:col>
                    <xdr:colOff>247650</xdr:colOff>
                    <xdr:row>16</xdr:row>
                    <xdr:rowOff>66675</xdr:rowOff>
                  </from>
                  <to>
                    <xdr:col>4</xdr:col>
                    <xdr:colOff>1095375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268"/>
  <sheetViews>
    <sheetView workbookViewId="0">
      <selection activeCell="K54" sqref="K43:K54"/>
    </sheetView>
  </sheetViews>
  <sheetFormatPr defaultRowHeight="13.5" x14ac:dyDescent="0.15"/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  <row r="5" spans="1:1" x14ac:dyDescent="0.15">
      <c r="A5" t="s">
        <v>4</v>
      </c>
    </row>
    <row r="6" spans="1:1" x14ac:dyDescent="0.15">
      <c r="A6" t="s">
        <v>5</v>
      </c>
    </row>
    <row r="7" spans="1:1" x14ac:dyDescent="0.15">
      <c r="A7" t="s">
        <v>6</v>
      </c>
    </row>
    <row r="8" spans="1:1" x14ac:dyDescent="0.15">
      <c r="A8" t="s">
        <v>7</v>
      </c>
    </row>
    <row r="9" spans="1:1" x14ac:dyDescent="0.15">
      <c r="A9" t="s">
        <v>123</v>
      </c>
    </row>
    <row r="11" spans="1:1" x14ac:dyDescent="0.15">
      <c r="A11" t="s">
        <v>136</v>
      </c>
    </row>
    <row r="12" spans="1:1" x14ac:dyDescent="0.15">
      <c r="A12" t="s">
        <v>8</v>
      </c>
    </row>
    <row r="13" spans="1:1" x14ac:dyDescent="0.15">
      <c r="A13" t="s">
        <v>9</v>
      </c>
    </row>
    <row r="14" spans="1:1" x14ac:dyDescent="0.15">
      <c r="A14" t="s">
        <v>135</v>
      </c>
    </row>
    <row r="15" spans="1:1" x14ac:dyDescent="0.15">
      <c r="A15" t="s">
        <v>11</v>
      </c>
    </row>
    <row r="16" spans="1:1" x14ac:dyDescent="0.15">
      <c r="A16" t="s">
        <v>12</v>
      </c>
    </row>
    <row r="17" spans="1:1" x14ac:dyDescent="0.15">
      <c r="A17" t="s">
        <v>13</v>
      </c>
    </row>
    <row r="18" spans="1:1" x14ac:dyDescent="0.15">
      <c r="A18" t="s">
        <v>14</v>
      </c>
    </row>
    <row r="19" spans="1:1" x14ac:dyDescent="0.15">
      <c r="A19" t="s">
        <v>15</v>
      </c>
    </row>
    <row r="20" spans="1:1" x14ac:dyDescent="0.15">
      <c r="A20" t="s">
        <v>16</v>
      </c>
    </row>
    <row r="21" spans="1:1" x14ac:dyDescent="0.15">
      <c r="A21" t="s">
        <v>17</v>
      </c>
    </row>
    <row r="22" spans="1:1" x14ac:dyDescent="0.15">
      <c r="A22" t="s">
        <v>18</v>
      </c>
    </row>
    <row r="23" spans="1:1" x14ac:dyDescent="0.15">
      <c r="A23" t="s">
        <v>19</v>
      </c>
    </row>
    <row r="24" spans="1:1" x14ac:dyDescent="0.15">
      <c r="A24" t="s">
        <v>20</v>
      </c>
    </row>
    <row r="25" spans="1:1" x14ac:dyDescent="0.15">
      <c r="A25" t="s">
        <v>21</v>
      </c>
    </row>
    <row r="26" spans="1:1" x14ac:dyDescent="0.15">
      <c r="A26" t="s">
        <v>22</v>
      </c>
    </row>
    <row r="27" spans="1:1" x14ac:dyDescent="0.15">
      <c r="A27" t="s">
        <v>23</v>
      </c>
    </row>
    <row r="28" spans="1:1" x14ac:dyDescent="0.15">
      <c r="A28" t="s">
        <v>24</v>
      </c>
    </row>
    <row r="29" spans="1:1" x14ac:dyDescent="0.15">
      <c r="A29" t="s">
        <v>25</v>
      </c>
    </row>
    <row r="30" spans="1:1" x14ac:dyDescent="0.15">
      <c r="A30" t="s">
        <v>26</v>
      </c>
    </row>
    <row r="31" spans="1:1" x14ac:dyDescent="0.15">
      <c r="A31" t="s">
        <v>27</v>
      </c>
    </row>
    <row r="32" spans="1:1" x14ac:dyDescent="0.15">
      <c r="A32" t="s">
        <v>28</v>
      </c>
    </row>
    <row r="33" spans="1:11" x14ac:dyDescent="0.15">
      <c r="A33" t="s">
        <v>29</v>
      </c>
    </row>
    <row r="34" spans="1:11" x14ac:dyDescent="0.15">
      <c r="A34" t="s">
        <v>30</v>
      </c>
    </row>
    <row r="35" spans="1:11" x14ac:dyDescent="0.15">
      <c r="A35" t="s">
        <v>31</v>
      </c>
    </row>
    <row r="36" spans="1:11" x14ac:dyDescent="0.15">
      <c r="A36" t="s">
        <v>32</v>
      </c>
    </row>
    <row r="37" spans="1:11" x14ac:dyDescent="0.15">
      <c r="A37" t="s">
        <v>33</v>
      </c>
    </row>
    <row r="38" spans="1:11" x14ac:dyDescent="0.15">
      <c r="A38" t="s">
        <v>34</v>
      </c>
    </row>
    <row r="39" spans="1:11" x14ac:dyDescent="0.15">
      <c r="A39" t="s">
        <v>35</v>
      </c>
    </row>
    <row r="40" spans="1:11" x14ac:dyDescent="0.15">
      <c r="A40" t="s">
        <v>36</v>
      </c>
    </row>
    <row r="41" spans="1:11" x14ac:dyDescent="0.15">
      <c r="A41" t="s">
        <v>14</v>
      </c>
    </row>
    <row r="42" spans="1:11" x14ac:dyDescent="0.15">
      <c r="A42" t="s">
        <v>37</v>
      </c>
    </row>
    <row r="43" spans="1:11" x14ac:dyDescent="0.15">
      <c r="A43" t="s">
        <v>38</v>
      </c>
      <c r="K43">
        <v>2048</v>
      </c>
    </row>
    <row r="44" spans="1:11" x14ac:dyDescent="0.15">
      <c r="A44" t="s">
        <v>39</v>
      </c>
      <c r="K44">
        <v>1024</v>
      </c>
    </row>
    <row r="45" spans="1:11" x14ac:dyDescent="0.15">
      <c r="A45" t="s">
        <v>40</v>
      </c>
      <c r="K45">
        <v>512</v>
      </c>
    </row>
    <row r="46" spans="1:11" x14ac:dyDescent="0.15">
      <c r="A46" t="s">
        <v>41</v>
      </c>
      <c r="K46">
        <v>256</v>
      </c>
    </row>
    <row r="47" spans="1:11" x14ac:dyDescent="0.15">
      <c r="A47" t="s">
        <v>42</v>
      </c>
      <c r="K47">
        <v>128</v>
      </c>
    </row>
    <row r="48" spans="1:11" x14ac:dyDescent="0.15">
      <c r="A48" t="s">
        <v>43</v>
      </c>
      <c r="K48">
        <v>64</v>
      </c>
    </row>
    <row r="49" spans="1:11" x14ac:dyDescent="0.15">
      <c r="A49" t="s">
        <v>44</v>
      </c>
      <c r="K49">
        <v>32</v>
      </c>
    </row>
    <row r="50" spans="1:11" x14ac:dyDescent="0.15">
      <c r="A50" t="s">
        <v>45</v>
      </c>
      <c r="K50">
        <v>16</v>
      </c>
    </row>
    <row r="51" spans="1:11" x14ac:dyDescent="0.15">
      <c r="A51" t="s">
        <v>46</v>
      </c>
      <c r="K51">
        <v>8</v>
      </c>
    </row>
    <row r="52" spans="1:11" x14ac:dyDescent="0.15">
      <c r="A52" t="s">
        <v>47</v>
      </c>
      <c r="K52">
        <v>4</v>
      </c>
    </row>
    <row r="53" spans="1:11" x14ac:dyDescent="0.15">
      <c r="A53" t="s">
        <v>48</v>
      </c>
      <c r="K53">
        <v>2</v>
      </c>
    </row>
    <row r="54" spans="1:11" x14ac:dyDescent="0.15">
      <c r="A54" t="s">
        <v>49</v>
      </c>
      <c r="K54">
        <v>1</v>
      </c>
    </row>
    <row r="55" spans="1:11" x14ac:dyDescent="0.15">
      <c r="A55" t="s">
        <v>50</v>
      </c>
    </row>
    <row r="56" spans="1:11" x14ac:dyDescent="0.15">
      <c r="A56" t="s">
        <v>51</v>
      </c>
    </row>
    <row r="57" spans="1:11" x14ac:dyDescent="0.15">
      <c r="A57" t="s">
        <v>52</v>
      </c>
    </row>
    <row r="58" spans="1:11" x14ac:dyDescent="0.15">
      <c r="A58" t="s">
        <v>53</v>
      </c>
    </row>
    <row r="59" spans="1:11" x14ac:dyDescent="0.15">
      <c r="A59" t="s">
        <v>54</v>
      </c>
    </row>
    <row r="60" spans="1:11" x14ac:dyDescent="0.15">
      <c r="A60" t="s">
        <v>55</v>
      </c>
    </row>
    <row r="61" spans="1:11" x14ac:dyDescent="0.15">
      <c r="A61" t="s">
        <v>56</v>
      </c>
    </row>
    <row r="62" spans="1:11" x14ac:dyDescent="0.15">
      <c r="A62" t="s">
        <v>57</v>
      </c>
    </row>
    <row r="63" spans="1:11" x14ac:dyDescent="0.15">
      <c r="A63" t="s">
        <v>58</v>
      </c>
    </row>
    <row r="64" spans="1:11" x14ac:dyDescent="0.15">
      <c r="A64" t="s">
        <v>59</v>
      </c>
    </row>
    <row r="65" spans="1:1" x14ac:dyDescent="0.15">
      <c r="A65" t="s">
        <v>60</v>
      </c>
    </row>
    <row r="66" spans="1:1" x14ac:dyDescent="0.15">
      <c r="A66" t="s">
        <v>126</v>
      </c>
    </row>
    <row r="67" spans="1:1" x14ac:dyDescent="0.15">
      <c r="A67" t="s">
        <v>61</v>
      </c>
    </row>
    <row r="68" spans="1:1" x14ac:dyDescent="0.15">
      <c r="A68" t="s">
        <v>62</v>
      </c>
    </row>
    <row r="69" spans="1:1" x14ac:dyDescent="0.15">
      <c r="A69" t="s">
        <v>63</v>
      </c>
    </row>
    <row r="70" spans="1:1" x14ac:dyDescent="0.15">
      <c r="A70" t="s">
        <v>64</v>
      </c>
    </row>
    <row r="71" spans="1:1" x14ac:dyDescent="0.15">
      <c r="A71" t="s">
        <v>65</v>
      </c>
    </row>
    <row r="72" spans="1:1" x14ac:dyDescent="0.15">
      <c r="A72" t="s">
        <v>66</v>
      </c>
    </row>
    <row r="73" spans="1:1" x14ac:dyDescent="0.15">
      <c r="A73" t="s">
        <v>67</v>
      </c>
    </row>
    <row r="74" spans="1:1" x14ac:dyDescent="0.15">
      <c r="A74" t="s">
        <v>68</v>
      </c>
    </row>
    <row r="75" spans="1:1" x14ac:dyDescent="0.15">
      <c r="A75" t="s">
        <v>69</v>
      </c>
    </row>
    <row r="76" spans="1:1" x14ac:dyDescent="0.15">
      <c r="A76" t="s">
        <v>70</v>
      </c>
    </row>
    <row r="77" spans="1:1" x14ac:dyDescent="0.15">
      <c r="A77" t="s">
        <v>71</v>
      </c>
    </row>
    <row r="78" spans="1:1" x14ac:dyDescent="0.15">
      <c r="A78" t="s">
        <v>72</v>
      </c>
    </row>
    <row r="79" spans="1:1" x14ac:dyDescent="0.15">
      <c r="A79" t="s">
        <v>73</v>
      </c>
    </row>
    <row r="80" spans="1:1" x14ac:dyDescent="0.15">
      <c r="A80" t="s">
        <v>148</v>
      </c>
    </row>
    <row r="81" spans="1:1" x14ac:dyDescent="0.15">
      <c r="A81" t="s">
        <v>170</v>
      </c>
    </row>
    <row r="82" spans="1:1" x14ac:dyDescent="0.15">
      <c r="A82" t="s">
        <v>74</v>
      </c>
    </row>
    <row r="83" spans="1:1" x14ac:dyDescent="0.15">
      <c r="A83" t="s">
        <v>75</v>
      </c>
    </row>
    <row r="84" spans="1:1" x14ac:dyDescent="0.15">
      <c r="A84" t="s">
        <v>67</v>
      </c>
    </row>
    <row r="85" spans="1:1" x14ac:dyDescent="0.15">
      <c r="A85" t="s">
        <v>76</v>
      </c>
    </row>
    <row r="86" spans="1:1" x14ac:dyDescent="0.15">
      <c r="A86" t="s">
        <v>77</v>
      </c>
    </row>
    <row r="87" spans="1:1" x14ac:dyDescent="0.15">
      <c r="A87" t="s">
        <v>78</v>
      </c>
    </row>
    <row r="88" spans="1:1" x14ac:dyDescent="0.15">
      <c r="A88" t="s">
        <v>65</v>
      </c>
    </row>
    <row r="89" spans="1:1" x14ac:dyDescent="0.15">
      <c r="A89" t="s">
        <v>79</v>
      </c>
    </row>
    <row r="90" spans="1:1" x14ac:dyDescent="0.15">
      <c r="A90" t="s">
        <v>67</v>
      </c>
    </row>
    <row r="91" spans="1:1" x14ac:dyDescent="0.15">
      <c r="A91" t="s">
        <v>80</v>
      </c>
    </row>
    <row r="92" spans="1:1" x14ac:dyDescent="0.15">
      <c r="A92" t="s">
        <v>65</v>
      </c>
    </row>
    <row r="93" spans="1:1" x14ac:dyDescent="0.15">
      <c r="A93" t="s">
        <v>81</v>
      </c>
    </row>
    <row r="94" spans="1:1" x14ac:dyDescent="0.15">
      <c r="A94" t="s">
        <v>67</v>
      </c>
    </row>
    <row r="95" spans="1:1" x14ac:dyDescent="0.15">
      <c r="A95" t="s">
        <v>82</v>
      </c>
    </row>
    <row r="96" spans="1:1" x14ac:dyDescent="0.15">
      <c r="A96" t="s">
        <v>65</v>
      </c>
    </row>
    <row r="97" spans="1:1" x14ac:dyDescent="0.15">
      <c r="A97" t="s">
        <v>83</v>
      </c>
    </row>
    <row r="98" spans="1:1" x14ac:dyDescent="0.15">
      <c r="A98" t="s">
        <v>67</v>
      </c>
    </row>
    <row r="99" spans="1:1" x14ac:dyDescent="0.15">
      <c r="A99" t="s">
        <v>84</v>
      </c>
    </row>
    <row r="100" spans="1:1" x14ac:dyDescent="0.15">
      <c r="A100" t="s">
        <v>65</v>
      </c>
    </row>
    <row r="101" spans="1:1" x14ac:dyDescent="0.15">
      <c r="A101" t="s">
        <v>85</v>
      </c>
    </row>
    <row r="102" spans="1:1" x14ac:dyDescent="0.15">
      <c r="A102" t="s">
        <v>67</v>
      </c>
    </row>
    <row r="103" spans="1:1" x14ac:dyDescent="0.15">
      <c r="A103" t="s">
        <v>86</v>
      </c>
    </row>
    <row r="104" spans="1:1" x14ac:dyDescent="0.15">
      <c r="A104" t="s">
        <v>203</v>
      </c>
    </row>
    <row r="105" spans="1:1" x14ac:dyDescent="0.15">
      <c r="A105" t="s">
        <v>87</v>
      </c>
    </row>
    <row r="106" spans="1:1" x14ac:dyDescent="0.15">
      <c r="A106" t="s">
        <v>67</v>
      </c>
    </row>
    <row r="107" spans="1:1" x14ac:dyDescent="0.15">
      <c r="A107" t="s">
        <v>88</v>
      </c>
    </row>
    <row r="108" spans="1:1" x14ac:dyDescent="0.15">
      <c r="A108" t="s">
        <v>203</v>
      </c>
    </row>
    <row r="109" spans="1:1" x14ac:dyDescent="0.15">
      <c r="A109" t="s">
        <v>89</v>
      </c>
    </row>
    <row r="110" spans="1:1" x14ac:dyDescent="0.15">
      <c r="A110" t="s">
        <v>67</v>
      </c>
    </row>
    <row r="111" spans="1:1" x14ac:dyDescent="0.15">
      <c r="A111" t="s">
        <v>90</v>
      </c>
    </row>
    <row r="112" spans="1:1" x14ac:dyDescent="0.15">
      <c r="A112" t="s">
        <v>91</v>
      </c>
    </row>
    <row r="113" spans="1:1" x14ac:dyDescent="0.15">
      <c r="A113" t="str">
        <f>" TKA.KEIYAKU_NO = '"&amp;取引先契約手続依頼書発行!$C$3&amp;"'"</f>
        <v xml:space="preserve"> TKA.KEIYAKU_NO = '2104-007'</v>
      </c>
    </row>
    <row r="114" spans="1:1" x14ac:dyDescent="0.15">
      <c r="A114" t="s">
        <v>92</v>
      </c>
    </row>
    <row r="115" spans="1:1" x14ac:dyDescent="0.15">
      <c r="A115" t="s">
        <v>175</v>
      </c>
    </row>
    <row r="116" spans="1:1" x14ac:dyDescent="0.15">
      <c r="A116" t="s">
        <v>202</v>
      </c>
    </row>
    <row r="117" spans="1:1" x14ac:dyDescent="0.15">
      <c r="A117" t="s">
        <v>93</v>
      </c>
    </row>
    <row r="119" spans="1:1" x14ac:dyDescent="0.15">
      <c r="A119" t="s">
        <v>0</v>
      </c>
    </row>
    <row r="120" spans="1:1" x14ac:dyDescent="0.15">
      <c r="A120" t="s">
        <v>1</v>
      </c>
    </row>
    <row r="121" spans="1:1" x14ac:dyDescent="0.15">
      <c r="A121" t="s">
        <v>2</v>
      </c>
    </row>
    <row r="122" spans="1:1" x14ac:dyDescent="0.15">
      <c r="A122" t="s">
        <v>3</v>
      </c>
    </row>
    <row r="123" spans="1:1" x14ac:dyDescent="0.15">
      <c r="A123" t="s">
        <v>4</v>
      </c>
    </row>
    <row r="124" spans="1:1" x14ac:dyDescent="0.15">
      <c r="A124" t="s">
        <v>5</v>
      </c>
    </row>
    <row r="125" spans="1:1" x14ac:dyDescent="0.15">
      <c r="A125" t="s">
        <v>6</v>
      </c>
    </row>
    <row r="126" spans="1:1" x14ac:dyDescent="0.15">
      <c r="A126" t="s">
        <v>7</v>
      </c>
    </row>
    <row r="127" spans="1:1" x14ac:dyDescent="0.15">
      <c r="A127" t="s">
        <v>147</v>
      </c>
    </row>
    <row r="129" spans="1:1" x14ac:dyDescent="0.15">
      <c r="A129" t="s">
        <v>138</v>
      </c>
    </row>
    <row r="130" spans="1:1" x14ac:dyDescent="0.15">
      <c r="A130" t="s">
        <v>95</v>
      </c>
    </row>
    <row r="131" spans="1:1" x14ac:dyDescent="0.15">
      <c r="A131" t="s">
        <v>9</v>
      </c>
    </row>
    <row r="132" spans="1:1" x14ac:dyDescent="0.15">
      <c r="A132" t="s">
        <v>10</v>
      </c>
    </row>
    <row r="133" spans="1:1" x14ac:dyDescent="0.15">
      <c r="A133" t="s">
        <v>11</v>
      </c>
    </row>
    <row r="134" spans="1:1" x14ac:dyDescent="0.15">
      <c r="A134" t="s">
        <v>139</v>
      </c>
    </row>
    <row r="135" spans="1:1" x14ac:dyDescent="0.15">
      <c r="A135" t="s">
        <v>140</v>
      </c>
    </row>
    <row r="136" spans="1:1" x14ac:dyDescent="0.15">
      <c r="A136" t="s">
        <v>14</v>
      </c>
    </row>
    <row r="137" spans="1:1" x14ac:dyDescent="0.15">
      <c r="A137" t="s">
        <v>15</v>
      </c>
    </row>
    <row r="138" spans="1:1" x14ac:dyDescent="0.15">
      <c r="A138" t="s">
        <v>16</v>
      </c>
    </row>
    <row r="139" spans="1:1" x14ac:dyDescent="0.15">
      <c r="A139" t="s">
        <v>17</v>
      </c>
    </row>
    <row r="140" spans="1:1" x14ac:dyDescent="0.15">
      <c r="A140" t="s">
        <v>18</v>
      </c>
    </row>
    <row r="141" spans="1:1" x14ac:dyDescent="0.15">
      <c r="A141" t="s">
        <v>19</v>
      </c>
    </row>
    <row r="142" spans="1:1" x14ac:dyDescent="0.15">
      <c r="A142" t="s">
        <v>20</v>
      </c>
    </row>
    <row r="143" spans="1:1" x14ac:dyDescent="0.15">
      <c r="A143" t="s">
        <v>21</v>
      </c>
    </row>
    <row r="144" spans="1:1" x14ac:dyDescent="0.15">
      <c r="A144" t="s">
        <v>22</v>
      </c>
    </row>
    <row r="145" spans="1:1" x14ac:dyDescent="0.15">
      <c r="A145" t="s">
        <v>33</v>
      </c>
    </row>
    <row r="146" spans="1:1" x14ac:dyDescent="0.15">
      <c r="A146" t="s">
        <v>96</v>
      </c>
    </row>
    <row r="147" spans="1:1" x14ac:dyDescent="0.15">
      <c r="A147" t="s">
        <v>162</v>
      </c>
    </row>
    <row r="148" spans="1:1" x14ac:dyDescent="0.15">
      <c r="A148" t="s">
        <v>159</v>
      </c>
    </row>
    <row r="149" spans="1:1" x14ac:dyDescent="0.15">
      <c r="A149" t="s">
        <v>97</v>
      </c>
    </row>
    <row r="150" spans="1:1" x14ac:dyDescent="0.15">
      <c r="A150" t="s">
        <v>98</v>
      </c>
    </row>
    <row r="151" spans="1:1" x14ac:dyDescent="0.15">
      <c r="A151" t="s">
        <v>174</v>
      </c>
    </row>
    <row r="152" spans="1:1" x14ac:dyDescent="0.15">
      <c r="A152" t="s">
        <v>14</v>
      </c>
    </row>
    <row r="153" spans="1:1" x14ac:dyDescent="0.15">
      <c r="A153" t="s">
        <v>99</v>
      </c>
    </row>
    <row r="154" spans="1:1" x14ac:dyDescent="0.15">
      <c r="A154" t="s">
        <v>100</v>
      </c>
    </row>
    <row r="155" spans="1:1" x14ac:dyDescent="0.15">
      <c r="A155" t="s">
        <v>21</v>
      </c>
    </row>
    <row r="156" spans="1:1" x14ac:dyDescent="0.15">
      <c r="A156" t="s">
        <v>22</v>
      </c>
    </row>
    <row r="157" spans="1:1" x14ac:dyDescent="0.15">
      <c r="A157" t="s">
        <v>101</v>
      </c>
    </row>
    <row r="158" spans="1:1" x14ac:dyDescent="0.15">
      <c r="A158" t="s">
        <v>14</v>
      </c>
    </row>
    <row r="159" spans="1:1" x14ac:dyDescent="0.15">
      <c r="A159" t="s">
        <v>176</v>
      </c>
    </row>
    <row r="160" spans="1:1" x14ac:dyDescent="0.15">
      <c r="A160" t="s">
        <v>38</v>
      </c>
    </row>
    <row r="161" spans="1:1" x14ac:dyDescent="0.15">
      <c r="A161" t="s">
        <v>177</v>
      </c>
    </row>
    <row r="162" spans="1:1" x14ac:dyDescent="0.15">
      <c r="A162" t="s">
        <v>40</v>
      </c>
    </row>
    <row r="163" spans="1:1" x14ac:dyDescent="0.15">
      <c r="A163" t="s">
        <v>178</v>
      </c>
    </row>
    <row r="164" spans="1:1" x14ac:dyDescent="0.15">
      <c r="A164" t="s">
        <v>42</v>
      </c>
    </row>
    <row r="165" spans="1:1" x14ac:dyDescent="0.15">
      <c r="A165" t="s">
        <v>179</v>
      </c>
    </row>
    <row r="166" spans="1:1" x14ac:dyDescent="0.15">
      <c r="A166" t="s">
        <v>44</v>
      </c>
    </row>
    <row r="167" spans="1:1" x14ac:dyDescent="0.15">
      <c r="A167" t="s">
        <v>180</v>
      </c>
    </row>
    <row r="168" spans="1:1" x14ac:dyDescent="0.15">
      <c r="A168" t="s">
        <v>46</v>
      </c>
    </row>
    <row r="169" spans="1:1" x14ac:dyDescent="0.15">
      <c r="A169" t="s">
        <v>181</v>
      </c>
    </row>
    <row r="170" spans="1:1" x14ac:dyDescent="0.15">
      <c r="A170" t="s">
        <v>48</v>
      </c>
    </row>
    <row r="171" spans="1:1" x14ac:dyDescent="0.15">
      <c r="A171" t="s">
        <v>182</v>
      </c>
    </row>
    <row r="172" spans="1:1" x14ac:dyDescent="0.15">
      <c r="A172" t="s">
        <v>50</v>
      </c>
    </row>
    <row r="173" spans="1:1" x14ac:dyDescent="0.15">
      <c r="A173" t="s">
        <v>183</v>
      </c>
    </row>
    <row r="174" spans="1:1" x14ac:dyDescent="0.15">
      <c r="A174" t="s">
        <v>52</v>
      </c>
    </row>
    <row r="175" spans="1:1" x14ac:dyDescent="0.15">
      <c r="A175" t="s">
        <v>184</v>
      </c>
    </row>
    <row r="176" spans="1:1" x14ac:dyDescent="0.15">
      <c r="A176" t="s">
        <v>54</v>
      </c>
    </row>
    <row r="177" spans="1:1" x14ac:dyDescent="0.15">
      <c r="A177" t="s">
        <v>185</v>
      </c>
    </row>
    <row r="178" spans="1:1" x14ac:dyDescent="0.15">
      <c r="A178" t="s">
        <v>56</v>
      </c>
    </row>
    <row r="179" spans="1:1" x14ac:dyDescent="0.15">
      <c r="A179" t="s">
        <v>186</v>
      </c>
    </row>
    <row r="180" spans="1:1" x14ac:dyDescent="0.15">
      <c r="A180" t="s">
        <v>58</v>
      </c>
    </row>
    <row r="181" spans="1:1" x14ac:dyDescent="0.15">
      <c r="A181" t="s">
        <v>187</v>
      </c>
    </row>
    <row r="182" spans="1:1" x14ac:dyDescent="0.15">
      <c r="A182" t="s">
        <v>60</v>
      </c>
    </row>
    <row r="183" spans="1:1" x14ac:dyDescent="0.15">
      <c r="A183" t="s">
        <v>141</v>
      </c>
    </row>
    <row r="184" spans="1:1" x14ac:dyDescent="0.15">
      <c r="A184" t="s">
        <v>204</v>
      </c>
    </row>
    <row r="185" spans="1:1" x14ac:dyDescent="0.15">
      <c r="A185" t="s">
        <v>164</v>
      </c>
    </row>
    <row r="186" spans="1:1" x14ac:dyDescent="0.15">
      <c r="A186" t="s">
        <v>14</v>
      </c>
    </row>
    <row r="187" spans="1:1" x14ac:dyDescent="0.15">
      <c r="A187" t="s">
        <v>99</v>
      </c>
    </row>
    <row r="188" spans="1:1" x14ac:dyDescent="0.15">
      <c r="A188" t="s">
        <v>205</v>
      </c>
    </row>
    <row r="189" spans="1:1" x14ac:dyDescent="0.15">
      <c r="A189" t="s">
        <v>21</v>
      </c>
    </row>
    <row r="190" spans="1:1" x14ac:dyDescent="0.15">
      <c r="A190" t="s">
        <v>206</v>
      </c>
    </row>
    <row r="191" spans="1:1" x14ac:dyDescent="0.15">
      <c r="A191" t="s">
        <v>62</v>
      </c>
    </row>
    <row r="192" spans="1:1" x14ac:dyDescent="0.15">
      <c r="A192" t="s">
        <v>63</v>
      </c>
    </row>
    <row r="193" spans="1:1" x14ac:dyDescent="0.15">
      <c r="A193" t="s">
        <v>64</v>
      </c>
    </row>
    <row r="194" spans="1:1" x14ac:dyDescent="0.15">
      <c r="A194" t="s">
        <v>65</v>
      </c>
    </row>
    <row r="195" spans="1:1" x14ac:dyDescent="0.15">
      <c r="A195" t="s">
        <v>66</v>
      </c>
    </row>
    <row r="196" spans="1:1" x14ac:dyDescent="0.15">
      <c r="A196" t="s">
        <v>67</v>
      </c>
    </row>
    <row r="197" spans="1:1" x14ac:dyDescent="0.15">
      <c r="A197" t="s">
        <v>68</v>
      </c>
    </row>
    <row r="198" spans="1:1" x14ac:dyDescent="0.15">
      <c r="A198" t="s">
        <v>69</v>
      </c>
    </row>
    <row r="199" spans="1:1" x14ac:dyDescent="0.15">
      <c r="A199" t="s">
        <v>70</v>
      </c>
    </row>
    <row r="200" spans="1:1" x14ac:dyDescent="0.15">
      <c r="A200" t="s">
        <v>71</v>
      </c>
    </row>
    <row r="201" spans="1:1" x14ac:dyDescent="0.15">
      <c r="A201" t="s">
        <v>72</v>
      </c>
    </row>
    <row r="202" spans="1:1" x14ac:dyDescent="0.15">
      <c r="A202" t="s">
        <v>73</v>
      </c>
    </row>
    <row r="203" spans="1:1" x14ac:dyDescent="0.15">
      <c r="A203" t="s">
        <v>148</v>
      </c>
    </row>
    <row r="204" spans="1:1" x14ac:dyDescent="0.15">
      <c r="A204" t="s">
        <v>170</v>
      </c>
    </row>
    <row r="205" spans="1:1" x14ac:dyDescent="0.15">
      <c r="A205" t="s">
        <v>74</v>
      </c>
    </row>
    <row r="206" spans="1:1" x14ac:dyDescent="0.15">
      <c r="A206" t="s">
        <v>75</v>
      </c>
    </row>
    <row r="207" spans="1:1" x14ac:dyDescent="0.15">
      <c r="A207" t="s">
        <v>67</v>
      </c>
    </row>
    <row r="208" spans="1:1" x14ac:dyDescent="0.15">
      <c r="A208" t="s">
        <v>76</v>
      </c>
    </row>
    <row r="209" spans="1:1" x14ac:dyDescent="0.15">
      <c r="A209" t="s">
        <v>77</v>
      </c>
    </row>
    <row r="210" spans="1:1" x14ac:dyDescent="0.15">
      <c r="A210" t="s">
        <v>78</v>
      </c>
    </row>
    <row r="211" spans="1:1" x14ac:dyDescent="0.15">
      <c r="A211" t="s">
        <v>65</v>
      </c>
    </row>
    <row r="212" spans="1:1" x14ac:dyDescent="0.15">
      <c r="A212" t="s">
        <v>79</v>
      </c>
    </row>
    <row r="213" spans="1:1" x14ac:dyDescent="0.15">
      <c r="A213" t="s">
        <v>67</v>
      </c>
    </row>
    <row r="214" spans="1:1" x14ac:dyDescent="0.15">
      <c r="A214" t="s">
        <v>80</v>
      </c>
    </row>
    <row r="215" spans="1:1" x14ac:dyDescent="0.15">
      <c r="A215" t="s">
        <v>65</v>
      </c>
    </row>
    <row r="216" spans="1:1" x14ac:dyDescent="0.15">
      <c r="A216" t="s">
        <v>102</v>
      </c>
    </row>
    <row r="217" spans="1:1" x14ac:dyDescent="0.15">
      <c r="A217" t="s">
        <v>67</v>
      </c>
    </row>
    <row r="218" spans="1:1" x14ac:dyDescent="0.15">
      <c r="A218" t="s">
        <v>103</v>
      </c>
    </row>
    <row r="219" spans="1:1" x14ac:dyDescent="0.15">
      <c r="A219" t="s">
        <v>65</v>
      </c>
    </row>
    <row r="220" spans="1:1" x14ac:dyDescent="0.15">
      <c r="A220" t="s">
        <v>104</v>
      </c>
    </row>
    <row r="221" spans="1:1" x14ac:dyDescent="0.15">
      <c r="A221" t="s">
        <v>67</v>
      </c>
    </row>
    <row r="222" spans="1:1" x14ac:dyDescent="0.15">
      <c r="A222" t="s">
        <v>105</v>
      </c>
    </row>
    <row r="223" spans="1:1" x14ac:dyDescent="0.15">
      <c r="A223" t="s">
        <v>65</v>
      </c>
    </row>
    <row r="224" spans="1:1" x14ac:dyDescent="0.15">
      <c r="A224" t="s">
        <v>106</v>
      </c>
    </row>
    <row r="225" spans="1:1" x14ac:dyDescent="0.15">
      <c r="A225" t="s">
        <v>67</v>
      </c>
    </row>
    <row r="226" spans="1:1" x14ac:dyDescent="0.15">
      <c r="A226" t="s">
        <v>107</v>
      </c>
    </row>
    <row r="227" spans="1:1" x14ac:dyDescent="0.15">
      <c r="A227" t="s">
        <v>65</v>
      </c>
    </row>
    <row r="228" spans="1:1" x14ac:dyDescent="0.15">
      <c r="A228" t="s">
        <v>108</v>
      </c>
    </row>
    <row r="229" spans="1:1" x14ac:dyDescent="0.15">
      <c r="A229" t="s">
        <v>67</v>
      </c>
    </row>
    <row r="230" spans="1:1" x14ac:dyDescent="0.15">
      <c r="A230" t="s">
        <v>109</v>
      </c>
    </row>
    <row r="231" spans="1:1" x14ac:dyDescent="0.15">
      <c r="A231" t="s">
        <v>65</v>
      </c>
    </row>
    <row r="232" spans="1:1" x14ac:dyDescent="0.15">
      <c r="A232" t="s">
        <v>110</v>
      </c>
    </row>
    <row r="233" spans="1:1" x14ac:dyDescent="0.15">
      <c r="A233" t="s">
        <v>67</v>
      </c>
    </row>
    <row r="234" spans="1:1" x14ac:dyDescent="0.15">
      <c r="A234" t="s">
        <v>111</v>
      </c>
    </row>
    <row r="235" spans="1:1" x14ac:dyDescent="0.15">
      <c r="A235" t="s">
        <v>142</v>
      </c>
    </row>
    <row r="236" spans="1:1" x14ac:dyDescent="0.15">
      <c r="A236" t="s">
        <v>112</v>
      </c>
    </row>
    <row r="237" spans="1:1" x14ac:dyDescent="0.15">
      <c r="A237" t="s">
        <v>67</v>
      </c>
    </row>
    <row r="238" spans="1:1" x14ac:dyDescent="0.15">
      <c r="A238" t="s">
        <v>113</v>
      </c>
    </row>
    <row r="239" spans="1:1" x14ac:dyDescent="0.15">
      <c r="A239" t="s">
        <v>114</v>
      </c>
    </row>
    <row r="240" spans="1:1" x14ac:dyDescent="0.15">
      <c r="A240" t="s">
        <v>115</v>
      </c>
    </row>
    <row r="241" spans="1:1" x14ac:dyDescent="0.15">
      <c r="A241" t="s">
        <v>142</v>
      </c>
    </row>
    <row r="242" spans="1:1" x14ac:dyDescent="0.15">
      <c r="A242" t="s">
        <v>116</v>
      </c>
    </row>
    <row r="243" spans="1:1" x14ac:dyDescent="0.15">
      <c r="A243" t="s">
        <v>67</v>
      </c>
    </row>
    <row r="244" spans="1:1" x14ac:dyDescent="0.15">
      <c r="A244" t="s">
        <v>117</v>
      </c>
    </row>
    <row r="245" spans="1:1" x14ac:dyDescent="0.15">
      <c r="A245" t="s">
        <v>65</v>
      </c>
    </row>
    <row r="246" spans="1:1" x14ac:dyDescent="0.15">
      <c r="A246" t="s">
        <v>118</v>
      </c>
    </row>
    <row r="247" spans="1:1" x14ac:dyDescent="0.15">
      <c r="A247" t="s">
        <v>67</v>
      </c>
    </row>
    <row r="248" spans="1:1" x14ac:dyDescent="0.15">
      <c r="A248" t="s">
        <v>119</v>
      </c>
    </row>
    <row r="249" spans="1:1" x14ac:dyDescent="0.15">
      <c r="A249" t="s">
        <v>65</v>
      </c>
    </row>
    <row r="250" spans="1:1" x14ac:dyDescent="0.15">
      <c r="A250" t="s">
        <v>120</v>
      </c>
    </row>
    <row r="251" spans="1:1" x14ac:dyDescent="0.15">
      <c r="A251" t="s">
        <v>67</v>
      </c>
    </row>
    <row r="252" spans="1:1" x14ac:dyDescent="0.15">
      <c r="A252" t="s">
        <v>121</v>
      </c>
    </row>
    <row r="253" spans="1:1" x14ac:dyDescent="0.15">
      <c r="A253" t="s">
        <v>65</v>
      </c>
    </row>
    <row r="254" spans="1:1" x14ac:dyDescent="0.15">
      <c r="A254" t="s">
        <v>87</v>
      </c>
    </row>
    <row r="255" spans="1:1" x14ac:dyDescent="0.15">
      <c r="A255" t="s">
        <v>67</v>
      </c>
    </row>
    <row r="256" spans="1:1" x14ac:dyDescent="0.15">
      <c r="A256" t="s">
        <v>88</v>
      </c>
    </row>
    <row r="257" spans="1:1" x14ac:dyDescent="0.15">
      <c r="A257" t="s">
        <v>65</v>
      </c>
    </row>
    <row r="258" spans="1:1" x14ac:dyDescent="0.15">
      <c r="A258" t="s">
        <v>143</v>
      </c>
    </row>
    <row r="259" spans="1:1" x14ac:dyDescent="0.15">
      <c r="A259" t="s">
        <v>67</v>
      </c>
    </row>
    <row r="260" spans="1:1" x14ac:dyDescent="0.15">
      <c r="A260" t="s">
        <v>144</v>
      </c>
    </row>
    <row r="261" spans="1:1" x14ac:dyDescent="0.15">
      <c r="A261" t="s">
        <v>91</v>
      </c>
    </row>
    <row r="262" spans="1:1" x14ac:dyDescent="0.15">
      <c r="A262" t="str">
        <f>" TKA.KEIYAKU_NO = '"&amp;取引先契約手続依頼書発行!$C$3&amp;"'"</f>
        <v xml:space="preserve"> TKA.KEIYAKU_NO = '2104-007'</v>
      </c>
    </row>
    <row r="263" spans="1:1" x14ac:dyDescent="0.15">
      <c r="A263" t="s">
        <v>122</v>
      </c>
    </row>
    <row r="264" spans="1:1" x14ac:dyDescent="0.15">
      <c r="A264" t="s">
        <v>169</v>
      </c>
    </row>
    <row r="265" spans="1:1" x14ac:dyDescent="0.15">
      <c r="A265" t="s">
        <v>145</v>
      </c>
    </row>
    <row r="266" spans="1:1" x14ac:dyDescent="0.15">
      <c r="A266" t="s">
        <v>146</v>
      </c>
    </row>
    <row r="267" spans="1:1" x14ac:dyDescent="0.15">
      <c r="A267" t="s">
        <v>93</v>
      </c>
    </row>
    <row r="268" spans="1:1" x14ac:dyDescent="0.15">
      <c r="A268" t="s">
        <v>94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280"/>
  <sheetViews>
    <sheetView topLeftCell="A178" workbookViewId="0">
      <selection activeCell="C263" sqref="C263"/>
    </sheetView>
  </sheetViews>
  <sheetFormatPr defaultRowHeight="13.5" x14ac:dyDescent="0.15"/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  <row r="5" spans="1:1" x14ac:dyDescent="0.15">
      <c r="A5" t="s">
        <v>4</v>
      </c>
    </row>
    <row r="6" spans="1:1" x14ac:dyDescent="0.15">
      <c r="A6" t="s">
        <v>5</v>
      </c>
    </row>
    <row r="7" spans="1:1" x14ac:dyDescent="0.15">
      <c r="A7" t="s">
        <v>6</v>
      </c>
    </row>
    <row r="8" spans="1:1" x14ac:dyDescent="0.15">
      <c r="A8" t="s">
        <v>7</v>
      </c>
    </row>
    <row r="9" spans="1:1" x14ac:dyDescent="0.15">
      <c r="A9" t="s">
        <v>158</v>
      </c>
    </row>
    <row r="11" spans="1:1" x14ac:dyDescent="0.15">
      <c r="A11" t="s">
        <v>136</v>
      </c>
    </row>
    <row r="12" spans="1:1" x14ac:dyDescent="0.15">
      <c r="A12" t="s">
        <v>8</v>
      </c>
    </row>
    <row r="13" spans="1:1" x14ac:dyDescent="0.15">
      <c r="A13" t="s">
        <v>9</v>
      </c>
    </row>
    <row r="14" spans="1:1" x14ac:dyDescent="0.15">
      <c r="A14" t="s">
        <v>135</v>
      </c>
    </row>
    <row r="15" spans="1:1" x14ac:dyDescent="0.15">
      <c r="A15" t="s">
        <v>11</v>
      </c>
    </row>
    <row r="16" spans="1:1" x14ac:dyDescent="0.15">
      <c r="A16" t="s">
        <v>12</v>
      </c>
    </row>
    <row r="17" spans="1:1" x14ac:dyDescent="0.15">
      <c r="A17" t="s">
        <v>13</v>
      </c>
    </row>
    <row r="18" spans="1:1" x14ac:dyDescent="0.15">
      <c r="A18" t="s">
        <v>14</v>
      </c>
    </row>
    <row r="19" spans="1:1" x14ac:dyDescent="0.15">
      <c r="A19" t="s">
        <v>15</v>
      </c>
    </row>
    <row r="20" spans="1:1" x14ac:dyDescent="0.15">
      <c r="A20" t="s">
        <v>16</v>
      </c>
    </row>
    <row r="21" spans="1:1" x14ac:dyDescent="0.15">
      <c r="A21" t="s">
        <v>17</v>
      </c>
    </row>
    <row r="22" spans="1:1" x14ac:dyDescent="0.15">
      <c r="A22" t="s">
        <v>18</v>
      </c>
    </row>
    <row r="23" spans="1:1" x14ac:dyDescent="0.15">
      <c r="A23" t="s">
        <v>19</v>
      </c>
    </row>
    <row r="24" spans="1:1" x14ac:dyDescent="0.15">
      <c r="A24" t="s">
        <v>20</v>
      </c>
    </row>
    <row r="25" spans="1:1" x14ac:dyDescent="0.15">
      <c r="A25" t="s">
        <v>21</v>
      </c>
    </row>
    <row r="26" spans="1:1" x14ac:dyDescent="0.15">
      <c r="A26" t="s">
        <v>22</v>
      </c>
    </row>
    <row r="27" spans="1:1" x14ac:dyDescent="0.15">
      <c r="A27" t="s">
        <v>23</v>
      </c>
    </row>
    <row r="28" spans="1:1" x14ac:dyDescent="0.15">
      <c r="A28" t="s">
        <v>24</v>
      </c>
    </row>
    <row r="29" spans="1:1" x14ac:dyDescent="0.15">
      <c r="A29" t="s">
        <v>25</v>
      </c>
    </row>
    <row r="30" spans="1:1" x14ac:dyDescent="0.15">
      <c r="A30" t="s">
        <v>26</v>
      </c>
    </row>
    <row r="31" spans="1:1" x14ac:dyDescent="0.15">
      <c r="A31" t="s">
        <v>27</v>
      </c>
    </row>
    <row r="32" spans="1:1" x14ac:dyDescent="0.15">
      <c r="A32" t="s">
        <v>28</v>
      </c>
    </row>
    <row r="33" spans="1:1" x14ac:dyDescent="0.15">
      <c r="A33" t="s">
        <v>29</v>
      </c>
    </row>
    <row r="34" spans="1:1" x14ac:dyDescent="0.15">
      <c r="A34" t="s">
        <v>30</v>
      </c>
    </row>
    <row r="35" spans="1:1" x14ac:dyDescent="0.15">
      <c r="A35" t="s">
        <v>31</v>
      </c>
    </row>
    <row r="36" spans="1:1" x14ac:dyDescent="0.15">
      <c r="A36" t="s">
        <v>32</v>
      </c>
    </row>
    <row r="37" spans="1:1" x14ac:dyDescent="0.15">
      <c r="A37" t="s">
        <v>33</v>
      </c>
    </row>
    <row r="38" spans="1:1" x14ac:dyDescent="0.15">
      <c r="A38" t="s">
        <v>34</v>
      </c>
    </row>
    <row r="39" spans="1:1" x14ac:dyDescent="0.15">
      <c r="A39" t="s">
        <v>35</v>
      </c>
    </row>
    <row r="40" spans="1:1" x14ac:dyDescent="0.15">
      <c r="A40" t="s">
        <v>36</v>
      </c>
    </row>
    <row r="41" spans="1:1" x14ac:dyDescent="0.15">
      <c r="A41" t="s">
        <v>14</v>
      </c>
    </row>
    <row r="42" spans="1:1" x14ac:dyDescent="0.15">
      <c r="A42" t="s">
        <v>190</v>
      </c>
    </row>
    <row r="43" spans="1:1" x14ac:dyDescent="0.15">
      <c r="A43" t="s">
        <v>38</v>
      </c>
    </row>
    <row r="44" spans="1:1" x14ac:dyDescent="0.15">
      <c r="A44" t="s">
        <v>191</v>
      </c>
    </row>
    <row r="45" spans="1:1" x14ac:dyDescent="0.15">
      <c r="A45" t="s">
        <v>40</v>
      </c>
    </row>
    <row r="46" spans="1:1" x14ac:dyDescent="0.15">
      <c r="A46" t="s">
        <v>192</v>
      </c>
    </row>
    <row r="47" spans="1:1" x14ac:dyDescent="0.15">
      <c r="A47" t="s">
        <v>42</v>
      </c>
    </row>
    <row r="48" spans="1:1" x14ac:dyDescent="0.15">
      <c r="A48" t="s">
        <v>193</v>
      </c>
    </row>
    <row r="49" spans="1:1" x14ac:dyDescent="0.15">
      <c r="A49" t="s">
        <v>44</v>
      </c>
    </row>
    <row r="50" spans="1:1" x14ac:dyDescent="0.15">
      <c r="A50" t="s">
        <v>194</v>
      </c>
    </row>
    <row r="51" spans="1:1" x14ac:dyDescent="0.15">
      <c r="A51" t="s">
        <v>46</v>
      </c>
    </row>
    <row r="52" spans="1:1" x14ac:dyDescent="0.15">
      <c r="A52" t="s">
        <v>195</v>
      </c>
    </row>
    <row r="53" spans="1:1" x14ac:dyDescent="0.15">
      <c r="A53" t="s">
        <v>48</v>
      </c>
    </row>
    <row r="54" spans="1:1" x14ac:dyDescent="0.15">
      <c r="A54" t="s">
        <v>196</v>
      </c>
    </row>
    <row r="55" spans="1:1" x14ac:dyDescent="0.15">
      <c r="A55" t="s">
        <v>50</v>
      </c>
    </row>
    <row r="56" spans="1:1" x14ac:dyDescent="0.15">
      <c r="A56" t="s">
        <v>197</v>
      </c>
    </row>
    <row r="57" spans="1:1" x14ac:dyDescent="0.15">
      <c r="A57" t="s">
        <v>52</v>
      </c>
    </row>
    <row r="58" spans="1:1" x14ac:dyDescent="0.15">
      <c r="A58" t="s">
        <v>198</v>
      </c>
    </row>
    <row r="59" spans="1:1" x14ac:dyDescent="0.15">
      <c r="A59" t="s">
        <v>54</v>
      </c>
    </row>
    <row r="60" spans="1:1" x14ac:dyDescent="0.15">
      <c r="A60" t="s">
        <v>199</v>
      </c>
    </row>
    <row r="61" spans="1:1" x14ac:dyDescent="0.15">
      <c r="A61" t="s">
        <v>56</v>
      </c>
    </row>
    <row r="62" spans="1:1" x14ac:dyDescent="0.15">
      <c r="A62" t="s">
        <v>200</v>
      </c>
    </row>
    <row r="63" spans="1:1" x14ac:dyDescent="0.15">
      <c r="A63" t="s">
        <v>58</v>
      </c>
    </row>
    <row r="64" spans="1:1" x14ac:dyDescent="0.15">
      <c r="A64" t="s">
        <v>201</v>
      </c>
    </row>
    <row r="65" spans="1:1" x14ac:dyDescent="0.15">
      <c r="A65" t="s">
        <v>60</v>
      </c>
    </row>
    <row r="66" spans="1:1" x14ac:dyDescent="0.15">
      <c r="A66" t="s">
        <v>126</v>
      </c>
    </row>
    <row r="67" spans="1:1" x14ac:dyDescent="0.15">
      <c r="A67" t="s">
        <v>61</v>
      </c>
    </row>
    <row r="68" spans="1:1" x14ac:dyDescent="0.15">
      <c r="A68" t="s">
        <v>62</v>
      </c>
    </row>
    <row r="69" spans="1:1" x14ac:dyDescent="0.15">
      <c r="A69" t="s">
        <v>63</v>
      </c>
    </row>
    <row r="70" spans="1:1" x14ac:dyDescent="0.15">
      <c r="A70" t="s">
        <v>64</v>
      </c>
    </row>
    <row r="71" spans="1:1" x14ac:dyDescent="0.15">
      <c r="A71" t="s">
        <v>65</v>
      </c>
    </row>
    <row r="72" spans="1:1" x14ac:dyDescent="0.15">
      <c r="A72" t="s">
        <v>66</v>
      </c>
    </row>
    <row r="73" spans="1:1" x14ac:dyDescent="0.15">
      <c r="A73" t="s">
        <v>67</v>
      </c>
    </row>
    <row r="74" spans="1:1" x14ac:dyDescent="0.15">
      <c r="A74" t="s">
        <v>68</v>
      </c>
    </row>
    <row r="75" spans="1:1" x14ac:dyDescent="0.15">
      <c r="A75" t="s">
        <v>69</v>
      </c>
    </row>
    <row r="76" spans="1:1" x14ac:dyDescent="0.15">
      <c r="A76" t="s">
        <v>70</v>
      </c>
    </row>
    <row r="77" spans="1:1" x14ac:dyDescent="0.15">
      <c r="A77" t="s">
        <v>71</v>
      </c>
    </row>
    <row r="78" spans="1:1" x14ac:dyDescent="0.15">
      <c r="A78" t="s">
        <v>72</v>
      </c>
    </row>
    <row r="79" spans="1:1" x14ac:dyDescent="0.15">
      <c r="A79" t="s">
        <v>73</v>
      </c>
    </row>
    <row r="80" spans="1:1" x14ac:dyDescent="0.15">
      <c r="A80" t="s">
        <v>148</v>
      </c>
    </row>
    <row r="81" spans="1:1" x14ac:dyDescent="0.15">
      <c r="A81" t="str">
        <f>"             MCM_TK_KIKAN.KAISI_DT &lt; '" &amp;TEXT(取引先契約手続依頼書発行!$C$11,"yyyy/mm/dd")&amp;"'"</f>
        <v xml:space="preserve">             MCM_TK_KIKAN.KAISI_DT &lt; '2020/05/31'</v>
      </c>
    </row>
    <row r="82" spans="1:1" x14ac:dyDescent="0.15">
      <c r="A82" t="s">
        <v>149</v>
      </c>
    </row>
    <row r="83" spans="1:1" x14ac:dyDescent="0.15">
      <c r="A83" t="str">
        <f>"              MCM_TK_KIKAN.SYURYO_DT &gt;= '" &amp;TEXT(取引先契約手続依頼書発行!$C$11,"yyyy/mm/dd")&amp;"'"</f>
        <v xml:space="preserve">              MCM_TK_KIKAN.SYURYO_DT &gt;= '2020/05/31'</v>
      </c>
    </row>
    <row r="84" spans="1:1" x14ac:dyDescent="0.15">
      <c r="A84" t="s">
        <v>171</v>
      </c>
    </row>
    <row r="85" spans="1:1" x14ac:dyDescent="0.15">
      <c r="A85" t="s">
        <v>172</v>
      </c>
    </row>
    <row r="86" spans="1:1" x14ac:dyDescent="0.15">
      <c r="A86" t="s">
        <v>74</v>
      </c>
    </row>
    <row r="87" spans="1:1" x14ac:dyDescent="0.15">
      <c r="A87" t="s">
        <v>75</v>
      </c>
    </row>
    <row r="88" spans="1:1" x14ac:dyDescent="0.15">
      <c r="A88" t="s">
        <v>67</v>
      </c>
    </row>
    <row r="89" spans="1:1" x14ac:dyDescent="0.15">
      <c r="A89" t="s">
        <v>76</v>
      </c>
    </row>
    <row r="90" spans="1:1" x14ac:dyDescent="0.15">
      <c r="A90" t="s">
        <v>77</v>
      </c>
    </row>
    <row r="91" spans="1:1" x14ac:dyDescent="0.15">
      <c r="A91" t="s">
        <v>78</v>
      </c>
    </row>
    <row r="92" spans="1:1" x14ac:dyDescent="0.15">
      <c r="A92" t="s">
        <v>65</v>
      </c>
    </row>
    <row r="93" spans="1:1" x14ac:dyDescent="0.15">
      <c r="A93" t="s">
        <v>79</v>
      </c>
    </row>
    <row r="94" spans="1:1" x14ac:dyDescent="0.15">
      <c r="A94" t="s">
        <v>67</v>
      </c>
    </row>
    <row r="95" spans="1:1" x14ac:dyDescent="0.15">
      <c r="A95" t="s">
        <v>80</v>
      </c>
    </row>
    <row r="96" spans="1:1" x14ac:dyDescent="0.15">
      <c r="A96" t="s">
        <v>65</v>
      </c>
    </row>
    <row r="97" spans="1:1" x14ac:dyDescent="0.15">
      <c r="A97" t="s">
        <v>81</v>
      </c>
    </row>
    <row r="98" spans="1:1" x14ac:dyDescent="0.15">
      <c r="A98" t="s">
        <v>67</v>
      </c>
    </row>
    <row r="99" spans="1:1" x14ac:dyDescent="0.15">
      <c r="A99" t="s">
        <v>82</v>
      </c>
    </row>
    <row r="100" spans="1:1" x14ac:dyDescent="0.15">
      <c r="A100" t="s">
        <v>65</v>
      </c>
    </row>
    <row r="101" spans="1:1" x14ac:dyDescent="0.15">
      <c r="A101" t="s">
        <v>83</v>
      </c>
    </row>
    <row r="102" spans="1:1" x14ac:dyDescent="0.15">
      <c r="A102" t="s">
        <v>67</v>
      </c>
    </row>
    <row r="103" spans="1:1" x14ac:dyDescent="0.15">
      <c r="A103" t="s">
        <v>84</v>
      </c>
    </row>
    <row r="104" spans="1:1" x14ac:dyDescent="0.15">
      <c r="A104" t="s">
        <v>65</v>
      </c>
    </row>
    <row r="105" spans="1:1" x14ac:dyDescent="0.15">
      <c r="A105" t="s">
        <v>85</v>
      </c>
    </row>
    <row r="106" spans="1:1" x14ac:dyDescent="0.15">
      <c r="A106" t="s">
        <v>67</v>
      </c>
    </row>
    <row r="107" spans="1:1" x14ac:dyDescent="0.15">
      <c r="A107" t="s">
        <v>86</v>
      </c>
    </row>
    <row r="108" spans="1:1" x14ac:dyDescent="0.15">
      <c r="A108" t="s">
        <v>173</v>
      </c>
    </row>
    <row r="109" spans="1:1" x14ac:dyDescent="0.15">
      <c r="A109" t="s">
        <v>87</v>
      </c>
    </row>
    <row r="110" spans="1:1" x14ac:dyDescent="0.15">
      <c r="A110" t="s">
        <v>67</v>
      </c>
    </row>
    <row r="111" spans="1:1" x14ac:dyDescent="0.15">
      <c r="A111" t="s">
        <v>88</v>
      </c>
    </row>
    <row r="112" spans="1:1" x14ac:dyDescent="0.15">
      <c r="A112" t="s">
        <v>173</v>
      </c>
    </row>
    <row r="113" spans="1:1" x14ac:dyDescent="0.15">
      <c r="A113" t="s">
        <v>89</v>
      </c>
    </row>
    <row r="114" spans="1:1" x14ac:dyDescent="0.15">
      <c r="A114" t="s">
        <v>67</v>
      </c>
    </row>
    <row r="115" spans="1:1" x14ac:dyDescent="0.15">
      <c r="A115" t="s">
        <v>90</v>
      </c>
    </row>
    <row r="116" spans="1:1" x14ac:dyDescent="0.15">
      <c r="A116" t="s">
        <v>91</v>
      </c>
    </row>
    <row r="117" spans="1:1" x14ac:dyDescent="0.15">
      <c r="A117" t="s">
        <v>166</v>
      </c>
    </row>
    <row r="118" spans="1:1" x14ac:dyDescent="0.15">
      <c r="A118" t="str">
        <f>" TKA.KEIYAKU_NO = '"&amp;取引先契約手続依頼書発行!$C$10&amp;"'"</f>
        <v xml:space="preserve"> TKA.KEIYAKU_NO = '【ﾊﾟｯｸ契約】F047475274'</v>
      </c>
    </row>
    <row r="119" spans="1:1" x14ac:dyDescent="0.15">
      <c r="A119" s="14" t="str">
        <f>IF(ISBLANK(取引先契約手続依頼書発行!$D$10),"---","OR TKA.KEIYAKU_NO = '"&amp;取引先契約手続依頼書発行!$D$10&amp;"'")</f>
        <v>---</v>
      </c>
    </row>
    <row r="120" spans="1:1" x14ac:dyDescent="0.15">
      <c r="A120" s="14" t="str">
        <f>IF(ISBLANK(取引先契約手続依頼書発行!$E$10),"---","OR TKA.KEIYAKU_NO = '"&amp;取引先契約手続依頼書発行!$E$10&amp;"'")</f>
        <v>---</v>
      </c>
    </row>
    <row r="121" spans="1:1" x14ac:dyDescent="0.15">
      <c r="A121" t="s">
        <v>167</v>
      </c>
    </row>
    <row r="122" spans="1:1" x14ac:dyDescent="0.15">
      <c r="A122" t="s">
        <v>92</v>
      </c>
    </row>
    <row r="123" spans="1:1" x14ac:dyDescent="0.15">
      <c r="A123" t="s">
        <v>175</v>
      </c>
    </row>
    <row r="124" spans="1:1" x14ac:dyDescent="0.15">
      <c r="A124" t="s">
        <v>189</v>
      </c>
    </row>
    <row r="125" spans="1:1" x14ac:dyDescent="0.15">
      <c r="A125" t="s">
        <v>93</v>
      </c>
    </row>
    <row r="127" spans="1:1" x14ac:dyDescent="0.15">
      <c r="A127" t="s">
        <v>0</v>
      </c>
    </row>
    <row r="128" spans="1:1" x14ac:dyDescent="0.15">
      <c r="A128" t="s">
        <v>1</v>
      </c>
    </row>
    <row r="129" spans="1:1" x14ac:dyDescent="0.15">
      <c r="A129" t="s">
        <v>2</v>
      </c>
    </row>
    <row r="130" spans="1:1" x14ac:dyDescent="0.15">
      <c r="A130" t="s">
        <v>3</v>
      </c>
    </row>
    <row r="131" spans="1:1" x14ac:dyDescent="0.15">
      <c r="A131" t="s">
        <v>4</v>
      </c>
    </row>
    <row r="132" spans="1:1" x14ac:dyDescent="0.15">
      <c r="A132" t="s">
        <v>5</v>
      </c>
    </row>
    <row r="133" spans="1:1" x14ac:dyDescent="0.15">
      <c r="A133" t="s">
        <v>6</v>
      </c>
    </row>
    <row r="134" spans="1:1" x14ac:dyDescent="0.15">
      <c r="A134" t="s">
        <v>7</v>
      </c>
    </row>
    <row r="135" spans="1:1" x14ac:dyDescent="0.15">
      <c r="A135" t="s">
        <v>157</v>
      </c>
    </row>
    <row r="137" spans="1:1" x14ac:dyDescent="0.15">
      <c r="A137" t="s">
        <v>138</v>
      </c>
    </row>
    <row r="138" spans="1:1" x14ac:dyDescent="0.15">
      <c r="A138" t="s">
        <v>95</v>
      </c>
    </row>
    <row r="139" spans="1:1" x14ac:dyDescent="0.15">
      <c r="A139" t="s">
        <v>9</v>
      </c>
    </row>
    <row r="140" spans="1:1" x14ac:dyDescent="0.15">
      <c r="A140" t="s">
        <v>10</v>
      </c>
    </row>
    <row r="141" spans="1:1" x14ac:dyDescent="0.15">
      <c r="A141" t="s">
        <v>11</v>
      </c>
    </row>
    <row r="142" spans="1:1" x14ac:dyDescent="0.15">
      <c r="A142" t="s">
        <v>139</v>
      </c>
    </row>
    <row r="143" spans="1:1" x14ac:dyDescent="0.15">
      <c r="A143" t="s">
        <v>140</v>
      </c>
    </row>
    <row r="144" spans="1:1" x14ac:dyDescent="0.15">
      <c r="A144" t="s">
        <v>14</v>
      </c>
    </row>
    <row r="145" spans="1:1" x14ac:dyDescent="0.15">
      <c r="A145" t="s">
        <v>15</v>
      </c>
    </row>
    <row r="146" spans="1:1" x14ac:dyDescent="0.15">
      <c r="A146" t="s">
        <v>16</v>
      </c>
    </row>
    <row r="147" spans="1:1" x14ac:dyDescent="0.15">
      <c r="A147" t="s">
        <v>17</v>
      </c>
    </row>
    <row r="148" spans="1:1" x14ac:dyDescent="0.15">
      <c r="A148" t="s">
        <v>18</v>
      </c>
    </row>
    <row r="149" spans="1:1" x14ac:dyDescent="0.15">
      <c r="A149" t="s">
        <v>19</v>
      </c>
    </row>
    <row r="150" spans="1:1" x14ac:dyDescent="0.15">
      <c r="A150" t="s">
        <v>20</v>
      </c>
    </row>
    <row r="151" spans="1:1" x14ac:dyDescent="0.15">
      <c r="A151" t="s">
        <v>21</v>
      </c>
    </row>
    <row r="152" spans="1:1" x14ac:dyDescent="0.15">
      <c r="A152" t="s">
        <v>22</v>
      </c>
    </row>
    <row r="153" spans="1:1" x14ac:dyDescent="0.15">
      <c r="A153" t="s">
        <v>33</v>
      </c>
    </row>
    <row r="154" spans="1:1" x14ac:dyDescent="0.15">
      <c r="A154" t="s">
        <v>96</v>
      </c>
    </row>
    <row r="155" spans="1:1" x14ac:dyDescent="0.15">
      <c r="A155" t="s">
        <v>161</v>
      </c>
    </row>
    <row r="156" spans="1:1" x14ac:dyDescent="0.15">
      <c r="A156" t="s">
        <v>160</v>
      </c>
    </row>
    <row r="157" spans="1:1" x14ac:dyDescent="0.15">
      <c r="A157" t="s">
        <v>97</v>
      </c>
    </row>
    <row r="158" spans="1:1" x14ac:dyDescent="0.15">
      <c r="A158" t="s">
        <v>98</v>
      </c>
    </row>
    <row r="159" spans="1:1" x14ac:dyDescent="0.15">
      <c r="A159" t="s">
        <v>174</v>
      </c>
    </row>
    <row r="160" spans="1:1" x14ac:dyDescent="0.15">
      <c r="A160" t="s">
        <v>14</v>
      </c>
    </row>
    <row r="161" spans="1:1" x14ac:dyDescent="0.15">
      <c r="A161" t="s">
        <v>99</v>
      </c>
    </row>
    <row r="162" spans="1:1" x14ac:dyDescent="0.15">
      <c r="A162" t="s">
        <v>100</v>
      </c>
    </row>
    <row r="163" spans="1:1" x14ac:dyDescent="0.15">
      <c r="A163" t="s">
        <v>21</v>
      </c>
    </row>
    <row r="164" spans="1:1" x14ac:dyDescent="0.15">
      <c r="A164" t="s">
        <v>22</v>
      </c>
    </row>
    <row r="165" spans="1:1" x14ac:dyDescent="0.15">
      <c r="A165" t="s">
        <v>101</v>
      </c>
    </row>
    <row r="166" spans="1:1" x14ac:dyDescent="0.15">
      <c r="A166" t="s">
        <v>14</v>
      </c>
    </row>
    <row r="167" spans="1:1" x14ac:dyDescent="0.15">
      <c r="A167" t="s">
        <v>176</v>
      </c>
    </row>
    <row r="168" spans="1:1" x14ac:dyDescent="0.15">
      <c r="A168" t="s">
        <v>38</v>
      </c>
    </row>
    <row r="169" spans="1:1" x14ac:dyDescent="0.15">
      <c r="A169" t="s">
        <v>177</v>
      </c>
    </row>
    <row r="170" spans="1:1" x14ac:dyDescent="0.15">
      <c r="A170" t="s">
        <v>40</v>
      </c>
    </row>
    <row r="171" spans="1:1" x14ac:dyDescent="0.15">
      <c r="A171" t="s">
        <v>178</v>
      </c>
    </row>
    <row r="172" spans="1:1" x14ac:dyDescent="0.15">
      <c r="A172" t="s">
        <v>42</v>
      </c>
    </row>
    <row r="173" spans="1:1" x14ac:dyDescent="0.15">
      <c r="A173" t="s">
        <v>179</v>
      </c>
    </row>
    <row r="174" spans="1:1" x14ac:dyDescent="0.15">
      <c r="A174" t="s">
        <v>44</v>
      </c>
    </row>
    <row r="175" spans="1:1" x14ac:dyDescent="0.15">
      <c r="A175" t="s">
        <v>180</v>
      </c>
    </row>
    <row r="176" spans="1:1" x14ac:dyDescent="0.15">
      <c r="A176" t="s">
        <v>46</v>
      </c>
    </row>
    <row r="177" spans="1:1" x14ac:dyDescent="0.15">
      <c r="A177" t="s">
        <v>181</v>
      </c>
    </row>
    <row r="178" spans="1:1" x14ac:dyDescent="0.15">
      <c r="A178" t="s">
        <v>48</v>
      </c>
    </row>
    <row r="179" spans="1:1" x14ac:dyDescent="0.15">
      <c r="A179" t="s">
        <v>182</v>
      </c>
    </row>
    <row r="180" spans="1:1" x14ac:dyDescent="0.15">
      <c r="A180" t="s">
        <v>50</v>
      </c>
    </row>
    <row r="181" spans="1:1" x14ac:dyDescent="0.15">
      <c r="A181" t="s">
        <v>183</v>
      </c>
    </row>
    <row r="182" spans="1:1" x14ac:dyDescent="0.15">
      <c r="A182" t="s">
        <v>52</v>
      </c>
    </row>
    <row r="183" spans="1:1" x14ac:dyDescent="0.15">
      <c r="A183" t="s">
        <v>184</v>
      </c>
    </row>
    <row r="184" spans="1:1" x14ac:dyDescent="0.15">
      <c r="A184" t="s">
        <v>54</v>
      </c>
    </row>
    <row r="185" spans="1:1" x14ac:dyDescent="0.15">
      <c r="A185" t="s">
        <v>185</v>
      </c>
    </row>
    <row r="186" spans="1:1" x14ac:dyDescent="0.15">
      <c r="A186" t="s">
        <v>56</v>
      </c>
    </row>
    <row r="187" spans="1:1" x14ac:dyDescent="0.15">
      <c r="A187" t="s">
        <v>186</v>
      </c>
    </row>
    <row r="188" spans="1:1" x14ac:dyDescent="0.15">
      <c r="A188" t="s">
        <v>58</v>
      </c>
    </row>
    <row r="189" spans="1:1" x14ac:dyDescent="0.15">
      <c r="A189" t="s">
        <v>187</v>
      </c>
    </row>
    <row r="190" spans="1:1" x14ac:dyDescent="0.15">
      <c r="A190" t="s">
        <v>60</v>
      </c>
    </row>
    <row r="191" spans="1:1" x14ac:dyDescent="0.15">
      <c r="A191" t="s">
        <v>141</v>
      </c>
    </row>
    <row r="192" spans="1:1" x14ac:dyDescent="0.15">
      <c r="A192" t="s">
        <v>163</v>
      </c>
    </row>
    <row r="193" spans="1:1" x14ac:dyDescent="0.15">
      <c r="A193" t="s">
        <v>164</v>
      </c>
    </row>
    <row r="194" spans="1:1" x14ac:dyDescent="0.15">
      <c r="A194" t="s">
        <v>165</v>
      </c>
    </row>
    <row r="195" spans="1:1" x14ac:dyDescent="0.15">
      <c r="A195" t="s">
        <v>62</v>
      </c>
    </row>
    <row r="196" spans="1:1" x14ac:dyDescent="0.15">
      <c r="A196" t="s">
        <v>63</v>
      </c>
    </row>
    <row r="197" spans="1:1" x14ac:dyDescent="0.15">
      <c r="A197" t="s">
        <v>64</v>
      </c>
    </row>
    <row r="198" spans="1:1" x14ac:dyDescent="0.15">
      <c r="A198" t="s">
        <v>65</v>
      </c>
    </row>
    <row r="199" spans="1:1" x14ac:dyDescent="0.15">
      <c r="A199" t="s">
        <v>66</v>
      </c>
    </row>
    <row r="200" spans="1:1" x14ac:dyDescent="0.15">
      <c r="A200" t="s">
        <v>67</v>
      </c>
    </row>
    <row r="201" spans="1:1" x14ac:dyDescent="0.15">
      <c r="A201" t="s">
        <v>68</v>
      </c>
    </row>
    <row r="202" spans="1:1" x14ac:dyDescent="0.15">
      <c r="A202" t="s">
        <v>69</v>
      </c>
    </row>
    <row r="203" spans="1:1" x14ac:dyDescent="0.15">
      <c r="A203" t="s">
        <v>70</v>
      </c>
    </row>
    <row r="204" spans="1:1" x14ac:dyDescent="0.15">
      <c r="A204" t="s">
        <v>71</v>
      </c>
    </row>
    <row r="205" spans="1:1" x14ac:dyDescent="0.15">
      <c r="A205" t="s">
        <v>72</v>
      </c>
    </row>
    <row r="206" spans="1:1" x14ac:dyDescent="0.15">
      <c r="A206" t="s">
        <v>73</v>
      </c>
    </row>
    <row r="207" spans="1:1" x14ac:dyDescent="0.15">
      <c r="A207" t="s">
        <v>148</v>
      </c>
    </row>
    <row r="208" spans="1:1" x14ac:dyDescent="0.15">
      <c r="A208" t="str">
        <f>"             MCM_TK_KIKAN.KAISI_DT &lt; '" &amp;TEXT(取引先契約手続依頼書発行!$C$11,"yyyy/mm/dd")&amp;"'"</f>
        <v xml:space="preserve">             MCM_TK_KIKAN.KAISI_DT &lt; '2020/05/31'</v>
      </c>
    </row>
    <row r="209" spans="1:1" x14ac:dyDescent="0.15">
      <c r="A209" t="s">
        <v>149</v>
      </c>
    </row>
    <row r="210" spans="1:1" x14ac:dyDescent="0.15">
      <c r="A210" t="str">
        <f>"              MCM_TK_KIKAN.SYURYO_DT &gt;= '" &amp;TEXT(取引先契約手続依頼書発行!$C$11,"yyyy/mm/dd")&amp;"'"</f>
        <v xml:space="preserve">              MCM_TK_KIKAN.SYURYO_DT &gt;= '2020/05/31'</v>
      </c>
    </row>
    <row r="211" spans="1:1" x14ac:dyDescent="0.15">
      <c r="A211" t="s">
        <v>149</v>
      </c>
    </row>
    <row r="212" spans="1:1" x14ac:dyDescent="0.15">
      <c r="A212" t="s">
        <v>170</v>
      </c>
    </row>
    <row r="213" spans="1:1" x14ac:dyDescent="0.15">
      <c r="A213" t="s">
        <v>74</v>
      </c>
    </row>
    <row r="214" spans="1:1" x14ac:dyDescent="0.15">
      <c r="A214" t="s">
        <v>75</v>
      </c>
    </row>
    <row r="215" spans="1:1" x14ac:dyDescent="0.15">
      <c r="A215" t="s">
        <v>67</v>
      </c>
    </row>
    <row r="216" spans="1:1" x14ac:dyDescent="0.15">
      <c r="A216" t="s">
        <v>76</v>
      </c>
    </row>
    <row r="217" spans="1:1" x14ac:dyDescent="0.15">
      <c r="A217" t="s">
        <v>77</v>
      </c>
    </row>
    <row r="218" spans="1:1" x14ac:dyDescent="0.15">
      <c r="A218" t="s">
        <v>78</v>
      </c>
    </row>
    <row r="219" spans="1:1" x14ac:dyDescent="0.15">
      <c r="A219" t="s">
        <v>65</v>
      </c>
    </row>
    <row r="220" spans="1:1" x14ac:dyDescent="0.15">
      <c r="A220" t="s">
        <v>79</v>
      </c>
    </row>
    <row r="221" spans="1:1" x14ac:dyDescent="0.15">
      <c r="A221" t="s">
        <v>67</v>
      </c>
    </row>
    <row r="222" spans="1:1" x14ac:dyDescent="0.15">
      <c r="A222" t="s">
        <v>80</v>
      </c>
    </row>
    <row r="223" spans="1:1" x14ac:dyDescent="0.15">
      <c r="A223" t="s">
        <v>65</v>
      </c>
    </row>
    <row r="224" spans="1:1" x14ac:dyDescent="0.15">
      <c r="A224" t="s">
        <v>102</v>
      </c>
    </row>
    <row r="225" spans="1:1" x14ac:dyDescent="0.15">
      <c r="A225" t="s">
        <v>67</v>
      </c>
    </row>
    <row r="226" spans="1:1" x14ac:dyDescent="0.15">
      <c r="A226" t="s">
        <v>103</v>
      </c>
    </row>
    <row r="227" spans="1:1" x14ac:dyDescent="0.15">
      <c r="A227" t="s">
        <v>65</v>
      </c>
    </row>
    <row r="228" spans="1:1" x14ac:dyDescent="0.15">
      <c r="A228" t="s">
        <v>104</v>
      </c>
    </row>
    <row r="229" spans="1:1" x14ac:dyDescent="0.15">
      <c r="A229" t="s">
        <v>67</v>
      </c>
    </row>
    <row r="230" spans="1:1" x14ac:dyDescent="0.15">
      <c r="A230" t="s">
        <v>105</v>
      </c>
    </row>
    <row r="231" spans="1:1" x14ac:dyDescent="0.15">
      <c r="A231" t="s">
        <v>65</v>
      </c>
    </row>
    <row r="232" spans="1:1" x14ac:dyDescent="0.15">
      <c r="A232" t="s">
        <v>106</v>
      </c>
    </row>
    <row r="233" spans="1:1" x14ac:dyDescent="0.15">
      <c r="A233" t="s">
        <v>67</v>
      </c>
    </row>
    <row r="234" spans="1:1" x14ac:dyDescent="0.15">
      <c r="A234" t="s">
        <v>107</v>
      </c>
    </row>
    <row r="235" spans="1:1" x14ac:dyDescent="0.15">
      <c r="A235" t="s">
        <v>65</v>
      </c>
    </row>
    <row r="236" spans="1:1" x14ac:dyDescent="0.15">
      <c r="A236" t="s">
        <v>108</v>
      </c>
    </row>
    <row r="237" spans="1:1" x14ac:dyDescent="0.15">
      <c r="A237" t="s">
        <v>67</v>
      </c>
    </row>
    <row r="238" spans="1:1" x14ac:dyDescent="0.15">
      <c r="A238" t="s">
        <v>109</v>
      </c>
    </row>
    <row r="239" spans="1:1" x14ac:dyDescent="0.15">
      <c r="A239" t="s">
        <v>65</v>
      </c>
    </row>
    <row r="240" spans="1:1" x14ac:dyDescent="0.15">
      <c r="A240" t="s">
        <v>110</v>
      </c>
    </row>
    <row r="241" spans="1:1" x14ac:dyDescent="0.15">
      <c r="A241" t="s">
        <v>67</v>
      </c>
    </row>
    <row r="242" spans="1:1" x14ac:dyDescent="0.15">
      <c r="A242" t="s">
        <v>111</v>
      </c>
    </row>
    <row r="243" spans="1:1" x14ac:dyDescent="0.15">
      <c r="A243" t="s">
        <v>142</v>
      </c>
    </row>
    <row r="244" spans="1:1" x14ac:dyDescent="0.15">
      <c r="A244" t="s">
        <v>112</v>
      </c>
    </row>
    <row r="245" spans="1:1" x14ac:dyDescent="0.15">
      <c r="A245" t="s">
        <v>67</v>
      </c>
    </row>
    <row r="246" spans="1:1" x14ac:dyDescent="0.15">
      <c r="A246" t="s">
        <v>113</v>
      </c>
    </row>
    <row r="247" spans="1:1" x14ac:dyDescent="0.15">
      <c r="A247" t="s">
        <v>114</v>
      </c>
    </row>
    <row r="248" spans="1:1" x14ac:dyDescent="0.15">
      <c r="A248" t="s">
        <v>115</v>
      </c>
    </row>
    <row r="249" spans="1:1" x14ac:dyDescent="0.15">
      <c r="A249" t="s">
        <v>142</v>
      </c>
    </row>
    <row r="250" spans="1:1" x14ac:dyDescent="0.15">
      <c r="A250" t="s">
        <v>116</v>
      </c>
    </row>
    <row r="251" spans="1:1" x14ac:dyDescent="0.15">
      <c r="A251" t="s">
        <v>67</v>
      </c>
    </row>
    <row r="252" spans="1:1" x14ac:dyDescent="0.15">
      <c r="A252" t="s">
        <v>117</v>
      </c>
    </row>
    <row r="253" spans="1:1" x14ac:dyDescent="0.15">
      <c r="A253" t="s">
        <v>65</v>
      </c>
    </row>
    <row r="254" spans="1:1" x14ac:dyDescent="0.15">
      <c r="A254" t="s">
        <v>118</v>
      </c>
    </row>
    <row r="255" spans="1:1" x14ac:dyDescent="0.15">
      <c r="A255" t="s">
        <v>67</v>
      </c>
    </row>
    <row r="256" spans="1:1" x14ac:dyDescent="0.15">
      <c r="A256" t="s">
        <v>119</v>
      </c>
    </row>
    <row r="257" spans="1:1" x14ac:dyDescent="0.15">
      <c r="A257" t="s">
        <v>65</v>
      </c>
    </row>
    <row r="258" spans="1:1" x14ac:dyDescent="0.15">
      <c r="A258" t="s">
        <v>120</v>
      </c>
    </row>
    <row r="259" spans="1:1" x14ac:dyDescent="0.15">
      <c r="A259" t="s">
        <v>67</v>
      </c>
    </row>
    <row r="260" spans="1:1" x14ac:dyDescent="0.15">
      <c r="A260" t="s">
        <v>121</v>
      </c>
    </row>
    <row r="261" spans="1:1" x14ac:dyDescent="0.15">
      <c r="A261" t="s">
        <v>65</v>
      </c>
    </row>
    <row r="262" spans="1:1" x14ac:dyDescent="0.15">
      <c r="A262" t="s">
        <v>87</v>
      </c>
    </row>
    <row r="263" spans="1:1" x14ac:dyDescent="0.15">
      <c r="A263" t="s">
        <v>67</v>
      </c>
    </row>
    <row r="264" spans="1:1" x14ac:dyDescent="0.15">
      <c r="A264" t="s">
        <v>88</v>
      </c>
    </row>
    <row r="265" spans="1:1" x14ac:dyDescent="0.15">
      <c r="A265" t="s">
        <v>65</v>
      </c>
    </row>
    <row r="266" spans="1:1" x14ac:dyDescent="0.15">
      <c r="A266" t="s">
        <v>143</v>
      </c>
    </row>
    <row r="267" spans="1:1" x14ac:dyDescent="0.15">
      <c r="A267" t="s">
        <v>67</v>
      </c>
    </row>
    <row r="268" spans="1:1" x14ac:dyDescent="0.15">
      <c r="A268" t="s">
        <v>144</v>
      </c>
    </row>
    <row r="269" spans="1:1" x14ac:dyDescent="0.15">
      <c r="A269" t="s">
        <v>91</v>
      </c>
    </row>
    <row r="270" spans="1:1" x14ac:dyDescent="0.15">
      <c r="A270" t="s">
        <v>168</v>
      </c>
    </row>
    <row r="271" spans="1:1" x14ac:dyDescent="0.15">
      <c r="A271" t="str">
        <f>" TKA.KEIYAKU_NO = '"&amp;取引先契約手続依頼書発行!$C$10&amp;"'"</f>
        <v xml:space="preserve"> TKA.KEIYAKU_NO = '【ﾊﾟｯｸ契約】F047475274'</v>
      </c>
    </row>
    <row r="272" spans="1:1" x14ac:dyDescent="0.15">
      <c r="A272" s="14" t="str">
        <f>IF(ISBLANK(取引先契約手続依頼書発行!$D$10),"---","OR TKA.KEIYAKU_NO = '"&amp;取引先契約手続依頼書発行!$D$10&amp;"'")</f>
        <v>---</v>
      </c>
    </row>
    <row r="273" spans="1:5" x14ac:dyDescent="0.15">
      <c r="A273" s="14" t="str">
        <f>IF(ISBLANK(取引先契約手続依頼書発行!$E$10),"---","OR TKA.KEIYAKU_NO = '"&amp;取引先契約手続依頼書発行!$E$10&amp;"'")</f>
        <v>---</v>
      </c>
      <c r="E273" s="14"/>
    </row>
    <row r="274" spans="1:5" x14ac:dyDescent="0.15">
      <c r="A274" t="s">
        <v>167</v>
      </c>
      <c r="E274" s="14"/>
    </row>
    <row r="275" spans="1:5" x14ac:dyDescent="0.15">
      <c r="A275" t="s">
        <v>122</v>
      </c>
    </row>
    <row r="276" spans="1:5" x14ac:dyDescent="0.15">
      <c r="A276" t="s">
        <v>169</v>
      </c>
    </row>
    <row r="277" spans="1:5" x14ac:dyDescent="0.15">
      <c r="A277" t="s">
        <v>145</v>
      </c>
    </row>
    <row r="278" spans="1:5" x14ac:dyDescent="0.15">
      <c r="A278" t="s">
        <v>146</v>
      </c>
    </row>
    <row r="279" spans="1:5" x14ac:dyDescent="0.15">
      <c r="A279" t="s">
        <v>93</v>
      </c>
    </row>
    <row r="280" spans="1:5" x14ac:dyDescent="0.15">
      <c r="A280" t="s">
        <v>94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B2:E3"/>
  <sheetViews>
    <sheetView workbookViewId="0">
      <selection activeCell="A126" sqref="A126"/>
    </sheetView>
  </sheetViews>
  <sheetFormatPr defaultRowHeight="12" x14ac:dyDescent="0.15"/>
  <cols>
    <col min="1" max="2" width="9" style="3"/>
    <col min="3" max="3" width="12.25" style="3" bestFit="1" customWidth="1"/>
    <col min="4" max="4" width="31.375" style="3" bestFit="1" customWidth="1"/>
    <col min="5" max="16384" width="9" style="3"/>
  </cols>
  <sheetData>
    <row r="2" spans="2:5" x14ac:dyDescent="0.15">
      <c r="B2" s="3" t="s">
        <v>130</v>
      </c>
      <c r="C2" s="3" t="s">
        <v>124</v>
      </c>
      <c r="D2" s="3" t="s">
        <v>129</v>
      </c>
      <c r="E2" s="3" t="s">
        <v>125</v>
      </c>
    </row>
    <row r="3" spans="2:5" x14ac:dyDescent="0.15">
      <c r="B3" s="3">
        <v>0</v>
      </c>
      <c r="C3" s="3" t="str">
        <f>DEC2BIN(INT(B3/2^6),6)&amp;DEC2BIN(MOD(B3,2^6),6)</f>
        <v>000000000000</v>
      </c>
      <c r="D3" s="3" t="str">
        <f>IF(LEFT(C3,1)="1","1月、","")&amp;IF(MID(C3,2,1)="1","2月、","")&amp;IF(MID(C3,3,1)="1","3月、","")&amp;IF(MID(C3,4,1)="1","4月、","")&amp;IF(MID(C3,5,1)="1","5月、","")&amp;IF(MID(C3,6,1)="1","6月、","")&amp;IF(MID(C3,7,1)="1","7月、","")&amp;IF(MID(C3,8,1)="1","8月、","")&amp;IF(MID(C3,9,1)="1","9月、","")&amp;IF(MID(C3,10,1)="1","10月、","")&amp;IF(MID(C3,11,1)="1","11月、","")&amp;IF(MID(C3,12,1)="1","12月、","")</f>
        <v/>
      </c>
      <c r="E3" s="3" t="str">
        <f>IF(B3=0,"",LEFT(D3,(LEN(D3)-1)))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>
  <sheetPr codeName="McmSqlStore"/>
  <dimension ref="A1:E25"/>
  <sheetViews>
    <sheetView workbookViewId="0"/>
  </sheetViews>
  <sheetData>
    <row r="1">
      <c r="A1" t="inlineStr">
        <is>
          <t xml:space="preserve">MCM_EMBEDDED_SQL_V1</t>
        </is>
      </c>
    </row>
    <row r="2">
      <c r="A2" t="inlineStr">
        <is>
          <t xml:space="preserve">Key</t>
        </is>
      </c>
      <c r="B2" t="inlineStr">
        <is>
          <t xml:space="preserve">Part</t>
        </is>
      </c>
      <c r="C2" t="inlineStr">
        <is>
          <t xml:space="preserve">Count</t>
        </is>
      </c>
      <c r="D2" t="inlineStr">
        <is>
          <t xml:space="preserve">Length</t>
        </is>
      </c>
      <c r="E2" t="inlineStr">
        <is>
          <t xml:space="preserve">Text</t>
        </is>
      </c>
    </row>
    <row r="3">
      <c r="A3" t="inlineStr">
        <is>
          <t xml:space="preserve">payment-batch-dates.sql</t>
        </is>
      </c>
      <c r="B3">
        <v>1</v>
      </c>
      <c r="C3">
        <v>1</v>
      </c>
      <c r="D3">
        <v>234</v>
      </c>
      <c r="E3" t="inlineStr">
        <is>
          <t xml:space="preserve">SELECT J.TK_KIKAN_ID,K.TSUKI FROM MCM.MCM_TK_SIHARAI J
JOIN MCM.MCM_TK_SIHARAIMEISAI K ON K.TK_SIHARAI_ID=J.TK_SIHARAI_ID
WHERE J.TK_KIKAN_ID IN (/*MCM_PERIOD_IDS*/)
AND K.ON_FLG=1 AND K.OFF_FLG=0 AND K.TSUKI&gt;=@p901 AND K.TSUKI&lt;@p902
</t>
        </is>
      </c>
    </row>
    <row r="4">
      <c r="A4" t="inlineStr">
        <is>
          <t xml:space="preserve">payment-batch-rates.sql</t>
        </is>
      </c>
      <c r="B4">
        <v>1</v>
      </c>
      <c r="C4">
        <v>1</v>
      </c>
      <c r="D4">
        <v>480</v>
      </c>
      <c r="E4" t="inlineStr">
        <is>
          <t xml:space="preserve">SELECT P.TK_KIKAN_ID,G.KAISI_DT,G.SYURYO_DT,G.SIKIRIGOKEI_KIN
FROM (VALUES /*MCM_PERIOD_VALUES*/) AS P(TK_KIKAN_ID)
CROSS JOIN MCM.MCM_TM_KIKAN G
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C.TK_KIKAN_ID=P.TK_KIKAN_ID AND MF.TM_KIKAN_ID=G.TM_KIKAN_ID)
</t>
        </is>
      </c>
    </row>
    <row r="5">
      <c r="A5" t="inlineStr">
        <is>
          <t xml:space="preserve">payment-dates.sql</t>
        </is>
      </c>
      <c r="B5">
        <v>1</v>
      </c>
      <c r="C5">
        <v>1</v>
      </c>
      <c r="D5">
        <v>201</v>
      </c>
      <c r="E5" t="inlineStr">
        <is>
          <t xml:space="preserve">SELECT K.TSUKI FROM MCM.MCM_TK_SIHARAI J
JOIN MCM.MCM_TK_SIHARAIMEISAI K ON K.TK_SIHARAI_ID=J.TK_SIHARAI_ID
WHERE J.TK_KIKAN_ID=@p901 AND K.ON_FLG=1 AND K.OFF_FLG=0 AND K.TSUKI&gt;=@p902 AND K.TSUKI&lt;@p903</t>
        </is>
      </c>
    </row>
    <row r="6">
      <c r="A6" t="inlineStr">
        <is>
          <t xml:space="preserve">payment-rates.sql</t>
        </is>
      </c>
      <c r="B6">
        <v>1</v>
      </c>
      <c r="C6">
        <v>1</v>
      </c>
      <c r="D6">
        <v>397</v>
      </c>
      <c r="E6" t="inlineStr">
        <is>
          <t xml:space="preserve">SELECT G.KAISI_DT,G.SYURYO_DT,G.SIKIRIGOKEI_KIN
FROM MCM.MCM_TM_KIKAN G WHERE G.SIKIRIGOKEI_KIN&gt;0 AND EXISTS (
SELECT 1 FROM MCM.MCM_TK_KIKIKOSEI C
JOIN MCM.MCM_TK_KIKIMEISAI D ON D.TK_KIKIKOSEI_ID=C.TK_KIKIKOSEI_ID
JOIN MCM.MCM_TK_TANKA F ON F.TK_KIKIMEISAI_ID=D.TK_KIKIMEISAI_ID
JOIN MCM.MCM_TM_TANKA MF ON MF.TM_TANKA_ID=F.TM_TANKA_ID
WHERE C.TK_KIKAN_ID=@p901 AND MF.TM_KIKAN_ID=G.TM_KIKAN_ID)</t>
        </is>
      </c>
    </row>
    <row r="7">
      <c r="A7" t="inlineStr">
        <is>
          <t xml:space="preserve">queries/T14_00_default_01.sql</t>
        </is>
      </c>
      <c r="B7">
        <v>1</v>
      </c>
      <c r="C7">
        <v>1</v>
      </c>
      <c r="D7">
        <v>4842</v>
      </c>
      <c r="E7" t="inlineStr">
        <is>
          <t xml:space="preserve">SELECT DISTINCT
  MAA.NONYUSAKI_NK AS C001,
  TKA.KEIYAKU_NO AS C002,
  CONVERT(NVARCHAR(10), TKA.SHOKAI_KEIYAKU_DT, 111) AS C003,
  CONVERT(NVARCHAR(10), TKA.KAIYAKU_DT, 111)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MAK.TORIHIKISAKI_NK AS C006,
  MAL.TORISYUTANTOSYA_NK AS C007,
  CONCAT(CAST(N'' AS NVARCHAR(MAX)), MAA.NONYUSAKI_NK, N' ', MAA.NONYUSAKIKOJO_NK) AS C008,
  CONCAT(
    CAST(N'' AS NVARCHAR(MAX)),
    N'〒',
    SUBSTRING(MAA.YUBIN_NO, 1, 3),
    N'-',
    SUBSTRING(MAA.YUBIN_NO, 4, 4)
  ) AS C009,
  CONCAT(CAST(N'' AS NVARCHAR(MAX)), MAA.JUSYO1_NK, N' ', MAA.JUSYO2_NK) AS C010,
  MAB.NONYUTEL_NO AS C011,
  MAB.NONYUBUSYO_NK AS C012,
  MAB.NONYUTANTOSYA_NK AS C013,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C014,
  TKB1.SIKIRIGOKEI_KIN AS C015,
  TKJ.KAISU AS C016,
  TKB1.KEIYAKUJIKANTAI AS C017,
  CASE
    WHEN TKK.ON_FLG = N'1' AND RIGHT(CONCAT(N'0', DATEPART(MONTH, TKK.TSUKI)), 2) = N'01'
    THEN N'2048'
    WHEN TKK.ON_FLG = N'1' AND RIGHT(CONCAT(N'0', DATEPART(MONTH, TKK.TSUKI)), 2) = N'02'
    THEN N'1024'
    WHEN TKK.ON_FLG = N'1' AND RIGHT(CONCAT(N'0', DATEPART(MONTH, TKK.TSUKI)), 2) = N'03'
    THEN N'512'
    WHEN TKK.ON_FLG = N'1' AND RIGHT(CONCAT(N'0', DATEPART(MONTH, TKK.TSUKI)), 2) = N'04'
    THEN N'256'
    WHEN TKK.ON_FLG = N'1' AND RIGHT(CONCAT(N'0', DATEPART(MONTH, TKK.TSUKI)), 2) = N'05'
    THEN N'128'
    WHEN TKK.ON_FLG = N'1' AND RIGHT(CONCAT(N'0', DATEPART(MONTH, TKK.TSUKI)), 2) = N'06'
    THEN N'64'
    WHEN TKK.ON_FLG = N'1' AND RIGHT(CONCAT(N'0', DATEPART(MONTH, TKK.TSUKI)), 2) = N'07'
    THEN N'32'
    WHEN TKK.ON_FLG = N'1' AND RIGHT(CONCAT(N'0', DATEPART(MONTH, TKK.TSUKI)), 2) = N'08'
    THEN N'16'
    WHEN TKK.ON_FLG = N'1' AND RIGHT(CONCAT(N'0', DATEPART(MONTH, TKK.TSUKI)), 2) = N'09'
    THEN N'8'
    WHEN TKK.ON_FLG = N'1' AND RIGHT(CONCAT(N'0', DATEPART(MONTH, TKK.TSUKI)), 2) = N'10'
    THEN N'4'
    WHEN TKK.ON_FLG = N'1' AND RIGHT(CONCAT(N'0', DATEPART(MONTH, TKK.TSUKI)), 2) = N'11'
    THEN N'2'
    WHEN TKK.ON_FLG = N'1' AND RIGHT(CONCAT(N'0', DATEPART(MONTH, TKK.TSUKI)), 2) = N'12'
    THEN N'1'
    ELSE NULL
  END AS C018
FROM MCM.MCM_TK_KEIYAKU AS TKA
JOIN MCM.MCM_TK_KIKAN AS TKB1
  ON TKA.TK_KEIYAKU_ID = TKB1.TK_KEIYAKU_ID
INNER JOIN (
  SELECT
    TK_KEIYAKU_ID AS TK_KEIYAKU_ID,
    MAX(TK_KIKAN_ID) AS MaxID
  FROM MCM.MCM_TK_KIKAN
  WHERE
    MCM_TK_KIKAN.YUKO_FLG = N'0'
  GROUP BY
    TK_KEIYAKU_ID
) AS TKB2
  ON TKB1.TK_KEIYAKU_ID = TKB2.TK_KEIYAKU_ID AND TKB1.TK_KIKAN_ID = TKB2.MaxID
JOIN MCM.MCM_MA_TORIHIKISAKI AS MAK
  ON TKB1.TORIHIKISAKI_ID = MAK.TORIHIKISAKI_ID
JOIN MCM.MCM_MA_TORIMADOGUCHI AS MAL
  ON TKB1.TORIHIKISAKI_ID = MAL.TORIHIKISAKI_ID
JOIN MCM.MCM_MA_NONYUSAKI AS MAA
  ON TKB1.NONYUSAKI_ID = MAA.NONYUSAKI_ID
JOIN MCM.MCM_MA_PLANT AS MAB
  ON TKB1.PLANT_ID = MAB.PLANT_ID
JOIN MCM.MCM_TK_SIHARAI AS TKJ
  ON TKB1.TK_KIKAN_ID = TKJ.TK_KIKAN_ID
JOIN MCM.MCM_TK_SIHARAIMEISAI AS TKK
  ON TKJ.TK_SIHARAI_ID = TKK.TK_SIHARAI_ID
WHERE
  TKA.KEIYAKU_NO = @p001
  AND MAL.MADOGUCHI_KBN = N'2'
  AND MAL.YUKO_FLG = N'0'
  AND TKK.OFF_FLG = N'0';
</t>
        </is>
      </c>
    </row>
    <row r="8">
      <c r="A8" t="inlineStr">
        <is>
          <t xml:space="preserve">queries/T14_00_default_02.sql</t>
        </is>
      </c>
      <c r="B8">
        <v>1</v>
      </c>
      <c r="C8">
        <v>2</v>
      </c>
      <c r="D8">
        <v>10929</v>
      </c>
      <c r="E8" t="inlineStr">
        <is>
          <t xml:space="preserve">SELECT
  TKA.TK_KEIYAKU_ID AS C001,
  TKA.KEIYAKU_NO AS C002,
  MAE.HYOJIJUN AS C003,
  MAF.HYOJIJUN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C006,
  TKC.TEHAISEIBAN AS C007,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
  ) AS C008,
  MAE.KIKIKOSEI_NK AS C009,
  TKD.KIKIHINMEI_NK AS C010,
  TKD.KIKIKATASHIKI AS C011,
  MAF.SURYO_NM AS C012,
  CASE
    WHEN MAM.KOTAIKANRI_FLG = N'1'
    THEN CAST(MAG.SERIAL_NO AS NVARCHAR(MAX))
    ELSE NULL
  END AS C013,
  CONCAT(CAST(N'' AS NVARCHAR(MAX)), TKH.TENKENKAISU, N'回/年') AS C014,
  CASE
    WHEN TKI.ON_FLG = N'1'
    AND TKI.OFF_FLG = N'0'
    AND RIGHT(CONCAT(N'0', DATEPART(MONTH, TKI.TSUKI)), 2) = N'01'
    THEN N'2048'
    WHEN TKI.ON_FLG = N'1'
    AND TKI.OFF_FLG = N'0'
    AND RIGHT(CONCAT(N'0', DATEPART(M</t>
        </is>
      </c>
    </row>
    <row r="9">
      <c r="A9" t="inlineStr">
        <is>
          <t xml:space="preserve">queries/T14_00_default_02.sql</t>
        </is>
      </c>
      <c r="B9">
        <v>2</v>
      </c>
      <c r="C9">
        <v>2</v>
      </c>
      <c r="D9">
        <v>10929</v>
      </c>
      <c r="E9" t="inlineStr">
        <is>
          <t xml:space="preserve">ONTH, TKI.TSUKI)), 2) = N'02'
    THEN N'1024'
    WHEN TKI.ON_FLG = N'1'
    AND TKI.OFF_FLG = N'0'
    AND RIGHT(CONCAT(N'0', DATEPART(MONTH, TKI.TSUKI)), 2) = N'03'
    THEN N'512'
    WHEN TKI.ON_FLG = N'1'
    AND TKI.OFF_FLG = N'0'
    AND RIGHT(CONCAT(N'0', DATEPART(MONTH, TKI.TSUKI)), 2) = N'04'
    THEN N'256'
    WHEN TKI.ON_FLG = N'1'
    AND TKI.OFF_FLG = N'0'
    AND RIGHT(CONCAT(N'0', DATEPART(MONTH, TKI.TSUKI)), 2) = N'05'
    THEN N'128'
    WHEN TKI.ON_FLG = N'1'
    AND TKI.OFF_FLG = N'0'
    AND RIGHT(CONCAT(N'0', DATEPART(MONTH, TKI.TSUKI)), 2) = N'06'
    THEN N'64'
    WHEN TKI.ON_FLG = N'1'
    AND TKI.OFF_FLG = N'0'
    AND RIGHT(CONCAT(N'0', DATEPART(MONTH, TKI.TSUKI)), 2) = N'07'
    THEN N'32'
    WHEN TKI.ON_FLG = N'1'
    AND TKI.OFF_FLG = N'0'
    AND RIGHT(CONCAT(N'0', DATEPART(MONTH, TKI.TSUKI)), 2) = N'08'
    THEN N'16'
    WHEN TKI.ON_FLG = N'1'
    AND TKI.OFF_FLG = N'0'
    AND RIGHT(CONCAT(N'0', DATEPART(MONTH, TKI.TSUKI)), 2) = N'09'
    THEN N'8'
    WHEN TKI.ON_FLG = N'1'
    AND TKI.OFF_FLG = N'0'
    AND RIGHT(CONCAT(N'0', DATEPART(MONTH, TKI.TSUKI)), 2) = N'10'
    THEN N'4'
    WHEN TKI.ON_FLG = N'1'
    AND TKI.OFF_FLG = N'0'
    AND RIGHT(CONCAT(N'0', DATEPART(MONTH, TKI.TSUKI)), 2) = N'11'
    THEN N'2'
    WHEN TKI.ON_FLG = N'1'
    AND TKI.OFF_FLG = N'0'
    AND RIGHT(CONCAT(N'0', DATEPART(MONTH, TKI.TSUKI)), 2) = N'12'
    THEN N'1'
    ELSE NULL
  END AS C015,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MAE.KIKIKOSEI_NK
  ) AS C016,
  CASE WHEN MAM.KOTAIKANRI_FLG = N'1' THEN TKH.BIKO ELSE NULL END AS C017
FROM MCM.MCM_TK_KEIYAKU AS TKA
JOIN MCM.MCM_TK_KIKAN AS TKB1
  ON TKA.TK_KEIYAKU_ID = TKB1.TK_KEIYAKU_ID
INNER JOIN (
  SELECT
    TK_KEIYAKU_ID AS TK_KEIYAKU_ID,
    MAX(TK_KIKAN_ID) AS MaxID
  FROM MCM.MCM_TK_KIKAN
  WHERE
    MCM_TK_KIKAN.YUKO_FLG = N'0'
  GROUP BY
    TK_KEIYAKU_ID
) AS TKB2
  ON TKB1.TK_KEIYAKU_ID = TKB2.TK_KEIYAKU_ID AND TKB1.TK_KIKAN_ID = TKB2.MaxID
JOIN MCM.MCM_MA_TORIHIKISAKI AS MAK
  ON TKB1.TORIHIKISAKI_ID = MAK.TORIHIKISAKI_ID
JOIN MCM.MCM_TK_KIKIKOSEI AS TKC
  ON TKB1.TK_KIKAN_ID = TKC.TK_KIKAN_ID
JOIN MCM.MCM_TK_KIKIMEISAI AS TKD
  ON TKC.TK_KIKIKOSEI_ID = TKD.TK_KIKIKOSEI_ID
JOIN MCM.MCM_MA_KIKIKOSEI AS MAE
  ON TKC.KIKIKOSEI_ID = MAE.KIKIKOSEI_ID
JOIN MCM.MCM_MA_ATSUKAIKIKI AS MAH
  ON TKD.ATSUKAIKIKI_ID = MAH.ATSUKAIKIKI_ID
JOIN MCM.MCM_MA_KIKIBUNRUI AS MAM
  ON MAH.KIKIBUNRUI_ID = MAM.KIKIBUNRUI_ID
LEFT JOIN MCM.MCM_TK_TENKEN AS TKH
  ON TKC.TK_KIKIKOSEI_ID = TKH.TK_KIKIKOSEI_ID
  AND MAM.OYAKIKIBUNRUI_CD = TKH.OYAKIKIBUNRUI_CD
LEFT JOIN MCM.MCM_TK_TENKENMEISAI AS TKI
  ON TKH.TK_TENKEN_ID = TKI.TK_TENKEN_ID
JOIN MCM.MCM_TK_KOTAIMEISAI AS TKE
  ON TKD.TK_KIKIMEISAI_ID = TKE.TK_KIKIMEISAI_ID
JOIN MCM.MCM_MA_KIKIKOTAIKANRI AS MAG
  ON TKE.KOTAIKANRI_ID = MAG.KOTAIKANRI_ID
JOIN MCM.MCM_TK_SIHARAI AS TKJ
  ON TKB1.TK_KIKAN_ID = TKJ.TK_KIKAN_ID
JOIN MCM.MCM_MA_KIKIMEISAI AS MAF
  ON TKD.KIKIMEISAI_ID = MAF.KIKIMEISAI_ID
WHERE
  TKA.KEIYAKU_NO = @p001
ORDER BY
  CASE WHEN TKB1.SUPPORT_ID IS NULL THEN 1 ELSE 0 END, TKB1.SUPPORT_ID ASC,
  CASE WHEN MAE.HYOJIJUN IS NULL THEN 1 ELSE 0 END, MAE.HYOJIJUN ASC,
  CASE WHEN MAF.HYOJIJUN IS NULL THEN 1 ELSE 0 END, MAF.HYOJIJUN ASC;
</t>
        </is>
      </c>
    </row>
    <row r="10">
      <c r="A10" t="inlineStr">
        <is>
          <t xml:space="preserve">queries/T14_01_00_01.sql</t>
        </is>
      </c>
      <c r="B10">
        <v>1</v>
      </c>
      <c r="C10">
        <v>1</v>
      </c>
      <c r="D10">
        <v>5339</v>
      </c>
      <c r="E10" t="inlineStr">
        <is>
          <t xml:space="preserve">SELECT DISTINCT
  MAA.NONYUSAKI_NK AS C001,
  TKA.KEIYAKU_NO AS C002,
  CONVERT(NVARCHAR(10), TKA.SHOKAI_KEIYAKU_DT, 111) AS C003,
  CONVERT(NVARCHAR(10), TKA.KAIYAKU_DT, 111)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MAK.TORIHIKISAKI_NK AS C006,
  MAL.TORISYUTANTOSYA_NK AS C007,
  CONCAT(CAST(N'' AS NVARCHAR(MAX)), MAA.NONYUSAKI_NK, N' ', MAA.NONYUSAKIKOJO_NK) AS C008,
  CONCAT(
    CAST(N'' AS NVARCHAR(MAX)),
    N'〒',
    SUBSTRING(MAA.YUBIN_NO, 1, 3),
    N'-',
    SUBSTRING(MAA.YUBIN_NO, 4, 4)
  ) AS C009,
  CONCAT(CAST(N'' AS NVARCHAR(MAX)), MAA.JUSYO1_NK, N' ', MAA.JUSYO2_NK) AS C010,
  MAB.NONYUTEL_NO AS C011,
  MAB.NONYUBUSYO_NK AS C012,
  MAB.NONYUTANTOSYA_NK AS C013,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C014,
  TKB1.SIKIRIGOKEI_KIN AS C015,
  TKJ.KAISU AS C016,
  TKB1.KEIYAKUJIKANTAI AS C017,
  CASE
    WHEN TKK.ON_FLG = N'1'
    AND TKK.OFF_FLG = N'0'
    AND RIGHT(CONCAT(N'0', DATEPART(MONTH, TKK.TSUKI)), 2) = N'01'
    THEN N'2048'
    WHEN TKK.ON_FLG = N'1'
    AND TKK.OFF_FLG = N'0'
    AND RIGHT(CONCAT(N'0', DATEPART(MONTH, TKK.TSUKI)), 2) = N'02'
    THEN N'1024'
    WHEN TKK.ON_FLG = N'1'
    AND TKK.OFF_FLG = N'0'
    AND RIGHT(CONCAT(N'0', DATEPART(MONTH, TKK.TSUKI)), 2) = N'03'
    THEN N'512'
    WHEN TKK.ON_FLG = N'1'
    AND TKK.OFF_FLG = N'0'
    AND RIGHT(CONCAT(N'0', DATEPART(MONTH, TKK.TSUKI)), 2) = N'04'
    THEN N'256'
    WHEN TKK.ON_FLG = N'1'
    AND TKK.OFF_FLG = N'0'
    AND RIGHT(CONCAT(N'0', DATEPART(MONTH, TKK.TSUKI)), 2) = N'05'
    THEN N'128'
    WHEN TKK.ON_FLG = N'1'
    AND TKK.OFF_FLG = N'0'
    AND RIGHT(CONCAT(N'0', DATEPART(MONTH, TKK.TSUKI)), 2) = N'06'
    THEN N'64'
    WHEN TKK.ON_FLG = N'1'
    AND TKK.OFF_FLG = N'0'
    AND RIGHT(CONCAT(N'0', DATEPART(MONTH, TKK.TSUKI)), 2) = N'07'
    THEN N'32'
    WHEN TKK.ON_FLG = N'1'
    AND TKK.OFF_FLG = N'0'
    AND RIGHT(CONCAT(N'0', DATEPART(MONTH, TKK.TSUKI)), 2) = N'08'
    THEN N'16'
    WHEN TKK.ON_FLG = N'1'
    AND TKK.OFF_FLG = N'0'
    AND RIGHT(CONCAT(N'0', DATEPART(MONTH, TKK.TSUKI)), 2) = N'09'
    THEN N'8'
    WHEN TKK.ON_FLG = N'1'
    AND TKK.OFF_FLG = N'0'
    AND RIGHT(CONCAT(N'0', DATEPART(MONTH, TKK.TSUKI)), 2) = N'10'
    THEN N'4'
    WHEN TKK.ON_FLG = N'1'
    AND TKK.OFF_FLG = N'0'
    AND RIGHT(CONCAT(N'0', DATEPART(MONTH, TKK.TSUKI)), 2) = N'11'
    THEN N'2'
    WHEN TKK.ON_FLG = N'1'
    AND TKK.OFF_FLG = N'0'
    AND RIGHT(CONCAT(N'0', DATEPART(MONTH, TKK.TSUKI)), 2) = N'12'
    THEN N'1'
    ELSE NULL
  END AS C018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MCM.MCM_MA_TORIMADOGUCHI AS MAL
  ON TKB1.TORIHIKISAKI_ID = MAL.TORIHIKISAKI_ID
JOIN MCM.MCM_MA_NONYUSAKI AS MAA
  ON TKB1.NONYUSAKI_ID = MAA.NONYUSAKI_ID
JOIN MCM.MCM_MA_PLANT AS MAB
  ON TKB1.PLANT_ID = MAB.PLANT_ID
LEFT JOIN MCM.MCM_TK_SIHARAI AS TKJ
  ON TKB1.TK_KIKAN_ID = TKJ.TK_KIKAN_ID
LEFT JOIN MCM.MCM_TK_SIHARAIMEISAI AS TKK
  ON TKJ.TK_SIHARAI_ID = TKK.TK_SIHARAI_ID
WHERE
  (
    TKA.KEIYAKU_NO = @p002 OR TKA.KEIYAKU_NO = @p003 OR TKA.KEIYAKU_NO = @p004
  )
  AND MAL.MADOGUCHI_KBN = N'2'
  AND MAL.YUKO_FLG = N'0';
</t>
        </is>
      </c>
    </row>
    <row r="11">
      <c r="A11" t="inlineStr">
        <is>
          <t xml:space="preserve">queries/T14_01_00_02.sql</t>
        </is>
      </c>
      <c r="B11">
        <v>1</v>
      </c>
      <c r="C11">
        <v>3</v>
      </c>
      <c r="D11">
        <v>12586</v>
      </c>
      <c r="E11" t="inlineStr">
        <is>
          <t xml:space="preserve">SELECT
  TKA.TK_KEIYAKU_ID AS C001,
  TKA.KEIYAKU_NO AS C002,
  MAE.HYOJIJUN AS C003,
  MAF.HYOJIJUN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C006,
  TKC.TEHAISEIBAN AS C007,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
  ) AS C008,
  MAE.KIKIKOSEI_NK AS C009,
  TKD.KIKIHINMEI_NK AS C010,
  TKD.KIKIKATASHIKI AS C011,
  MAF.SURYO_NM AS C012,
  CASE
    WHEN MAM.KOTAIKANRI_FLG = N'1'
    THEN CAST(MAG.SERIAL_NO AS NVARCHAR(MAX))
    ELSE NULL
  END AS C013,
  CONCAT(CAST(N'' AS NVARCHAR(MAX)), TKH.TENKENKAISU, N'回/年') AS C014,
  CASE
    WHEN TKI.ON_FLG = N'1'
    AND TKI.OFF_FLG = N'0'
    AND RIGHT(CONCAT(N'0', DATEPART(MONTH, TKI.TSUKI)), 2) = N'01'
    THEN N'2048'
    WHEN TKI.ON_FLG = N'1'
    AND TKI.OFF_FLG = N'0'
    AND RIGHT(CONCAT(N'0', DATEPART(M</t>
        </is>
      </c>
    </row>
    <row r="12">
      <c r="A12" t="inlineStr">
        <is>
          <t xml:space="preserve">queries/T14_01_00_02.sql</t>
        </is>
      </c>
      <c r="B12">
        <v>2</v>
      </c>
      <c r="C12">
        <v>3</v>
      </c>
      <c r="D12">
        <v>12586</v>
      </c>
      <c r="E12" t="inlineStr">
        <is>
          <t xml:space="preserve">ONTH, TKI.TSUKI)), 2) = N'02'
    THEN N'1024'
    WHEN TKI.ON_FLG = N'1'
    AND TKI.OFF_FLG = N'0'
    AND RIGHT(CONCAT(N'0', DATEPART(MONTH, TKI.TSUKI)), 2) = N'03'
    THEN N'512'
    WHEN TKI.ON_FLG = N'1'
    AND TKI.OFF_FLG = N'0'
    AND RIGHT(CONCAT(N'0', DATEPART(MONTH, TKI.TSUKI)), 2) = N'04'
    THEN N'256'
    WHEN TKI.ON_FLG = N'1'
    AND TKI.OFF_FLG = N'0'
    AND RIGHT(CONCAT(N'0', DATEPART(MONTH, TKI.TSUKI)), 2) = N'05'
    THEN N'128'
    WHEN TKI.ON_FLG = N'1'
    AND TKI.OFF_FLG = N'0'
    AND RIGHT(CONCAT(N'0', DATEPART(MONTH, TKI.TSUKI)), 2) = N'06'
    THEN N'64'
    WHEN TKI.ON_FLG = N'1'
    AND TKI.OFF_FLG = N'0'
    AND RIGHT(CONCAT(N'0', DATEPART(MONTH, TKI.TSUKI)), 2) = N'07'
    THEN N'32'
    WHEN TKI.ON_FLG = N'1'
    AND TKI.OFF_FLG = N'0'
    AND RIGHT(CONCAT(N'0', DATEPART(MONTH, TKI.TSUKI)), 2) = N'08'
    THEN N'16'
    WHEN TKI.ON_FLG = N'1'
    AND TKI.OFF_FLG = N'0'
    AND RIGHT(CONCAT(N'0', DATEPART(MONTH, TKI.TSUKI)), 2) = N'09'
    THEN N'8'
    WHEN TKI.ON_FLG = N'1'
    AND TKI.OFF_FLG = N'0'
    AND RIGHT(CONCAT(N'0', DATEPART(MONTH, TKI.TSUKI)), 2) = N'10'
    THEN N'4'
    WHEN TKI.ON_FLG = N'1'
    AND TKI.OFF_FLG = N'0'
    AND RIGHT(CONCAT(N'0', DATEPART(MONTH, TKI.TSUKI)), 2) = N'11'
    THEN N'2'
    WHEN TKI.ON_FLG = N'1'
    AND TKI.OFF_FLG = N'0'
    AND RIGHT(CONCAT(N'0', DATEPART(MONTH, TKI.TSUKI)), 2) = N'12'
    THEN N'1'
    ELSE NULL
  END AS C015,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MAE.KIKIKOSEI_NK
  ) AS C016,
  CASE
    WHEN (
      CASE
        WHEN DATALENGTH(CAST(CAST(TKD.KIKIMEISAI_ID AS NVARCHAR(MAX)) AS NVARCHAR(MAX))) = 0
        THEN NULL
        ELSE CAST(CAST(TKD.KIKIMEISAI_ID AS NVARCHAR(MAX)) AS NVARCHAR(MAX))
      END
    ) IS NULL
    THEN NULL
    WHEN (
      LEN(
        CONCAT(
          (
            CASE
              WHEN DATALENGTH(CAST(CAST(TKD.KIKIMEISAI_ID AS NVARCHAR(MAX)) AS NVARCHAR(MAX))) = 0
              THEN NULL
              ELSE CAST(CAST(TKD.KIKIMEISAI_ID AS NVARCHAR(MAX)) AS NVARCHAR(MAX))
            END
          ),
          N'#'
        )
      ) - 1
    ) &gt;= 8
    THEN LEFT(
      (
        CASE
          WHEN DATALENGTH(CAST(CAST(TKD.KIKIMEISAI_ID AS NVARCHAR(MAX)) AS NVARCHAR(MAX))) = 0
          THEN NULL
          ELSE CAST(CAST(TKD.KIKIMEISAI_ID AS NVARCHAR(MAX)) AS NVARCHAR(MAX))
        END
      ),
      8
    )
    ELSE CONCAT(
      LEFT(
        REPLICATE(N'0', 8),
        8 - (
          LEN(
            CONCAT(
              (
                CASE
                  WHEN DATALENGTH(CAST(CAST(TKD.KIKIMEISAI_ID AS NVARCHAR(MAX)) AS NVARCHAR(MAX))) = 0
                  THEN NULL
                  ELSE CAST(CAST(TKD.KIKIMEISAI_ID AS NVARCHAR(MAX)) AS NVARCHAR(MAX))
                END
              ),
              N'#'
            )
          ) - 1
        )
      ),
      (
        CASE
          WHEN DATALENGTH(CAST(CAST(TKD.KIKIMEISAI_ID AS NVARCHAR(MAX)) AS NVARCHAR(MAX))) = 0
          THEN NULL
          ELSE CAST(CAST(TKD.KIKIMEISAI_ID AS NVARCHAR(MAX)) AS NVARCHAR(MAX))
        END
      )
    )
  END AS C017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MCM.MCM_TK_KIKIKOSEI AS TKC
  ON TKB1.TK_KIKAN_ID = TKC.TK_KIKAN_ID
JOIN MCM.MCM_TK_KIKIMEISAI AS TKD
  ON TKC.TK_KIKIKOSEI_ID = TKD.TK_KIKIKOSEI_ID
JOIN MCM.MCM_MA_KIKIKOSEI AS MAE
  ON TKC.KIKIKOSEI_ID = MAE.KIKIKOSEI_ID
JOIN MCM.MCM_MA_ATSUKAIKIKI AS MAH
  ON TKD.ATSUKAIKIKI_ID = MAH.ATSUKAIKIKI_ID
JOIN MCM.MCM_MA_KIKIBUNRUI AS MAM
  ON MAH.KIKIBUNRUI_ID = MAM.KIKIBUNRUI_ID
LEFT JOIN MCM.MCM_TK_TENKEN AS TKH
  ON TKC.TK_KIKIKOSEI_ID = TKH.TK_KIKIKOSEI_ID
  AND MAM.OYAKIKIBUNRUI_CD = TKH.OYAKIKIBUNRUI_CD
LEFT JOIN MCM.MCM_TK_TENKENMEISAI AS TKI
  ON TKH.TK_TENKEN_ID = TKI.TK_TENKEN_ID
JOIN MCM.MCM_TK_KOTAIMEISAI AS TKE
  ON TKD.T</t>
        </is>
      </c>
    </row>
    <row r="13">
      <c r="A13" t="inlineStr">
        <is>
          <t xml:space="preserve">queries/T14_01_00_02.sql</t>
        </is>
      </c>
      <c r="B13">
        <v>3</v>
      </c>
      <c r="C13">
        <v>3</v>
      </c>
      <c r="D13">
        <v>12586</v>
      </c>
      <c r="E13" t="inlineStr">
        <is>
          <t xml:space="preserve">K_KIKIMEISAI_ID = TKE.TK_KIKIMEISAI_ID
JOIN MCM.MCM_MA_KIKIKOTAIKANRI AS MAG
  ON TKE.KOTAIKANRI_ID = MAG.KOTAIKANRI_ID
JOIN MCM.MCM_TK_SIHARAI AS TKJ
  ON TKB1.TK_KIKAN_ID = TKJ.TK_KIKAN_ID
JOIN MCM.MCM_MA_KIKIMEISAI AS MAF
  ON TKD.KIKIMEISAI_ID = MAF.KIKIMEISAI_ID
WHERE
  (
    TKA.KEIYAKU_NO = @p002 OR TKA.KEIYAKU_NO = @p003 OR TKA.KEIYAKU_NO = @p004
  )
ORDER BY
  CASE WHEN TKB1.SUPPORT_ID IS NULL THEN 1 ELSE 0 END, TKB1.SUPPORT_ID ASC,
  CASE WHEN MAE.HYOJIJUN IS NULL THEN 1 ELSE 0 END, MAE.HYOJIJUN ASC,
  CASE WHEN MAF.HYOJIJUN IS NULL THEN 1 ELSE 0 END, MAF.HYOJIJUN ASC;
</t>
        </is>
      </c>
    </row>
    <row r="14">
      <c r="A14" t="inlineStr">
        <is>
          <t xml:space="preserve">queries/T14_01_01_01.sql</t>
        </is>
      </c>
      <c r="B14">
        <v>1</v>
      </c>
      <c r="C14">
        <v>1</v>
      </c>
      <c r="D14">
        <v>5321</v>
      </c>
      <c r="E14" t="inlineStr">
        <is>
          <t xml:space="preserve">SELECT DISTINCT
  MAA.NONYUSAKI_NK AS C001,
  TKA.KEIYAKU_NO AS C002,
  CONVERT(NVARCHAR(10), TKA.SHOKAI_KEIYAKU_DT, 111) AS C003,
  CONVERT(NVARCHAR(10), TKA.KAIYAKU_DT, 111)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MAK.TORIHIKISAKI_NK AS C006,
  MAL.TORISYUTANTOSYA_NK AS C007,
  CONCAT(CAST(N'' AS NVARCHAR(MAX)), MAA.NONYUSAKI_NK, N' ', MAA.NONYUSAKIKOJO_NK) AS C008,
  CONCAT(
    CAST(N'' AS NVARCHAR(MAX)),
    N'〒',
    SUBSTRING(MAA.YUBIN_NO, 1, 3),
    N'-',
    SUBSTRING(MAA.YUBIN_NO, 4, 4)
  ) AS C009,
  CONCAT(CAST(N'' AS NVARCHAR(MAX)), MAA.JUSYO1_NK, N' ', MAA.JUSYO2_NK) AS C010,
  MAB.NONYUTEL_NO AS C011,
  MAB.NONYUBUSYO_NK AS C012,
  MAB.NONYUTANTOSYA_NK AS C013,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C014,
  TKB1.SIKIRIGOKEI_KIN AS C015,
  TKJ.KAISU AS C016,
  TKB1.KEIYAKUJIKANTAI AS C017,
  CASE
    WHEN TKK.ON_FLG = N'1'
    AND TKK.OFF_FLG = N'0'
    AND RIGHT(CONCAT(N'0', DATEPART(MONTH, TKK.TSUKI)), 2) = N'01'
    THEN N'2048'
    WHEN TKK.ON_FLG = N'1'
    AND TKK.OFF_FLG = N'0'
    AND RIGHT(CONCAT(N'0', DATEPART(MONTH, TKK.TSUKI)), 2) = N'02'
    THEN N'1024'
    WHEN TKK.ON_FLG = N'1'
    AND TKK.OFF_FLG = N'0'
    AND RIGHT(CONCAT(N'0', DATEPART(MONTH, TKK.TSUKI)), 2) = N'03'
    THEN N'512'
    WHEN TKK.ON_FLG = N'1'
    AND TKK.OFF_FLG = N'0'
    AND RIGHT(CONCAT(N'0', DATEPART(MONTH, TKK.TSUKI)), 2) = N'04'
    THEN N'256'
    WHEN TKK.ON_FLG = N'1'
    AND TKK.OFF_FLG = N'0'
    AND RIGHT(CONCAT(N'0', DATEPART(MONTH, TKK.TSUKI)), 2) = N'05'
    THEN N'128'
    WHEN TKK.ON_FLG = N'1'
    AND TKK.OFF_FLG = N'0'
    AND RIGHT(CONCAT(N'0', DATEPART(MONTH, TKK.TSUKI)), 2) = N'06'
    THEN N'64'
    WHEN TKK.ON_FLG = N'1'
    AND TKK.OFF_FLG = N'0'
    AND RIGHT(CONCAT(N'0', DATEPART(MONTH, TKK.TSUKI)), 2) = N'07'
    THEN N'32'
    WHEN TKK.ON_FLG = N'1'
    AND TKK.OFF_FLG = N'0'
    AND RIGHT(CONCAT(N'0', DATEPART(MONTH, TKK.TSUKI)), 2) = N'08'
    THEN N'16'
    WHEN TKK.ON_FLG = N'1'
    AND TKK.OFF_FLG = N'0'
    AND RIGHT(CONCAT(N'0', DATEPART(MONTH, TKK.TSUKI)), 2) = N'09'
    THEN N'8'
    WHEN TKK.ON_FLG = N'1'
    AND TKK.OFF_FLG = N'0'
    AND RIGHT(CONCAT(N'0', DATEPART(MONTH, TKK.TSUKI)), 2) = N'10'
    THEN N'4'
    WHEN TKK.ON_FLG = N'1'
    AND TKK.OFF_FLG = N'0'
    AND RIGHT(CONCAT(N'0', DATEPART(MONTH, TKK.TSUKI)), 2) = N'11'
    THEN N'2'
    WHEN TKK.ON_FLG = N'1'
    AND TKK.OFF_FLG = N'0'
    AND RIGHT(CONCAT(N'0', DATEPART(MONTH, TKK.TSUKI)), 2) = N'12'
    THEN N'1'
    ELSE NULL
  END AS C018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MCM.MCM_MA_TORIMADOGUCHI AS MAL
  ON TKB1.TORIHIKISAKI_ID = MAL.TORIHIKISAKI_ID
JOIN MCM.MCM_MA_NONYUSAKI AS MAA
  ON TKB1.NONYUSAKI_ID = MAA.NONYUSAKI_ID
JOIN MCM.MCM_MA_PLANT AS MAB
  ON TKB1.PLANT_ID = MAB.PLANT_ID
LEFT JOIN MCM.MCM_TK_SIHARAI AS TKJ
  ON TKB1.TK_KIKAN_ID = TKJ.TK_KIKAN_ID
LEFT JOIN MCM.MCM_TK_SIHARAIMEISAI AS TKK
  ON TKJ.TK_SIHARAI_ID = TKK.TK_SIHARAI_ID
WHERE
  (
    TKA.KEIYAKU_NO = @p002 OR TKA.KEIYAKU_NO = @p003
  ) /* - */
  AND MAL.MADOGUCHI_KBN = N'2'
  AND MAL.YUKO_FLG = N'0';
</t>
        </is>
      </c>
    </row>
    <row r="15">
      <c r="A15" t="inlineStr">
        <is>
          <t xml:space="preserve">queries/T14_01_01_02.sql</t>
        </is>
      </c>
      <c r="B15">
        <v>1</v>
      </c>
      <c r="C15">
        <v>3</v>
      </c>
      <c r="D15">
        <v>12568</v>
      </c>
      <c r="E15" t="inlineStr">
        <is>
          <t xml:space="preserve">SELECT
  TKA.TK_KEIYAKU_ID AS C001,
  TKA.KEIYAKU_NO AS C002,
  MAE.HYOJIJUN AS C003,
  MAF.HYOJIJUN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C006,
  TKC.TEHAISEIBAN AS C007,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
  ) AS C008,
  MAE.KIKIKOSEI_NK AS C009,
  TKD.KIKIHINMEI_NK AS C010,
  TKD.KIKIKATASHIKI AS C011,
  MAF.SURYO_NM AS C012,
  CASE
    WHEN MAM.KOTAIKANRI_FLG = N'1'
    THEN CAST(MAG.SERIAL_NO AS NVARCHAR(MAX))
    ELSE NULL
  END AS C013,
  CONCAT(CAST(N'' AS NVARCHAR(MAX)), TKH.TENKENKAISU, N'回/年') AS C014,
  CASE
    WHEN TKI.ON_FLG = N'1'
    AND TKI.OFF_FLG = N'0'
    AND RIGHT(CONCAT(N'0', DATEPART(MONTH, TKI.TSUKI)), 2) = N'01'
    THEN N'2048'
    WHEN TKI.ON_FLG = N'1'
    AND TKI.OFF_FLG = N'0'
    AND RIGHT(CONCAT(N'0', DATEPART(M</t>
        </is>
      </c>
    </row>
    <row r="16">
      <c r="A16" t="inlineStr">
        <is>
          <t xml:space="preserve">queries/T14_01_01_02.sql</t>
        </is>
      </c>
      <c r="B16">
        <v>2</v>
      </c>
      <c r="C16">
        <v>3</v>
      </c>
      <c r="D16">
        <v>12568</v>
      </c>
      <c r="E16" t="inlineStr">
        <is>
          <t xml:space="preserve">ONTH, TKI.TSUKI)), 2) = N'02'
    THEN N'1024'
    WHEN TKI.ON_FLG = N'1'
    AND TKI.OFF_FLG = N'0'
    AND RIGHT(CONCAT(N'0', DATEPART(MONTH, TKI.TSUKI)), 2) = N'03'
    THEN N'512'
    WHEN TKI.ON_FLG = N'1'
    AND TKI.OFF_FLG = N'0'
    AND RIGHT(CONCAT(N'0', DATEPART(MONTH, TKI.TSUKI)), 2) = N'04'
    THEN N'256'
    WHEN TKI.ON_FLG = N'1'
    AND TKI.OFF_FLG = N'0'
    AND RIGHT(CONCAT(N'0', DATEPART(MONTH, TKI.TSUKI)), 2) = N'05'
    THEN N'128'
    WHEN TKI.ON_FLG = N'1'
    AND TKI.OFF_FLG = N'0'
    AND RIGHT(CONCAT(N'0', DATEPART(MONTH, TKI.TSUKI)), 2) = N'06'
    THEN N'64'
    WHEN TKI.ON_FLG = N'1'
    AND TKI.OFF_FLG = N'0'
    AND RIGHT(CONCAT(N'0', DATEPART(MONTH, TKI.TSUKI)), 2) = N'07'
    THEN N'32'
    WHEN TKI.ON_FLG = N'1'
    AND TKI.OFF_FLG = N'0'
    AND RIGHT(CONCAT(N'0', DATEPART(MONTH, TKI.TSUKI)), 2) = N'08'
    THEN N'16'
    WHEN TKI.ON_FLG = N'1'
    AND TKI.OFF_FLG = N'0'
    AND RIGHT(CONCAT(N'0', DATEPART(MONTH, TKI.TSUKI)), 2) = N'09'
    THEN N'8'
    WHEN TKI.ON_FLG = N'1'
    AND TKI.OFF_FLG = N'0'
    AND RIGHT(CONCAT(N'0', DATEPART(MONTH, TKI.TSUKI)), 2) = N'10'
    THEN N'4'
    WHEN TKI.ON_FLG = N'1'
    AND TKI.OFF_FLG = N'0'
    AND RIGHT(CONCAT(N'0', DATEPART(MONTH, TKI.TSUKI)), 2) = N'11'
    THEN N'2'
    WHEN TKI.ON_FLG = N'1'
    AND TKI.OFF_FLG = N'0'
    AND RIGHT(CONCAT(N'0', DATEPART(MONTH, TKI.TSUKI)), 2) = N'12'
    THEN N'1'
    ELSE NULL
  END AS C015,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MAE.KIKIKOSEI_NK
  ) AS C016,
  CASE
    WHEN (
      CASE
        WHEN DATALENGTH(CAST(CAST(TKD.KIKIMEISAI_ID AS NVARCHAR(MAX)) AS NVARCHAR(MAX))) = 0
        THEN NULL
        ELSE CAST(CAST(TKD.KIKIMEISAI_ID AS NVARCHAR(MAX)) AS NVARCHAR(MAX))
      END
    ) IS NULL
    THEN NULL
    WHEN (
      LEN(
        CONCAT(
          (
            CASE
              WHEN DATALENGTH(CAST(CAST(TKD.KIKIMEISAI_ID AS NVARCHAR(MAX)) AS NVARCHAR(MAX))) = 0
              THEN NULL
              ELSE CAST(CAST(TKD.KIKIMEISAI_ID AS NVARCHAR(MAX)) AS NVARCHAR(MAX))
            END
          ),
          N'#'
        )
      ) - 1
    ) &gt;= 8
    THEN LEFT(
      (
        CASE
          WHEN DATALENGTH(CAST(CAST(TKD.KIKIMEISAI_ID AS NVARCHAR(MAX)) AS NVARCHAR(MAX))) = 0
          THEN NULL
          ELSE CAST(CAST(TKD.KIKIMEISAI_ID AS NVARCHAR(MAX)) AS NVARCHAR(MAX))
        END
      ),
      8
    )
    ELSE CONCAT(
      LEFT(
        REPLICATE(N'0', 8),
        8 - (
          LEN(
            CONCAT(
              (
                CASE
                  WHEN DATALENGTH(CAST(CAST(TKD.KIKIMEISAI_ID AS NVARCHAR(MAX)) AS NVARCHAR(MAX))) = 0
                  THEN NULL
                  ELSE CAST(CAST(TKD.KIKIMEISAI_ID AS NVARCHAR(MAX)) AS NVARCHAR(MAX))
                END
              ),
              N'#'
            )
          ) - 1
        )
      ),
      (
        CASE
          WHEN DATALENGTH(CAST(CAST(TKD.KIKIMEISAI_ID AS NVARCHAR(MAX)) AS NVARCHAR(MAX))) = 0
          THEN NULL
          ELSE CAST(CAST(TKD.KIKIMEISAI_ID AS NVARCHAR(MAX)) AS NVARCHAR(MAX))
        END
      )
    )
  END AS C017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MCM.MCM_TK_KIKIKOSEI AS TKC
  ON TKB1.TK_KIKAN_ID = TKC.TK_KIKAN_ID
JOIN MCM.MCM_TK_KIKIMEISAI AS TKD
  ON TKC.TK_KIKIKOSEI_ID = TKD.TK_KIKIKOSEI_ID
JOIN MCM.MCM_MA_KIKIKOSEI AS MAE
  ON TKC.KIKIKOSEI_ID = MAE.KIKIKOSEI_ID
JOIN MCM.MCM_MA_ATSUKAIKIKI AS MAH
  ON TKD.ATSUKAIKIKI_ID = MAH.ATSUKAIKIKI_ID
JOIN MCM.MCM_MA_KIKIBUNRUI AS MAM
  ON MAH.KIKIBUNRUI_ID = MAM.KIKIBUNRUI_ID
LEFT JOIN MCM.MCM_TK_TENKEN AS TKH
  ON TKC.TK_KIKIKOSEI_ID = TKH.TK_KIKIKOSEI_ID
  AND MAM.OYAKIKIBUNRUI_CD = TKH.OYAKIKIBUNRUI_CD
LEFT JOIN MCM.MCM_TK_TENKENMEISAI AS TKI
  ON TKH.TK_TENKEN_ID = TKI.TK_TENKEN_ID
JOIN MCM.MCM_TK_KOTAIMEISAI AS TKE
  ON TKD.T</t>
        </is>
      </c>
    </row>
    <row r="17">
      <c r="A17" t="inlineStr">
        <is>
          <t xml:space="preserve">queries/T14_01_01_02.sql</t>
        </is>
      </c>
      <c r="B17">
        <v>3</v>
      </c>
      <c r="C17">
        <v>3</v>
      </c>
      <c r="D17">
        <v>12568</v>
      </c>
      <c r="E17" t="inlineStr">
        <is>
          <t xml:space="preserve">K_KIKIMEISAI_ID = TKE.TK_KIKIMEISAI_ID
JOIN MCM.MCM_MA_KIKIKOTAIKANRI AS MAG
  ON TKE.KOTAIKANRI_ID = MAG.KOTAIKANRI_ID
JOIN MCM.MCM_TK_SIHARAI AS TKJ
  ON TKB1.TK_KIKAN_ID = TKJ.TK_KIKAN_ID
JOIN MCM.MCM_MA_KIKIMEISAI AS MAF
  ON TKD.KIKIMEISAI_ID = MAF.KIKIMEISAI_ID
WHERE
  (
    TKA.KEIYAKU_NO = @p002 OR TKA.KEIYAKU_NO = @p003
  ) /* - */
ORDER BY
  CASE WHEN TKB1.SUPPORT_ID IS NULL THEN 1 ELSE 0 END, TKB1.SUPPORT_ID ASC,
  CASE WHEN MAE.HYOJIJUN IS NULL THEN 1 ELSE 0 END, MAE.HYOJIJUN ASC,
  CASE WHEN MAF.HYOJIJUN IS NULL THEN 1 ELSE 0 END, MAF.HYOJIJUN ASC;
</t>
        </is>
      </c>
    </row>
    <row r="18">
      <c r="A18" t="inlineStr">
        <is>
          <t xml:space="preserve">queries/T14_01_10_01.sql</t>
        </is>
      </c>
      <c r="B18">
        <v>1</v>
      </c>
      <c r="C18">
        <v>1</v>
      </c>
      <c r="D18">
        <v>5321</v>
      </c>
      <c r="E18" t="inlineStr">
        <is>
          <t xml:space="preserve">SELECT DISTINCT
  MAA.NONYUSAKI_NK AS C001,
  TKA.KEIYAKU_NO AS C002,
  CONVERT(NVARCHAR(10), TKA.SHOKAI_KEIYAKU_DT, 111) AS C003,
  CONVERT(NVARCHAR(10), TKA.KAIYAKU_DT, 111)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MAK.TORIHIKISAKI_NK AS C006,
  MAL.TORISYUTANTOSYA_NK AS C007,
  CONCAT(CAST(N'' AS NVARCHAR(MAX)), MAA.NONYUSAKI_NK, N' ', MAA.NONYUSAKIKOJO_NK) AS C008,
  CONCAT(
    CAST(N'' AS NVARCHAR(MAX)),
    N'〒',
    SUBSTRING(MAA.YUBIN_NO, 1, 3),
    N'-',
    SUBSTRING(MAA.YUBIN_NO, 4, 4)
  ) AS C009,
  CONCAT(CAST(N'' AS NVARCHAR(MAX)), MAA.JUSYO1_NK, N' ', MAA.JUSYO2_NK) AS C010,
  MAB.NONYUTEL_NO AS C011,
  MAB.NONYUBUSYO_NK AS C012,
  MAB.NONYUTANTOSYA_NK AS C013,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C014,
  TKB1.SIKIRIGOKEI_KIN AS C015,
  TKJ.KAISU AS C016,
  TKB1.KEIYAKUJIKANTAI AS C017,
  CASE
    WHEN TKK.ON_FLG = N'1'
    AND TKK.OFF_FLG = N'0'
    AND RIGHT(CONCAT(N'0', DATEPART(MONTH, TKK.TSUKI)), 2) = N'01'
    THEN N'2048'
    WHEN TKK.ON_FLG = N'1'
    AND TKK.OFF_FLG = N'0'
    AND RIGHT(CONCAT(N'0', DATEPART(MONTH, TKK.TSUKI)), 2) = N'02'
    THEN N'1024'
    WHEN TKK.ON_FLG = N'1'
    AND TKK.OFF_FLG = N'0'
    AND RIGHT(CONCAT(N'0', DATEPART(MONTH, TKK.TSUKI)), 2) = N'03'
    THEN N'512'
    WHEN TKK.ON_FLG = N'1'
    AND TKK.OFF_FLG = N'0'
    AND RIGHT(CONCAT(N'0', DATEPART(MONTH, TKK.TSUKI)), 2) = N'04'
    THEN N'256'
    WHEN TKK.ON_FLG = N'1'
    AND TKK.OFF_FLG = N'0'
    AND RIGHT(CONCAT(N'0', DATEPART(MONTH, TKK.TSUKI)), 2) = N'05'
    THEN N'128'
    WHEN TKK.ON_FLG = N'1'
    AND TKK.OFF_FLG = N'0'
    AND RIGHT(CONCAT(N'0', DATEPART(MONTH, TKK.TSUKI)), 2) = N'06'
    THEN N'64'
    WHEN TKK.ON_FLG = N'1'
    AND TKK.OFF_FLG = N'0'
    AND RIGHT(CONCAT(N'0', DATEPART(MONTH, TKK.TSUKI)), 2) = N'07'
    THEN N'32'
    WHEN TKK.ON_FLG = N'1'
    AND TKK.OFF_FLG = N'0'
    AND RIGHT(CONCAT(N'0', DATEPART(MONTH, TKK.TSUKI)), 2) = N'08'
    THEN N'16'
    WHEN TKK.ON_FLG = N'1'
    AND TKK.OFF_FLG = N'0'
    AND RIGHT(CONCAT(N'0', DATEPART(MONTH, TKK.TSUKI)), 2) = N'09'
    THEN N'8'
    WHEN TKK.ON_FLG = N'1'
    AND TKK.OFF_FLG = N'0'
    AND RIGHT(CONCAT(N'0', DATEPART(MONTH, TKK.TSUKI)), 2) = N'10'
    THEN N'4'
    WHEN TKK.ON_FLG = N'1'
    AND TKK.OFF_FLG = N'0'
    AND RIGHT(CONCAT(N'0', DATEPART(MONTH, TKK.TSUKI)), 2) = N'11'
    THEN N'2'
    WHEN TKK.ON_FLG = N'1'
    AND TKK.OFF_FLG = N'0'
    AND RIGHT(CONCAT(N'0', DATEPART(MONTH, TKK.TSUKI)), 2) = N'12'
    THEN N'1'
    ELSE NULL
  END AS C018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MCM.MCM_MA_TORIMADOGUCHI AS MAL
  ON TKB1.TORIHIKISAKI_ID = MAL.TORIHIKISAKI_ID
JOIN MCM.MCM_MA_NONYUSAKI AS MAA
  ON TKB1.NONYUSAKI_ID = MAA.NONYUSAKI_ID
JOIN MCM.MCM_MA_PLANT AS MAB
  ON TKB1.PLANT_ID = MAB.PLANT_ID
LEFT JOIN MCM.MCM_TK_SIHARAI AS TKJ
  ON TKB1.TK_KIKAN_ID = TKJ.TK_KIKAN_ID
LEFT JOIN MCM.MCM_TK_SIHARAIMEISAI AS TKK
  ON TKJ.TK_SIHARAI_ID = TKK.TK_SIHARAI_ID
WHERE
  (
    TKA.KEIYAKU_NO = @p002 OR /* - */ TKA.KEIYAKU_NO = @p004
  )
  AND MAL.MADOGUCHI_KBN = N'2'
  AND MAL.YUKO_FLG = N'0';
</t>
        </is>
      </c>
    </row>
    <row r="19">
      <c r="A19" t="inlineStr">
        <is>
          <t xml:space="preserve">queries/T14_01_10_02.sql</t>
        </is>
      </c>
      <c r="B19">
        <v>1</v>
      </c>
      <c r="C19">
        <v>3</v>
      </c>
      <c r="D19">
        <v>12568</v>
      </c>
      <c r="E19" t="inlineStr">
        <is>
          <t xml:space="preserve">SELECT
  TKA.TK_KEIYAKU_ID AS C001,
  TKA.KEIYAKU_NO AS C002,
  MAE.HYOJIJUN AS C003,
  MAF.HYOJIJUN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C006,
  TKC.TEHAISEIBAN AS C007,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
  ) AS C008,
  MAE.KIKIKOSEI_NK AS C009,
  TKD.KIKIHINMEI_NK AS C010,
  TKD.KIKIKATASHIKI AS C011,
  MAF.SURYO_NM AS C012,
  CASE
    WHEN MAM.KOTAIKANRI_FLG = N'1'
    THEN CAST(MAG.SERIAL_NO AS NVARCHAR(MAX))
    ELSE NULL
  END AS C013,
  CONCAT(CAST(N'' AS NVARCHAR(MAX)), TKH.TENKENKAISU, N'回/年') AS C014,
  CASE
    WHEN TKI.ON_FLG = N'1'
    AND TKI.OFF_FLG = N'0'
    AND RIGHT(CONCAT(N'0', DATEPART(MONTH, TKI.TSUKI)), 2) = N'01'
    THEN N'2048'
    WHEN TKI.ON_FLG = N'1'
    AND TKI.OFF_FLG = N'0'
    AND RIGHT(CONCAT(N'0', DATEPART(M</t>
        </is>
      </c>
    </row>
    <row r="20">
      <c r="A20" t="inlineStr">
        <is>
          <t xml:space="preserve">queries/T14_01_10_02.sql</t>
        </is>
      </c>
      <c r="B20">
        <v>2</v>
      </c>
      <c r="C20">
        <v>3</v>
      </c>
      <c r="D20">
        <v>12568</v>
      </c>
      <c r="E20" t="inlineStr">
        <is>
          <t xml:space="preserve">ONTH, TKI.TSUKI)), 2) = N'02'
    THEN N'1024'
    WHEN TKI.ON_FLG = N'1'
    AND TKI.OFF_FLG = N'0'
    AND RIGHT(CONCAT(N'0', DATEPART(MONTH, TKI.TSUKI)), 2) = N'03'
    THEN N'512'
    WHEN TKI.ON_FLG = N'1'
    AND TKI.OFF_FLG = N'0'
    AND RIGHT(CONCAT(N'0', DATEPART(MONTH, TKI.TSUKI)), 2) = N'04'
    THEN N'256'
    WHEN TKI.ON_FLG = N'1'
    AND TKI.OFF_FLG = N'0'
    AND RIGHT(CONCAT(N'0', DATEPART(MONTH, TKI.TSUKI)), 2) = N'05'
    THEN N'128'
    WHEN TKI.ON_FLG = N'1'
    AND TKI.OFF_FLG = N'0'
    AND RIGHT(CONCAT(N'0', DATEPART(MONTH, TKI.TSUKI)), 2) = N'06'
    THEN N'64'
    WHEN TKI.ON_FLG = N'1'
    AND TKI.OFF_FLG = N'0'
    AND RIGHT(CONCAT(N'0', DATEPART(MONTH, TKI.TSUKI)), 2) = N'07'
    THEN N'32'
    WHEN TKI.ON_FLG = N'1'
    AND TKI.OFF_FLG = N'0'
    AND RIGHT(CONCAT(N'0', DATEPART(MONTH, TKI.TSUKI)), 2) = N'08'
    THEN N'16'
    WHEN TKI.ON_FLG = N'1'
    AND TKI.OFF_FLG = N'0'
    AND RIGHT(CONCAT(N'0', DATEPART(MONTH, TKI.TSUKI)), 2) = N'09'
    THEN N'8'
    WHEN TKI.ON_FLG = N'1'
    AND TKI.OFF_FLG = N'0'
    AND RIGHT(CONCAT(N'0', DATEPART(MONTH, TKI.TSUKI)), 2) = N'10'
    THEN N'4'
    WHEN TKI.ON_FLG = N'1'
    AND TKI.OFF_FLG = N'0'
    AND RIGHT(CONCAT(N'0', DATEPART(MONTH, TKI.TSUKI)), 2) = N'11'
    THEN N'2'
    WHEN TKI.ON_FLG = N'1'
    AND TKI.OFF_FLG = N'0'
    AND RIGHT(CONCAT(N'0', DATEPART(MONTH, TKI.TSUKI)), 2) = N'12'
    THEN N'1'
    ELSE NULL
  END AS C015,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MAE.KIKIKOSEI_NK
  ) AS C016,
  CASE
    WHEN (
      CASE
        WHEN DATALENGTH(CAST(CAST(TKD.KIKIMEISAI_ID AS NVARCHAR(MAX)) AS NVARCHAR(MAX))) = 0
        THEN NULL
        ELSE CAST(CAST(TKD.KIKIMEISAI_ID AS NVARCHAR(MAX)) AS NVARCHAR(MAX))
      END
    ) IS NULL
    THEN NULL
    WHEN (
      LEN(
        CONCAT(
          (
            CASE
              WHEN DATALENGTH(CAST(CAST(TKD.KIKIMEISAI_ID AS NVARCHAR(MAX)) AS NVARCHAR(MAX))) = 0
              THEN NULL
              ELSE CAST(CAST(TKD.KIKIMEISAI_ID AS NVARCHAR(MAX)) AS NVARCHAR(MAX))
            END
          ),
          N'#'
        )
      ) - 1
    ) &gt;= 8
    THEN LEFT(
      (
        CASE
          WHEN DATALENGTH(CAST(CAST(TKD.KIKIMEISAI_ID AS NVARCHAR(MAX)) AS NVARCHAR(MAX))) = 0
          THEN NULL
          ELSE CAST(CAST(TKD.KIKIMEISAI_ID AS NVARCHAR(MAX)) AS NVARCHAR(MAX))
        END
      ),
      8
    )
    ELSE CONCAT(
      LEFT(
        REPLICATE(N'0', 8),
        8 - (
          LEN(
            CONCAT(
              (
                CASE
                  WHEN DATALENGTH(CAST(CAST(TKD.KIKIMEISAI_ID AS NVARCHAR(MAX)) AS NVARCHAR(MAX))) = 0
                  THEN NULL
                  ELSE CAST(CAST(TKD.KIKIMEISAI_ID AS NVARCHAR(MAX)) AS NVARCHAR(MAX))
                END
              ),
              N'#'
            )
          ) - 1
        )
      ),
      (
        CASE
          WHEN DATALENGTH(CAST(CAST(TKD.KIKIMEISAI_ID AS NVARCHAR(MAX)) AS NVARCHAR(MAX))) = 0
          THEN NULL
          ELSE CAST(CAST(TKD.KIKIMEISAI_ID AS NVARCHAR(MAX)) AS NVARCHAR(MAX))
        END
      )
    )
  END AS C017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MCM.MCM_TK_KIKIKOSEI AS TKC
  ON TKB1.TK_KIKAN_ID = TKC.TK_KIKAN_ID
JOIN MCM.MCM_TK_KIKIMEISAI AS TKD
  ON TKC.TK_KIKIKOSEI_ID = TKD.TK_KIKIKOSEI_ID
JOIN MCM.MCM_MA_KIKIKOSEI AS MAE
  ON TKC.KIKIKOSEI_ID = MAE.KIKIKOSEI_ID
JOIN MCM.MCM_MA_ATSUKAIKIKI AS MAH
  ON TKD.ATSUKAIKIKI_ID = MAH.ATSUKAIKIKI_ID
JOIN MCM.MCM_MA_KIKIBUNRUI AS MAM
  ON MAH.KIKIBUNRUI_ID = MAM.KIKIBUNRUI_ID
LEFT JOIN MCM.MCM_TK_TENKEN AS TKH
  ON TKC.TK_KIKIKOSEI_ID = TKH.TK_KIKIKOSEI_ID
  AND MAM.OYAKIKIBUNRUI_CD = TKH.OYAKIKIBUNRUI_CD
LEFT JOIN MCM.MCM_TK_TENKENMEISAI AS TKI
  ON TKH.TK_TENKEN_ID = TKI.TK_TENKEN_ID
JOIN MCM.MCM_TK_KOTAIMEISAI AS TKE
  ON TKD.T</t>
        </is>
      </c>
    </row>
    <row r="21">
      <c r="A21" t="inlineStr">
        <is>
          <t xml:space="preserve">queries/T14_01_10_02.sql</t>
        </is>
      </c>
      <c r="B21">
        <v>3</v>
      </c>
      <c r="C21">
        <v>3</v>
      </c>
      <c r="D21">
        <v>12568</v>
      </c>
      <c r="E21" t="inlineStr">
        <is>
          <t xml:space="preserve">K_KIKIMEISAI_ID = TKE.TK_KIKIMEISAI_ID
JOIN MCM.MCM_MA_KIKIKOTAIKANRI AS MAG
  ON TKE.KOTAIKANRI_ID = MAG.KOTAIKANRI_ID
JOIN MCM.MCM_TK_SIHARAI AS TKJ
  ON TKB1.TK_KIKAN_ID = TKJ.TK_KIKAN_ID
JOIN MCM.MCM_MA_KIKIMEISAI AS MAF
  ON TKD.KIKIMEISAI_ID = MAF.KIKIMEISAI_ID
WHERE
  (
    TKA.KEIYAKU_NO = @p002 OR /* - */ TKA.KEIYAKU_NO = @p004
  )
ORDER BY
  CASE WHEN TKB1.SUPPORT_ID IS NULL THEN 1 ELSE 0 END, TKB1.SUPPORT_ID ASC,
  CASE WHEN MAE.HYOJIJUN IS NULL THEN 1 ELSE 0 END, MAE.HYOJIJUN ASC,
  CASE WHEN MAF.HYOJIJUN IS NULL THEN 1 ELSE 0 END, MAF.HYOJIJUN ASC;
</t>
        </is>
      </c>
    </row>
    <row r="22">
      <c r="A22" t="inlineStr">
        <is>
          <t xml:space="preserve">queries/T14_01_11_01.sql</t>
        </is>
      </c>
      <c r="B22">
        <v>1</v>
      </c>
      <c r="C22">
        <v>1</v>
      </c>
      <c r="D22">
        <v>5303</v>
      </c>
      <c r="E22" t="inlineStr">
        <is>
          <t xml:space="preserve">SELECT DISTINCT
  MAA.NONYUSAKI_NK AS C001,
  TKA.KEIYAKU_NO AS C002,
  CONVERT(NVARCHAR(10), TKA.SHOKAI_KEIYAKU_DT, 111) AS C003,
  CONVERT(NVARCHAR(10), TKA.KAIYAKU_DT, 111)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MAK.TORIHIKISAKI_NK AS C006,
  MAL.TORISYUTANTOSYA_NK AS C007,
  CONCAT(CAST(N'' AS NVARCHAR(MAX)), MAA.NONYUSAKI_NK, N' ', MAA.NONYUSAKIKOJO_NK) AS C008,
  CONCAT(
    CAST(N'' AS NVARCHAR(MAX)),
    N'〒',
    SUBSTRING(MAA.YUBIN_NO, 1, 3),
    N'-',
    SUBSTRING(MAA.YUBIN_NO, 4, 4)
  ) AS C009,
  CONCAT(CAST(N'' AS NVARCHAR(MAX)), MAA.JUSYO1_NK, N' ', MAA.JUSYO2_NK) AS C010,
  MAB.NONYUTEL_NO AS C011,
  MAB.NONYUBUSYO_NK AS C012,
  MAB.NONYUTANTOSYA_NK AS C013,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C014,
  TKB1.SIKIRIGOKEI_KIN AS C015,
  TKJ.KAISU AS C016,
  TKB1.KEIYAKUJIKANTAI AS C017,
  CASE
    WHEN TKK.ON_FLG = N'1'
    AND TKK.OFF_FLG = N'0'
    AND RIGHT(CONCAT(N'0', DATEPART(MONTH, TKK.TSUKI)), 2) = N'01'
    THEN N'2048'
    WHEN TKK.ON_FLG = N'1'
    AND TKK.OFF_FLG = N'0'
    AND RIGHT(CONCAT(N'0', DATEPART(MONTH, TKK.TSUKI)), 2) = N'02'
    THEN N'1024'
    WHEN TKK.ON_FLG = N'1'
    AND TKK.OFF_FLG = N'0'
    AND RIGHT(CONCAT(N'0', DATEPART(MONTH, TKK.TSUKI)), 2) = N'03'
    THEN N'512'
    WHEN TKK.ON_FLG = N'1'
    AND TKK.OFF_FLG = N'0'
    AND RIGHT(CONCAT(N'0', DATEPART(MONTH, TKK.TSUKI)), 2) = N'04'
    THEN N'256'
    WHEN TKK.ON_FLG = N'1'
    AND TKK.OFF_FLG = N'0'
    AND RIGHT(CONCAT(N'0', DATEPART(MONTH, TKK.TSUKI)), 2) = N'05'
    THEN N'128'
    WHEN TKK.ON_FLG = N'1'
    AND TKK.OFF_FLG = N'0'
    AND RIGHT(CONCAT(N'0', DATEPART(MONTH, TKK.TSUKI)), 2) = N'06'
    THEN N'64'
    WHEN TKK.ON_FLG = N'1'
    AND TKK.OFF_FLG = N'0'
    AND RIGHT(CONCAT(N'0', DATEPART(MONTH, TKK.TSUKI)), 2) = N'07'
    THEN N'32'
    WHEN TKK.ON_FLG = N'1'
    AND TKK.OFF_FLG = N'0'
    AND RIGHT(CONCAT(N'0', DATEPART(MONTH, TKK.TSUKI)), 2) = N'08'
    THEN N'16'
    WHEN TKK.ON_FLG = N'1'
    AND TKK.OFF_FLG = N'0'
    AND RIGHT(CONCAT(N'0', DATEPART(MONTH, TKK.TSUKI)), 2) = N'09'
    THEN N'8'
    WHEN TKK.ON_FLG = N'1'
    AND TKK.OFF_FLG = N'0'
    AND RIGHT(CONCAT(N'0', DATEPART(MONTH, TKK.TSUKI)), 2) = N'10'
    THEN N'4'
    WHEN TKK.ON_FLG = N'1'
    AND TKK.OFF_FLG = N'0'
    AND RIGHT(CONCAT(N'0', DATEPART(MONTH, TKK.TSUKI)), 2) = N'11'
    THEN N'2'
    WHEN TKK.ON_FLG = N'1'
    AND TKK.OFF_FLG = N'0'
    AND RIGHT(CONCAT(N'0', DATEPART(MONTH, TKK.TSUKI)), 2) = N'12'
    THEN N'1'
    ELSE NULL
  END AS C018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MCM.MCM_MA_TORIMADOGUCHI AS MAL
  ON TKB1.TORIHIKISAKI_ID = MAL.TORIHIKISAKI_ID
JOIN MCM.MCM_MA_NONYUSAKI AS MAA
  ON TKB1.NONYUSAKI_ID = MAA.NONYUSAKI_ID
JOIN MCM.MCM_MA_PLANT AS MAB
  ON TKB1.PLANT_ID = MAB.PLANT_ID
LEFT JOIN MCM.MCM_TK_SIHARAI AS TKJ
  ON TKB1.TK_KIKAN_ID = TKJ.TK_KIKAN_ID
LEFT JOIN MCM.MCM_TK_SIHARAIMEISAI AS TKK
  ON TKJ.TK_SIHARAI_ID = TKK.TK_SIHARAI_ID
WHERE
  (
    TKA.KEIYAKU_NO = @p002
  ) /* - */ /* - */
  AND MAL.MADOGUCHI_KBN = N'2'
  AND MAL.YUKO_FLG = N'0';
</t>
        </is>
      </c>
    </row>
    <row r="23">
      <c r="A23" t="inlineStr">
        <is>
          <t xml:space="preserve">queries/T14_01_11_02.sql</t>
        </is>
      </c>
      <c r="B23">
        <v>1</v>
      </c>
      <c r="C23">
        <v>3</v>
      </c>
      <c r="D23">
        <v>12550</v>
      </c>
      <c r="E23" t="inlineStr">
        <is>
          <t xml:space="preserve">SELECT
  TKA.TK_KEIYAKU_ID AS C001,
  TKA.KEIYAKU_NO AS C002,
  MAE.HYOJIJUN AS C003,
  MAF.HYOJIJUN AS C004,
  CASE
    WHEN TKA.JOTAI = N'0'
    THEN N'依頼'
    WHEN TKA.JOTAI = N'1'
    THEN N'見積'
    WHEN TKA.JOTAI = N'2'
    THEN N'契約'
    WHEN TKA.JOTAI = N'3'
    THEN N'破棄'
    WHEN TKA.JOTAI = N'4'
    THEN N'解約'
    WHEN TKA.JOTAI = N'9'
    THEN N'作成中'
    ELSE NULL
  END AS C005,
  CASE
    WHEN (
      CASE
        WHEN DATALENGTH(CAST(CAST(TKB1.SUPPORT_ID AS NVARCHAR(MAX)) AS NVARCHAR(MAX))) = 0
        THEN NULL
        ELSE CAST(CAST(TKB1.SUPPORT_ID AS NVARCHAR(MAX)) AS NVARCHAR(MAX))
      END
    ) IS NULL
    THEN NULL
    WHEN (
      LEN(
        CONCAT(
          (
            CASE
              WHEN DATALENGTH(CAST(CAST(TKB1.SUPPORT_ID AS NVARCHAR(MAX)) AS NVARCHAR(MAX))) = 0
              THEN NULL
              ELSE CAST(CAST(TKB1.SUPPORT_ID AS NVARCHAR(MAX)) AS NVARCHAR(MAX))
            END
          ),
          N'#'
        )
      ) - 1
    ) &gt;= 7
    THEN LEFT(
      (
        CASE
          WHEN DATALENGTH(CAST(CAST(TKB1.SUPPORT_ID AS NVARCHAR(MAX)) AS NVARCHAR(MAX))) = 0
          THEN NULL
          ELSE CAST(CAST(TKB1.SUPPORT_ID AS NVARCHAR(MAX)) AS NVARCHAR(MAX))
        END
      ),
      7
    )
    ELSE CONCAT(
      LEFT(
        REPLICATE(N'0', 7),
        7 - (
          LEN(
            CONCAT(
              (
                CASE
                  WHEN DATALENGTH(CAST(CAST(TKB1.SUPPORT_ID AS NVARCHAR(MAX)) AS NVARCHAR(MAX))) = 0
                  THEN NULL
                  ELSE CAST(CAST(TKB1.SUPPORT_ID AS NVARCHAR(MAX)) AS NVARCHAR(MAX))
                END
              ),
              N'#'
            )
          ) - 1
        )
      ),
      (
        CASE
          WHEN DATALENGTH(CAST(CAST(TKB1.SUPPORT_ID AS NVARCHAR(MAX)) AS NVARCHAR(MAX))) = 0
          THEN NULL
          ELSE CAST(CAST(TKB1.SUPPORT_ID AS NVARCHAR(MAX)) AS NVARCHAR(MAX))
        END
      )
    )
  END AS C006,
  TKC.TEHAISEIBAN AS C007,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CASE
      WHEN (
        CASE
          WHEN DATALENGTH(CAST(CAST(TKE.KOTAIKANRI_ID AS NVARCHAR(MAX)) AS NVARCHAR(MAX))) = 0
          THEN NULL
          ELSE CAST(CAST(TKE.KOTAIKANRI_ID AS NVARCHAR(MAX)) AS NVARCHAR(MAX))
        END
      ) IS NULL
      THEN NULL
      WHEN (
        LEN(
          CONCAT(
            (
              CASE
                WHEN DATALENGTH(CAST(CAST(TKE.KOTAIKANRI_ID AS NVARCHAR(MAX)) AS NVARCHAR(MAX))) = 0
                THEN NULL
                ELSE CAST(CAST(TKE.KOTAIKANRI_ID AS NVARCHAR(MAX)) AS NVARCHAR(MAX))
              END
            ),
            N'#'
          )
        ) - 1
      ) &gt;= 8
      THEN LEFT(
        (
          CASE
            WHEN DATALENGTH(CAST(CAST(TKE.KOTAIKANRI_ID AS NVARCHAR(MAX)) AS NVARCHAR(MAX))) = 0
            THEN NULL
            ELSE CAST(CAST(TKE.KOTAIKANRI_ID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DATALENGTH(CAST(CAST(TKE.KOTAIKANRI_ID AS NVARCHAR(MAX)) AS NVARCHAR(MAX))) = 0
                    THEN NULL
                    ELSE CAST(CAST(TKE.KOTAIKANRI_ID AS NVARCHAR(MAX)) AS NVARCHAR(MAX))
                  END
                ),
                N'#'
              )
            ) - 1
          )
        ),
        (
          CASE
            WHEN DATALENGTH(CAST(CAST(TKE.KOTAIKANRI_ID AS NVARCHAR(MAX)) AS NVARCHAR(MAX))) = 0
            THEN NULL
            ELSE CAST(CAST(TKE.KOTAIKANRI_ID AS NVARCHAR(MAX)) AS NVARCHAR(MAX))
          END
        )
      )
    END
  ) AS C008,
  MAE.KIKIKOSEI_NK AS C009,
  TKD.KIKIHINMEI_NK AS C010,
  TKD.KIKIKATASHIKI AS C011,
  MAF.SURYO_NM AS C012,
  CASE
    WHEN MAM.KOTAIKANRI_FLG = N'1'
    THEN CAST(MAG.SERIAL_NO AS NVARCHAR(MAX))
    ELSE NULL
  END AS C013,
  CONCAT(CAST(N'' AS NVARCHAR(MAX)), TKH.TENKENKAISU, N'回/年') AS C014,
  CASE
    WHEN TKI.ON_FLG = N'1'
    AND TKI.OFF_FLG = N'0'
    AND RIGHT(CONCAT(N'0', DATEPART(MONTH, TKI.TSUKI)), 2) = N'01'
    THEN N'2048'
    WHEN TKI.ON_FLG = N'1'
    AND TKI.OFF_FLG = N'0'
    AND RIGHT(CONCAT(N'0', DATEPART(M</t>
        </is>
      </c>
    </row>
    <row r="24">
      <c r="A24" t="inlineStr">
        <is>
          <t xml:space="preserve">queries/T14_01_11_02.sql</t>
        </is>
      </c>
      <c r="B24">
        <v>2</v>
      </c>
      <c r="C24">
        <v>3</v>
      </c>
      <c r="D24">
        <v>12550</v>
      </c>
      <c r="E24" t="inlineStr">
        <is>
          <t xml:space="preserve">ONTH, TKI.TSUKI)), 2) = N'02'
    THEN N'1024'
    WHEN TKI.ON_FLG = N'1'
    AND TKI.OFF_FLG = N'0'
    AND RIGHT(CONCAT(N'0', DATEPART(MONTH, TKI.TSUKI)), 2) = N'03'
    THEN N'512'
    WHEN TKI.ON_FLG = N'1'
    AND TKI.OFF_FLG = N'0'
    AND RIGHT(CONCAT(N'0', DATEPART(MONTH, TKI.TSUKI)), 2) = N'04'
    THEN N'256'
    WHEN TKI.ON_FLG = N'1'
    AND TKI.OFF_FLG = N'0'
    AND RIGHT(CONCAT(N'0', DATEPART(MONTH, TKI.TSUKI)), 2) = N'05'
    THEN N'128'
    WHEN TKI.ON_FLG = N'1'
    AND TKI.OFF_FLG = N'0'
    AND RIGHT(CONCAT(N'0', DATEPART(MONTH, TKI.TSUKI)), 2) = N'06'
    THEN N'64'
    WHEN TKI.ON_FLG = N'1'
    AND TKI.OFF_FLG = N'0'
    AND RIGHT(CONCAT(N'0', DATEPART(MONTH, TKI.TSUKI)), 2) = N'07'
    THEN N'32'
    WHEN TKI.ON_FLG = N'1'
    AND TKI.OFF_FLG = N'0'
    AND RIGHT(CONCAT(N'0', DATEPART(MONTH, TKI.TSUKI)), 2) = N'08'
    THEN N'16'
    WHEN TKI.ON_FLG = N'1'
    AND TKI.OFF_FLG = N'0'
    AND RIGHT(CONCAT(N'0', DATEPART(MONTH, TKI.TSUKI)), 2) = N'09'
    THEN N'8'
    WHEN TKI.ON_FLG = N'1'
    AND TKI.OFF_FLG = N'0'
    AND RIGHT(CONCAT(N'0', DATEPART(MONTH, TKI.TSUKI)), 2) = N'10'
    THEN N'4'
    WHEN TKI.ON_FLG = N'1'
    AND TKI.OFF_FLG = N'0'
    AND RIGHT(CONCAT(N'0', DATEPART(MONTH, TKI.TSUKI)), 2) = N'11'
    THEN N'2'
    WHEN TKI.ON_FLG = N'1'
    AND TKI.OFF_FLG = N'0'
    AND RIGHT(CONCAT(N'0', DATEPART(MONTH, TKI.TSUKI)), 2) = N'12'
    THEN N'1'
    ELSE NULL
  END AS C015,
  CONCAT(
    CAST(N'' AS NVARCHAR(MAX)),
    CASE
      WHEN (
        CASE
          WHEN DATALENGTH(CAST(CAST(TKD.KIKIMEISAI_ID AS NVARCHAR(MAX)) AS NVARCHAR(MAX))) = 0
          THEN NULL
          ELSE CAST(CAST(TKD.KIKIMEISAI_ID AS NVARCHAR(MAX)) AS NVARCHAR(MAX))
        END
      ) IS NULL
      THEN NULL
      WHEN (
        LEN(
          CONCAT(
            (
              CASE
                WHEN DATALENGTH(CAST(CAST(TKD.KIKIMEISAI_ID AS NVARCHAR(MAX)) AS NVARCHAR(MAX))) = 0
                THEN NULL
                ELSE CAST(CAST(TKD.KIKIMEISAI_ID AS NVARCHAR(MAX)) AS NVARCHAR(MAX))
              END
            ),
            N'#'
          )
        ) - 1
      ) &gt;= 8
      THEN LEFT(
        (
          CASE
            WHEN DATALENGTH(CAST(CAST(TKD.KIKIMEISAI_ID AS NVARCHAR(MAX)) AS NVARCHAR(MAX))) = 0
            THEN NULL
            ELSE CAST(CAST(TKD.KIKIMEISAI_ID AS NVARCHAR(MAX)) AS NVARCHAR(MAX))
          END
        ),
        8
      )
      ELSE CONCAT(
        LEFT(
          REPLICATE(N'0', 8),
          8 - (
            LEN(
              CONCAT(
                (
                  CASE
                    WHEN DATALENGTH(CAST(CAST(TKD.KIKIMEISAI_ID AS NVARCHAR(MAX)) AS NVARCHAR(MAX))) = 0
                    THEN NULL
                    ELSE CAST(CAST(TKD.KIKIMEISAI_ID AS NVARCHAR(MAX)) AS NVARCHAR(MAX))
                  END
                ),
                N'#'
              )
            ) - 1
          )
        ),
        (
          CASE
            WHEN DATALENGTH(CAST(CAST(TKD.KIKIMEISAI_ID AS NVARCHAR(MAX)) AS NVARCHAR(MAX))) = 0
            THEN NULL
            ELSE CAST(CAST(TKD.KIKIMEISAI_ID AS NVARCHAR(MAX)) AS NVARCHAR(MAX))
          END
        )
      )
    END,
    N' / ',
    MAE.KIKIKOSEI_NK
  ) AS C016,
  CASE
    WHEN (
      CASE
        WHEN DATALENGTH(CAST(CAST(TKD.KIKIMEISAI_ID AS NVARCHAR(MAX)) AS NVARCHAR(MAX))) = 0
        THEN NULL
        ELSE CAST(CAST(TKD.KIKIMEISAI_ID AS NVARCHAR(MAX)) AS NVARCHAR(MAX))
      END
    ) IS NULL
    THEN NULL
    WHEN (
      LEN(
        CONCAT(
          (
            CASE
              WHEN DATALENGTH(CAST(CAST(TKD.KIKIMEISAI_ID AS NVARCHAR(MAX)) AS NVARCHAR(MAX))) = 0
              THEN NULL
              ELSE CAST(CAST(TKD.KIKIMEISAI_ID AS NVARCHAR(MAX)) AS NVARCHAR(MAX))
            END
          ),
          N'#'
        )
      ) - 1
    ) &gt;= 8
    THEN LEFT(
      (
        CASE
          WHEN DATALENGTH(CAST(CAST(TKD.KIKIMEISAI_ID AS NVARCHAR(MAX)) AS NVARCHAR(MAX))) = 0
          THEN NULL
          ELSE CAST(CAST(TKD.KIKIMEISAI_ID AS NVARCHAR(MAX)) AS NVARCHAR(MAX))
        END
      ),
      8
    )
    ELSE CONCAT(
      LEFT(
        REPLICATE(N'0', 8),
        8 - (
          LEN(
            CONCAT(
              (
                CASE
                  WHEN DATALENGTH(CAST(CAST(TKD.KIKIMEISAI_ID AS NVARCHAR(MAX)) AS NVARCHAR(MAX))) = 0
                  THEN NULL
                  ELSE CAST(CAST(TKD.KIKIMEISAI_ID AS NVARCHAR(MAX)) AS NVARCHAR(MAX))
                END
              ),
              N'#'
            )
          ) - 1
        )
      ),
      (
        CASE
          WHEN DATALENGTH(CAST(CAST(TKD.KIKIMEISAI_ID AS NVARCHAR(MAX)) AS NVARCHAR(MAX))) = 0
          THEN NULL
          ELSE CAST(CAST(TKD.KIKIMEISAI_ID AS NVARCHAR(MAX)) AS NVARCHAR(MAX))
        END
      )
    )
  END AS C017
FROM MCM.MCM_TK_KEIYAKU AS TKA
JOIN MCM.MCM_TK_KIKAN AS TKB1
  ON TKA.TK_KEIYAKU_ID = TKB1.TK_KEIYAKU_ID
INNER JOIN (
  SELECT
    TK_KEIYAKU_ID AS TK_KEIYAKU_ID,
    MAX(TK_KIKAN_ID) AS MaxID
  FROM MCM.MCM_TK_KIKAN
  WHERE
    MCM_TK_KIKAN.KAISI_DT &lt; @p001
    AND MCM_TK_KIKAN.SYURYO_DT &gt;= @p001
    AND MCM_TK_KIKAN.YUKO_FLG = N'0'
  GROUP BY
    TK_KEIYAKU_ID
) AS TKB2
  ON TKB1.TK_KEIYAKU_ID = TKB2.TK_KEIYAKU_ID AND TKB1.TK_KIKAN_ID = TKB2.MaxID
JOIN MCM.MCM_MA_TORIHIKISAKI AS MAK
  ON TKB1.TORIHIKISAKI_ID = MAK.TORIHIKISAKI_ID
JOIN MCM.MCM_TK_KIKIKOSEI AS TKC
  ON TKB1.TK_KIKAN_ID = TKC.TK_KIKAN_ID
JOIN MCM.MCM_TK_KIKIMEISAI AS TKD
  ON TKC.TK_KIKIKOSEI_ID = TKD.TK_KIKIKOSEI_ID
JOIN MCM.MCM_MA_KIKIKOSEI AS MAE
  ON TKC.KIKIKOSEI_ID = MAE.KIKIKOSEI_ID
JOIN MCM.MCM_MA_ATSUKAIKIKI AS MAH
  ON TKD.ATSUKAIKIKI_ID = MAH.ATSUKAIKIKI_ID
JOIN MCM.MCM_MA_KIKIBUNRUI AS MAM
  ON MAH.KIKIBUNRUI_ID = MAM.KIKIBUNRUI_ID
LEFT JOIN MCM.MCM_TK_TENKEN AS TKH
  ON TKC.TK_KIKIKOSEI_ID = TKH.TK_KIKIKOSEI_ID
  AND MAM.OYAKIKIBUNRUI_CD = TKH.OYAKIKIBUNRUI_CD
LEFT JOIN MCM.MCM_TK_TENKENMEISAI AS TKI
  ON TKH.TK_TENKEN_ID = TKI.TK_TENKEN_ID
JOIN MCM.MCM_TK_KOTAIMEISAI AS TKE
  ON TKD.T</t>
        </is>
      </c>
    </row>
    <row r="25">
      <c r="A25" t="inlineStr">
        <is>
          <t xml:space="preserve">queries/T14_01_11_02.sql</t>
        </is>
      </c>
      <c r="B25">
        <v>3</v>
      </c>
      <c r="C25">
        <v>3</v>
      </c>
      <c r="D25">
        <v>12550</v>
      </c>
      <c r="E25" t="inlineStr">
        <is>
          <t xml:space="preserve">K_KIKIMEISAI_ID = TKE.TK_KIKIMEISAI_ID
JOIN MCM.MCM_MA_KIKIKOTAIKANRI AS MAG
  ON TKE.KOTAIKANRI_ID = MAG.KOTAIKANRI_ID
JOIN MCM.MCM_TK_SIHARAI AS TKJ
  ON TKB1.TK_KIKAN_ID = TKJ.TK_KIKAN_ID
JOIN MCM.MCM_MA_KIKIMEISAI AS MAF
  ON TKD.KIKIMEISAI_ID = MAF.KIKIMEISAI_ID
WHERE
  (
    TKA.KEIYAKU_NO = @p002
  ) /* - */ /* - */
ORDER BY
  CASE WHEN TKB1.SUPPORT_ID IS NULL THEN 1 ELSE 0 END, TKB1.SUPPORT_ID ASC,
  CASE WHEN MAE.HYOJIJUN IS NULL THEN 1 ELSE 0 END, MAE.HYOJIJUN ASC,
  CASE WHEN MAF.HYOJIJUN IS NULL THEN 1 ELSE 0 END, MAF.HYOJIJUN ASC;
</t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取引先契約手続依頼書発行</vt:lpstr>
      <vt:lpstr>契約手続SQL</vt:lpstr>
      <vt:lpstr>解約手続SQL</vt:lpstr>
      <vt:lpstr>対象月算出シート</vt:lpstr>
    </vt:vector>
  </TitlesOfParts>
  <Company>（株）ダイフク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　優一郎</dc:creator>
  <cp:lastModifiedBy>山田 祥広(Yoshihiro YAMADA)</cp:lastModifiedBy>
  <dcterms:created xsi:type="dcterms:W3CDTF">2018-11-20T07:14:02Z</dcterms:created>
  <dcterms:modified xsi:type="dcterms:W3CDTF">2026-01-13T02:07:32Z</dcterms:modified>
</cp:coreProperties>
</file>