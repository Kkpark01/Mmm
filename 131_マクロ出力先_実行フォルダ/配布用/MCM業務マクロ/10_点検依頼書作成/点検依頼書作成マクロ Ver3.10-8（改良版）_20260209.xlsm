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5.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6.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7.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8.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9.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5.xml" ContentType="application/vnd.openxmlformats-officedocument.spreadsheetml.worksheet+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ハードウェア点検依頼\"/>
    </mc:Choice>
  </mc:AlternateContent>
  <xr:revisionPtr revIDLastSave="0" documentId="13_ncr:1_{CC4EFBCB-DA58-4964-923D-578AD2C0DB06}" xr6:coauthVersionLast="47" xr6:coauthVersionMax="47" xr10:uidLastSave="{00000000-0000-0000-0000-000000000000}"/>
  <bookViews>
    <workbookView xWindow="-120" yWindow="-120" windowWidth="29040" windowHeight="15720" tabRatio="935" firstSheet="1" activeTab="1" xr2:uid="{00000000-000D-0000-FFFF-FFFF00000000}"/>
  </bookViews>
  <sheets>
    <sheet name="メインページ" sheetId="1" r:id="rId1"/>
    <sheet name="貼付エリア" sheetId="110" r:id="rId2"/>
    <sheet name="EXCEL作成(NEC)" sheetId="18" r:id="rId3"/>
    <sheet name="EXCEL作成(日立)" sheetId="29" r:id="rId4"/>
    <sheet name="EXCEL作成(東芝)" sheetId="25" r:id="rId5"/>
    <sheet name="EXCEL作成(サトー)" sheetId="111" r:id="rId6"/>
    <sheet name="EXCEL作成(イシダ)" sheetId="112" r:id="rId7"/>
    <sheet name="EXCEL作成(PFU)" sheetId="26" r:id="rId8"/>
    <sheet name="EXCEL作成(IBM他)" sheetId="27" r:id="rId9"/>
    <sheet name="TMP_SQL" sheetId="30" state="hidden" r:id="rId10"/>
    <sheet name="MCM情報取得SQL" sheetId="32" state="hidden" r:id="rId11"/>
    <sheet name="点検依頼対象" sheetId="124" r:id="rId12"/>
    <sheet name="ハードウェア点検・予防保守作業 (2)" sheetId="264" r:id="rId13"/>
    <sheet name="ハードウェア点検・予防保守作業" sheetId="331" r:id="rId14"/>
    <sheet name="_MCM_SQL" sheetId="332" state="veryHidden" r:id="rId24"/>
  </sheets>
  <definedNames>
    <definedName name="_xleta.N"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0" i="110" l="1"/>
  <c r="G129" i="27" a="1"/>
  <c r="G129" i="27" s="1"/>
  <c r="G124" i="27" a="1"/>
  <c r="G124" i="27" s="1"/>
  <c r="G119" i="27" a="1"/>
  <c r="G119" i="27" s="1"/>
  <c r="G114" i="27" a="1"/>
  <c r="G114" i="27" s="1"/>
  <c r="G109" i="27" a="1"/>
  <c r="G109" i="27" s="1"/>
  <c r="G104" i="27" a="1"/>
  <c r="G104" i="27" s="1"/>
  <c r="G99" i="27" a="1"/>
  <c r="G99" i="27" s="1"/>
  <c r="G94" i="27" a="1"/>
  <c r="G94" i="27" s="1"/>
  <c r="G89" i="27" a="1"/>
  <c r="G89" i="27" s="1"/>
  <c r="G84" i="27" a="1"/>
  <c r="G84" i="27" s="1"/>
  <c r="G79" i="27" a="1"/>
  <c r="G79" i="27" s="1"/>
  <c r="G74" i="27" a="1"/>
  <c r="G74" i="27" s="1"/>
  <c r="G69" i="27" a="1"/>
  <c r="G69" i="27" s="1"/>
  <c r="G64" i="27" a="1"/>
  <c r="G64" i="27" s="1"/>
  <c r="G59" i="27" a="1"/>
  <c r="G59" i="27" s="1"/>
  <c r="G54" i="27" a="1"/>
  <c r="G54" i="27" s="1"/>
  <c r="G49" i="27" a="1"/>
  <c r="G49" i="27" s="1"/>
  <c r="G44" i="27" a="1"/>
  <c r="G44" i="27" s="1"/>
  <c r="G39" i="27" a="1"/>
  <c r="G39" i="27" s="1"/>
  <c r="G34" i="27" a="1"/>
  <c r="G34" i="27" s="1"/>
  <c r="G129" i="26" a="1"/>
  <c r="G129" i="26" s="1"/>
  <c r="G124" i="26" a="1"/>
  <c r="G124" i="26" s="1"/>
  <c r="G119" i="26" a="1"/>
  <c r="G119" i="26" s="1"/>
  <c r="G114" i="26" a="1"/>
  <c r="G114" i="26" s="1"/>
  <c r="G109" i="26" a="1"/>
  <c r="G109" i="26" s="1"/>
  <c r="G104" i="26" a="1"/>
  <c r="G104" i="26" s="1"/>
  <c r="G99" i="26" a="1"/>
  <c r="G99" i="26" s="1"/>
  <c r="G94" i="26" a="1"/>
  <c r="G94" i="26" s="1"/>
  <c r="G89" i="26" a="1"/>
  <c r="G89" i="26" s="1"/>
  <c r="G84" i="26" a="1"/>
  <c r="G84" i="26" s="1"/>
  <c r="G79" i="26" a="1"/>
  <c r="G79" i="26" s="1"/>
  <c r="G74" i="26" a="1"/>
  <c r="G74" i="26" s="1"/>
  <c r="G69" i="26" a="1"/>
  <c r="G69" i="26" s="1"/>
  <c r="G64" i="26" a="1"/>
  <c r="G64" i="26" s="1"/>
  <c r="G59" i="26" a="1"/>
  <c r="G59" i="26" s="1"/>
  <c r="G54" i="26" a="1"/>
  <c r="G54" i="26" s="1"/>
  <c r="G49" i="26" a="1"/>
  <c r="G49" i="26" s="1"/>
  <c r="G44" i="26" a="1"/>
  <c r="G44" i="26" s="1"/>
  <c r="G39" i="26" a="1"/>
  <c r="G39" i="26" s="1"/>
  <c r="G34" i="26" a="1"/>
  <c r="G34" i="26" s="1"/>
  <c r="G129" i="112" a="1"/>
  <c r="G129" i="112" s="1"/>
  <c r="G124" i="112" a="1"/>
  <c r="G124" i="112" s="1"/>
  <c r="G119" i="112" a="1"/>
  <c r="G119" i="112" s="1"/>
  <c r="G114" i="112" a="1"/>
  <c r="G114" i="112" s="1"/>
  <c r="G109" i="112" a="1"/>
  <c r="G109" i="112" s="1"/>
  <c r="G104" i="112" a="1"/>
  <c r="G104" i="112" s="1"/>
  <c r="G99" i="112" a="1"/>
  <c r="G99" i="112" s="1"/>
  <c r="G94" i="112" a="1"/>
  <c r="G94" i="112" s="1"/>
  <c r="G89" i="112" a="1"/>
  <c r="G89" i="112" s="1"/>
  <c r="G84" i="112" a="1"/>
  <c r="G84" i="112" s="1"/>
  <c r="G79" i="112" a="1"/>
  <c r="G79" i="112" s="1"/>
  <c r="G74" i="112" a="1"/>
  <c r="G74" i="112" s="1"/>
  <c r="G69" i="112" a="1"/>
  <c r="G69" i="112" s="1"/>
  <c r="G64" i="112" a="1"/>
  <c r="G64" i="112" s="1"/>
  <c r="G59" i="112" a="1"/>
  <c r="G59" i="112" s="1"/>
  <c r="G54" i="112" a="1"/>
  <c r="G54" i="112" s="1"/>
  <c r="G49" i="112" a="1"/>
  <c r="G49" i="112" s="1"/>
  <c r="G44" i="112" a="1"/>
  <c r="G44" i="112" s="1"/>
  <c r="G39" i="112" a="1"/>
  <c r="G39" i="112" s="1"/>
  <c r="G34" i="112" a="1"/>
  <c r="G34" i="112" s="1"/>
  <c r="G129" i="111" a="1"/>
  <c r="G129" i="111" s="1"/>
  <c r="G124" i="111" a="1"/>
  <c r="G124" i="111" s="1"/>
  <c r="G119" i="111" a="1"/>
  <c r="G119" i="111" s="1"/>
  <c r="G114" i="111" a="1"/>
  <c r="G114" i="111" s="1"/>
  <c r="G109" i="111" a="1"/>
  <c r="G109" i="111" s="1"/>
  <c r="G104" i="111" a="1"/>
  <c r="G104" i="111" s="1"/>
  <c r="G99" i="111" a="1"/>
  <c r="G99" i="111" s="1"/>
  <c r="G94" i="111" a="1"/>
  <c r="G94" i="111" s="1"/>
  <c r="G89" i="111" a="1"/>
  <c r="G89" i="111" s="1"/>
  <c r="G84" i="111" a="1"/>
  <c r="G84" i="111" s="1"/>
  <c r="G79" i="111" a="1"/>
  <c r="G79" i="111" s="1"/>
  <c r="G74" i="111" a="1"/>
  <c r="G74" i="111" s="1"/>
  <c r="G69" i="111" a="1"/>
  <c r="G69" i="111" s="1"/>
  <c r="G64" i="111" a="1"/>
  <c r="G64" i="111" s="1"/>
  <c r="G59" i="111" a="1"/>
  <c r="G59" i="111" s="1"/>
  <c r="G54" i="111" a="1"/>
  <c r="G54" i="111" s="1"/>
  <c r="G49" i="111" a="1"/>
  <c r="G49" i="111" s="1"/>
  <c r="G44" i="111" a="1"/>
  <c r="G44" i="111" s="1"/>
  <c r="G39" i="111" a="1"/>
  <c r="G39" i="111" s="1"/>
  <c r="G34" i="111" a="1"/>
  <c r="J18" i="111" s="1" a="1"/>
  <c r="J18" i="111" s="1"/>
  <c r="G129" i="25" a="1"/>
  <c r="G129" i="25" s="1"/>
  <c r="G124" i="25" a="1"/>
  <c r="G124" i="25" s="1"/>
  <c r="G119" i="25" a="1"/>
  <c r="G119" i="25" s="1"/>
  <c r="G114" i="25" a="1"/>
  <c r="G114" i="25" s="1"/>
  <c r="G109" i="25" a="1"/>
  <c r="G109" i="25" s="1"/>
  <c r="G104" i="25" a="1"/>
  <c r="G104" i="25" s="1"/>
  <c r="G99" i="25" a="1"/>
  <c r="G99" i="25" s="1"/>
  <c r="G94" i="25" a="1"/>
  <c r="G94" i="25" s="1"/>
  <c r="G89" i="25" a="1"/>
  <c r="G89" i="25" s="1"/>
  <c r="G84" i="25" a="1"/>
  <c r="G84" i="25" s="1"/>
  <c r="G79" i="25" a="1"/>
  <c r="G79" i="25" s="1"/>
  <c r="G74" i="25" a="1"/>
  <c r="G74" i="25" s="1"/>
  <c r="G69" i="25" a="1"/>
  <c r="G69" i="25" s="1"/>
  <c r="G64" i="25" a="1"/>
  <c r="G64" i="25" s="1"/>
  <c r="G59" i="25" a="1"/>
  <c r="G59" i="25" s="1"/>
  <c r="G54" i="25" a="1"/>
  <c r="G54" i="25" s="1"/>
  <c r="G49" i="25" a="1"/>
  <c r="G49" i="25" s="1"/>
  <c r="G44" i="25" a="1"/>
  <c r="G44" i="25" s="1"/>
  <c r="G39" i="25" a="1"/>
  <c r="G39" i="25" s="1"/>
  <c r="G34" i="25" a="1"/>
  <c r="G34" i="25" s="1"/>
  <c r="G129" i="29" a="1"/>
  <c r="G129" i="29" s="1"/>
  <c r="G124" i="29" a="1"/>
  <c r="G124" i="29" s="1"/>
  <c r="G119" i="29" a="1"/>
  <c r="G119" i="29" s="1"/>
  <c r="G114" i="29" a="1"/>
  <c r="G114" i="29" s="1"/>
  <c r="G109" i="29" a="1"/>
  <c r="G109" i="29" s="1"/>
  <c r="G104" i="29" a="1"/>
  <c r="G104" i="29" s="1"/>
  <c r="G99" i="29" a="1"/>
  <c r="G99" i="29" s="1"/>
  <c r="G94" i="29" a="1"/>
  <c r="G94" i="29" s="1"/>
  <c r="G89" i="29" a="1"/>
  <c r="G89" i="29" s="1"/>
  <c r="G84" i="29" a="1"/>
  <c r="G84" i="29" s="1"/>
  <c r="G79" i="29" a="1"/>
  <c r="G79" i="29" s="1"/>
  <c r="G74" i="29" a="1"/>
  <c r="G74" i="29" s="1"/>
  <c r="G69" i="29" a="1"/>
  <c r="G69" i="29" s="1"/>
  <c r="G64" i="29" a="1"/>
  <c r="G64" i="29" s="1"/>
  <c r="G59" i="29" a="1"/>
  <c r="G59" i="29" s="1"/>
  <c r="G54" i="29" a="1"/>
  <c r="G54" i="29" s="1"/>
  <c r="G49" i="29" a="1"/>
  <c r="G49" i="29" s="1"/>
  <c r="G44" i="29" a="1"/>
  <c r="G44" i="29" s="1"/>
  <c r="G39" i="29" a="1"/>
  <c r="G39" i="29" s="1"/>
  <c r="G34" i="29" a="1"/>
  <c r="G129" i="18" a="1"/>
  <c r="G129" i="18" s="1"/>
  <c r="G124" i="18" a="1"/>
  <c r="G124" i="18" s="1"/>
  <c r="G119" i="18" a="1"/>
  <c r="G119" i="18" s="1"/>
  <c r="G114" i="18" a="1"/>
  <c r="G114" i="18" s="1"/>
  <c r="G109" i="18" a="1"/>
  <c r="G109" i="18" s="1"/>
  <c r="G104" i="18" a="1"/>
  <c r="G104" i="18" s="1"/>
  <c r="G99" i="18" a="1"/>
  <c r="G99" i="18" s="1"/>
  <c r="G94" i="18" a="1"/>
  <c r="G94" i="18" s="1"/>
  <c r="G89" i="18" a="1"/>
  <c r="G89" i="18" s="1"/>
  <c r="G84" i="18" a="1"/>
  <c r="G84" i="18" s="1"/>
  <c r="G79" i="18" a="1"/>
  <c r="G79" i="18" s="1"/>
  <c r="G74" i="18" a="1"/>
  <c r="G74" i="18" s="1"/>
  <c r="G69" i="18" a="1"/>
  <c r="G69" i="18" s="1"/>
  <c r="G64" i="18" a="1"/>
  <c r="G64" i="18" s="1"/>
  <c r="G59" i="18" a="1"/>
  <c r="G59" i="18" s="1"/>
  <c r="G54" i="18" a="1"/>
  <c r="G54" i="18" s="1"/>
  <c r="G49" i="18" a="1"/>
  <c r="G49" i="18" s="1"/>
  <c r="G44" i="18" a="1"/>
  <c r="G44" i="18" s="1"/>
  <c r="G39" i="18" a="1"/>
  <c r="G39" i="18" s="1"/>
  <c r="G34" i="18" a="1"/>
  <c r="G14" i="18"/>
  <c r="G34" i="29" l="1"/>
  <c r="J18" i="29" a="1"/>
  <c r="J18" i="29" s="1"/>
  <c r="G34" i="111"/>
  <c r="G34" i="18"/>
  <c r="J18" i="18" a="1"/>
  <c r="J18" i="18" s="1"/>
  <c r="G31" i="27"/>
  <c r="G30" i="27"/>
  <c r="G29" i="27"/>
  <c r="G23" i="27"/>
  <c r="G21" i="27"/>
  <c r="G20" i="27" a="1"/>
  <c r="G20" i="27" s="1"/>
  <c r="G18" i="27"/>
  <c r="G16" i="27"/>
  <c r="G14" i="27"/>
  <c r="G12" i="27"/>
  <c r="G10" i="27"/>
  <c r="G31" i="26"/>
  <c r="G30" i="26"/>
  <c r="G29" i="26"/>
  <c r="G23" i="26"/>
  <c r="G21" i="26"/>
  <c r="G20" i="26" a="1"/>
  <c r="G20" i="26" s="1"/>
  <c r="G18" i="26"/>
  <c r="G16" i="26"/>
  <c r="G14" i="26"/>
  <c r="G12" i="26"/>
  <c r="G10" i="26"/>
  <c r="G31" i="112"/>
  <c r="G30" i="112"/>
  <c r="G29" i="112"/>
  <c r="G23" i="112"/>
  <c r="G21" i="112"/>
  <c r="G20" i="112" a="1"/>
  <c r="G20" i="112" s="1"/>
  <c r="G18" i="112"/>
  <c r="G16" i="112"/>
  <c r="G14" i="112"/>
  <c r="G12" i="112"/>
  <c r="G10" i="112"/>
  <c r="G31" i="111"/>
  <c r="G30" i="111"/>
  <c r="G29" i="111"/>
  <c r="G23" i="111"/>
  <c r="G21" i="111"/>
  <c r="G20" i="111" a="1"/>
  <c r="G20" i="111" s="1"/>
  <c r="G18" i="111"/>
  <c r="G16" i="111"/>
  <c r="G14" i="111"/>
  <c r="G12" i="111"/>
  <c r="G10" i="111"/>
  <c r="G31" i="25"/>
  <c r="G30" i="25"/>
  <c r="G29" i="25"/>
  <c r="G23" i="25"/>
  <c r="G21" i="25"/>
  <c r="G20" i="25" a="1"/>
  <c r="G20" i="25" s="1"/>
  <c r="G18" i="25"/>
  <c r="G16" i="25"/>
  <c r="G14" i="25"/>
  <c r="G12" i="25"/>
  <c r="G10" i="25"/>
  <c r="G31" i="29"/>
  <c r="G30" i="29"/>
  <c r="G29" i="29"/>
  <c r="G23" i="29"/>
  <c r="G21" i="29"/>
  <c r="G20" i="29" a="1"/>
  <c r="G20" i="29" s="1"/>
  <c r="G18" i="29"/>
  <c r="G16" i="29"/>
  <c r="G14" i="29"/>
  <c r="G12" i="29"/>
  <c r="G10" i="29"/>
  <c r="G12" i="18"/>
  <c r="G31" i="18"/>
  <c r="G30" i="18"/>
  <c r="G29" i="18"/>
  <c r="G23" i="18"/>
  <c r="G10" i="18"/>
  <c r="G21" i="18"/>
  <c r="G20" i="18" a="1"/>
  <c r="G20" i="18" s="1"/>
  <c r="G18" i="18"/>
  <c r="I7" i="112"/>
  <c r="I7" i="18"/>
  <c r="I7" i="29"/>
  <c r="I7" i="111"/>
  <c r="I7" i="25"/>
  <c r="I7" i="26"/>
  <c r="I7" i="27"/>
  <c r="G7" i="111" l="1"/>
  <c r="G7" i="18"/>
  <c r="G7" i="25"/>
  <c r="G7" i="112"/>
  <c r="G7" i="26"/>
  <c r="G7" i="29"/>
  <c r="G7" i="27"/>
  <c r="G28" i="112"/>
  <c r="G28" i="29"/>
  <c r="G28" i="26"/>
  <c r="G28" i="25"/>
  <c r="G28" i="111"/>
  <c r="G28" i="27"/>
  <c r="G28" i="18"/>
  <c r="G5" i="112" l="1"/>
  <c r="G5" i="111"/>
  <c r="I12" i="112" l="1"/>
  <c r="I12" i="111"/>
  <c r="G16" i="18" l="1"/>
  <c r="K22" i="1"/>
  <c r="K25" i="1"/>
  <c r="K24" i="1"/>
  <c r="A116" i="32" l="1"/>
  <c r="A115" i="32"/>
  <c r="A114" i="32"/>
  <c r="A113" i="32"/>
  <c r="A112" i="32"/>
  <c r="A111" i="32"/>
  <c r="A110" i="32"/>
  <c r="A109" i="32"/>
  <c r="A108" i="32"/>
  <c r="A107" i="32"/>
  <c r="G5" i="29" l="1"/>
  <c r="I12" i="29" l="1"/>
  <c r="G5" i="27"/>
  <c r="G5" i="26"/>
  <c r="I12" i="26" s="1"/>
  <c r="G5" i="25"/>
  <c r="G5" i="18"/>
  <c r="I12" i="18" s="1"/>
  <c r="I12" i="27" l="1"/>
  <c r="I12" i="2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<sst xmlns="http://schemas.openxmlformats.org/spreadsheetml/2006/main" count="55363" uniqueCount="7674">
  <si>
    <t>テンプレートファイル</t>
    <phoneticPr fontId="1"/>
  </si>
  <si>
    <t>サポートID</t>
    <phoneticPr fontId="1"/>
  </si>
  <si>
    <t>ブランド①</t>
    <phoneticPr fontId="1"/>
  </si>
  <si>
    <t>品名①</t>
    <phoneticPr fontId="1"/>
  </si>
  <si>
    <t>型式①</t>
    <phoneticPr fontId="1"/>
  </si>
  <si>
    <t>台数①</t>
    <phoneticPr fontId="1"/>
  </si>
  <si>
    <t>ブランド②</t>
    <phoneticPr fontId="1"/>
  </si>
  <si>
    <t>品名②</t>
    <phoneticPr fontId="1"/>
  </si>
  <si>
    <t>型式②</t>
    <phoneticPr fontId="1"/>
  </si>
  <si>
    <t>台数②</t>
    <phoneticPr fontId="1"/>
  </si>
  <si>
    <t>ブランド③</t>
    <phoneticPr fontId="1"/>
  </si>
  <si>
    <t>品名③</t>
    <phoneticPr fontId="1"/>
  </si>
  <si>
    <t>型式③</t>
    <phoneticPr fontId="1"/>
  </si>
  <si>
    <t>台数③</t>
    <phoneticPr fontId="1"/>
  </si>
  <si>
    <t>ブランド④</t>
    <phoneticPr fontId="1"/>
  </si>
  <si>
    <t>品名④</t>
    <phoneticPr fontId="1"/>
  </si>
  <si>
    <t>型式④</t>
    <phoneticPr fontId="1"/>
  </si>
  <si>
    <t>台数④</t>
    <phoneticPr fontId="1"/>
  </si>
  <si>
    <t>ブランド⑤</t>
    <phoneticPr fontId="1"/>
  </si>
  <si>
    <t>品名⑤</t>
    <phoneticPr fontId="1"/>
  </si>
  <si>
    <t>型式⑤</t>
    <phoneticPr fontId="1"/>
  </si>
  <si>
    <t>台数⑤</t>
    <phoneticPr fontId="1"/>
  </si>
  <si>
    <t>ブランド⑥</t>
    <phoneticPr fontId="1"/>
  </si>
  <si>
    <t>品名⑥</t>
    <phoneticPr fontId="1"/>
  </si>
  <si>
    <t>型式⑥</t>
    <phoneticPr fontId="1"/>
  </si>
  <si>
    <t>台数⑥</t>
    <phoneticPr fontId="1"/>
  </si>
  <si>
    <t>ブランド⑦</t>
    <phoneticPr fontId="1"/>
  </si>
  <si>
    <t>品名⑦</t>
    <phoneticPr fontId="1"/>
  </si>
  <si>
    <t>型式⑦</t>
    <phoneticPr fontId="1"/>
  </si>
  <si>
    <t>台数⑦</t>
    <phoneticPr fontId="1"/>
  </si>
  <si>
    <t>ブランド⑧</t>
    <phoneticPr fontId="1"/>
  </si>
  <si>
    <t>品名⑧</t>
    <phoneticPr fontId="1"/>
  </si>
  <si>
    <t>型式⑧</t>
    <phoneticPr fontId="1"/>
  </si>
  <si>
    <t>台数⑧</t>
    <phoneticPr fontId="1"/>
  </si>
  <si>
    <t>ファイル作成フォルダのパス</t>
    <rPh sb="4" eb="6">
      <t>サクセイ</t>
    </rPh>
    <phoneticPr fontId="1"/>
  </si>
  <si>
    <t>ファイル作成名</t>
    <rPh sb="4" eb="6">
      <t>サクセイ</t>
    </rPh>
    <rPh sb="6" eb="7">
      <t>メイ</t>
    </rPh>
    <phoneticPr fontId="1"/>
  </si>
  <si>
    <t>編集して、転記する文字列</t>
    <rPh sb="0" eb="2">
      <t>ヘンシュウ</t>
    </rPh>
    <rPh sb="5" eb="7">
      <t>テンキ</t>
    </rPh>
    <rPh sb="9" eb="12">
      <t>モジレツ</t>
    </rPh>
    <phoneticPr fontId="1"/>
  </si>
  <si>
    <t>※ マクロ：ツール→参照設定→word object libraryにチェックをいれる。</t>
    <rPh sb="10" eb="12">
      <t>サンショウ</t>
    </rPh>
    <rPh sb="12" eb="14">
      <t>セッテイ</t>
    </rPh>
    <phoneticPr fontId="1"/>
  </si>
  <si>
    <t>客先名</t>
    <rPh sb="0" eb="2">
      <t>キャクサキ</t>
    </rPh>
    <rPh sb="2" eb="3">
      <t>メイ</t>
    </rPh>
    <phoneticPr fontId="1"/>
  </si>
  <si>
    <t>契約No</t>
    <rPh sb="0" eb="2">
      <t>ケイヤク</t>
    </rPh>
    <phoneticPr fontId="1"/>
  </si>
  <si>
    <t>日程</t>
    <rPh sb="0" eb="2">
      <t>ニッテイ</t>
    </rPh>
    <phoneticPr fontId="1"/>
  </si>
  <si>
    <t>開始時間</t>
    <rPh sb="0" eb="2">
      <t>カイシ</t>
    </rPh>
    <rPh sb="2" eb="4">
      <t>ジカン</t>
    </rPh>
    <phoneticPr fontId="1"/>
  </si>
  <si>
    <t>終了時間</t>
    <rPh sb="0" eb="2">
      <t>シュウリョウ</t>
    </rPh>
    <rPh sb="2" eb="4">
      <t>ジカン</t>
    </rPh>
    <phoneticPr fontId="1"/>
  </si>
  <si>
    <t>氏名携帯番号</t>
    <rPh sb="0" eb="2">
      <t>シメイ</t>
    </rPh>
    <rPh sb="2" eb="4">
      <t>ケイタイ</t>
    </rPh>
    <rPh sb="4" eb="6">
      <t>バンゴウ</t>
    </rPh>
    <phoneticPr fontId="1"/>
  </si>
  <si>
    <t>ダイフク点検有無</t>
    <rPh sb="4" eb="6">
      <t>テンケン</t>
    </rPh>
    <rPh sb="6" eb="8">
      <t>ウム</t>
    </rPh>
    <phoneticPr fontId="1"/>
  </si>
  <si>
    <t>ダイフク店舗備考</t>
    <rPh sb="4" eb="6">
      <t>テンポ</t>
    </rPh>
    <rPh sb="6" eb="8">
      <t>ビコウ</t>
    </rPh>
    <phoneticPr fontId="1"/>
  </si>
  <si>
    <t>end</t>
    <phoneticPr fontId="1"/>
  </si>
  <si>
    <t>ブランド⑨</t>
    <phoneticPr fontId="1"/>
  </si>
  <si>
    <t>品名⑨</t>
    <phoneticPr fontId="1"/>
  </si>
  <si>
    <t>型式⑨</t>
    <phoneticPr fontId="1"/>
  </si>
  <si>
    <t>台数⑨</t>
    <phoneticPr fontId="1"/>
  </si>
  <si>
    <t>ブランド⑩</t>
    <phoneticPr fontId="1"/>
  </si>
  <si>
    <t>品名⑩</t>
    <phoneticPr fontId="1"/>
  </si>
  <si>
    <t>型式⑩</t>
    <phoneticPr fontId="1"/>
  </si>
  <si>
    <t>台数⑩</t>
    <phoneticPr fontId="1"/>
  </si>
  <si>
    <t>記入依頼範囲</t>
    <rPh sb="0" eb="2">
      <t>キニュウ</t>
    </rPh>
    <rPh sb="2" eb="4">
      <t>イライ</t>
    </rPh>
    <rPh sb="4" eb="6">
      <t>ハンイ</t>
    </rPh>
    <phoneticPr fontId="1"/>
  </si>
  <si>
    <t xml:space="preserve"> </t>
    <phoneticPr fontId="1"/>
  </si>
  <si>
    <t>バージョン履歴</t>
    <rPh sb="5" eb="7">
      <t>リレキ</t>
    </rPh>
    <phoneticPr fontId="1"/>
  </si>
  <si>
    <t>Ver3.0</t>
    <phoneticPr fontId="1"/>
  </si>
  <si>
    <t>・Word依頼書作成時、不自然な改行が残ってしまう問題を修正</t>
    <phoneticPr fontId="1"/>
  </si>
  <si>
    <t>Ver3.1</t>
    <phoneticPr fontId="1"/>
  </si>
  <si>
    <t>Ver3.2</t>
    <phoneticPr fontId="1"/>
  </si>
  <si>
    <t>初版</t>
    <rPh sb="0" eb="2">
      <t>ショハン</t>
    </rPh>
    <phoneticPr fontId="1"/>
  </si>
  <si>
    <t>バージョン</t>
    <phoneticPr fontId="1"/>
  </si>
  <si>
    <t>・「メインページ」の作成
　　⇒ 「保存先フォルダ」の指定(後述) 、 「バージョン履歴」 等の記載
・「保存先フォルダ」を入力することで 各CEシートのパス指定を自動で更新するように修正
　　⇒ 保存先フォルダ変更時、１箇所の変更だけでよくなった。</t>
    <rPh sb="10" eb="12">
      <t>サクセイ</t>
    </rPh>
    <rPh sb="18" eb="20">
      <t>ホゾン</t>
    </rPh>
    <rPh sb="20" eb="21">
      <t>サキ</t>
    </rPh>
    <rPh sb="27" eb="29">
      <t>シテイ</t>
    </rPh>
    <rPh sb="30" eb="32">
      <t>コウジュツ</t>
    </rPh>
    <rPh sb="42" eb="44">
      <t>リレキ</t>
    </rPh>
    <rPh sb="46" eb="47">
      <t>ナド</t>
    </rPh>
    <rPh sb="48" eb="50">
      <t>キサイ</t>
    </rPh>
    <rPh sb="54" eb="56">
      <t>ホゾン</t>
    </rPh>
    <rPh sb="56" eb="57">
      <t>サキ</t>
    </rPh>
    <rPh sb="63" eb="65">
      <t>ニュウリョク</t>
    </rPh>
    <rPh sb="71" eb="72">
      <t>カク</t>
    </rPh>
    <rPh sb="80" eb="82">
      <t>シテイ</t>
    </rPh>
    <rPh sb="83" eb="85">
      <t>ジドウ</t>
    </rPh>
    <rPh sb="86" eb="88">
      <t>コウシン</t>
    </rPh>
    <rPh sb="93" eb="95">
      <t>シュウセイ</t>
    </rPh>
    <rPh sb="100" eb="102">
      <t>ホゾン</t>
    </rPh>
    <rPh sb="102" eb="103">
      <t>サキ</t>
    </rPh>
    <rPh sb="107" eb="109">
      <t>ヘンコウ</t>
    </rPh>
    <rPh sb="109" eb="110">
      <t>ジ</t>
    </rPh>
    <rPh sb="112" eb="114">
      <t>カショ</t>
    </rPh>
    <rPh sb="115" eb="117">
      <t>ヘンコウ</t>
    </rPh>
    <phoneticPr fontId="1"/>
  </si>
  <si>
    <t>Ver3.3</t>
    <phoneticPr fontId="1"/>
  </si>
  <si>
    <r>
      <t>保存先フォルダ</t>
    </r>
    <r>
      <rPr>
        <b/>
        <sz val="11"/>
        <color rgb="FFFF0000"/>
        <rFont val="ＭＳ Ｐゴシック"/>
        <family val="3"/>
        <charset val="128"/>
        <scheme val="minor"/>
      </rPr>
      <t>(本ファイルを含んだフォルダ「点検依頼書作成マクロ」が置かれている場所を入力)</t>
    </r>
    <rPh sb="0" eb="2">
      <t>ホゾン</t>
    </rPh>
    <rPh sb="2" eb="3">
      <t>サキ</t>
    </rPh>
    <rPh sb="8" eb="9">
      <t>ホン</t>
    </rPh>
    <rPh sb="14" eb="15">
      <t>フク</t>
    </rPh>
    <rPh sb="22" eb="24">
      <t>テンケン</t>
    </rPh>
    <rPh sb="24" eb="27">
      <t>イライショ</t>
    </rPh>
    <rPh sb="27" eb="29">
      <t>サクセイ</t>
    </rPh>
    <rPh sb="34" eb="35">
      <t>オ</t>
    </rPh>
    <rPh sb="40" eb="42">
      <t>バショ</t>
    </rPh>
    <rPh sb="43" eb="45">
      <t>ニュウリョク</t>
    </rPh>
    <phoneticPr fontId="1"/>
  </si>
  <si>
    <t>PFU</t>
    <phoneticPr fontId="1"/>
  </si>
  <si>
    <t>Ver3.4</t>
    <phoneticPr fontId="1"/>
  </si>
  <si>
    <t>・依頼書作成時にパスワード入力が求められなくなるように改修
・「メインページ」に「依頼書ファイル作成先パス」の指定欄を追加
　　⇒ 「依頼書ファイル作成先パス」に入力されたパス先に依頼書が保存されるようになった。
　　　　 (未入力の場合、「保存先フォルダ」に指定されたパスに依頼書が作成される。)</t>
    <rPh sb="1" eb="4">
      <t>イライショ</t>
    </rPh>
    <rPh sb="4" eb="6">
      <t>サクセイ</t>
    </rPh>
    <rPh sb="6" eb="7">
      <t>ジ</t>
    </rPh>
    <rPh sb="13" eb="15">
      <t>ニュウリョク</t>
    </rPh>
    <rPh sb="16" eb="17">
      <t>モト</t>
    </rPh>
    <rPh sb="27" eb="29">
      <t>カイシュウ</t>
    </rPh>
    <rPh sb="42" eb="45">
      <t>イライショ</t>
    </rPh>
    <rPh sb="49" eb="51">
      <t>サクセイ</t>
    </rPh>
    <rPh sb="51" eb="52">
      <t>サキ</t>
    </rPh>
    <rPh sb="56" eb="58">
      <t>シテイ</t>
    </rPh>
    <rPh sb="58" eb="59">
      <t>ラン</t>
    </rPh>
    <rPh sb="60" eb="62">
      <t>ツイカ</t>
    </rPh>
    <rPh sb="68" eb="71">
      <t>イライショ</t>
    </rPh>
    <rPh sb="75" eb="77">
      <t>サクセイ</t>
    </rPh>
    <rPh sb="77" eb="78">
      <t>サキ</t>
    </rPh>
    <rPh sb="82" eb="84">
      <t>ニュウリョク</t>
    </rPh>
    <rPh sb="89" eb="90">
      <t>サキ</t>
    </rPh>
    <rPh sb="91" eb="94">
      <t>イライショ</t>
    </rPh>
    <rPh sb="95" eb="97">
      <t>ホゾン</t>
    </rPh>
    <rPh sb="114" eb="117">
      <t>ミニュウリョク</t>
    </rPh>
    <rPh sb="118" eb="120">
      <t>バアイ</t>
    </rPh>
    <rPh sb="122" eb="124">
      <t>ホゾン</t>
    </rPh>
    <rPh sb="124" eb="125">
      <t>サキ</t>
    </rPh>
    <rPh sb="131" eb="133">
      <t>シテイ</t>
    </rPh>
    <rPh sb="139" eb="142">
      <t>イライショ</t>
    </rPh>
    <rPh sb="143" eb="145">
      <t>サクセイ</t>
    </rPh>
    <phoneticPr fontId="1"/>
  </si>
  <si>
    <t>・Excel依頼書作成時、ライブラリのドキュメントフォルダ にも依頼書が保存されてしまう問題を修正
  (使用されている方はドキュメントフォルダを確認しておいて下さい。)
・「①左から文字編集」ボタンを２回以上押下してしまうと ダイフク立会者の記入箇所がズレてしまう
  問題を修正</t>
    <phoneticPr fontId="1"/>
  </si>
  <si>
    <r>
      <t>依頼書ファイル作成先パス</t>
    </r>
    <r>
      <rPr>
        <b/>
        <sz val="11"/>
        <color rgb="FFFF0000"/>
        <rFont val="ＭＳ Ｐゴシック"/>
        <family val="3"/>
        <charset val="128"/>
        <scheme val="minor"/>
      </rPr>
      <t>(未入力の場合、「保存先フォルダ」のパスが自動設定される。)</t>
    </r>
    <rPh sb="0" eb="3">
      <t>イライショ</t>
    </rPh>
    <rPh sb="7" eb="9">
      <t>サクセイ</t>
    </rPh>
    <rPh sb="9" eb="10">
      <t>サキ</t>
    </rPh>
    <rPh sb="13" eb="16">
      <t>ミニュウリョク</t>
    </rPh>
    <rPh sb="17" eb="19">
      <t>バアイ</t>
    </rPh>
    <rPh sb="21" eb="23">
      <t>ホゾン</t>
    </rPh>
    <rPh sb="23" eb="24">
      <t>サキ</t>
    </rPh>
    <rPh sb="33" eb="35">
      <t>ジドウ</t>
    </rPh>
    <rPh sb="35" eb="37">
      <t>セッテイ</t>
    </rPh>
    <phoneticPr fontId="1"/>
  </si>
  <si>
    <t>Ver3.5</t>
    <phoneticPr fontId="1"/>
  </si>
  <si>
    <t>・Word依頼書作成時、「①左から文字編集」ボタンを押下せずに「②○○依頼書 作成」ボタンを押下すると
　エラーダイアログではなく マクロのエラーが表示されてしまう問題を修正
・日立のExcel依頼書 対応 (簡易版)   → Excelシート「Excel作成(日立)」 を追加
　　⇒ 亀嶽sf より頂いた「new保守作業依頼書」のフォーマットを元に新たに専用マクロを作成,適用</t>
    <rPh sb="14" eb="15">
      <t>ヒダリ</t>
    </rPh>
    <rPh sb="17" eb="19">
      <t>モジ</t>
    </rPh>
    <rPh sb="19" eb="21">
      <t>ヘンシュウ</t>
    </rPh>
    <rPh sb="26" eb="28">
      <t>オウカ</t>
    </rPh>
    <rPh sb="35" eb="38">
      <t>イライショ</t>
    </rPh>
    <rPh sb="39" eb="41">
      <t>サクセイ</t>
    </rPh>
    <rPh sb="46" eb="48">
      <t>オウカ</t>
    </rPh>
    <rPh sb="74" eb="76">
      <t>ヒョウジ</t>
    </rPh>
    <rPh sb="82" eb="84">
      <t>モンダイ</t>
    </rPh>
    <rPh sb="85" eb="87">
      <t>シュウセイ</t>
    </rPh>
    <rPh sb="90" eb="92">
      <t>ヒタチ</t>
    </rPh>
    <rPh sb="98" eb="101">
      <t>イライショ</t>
    </rPh>
    <rPh sb="102" eb="104">
      <t>タイオウ</t>
    </rPh>
    <rPh sb="106" eb="109">
      <t>カンイバン</t>
    </rPh>
    <rPh sb="129" eb="131">
      <t>サクセイ</t>
    </rPh>
    <rPh sb="132" eb="134">
      <t>ヒタチ</t>
    </rPh>
    <rPh sb="138" eb="140">
      <t>ツイカ</t>
    </rPh>
    <rPh sb="145" eb="146">
      <t>カメ</t>
    </rPh>
    <rPh sb="146" eb="147">
      <t>タケ</t>
    </rPh>
    <rPh sb="152" eb="153">
      <t>イタダ</t>
    </rPh>
    <rPh sb="159" eb="161">
      <t>ホシュ</t>
    </rPh>
    <rPh sb="161" eb="163">
      <t>サギョウ</t>
    </rPh>
    <rPh sb="163" eb="166">
      <t>イライショ</t>
    </rPh>
    <rPh sb="175" eb="176">
      <t>モト</t>
    </rPh>
    <rPh sb="177" eb="178">
      <t>アラ</t>
    </rPh>
    <rPh sb="180" eb="182">
      <t>センヨウ</t>
    </rPh>
    <rPh sb="186" eb="188">
      <t>サクセイ</t>
    </rPh>
    <rPh sb="189" eb="191">
      <t>テキヨウ</t>
    </rPh>
    <phoneticPr fontId="1"/>
  </si>
  <si>
    <t>Ver3.6</t>
    <phoneticPr fontId="1"/>
  </si>
  <si>
    <t xml:space="preserve"> </t>
    <phoneticPr fontId="1"/>
  </si>
  <si>
    <t>サポートID</t>
  </si>
  <si>
    <t>サポートID</t>
    <phoneticPr fontId="1"/>
  </si>
  <si>
    <t>契約No1</t>
  </si>
  <si>
    <t>契約No2</t>
  </si>
  <si>
    <t>契約No3</t>
  </si>
  <si>
    <t>契約No4</t>
  </si>
  <si>
    <t>契約No5</t>
  </si>
  <si>
    <t>契約No6</t>
  </si>
  <si>
    <t>契約No7</t>
  </si>
  <si>
    <t>契約No8</t>
  </si>
  <si>
    <t>契約No9</t>
  </si>
  <si>
    <t>契約No10</t>
  </si>
  <si>
    <t>転記契約No</t>
    <rPh sb="0" eb="2">
      <t>テンキ</t>
    </rPh>
    <rPh sb="2" eb="4">
      <t>ケイヤク</t>
    </rPh>
    <phoneticPr fontId="1"/>
  </si>
  <si>
    <t>SET SERVEROUTPUT ON</t>
  </si>
  <si>
    <t>SET HEADING ON</t>
  </si>
  <si>
    <t>SET FEEDBACK OFF</t>
  </si>
  <si>
    <t>SET TRIMSPOOL ON</t>
  </si>
  <si>
    <t>SET TERMOUT OFF</t>
  </si>
  <si>
    <t>SET ECHO OFF</t>
  </si>
  <si>
    <t>SET PAGESIZE 0</t>
  </si>
  <si>
    <t>SET LINESIZE 4000</t>
  </si>
  <si>
    <t>SPOOL 点検依頼対象.csv</t>
  </si>
  <si>
    <t xml:space="preserve">SELECT </t>
  </si>
  <si>
    <t xml:space="preserve"> '"' ||</t>
  </si>
  <si>
    <t>CASE</t>
  </si>
  <si>
    <t xml:space="preserve"> WHEN TKA.JOTAI = '0' THEN '依頼'</t>
  </si>
  <si>
    <t xml:space="preserve"> WHEN TKA.JOTAI = '1' THEN '見積'</t>
  </si>
  <si>
    <t xml:space="preserve"> WHEN TKA.JOTAI = '2' THEN '契約'</t>
  </si>
  <si>
    <t xml:space="preserve"> WHEN TKA.JOTAI = '3' THEN '破棄'</t>
  </si>
  <si>
    <t xml:space="preserve"> WHEN TKA.JOTAI = '4' THEN '解約'</t>
  </si>
  <si>
    <t xml:space="preserve"> WHEN TKA.JOTAI = '9' THEN '作成中'</t>
  </si>
  <si>
    <t xml:space="preserve"> ELSE NULL</t>
  </si>
  <si>
    <t>END || '","' ||</t>
  </si>
  <si>
    <t>LPAD(TO_CHAR(TKB1.SUPPORT_ID),7,'0') || '","' ||</t>
  </si>
  <si>
    <t>TKB1.NONYUSAKI_NK || '","' ||</t>
  </si>
  <si>
    <t>TKB1.NONYUSAKIJUSYO1_NK ||</t>
  </si>
  <si>
    <t>TKB1.NONYUSAKIJUSYO2_NK || '","' ||</t>
  </si>
  <si>
    <t>MAD.BRANDSYOSAI_NK || '","' ||</t>
  </si>
  <si>
    <t>MAE.KIKIKOSEI_NK || '","' ||</t>
  </si>
  <si>
    <t>MAF.KIKIHINMEI_NK || '","' ||</t>
  </si>
  <si>
    <t>MAF.KIKIKATASHIKI || '","' ||</t>
  </si>
  <si>
    <t>MAG.SERIAL_NO || '","' ||</t>
  </si>
  <si>
    <t>MAG.KOTAI_NK || '","' ||</t>
  </si>
  <si>
    <t xml:space="preserve"> '"'</t>
  </si>
  <si>
    <t>FROM</t>
  </si>
  <si>
    <t>MCM_TK_KEIYAKU TKA</t>
  </si>
  <si>
    <t>JOIN</t>
  </si>
  <si>
    <t>MCM_TK_KIKAN TKB1</t>
  </si>
  <si>
    <t>ON</t>
  </si>
  <si>
    <t xml:space="preserve"> TKA.TK_KEIYAKU_ID = TKB1.TK_KEIYAKU_ID</t>
  </si>
  <si>
    <t>INNER JOIN (SELECT</t>
  </si>
  <si>
    <t xml:space="preserve">             TK_KEIYAKU_ID,</t>
  </si>
  <si>
    <t xml:space="preserve">             MAX(TK_KIKAN_ID) MaxID</t>
  </si>
  <si>
    <t xml:space="preserve">            FROM</t>
  </si>
  <si>
    <t xml:space="preserve">             MCM_TK_KIKAN</t>
  </si>
  <si>
    <t xml:space="preserve">            WHERE</t>
  </si>
  <si>
    <t xml:space="preserve">              MCM_TK_KIKAN.YUKO_FLG = '0'</t>
  </si>
  <si>
    <t xml:space="preserve">            GROUP BY</t>
  </si>
  <si>
    <t xml:space="preserve">             TK_KEIYAKU_ID) TKB2</t>
  </si>
  <si>
    <t xml:space="preserve"> TKB1.TK_KEIYAKU_ID = TKB2.TK_KEIYAKU_ID</t>
  </si>
  <si>
    <t xml:space="preserve"> AND</t>
  </si>
  <si>
    <t xml:space="preserve">  TKB1.TK_KIKAN_ID = TKB2.MaxID</t>
  </si>
  <si>
    <t xml:space="preserve"> MCM_TK_KIKIKOSEI TKC</t>
  </si>
  <si>
    <t xml:space="preserve"> TKB1.TK_KIKAN_ID = TKC.TK_KIKAN_ID</t>
  </si>
  <si>
    <t xml:space="preserve"> MCM_TK_KIKIMEISAI TKD</t>
  </si>
  <si>
    <t xml:space="preserve"> TKC.TK_KIKIKOSEI_ID = TKD.TK_KIKIKOSEI_ID</t>
  </si>
  <si>
    <t xml:space="preserve"> MCM_MA_KIKIKOSEI MAE</t>
  </si>
  <si>
    <t xml:space="preserve"> TKC.KIKIKOSEI_ID = MAE.KIKIKOSEI_ID</t>
  </si>
  <si>
    <t xml:space="preserve"> MCM_MA_ATSUKAIKIKI MAH</t>
  </si>
  <si>
    <t xml:space="preserve"> TKD.ATSUKAIKIKI_ID = MAH.ATSUKAIKIKI_ID</t>
  </si>
  <si>
    <t xml:space="preserve"> MCM_MA_KIKIBUNRUI MAM</t>
  </si>
  <si>
    <t xml:space="preserve"> MAH.KIKIBUNRUI_ID = MAM.KIKIBUNRUI_ID</t>
  </si>
  <si>
    <t xml:space="preserve"> MCM_TK_KOTAIMEISAI TKE</t>
  </si>
  <si>
    <t xml:space="preserve"> TKD.TK_KIKIMEISAI_ID =TKE.TK_KIKIMEISAI_ID</t>
  </si>
  <si>
    <t xml:space="preserve"> MCM_MA_KIKIKOTAIKANRI MAG</t>
  </si>
  <si>
    <t xml:space="preserve"> TKE.KOTAIKANRI_ID = MAG.KOTAIKANRI_ID</t>
  </si>
  <si>
    <t xml:space="preserve"> MCM_MA_KIKIMEISAI MAF</t>
  </si>
  <si>
    <t xml:space="preserve"> TKD.KIKIMEISAI_ID = MAF.KIKIMEISAI_ID</t>
  </si>
  <si>
    <t xml:space="preserve"> MCM_MA_BRAND_KOSEI MAD</t>
  </si>
  <si>
    <t xml:space="preserve"> MAG.BRANDKOSEI_ID = MAD.BRANDKOSEI_ID</t>
  </si>
  <si>
    <t xml:space="preserve"> MCM_TK_TENKEN TKH</t>
  </si>
  <si>
    <t xml:space="preserve"> TKC.TK_KIKIKOSEI_ID = TKH.TK_KIKIKOSEI_ID </t>
  </si>
  <si>
    <t>WHERE</t>
  </si>
  <si>
    <t xml:space="preserve"> AND TKH.TENKENKAISU &gt; '0'</t>
  </si>
  <si>
    <t xml:space="preserve"> AND (MAM.KIKIBUNRUI_ID = '1'</t>
  </si>
  <si>
    <t xml:space="preserve">      OR MAM.KIKIBUNRUI_ID = '4'</t>
  </si>
  <si>
    <t xml:space="preserve">      OR MAM.KIKIBUNRUI_ID = '6'</t>
  </si>
  <si>
    <t xml:space="preserve">      OR MAM.KIKIBUNRUI_ID = '8'</t>
  </si>
  <si>
    <t xml:space="preserve">      OR MAM.KIKIBUNRUI_ID = '20'</t>
  </si>
  <si>
    <t xml:space="preserve">      OR MAM.KIKIBUNRUI_ID = '28')</t>
  </si>
  <si>
    <t>ORDER BY</t>
  </si>
  <si>
    <t xml:space="preserve"> TKB1.SUPPORT_ID ASC,</t>
  </si>
  <si>
    <t xml:space="preserve"> MAD.HYOJIJUN ASC,</t>
  </si>
  <si>
    <t xml:space="preserve"> MAE.HYOJIJUN ASC,</t>
  </si>
  <si>
    <t xml:space="preserve"> MAF.HYOJIJUN ASC;</t>
  </si>
  <si>
    <t>SPOOL OFF</t>
  </si>
  <si>
    <t>quit</t>
  </si>
  <si>
    <t>(</t>
    <phoneticPr fontId="1"/>
  </si>
  <si>
    <t>)</t>
    <phoneticPr fontId="1"/>
  </si>
  <si>
    <t>納入先名</t>
  </si>
  <si>
    <t>納入先住所</t>
  </si>
  <si>
    <t>ブランド詳細名</t>
  </si>
  <si>
    <t>機器構成名</t>
  </si>
  <si>
    <t>機器品名</t>
  </si>
  <si>
    <t>機器型式</t>
  </si>
  <si>
    <t>シリアル番号</t>
  </si>
  <si>
    <t>個体名</t>
  </si>
  <si>
    <t>LPAD(TO_CHAR(TKD.KIKIMEISAI_ID),8,'0') || ' / ' ||LPAD(TO_CHAR(TKE.KOTAIKANRI_ID),8,'0') ||</t>
    <phoneticPr fontId="1"/>
  </si>
  <si>
    <t>TKA.KEIYAKU_NO || '","' ||</t>
    <phoneticPr fontId="1"/>
  </si>
  <si>
    <t>取引先契約状態</t>
  </si>
  <si>
    <t>メーカ契約No</t>
  </si>
  <si>
    <t>Ver3.7</t>
    <phoneticPr fontId="1"/>
  </si>
  <si>
    <t>BCC</t>
    <phoneticPr fontId="1"/>
  </si>
  <si>
    <t xml:space="preserve"> </t>
    <phoneticPr fontId="1"/>
  </si>
  <si>
    <t>To宛先</t>
    <rPh sb="2" eb="4">
      <t>アテサキ</t>
    </rPh>
    <phoneticPr fontId="1"/>
  </si>
  <si>
    <t>CC宛先 (SSC以外)</t>
    <rPh sb="2" eb="4">
      <t>アテサキ</t>
    </rPh>
    <rPh sb="9" eb="11">
      <t>イガイ</t>
    </rPh>
    <phoneticPr fontId="1"/>
  </si>
  <si>
    <t>件名</t>
    <rPh sb="0" eb="2">
      <t>ケンメイ</t>
    </rPh>
    <phoneticPr fontId="1"/>
  </si>
  <si>
    <t>本文内 To情報</t>
    <rPh sb="0" eb="2">
      <t>ホンブン</t>
    </rPh>
    <rPh sb="2" eb="3">
      <t>ナイ</t>
    </rPh>
    <rPh sb="6" eb="8">
      <t>ジョウホウ</t>
    </rPh>
    <phoneticPr fontId="1"/>
  </si>
  <si>
    <t>CC情報(SSC)</t>
    <rPh sb="2" eb="4">
      <t>ジョウホウ</t>
    </rPh>
    <phoneticPr fontId="1"/>
  </si>
  <si>
    <t>メール本文
(To情報除く)</t>
    <rPh sb="3" eb="5">
      <t>ホンブン</t>
    </rPh>
    <rPh sb="9" eb="11">
      <t>ジョウホウ</t>
    </rPh>
    <rPh sb="11" eb="12">
      <t>ノゾ</t>
    </rPh>
    <phoneticPr fontId="1"/>
  </si>
  <si>
    <t>クレジット</t>
    <phoneticPr fontId="1"/>
  </si>
  <si>
    <t>添付ファイル</t>
    <rPh sb="0" eb="2">
      <t>テンプ</t>
    </rPh>
    <phoneticPr fontId="1"/>
  </si>
  <si>
    <t>メール作成情報</t>
    <rPh sb="3" eb="5">
      <t>サクセイ</t>
    </rPh>
    <rPh sb="5" eb="7">
      <t>ジョウホウ</t>
    </rPh>
    <phoneticPr fontId="1"/>
  </si>
  <si>
    <t>メール作成内容</t>
    <rPh sb="3" eb="5">
      <t>サクセイ</t>
    </rPh>
    <rPh sb="5" eb="7">
      <t>ナイヨウ</t>
    </rPh>
    <phoneticPr fontId="1"/>
  </si>
  <si>
    <t xml:space="preserve">株式会社PFU
関西カスタマサービス部　大阪サービスセンター
中野様
</t>
    <phoneticPr fontId="1"/>
  </si>
  <si>
    <t xml:space="preserve">株式会社アイ・ビー・エム
ご担当者 様
</t>
    <rPh sb="14" eb="17">
      <t>タントウシャ</t>
    </rPh>
    <phoneticPr fontId="1"/>
  </si>
  <si>
    <t>prompt 取引先契約状態,サポートID,製造メーカー名,納入先名,納入先住所,ブランド詳細名,機器構成名,機器品名,機器型式,シリアル番号,個体名,メーカ契約No,機器管理ID(明細ID/個体管理ID)</t>
    <rPh sb="7" eb="9">
      <t>トリヒキ</t>
    </rPh>
    <rPh sb="9" eb="10">
      <t>サキ</t>
    </rPh>
    <rPh sb="10" eb="12">
      <t>ケイヤク</t>
    </rPh>
    <rPh sb="22" eb="24">
      <t>セイゾウ</t>
    </rPh>
    <rPh sb="28" eb="29">
      <t>メイ</t>
    </rPh>
    <rPh sb="79" eb="81">
      <t>ケイヤク</t>
    </rPh>
    <rPh sb="84" eb="86">
      <t>キキ</t>
    </rPh>
    <rPh sb="86" eb="88">
      <t>カンリ</t>
    </rPh>
    <rPh sb="91" eb="93">
      <t>メイサイ</t>
    </rPh>
    <rPh sb="96" eb="98">
      <t>コタイ</t>
    </rPh>
    <rPh sb="98" eb="100">
      <t>カンリ</t>
    </rPh>
    <phoneticPr fontId="1"/>
  </si>
  <si>
    <t>製造メーカー名</t>
  </si>
  <si>
    <t xml:space="preserve"> WHEN TKD.SEIZOMAKER_ID = '86' THEN 'NEC'</t>
    <phoneticPr fontId="1"/>
  </si>
  <si>
    <t xml:space="preserve"> WHEN TKD.SEIZOMAKER_ID = '105' THEN 'サトー'</t>
    <phoneticPr fontId="1"/>
  </si>
  <si>
    <t xml:space="preserve"> WHEN TKD.SEIZOMAKER_ID = '54' THEN '日立'</t>
    <rPh sb="37" eb="39">
      <t>ヒタチ</t>
    </rPh>
    <phoneticPr fontId="1"/>
  </si>
  <si>
    <t xml:space="preserve"> WHEN TKD.SEIZOMAKER_ID = '120' THEN '東芝'</t>
    <rPh sb="38" eb="40">
      <t>トウシバ</t>
    </rPh>
    <phoneticPr fontId="1"/>
  </si>
  <si>
    <t xml:space="preserve"> WHEN TKD.SEIZOMAKER_ID = '48' THEN 'PFU'</t>
    <phoneticPr fontId="1"/>
  </si>
  <si>
    <t xml:space="preserve"> WHEN TKD.SEIZOMAKER_ID = '58' THEN 'IBM'</t>
    <phoneticPr fontId="1"/>
  </si>
  <si>
    <t xml:space="preserve"> WHEN TKD.SEIZOMAKER_ID = '191' THEN 'イシダ'</t>
    <phoneticPr fontId="1"/>
  </si>
  <si>
    <t>・依頼書作成シート に 「MCMデータ抽出」ボタン を追加 (SSC 森sf  作成  ,  一部を 二村 が改修)
　　⇒ MCM と連携し、サポートID と 契約No. を キー にして 対象機器情報を検索・表示する。
　　⇒ 依頼メーカー と 機器製造メーカーが 一致しているかどうかを調べる機能あり。
　　　　 (作成者の依頼書作成先間違いを防ぐ)
・依頼書作成シート に 「メール作成(Outlook)」ボタンを追加
　　⇒ メーカーへ送付する 日程調整依頼メール を自動で作成する。
　　⇒ メインページ 及び 各依頼書作成ページ に メール作成に用いる情報記入欄を作成した。 
　　　　 (詳細は「説明書」シート を参照 )</t>
    <rPh sb="1" eb="4">
      <t>イライショ</t>
    </rPh>
    <rPh sb="4" eb="6">
      <t>サクセイ</t>
    </rPh>
    <rPh sb="19" eb="21">
      <t>チュウシュツ</t>
    </rPh>
    <rPh sb="27" eb="29">
      <t>ツイカ</t>
    </rPh>
    <rPh sb="35" eb="36">
      <t>モリ</t>
    </rPh>
    <rPh sb="40" eb="42">
      <t>サクセイ</t>
    </rPh>
    <rPh sb="47" eb="49">
      <t>イチブ</t>
    </rPh>
    <rPh sb="51" eb="53">
      <t>フタムラ</t>
    </rPh>
    <rPh sb="55" eb="57">
      <t>カイシュウ</t>
    </rPh>
    <rPh sb="68" eb="70">
      <t>レンケイ</t>
    </rPh>
    <rPh sb="81" eb="83">
      <t>ケイヤク</t>
    </rPh>
    <rPh sb="96" eb="98">
      <t>タイショウ</t>
    </rPh>
    <rPh sb="98" eb="100">
      <t>キキ</t>
    </rPh>
    <rPh sb="100" eb="102">
      <t>ジョウホウ</t>
    </rPh>
    <rPh sb="103" eb="105">
      <t>ケンサク</t>
    </rPh>
    <rPh sb="106" eb="108">
      <t>ヒョウジ</t>
    </rPh>
    <rPh sb="161" eb="164">
      <t>サクセイシャ</t>
    </rPh>
    <rPh sb="165" eb="168">
      <t>イライショ</t>
    </rPh>
    <rPh sb="168" eb="170">
      <t>サクセイ</t>
    </rPh>
    <rPh sb="170" eb="171">
      <t>サキ</t>
    </rPh>
    <rPh sb="171" eb="173">
      <t>マチガ</t>
    </rPh>
    <rPh sb="175" eb="176">
      <t>フセ</t>
    </rPh>
    <rPh sb="181" eb="184">
      <t>イライショ</t>
    </rPh>
    <rPh sb="184" eb="186">
      <t>サクセイ</t>
    </rPh>
    <rPh sb="196" eb="198">
      <t>サクセイ</t>
    </rPh>
    <rPh sb="212" eb="214">
      <t>ツイカ</t>
    </rPh>
    <rPh sb="224" eb="226">
      <t>ソウフ</t>
    </rPh>
    <rPh sb="229" eb="231">
      <t>ニッテイ</t>
    </rPh>
    <rPh sb="231" eb="233">
      <t>チョウセイ</t>
    </rPh>
    <rPh sb="233" eb="235">
      <t>イライ</t>
    </rPh>
    <rPh sb="240" eb="242">
      <t>ジドウ</t>
    </rPh>
    <rPh sb="243" eb="245">
      <t>サクセイ</t>
    </rPh>
    <rPh sb="260" eb="261">
      <t>オヨ</t>
    </rPh>
    <rPh sb="263" eb="264">
      <t>カク</t>
    </rPh>
    <rPh sb="264" eb="267">
      <t>イライショ</t>
    </rPh>
    <rPh sb="267" eb="269">
      <t>サクセイ</t>
    </rPh>
    <rPh sb="278" eb="280">
      <t>サクセイ</t>
    </rPh>
    <rPh sb="281" eb="282">
      <t>モチ</t>
    </rPh>
    <rPh sb="284" eb="286">
      <t>ジョウホウ</t>
    </rPh>
    <rPh sb="286" eb="288">
      <t>キニュウ</t>
    </rPh>
    <rPh sb="288" eb="289">
      <t>ラン</t>
    </rPh>
    <rPh sb="290" eb="292">
      <t>サクセイ</t>
    </rPh>
    <rPh sb="303" eb="305">
      <t>ショウサイ</t>
    </rPh>
    <rPh sb="307" eb="310">
      <t>セツメイショ</t>
    </rPh>
    <rPh sb="316" eb="318">
      <t>サンショウ</t>
    </rPh>
    <phoneticPr fontId="1"/>
  </si>
  <si>
    <r>
      <t>・メインページ に 「保存先フォルダ自動入力ボタン」を追加
　　⇒ 本Excelファイルの１階層上までのパスが 保存先フォルダ入力欄 に自動で入力される。
・メインページ に 「選択」ボタンを追加
　　⇒ 保存先フォルダ選択ダイアログを表示し、選択場所が 依頼書ファイル作成先パス に入力される。
・依頼書テンプレート指定フォームを作成
　　⇒ 「依頼書テンプレート指定フォーム」ボタン押下で表示される。テンプレートファイルを指定したい
　　　シートを指定し、対応するテンプレートファイルを選択することが出来る。
・依頼書のテンプレートを全て更新
　　⇒「</t>
    </r>
    <r>
      <rPr>
        <b/>
        <sz val="11"/>
        <color rgb="FFFF0000"/>
        <rFont val="ＭＳ Ｐゴシック"/>
        <family val="3"/>
        <charset val="128"/>
        <scheme val="minor"/>
      </rPr>
      <t>客先敷地内に入る際は、弊社立会者と必ず一緒に入場してください。</t>
    </r>
    <r>
      <rPr>
        <sz val="11"/>
        <color theme="1"/>
        <rFont val="ＭＳ Ｐゴシック"/>
        <family val="2"/>
        <charset val="128"/>
        <scheme val="minor"/>
      </rPr>
      <t>」の一文を追加。
　　⇒ NEC の依頼書変更に対応し、マクロ と 依頼書テンプレート を更新した。</t>
    </r>
    <rPh sb="11" eb="13">
      <t>ホゾン</t>
    </rPh>
    <rPh sb="13" eb="14">
      <t>サキ</t>
    </rPh>
    <rPh sb="18" eb="20">
      <t>ジドウ</t>
    </rPh>
    <rPh sb="20" eb="22">
      <t>ニュウリョク</t>
    </rPh>
    <rPh sb="27" eb="29">
      <t>ツイカ</t>
    </rPh>
    <rPh sb="34" eb="35">
      <t>ホン</t>
    </rPh>
    <rPh sb="46" eb="48">
      <t>カイソウ</t>
    </rPh>
    <rPh sb="48" eb="49">
      <t>ウエ</t>
    </rPh>
    <rPh sb="56" eb="58">
      <t>ホゾン</t>
    </rPh>
    <rPh sb="58" eb="59">
      <t>サキ</t>
    </rPh>
    <rPh sb="63" eb="65">
      <t>ニュウリョク</t>
    </rPh>
    <rPh sb="65" eb="66">
      <t>ラン</t>
    </rPh>
    <rPh sb="68" eb="70">
      <t>ジドウ</t>
    </rPh>
    <rPh sb="71" eb="73">
      <t>ニュウリョク</t>
    </rPh>
    <rPh sb="90" eb="92">
      <t>センタク</t>
    </rPh>
    <rPh sb="97" eb="99">
      <t>ツイカ</t>
    </rPh>
    <rPh sb="104" eb="106">
      <t>ホゾン</t>
    </rPh>
    <rPh sb="106" eb="107">
      <t>サキ</t>
    </rPh>
    <rPh sb="111" eb="113">
      <t>センタク</t>
    </rPh>
    <rPh sb="119" eb="121">
      <t>ヒョウジ</t>
    </rPh>
    <rPh sb="123" eb="125">
      <t>センタク</t>
    </rPh>
    <rPh sb="125" eb="127">
      <t>バショ</t>
    </rPh>
    <rPh sb="129" eb="132">
      <t>イライショ</t>
    </rPh>
    <rPh sb="136" eb="138">
      <t>サクセイ</t>
    </rPh>
    <rPh sb="138" eb="139">
      <t>サキ</t>
    </rPh>
    <rPh sb="143" eb="145">
      <t>ニュウリョク</t>
    </rPh>
    <rPh sb="152" eb="155">
      <t>イライショ</t>
    </rPh>
    <rPh sb="161" eb="163">
      <t>シテイ</t>
    </rPh>
    <rPh sb="168" eb="170">
      <t>サクセイ</t>
    </rPh>
    <rPh sb="176" eb="179">
      <t>イライショ</t>
    </rPh>
    <rPh sb="185" eb="187">
      <t>シテイ</t>
    </rPh>
    <rPh sb="195" eb="197">
      <t>オウカ</t>
    </rPh>
    <rPh sb="198" eb="200">
      <t>ヒョウジ</t>
    </rPh>
    <rPh sb="215" eb="217">
      <t>シテイ</t>
    </rPh>
    <rPh sb="228" eb="230">
      <t>シテイ</t>
    </rPh>
    <rPh sb="232" eb="234">
      <t>タイオウ</t>
    </rPh>
    <rPh sb="247" eb="249">
      <t>センタク</t>
    </rPh>
    <rPh sb="254" eb="256">
      <t>デキ</t>
    </rPh>
    <rPh sb="261" eb="264">
      <t>イライショ</t>
    </rPh>
    <rPh sb="272" eb="273">
      <t>スベ</t>
    </rPh>
    <rPh sb="274" eb="276">
      <t>コウシン</t>
    </rPh>
    <rPh sb="292" eb="294">
      <t>ヘイシャ</t>
    </rPh>
    <rPh sb="314" eb="316">
      <t>イチブン</t>
    </rPh>
    <rPh sb="317" eb="319">
      <t>ツイカ</t>
    </rPh>
    <phoneticPr fontId="1"/>
  </si>
  <si>
    <t xml:space="preserve"> </t>
    <phoneticPr fontId="1"/>
  </si>
  <si>
    <t xml:space="preserve"> </t>
    <phoneticPr fontId="1"/>
  </si>
  <si>
    <t xml:space="preserve"> </t>
    <phoneticPr fontId="1"/>
  </si>
  <si>
    <t>ｖｅｒ3.8</t>
    <phoneticPr fontId="1"/>
  </si>
  <si>
    <t>契約No</t>
    <phoneticPr fontId="1"/>
  </si>
  <si>
    <t>日程</t>
    <phoneticPr fontId="1"/>
  </si>
  <si>
    <t xml:space="preserve">東芝ITサービス株式会社
株式会社光アルファクス
辻様
</t>
    <rPh sb="25" eb="26">
      <t>ツジ</t>
    </rPh>
    <phoneticPr fontId="1"/>
  </si>
  <si>
    <t xml:space="preserve">NECフィールディング株式会社
カスタマサポート事業部　西日本ソリューションセンター
水口様
</t>
    <rPh sb="43" eb="45">
      <t>ミズグチ</t>
    </rPh>
    <phoneticPr fontId="1"/>
  </si>
  <si>
    <t>・依頼書のテンプレートをすべて更新
　⇒全メーカーをＥｘｃｅｌで作成するように変更
　⇒依頼書変更に伴い、シート名変更とマクロ修正を実施
　⇒担当者変更に伴うメールの宛先変更（東芝、サトー）
　⇒ＮＥＣＦの宛先を水口様に変更
　⇒作業完了後に報告書を返信していただくよう、文章追加。</t>
    <rPh sb="1" eb="3">
      <t>イライ</t>
    </rPh>
    <rPh sb="3" eb="4">
      <t>ショ</t>
    </rPh>
    <rPh sb="15" eb="17">
      <t>コウシン</t>
    </rPh>
    <rPh sb="20" eb="21">
      <t>ゼン</t>
    </rPh>
    <rPh sb="32" eb="34">
      <t>サクセイ</t>
    </rPh>
    <rPh sb="39" eb="41">
      <t>ヘンコウ</t>
    </rPh>
    <rPh sb="44" eb="46">
      <t>イライ</t>
    </rPh>
    <rPh sb="46" eb="47">
      <t>ショ</t>
    </rPh>
    <rPh sb="47" eb="49">
      <t>ヘンコウ</t>
    </rPh>
    <rPh sb="50" eb="51">
      <t>トモナ</t>
    </rPh>
    <rPh sb="56" eb="57">
      <t>メイ</t>
    </rPh>
    <rPh sb="57" eb="59">
      <t>ヘンコウ</t>
    </rPh>
    <rPh sb="63" eb="65">
      <t>シュウセイ</t>
    </rPh>
    <rPh sb="66" eb="68">
      <t>ジッシ</t>
    </rPh>
    <rPh sb="71" eb="74">
      <t>タントウシャ</t>
    </rPh>
    <rPh sb="74" eb="76">
      <t>ヘンコウ</t>
    </rPh>
    <rPh sb="77" eb="78">
      <t>トモナ</t>
    </rPh>
    <rPh sb="83" eb="85">
      <t>アテサキ</t>
    </rPh>
    <rPh sb="85" eb="87">
      <t>ヘンコウ</t>
    </rPh>
    <rPh sb="88" eb="90">
      <t>トウシバ</t>
    </rPh>
    <rPh sb="104" eb="106">
      <t>アテサキ</t>
    </rPh>
    <rPh sb="107" eb="109">
      <t>ミズグチ</t>
    </rPh>
    <rPh sb="109" eb="110">
      <t>サマ</t>
    </rPh>
    <rPh sb="111" eb="113">
      <t>ヘンコウ</t>
    </rPh>
    <rPh sb="116" eb="118">
      <t>サギョウ</t>
    </rPh>
    <rPh sb="118" eb="120">
      <t>カンリョウ</t>
    </rPh>
    <rPh sb="120" eb="121">
      <t>ゴ</t>
    </rPh>
    <rPh sb="122" eb="125">
      <t>ホウコクショ</t>
    </rPh>
    <rPh sb="126" eb="128">
      <t>ヘンシン</t>
    </rPh>
    <rPh sb="137" eb="139">
      <t>ブンショウ</t>
    </rPh>
    <rPh sb="139" eb="141">
      <t>ツイカ</t>
    </rPh>
    <phoneticPr fontId="1"/>
  </si>
  <si>
    <t>Ver3.9</t>
    <phoneticPr fontId="1"/>
  </si>
  <si>
    <t>・依頼書のテンプレートを105期版に更新
・NECFの連絡先に水口殿のメール追加（cc）
・サトー担当者変更に伴うメールアドレス変更
・事業部の名称変更に伴い、クレジットの変更
・ダイフク側メール送信先変更
・依頼書パスワード変更に伴うマクロ修正</t>
    <rPh sb="1" eb="4">
      <t>イライショ</t>
    </rPh>
    <rPh sb="15" eb="16">
      <t>キ</t>
    </rPh>
    <rPh sb="16" eb="17">
      <t>バン</t>
    </rPh>
    <rPh sb="18" eb="20">
      <t>コウシン</t>
    </rPh>
    <rPh sb="27" eb="29">
      <t>レンラク</t>
    </rPh>
    <rPh sb="29" eb="30">
      <t>サキ</t>
    </rPh>
    <rPh sb="31" eb="33">
      <t>ミズグチ</t>
    </rPh>
    <rPh sb="33" eb="34">
      <t>ドノ</t>
    </rPh>
    <rPh sb="38" eb="40">
      <t>ツイカ</t>
    </rPh>
    <rPh sb="49" eb="52">
      <t>タントウシャ</t>
    </rPh>
    <rPh sb="52" eb="54">
      <t>ヘンコウ</t>
    </rPh>
    <rPh sb="55" eb="56">
      <t>トモナ</t>
    </rPh>
    <rPh sb="64" eb="66">
      <t>ヘンコウ</t>
    </rPh>
    <rPh sb="68" eb="70">
      <t>ジギョウ</t>
    </rPh>
    <rPh sb="70" eb="71">
      <t>ブ</t>
    </rPh>
    <rPh sb="72" eb="74">
      <t>メイショウ</t>
    </rPh>
    <rPh sb="74" eb="76">
      <t>ヘンコウ</t>
    </rPh>
    <rPh sb="77" eb="78">
      <t>トモナ</t>
    </rPh>
    <rPh sb="86" eb="88">
      <t>ヘンコウ</t>
    </rPh>
    <rPh sb="94" eb="95">
      <t>ガワ</t>
    </rPh>
    <rPh sb="98" eb="100">
      <t>ソウシン</t>
    </rPh>
    <rPh sb="100" eb="101">
      <t>サキ</t>
    </rPh>
    <rPh sb="101" eb="103">
      <t>ヘンコウ</t>
    </rPh>
    <rPh sb="105" eb="108">
      <t>イライショ</t>
    </rPh>
    <rPh sb="113" eb="115">
      <t>ヘンコウ</t>
    </rPh>
    <rPh sb="116" eb="117">
      <t>トモナ</t>
    </rPh>
    <rPh sb="121" eb="123">
      <t>シュウセイ</t>
    </rPh>
    <phoneticPr fontId="1"/>
  </si>
  <si>
    <t xml:space="preserve">株式会社日立システムズ
株式会社瑞穂
三好様、二村様
</t>
    <rPh sb="23" eb="25">
      <t>ニムラ</t>
    </rPh>
    <phoneticPr fontId="1"/>
  </si>
  <si>
    <t xml:space="preserve">----+----+----+----+----+----+----+----+----+----+----+----+----
冨田　義男 (yoshio tomita)
-------------------------- 
株式会社 ダイフク イントラロジスティクス事業部　工事・サービス本部
フィールド業務改革室/サービスG　業務T
〒529-1692  滋賀県蒲生郡日野町中在寺1225番地
TEL : 0748-52-5826    FAX : 0748-52-5835
E-Mail : yoshio_tomita.da2@ha.daifuku.co.jp
----+----+----+----+----+----+----+----+----+----+----+----+----
======================================================
本メール（添付ファイルを含む）は、本来の宛先の方に送付されており、機密情報が
含まれている場合がございます。
お心あたりのない場合は、本メールの転送、利用、公開、配布等はご遠慮いただき、
送信者に返信メールでご連絡の上、本メールとすべてのコピーを削除して頂きますよう
お願い申し上げます。
======================================================
</t>
    <phoneticPr fontId="1"/>
  </si>
  <si>
    <r>
      <t xml:space="preserve">いつもお世話になっております。
ダイフク　フィールド業務改革室/サービスG　業務T　冨田です。
表記日程で有寿命部品交換作業が段取りされました。
添付ファイルのユーザー様の日程調整をよろしくお願いします。
</t>
    </r>
    <r>
      <rPr>
        <sz val="10"/>
        <color rgb="FFFF0000"/>
        <rFont val="游ゴシック"/>
        <family val="3"/>
        <charset val="128"/>
      </rPr>
      <t xml:space="preserve">【お願い】
・作業終了後は、作業報告書を送付していただくようお願いいたします。
※報告書控えのPDFファイルなどで問題ございません。
</t>
    </r>
    <r>
      <rPr>
        <sz val="10"/>
        <color theme="1"/>
        <rFont val="游ゴシック"/>
        <family val="3"/>
        <charset val="128"/>
      </rPr>
      <t xml:space="preserve">
以上、よろしくお願い致します。
</t>
    </r>
    <rPh sb="107" eb="108">
      <t>ネガ</t>
    </rPh>
    <rPh sb="125" eb="127">
      <t>ソウフ</t>
    </rPh>
    <rPh sb="136" eb="137">
      <t>ネガ</t>
    </rPh>
    <phoneticPr fontId="1"/>
  </si>
  <si>
    <t>本文</t>
    <rPh sb="0" eb="2">
      <t>ホンブン</t>
    </rPh>
    <phoneticPr fontId="1"/>
  </si>
  <si>
    <t>署名</t>
    <rPh sb="0" eb="2">
      <t>ショメイ</t>
    </rPh>
    <phoneticPr fontId="1"/>
  </si>
  <si>
    <t>フォント</t>
    <phoneticPr fontId="1"/>
  </si>
  <si>
    <t>サイズ</t>
    <phoneticPr fontId="1"/>
  </si>
  <si>
    <t>----+----+----+----+----+----+----+----+----+----+----+----+----</t>
  </si>
  <si>
    <t>--------------------------</t>
  </si>
  <si>
    <t>株式会社 ダイフク イントラロジスティクス事業部　工事・サービス本部</t>
  </si>
  <si>
    <t>======================================================</t>
  </si>
  <si>
    <t>本メール（添付ファイルを含む）は、本来の宛先の方に送付されており、機密情報が</t>
  </si>
  <si>
    <t>含まれている場合がございます。</t>
  </si>
  <si>
    <t>お心あたりのない場合は、本メールの転送、利用、公開、配布等はご遠慮いただき、</t>
  </si>
  <si>
    <t>送信者に返信メールでご連絡の上、本メールとすべてのコピーを削除して頂きますよう</t>
  </si>
  <si>
    <t>お願い申し上げます。</t>
  </si>
  <si>
    <t xml:space="preserve">====================================================== </t>
  </si>
  <si>
    <t>いつもお世話になっております。</t>
  </si>
  <si>
    <t>・作業終了後は、作業報告書を送付していただくようお願いいたします。</t>
  </si>
  <si>
    <t xml:space="preserve">※報告書控えのPDFファイルなどで問題ございません。 </t>
  </si>
  <si>
    <t xml:space="preserve">以上、よろしくお願い致します。 </t>
  </si>
  <si>
    <t>&lt;font face="</t>
  </si>
  <si>
    <t>" size="</t>
    <phoneticPr fontId="1"/>
  </si>
  <si>
    <t>"&gt;</t>
    <phoneticPr fontId="1"/>
  </si>
  <si>
    <t>カスタマサポート事業部　西日本ソリューションセンター</t>
  </si>
  <si>
    <t>水口様</t>
  </si>
  <si>
    <t>NECフィールディング株式会社</t>
    <phoneticPr fontId="1"/>
  </si>
  <si>
    <t>株式会社日立システムズ</t>
    <phoneticPr fontId="1"/>
  </si>
  <si>
    <t>株式会社瑞穂</t>
    <phoneticPr fontId="1"/>
  </si>
  <si>
    <t>東芝ITサービス株式会社</t>
    <phoneticPr fontId="1"/>
  </si>
  <si>
    <t>株式会社光アルファクス</t>
    <phoneticPr fontId="1"/>
  </si>
  <si>
    <t>株式会社アイ・ビー・エム</t>
    <phoneticPr fontId="1"/>
  </si>
  <si>
    <t>ご担当者 様</t>
    <phoneticPr fontId="1"/>
  </si>
  <si>
    <t>游ゴシック (本文のフォント - 日本語)</t>
  </si>
  <si>
    <t>ＰＦＵ ＩＴサービス株式会社</t>
    <phoneticPr fontId="1"/>
  </si>
  <si>
    <t>西日本支社　関西カスタマサービス部　大阪サービスセンター</t>
    <phoneticPr fontId="1"/>
  </si>
  <si>
    <t>pfu-centerce-g@ml.ricoh.com</t>
    <phoneticPr fontId="1"/>
  </si>
  <si>
    <t>daifuku-shien-dm@fildg.jp.nec.com</t>
    <phoneticPr fontId="1"/>
  </si>
  <si>
    <t>kansei.mail13.cj@hitachi-systems.com</t>
    <phoneticPr fontId="1"/>
  </si>
  <si>
    <t>Takahiro.Mizobuchi@jp.ricoh.com; Hideki.Ishimoto@jp.ricoh.com</t>
    <phoneticPr fontId="1"/>
  </si>
  <si>
    <t>daifuku_hosyu@mizuho-ki.co.jp ; tousei.daifuku2@hitachi-systems.com</t>
    <phoneticPr fontId="1"/>
  </si>
  <si>
    <t>三好様、栗村様、矢嶋様</t>
    <rPh sb="4" eb="6">
      <t>クリムラ</t>
    </rPh>
    <rPh sb="8" eb="10">
      <t>ヤジマ</t>
    </rPh>
    <rPh sb="10" eb="11">
      <t>サマ</t>
    </rPh>
    <phoneticPr fontId="1"/>
  </si>
  <si>
    <t>機器管理ID(明細ID/個体管理ID)</t>
  </si>
  <si>
    <t>点検対象機器を貼り付け↓</t>
    <rPh sb="7" eb="8">
      <t>ハ</t>
    </rPh>
    <rPh sb="9" eb="10">
      <t>ツ</t>
    </rPh>
    <phoneticPr fontId="1"/>
  </si>
  <si>
    <t xml:space="preserve">作業者情報を入力いただき回答をお願いします。（依頼後１週間目途） </t>
  </si>
  <si>
    <t xml:space="preserve">作業者が確定できない場合は、予定可否の回答をお願いします。 </t>
  </si>
  <si>
    <t>サトー</t>
    <phoneticPr fontId="1"/>
  </si>
  <si>
    <t xml:space="preserve">株式会社サトー
名古屋サポートセンター
水永様、人見様、島田様
</t>
    <phoneticPr fontId="1"/>
  </si>
  <si>
    <t>イシダ</t>
    <phoneticPr fontId="1"/>
  </si>
  <si>
    <t>takata@ishida.co.jp</t>
    <phoneticPr fontId="1"/>
  </si>
  <si>
    <t>2025年6月1日よりパスワード付きファイルが添付されたメールの受信が不可</t>
    <phoneticPr fontId="1"/>
  </si>
  <si>
    <t xml:space="preserve">株式会社イシダ
髙田様
</t>
    <rPh sb="8" eb="10">
      <t>タカダ</t>
    </rPh>
    <rPh sb="10" eb="11">
      <t>サマ</t>
    </rPh>
    <phoneticPr fontId="1"/>
  </si>
  <si>
    <t>溝渕様　石元様</t>
    <rPh sb="4" eb="6">
      <t>イシモト</t>
    </rPh>
    <rPh sb="6" eb="7">
      <t>サマ</t>
    </rPh>
    <phoneticPr fontId="1"/>
  </si>
  <si>
    <t xml:space="preserve">添付ファイルのユーザー様の日程調整をよろしくお願いします。 </t>
  </si>
  <si>
    <t xml:space="preserve">事前に必要な情報があれば、あらためてご連絡いたします。 </t>
  </si>
  <si>
    <t>株式会社サトー</t>
  </si>
  <si>
    <t>名古屋サポートセンター</t>
  </si>
  <si>
    <t>株式会社イシダ</t>
  </si>
  <si>
    <t xml:space="preserve">髙田様 </t>
  </si>
  <si>
    <t xml:space="preserve">管轄店舗  </t>
  </si>
  <si>
    <t xml:space="preserve">予定年月  </t>
  </si>
  <si>
    <t xml:space="preserve">進捗状況  </t>
  </si>
  <si>
    <t xml:space="preserve">作業内容  </t>
  </si>
  <si>
    <t xml:space="preserve">依頼先（保守会社）  </t>
  </si>
  <si>
    <t xml:space="preserve">システムコード  </t>
  </si>
  <si>
    <t xml:space="preserve">サポートID  </t>
  </si>
  <si>
    <t xml:space="preserve">システム名  </t>
  </si>
  <si>
    <t xml:space="preserve">希望終了日時  </t>
  </si>
  <si>
    <t xml:space="preserve">取引先契約番号  </t>
  </si>
  <si>
    <t xml:space="preserve">お客様担当部署／担当者／連絡先  </t>
  </si>
  <si>
    <t xml:space="preserve">店舗同行者／連絡先  </t>
  </si>
  <si>
    <t xml:space="preserve">希望開始日時  </t>
    <phoneticPr fontId="1"/>
  </si>
  <si>
    <t>出荷先名 +工場名</t>
    <rPh sb="6" eb="8">
      <t>コウジョウ</t>
    </rPh>
    <rPh sb="8" eb="9">
      <t>メイ</t>
    </rPh>
    <phoneticPr fontId="1"/>
  </si>
  <si>
    <t>↓SharePoint（点検DB）の対象項目の内容を貼り付ける</t>
    <rPh sb="12" eb="14">
      <t>テンケン</t>
    </rPh>
    <rPh sb="18" eb="20">
      <t>タイショウ</t>
    </rPh>
    <rPh sb="20" eb="22">
      <t>コウモク</t>
    </rPh>
    <rPh sb="23" eb="25">
      <t>ナイヨウ</t>
    </rPh>
    <rPh sb="26" eb="27">
      <t>ハ</t>
    </rPh>
    <rPh sb="28" eb="29">
      <t>ツ</t>
    </rPh>
    <phoneticPr fontId="1"/>
  </si>
  <si>
    <t>住所</t>
    <rPh sb="0" eb="2">
      <t>ジュウショ</t>
    </rPh>
    <phoneticPr fontId="1"/>
  </si>
  <si>
    <t>連絡事項１</t>
    <rPh sb="0" eb="2">
      <t>レンラク</t>
    </rPh>
    <rPh sb="2" eb="4">
      <t>ジコウ</t>
    </rPh>
    <phoneticPr fontId="1"/>
  </si>
  <si>
    <t>連絡事項２</t>
    <rPh sb="0" eb="2">
      <t>レンラク</t>
    </rPh>
    <rPh sb="2" eb="4">
      <t>ジコウ</t>
    </rPh>
    <phoneticPr fontId="1"/>
  </si>
  <si>
    <t>連絡事項３</t>
    <rPh sb="0" eb="4">
      <t>レンラクジコウ</t>
    </rPh>
    <phoneticPr fontId="1"/>
  </si>
  <si>
    <t>連絡事項１</t>
    <rPh sb="0" eb="2">
      <t>レンラク</t>
    </rPh>
    <rPh sb="2" eb="4">
      <t>ジコウ</t>
    </rPh>
    <phoneticPr fontId="1"/>
  </si>
  <si>
    <t>住所</t>
    <rPh sb="0" eb="2">
      <t>ジュウショ</t>
    </rPh>
    <phoneticPr fontId="1"/>
  </si>
  <si>
    <t>連絡事項３</t>
    <rPh sb="0" eb="2">
      <t>レンラク</t>
    </rPh>
    <rPh sb="2" eb="4">
      <t>ジコウ</t>
    </rPh>
    <phoneticPr fontId="1"/>
  </si>
  <si>
    <t>氏名／携帯番号</t>
    <rPh sb="0" eb="2">
      <t>シメイ</t>
    </rPh>
    <rPh sb="3" eb="5">
      <t>ケイタイ</t>
    </rPh>
    <rPh sb="5" eb="7">
      <t>バンゴウ</t>
    </rPh>
    <phoneticPr fontId="1"/>
  </si>
  <si>
    <t>0801407</t>
  </si>
  <si>
    <t>2022110902-221-1</t>
  </si>
  <si>
    <t>2022110902-221-1</t>
    <phoneticPr fontId="1"/>
  </si>
  <si>
    <t>PFU</t>
  </si>
  <si>
    <t>東芝ITサービス</t>
  </si>
  <si>
    <t>萩原テクノソリューションズ</t>
  </si>
  <si>
    <t xml:space="preserve">  業務G会議室でデータをダウンロードフォルダー</t>
    <rPh sb="2" eb="4">
      <t>ギョウム</t>
    </rPh>
    <rPh sb="5" eb="8">
      <t>カイギシツ</t>
    </rPh>
    <phoneticPr fontId="1"/>
  </si>
  <si>
    <t>　にエクスポートして、下のボタンをクリックしてください。</t>
    <rPh sb="11" eb="12">
      <t>シタ</t>
    </rPh>
    <phoneticPr fontId="1"/>
  </si>
  <si>
    <t>　サポートIDをE12セルに入力した後、下のボタンをクリックしてください。</t>
    <rPh sb="14" eb="16">
      <t>ニュウリョク</t>
    </rPh>
    <rPh sb="18" eb="19">
      <t>アト</t>
    </rPh>
    <rPh sb="20" eb="21">
      <t>シタ</t>
    </rPh>
    <phoneticPr fontId="1"/>
  </si>
  <si>
    <t>2026年1月</t>
    <rPh sb="4" eb="5">
      <t>ネン</t>
    </rPh>
    <rPh sb="6" eb="7">
      <t>ガツ</t>
    </rPh>
    <phoneticPr fontId="1"/>
  </si>
  <si>
    <t>2026年2月</t>
    <rPh sb="4" eb="5">
      <t>ネン</t>
    </rPh>
    <rPh sb="6" eb="7">
      <t>ガツ</t>
    </rPh>
    <phoneticPr fontId="1"/>
  </si>
  <si>
    <t>2026年3月</t>
    <rPh sb="4" eb="5">
      <t>ネン</t>
    </rPh>
    <rPh sb="6" eb="7">
      <t>ガツ</t>
    </rPh>
    <phoneticPr fontId="1"/>
  </si>
  <si>
    <t>2026年4月</t>
    <rPh sb="4" eb="5">
      <t>ネン</t>
    </rPh>
    <rPh sb="6" eb="7">
      <t>ガツ</t>
    </rPh>
    <phoneticPr fontId="1"/>
  </si>
  <si>
    <t>2026年5月</t>
    <rPh sb="4" eb="5">
      <t>ネン</t>
    </rPh>
    <rPh sb="6" eb="7">
      <t>ガツ</t>
    </rPh>
    <phoneticPr fontId="1"/>
  </si>
  <si>
    <t>2026年6月</t>
    <rPh sb="4" eb="5">
      <t>ネン</t>
    </rPh>
    <rPh sb="6" eb="7">
      <t>ガツ</t>
    </rPh>
    <phoneticPr fontId="1"/>
  </si>
  <si>
    <t>2026年7月</t>
    <rPh sb="4" eb="5">
      <t>ネン</t>
    </rPh>
    <rPh sb="6" eb="7">
      <t>ガツ</t>
    </rPh>
    <phoneticPr fontId="1"/>
  </si>
  <si>
    <t>NECフィールディング</t>
    <phoneticPr fontId="1"/>
  </si>
  <si>
    <t>日立システムズ</t>
    <rPh sb="0" eb="2">
      <t>ヒタチ</t>
    </rPh>
    <phoneticPr fontId="1"/>
  </si>
  <si>
    <t>サトー</t>
    <phoneticPr fontId="1"/>
  </si>
  <si>
    <t>2026年8月</t>
    <rPh sb="4" eb="5">
      <t>ネン</t>
    </rPh>
    <rPh sb="6" eb="7">
      <t>ガツ</t>
    </rPh>
    <phoneticPr fontId="1"/>
  </si>
  <si>
    <t>2026年9月</t>
    <rPh sb="4" eb="5">
      <t>ネン</t>
    </rPh>
    <rPh sb="6" eb="7">
      <t>ガツ</t>
    </rPh>
    <phoneticPr fontId="1"/>
  </si>
  <si>
    <t>2026年10月</t>
    <rPh sb="4" eb="5">
      <t>ネン</t>
    </rPh>
    <rPh sb="7" eb="8">
      <t>ガツ</t>
    </rPh>
    <phoneticPr fontId="1"/>
  </si>
  <si>
    <t>2026年11月</t>
    <rPh sb="4" eb="5">
      <t>ネン</t>
    </rPh>
    <rPh sb="7" eb="8">
      <t>ガツ</t>
    </rPh>
    <phoneticPr fontId="1"/>
  </si>
  <si>
    <t>2026年12月</t>
    <rPh sb="4" eb="5">
      <t>ネン</t>
    </rPh>
    <rPh sb="7" eb="8">
      <t>ガツ</t>
    </rPh>
    <phoneticPr fontId="1"/>
  </si>
  <si>
    <t>　予定年月、依頼先（保守会社）を選択し</t>
    <rPh sb="1" eb="3">
      <t>ヨテイ</t>
    </rPh>
    <rPh sb="3" eb="5">
      <t>ネンゲツ</t>
    </rPh>
    <rPh sb="6" eb="9">
      <t>イライサキ</t>
    </rPh>
    <rPh sb="10" eb="12">
      <t>ホシュ</t>
    </rPh>
    <rPh sb="12" eb="14">
      <t>カイシャ</t>
    </rPh>
    <rPh sb="16" eb="18">
      <t>センタク</t>
    </rPh>
    <phoneticPr fontId="1"/>
  </si>
  <si>
    <t>管轄店舗</t>
  </si>
  <si>
    <t>予定年月</t>
  </si>
  <si>
    <t>作業実施日（業務G記載）</t>
  </si>
  <si>
    <t>希望開始日時</t>
  </si>
  <si>
    <t>進捗状況</t>
  </si>
  <si>
    <t>作業内容</t>
  </si>
  <si>
    <t>システム診断有無</t>
  </si>
  <si>
    <t>依頼先（保守会社）</t>
  </si>
  <si>
    <t>出荷先名</t>
  </si>
  <si>
    <t>工場名</t>
  </si>
  <si>
    <t>システム名</t>
  </si>
  <si>
    <t>希望終了日時</t>
  </si>
  <si>
    <t>取引先契約番号</t>
  </si>
  <si>
    <t>システムコード</t>
  </si>
  <si>
    <t>お客様担当部署／担当者／連絡先</t>
  </si>
  <si>
    <t>店舗同行者／連絡先</t>
  </si>
  <si>
    <t>連絡事項</t>
  </si>
  <si>
    <t>点検対象機器</t>
  </si>
  <si>
    <t>実施不可確認書</t>
  </si>
  <si>
    <t>つくば第1CS</t>
  </si>
  <si>
    <t>ハードウェア点検</t>
  </si>
  <si>
    <t>有（システム診断：　本、ウィルスチェック：　本）　※本数の記載がない場合は送付いたしません。</t>
  </si>
  <si>
    <t>NECフィールディング</t>
  </si>
  <si>
    <t>診断対象外</t>
  </si>
  <si>
    <t>店舗調整中</t>
  </si>
  <si>
    <t>予防保守作業（4年目）</t>
  </si>
  <si>
    <t>キリンビール株式会社</t>
  </si>
  <si>
    <t>取手工場</t>
  </si>
  <si>
    <t>製品保管・発送立体自動倉庫</t>
  </si>
  <si>
    <t>2023013104-221-1</t>
  </si>
  <si>
    <t>08217-006-001</t>
  </si>
  <si>
    <t>4年目HDD交換</t>
  </si>
  <si>
    <t xml:space="preserve">ブランド / 機器構成名(個体名) / 型式 / シリアル番号
AWC7 Framework / AWC7本体 (FC-S36W)(AWC001) / FC-S36W-143CV7 / 2100623
</t>
  </si>
  <si>
    <t>予防保守作業</t>
  </si>
  <si>
    <t>日立システムズ</t>
  </si>
  <si>
    <t>株式会社ホギメディカル</t>
  </si>
  <si>
    <t>江戸崎配送センター</t>
  </si>
  <si>
    <t>RBシステム</t>
  </si>
  <si>
    <t>1907-006</t>
  </si>
  <si>
    <t>08441-013-001</t>
  </si>
  <si>
    <t>株式会社あらた</t>
  </si>
  <si>
    <t>つくば物流センター</t>
  </si>
  <si>
    <t>コンパクトシステム</t>
  </si>
  <si>
    <t>2023120709-224-1 / 2023120711-224-1</t>
  </si>
  <si>
    <t>08203-201-001</t>
  </si>
  <si>
    <t>株式会社ＬＩＸＩＬ</t>
  </si>
  <si>
    <t>筑波工場</t>
  </si>
  <si>
    <t>製品保管倉庫</t>
  </si>
  <si>
    <t>2025031303-224-1 / 2025031307-224-1</t>
  </si>
  <si>
    <t>08485-003-004</t>
  </si>
  <si>
    <t>株式会社フジシ－ル</t>
  </si>
  <si>
    <t>ロール保管用自動倉庫設備</t>
  </si>
  <si>
    <t>2024120612-224-1</t>
  </si>
  <si>
    <t>08443-079-001</t>
  </si>
  <si>
    <t>予防保守作業（8年目）</t>
  </si>
  <si>
    <t>8年目HDD交換、電源ユニット、冷却ﾌｧﾝ、電池、DVDﾄﾞﾗｲﾌﾞ交換</t>
  </si>
  <si>
    <t>つくば第2CS</t>
  </si>
  <si>
    <t>株式会社加藤製作所</t>
  </si>
  <si>
    <t>坂東工場</t>
  </si>
  <si>
    <t>自動倉庫システム</t>
  </si>
  <si>
    <t>2020101912-216-1</t>
  </si>
  <si>
    <t>08228A110-001</t>
  </si>
  <si>
    <t xml:space="preserve">ブランド / 機器構成名(個体名) / 型式 / シリアル番号
WareNavi7 / WareNavi7本体(FC-S35W/S4)(WN7-001) / FC-S35W/S42CM0 / S810280MA
</t>
  </si>
  <si>
    <t>2011-004</t>
  </si>
  <si>
    <t>8年目HDD交換</t>
  </si>
  <si>
    <t xml:space="preserve">ブランド / 機器構成名(個体名) / 型式 / シリアル番号
WareNavi7 / MOSⅦ(MOS01) / HJ-2045-WEJA/7R / 4235080-1
</t>
  </si>
  <si>
    <t>日晃工業株式会社</t>
  </si>
  <si>
    <t>坂東本社工場</t>
  </si>
  <si>
    <t>自動立体倉庫</t>
  </si>
  <si>
    <t>1908-004</t>
  </si>
  <si>
    <t>08228A111-001</t>
  </si>
  <si>
    <t>岡部株式会社</t>
  </si>
  <si>
    <t>茨城工場</t>
  </si>
  <si>
    <t>自動ラック倉庫</t>
  </si>
  <si>
    <t>2017080403-220-1</t>
  </si>
  <si>
    <t>08210A105-001</t>
  </si>
  <si>
    <t>株式会社三喜</t>
  </si>
  <si>
    <t>水海道配送センター</t>
  </si>
  <si>
    <t>ケース仕分けソータ設備</t>
  </si>
  <si>
    <t>2024061309-224-1</t>
  </si>
  <si>
    <t>08211A118-001</t>
  </si>
  <si>
    <t>株式会社立川製鑵</t>
  </si>
  <si>
    <t>自動倉庫</t>
  </si>
  <si>
    <t>2410-001</t>
  </si>
  <si>
    <t>08211-028-001</t>
  </si>
  <si>
    <t>ＳＭＣ株式会社</t>
  </si>
  <si>
    <t>東日本ロジスティクスセンター</t>
  </si>
  <si>
    <t>FS</t>
  </si>
  <si>
    <t>2023081806-224-1 / 2022110908-221-1</t>
  </si>
  <si>
    <t>08211A116-001</t>
  </si>
  <si>
    <t>添付ファイルの対象機器.TXTを確認</t>
  </si>
  <si>
    <t>茨木第1CS</t>
  </si>
  <si>
    <t>太陽ファルマテック株式会社</t>
  </si>
  <si>
    <t>高槻工場</t>
  </si>
  <si>
    <t>第3製剤　CMCシステム</t>
  </si>
  <si>
    <t>27207-010-002</t>
  </si>
  <si>
    <t>株式会社明治</t>
  </si>
  <si>
    <t>大阪工場</t>
  </si>
  <si>
    <t>西日本MDC</t>
  </si>
  <si>
    <t>2023110902-224-1 / 2020031907-216-1</t>
  </si>
  <si>
    <t>27207-038-006</t>
  </si>
  <si>
    <t xml:space="preserve">ブランド / 機器構成名(個体名) / 型式 / シリアル番号
WareNavi7 / WareNavi7本体 (FC-S35W/S4)(WN7-001) / FC-S35W/S42CM0 / S810282MA
WareNavi7 / WareNavi7予備機 (FC-S35W/S4)(WN7-002) / FC-S35W/S42CM0 / S780263MA
WareNavi7 / WareNavi7端末 (FC-E22U)(WAT003) / FC-E22U-S / 8807052
WareNavi7 / 現場端末 (FC-E22U)(WAT001) / FC-E22U-S / 88070546
WareNavi7 / 現場端末 (FC-E22U)(WAT002) / FC-E22U-S / 88070445
WareNavi7 / 進捗表示ﾏﾈｰｼﾞｬ (FC-E22U)(WAT004) / FC-E22U-S / 88070434
WareNavi7 / 進捗表示ﾏﾈｰｼﾞｬ (FC-E22U)(WAT005) / FC-E22U-S / 88070467
</t>
  </si>
  <si>
    <t>2004-007</t>
  </si>
  <si>
    <t xml:space="preserve">ブランド / 機器構成名(個体名) / 型式 / シリアル番号
WareNavi7 / MOSⅦ(MOSA01) / HJ-2045-WEJA/7R / 4235055-1
</t>
  </si>
  <si>
    <t>エスエス製薬株式会社</t>
  </si>
  <si>
    <t>大阪物流センター</t>
  </si>
  <si>
    <t>27224-158-001</t>
  </si>
  <si>
    <t xml:space="preserve">ブランド / 機器構成名(個体名) / 型式 / シリアル番号
AWC7 Ordermade / AWC7本体(FC-S36W)(AWC001) / FC-S36W-143CV7 / 2800737
AWC7 Ordermade / AWC7本体予備機(FC-S36W)(AWC002) / FC-S36W-143CV7 / 2800684
</t>
  </si>
  <si>
    <t>名糖運輸株式会社</t>
  </si>
  <si>
    <t>関西物流センター</t>
  </si>
  <si>
    <t>2021030509-216-1</t>
  </si>
  <si>
    <t>27207-340-001</t>
  </si>
  <si>
    <t>計画課　ウェアナビシステム</t>
  </si>
  <si>
    <t>2025031319-224-1 / 2025031323-224-1</t>
  </si>
  <si>
    <t>27207-010-001</t>
  </si>
  <si>
    <t>ハリマ共和物産株式会社</t>
  </si>
  <si>
    <t>高槻物流センター</t>
  </si>
  <si>
    <t>2024093004-224-1</t>
  </si>
  <si>
    <t>27207-343-001</t>
  </si>
  <si>
    <t>株式会社シブタニ</t>
  </si>
  <si>
    <t>ロジスティクスセンター</t>
  </si>
  <si>
    <t>2024051521-224-1</t>
  </si>
  <si>
    <t>27215-161-001</t>
  </si>
  <si>
    <t>株式会社公文教育研究会</t>
  </si>
  <si>
    <t>流通部　くもん大阪DC</t>
  </si>
  <si>
    <t>2024061110-224-1 / 2024061132-224-1</t>
  </si>
  <si>
    <t>27224-269-001</t>
  </si>
  <si>
    <t>大成メディカル株式会社</t>
  </si>
  <si>
    <t>2024080906-224-1 / 2024080908-224-1</t>
  </si>
  <si>
    <t>27211-110-001</t>
  </si>
  <si>
    <t>内外カーボンインキ株式会社</t>
  </si>
  <si>
    <t>2021030513-216-1 / 2021030511-216-1</t>
  </si>
  <si>
    <t>27207-096-001</t>
  </si>
  <si>
    <t>日本通運株式会社</t>
  </si>
  <si>
    <t>大阪支店　西日本医薬品センター事業所</t>
  </si>
  <si>
    <t>マテハン設備</t>
  </si>
  <si>
    <t>2022031105-221-1 / 2022031111-221-1</t>
  </si>
  <si>
    <t>27215A130-001</t>
  </si>
  <si>
    <t>2021031108-216-1</t>
  </si>
  <si>
    <t>2021030507-216-1</t>
  </si>
  <si>
    <t xml:space="preserve">ブランド / 機器構成名(個体名) / 型式 / シリアル番号
eAWC Framework Custom / eAWC本体(FC-S36W)(AWC001) / FC-S36W-133CW4 / 9Z00131
</t>
  </si>
  <si>
    <t>能勢・大成化工株式会社</t>
  </si>
  <si>
    <t>原料・製品格納ＡＳ／ＲＳ</t>
  </si>
  <si>
    <t>2021031106-216-1</t>
  </si>
  <si>
    <t>27322-011-001</t>
  </si>
  <si>
    <t>NX・NPロジスティクス株式会社</t>
  </si>
  <si>
    <t>西日本支店　大阪センター</t>
  </si>
  <si>
    <t>2022031412-221-1</t>
  </si>
  <si>
    <t>27224-053-002</t>
  </si>
  <si>
    <t xml:space="preserve">ブランド / 機器構成名(個体名) / 型式 / シリアル番号
AWC-500N / AWC端末 (FC-E22U)(WAT001) / FC-E22U-S / 1516090
AWC-500N / AWC端末 (FC-E22U)(WAT002) / FC-E22U-S / 1516092
AWC-500N / AWC端末 (FC-E22U)(WAT003) / FC-E22U-S / 1516093
</t>
  </si>
  <si>
    <t>三井倉庫ロジスティクス株式会社</t>
  </si>
  <si>
    <t>もえぎ物流センター</t>
  </si>
  <si>
    <t>TC/DC用マテハン設備</t>
  </si>
  <si>
    <t>2022051704-221-1</t>
  </si>
  <si>
    <t>27211A164-002</t>
  </si>
  <si>
    <t xml:space="preserve">ブランド / 機器構成名(個体名) / 型式 / シリアル番号
SAM / ｼｭｰﾄ端末 (FC-E22U)(WATZ001) / FC-E22U-S / 1415842
SAM / ｼｭｰﾄ端末 (FC-E22U)(WATZ002) / FC-E22U-S / 1415840
SAM / ｼｭｰﾄ端末 (FC-E22U)(WATZ003) / FC-E22U-S / 1415855
SAM / ｼｭｰﾄ端末 (FC-E22U)(WATZ004) / FC-E22U-S / 1415849
SAM / ｼｭｰﾄ端末 (FC-E22U)(WATZ005) / FC-E22U-S / 1415860
SAM / ｼｭｰﾄ端末 (FC-E22U)(WATZ006) / FC-E22U-S / 1415839
SAM / ﾘｼﾞｪｸﾄ端末 (FC-E22U)(WATZ101) / FC-E22U-S / 1415841
SAM / ﾘｼﾞｪｸﾄ端末 (FC-E22U)(WATZ102) / FC-E22U-S / 1415838
SAM / ﾘｼﾞｪｸﾄ端末 (FC-E22U)(WATZ103) / FC-E22U-S / 1415851
</t>
  </si>
  <si>
    <t>2204-012</t>
  </si>
  <si>
    <t xml:space="preserve">ブランド / 機器構成名(個体名) / 型式 / シリアル番号
AWC-500N / AWC本体 (HF-W6555)(AWC001) / HJ-6555-SBJD/DF04 / 4239694-1
</t>
  </si>
  <si>
    <t>2022051706-221-1</t>
  </si>
  <si>
    <t xml:space="preserve">ブランド / 機器構成名(個体名) / 型式 / シリアル番号
LPM / LPM (FC-S36W)(LPMZ401) / FC-S36W-143CV7 / 1600416
LPM / LPM (FC-S36W)(LPMZ402) / FC-S36W-143CV7 / 1600405
LPM / LPM (FC-S36W)(LPMZ403) / FC-S36W-143CV7 / 1600406
LPM / LPM (FC-S36W)(LPMZ404) / FC-S36W-143CV7 / 1600401
LPM / LPM (FC-S36W)(LPMZ405) / FC-S36W-143CV7 / 1600434
LPM / LPM (FC-S36W)(LPMZ406) / FC-S36W-143CV7 / 1700435
LPM / LPM (FC-S36W)(LPMZ501) / FC-S36W-143CV7 / 1700436
LPM / LPM (FC-S36W)(LPMZ502) / FC-S36W-143CV7 / 1700437
</t>
  </si>
  <si>
    <t>2018072404-216-1</t>
  </si>
  <si>
    <t>EC用マテハン設備</t>
  </si>
  <si>
    <t>2022051710-221-1</t>
  </si>
  <si>
    <t>27211A164-001</t>
  </si>
  <si>
    <t>添付ファイルの対象機器.txtを参照。19台あり</t>
  </si>
  <si>
    <t>仕掛品第二倉庫</t>
  </si>
  <si>
    <t>2304-005</t>
  </si>
  <si>
    <t>27207-038-007</t>
  </si>
  <si>
    <t xml:space="preserve">ブランド / 機器構成名(個体名) / 型式 / シリアル番号
AWC7 Framework / AWC7本体(HF-W6555)(AWC001) / HJ-6555-WEJD/DF05 / 4239966-4
AWC7 Framework / AWC7端末(HF-W2050)(WAT001) / HJ-2050-WEMA/DF03 / 8052830-5
</t>
  </si>
  <si>
    <t xml:space="preserve">2025031319-224-1 / 2025031323-224-1
</t>
  </si>
  <si>
    <t>横浜第1CS</t>
  </si>
  <si>
    <t>ＲＢシステム</t>
  </si>
  <si>
    <t>味の素食品株式会社</t>
  </si>
  <si>
    <t>川崎工場</t>
  </si>
  <si>
    <t>製造棟 自動倉庫</t>
  </si>
  <si>
    <t>2022110204-221-1</t>
  </si>
  <si>
    <t>14131A172-001</t>
  </si>
  <si>
    <t xml:space="preserve">ブランド / 機器構成名(個体名) / 型式 / シリアル番号
AWC7 Framework / AWC7端末(FC-E22U)(WAT01) / FC-E22U-S / 1616265
</t>
  </si>
  <si>
    <t>2024041010-224-1</t>
  </si>
  <si>
    <t>ZACROS株式会社</t>
  </si>
  <si>
    <t>横浜事業所</t>
  </si>
  <si>
    <t>ＣＳシステム</t>
  </si>
  <si>
    <t>2005-004</t>
  </si>
  <si>
    <t>14108-430-001</t>
  </si>
  <si>
    <t>横浜第3CS</t>
  </si>
  <si>
    <t>東洋水産株式会社</t>
  </si>
  <si>
    <t>東扇島冷蔵庫</t>
  </si>
  <si>
    <t xml:space="preserve">2025031349-224-1
</t>
  </si>
  <si>
    <t>14131-329-003</t>
  </si>
  <si>
    <t>包装棟　シャトルラックシステム</t>
  </si>
  <si>
    <t>FA186</t>
  </si>
  <si>
    <t>14131A172-004</t>
  </si>
  <si>
    <t>メビウスパッケージング株式会社</t>
  </si>
  <si>
    <t>高速リフター</t>
  </si>
  <si>
    <t>2005-007</t>
  </si>
  <si>
    <t>14131-044-001</t>
  </si>
  <si>
    <t>五十嵐冷蔵株式会社</t>
  </si>
  <si>
    <t>東扇島第一物流センター</t>
  </si>
  <si>
    <t>2024021520-224-1</t>
  </si>
  <si>
    <t>14131-280-001</t>
  </si>
  <si>
    <t>日清製粉株式会社</t>
  </si>
  <si>
    <t>鶴見工場</t>
  </si>
  <si>
    <t>2021091402-221-1</t>
  </si>
  <si>
    <t>14131-235-001</t>
  </si>
  <si>
    <t>三菱化工機株式会社</t>
  </si>
  <si>
    <t>川崎製作所</t>
  </si>
  <si>
    <t>2201-007</t>
  </si>
  <si>
    <t>14131-174-001</t>
  </si>
  <si>
    <t>ALSOK株式会社</t>
  </si>
  <si>
    <t>首都圏資金センター（神奈川）</t>
  </si>
  <si>
    <t>2024051543-224-1</t>
  </si>
  <si>
    <t>14110A102-001</t>
  </si>
  <si>
    <t>予防保守作業（7年目）</t>
  </si>
  <si>
    <t>FA178</t>
  </si>
  <si>
    <t>7年目　電源ユニット、冷却ﾌｧﾝ、ﾊﾞｯﾃﾘ、DVDﾄﾞﾗｲﾌﾞ交換</t>
  </si>
  <si>
    <t xml:space="preserve">ブランド / 機器構成名(個体名) / 型式 / シリアル番号
AWC7 Framework / AWC7本体(FA3100T model 800)(AWC001) / UA538020-DF2-CKC-A2663 / OHB214
</t>
  </si>
  <si>
    <t>株式会社アイセン</t>
  </si>
  <si>
    <t>2023101806-224-1</t>
  </si>
  <si>
    <t>14100-070-001</t>
  </si>
  <si>
    <t>伊藤忠食品株式会社</t>
  </si>
  <si>
    <t>東急ストア東扇島センタ－</t>
  </si>
  <si>
    <t>2201-012</t>
  </si>
  <si>
    <t>14131-614-001</t>
  </si>
  <si>
    <t>8年目　HDD交換</t>
  </si>
  <si>
    <t xml:space="preserve">ブランド / 機器構成名(個体名) / 型式 / シリアル番号
eAWC Framework Custom / eAWCｻｰﾊﾞ(HF-W6555)(WQ57D149) / HJ-6555-SDJD/DF06 / 4239808-1
SAM / SAMｻｰﾊﾞ(HF-W6555)(WQ59D151) / HJ-6555-SDJD/DF06 / 4239808-2
SAM / SAM(HF-W6555)(SAM002) / HJ-6555-SDJD/DF06 / 4239808-4
LPM / LPM(HF-W6555)(LPM01) / HJ-6555-SDJD/DF06 / 4239808-5
LPM / LPM(HF-W6555)(LPM02) / HJ-6555-SDJD/DF06 / 4239808-7
DPM / DPM(HF-W6555)(DPM001) / HJ-6555-SDJD/DF06 / 4239808-8
eAWC Framework Custom / eAWC端末(HF-W2050)(WAT001) / HJ-2050-WEMA/DF03 / 8052212-6
</t>
  </si>
  <si>
    <t>8年目　HDD交換、電源ユニット、冷却ﾌｧﾝ、電池、DVDﾄﾞﾗｲﾌﾞ交換</t>
  </si>
  <si>
    <t>隅田冷凍工業株式会社</t>
  </si>
  <si>
    <t>冷凍自動倉庫システム（ＣＳ・STV・コンベヤ）</t>
  </si>
  <si>
    <t>2023041708-224-1</t>
  </si>
  <si>
    <t>14131A175-001</t>
  </si>
  <si>
    <t xml:space="preserve">ブランド / 機器構成名(個体名) / 型式 / シリアル番号
WareNavi7 / 事務所端末 (FC-E22U)(WAT01) / FC-E22U-S / 1616342
</t>
  </si>
  <si>
    <t>2312-002</t>
  </si>
  <si>
    <t xml:space="preserve">ブランド / 機器構成名(個体名) / 型式 / シリアル番号
eAWC Framework / MOSⅦ(HF-W2055)(MOS01) / HJ-2055-WEMA/DF04 / 8052684-1
</t>
  </si>
  <si>
    <t>横浜第2CS</t>
  </si>
  <si>
    <t>三和倉庫株式会社</t>
  </si>
  <si>
    <t>川崎事業所</t>
  </si>
  <si>
    <t>川崎冷蔵株式会社</t>
  </si>
  <si>
    <t>3号棟Ｆ級自動倉庫</t>
  </si>
  <si>
    <t>1811-004</t>
  </si>
  <si>
    <t>14136-094-001</t>
  </si>
  <si>
    <t xml:space="preserve">ブランド / 機器構成名(個体名) / 型式 / シリアル番号
AWC-800N / AWC本体 (HF-W6555)(AWC001K) / HJ-6555-WBJD/7R / 4233983-1
</t>
  </si>
  <si>
    <t>株式会社ニチベイ</t>
  </si>
  <si>
    <t>ブラインド関係部品自動倉庫(KT)</t>
  </si>
  <si>
    <t>2022110210-221-1 / 2022110208-221-1</t>
  </si>
  <si>
    <t>14401-025-002</t>
  </si>
  <si>
    <t xml:space="preserve">ブランド / 機器構成名(個体名) / 型式 / シリアル番号
AWC4 Framework / AWC4本体(FC-S36W)(AWC001) / FC-S36W-143CV7 / 2100624
AWC4 Framework / AWC4端末(FC-E22U)(WAT001) / FC-E22U-S / 2117467
</t>
  </si>
  <si>
    <t>ＪＦＥエンジニアリング株式会社</t>
  </si>
  <si>
    <t>部品格納用自動倉庫（D）</t>
  </si>
  <si>
    <t>2023041020-224-1 / 2023041018-224-2</t>
  </si>
  <si>
    <t>14101-441-002</t>
  </si>
  <si>
    <t xml:space="preserve">ブランド / 機器構成名(個体名) / 型式 / シリアル番号
eAWC Framework Custom / eAWC本体(FC-S36W)(EAWC001) / FC-S36W-143CV7 / 2800741
eAWC Framework Custom / eAWC端末(FC-E29U)(WAT001) / FC-E29U-S31C42 / 2Z00195
eAWC Framework Custom / eAWC端末(FC-E29U)(WAT002) / FC-E29U-S31C42 / 2Z00169
</t>
  </si>
  <si>
    <t>コーナン商事株式会社</t>
  </si>
  <si>
    <t>川崎ベイ流通センター</t>
  </si>
  <si>
    <t>仕分けシステム</t>
  </si>
  <si>
    <t>2021061010-221-1</t>
  </si>
  <si>
    <t>14131A166-001</t>
  </si>
  <si>
    <t>株式会社日本触媒</t>
  </si>
  <si>
    <t>川崎製造所</t>
  </si>
  <si>
    <t>2001-008</t>
  </si>
  <si>
    <t>14131-182-001</t>
  </si>
  <si>
    <t>ENEOS株式会社</t>
  </si>
  <si>
    <t>横浜製造所</t>
  </si>
  <si>
    <t>立体ドラム倉庫</t>
  </si>
  <si>
    <t>FA183</t>
  </si>
  <si>
    <t>14102-125-007</t>
  </si>
  <si>
    <t>セントラル・タンクターミナル株式会社</t>
  </si>
  <si>
    <t>川崎事業所　南エリア</t>
  </si>
  <si>
    <t>FA174 / FA175</t>
  </si>
  <si>
    <t>14131-695-001</t>
  </si>
  <si>
    <t>危険物立体倉庫(KT)</t>
  </si>
  <si>
    <t>2024061116-224-1</t>
  </si>
  <si>
    <t>14131-274-001</t>
  </si>
  <si>
    <t>株式会社丸運</t>
  </si>
  <si>
    <t>川崎ケミカルセンター</t>
  </si>
  <si>
    <t>マテハン設備システム(KT)</t>
  </si>
  <si>
    <t>2024061112-224-1</t>
  </si>
  <si>
    <t>14131-624-001</t>
  </si>
  <si>
    <t>太陽油脂株式会社</t>
  </si>
  <si>
    <t>2021051806-221-1 / 2021051808-221-1</t>
  </si>
  <si>
    <t>14102A003-001</t>
  </si>
  <si>
    <t xml:space="preserve">ブランド / 機器構成名(個体名) / 型式 / シリアル番号
eAWC Framework / eAWC本体 (FC-S36W)(AWC001) / FC-S36W-143CV7 / 0700229
eAWC Framework / eAWC端末 (FC-E22U)(WAT001) / FC-E22U-S / 0914151
eAWC Framework / eAWC端末 (FC-E22U)(WAT002) / FC-E22U-S / 0914145
</t>
  </si>
  <si>
    <t>エア・ウォーター・パフォーマンスケミカル株式会社</t>
  </si>
  <si>
    <t>ラックビルシステム</t>
  </si>
  <si>
    <t>2207-002</t>
  </si>
  <si>
    <t>14131-223-001</t>
  </si>
  <si>
    <t xml:space="preserve">ブランド / 機器構成名(個体名) / 型式 / シリアル番号
eAWC Framework / eAWC本体(HF-W6555)(AWC001) / HJ-6555-WEJD/DF05 / 4239695-9
</t>
  </si>
  <si>
    <t>岡崎CS</t>
  </si>
  <si>
    <t>日本ペイント・オートモーティブコーティングス株式会社</t>
  </si>
  <si>
    <t>豊田事業所</t>
  </si>
  <si>
    <t>物流部　ペイント格納庫</t>
  </si>
  <si>
    <t>2209-001</t>
  </si>
  <si>
    <t>23211-021-001</t>
  </si>
  <si>
    <t xml:space="preserve">ブランド / 機器構成名(個体名) / 型式 / シリアル番号
AWC7 Framework / AWC7本体(HF-W6555)(AWC001) / HJ-6555-WEJD/DF05 / 4239695-5
AWC7 Framework / AWC7端末(HF-W2050)(WAT001) / HJ-2050-WEMA/DF03 / 8052212-3
AWC7 Framework / AWC7端末(HF-W2050)(WAT002) / HJ-2050-WEMA/DF03 / 8052212-4
AWC7 Framework / AWC7端末(HF-W2050)(WAT003) / HJ-2050-WEMA/DF03 / 8052212-5
</t>
  </si>
  <si>
    <t>名古屋電気株式会社</t>
  </si>
  <si>
    <t>刈谷物流センタ－</t>
  </si>
  <si>
    <t>自動倉庫　2号機</t>
  </si>
  <si>
    <t>2303-004</t>
  </si>
  <si>
    <t>23210-346-001</t>
  </si>
  <si>
    <t xml:space="preserve">ブランド / 機器構成名(個体名) / 型式 / シリアル番号
AWC7 Basic / AWC7本体 (HF-W6555)(AWC001) / HJ-6555-WEJD/DF05 / 4240321-4
</t>
  </si>
  <si>
    <t>豊臣熱処理工業株式会社</t>
  </si>
  <si>
    <t>仕掛品保管・搬送システム　1,3号機</t>
  </si>
  <si>
    <t>2019031202-216-1</t>
  </si>
  <si>
    <t>23225-071-001</t>
  </si>
  <si>
    <t xml:space="preserve">ブランド / 機器構成名(個体名) / 型式 / シリアル番号
AWC4 Ordermade / AWC4本体 (FC-S35W/S7)(AWC001) / FC-S35W/S72CL9 / S890012MA
AWC4 Ordermade / AWC4本体予備機 (FC-S35W/S7)(AWC001予備) / FC-S35W/S72CL9 / S890007MA
</t>
  </si>
  <si>
    <t>アイシン辰栄株式会社</t>
  </si>
  <si>
    <t>幸田工場</t>
  </si>
  <si>
    <t>10t金型保管倉庫　2号機</t>
  </si>
  <si>
    <t>1908-010</t>
  </si>
  <si>
    <t>23213A109-003</t>
  </si>
  <si>
    <t xml:space="preserve">ブランド / 機器構成名(個体名) / 型式 / シリアル番号
AWC4 Framework / AWC4本体 (HF-W6555)() / HJ-6555-WBJD/DF01 / 4234779-1
</t>
  </si>
  <si>
    <t>三菱自動車工業株式会社</t>
  </si>
  <si>
    <t>岡崎製作所</t>
  </si>
  <si>
    <t>塗完序列装置</t>
  </si>
  <si>
    <t>2019042409-216-1</t>
  </si>
  <si>
    <t>23202-005-012</t>
  </si>
  <si>
    <t>5t金型保管倉庫　3号機</t>
  </si>
  <si>
    <t>1907-004</t>
  </si>
  <si>
    <t>23213A109-002</t>
  </si>
  <si>
    <t>株式会社デンソーロジテム</t>
  </si>
  <si>
    <t>小垣江物流センター</t>
  </si>
  <si>
    <t>高層ラック格納庫</t>
  </si>
  <si>
    <t>1908-007</t>
  </si>
  <si>
    <t>23210-201-001</t>
  </si>
  <si>
    <t>株式会社奥堀</t>
  </si>
  <si>
    <t>2023101218-224-1 / 2023101220-224-1</t>
  </si>
  <si>
    <t>23223-171-001</t>
  </si>
  <si>
    <t>豊田鉄工株式会社</t>
  </si>
  <si>
    <t>額田工場</t>
  </si>
  <si>
    <t>Ａパレ倉庫</t>
  </si>
  <si>
    <t>23502-015-002</t>
  </si>
  <si>
    <t>Ｂパレ倉庫</t>
  </si>
  <si>
    <t>23502-015-001</t>
  </si>
  <si>
    <t>キョーワ株式会社</t>
  </si>
  <si>
    <t>愛知安城配送センター</t>
  </si>
  <si>
    <t>自動倉庫CS5台</t>
  </si>
  <si>
    <t>2024082906-224-1</t>
  </si>
  <si>
    <t>23212A142-001</t>
  </si>
  <si>
    <t>ウェルネオシュガー株式会社</t>
  </si>
  <si>
    <t>中部工場</t>
  </si>
  <si>
    <t>製糖資材保管ＲＢシステム</t>
  </si>
  <si>
    <t>23209-144-001</t>
  </si>
  <si>
    <t>株式会社マキタ</t>
  </si>
  <si>
    <t>岡崎工場</t>
  </si>
  <si>
    <t>Ｊ棟　一般倉庫</t>
  </si>
  <si>
    <t>2021020807-216-1</t>
  </si>
  <si>
    <t>23202-369-006</t>
  </si>
  <si>
    <t>株式会社ニデック</t>
  </si>
  <si>
    <t>浜町工場</t>
  </si>
  <si>
    <t>2112-008</t>
  </si>
  <si>
    <t>23214-141-001</t>
  </si>
  <si>
    <t>株式会社近藤鐵工所</t>
  </si>
  <si>
    <t>2207-001</t>
  </si>
  <si>
    <t>23214A111-001</t>
  </si>
  <si>
    <t xml:space="preserve">ブランド / 機器構成名(個体名) / 型式 / シリアル番号
AWC7 Framework / AWC7本体(HF-W6555)(AWC001) / HJ-6555-WEJD/DF05 / 4239515-2
</t>
  </si>
  <si>
    <t>岐阜CS</t>
  </si>
  <si>
    <t>サトー</t>
  </si>
  <si>
    <t>アピ株式会社</t>
  </si>
  <si>
    <t>本巣医薬品工場</t>
  </si>
  <si>
    <t>ドリンク新工場　マテハン設備</t>
  </si>
  <si>
    <t>21218A111-001</t>
  </si>
  <si>
    <t>株式会社山加商店</t>
  </si>
  <si>
    <t>製品保管システム</t>
  </si>
  <si>
    <t>2021051810-221-1 / 2021051812-221-1</t>
  </si>
  <si>
    <t>21212-043-001</t>
  </si>
  <si>
    <t xml:space="preserve">ブランド / 機器構成名(個体名) / 型式 / シリアル番号
AWC4 Framework / AWC4本体 (FC-S35W/S7)(AWC001) / FC-S35W/S72CL9 / S7X0164MA
AWC4 Framework / AWC4端末 (FC-E22U)(WAT001) / FC-E22U-S / 8606268
</t>
  </si>
  <si>
    <t>株式会社エフピコ</t>
  </si>
  <si>
    <t>中部第二工場</t>
  </si>
  <si>
    <t>CSシステム</t>
  </si>
  <si>
    <t>2307-001</t>
  </si>
  <si>
    <t>21382-021-001</t>
  </si>
  <si>
    <t xml:space="preserve">ブランド / 機器構成名(個体名) / 型式 / シリアル番号
eAWC Framework / eAWC本体(HF-W6555)(EAWC001) / HJ-6555-WEJD/DF05 / 4240422-4
</t>
  </si>
  <si>
    <t>名古屋モザイク工業株式会社</t>
  </si>
  <si>
    <t>ＮＭ物流センター</t>
  </si>
  <si>
    <t>製品格納自動倉庫</t>
  </si>
  <si>
    <t>2023061502-224-1</t>
  </si>
  <si>
    <t>21204A109-001</t>
  </si>
  <si>
    <t xml:space="preserve">ブランド / 機器構成名(個体名) / 型式 / シリアル番号
AWC7 Framework / AWC7本体(FC-E29U)(AWC001) / FC-E29U-S31C46 / 2Z00109
</t>
  </si>
  <si>
    <t>住友化学株式会社</t>
  </si>
  <si>
    <t>大分工場岐阜プラント</t>
  </si>
  <si>
    <t>ラックビル【Warenavi4】</t>
  </si>
  <si>
    <t xml:space="preserve">2025031309-224-1
</t>
  </si>
  <si>
    <t>21383-025-001</t>
  </si>
  <si>
    <t xml:space="preserve">ブランド / 機器構成名(個体名) / 型式 / シリアル番号
WareNavi4 Framework / 操作端末C/D (FC-E29U)(操作端末C) / FC-E29U-S31C42 / 2Z00188
WareNavi4 Framework / 操作端末C/D (FC-E29U)(操作端末D) / FC-E29U-S31C42 / 2Z00182
</t>
  </si>
  <si>
    <t>ラックビル【AWC】</t>
  </si>
  <si>
    <t>2024091134-224-1 / 2024091128-224-1</t>
  </si>
  <si>
    <t xml:space="preserve">ブランド / 機器構成名(個体名) / 型式 / シリアル番号
AWC-500N / AWC本体 (FC-S36W)(AWC001) / FC-S36W-143CV7 / 2800746
AWC-500N / AWC端末 (FC-E29U)(WAT001) / FC-E29U-S31C42 / 2Z00192
AWC-500N / AWC端末 (FC-E29U)(WAT002) / FC-E29U-S31C42 / 2Z00190
</t>
  </si>
  <si>
    <t>北島水産株式会社</t>
  </si>
  <si>
    <t>冷凍自動倉庫</t>
  </si>
  <si>
    <t>21201A131-001</t>
  </si>
  <si>
    <t>予防保守作業（12年目）</t>
  </si>
  <si>
    <t>ラックビル</t>
  </si>
  <si>
    <t>2023090514-224-1</t>
  </si>
  <si>
    <t>12年目HDD交換</t>
  </si>
  <si>
    <t xml:space="preserve">ブランド / 機器構成名(個体名) / 型式 / シリアル番号
WareNavi4 Framework / WareNavi4本体 (FC-S35W/S4)(WMS001) / FC-S35W/S44W7Z / S4Z0972MA
</t>
  </si>
  <si>
    <t>株式会社エスラインギフ</t>
  </si>
  <si>
    <t>飲料保管自動倉庫</t>
  </si>
  <si>
    <t>1912-001</t>
  </si>
  <si>
    <t>21302-099-002</t>
  </si>
  <si>
    <t>2019111323-216-1</t>
  </si>
  <si>
    <t>株式会社ブリヂストン</t>
  </si>
  <si>
    <t>関工場</t>
  </si>
  <si>
    <t>ワイヤー保管自動倉庫</t>
  </si>
  <si>
    <t>2005-014</t>
  </si>
  <si>
    <t>21205-099-003</t>
  </si>
  <si>
    <t>ミズノテクニクス株式会社</t>
  </si>
  <si>
    <t>ゴルフクラブ格納自動倉庫</t>
  </si>
  <si>
    <t>2407-006</t>
  </si>
  <si>
    <t>21341-014-001</t>
  </si>
  <si>
    <t>株式会社メニコン</t>
  </si>
  <si>
    <t>各務原工場</t>
  </si>
  <si>
    <t>2024112006-224-1</t>
  </si>
  <si>
    <t>21213A129-001</t>
  </si>
  <si>
    <t>シーピー化成株式会社</t>
  </si>
  <si>
    <t>中部物流センター</t>
  </si>
  <si>
    <t>2024091122-224-1 / 2024091120-224-1</t>
  </si>
  <si>
    <t>21212A101-001</t>
  </si>
  <si>
    <t>神山商事株式会社</t>
  </si>
  <si>
    <t>GSシステム</t>
  </si>
  <si>
    <t>2018052207-216-1</t>
  </si>
  <si>
    <t>21201-625-001</t>
  </si>
  <si>
    <t>グリコマニュファクチャリングジャパン株式会社</t>
  </si>
  <si>
    <t>岐阜工場</t>
  </si>
  <si>
    <t>FA176 / FA177</t>
  </si>
  <si>
    <t>21383-014-001</t>
  </si>
  <si>
    <t>7年目電源ユニット、冷却ﾌｧﾝ、ﾊﾞｯﾃﾘ、DVDﾄﾞﾗｲﾌﾞ交換</t>
  </si>
  <si>
    <t xml:space="preserve">ブランド / 機器構成名(個体名) / 型式 / シリアル番号
AWC7 Framework / AWC7本体 (FA3100T model 800)(N5554216) / UA538020 / OHB052
AWC7 Framework / AWC7端末 (FA2100T model 600)(WAT001) / UA52602 / OGJ075
AWC7 Framework / AWC7端末 (FA2100T model 600)(WAT002) / UA52602 / OGJ076
AWC7 Framework / AWC7端末 (FA2100T model 600)(WAT003) / UA52602 / OGJ074
</t>
  </si>
  <si>
    <t>株式会社岐阜セラツク製造所</t>
  </si>
  <si>
    <t>鶉工場</t>
  </si>
  <si>
    <t>防爆自動倉庫システム</t>
  </si>
  <si>
    <t>2021102504-221-1 / 2021102502-221-1</t>
  </si>
  <si>
    <t>21201-178-001</t>
  </si>
  <si>
    <t xml:space="preserve">ブランド / 機器構成名(個体名) / 型式 / シリアル番号
eAWC Framework / eAWC本体 (FC-S36W)(EAWC001) / FC-S36W-143CV7 / 1300341
eAWC Framework / eAWC端末 (FC-E22U)(WAT001) / FC-E22U-S / 1215660
</t>
  </si>
  <si>
    <t>中部エコペット</t>
  </si>
  <si>
    <t>原反用自動倉庫</t>
  </si>
  <si>
    <t>2305-010</t>
  </si>
  <si>
    <t>21382A104-001</t>
  </si>
  <si>
    <t xml:space="preserve">ブランド / 機器構成名(個体名) / 型式 / シリアル番号
AWC7 Basic / AWC7本体(HF-W6555)(AWC001) / HJ-6555-WEJD/DF05 / 4239720-3
</t>
  </si>
  <si>
    <t xml:space="preserve">8年目HDD交換、電源ユニット、冷却ﾌｧﾝ、電池、DVDﾄﾞﾗｲﾌﾞ交換
</t>
  </si>
  <si>
    <t>久喜CS</t>
  </si>
  <si>
    <t>関東久喜工場</t>
  </si>
  <si>
    <t>製品格納自動倉庫システム</t>
  </si>
  <si>
    <t>2020091409-216-1 / 2020091411-216-1</t>
  </si>
  <si>
    <t>11232-048-001</t>
  </si>
  <si>
    <t xml:space="preserve">ブランド / 機器構成名(個体名) / 型式 / シリアル番号
AWC-100N+ / AWC本体(FC-S35W/S7)(AWC001) / FC-S35W/S72CL9 / S7X0165MA
AWC-100N+ / AWC端末(FC-E22U)(WAT001) / FC-E22U-S / 8506066
</t>
  </si>
  <si>
    <t>東洋製罐株式会社</t>
  </si>
  <si>
    <t>久喜工場</t>
  </si>
  <si>
    <t>ペットボトル保管倉庫</t>
  </si>
  <si>
    <t>2005-002</t>
  </si>
  <si>
    <t>11232-004-002</t>
  </si>
  <si>
    <t>株式会社日伝</t>
  </si>
  <si>
    <t>東部物流センター</t>
  </si>
  <si>
    <t>2017032804-220-1</t>
  </si>
  <si>
    <t>11213-155-001</t>
  </si>
  <si>
    <t>古賀</t>
  </si>
  <si>
    <t>深谷支店　東日本医薬品センター事業所</t>
  </si>
  <si>
    <t>医薬品センター</t>
  </si>
  <si>
    <t>2022031117-221-1 / 2022031119-221-1</t>
  </si>
  <si>
    <t>11232A131-001</t>
  </si>
  <si>
    <t xml:space="preserve">ブランド / 機器構成名(個体名) / 型式 / シリアル番号
WareNavi7 / ｼｬﾄﾙﾗｯｸｻｰﾊﾞ (FC-S36W)(SRS-001) / FC-S36W-143CV7 / 0900274
WareNavi7 / ｼｬﾄﾙﾗｯｸﾘｼﾞｪｸﾄ端末 (FC-E22U)(WAT001) / FC-E22U-S / 0Y14728
WareNavi7 / ﾊﾞｰｽ端末 (FC-E22U)(WAT101) / FC-E22U-S / 0Y14733
WareNavi7 / ﾊﾞｰｽ端末 (FC-E22U)(WAT102) / FC-E22U-S / 0X14531
WareNavi7 / ﾊﾞｰｽ端末 (FC-E22U)(WAT103) / FC-E22U-S / 0Y14731
WareNavi7 / ﾊﾞｰｽ端末 (FC-E22U)(WAT104) / FC-E22U-S / 0Y14727
WareNavi7 / ﾊﾞｰｽ端末 (FC-E22U)(WAT105) / FC-E22U-S / 0Y14734
WareNavi7 / ﾊﾞｰｽ端末 (FC-E22U)(WAT106) / FC-E22U-S / 0Y14735
WareNavi7 / ﾊﾞｰｽ端末 (FC-E22U)(WAT107) / FC-E22U-S / 0Y14732
WareNavi7 / ﾊﾞｰｽ端末 (FC-E22U)(WAT108) / FC-E22U-S / 0X14530
WareNavi7 / ﾊﾞｰｽ端末 (FC-E22U)(WAT109) / FC-E22U-S / 0Y14726
WareNavi7 / ﾊﾞｰｽ端末 (FC-E22U)(WAT110) / FC-E22U-S / 0Y14730
SAM / SAMｻｰﾊﾞ (FC-S36W)(SAM-001) / FC-S36W-143CV7 / 0X00277
SAM / ｿｰﾀﾘｼﾞｪｸﾄ端末 (FC-E22U)(WAT002) / FC-E22U-S / 0Y14729
</t>
  </si>
  <si>
    <t>株式会社シンテクノ</t>
  </si>
  <si>
    <t>パレット系自動倉庫システム</t>
  </si>
  <si>
    <t>2401-001</t>
  </si>
  <si>
    <t>11232A139-001</t>
  </si>
  <si>
    <t xml:space="preserve">ブランド / 機器構成名(個体名) / 型式 / シリアル番号
AWC7 Basic / AWC7本体(HF-W6555)(AWC001) / HJ-6555-WEJD/DF05 / 4239515-7
AWC7 Basic / AWC7端末(HF-W2050)(WAT001) / HJ-2050-WEMA/DF03 / 8052088-2
</t>
  </si>
  <si>
    <t>株式会社ショーモン</t>
  </si>
  <si>
    <t>ミッションランド</t>
  </si>
  <si>
    <t>2022120707-221-1 / 2022120709-221-1</t>
  </si>
  <si>
    <t>11232A133-001</t>
  </si>
  <si>
    <t xml:space="preserve">ブランド / 機器構成名(個体名) / 型式 / シリアル番号
WareNavi7 / WareNavi7本体 (FC-S36W)(WN7-001) / FC-S36W-143CV7 / 1800472
WareNavi7 / WareNavi7端末 (FC-E22U)(WAT001) / FC-E22U-S / 1616332
WareNavi7 / WareNavi7端末 (FC-E22U)(WAT002) / FC-E22U-S / 1616344
</t>
  </si>
  <si>
    <t>宮崎CS</t>
  </si>
  <si>
    <t>株式会社ヴァンティブ</t>
  </si>
  <si>
    <t>宮崎工場</t>
  </si>
  <si>
    <t>製品、原材料格納ＲＢ</t>
  </si>
  <si>
    <t>1902-001</t>
  </si>
  <si>
    <t>45301-006-002</t>
  </si>
  <si>
    <t xml:space="preserve">ブランド / 機器構成名(個体名) / 型式 / シリアル番号
AWC4 Ordermade / AWC4本体 (HF-W6555)(AWC) / HJ-6555-WBJD/DF01 / 4233569-1
AWC4 Ordermade / AWC4端末 (HF-W2045)(WAT001) / HJ-2045-WBJA/DF01 / 4233585-1
AWC4 Ordermade / AWC4端末 (HF-W2045)(WAT002) / HJ-2045-WBJA/DF01 / 4233583-1
AWC4 Ordermade / AWC4端末 (HF-W2045)(WAT003) / HJ-2045-WBJA/DF01 / 4233586-1
AWC4 Ordermade / AWC4端末 (HF-W2045)(WAT004) / HJ-2045-WBJA/DF01 / 4233584-1
</t>
  </si>
  <si>
    <t>宮崎県農業協同組合</t>
  </si>
  <si>
    <t>串間市大束地区本部</t>
  </si>
  <si>
    <t>かんしょ集出荷設備</t>
  </si>
  <si>
    <t>2024101502-224-1</t>
  </si>
  <si>
    <t>45207-009-001</t>
  </si>
  <si>
    <t>2411-003</t>
  </si>
  <si>
    <t>旭化成バッテリーセパレータ株式会社</t>
  </si>
  <si>
    <t>ハイポア日向工場</t>
  </si>
  <si>
    <t>ハイポア製品格納自動倉庫</t>
  </si>
  <si>
    <t>2023101208-224-1 / 2023101210-224-1</t>
  </si>
  <si>
    <t>45206-026-001</t>
  </si>
  <si>
    <t xml:space="preserve">ブランド / 機器構成名(個体名) / 型式 / シリアル番号
AWC7 Framework / AWC7本体(FC-S36W)(AWC001) / FC-S36W-143CV7 / 1Z00541
AWC7 Framework / AWC7端末(FC-E22U)(WAT001) / FC-E22U-S / 1X17130
</t>
  </si>
  <si>
    <t>熊本CS</t>
  </si>
  <si>
    <t>FSシステム</t>
  </si>
  <si>
    <t>北星産業株式会社</t>
  </si>
  <si>
    <t>コメリ九州流通センタ－</t>
  </si>
  <si>
    <t>2016122602-220-1</t>
  </si>
  <si>
    <t>40202-116-001</t>
  </si>
  <si>
    <t>熊本市農業協同組合</t>
  </si>
  <si>
    <t>河内　柑橘選果場</t>
  </si>
  <si>
    <t>柑橘選果システム</t>
  </si>
  <si>
    <t>2023030904-223-1 / 2023030906-223-1</t>
  </si>
  <si>
    <t>43201-539-002</t>
  </si>
  <si>
    <t xml:space="preserve">ブランド / 機器構成名(個体名) / 型式 / シリアル番号
eAWC Framework / 予措庫管理PC(FC-S36W)(AWC002) / FC-S36W-143CV7 / 1100322
SAM / SAM(FC-S36W)(SAM001) / FC-S36W-143CV7 / 1100319
eWareNavi Framework Custom / ﾏﾃﾊﾝ端末(FC-E22U)(WAT001) / FC-E22U-S / 1215611
</t>
  </si>
  <si>
    <t>株式会社日立ハイテク九州</t>
  </si>
  <si>
    <t>大牟田エコサイト</t>
  </si>
  <si>
    <t>自動倉庫設備</t>
  </si>
  <si>
    <t>2211-003</t>
  </si>
  <si>
    <t>40202A117-001</t>
  </si>
  <si>
    <t xml:space="preserve">ブランド / 機器構成名(個体名) / 型式 / シリアル番号
WareNavi7 / WareNavi7本体(HF-W6555)(AWC001) / HJ-6555-WEJD/DF05 / 4239000-1
</t>
  </si>
  <si>
    <t>群馬CS</t>
  </si>
  <si>
    <t>コメリ高崎流通センタ－</t>
  </si>
  <si>
    <t>2016122604-220-1</t>
  </si>
  <si>
    <t>10363-027-001</t>
  </si>
  <si>
    <t>4年目HDD交換
2025年6月1日に8年目HDD交換を実施。</t>
  </si>
  <si>
    <t xml:space="preserve">ブランド / 機器構成名(個体名) / 型式 / シリアル番号
AWC-500N / AWC本体 (FC-S35W/S7)(AWC001) / FC-S35W/S72CL9 / S521446MA
</t>
  </si>
  <si>
    <t>株式会社フレッセイ</t>
  </si>
  <si>
    <t>前橋</t>
  </si>
  <si>
    <t>ケースソーター設備</t>
  </si>
  <si>
    <t>10201-400-001</t>
  </si>
  <si>
    <t>アルフレッサ株式会社</t>
  </si>
  <si>
    <t>10202-124-001</t>
  </si>
  <si>
    <t>株式会社ヨシミフーズ</t>
  </si>
  <si>
    <t>T-LOGI本庄児玉</t>
  </si>
  <si>
    <t>2023011308-221-2</t>
  </si>
  <si>
    <t>11385A102-001</t>
  </si>
  <si>
    <t xml:space="preserve">ブランド / 機器構成名(個体名) / 型式 / シリアル番号
WareNavi7 / WareNavi7端末(FC-E22U)(WATA001) / FC-E22U-S / 1X17232
WareNavi7 / WareNavi7端末(FC-E22U)(WATA002) / FC-E22U-S / 1X17215
WareNavi7 / WareNavi7端末(FC-E22U)(WATA003) / FC-E22U-S / 1X17218
WareNavi7 / WareNavi7端末(FC-E22U)(WATB001) / FC-E22U-S / 1X17228
WareNavi7 / WareNavi7端末(FC-E22U)(WATB002) / FC-E22U-S / 1Y17297
WareNavi7 / WareNavi7端末(FC-E22U)(WATB003) / FC-E22U-S / 1X17234
</t>
  </si>
  <si>
    <t>製品保管用自動倉庫</t>
  </si>
  <si>
    <t>2303-001</t>
  </si>
  <si>
    <t xml:space="preserve">ブランド / 機器構成名(個体名) / 型式 / シリアル番号
WareNavi7 / MOSⅦ本体(HF-W2055)(MOSA001) / HJ-2055-WEMA/DF04 / 8053654-1
WareNavi7 / MOSⅦ本体(HF-W2055)(MOSB001) / HJ-2055-WEMA/DF04 / 8053654-2
</t>
  </si>
  <si>
    <t>株式会社ナック</t>
  </si>
  <si>
    <t>本庄工場</t>
  </si>
  <si>
    <t>2018081606-216-1</t>
  </si>
  <si>
    <t>11211A102-001</t>
  </si>
  <si>
    <t xml:space="preserve">ブランド / 機器構成名(個体名) / 型式 / シリアル番号
WareNavi4 Framework / WareNavi4本体 (FC-S35W/S7)(WMS001) / FC-S35W/S72CL9 / S450754MA
</t>
  </si>
  <si>
    <t>タカナシ乳業株式会社</t>
  </si>
  <si>
    <t>群馬工場　HD4</t>
  </si>
  <si>
    <t>群馬HD第四工場　資材保管自動倉庫</t>
  </si>
  <si>
    <t>2408-004 / 2408-005</t>
  </si>
  <si>
    <t>10361-005-001</t>
  </si>
  <si>
    <t>株式会社福音館書店</t>
  </si>
  <si>
    <t>製本格納倉庫</t>
  </si>
  <si>
    <t>2401-002</t>
  </si>
  <si>
    <t>11385-030-001</t>
  </si>
  <si>
    <t>DC/馬場様/027-320-4055</t>
  </si>
  <si>
    <t>2021042606-221-1</t>
  </si>
  <si>
    <t>ＴＳネットワーク株式会社</t>
  </si>
  <si>
    <t>高崎流通センター</t>
  </si>
  <si>
    <t>ピッキングライン</t>
  </si>
  <si>
    <t>2021092908-221-1 / 2021092910-221-1</t>
  </si>
  <si>
    <t>10202-344-001</t>
  </si>
  <si>
    <t>マックス物流倉庫株式会社</t>
  </si>
  <si>
    <t>吉井工場</t>
  </si>
  <si>
    <t>移動ラック</t>
  </si>
  <si>
    <t>2305-008</t>
  </si>
  <si>
    <t>10363-032-001</t>
  </si>
  <si>
    <t xml:space="preserve">ブランド / 機器構成名(個体名) / 型式 / シリアル番号
WareNavi7 / MOSⅦ(MOS01) / HJ-2055-WEMA/DF04 / 8051465-1
</t>
  </si>
  <si>
    <t>株式会社JR東日本クロスステーション</t>
  </si>
  <si>
    <t>みなかみ飲料工場</t>
  </si>
  <si>
    <t>2206-001</t>
  </si>
  <si>
    <t>10449A102-001</t>
  </si>
  <si>
    <t>2023041026-224-2 / 2023041028-224-2</t>
  </si>
  <si>
    <t xml:space="preserve">ブランド / 機器構成名(個体名) / 型式 / シリアル番号
WareNavi7 / WareNavi7本体(FC-S36W)(WN7-001) / FC-S36W-143CV7 / 1200328
WareNavi7 / 【1Fﾋﾟｯｷﾝｸﾞst】WareNavi7端末(FC-E22U)(WAT001) / FC-E22U-S / 1215607
WareNavi7 / 【1Fﾋﾟｯｷﾝｸﾞst】WareNavi7端末(FC-E22U)(WAT002) / FC-E22U-S / 1215605
WareNavi7 / 【1F入庫st】WareNavi7端末(FC-E22U)(WAT003) / FC-E22U-S / 1215604
WareNavi7 / 【2F入庫st】WareNavi7端末(FC-E22U)(WAT004) / FC-E22U-S / 1215612
</t>
  </si>
  <si>
    <t>第一化成株式会社</t>
  </si>
  <si>
    <t>群馬工場</t>
  </si>
  <si>
    <t>製品用自動倉庫</t>
  </si>
  <si>
    <t>2204-006</t>
  </si>
  <si>
    <t>10525A111-001</t>
  </si>
  <si>
    <t xml:space="preserve">ブランド / 機器構成名(個体名) / 型式 / シリアル番号
AWC7 Basic / AWC7本体(HF-W6555)(AWC001) / HJ-6555-WEJD/DF05 / 4239281-1
AWC7 Basic / AWC7端末(HF-W2050)(WAT001) / HJ-2050-WEMA/DF03 / 8051861-5
AWC7 Basic / AWC7端末(HF-W2050)(WAT002) / HJ-2050-WEMA/DF03 / 8051803-1
</t>
  </si>
  <si>
    <t>リケンテクノス株式会社</t>
  </si>
  <si>
    <t>埼玉工場</t>
  </si>
  <si>
    <t>2201-005</t>
  </si>
  <si>
    <t>11405-004-001</t>
  </si>
  <si>
    <t xml:space="preserve">ブランド / 機器構成名(個体名) / 型式 / シリアル番号
eAWC Framework / eAWC本体(HF-W6555)(AWC001) / HJ-6555-WEJD/DF05 / 4239284-1
</t>
  </si>
  <si>
    <t>株式会社栗原医療器械店</t>
  </si>
  <si>
    <t>太田ディストリビューションセンター</t>
  </si>
  <si>
    <t>2023041012-224-1 / 2025012409-224-1</t>
  </si>
  <si>
    <t>10205-479-001</t>
  </si>
  <si>
    <t xml:space="preserve">ブランド / 機器構成名(個体名) / 型式 / シリアル番号
WareNavi7 / WareNavi7本体/FS(FC-S36W)(WNVA002) / FC-S36W-143CV7 / 1900485
WareNavi7 / WareNavi7本体/CS(FC-S36W)(WNVA001) / FC-S36W-143CV7 / 1900486
SAM / SAM(FC-S36W)(SAMZ001) / FC-S36W-143CV7 / 1900487
LPM / LPM(FC-S36W)(LPMZ101) / FC-S36W-143CV7 / 1900484
LPM / LPM(FC-S36W)(LPMZ102) / FC-S36W-143CV7 / 1900495
LPM / LPM(FC-S36W)(LPMZ103) / FC-S36W-143CV7 / 1900489
WareNavi7 / 事務所端末(FC-E22U)(WATZ106) / FC-E22U-S / 1X16994
WareNavi7 / 作業表示端末(FC-E22U)(WATZ103) / FC-E22U-S / 1X17019
WareNavi7 / 作業表示端末(FC-E22U)(WATZ104) / FC-E22U-S / 1X17023
WareNavi7 / 作業表示端末(FC-E22U)(WATZ105) / FC-E22U-S / 1X17022
SAM / ﾘｼﾞｪｸﾄ端末(FC-E22U)(WATZ102) / FC-E22U-S / 1X16993
</t>
  </si>
  <si>
    <t>株式会社ＳＵＢＡＲＵ</t>
  </si>
  <si>
    <t>大泉工場</t>
  </si>
  <si>
    <t>5工場 加工ラインラック＆搬送システム</t>
  </si>
  <si>
    <t>10524-019-010</t>
  </si>
  <si>
    <t xml:space="preserve">ブランド / 機器構成名(個体名) / 型式 / シリアル番号
eAWC Ordermade(ﾌﾞﾛｯｸ中間) / eAWC本体 (FC-S36W)(EAWC002) / FC-S36W-143CV7 / 1900513
eAWC Ordermade(ﾌﾞﾛｯｸ中間) / eAWC端末 (FC-E22U)(WAT0219) / FC-E22U-S / 1X17017
</t>
  </si>
  <si>
    <t>2022072710-221-1</t>
  </si>
  <si>
    <t xml:space="preserve">8年目HDD交換、電源ユニット、冷却ﾌｧﾝ、電池、DVDﾄﾞﾗｲﾌﾞ交換
本予防保守作業は有償作業にて対応が必要
※有償作業費用 見積書保管場所
\\file-sig\s-dts\システム保守センター\2.保守契約\契・解約一覧\202...保守契約データ\1000847　株式会社ＳＵＢＡＲＵ　大泉工場
</t>
  </si>
  <si>
    <t xml:space="preserve">ブランド / 機器構成名(個体名) / 型式 / シリアル番号
通信PC / 通信PC (FC-E22U)(GOFA5208) / FC-E22U-SR / 2200130
</t>
  </si>
  <si>
    <t>郡山CS</t>
  </si>
  <si>
    <t>福島工場</t>
  </si>
  <si>
    <t>搬送システム</t>
  </si>
  <si>
    <t>スカイフィルム株式会社</t>
  </si>
  <si>
    <t>ラミネートフィルム用立体倉庫</t>
  </si>
  <si>
    <t>2008-007</t>
  </si>
  <si>
    <t>07341-014-001</t>
  </si>
  <si>
    <t>フシマン株式会社</t>
  </si>
  <si>
    <t>07527-025-001</t>
  </si>
  <si>
    <t>シーピー関東株式会社</t>
  </si>
  <si>
    <t>07464-034-001</t>
  </si>
  <si>
    <t>東京応化工業株式会社</t>
  </si>
  <si>
    <t>郡山工場</t>
  </si>
  <si>
    <t>防爆自動倉庫</t>
  </si>
  <si>
    <t>2023110804-224-1</t>
  </si>
  <si>
    <t>07203-586-002</t>
  </si>
  <si>
    <t xml:space="preserve">ブランド / 機器構成名(個体名) / 型式 / シリアル番号
AWC7 Framework / AWC7本体 (FC-S36W)(AWC001) / FC-S36W-113CW5 / 2800139
</t>
  </si>
  <si>
    <t>本田金属技術株式会社</t>
  </si>
  <si>
    <t>喜多方工場</t>
  </si>
  <si>
    <t>2004-001</t>
  </si>
  <si>
    <t>07208-005-001</t>
  </si>
  <si>
    <t xml:space="preserve">ブランド / 機器構成名(個体名) / 型式 / シリアル番号
AWC-500N / AWC本体 (HF-W6555)(AWC001) / HJ-6555-WBJD/DF01 / 4234785-1
AWC-500N / AWC端末 (HF-W2045)(WAT004) / HJ-2045-WBJA/DF01 / 4234469-1
AWC-500N / AWC端末 (HF-W2045【BCR付き】)(WAT001) / HJ-2045-WBJA/DF01 / 4234470-1
AWC-500N / AWC端末 (HF-W2045【BCR付き】)(WAT002) / HJ-2045-WBJA/DF01 / 4234471-1
AWC-500N / AWC端末 (HF-W2045【BCR付き】)(WAT003) / HJ-2045-WBJA/DF01 / 4234472-1
</t>
  </si>
  <si>
    <t>コメリ郡山流通センター</t>
  </si>
  <si>
    <t>2016122603-220-1</t>
  </si>
  <si>
    <t>07203-361-001</t>
  </si>
  <si>
    <t>ジョンソン・エンド・ジョンソン株式会社</t>
  </si>
  <si>
    <t>メディカル　カンパニ－</t>
  </si>
  <si>
    <t>医療品出荷センター</t>
  </si>
  <si>
    <t>2006-003</t>
  </si>
  <si>
    <t>07207-037-001</t>
  </si>
  <si>
    <t>2024041022-224-1</t>
  </si>
  <si>
    <t>日本化学工業株式会社</t>
  </si>
  <si>
    <t>福島工場　第１工場</t>
  </si>
  <si>
    <t>2104-007</t>
  </si>
  <si>
    <t>07203-310-001</t>
  </si>
  <si>
    <t>関東第一物流センター</t>
  </si>
  <si>
    <t>金型倉庫</t>
  </si>
  <si>
    <t>2022011206-221-1</t>
  </si>
  <si>
    <t>07464A100-001</t>
  </si>
  <si>
    <t>三明化成株式会社</t>
  </si>
  <si>
    <t>福島営業所</t>
  </si>
  <si>
    <t>一般物＆劇物格納用CS自動倉庫</t>
  </si>
  <si>
    <t>2208-001</t>
  </si>
  <si>
    <t>07201-418-001</t>
  </si>
  <si>
    <t>株式会社エフエヌ</t>
  </si>
  <si>
    <t>生産本部</t>
  </si>
  <si>
    <t>2021042602-221-1</t>
  </si>
  <si>
    <t>14361-004-001</t>
  </si>
  <si>
    <t xml:space="preserve">ブランド / 機器構成名(個体名) / 型式 / シリアル番号
AWC4 Framework / AWC4本体(FC-S36W)(AWC001) / FC-S36W-143CV7 / 0400162
</t>
  </si>
  <si>
    <t>オイシックス・ラ・大地株式会社</t>
  </si>
  <si>
    <t>ORD　海老名ステーション</t>
  </si>
  <si>
    <t>ピッキングシステム</t>
  </si>
  <si>
    <t>2022041210-221-1</t>
  </si>
  <si>
    <t>14215A106-001</t>
  </si>
  <si>
    <t xml:space="preserve">ブランド / 機器構成名(個体名) / 型式 / シリアル番号
SAM / SAM (FC-S36W)(SAM201) / FC-S36W-143CV7 / 1400359
SAM / SAM (FC-S36W)(SAM301) / FC-S36W-143CV7 / 1300346
LPM / LPM (FC-S36W)(LPM201) / FC-S36W-143CV7 / 1300350
LPM / LPM (FC-S36W)(LPM202) / FC-S36W-143CV7 / 1400362
LPM / LPM (FC-S36W)(LPM203) / FC-S36W-143CV7 / 1600408
LPM / LPM (FC-S36W)(LPM311) / FC-S36W-143CV7 / 1300349
LPM / LPM (FC-S36W)(LPM321) / FC-S36W-143CV7 / 1300351
LPM / LPC (FC-S36W)(LPCZ301) / FC-S36W-143CV7 / 1300347
LPM / LPC (FC-S36W)(LPCZ302) / FC-S36W-143CV7 / 1300352
LPM / ﾏﾈｰｼﾞｬ予備機 (FC-S36W)(ﾏﾈｰｼﾞｬ予備) / FC-S36W-143CV7 / 1600386
JCM / JCM (FC-S36W)(JCMZ301) / FC-S36W-143CV7 / 1400358
JCM / JCM (FC-S36W)(JCMZ302) / FC-S36W-143CV7 / 1400361
</t>
  </si>
  <si>
    <t>予防保守作業（5年目）</t>
  </si>
  <si>
    <t>日立情報通信エンジニアリング</t>
  </si>
  <si>
    <t>メルシャン株式会社</t>
  </si>
  <si>
    <t>藤沢物流センター</t>
  </si>
  <si>
    <t>14205-401-001</t>
  </si>
  <si>
    <t>センコー株式会社</t>
  </si>
  <si>
    <t>ウエルシア　西関東RDC</t>
  </si>
  <si>
    <t>2023061328-224-1</t>
  </si>
  <si>
    <t>14218A118-001</t>
  </si>
  <si>
    <t xml:space="preserve">ブランド / 機器構成名(個体名) / 型式 / シリアル番号
WareNavi7 Framework / 事務所端末(FC-E22U)(WATZ101) / FC-E22U-S / 1Z17375
WareNavi7 Framework / WCS管理端末(FC-E22U)(WATZ106) / FC-E22U-S / 1Z17373
WareNavi7 Framework / WCS管理端末(FC-E22U)(WATZ107) / FC-E22U-S / 1Y17304
WareNavi7 Framework / ﾄｰﾄ作業WCS管理端末(FC-E22U)(WATZ103) / FC-E22U-S / 1Y17305
SAM / ｿｰﾀ管理端末(FC-E22U)(WATZ104) / FC-E22U-S / 1Z17376
SAM / 出荷ｿｰﾀﾘｼﾞｪｸﾄ端末(FC-E22U)(WATZ110) / FC-E22U-S / 1Y17282
SAM / TC投入端末(FC-E22U)(WATZ105) / FC-E22U-S / 1Y17302
SAM / ｵﾘｺﾝ自動積付端末(FC-E22U)(WATZ111) / FC-E22U-S / 1Y17279
SAM / ｵﾘｺﾝ自動積付ﾘｼﾞｪｸﾄ端末(FC-E22U)(WATZ112) / FC-E22U-S / 1Y17281
LPM / LPM端末(FC-E22U)(WATZ113) / FC-E22U-S / 1Z17377
</t>
  </si>
  <si>
    <t>東邦チタニウム株式会社</t>
  </si>
  <si>
    <t>触媒第2原料・製品保管倉庫</t>
  </si>
  <si>
    <t>2305-003</t>
  </si>
  <si>
    <t>14207-008-003</t>
  </si>
  <si>
    <t xml:space="preserve">ブランド / 機器構成名(個体名) / 型式 / シリアル番号
AWC7 Framework / AWC7本体(HF-W6555)(AWC001) / HJ-6555-WEJD/DF05 / 4240139-5
</t>
  </si>
  <si>
    <t>第一三共株式会社</t>
  </si>
  <si>
    <t>平塚工場</t>
  </si>
  <si>
    <t>第2無菌製剤棟　自動倉庫</t>
  </si>
  <si>
    <t>2307-006</t>
  </si>
  <si>
    <t>14203-069-003</t>
  </si>
  <si>
    <t xml:space="preserve">ブランド / 機器構成名(個体名) / 型式 / シリアル番号
AWC7 Framework / AWC7端末 (HF-W2050)(WAT001) / HJ-2050-WEMA/DF03 / 8053655-5
AWC7 Framework / AWC7端末 (HF-W2050)(WAT002) / HJ-2050-WEMA/DF03 / 8053655-4
AWC7 Framework / AWC7端末 (HF-W2050)(WAT003) / HJ-2050-WEMA/DF03 / 8053655-3
</t>
  </si>
  <si>
    <t>2023110910-224-1</t>
  </si>
  <si>
    <t xml:space="preserve">ブランド / 機器構成名(個体名) / 型式 / シリアル番号
AWC7 Framework / AWC7本体 (FC-S36W)(AWC001) / FC-S36W-113CW5 / 2100127
</t>
  </si>
  <si>
    <t>2305-004</t>
  </si>
  <si>
    <t>14207-008-001</t>
  </si>
  <si>
    <t xml:space="preserve">ブランド / 機器構成名(個体名) / 型式 / シリアル番号
AWC7 Basic / AWC7本体(HF-W6555)(AWC001) / HJ-6555-WEJD/DF05 / 4240422-3
</t>
  </si>
  <si>
    <t>株式会社佐賀鉄工所</t>
  </si>
  <si>
    <t>藤沢営業所</t>
  </si>
  <si>
    <t>パレット系自動倉庫</t>
  </si>
  <si>
    <t>2109-003 / 2109-004</t>
  </si>
  <si>
    <t>14205-057-002</t>
  </si>
  <si>
    <t>横浜森永乳業株式会社</t>
  </si>
  <si>
    <t>ヨーグルト発酵･急冷用倉庫</t>
  </si>
  <si>
    <t>2009-003</t>
  </si>
  <si>
    <t>14218-113-001</t>
  </si>
  <si>
    <t>トラスコ中山株式会社</t>
  </si>
  <si>
    <t>プラネット南関東</t>
  </si>
  <si>
    <t>ケース自動倉庫</t>
  </si>
  <si>
    <t>2021061102-221-1 / 2021060902-221-1</t>
  </si>
  <si>
    <t>14214-161-001</t>
  </si>
  <si>
    <t>2106-008</t>
  </si>
  <si>
    <t>2202-003</t>
  </si>
  <si>
    <t xml:space="preserve">ブランド / 機器構成名(個体名) / 型式 / シリアル番号
AWC-800U / MOSⅦ(HF-W2050)(MOS01) / HJ-2050-WEMA/DF03 / 8052088-3
AWC-800U / MOSⅦ(HF-W2050)(MOS02) / HJ-2050-WEMA/DF03 / 8052088-4
AWC-800U / MOSⅦ(HF-W2055)(MOS03) / HJ-2055-WEMA/DF04 / 8052089-4
</t>
  </si>
  <si>
    <t>オリックス・レンテック株式会社</t>
  </si>
  <si>
    <t>東京技術センター</t>
  </si>
  <si>
    <t>第一・二棟自動倉庫</t>
  </si>
  <si>
    <t>2023011306-221-1</t>
  </si>
  <si>
    <t>13209-055-001</t>
  </si>
  <si>
    <t xml:space="preserve">ブランド / 機器構成名(個体名) / 型式 / シリアル番号
AWC-800U / AWC端末/CCR (FC-E22U)(WSC01) / FC-E22U-S / 1916792
AWC-800U / AWC端末(FC-E22U)(WSC02) / FC-E22U-S / 2818220
</t>
  </si>
  <si>
    <t>自動倉庫（マテハン設備）</t>
  </si>
  <si>
    <t>11445-046-001</t>
  </si>
  <si>
    <t>株式会社ヴイ・ディー・エフ・サンロイヤル</t>
  </si>
  <si>
    <t>岩槻事業所</t>
  </si>
  <si>
    <t>11213-172-001</t>
  </si>
  <si>
    <t>開発センター</t>
  </si>
  <si>
    <t>埼北東洋株式会社</t>
  </si>
  <si>
    <t>埼玉杉戸物流センター</t>
  </si>
  <si>
    <t>11464A111-001</t>
  </si>
  <si>
    <t>太陽生命保険株式会社</t>
  </si>
  <si>
    <t>東京第四サービスセンター</t>
  </si>
  <si>
    <t>2024051537-224-1 / 2024051539-224-1</t>
  </si>
  <si>
    <t>11204-174-001</t>
  </si>
  <si>
    <t xml:space="preserve">ブランド / 機器構成名(個体名) / 型式 / シリアル番号
AWC4 Framework / AWC4本体 (FC-S36W)(AWC001) / FC-S36W-143CV7 / 2100566
AWC4 Framework / AWC4端末 (FC-E22U)(WAT001) / FC-E22U-S / 2718042
AWC4 Framework / AWC4端末 (FC-E22U)(WAT002) / FC-E22U-S / 2718049
AWC4 Framework / AWC4端末 (FC-E22U)(WAT003) / FC-E22U-S / 2718039
</t>
  </si>
  <si>
    <t>2020041004-216-1</t>
  </si>
  <si>
    <t xml:space="preserve">ブランド / 機器構成名(個体名) / 型式 / シリアル番号
WareNavi Framework / WareNavi端末(FC-E22U)(WAT001) / FC-E22U-S / 8706807
WareNavi Framework / HTｻｰﾊﾞ(FC-E22U)(WCS002) / FC-E22U-S / 8706842
</t>
  </si>
  <si>
    <t>2408-001</t>
  </si>
  <si>
    <t xml:space="preserve">ブランド / 機器構成名(個体名) / 型式 / シリアル番号
AWC-800U / 冷凍端末 (HF-W2050)(WAT001) / HJ-2050-WEMA/DF03 / 8054240-3
AWC-800U / 冷凍端末 / 外部入出庫口 (HF-W2050)(WAT002) / HJ-2050-WEMA/DF03 / 8054240-2
</t>
  </si>
  <si>
    <t>雪印メグミルク株式会社</t>
  </si>
  <si>
    <t>野田工場</t>
  </si>
  <si>
    <t>2402-001</t>
  </si>
  <si>
    <t>12208-062-001</t>
  </si>
  <si>
    <t>春日部事業所</t>
  </si>
  <si>
    <t>2022091205-221-1</t>
  </si>
  <si>
    <t>11214-039-001</t>
  </si>
  <si>
    <t xml:space="preserve">ブランド / 機器構成名(個体名) / 型式 / シリアル番号
eWareNavi Framework / eWareNaviｻｰﾊﾞ (FC-S36W)(EWARENAVI) / FC-S36W-133CW4 / 0100138
</t>
  </si>
  <si>
    <t>パルシステム生活協同組合連合会</t>
  </si>
  <si>
    <t>杉戸センター</t>
  </si>
  <si>
    <t>集品システム「eye-navi」</t>
  </si>
  <si>
    <t>2022040612-221-1</t>
  </si>
  <si>
    <t>11464A105-001</t>
  </si>
  <si>
    <t xml:space="preserve">ブランド / 機器構成名(個体名) / 型式 / シリアル番号
DPM4 / DPM本体(FC-S36W) / ﾊﾟﾝﾗｲﾝ(DPM05) / FC-S36W-143CV7 / 1400360
DPM4 / DPM本体(FC-S36W) / ﾊﾟﾝﾗｲﾝ(DPM06) / FC-S36W-143CV7 / 1600389
DPM4 / DPM本体(FC-S36W) / ﾊﾟﾝﾗｲﾝ(DPM07) / FC-S36W-143CV7 / 1600383
</t>
  </si>
  <si>
    <t>2018062107-216-1</t>
  </si>
  <si>
    <t xml:space="preserve">ブランド / 機器構成名(個体名) / 型式 / シリアル番号
DPM4 / 投入端末(FC-E22U)(WAT01) / FC-E22U-S / 7102064
DPM4 / 投入端末(FC-E22U)(WAT02) / FC-E22U-S / 7102054
DPM4 / 投入端末(FC-E22U)(WAT03) / FC-E22U-S / 7101874
DPM4 / 投入端末(FC-E22U)(WAT04) / FC-E22U-S / 7102056
DPM4 / 寄せ作業端末(FC-E22U)(WAT11) / FC-E22U-S / 7102062
DPM4 / 寄せ作業端末(FC-E22U)(WAT12) / FC-E22U-S / 7102055
DPM4 / 寄せ作業端末(FC-E22U)(WAT13) / FC-E22U-S / 7102067
DPM4 / 寄せ作業端末(FC-E22U)(WAT14) / FC-E22U-S / 7102059
</t>
  </si>
  <si>
    <t>株式会社ロジスティクス・ネットワーク</t>
  </si>
  <si>
    <t>杉戸物流センター</t>
  </si>
  <si>
    <t>2022030816-221-1</t>
  </si>
  <si>
    <t>11213-285-001</t>
  </si>
  <si>
    <t xml:space="preserve">ブランド / 機器構成名(個体名) / 型式 / シリアル番号
AWC7 Ordermade / 管理端末(FC-E22U)(WAT005) / FC-E22U-S / 1516008
AWC7 Ordermade / AWC7端末/事務所(FC-E22U)(WAT001) / FC-E22U-S / 1415968
AWC7 Ordermade / AWC7端末(FC-E22U)(WAT002) / FC-E22U-S / 1516000
AWC7 Ordermade / AWC7端末(FC-E22U)(WAT003) / FC-E22U-S / 1516006
AWC7 Ordermade / AWC7端末(FC-E22U)(WAT004) / FC-E22U-S / 1516005
</t>
  </si>
  <si>
    <t>第一倉庫冷蔵株式会社</t>
  </si>
  <si>
    <t>長宮2号冷蔵倉庫</t>
  </si>
  <si>
    <t>2023051206-224-1</t>
  </si>
  <si>
    <t>11110A137-001</t>
  </si>
  <si>
    <t xml:space="preserve">ブランド / 機器構成名(個体名) / 型式 / シリアル番号
WareNavi7 / 無線ﾏﾈｰｼﾞｬ (FC-S36W)(MNG001) / FC-S36W-143CV7 / 1700442
WareNavi7 / 無線ﾏﾈｰｼﾞｬ (FC-S36W)(MNG002) / FC-S36W-143CV7 / 1700441
</t>
  </si>
  <si>
    <t>広島CS</t>
  </si>
  <si>
    <t>株式会社大創産業</t>
  </si>
  <si>
    <t>ＲＢ自動倉庫システム</t>
  </si>
  <si>
    <t>旭食品株式会社</t>
  </si>
  <si>
    <t>ピッキングカートシステム</t>
  </si>
  <si>
    <t>ミヨシ電子株式会社</t>
  </si>
  <si>
    <t>2104-004</t>
  </si>
  <si>
    <t>34209-001-001</t>
  </si>
  <si>
    <t>ナガイレーベン株式会社</t>
  </si>
  <si>
    <t>西日本物流センター</t>
  </si>
  <si>
    <t>2021041604-216-1</t>
  </si>
  <si>
    <t>34212-279-001</t>
  </si>
  <si>
    <t>広島共和物産株式会社</t>
  </si>
  <si>
    <t>広島物流センター</t>
  </si>
  <si>
    <t>ＣＳ</t>
  </si>
  <si>
    <t>2021031104-216-1</t>
  </si>
  <si>
    <t>34212-245-001</t>
  </si>
  <si>
    <t xml:space="preserve">ブランド / 機器構成名(個体名) / 型式 / シリアル番号
CMC / ﾊﾟﾚｯﾄ系ﾒﾝﾃﾅﾝｽ端末 (FC-E22U)(WSC01) / FC-E22U-S / 0413062
CMC / ｹｰｽ系ﾒﾝﾃﾅﾝｽ端末 (FC-E22U)(WSC02) / FC-E22U-S / 0413077
SAM / SAM (FC-E22U)(SAM) / FC-E22U-S / 0413158
CMC / CMCｹﾞｰﾄｳｪｲ (FC-E22U)(CMC-GW) / FC-E22U-S / 9910811
CMC / CMCｹﾞｰﾄｳｪｲ予備機 (FC-E22U)(CMC-GW予備機) / FC-E22U-S / 9910817
</t>
  </si>
  <si>
    <t>中国計器工業株式会社</t>
  </si>
  <si>
    <t>2021030519-216-1 / 2021030517-216-1</t>
  </si>
  <si>
    <t>34302-041-002</t>
  </si>
  <si>
    <t>瀬野川産業株式会社</t>
  </si>
  <si>
    <t>飲料ケース保管自動倉庫</t>
  </si>
  <si>
    <t>2206-002</t>
  </si>
  <si>
    <t>34201-212-001</t>
  </si>
  <si>
    <t>デジタルピッキングシステム</t>
  </si>
  <si>
    <t>2206-003</t>
  </si>
  <si>
    <t>株式会社サンポ－ル</t>
  </si>
  <si>
    <t>組立工場</t>
  </si>
  <si>
    <t>自動倉庫システム（ＣＳ）</t>
  </si>
  <si>
    <t>2022051007-221-1 / 2022051005-221-1</t>
  </si>
  <si>
    <t>34101-072-001</t>
  </si>
  <si>
    <t xml:space="preserve">ブランド / 機器構成名(個体名) / 型式 / シリアル番号
eAWC Framework / eAWC本体(FC-S36W)(AWC001) / FC-S36W-143CV7 / 0X00306
eAWC Framework / eAWC端末(FC-E22U)(WAT001) / FC-E22U-S / 1115418
eAWC Framework / eAWC端末(FC-E22U)(WAT002) / FC-E22U-S / 0Z15110
eAWC Framework / eAWC端末(FC-E22U)(WAT003) / FC-E22U-S / 0Z15116
</t>
  </si>
  <si>
    <t>高松CS</t>
  </si>
  <si>
    <t>オー・エル・エス有限会社</t>
  </si>
  <si>
    <t>定温自動倉庫</t>
  </si>
  <si>
    <t>2025041037-224-1</t>
  </si>
  <si>
    <t>37202A115-001</t>
  </si>
  <si>
    <t xml:space="preserve">ブランド / 機器構成名(個体名) / 型式 / シリアル番号
AWC7 Framework / AWC7本体 (FC-S36W)(AWC001) / FC-S36W-143CV7 / 1900490
AWC7 Framework / AWC7本体予備機 (FC-S36W)(AWC002) / FC-S36W-143CV7 / 1900500
AWC7 Framework / AWC7端末 (FC-E22U)(WAT001) / FC-E22U-S / 1X17034
</t>
  </si>
  <si>
    <t>宮地電機株式会社</t>
  </si>
  <si>
    <t>香川　新配送センター</t>
  </si>
  <si>
    <t>1910-003</t>
  </si>
  <si>
    <t>37205A107-001</t>
  </si>
  <si>
    <t>8年目HDD交換
2026年5月実施予定、ハードウェア点検と同時実施を希望。</t>
  </si>
  <si>
    <t xml:space="preserve">ブランド / 機器構成名(個体名) / 型式 / シリアル番号
AWC4 Framework / AWC4本体 (HF-W6555)(AWC001) / HJ-6555-WBJD/DF01 / 4234776-1
</t>
  </si>
  <si>
    <t>株式会社フードレック</t>
  </si>
  <si>
    <t>2023091119-224-1</t>
  </si>
  <si>
    <t>37205-024-001</t>
  </si>
  <si>
    <t>2027年2月実施予定、ハードウェア点検と同時実施を希望。</t>
  </si>
  <si>
    <t xml:space="preserve">ブランド / 機器構成名(個体名) / 型式 / シリアル番号
AWC4 Framework / AWC4本体 (FC-S36W)(AWC001) / FC-S36W-143CV7 / 2900795
</t>
  </si>
  <si>
    <t>株式会社フジ</t>
  </si>
  <si>
    <t>香川畜産プロセスセンター</t>
  </si>
  <si>
    <t>コンベヤシステム</t>
  </si>
  <si>
    <t>2109-007</t>
  </si>
  <si>
    <t>37203A113-001</t>
  </si>
  <si>
    <t>香川大学医学部附属病院</t>
  </si>
  <si>
    <t>手術器材保管・管理・供給システム</t>
  </si>
  <si>
    <t>2017082107-216-1</t>
  </si>
  <si>
    <t>37341-002-002</t>
  </si>
  <si>
    <t>2027年6月実施予定、ハードウェア点検と同時実施を希望。</t>
  </si>
  <si>
    <t xml:space="preserve">ブランド / 機器構成名(個体名) / 型式 / シリアル番号
WareNavi Framework / WareNavi本体 (FC-S35W/S7)(WMS01) / FC-S35W/S72CL9 / S520534MA
WareNavi Framework / WareNavi端末 (FC-E16U/S7)(WAT001) / FC-E16U/S71R4Z / S560274MA
WareNavi Framework / WareNavi端末 (FC-E16U/S7)(WAT002) / FC-E16U/S71R4Z / S560281MA
</t>
  </si>
  <si>
    <t>高松流通センタ－</t>
  </si>
  <si>
    <t>2021100110-221-1 / 2021100112-221-1</t>
  </si>
  <si>
    <t>37201-445-001</t>
  </si>
  <si>
    <t>2028年10月実施予定、ハードウェア点検と同時実施を希望。</t>
  </si>
  <si>
    <t xml:space="preserve">ブランド / 機器構成名(個体名) / 型式 / シリアル番号
DPM / ﾏﾃﾊﾝｻｰﾊﾞ(FC-S36W)(TPSSV) / FC-S36W-143CV7 / 0700217
DPM / ﾏﾃﾊﾝｻｰﾊﾞ予備機(FC-S36W)(TPSSV予備) / FC-S36W-143CV7 / 0700218
DPM / DPM(FC-E22U)(DPM01) / FC-E22U-S / 0613667
DPM / DPM端末(FC-E22U)(DPW01) / FC-E22U-S / 0613672
</t>
  </si>
  <si>
    <t>ライオンケミカル株式会社</t>
  </si>
  <si>
    <t>オレオケミカル事業所</t>
  </si>
  <si>
    <t>【包材倉庫】【原料倉庫】歯磨棟自動倉庫設備</t>
  </si>
  <si>
    <t>2021090224-221-1 / 2021090222-221-1</t>
  </si>
  <si>
    <t>37203-120-002</t>
  </si>
  <si>
    <t>【歯磨棟】歯磨棟 小物原料計量システム</t>
  </si>
  <si>
    <t>2021090210-221-1</t>
  </si>
  <si>
    <t>37203-120-005</t>
  </si>
  <si>
    <t>相模容器株式会社</t>
  </si>
  <si>
    <t>坂出工場</t>
  </si>
  <si>
    <t>Lプロジェクト　自動倉庫</t>
  </si>
  <si>
    <t>2021071404-221-1 / 2021071402-221-1</t>
  </si>
  <si>
    <t>37203A114-001</t>
  </si>
  <si>
    <t>8年目HDD交換、電源ユニット、冷却ﾌｧﾝ、電池、DVDﾄﾞﾗｲﾌﾞ交換
2028年6月実施予定、ハードウェア点検と同時実施を希望。</t>
  </si>
  <si>
    <t xml:space="preserve">ブランド / 機器構成名(個体名) / 型式 / シリアル番号
WareNavi7(製品倉庫) / WareNavi7端末(FC-E22U)(WAT601) / FC-E22U-S / 0X14495
WareNavi7(製品倉庫) / WareNavi7端末(FC-E22U)(WAT602) / FC-E22U-S / 0X14489
WareNavi7(製品倉庫) / WareNavi7端末(FC-E22U)(WAT603) / FC-E22U-S / 0X14490
WareNavi7(資材倉庫) / WareNavi7端末(FC-E22U)(WAT501) / FC-E22U-S / 0X14497
WareNavi7(資材倉庫) / WareNavi7端末(FC-E22U)(WAT502) / FC-E22U-S / 0X14491
</t>
  </si>
  <si>
    <t>2030年3月実施予定、ハードウェア点検と同時実施を希望。</t>
  </si>
  <si>
    <t>2031年2月実施予定、ハードウェア点検と同時実施を希望。</t>
  </si>
  <si>
    <t>札幌CS</t>
  </si>
  <si>
    <t>有</t>
  </si>
  <si>
    <t>十勝工場</t>
  </si>
  <si>
    <t>立体自動倉庫</t>
  </si>
  <si>
    <t>株式会社グリーンズ北見</t>
  </si>
  <si>
    <t>冷蔵倉庫内自動倉庫</t>
  </si>
  <si>
    <t>2305-009</t>
  </si>
  <si>
    <t>01208-053-001</t>
  </si>
  <si>
    <t xml:space="preserve">ブランド / 機器構成名(個体名) / 型式 / シリアル番号
AWC7 Framework / AWC7本体(HF-W6555)(AWC001) / HJ-6555-WEJD/DF05 / 4240322-3
AWC7 Framework / AWC7端末(HF-W2050)(WAT001) / HJ-2050-WEMA/DF03 / 8053777-7
</t>
  </si>
  <si>
    <t>北海道事業部</t>
  </si>
  <si>
    <t>石狩第3冷蔵庫　立体自動倉庫システム</t>
  </si>
  <si>
    <t>2023091121-224-1</t>
  </si>
  <si>
    <t>01203-164-002</t>
  </si>
  <si>
    <t xml:space="preserve">ブランド / 機器構成名(個体名) / 型式 / シリアル番号
WareNavi / 第一事務所端末(FC-E29U)(WAT001) / FC-E29U-S31C42 / 2Z00110
WareNavi / 問合せ端末(FC-E29U)(WAT27) / FC-E29U-S31C42 / 2Z00107
WareNavi / 作業表示端末(FC-E29U)(WAT21) / FC-E29U-S31C42 / 2Z00109
WareNavi / 作業表示端末(FC-E29U)(WAT22) / FC-E29U-S31C42 / 2Z00108
WareNavi / 作業表示端末(FC-E29U)(WAT23) / FC-E29U-S31C42 / 2Z00138
WareNavi / 作業表示端末(FC-E29U)(WAT24) / FC-E29U-S31C42 / 2Z00123
WareNavi / 作業表示端末(FC-E29U)(WAT25) / FC-E29U-S31C42 / 2Z00125
WareNavi / 作業表示端末(FC-E29U)(WAT26) / FC-E29U-S31C42 / 2Z00136
</t>
  </si>
  <si>
    <t>株式会社ＣＡＣ</t>
  </si>
  <si>
    <t>函館工場</t>
  </si>
  <si>
    <t>物流センター設備</t>
  </si>
  <si>
    <t>2312-003</t>
  </si>
  <si>
    <t>01202-124-001</t>
  </si>
  <si>
    <t xml:space="preserve">ブランド / 機器構成名(個体名) / 型式 / シリアル番号
RTS-100 / RTS端末 (HF-W2050)(WSC00) / HJ-2050-WEMA/DF03 / 8054241-1
RTS-100 / RTS端末 (HF-W2050)(WSC01) / HJ-2050-WEMA/DF03 / 8054240-8
RTS-100 / RTS端末 (HF-W2050)(WSC02) / HJ-2050-WEMA/DF03 / 8054241-2
RTS-100 / RTS端末 (HF-W2050)(WSC03) / HJ-2050-WEMA/DF03 / 8054240-10
RTS-100 / RTS端末 (HF-W2050)(WSC04) / HJ-2050-WEMA/DF03 / 8054241-4
RTS-100 / RTS端末 (HF-W2050)(WSC05) / HJ-2050-WEMA/DF03 / 8054241-6
RTS-100 / RTS端末 (HF-W2050)(WSC06) / HJ-2050-WEMA/DF03 / 8054241-3
RTS-100 / RTS端末 (HF-W2050)(WSC07) / HJ-2050-WEMA/DF03 / 8054241-5
RTS-100 / RTS端末 (HF-W2050)(WSC08) / HJ-2050-WEMA/DF03 / 8054240-9
</t>
  </si>
  <si>
    <t>ふらの農業協同組合</t>
  </si>
  <si>
    <t>扇山青果事務所</t>
  </si>
  <si>
    <t>玉ねぎ製品出荷施設</t>
  </si>
  <si>
    <t>2024091202-224-1</t>
  </si>
  <si>
    <t>01229A102-001</t>
  </si>
  <si>
    <t>札幌みらい中央青果株式会社</t>
  </si>
  <si>
    <t>集出荷貯蔵施設　自動倉庫及び周辺設備</t>
  </si>
  <si>
    <t>2023071113-224-1 / 2023071111-224-1</t>
  </si>
  <si>
    <t>01107A128-001</t>
  </si>
  <si>
    <t>共通エクスプレス株式会社</t>
  </si>
  <si>
    <t>北海道センター</t>
  </si>
  <si>
    <t>冷凍自動倉庫システム</t>
  </si>
  <si>
    <t>2006-001</t>
  </si>
  <si>
    <t>01103A144-001</t>
  </si>
  <si>
    <t>日清食材株式会社</t>
  </si>
  <si>
    <t>調味料原料製品保管用自動倉庫</t>
  </si>
  <si>
    <t>2017080402-220-1</t>
  </si>
  <si>
    <t>01203A109-001</t>
  </si>
  <si>
    <t>株式会社竹山</t>
  </si>
  <si>
    <t>ハビア物流センター</t>
  </si>
  <si>
    <t>2101-004</t>
  </si>
  <si>
    <t>01107A126-001</t>
  </si>
  <si>
    <t>2110-003</t>
  </si>
  <si>
    <t xml:space="preserve">ブランド / 機器構成名(個体名) / 型式 / シリアル番号
DPM / DPMｻｰﾊﾞ (HF-W6555)(DPS) / HJ-6555-WBJD/7R / 4522094-10
DPM / 通信PC (HF-W6555)(KPC) / HJ-6555-WBJD/7R / 4522094-9
DPM / DPM / ST1 (HF-W6555)(DPM01) / HJ-6555-WBJD/7R / 4522094-1
DPM / DPM / ST2-5 (HF-W6555)(DPM02) / HJ-6555-WBJD/7R / 4522094-2
DPM / DPM / ST2-5 (HF-W6555)(DPM03) / HJ-6555-WBJD/7R / 4522094-3
DPM / DPM / ST2-5 (HF-W6555)(DPM04) / HJ-6555-WBJD/7R / 4522094-4
DPM / DPM / ST2-5 (HF-W6555)(DPM05) / HJ-6555-WBJD/7R / 4522094-5
DPM / DPM / ST6-8 (HF-W6555)(DPM06) / HJ-6555-WBJD/7R / 4522094-6
DPM / DPM / ST6-8 (HF-W6555)(DPM07) / HJ-6555-WBJD/7R / 4522094-7
DPM / DPM / ST6-8 (HF-W6555)(DPM08) / HJ-6555-WBJD/7R / 4522094-8
</t>
  </si>
  <si>
    <t>積水化学北海道株式会社</t>
  </si>
  <si>
    <t>江別事業所</t>
  </si>
  <si>
    <t>立体自動倉庫システム</t>
  </si>
  <si>
    <t>2409-002</t>
  </si>
  <si>
    <t>01217-034-001</t>
  </si>
  <si>
    <t>石狩新港物流センター</t>
  </si>
  <si>
    <t>物流設備</t>
  </si>
  <si>
    <t>2022030810-221-1</t>
  </si>
  <si>
    <t>01203A118-001</t>
  </si>
  <si>
    <t xml:space="preserve">ブランド / 機器構成名(個体名) / 型式 / シリアル番号
eWareNavi Framework / HTｻｰﾊﾞ(FC-E22U)(WSC001) / FC-E22U-S / 9910913
eWareNavi Framework / 現場端末(FC-E22U)(WAT01) / FC-E22U-S / 9910868
eWareNavi Framework / ﾋﾟｯｸ端末(FC-E22U)(WAT11) / FC-E22U-S / 9910866
eWareNavi Framework / ﾋﾟｯｸ端末(FC-E22U)(WAT12) / FC-E22U-S / 9910909
</t>
  </si>
  <si>
    <t>2204-005</t>
  </si>
  <si>
    <t xml:space="preserve">ブランド / 機器構成名(個体名) / 型式 / シリアル番号
eWareNavi Framework / MOSⅦ(HF-W2045)(MOS01) / HJ-2045-WEJA/7R16 / 4522977-1
</t>
  </si>
  <si>
    <t>株式会社アロー流通サービス</t>
  </si>
  <si>
    <t>2018072403-216-1</t>
  </si>
  <si>
    <t>01105-165-001</t>
  </si>
  <si>
    <t>びらとり農業協同組合</t>
  </si>
  <si>
    <t>野菜予冷施設内自動倉庫システム</t>
  </si>
  <si>
    <t>2021040102-216-1 / 2021040106-216-1</t>
  </si>
  <si>
    <t>01602-001-001</t>
  </si>
  <si>
    <t>北海道コカ・コーラボトリング株式会社</t>
  </si>
  <si>
    <t>本社工場立体自動倉庫</t>
  </si>
  <si>
    <t>2021052008-221-1</t>
  </si>
  <si>
    <t>01105-045-002</t>
  </si>
  <si>
    <t>株式会社ベスト・ロジスティクス・パートナーズ</t>
  </si>
  <si>
    <t>北海道RDC</t>
  </si>
  <si>
    <t>商品格納自動ラックシステム</t>
  </si>
  <si>
    <t>2021051306-221-1 / 2021051304-221-1</t>
  </si>
  <si>
    <t>01301-047-001</t>
  </si>
  <si>
    <t>今金町農業協同組合</t>
  </si>
  <si>
    <t>米穀流通合理化施設</t>
  </si>
  <si>
    <t>米保管用マジックアイルシステム</t>
  </si>
  <si>
    <t>2021101202-221-1</t>
  </si>
  <si>
    <t>01370-003-001</t>
  </si>
  <si>
    <t>共配センター　SRSシステム</t>
  </si>
  <si>
    <t>2022051812-221-1 / 2022051810-221-1</t>
  </si>
  <si>
    <t>01301-047-004</t>
  </si>
  <si>
    <t>ホクレンくみあい飼料株式会社</t>
  </si>
  <si>
    <t>2022080502-221-1 / 2022080504-221-1</t>
  </si>
  <si>
    <t>01632-008-001</t>
  </si>
  <si>
    <t>向野商事株式会社</t>
  </si>
  <si>
    <t>丘珠倉庫</t>
  </si>
  <si>
    <t>ファインストッカーシステム</t>
  </si>
  <si>
    <t>2301-003</t>
  </si>
  <si>
    <t>01103A152-001</t>
  </si>
  <si>
    <t xml:space="preserve">ブランド / 機器構成名(個体名) / 型式 / シリアル番号
AWC7 Framework / AWC7本体(HF-W6555)(AWC001) / HJ-6555-WEJD/DF05 / 4239861-2
AWC7 Framework / AWC7端末(HF-W2050)(WAT001) / HJ-2050-WEMA/DF03 / 8052681-5
</t>
  </si>
  <si>
    <t>三重第1CS</t>
  </si>
  <si>
    <t>株式会社TANISEI</t>
  </si>
  <si>
    <t>潤滑油格納倉庫</t>
  </si>
  <si>
    <t>2022080804-221-1 / 2022080802-221-1</t>
  </si>
  <si>
    <t>24344-057-002</t>
  </si>
  <si>
    <t xml:space="preserve">ブランド / 機器構成名(個体名) / 型式 / シリアル番号
AWC-500N / AWC本体(FC-S36W)(AWC001) / FC-S36W-133CW4 / 1Z00171
AWC-500N / AWC端末(FC-E22U)(WAT001) / FC-E22U-S / 2617765
</t>
  </si>
  <si>
    <t>伯東株式会社</t>
  </si>
  <si>
    <t>四日市工場</t>
  </si>
  <si>
    <t>薬品原料保管倉庫</t>
  </si>
  <si>
    <t>2022120713-221-1 / 2022120711-221-1</t>
  </si>
  <si>
    <t>24202-042-001</t>
  </si>
  <si>
    <t xml:space="preserve">ブランド / 機器構成名(個体名) / 型式 / シリアル番号
AWC7 Framework / AWC7本体(FC-S36W)(AWC001) / FC-S36W-143CV7 / 2700695
AWC7 Framework / AWC7端末(FC-E22U)(WAT001) / FC-E22U-S / 2818284
AWC7 Framework / AWC7端末(FC-E22U)(WAT002) / FC-E22U-S / 2818255
</t>
  </si>
  <si>
    <t>加美電子工業株式会社</t>
  </si>
  <si>
    <t>FA147 / FA148</t>
  </si>
  <si>
    <t>24208-012-001</t>
  </si>
  <si>
    <t xml:space="preserve">ブランド / 機器構成名(個体名) / 型式 / シリアル番号
AWC4 Framework / AWC4本体(FA3100SS model 1000)(AWC001) / UD431016-01-DHT / OEV095
AWC4 Framework / AWC4端末(FA2100SS model 400)(WAT001) / UV4A414-07-DHT / OF0591
</t>
  </si>
  <si>
    <t>前田運送株式会社</t>
  </si>
  <si>
    <t>本社</t>
  </si>
  <si>
    <t>2020040312-216-1 / 2020040610-216-1</t>
  </si>
  <si>
    <t>24344A105-001</t>
  </si>
  <si>
    <t>2020040610-216-1</t>
  </si>
  <si>
    <t>株式会社カインズ</t>
  </si>
  <si>
    <t>桑名センター</t>
  </si>
  <si>
    <t xml:space="preserve">2025031355-224-1
</t>
  </si>
  <si>
    <t>24205A138-001</t>
  </si>
  <si>
    <t>山九株式会社</t>
  </si>
  <si>
    <t>四日市物流センター</t>
  </si>
  <si>
    <t>物流倉庫システム</t>
  </si>
  <si>
    <t>2003-003</t>
  </si>
  <si>
    <t>24202-429-001</t>
  </si>
  <si>
    <t>株式会社新菱</t>
  </si>
  <si>
    <t>三重工場</t>
  </si>
  <si>
    <t>収納ケース保管システム</t>
  </si>
  <si>
    <t>2104-008</t>
  </si>
  <si>
    <t>24202A169-001</t>
  </si>
  <si>
    <t>株式会社エフ・シー・シー</t>
  </si>
  <si>
    <t>鈴鹿工場</t>
  </si>
  <si>
    <t>部品自動倉庫</t>
  </si>
  <si>
    <t>2007-002</t>
  </si>
  <si>
    <t>24207-015-001</t>
  </si>
  <si>
    <t>日本トランスシティ株式会社</t>
  </si>
  <si>
    <t>河原田西倉庫</t>
  </si>
  <si>
    <t>パレット自動倉庫</t>
  </si>
  <si>
    <t>2024111207-224-1 / 2024111209-224-1</t>
  </si>
  <si>
    <t>24202A193-001</t>
  </si>
  <si>
    <t>豊田合成株式会社</t>
  </si>
  <si>
    <t>いなべ工場</t>
  </si>
  <si>
    <t>水素タンク出荷保管自動倉庫</t>
  </si>
  <si>
    <t>2109-002</t>
  </si>
  <si>
    <t>24214A112-001</t>
  </si>
  <si>
    <t>生活協同組合連合会東海コープ事業連合</t>
  </si>
  <si>
    <t>農産セットセンター</t>
  </si>
  <si>
    <t>2212-004</t>
  </si>
  <si>
    <t>23208A107-001</t>
  </si>
  <si>
    <t>ノザキ製菓株式会社</t>
  </si>
  <si>
    <t>ＧＳシステム</t>
  </si>
  <si>
    <t>2022072008-221-1 / 2022072006-221-1</t>
  </si>
  <si>
    <t>24301-017-001</t>
  </si>
  <si>
    <t>株式会社浜乙女</t>
  </si>
  <si>
    <t>自動倉庫　コンパクトシステム</t>
  </si>
  <si>
    <t>2303-002</t>
  </si>
  <si>
    <t>24324A112-001</t>
  </si>
  <si>
    <t xml:space="preserve">ブランド / 機器構成名(個体名) / 型式 / シリアル番号
AWC7 Framework / AWC7本体(HF-W6555)(AWC001) / HJ-6555-WEJD/DF05 / 4239720-1
</t>
  </si>
  <si>
    <t>三重第2CS</t>
  </si>
  <si>
    <t>ニプロファーマ株式会社</t>
  </si>
  <si>
    <t>伊勢工場</t>
  </si>
  <si>
    <t>医薬製品保管ＲＢ</t>
  </si>
  <si>
    <t>24405-003-002</t>
  </si>
  <si>
    <t>旭化成株式会社</t>
  </si>
  <si>
    <t>鈴鹿製造所</t>
  </si>
  <si>
    <t>ラップ保管搬送システム</t>
  </si>
  <si>
    <t>2020050707-216-1</t>
  </si>
  <si>
    <t>24207-479-001</t>
  </si>
  <si>
    <t xml:space="preserve">ブランド / 機器構成名(個体名) / 型式 / シリアル番号
eAWC Framework Custom / eAWC端末 (FC-E22U)(WAT01) / FC-E22U-S / 8606267
eAWC Framework Custom / eAWC端末 (FC-E22U)(WAT02) / FC-E22U-S / 8606260
</t>
  </si>
  <si>
    <t>メロディアン株式会社</t>
  </si>
  <si>
    <t>三重上野営業所</t>
  </si>
  <si>
    <t>飲料製品格納ＣＳ</t>
  </si>
  <si>
    <t>2023101212-224-1 / 2023101214-224-1</t>
  </si>
  <si>
    <t>24206-046-001</t>
  </si>
  <si>
    <t xml:space="preserve">ブランド / 機器構成名(個体名) / 型式 / シリアル番号
AWC-300N / AWC本体(FC-S36W)(AWC001) / FC-S36W-133CW4 / 1Z00158
AWC-300N / AWC端末(FC-E22U)(WAT001) / FC-E22U-S / 2718093
AWC-300N / AWC端末(FC-E22U)(WAT002) / FC-E22U-S / 2718081
</t>
  </si>
  <si>
    <t>トライス株式会社</t>
  </si>
  <si>
    <t>広陽工場</t>
  </si>
  <si>
    <t>【黒鉛・銅紛添加剤倉庫】R-L10</t>
  </si>
  <si>
    <t>2501-003</t>
  </si>
  <si>
    <t>24204A115-001</t>
  </si>
  <si>
    <t xml:space="preserve">ブランド / 機器構成名(個体名) / 型式 / シリアル番号
AWC4 Framework(黒鉛・銅紛添加剤倉庫) / AWC4端末 (HF-W2050)(WAT001) / HJ-2050-WEMA/DF03 / 8054428-8
AWC4 Framework(黒鉛・銅紛添加剤倉庫) / AWC4端末 (HF-W2050)(WAT002) / HJ-2050-WEMA/DF03 / 8054428-7
</t>
  </si>
  <si>
    <t>【処理紛倉庫】コンパクトシステム</t>
  </si>
  <si>
    <t>2501-002</t>
  </si>
  <si>
    <t xml:space="preserve">ブランド / 機器構成名(個体名) / 型式 / シリアル番号
AWC4 Framework(処理紛倉庫) / AWC4端末 (HF-W2050)(WAT001) / HJ-2050-WEMA/DF03 / 8054428-9
</t>
  </si>
  <si>
    <t>株式会社神戸製鋼所</t>
  </si>
  <si>
    <t>大安工場</t>
  </si>
  <si>
    <t>メカプレ　材料自動倉庫</t>
  </si>
  <si>
    <t>2017081702-216-1</t>
  </si>
  <si>
    <t>24323-017-001</t>
  </si>
  <si>
    <t>マリンフーズ株式会社</t>
  </si>
  <si>
    <t>ロジスティクス部　三重物流センター</t>
  </si>
  <si>
    <t>冷凍食品格納ＣＳ</t>
  </si>
  <si>
    <t>FA182</t>
  </si>
  <si>
    <t>24402-001-001</t>
  </si>
  <si>
    <t>伊勢農業協同組合</t>
  </si>
  <si>
    <t>統一柑橘選果場</t>
  </si>
  <si>
    <t>柑橘製品自動化設備</t>
  </si>
  <si>
    <t>2017061303-221-1</t>
  </si>
  <si>
    <t>24561-004-001</t>
  </si>
  <si>
    <t>本田技研工業株式会社</t>
  </si>
  <si>
    <t>鈴鹿物流センタ－</t>
  </si>
  <si>
    <t>コンベヤ搬送システム</t>
  </si>
  <si>
    <t>2020111016-216-1</t>
  </si>
  <si>
    <t>24207-410-001</t>
  </si>
  <si>
    <t>コメリ三重流通センター</t>
  </si>
  <si>
    <t>製品保管倉庫・仕分け装置</t>
  </si>
  <si>
    <t>2016122605-220-1</t>
  </si>
  <si>
    <t>24382-014-001</t>
  </si>
  <si>
    <t>2022051102-221-1</t>
  </si>
  <si>
    <t xml:space="preserve">ブランド / 機器構成名(個体名) / 型式 / シリアル番号
eAWC Framework Custom / eAWC端末 (FC-E22U)(WAT03) / FC-E22U-S / 0Z15112
</t>
  </si>
  <si>
    <t>株式会社カナオカグラビア</t>
  </si>
  <si>
    <t>関西工場</t>
  </si>
  <si>
    <t>2021122410-221-1</t>
  </si>
  <si>
    <t>24216A006-001</t>
  </si>
  <si>
    <t xml:space="preserve">ブランド / 機器構成名(個体名) / 型式 / シリアル番号
eWareNavi Framework Custom / eWareNavi本体(FC-S36W)(WMS001) / FC-S36W-143CV7 / 1300340
</t>
  </si>
  <si>
    <t>山陰CS</t>
  </si>
  <si>
    <t>島根大学医学部附属病院</t>
  </si>
  <si>
    <t>回転ラック（ＶＣＲ）</t>
  </si>
  <si>
    <t>2024111105-224-1 / 2024111103-224-1</t>
  </si>
  <si>
    <t>32203A001-001</t>
  </si>
  <si>
    <t>山口CS</t>
  </si>
  <si>
    <t>武田薬品工業株式会社</t>
  </si>
  <si>
    <t>光工場</t>
  </si>
  <si>
    <t>田辺三菱製薬工場株式会社</t>
  </si>
  <si>
    <t>小野田工場</t>
  </si>
  <si>
    <t>第三製剤棟自動倉庫システム</t>
  </si>
  <si>
    <t>35209-007-003</t>
  </si>
  <si>
    <t>テルモ山口株式会社</t>
  </si>
  <si>
    <t>倉庫棟　自動倉庫システム</t>
  </si>
  <si>
    <t>2306-004</t>
  </si>
  <si>
    <t>35203A105-003</t>
  </si>
  <si>
    <t xml:space="preserve">ブランド / 機器構成名(個体名) / 型式 / シリアル番号
eAWC Framework / eAWC端末 (HF-W2050)(WAT001) / HJ-2050-WEMA/DF03 / 8053653-2
</t>
  </si>
  <si>
    <t>UBE株式会社</t>
  </si>
  <si>
    <t>西沖倉庫</t>
  </si>
  <si>
    <t>2023030902-221-1</t>
  </si>
  <si>
    <t>35202-095-001</t>
  </si>
  <si>
    <t xml:space="preserve">ブランド / 機器構成名(個体名) / 型式 / シリアル番号
AWC4 Framework / AWC4本体 (FC-S36W)(AWC001) / FC-S36W-143CV7 / 2300651
</t>
  </si>
  <si>
    <t>山口大学医学部附属病院</t>
  </si>
  <si>
    <t>滅菌物保管・管理・供給システム</t>
  </si>
  <si>
    <t>2020121126-216-1 / 2020121110-216-1</t>
  </si>
  <si>
    <t>35202-138-002</t>
  </si>
  <si>
    <t xml:space="preserve">ブランド / 機器構成名(個体名) / 型式 / シリアル番号
WareNavi4 Framework / WareNavi4本体 (FC-S35W/S7)(WMS001) / FC-S35W/S72CL9 / S890276MA
WareNavi4 Framework / WareNavi4端末 (FC-E22U)(WAT001) / FC-E22U-S / 8Y07774
WareNavi4 Framework / 2F作業表示端末 (FC-E22U)(WAT002) / FC-E22U-S / 8Y07793
WareNavi4 Framework / 4F作業表示端末 (FC-E22U)(WAT003) / FC-E22U-S / 8Y07875
</t>
  </si>
  <si>
    <t>住化アグロ製造株式会社</t>
  </si>
  <si>
    <t>下松工場</t>
  </si>
  <si>
    <t>2023080806-224-3</t>
  </si>
  <si>
    <t>35207-023-001</t>
  </si>
  <si>
    <t>マジックアイル</t>
  </si>
  <si>
    <t>2011-002</t>
  </si>
  <si>
    <t>35210-001-001</t>
  </si>
  <si>
    <t xml:space="preserve">ブランド / 機器構成名(個体名) / 型式 / シリアル番号
AWC4 Framework / AWC4本体(HF-W6555)(JPHKRWHSP003) / HJ-6555-WEJD/DF03 / 4235965-2
AWC4 Framework / AWC4端末(HF-W2045)(JHW3PC01) / HJ-2045-WEJA/DF03 / 4236072-1
AWC4 Framework / AWC4端末(HF-W2045)(JHW3PC02) / HJ-2045-WEJA/DF03 / 4236072-2
</t>
  </si>
  <si>
    <t>2306-001</t>
  </si>
  <si>
    <t>山梨CS</t>
  </si>
  <si>
    <t>テルモ株式会社</t>
  </si>
  <si>
    <t>プレミアムウォータープロダクツ株式会社</t>
  </si>
  <si>
    <t>第2工場</t>
  </si>
  <si>
    <t>製品保管自動倉庫システム</t>
  </si>
  <si>
    <t>2023080813-224-1 / 2023080815-224-1</t>
  </si>
  <si>
    <t>19202A110-001</t>
  </si>
  <si>
    <t xml:space="preserve">ブランド / 機器構成名(個体名) / 型式 / シリアル番号
WareNavi7 / WareNavi7本体 (FC-S36W)(WN7-001) / FC-S36W-143CV7 / 1Z00553
WareNavi7 / WareNavi7端末 (FC-E22U)(WAT001) / FC-E22U-S / 1Z17407
</t>
  </si>
  <si>
    <t>2309-001</t>
  </si>
  <si>
    <t xml:space="preserve">ブランド / 機器構成名(個体名) / 型式 / シリアル番号
WareNavi7 / MOSⅦｻｰﾊﾞ (HF-W2055)(MOSA001) / HJ-2055-WEMA/DF04 / 8053652-2
</t>
  </si>
  <si>
    <t>富岳通運株式会社</t>
  </si>
  <si>
    <t>山梨中央ロジパーク　C街区</t>
  </si>
  <si>
    <t>2024091114-224-1 / 2024091118-224-1</t>
  </si>
  <si>
    <t>19214A106-001</t>
  </si>
  <si>
    <t xml:space="preserve">ブランド / 機器構成名(個体名) / 型式 / シリアル番号
WareNavi7 / WareNavi7本体(FC-S36W)(WNA01) / FC-S36W-143CV7 / 2100573
WareNavi7 / WareNavi7端末/BCR付(FC-E22U)(WATA001) / FC-E22U-S / 2718037
WareNavi7 / WareNavi7端末(FC-E22U)(WATA002) / FC-E22U-S / 2718048
</t>
  </si>
  <si>
    <t>甲府東工場</t>
  </si>
  <si>
    <t>資材・製品搬送設備（滅菌）</t>
  </si>
  <si>
    <t>19384-003-003</t>
  </si>
  <si>
    <t>5年目寿命部品交換（EP8000）。2日間の連続稼働停止が必要。
部品手配が必要な為、約3ヶ月前に依頼が必要となります。</t>
  </si>
  <si>
    <t>コニカミノルタ株式会社</t>
  </si>
  <si>
    <t>甲府サイト</t>
  </si>
  <si>
    <t>LX2元巻物流設備</t>
  </si>
  <si>
    <t>2405-004</t>
  </si>
  <si>
    <t>19214A101-001</t>
  </si>
  <si>
    <t xml:space="preserve">ブランド / 機器構成名(個体名) / 型式 / シリアル番号
WareNavi7 / MOSⅦ本体 (HF-W2055)(MOSA001) / HJ-2055-WEMA/DF04 / 8053652-3
</t>
  </si>
  <si>
    <t>国立大学法人山梨大学</t>
  </si>
  <si>
    <t>医学部附属病院</t>
  </si>
  <si>
    <t>2018081022-216-1</t>
  </si>
  <si>
    <t>19383-004-002</t>
  </si>
  <si>
    <t>トーヨーコーケン株式会社</t>
  </si>
  <si>
    <t>2406-002</t>
  </si>
  <si>
    <t>19391-004-001</t>
  </si>
  <si>
    <t>2205-011</t>
  </si>
  <si>
    <t xml:space="preserve">ブランド / 機器構成名(個体名) / 型式 / シリアル番号
AWC-800U / AWC端末(HF-W2050)(HPL1710) / HJ-2050-WEMA/DF03 / 8051792-1
AWC-800U / AWC端末(HF-W2050)(HD-TP) / HJ-2050-WEMA/DF03 / 8051790-1
AWC-800U / AWC端末(HF-W2050)(HD-TR) / HJ-2050-WEMA/DF03 / 8051791-1
</t>
  </si>
  <si>
    <t>市川第1CS</t>
  </si>
  <si>
    <t>イオングローバルSCM株式会社</t>
  </si>
  <si>
    <t>市川LC</t>
  </si>
  <si>
    <t>2階仕分け設備</t>
  </si>
  <si>
    <t>2024041008-224-1</t>
  </si>
  <si>
    <t>12203A117-002</t>
  </si>
  <si>
    <t xml:space="preserve">ブランド / 機器構成名(個体名) / 型式 / シリアル番号
LPM / ﾏﾃﾊﾝｻｰﾊﾞ (FC-S36W)(LPMZ101) / FC-S36W-143CV7 / 2100568
LPM / 投入端末 (FC-S36W)(WATZ101) / FC-S36W-143CV7 / 1Z00549
LPM / ﾘｼﾞｪｸﾄ端末 (FC-E22U)(WATZ102) / FC-E22U-S / 1Z17402
</t>
  </si>
  <si>
    <t>株式会社ハピネット・ロジスティクスサービス</t>
  </si>
  <si>
    <t>市川ロジスティクスセンター</t>
  </si>
  <si>
    <t>2024101110-224-1</t>
  </si>
  <si>
    <t>12203-435-001</t>
  </si>
  <si>
    <t>滋賀第1CS</t>
  </si>
  <si>
    <t>株式会社ロワール</t>
  </si>
  <si>
    <t>滋賀ロジテックセンター</t>
  </si>
  <si>
    <t>25383-012-001</t>
  </si>
  <si>
    <t>コニシ株式会社</t>
  </si>
  <si>
    <t>滋賀</t>
  </si>
  <si>
    <t>1910-001</t>
  </si>
  <si>
    <t>25363-041-001</t>
  </si>
  <si>
    <t xml:space="preserve">ブランド / 機器構成名(個体名) / 型式 / シリアル番号
AWC4 Framework / AWC4本体(HF-W6555)(AWC001) / HJ-6555-WBJD/DF01 / 4233840-1
</t>
  </si>
  <si>
    <t>キョーリン製薬グループ工場株式会社</t>
  </si>
  <si>
    <t>滋賀工場</t>
  </si>
  <si>
    <t>2304-006</t>
  </si>
  <si>
    <t>25363-074-001</t>
  </si>
  <si>
    <t xml:space="preserve">ブランド / 機器構成名(個体名) / 型式 / シリアル番号
AWC7 Framework / AWC7ｻｰﾊﾞ(HF-W7550)(AWC001) / HJ-7550-SDJD/7R / 4524781-1
AWC7 Framework / AWC7端末(HF-W2050)(WAT001) / HJ-2050-WEMA/DF03 / 8053775-3
AWC7 Framework / AWC7端末(HF-W2050)(WAT002) / HJ-2050-WEMA/DF03 / 8053775-4
AWC7 Framework / AWC7端末(HF-W2050)(WAT003) / HJ-2050-WEMA/DF03 / 8053775-5
AWC7 Framework / AWC7端末(HF-W2050)(WAT004) / HJ-2050-WEMA/DF03 / 8053775-6
</t>
  </si>
  <si>
    <t>SMC株式会社</t>
  </si>
  <si>
    <t>西日本ロジスティクスセンター</t>
  </si>
  <si>
    <t>倉庫棟マテハンシステム</t>
  </si>
  <si>
    <t>2023090533-224-1</t>
  </si>
  <si>
    <t>25384A105-001</t>
  </si>
  <si>
    <t xml:space="preserve">ブランド / 機器構成名(個体名) / 型式 / シリアル番号
LPM / LPM(FC-S36W)(LPM101) / FC-S36W-143CV7 / 2300637
LPM / LPM(FC-S36W)(LPM102) / FC-S36W-143CV7 / 2300632
LPM / LPM(FC-S36W)(LPM103) / FC-S36W-143CV7 / 2100590
LPM / LPM(FC-S36W)(LPM104) / FC-S36W-143CV7 / 2300635
LPM / 制御PC予備機(FC-S36W)(LPM予備) / FC-S36W-143CV7 / 2100607
ﾛﾎﾞｯﾄPC / ﾛﾎﾞｯﾄPC(FC-S36W)(RBM101) / FC-S36W-143CV7 / 2100589
ﾛﾎﾞｯﾄPC / ﾛﾎﾞｯﾄPC(FC-S36W)(RBM102) / FC-S36W-143CV7 / 2100594
</t>
  </si>
  <si>
    <t>彦根工場</t>
  </si>
  <si>
    <t>部品管理自動倉庫システム</t>
  </si>
  <si>
    <t>2022120719-221-1 / 2022120721-221-1</t>
  </si>
  <si>
    <t>25202-126-001</t>
  </si>
  <si>
    <t xml:space="preserve">ブランド / 機器構成名(個体名) / 型式 / シリアル番号
AWC-300N / AWC本体(FC-S36W)(AWC001) / FC-S36W-133CW4 / 2700183
AWC-300N / FS用AWC端末(FC-E22U)(WAT001) / FC-E22U-S / 2918469
AWC-300N / FS用AWC端末(FC-E22U)(WAT002) / FC-E22U-S / 2918476
</t>
  </si>
  <si>
    <t>株式会社村田製作所</t>
  </si>
  <si>
    <t>八日市事業所</t>
  </si>
  <si>
    <t>スマイル倉庫</t>
  </si>
  <si>
    <t>2305-002</t>
  </si>
  <si>
    <t>25205-003-002</t>
  </si>
  <si>
    <t xml:space="preserve">ブランド / 機器構成名(個体名) / 型式 / シリアル番号
WareNavi7 / io-eyeｻｰﾊﾞ(io-eye01) / HJ-2055-WEMA/DF04 / 8053778-3
</t>
  </si>
  <si>
    <t>2024012304-224-1 / 2024012302-224-1</t>
  </si>
  <si>
    <t xml:space="preserve">ブランド / 機器構成名(個体名) / 型式 / シリアル番号
WareNavi7 / WareNavi7本体(FC-S36W)(WN101) / FC-S36W-113CW5 / 2700133
WareNavi7 / ﾋﾟｯｷﾝｸﾞST作業端末(FC-E22U)(WAT101) / FC-E22U-S / 2918488
WareNavi7 / ﾋﾟｯｷﾝｸﾞST作業端末(FC-E22U)(WAT102) / FC-E22U-S / 2918489
WareNavi7 / 入出庫ST作業端末(FC-E22U)(WAT201) / FC-E22U-S / 2918487
</t>
  </si>
  <si>
    <t>2023081804-224-1</t>
  </si>
  <si>
    <t xml:space="preserve">ブランド / 機器構成名(個体名) / 型式 / シリアル番号
WareNavi7 Custom(WCS) / 事務所端末(FC-E22U)(WN116) / FC-E22U-S / 2918548
WareNavi7 Custom(WCS) / 現場端末(FC-E22U)(WN101) / FC-E22U-S / 2918547
WareNavi7 Custom(WCS) / 現場端末(FC-E22U)(WN106) / FC-E22U-S / 2918511
WareNavi7 Custom(WCS) / 現場端末(FC-E22U)(WN111) / FC-E22U-S / 2918492
WareNavi7 Custom(WCS) / 現場端末(FC-E22U)(WN112) / FC-E22U-S / 2918496
WareNavi7 Custom(WCS) / 現場端末(FC-E22U)(WN227) / FC-E22U-S / 2918493
WareNavi7 Custom(WCS) / 現場端末(FC-E22U)(WN102) / FC-E22U-S / 2918507
WareNavi7 Custom(WCS) / 現場端末(FC-E22U)(WN103) / FC-E22U-S / 2918490
WareNavi7 Custom(WCS) / 現場端末(FC-E22U)(WN104) / FC-E22U-S / 2918521
WareNavi7 Custom(WCS) / 現場端末(FC-E22U)(WN105) / FC-E22U-S / 2918549
WareNavi7 Custom(WCS) / 現場端末(FC-E22U)(WN201) / FC-E22U-S / 2918500
WareNavi7 Custom(WCS) / 現場端末(FC-E22U)(WN202) / FC-E22U-S / 2918509
WareNavi7 Custom(WCS) / 現場端末(FC-E22U)(WN211) / FC-E22U-S / 2918524
WareNavi7 Custom(WCS) / 現場端末(FC-E22U)(WN212) / FC-E22U-S / 2918494
WareNavi7 Custom(WCS) / 現場端末(FC-E22U)(WN213) / FC-E22U-S / 2918513
WareNavi7 Custom(WCS) / 現場端末(FC-E22U)(WN214) / FC-E22U-S / 2918506
WareNavi7 Custom(WCS) / 現場端末(FC-E22U)(WN215) / FC-E22U-S / 2918523
WareNavi7 Custom(WCS) / 現場端末(FC-E22U)(WN216) / FC-E22U-S / 2918512
WareNavi7 Custom(WCS) / 現場端末(FC-E22U)(WN217) / FC-E22U-S / 2918495
WareNavi7 Custom(WCS) / 現場端末(FC-E22U)(WN218) / FC-E22U-S / 2918520
WareNavi7 Custom(WCS) / 現場端末(FC-E22U)(WN219) / FC-E22U-S / 2918498
WareNavi7 Custom(WCS) / 現場端末(FC-E22U)(WN220) / FC-E22U-S / 2918508
WareNavi7 Custom(WCS) / 現場端末(FC-E22U)(WN221) / FC-E22U-S / 2918510
WareNavi7 Custom(WCS) / 現場端末(FC-E22U)(WN222) / FC-E22U-S / 2918516
WareNavi7 Custom(WCS) / 現場端末(FC-E22U)(WN223) / FC-E22U-S / 2918517
WareNavi7 Custom(WCS) / 現場端末(FC-E22U)(WN224) / FC-E22U-S / 2918502
WareNavi7 Custom(WCS) / 現場端末(FC-E22U)(WN225) / FC-E22U-S / 2918504
SAM / ﾘｼﾞｪｸﾄ端末(FC-E22U)(WN113) / FC-E22U-S / 2918501
SAM / ﾘｼﾞｪｸﾄ端末(FC-E22U)(WN114) / FC-E22U-S / 2918550
SAM / ﾘｼﾞｪｸﾄ端末(FC-E22U)(WN115) / FC-E22U-S / 2918491
SAM / ﾘｼﾞｪｸﾄ端末(FC-E22U)(WN226) / FC-E22U-S / 2918519
SAM / ﾘｼﾞｪｸﾄ端末(FC-E22U)(WN228) / FC-E22U-S / 2918518
WareNavi7 Custom(WCS) / 現場端末予備機(FC-E22U)(現場端末予備機) / FC-E22U-S / 2918522
</t>
  </si>
  <si>
    <t>キリンビバレッジ株式会社</t>
  </si>
  <si>
    <t>PET1号原料自動倉庫システム</t>
  </si>
  <si>
    <t>2020092912-216-1 / 2020093034-216-1</t>
  </si>
  <si>
    <t>25443A103-001</t>
  </si>
  <si>
    <t xml:space="preserve">ブランド / 機器構成名(個体名) / 型式 / シリアル番号
WareNavi7 / WareNavi7本体(FC-S35W/S4)(WN7-001) / FC-S35W/S42CM0 / S850228MA
WareNavi7 / WareNavi7端末(FC-E22U)(WAT001) / FC-E22U-S / 8Y07837
WareNavi7 / WareNavi7端末(FC-E22U)(WAT002) / FC-E22U-S / 8Y07836
WareNavi7 / WareNavi7端末(FC-E22U)(WAT003) / FC-E22U-S / 8Y07845
</t>
  </si>
  <si>
    <t>株式会社ファンケル美健</t>
  </si>
  <si>
    <t>自動倉庫搬送設備システム</t>
  </si>
  <si>
    <t>2023051805-224-1 / 2023051807-224-1</t>
  </si>
  <si>
    <t>25383-096-001</t>
  </si>
  <si>
    <t xml:space="preserve">ブランド / 機器構成名(個体名) / 型式 / シリアル番号
AWC-300N / AWC本体 (FC-S36W)(SSOKODAP01) / FC-S36W-133CW4 / 2X00201
AWC-300N / AWC端末(FC-E22U)(F27960) / FC-E22U-S / 2X18767
</t>
  </si>
  <si>
    <t>株式会社ＴＡＤコーポレーション</t>
  </si>
  <si>
    <t>鴨物流センター</t>
  </si>
  <si>
    <t>2011-011</t>
  </si>
  <si>
    <t>25212A105-001</t>
  </si>
  <si>
    <t>シンコール物流株式会社</t>
  </si>
  <si>
    <t>滋賀センター</t>
  </si>
  <si>
    <t>2023120610-224-1</t>
  </si>
  <si>
    <t>25442-001-002</t>
  </si>
  <si>
    <t>湖南精工株式会社</t>
  </si>
  <si>
    <t>甲賀工場</t>
  </si>
  <si>
    <t>製品格納用自動倉庫（金属）</t>
  </si>
  <si>
    <t>2002-004</t>
  </si>
  <si>
    <t>25209A116-002</t>
  </si>
  <si>
    <t>プラネット滋賀</t>
  </si>
  <si>
    <t>ケース保管自動倉庫</t>
  </si>
  <si>
    <t>2012-007</t>
  </si>
  <si>
    <t>25384-038-001</t>
  </si>
  <si>
    <t>三菱ケミカル株式会社</t>
  </si>
  <si>
    <t>中日本事業所　浅井地区</t>
  </si>
  <si>
    <t>プレート倉庫システム</t>
  </si>
  <si>
    <t>2024061212-224-1 / 2024061210-224-1</t>
  </si>
  <si>
    <t>25481-006-002</t>
  </si>
  <si>
    <t>中日本事業所　山東地区</t>
  </si>
  <si>
    <t>RB</t>
  </si>
  <si>
    <t>2008-010</t>
  </si>
  <si>
    <t>25461-005-001</t>
  </si>
  <si>
    <t>2008-009</t>
  </si>
  <si>
    <t>株式会社カネカサンスパイス</t>
  </si>
  <si>
    <t>KSR６０ 原料・中間品格納自動倉庫</t>
  </si>
  <si>
    <t>2021040104-216-1</t>
  </si>
  <si>
    <t>25213A123-001</t>
  </si>
  <si>
    <t>日世株式会社</t>
  </si>
  <si>
    <t>ソフトクリーム・乳製品 製品保管出荷設備システム</t>
  </si>
  <si>
    <t>2021111102-221-1</t>
  </si>
  <si>
    <t>25440-001-001</t>
  </si>
  <si>
    <t>2022120719-221-1</t>
  </si>
  <si>
    <t xml:space="preserve">ブランド / 機器構成名(個体名) / 型式 / シリアル番号
AWC-300N / CS用AWC端末 (FC-E22U)(WAT003) / FC-E22U-S / 0513259
AWC-300N / CS用AWC端末 (FC-E22U)(WAT004) / FC-E22U-S / 0513265
AWC-300N / CS用AWC端末 (FC-E22U)(WAT005) / FC-E22U-S / 0513268
AWC-300N / CS用AWC端末 (FC-E22U)(WAT006) / FC-E22U-S / 0914234
</t>
  </si>
  <si>
    <t>POS倉庫システム</t>
  </si>
  <si>
    <t>2023040704-224-1</t>
  </si>
  <si>
    <t>25481-006-001</t>
  </si>
  <si>
    <t xml:space="preserve">ブランド / 機器構成名(個体名) / 型式 / シリアル番号
CMC(1-3号機) / CMC本体(FC-S36W)(CMC001) / FC-S36W-143CV7 / 1700450
CMC(4-6号機) / CMC本体(FC-S36W)(CMC002) / FC-S36W-143CV7 / 1700453
CMC(1-3号機) / CMC予備機(FC-S36W)(CMC予備) / FC-S36W-143CV7 / 1800457
</t>
  </si>
  <si>
    <t>8年目HDD交換、電源ユニット、冷却ﾌｧﾝ、電池、DVDﾄﾞﾗｲﾌﾞ交換
★SMC 東日本から移設</t>
  </si>
  <si>
    <t xml:space="preserve">ブランド / 機器構成名(個体名) / 型式 / シリアル番号
WareNavi7 Custom(WCS) / 現場端末(FC-E22U)(WN229) / FC-E22U-S / 1816523
WareNavi7 Custom(WCS) / 現場端末(FC-E22U)(WN230) / FC-E22U-S / 1816530
WareNavi7 Custom(WCS) / 現場端末(FC-E22U)(WN231) / FC-E22U-S / 1816531
</t>
  </si>
  <si>
    <t xml:space="preserve">ブランド / 機器構成名(個体名) / 型式 / シリアル番号
AWC-300N / AWC本体(FC-S36W)(AWC001) / FC-S36W-133CW4 / 2700183
AWC-300N / FS用AWC端末(FC-E22U)(WAT001) / FC-E22U-S / 2918469
AWC-300N / FS用AWC端末(FC-E22U)(WAT002) / FC-E22U-S / 2918476
</t>
  </si>
  <si>
    <t>滋賀第2CS</t>
  </si>
  <si>
    <t>ＤＯＷＡサーモエンジニアリング株式会社</t>
  </si>
  <si>
    <t>冶具　自動倉庫システム</t>
  </si>
  <si>
    <t>1912-002</t>
  </si>
  <si>
    <t>25211A000-001</t>
  </si>
  <si>
    <t xml:space="preserve">ブランド / 機器構成名(個体名) / 型式 / シリアル番号
AWC4 Framework / AWC4本体 (HF-W6555)(AWC001) / HJ-6555-WBJD/DF01 / 4234777-1
</t>
  </si>
  <si>
    <t>株式会社麗光</t>
  </si>
  <si>
    <t>メタコート工場</t>
  </si>
  <si>
    <t>2104-006</t>
  </si>
  <si>
    <t>25231-001-001</t>
  </si>
  <si>
    <t>株式会社ダイヤケミカル</t>
  </si>
  <si>
    <t>2012-001</t>
  </si>
  <si>
    <t>25210-005-001</t>
  </si>
  <si>
    <t>ライトケミカル工業株式会社</t>
  </si>
  <si>
    <t>第二工場</t>
  </si>
  <si>
    <t>第2工場　危険物保管システム</t>
  </si>
  <si>
    <t>2409-003</t>
  </si>
  <si>
    <t>25210A111-001</t>
  </si>
  <si>
    <t>本社工場</t>
  </si>
  <si>
    <t>危険物保管システム</t>
  </si>
  <si>
    <t>2004-003</t>
  </si>
  <si>
    <t>25343-024-001</t>
  </si>
  <si>
    <t xml:space="preserve">ブランド / 機器構成名(個体名) / 型式 / シリアル番号
AWC4 Framework / AWC4本体(HF-W6555)(AWC001) / HJ-6555-SBJD/DF04 / 4236462-1
AWC4 Framework / AWC4端末/第3自動倉庫(HF-W2045)(WAT004) / HJ-2045-WEJA/DF03 / 4236331-1
</t>
  </si>
  <si>
    <t>東レ・ライクラ株式会社</t>
  </si>
  <si>
    <t>OPT搬送設備システム</t>
  </si>
  <si>
    <t>2012-005</t>
  </si>
  <si>
    <t>25201-218-002</t>
  </si>
  <si>
    <t>守山工場</t>
  </si>
  <si>
    <t>原反搬送システム</t>
  </si>
  <si>
    <t>2017082906-216-1</t>
  </si>
  <si>
    <t>25207-001-001</t>
  </si>
  <si>
    <t>守山事業所</t>
  </si>
  <si>
    <t>2011-010</t>
  </si>
  <si>
    <t>25207A118-001</t>
  </si>
  <si>
    <t>野洲事業所</t>
  </si>
  <si>
    <t>MMC-Y-G棟1階防爆低温立体倉庫システム</t>
  </si>
  <si>
    <t>2018010906-216-1</t>
  </si>
  <si>
    <t>25343-022-003</t>
  </si>
  <si>
    <t>京セラ株式会社</t>
  </si>
  <si>
    <t>滋賀野洲事業所</t>
  </si>
  <si>
    <t>2022030904-221-1</t>
  </si>
  <si>
    <t>25210-010-001</t>
  </si>
  <si>
    <t>G2棟マテハン設備</t>
  </si>
  <si>
    <t>2106-010</t>
  </si>
  <si>
    <t>25210A105-001</t>
  </si>
  <si>
    <t>2021052004-221-1</t>
  </si>
  <si>
    <t>日本発条株式会社</t>
  </si>
  <si>
    <t>野洲工場</t>
  </si>
  <si>
    <t>2110-005</t>
  </si>
  <si>
    <t>25342-012-001</t>
  </si>
  <si>
    <t>日本コカ・コーラ株式会社</t>
  </si>
  <si>
    <t>ドライ保管自動倉庫システム</t>
  </si>
  <si>
    <t>2018041906-216-1</t>
  </si>
  <si>
    <t>25207-048-002</t>
  </si>
  <si>
    <t>日東電工株式会社</t>
  </si>
  <si>
    <t>滋賀事業所</t>
  </si>
  <si>
    <t>2021041902-216-1</t>
  </si>
  <si>
    <t>25206-062-002</t>
  </si>
  <si>
    <t>ダイキン工業株式会社</t>
  </si>
  <si>
    <t>滋賀製作所</t>
  </si>
  <si>
    <t>滋賀製品倉庫　RA室外機仕分け設備</t>
  </si>
  <si>
    <t>2021040711-216-1</t>
  </si>
  <si>
    <t>25206-002-005</t>
  </si>
  <si>
    <t>旭シュエーベル株式会社</t>
  </si>
  <si>
    <t>製品倉庫システム</t>
  </si>
  <si>
    <t>2204-008</t>
  </si>
  <si>
    <t>25207-009-002</t>
  </si>
  <si>
    <t>2204-007</t>
  </si>
  <si>
    <t xml:space="preserve">ブランド / 機器構成名(個体名) / 型式 / シリアル番号
AWC4 Framework / AWC4端末/ダイフク自動倉庫/住重自動倉庫(HF-W2050)(WAT001) / HJ-2050-WEMA/DF03 / 8052683-3
AWC4 Framework / AWC4端末/ダイフク自動倉庫/住重自動倉庫(HF-W2050)(WAT002) / HJ-2050-WEMA/DF03 / 8052683-4
</t>
  </si>
  <si>
    <t>松山CS</t>
  </si>
  <si>
    <t>NKKソリューションズ株式会社</t>
  </si>
  <si>
    <t>39204-061-001</t>
  </si>
  <si>
    <t>高知ＤＤＣ</t>
  </si>
  <si>
    <t>2018101710-216-1</t>
  </si>
  <si>
    <t>39201-193-004</t>
  </si>
  <si>
    <t xml:space="preserve">ブランド / 機器構成名(個体名) / 型式 / シリアル番号
PCM / 進捗端末 (FC-E22U)(WAT01) / FC-E22U-S / 8606294
</t>
  </si>
  <si>
    <t>高知センター</t>
  </si>
  <si>
    <t>2018122504-216-1</t>
  </si>
  <si>
    <t>39204-049-001</t>
  </si>
  <si>
    <t xml:space="preserve">ブランド / 機器構成名(個体名) / 型式 / シリアル番号
AWC-500N / AWC端末 (FC-E22U)(WAT002) / FC-E22U-S / 8506067
AWC-500N / AWC端末 (FC-E22U)(WAT001) / FC-E22U-S / 8506094
</t>
  </si>
  <si>
    <t>ＴＭＴマシナリー株式会社</t>
  </si>
  <si>
    <t>自動倉庫システム（ＦＳ）</t>
  </si>
  <si>
    <t>2020061002-216-1</t>
  </si>
  <si>
    <t>38201-134-001</t>
  </si>
  <si>
    <t>株式会社垣内</t>
  </si>
  <si>
    <t>東工場</t>
  </si>
  <si>
    <t>製品格納用倉庫</t>
  </si>
  <si>
    <t>2208-002</t>
  </si>
  <si>
    <t>39204A103-001</t>
  </si>
  <si>
    <t xml:space="preserve">ブランド / 機器構成名(個体名) / 型式 / シリアル番号
AWC7 Basic / AWC7本体(HF-W6555)(AWC001) / HJ-6555-WEJD/DF05 / 4238991-1
</t>
  </si>
  <si>
    <t>松本CS</t>
  </si>
  <si>
    <t>株式会社ライト光機製作所</t>
  </si>
  <si>
    <t>ファインストッカー</t>
  </si>
  <si>
    <t>2023061336-224-1 / 2023061338-224-1</t>
  </si>
  <si>
    <t>20206A112-002</t>
  </si>
  <si>
    <t xml:space="preserve">ブランド / 機器構成名(個体名) / 型式 / シリアル番号
AWC7 Framework / AWC7本体 (FC-S36W)(AWC001) / FC-S36W-143CV7 / 2100587
AWC7 Framework / AWC7端末 (FC-E22U)(WAT001) / FC-E22U-S / 2117481
AWC7 Framework / AWC7端末 (FC-E22U)(WAT002) / FC-E22U-S / 2117482
</t>
  </si>
  <si>
    <t>協栄流通株式会社</t>
  </si>
  <si>
    <t>塩尻物流センター</t>
  </si>
  <si>
    <t>2020040705-216-1</t>
  </si>
  <si>
    <t>20215-129-001</t>
  </si>
  <si>
    <t xml:space="preserve">ブランド / 機器構成名(個体名) / 型式 / シリアル番号
eye-navi / DPMｻｰﾊﾞ (FC-S35W/S7)(SRV01) / FC-S35W/S42CM0 / S810278MA
eye-navi / DPM (FC-S35W/S7)(DPM01) / FC-S35W/S42CM0 / S810279MA
eye-navi / DPM (FC-S35W/S7)(DPM02) / FC-S35W/S42CM0 / S810276MA
eye-navi / DPM (FC-S35W/S7)(DPM03) / FC-S35W/S42CM0 / S810275MA
eye-navi / DPM (FC-S35W/S7)(DPM04) / FC-S35W/S42CM0 / S810283MA
</t>
  </si>
  <si>
    <t>株式会社ハーモニックプレシジョン</t>
  </si>
  <si>
    <t>新工場</t>
  </si>
  <si>
    <t>2005-006</t>
  </si>
  <si>
    <t>20202A130-001</t>
  </si>
  <si>
    <t xml:space="preserve">ブランド / 機器構成名(個体名) / 型式 / シリアル番号
AWC4 Framework / AWC4本体 (HF-W6555)() / HJ-6555-WBJD/DF01 / 4234783-1
</t>
  </si>
  <si>
    <t>宮田工場</t>
  </si>
  <si>
    <t>自動ラックシステム</t>
  </si>
  <si>
    <t>2020070610-216-1</t>
  </si>
  <si>
    <t>20388-023-001</t>
  </si>
  <si>
    <t>山洋電気株式会社</t>
  </si>
  <si>
    <t>富士山工場</t>
  </si>
  <si>
    <t>2205-014</t>
  </si>
  <si>
    <t>20203-153-001</t>
  </si>
  <si>
    <t>塚田理研工業株式会社</t>
  </si>
  <si>
    <t>南工場 自動倉庫</t>
  </si>
  <si>
    <t>2020070104-216-1</t>
  </si>
  <si>
    <t>20210-032-003</t>
  </si>
  <si>
    <t>2020040703-216-1</t>
  </si>
  <si>
    <t xml:space="preserve">ブランド / 機器構成名(個体名) / 型式 / シリアル番号
eye-navi / DPM予備機 (FC-S35W/S4)(DPM予備) / FC-S35W/S42CM0 / 9302106
</t>
  </si>
  <si>
    <t>ユウキ食品工業株式会社</t>
  </si>
  <si>
    <t>伊那工場</t>
  </si>
  <si>
    <t>2024070912-224-1</t>
  </si>
  <si>
    <t>20209A118-001</t>
  </si>
  <si>
    <t>株式会社アグリコ</t>
  </si>
  <si>
    <t>2021090220-221-1 / 2021090218-221-1</t>
  </si>
  <si>
    <t>20210-067-001</t>
  </si>
  <si>
    <t>豊科フイルム株式会社</t>
  </si>
  <si>
    <t>フィルム保管倉庫</t>
  </si>
  <si>
    <t>2212-003</t>
  </si>
  <si>
    <t>20461-005-001</t>
  </si>
  <si>
    <t>ニチコン製箔株式会社</t>
  </si>
  <si>
    <t>大町工場</t>
  </si>
  <si>
    <t>アルミ箔格納システム</t>
  </si>
  <si>
    <t>2109-011</t>
  </si>
  <si>
    <t>20212-025-001</t>
  </si>
  <si>
    <t>鈴与マタイ株式会社</t>
  </si>
  <si>
    <t>浅間工場</t>
  </si>
  <si>
    <t>2008-008</t>
  </si>
  <si>
    <t>20217-160-001</t>
  </si>
  <si>
    <t>株式会社竹内製作所</t>
  </si>
  <si>
    <t>受渡課</t>
  </si>
  <si>
    <t>2018010904-216-1</t>
  </si>
  <si>
    <t>20521-006-002</t>
  </si>
  <si>
    <t>信州大学医学部附属病院</t>
  </si>
  <si>
    <t>手術用機器保管システム</t>
  </si>
  <si>
    <t>2022051114-221-1 / 2022051116-221-1</t>
  </si>
  <si>
    <t>20202-336-001</t>
  </si>
  <si>
    <t>株式会社メディックス昭和</t>
  </si>
  <si>
    <t>原反格納自動倉庫システム</t>
  </si>
  <si>
    <t>2018030829-216-1</t>
  </si>
  <si>
    <t>20212-029-001</t>
  </si>
  <si>
    <t>松本流通センター</t>
  </si>
  <si>
    <t>2021093002-221-1 / 2021093004-221-1</t>
  </si>
  <si>
    <t>20202-283-001</t>
  </si>
  <si>
    <t xml:space="preserve">ブランド / 機器構成名(個体名) / 型式 / シリアル番号
DPM / ﾏﾃﾊﾝｻｰﾊﾞ(FC-S36W)(TPSSV) / FC-S36W-143CV7 / 0700209
DPM / ﾏﾃﾊﾝｻｰﾊﾞ予備機(FC-S36W)(TPSSV予備) / FC-S36W-143CV7 / 0700220
DPM / DPM(FC-E22U)(DPM01) / FC-E22U-S / 0613660
DPM / DPM(FC-E22U)(DPM02) / FC-E22U-S / 0613669
DPM / DPM端末(FC-E22U)(DPW01) / FC-E22U-S / 0613664
DPM / DPM端末(FC-E22U)(DPW02) / FC-E22U-S / 0613666
</t>
  </si>
  <si>
    <t>佐久浅間農業協同組合</t>
  </si>
  <si>
    <t>野菜加工センタ－</t>
  </si>
  <si>
    <t>野菜加工施設</t>
  </si>
  <si>
    <t>2018081003-216-1 / 2018081008-216-1</t>
  </si>
  <si>
    <t>20323-016-001</t>
  </si>
  <si>
    <t>タカノ株式会社</t>
  </si>
  <si>
    <t>下島工場</t>
  </si>
  <si>
    <t>製品乾燥倉庫</t>
  </si>
  <si>
    <t>2018051804-216-1</t>
  </si>
  <si>
    <t>20209-040-001</t>
  </si>
  <si>
    <t>ニチコン大野株式会社</t>
  </si>
  <si>
    <t>長野工場</t>
  </si>
  <si>
    <t>2205-012</t>
  </si>
  <si>
    <t>20461-027-001</t>
  </si>
  <si>
    <t xml:space="preserve">ブランド / 機器構成名(個体名) / 型式 / シリアル番号
AWC4 Ordermade (資材) / AWC4本体 (HF-W6555)(AWC002) / HJ-6555-WEJD/DF05 / 4238982-1
AWC4 Ordermade (資材) / AWC4端末 (HF-W2050)(WAT001) / HJ-2050-WEMA/DF03 / 8051269-1
AWC4 Ordermade (資材) / AWC4端末 (HF-W2050)(WAT002) / HJ-2050-WEMA/DF03 / 8051267-1
</t>
  </si>
  <si>
    <t>株式会社ケーアイ・オギワラ</t>
  </si>
  <si>
    <t>えのき部門</t>
  </si>
  <si>
    <t>2022010615-221-1</t>
  </si>
  <si>
    <t>20211-039-001</t>
  </si>
  <si>
    <t xml:space="preserve">ブランド / 機器構成名(個体名) / 型式 / シリアル番号
AWC4 Basic / AWC4本体(FC-S36W)(EAWC002) / FC-S36W-143CV7 / 0X00297
</t>
  </si>
  <si>
    <t>エリンギ集出荷場</t>
  </si>
  <si>
    <t>製品用立体自動倉庫システム</t>
  </si>
  <si>
    <t>2022010619-221-1 / 2022010621-221-1</t>
  </si>
  <si>
    <t>20211A001-001</t>
  </si>
  <si>
    <t xml:space="preserve">ブランド / 機器構成名(個体名) / 型式 / シリアル番号
eAWC Basic / eAWC本体(FC-S36W)(EAWC001) / FC-S36W-143CV7 / 0X00299
eAWC Basic / eAWC端末(FC-E22U)(WAT001) / FC-E22U-S / 0Z15111
</t>
  </si>
  <si>
    <t>シチズンマシナリー株式会社</t>
  </si>
  <si>
    <t>佐久事業所</t>
  </si>
  <si>
    <t>2301-001</t>
  </si>
  <si>
    <t>20217A116-001</t>
  </si>
  <si>
    <t xml:space="preserve">ブランド / 機器構成名(個体名) / 型式 / シリアル番号
AWC7 Basic / AWC7本体(HF-W6555)(AWC001) / HJ-6555-WEJD/DF05 / 4239860-1
AWC7 Basic / AWC7端末(HF-W2050)(WAT001) / HJ-2050-WEMA/DF03 / 8052681-1
</t>
  </si>
  <si>
    <t>新光電気工業株式会社</t>
  </si>
  <si>
    <t>若穂工場</t>
  </si>
  <si>
    <t>2212-001</t>
  </si>
  <si>
    <t>20201-333-001</t>
  </si>
  <si>
    <t xml:space="preserve">ブランド / 機器構成名(個体名) / 型式 / シリアル番号
AWC7 Framework / AWC7本体 (HF-W6555)(AWC001) / HJ-6555-WEJD/DF05 / 4239861-1
AWC7 Framework / AWC7端末 (HF-W2050)(WAT001) / HJ-2050-WEMA/DF03 / 8052681-4
AWC7 Framework / AWC7端末 (HF-W2050)(WAT002) / HJ-2050-WEMA/DF03 / 8052681-3
</t>
  </si>
  <si>
    <t>新潟CS</t>
  </si>
  <si>
    <t>株式会社日本アクセス</t>
  </si>
  <si>
    <t>新潟支店　長岡中之島ＴＰＬセンター</t>
  </si>
  <si>
    <t>ジェットサーフィンソーター</t>
  </si>
  <si>
    <t>15202A118-001</t>
  </si>
  <si>
    <t>株式会社レンタルのニッケン</t>
  </si>
  <si>
    <t>株式会社東芝</t>
  </si>
  <si>
    <t>柏崎工場</t>
  </si>
  <si>
    <t>ＳＣＩＢ量産新工場マテハンシステム</t>
  </si>
  <si>
    <t>15205A002-001</t>
  </si>
  <si>
    <t xml:space="preserve">ブランド / 機器構成名(個体名) / 型式 / シリアル番号
eWareNavi Framework / eWareNavi本体(FA3100T model 800)(EWN001) / UA538020-DF1-CKC-A2129 / OHA044
</t>
  </si>
  <si>
    <t>ゆきぐに森林組合</t>
  </si>
  <si>
    <t>松之山なめこ工場</t>
  </si>
  <si>
    <t>ナメコ工場</t>
  </si>
  <si>
    <t>2211-004</t>
  </si>
  <si>
    <t>15524-002-002</t>
  </si>
  <si>
    <t xml:space="preserve">ブランド / 機器構成名(個体名) / 型式 / シリアル番号
eAWC Framework Custom / eAWC本体(HF-W6555)(EAWC001) / HJ-6555-WEJD/DF05 / 4240141-5
eAWC Framework Custom / eAWC端末(HF-W2050)(WAT001) / HJ-2050-WEMA/DF03 / 8053653-1
eAWC Framework Custom / eAWC端末(HF-W2050)(WAT002) / HJ-2050-WEMA/DF03 / 8053651-4
eAWC Framework Custom / eAWC端末(HF-W2050)(WAT003) / HJ-2050-WEMA/DF03 / 8053651-5
</t>
  </si>
  <si>
    <t>新潟太陽誘電株式会社</t>
  </si>
  <si>
    <t>中越運送株式会社</t>
  </si>
  <si>
    <t>燕支店　燕ロジスティクスセンタ－</t>
  </si>
  <si>
    <t>2303-003</t>
  </si>
  <si>
    <t>15213-102-001</t>
  </si>
  <si>
    <t xml:space="preserve">ブランド / 機器構成名(個体名) / 型式 / シリアル番号
SAM / SAM (HF-W6555)(SAM01) / HJ-6555-WBJD/DF01 / 4240262-1
</t>
  </si>
  <si>
    <t>2023013102-221-1</t>
  </si>
  <si>
    <t xml:space="preserve">ブランド / 機器構成名(個体名) / 型式 / シリアル番号
SAM / ﾀｯﾁﾊﾟﾈﾙ端末 (FC-E22U)(NTM01) / FC-E22U-S / 2818374
SAM / ﾀｯﾁﾊﾟﾈﾙ端末 (FC-E22U)(NTM02) / FC-E22U-S / 2818376
SAM / ﾀｯﾁﾊﾟﾈﾙ端末 (FC-E22U)(NTM03) / FC-E22U-S / 2818377
SAM / ﾀｯﾁﾊﾟﾈﾙ端末 (FC-E22U)(NTM04) / FC-E22U-S / 2818379
</t>
  </si>
  <si>
    <t>デンカ株式会社</t>
  </si>
  <si>
    <t>青海工場</t>
  </si>
  <si>
    <t>2020061103-216-1</t>
  </si>
  <si>
    <t>15563-001-001</t>
  </si>
  <si>
    <t xml:space="preserve">ブランド / 機器構成名(個体名) / 型式 / シリアル番号
AWC-300N / AWC本体 (FC-S35W/S7)(AWC001) / FC-S35W/S72CL9 / S820083MA
</t>
  </si>
  <si>
    <t>日本重化学工業株式会社</t>
  </si>
  <si>
    <t>小国工場　ＫＩセンター</t>
  </si>
  <si>
    <t>2023110813-224-1 / 2023110815-224-1</t>
  </si>
  <si>
    <t>06401-005-004</t>
  </si>
  <si>
    <t xml:space="preserve">ブランド / 機器構成名(個体名) / 型式 / シリアル番号
AWC7 Framework / AWC7本体 (FC-S36W)(AWC001) / FC-S36W-143CV7 / 2300636
AWC7 Framework / AWC7端末 (FC-E22U)(WAT001) / FC-E22U-S / 2918599
AWC7 Framework / AWC7端末 (FC-E22U)(WAT002) / FC-E22U-S / 2918602
</t>
  </si>
  <si>
    <t>サトウ食品株式会社</t>
  </si>
  <si>
    <t>東港工場</t>
  </si>
  <si>
    <t>2108-003</t>
  </si>
  <si>
    <t>15307-011-002</t>
  </si>
  <si>
    <t xml:space="preserve">ブランド / 機器構成名(個体名) / 型式 / シリアル番号
AWC-100N+ / AWC本体(HF-W6555)(AWC001) / HJ-6555-WBJD/DF01 / 4234448-1
AWC-100N+ / AWC端末(HF-W2045)(WAT001) / HJ-2045-WBJA/DF01 / 4234464-1
</t>
  </si>
  <si>
    <t>有限会社松之山きのこ</t>
  </si>
  <si>
    <t>中里栽培施設</t>
  </si>
  <si>
    <t>2407-001</t>
  </si>
  <si>
    <t>15210A106-001</t>
  </si>
  <si>
    <t>シンワ測定株式会社</t>
  </si>
  <si>
    <t>2022012703-221-1</t>
  </si>
  <si>
    <t>15213-094-001</t>
  </si>
  <si>
    <t>株式会社有沢製作所</t>
  </si>
  <si>
    <t>2405-003</t>
  </si>
  <si>
    <t>15222-023-002</t>
  </si>
  <si>
    <t>有限会社十日町きのこ培養センター</t>
  </si>
  <si>
    <t>2016120107-220-1</t>
  </si>
  <si>
    <t>15210-020-001</t>
  </si>
  <si>
    <t>株式会社新潟食品運輸</t>
  </si>
  <si>
    <t>物流センター</t>
  </si>
  <si>
    <t>2021010509-216-1</t>
  </si>
  <si>
    <t>15104A111-001</t>
  </si>
  <si>
    <t>出荷品保管用自動倉庫</t>
  </si>
  <si>
    <t>2105-001</t>
  </si>
  <si>
    <t>06401-005-003</t>
  </si>
  <si>
    <t xml:space="preserve">ブランド / 機器構成名(個体名) / 型式 / シリアル番号
AWC4 Basic / AWC4本体(HF-W6555)(AWC001) / HJ-6555-WEJD/DF03 / 4237049-2
</t>
  </si>
  <si>
    <t>４号棟自動倉庫</t>
  </si>
  <si>
    <t>2107-006</t>
  </si>
  <si>
    <t>15222-238-004</t>
  </si>
  <si>
    <t>2009-001</t>
  </si>
  <si>
    <t>15222-238-001</t>
  </si>
  <si>
    <t>サーモス株式会社</t>
  </si>
  <si>
    <t>2021110402-221-1</t>
  </si>
  <si>
    <t>15344-018-001</t>
  </si>
  <si>
    <t>2021110404-221-1</t>
  </si>
  <si>
    <t>15344-018-002</t>
  </si>
  <si>
    <t>2108-004</t>
  </si>
  <si>
    <t>ブランド / 機器構成名(個体名) / 型式 / シリアル番号
AWC-100N+ / MOSⅦ(MOS01) / HJ-2055-WEMA/DF04 / 8051183-1</t>
  </si>
  <si>
    <t>2204-011</t>
  </si>
  <si>
    <t>06401-005-001</t>
  </si>
  <si>
    <t xml:space="preserve">ブランド / 機器構成名(個体名) / 型式 / シリアル番号
eAWC-R / eAWC本体(HF-W2055)(AWC001) / HJ-2055-WEMA/DF04 / 8052089-1
</t>
  </si>
  <si>
    <t>新潟大学</t>
  </si>
  <si>
    <t>医歯学総合病院</t>
  </si>
  <si>
    <t>手術部　滅菌コンテナ自動倉庫</t>
  </si>
  <si>
    <t>2023011324-221-1 / 2023011322-221-1</t>
  </si>
  <si>
    <t>15201-622-001</t>
  </si>
  <si>
    <t xml:space="preserve">ブランド / 機器構成名(個体名) / 型式 / シリアル番号
eWareNavi Framework / eWareNavi本体(FC-S36W)(EWARENAVI) / FC-S36W-113CW5 / 0X00117
eWareNavi Framework / 作業端末(FC-E22U)(WAT001) / FC-E22U-S / 1616220
eWareNavi Framework / 作業端末(FC-E22U)(WAT002) / FC-E22U-S / 1616206
eWareNavi Framework / 作業表示端末(FC-E22U)(WAT003) / FC-E22U-S / 1616217
eWareNavi Framework / 作業表示端末(FC-E22U)(WAT004) / FC-E22U-S / 1616222
eWareNavi Framework / 作業表示端末(FC-E22U)(WAT005) / FC-E22U-S / 1616221
</t>
  </si>
  <si>
    <t>神戸第1CS</t>
  </si>
  <si>
    <t>コープこうべ新要冷集配センター</t>
  </si>
  <si>
    <t>魚崎浜専用物流事業所</t>
  </si>
  <si>
    <t>2023050102-224-1</t>
  </si>
  <si>
    <t>28204-245-001</t>
  </si>
  <si>
    <t xml:space="preserve">ブランド / 機器構成名(個体名) / 型式 / シリアル番号
eye-navi / DPM / 冷蔵1-3系 (FC-36W)(DPM12) / FC-S36W-143CV7 / 1Z00542
eye-navi / DPM / 冷蔵1-3系 (FC-36W)(DPM04) / FC-S36W-143CV7 / 1Z00533
eye-navi / DPM / 冷蔵1-3系 (FC-36W)(DPM05) / FC-S36W-143CV7 / 1Z00528
eye-navi / DPM / 冷蔵1-3系 (FC-36W)(DPM06) / FC-S36W-143CV7 / 1Z00535
eye-navi / DPM / 冷蔵1-3系 (FC-36W)(DPM07) / FC-S36W-143CV7 / 1Z00536
eye-navi / DPM / 冷蔵1-3系 (FC-36W)(DPM08) / FC-S36W-143CV7 / 1Z00529
eye-navi / DPM / 冷蔵1-3系 (FC-36W)(DPM09) / FC-S36W-143CV7 / 1Z00534
eye-navi / DPM / 冷蔵1-3系 (FC-36W)(DPM10) / FC-S36W-143CV7 / 1Z00530
eye-navi / DPM / 冷蔵1-3系 (FC-36W)(DPM11) / FC-S36W-143CV7 / 1Z00531
eye-navi / DPM予備機 (FC-36W)(DPM予備) / FC-S36W-143CV7 / 1Z00532
</t>
  </si>
  <si>
    <t>神戸市経済観光局中央卸売市場運営本部東部市場</t>
  </si>
  <si>
    <t>東部市場第二冷蔵庫棟</t>
  </si>
  <si>
    <t>2025041039-224-1</t>
  </si>
  <si>
    <t>28101-261-001</t>
  </si>
  <si>
    <t>白鶴酒造株式会社</t>
  </si>
  <si>
    <t>灘魚崎工場</t>
  </si>
  <si>
    <t>RM自動倉庫</t>
  </si>
  <si>
    <t>2020091002-216-1 / 2020091004-216-1</t>
  </si>
  <si>
    <t>28101A109-001</t>
  </si>
  <si>
    <t>全農パールライス株式会社</t>
  </si>
  <si>
    <t>兵庫工場</t>
  </si>
  <si>
    <t>2023020708-221-1 / 2024072402-224-1</t>
  </si>
  <si>
    <t>28101-015-001</t>
  </si>
  <si>
    <t xml:space="preserve">ブランド / 機器構成名(個体名) / 型式 / シリアル番号
AWC7 Framework / AWC7本体 (FC-S36W)(AWC001) / FC-S36W-143CV7 / 1900480
AWC7 Framework / AWC7端末 (FC-E22U)(WAT001) / FC-E22U-S / 1716403
</t>
  </si>
  <si>
    <t>神戸第2CS</t>
  </si>
  <si>
    <t>丸紅ロジスティクス株式会社</t>
  </si>
  <si>
    <t>神戸配送センター</t>
  </si>
  <si>
    <t>新阪神センター</t>
  </si>
  <si>
    <t>1810-001 / 1810-002</t>
  </si>
  <si>
    <t>28109A116-001</t>
  </si>
  <si>
    <t>8年目HDD交換
2025年2月24日に4年目HDD交換を実施</t>
  </si>
  <si>
    <t xml:space="preserve">ブランド / 機器構成名(個体名) / 型式 / シリアル番号
WareNavi7 / ﾏﾃﾊﾝPC (HF-W6545)(MHS) / HJ-65458EWJD/DF02 / 4230227-1
WareNavi7 / SAM (HF-W6545)/SAM端末 (HF-W6545)(SAM01) / HJ-65458EWJD/DF02 / 4230227-4
WareNavi7 / SAM (HF-W6545)/SAM端末 (HF-W6545)(SAM02) / HJ-65458EWJD/DF02 / 4230227-3
WareNavi7 / 入荷受付端末兼MOS (HF-W6545)(SAM03) / HJ-65458EWJD/DF02 / 4230227-2
WareNavi7 / MOSⅦ(MOSA02) / HJ-65458EWJD/DF02 / 4230366-3
</t>
  </si>
  <si>
    <t>ＯＣＩ株式会社</t>
  </si>
  <si>
    <t>西神工場</t>
  </si>
  <si>
    <t>CS</t>
  </si>
  <si>
    <t>2024041014-224-2</t>
  </si>
  <si>
    <t>28111-041-001</t>
  </si>
  <si>
    <t xml:space="preserve">ブランド / 機器構成名(個体名) / 型式 / シリアル番号
AWC7 Framework / AWC7本体 (FC-S36W)(AWC001) / FC-S36W-143CV7 / 3Y01037
</t>
  </si>
  <si>
    <t>朝日ゴルフ株式会社</t>
  </si>
  <si>
    <t>2311-002</t>
  </si>
  <si>
    <t>28107-056-001</t>
  </si>
  <si>
    <t>神戸西見津が丘SDC</t>
  </si>
  <si>
    <t>冷凍センター</t>
  </si>
  <si>
    <t>2021121004-221-1 / 2021121006-221-1</t>
  </si>
  <si>
    <t>28111A158-001</t>
  </si>
  <si>
    <t>神戸技術センター</t>
  </si>
  <si>
    <t>2022061502-221-1</t>
  </si>
  <si>
    <t>28107-031-001</t>
  </si>
  <si>
    <t xml:space="preserve">ブランド / 機器構成名(個体名) / 型式 / シリアル番号
AWC-800U / CCR端末(FC-E22U)(WSC21) / FC-E22U-S / 1415970
</t>
  </si>
  <si>
    <t>神戸第3CS</t>
  </si>
  <si>
    <t>ライオン株式会社</t>
  </si>
  <si>
    <t>明石工場</t>
  </si>
  <si>
    <t>洗口液設備</t>
  </si>
  <si>
    <t>2019080911-216-1</t>
  </si>
  <si>
    <t>28203-223-003</t>
  </si>
  <si>
    <t xml:space="preserve">ブランド / 機器構成名(個体名) / 型式 / シリアル番号
WareNavi7 / WareNavi7本体(FC-S35W/S4)(WN7-001) / FC-S35W/S42CM0 / S780456MA
</t>
  </si>
  <si>
    <t>1909-005</t>
  </si>
  <si>
    <t xml:space="preserve">ブランド / 機器構成名(個体名) / 型式 / シリアル番号
WareNavi7 / MOSⅦ(MOS01) / HJ-2045-WEJA/7R / 4234904-1
</t>
  </si>
  <si>
    <t>コカ・コーラボトラーズジャパン株式会社</t>
  </si>
  <si>
    <t>自動倉庫(RB)</t>
  </si>
  <si>
    <t>2022051104-221-1</t>
  </si>
  <si>
    <t>28203-381-001</t>
  </si>
  <si>
    <t xml:space="preserve">ブランド / 機器構成名(個体名) / 型式 / シリアル番号
AWC7 Framework / AWC7端末 (FC-E22U)(WAT001) / FC-E22U-S / 1415940
AWC7 Framework / AWC7端末 (FC-E22U)(WAT002) / FC-E22U-S / 1415948
AWC7 Framework / AWC7端末 (FC-E22U)(WAT003) / FC-E22U-S / 1415939
AWC7 Framework / 入出荷ｴﾘｱ端末 (FC-E22U)(WAT005) / FC-E22U-S / 1415939
AWC7 Framework / 入出荷ｴﾘｱ端末 (FC-E22U)(WAT006) / FC-E22U-S / 1415943
AWC7 Framework / 出荷ｴﾘｱ端末 (FC-E22U【BCR付】)(WAT004) / FC-E22U-S / 1415946
AWC7 Framework / ﾊﾟﾚﾀｲｻﾞｴﾘｱ端末 (FC-E22U【BCR付】)(WAT008) / FC-E22U-S / 1415944
AWC7 Framework / QR入力端末 (FC-E22U【BCR付】)(WAT007) / FC-E22U-S / 1415942
</t>
  </si>
  <si>
    <t>明石メガDCシステム</t>
  </si>
  <si>
    <t>2022070614-221-1 / 2022070612-221-1</t>
  </si>
  <si>
    <t>28203-381-006</t>
  </si>
  <si>
    <t xml:space="preserve">ブランド / 機器構成名(個体名) / 型式 / シリアル番号
WareNavi7 / WareNavi7端末 (FC-E22U)(WATc101) / FC-E22U-S / ???
WareNavi7 / WareNavi7端末 (FC-E22U)(WATc201) / FC-E22U-S / ???
WareNavi7 / WareNavi7端末 (FC-E22U)(WATc202) / FC-E22U-S / 1616199
WareNavi7 / WareNavi7端末 (FC-E22U【BCR付】)(WATn201) / FC-E22U-S / 1616202
WareNavi7 / WareNavi7端末 (FC-E22U【BCR付】)(WATn202) / FC-E22U-S / 1516167
WareNavi7 / WareNavi7端末 (FC-E22U【BCR付】)(WATn203) / FC-E22U-S / 1616191
WareNavi7 / WareNavi7端末 (FC-E22U【BCR付】)(WATn204) / FC-E22U-S / 1616219
WareNavi7 / WareNavi7端末 (FC-E22U【BCR付】)(WATn205) / FC-E22U-S / 1616197
WareNavi7 / WareNavi7端末 (FC-E22U【BCR付】)(WATn206) / FC-E22U-S / 1616190
WareNavi7 / WareNavi7端末 (FC-E22U【BCR付】)(WATn207) / FC-E22U-S / 1516170
WareNavi7 / WareNavi7端末 (FC-E22U【BCR付】)(WATn208) / FC-E22U-S / 1616194
WareNavi7 / WareNavi7端末 (FC-E22U【BCR付】)(WATn302) / FC-E22U-S / 1616215
WareNavi7 / WareNavi7端末 (FC-E22U【BCR付】)(WATn303) / FC-E22U-S / 1616205
WareNavi7 / WareNavi7端末 (FC-E22U【BCR付】)(WATn304) / FC-E22U-S / 1616204
WareNavi7 / WareNavi7端末 (FC-E22U【BCR付】)(WATn305) / FC-E22U-S / 1616187
WareNavi7 / WareNavi7端末 (FC-E22U【BCR付】)(WATn312) / FC-E22U-S / 1516169
WareNavi7 / WareNavi7端末 (FC-E22U【BCR付】)(WATc301) / FC-E22U-S / 1616203
WareNavi7 / WareNavi7端末 (FC-E22U【BCR付】)(WATc302) / FC-E22U-S / 1616189
WareNavi7 / WareNavi7端末 (FC-E22U【BCR付】)(WATc303) / FC-E22U-S / 1616212
WareNavi7 / WareNavi7端末 (FC-E22U【ﾀｯﾁﾊﾟﾈﾙﾓﾆﾀ・BCR付】)(WATn301) / FC-E22U-S / 1616195
WareNavi7 / WareNavi7端末 (FC-E22U【ﾀｯﾁﾊﾟﾈﾙﾓﾆﾀ・BCR付】)(WATn306) / FC-E22U-S / 1616193
WareNavi7 / WareNavi7端末 (FC-E22U【ﾀｯﾁﾊﾟﾈﾙﾓﾆﾀ・BCR付】)(WATn307) / FC-E22U-S / 1516168
WareNavi7 / WareNavi7端末 (FC-E22U【ﾀｯﾁﾊﾟﾈﾙﾓﾆﾀ・BCR付】)(WATn313) / FC-E22U-S / 1516176
WareNavi7 / WareNavi7端末 (FC-E22U【ﾀｯﾁﾊﾟﾈﾙﾓﾆﾀ・BCR付】)(WATn314) / FC-E22U-S / 1616200
WareNavi7 / WareNavi7端末 (FC-E22U【防塵ﾗｯｸ入り】)(WATe191) / FC-E22U-S / 1616192
WareNavi7 / WareNavi7端末 (FC-E22U【防塵ﾗｯｸ入り】)(WATn101) / FC-E22U-S / 1516175
WareNavi7 / WareNavi7端末 (FC-E22U【防塵ﾗｯｸ入り】)(WATn102) / FC-E22U-S / 1616198
WareNavi7 / WareNavi7端末 (FC-E22U【防塵ﾗｯｸ入り】)(WATn103) / FC-E22U-S / 1616201
WareNavi7 / WareNavi7端末 (FC-E22U【防塵ﾗｯｸ入り】)(WATn104) / FC-E22U-S / 1516171
WareNavi7 / WareNavi7端末 (FC-E22U【防塵ﾗｯｸ入り】)(WATn105) / FC-E22U-S / 1516174
WareNavi7 / 端末予備機 (FC-E22U)(WATn100) / FC-E22U-S / ???
ﾛﾎﾞｯﾄPC / ﾛﾎﾞｯﾄPC (FC-S36W)(RBM201) / FC-S36W-143CV7 / 1600407
ﾛﾎﾞｯﾄPC / ﾛﾎﾞｯﾄPC (FC-S36W)(RBM202) / FC-S36W-143CV7 / 1600432
ﾛﾎﾞｯﾄPC / ﾛﾎﾞｯﾄPC (FC-S36W)(RBM203) / FC-S36W-143CV7 / 1600427
ﾛﾎﾞｯﾄPC / ﾛﾎﾞｯﾄPC (FC-S36W)(RBM204) / FC-S36W-143CV7 / 1600417
ﾛﾎﾞｯﾄPC / ﾛﾎﾞｯﾄPC (FC-S36W)(RBM205) / FC-S36W-143CV7 / 1600413
ﾛﾎﾞｯﾄPC / ﾛﾎﾞｯﾄPC (FC-S36W)(RBM206) / FC-S36W-143CV7 / 1600414
ﾛﾎﾞｯﾄPC / ﾛﾎﾞｯﾄPC (FC-S36W)(RBM207) / FC-S36W-143CV7 / 1600425
ﾛﾎﾞｯﾄPC / ﾛﾎﾞｯﾄPC (FC-S36W)(RBM208) / FC-S36W-143CV7 / 1600433
ﾛﾎﾞｯﾄPC / ﾛﾎﾞｯﾄPC (FC-S36W)(RBM209) / FC-S36W-143CV7 / 1600418
ﾛﾎﾞｯﾄPC / ﾛﾎﾞｯﾄPC (FC-S36W)(RBM210) / FC-S36W-143CV7 / 1600402
ﾛﾎﾞｯﾄPC / ﾛﾎﾞｯﾄPC (FC-S36W)(RBM211) / FC-S36W-143CV7 / 1600429
ﾛﾎﾞｯﾄPC / ﾛﾎﾞｯﾄPC (FC-S36W)(RBM212) / FC-S36W-143CV7 / 1600424
ﾛﾎﾞｯﾄPC / ﾛﾎﾞｯﾄPC (FC-S36W【防塵ﾗｯｸ入り】)(RBM213) / FC-S36W-143CV7 / 1600423
ﾛﾎﾞｯﾄPC / ﾛﾎﾞｯﾄPC (FC-S36W【防塵ﾗｯｸ入り】)(RBM214) / FC-S36W-143CV7 / 1600411
ﾛﾎﾞｯﾄPC / ﾛﾎﾞｯﾄPC (FC-S36W【防塵ﾗｯｸ入り】)(RBM215) / FC-S36W-143CV7 / 1600431
ﾛﾎﾞｯﾄPC / ﾛﾎﾞｯﾄPC (FC-S36W【防塵ﾗｯｸ入り】)(RBM216) / FC-S36W-143CV7 / 1600420
ﾛﾎﾞｯﾄPC / ﾛﾎﾞｯﾄPC (FC-S36W【防塵ﾗｯｸ入り】)(RBM217) / FC-S36W-143CV7 / 1600422
ﾛﾎﾞｯﾄPC / ﾛﾎﾞｯﾄPC (FC-S36W【防塵ﾗｯｸ入り】)(RBM218) / FC-S36W-143CV7 / 1600421
ﾛﾎﾞｯﾄPC / ﾛﾎﾞｯﾄPC (FC-S36W【防塵ﾗｯｸ入り】)(RBM219) / FC-S36W-143CV7 / 1600430
ﾛﾎﾞｯﾄPC / ﾛﾎﾞｯﾄPC (FC-S36W【防塵ﾗｯｸ入り】)(RBM220) / FC-S36W-143CV7 / 1600428
ﾛﾎﾞｯﾄPC / ﾛﾎﾞｯﾄPC予備 (FC-S36W)(RBM予備01) / FC-S36W-143CV7 / 1600404
ﾛﾎﾞｯﾄPC / ﾛﾎﾞｯﾄPC予備 (FC-S36W)(RBM予備02) / FC-S36W-143CV7 / ???
ﾛﾎﾞｯﾄPC / ﾛﾎﾞｯﾄPC予備 (FC-S36W)(RBM予備03) / FC-S36W-143CV7 / ???
</t>
  </si>
  <si>
    <t>水戸CS</t>
  </si>
  <si>
    <t>大川精螺工業株式会社</t>
  </si>
  <si>
    <t>1705-002</t>
  </si>
  <si>
    <t>08344-002-001</t>
  </si>
  <si>
    <t>諸澤様</t>
  </si>
  <si>
    <t>増田宗徳/090-7002-1242　</t>
  </si>
  <si>
    <t>8年目HDD交換
2024/7/27に4年目HDD交換を実施</t>
  </si>
  <si>
    <t xml:space="preserve">ブランド / 機器構成名(個体名) / 型式 / シリアル番号
eAWC Basic / eAWC本体 (HF-W6545)(EAWC001) / HJ-65459EWJD/DF01 / 4227740-1
eAWC Basic / eAWC端末 (HF-W2035)(WAT001) / HJ-20359EWJA/DF01 / 4227952-1
</t>
  </si>
  <si>
    <t>石岡工場</t>
  </si>
  <si>
    <t>製品自動倉庫棟搬送システム</t>
  </si>
  <si>
    <t>1909-001</t>
  </si>
  <si>
    <t>08205-023-001</t>
  </si>
  <si>
    <t xml:space="preserve">5年目寿命部品交換（EP8000）。2日間の連続稼働停止が必要。
部品手配が必要な為、約3ヶ月前に依頼が必要となります。
</t>
  </si>
  <si>
    <t xml:space="preserve">ブランド / 機器構成名(個体名) / 型式 / シリアル番号
eAWC Ordermade / eAWCｻｰﾊﾞ (EP8000 S814)(AWC01) / THE-C828641A630T / 51508
</t>
  </si>
  <si>
    <t>日亜鋼業株式会社</t>
  </si>
  <si>
    <t>ボルト・針金収納自動倉庫【ボルト倉庫】</t>
  </si>
  <si>
    <t>08215-059-001</t>
  </si>
  <si>
    <t>ＮＯＫ株式会社</t>
  </si>
  <si>
    <t>磯原第二事業場</t>
  </si>
  <si>
    <t>2020070913-216-1</t>
  </si>
  <si>
    <t>08215A111-001</t>
  </si>
  <si>
    <t>ＪＸ金属株式会社</t>
  </si>
  <si>
    <t>磯原工場</t>
  </si>
  <si>
    <t>A5棟(メタル加工2室)　ターゲット材自動倉庫</t>
  </si>
  <si>
    <t>2023110819-224-1 / 2023110817-224-1</t>
  </si>
  <si>
    <t>08215-058-006</t>
  </si>
  <si>
    <t xml:space="preserve">ブランド / 機器構成名(個体名) / 型式 / シリアル番号
AWC7 Framework / AWC7本体(FC-S36W)(AWC001) / FC-S36W-143CV7 / 2300631
AWC7 Framework / AWC7端末(FC-E22U)(WAT001) / FC-E22U-S / 2718047
</t>
  </si>
  <si>
    <t>1909-002</t>
  </si>
  <si>
    <t xml:space="preserve">ブランド / 機器構成名(個体名) / 型式 / シリアル番号
eAWC Ordermade / ｺﾝｿｰﾙ端末 (HF-W2045)(WAT007) / HJ-2045-WBJA/DF01 / 4234281-1
eAWC Ordermade / 設定端末 (HF-W2045【BCR付き】)(WAT001) / HJ-2045-WBJA/DF01 / 4234282-1
eAWC Ordermade / 設定端末 (HF-W2045【BCR付き】)(WAT006) / HJ-2045-WBJA/DF01 / 4234283-1
eAWC Ordermade / 設定端末 (HF-W2045)(WAT002) / HJ-2045-WBJA/DF01 / 4234284-1
eAWC Ordermade / 設定端末 (HF-W2045)(WAT003) / HJ-2045-WBJA/DF01 / 4234449-1
eAWC Ordermade / 設定端末 (HF-W2045)(WAT005) / HJ-2045-WBJA/DF01 / 4234450-1
eAWC Ordermade / 出荷進捗ﾓﾆﾀ端末 (HF-W2045【17ｲﾝﾁﾓﾆﾀ】)(WAT009) / HJ-2045-WBJA/DF01 / 4234451-1
eAWC Ordermade / 出荷進捗ﾓﾆﾀ端末 (HF-W2045【32ｲﾝﾁﾓﾆﾀ】)(WAT010) / HJ-2045-WBJA/DF01 / 4234452-1
</t>
  </si>
  <si>
    <t>株式会社えひめ飲料</t>
  </si>
  <si>
    <t>FA145 / FA146</t>
  </si>
  <si>
    <t>08212-025-001</t>
  </si>
  <si>
    <t xml:space="preserve">ブランド / 機器構成名(個体名) / 型式 / シリアル番号
AWC-300N / AWC本体(FA3100SS model 1000)(AWC001) / UD431016-01-DHT / OEZ999
AWC-300N / AWC端末(FA2100SS model 400)(WAT001) / UV4A414-07-DHT / OF0531
AWC-300N / AWC端末(FA2100SS model 400)(WAT002) / UV4A414-07-DHT / OF0532
</t>
  </si>
  <si>
    <t>オーエム機器株式会社</t>
  </si>
  <si>
    <t>パレット自動倉庫システム(KU)</t>
  </si>
  <si>
    <t>2008-001</t>
  </si>
  <si>
    <t>08307-003-001</t>
  </si>
  <si>
    <t>茨城旭村農業協同組合</t>
  </si>
  <si>
    <t>2020102006-216-1</t>
  </si>
  <si>
    <t>08401-008-002</t>
  </si>
  <si>
    <t>株式会社日立ハイテク</t>
  </si>
  <si>
    <t>マリンサイト</t>
  </si>
  <si>
    <t>自動ラックM</t>
  </si>
  <si>
    <t>2205-005</t>
  </si>
  <si>
    <t>08221A122-001</t>
  </si>
  <si>
    <t>2205-006</t>
  </si>
  <si>
    <t>部材ストッカー</t>
  </si>
  <si>
    <t>2205-004</t>
  </si>
  <si>
    <t>08221A122-002</t>
  </si>
  <si>
    <t>株式会社ソニー・ミュージックソリューションズ</t>
  </si>
  <si>
    <t>副資材システム</t>
  </si>
  <si>
    <t>2023061360-224-1</t>
  </si>
  <si>
    <t>08342-035-001</t>
  </si>
  <si>
    <t xml:space="preserve">ブランド / 機器構成名(個体名) / 型式 / シリアル番号
AWC7 Framework / AWC7本体 (FC-S36W)(AWC-IBAFUKU) / FC-S36W-113CW5 / 1400121
</t>
  </si>
  <si>
    <t>岡山工場</t>
  </si>
  <si>
    <t>岡山物流センター</t>
  </si>
  <si>
    <t>物流棟　マテハン設備</t>
  </si>
  <si>
    <t>2022111002-221-1</t>
  </si>
  <si>
    <t>33101A150-004</t>
  </si>
  <si>
    <t xml:space="preserve">ブランド / 機器構成名(個体名) / 型式 / シリアル番号
AWC7 Framework / AWC7端末 (FC-E22U)(WATB001) / FC-E22U-S / 1X17183
AWC7 Framework / AWC7端末 (FC-E22U)(WATB002) / FC-E22U-S / 1X17188
AWC7 Framework / AWC7端末 (FC-E22U)(WATB009) / FC-E22U-S / 1Z17411
AWC7 Framework / AWC7端末 (FC-E22U)(WATB010) / FC-E22U-S / 1Z17412
AWC7 Framework / AWC7端末 (FC-E22U)(WATB011) / FC-E22U-S / 1Z17415
AWC7 Framework / AWC7端末 (FC-E22U)(WATB012) / FC-E22U-S / 1X17177
AWC7 Framework / ﾋﾟｯｷﾝｸﾞ端末 (FC-E22U)(WATB003) / FC-E22U-S / 1X17184
AWC7 Framework / ﾋﾟｯｷﾝｸﾞ端末 (FC-E22U)(WATB004) / FC-E22U-S / 1Z17413
AWC7 Framework / ﾋﾟｯｷﾝｸﾞ端末 (FC-E22U)(WATB005) / FC-E22U-S / 1Z17414
AWC7 Framework / ﾋﾟｯｷﾝｸﾞ端末 (FC-E22U)(WATB006) / FC-E22U-S / 1Z17406
AWC7 Framework / ﾋﾟｯｷﾝｸﾞ端末 (FC-E22U)(WATB007) / FC-E22U-S / 1X17186
AWC7 Framework / ﾋﾟｯｷﾝｸﾞ端末 (FC-E22U)(WATB008) / FC-E22U-S / 1X17182
AWC7 Framework / 管理端末 (FC-E22U【ﾊﾞｯﾃﾘ倉庫】)(WAT101) / FC-E22U-S / 1Z17408
AWC7 Framework / 作業端末 (FC-E22U【ﾊﾞｯﾃﾘ倉庫】)(WAT102) / FC-E22U-S / 1Z17409
</t>
  </si>
  <si>
    <t>ＮＴＮ株式会社</t>
  </si>
  <si>
    <t>岡山製作所　ＣＶＪ工場</t>
  </si>
  <si>
    <t>33211-010-001</t>
  </si>
  <si>
    <t xml:space="preserve">ブランド / 機器構成名(個体名) / 型式 / シリアル番号
AWC-300N / AWC本体 (FC-S36W)(AWC001) / FC-S36W-133CW4 / 1Z00169
AWC-300N / AWC本体予備機兼用端末 (FC-S36W)(WAT001) / FC-S36W-133CW4 / 2100173
</t>
  </si>
  <si>
    <t>住友重機械工業株式会社</t>
  </si>
  <si>
    <t>岡山サービスセンター</t>
  </si>
  <si>
    <t>部品格納用自動倉庫</t>
  </si>
  <si>
    <t>33202-333-001</t>
  </si>
  <si>
    <t>井原工場</t>
  </si>
  <si>
    <t>無人フォークシステム</t>
  </si>
  <si>
    <t>1909-004</t>
  </si>
  <si>
    <t>33207-011-002</t>
  </si>
  <si>
    <t xml:space="preserve">ブランド / 機器構成名(個体名) / 型式 / シリアル番号
AWC4 Framework / AWC4本体(HF-W6555)(AWC001) / HJ-6555-WEJD/7R / 4234797-2
AWC4 Framework / AWC4端末(HF-W2045)(WAT001) / HJ-2045-WEJA/7R / 4234798-1
</t>
  </si>
  <si>
    <t>門田工場</t>
  </si>
  <si>
    <t>自動倉庫パレット(KU)</t>
  </si>
  <si>
    <t>2019080808-216-1 / 2019080809-216-1</t>
  </si>
  <si>
    <t>33207-080-001</t>
  </si>
  <si>
    <t xml:space="preserve">ブランド / 機器構成名(個体名) / 型式 / シリアル番号
在庫管理ｼｽﾃﾑ / 管理ｺﾝﾋﾟｭｰﾀ(FC-S35W/S7)(INK01) / FC-S35W/S72CL9 / S890278MA
在庫管理ｼｽﾃﾑ / 工場端末(FC-E22U)(INK02) / FC-E22U-S / 8Y07800
在庫管理ｼｽﾃﾑ / 工場端末(FC-E22U)(INK04) / FC-E22U-S / 8Y07796
在庫管理ｼｽﾃﾑ / 荷受場端末(FC-E22U)(INK03) / FC-E22U-S / 8Y07794
</t>
  </si>
  <si>
    <t>水島製作所</t>
  </si>
  <si>
    <t>1310工場自動倉庫</t>
  </si>
  <si>
    <t>2024052223-224-1</t>
  </si>
  <si>
    <t>33202-008-001</t>
  </si>
  <si>
    <t xml:space="preserve">ブランド / 機器構成名(個体名) / 型式 / シリアル番号
AWC7 Ordermade / AWC7端末 (FC-E22U)(AWC003) / FC-E22U-S / 8Y07887
AWC7 Ordermade / AWC7端末 (FC-E22U)(WAT003) / FC-E22U-S / 8Y07889
AWC7 Ordermade / 入庫端末 (FC-E22U)(WAT001) / FC-E22U-S / 8Y07891
AWC7 Ordermade / 入庫端末 (FC-E22U)(WAT002) / FC-E22U-S / 8Y07888
AWC7 Ordermade / 端末予備機 (FC-E22U)(WAT予備) / FC-E22U-S / 8Y07890
</t>
  </si>
  <si>
    <t>アサヒグループ食品株式会社</t>
  </si>
  <si>
    <t>里庄第ニ工場</t>
  </si>
  <si>
    <t>2022031404-221-1</t>
  </si>
  <si>
    <t>33445-014-001</t>
  </si>
  <si>
    <t>山陽ＤＤＣ</t>
  </si>
  <si>
    <t>2019070812-216-1</t>
  </si>
  <si>
    <t>33202-431-001</t>
  </si>
  <si>
    <t>2022031410-221-1</t>
  </si>
  <si>
    <t>33445-014-002</t>
  </si>
  <si>
    <t>岡山プラント</t>
  </si>
  <si>
    <t>2101-002</t>
  </si>
  <si>
    <t>33202-236-001</t>
  </si>
  <si>
    <t xml:space="preserve">ブランド / 機器構成名(個体名) / 型式 / シリアル番号
AWC4 Framework / AWC4本体(HF-W6555)(AWC001) / HJ-6555-WEJD/DF05 / 4237431-10
AWC4 Framework / AWC4端末(HF-W2045)(WAT001) / HJ-2045-WEJA/DF03 / 4237517-1
</t>
  </si>
  <si>
    <t>成田工場</t>
  </si>
  <si>
    <t>物流倉庫</t>
  </si>
  <si>
    <t>【資材倉庫】資材格納自動倉庫</t>
  </si>
  <si>
    <t>2022101206-221-1 / 2022101204-221-1</t>
  </si>
  <si>
    <t>12211-096-002</t>
  </si>
  <si>
    <t xml:space="preserve">ブランド / 機器構成名(個体名) / 型式 / シリアル番号
AWC7 Framework(資材倉庫) / AWC7本体(FC-S36W)(JPNRIWHSN001) / FC-S36W-143CV7 / 2300638
AWC7 Framework(資材倉庫) / AWC7端末(FC-E22U)(WAT001) / FC-E22U-S / 1Z17410
</t>
  </si>
  <si>
    <t>【第1製品倉庫】</t>
  </si>
  <si>
    <t>2022101208-221-1 / 2022101210-221-1</t>
  </si>
  <si>
    <t>12211-096-001</t>
  </si>
  <si>
    <t xml:space="preserve">ブランド / 機器構成名(個体名) / 型式 / シリアル番号
AWC7 Framework(第1製品倉庫) / AWC7本体(FC-S36W)(JPNRIWHSN002) / FC-S36W-143CV7 / 2300641
AWC7 Framework(第1製品倉庫) / AWC7端末(FC-E22U)(WAT001) / FC-E22U-S / 1Z17396
</t>
  </si>
  <si>
    <t>日華化学株式会社</t>
  </si>
  <si>
    <t>鹿島工場</t>
  </si>
  <si>
    <t>危険物自動倉庫</t>
  </si>
  <si>
    <t>2020061105-216-2</t>
  </si>
  <si>
    <t>08232A132-001</t>
  </si>
  <si>
    <t>ジェイフィルム株式会社</t>
  </si>
  <si>
    <t>ロール製品倉庫</t>
  </si>
  <si>
    <t>2002-005</t>
  </si>
  <si>
    <t>12346-001-002</t>
  </si>
  <si>
    <t>株式会社テラモト</t>
  </si>
  <si>
    <t>成田物流センタ－</t>
  </si>
  <si>
    <t>第１倉庫</t>
  </si>
  <si>
    <t>2024080902-224-1</t>
  </si>
  <si>
    <t>12347-013-001</t>
  </si>
  <si>
    <t>グランソールベーカリー株式会社</t>
  </si>
  <si>
    <t>パン冷生地格納自動倉庫</t>
  </si>
  <si>
    <t>2017121902-216-1</t>
  </si>
  <si>
    <t>08232A129-001</t>
  </si>
  <si>
    <t>日本貨物航空株式会社</t>
  </si>
  <si>
    <t>ＮＣＡライン整備ハンガー</t>
  </si>
  <si>
    <t>2018081005-216-1</t>
  </si>
  <si>
    <t>12211-208-002</t>
  </si>
  <si>
    <t>ＡＧＣ株式会社</t>
  </si>
  <si>
    <t>AVL立体自動倉庫(KT)</t>
  </si>
  <si>
    <t>2201-003 / 2201-004</t>
  </si>
  <si>
    <t>08406-134-001</t>
  </si>
  <si>
    <t xml:space="preserve">ブランド / 機器構成名(個体名) / 型式 / シリアル番号
在庫管理ｼｽﾃﾑ / 倉庫管理ｻｰﾊﾞ(HF-W6555)(NTE280J) / HJ-6555-WBJD/DF01 / 4239010-1
在庫管理ｼｽﾃﾑ / 倉庫管理ｻｰﾊﾞ予備機(HF-W6555)(NTE280J_YOBI) / HJ-6555-WBJD/DF01 / 4239010-2
在庫管理ｼｽﾃﾑ / 包装端末(HF-W2045)(CLI51) / HJ-2045-WBJA/DF01 / 4239011-1
在庫管理ｼｽﾃﾑ / 1F/2F端末(HF-W2045)(CLI52) / HJ-2045-WBJA/DF01 / 4239011-2
在庫管理ｼｽﾃﾑ / 1F/2F端末(HF-W2045)(CLI53) / HJ-2045-WBJA/DF01 / 4238604-5
在庫管理ｼｽﾃﾑ / 端末予備機(HF-W2045)(CLI54) / HJ-2045-WBJA/DF01 / 4239011-3
</t>
  </si>
  <si>
    <t>盛岡CS</t>
  </si>
  <si>
    <t>ニチコン岩手株式会社</t>
  </si>
  <si>
    <t>1505-003</t>
  </si>
  <si>
    <t>03303-003-001</t>
  </si>
  <si>
    <t xml:space="preserve">ブランド / 機器構成名(個体名) / 型式 / シリアル番号
AWC-500N / AWC本体 (HF-W6545)(AWC001) / HJ-65459EWJD/DF01 / 4224082-1
AWC-500N / AWC端末 (HF-W2035)(WAT001) / HJ-20359EWJA/DF01 / 4224187-1
AWC-500N / AWC端末 (HF-W2035)(WAT002) / HJ-20359EWJA/DF01 / 4224188-1
AWC-500N / AWC端末 (HF-W2035)(WAT003) / HJ-20359EWJA/DF01 / 4224186-1
</t>
  </si>
  <si>
    <t>秋田製錬株式会社（旧：秋田ジンクリサイクリング）</t>
  </si>
  <si>
    <t>リサイクリング部</t>
  </si>
  <si>
    <t>2007-004</t>
  </si>
  <si>
    <t>05201-318-001</t>
  </si>
  <si>
    <t xml:space="preserve">客先都合により1月以降の実施予定
</t>
  </si>
  <si>
    <t xml:space="preserve">ブランド / 機器構成名(個体名) / 型式 / シリアル番号
eAWC Framework / eAWC本体(HF-W6555)(AWC001) / HJ-6555-WEJD/DF03 / 4236147-1
eAWC Framework / eAWC端末(HF-W2045)(WAT001) / HJ-2045-WEJA/DF03 / 4236157-1
eAWC Framework / eAWC端末(HF-W2045)(WAT002) / HJ-2045-WEJA/DF03 / 4236158-1
</t>
  </si>
  <si>
    <t>株式会社エノモト</t>
  </si>
  <si>
    <t>津軽工場</t>
  </si>
  <si>
    <t>2307-004</t>
  </si>
  <si>
    <t>02205A108-001</t>
  </si>
  <si>
    <t xml:space="preserve">ブランド / 機器構成名(個体名) / 型式 / シリアル番号
AWC7 Framework / AWC7本体(HF-W6555)(AWC001) / HJ-6555-WEJD/DF05 / 4240140-2
</t>
  </si>
  <si>
    <t>秋田製錬株式会社</t>
  </si>
  <si>
    <t>大館工場</t>
  </si>
  <si>
    <t>Ｊ棟　ラックビルシステム</t>
  </si>
  <si>
    <t>2020050804-216-1</t>
  </si>
  <si>
    <t>05204-063-001</t>
  </si>
  <si>
    <t>花巻事業所</t>
  </si>
  <si>
    <t>コメリ花巻流通センター</t>
  </si>
  <si>
    <t>2016122702-220-1</t>
  </si>
  <si>
    <t>03205-081-001</t>
  </si>
  <si>
    <t>岩手工場</t>
  </si>
  <si>
    <t>2105-002</t>
  </si>
  <si>
    <t>03209A117-001</t>
  </si>
  <si>
    <t>株式会社SUMCO</t>
  </si>
  <si>
    <t>JSQ事業部</t>
  </si>
  <si>
    <t>原料保管システム</t>
  </si>
  <si>
    <t>2209-002</t>
  </si>
  <si>
    <t>05201-146-001</t>
  </si>
  <si>
    <t xml:space="preserve">ブランド / 機器構成名(個体名) / 型式 / シリアル番号
AWC7 Framework / AWC7本体 (HF-W6555)(AWC001) / HJ-6555-WEJD/DF05 / 4239860-8
</t>
  </si>
  <si>
    <t>西脇CS</t>
  </si>
  <si>
    <t>シスメックス株式会社</t>
  </si>
  <si>
    <t>小野工場</t>
  </si>
  <si>
    <t>1604-002</t>
  </si>
  <si>
    <t>28218-153-001</t>
  </si>
  <si>
    <t xml:space="preserve">ブランド / 機器構成名(個体名) / 型式 / シリアル番号
AWC-500N / AWCｻｰﾊﾞ (HF-W7530)(AWC001) / HJ-75307ESJF/DF01 / 4224341-1
AWC-500N / AWC端末 (HF-W2035)[ BCR付 ](WAT001) / HJ-20359EWJA/DF01 / 4224181-1
AWC-500N / AWC端末 (HF-W2035)[ BCR付 ](WAT002) / HJ-20359EWJA/DF01 / 4224182-1
AWC-500N / AWC端末 (HF-W2035)[ BCR付 ](WAT003) / HJ-20359EWJA/DF01 / 4224183-1
AWC-500N / AWC端末 (HF-W2035)(WAT005) / HJ-20359EWJA/DF01 / 4224185-1
AWC-500N / AWC端末 (HF-W2035)(WAT006) / HJ-20359EWJA/DF01 / 4224099-1
</t>
  </si>
  <si>
    <t>ブリヂストンフローテック株式会社</t>
  </si>
  <si>
    <t>ホース格納自動倉庫システム</t>
  </si>
  <si>
    <t>2411-005 / 2411-006</t>
  </si>
  <si>
    <t>28220-061-001</t>
  </si>
  <si>
    <t>フジッコ株式会社</t>
  </si>
  <si>
    <t>1604-002 / 2510-003</t>
  </si>
  <si>
    <t>ブランド / 機器構成名(個体名) / 型式 / シリアル番号
AWC-500N / AWCｻｰﾊﾞ (HF-W7530)(AWC001) / HJ-75307ESJF/DF01 / 4224341-1
AWC-500N / AWC端末 (HF-W2035)[ BCR付 ](WAT001) / HJ-20359EWJA/DF01 / 4224181-1
AWC-500N / AWC端末 (HF-W2035)[ BCR付 ](WAT002) / HJ-20359EWJA/DF01 / 4224182-1
AWC-500N / AWC端末 (HF-W2035)[ BCR付 ](WAT003) / HJ-20359EWJA/DF01 / 4224183-1
AWC-500N / AWC端末 (HF-W2035)(WAT005) / HJ-20359EWJA/DF01 / 4224185-1
AWC-500N / AWC端末 (HF-W2035)(WAT006) / HJ-20359EWJA/DF01 / 4224099-1
AWC-500N / AWC端末 (HF-W2050)(WAT004) / HJ-2050-WFMA/7R / 8055373-1</t>
  </si>
  <si>
    <t>リスパック株式会社</t>
  </si>
  <si>
    <t>マテハンシステム</t>
  </si>
  <si>
    <t>2024051502-224-1 / 2024051510-224-1</t>
  </si>
  <si>
    <t>28220A113-001</t>
  </si>
  <si>
    <t>株式会社シーエックスカーゴ</t>
  </si>
  <si>
    <t>小野営業所</t>
  </si>
  <si>
    <t>FA187</t>
  </si>
  <si>
    <t>28218-058-001</t>
  </si>
  <si>
    <t>FA189 / FA188</t>
  </si>
  <si>
    <t>株式会社いけうち</t>
  </si>
  <si>
    <t>上比延工場</t>
  </si>
  <si>
    <t>バーチカルカルーセル</t>
  </si>
  <si>
    <t>2105-006</t>
  </si>
  <si>
    <t>28213A110-001</t>
  </si>
  <si>
    <t>株式会社マンダム</t>
  </si>
  <si>
    <t>2020121124-216-1</t>
  </si>
  <si>
    <t>28443-008-002</t>
  </si>
  <si>
    <t>8年目HDD交換、電源ユニット、冷却ﾌｧﾝ、電池、DVDﾄﾞﾗｲﾌﾞ交換。</t>
  </si>
  <si>
    <t xml:space="preserve">ブランド / 機器構成名(個体名) / 型式 / シリアル番号
WareNavi7 / WareNavi7端末BCR付(FC-E22U)(MOST01) / FC-E22U-S / 9Z12037
</t>
  </si>
  <si>
    <t>株式会社ヤクルト本社</t>
  </si>
  <si>
    <t>兵庫三木工場</t>
  </si>
  <si>
    <t>固化庫ライン</t>
  </si>
  <si>
    <t>2104-003</t>
  </si>
  <si>
    <t>28215A000-002</t>
  </si>
  <si>
    <t>株式会社エス・ジー・シー</t>
  </si>
  <si>
    <t>2022040616-221-1</t>
  </si>
  <si>
    <t>28220-021-001</t>
  </si>
  <si>
    <t>静岡CS</t>
  </si>
  <si>
    <t>日東富士製粉株式会社</t>
  </si>
  <si>
    <t>2024041210-224-1</t>
  </si>
  <si>
    <t>22204-025-002</t>
  </si>
  <si>
    <t xml:space="preserve">ブランド / 機器構成名(個体名) / 型式 / シリアル番号
AWC7 Framework / AWC7本体 (FC-S36W)(AWC001) / FC-S36W-143CV7 / 2800731
</t>
  </si>
  <si>
    <t>株式会社タミヤ</t>
  </si>
  <si>
    <t>【1号機】自動倉庫システム</t>
  </si>
  <si>
    <t>2004-006</t>
  </si>
  <si>
    <t>22201-233-001</t>
  </si>
  <si>
    <t>【2号機】自動倉庫システム</t>
  </si>
  <si>
    <t>2011-003</t>
  </si>
  <si>
    <t>エイワイファーマ株式会社</t>
  </si>
  <si>
    <t>22204-010-001</t>
  </si>
  <si>
    <t>望月運輸株式会社</t>
  </si>
  <si>
    <t>吉田営業所</t>
  </si>
  <si>
    <t>製品保管自動倉庫</t>
  </si>
  <si>
    <t>2106-001</t>
  </si>
  <si>
    <t>22209A116-001</t>
  </si>
  <si>
    <t>味の素ベーカリー株式会社</t>
  </si>
  <si>
    <t>島田事業所</t>
  </si>
  <si>
    <t>【eAWC】自動倉庫システム</t>
  </si>
  <si>
    <t>2021040713-216-1</t>
  </si>
  <si>
    <t>22209-093-001</t>
  </si>
  <si>
    <t>エスエスケイフーズ株式会社</t>
  </si>
  <si>
    <t>藤枝工場</t>
  </si>
  <si>
    <t>原料・包材自動倉庫システム</t>
  </si>
  <si>
    <t>2211-005</t>
  </si>
  <si>
    <t>22214A134-001</t>
  </si>
  <si>
    <t xml:space="preserve">ブランド / 機器構成名(個体名) / 型式 / シリアル番号
WareNavi7 / WareNavi7本体(HF-W6555)(WNVA001) / HJ-6555-WEJD/DF05 / 4239861-3
WareNavi7 / WareNavi7端末(HF-W2050)(WATA001) / HJ-2050-WEMA/DF03 / 8052681-8
WareNavi7 / WareNavi7端末(HF-W2050)(WATA002) / HJ-2050-WEMA/DF03 / 8052681-6
WareNavi7 / WareNavi7端末(HF-W2050)(WATA003) / HJ-2050-WEMA/DF03 / 8052681-10
WareNavi7 / WareNavi7端末(HF-W2050)(WATA004) / HJ-2050-WEMA/DF03 / 8052683-2
WareNavi7 / WareNavi7端末(HF-W2050)(WATA005) / HJ-2050-WEMA/DF03 / 8052681-7
WareNavi7 / WareNavi7端末(HF-W2050)(WATA006) / HJ-2050-WEMA/DF03 / 8052681-9
WareNavi7 / WareNavi7端末(HF-W2050)(WATA007) / HJ-2050-WEMA/DF03 / 8052683-1
</t>
  </si>
  <si>
    <t>仙台CS</t>
  </si>
  <si>
    <t>ツルハ南東北物流センター</t>
  </si>
  <si>
    <t>2023071123-224-1 / 2023071125-224-1 / 2025101702-225-1</t>
  </si>
  <si>
    <t>04424-028-001</t>
  </si>
  <si>
    <t>2023071123-224-1 / 2025101702-225-1</t>
  </si>
  <si>
    <t xml:space="preserve">ブランド / 機器構成名(個体名) / 型式 / シリアル番号
SAM(増設) / SAM(FC-S36W)(SAM04) / FC-S36W-143CV7 / 1700455
SAM(増設) / ﾘｼﾞｪｸﾄ端末(FC-E22U)(WAT71) / FC-E22U-S / 1616277
</t>
  </si>
  <si>
    <t>東北総合センター</t>
  </si>
  <si>
    <t>2020061612-216-1 / 2020061606-216-1</t>
  </si>
  <si>
    <t>04424-014-001</t>
  </si>
  <si>
    <t xml:space="preserve">ブランド / 機器構成名(個体名) / 型式 / シリアル番号
AWC4 Framework / AWC4本体(FC-S35W/S7)(AWC003) / FC-S35W/S72CL9 / S780484MA
AWC4 Framework / AWC4端末(FC-E22U)(WAT001) / FC-E22U-S / 8305637
</t>
  </si>
  <si>
    <t>山田水産株式会社</t>
  </si>
  <si>
    <t>石巻工場</t>
  </si>
  <si>
    <t>FA151</t>
  </si>
  <si>
    <t>04202-133-001</t>
  </si>
  <si>
    <t xml:space="preserve">ブランド / 機器構成名(個体名) / 型式 / シリアル番号
eAWC Basic / eAWC本体 (FA3100SS model 1000)(AWC001) / UD431016-01-DHT / OEZ920
</t>
  </si>
  <si>
    <t>幸勝水産株式会社</t>
  </si>
  <si>
    <t>市場通り工場</t>
  </si>
  <si>
    <t xml:space="preserve">2025031337-224-1
</t>
  </si>
  <si>
    <t>04581A103-001</t>
  </si>
  <si>
    <t xml:space="preserve">ブランド / 機器構成名(個体名) / 型式 / シリアル番号
WareNavi7A / WareNavi7本体 (FC-S36W)(WNVZ001) / FC-S36W-143CV7 / 2600661
</t>
  </si>
  <si>
    <t>盛信冷凍庫株式会社</t>
  </si>
  <si>
    <t>本社倉庫【冷凍倉庫】</t>
  </si>
  <si>
    <t>2024091140-224-1 / 2024091130-224-1</t>
  </si>
  <si>
    <t>04202A100-001</t>
  </si>
  <si>
    <t xml:space="preserve">ブランド / 機器構成名(個体名) / 型式 / シリアル番号
WareNavi Framework(凍結庫) / WareNavi本体(FC-S36W)(WMS002) / FC-S36W-143CV7 / 2700680
WareNavi Framework(凍結庫) / WareNavi端末(FC-E29U)(WAT011) / FC-E29U-S31C42 / 2Z00158
</t>
  </si>
  <si>
    <t>本社倉庫【製品倉庫】</t>
  </si>
  <si>
    <t>2024091138-224-1 / 2024091136-224-1</t>
  </si>
  <si>
    <t xml:space="preserve">ブランド / 機器構成名(個体名) / 型式 / シリアル番号
WareNavi Framework(冷凍庫) / WareNavi本体(FC-S36W)(WMS001) / FC-S36W-143CV7 / 2700683
WareNavi Framework(冷凍庫) / WareNavi端末(FC-E29U)(WAT001) / FC-E29U-S31C42 / 2Z00159
WareNavi Framework(冷凍庫) / WareNavi端末(FC-E29U)(WAT002) / FC-E29U-S31C42 / 2Z00157
</t>
  </si>
  <si>
    <t>生活協同組合共立社</t>
  </si>
  <si>
    <t>共同購入物流センター</t>
  </si>
  <si>
    <t>2020051414-216-1</t>
  </si>
  <si>
    <t>06201A124-001</t>
  </si>
  <si>
    <t xml:space="preserve">ブランド / 機器構成名(個体名) / 型式 / シリアル番号
eye-navi / eye-navi本体 (FC-S35W/S4)(DPM01) / FC-S35W/S42CM0 / S850204MA
</t>
  </si>
  <si>
    <t>株式会社スズケン</t>
  </si>
  <si>
    <t>宮城物流センター</t>
  </si>
  <si>
    <t>自動倉庫・搬送システム</t>
  </si>
  <si>
    <t>2022021406-221-1</t>
  </si>
  <si>
    <t>04421A001-001</t>
  </si>
  <si>
    <t>東和薬品株式会社</t>
  </si>
  <si>
    <t>山形工場</t>
  </si>
  <si>
    <t>2021020811-216-1</t>
  </si>
  <si>
    <t>06207-061-001</t>
  </si>
  <si>
    <t>株式会社アルプス物流</t>
  </si>
  <si>
    <t>秋田営業所</t>
  </si>
  <si>
    <t>2004-008</t>
  </si>
  <si>
    <t>05401-107-001</t>
  </si>
  <si>
    <t>株式会社フジ・コーポレーション</t>
  </si>
  <si>
    <t>第三ロジスティクス</t>
  </si>
  <si>
    <t>2020121118-216-1</t>
  </si>
  <si>
    <t>04423A107-001</t>
  </si>
  <si>
    <t>丸善食品工業株式会社</t>
  </si>
  <si>
    <t>2018032906-216-1</t>
  </si>
  <si>
    <t>06203-077-001</t>
  </si>
  <si>
    <t>株式会社小山商会</t>
  </si>
  <si>
    <t>2022020102-221-1</t>
  </si>
  <si>
    <t>04422-001-001</t>
  </si>
  <si>
    <t>千葉第1CS</t>
  </si>
  <si>
    <t>東京工場</t>
  </si>
  <si>
    <t>DM三井製糖株式会社</t>
  </si>
  <si>
    <t>千葉工場</t>
  </si>
  <si>
    <t>製品保管庫</t>
  </si>
  <si>
    <t>2018120613-216-1</t>
  </si>
  <si>
    <t>12219-142-001</t>
  </si>
  <si>
    <t xml:space="preserve">ブランド / 機器構成名(個体名) / 型式 / シリアル番号
AWC-800N / AWCｻｰﾊﾞﾊﾞｯｸｱｯﾌﾟ端末 (FC-E22U)(WAT003) / FC-E22U-S / 8406003
AWC-800N / AWC端末 (FC-E22U)(WAT001) / FC-E22U-S / 8406020
AWC-800N / AWC端末 (FC-E22U)(WAT002) / FC-E22U-S / 8406009
AWC-800N / AWC端末 (FC-E22U)(WAT004) / FC-E22U-S / 8406011
AWC-800N / AWC端末 (FC-E22U)(WAT005) / FC-E22U-S / 8406010
AWC-800N / AWC端末 (FC-E22U)(WAT006) / FC-E22U-S / 8405995
AWC-800N / AWC端末 (FC-E22U)(WAT007) / FC-E22U-S / 8406015
AWC-800N / AWC端末 (FC-E22U)(WAT008) / FC-E22U-S / 8405993
</t>
  </si>
  <si>
    <t>千葉第2CS</t>
  </si>
  <si>
    <t>国分グループ本社株式会社</t>
  </si>
  <si>
    <t>FS日の出センター</t>
  </si>
  <si>
    <t>2004-002</t>
  </si>
  <si>
    <t>12204-549-001</t>
  </si>
  <si>
    <t xml:space="preserve">ブランド / 機器構成名(個体名) / 型式 / シリアル番号
AWC4 Framework / MOSⅦ(HF-W2045)(MOS01) / HJ-2045-WEJA/7R / 4234630-1
</t>
  </si>
  <si>
    <t>キーコーヒー株式会社</t>
  </si>
  <si>
    <t>関東物流センタ－</t>
  </si>
  <si>
    <t>CS･パレタイズロホ゛ットシステム(出荷センター側)</t>
  </si>
  <si>
    <t>2023041034-224-1</t>
  </si>
  <si>
    <t>12204-493-001</t>
  </si>
  <si>
    <t xml:space="preserve">ブランド / 機器構成名(個体名) / 型式 / シリアル番号
AWC7 Framework / ﾛﾎﾞｯﾄPC (FC-E22U)(RPC01) / FC-E22U-S / 2818256
</t>
  </si>
  <si>
    <t>2020030607-216-1 / 2020030615-216-1</t>
  </si>
  <si>
    <t xml:space="preserve">ブランド / 機器構成名(個体名) / 型式 / シリアル番号
AWC4 Framework / AWC4本体(FC-S35W/S4)(WN7-001) / FC-S35W/S42CM0 / S780256MA
AWC4 Framework / AWC4端末(FC-E22U)(WAT001) / FC-E22U-S / 88070131
AWC4 Framework / AWC4端末(FC-E22U)(WAT002) / FC-E22U-S / 88070186
AWC4 Framework / AWC4端末(FC-E22U)(WAT003) / FC-E22U-S / 88070164
</t>
  </si>
  <si>
    <t>朋和産業株式会社</t>
  </si>
  <si>
    <t>習志野工場</t>
  </si>
  <si>
    <t>CSシステム(KT)</t>
  </si>
  <si>
    <t>2019062003-216-1</t>
  </si>
  <si>
    <t>12204-389-001</t>
  </si>
  <si>
    <t xml:space="preserve">ブランド / 機器構成名(個体名) / 型式 / シリアル番号
AWC-800U / 業務端末 (FC-E22U)() / FC-E22U-S / 8Z08088
AWC-800U / ﾛﾎﾞｯﾄICﾀｸﾞ端末 (FC-E22U)() / FC-E22U-S / 8Z08089
</t>
  </si>
  <si>
    <t>2025041031-224-1</t>
  </si>
  <si>
    <t>製品倉庫</t>
  </si>
  <si>
    <t>2022011108-221-1</t>
  </si>
  <si>
    <t>12201-171-001</t>
  </si>
  <si>
    <t>株式会社荏原製作所</t>
  </si>
  <si>
    <t>富津事業所</t>
  </si>
  <si>
    <t>部品保管倉庫</t>
  </si>
  <si>
    <t>FA168</t>
  </si>
  <si>
    <t>12226-030-001</t>
  </si>
  <si>
    <t>株式会社メリーチョコレートカムパニー</t>
  </si>
  <si>
    <t>情報流通センタ－</t>
  </si>
  <si>
    <t>2009-002</t>
  </si>
  <si>
    <t>12204-190-001</t>
  </si>
  <si>
    <t>NRS株式会社</t>
  </si>
  <si>
    <t>土気流通センター</t>
  </si>
  <si>
    <t>危険物倉庫</t>
  </si>
  <si>
    <t>2108-001</t>
  </si>
  <si>
    <t>12105A106-001</t>
  </si>
  <si>
    <t>日本蓄電器工業株式会社</t>
  </si>
  <si>
    <t>自動倉庫設備(KT)</t>
  </si>
  <si>
    <t>2021072608-221-1 / 2021072610-221-1</t>
  </si>
  <si>
    <t>12219-349-001</t>
  </si>
  <si>
    <t>千葉大学医学部附属病院</t>
  </si>
  <si>
    <t>ＭＳＳ滅菌コンテナ保管システム</t>
  </si>
  <si>
    <t>2022060808-221-1 / 2022060806-221-1</t>
  </si>
  <si>
    <t>12100-017-001</t>
  </si>
  <si>
    <t>出光興産株式会社</t>
  </si>
  <si>
    <t>千葉事業所</t>
  </si>
  <si>
    <t>LU-CR防爆自動倉庫システム</t>
  </si>
  <si>
    <t>2021051802-221-1 / 2021051804-221-1</t>
  </si>
  <si>
    <t>12219-176-001</t>
  </si>
  <si>
    <t>日本ペイントマテリアルズ株式会社</t>
  </si>
  <si>
    <t>千葉出張所</t>
  </si>
  <si>
    <t>2105-005</t>
  </si>
  <si>
    <t>12213-017-001</t>
  </si>
  <si>
    <t>株式会社ビックカメラ</t>
  </si>
  <si>
    <t>船橋センター</t>
  </si>
  <si>
    <t>配送センター</t>
  </si>
  <si>
    <t>2022100606-221-1 / 2022100608-221-1</t>
  </si>
  <si>
    <t>12204A153-001</t>
  </si>
  <si>
    <t xml:space="preserve">ブランド / 機器構成名(個体名) / 型式 / シリアル番号
WareNavi7 / QPSﾏﾈｰｼﾞｬ(FC-S36W)(QPS001) / FC-S36W-143CV7 / 1300336
WareNavi7 / QPSﾏﾈｰｼﾞｬ(FC-S36W)(QPS002) / FC-S36W-143CV7 / 1300338
WareNavi7 / QPSﾏﾈｰｼﾞｬ(FC-S36W)(QPS003) / FC-S36W-143CV7 / 1300334
WareNavi7 / QPSﾏﾈｰｼﾞｬ(FC-S36W)(QPS004) / FC-S36W-143CV7 / 1300337
WareNavi7 / QPSﾏﾈｰｼﾞｬ(FC-S36W)(QPS005) / FC-S36W-143CV7 / 1300339
WareNavi7 / QPSﾏﾈｰｼﾞｬ(FC-S36W)(QPS006) / FC-S36W-143CV7 / 1300335
SAM / 行変換端末(FC-E22U)(WATZ001) / FC-E22U-S / 1215628
SAM / 行変換端末(FC-E22U)(WATZ002) / FC-E22U-S / 1215629
SAM / 行変換端末(FC-E22U)(WATZ003) / FC-E22U-S / 1215627
SAM / 行変換端末(FC-E22U)(WATZ004) / FC-E22U-S / 1215656
SAM / 行変換端末(FC-E22U)(WATZ005) / FC-E22U-S / 1215663
SAM / 行変換端末(FC-E22U)(WATZ006) / FC-E22U-S / 1215626
SAM / 行変換端末(FC-E22U)(WATZ007) / FC-E22U-S / 1215638
SAM / 行変換端末(FC-E22U)(WATZ008) / FC-E22U-S / 1215636
WareNavi7 / ﾘｼﾞｪｸﾄ端末(FC-E22U)(WATZ009) / FC-E22U-S / 1215630
SAM / ﾘｼﾞｪｸﾄ端末(FC-E22U)(WATZ010) / FC-E22U-S / 1215631
SAM / ﾘｼﾞｪｸﾄ端末(FC-E22U)(WATZ011) / FC-E22U-S / 1215662
SAM / ﾘｼﾞｪｸﾄ端末(FC-E22U)(WATZ012) / FC-E22U-S / 1215634
SAM / ﾘｼﾞｪｸﾄ端末(FC-E22U)(WATZ013) / FC-E22U-S / 1215632
SAM / ﾘｼﾞｪｸﾄ端末(FC-E22U)(WATZ014) / FC-E22U-S / 1215654
SAM / ﾘｼﾞｪｸﾄ端末(FC-E22U)(WATZ015) / FC-E22U-S / 1215661
SAM / ﾘｼﾞｪｸﾄ端末(FC-E22U)(WATZ016) / FC-E22U-S / 1215659
SAM / ﾘｼﾞｪｸﾄ端末(FC-E22U)(WATZ017) / FC-E22U-S / 1215639
</t>
  </si>
  <si>
    <t>ロイヤル株式会社</t>
  </si>
  <si>
    <t>東京食品工場</t>
  </si>
  <si>
    <t>食品冷凍倉庫</t>
  </si>
  <si>
    <t>2202-007</t>
  </si>
  <si>
    <t>12204-306-001</t>
  </si>
  <si>
    <t xml:space="preserve">ブランド / 機器構成名(個体名) / 型式 / シリアル番号
eAWC Framework / eAWC本体(HF-W6555)(EAWC001) / HJ-6555-WEJD/DF05 / 4239695-2
eAWC Framework / eAWC端末(HF-W2050)(WAT001) / HJ-2050-WEMA/DF03 / 8052088-8
eAWC Framework / eAWC端末(HF-W2050)(WAT002) / HJ-2050-WEMA/DF03 / 8052088-9
eAWC Framework / eAWC端末(HF-W2050)(WAT003) / HJ-2050-WEMA/DF03 / 8052088-10
eAWC Framework / eAWC端末(HF-W2050)(WAT004) / HJ-2050-WEMA/DF03 / 8052212-1
</t>
  </si>
  <si>
    <t>コープデリ生活協同組合連合会</t>
  </si>
  <si>
    <t>印西要冷センター</t>
  </si>
  <si>
    <t>FA155 / FA154</t>
  </si>
  <si>
    <t>12231-029-001</t>
  </si>
  <si>
    <t xml:space="preserve">ブランド / 機器構成名(個体名) / 型式 / シリアル番号
eAWC Framework Custom / eAWCｻｰﾊﾞ (FA3100SS model 1000)(eAWC001) / UD431016-03-DHT / OEV140
eAWC Framework Custom / eAWC端末 (FA2100SS model 400)() / UV4A414-07-DHT / OF0566
eAWC Framework Custom / eAWC端末 (FA2100SS model 400)() / UV4A414-07-DHT / OF0567
eAWC Framework Custom / eAWC端末 (FA2100SS model 400)() / UV4A414-07-DHT / OF0572
</t>
  </si>
  <si>
    <t>ツルハグループ関東物流センター</t>
  </si>
  <si>
    <t>自動倉庫・コンベヤシステム</t>
  </si>
  <si>
    <t>2023092104-224-1</t>
  </si>
  <si>
    <t>12221A123-001</t>
  </si>
  <si>
    <t xml:space="preserve">ブランド / 機器構成名(個体名) / 型式 / シリアル番号
LPM / LPM(FC-S36W)(LPM201) / FC-S36W-143CV7 / 2100610
LPM / LPM(FC-S36W)(LPM202) / FC-S36W-143CV7 / 2100603
LPM / LPM(FC-S36W)(LPM203) / FC-S36W-143CV7 / 2100608
LPM / LPM(FC-S36W)(LPM204) / FC-S36W-143CV7 / 2100611
LPM / LPM(FC-S36W)(LPM205) / FC-S36W-143CV7 / 2100592
LPM / LPM(FC-S36W)(LPM301) / FC-S36W-143CV7 / 2100591
LPM / LPM(FC-S36W)(LPM401) / FC-S36W-143CV7 / 2100605
LPM / LPM(FC-S36W)(LPM402) / FC-S36W-143CV7 / 2100606
LPM / LPM(FC-S36W)(LPM403) / FC-S36W-143CV7 / 2100602
LPM / LPM(FC-S36W)(LPM404) / FC-S36W-143CV7 / 2100612
LPM / LPM(FC-S36W)(LPM405) / FC-S36W-143CV7 / 2100617
LPM / LPM(FC-S36W)(LPM406) / FC-S36W-143CV7 / 2100593
ﾛﾎﾞｯﾄPC / ﾛﾎﾞｯﾄPC(FC-S36W)(RBM201) / FC-S36W-143CV7 / 2100613
ﾛﾎﾞｯﾄPC / ﾛﾎﾞｯﾄPC(FC-S36W)(RBM202) / FC-S36W-143CV7 / 2100600
ﾛﾎﾞｯﾄPC / ﾛﾎﾞｯﾄPC(FC-S36W)(RBM401) / FC-S36W-143CV7 / 2100604
ﾛﾎﾞｯﾄPC / ﾛﾎﾞｯﾄPC(FC-S36W)(RBM402) / FC-S36W-143CV7 / 2100614
ﾛﾎﾞｯﾄPC / ﾛﾎﾞｯﾄPC(FC-S36W)(RBM403) / FC-S36W-143CV7 / 2100599
ﾛﾎﾞｯﾄPC / ﾛﾎﾞｯﾄPC(FC-S36W)(RBM404) / FC-S36W-143CV7 / 2100616
</t>
  </si>
  <si>
    <t>イシグロ株式会社</t>
  </si>
  <si>
    <t>東京ステーション第2</t>
  </si>
  <si>
    <t>2023061356-224-1</t>
  </si>
  <si>
    <t>12216A125-001</t>
  </si>
  <si>
    <t xml:space="preserve">ブランド / 機器構成名(個体名) / 型式 / シリアル番号
WareNavi7 / WareNavi7端末(FC-E22U)(WATZ01) / FC-E22U-S / 2718033
</t>
  </si>
  <si>
    <t>住商グローバル・ロジスティクス株式会社</t>
  </si>
  <si>
    <t>第一センター</t>
  </si>
  <si>
    <t>物流自動倉庫</t>
  </si>
  <si>
    <t>2023051604-224-1</t>
  </si>
  <si>
    <t>12216A004-002</t>
  </si>
  <si>
    <t xml:space="preserve">ブランド / 機器構成名(個体名) / 型式 / シリアル番号
LPM / LPM (FC-S36W)(LPM201) / FC-S36W-143CV7 / 2700690
</t>
  </si>
  <si>
    <t>2023092106-224-1</t>
  </si>
  <si>
    <t xml:space="preserve">ブランド / 機器構成名(個体名) / 型式 / シリアル番号
WareNavi7 / 管理端末(FC-E22U)(WAT201) / FC-E22U-S / 2818281
</t>
  </si>
  <si>
    <t>ヤマエ久野株式会社</t>
  </si>
  <si>
    <t>印西物流センター</t>
  </si>
  <si>
    <t>搬送コンベヤシステム</t>
  </si>
  <si>
    <t>2020050808-216-1</t>
  </si>
  <si>
    <t>12231A113-001</t>
  </si>
  <si>
    <t>川越CS</t>
  </si>
  <si>
    <t>株式会社三笠書房流通センタ－</t>
  </si>
  <si>
    <t>2024041212-224-1</t>
  </si>
  <si>
    <t>11230-125-001</t>
  </si>
  <si>
    <t>東海漬物株式会社</t>
  </si>
  <si>
    <t>東日本物流センター</t>
  </si>
  <si>
    <t>2025031902-224-1 / 2022070624-221-1</t>
  </si>
  <si>
    <t>11208-159-001</t>
  </si>
  <si>
    <t xml:space="preserve">ブランド / 機器構成名(個体名) / 型式 / シリアル番号
AWC4 Framework / AWC4本体 （FC-S35W/S7）(AWC001) / FC-S35W/S72CL9 / S6Y0226MA
AWC4 Framework / AWC4端末 （FC-E22U-S）(WAT001) / FC-E22U-S / 7101911
</t>
  </si>
  <si>
    <t>TOPPAN株式会社</t>
  </si>
  <si>
    <t>2107-004</t>
  </si>
  <si>
    <t>11239-117-002</t>
  </si>
  <si>
    <t>株式会社デンソー三共</t>
  </si>
  <si>
    <t>狭山工場</t>
  </si>
  <si>
    <t>部品保管用自動倉庫</t>
  </si>
  <si>
    <t>2307-005</t>
  </si>
  <si>
    <t>11215A139-001</t>
  </si>
  <si>
    <t xml:space="preserve">ブランド / 機器構成名(個体名) / 型式 / シリアル番号
AWC7 Framework / AWC7本体(HF-W6555)(AWC002) / HJ-6555-WEJD/DF05 / 4240138-5
</t>
  </si>
  <si>
    <t>吉田製薬株式会社</t>
  </si>
  <si>
    <t>入間工場</t>
  </si>
  <si>
    <t>2022121906-221-1 / 2022121908-221-1</t>
  </si>
  <si>
    <t>11225-251-001</t>
  </si>
  <si>
    <t xml:space="preserve">ブランド / 機器構成名(個体名) / 型式 / シリアル番号
AWC-100N+ / AWC本体 (FC-S36W)(AWC001) / FC-S36W-133CW4 / 1Z00168
AWC-100N+ / AWC端末 (FC-E22U)(WAT001) / FC-E22U-S / 2718090
</t>
  </si>
  <si>
    <t>共同物流株式会社</t>
  </si>
  <si>
    <t>材料及び製品格納倉庫</t>
  </si>
  <si>
    <t>11327-012-001</t>
  </si>
  <si>
    <t>株式会社キユーソー流通システム</t>
  </si>
  <si>
    <t>首都圏ＳＬＣ</t>
  </si>
  <si>
    <t>2020061008-216-1</t>
  </si>
  <si>
    <t>11208-129-002</t>
  </si>
  <si>
    <t>大崎電気工業株式会社</t>
  </si>
  <si>
    <t>埼玉事業所</t>
  </si>
  <si>
    <t>多層階部品供給保管倉庫</t>
  </si>
  <si>
    <t>11324-001-001</t>
  </si>
  <si>
    <t>株式会社高橋書店</t>
  </si>
  <si>
    <t>流通センター</t>
  </si>
  <si>
    <t>2024041016-224-1 / 2024041026-224-1</t>
  </si>
  <si>
    <t>11324-133-001</t>
  </si>
  <si>
    <t>コニカミノルタテクノプロダクト株式会社</t>
  </si>
  <si>
    <t>P&amp;S</t>
  </si>
  <si>
    <t>2021030523-216-1</t>
  </si>
  <si>
    <t>11215A131-002</t>
  </si>
  <si>
    <t>日鉄プロセッシング株式会社</t>
  </si>
  <si>
    <t>飯能工場</t>
  </si>
  <si>
    <t>素材・製品保管自動倉庫</t>
  </si>
  <si>
    <t>2106-003</t>
  </si>
  <si>
    <t>11209A112-001</t>
  </si>
  <si>
    <t>昭和鶏卵株式会社</t>
  </si>
  <si>
    <t>三芳事業所</t>
  </si>
  <si>
    <t>原卵保管自動倉庫</t>
  </si>
  <si>
    <t>2024031423-224-1</t>
  </si>
  <si>
    <t>11324A005-001</t>
  </si>
  <si>
    <t>日高センター</t>
  </si>
  <si>
    <t>搬送設備</t>
  </si>
  <si>
    <t>2024120624-224-1 / 2024120626-224-1</t>
  </si>
  <si>
    <t>11242A110-001</t>
  </si>
  <si>
    <t>生麺製品倉庫</t>
  </si>
  <si>
    <t>2018071706-216-1 / 2018071305-216-1</t>
  </si>
  <si>
    <t>11329-011-002</t>
  </si>
  <si>
    <t>富士フイルム和光純薬株式会社</t>
  </si>
  <si>
    <t>2501-004</t>
  </si>
  <si>
    <t>11201-272-001</t>
  </si>
  <si>
    <t>NTT印刷株式会社</t>
  </si>
  <si>
    <t>資材・製品保管用自動倉庫</t>
  </si>
  <si>
    <t>2021121606-221-1 / 2021121604-221-1</t>
  </si>
  <si>
    <t>11225A127-001</t>
  </si>
  <si>
    <t xml:space="preserve">ブランド / 機器構成名(個体名) / 型式 / シリアル番号
WareNavi7 / WareNavi7本体 (FC-S36W)(WN7-001) / FC-S36W-143CV7 / 1300348
WareNavi7 / WareNavi7端末 (FC-E22U)(WAT001) / FC-E22U-S / 1315696
WareNavi7 / WareNavi7端末 (FC-E22U)(WAT002) / FC-E22U-S / 1315694
WareNavi7 / WareNavi7端末 (FC-E22U)(WAT003) / FC-E22U-S / 1315692
</t>
  </si>
  <si>
    <t>東洋インキ株式会社</t>
  </si>
  <si>
    <t>埼玉製造所</t>
  </si>
  <si>
    <t>危険物製品保管自動倉庫</t>
  </si>
  <si>
    <t>2022030910-221-1 / 2022030908-221-1</t>
  </si>
  <si>
    <t>11201-306-003</t>
  </si>
  <si>
    <t xml:space="preserve">ブランド / 機器構成名(個体名) / 型式 / シリアル番号
eAWC Framework Custom / eAWC本体(FC-S36W)(SAG1S015) / FC-S36W-143CV7 / 1600398
eAWC Framework Custom / eAWC端末(FC-E22U)(WAT001) / FC-E22U-S / 1415945
</t>
  </si>
  <si>
    <t>相模原CS</t>
  </si>
  <si>
    <t>ハイデンハイン株式会社</t>
  </si>
  <si>
    <t>自動倉庫システム(FS)</t>
  </si>
  <si>
    <t>1809-006</t>
  </si>
  <si>
    <t>13209-271-001</t>
  </si>
  <si>
    <t xml:space="preserve">ブランド / 機器構成名(個体名) / 型式 / シリアル番号
eAWC Framework / eAWC本体(HF-W6555)(AWC01) / HJ-6555-WBJD/DF01 / 4233701-1
</t>
  </si>
  <si>
    <t>株式会社ミノファーゲン製薬</t>
  </si>
  <si>
    <t>座間工場</t>
  </si>
  <si>
    <t>自動倉庫システム(CS)</t>
  </si>
  <si>
    <t>2003-005</t>
  </si>
  <si>
    <t>14216-117-001</t>
  </si>
  <si>
    <t>株式会社イムラ</t>
  </si>
  <si>
    <t>相模原工場</t>
  </si>
  <si>
    <t>自動倉庫システム(KU)</t>
  </si>
  <si>
    <t>2408-002 / 2408-003</t>
  </si>
  <si>
    <t>14209-952-001</t>
  </si>
  <si>
    <t>富士工業株式会社</t>
  </si>
  <si>
    <t>相模原事業所</t>
  </si>
  <si>
    <t>自動倉庫システム(CS・STV)</t>
  </si>
  <si>
    <t>2024082902-224-2</t>
  </si>
  <si>
    <t>14209-771-001</t>
  </si>
  <si>
    <t>ロンザ株式会社</t>
  </si>
  <si>
    <t>Packaging Automation Line</t>
  </si>
  <si>
    <t>2020101910-216-1</t>
  </si>
  <si>
    <t>14209-713-001</t>
  </si>
  <si>
    <t>株式会社中村屋</t>
  </si>
  <si>
    <t>神奈川工場</t>
  </si>
  <si>
    <t>食品第一工場(F200),第2(F10)</t>
  </si>
  <si>
    <t>2411-001</t>
  </si>
  <si>
    <t>14215-038-002</t>
  </si>
  <si>
    <t>座間SDC</t>
  </si>
  <si>
    <t>ピッキングフローシステム</t>
  </si>
  <si>
    <t>2024111211-224-1</t>
  </si>
  <si>
    <t>14216A107-001</t>
  </si>
  <si>
    <t>2018061209-216-1</t>
  </si>
  <si>
    <t>株式会社カワタキコーポレーション</t>
  </si>
  <si>
    <t>プロロジスパーク</t>
  </si>
  <si>
    <t>2021071318-221-1</t>
  </si>
  <si>
    <t>14216-216-001</t>
  </si>
  <si>
    <t>ＪＡ全農青果センター株式会社</t>
  </si>
  <si>
    <t>愛川セットセンター</t>
  </si>
  <si>
    <t>「ユーコープ事業連合」向けＴＣ</t>
  </si>
  <si>
    <t>2022101104-221-1 / 2022101108-221-1</t>
  </si>
  <si>
    <t>14401-156-001</t>
  </si>
  <si>
    <t>釜屋電機株式会社</t>
  </si>
  <si>
    <t>電子部品保管ファインストッカー</t>
  </si>
  <si>
    <t>2023041702-224-2 / 2023041704-224-1</t>
  </si>
  <si>
    <t>14213-175-001</t>
  </si>
  <si>
    <t xml:space="preserve">ブランド / 機器構成名(個体名) / 型式 / シリアル番号
WareNavi7 / WareNavi7本体 (FC-S36W)(WN7) / FC-S36W-143CV7 / 1200330
WareNavi7 / WareNavi7端末 (FC-E22U)(WAT01) / FC-E22U-S / 1215635
WareNavi7 / WareNavi7端末 (FC-E22U)(WAT02) / FC-E22U-S / 1215640
WareNavi7 / WareNavi7端末 (FC-E22U)(WAT03) / FC-E22U-S / 1215633
WareNavi7 / WareNavi7端末 (FC-E22U)(WAT04) / FC-E22U-S / 1215637
WareNavi7 / WareNavi7端末 (FC-E22U)(WAT05) / FC-E22U-S / 1215618
WareNavi7 / WareNavi7端末 (FC-E22U)(WAT06) / FC-E22U-S / 1215617
</t>
  </si>
  <si>
    <t>草加第1CS</t>
  </si>
  <si>
    <t>東京リンテック加工株式会社</t>
  </si>
  <si>
    <t>1906-001</t>
  </si>
  <si>
    <t>11223-060-001</t>
  </si>
  <si>
    <t xml:space="preserve">ブランド / 機器構成名(個体名) / 型式 / シリアル番号
AWC-800U / AWC端末/ｻｰﾊﾞ室 (HF-W2045)(WAT006) / HJ-2045-WBJA/DF01 / 4233187-1
AWC-800U / AWC端末/再加工場 (HF-W2045)(WAT003) / HJ-2045-WBJA/DF01 / 4233188-1
AWC-800U / AWC端末 (HF-W2045【BCR付】)(WAT001) / HJ-2045-WBJA/DF01 / 4233189-1
AWC-800U / AWC端末 (HF-W2045【BCR付】)(WAT002) / HJ-2045-WBJA/DF01 / 4233386-1
AWC-800U / ﾗﾍﾞﾗ管理端末 (HF-W2045)(WAT004) / HJ-2045-WBJA/DF01 / 4233387-1
AWC-800U / ﾗﾍﾞﾗ管理端末 (HF-W2045)(WAT005) / HJ-2045-WBJA/DF01 / 4233388-1
</t>
  </si>
  <si>
    <t>ヤヨイ化学販売株式会社</t>
  </si>
  <si>
    <t>関東物流倉庫</t>
  </si>
  <si>
    <t>工具自動倉庫</t>
  </si>
  <si>
    <t>2023091107-224-2</t>
  </si>
  <si>
    <t>11203A173-001</t>
  </si>
  <si>
    <t xml:space="preserve">ブランド / 機器構成名(個体名) / 型式 / シリアル番号
WareNavi7 / WareNavi7本体(FC-S36W)(WN001) / FC-S36W-143CV7 / 2100578
</t>
  </si>
  <si>
    <t>首都圏物流センター</t>
  </si>
  <si>
    <t>2025062418-224-1 / 2025062420-224-1</t>
  </si>
  <si>
    <t>11221A135-001</t>
  </si>
  <si>
    <t xml:space="preserve">ブランド / 機器構成名(個体名) / 型式 / シリアル番号
WareNavi7 / ﾏｽﾀ登録PC(FC-S36W)(WAT391) / FC-S36W-143CV7 / 2300652
WareNavi7 / ﾏｽﾀ登録PC(FC-S36W)(WAT392) / FC-S36W-143CV7 / 2800730
WareNavi7 / 定点ﾋﾟｯｸﾏﾈｰｼﾞｬ(FC-S36W)(QPS301) / FC-S36W-143CV7 / 2600659
WareNavi7 / 定点ﾋﾟｯｸﾏﾈｰｼﾞｬ(FC-S36W)(QPS302) / FC-S36W-143CV7 / 2600669
WareNavi7 / 定点ﾋﾟｯｸﾏﾈｰｼﾞｬ(FC-S36W)(QPS303) / FC-S36W-143CV7 / 2700676
WareNavi7 / 定点ﾋﾟｯｸﾏﾈｰｼﾞｬ(FC-S36W)(QPS304) / FC-S36W-143CV7 / 2600664
WareNavi7 / 定点ﾋﾟｯｸﾏﾈｰｼﾞｬ(FC-S36W)(QPS305) / FC-S36W-143CV7 / 2600666
WareNavi7 / 定点ﾋﾟｯｸﾏﾈｰｼﾞｬ(FC-S36W)(QPS306) / FC-S36W-143CV7 / 2700675
WareNavi7 / XYﾛﾎﾞﾋﾟｯｸﾏﾈｰｼﾞｬ(FC-S36W)(QPS311) / FC-S36W-143CV7 / 2800747
WareNavi7 / XYﾛﾎﾞﾋﾟｯｸﾏﾈｰｼﾞｬ(FC-S36W)(QPS312) / FC-S36W-143CV7 / 2700678
WareNavi7 / XYﾛﾎﾞﾋﾟｯｸﾏﾈｰｼﾞｬ(FC-S36W)(QPS313) / FC-S36W-143CV7 / 2800700
WareNavi7 / XYﾛﾎﾞﾋﾟｯｸﾏﾈｰｼﾞｬ(FC-S36W)(QPS314) / FC-S36W-143CV7 / 2700679
WareNavi7 / XYﾛﾎﾞﾋﾟｯｸﾏﾈｰｼﾞｬ(FC-S36W)(QPS315) / FC-S36W-143CV7 / 2800702
WareNavi7 / XYﾛﾎﾞﾋﾟｯｸﾏﾈｰｼﾞｬ(FC-S36W)(QPS316) / FC-S36W-143CV7 / 2800703
WareNavi7 / XYﾛﾎﾞﾋﾟｯｸﾏﾈｰｼﾞｬ(FC-S36W)(QPS317) / FC-S36W-143CV7 / 2800740
WareNavi7 / XYﾛﾎﾞﾋﾟｯｸﾏﾈｰｼﾞｬ(FC-S36W)(QPS321) / FC-S36W-143CV7 / 2800738
WareNavi7 / XYﾛﾎﾞﾋﾟｯｸﾏﾈｰｼﾞｬ(FC-S36W)(QPS322) / FC-S36W-143CV7 / 2700682
WareNavi7 / XYﾛﾎﾞﾋﾟｯｸﾏﾈｰｼﾞｬ(FC-S36W)(QPS323) / FC-S36W-143CV7 / 2700687
WareNavi7 / XYﾛﾎﾞﾋﾟｯｸﾏﾈｰｼﾞｬ(FC-S36W)(QPS324) / FC-S36W-143CV7 / 2700685
WareNavi7 / XYﾛﾎﾞﾋﾟｯｸﾏﾈｰｼﾞｬ(FC-S36W)(QPS325) / FC-S36W-143CV7 / 2800726
WareNavi7 / XYﾛﾎﾞﾋﾟｯｸﾏﾈｰｼﾞｬ(FC-S36W)(QPS326) / FC-S36W-143CV7 / 2800721
WareNavi7 / XYﾛﾎﾞﾋﾟｯｸﾏﾈｰｼﾞｬ(FC-S36W)(QPS327) / FC-S36W-143CV7 / 2800699
WareNavi7 / XYﾛﾎﾞﾋﾟｯｸﾏﾈｰｼﾞｬ(FC-S36W)(QPS331) / FC-S36W-143CV7 / 2700686
WareNavi7 / XYﾛﾎﾞﾋﾟｯｸﾏﾈｰｼﾞｬ(FC-S36W)(QPS332) / FC-S36W-143CV7 / 2800698
WareNavi7 / XYﾛﾎﾞﾋﾟｯｸﾏﾈｰｼﾞｬ(FC-S36W)(QPS333) / FC-S36W-143CV7 / 2800727
WareNavi7 / XYﾛﾎﾞﾋﾟｯｸﾏﾈｰｼﾞｬ(FC-S36W)(QPS334) / FC-S36W-143CV7 / 2800701
WareNavi7 / XYﾛﾎﾞﾋﾟｯｸﾏﾈｰｼﾞｬ(FC-S36W)(QPS335) / FC-S36W-143CV7 / 2300628
WareNavi7 / XYﾛﾎﾞﾋﾟｯｸﾏﾈｰｼﾞｬ(FC-S36W)(QPS336) / FC-S36W-143CV7 / 2300634
WareNavi7 / XYﾛﾎﾞﾋﾟｯｸﾏﾈｰｼﾞｬ(FC-S36W)(QPS337) / FC-S36W-143CV7 / 2300630
SAM / SAM(FC-S36W)(SAM301) / FC-S36W-143CV7 / 2800707
SAM / SAM(FC-S36W)(SAM302) / FC-S36W-143CV7 / 2600667
LPM / LPM(FC-S36W)(LPM302) / FC-S36W-143CV7 / 2800713
LPM / LPM(FC-S36W)(LPM303) / FC-S36W-143CV7 / 2700674
LPM / LPM(FC-S36W)(LPM307) / FC-S36W-143CV7 / 2600671
LPM / LPM/BCR付(FC-S36W)(LPM201) / FC-S36W-143CV7 / 2600663
LPM / LPM/BCR付(FC-S36W)(LPM202) / FC-S36W-143CV7 / 2800717
LPM / LPM/BCR付(FC-S36W)(LPM203) / FC-S36W-143CV7 / 2600665
LPM / LPM/BCR付(FC-S36W)(LPM204) / FC-S36W-143CV7 / 2700692
LPM / LPM/BCR付(FC-S36W)(LPM205) / FC-S36W-143CV7 / 2800712
LPM / LPM/BCR付(FC-S36W)(LPM206) / FC-S36W-143CV7 / 2600672
LPM / LPM/BCR付(FC-S36W)(LPM301) / FC-S36W-143CV7 / 2100561
LPM / LPM/BCR付(FC-S36W)(LPM304) / FC-S36W-143CV7 / 2800716
LPM / LPM/BCR付(FC-S36W)(LPM305) / FC-S36W-143CV7 / 2600660
LPM / LPM/BCR付(FC-S36W)(LPM306) / FC-S36W-143CV7 / 2600670
LPM / LPM/BCR付(FC-S36W)(LPM308) / FC-S36W-143CV7 / 2300650
LPM / LPM/BCR付(FC-S36W)(LPM309) / FC-S36W-143CV7 / 2300648
LPM / LPM/BCR付(FC-S36W)(LPM310) / FC-S36W-143CV7 / 2800714
WareNavi7 / 保冷庫端末(FC-E29U)(WAT208) / FC-E29U-S31C42 / 2X00274
WareNavi7 / 保冷庫端末(FC-E29U)(WAT209) / FC-E29U-S31C42 / 2X00268
WareNavi7 / 保冷庫端末(FC-E29U)(WAT210) / FC-E29U-S31C42 / 2X00273
WareNavi7 / 保冷庫端末(FC-E29U)(WAT211) / FC-E29U-S31C42 / 2X00271
WareNavi7 / 保冷庫端末(FC-E29U)(MOTZ208) / FC-E29U-S31C42 / 2X00275
WareNavi7 / 保冷庫端末(FC-E29U)(MOTZ209) / FC-E29U-S31C42 / 2X00269
</t>
  </si>
  <si>
    <t>株式会社テイパーズ</t>
  </si>
  <si>
    <t>安行事業所</t>
  </si>
  <si>
    <t>2023090522-224-1</t>
  </si>
  <si>
    <t>11203A142-002</t>
  </si>
  <si>
    <t>株式会社能重製作所</t>
  </si>
  <si>
    <t>八潮物流センター</t>
  </si>
  <si>
    <t>2018061205-216-1</t>
  </si>
  <si>
    <t>11234A116-001</t>
  </si>
  <si>
    <t>国分首都圏株式会社</t>
  </si>
  <si>
    <t>マルエツ八潮常温物流センター</t>
  </si>
  <si>
    <t>2107-002 / 2107-003</t>
  </si>
  <si>
    <t>11234-298-001</t>
  </si>
  <si>
    <t>草加第2CS</t>
  </si>
  <si>
    <t>東京物流企画株式会社</t>
  </si>
  <si>
    <t>11224-425-001</t>
  </si>
  <si>
    <t>株式会社ヒューテックノオリン</t>
  </si>
  <si>
    <t>アサヒロジスティクス株式会社</t>
  </si>
  <si>
    <t>松戸共配センター</t>
  </si>
  <si>
    <t>2023091117-224-1</t>
  </si>
  <si>
    <t>12207A001-001</t>
  </si>
  <si>
    <t xml:space="preserve">ブランド / 機器構成名(個体名) / 型式 / シリアル番号
eWareNavi Framework / eWareNavi本体(FC-S36W)(EWARENAVI) / FC-S36W-133CW4 / 1700151
eWareNavi Framework / eWareNavi本体予備機(FC-S36W)(EWARENAVI_YOBI) / FC-S36W-133CW4 / 1700149
</t>
  </si>
  <si>
    <t>サイデン化学株式会社</t>
  </si>
  <si>
    <t>2024061114-224-1</t>
  </si>
  <si>
    <t>11106-007-001</t>
  </si>
  <si>
    <t xml:space="preserve">ブランド / 機器構成名(個体名) / 型式 / シリアル番号
eAWC Framework / eAWC本体(FC-S36W)(EAWC001) / FC-S36W-143CV7 / 2800725
</t>
  </si>
  <si>
    <t>株式会社ロッテ</t>
  </si>
  <si>
    <t>【第7工場】自動倉庫システム</t>
  </si>
  <si>
    <t>2106-004</t>
  </si>
  <si>
    <t>11108A000-006</t>
  </si>
  <si>
    <t xml:space="preserve">ブランド / 機器構成名(個体名) / 型式 / シリアル番号
WareNavi7 / MOSⅦ本体(HF-W2045)(MOSC01) / HJ-2045-WEJA/7R / 4235146-1
WareNavi7 / MOSⅦ本体(HF-W2045)(MOSD01) / HJ-2045-WEJA/7R / 4235146-2
</t>
  </si>
  <si>
    <t>2021051104-221-1</t>
  </si>
  <si>
    <t>宝酒造株式会社</t>
  </si>
  <si>
    <t>2020070915-216-1</t>
  </si>
  <si>
    <t>12207-278-001</t>
  </si>
  <si>
    <t>戸田フーズ株式会社</t>
  </si>
  <si>
    <t>戸田工場</t>
  </si>
  <si>
    <t>おにぎり・弁当仕分け設備</t>
  </si>
  <si>
    <t>2018020808-216-1</t>
  </si>
  <si>
    <t>11224A118-001</t>
  </si>
  <si>
    <t>東京部品センタ－</t>
  </si>
  <si>
    <t>2403-002</t>
  </si>
  <si>
    <t>11224-470-001</t>
  </si>
  <si>
    <t>多摩CS</t>
  </si>
  <si>
    <t>2402-004 / 2402-005</t>
  </si>
  <si>
    <t>13207A110-003</t>
  </si>
  <si>
    <t>2402-002 / 2402-003</t>
  </si>
  <si>
    <t>株式会社ロジスポ</t>
  </si>
  <si>
    <t>PASシステム</t>
  </si>
  <si>
    <t>2024041214-224-1</t>
  </si>
  <si>
    <t>13227-018-001</t>
  </si>
  <si>
    <t>株式会社エスアールエル</t>
  </si>
  <si>
    <t>セントラルラボラトリー</t>
  </si>
  <si>
    <t>中央検体保管庫自動倉庫</t>
  </si>
  <si>
    <t>2022082904-221-1</t>
  </si>
  <si>
    <t>13228A105-001</t>
  </si>
  <si>
    <t>千代田電子機器株式会社</t>
  </si>
  <si>
    <t>電子部品倉庫</t>
  </si>
  <si>
    <t>2024111205-224-1</t>
  </si>
  <si>
    <t>13206-144-001</t>
  </si>
  <si>
    <t>株式会社パルライン</t>
  </si>
  <si>
    <t>八王子センター</t>
  </si>
  <si>
    <t>シャトルラックシステム</t>
  </si>
  <si>
    <t>2018052202-216-1</t>
  </si>
  <si>
    <t>13201A147-001</t>
  </si>
  <si>
    <t>袋井CS</t>
  </si>
  <si>
    <t>鴻池運輸株式会社</t>
  </si>
  <si>
    <t>イオン静岡ＲＤＣ</t>
  </si>
  <si>
    <t>物流システム</t>
  </si>
  <si>
    <t>22216-268-001</t>
  </si>
  <si>
    <t>コンチネンタル・オートモーティブ株式会社</t>
  </si>
  <si>
    <t>1906-003</t>
  </si>
  <si>
    <t>22218-136-001</t>
  </si>
  <si>
    <t xml:space="preserve">ブランド / 機器構成名(個体名) / 型式 / シリアル番号
eAWC Framework / eAWC本体 (HF-W7540)(eAWC001) / HJ-7540AESJD/7R / 4234196-1
</t>
  </si>
  <si>
    <t>株式会社静岡茶通信直販センター</t>
  </si>
  <si>
    <t>移動ラック(IDR)</t>
  </si>
  <si>
    <t>2019031908-216-1</t>
  </si>
  <si>
    <t>22213-102-001</t>
  </si>
  <si>
    <t xml:space="preserve">ブランド / 機器構成名(個体名) / 型式 / シリアル番号
eAWC Framework / eAWC本体 (FC-S35W/S7)(EAWC001) / FC-S35W/S72CL9 / S860011MA
</t>
  </si>
  <si>
    <t>株式会社ポーラ</t>
  </si>
  <si>
    <t>2019101806-216-1</t>
  </si>
  <si>
    <t>22216-108-001</t>
  </si>
  <si>
    <t>株式会社産栄工業</t>
  </si>
  <si>
    <t>2017041406-221-1</t>
  </si>
  <si>
    <t>22445-001-001</t>
  </si>
  <si>
    <t>株式会社相生製作所</t>
  </si>
  <si>
    <t>FSシステム(F200 1,2号機)</t>
  </si>
  <si>
    <t>2023101227-224-1</t>
  </si>
  <si>
    <t>22202-129-003</t>
  </si>
  <si>
    <t>UPSバッテリ交換</t>
  </si>
  <si>
    <t>ロジスティード中部株式会社</t>
  </si>
  <si>
    <t>静岡営業部　静岡西営業所</t>
  </si>
  <si>
    <t>自動倉庫搬送システム(日立物流)</t>
  </si>
  <si>
    <t>当日(24時間)保守モデル(7年)</t>
  </si>
  <si>
    <t>22213A111-004</t>
  </si>
  <si>
    <t>綜研化学株式会社</t>
  </si>
  <si>
    <t>浜岡事業所</t>
  </si>
  <si>
    <t>GSシステム(Ａ棟)</t>
  </si>
  <si>
    <t>2024061126-224-1 / 2024061128-224-1</t>
  </si>
  <si>
    <t>22223-008-001</t>
  </si>
  <si>
    <t xml:space="preserve">ブランド / 機器構成名(個体名) / 型式 / シリアル番号
AWC7 Framework(A棟) / AWC7本体(FC-S36W)(AWC001) / FC-S36W-143CV7 / 2X00876
AWC7 Framework(A棟) / AWC7端末(FC-E29U)(WAT001) / FC-E29U-S31C42 / 3200519
AWC7 Framework(A棟) / AWC7端末(FC-E29U)(WAT002) / FC-E29U-S31C42 / 3200537
AWC7 Framework(A棟) / AWC7端末(FC-E29U)(WAT003) / FC-E29U-S31C42 / 3200540
AWC7 Framework(A棟) / AWC7端末(FC-E29U)(WAT004) / FC-E29U-S31C42 / 3200562
</t>
  </si>
  <si>
    <t>静岡工場</t>
  </si>
  <si>
    <t>プリュフォーム保管システム</t>
  </si>
  <si>
    <t>2002-002</t>
  </si>
  <si>
    <t>22422-032-002</t>
  </si>
  <si>
    <t>日東工業株式会社</t>
  </si>
  <si>
    <t>菊川物流センター</t>
  </si>
  <si>
    <t>2024061122-224-1</t>
  </si>
  <si>
    <t>22446-009-001</t>
  </si>
  <si>
    <t>ヤマトエスロン株式会社</t>
  </si>
  <si>
    <t>2203-005</t>
  </si>
  <si>
    <t>22216-073-001</t>
  </si>
  <si>
    <t>株式会社互省製作所</t>
  </si>
  <si>
    <t>浜松営業所</t>
  </si>
  <si>
    <t>2024080904-224-1</t>
  </si>
  <si>
    <t>22130-001-001</t>
  </si>
  <si>
    <t>浜松支店</t>
  </si>
  <si>
    <t>DPSシステム</t>
  </si>
  <si>
    <t>2021020904-216-1 / 2021020902-216-1</t>
  </si>
  <si>
    <t>22202-D75-002</t>
  </si>
  <si>
    <t>C棟危険物保管自動倉庫システム</t>
  </si>
  <si>
    <t>2021071314-221-1 / 2021071312-221-1</t>
  </si>
  <si>
    <t>22223-008-005</t>
  </si>
  <si>
    <t xml:space="preserve">ブランド / 機器構成名(個体名) / 型式 / シリアル番号
AWC7 Framework / AWC7本体(FC-S36W)(HSDAI3) / FC-S36W-113CW5 / 9Y00110
AWC7 Framework / AWC7端末(FC-E22U)(WAT002) / FC-E22U-S / 0X14476
AWC7 Framework / AWC7端末(FC-E22U)(WAT003) / FC-E22U-S / 0X14484
</t>
  </si>
  <si>
    <t>松本油脂製薬株式会社</t>
  </si>
  <si>
    <t>2106-002</t>
  </si>
  <si>
    <t>22216-007-002</t>
  </si>
  <si>
    <t>和興フィルタテクノロジー株式会社</t>
  </si>
  <si>
    <t>静岡工場第一</t>
  </si>
  <si>
    <t>2021100608-221-1</t>
  </si>
  <si>
    <t>22481-002-001</t>
  </si>
  <si>
    <t xml:space="preserve">ブランド / 機器構成名(個体名) / 型式 / シリアル番号
AWC7 Framework / AWC7本体(FC-S36W)(AWC001) / FC-S36W-143CV7 / 1600400
</t>
  </si>
  <si>
    <t>【ﾛﾎﾞｯﾄPC】自動倉庫搬送システム(日立物流)</t>
  </si>
  <si>
    <t>2203-001</t>
  </si>
  <si>
    <t xml:space="preserve">ブランド / 機器構成名(個体名) / 型式 / シリアル番号
ﾛﾎﾞｯﾄPC / ﾛﾎﾞｯﾄPC (HF-W6555)(RBM101) / HJ-6555-WEJD/DF05 / 4239285-1
</t>
  </si>
  <si>
    <t>2022070632-221-1</t>
  </si>
  <si>
    <t>22218-136-004</t>
  </si>
  <si>
    <t xml:space="preserve">ブランド / 機器構成名(個体名) / 型式 / シリアル番号
eAWC Framework / eAWC本体 (FC-S36W)(AWC001) / FC-S36W-143CV7 / 1900494
eAWC Framework / eAWC予備機 (FC-S36W)(AWC001予備) / FC-S36W-143CV7 / 1900517
</t>
  </si>
  <si>
    <t>三笠製薬株式会社</t>
  </si>
  <si>
    <t>2023080817-224-1 / 2023080819-224-1</t>
  </si>
  <si>
    <t>22447-023-001</t>
  </si>
  <si>
    <t xml:space="preserve">ブランド / 機器構成名(個体名) / 型式 / シリアル番号
AWC7 Ordermade / AWC7本体(FC-S36W)(AWC001) / FC-S36W-143CV7 / 1900522
AWC7 Ordermade / AWC7端末(FC-E22U)(WAT001) / FC-E22U-S / 1X17015
AWC7 Ordermade / AWC7端末(FC-E22U)(WAT002) / FC-E22U-S / 1X17020
AWC7 Ordermade / AWC7端末(FC-E22U)(WAT003) / FC-E22U-S / 1X17028
AWC7 Ordermade / AWC7端末(FC-E22U)(WAT004) / FC-E22U-S / 1X17030
</t>
  </si>
  <si>
    <t>GSシステム(Ａ・Ｂ棟)</t>
  </si>
  <si>
    <t>大阪第1CS</t>
  </si>
  <si>
    <t>株式会社関通</t>
  </si>
  <si>
    <t>EC通販物流センター</t>
  </si>
  <si>
    <t>2022070630-221-1</t>
  </si>
  <si>
    <t>28202A172-001</t>
  </si>
  <si>
    <t xml:space="preserve">ブランド / 機器構成名(個体名) / 型式 / シリアル番号
AWC7 Framework / AWC7本体 (FC-S36W)(AWC001) / FC-S36W-143CV7 / 1800477
</t>
  </si>
  <si>
    <t>津田金属熱煉工業株式会社</t>
  </si>
  <si>
    <t>CS自動倉庫</t>
  </si>
  <si>
    <t>2211-001</t>
  </si>
  <si>
    <t>28202-740-001</t>
  </si>
  <si>
    <t xml:space="preserve">ブランド / 機器構成名(個体名) / 型式 / シリアル番号
AWC7 Basic / AWC7本体(HF-W6555)(AWC001) / HJ-6555-WEJD/DF05 / 4240001-1
</t>
  </si>
  <si>
    <t>王子イメージングメディア株式会社</t>
  </si>
  <si>
    <t>2023061318-224-1</t>
  </si>
  <si>
    <t>28202-695-001</t>
  </si>
  <si>
    <t xml:space="preserve">ブランド / 機器構成名(個体名) / 型式 / シリアル番号
RTS-100 / RTS端末 (FC-E22U)(WSC001) / FC-E22U-S / 2818313
RTS-100 / RTS端末 (FC-E22U)(WSC002) / FC-E22U-S / 2818316
RTS-100 / RTS端末 (FC-E22U)(WSC003) / FC-E22U-S / 2818315
RTS-100 / RTS端末 (FC-E22U)(WSC004) / FC-E22U-S / 2818314
RTS-100 / RTS端末 (FC-E22U)(WSC005) / FC-E22U-S / 2818317
RTS-100 / RTS端末 (FC-E22U)(WSC006) / FC-E22U-S / 2818312
RTS-100 / RTS端末予備 (FC-E22U)(WSC011) / FC-E22U-S / 2718055
RTS-100 / RTS端末予備 (FC-E22U)(WSC012) / FC-E22U-S / 2718041
</t>
  </si>
  <si>
    <t>アズワン株式会社</t>
  </si>
  <si>
    <t>自動倉庫／コンベヤシステム</t>
  </si>
  <si>
    <t>【ﾊﾟｯｸ契約】BB9018788784</t>
  </si>
  <si>
    <t>27113-430-001</t>
  </si>
  <si>
    <t>5年目有寿命部品交換</t>
  </si>
  <si>
    <t xml:space="preserve">ブランド / 機器構成名(個体名) / 型式 / シリアル番号
SAM / ｺﾝｿｰﾙ端末 (ESPRIMO N529/FA)(WAT001) / FMVN0101K / R1800011
</t>
  </si>
  <si>
    <t>ヤンマーパワーソリューション株式会社</t>
  </si>
  <si>
    <t>特機事業部</t>
  </si>
  <si>
    <t>自動倉庫（塚口工場）</t>
  </si>
  <si>
    <t>28202-604-001</t>
  </si>
  <si>
    <t>フジクラ物流株式会社</t>
  </si>
  <si>
    <t>西日本流通センター</t>
  </si>
  <si>
    <t>2008-006</t>
  </si>
  <si>
    <t>28204-408-001</t>
  </si>
  <si>
    <t>寿冷蔵株式会社</t>
  </si>
  <si>
    <t>尼崎南ＤＣ</t>
  </si>
  <si>
    <t>冷蔵自動倉庫</t>
  </si>
  <si>
    <t>2101-003</t>
  </si>
  <si>
    <t>28202A165-001</t>
  </si>
  <si>
    <t>2020113018-216-1 / 2020113016-216-1</t>
  </si>
  <si>
    <t>阪神ＤＣ</t>
  </si>
  <si>
    <t>WCSシステム</t>
  </si>
  <si>
    <t>2024061208-224-1</t>
  </si>
  <si>
    <t>28202A177-001</t>
  </si>
  <si>
    <t xml:space="preserve">ブランド / 機器構成名(個体名) / 型式 / シリアル番号
WareNavi7A / 管理端末 (FC-E29U)(WAT01) / FC-E29U-S31C42 / 3100421
</t>
  </si>
  <si>
    <t>CE150173 / 【ﾊﾟｯｸ契約】SupportDeskﾊﾟｯｸStandard2410年</t>
  </si>
  <si>
    <t>神崎工場</t>
  </si>
  <si>
    <t>2017071402-220-1※端末解約により / 契約書番号変わる</t>
  </si>
  <si>
    <t>28202-001-001</t>
  </si>
  <si>
    <t>株式会社巴製作所</t>
  </si>
  <si>
    <t>金楽寺工場</t>
  </si>
  <si>
    <t>2008-005</t>
  </si>
  <si>
    <t>28202A164-001</t>
  </si>
  <si>
    <t>2024091144-224-1</t>
  </si>
  <si>
    <t>大阪支店</t>
  </si>
  <si>
    <t>自動倉庫／仕分け設備</t>
  </si>
  <si>
    <t>2021100102-221-1 / 2021100104-221-1</t>
  </si>
  <si>
    <t>27203-355-001</t>
  </si>
  <si>
    <t>NEX尼崎</t>
  </si>
  <si>
    <t>空港貨物仕分けソーター</t>
  </si>
  <si>
    <t>2023111706-224-1</t>
  </si>
  <si>
    <t>27203-457-002</t>
  </si>
  <si>
    <t xml:space="preserve">ブランド / 機器構成名(個体名) / 型式 / シリアル番号
SAM / WCS兼SAMｻｰﾊﾞ(FC-S36W)(SAM001) / FC-S36W-143CV7 / 1300355
SAM / WCS兼SAMｻｰﾊﾞ予備機(FC-S36W)(SAM予備) / FC-S36W-143CV7 / 1300356
</t>
  </si>
  <si>
    <t>株式会社MonotaRo</t>
  </si>
  <si>
    <t>猪名川ディストリビューションセンター</t>
  </si>
  <si>
    <t>2211-002</t>
  </si>
  <si>
    <t>28301A103-001</t>
  </si>
  <si>
    <t xml:space="preserve">ブランド / 機器構成名(個体名) / 型式 / シリアル番号
MOSⅦ/MOSⅦ(HF-W2055） / HJ-2055-WEMA/DF04 / 8052265-4
</t>
  </si>
  <si>
    <t>大阪第2CS</t>
  </si>
  <si>
    <t>加藤産業株式会社</t>
  </si>
  <si>
    <t>大阪平林センター</t>
  </si>
  <si>
    <t>2020040711-216-1</t>
  </si>
  <si>
    <t>27125A143-001</t>
  </si>
  <si>
    <t xml:space="preserve">ブランド / 機器構成名(個体名) / 型式 / シリアル番号
SAM / MOS親機 (FC-S35W/S4)(MOS03) / FC-S35W/S42CM0 / S810277MA
SAM / MOS親機 (FC-S35W/S4)(MOS04) / FC-S35W/S42CM0 / S810281MA
</t>
  </si>
  <si>
    <t>株式会社OBS</t>
  </si>
  <si>
    <t>大正センター</t>
  </si>
  <si>
    <t>FS自動倉庫</t>
  </si>
  <si>
    <t>1909-006</t>
  </si>
  <si>
    <t>27108A109-001</t>
  </si>
  <si>
    <t>ロジスティード西日本株式会社</t>
  </si>
  <si>
    <t>安治川営業所</t>
  </si>
  <si>
    <t>書類保管用自動倉庫</t>
  </si>
  <si>
    <t>2021050602-221-1</t>
  </si>
  <si>
    <t>27104-030-001</t>
  </si>
  <si>
    <t>株式会社国元商会</t>
  </si>
  <si>
    <t>2018020805-216-1</t>
  </si>
  <si>
    <t>27124-084-001</t>
  </si>
  <si>
    <t>宗教法人宝蔵寺</t>
  </si>
  <si>
    <t>納骨堂</t>
  </si>
  <si>
    <t>2108-002</t>
  </si>
  <si>
    <t>27229A103-001</t>
  </si>
  <si>
    <t>大同印刷株式会社</t>
  </si>
  <si>
    <t>第２工場</t>
  </si>
  <si>
    <t>2025041033-224-1</t>
  </si>
  <si>
    <t>27124-068-001</t>
  </si>
  <si>
    <t>株式会社サーモテック</t>
  </si>
  <si>
    <t>2024070914-224-1</t>
  </si>
  <si>
    <t>27122A100-001</t>
  </si>
  <si>
    <t>株式会社九飛勢螺</t>
  </si>
  <si>
    <t>自動倉庫(KT)</t>
  </si>
  <si>
    <t>2410-002</t>
  </si>
  <si>
    <t>27125-210-001</t>
  </si>
  <si>
    <t>日水物流株式会社</t>
  </si>
  <si>
    <t>大阪舞洲物流センター</t>
  </si>
  <si>
    <t>マテハン設備　自動倉庫</t>
  </si>
  <si>
    <t>2021041602-216-1</t>
  </si>
  <si>
    <t>27104A109-002</t>
  </si>
  <si>
    <t>株式会社アサヒパック</t>
  </si>
  <si>
    <t>米袋倉庫増築計画</t>
  </si>
  <si>
    <t>2024051519-224-1</t>
  </si>
  <si>
    <t>27120-050-001</t>
  </si>
  <si>
    <t>西様</t>
  </si>
  <si>
    <t>大阪第2CS　中嶋展　(大阪第2CS　岡本にも連絡お願いします)</t>
  </si>
  <si>
    <t>山中産業株式会社</t>
  </si>
  <si>
    <t>三国製錬事業所</t>
  </si>
  <si>
    <t>2021062110-221-1 / 2021062112-221-1</t>
  </si>
  <si>
    <t>27123-252-001</t>
  </si>
  <si>
    <t>アスト株式会社</t>
  </si>
  <si>
    <t>北港ターミナル</t>
  </si>
  <si>
    <t>北港ターミナル南基地　危険物自動倉庫</t>
  </si>
  <si>
    <t>2110-004</t>
  </si>
  <si>
    <t>27104A118-001</t>
  </si>
  <si>
    <t>大阪拘置所</t>
  </si>
  <si>
    <t>領品格納用自動倉庫</t>
  </si>
  <si>
    <t>2205-008</t>
  </si>
  <si>
    <t>27102A111-002</t>
  </si>
  <si>
    <t>2205-007</t>
  </si>
  <si>
    <t>田岡化学工業株式会社</t>
  </si>
  <si>
    <t>淀川工場</t>
  </si>
  <si>
    <t>DS13号自動倉庫</t>
  </si>
  <si>
    <t>2018032002-216-1</t>
  </si>
  <si>
    <t>27123-244-001</t>
  </si>
  <si>
    <t>2205-009</t>
  </si>
  <si>
    <t>東洋製薬化成株式会社</t>
  </si>
  <si>
    <t>第二倉庫自動倉庫</t>
  </si>
  <si>
    <t>2022040602-221-1</t>
  </si>
  <si>
    <t>27124-158-003</t>
  </si>
  <si>
    <t>大阪支店　住之江フローズンＴＰＬセンター</t>
  </si>
  <si>
    <t>2105-003</t>
  </si>
  <si>
    <t>27125-264-001</t>
  </si>
  <si>
    <t>大阪公立大学医学部附属病院</t>
  </si>
  <si>
    <t>手術具コンテナ保管管理収納棚</t>
  </si>
  <si>
    <t>2105-007</t>
  </si>
  <si>
    <t>27119-028-001</t>
  </si>
  <si>
    <t>近畿容器株式会社</t>
  </si>
  <si>
    <t>大阪工場　C棟工場</t>
  </si>
  <si>
    <t>成型品検査前バッファ自動倉庫システム</t>
  </si>
  <si>
    <t>2303-006</t>
  </si>
  <si>
    <t>27124A115-001</t>
  </si>
  <si>
    <t>2023020712-221-1 / 2023020710-221-1</t>
  </si>
  <si>
    <t>タカラベルモント株式会社</t>
  </si>
  <si>
    <t>2021101907-221-1</t>
  </si>
  <si>
    <t>27122-004-001</t>
  </si>
  <si>
    <t xml:space="preserve">ブランド / 機器構成名(個体名) / 型式 / シリアル番号
AWC7 Framework / AWC7本体(FC-S36W)(AWC001) / FC-S36W-113CW5 / 0X00114
</t>
  </si>
  <si>
    <t>株式会社アクティオ</t>
  </si>
  <si>
    <t>関西DLセンター</t>
  </si>
  <si>
    <t>2021120705-221-1</t>
  </si>
  <si>
    <t>27125A152-001</t>
  </si>
  <si>
    <t xml:space="preserve">ブランド / 機器構成名(個体名) / 型式 / シリアル番号
WareNavi7 / WareNavi7本体 (FC-S36W)(WARENAVI002) / FC-S36W-113CW5 / 0X00116
</t>
  </si>
  <si>
    <t>株式会社住友倉庫</t>
  </si>
  <si>
    <t>南港第二営業所</t>
  </si>
  <si>
    <t>2022040614-221-1</t>
  </si>
  <si>
    <t>27125-222-001</t>
  </si>
  <si>
    <t xml:space="preserve">ブランド / 機器構成名(個体名) / 型式 / シリアル番号
AWC4 Framework / AWC4本体 (FC-S36W)(AWC001) / FC-S36W-143CV7 / 1800462
</t>
  </si>
  <si>
    <t>中部第1CS</t>
  </si>
  <si>
    <t>昭和冷蔵株式会社</t>
  </si>
  <si>
    <t>稲沢第１センター</t>
  </si>
  <si>
    <t>稲沢第１センター　マテハン設備</t>
  </si>
  <si>
    <t>2021061406-221-1</t>
  </si>
  <si>
    <t>23220-149-001</t>
  </si>
  <si>
    <t xml:space="preserve">ブランド / 機器構成名(個体名) / 型式 / シリアル番号
RTS-100 / RTS端末 (FC-E22U)(WSC01) / FC-E22U-S / 0Y14767
RTS-100 / RTS端末 (FC-E22U)(WSC02) / FC-E22U-S / 0Y14762
RTS-100 / RTS端末 (FC-E22U)(WSC03) / FC-E22U-S / 0Y14764
DAM / RFM (FC-E22U)(HTSV1) / FC-E22U-S / 0914351
DAM / RFM (FC-E22U)(HTSV2) / FC-E22U-S / 0Y14761
SAM / SAM(FC-E22U)(SAM01) / FC-E22U-S / 0Y14763
SAM / 実績収集PC(FC-E22U)(JSKPC) / FC-E22U-S / 0914353
</t>
  </si>
  <si>
    <t>加藤木材工業株式会社</t>
  </si>
  <si>
    <t>23206-523-001</t>
  </si>
  <si>
    <t>岡本株式会社</t>
  </si>
  <si>
    <t>春日井加工センター</t>
  </si>
  <si>
    <t>2024061305-224-1</t>
  </si>
  <si>
    <t>23206-310-001</t>
  </si>
  <si>
    <t>株式会社江崎製作所</t>
  </si>
  <si>
    <t>2207-005</t>
  </si>
  <si>
    <t>23203-185-001</t>
  </si>
  <si>
    <t>4年目HDD交換
2026年1月予定のＨＤＤ交換は客先都合により７月のハードウェア点検と同時実施</t>
  </si>
  <si>
    <t xml:space="preserve">ブランド / 機器構成名(個体名) / 型式 / シリアル番号
eAWC-R / eAWC本体(HF-W6555)(EAWC001) / HJ-6555-WEJD/DF05 / 4239965-1
</t>
  </si>
  <si>
    <t>名糖アダムス株式会社</t>
  </si>
  <si>
    <t>清須工場</t>
  </si>
  <si>
    <t>ガムエイジング用自動倉庫</t>
  </si>
  <si>
    <t>23233A106-001</t>
  </si>
  <si>
    <t>小牧センター</t>
  </si>
  <si>
    <t>23219-208-002</t>
  </si>
  <si>
    <t xml:space="preserve">ブランド / 機器構成名(個体名) / 型式 / シリアル番号
AWC7 Framework / AWC7本体(FC-S36W)(AWC001) / FC-S36W-143CV7 / 2300656
AWC7 Framework / AWC7端末(FC-E22U)(WAT001) / FC-E22U-S / 2718045
AWC7 Framework / 作業表示PC(FC-E22U)(WAT002) / FC-E22U-S / 2718046
AWC7 Framework / 作業表示PC(FC-E22U)(WAT003) / FC-E22U-S / 2718052
AWC7 Framework / 作業表示PC(FC-E22U)(WAT004) / FC-E22U-S / 2718053
</t>
  </si>
  <si>
    <t>上村工業株式会社</t>
  </si>
  <si>
    <t>名古屋支店</t>
  </si>
  <si>
    <t>2106-006</t>
  </si>
  <si>
    <t>23104-049-001</t>
  </si>
  <si>
    <t>犬山</t>
  </si>
  <si>
    <t>製品保管配送システム(ＲＢ)</t>
  </si>
  <si>
    <t>2020033015-216-1</t>
  </si>
  <si>
    <t>23215-022-001</t>
  </si>
  <si>
    <t>尾張精機株式会社</t>
  </si>
  <si>
    <t>旭工場</t>
  </si>
  <si>
    <t>2023091306-224-1 / 2023091308-224-1</t>
  </si>
  <si>
    <t>23226-020-001</t>
  </si>
  <si>
    <t>東洋紡株式会社</t>
  </si>
  <si>
    <t>犬山工場</t>
  </si>
  <si>
    <t>スリットロール自動倉庫</t>
  </si>
  <si>
    <t>2205-013</t>
  </si>
  <si>
    <t>23215-014-001</t>
  </si>
  <si>
    <t>株式会社ニチレイ・ロジスティクス東海</t>
  </si>
  <si>
    <t>小牧物流センター</t>
  </si>
  <si>
    <t>店舗別仕分用ソーター</t>
  </si>
  <si>
    <t>2025051507-224-1 / 2025051511-224-1</t>
  </si>
  <si>
    <t>23219A130-001</t>
  </si>
  <si>
    <t>太平化学産業株式会社</t>
  </si>
  <si>
    <t>2101-001</t>
  </si>
  <si>
    <t>23206-426-002</t>
  </si>
  <si>
    <t>グリーンライン中京株式会社</t>
  </si>
  <si>
    <t>23217-119-001</t>
  </si>
  <si>
    <t>長苗印刷株式会社</t>
  </si>
  <si>
    <t>自動倉庫システム(KT)</t>
  </si>
  <si>
    <t>2025062410-224-1 / 2025062412-224-1</t>
  </si>
  <si>
    <t>23206-248-001</t>
  </si>
  <si>
    <t>ホーユー株式会社</t>
  </si>
  <si>
    <t>瀬戸工場</t>
  </si>
  <si>
    <t>製品保管搬送システム</t>
  </si>
  <si>
    <t>2103-003</t>
  </si>
  <si>
    <t>23204-112-001</t>
  </si>
  <si>
    <t>コクヨサプライロジスティクス株式会社</t>
  </si>
  <si>
    <t>中部ＩＤＣ</t>
  </si>
  <si>
    <t>中部センター　マテハン設備</t>
  </si>
  <si>
    <t>2018031605-216-1</t>
  </si>
  <si>
    <t>23219A157-001</t>
  </si>
  <si>
    <t>小牧北第２ＰＤセンター</t>
  </si>
  <si>
    <t>ドン・キホーテ中部 搬送仕分けシステム</t>
  </si>
  <si>
    <t>2024120610-224-1 / 2024120608-224-1</t>
  </si>
  <si>
    <t>23219A189-001</t>
  </si>
  <si>
    <t>春日物流センタ－</t>
  </si>
  <si>
    <t>冷凍品仕分け設備</t>
  </si>
  <si>
    <t>2021043024-221-1</t>
  </si>
  <si>
    <t>23345-043-002</t>
  </si>
  <si>
    <t>日本ペイント株式会社</t>
  </si>
  <si>
    <t>中部流通センター</t>
  </si>
  <si>
    <t>2021122202-221-1 / 2021122204-221-1</t>
  </si>
  <si>
    <t>23215-094-001</t>
  </si>
  <si>
    <t>中部第2CS</t>
  </si>
  <si>
    <t>株式会社パロマ</t>
  </si>
  <si>
    <t>大口工場</t>
  </si>
  <si>
    <t>銅材格納自動倉庫</t>
  </si>
  <si>
    <t>2305-005</t>
  </si>
  <si>
    <t>23361-002-005</t>
  </si>
  <si>
    <t xml:space="preserve">ブランド / 機器構成名(個体名) / 型式 / シリアル番号
AWC7 Framework / AWC7本体(HF-W6555)(AWC001) / HJ-6555-WEJD/DF05 / 4240138-4
AWC7 Framework / AWC7端末(HF-W2050)(WAT001) / HJ-2050-WEMA/DF03 / 8053104-1
</t>
  </si>
  <si>
    <t>製品自動倉庫</t>
  </si>
  <si>
    <t>2305-006</t>
  </si>
  <si>
    <t>23361-002-004</t>
  </si>
  <si>
    <t xml:space="preserve">ブランド / 機器構成名(個体名) / 型式 / シリアル番号
AWC7 Framework / AWC7本体(HF-W6555)(AWC001) / HJ-6555-WEJD/DF05 / 4240138-3
AWC7 Framework / AWC7端末(HF-W2050)(WAT001) / HJ-2050-WEMA/DF03 / 8053103-5
</t>
  </si>
  <si>
    <t>株式会社ミスミ</t>
  </si>
  <si>
    <t>中日本流通センター</t>
  </si>
  <si>
    <t>2022012108-221-1 / 2022012106-221-1</t>
  </si>
  <si>
    <t>23220A135-001</t>
  </si>
  <si>
    <t>尾崎優弥/09074396413</t>
  </si>
  <si>
    <t>8年目HDD交換、電源ユニット、冷却ﾌｧﾝ、電池、DVDﾄﾞﾗｲﾌﾞ交換
当日の現地入りメンバーが決まりましたら、尾崎へ連絡をお願いいたします。</t>
  </si>
  <si>
    <t xml:space="preserve">ブランド / 機器構成名(個体名) / 型式 / シリアル番号
WareNavi7 / SRS管理端末 (FC-E22U)(SRS301) / FC-E22U-S / 8706693
WareNavi7 / SRS管理端末 (FC-E22U)(SRS302) / FC-E22U-S / 8706687
WareNavi7 / FS管理端末 (FC-E22U)(WN01) / FC-E22U-S / 8606282
WareNavi7 / 3F管理端末 (FC-E22U)(WAT332) / FC-E22U-S / 8706743
WareNavi7 / 状態表示端末 (FC-E22U)(WAT401) / FC-E22U-S / 8606326
WareNavi7 / N系作業端末 (FC-E22U)(WAT331) / FC-E22U-S / 8706681
SAM / SAM (FC-S35W/S4)(SAM301) / FC-S35W/S42CM0 / S780464MA
SAM / ｿｰﾀ端末 (FC-E22U)(SAM302) / FC-E22U-S / 8706742
</t>
  </si>
  <si>
    <t>タカサカ青果株式会社</t>
  </si>
  <si>
    <t>加工センター</t>
  </si>
  <si>
    <t>2007-001</t>
  </si>
  <si>
    <t>23342-063-001</t>
  </si>
  <si>
    <t>東海ＲＤＣ</t>
  </si>
  <si>
    <t>2022080407-221-1</t>
  </si>
  <si>
    <t>21209-069-001</t>
  </si>
  <si>
    <t>生活協同組合連合会アイチョイス</t>
  </si>
  <si>
    <t>富加セットセンター</t>
  </si>
  <si>
    <t>ドライ集品ライン</t>
  </si>
  <si>
    <t>2021061004-221-1 / 2021061006-221-1</t>
  </si>
  <si>
    <t>21502A102-001</t>
  </si>
  <si>
    <t>長谷虎紡績株式会社</t>
  </si>
  <si>
    <t>平方工場</t>
  </si>
  <si>
    <t>ロールカーペット保管倉庫ＣＳ（L2009Y）・MV100</t>
  </si>
  <si>
    <t>2501-005</t>
  </si>
  <si>
    <t>21209-006-001</t>
  </si>
  <si>
    <t>2022012102-221-1</t>
  </si>
  <si>
    <t>2023042712-224-1</t>
  </si>
  <si>
    <t>23362-052-001</t>
  </si>
  <si>
    <t>エナジーサポート株式会社</t>
  </si>
  <si>
    <t>2021072704-221-1 / 2021072706-221-1</t>
  </si>
  <si>
    <t>23215-002-002</t>
  </si>
  <si>
    <t xml:space="preserve">ブランド / 機器構成名(個体名) / 型式 / シリアル番号
eAWC Framework / eAWC本体(FC-S36W)(AWC001) / FC-S36W-143CV7 / 13000342
eAWC Framework / eAWC端末(FC-E22U)(WAT001) / FC-E22U-S / 1215657
eAWC Framework / eAWC端末(FC-E22U)(WAT002) / FC-E22U-S / 1215658
</t>
  </si>
  <si>
    <t>中部第3CS</t>
  </si>
  <si>
    <t>日本デイリーネット株式会社</t>
  </si>
  <si>
    <t>名古屋第二センター</t>
  </si>
  <si>
    <t>23220A140-001</t>
  </si>
  <si>
    <t>三菱倉庫株式会社</t>
  </si>
  <si>
    <t>小牧営業所　本庄倉庫</t>
  </si>
  <si>
    <t>FA160</t>
  </si>
  <si>
    <t>23219-414-001</t>
  </si>
  <si>
    <t xml:space="preserve">ブランド / 機器構成名(個体名) / 型式 / シリアル番号
AWC4 Framework / AWC4本体(FA3100SS model 1000)(AWC001) / UD431016-01-DHT / OEV249
</t>
  </si>
  <si>
    <t>日本クロージャー株式会社</t>
  </si>
  <si>
    <t>小牧工場</t>
  </si>
  <si>
    <t>FA171</t>
  </si>
  <si>
    <t xml:space="preserve">ブランド / 機器構成名(個体名) / 型式 / シリアル番号
AWC4 Framework / AWC4本体(FA3100T model 800)(AWC001) / UA538020-DF2-CKC-A2153 / OHA186
</t>
  </si>
  <si>
    <t>1Ｆ自動倉庫（中部物流センター分）</t>
  </si>
  <si>
    <t>2023080821-224-1</t>
  </si>
  <si>
    <t>23206-539-001</t>
  </si>
  <si>
    <t xml:space="preserve">ブランド / 機器構成名(個体名) / 型式 / シリアル番号
AWC7 Framework / AWC7端末(FC-E29U)(WAT001) / FC-E29U-S31C42 / 2Z00135
AWC7 Framework / AWC7端末(FC-E29U)(WAT002) / FC-E29U-S31C42 / 2Z00111
AWC7 Framework / AWC7端末(FC-E29U)(WAT003) / FC-E29U-S31C42 / 2Z00133
AWC7 Framework / AWC7端末(FC-E29U)(WAT004) / FC-E29U-S31C42 / 2Z00118
AWC7 Framework / AWC7端末(FC-E29U)(WAT005) / FC-E29U-S31C42 / 2Z00139
ﾗﾍﾞﾙPC / 通信ｻｰﾊﾞｰ (FC-E29U)(PLC001) / FC-E29U-S31C42 / 2Z00127
AWC7 Framework / ﾛﾎﾞｯﾄPC (FC-E29U)(RPC01) / FC-E29U-S31C42 / 2Z00185
</t>
  </si>
  <si>
    <t>春日井営業所</t>
  </si>
  <si>
    <t>製品格納倉庫</t>
  </si>
  <si>
    <t>2025062404-224-1 / 2025062408-224-1</t>
  </si>
  <si>
    <t>23206-496-001</t>
  </si>
  <si>
    <t>小牧</t>
  </si>
  <si>
    <t>2012-006</t>
  </si>
  <si>
    <t>23219-764-001</t>
  </si>
  <si>
    <t>吉正運輸倉庫株式会社</t>
  </si>
  <si>
    <t>一宮</t>
  </si>
  <si>
    <t>2024091142-224-1</t>
  </si>
  <si>
    <t>23203-112-001</t>
  </si>
  <si>
    <t>愛知電機株式会社</t>
  </si>
  <si>
    <t>2024031427-224-1</t>
  </si>
  <si>
    <t>23206-150-001</t>
  </si>
  <si>
    <t>物流棟　物流システム</t>
  </si>
  <si>
    <t>2102-001</t>
  </si>
  <si>
    <t>23219-223-003</t>
  </si>
  <si>
    <t>甘木物流センター</t>
  </si>
  <si>
    <t>1707-005</t>
  </si>
  <si>
    <t>40209-026-001</t>
  </si>
  <si>
    <t xml:space="preserve">ブランド / 機器構成名(個体名) / 型式 / シリアル番号
RTS-100 / RTS端末/BCR付き(HF-W2035)(WSC01) / HJ-20359EWJA/DF01 / 4228823-1
RTS-100 / RTS端末/BCR付き(HF-W2035)(WSC02) / HJ-20359EWJA/DF01 / 4228824-1
RTS-100 / RTS端末/BCR付き(HF-W2035)(WSC03) / HJ-20359EWJA/DF01 / 4228825-1
RTS-100 / RTS端末(HF-W2035)(WSC04) / HJ-20359EWJA/DF01 / 4228826-1
RTS-100 / RTS端末(HF-W2035)(WSC06) / HJ-20359EWJA/DF01 / 4228827-1
RTS-100 / RTS端末(HF-W2035)(WSC07) / HJ-20359EWJA/DF01 / 4228828-1
RTS-100 / RTS端末(HF-W2035)(WSC09) / HJ-20359EWJA/DF01 / 4228829-1
</t>
  </si>
  <si>
    <t>株式会社シーエル</t>
  </si>
  <si>
    <t>鳥栖センター</t>
  </si>
  <si>
    <t>2019030416-216-1</t>
  </si>
  <si>
    <t>41203A119-001</t>
  </si>
  <si>
    <t xml:space="preserve">ブランド / 機器構成名(個体名) / 型式 / シリアル番号
AWC4 Basic / AWC4本体(FC-S35W)(AWC001) / FC-S35W/S72CL9 / S6Z0290MA
</t>
  </si>
  <si>
    <t>鳥栖営業所</t>
  </si>
  <si>
    <t>2019012806-216-1 / 2019012805-216-1</t>
  </si>
  <si>
    <t>41203-169-001</t>
  </si>
  <si>
    <t>4年目HDD交換。保守終息2029年11月
2025年9月27日に8年目HDD交換を実施。4年目は未実施のため、保守終息の1年前で予定月を修正
2021年4月→2028年9月</t>
  </si>
  <si>
    <t>丸東産業株式会社</t>
  </si>
  <si>
    <t>福岡工場</t>
  </si>
  <si>
    <t>シリンダー倉庫</t>
  </si>
  <si>
    <t>40216-011-001</t>
  </si>
  <si>
    <t>株式会社福岡ヤクルト工場</t>
  </si>
  <si>
    <t>マジックフローシステム</t>
  </si>
  <si>
    <t>40217-072-001</t>
  </si>
  <si>
    <t>製品二課　林様　0929258960</t>
  </si>
  <si>
    <t>松嶋：08010392758</t>
  </si>
  <si>
    <t>8月以降で予定 / 「2025年1月」予定分を「7/3(木)」に実施。（6カ月遅れ）
★点検2回 「1月・7月」
★メーカの契約期間（１年間）「～2025年11月」を過ぎれば【実施不可】</t>
  </si>
  <si>
    <t xml:space="preserve">ブランド / 機器構成名(個体名) / 型式 / シリアル番号
AWC4 Framework / ｵｰﾄﾗﾍﾞﾗ(ALBP01) / LR4NX-FA08LPJ / HG000025
</t>
  </si>
  <si>
    <t>基山第２工場</t>
  </si>
  <si>
    <t>出荷設備</t>
  </si>
  <si>
    <t>1908-001</t>
  </si>
  <si>
    <t>41341-022-002</t>
  </si>
  <si>
    <t xml:space="preserve">ブランド / 機器構成名(個体名) / 型式 / シリアル番号
eAWC Ordermade / eAWC本体(HF-W6555)(AWC002) / HJ-6555-WBJD/DF01 / 4233842-1
</t>
  </si>
  <si>
    <t>基山工場</t>
  </si>
  <si>
    <t>1908-003</t>
  </si>
  <si>
    <t>41341-002-001</t>
  </si>
  <si>
    <t xml:space="preserve">ブランド / 機器構成名(個体名) / 型式 / シリアル番号
eAWC Ordermade / eAWCｻｰﾊﾞ (HF-W6555)(AWC001) / HJ-6555-WBJD/DF01 / 4233841-1
</t>
  </si>
  <si>
    <t>大電株式会社</t>
  </si>
  <si>
    <t>上峰分所</t>
  </si>
  <si>
    <t>1911-001</t>
  </si>
  <si>
    <t>41345-008-002</t>
  </si>
  <si>
    <t xml:space="preserve">ブランド / 機器構成名(個体名) / 型式 / シリアル番号
eAWC Framework / eAWC本体(HF-W6555)(AWC01) / HJ-6555-WBJD/DF01 / 4233572-1
</t>
  </si>
  <si>
    <t>PF自動倉庫</t>
  </si>
  <si>
    <t>株式会社アステム</t>
  </si>
  <si>
    <t>九州ＬＩＳセンター</t>
  </si>
  <si>
    <t>2208-005</t>
  </si>
  <si>
    <t>41203-110-001</t>
  </si>
  <si>
    <t xml:space="preserve">ブランド / 機器構成名(個体名) / 型式 / シリアル番号
AWC-800U(ｺﾝﾍﾞﾔｻｰﾊﾞ) / ｺﾝﾍﾞﾔｻｰﾊﾞ (EP8000 S914)(AWC002) / THE-C900941A623B / 66727
AWC-800U(ｺﾝﾍﾞﾔｻｰﾊﾞ) / ｺﾝﾍﾞﾔｻｰﾊﾞ予備機 (EP8000 S914)(AWC002予備) / THE-C900941A623B / 66728
</t>
  </si>
  <si>
    <t>2020120802-216-1 / 2024101604-224-1</t>
  </si>
  <si>
    <t xml:space="preserve">ブランド / 機器構成名(個体名) / 型式 / シリアル番号
AWC-800N / AWC本体(FC-S35W/S7)(AWC001) / FC-S35W/S72CL9 / S810271MA
AWC-800N / AWC端末(FC-E22U)(WAT001) / FC-E22U-S / 8706841
AWC-800N / 9Y-MOS(FC-E22U)(MOS01) / FC-E22U-S / 9710377
</t>
  </si>
  <si>
    <t>株式会社たらみ</t>
  </si>
  <si>
    <t>長崎物流センター</t>
  </si>
  <si>
    <t>2023071403-224-1</t>
  </si>
  <si>
    <t>42204-057-001</t>
  </si>
  <si>
    <t xml:space="preserve">ブランド / 機器構成名(個体名) / 型式 / シリアル番号
AWC-500N / AWC本体 (FC-S36W)(AWC001) / FC-S36W-133CW4 / 1Z00170
AWC-500N / AWC端末 (FC-S36W)(WAT002) / FC-S36W-133CW4 / 2700179
</t>
  </si>
  <si>
    <t>九州ＲＤＣ</t>
  </si>
  <si>
    <t>コンベヤ仕分けシステム</t>
  </si>
  <si>
    <t>2407-002</t>
  </si>
  <si>
    <t>40217A103-001</t>
  </si>
  <si>
    <t xml:space="preserve">ブランド / 機器構成名(個体名) / 型式 / シリアル番号
WareNavi7 / WareNavi7本体(HF-W7550)(WNZ001) / HJ-7550-WEJD/7R / 4524908-2
SAM / SAM(HF-W7550)(SAMZ001) / HJ-7550-WEJD/7R / 4524908-1
LPM / LPM(HF-W7550)(LPMZ001) / HJ-7550-WEJD/7R / 4524908-4
</t>
  </si>
  <si>
    <t>長崎工場・本社</t>
  </si>
  <si>
    <t>2024061216-224-1</t>
  </si>
  <si>
    <t>42201-124-002</t>
  </si>
  <si>
    <t xml:space="preserve">ブランド / 機器構成名(個体名) / 型式 / シリアル番号
AWC-500N / AWC本体(FC-S36W)(AWC002) / FC-S36W-133CW4 / 2X00194
</t>
  </si>
  <si>
    <t>2025070713-221-1 / 2025070719-221-1</t>
  </si>
  <si>
    <t>4年目HDD交換【SAM】
※AWCとは保守製番が違うため、チケットを分けています</t>
  </si>
  <si>
    <t xml:space="preserve">ブランド / 機器構成名(個体名) / 型式 / シリアル番号
SAM(ｵｰﾀﾞｰｽﾀｰﾄ) / ｵｰﾀﾞｰｽﾀｰﾄｻｰﾊﾞ (FC-S36W)(SAM002) / FC-S36W-113CW5 / 2Y00150
SAM(ｵｰﾀﾞｰｽﾀｰﾄ) / ｵｰﾀﾞｰｽﾀｰﾄｻｰﾊﾞ予備機 (FC-S36W)(SAM002予備機) / FC-S36W-113CW5 / 2Y00151
SAM(重量検品) / 重量検品ｻｰﾊﾞ (FC-S36W)(SAM003) / FC-S36W-113CW5 / 2Y00152
SAM(重量検品) / 重量検品ｻｰﾊﾞ予備機 (FC-S36W)(SAM003予備) / FC-S36W-113CW5 / 2Y00153
SAM(重量検品) / ﾘｼﾞｪｸﾄ端末 (FC-E29U)(WAT401) / FC-E29U-S31C42 / 2Z00289
SAM(重量検品) / ﾓﾆﾀ表示端末 (FC-E29U)(WAT501) / FC-E29U-S31C42 / 2Z00280
SAM(重量検品) / ﾓﾆﾀ表示端末 (FC-E29U)(WAT502) / FC-E29U-S31C42 / 2Z00294
SAM(重量検品) / ﾓﾆﾀ表示端末 (FC-E29U)(WAT503) / FC-E29U-S31C42 / 2Z00298
SAM(重量検品) / ﾓﾆﾀ表示端末 (FC-E29U)(WAT504) / FC-E29U-S31C42 / 2Z00292
LPM / LPM (FC-S36W)(LPM401) / FC-S36W-143CV7 / 2800768
LPM / LPM (FC-S36W)(LPM402) / FC-S36W-143CV7 / 2800759
LPM / LPM (FC-S36W)(LPM403) / FC-S36W-143CV7 / 2800754
LPM / LPM予備機 (FC-S36W)(LPM予備機) / FC-S36W-143CV7 / 2800756
</t>
  </si>
  <si>
    <t>ＴＤＫ株式会社</t>
  </si>
  <si>
    <t>三隈川工場</t>
  </si>
  <si>
    <t>5202棟ベース倉庫、ロール倉庫</t>
  </si>
  <si>
    <t>2020031226-216-1</t>
  </si>
  <si>
    <t>44204-007-017</t>
  </si>
  <si>
    <t>セイカ食品株式会社</t>
  </si>
  <si>
    <t>筑紫野センター</t>
  </si>
  <si>
    <t>2023110809-224-1</t>
  </si>
  <si>
    <t>40217A118-001</t>
  </si>
  <si>
    <t>佐賀大学医学部附属病院</t>
  </si>
  <si>
    <t>2025091004-221-1 / 2025091007-221-1</t>
  </si>
  <si>
    <t>41201-011-002</t>
  </si>
  <si>
    <t xml:space="preserve">ブランド / 機器構成名(個体名) / 型式 / シリアル番号
WareNavi4 Framework Custom / WareNavi4本体 (FC-S36W)(WMS01) / FC-S36W-143CV7 / 2Y00930
WareNavi4 Framework Custom / 作業端末 (FC-E29U)(WAT001) / FC-E29U-S31C42 / 3200595
</t>
  </si>
  <si>
    <t>出荷前自動倉庫システム</t>
  </si>
  <si>
    <t>2004-009</t>
  </si>
  <si>
    <t>41423-002-005</t>
  </si>
  <si>
    <t>送電工機株式会社</t>
  </si>
  <si>
    <t>電気設備用 機械工具倉庫</t>
  </si>
  <si>
    <t>2024051541-224-1</t>
  </si>
  <si>
    <t>40483-013-001</t>
  </si>
  <si>
    <t>アリアケジャパン株式会社</t>
  </si>
  <si>
    <t>九州第二工場Ａ・Ｂ棟</t>
  </si>
  <si>
    <t>CSシステム(第二工場B棟)</t>
  </si>
  <si>
    <t>2110-006 / 2110-007</t>
  </si>
  <si>
    <t>42391-004-002</t>
  </si>
  <si>
    <t xml:space="preserve">ブランド / 機器構成名(個体名) / 型式 / シリアル番号
AWC-500N / AWC本体(HF-W6555)(AWC001) / HJ-6555-WBJD/DF01 / 4239080-2
AWC-500N / AWC端末(HF-W2045)(WAT001) / HJ-2045-WBJA/DF01 / 4239011-4
AWC-500N / AWC端末(HF-W2045)(WAT002) / HJ-2045-WBJA/DF01 / 4239079-4
AWC-500N / AWC端末(HF-W2045)(WAT003) / HJ-2045-WBJA/DF01 / 4239079-3
</t>
  </si>
  <si>
    <t>CSシステム(第二工場A棟)</t>
  </si>
  <si>
    <t>2208-003 / 2208-004</t>
  </si>
  <si>
    <t>42391-004-001</t>
  </si>
  <si>
    <t xml:space="preserve">ブランド / 機器構成名(個体名) / 型式 / シリアル番号
AWC-500N / AWC本体(HF-W6555)(AWC002) / HJ-6555-WBJD/DF01 / 4239080-1
AWC-500N / AWC端末(HF-W2045)(WAT201) / HJ-2045-WBJA/DF01 / 4239079-5
AWC-500N / AWC端末(HF-W2045)(WAT202) / HJ-2045-WBJA/DF01 / 4239079-1
AWC-500N / AWC端末(HF-W2045)(WAT203) / HJ-2045-WBJA/DF01 / 4239079-2
</t>
  </si>
  <si>
    <t>グリーンコープ生活協同組合連合会</t>
  </si>
  <si>
    <t>福岡青果センター</t>
  </si>
  <si>
    <t>集品ライン</t>
  </si>
  <si>
    <t>2022061016-221-1 / 2022061014-221-1</t>
  </si>
  <si>
    <t>40217A115-001</t>
  </si>
  <si>
    <t xml:space="preserve">ブランド / 機器構成名(個体名) / 型式 / シリアル番号
eye-navi / DPMｻｰﾊﾞ (FC-S36W)(PCM01) / FC-S36W-143CV7 / 0X00290
eye-navi / DPM (FC-S36W)(DPM01) / FC-S36W-143CV7 / 0X00285
eye-navi / DPM (FC-S36W)(DPM02) / FC-S36W-143CV7 / 0900275
eye-navi / ﾏﾈｰｼﾞｬ予備機 (FC-S36W)(予備機) / FC-S36W-143CV7 / 0X00282
eye-navi / 寄せ端末 (FC-E22U)(WAT01) / FC-E22U-S / 0Z15108
eye-navi / 寄せ端末 (FC-E22U)(WAT02) / FC-E22U-S / 0Z15113
</t>
  </si>
  <si>
    <t>福徳長酒類株式会社</t>
  </si>
  <si>
    <t>久留米工場</t>
  </si>
  <si>
    <t>2018042502-216-1</t>
  </si>
  <si>
    <t>40203-292-001</t>
  </si>
  <si>
    <t xml:space="preserve">ブランド / 機器構成名(個体名) / 型式 / シリアル番号
eAWC Framework / eAWC本体（FC-S35W/S7）(AWC001) / FC-S35W/S72CL9 / S770350MA
eAWC Framework / eAWC端末（FC-E22U）(WAT001) / FC-E22U-S / 7803714
eAWC Framework / eAWC端末（FC-E22U）(WAT002) / FC-E22U-S / 7803743
</t>
  </si>
  <si>
    <t>ニチバンメディカル株式会社</t>
  </si>
  <si>
    <t>2022061002-221-1</t>
  </si>
  <si>
    <t>40443-021-001</t>
  </si>
  <si>
    <t xml:space="preserve">ブランド / 機器構成名(個体名) / 型式 / シリアル番号
eAWC Framework / eAWC本体(FC-S36W)(EAWC001) / FC-S36W-143CV7 / 1800471
</t>
  </si>
  <si>
    <t>8年目HDD交換、電源ユニット、冷却ﾌｧﾝ、電池、DVDﾄﾞﾗｲﾌﾞ交換【SAM】
※AWCとは保守製番が違うため、チケットを分けています</t>
  </si>
  <si>
    <t>津山CS</t>
  </si>
  <si>
    <t>銘建工業株式会社</t>
  </si>
  <si>
    <t>中断面工場</t>
  </si>
  <si>
    <t>木材仕分システム</t>
  </si>
  <si>
    <t>2023052201-224-1</t>
  </si>
  <si>
    <t>33581-005-001</t>
  </si>
  <si>
    <t xml:space="preserve">ブランド / 機器構成名(個体名) / 型式 / シリアル番号
AWC7 Framework / AWC7本体(FC-S36W)(AWC001) / FC-S36W-143CV7 / 1Z00539
</t>
  </si>
  <si>
    <t>安田ロジファーマ株式会社</t>
  </si>
  <si>
    <t>北房センター</t>
  </si>
  <si>
    <t>2003-004</t>
  </si>
  <si>
    <t>33522-002-001</t>
  </si>
  <si>
    <t xml:space="preserve">ブランド / 機器構成名(個体名) / 型式 / シリアル番号
AWC4 Framework / AWC4本体(HF-W7540)(AWC001) / HJ-7540AESJD/7R / 4234916-1
</t>
  </si>
  <si>
    <t>株式会社椿本チエイン</t>
  </si>
  <si>
    <t>モーションコントロール事業部</t>
  </si>
  <si>
    <t>1907-002</t>
  </si>
  <si>
    <t>33624-009-001</t>
  </si>
  <si>
    <t>山陰DDC</t>
  </si>
  <si>
    <t>山陰ＤＤＣ ピッキングカートシステム</t>
  </si>
  <si>
    <t>2019061806-216-1</t>
  </si>
  <si>
    <t>31204-029-001</t>
  </si>
  <si>
    <t>CCM・INJシステム</t>
  </si>
  <si>
    <t>2404-006</t>
  </si>
  <si>
    <t>33622-030-001</t>
  </si>
  <si>
    <t>物流棟システム</t>
  </si>
  <si>
    <t>2020061705-216-1</t>
  </si>
  <si>
    <t>33622-030-003</t>
  </si>
  <si>
    <t>2404-007</t>
  </si>
  <si>
    <t>株式会社エクセディ精密</t>
  </si>
  <si>
    <t>2024091804-224-1</t>
  </si>
  <si>
    <t>33646-007-001</t>
  </si>
  <si>
    <t>西日本DCマテハン設備</t>
  </si>
  <si>
    <t>2021072712-221-1 / 2021072714-221-1</t>
  </si>
  <si>
    <t>33622A102-004</t>
  </si>
  <si>
    <t>フジコピアン株式会社</t>
  </si>
  <si>
    <t>4号館　自動倉庫</t>
  </si>
  <si>
    <t>2021112407-221-1</t>
  </si>
  <si>
    <t>33622-007-002</t>
  </si>
  <si>
    <t>東京第1CS</t>
  </si>
  <si>
    <t>株式会社NTTドコモ</t>
  </si>
  <si>
    <t>東日本MLC</t>
  </si>
  <si>
    <t>1711-003</t>
  </si>
  <si>
    <t>13108A189-001</t>
  </si>
  <si>
    <t>オンライン業務設備</t>
  </si>
  <si>
    <t>2202-006</t>
  </si>
  <si>
    <t xml:space="preserve">ブランド / 機器構成名(個体名) / 型式 / シリアル番号
WareNavi7(ｵﾝﾗｲﾝ向け) / WareNavi7端末(HF-W2045)(DPM01) / HJ-2045-WEJA/DF03 / 4237503-1
WareNavi7(ｵﾝﾗｲﾝ向け) / WareNavi7端末(HF-W2045)(DPM02) / HJ-2045-WEJA/DF03 / 4237500-1
WareNavi7(ｵﾝﾗｲﾝ向け) / WareNavi7端末(HF-W2045)(DPM03) / HJ-2045-WEJA/DF03 / 4237462-1
WareNavi7(ｵﾝﾗｲﾝ向け) / WareNavi7端末/BCR付(HF-W2045)(SAM01) / HJ-2045-WEJA/DF03 / 4237502-1
WareNavi7(ｵﾝﾗｲﾝ向け) / WareNavi7端末/BCR付(HF-W2045)(WAT402) / HJ-2045-WEJA/DF03 / 4237460-1
WareNavi7(ｵﾝﾗｲﾝ向け) / MOS端末(HF-W2045)(MOS402) / HJ-2045-WEJA/DF03 / 4237499-1
WareNavi7(ｵﾝﾗｲﾝ向け) / MOS端末(HF-W2045)(MOS403) / HJ-2045-WEJA/DF03 / 4237501-1
WareNavi7(ｵﾝﾗｲﾝ向け) / MOS端末(HF-W2045)(MOS404) / HJ-2045-WEJA/DF03 / 4237461-1
</t>
  </si>
  <si>
    <t>独立行政法人国立印刷局</t>
  </si>
  <si>
    <t>情報製品棟自動倉庫</t>
  </si>
  <si>
    <t>13117-305-005</t>
  </si>
  <si>
    <t>13117-305-006</t>
  </si>
  <si>
    <t>鈴江コーポレーション株式会社</t>
  </si>
  <si>
    <t>お台場流通センター</t>
  </si>
  <si>
    <t>自動倉庫システム（RB）</t>
  </si>
  <si>
    <t>13108-715-001</t>
  </si>
  <si>
    <t>全日本空輸株式会社</t>
  </si>
  <si>
    <t>東京新第一格納庫</t>
  </si>
  <si>
    <t>自動倉庫システム（CS）</t>
  </si>
  <si>
    <t>2207-003</t>
  </si>
  <si>
    <t>13111-849-001</t>
  </si>
  <si>
    <t>■■■■■■■■■■ 業務グループより ■■■■■■■■■■
EP8000の特別整備が2028年3月で終了いたします。
2028年3月までに日程調整お願いいたします。
SE都合により希望日に対応できない事もございますので、
早めに日程調整とご連絡お願いします。
■■■■■■■■■■■■■■■■■■■■■■■■■■■■■
5年目　消耗部品交換（EP8000）起算日
◆注意事項
・5年目　HDD交換の予定です。
・部品手配が必要な為、約3ヶ月前に依頼が必要となります。
・交換作業には2日間の連続稼働停止が必要です。
・1日目にCEにてLTOドライブ、ハードディスク交換、SEにてシステムバックアップとリカバリ。
・2日目にメイン基板、電源装置、冷却FAN、バッテリ等の交換。
連続2日間稼働停止が不可の場合は別途相談させて頂きます。</t>
  </si>
  <si>
    <t xml:space="preserve">ブランド / 機器構成名(個体名) / 型式 / シリアル番号
AWC-800U / AWC本体 (EP8000 S914)(M70120) / THE-C900941A623T / 71501
</t>
  </si>
  <si>
    <t>株式会社オリエンタルランド</t>
  </si>
  <si>
    <t>浦安センター</t>
  </si>
  <si>
    <t>ＯＬＣｅコマースセンター計画</t>
  </si>
  <si>
    <t>2021101106-221-1 / 2021101110-221-1</t>
  </si>
  <si>
    <t>12227A128-001</t>
  </si>
  <si>
    <t>2202-004</t>
  </si>
  <si>
    <t>2022061004-221-1</t>
  </si>
  <si>
    <t xml:space="preserve">ブランド / 機器構成名(個体名) / 型式 / シリアル番号
AWC-800U / 通信PC (FC-E22U)(ANA15) / FC-E22U-S / 1215465
</t>
  </si>
  <si>
    <t>東京第2CS</t>
  </si>
  <si>
    <t>岡谷精立工業株式会社</t>
  </si>
  <si>
    <t>2012-004</t>
  </si>
  <si>
    <t>13121-822-001</t>
  </si>
  <si>
    <t>竹尾物流株式会社</t>
  </si>
  <si>
    <t>湾岸デポ</t>
  </si>
  <si>
    <t>竹尾 新物流 自動倉庫システム</t>
  </si>
  <si>
    <t>FA179</t>
  </si>
  <si>
    <t>13108-A35-001</t>
  </si>
  <si>
    <t xml:space="preserve">ブランド / 機器構成名(個体名) / 型式 / シリアル番号
AWC7 Ordermade / AWC7ｻｰﾊﾞ(FA3100T model 800)(AWC01) / UA538020-DF2-CKC-A2663 / OHB174
</t>
  </si>
  <si>
    <t>京葉物流株式会社</t>
  </si>
  <si>
    <t>市川</t>
  </si>
  <si>
    <t>製品格納用自動倉庫(KT)</t>
  </si>
  <si>
    <t>2021121614-221-1</t>
  </si>
  <si>
    <t>12203-348-001</t>
  </si>
  <si>
    <t xml:space="preserve">ブランド / 機器構成名(個体名) / 型式 / シリアル番号
AWC7 Basic / AWC7本体 (FC-S36W)(AWC001) / FC-S36W-143CV7 / 1600403
</t>
  </si>
  <si>
    <t>徳島CS</t>
  </si>
  <si>
    <t>生活協同組合連合会コープ自然派事業連合</t>
  </si>
  <si>
    <t>板野セットセンター</t>
  </si>
  <si>
    <t>2024091212-224-1 / 2024091210-224-1</t>
  </si>
  <si>
    <t>36404A100-001</t>
  </si>
  <si>
    <t>富田製薬株式会社</t>
  </si>
  <si>
    <t>自動倉庫システム（２号棟）</t>
  </si>
  <si>
    <t>2023112101-224-1</t>
  </si>
  <si>
    <t>36202-006-005</t>
  </si>
  <si>
    <t>2022121902-221-1 / 2022121904-221-1</t>
  </si>
  <si>
    <t xml:space="preserve">ブランド / 機器構成名(個体名) / 型式 / シリアル番号
JCM / JCM (FC-S36W)(JCMZ001) / FC-S36W-143CV7 / 1600392
eye-navi / DPM (FC-S36W)(DPMZ001) / FC-S36W-143CV7 / 1600380
eye-navi / 寄せ端末 (FC-E22U)(WATZ003) / FC-E22U-S / 1415852
eye-navi / 低頻度投入端末 (FC-E22U)(WATZ001) / FC-E22U-S / 1415857
eye-navi / 低頻度投入端末 (FC-E22U)(WATZ002) / FC-E22U-S / 1415850
</t>
  </si>
  <si>
    <t>栃木第1CS</t>
  </si>
  <si>
    <t>真岡工場</t>
  </si>
  <si>
    <t>フジフーズ株式会社</t>
  </si>
  <si>
    <t>2309-002</t>
  </si>
  <si>
    <t>08521A105-001</t>
  </si>
  <si>
    <t xml:space="preserve">ブランド / 機器構成名(個体名) / 型式 / シリアル番号
WareNavi7 / WareNavi7端末_2期増設(HF-W2050)(WATA05) / HJ-2050-WEMA/DF03 / 8054240-6
WareNavi7 / WareNavi7端末_2期増設(HF-W2050)(WATA06) / HJ-2050-WEMA/DF03 / 8054240-7
</t>
  </si>
  <si>
    <t>株式会社ト－ホク</t>
  </si>
  <si>
    <t>みずほの総合センタ－</t>
  </si>
  <si>
    <t>ＤＰＳ種仕分けライン  ２台</t>
  </si>
  <si>
    <t>2024041204-224-1</t>
  </si>
  <si>
    <t>09201-294-002</t>
  </si>
  <si>
    <t>リズムサ－ビス株式会社</t>
  </si>
  <si>
    <t>茨城製品センタ－</t>
  </si>
  <si>
    <t>3号棟 倉庫</t>
  </si>
  <si>
    <t>2404-005</t>
  </si>
  <si>
    <t>08501-017-002</t>
  </si>
  <si>
    <t>種保管ラックビル倉庫</t>
  </si>
  <si>
    <t>2004-004 / 2004-005</t>
  </si>
  <si>
    <t>09201-294-001</t>
  </si>
  <si>
    <t>株式会社大谷工業</t>
  </si>
  <si>
    <t>鹿沼工場</t>
  </si>
  <si>
    <t>2409-001</t>
  </si>
  <si>
    <t>09205A100-001</t>
  </si>
  <si>
    <t>2021041532-216-1</t>
  </si>
  <si>
    <t>仕掛品保管用自動倉庫</t>
  </si>
  <si>
    <t>2304-002</t>
  </si>
  <si>
    <t>09209-062-002</t>
  </si>
  <si>
    <t>2104-002</t>
  </si>
  <si>
    <t>株式会社タドコロ物流</t>
  </si>
  <si>
    <t>栃木物流センター</t>
  </si>
  <si>
    <t>真岡第2低温センター　自動倉庫</t>
  </si>
  <si>
    <t>2023041022-224-1 / 2023041024-224-1</t>
  </si>
  <si>
    <t>09209A108-002</t>
  </si>
  <si>
    <t xml:space="preserve">ブランド / 機器構成名(個体名) / 型式 / シリアル番号
AWC7 Framework / AWC7本体 (FC-S36W)(AWC001) / FC-S36W-143CV7 / 1800469
AWC7 Framework / AWC7端末 (FC-E22U)(WAT001) / FC-E22U-S / 1616346
</t>
  </si>
  <si>
    <t>2309-003</t>
  </si>
  <si>
    <t xml:space="preserve">ブランド / 機器構成名(個体名) / 型式 / シリアル番号
WareNavi7 / WareNavi7本体(HF-W6555)(WNVA01) / HJ-6555-WEJD/DF05 / 4239720-7
WareNavi7 / 出荷ﾊﾞｰｽWareNavi7端末(HF-W2050)(WATA01) / HJ-2050-WEMA/DF03 / 8052357-5
WareNavi7 / WareNavi7端末(HF-W2050)(WATA02) / HJ-2050-WEMA/DF03 / 8052357-6
WareNavi7 / WareNavi7端末(HF-W2050)(WATA03) / HJ-2050-WEMA/DF03 / 8052357-4
WareNavi7 / WareNavi7端末(HF-W2050)(WATA04) / HJ-2050-WEMA/DF03 / 8052357-7
</t>
  </si>
  <si>
    <t>2022090504-221-1</t>
  </si>
  <si>
    <t xml:space="preserve">ブランド / 機器構成名(個体名) / 型式 / シリアル番号
eWareNavi Framework / eWareNavi端末(FC-E22U)(WAT001) / FC-E22U-S / 1X17192
eWareNavi Framework / eWareNavi端末(FC-E22U)(WAT002) / FC-E22U-S / 1X17194
</t>
  </si>
  <si>
    <t>栃木第2CS</t>
  </si>
  <si>
    <t>栃木工場</t>
  </si>
  <si>
    <t>ファナック株式会社</t>
  </si>
  <si>
    <t>壬生工場</t>
  </si>
  <si>
    <t>09361A105-001</t>
  </si>
  <si>
    <t>株式会社アドテックプラズマテクノロジー</t>
  </si>
  <si>
    <t>2404-001</t>
  </si>
  <si>
    <t>09204A130-001</t>
  </si>
  <si>
    <t xml:space="preserve">ブランド / 機器構成名(個体名) / 型式 / シリアル番号
AWC7 Basic / AWC7本体(HF-W6555)(AWC001) / HJ-6555-WEJD/DF05 / 4240139-1
</t>
  </si>
  <si>
    <t>旭化成カラーテック株式会社</t>
  </si>
  <si>
    <t>ＭＢ１自動倉庫</t>
  </si>
  <si>
    <t xml:space="preserve">2025031331-224-1
</t>
  </si>
  <si>
    <t>09361-034-001</t>
  </si>
  <si>
    <t>ハウス食品株式会社</t>
  </si>
  <si>
    <t>関東工場</t>
  </si>
  <si>
    <t>製品搬送保管倉庫</t>
  </si>
  <si>
    <t>1902-003</t>
  </si>
  <si>
    <t>09204-020-001</t>
  </si>
  <si>
    <t xml:space="preserve">ブランド / 機器構成名(個体名) / 型式 / シリアル番号
MC / 通信PC (HF-W6555)(hus-hst-pc1) / HJ-6555-WBJD/7R / 4234018-1
MC / 端末 (HF-W2045)(hus-ccr-pc1) / HJ-2045-WBJA/DF01 / 4233713-1
MC / 端末 (HF-W2045)(hus-nyk-pc1) / HJ-2045-WBJA/DF01 / 4233709-1
MC / 端末 (HF-W2045)(hus-nyk-pc2) / HJ-2045-WBJA/DF01 / 4233708-1
MC / 端末 (HF-W2045)(hus-brs-pc1) / HJ-2045-WBJA/DF01 / 4233714-1
MC / 端末 (HF-W2045)(hus-brs-pc2) / HJ-2045-WBJA/DF01 / 4233711-1
MC / 端末 (HF-W2045)(hus-brs-pc3) / HJ-2045-WBJA/DF01 / 4233710-1
MC / 端末 (HF-W2045)(hus-gai-pc1) / HJ-2045-WBJA/DF01 / 4233712-1
</t>
  </si>
  <si>
    <t xml:space="preserve">4年目HDD交換
</t>
  </si>
  <si>
    <t>日本ピストンリング株式会社</t>
  </si>
  <si>
    <t>2404-009</t>
  </si>
  <si>
    <t>09364-008-002</t>
  </si>
  <si>
    <t>製品保管搬送設備</t>
  </si>
  <si>
    <t>09302-011-001</t>
  </si>
  <si>
    <t>タカノフーズ株式会社</t>
  </si>
  <si>
    <t>鬼怒川第二工場</t>
  </si>
  <si>
    <t>2011-006 / 2011-007</t>
  </si>
  <si>
    <t>09209A111-001</t>
  </si>
  <si>
    <t>シモジマロジスティクス株式会社</t>
  </si>
  <si>
    <t>佐野田沼工場</t>
  </si>
  <si>
    <t>2024111221-224-1</t>
  </si>
  <si>
    <t>09421-026-001</t>
  </si>
  <si>
    <t>株式会社シーボン</t>
  </si>
  <si>
    <t>2406-001</t>
  </si>
  <si>
    <t>09301-004-001</t>
  </si>
  <si>
    <t>日本サ－ファクタント工業株式会社</t>
  </si>
  <si>
    <t>宇都宮事業所</t>
  </si>
  <si>
    <t>2024070927-224-1</t>
  </si>
  <si>
    <t>09201-027-002</t>
  </si>
  <si>
    <t>宇都宮流通センター</t>
  </si>
  <si>
    <t>ピッキングライン(DPS)</t>
  </si>
  <si>
    <t>2021092904-221-1 / 2021092906-221-1</t>
  </si>
  <si>
    <t>09301-034-001</t>
  </si>
  <si>
    <t>煮豆工場棟自動倉庫</t>
  </si>
  <si>
    <t>2021101505-221-1 / 2021101503-221-1</t>
  </si>
  <si>
    <t>11424-001-002</t>
  </si>
  <si>
    <t>2111-003</t>
  </si>
  <si>
    <t>電子工場</t>
  </si>
  <si>
    <t>2021041520-216-1</t>
  </si>
  <si>
    <t>日本サーファクタント工業株式会社</t>
  </si>
  <si>
    <t>那須事業所</t>
  </si>
  <si>
    <t>2109-009</t>
  </si>
  <si>
    <t>09210-028-002</t>
  </si>
  <si>
    <t>2022101908-221-1 / 2022101906-221-1</t>
  </si>
  <si>
    <t xml:space="preserve">ブランド / 機器構成名(個体名) / 型式 / シリアル番号
AWC7 Framework / AWC7本体(FC-S36W)(AWC001) / FC-S36W-143CV7 / 1100326
AWC7 Framework / AWC7本体予備機(FC-S36W)(AWC_YOBI) / FC-S36W-143CV7 / 1200329
AWC7 Framework / AWC7端末(FC-E22U)(WAT001) / FC-E22U-S / 1215606
</t>
  </si>
  <si>
    <t>株式会社大協精工</t>
  </si>
  <si>
    <t>佐野羽田第１工場</t>
  </si>
  <si>
    <t>【AWC】新棟自動倉庫</t>
  </si>
  <si>
    <t>2204-013</t>
  </si>
  <si>
    <t>09204-192-001</t>
  </si>
  <si>
    <t xml:space="preserve">ブランド / 機器構成名(個体名) / 型式 / シリアル番号
AWC4 Ordermade(A棟1F) / AWC4ｻｰﾊﾞ (HF-W6555)(AWC01) / HJ-6555-SDJD/DF06 / 4238805-1
AWC4 Ordermade(A棟1F) / AWC4端末 (HF-W2050【無線BCR付】)(WSC01) / HJ-2050-WEMA/DF03 / 8051720-1
AWC4 Ordermade(A棟3F) / AWC4ｻｰﾊﾞ (HF-W6555)(AWC02) / HJ-6555-SDJD/DF06 / 4239329-2
AWC4 Ordermade(B棟1F) / AWC4ｻｰﾊﾞ (HF-W6555)(AWC003) / HJ-6555-SDJD/DF06 / 4239329-1
AWC4 Ordermade(B棟3F) / AWC4ｻｰﾊﾞ (HF-W6555)(AWC004) / HJ-6555-SDJD/DF06 / 4239329-3
</t>
  </si>
  <si>
    <t>【MOS】新棟自動倉庫</t>
  </si>
  <si>
    <t>2405-002</t>
  </si>
  <si>
    <t xml:space="preserve">ブランド / 機器構成名(個体名) / 型式 / シリアル番号
AWC4 Ordermade(B棟1F) / MOSⅦｻｰﾊﾞ (HF-W2055)(MOSC01) / HJ-2055-WEMA/DF04 / 8051883-1
AWC4 Ordermade(B棟3F) / MOSⅦｻｰﾊﾞ (HF-W2055)(MOSD01) / HJ-2055-WEMA/DF04 / 8051882-1
AWC4 Ordermade(B棟3F) / MOSⅦ端末 (HF-W2050)(MOSD02) / HJ-2050-WEMA/DF03 / 8051802-1
</t>
  </si>
  <si>
    <t>佐野工場</t>
  </si>
  <si>
    <t>水中ポンプ保管自動倉庫</t>
  </si>
  <si>
    <t>2022061012-221-1</t>
  </si>
  <si>
    <t>09366-029-002</t>
  </si>
  <si>
    <t xml:space="preserve">ブランド / 機器構成名(個体名) / 型式 / シリアル番号
AWC7 Framework / AWC7本体 (FC-S36W)(AWC001) / FC-S36W-143CV7 / 1800465
</t>
  </si>
  <si>
    <t>エルモア関東株式会社</t>
  </si>
  <si>
    <t>2302-002</t>
  </si>
  <si>
    <t>09204-248-001</t>
  </si>
  <si>
    <t xml:space="preserve">ブランド / 機器構成名(個体名) / 型式 / シリアル番号
AWC7 Framework(ｶｰﾄﾝ倉庫) / AWC7本体(HF-W6555)(AWC001) / HJ-6555-WEJD/DF05 / 4240002-3
</t>
  </si>
  <si>
    <t>奈良CS</t>
  </si>
  <si>
    <t>市民生活協同組合ならコープ</t>
  </si>
  <si>
    <t>ドライ棟 搬送システム</t>
  </si>
  <si>
    <t>2024100813-224-1</t>
  </si>
  <si>
    <t>29363-025-008</t>
  </si>
  <si>
    <t>南九州CS</t>
  </si>
  <si>
    <t>西酒造株式会社</t>
  </si>
  <si>
    <t>1502-001</t>
  </si>
  <si>
    <t>46367-006-001</t>
  </si>
  <si>
    <t xml:space="preserve">ブランド / 機器構成名(個体名) / 型式 / シリアル番号
eAWC Framework / eAWC本体 (HF-W6545)(EAWC001) / HJ-65459EWJD/DF01 / 4224438-1
eAWC Framework / eAWC端末 (HF-W2035)(WAT001) / HJ-20359EWJA/DF01 / 4224442-1
</t>
  </si>
  <si>
    <t>沖縄営業所</t>
  </si>
  <si>
    <t>2023040402-221-1 / 2023040404-221-1</t>
  </si>
  <si>
    <t>47362A102-001</t>
  </si>
  <si>
    <t xml:space="preserve">ブランド / 機器構成名(個体名) / 型式 / シリアル番号
AWC7 Basic / AWC7本体(FC-S36W)(AWC002) / FC-S36W-143CV7 / 1800470
AWC7 Basic / AWC7端末(FC-E22U)(WAT001) / FC-E22U-S / 1616334
</t>
  </si>
  <si>
    <t>南大阪CS</t>
  </si>
  <si>
    <t>大阪いずみ市民生活協同組合</t>
  </si>
  <si>
    <t>あゆみ野物流センター</t>
  </si>
  <si>
    <t>2021091504-221-1</t>
  </si>
  <si>
    <t>27219A001-001</t>
  </si>
  <si>
    <t>株式会社コンシェルジュ/山本様/070-2320-5220</t>
  </si>
  <si>
    <t>谷上/070-2234-1949</t>
  </si>
  <si>
    <t>投入PC【DPM41, DPM42, DPM33, DPM43】は4年目HDD交換ができておらず、8年目経過したため、2024年11月28日に8年目HDD交換実施。次回はHDD交換のみ</t>
  </si>
  <si>
    <t xml:space="preserve">ブランド / 機器構成名(個体名) / 型式 / シリアル番号
eAWC Framework(DPS補充) / eAWC本体 / DPS補充【AWC03】 (FC-S35W/S7)(AWC03) / FC-S35W/S72CL9 / S6X0288MA
DPM / 投入PC【DPM41, DPM42, DPM33, DPM43】 (FC-S35W/S7)(DPM041) / FC-S35W/S72CL9 / S6X0283MA
DPM / 投入PC【DPM41, DPM42, DPM33, DPM43】 (FC-S35W/S7)(DPM042) / FC-S35W/S72CL9 / S6X0292MA
DPM / 投入PC【DPM41, DPM42, DPM33, DPM43】 (FC-S35W/S7)(DPM033) / FC-S35W/S72CL9 / S6X0286MA
DPM / 投入PC【DPM41, DPM42, DPM33, DPM43】 (FC-S35W/S7)(DPM043) / FC-S35W/S72CL9 / S6X0287MA
</t>
  </si>
  <si>
    <t xml:space="preserve">ブランド / 機器構成名(個体名) / 型式 / シリアル番号
eAWC Framework(FS) / eAWC本体 / FS (FC-S35W/S7)(AWC01) / FC-S35W/S72CL9 / S890014MA
eAWC Framework(DPS補充) / eAWC本体 / DPS補充【AWC02】 (FC-S35W/S7)(AWC02) / FC-S35W/S72CL9 / S890006MA
DPM / 投入PC【DPM31, DPM32】 (FC-S35W/S7)(DPM31) / FC-S35W/S72CL9 / S451037MA
DPM / 投入PC【DPM31, DPM32】 (FC-S35W/S7)(DPM32) / FC-S35W/S72CL9 / S451035MA
</t>
  </si>
  <si>
    <t>株式会社ケーエスケー</t>
  </si>
  <si>
    <t>2019120912-216-1</t>
  </si>
  <si>
    <t>27385-127-001</t>
  </si>
  <si>
    <t>和歌山県農業協同組合</t>
  </si>
  <si>
    <t>ＡＱ選果場（西部）</t>
  </si>
  <si>
    <t>2021120608-221-1</t>
  </si>
  <si>
    <t>30204-017-001</t>
  </si>
  <si>
    <t>助松ＤＣ</t>
  </si>
  <si>
    <t>ソーターシステム</t>
  </si>
  <si>
    <t>2024052219-224-1 / 2020121122-216-1 / 2020121120-216-1</t>
  </si>
  <si>
    <t>27206A113-001</t>
  </si>
  <si>
    <t>ＡＱ選果場（南部）</t>
  </si>
  <si>
    <t>製品搬送・保管・出荷設備</t>
  </si>
  <si>
    <t>2012-002</t>
  </si>
  <si>
    <t>30362-005-002</t>
  </si>
  <si>
    <t>2020111002-216-1 / 2020111004-216-1</t>
  </si>
  <si>
    <t>株式会社シマノ</t>
  </si>
  <si>
    <t>部品供給・商品搬送システム</t>
  </si>
  <si>
    <t>2021100612-221-1</t>
  </si>
  <si>
    <t>27201-004-002</t>
  </si>
  <si>
    <t>2111-001</t>
  </si>
  <si>
    <t>2020091107-216-1</t>
  </si>
  <si>
    <t>27208-148-001</t>
  </si>
  <si>
    <t xml:space="preserve">ブランド / 機器構成名(個体名) / 型式 / シリアル番号
eAWC Framework Custom / eAWC端末 (FC-E22U)(WAT001) / FC-E22U-S / 9Z11798
</t>
  </si>
  <si>
    <t>全星薬品工業株式会社</t>
  </si>
  <si>
    <t>和泉工場</t>
  </si>
  <si>
    <t>2017110804-216-1</t>
  </si>
  <si>
    <t>27219A119-001</t>
  </si>
  <si>
    <t>カワソーテクセル株式会社</t>
  </si>
  <si>
    <t>堺第二工場</t>
  </si>
  <si>
    <t>資材倉庫</t>
  </si>
  <si>
    <t>2105-004</t>
  </si>
  <si>
    <t>27141A139-001</t>
  </si>
  <si>
    <t>日本酢ビ・ポバール株式会社</t>
  </si>
  <si>
    <t>原料製品格納自動倉庫</t>
  </si>
  <si>
    <t>2023040706-224-1 / 2023040708-224-1</t>
  </si>
  <si>
    <t>27144A125-001</t>
  </si>
  <si>
    <t>2305-001</t>
  </si>
  <si>
    <t xml:space="preserve">ブランド / 機器構成名(個体名) / 型式 / シリアル番号
AWC7 Framework / MOSⅦ(HF-W2055)(MOS01) / HJ-2055-WEMA/DF04 / 8051182-1
</t>
  </si>
  <si>
    <t>南名古屋第1CS</t>
  </si>
  <si>
    <t>株式会社フォーサイト</t>
  </si>
  <si>
    <t>2023090531-224-1</t>
  </si>
  <si>
    <t>23111A160-001</t>
  </si>
  <si>
    <t xml:space="preserve">ブランド / 機器構成名(個体名) / 型式 / シリアル番号
AWC7 Framework / AWC7本体(FC-S36W)(AWC001) / FC-S36W-143CV7 / 2100588
</t>
  </si>
  <si>
    <t>日鉄物流株式会社</t>
  </si>
  <si>
    <t>2016110905-220-1</t>
  </si>
  <si>
    <t>23222-102-002</t>
  </si>
  <si>
    <t xml:space="preserve">ブランド / 機器構成名(個体名) / 型式 / シリアル番号
AWC-300N / AWC本体 (FC-S35W/S7)(AWC001) / FC-S35W/S72CL9 / S451038MA
</t>
  </si>
  <si>
    <t>藤前営業所</t>
  </si>
  <si>
    <t>化粧品配送センター</t>
  </si>
  <si>
    <t>2311-001</t>
  </si>
  <si>
    <t>23100-021-001</t>
  </si>
  <si>
    <t>金城営業所</t>
  </si>
  <si>
    <t>2020113008-216-1 / 2020113010-216-1</t>
  </si>
  <si>
    <t>23111-351-001</t>
  </si>
  <si>
    <t>株式会社マルハニチロ物流</t>
  </si>
  <si>
    <t>名古屋物流センター</t>
  </si>
  <si>
    <t>2104-005</t>
  </si>
  <si>
    <t>23111A154-001</t>
  </si>
  <si>
    <t>株式会社富士エコー</t>
  </si>
  <si>
    <t>名古屋センター</t>
  </si>
  <si>
    <t>マクドナルド商品格納倉庫</t>
  </si>
  <si>
    <t>2021110904-221-1</t>
  </si>
  <si>
    <t>23428-054-001</t>
  </si>
  <si>
    <t xml:space="preserve">ブランド / 機器構成名(個体名) / 型式 / シリアル番号
AWC7 Ordermade / AWC7本体 (FC-S36W)(AWC001) / FC-S36W-143CV7 / 1600379
</t>
  </si>
  <si>
    <t>南名古屋第2CS</t>
  </si>
  <si>
    <t>フローシステム</t>
  </si>
  <si>
    <t>日本パーカライジング株式会社</t>
  </si>
  <si>
    <t>愛知工場</t>
  </si>
  <si>
    <t>2303-005</t>
  </si>
  <si>
    <t>23205-061-004</t>
  </si>
  <si>
    <t xml:space="preserve">ブランド / 機器構成名(個体名) / 型式 / シリアル番号
AWC7 Framework / AWC7本体(HF-W6555)(AWC002) / HJ-6555-WEJD/DF05 / 4240139-2
AWC7 Framework / AWC7端末(HF-W2050)(WAT002) / HJ-2050-WEMA/DF03 / 8053104-5
</t>
  </si>
  <si>
    <t>株式会社ドリームスカイ名古屋</t>
  </si>
  <si>
    <t>2203-003</t>
  </si>
  <si>
    <t>23216A115-001</t>
  </si>
  <si>
    <t>2203-002</t>
  </si>
  <si>
    <t>ブランク版専用搬送装置</t>
  </si>
  <si>
    <t>2008-003</t>
  </si>
  <si>
    <t>23205-061-001</t>
  </si>
  <si>
    <t xml:space="preserve">ブランド / 機器構成名(個体名) / 型式 / シリアル番号
AWC4 Framework / AWC4本体(HF-W6555)(AWC001) / HJ-6555-WEJD/DF03 / 4236395-1
</t>
  </si>
  <si>
    <t>知多工場</t>
  </si>
  <si>
    <t>製粉物流倉庫</t>
  </si>
  <si>
    <t>2021110805-221-1</t>
  </si>
  <si>
    <t>23224-006-001</t>
  </si>
  <si>
    <t>株式会社イノアックスリムフレックス</t>
  </si>
  <si>
    <t>武豊工場</t>
  </si>
  <si>
    <t>製品格納用自動倉庫システム</t>
  </si>
  <si>
    <t>2021101305-221-1</t>
  </si>
  <si>
    <t>23109-168-001</t>
  </si>
  <si>
    <t xml:space="preserve">ブランド / 機器構成名(個体名) / 型式 / シリアル番号
eAWC Framework / eAWC本体 (FC-S36W)(EAWC001) / FC-S36W-143CV7 / 1300354
</t>
  </si>
  <si>
    <t>愛知武豊工場</t>
  </si>
  <si>
    <t>指定可燃物空調立体自動倉庫</t>
  </si>
  <si>
    <t>2205-003</t>
  </si>
  <si>
    <t>23447A109-001</t>
  </si>
  <si>
    <t xml:space="preserve">ブランド / 機器構成名(個体名) / 型式 / シリアル番号
AWC7 Framework / AWC7本体(HF-W6555)(AWC001) / HJ-6555-WEJD/DF05 / 4239387-1
</t>
  </si>
  <si>
    <t>尾道CS</t>
  </si>
  <si>
    <t>福山工場</t>
  </si>
  <si>
    <t>尾道流通センター</t>
  </si>
  <si>
    <t>2020050812-216-1 / 2020050810-216-1</t>
  </si>
  <si>
    <t>34205-165-001</t>
  </si>
  <si>
    <t>2024021510-224-1</t>
  </si>
  <si>
    <t>34207A142-001</t>
  </si>
  <si>
    <t>丸善製薬株式会社</t>
  </si>
  <si>
    <t>第1製造棟 自動倉庫</t>
  </si>
  <si>
    <t>2017103005-216-1※（E16U終息による契約NO.変更可能性有り）</t>
  </si>
  <si>
    <t>34205-140-001</t>
  </si>
  <si>
    <t>広島工場</t>
  </si>
  <si>
    <t>プリフォームコンテナラック倉庫設備</t>
  </si>
  <si>
    <t>2021062506-221-1 / 2021062508-221-1</t>
  </si>
  <si>
    <t>34421-006-003</t>
  </si>
  <si>
    <t>姫路CS</t>
  </si>
  <si>
    <t>アース製薬株式会社</t>
  </si>
  <si>
    <t>赤穂工場</t>
  </si>
  <si>
    <t>YR工場自動倉庫システム</t>
  </si>
  <si>
    <t>2024120620-224-1 / 2024120622-224-1</t>
  </si>
  <si>
    <t>28212-047-002</t>
  </si>
  <si>
    <t>2501-001</t>
  </si>
  <si>
    <t>合鐵産業株式会社</t>
  </si>
  <si>
    <t>姫路工場</t>
  </si>
  <si>
    <t>2005-012</t>
  </si>
  <si>
    <t>28201-539-001</t>
  </si>
  <si>
    <t>シーダム株式会社</t>
  </si>
  <si>
    <t>上郡工場</t>
  </si>
  <si>
    <t>第一倉庫</t>
  </si>
  <si>
    <t>2020080611-216-1</t>
  </si>
  <si>
    <t>28481-014-001</t>
  </si>
  <si>
    <t>第二倉庫ウレタン倉庫</t>
  </si>
  <si>
    <t>2021022613-216-1 / 2021030110-216-1</t>
  </si>
  <si>
    <t>28481-014-002</t>
  </si>
  <si>
    <t>姫路製造所</t>
  </si>
  <si>
    <t>A03倉庫</t>
  </si>
  <si>
    <t>2024100904-224-1</t>
  </si>
  <si>
    <t>28201-877-001</t>
  </si>
  <si>
    <t>ＵＣＣ上島珈琲株式会社</t>
  </si>
  <si>
    <t>兵庫飲料工場</t>
  </si>
  <si>
    <t>2022031129-221-1 / 2022031125-221-1</t>
  </si>
  <si>
    <t>28211-033-001</t>
  </si>
  <si>
    <t>【A-06倉庫】北倉庫地区</t>
  </si>
  <si>
    <t>2021071310-221-1</t>
  </si>
  <si>
    <t>28201-877-005</t>
  </si>
  <si>
    <t>株式会社水本機械製作所</t>
  </si>
  <si>
    <t>2021042806-221-1</t>
  </si>
  <si>
    <t>28201A005-002</t>
  </si>
  <si>
    <t xml:space="preserve">ブランド / 機器構成名(個体名) / 型式 / シリアル番号
AWC7 Framework / AWC7本体(FC-S36W)(AWC001) / FC-S36W-143CV7 / 0900267
</t>
  </si>
  <si>
    <t>【A-07倉庫】北倉庫地区</t>
  </si>
  <si>
    <t>2022030802-221-1</t>
  </si>
  <si>
    <t>28201-877-007</t>
  </si>
  <si>
    <t xml:space="preserve">ブランド / 機器構成名(個体名) / 型式 / シリアル番号
AWC7 Framework / AWC7端末(FC-E22U)(WAT001) / FC-E22U-S / 1415863
AWC7 Framework / AWC7端末(FC-E22U)(WAT002) / FC-E22U-S / 1415853
AWC7 Framework / AWC7端末(FC-E22U)(WAT003) / FC-E22U-S / 1415861
</t>
  </si>
  <si>
    <t>原料倉庫</t>
  </si>
  <si>
    <t>2025051505-224-1</t>
  </si>
  <si>
    <t>28481-014-003</t>
  </si>
  <si>
    <t xml:space="preserve">ブランド / 機器構成名(個体名) / 型式 / シリアル番号
eAWC Basic / eAWC本体(FC-S36W)(AWC001) / FC-S36W-143CV7 / 1900524
eAWC Basic / eAWC端末(FC-E22U)(WAT001) / FC-E22U-S / 1X16995
</t>
  </si>
  <si>
    <t>【A-04倉庫】</t>
  </si>
  <si>
    <t>2023020205-221-1</t>
  </si>
  <si>
    <t>28201-877-002</t>
  </si>
  <si>
    <t xml:space="preserve">ブランド / 機器構成名(個体名) / 型式 / シリアル番号
AWC7 Framework / AWC7端末(FC-E22U)(WAT01) / FC-E22U-S / 1X17038
AWC7 Framework / AWC7端末(FC-E22U)(WAT02) / FC-E22U-S / 1X17037
AWC7 Framework / AWC7端末(FC-E22U)(WAT03) / FC-E22U-S / 1X17040
</t>
  </si>
  <si>
    <t>三菱電機モビリティ株式会社</t>
  </si>
  <si>
    <t>姫路事業所　千代田工場</t>
  </si>
  <si>
    <t>ｘEVモータ部品倉庫自動ラック</t>
  </si>
  <si>
    <t>2023071109-224-1</t>
  </si>
  <si>
    <t>28201-053-013</t>
  </si>
  <si>
    <t xml:space="preserve">ブランド / 機器構成名(個体名) / 型式 / シリアル番号
WareNavi7 / WareNavi7本体 (FC-S36W)(WNVA001) / FC-S36W-113CW5 / 1900126
</t>
  </si>
  <si>
    <t>富山CS</t>
  </si>
  <si>
    <t>ＹＫＫ株式会社</t>
  </si>
  <si>
    <t>黒部事業所　古御堂工場</t>
  </si>
  <si>
    <t>ＰＦ仕上工程自動配膳システム</t>
  </si>
  <si>
    <t>16207-068-009</t>
  </si>
  <si>
    <t>株式会社二葉金属製作所</t>
  </si>
  <si>
    <t>一本木工場</t>
  </si>
  <si>
    <t>製品格納用自動倉庫</t>
  </si>
  <si>
    <t>2023041304-224-1</t>
  </si>
  <si>
    <t>16201A201-001</t>
  </si>
  <si>
    <t xml:space="preserve">ブランド / 機器構成名(個体名) / 型式 / シリアル番号
WareNavi7 / WareNavi7本体(FC-S36W)(WN7-001) / FC-S36W-143CV7 / 1900508
</t>
  </si>
  <si>
    <t>協和ファーマケミカル株式会社</t>
  </si>
  <si>
    <t>製剤棟　CS</t>
  </si>
  <si>
    <t>2021041504-216-1</t>
  </si>
  <si>
    <t>16202-043-003</t>
  </si>
  <si>
    <t>ジャパンメディック株式会社</t>
  </si>
  <si>
    <t>液剤工場　自動倉庫</t>
  </si>
  <si>
    <t>2024041208-224-1 / 2024041206-224-1</t>
  </si>
  <si>
    <t>16201-506-004</t>
  </si>
  <si>
    <t xml:space="preserve">ブランド / 機器構成名(個体名) / 型式 / シリアル番号
AWC7 Framework / AWC7本体 (FC-S36W)(AWC001) / FC-S36W-143CV7 / 2100621
AWC7 Framework / AWC7端末 (FC-E22U)(WAT001) / FC-E22U-S / 1X17216
AWC7 Framework / AWC7端末 (FC-E22U)(WAT002) / FC-E22U-S / 1X17219
AWC7 Framework / AWC7端末 (FC-E22U)(WAT003) / FC-E22U-S / 1X17229
AWC7 Framework / AWC7端末 (FC-E22U)(WAT004) / FC-E22U-S / 1X17231
</t>
  </si>
  <si>
    <t>エヌアイシ・オートテック株式会社</t>
  </si>
  <si>
    <t>立山第1工場</t>
  </si>
  <si>
    <t>1901-003</t>
  </si>
  <si>
    <t>16323-030-001</t>
  </si>
  <si>
    <t xml:space="preserve">ブランド / 機器構成名(個体名) / 型式 / シリアル番号
eAWC Basic【FS】 / eAWC本体(HF-W6555)(AWC002) / HJ-6555-WBJD/DF01 / 4233837-1
eAWC Basic【CS】 / eAWC本体(HF-W6555)(AWC001) / HJ-6555-WBJD/DF01 / 4233838-1
</t>
  </si>
  <si>
    <t>立山マシン株式会社</t>
  </si>
  <si>
    <t>16201-659-001</t>
  </si>
  <si>
    <t xml:space="preserve">ブランド / 機器構成名(個体名) / 型式 / シリアル番号
AWC7 Basic / AWC7本体 (FC-S36W)(AWC001) / FC-S36W-143CV7 / 2100598
</t>
  </si>
  <si>
    <t>2405-006</t>
  </si>
  <si>
    <t xml:space="preserve">ブランド / 機器構成名(個体名) / 型式 / シリアル番号
AWC7 Framework / MOSⅦ本体(HF-W2055)(MOSA001) / HJ-2055-WEMA/DF04 / 8053730-5
</t>
  </si>
  <si>
    <t>富山営業所</t>
  </si>
  <si>
    <t>物流センター　搬送システム</t>
  </si>
  <si>
    <t>2007-003</t>
  </si>
  <si>
    <t>16322-030-002</t>
  </si>
  <si>
    <t xml:space="preserve">ブランド / 機器構成名(個体名) / 型式 / シリアル番号
WareNavi4 Framework / MOSⅦ (HF-W2045)(MOS01) / HJ-2045-WEJA/7R / 4234865-1
</t>
  </si>
  <si>
    <t>2020061604-216-1</t>
  </si>
  <si>
    <t xml:space="preserve">ブランド / 機器構成名(個体名) / 型式 / シリアル番号
WareNavi4 Framework / 管理端末 (FC-E22U)(WAT01) / FC-E22U-S / 8807058
LPM / 作業端末 (FC-E22U)(WAT02) / FC-E22U-S / 8807040
LPM / ﾘｼﾞｪｸﾄ端末 (FC-E22U)(WAT03) / FC-E22U-S / 8807051
LPM / 端末予備機 (FC-E22U)(WAT予備) / FC-E22U-S / 8807049
</t>
  </si>
  <si>
    <t>大協薬品工業株式会社</t>
  </si>
  <si>
    <t>2019091105-216-1</t>
  </si>
  <si>
    <t>16201-467-001</t>
  </si>
  <si>
    <t xml:space="preserve">ブランド / 機器構成名(個体名) / 型式 / シリアル番号
eAWC Framework / eAWC本体 (FC-S35W/S7)(EAWC001) / FC-S35W/S72CL9 / S850264MA
</t>
  </si>
  <si>
    <t>PF染チェーン供給装置システム</t>
  </si>
  <si>
    <t>2102-002</t>
  </si>
  <si>
    <t>16207-068-010</t>
  </si>
  <si>
    <t xml:space="preserve">ブランド / 機器構成名(個体名) / 型式 / シリアル番号
CMC / MOSⅦ(MOS01) / HJ-2045-WEJA/7R / 4234973-1
</t>
  </si>
  <si>
    <t>三協立山株式会社　三協マテリアル社</t>
  </si>
  <si>
    <t>新湊東工場</t>
  </si>
  <si>
    <t>2019051708-216-1</t>
  </si>
  <si>
    <t>16203-059-001</t>
  </si>
  <si>
    <t xml:space="preserve">ブランド / 機器構成名(個体名) / 型式 / シリアル番号
AWC-800U / 管理端末 (FC-E22U)(WAT161) / FC-E22U-S / 8Y07843
AWC-800U / AWC端末 (FC-E22U)(WAT163) / FC-E22U-S / 8Y07874
AWC-800U / AWC端末 (FC-E22U)(WAT164) / FC-E22U-S / 8Y07847
AWC-800U / AWC端末 (FC-E22U【ﾀｯﾁﾊﾟﾈﾙ式】)(WAT162) / FC-E22U-S / 8Y07873
AWC-800U / AWC端末 (FC-E22U【ﾀｯﾁﾊﾟﾈﾙ式】)(WAT165) / FC-E22U-S / 8Y07880
AWC-800U / AWC端末 (FC-E22U【ﾀｯﾁﾊﾟﾈﾙ式】)(WAT166) / FC-E22U-S / 8Y07838
</t>
  </si>
  <si>
    <t>2021011206-216-1</t>
  </si>
  <si>
    <t>Ａ１棟　国内発送ＦＡシステム（出荷・荷合）</t>
  </si>
  <si>
    <t>2112-005</t>
  </si>
  <si>
    <t>16207-068-012</t>
  </si>
  <si>
    <t xml:space="preserve">ブランド / 機器構成名(個体名) / 型式 / シリアル番号
WareNavi7 / MOSⅦ本体(HF-W2045)(MOSB01) / HJ-2045-WEJA/7R / 4236250-1
</t>
  </si>
  <si>
    <t>2021110206-221-1</t>
  </si>
  <si>
    <t xml:space="preserve">ブランド / 機器構成名(個体名) / 型式 / シリアル番号
CMC / CMC本体(FC-S35W)(WN7-001) / FC-S35W/S42CM0 / 9302110
</t>
  </si>
  <si>
    <t>高岡工場</t>
  </si>
  <si>
    <t>2025070801-221-1 / 2025070805-221-1</t>
  </si>
  <si>
    <t>16202A146-001</t>
  </si>
  <si>
    <t>ブランド / 機器構成名(個体名) / 型式 / シリアル番号
AWC7 Framework / AWC7本体(FC-S36W)(AWC001) / FC-S36W-113CW5 / 2800135
AWC7 Framework / AWC7端末(FC-E29U)(WAT001) / FC-E29U-S31C42 / 3200567
AWC7 Framework / MOSⅦ本体(FC-E22K)(MOSA001) / FC-E22K-L / 2900371</t>
  </si>
  <si>
    <t>【出荷ラック】Ａ１棟　国内発送ＦＡシステム（出荷・荷合）</t>
  </si>
  <si>
    <t>2112-004</t>
  </si>
  <si>
    <t xml:space="preserve">ブランド / 機器構成名(個体名) / 型式 / シリアル番号
CMC / MOSⅦ本体(HF-W2045)(MOSA01) / HJ-2045-WEJA/7R / 4522260-1
</t>
  </si>
  <si>
    <t>【荷合せラック】Ａ１棟　国内発送ＦＡシステム（出荷・荷合）</t>
  </si>
  <si>
    <t>2021110204-221-1</t>
  </si>
  <si>
    <t xml:space="preserve">ブランド / 機器構成名(個体名) / 型式 / シリアル番号
WareNavi7 / WareNavi7本体(FC-S35W/S4)(WN7) / FC-S35W/S42CM0 / 9302104
</t>
  </si>
  <si>
    <t>株式会社富山村田製作所</t>
  </si>
  <si>
    <t>D棟北側 自動倉庫</t>
  </si>
  <si>
    <t>2024091132-224-1 / 2024091126-224-1</t>
  </si>
  <si>
    <t>16201-311-001</t>
  </si>
  <si>
    <t>入善キタノ製作株式会社</t>
  </si>
  <si>
    <t>2017122804-216-1</t>
  </si>
  <si>
    <t>16342-020-001</t>
  </si>
  <si>
    <t>株式会社陽進堂</t>
  </si>
  <si>
    <t>2024111227-224-1 / 2024111231-224-1</t>
  </si>
  <si>
    <t>16201A153-002</t>
  </si>
  <si>
    <t>昭北ラミネート工業株式会社</t>
  </si>
  <si>
    <t>第3工場</t>
  </si>
  <si>
    <t>第3工場自動倉庫</t>
  </si>
  <si>
    <t>2109-001</t>
  </si>
  <si>
    <t>16201A197-001</t>
  </si>
  <si>
    <t xml:space="preserve">ブランド / 機器構成名(個体名) / 型式 / シリアル番号
AWC7 Framework / AWC7本体 (HF-W6555)(AWC001) / HJ-6555-WEJD/DF05 / 4238151-4
</t>
  </si>
  <si>
    <t>富士CS</t>
  </si>
  <si>
    <t>富士宮工場</t>
  </si>
  <si>
    <t>製品・物流ターミナル</t>
  </si>
  <si>
    <t>22207-005-001</t>
  </si>
  <si>
    <t>1912-003</t>
  </si>
  <si>
    <t xml:space="preserve">ブランド / 機器構成名(個体名) / 型式 / シリアル番号
RTS-100 / RTSｻｰﾊﾞ(EP8000 S814)(RTS01) / THE-C828641A630T / 51503
RTS-100 / RTSｻｰﾊﾞ予備機(EP8000 S814)(RTS予備機) / THE-C828641A630T / 51504
</t>
  </si>
  <si>
    <t>富士宮東工場</t>
  </si>
  <si>
    <t>1805-009</t>
  </si>
  <si>
    <t>22207-005-005</t>
  </si>
  <si>
    <t xml:space="preserve">ブランド / 機器構成名(個体名) / 型式 / シリアル番号
RTS-100 / RTS端末 (HF-W2045)(WSC01) / HJ-2045-WBJA/DF01 / 4230404-1
RTS-100 / RTS端末 (HF-W2045)(WSC02) / HJ-2045-WBJA/DF01 / 4230403-10
RTS-100 / RTS端末 (HF-W2045)(WSC03) / HJ-2045-WBJA/DF01 / 4230403-5
RTS-100 / RTS端末 (HF-W2045)(WSC04) / HJ-2045-WBJA/DF01 / 4230403-4
RTS-100 / RTS端末 (HF-W2045)(WSC05) / HJ-2045-WBJA/DF01 / 4230403-6
RTS-100 / RTS端末 (HF-W2045)(WSC06) / HJ-2045-WBJA/DF01 / 4230403-1
RTS-100 / RTS端末 (HF-W2045)(WSC07) / HJ-2045-WBJA/DF01 / 4230403-2
RTS-100 / RTS端末 (HF-W2045)(WSC08) / HJ-2045-WBJA/DF01 / 4230403-8
RTS-100 / RTS端末 (HF-W2045)(WSC09) / HJ-2045-WBJA/DF01 / 4230403-3
RTS-100 / RTS端末 (HF-W2045)(WSC10) / HJ-2045-WBJA/DF01 / 4230403-7
RTS-100 / RTS端末 (HF-W2045)(WSC11) / HJ-2045-WBJA/DF01 / 4230403-9
</t>
  </si>
  <si>
    <t>特種東海製紙株式会社</t>
  </si>
  <si>
    <t>物流センター自動倉庫</t>
  </si>
  <si>
    <t>2020091704-216-1</t>
  </si>
  <si>
    <t>22342-078-001</t>
  </si>
  <si>
    <t xml:space="preserve">ブランド / 機器構成名(個体名) / 型式 / シリアル番号
RTS-100 / RTS端末(FC-E22U)(TKS-CCR-PC1) / FC-E22U-S / 8606327
RTS-100 / RTS端末(FC-E22U)(TKS-CCR-PC2) / FC-E22U-S / 8606330
RTS-100 / RTS端末(FC-E22U)(TKS-1F-PC1) / FC-E22U-S / 8606324
RTS-100 / RTS端末(FC-E22U)(TKS-1F-PC2) / FC-E22U-S / 8606320
RTS-100 / RTS端末(FC-E22U)(TKS-3F-PC1) / FC-E22U-S / 8606322
RTS-100 / RTS端末/2F現場(FC-E22U)(TKS-2F-PC1) / FC-E22U-S / 8606314
</t>
  </si>
  <si>
    <t>東西上空搬送路搬送設備</t>
  </si>
  <si>
    <t>2023051811-224-1 / 2023051809-224-1</t>
  </si>
  <si>
    <t>22207-005-006</t>
  </si>
  <si>
    <t xml:space="preserve">ブランド / 機器構成名(個体名) / 型式 / シリアル番号
eAWC Framework / eAWC本体(FC-S36W)(EAWC001) / FC-S36W-143CV7 / 2100622
eAWC Framework / eAWC端末(FC-E22U)(WAT001) / FC-E22U-S / 2718043
eAWC Framework / eAWC端末(FC-E22U)(WAT002) / FC-E22U-S / 2718034
eAWC Framework / eAWC端末(FC-E22U)(WAT003) / FC-E22U-S / 2718040
</t>
  </si>
  <si>
    <t>2405-005</t>
  </si>
  <si>
    <t>富士トラック株式会社</t>
  </si>
  <si>
    <t>2019080819-216-1 / 2019080820-216-1</t>
  </si>
  <si>
    <t>22210A155-001</t>
  </si>
  <si>
    <t>1909-007</t>
  </si>
  <si>
    <t>エヌ・イ－ケムキャット株式会社</t>
  </si>
  <si>
    <t>製品・半製品・原料保管ＣＳ</t>
  </si>
  <si>
    <t>2310-002</t>
  </si>
  <si>
    <t>22203-977-001</t>
  </si>
  <si>
    <t>愛鷹工場</t>
  </si>
  <si>
    <t>2407-004</t>
  </si>
  <si>
    <t>22207-009-001</t>
  </si>
  <si>
    <t>株式会社東海コクボ</t>
  </si>
  <si>
    <t>冷凍自動倉庫設備</t>
  </si>
  <si>
    <t>2021090902-221-1 / 2021090906-221-1</t>
  </si>
  <si>
    <t>22206A117-001</t>
  </si>
  <si>
    <t>マーレエレクトリックドライブズジャパン株式会社</t>
  </si>
  <si>
    <t>沼津工場</t>
  </si>
  <si>
    <t>2204-010</t>
  </si>
  <si>
    <t>22203-A78-002</t>
  </si>
  <si>
    <t xml:space="preserve">ブランド / 機器構成名(個体名) / 型式 / シリアル番号
eAWC-RⅡ / eAWC本体 (HF-W6555)(EAWC001) / HJ-6555-WEJD/DF05 / 4239278-1
</t>
  </si>
  <si>
    <t>福岡CS</t>
  </si>
  <si>
    <t>篠栗冷蔵流通センター</t>
  </si>
  <si>
    <t>DPS集品ラインシステム</t>
  </si>
  <si>
    <t>2020030617-216-1</t>
  </si>
  <si>
    <t>40342-004-001</t>
  </si>
  <si>
    <t xml:space="preserve">ブランド / 機器構成名(個体名) / 型式 / シリアル番号
DPM / 管理端末 (FC-E22U)(CONTROL) / FC-E22U-S / 8606297
DPM / DPM端末 (FC-E22U【冷蔵ﾗｲﾝ】)(DPM01) / FC-E22U-S / 8606284
DPM / DPM端末 (FC-E22U【冷蔵ﾗｲﾝ】)(DPM02) / FC-E22U-S / 8606286
DPM / DPM端末 (FC-E22U【冷蔵ﾗｲﾝ】)(DPM03) / FC-E22U-S / 8606279
DPM / DPM端末 (FC-E22U【冷蔵ﾗｲﾝ】)(DPM04) / FC-E22U-S / 8606278
DPM / DPM端末 (FC-E22U【冷蔵ﾗｲﾝ】)(DPM05) / FC-E22U-S / 8606281
DPM / DPM端末 (FC-E22U【冷蔵ﾗｲﾝ】)(DPM06) / FC-E22U-S / 8606331
DPM / DPM端末 (FC-E22U【農産ﾗｲﾝ】)(DPM07) / FC-E22U-S / 8606291
DPM / DPM端末 (FC-E22U【農産ﾗｲﾝ】)(DPM08) / FC-E22U-S / 8606316
DPM / DPM端末 (FC-E22U【農産ﾗｲﾝ】)(DPM09) / FC-E22U-S / 8606289
DPM / DPM端末 (FC-E22U【農産ﾗｲﾝ】)(DPM10) / FC-E22U-S / 8606296
DPM / DPM端末予備機 (FC-E22U【冷蔵ﾗｲﾝ】)(YOBI01) / FC-E22U-S / 8606329
DPM / DPM端末予備機 (FC-E22U【農産ﾗｲﾝ】)(YOBI02) / FC-E22U-S / 8606293
</t>
  </si>
  <si>
    <t>株式会社ランテック</t>
  </si>
  <si>
    <t>イオン新福岡XD</t>
  </si>
  <si>
    <t>2024091110-224-1</t>
  </si>
  <si>
    <t>40131A181-001</t>
  </si>
  <si>
    <t>2024091112-224-1</t>
  </si>
  <si>
    <t>豊橋CS</t>
  </si>
  <si>
    <t>アイエイチロジスティクスサービス株式会社</t>
  </si>
  <si>
    <t>中部ロジスティクスセンター</t>
  </si>
  <si>
    <t>ハム製品格納管理システム</t>
  </si>
  <si>
    <t>2023090805-224-2</t>
  </si>
  <si>
    <t>23201-008-001</t>
  </si>
  <si>
    <t xml:space="preserve">ブランド / 機器構成名(個体名) / 型式 / シリアル番号
eAWC Framework / eAWC本体 (FC-S36W)(EAWC001) / FC-S36W-143CV7 / 2800720
</t>
  </si>
  <si>
    <t>ＴＤＭ株式会社</t>
  </si>
  <si>
    <t>豊川工場</t>
  </si>
  <si>
    <t>材料格納ＣＳ</t>
  </si>
  <si>
    <t>2017120703-216-1</t>
  </si>
  <si>
    <t>23207-015-001</t>
  </si>
  <si>
    <t>株式会社豊成</t>
  </si>
  <si>
    <t>新城工場</t>
  </si>
  <si>
    <t>受入部品格納自動倉庫</t>
  </si>
  <si>
    <t>2020060513-216-1</t>
  </si>
  <si>
    <t>23221A101-001</t>
  </si>
  <si>
    <t>坂神工業株式会社</t>
  </si>
  <si>
    <t>自動車関連プレス製品格納自動倉庫(L300）</t>
  </si>
  <si>
    <t>2021022610-216-1</t>
  </si>
  <si>
    <t>23201-113-001</t>
  </si>
  <si>
    <t>株式会社曙製作所</t>
  </si>
  <si>
    <t>2017060813-221-1</t>
  </si>
  <si>
    <t>23201-872-001</t>
  </si>
  <si>
    <t>フォルクスワーゲングループジャパン株式会社</t>
  </si>
  <si>
    <t>グループアフターセールス本部　パーツサプライチェーン　パーツデポ</t>
  </si>
  <si>
    <t>2021020102-216-1</t>
  </si>
  <si>
    <t>23201-679-006</t>
  </si>
  <si>
    <t xml:space="preserve">ブランド / 機器構成名(個体名) / 型式 / シリアル番号
AWC4 Framework / AWC4本体(FC-S36W)(AWC001) / FC-S36W-143CV7 / 0800250
AWC4 Framework / AWC4本体予備機(FC-S36W)(AWC002) / FC-S36W-143CV7 / 0800251
</t>
  </si>
  <si>
    <t>豊橋事業所</t>
  </si>
  <si>
    <t>M11システム</t>
  </si>
  <si>
    <t>2021070102-221-1</t>
  </si>
  <si>
    <t>23201-002-012</t>
  </si>
  <si>
    <t>日本車輌製造株式会社</t>
  </si>
  <si>
    <t>豊川製作所</t>
  </si>
  <si>
    <t>現品課　立体自動倉庫</t>
  </si>
  <si>
    <t>2021090214-221-2</t>
  </si>
  <si>
    <t>23207-009-007</t>
  </si>
  <si>
    <t xml:space="preserve">ブランド / 機器構成名(個体名) / 型式 / シリアル番号
AWC7 Framework / AWC7本体 (FC-S36W)(AWC001) / FC-S36W-143CV7 / 0900261
</t>
  </si>
  <si>
    <t>コニカミノルタメカトロニクス株式会社</t>
  </si>
  <si>
    <t>2110-001 / 2110-002</t>
  </si>
  <si>
    <t>23207A143-001</t>
  </si>
  <si>
    <t xml:space="preserve">ブランド / 機器構成名(個体名) / 型式 / シリアル番号
WareNavi7 / MOSⅦ / ﾊﾟﾚｯﾄ自動倉庫(HF-W2055)(MOSA01) / HJ-2055-WEMA/DF04 / 8051181-1
WareNavi7 / MOSⅦ / ﾊﾞｹｯﾄ自動倉庫(HF-W2055)(MOSB01) / HJ-2055-WEMA/DF04 / 8051026-1
</t>
  </si>
  <si>
    <t>三ヶ日町農業協同組合</t>
  </si>
  <si>
    <t>柑橘出荷センター</t>
  </si>
  <si>
    <t>2022100612-221-1</t>
  </si>
  <si>
    <t>22523-016-001</t>
  </si>
  <si>
    <t xml:space="preserve">ブランド / 機器構成名(個体名) / 型式 / シリアル番号
WareNavi7(製品系) / 製品管理端末 (FC-E22U)(WAT101) / FC-E22U-S / 1315682
WareNavi7(製品系) / 製品系WareNavi7端末 (FC-E22U)(WAT103) / FC-E22U-S / 1315689
WareNavi7(製品系) / 製品系WareNavi7端末 (FC-E22U)(WAT105) / FC-E22U-S / 1315687
WareNavi7(製品系) / 製品系WareNavi7端末 (FC-E22U)(WAT106) / FC-E22U-S / 1315697
WareNavi7(製品系) / 製品系WareNavi7端末 (FC-E22U)(WAT107) / FC-E22U-S / 1315699
WareNavi7(原料系) / 原料管理端末 (FC-E22U)(WAT102) / FC-E22U-S / 1315685
WareNavi7(原料系) / 原料系WareNavi7端末 (FC-E22U)(WAT109) / FC-E22U-S / 1315684
SAM / SAM端末 (FC-E22U)(WAT104) / FC-E22U-S / 1315695
SAM / ﾘｼﾞｪｸﾄ端末 (FC-E22U)(WAT108) / FC-E22U-S / 1315700
</t>
  </si>
  <si>
    <t>ＤＩＣ株式会社</t>
  </si>
  <si>
    <t>埼玉物流センター</t>
  </si>
  <si>
    <t>2211-006</t>
  </si>
  <si>
    <t>11301A107-001</t>
  </si>
  <si>
    <t>春田金属産業株式会社</t>
  </si>
  <si>
    <t>金属材料保管システム</t>
  </si>
  <si>
    <t>10524-067-001</t>
  </si>
  <si>
    <t>国内業務部　東日本物流センター</t>
  </si>
  <si>
    <t>1908-011</t>
  </si>
  <si>
    <t>11210-095-001</t>
  </si>
  <si>
    <t>首都圏物流センター・首都圏工場</t>
  </si>
  <si>
    <t>2023121204-224-1 / 2023121202-224-1</t>
  </si>
  <si>
    <t>10521A105-001</t>
  </si>
  <si>
    <t xml:space="preserve">ブランド / 機器構成名(個体名) / 型式 / シリアル番号
WareNavi7 / WareNavi7本体(FC-S36W)(WNZ01) / FC-S36W-113CW5 / 2100128
WareNavi7 / WareNavi7本体予備機(FC-S36W)(WNZ02) / FC-S36W-113CW5 / 1900125
SAM / SAM(FC-S36W)(SAMZ01) / FC-S36W-143CV7 / 2300644
LPM / LPM(FC-S36W)(LPM101) / FC-S36W-143CV7 / 2100574
LPM / LPM(FC-S36W)(LPM201) / FC-S36W-143CV7 / 2300640
WareNavi7 / WareNavi7端末(FC-E22U)(WATZ01) / FC-E22U-S / 1X17221
WareNavi7 / WareNavi7端末(FC-E22U)(WATZ05) / FC-E22U-S / 1X17230
WareNavi7 / WareNavi7端末(FC-E22U)(WATZ02) / FC-E22U-S / 1X17227
WareNavi7 / WareNavi7端末(FC-E22U)(WATZ03) / FC-E22U-S / 1X17224
WareNavi7 / WareNavi7端末(FC-E22U)(WATZ04) / FC-E22U-S / 1X17222
</t>
  </si>
  <si>
    <t xml:space="preserve">ブランド / 機器構成名(個体名) / 型式 / シリアル番号
AWC7 Basic / AWC7本体(HF-W6555)(AWC001) / HJ-6555-WEJD/DF05 / 4240139-4
</t>
  </si>
  <si>
    <t>株式会社アイル・クリーンテック</t>
  </si>
  <si>
    <t>パレット式有機資源循環工場</t>
  </si>
  <si>
    <t>2023040710-224-1</t>
  </si>
  <si>
    <t>11408-049-001</t>
  </si>
  <si>
    <t xml:space="preserve">ブランド / 機器構成名(個体名) / 型式 / シリアル番号
AWC-800N / AWC本体 (FC-S36W)(AWC001) / FC-S36W-133CW4 / 2900189
</t>
  </si>
  <si>
    <t>株式会社エコアール</t>
  </si>
  <si>
    <t>2310-003</t>
  </si>
  <si>
    <t>09202-335-001</t>
  </si>
  <si>
    <t xml:space="preserve">ブランド / 機器構成名(個体名) / 型式 / シリアル番号
AWC7 Framework / AWC7本体(HF-W6555)(AWC001) / HJ-6555-WEJD/DF05 / 4240422-1
</t>
  </si>
  <si>
    <t>足利センター</t>
  </si>
  <si>
    <t>2018062603-216-1</t>
  </si>
  <si>
    <t>09202-165-001</t>
  </si>
  <si>
    <t>ケミコスクリエイションズ株式会社</t>
  </si>
  <si>
    <t>加須倉庫</t>
  </si>
  <si>
    <t>2308-002</t>
  </si>
  <si>
    <t>11210-104-001</t>
  </si>
  <si>
    <t>共同印刷株式会社</t>
  </si>
  <si>
    <t>川島ソリューションセンター　生産管理課</t>
  </si>
  <si>
    <t>ロール・製品倉庫</t>
  </si>
  <si>
    <t>2205-002</t>
  </si>
  <si>
    <t>11346-060-001</t>
  </si>
  <si>
    <t>埼玉日清食品株式会社</t>
  </si>
  <si>
    <t>冷凍食品格納自動倉庫</t>
  </si>
  <si>
    <t>2005-008</t>
  </si>
  <si>
    <t>11216-095-001</t>
  </si>
  <si>
    <t xml:space="preserve">ブランド / 機器構成名(個体名) / 型式 / シリアル番号
eAWC Framework / eAWC本体(HF-W6555)(AWC001) / HJ-6555-WEJD/DF03 / 4237214-2
eAWC Framework / eAWC端末(HF-W2045)(WAT001) / HJ-2045-WEJA/DF03 / 4237100-1
</t>
  </si>
  <si>
    <t>2025012415-224-1</t>
  </si>
  <si>
    <t xml:space="preserve">ブランド / 機器構成名(個体名) / 型式 / シリアル番号
eAWC Framework / 9Y-MOS(FC-E22U)(MOS01) / FC-E22U-S / 9Z11919
</t>
  </si>
  <si>
    <t>株式会社松屋フーズ</t>
  </si>
  <si>
    <t>嵐山工場</t>
  </si>
  <si>
    <t>原料自動倉庫</t>
  </si>
  <si>
    <t>2112-006</t>
  </si>
  <si>
    <t>11342-026-001</t>
  </si>
  <si>
    <t>2021110213-221-1</t>
  </si>
  <si>
    <t>11210A128-001</t>
  </si>
  <si>
    <t xml:space="preserve">ブランド / 機器構成名(個体名) / 型式 / シリアル番号
AWC7 Framework / AWC7端末 (FC-E22U)(WAT001) / FC-E22U-S / 0Z15249
AWC7 Framework / AWC7端末 (FC-E22U)(WAT002) / FC-E22U-S / 0Z15237
AWC7 Framework / AWC7端末 (FC-E22U)(WAT009) / FC-E22U-S / 0Z15251
AWC7 Framework / AWC7端末 (FC-E22U)(WAT010) / FC-E22U-S / 0Z15252
AWC7 Framework / ﾋﾟｯｷﾝｸﾞ端末 (FC-E22U)(WAT003) / FC-E22U-S / 0Z15241
AWC7 Framework / ﾋﾟｯｷﾝｸﾞ端末 (FC-E22U)(WAT004) / FC-E22U-S / 0Z15239
AWC7 Framework / ﾋﾟｯｷﾝｸﾞ端末 (FC-E22U)(WAT005) / FC-E22U-S / 0Z15240
AWC7 Framework / ﾋﾟｯｷﾝｸﾞ端末 (FC-E22U)(WAT006) / FC-E22U-S / 0Z15258
AWC7 Framework / ﾋﾟｯｷﾝｸﾞ端末 (FC-E22U)(WAT007) / FC-E22U-S / 0Z15259
AWC7 Framework / ﾋﾟｯｷﾝｸﾞ端末 (FC-E22U)(WAT008) / FC-E22U-S / 0Z15236
AWC7 Framework / 管理端末 (FC-E22U)(WAT101) / FC-E22U-S / 0Z15250
AWC7 Framework / AWC7端末 (FC-E22U)(WAT102) / FC-E22U-S / 0Z15253 
</t>
  </si>
  <si>
    <t>ゼリア新薬工業株式会社</t>
  </si>
  <si>
    <t>ドリンク材格納自動倉庫</t>
  </si>
  <si>
    <t>2022100711-221-1</t>
  </si>
  <si>
    <t>11402-003-001</t>
  </si>
  <si>
    <t xml:space="preserve">ブランド / 機器構成名(個体名) / 型式 / シリアル番号
AWC-800U / AWC端末 (FC-E22U)(WAT02) / FC-E22U-S / 1616290
AWC-800U / AWC端末 (FC-E22U)(WAT03) / FC-E22U-S / 1616285
AWC-800U / AWC端末 (FC-E22U)(WAT04) / FC-E22U-S / 1215460
AWC-800U / AWC端末 (FC-E22U)(WAT06) / FC-E22U-S / 1616289
AWC-800U / AWC端末 (FC-E22U)(WAT07) / FC-E22U-S / 1616283
AWC-800U / AWC端末 (FC-E22U)(WAT01) / FC-E22U-S / 1215462
AWC-800U / AWC端末 (FC-E22U)(WAT05) / FC-E22U-S / 1616284
AWC-800U / AWC端末 (FC-E22U)(WAT08) / FC-E22U-S / 1616286
</t>
  </si>
  <si>
    <t>メガDC　自動倉庫システム</t>
  </si>
  <si>
    <t>2021080607-221-1 / 2021080609-221-1</t>
  </si>
  <si>
    <t>11347A000-004</t>
  </si>
  <si>
    <t>館林工場</t>
  </si>
  <si>
    <t>【立体倉庫】顔料・原料倉庫</t>
  </si>
  <si>
    <t>2023020720-221-1 / 2023020722-221-1</t>
  </si>
  <si>
    <t>10207-090-001</t>
  </si>
  <si>
    <t xml:space="preserve">ブランド / 機器構成名(個体名) / 型式 / シリアル番号
AWC7 Framework(立体倉庫) / AWC7本体(FC-S36W)(AWC001) / FC-S36W-143CV7 / 2100627
AWC7 Framework(立体倉庫) / AWC7端末(FC-E22U)(WAT001) / FC-E22U-S / 2718035
AWC7 Framework(立体倉庫) / AWC7端末(FC-E22U)(WAT002) / FC-E22U-S / 2718054
AWC7 Framework(立体倉庫) / AWC7端末(FC-E22U)(WAT003) / FC-E22U-S / 2718096
AWC7 Framework(立体倉庫) / AWC7端末(FC-E22U)(WAT004) / FC-E22U-S / 2718097
AWC7 Framework(立体倉庫) / AWC7端末(FC-E22U)(WAT005) / FC-E22U-S / 2718098
</t>
  </si>
  <si>
    <t>【簡易立体倉庫】顔料・原料倉庫</t>
  </si>
  <si>
    <t>2023020718-221-1 / 2023020716-221-1</t>
  </si>
  <si>
    <t xml:space="preserve">ブランド / 機器構成名(個体名) / 型式 / シリアル番号
AWC7 Framework(簡易倉庫) / AWC7本体(FC-S36W)(AWC001) / FC-S36W-143CV7 / 2100619
AWC7 Framework(簡易倉庫) / AWC7端末(FC-E22U)(WAT001) / FC-E22U-S / 2718051
AWC7 Framework(簡易倉庫) / AWC7端末(FC-E22U)(WAT002) / FC-E22U-S / 2718056
</t>
  </si>
  <si>
    <t>アサヒ飲料株式会社</t>
  </si>
  <si>
    <t>原液棟　自動倉庫</t>
  </si>
  <si>
    <t>2112-007</t>
  </si>
  <si>
    <t>10207-057-002</t>
  </si>
  <si>
    <t>ホース倉庫</t>
  </si>
  <si>
    <t>2403-003 / 2403-004</t>
  </si>
  <si>
    <t>11210-033-002</t>
  </si>
  <si>
    <t>2021110902-221-2</t>
  </si>
  <si>
    <t>P4アセプライン資材自動倉庫</t>
  </si>
  <si>
    <t>2410-003</t>
  </si>
  <si>
    <t>10207-057-003</t>
  </si>
  <si>
    <t>株式会社シード</t>
  </si>
  <si>
    <t>鴻巣研究所</t>
  </si>
  <si>
    <t>資材自動倉庫</t>
  </si>
  <si>
    <t>2201-006</t>
  </si>
  <si>
    <t>11217A111-002</t>
  </si>
  <si>
    <t>2201-001</t>
  </si>
  <si>
    <t>11217A111-001</t>
  </si>
  <si>
    <t>2201-002</t>
  </si>
  <si>
    <t>北九州CS</t>
  </si>
  <si>
    <t>福岡事業所</t>
  </si>
  <si>
    <t>液晶材料課自動ラック</t>
  </si>
  <si>
    <t>2023061342-224-1</t>
  </si>
  <si>
    <t>40109-029-001</t>
  </si>
  <si>
    <t xml:space="preserve">ブランド / 機器構成名(個体名) / 型式 / シリアル番号
AWC-300N / AWC本体 (FC-S36W)(AWC001) / FC-S36W-133CW4 / 1Z00172
</t>
  </si>
  <si>
    <t>ウエハデバイス本部　ウエハ再生部</t>
  </si>
  <si>
    <t>ウェハ容器格納自動倉庫</t>
  </si>
  <si>
    <t>FA141</t>
  </si>
  <si>
    <t>40109A002-003</t>
  </si>
  <si>
    <t xml:space="preserve">ブランド / 機器構成名(個体名) / 型式 / シリアル番号
AWC4 Basic / AWC4本体 (FA3100SS model 1000)(AWC001) / UD431016-01-DHT / OEZ896
</t>
  </si>
  <si>
    <t>錦陵工業株式会社</t>
  </si>
  <si>
    <t>苅田工場</t>
  </si>
  <si>
    <t>シート格納用 NMKライン立体自動倉庫</t>
  </si>
  <si>
    <t>2016092604-220-1</t>
  </si>
  <si>
    <t>40621-023-001</t>
  </si>
  <si>
    <t xml:space="preserve">ブランド / 機器構成名(個体名) / 型式 / シリアル番号
AWC4 Framework / AWC4本体(FC-S35W/S7)(AWC001) / FC-S35W/S72CL9 / S451030MA
</t>
  </si>
  <si>
    <t>ユニ・チャームプロダクツ株式会社</t>
  </si>
  <si>
    <t>九州工場</t>
  </si>
  <si>
    <t>製品立体自動倉庫</t>
  </si>
  <si>
    <t>2102-004 / 2102-006</t>
  </si>
  <si>
    <t>40621A111-001</t>
  </si>
  <si>
    <t xml:space="preserve">ブランド / 機器構成名(個体名) / 型式 / シリアル番号
WareNavi7(資材倉庫) / MOSⅦｻｰﾊﾞ (HF-W2045【1号倉庫】)(MOSA01) / HJ-2045-WEJA/7R / 4234629-1
WareNavi7(製品倉庫) / MOSⅦ本体 (HF-W2045)(MOSA01) / HJ-2045-WEJA/7R / 4234903-1
</t>
  </si>
  <si>
    <t>九州支社　物流統括部　九州北センター</t>
  </si>
  <si>
    <t>日用雑貨卸し新物流センター</t>
  </si>
  <si>
    <t>2404-004</t>
  </si>
  <si>
    <t>40427-012-001</t>
  </si>
  <si>
    <t xml:space="preserve">ブランド / 機器構成名(個体名) / 型式 / シリアル番号
AWC7 Ordermade / AWC7端末(HF-W2050)(FDC202) / HJ-2050-WEMA/DF03 / 8053777-5
AWC7 Ordermade / AWC7端末(HF-W2050)(FDC203) / HJ-2050-WEMA/DF03 / 8053777-4
</t>
  </si>
  <si>
    <t>2021010817-216-1</t>
  </si>
  <si>
    <t xml:space="preserve">ブランド / 機器構成名(個体名) / 型式 / シリアル番号
WareNavi7(資材倉庫) / WareNavi7端末 (FC-E22U)(WAT001) / FC-E22U-S / 8Y07773
WareNavi7(資材倉庫) / WareNavi7端末 (FC-E22U)(WAT002) / FC-E22U-S / 8Y07779
</t>
  </si>
  <si>
    <t>2305-011</t>
  </si>
  <si>
    <t xml:space="preserve">ブランド / 機器構成名(個体名) / 型式 / シリアル番号
AWC7 Ordermade / AWC7本体(HF-W7560)(AWC01) / HJ-7560-SEJD/7R / 4525038-1
</t>
  </si>
  <si>
    <t>株式会社キューレイ</t>
  </si>
  <si>
    <t>第三工場</t>
  </si>
  <si>
    <t>2023061308-224-1 / 2023061310-224-1</t>
  </si>
  <si>
    <t>40220A109-001</t>
  </si>
  <si>
    <t xml:space="preserve">ブランド / 機器構成名(個体名) / 型式 / シリアル番号
AWC7 Framework / AWC7本体 (FC-S36W)(AWC001) / FC-S36W-143CV7 / 2800732
AWC7 Framework / AWC7端末(FC-E29U)(WAT001) / FC-E29U-S31C42 / 2Z00194
AWC7 Framework / AWC7端末(FC-E29U)(WAT002) / FC-E29U-S31C42 / 2Z00197
</t>
  </si>
  <si>
    <t>株式会社アクタ</t>
  </si>
  <si>
    <t>古賀工場</t>
  </si>
  <si>
    <t>製品・材料保管自動倉庫</t>
  </si>
  <si>
    <t>2024051515-224-1 / 2024051512-224-1</t>
  </si>
  <si>
    <t>40347-048-001</t>
  </si>
  <si>
    <t>大阪シーリング印刷株式会社</t>
  </si>
  <si>
    <t>ロール原反保管自動倉庫システム</t>
  </si>
  <si>
    <t>2005-011</t>
  </si>
  <si>
    <t>40106-282-001</t>
  </si>
  <si>
    <t>2005-010</t>
  </si>
  <si>
    <t>2102-005</t>
  </si>
  <si>
    <t xml:space="preserve">ブランド / 機器構成名(個体名) / 型式 / シリアル番号
WareNavi7(資材倉庫) / MOSⅦｻｰﾊﾞ (HF-W2045【2号倉庫】)(MOSA02) / HJ-2045-WEJA/7R / 4522419-1
</t>
  </si>
  <si>
    <t>2022070606-221-1</t>
  </si>
  <si>
    <t xml:space="preserve">ブランド / 機器構成名(個体名) / 型式 / シリアル番号
AWC4 Framework / AWC4本体予備機(FC-S35W)(AWC001_YOBI) / FC-S35W/S72CL9 / 9708434
</t>
  </si>
  <si>
    <t>株式会社トレーダー愛</t>
  </si>
  <si>
    <t>4号冷凍庫</t>
  </si>
  <si>
    <t>2210-001</t>
  </si>
  <si>
    <t>35201-235-002</t>
  </si>
  <si>
    <t>シート格納用 NSKライン立体自動倉庫</t>
  </si>
  <si>
    <t>2022070608-221-1</t>
  </si>
  <si>
    <t>40621-023-002</t>
  </si>
  <si>
    <t xml:space="preserve">ブランド / 機器構成名(個体名) / 型式 / シリアル番号
AWC4 Framework / AWC4本体予備機(FC-S36W)(AWC001予備) / FC-S36W-133CW4 / 9X00109
</t>
  </si>
  <si>
    <t>株式会社MLS</t>
  </si>
  <si>
    <t>白鳥物流センター</t>
  </si>
  <si>
    <t>40206-059-001</t>
  </si>
  <si>
    <t>2024111223-224-1</t>
  </si>
  <si>
    <t xml:space="preserve">ブランド / 機器構成名(個体名) / 型式 / シリアル番号
AWC4 Framework / AWC4本体 (FC-S36W)(AWC001) / FC-S36W-133CW4 / 3Z00341
</t>
  </si>
  <si>
    <t>下関三井化学株式会社</t>
  </si>
  <si>
    <t>2018071704-216-1</t>
  </si>
  <si>
    <t>35201-076-001</t>
  </si>
  <si>
    <t>北大阪第1CS</t>
  </si>
  <si>
    <t>サンコーインダストリー株式会社</t>
  </si>
  <si>
    <t>株式会社日工</t>
  </si>
  <si>
    <t>第三物流センター</t>
  </si>
  <si>
    <t>第3自動倉庫</t>
  </si>
  <si>
    <t>2011-008</t>
  </si>
  <si>
    <t>27212A153-001</t>
  </si>
  <si>
    <t>旭洋株式会社</t>
  </si>
  <si>
    <t>東大阪</t>
  </si>
  <si>
    <t>2023120705-224-1</t>
  </si>
  <si>
    <t>27227-F71-001</t>
  </si>
  <si>
    <t>日本粉末薬品株式会社</t>
  </si>
  <si>
    <t>水走工場</t>
  </si>
  <si>
    <t>2025031327-224-1</t>
  </si>
  <si>
    <t>27227-G89-001</t>
  </si>
  <si>
    <t>門真営業所</t>
  </si>
  <si>
    <t>仕分け設備</t>
  </si>
  <si>
    <t>2019061007-216-1</t>
  </si>
  <si>
    <t>27223A116-001</t>
  </si>
  <si>
    <t>明和グラビア株式会社</t>
  </si>
  <si>
    <t>2024051517-224-1 / 2024051527-224-1</t>
  </si>
  <si>
    <t>27227-A52-001</t>
  </si>
  <si>
    <t>小西医療器株式会社</t>
  </si>
  <si>
    <t>2307-003 / 2307-002</t>
  </si>
  <si>
    <t>27223A128-001</t>
  </si>
  <si>
    <t>長田センター</t>
  </si>
  <si>
    <t>2107-005</t>
  </si>
  <si>
    <t>27227A149-001</t>
  </si>
  <si>
    <t>株式会社ファンケル</t>
  </si>
  <si>
    <t>2021062406-221-1</t>
  </si>
  <si>
    <t>27223A127-001</t>
  </si>
  <si>
    <t>西部物流センター</t>
  </si>
  <si>
    <t>【端末】自動倉庫設備</t>
  </si>
  <si>
    <t>2022011404-221-1</t>
  </si>
  <si>
    <t>27223A129-001</t>
  </si>
  <si>
    <t>株式会社中北製作所</t>
  </si>
  <si>
    <t>2212-002</t>
  </si>
  <si>
    <t>27218-314-001</t>
  </si>
  <si>
    <t>株式会社精巧社</t>
  </si>
  <si>
    <t>2022030906-221-1</t>
  </si>
  <si>
    <t>27227A015-001</t>
  </si>
  <si>
    <t xml:space="preserve">ブランド / 機器構成名(個体名) / 型式 / シリアル番号
eAWC Framework / eAWC本体 (FC-E22U)(AWC001) / FC-E22U-S / 1816585
</t>
  </si>
  <si>
    <t>株式会社オンタイムワカイ</t>
  </si>
  <si>
    <t>【B棟】自動倉庫／コンベヤシステム</t>
  </si>
  <si>
    <t>2022120705-221-1 / 2022120703-221-1</t>
  </si>
  <si>
    <t>27227-D74-001</t>
  </si>
  <si>
    <t xml:space="preserve">ブランド / 機器構成名(個体名) / 型式 / シリアル番号
AWC7 Framework(B棟) / B棟管理PC (FC-S36W)(AWC002) / FC-S36W-143CV7 / 1900497
AWC7 Framework(B棟) / AWC7端末 (FC-E22U)(WSC09) / FC-E22U-S / 1X17005
AWC7 Framework(B棟) / AWC7端末 (FC-E22U)(WSC10) / FC-E22U-S / 1X17039
</t>
  </si>
  <si>
    <t>北大阪第2CS</t>
  </si>
  <si>
    <t>京都物流センター</t>
  </si>
  <si>
    <t>2020051504-216-1</t>
  </si>
  <si>
    <t>26204-157-001</t>
  </si>
  <si>
    <t xml:space="preserve">ブランド / 機器構成名(個体名) / 型式 / シリアル番号
SAM / 管理端末 (FC-E22U)(SAM00) / FC-E22U-S / 8706733
SAM / SAM (FC-E22U【BCR付き】)(SAM01) / FC-E22U-S / 8706732
SAM / SAM (FC-E22U【BCR付き】)(SAM02) / FC-E22U-S / 8706734
SAM / SAM (FC-E22U)(SAM03) / FC-E22U-S / 8706729
SAM / 予備機 (FC-E22U)(SAM予備) / FC-E22U-S / 8706731
LPM / LPM (FC-E22U)(LPM01) / FC-E22U-S / 8706730
</t>
  </si>
  <si>
    <t>国立国会図書館</t>
  </si>
  <si>
    <t>関西館</t>
  </si>
  <si>
    <t>自動書庫システム</t>
  </si>
  <si>
    <t>2023041030-224-1</t>
  </si>
  <si>
    <t>26366-004-001</t>
  </si>
  <si>
    <t xml:space="preserve">ブランド / 機器構成名(個体名) / 型式 / シリアル番号
AWC-800N / AWC本体 (FC-S36W)(AWC001) / FC-S36W-133CW4 / 2700184
</t>
  </si>
  <si>
    <t>株式会社Ｍｉｚｋａｎ</t>
  </si>
  <si>
    <t>タンク保管自動倉庫システム</t>
  </si>
  <si>
    <t>2023011304-221-1 / 2023011302-221-1</t>
  </si>
  <si>
    <t>27210-076-002</t>
  </si>
  <si>
    <t xml:space="preserve">ブランド / 機器構成名(個体名) / 型式 / シリアル番号
AWC7 Framework / AWC7本体(FC-S36W)(AWC001) / FC-S36W-143CV7 / 2300629
AWC7 Framework / AWC7端末(FC-E22U)(WAT001) / FC-E22U-S / 2X18750
</t>
  </si>
  <si>
    <t>伏見工場</t>
  </si>
  <si>
    <t>資材・製品自動倉庫システム</t>
  </si>
  <si>
    <t>FA172</t>
  </si>
  <si>
    <t>26109-219-001</t>
  </si>
  <si>
    <t>誠都運輸倉庫株式会社</t>
  </si>
  <si>
    <t>2023042004-224-1</t>
  </si>
  <si>
    <t>26322-071-001</t>
  </si>
  <si>
    <t>京都事業所</t>
  </si>
  <si>
    <t>2103-002</t>
  </si>
  <si>
    <t>26344-015-001</t>
  </si>
  <si>
    <t>コマツ物流株式会社</t>
  </si>
  <si>
    <t>関西補給センター</t>
  </si>
  <si>
    <t>F棟自動倉庫</t>
  </si>
  <si>
    <t>2204-001</t>
  </si>
  <si>
    <t>27210-356-002</t>
  </si>
  <si>
    <t>株式会社エフケイ</t>
  </si>
  <si>
    <t>京都第１工場</t>
  </si>
  <si>
    <t>2021111004-221-1 / 2021111006-221-1</t>
  </si>
  <si>
    <t>26344A104-001</t>
  </si>
  <si>
    <t>ACS株式会社</t>
  </si>
  <si>
    <t>2109-005 / 2109-006</t>
  </si>
  <si>
    <t>26214A111-001</t>
  </si>
  <si>
    <t>城東テクノ株式会社</t>
  </si>
  <si>
    <t>2205-001</t>
  </si>
  <si>
    <t>27210A145-002</t>
  </si>
  <si>
    <t>理研ビタミン株式会社</t>
  </si>
  <si>
    <t>2021060809-221-1</t>
  </si>
  <si>
    <t>27210-070-001</t>
  </si>
  <si>
    <t>松井アーキメタル株式会社</t>
  </si>
  <si>
    <t>舞鶴工場</t>
  </si>
  <si>
    <t>2022091203-221-1</t>
  </si>
  <si>
    <t>26202A111-001</t>
  </si>
  <si>
    <t>株式会社カシフジ</t>
  </si>
  <si>
    <t>2111-004</t>
  </si>
  <si>
    <t>26107-352-001</t>
  </si>
  <si>
    <t>京都流通センター</t>
  </si>
  <si>
    <t>TSネットワーク京都DPS</t>
  </si>
  <si>
    <t>2021100106-221-1 / 2021100108-221-1</t>
  </si>
  <si>
    <t>26109A133-001</t>
  </si>
  <si>
    <t>枚方化成品工場</t>
  </si>
  <si>
    <t>原料倉庫　自動倉庫システム</t>
  </si>
  <si>
    <t>2021033110-216-1</t>
  </si>
  <si>
    <t>27210-120-002</t>
  </si>
  <si>
    <t>製品倉庫　自動倉庫システム</t>
  </si>
  <si>
    <t>2022080510-221-1</t>
  </si>
  <si>
    <t>27210-120-003</t>
  </si>
  <si>
    <t>製造本部　京都第2工場</t>
  </si>
  <si>
    <t>2018081009-216-1</t>
  </si>
  <si>
    <t>26344A102-001</t>
  </si>
  <si>
    <t>E棟自動倉庫</t>
  </si>
  <si>
    <t>2204-003</t>
  </si>
  <si>
    <t>27210-356-001</t>
  </si>
  <si>
    <t xml:space="preserve">ブランド / 機器構成名(個体名) / 型式 / シリアル番号
AWC4 Framework / AWC4本体(HF-W6555)(AWC001) / HJ-6555-WEJD/DF05 / 4238633-10
</t>
  </si>
  <si>
    <t>京都流通センタ－</t>
  </si>
  <si>
    <t>2022090602-221-1</t>
  </si>
  <si>
    <t>26210-072-001</t>
  </si>
  <si>
    <t xml:space="preserve">ブランド / 機器構成名(個体名) / 型式 / シリアル番号
SAM / SAM (FC-E22U)(K-SAC200) / FC-E22U-S / 0914332
SAM / SAM予備機 (FC-E22U)(K-SAC200予備) / FC-E22U-S / 0914331
</t>
  </si>
  <si>
    <t>タカラ物流システム株式会社</t>
  </si>
  <si>
    <t>西日本支社　西日本ロジスティクスセンター</t>
  </si>
  <si>
    <t>ウエアナビシステム</t>
  </si>
  <si>
    <t>2022010611-221-1</t>
  </si>
  <si>
    <t>26211-019-001</t>
  </si>
  <si>
    <t>京都工場</t>
  </si>
  <si>
    <t>2018031311-216-1</t>
  </si>
  <si>
    <t>26322-132-001</t>
  </si>
  <si>
    <t xml:space="preserve">ブランド / 機器構成名(個体名) / 型式 / シリアル番号
AWC4 Framework / AWC4本体 （FC-S35W/S7）(AWC001) / FC-S35W/S72CL9 / S6Z0275MA
AWC4 Framework / AWC4端末 （FC-E22U-S）[ 1号機 ](WAT001) / FC-E22U-S / 7101872
AWC4 Framework / AWC4端末 （FC-E22U-S）[ 2 - 10号機 ](WAT002) / FC-E22U-S / 7101877
AWC4 Framework / AWC4端末 （FC-E22U-S）[ 2 - 10号機 ](WAT003) / FC-E22U-S / 7101878
AWC4 Framework / AWC4端末 （FC-E22U-S）[ 2 - 10号機 ](WAT004) / FC-E22U-S / 7101879
AWC4 Framework / AWC4端末 （FC-E22U-S）[ 2 - 10号機 ](WAT005) / FC-E22U-S / 7101880
AWC4 Framework / AWC4端末 （FC-E22U-S）[ 2 - 10号機 ](WAT006) / FC-E22U-S / 7101881
AWC4 Framework / AWC4端末 （FC-E22U-S）[ 2 - 10号機 ](WAT007) / FC-E22U-S / 7101882
AWC4 Framework / AWC4端末 （FC-E22U-S）[ 2 - 10号機 ](WAT008) / FC-E22U-S / 7101884
AWC4 Framework / AWC4端末 （FC-E22U-S）[ 2 - 10号機 ](WAT009) / FC-E22U-S / 7101886
AWC4 Framework / AWC4端末 （FC-E22U-S）[ 2 - 10号機 ](WAT010) / FC-E22U-S / 7101888
AWC4 Framework / AWC4端末 （FC-E22U-S）[ 11号機 ](WAT011) / FC-E22U-S / 7101889
</t>
  </si>
  <si>
    <t>エピタス工場　自動倉庫</t>
  </si>
  <si>
    <t>2023061346-224-1 / 2023061344-224-1</t>
  </si>
  <si>
    <t>27210-120-005</t>
  </si>
  <si>
    <t xml:space="preserve">ブランド / 機器構成名(個体名) / 型式 / シリアル番号
AWC7 Framework / AWC7本体 (FC-S36W)(AWC001) / FC-S36W-143CV7 / 1800476
AWC7 Framework / AWC7端末 (FC-E22U)(WAT001) / FC-E22U-S / 1716406
</t>
  </si>
  <si>
    <t>大日本印刷株式会社</t>
  </si>
  <si>
    <t>田辺工場</t>
  </si>
  <si>
    <t>2305-007</t>
  </si>
  <si>
    <t>26342-034-001</t>
  </si>
  <si>
    <t xml:space="preserve">ブランド / 機器構成名(個体名) / 型式 / シリアル番号
RTS-100(中央･中間ﾗｯｸ) / 機器状態表示PC(HF-W2050)(KKJ01) / HJ-2050-WEMA/DF03 / 8053103-4
RTS-100(中央･中間ﾗｯｸ) / 機器状態表示PC(HF-W2050)(KKJ02) / HJ-2050-WEMA/DF03 / 8053103-3
</t>
  </si>
  <si>
    <t>北陸CS</t>
  </si>
  <si>
    <t>北陸支店</t>
  </si>
  <si>
    <t>17324A102-001</t>
  </si>
  <si>
    <t>ロジスティード株式会社</t>
  </si>
  <si>
    <t>イオン北陸ＸＤ</t>
  </si>
  <si>
    <t>2310-001</t>
  </si>
  <si>
    <t>17201-695-001</t>
  </si>
  <si>
    <t xml:space="preserve">ブランド / 機器構成名(個体名) / 型式 / シリアル番号
SAM / SAM(HF-W6555)(SAM01) / HJ-6555-WEJD/DF05 / 4240319-2
</t>
  </si>
  <si>
    <t>トウエイ工業株式会社</t>
  </si>
  <si>
    <t>田子工場</t>
  </si>
  <si>
    <t>2312-004</t>
  </si>
  <si>
    <t>17324A100-002</t>
  </si>
  <si>
    <t xml:space="preserve">ブランド / 機器構成名(個体名) / 型式 / シリアル番号
AWC7 Framework / AWC7本体(HF-W6555)(AWC001) / HJ-6555-WEJD/DF05 / 4240320-3
</t>
  </si>
  <si>
    <t>富田工場</t>
  </si>
  <si>
    <t>2025031345-224-1 / 2025031347-224-1</t>
  </si>
  <si>
    <t>18340-001-001</t>
  </si>
  <si>
    <t xml:space="preserve">ブランド / 機器構成名(個体名) / 型式 / シリアル番号
eAWC Framework / eAWC本体(FC-S36W)(AWC001) / FC-S36W-143CV7 / 2800718
eAWC Framework / eAWC端末(FC-E22U)(WAT001) / FC-E22U-S / 2718044
</t>
  </si>
  <si>
    <t>株式会社フェローテック</t>
  </si>
  <si>
    <t>資材格納用自動倉庫</t>
  </si>
  <si>
    <t>2308-004</t>
  </si>
  <si>
    <t>17210A138-001</t>
  </si>
  <si>
    <t xml:space="preserve">ブランド / 機器構成名(個体名) / 型式 / シリアル番号
AWC7 Basic / AWC7本体(HF-W6555)(AWC001) / HJ-6555-WEJD/DF05 / 4240321-3
AWC7 Basic / AWC7端末(HF-W2050)(WAT001) / HJ-2050-WEMA/DF03 / 8053775-9
</t>
  </si>
  <si>
    <t>第一稀元素化学工業株式会社</t>
  </si>
  <si>
    <t>福井事業所</t>
  </si>
  <si>
    <t>2001-001</t>
  </si>
  <si>
    <t>18201-525-001</t>
  </si>
  <si>
    <t>8年目HDD交換【A棟】</t>
  </si>
  <si>
    <t xml:space="preserve">ブランド / 機器構成名(個体名) / 型式 / シリアル番号
eAWC Framework(A棟) / eAWC本体(HF-W6555)(AWC002) / HJ-6555-WEJD/7R / 4234842-1
</t>
  </si>
  <si>
    <t>敦賀工場</t>
  </si>
  <si>
    <t>CSシステム（JT-５）</t>
  </si>
  <si>
    <t>2022041502-221-1</t>
  </si>
  <si>
    <t>18202-045-002</t>
  </si>
  <si>
    <t>TFC工場ロール自動倉庫</t>
  </si>
  <si>
    <t>2107-001</t>
  </si>
  <si>
    <t>18202-045-006</t>
  </si>
  <si>
    <t>株式会社小松村田製作所</t>
  </si>
  <si>
    <t>2021060906-221-1 / 2021060908-221-1</t>
  </si>
  <si>
    <t>17203-030-001</t>
  </si>
  <si>
    <t>自動倉庫(８，９号機)</t>
  </si>
  <si>
    <t>2008-002</t>
  </si>
  <si>
    <t xml:space="preserve">ブランド / 機器構成名(個体名) / 型式 / シリアル番号
AWC4 Framework (統括) / 統括AWC本体 (HF-W6555)(AWC004) / HJ-6555-WEJD/DF03 / 4236398-1
</t>
  </si>
  <si>
    <t>株式会社Uno</t>
  </si>
  <si>
    <t>部品格納自動倉庫</t>
  </si>
  <si>
    <t>2009-005</t>
  </si>
  <si>
    <t>17203A120-001</t>
  </si>
  <si>
    <t>アルミ箔保管自動倉庫</t>
  </si>
  <si>
    <t>2024031403-224-1 / 2024031405-224-1</t>
  </si>
  <si>
    <t>18205-002-001</t>
  </si>
  <si>
    <t>株式会社ＤＭＭ．com　Base</t>
  </si>
  <si>
    <t>2005-001</t>
  </si>
  <si>
    <t>17206-112-001</t>
  </si>
  <si>
    <t>株式会社明石合銅</t>
  </si>
  <si>
    <t>2209-003</t>
  </si>
  <si>
    <t>17208-026-001</t>
  </si>
  <si>
    <t>広幅対応自動倉庫(JT-4)</t>
  </si>
  <si>
    <t>2018041907-216-1</t>
  </si>
  <si>
    <t>18202-045-001</t>
  </si>
  <si>
    <t>株式会社ホクトラ石川</t>
  </si>
  <si>
    <t>白山センター</t>
  </si>
  <si>
    <t>2112-001</t>
  </si>
  <si>
    <t>17210A135-001</t>
  </si>
  <si>
    <t>エルシーコープ株式会社</t>
  </si>
  <si>
    <t>COOP新保要冷宅配センター</t>
  </si>
  <si>
    <t>集品システム</t>
  </si>
  <si>
    <t>2023041302-221-1 / 2023041304-221-1</t>
  </si>
  <si>
    <t>18201A140-001</t>
  </si>
  <si>
    <t xml:space="preserve">ブランド / 機器構成名(個体名) / 型式 / シリアル番号
JCM / JCM (FC-S36W)(JCMZ001) / FC-S36W-143CV7 / 1700448
JCM / JCM端末 (FC-E22U)(JCMZ002) / FC-E22U-S / 1616269
JCM / JCM端末 (FC-E22U)(JCTZ003) / FC-E22U-S / 1616271
eye-navi / DPM (FC-S36W)(DPMZ001) / FC-S36W-143CV7 / 1700451
eye-navi / DPM (FC-S36W)(DPMZ002) / FC-S36W-143CV7 / 1700452
eye-navi / 低頻度投入端末 (FC-E22U)(WATZ001) / FC-E22U-S / 1616270
eye-navi / 低頻度投入端末 (FC-E22U)(WATZ002) / FC-E22U-S / 1616266
eye-navi / 寄せ端末 (FC-E22U)(WATZ003) / FC-E22U-S / 1616268
eye-navi / 寄せ端末 (FC-E22U)(WATZ004) / FC-E22U-S / 1616281
</t>
  </si>
  <si>
    <t>流山第1CS</t>
  </si>
  <si>
    <t>ロジスティード東日本株式会社</t>
  </si>
  <si>
    <t>北柏第二物流センター</t>
  </si>
  <si>
    <t>ファンケル マテハンシステム</t>
  </si>
  <si>
    <t>2019102119-216-1</t>
  </si>
  <si>
    <t>12217A142-001</t>
  </si>
  <si>
    <t>流山第2CS</t>
  </si>
  <si>
    <t>柏営業部　柏PFC営業所</t>
  </si>
  <si>
    <t>ニューバランス順立機及び周辺マテハンシステム</t>
  </si>
  <si>
    <t>1909-009</t>
  </si>
  <si>
    <t>12217A153-001</t>
  </si>
  <si>
    <t xml:space="preserve">ブランド / 機器構成名(個体名) / 型式 / シリアル番号
WareNavi Framework Custom / MOSⅦ本体(HF-W2045)(MOS03) / HJ-2045-WEJA/7R / 4233852-1
WareNavi Framework Custom / MOSⅦ本体(HF-W2045)(MOS05) / HJ-2045-WEJA/7R / 4233852-2
WareNavi Framework Custom / MOSⅦ本体(HF-W2045)(MOS08) / HJ-2045-WEJA/7R / 4233852-3
WareNavi Framework Custom / MOSⅦ本体(HF-W2045)(MOS09) / HJ-2045-WEJA/7R / 4233852-4
WareNavi Framework Custom / MOSⅦ本体(HF-W2045)(MOS10) / HJ-2045-WEJA/7R / 4233852-5
WareNavi Framework Custom / MOSⅦ本体(HF-W2045)(MOS11) / HJ-2045-WEJA/7R / 4233852-6
</t>
  </si>
  <si>
    <t>東京純薬工業株式会社</t>
  </si>
  <si>
    <t>FA166</t>
  </si>
  <si>
    <t>12217A152-001</t>
  </si>
  <si>
    <t xml:space="preserve">ブランド / 機器構成名(個体名) / 型式 / シリアル番号
AWC4 Basic / AWC4本体(FA3100SS model 1000)(AWC001) / UD431016-01-DHT / OEZ906
</t>
  </si>
  <si>
    <t>イオン北関東ＲＤＣ</t>
  </si>
  <si>
    <t>2024112012-224-1</t>
  </si>
  <si>
    <t>12208A000-001</t>
  </si>
  <si>
    <t>株式会社ビッグワン・コバヤシ</t>
  </si>
  <si>
    <t>流山新センター</t>
  </si>
  <si>
    <t>2022080514-221-1</t>
  </si>
  <si>
    <t>12220A123-001</t>
  </si>
  <si>
    <t xml:space="preserve">ブランド / 機器構成名(個体名) / 型式 / シリアル番号
DAM / 管理端末(FC-E22U)(MAN-TERM) / FC-E22U-S / 1516172
DAM / ﾊﾞｯﾁ開始端末(FC-E22U)(STA-TERM) / FC-E22U-S / 1516007
</t>
  </si>
  <si>
    <t>日本アイ・ビー・エム</t>
  </si>
  <si>
    <t>中山福株式会社</t>
  </si>
  <si>
    <t>関東支店</t>
  </si>
  <si>
    <t>11210-127-001</t>
  </si>
  <si>
    <t>株式会社トープラ</t>
  </si>
  <si>
    <t>福井工場</t>
  </si>
  <si>
    <t>西鉄ストア篠栗物流センター</t>
  </si>
  <si>
    <t>40342-029-001</t>
  </si>
  <si>
    <t xml:space="preserve">ブランド / 機器構成名(個体名) / 型式 / シリアル番号
AWC-500N / AWC本体 (FC-S35W/S7)(AWC001) / FC-S35W/S72CL9 / S521251MA
AWC-500N / AWC端末 (FC-E16U/S7)(WAT001) / FC-E16U/S71R4Z / S581016MA
AWC-500N / AWC端末 (FC-E16U/S7)(WAT002) / FC-E16U/S71R4Z / S580299MA
AWC-500N / AWC端末 (FC-E16U/S7)(WAT003) / FC-E16U/S71R4Z / S581017MA
</t>
  </si>
  <si>
    <t>秋本食品株式会社</t>
  </si>
  <si>
    <t>本社・湘南工場</t>
  </si>
  <si>
    <t>14218-164-001</t>
  </si>
  <si>
    <t>白州工場</t>
  </si>
  <si>
    <t>包材自動倉庫</t>
  </si>
  <si>
    <t>2502-001</t>
  </si>
  <si>
    <t>19209A111-001</t>
  </si>
  <si>
    <t>ブランド / 機器構成名(個体名) / 型式 / シリアル番号
CMC/MOSⅦ本体(HF-W2045)/HJ-2045-WEJA/7R/4236539-1
CMC/MOSⅦ端末(HF-W2045)/HJ-2045-WEJA/7R/4236540-1</t>
  </si>
  <si>
    <t>2502-004</t>
  </si>
  <si>
    <t xml:space="preserve">ブランド / 機器構成名(個体名) / 型式 / シリアル番号
AWC7 Framework / AWC7本体(HF-W6560)(AWC001) / HJ-6560-WFJB/7R/ xxxxxxx
</t>
  </si>
  <si>
    <t>ブランド / 機器構成名(個体名) / 型式 / シリアル番号
AWC7 Framework / AWC7本体(HF-W6560)(AWC001) / HJ-6560-WFJB/7R/ xxxxxxx</t>
  </si>
  <si>
    <t>株式会社フリゴ</t>
  </si>
  <si>
    <t>咲洲物流センター</t>
  </si>
  <si>
    <t>2025011006-224-1 / 2025011004-224-1</t>
  </si>
  <si>
    <t>27125A158-001</t>
  </si>
  <si>
    <t xml:space="preserve">ブランド / 機器構成名(個体名) / 型式 / シリアル番号
WareNavi7 / WareNavi7本体(FC-S36W)(WN7) / FC-S36W-143CV7 / 2800766
WareNavi7 / WareNavi7端末(FC-E29U)(WATA001) / FC-E29U-S31C42 / 2Z00306
WareNavi7 / WareNavi7端末(FC-E29U)(WATA002) / FC-E29U-S31C42 / 2Z00308
</t>
  </si>
  <si>
    <t>2025011702-224-1</t>
  </si>
  <si>
    <t xml:space="preserve">ブランド / 機器構成名(個体名) / 型式 / シリアル番号
AWC-800U / 進捗表示用端末(FC-E29U)(WAT11) / FC-E29U-S31C42 / 3200570
AWC-800U / 進捗表示用端末(FC-E29U)(WAT12) / FC-E29U-S31C42 / 3200543
</t>
  </si>
  <si>
    <t>平和製粉株式会社</t>
  </si>
  <si>
    <t>2025010707-224-1</t>
  </si>
  <si>
    <t>24201A166-001</t>
  </si>
  <si>
    <t xml:space="preserve">ブランド / 機器構成名(個体名) / 型式 / シリアル番号
AWC7 Framework / AWC7本体(FC-S36W)(AWC001) / FC-S36W-143CV7 / 2Y00943
</t>
  </si>
  <si>
    <t>株式会社パイオラックス</t>
  </si>
  <si>
    <t>2025010711-224-1 / 2025010713-224-1</t>
  </si>
  <si>
    <t>09209-049-003</t>
  </si>
  <si>
    <t xml:space="preserve">ブランド / 機器構成名(個体名) / 型式 / シリアル番号
AWC7 Framework / AWC7本体(FC-S36W)(AWC001) / FC-S36W-143CV7 / 2X00893
AWC7 Framework / AWC7端末(FC-E29U)(WAT001) / FC-E29U-S31C42 / 3200611
AWC7 Framework / AWC7端末(FC-E29U)(WAT002) / FC-E29U-S31C42 / 3200623
AWC7 Framework / AWC7端末(FC-E29U)(WAT003) / FC-E29U-S31C42 / 3200625
</t>
  </si>
  <si>
    <t>2025011002-224-1</t>
  </si>
  <si>
    <t>08203-286-001</t>
  </si>
  <si>
    <t xml:space="preserve">ブランド / 機器構成名(個体名) / 型式 / シリアル番号
eAWC Framework / eAWC端末(FC-E29U)(WAT001) / FC-E29U-S31C42 / 3601081
eAWC Framework / eAWC端末(FC-E29U)(WAT002) / FC-E29U-S31C42 / 3601064
eAWC Framework / eAWC端末(FC-E29U)(WAT004) / FC-E29U-S31C42 / 3601087
eAWC Framework / eAWC端末/BCR付(FC-E29U)(WAT003) / FC-E29U-S31C42 / 3601048
eAWC Framework / 運転手待機室端末(FC-E29U)(WAT005) / FC-E29U-S31C42 / 3601060
eAWC Framework / ﾄﾗｯｸ受付端末(FC-E29U)(WAT006) / FC-E29U-S31C42 / 3601089
</t>
  </si>
  <si>
    <t>株式会社オートバックスセブン</t>
  </si>
  <si>
    <t>2501-007</t>
  </si>
  <si>
    <t>28321-010-001</t>
  </si>
  <si>
    <t>生活協同組合連合会コープ東北サンネット事業連合</t>
  </si>
  <si>
    <t>所沢物流センター</t>
  </si>
  <si>
    <t>搬送設備システム</t>
  </si>
  <si>
    <t>11208A110-001</t>
  </si>
  <si>
    <t>●上位 / BoxCell</t>
  </si>
  <si>
    <t>三木工場</t>
  </si>
  <si>
    <t>2020031011-216-1</t>
  </si>
  <si>
    <t>28215-158-001</t>
  </si>
  <si>
    <t xml:space="preserve">ブランド / 機器構成名(個体名) / 型式 / シリアル番号
AWC-800N / AWC本体（FC-S35W/S7）(AWC001) / FC-S35W/S72CL9 / S730253MA
</t>
  </si>
  <si>
    <t>2025020415-224-1 / 2025020402-224-1</t>
  </si>
  <si>
    <t>24205A142-001</t>
  </si>
  <si>
    <t xml:space="preserve">ブランド / 機器構成名(個体名) / 型式 / シリアル番号
WareNavi7A / WareNavi7本体(FC-S36W)(WNAZ001) / FC-S36W-143CV7 / 2Y00909
WareNavi7A / WareNavi7本体予備機(FC-S36W)(WNAZ003) / FC-S36W-143CV7 / 2Y00914
WareNavi7A / WareNavi7端末(FC-E29U)(WATA001) / FC-E29U-S31C42 / 3400689
WareNavi7A / WareNavi7端末(FC-E29U)(WATA002) / FC-E29U-S31C42 / 2Z00291
</t>
  </si>
  <si>
    <t>自動倉庫（尼崎工場）</t>
  </si>
  <si>
    <t>2025020406-224-1 / 2025020408-224-1</t>
  </si>
  <si>
    <t>28202-005-001</t>
  </si>
  <si>
    <t xml:space="preserve">ブランド / 機器構成名(個体名) / 型式 / シリアル番号
AWC7 Framework / AWC7本体(FC-S36W)(AWC001a) / FC-S36W-113CW5 / 4200164
AWC7 Framework / AWC7端末(FC-E29U) / BCR付(WAT001) / FC-E29U-S31C42 / 3600854
AWC7 Framework / AWC7端末(FC-E29U)(WAT002) / FC-E29U-S31C42 / 3600855
AWC7 Framework / AWC7端末(FC-E29U)(WAT003) / FC-E29U-S31C42 / 3600860
AWC7 Framework / AWC7端末(FC-E29U)(WAT004) / FC-E29U-S31C42 / 3600863
AWC7 Framework / AWC7端末(FC-E29U)(WAT005) / FC-E29U-S31C42 / 3600874
AWC7 Framework / AWC7端末(FC-E29U)(WAT006) / FC-E29U-S31C42 / 3600882
AWC7 Framework / AWC7端末(FC-E29U)(WAT007) / FC-E29U-S31C42 / 3600884
AWC7 Framework / AWC7端末(FC-E29U)(WAT008) / FC-E29U-S31C42 / 3600899
AWC7 Framework / AWC7端末(FC-E29U)(WAT009) / FC-E29U-S31C42 / 3600900
AWC7 Framework / AWC7端末(FC-E29U)(WAT010) / FC-E29U-S31C42 / 3600901
</t>
  </si>
  <si>
    <t>2025020413-224-1</t>
  </si>
  <si>
    <t>46201-026-002</t>
  </si>
  <si>
    <t xml:space="preserve">ブランド / 機器構成名(個体名) / 型式 / シリアル番号
SAM / SAM(FC-S36W)(SAM101) / FC-S36W-143CV7 / 4101107
LPM / LPM(FC-S36W)(LPM101) / FC-S36W-143CV7 / 3Z01085
SAM / SAM兼LPM予備機(FC-S36W)(予備機) / FC-S36W-143CV7 / 4101108
</t>
  </si>
  <si>
    <t>2025021207-224-1 / 2025021202-224-1</t>
  </si>
  <si>
    <t>24205A142-002</t>
  </si>
  <si>
    <t xml:space="preserve">ブランド / 機器構成名(個体名) / 型式 / シリアル番号
WareNavi7A / WareNavi7本体(FC-S36W)(WNAZ002) / FC-S36W-143CV7 / 2Y00912
WareNavi7A / WareNavi7端末(FC-E29U)(WATB001) / FC-E29U-S31C42 / 3400664
</t>
  </si>
  <si>
    <t>丹波篠山工場</t>
  </si>
  <si>
    <t>2024101106-224-1</t>
  </si>
  <si>
    <t>28221A112-001</t>
  </si>
  <si>
    <t xml:space="preserve">ブランド / 機器構成名(個体名) / 型式 / シリアル番号
WareNavi7 / WareNavi7本体 (FC-S36W)(WNVZ001) / FC-S36W-143CV7 / 2X00872
WareNavi7 / WareNavi7予備機(FC-S36W)(WNVZ002) / FC-S36W-143CV7 / 2X00877
</t>
  </si>
  <si>
    <t>中野製薬株式会社</t>
  </si>
  <si>
    <t>草津工場 自動倉庫</t>
  </si>
  <si>
    <t>FA190</t>
  </si>
  <si>
    <t>25206-004-001</t>
  </si>
  <si>
    <t xml:space="preserve">ブランド / 機器構成名(個体名) / 型式 / シリアル番号
WareNavi7 / WareNavi7本体(FA3100T model 800)(WN001) / UA538018 / OHD212
</t>
  </si>
  <si>
    <t>●上位</t>
  </si>
  <si>
    <t>【システム点検】※サポート対象外OSの為、診断対象外。</t>
  </si>
  <si>
    <t>【システム点検】※プロダクト対象外の為、診断対象外。</t>
  </si>
  <si>
    <t>五霞営業所</t>
  </si>
  <si>
    <t>自動倉庫システム・移動ラック</t>
  </si>
  <si>
    <t>2025031105-224-1 / 2025031206-224-1</t>
  </si>
  <si>
    <t>08542-039-001</t>
  </si>
  <si>
    <t>【システム点検】※UNIXサーバの為、診断対象外。</t>
  </si>
  <si>
    <t xml:space="preserve">ブランド / 機器構成名(個体名) / 型式 / シリアル番号
LPM / ｵｰﾄﾗﾍﾞﾗ(AL01) / LR4080SR-TSB / 16050031
LPM / ｵｰﾄﾗﾍﾞﾗ(AL02) / LR4080SR-TSB / 16050032
LPM / ｵｰﾄﾗﾍﾞﾗ(AL03) / LR4080SR-TSB / 16050033
LPM / ｵｰﾄﾗﾍﾞﾗ(AL04) / LR4080SR-TSB / 16050034
</t>
  </si>
  <si>
    <t>東邦薬品株式会社</t>
  </si>
  <si>
    <t>ヤマト運輸株式会社</t>
  </si>
  <si>
    <t>イシダ</t>
  </si>
  <si>
    <t>株式会社PALTAC</t>
  </si>
  <si>
    <t xml:space="preserve">ブランド / 機器構成名(個体名) / 型式 / シリアル番号
AWC4 Framework / AWC4本体 (HF-W6555)(AWC001) / HJ-6555-WBJD/DF01 / 4234981-1
AWC4 Framework / AWC4端末 (HF-W2045)(WAT001) / HJ-2045-WBJA/DF01 / 4234793-1
AWC4 Framework / AWC4端末 (HF-W2045)(WAT002) / HJ-2045-WBJA/DF01 / 4234985-1
</t>
  </si>
  <si>
    <t>事業統括本部　関西支店　MS魚崎浜SDC</t>
  </si>
  <si>
    <t>2026011940-225-1</t>
  </si>
  <si>
    <t>Ｆ－ＬＩＮＥ株式会社</t>
  </si>
  <si>
    <t>福岡第一物流センター</t>
  </si>
  <si>
    <t>省人化設備</t>
  </si>
  <si>
    <t xml:space="preserve">【5年保証】分析PC
</t>
  </si>
  <si>
    <t>40131A151-001</t>
  </si>
  <si>
    <t xml:space="preserve">ＵＰＳバッテリ交換（２回目）
</t>
  </si>
  <si>
    <t xml:space="preserve">ブランド / 機器構成名(個体名) / 型式 / シリアル番号
WareNavi7(WMS) / 分析PC(HA8000V/ML30 Gen10)(JSSV01) / 無停電電源装置(750VA)GQ-SBUTV0752RNH / 10087
</t>
  </si>
  <si>
    <t>2505-008</t>
  </si>
  <si>
    <t xml:space="preserve">ブランド / 機器構成名(個体名) / 型式 / シリアル番号
AWC7 Framework / AWC7本体(HF-W6555)(AWC001) / HJ-6555-WEJD/DF05 / 4240422-6
</t>
  </si>
  <si>
    <t>事業統括本部　関東第一支店　MS関東RDC</t>
  </si>
  <si>
    <t>事業統括本部　北海道支店</t>
  </si>
  <si>
    <t>【システム点検】※FTサーバの為、診断対象外。</t>
  </si>
  <si>
    <t>生活協同組合コ－プあおもり</t>
  </si>
  <si>
    <t>浪岡センタ－</t>
  </si>
  <si>
    <t>浪岡物流センター　eye-Navi</t>
  </si>
  <si>
    <t>02364-017-001</t>
  </si>
  <si>
    <t xml:space="preserve">ブランド / 機器構成名(個体名) / 型式 / シリアル番号
eye-navi / ｵｰﾄﾗﾍﾞﾗ(ALR01) / LR4080SR-TSB / 15030165
</t>
  </si>
  <si>
    <t>協同組合八戸青果センター</t>
  </si>
  <si>
    <t>1905-006</t>
  </si>
  <si>
    <t>02203A129-001</t>
  </si>
  <si>
    <t xml:space="preserve">ブランド / 機器構成名(個体名) / 型式 / シリアル番号
AWC4 Basic / AWC4本体 (HF-W6545)(AWC001) / HJ-65459EWJD/DF01 / 4232407-1
</t>
  </si>
  <si>
    <t>多賀城ベジタブルセンター</t>
  </si>
  <si>
    <t>04209A109-001</t>
  </si>
  <si>
    <t>株式会社太田胃散</t>
  </si>
  <si>
    <t>坂之下第２要冷集品センター</t>
  </si>
  <si>
    <t>11208-122-004</t>
  </si>
  <si>
    <t>株式会社KADOKAWA</t>
  </si>
  <si>
    <t>ところざわサクラタウン</t>
  </si>
  <si>
    <t>物流センターシステム</t>
  </si>
  <si>
    <t>11208A124-001</t>
  </si>
  <si>
    <t>広域統括本部　LW埼京DDC</t>
  </si>
  <si>
    <t>12208-247-001</t>
  </si>
  <si>
    <t>野田船形物流センター</t>
  </si>
  <si>
    <t>2084920 / 2088396</t>
  </si>
  <si>
    <t>12208A125-001</t>
  </si>
  <si>
    <t xml:space="preserve">ブランド / 機器構成名(個体名) / 型式 / シリアル番号
LPM / ｵｰﾄﾗﾍﾞﾗ(ALR211) / LR4080SR-TSB / AK000092
LPM / ｵｰﾄﾗﾍﾞﾗ(ALR213) / LR4080SR-TSB / BA000021
LPM / ｵｰﾄﾗﾍﾞﾗ(ALR212) / LR4080SR-TSB / BA000022
LPM / ｵｰﾄﾗﾍﾞﾗ(ALR231) / LR4080SR-TSB / AK000091
LPM / ｵｰﾄﾗﾍﾞﾗ(ALR233) / LR4080SR-TSB / AK000093
LPM / ｵｰﾄﾗﾍﾞﾗ(ALR232) / LR4080SR-TSB / BA000023
LPM / ｵｰﾄﾗﾍﾞﾗ(ALR221) / LR4081SR-TSB / BA000037
LPM / ｵｰﾄﾗﾍﾞﾗ(ALR223) / LR4081SR-TSB / AK000096
LPM / ｵｰﾄﾗﾍﾞﾗ(ALR222) / LR4081SR-TSB / AK000097
LPM / ｵｰﾄﾗﾍﾞﾗ(ALR241) / LR4081SR-TSB / AK000098
LPM / ｵｰﾄﾗﾍﾞﾗ(ALR242) / LR4081SR-TSB / BA000036
eye-navi(ﾊﾟﾝﾗｲﾝ) / ｵｰﾄﾗﾍﾞﾗ(ALR102) / LR4080SR-TSB / AK000088
eye-navi(ﾊﾟﾝﾗｲﾝ) / ｵｰﾄﾗﾍﾞﾗ(ALR106) / LR4080SR-TSB / AK000090
eye-navi(ﾊﾟﾝﾗｲﾝ) / ｵｰﾄﾗﾍﾞﾗ(ALR104) / LR4080SR-TSB / AK000087
eye-navi(ﾊﾟﾝﾗｲﾝ) / ｵｰﾄﾗﾍﾞﾗ(ALR108) / LR4080SR-TSB / AK000089
eye-navi(ﾊﾟﾝﾗｲﾝ) / ｵｰﾄﾗﾍﾞﾗ(ALR101) / LR4081SR-TSB / AH000034
eye-navi(ﾊﾟﾝﾗｲﾝ) / ｵｰﾄﾗﾍﾞﾗ(ALR105) / LR4081SR-TSB / AK000095
eye-navi(ﾊﾟﾝﾗｲﾝ) / ｵｰﾄﾗﾍﾞﾗ(ALR103) / LR4081SR-TSB / AH000033
eye-navi(ﾊﾟﾝﾗｲﾝ) / ｵｰﾄﾗﾍﾞﾗ(ALR107) / LR4081SR-TSB / AK000094
</t>
  </si>
  <si>
    <t>株式会社ユニクロ</t>
  </si>
  <si>
    <t>イオン西関東ＬＣ</t>
  </si>
  <si>
    <t>仕分け設備コンベヤ</t>
  </si>
  <si>
    <t>2137947 / 2158264</t>
  </si>
  <si>
    <t>14401A109-001</t>
  </si>
  <si>
    <t xml:space="preserve">ﾗﾍﾞﾙﾌﾟﾘﾝﾀ「CL4NX-J08」3台　2026年5月終息
</t>
  </si>
  <si>
    <t xml:space="preserve">ブランド / 機器構成名(個体名) / 型式 / シリアル番号
LPM / ｵｰﾄﾗﾍﾞﾗ(LR4081SR-TSJ)(ALB01) / LR4081SR-TSJ / GH000101
LPM / ｵｰﾄﾗﾍﾞﾗ(LR4081SR-TSJ)(ALB02) / LR4081SR-TSJ / GH000102
LPM / ｵｰﾄﾗﾍﾞﾗ(LR4080SR-TSB)(ALB03) / LR4080SR-TSB / 16020030
LPM / ｵｰﾄﾗﾍﾞﾗ(LR4080SR-TSB)(ALB04) / LR4080SR-TSB / 16050051
LPM / ﾗﾍﾞﾙﾌﾟﾘﾝﾀ(LBL01) / CL4NX-J08 / 5L001786
LPM / ﾗﾍﾞﾙﾌﾟﾘﾝﾀ(LBL02) / CL4NX-J08 / 5L001784
LPM / ﾗﾍﾞﾙﾌﾟﾘﾝﾀ(LBL03) / CL4NX-J08 / 5L001775
</t>
  </si>
  <si>
    <t xml:space="preserve">ブランド / 機器構成名(個体名) / 型式 / シリアル番号
LPM / ｵｰﾄﾗﾍﾞﾗ (LR4080SR-TSJ)(LBRZ311) / LR4080SR-TSJ / FE000036
LPM / ｵｰﾄﾗﾍﾞﾗ (LR4080SR-TSJ)(LBRZ312) / LR4080SR-TSJ / FE000037
LPM / ｵｰﾄﾗﾍﾞﾗ (LR4080SR-TSJ)(LBRZ321) / LR4080SR-TSJ / FE000038
LPM / ｵｰﾄﾗﾍﾞﾗ (LR4080SR-TSJ)(LBRZ322) / LR4080SR-TSJ / FE000039
LPM / ｵｰﾄﾗﾍﾞﾗ (LR4120SR-TPJ)(LBRZ201) / LR4120SR-TPJ / FE000040
LPM / ｵｰﾄﾗﾍﾞﾗ (LR4120SR-TPJ)(LBRZ202) / LR4120SR-TPJ / FE000041
LPM / ｵｰﾄﾗﾍﾞﾗ (LR4121SR-TPJ)(LBRZ203) / LR4121SR-TPJ / FD000067
LPM / ｵｰﾄﾗﾍﾞﾗ (LR4121SR-TSJ)(LBRZ204) / LR4121SR-TSJ / FD000061
I-Packｼｽﾃﾑ / ｵｰﾄﾗﾍﾞﾗ (LR4120SR-TPJ)() / LR4120SR-TPJ / FA000037
I-Packｼｽﾃﾑ / ｵｰﾄﾗﾍﾞﾗ (LR4120SR-TPJ)() / LR4120SR-TPJ / FA000038
I-Packｼｽﾃﾑ / ｵｰﾄﾗﾍﾞﾗ (LR4120SR-TPJ)() / LR4120SR-TPJ / FA000039
I-Packｼｽﾃﾑ / ｵｰﾄﾗﾍﾞﾗ (LR4120SR-TPJ)() / LR4120SR-TPJ / FA000040
</t>
  </si>
  <si>
    <t>事業統括本部　MS甲府SDC</t>
  </si>
  <si>
    <t>19211-003-001</t>
  </si>
  <si>
    <t>茨木第2CS</t>
  </si>
  <si>
    <t>西日本EC倉庫</t>
  </si>
  <si>
    <t>27211A154-001</t>
  </si>
  <si>
    <t>点検月変更「4月・11月」→「3月・9月」</t>
  </si>
  <si>
    <t>ブランド / 機器構成名(個体名) / 型式 / シリアル番号
WareNavi7 / ｵｰﾄﾗﾍﾞﾗ() / LR4121SR-TPJ / EA000071
WareNavi7 / ｵｰﾄﾗﾍﾞﾗ() / LR4121SR-TPJ / EA000072
WareNavi7 / ｵｰﾄﾗﾍﾞﾗ() / LR4121SR-TPJ / EA000073
WareNavi7 / ｵｰﾄﾗﾍﾞﾗ() / LR4121SR-TPJ / EA000074
WareNavi7 / ｵｰﾄﾗﾍﾞﾗ() / LR4121SR-TPJ / EA000075
WareNavi7 / ｵｰﾄﾗﾍﾞﾗ() / LR4121SR-TPJ / EA000076
WareNavi7 / ｵｰﾄﾗﾍﾞﾗ() / LR4121SR-TPJ / EF000034
WareNavi7 / ｵｰﾄﾗﾍﾞﾗ(LBRZ114) / LR4121SR-TPJ / GK000110
WareNavi7 / ｵｰﾄﾗﾍﾞﾗ() / LR4081SR-TCJ / EC000051
WareNavi7 / ｵｰﾄﾗﾍﾞﾗ() / LR4081SR-TCJ / EC000052
WareNavi7 / ｵｰﾄﾗﾍﾞﾗ() / LR4081SR-TCJ / EC000053
WareNavi7 / ｵｰﾄﾗﾍﾞﾗ() / LR4081SR-TCJ / EC000054
WareNavi7 / ｵｰﾄﾗﾍﾞﾗ() / LR4081SR-TCJ / EC000055
WareNavi7 / ｵｰﾄﾗﾍﾞﾗ() / LR4081SR-TCJ / EC000056</t>
  </si>
  <si>
    <t>【システム点検】※IAサーバの為、診断対象外。</t>
  </si>
  <si>
    <t>ドンキホーテ中部　搬送仕分けシステム</t>
  </si>
  <si>
    <t>【システム点検】※プロダクト対象外の為、診断対象外。　/【契約情報：全外品のみ】</t>
  </si>
  <si>
    <t>2022031125-221-1 / 2022031129-221-1</t>
  </si>
  <si>
    <t xml:space="preserve">ブランド / 機器構成名(個体名) / 型式 / シリアル番号
AWC7 Framework / AWC7本体(FC-S36W)(AWC001) / FC-S36W-143CV7 / 0400157
AWC7 Framework / AWC7端末(FC-E22U)(WAT001) / FC-E22U-S / 0513226
</t>
  </si>
  <si>
    <t>ＴＢＣ広島</t>
  </si>
  <si>
    <t>34105A120-001</t>
  </si>
  <si>
    <t>2022070502-221-1</t>
  </si>
  <si>
    <t xml:space="preserve">ブランド / 機器構成名(個体名) / 型式 / シリアル番号
WareNavi7 / io-eyeｻｰﾊﾞ(Express5800/R120g-2E)(IOeyeSRV01) / N8100-2444Y / 8300470
</t>
  </si>
  <si>
    <t>ロート製薬株式会社</t>
  </si>
  <si>
    <t>上野テクノセンター</t>
  </si>
  <si>
    <t>Ｂ棟自動搬送システム</t>
  </si>
  <si>
    <t>2025031115-224-1</t>
  </si>
  <si>
    <t>24206-162-001</t>
  </si>
  <si>
    <t>2025031807-224-1</t>
  </si>
  <si>
    <t>工場棟 自動倉庫システム</t>
  </si>
  <si>
    <t>2025031210-224-1</t>
  </si>
  <si>
    <t>10521A105-002</t>
  </si>
  <si>
    <t>株式会社フジシール</t>
  </si>
  <si>
    <t>2025040910-224-1</t>
  </si>
  <si>
    <t>株式会社トーカイ</t>
  </si>
  <si>
    <t>2025041018-224-1</t>
  </si>
  <si>
    <t>11326A102-001</t>
  </si>
  <si>
    <t>2025041020-224-1</t>
  </si>
  <si>
    <t>たけのこ冷却倉庫</t>
  </si>
  <si>
    <t>2025041016-224-1</t>
  </si>
  <si>
    <t>27207-038-003</t>
  </si>
  <si>
    <t>株式会社再春館製薬所</t>
  </si>
  <si>
    <t>薬彩工園</t>
  </si>
  <si>
    <t>製品・資材保管設備</t>
  </si>
  <si>
    <t>2025041014-224-1</t>
  </si>
  <si>
    <t>43443-022-001</t>
  </si>
  <si>
    <t>関東第二工場</t>
  </si>
  <si>
    <t>2025041004-224-1 / 2025041006-224-1</t>
  </si>
  <si>
    <t>07464A104-001</t>
  </si>
  <si>
    <t>明治大学</t>
  </si>
  <si>
    <t>マイクロフィルム保管システム（FS、コンベヤ）</t>
  </si>
  <si>
    <t>2025041104-224-1</t>
  </si>
  <si>
    <t>13101-406-001</t>
  </si>
  <si>
    <t>青海営業所</t>
  </si>
  <si>
    <t>2025040906-224-1</t>
  </si>
  <si>
    <t>13108-744-001</t>
  </si>
  <si>
    <t xml:space="preserve">ブランド / 機器構成名(個体名) / 型式 / シリアル番号
eCMC / eCMC本体 (FC-S36W)(AWC001) / FC-S36W-143CV7 / 2300649
</t>
  </si>
  <si>
    <t>株式会社タチエス</t>
  </si>
  <si>
    <t>東棟　シート格納倉庫</t>
  </si>
  <si>
    <t>2025040912-224-1</t>
  </si>
  <si>
    <t>23212-141-001</t>
  </si>
  <si>
    <t>FSシステム　3号機</t>
  </si>
  <si>
    <t>2025040916-224-1 / 2025040918-224-1</t>
  </si>
  <si>
    <t>22202-129-004</t>
  </si>
  <si>
    <t>セラミックセンサ株式会社</t>
  </si>
  <si>
    <t>2025040934-224-1　</t>
  </si>
  <si>
    <t>23219-541-001</t>
  </si>
  <si>
    <t>成田国際空港株式会社</t>
  </si>
  <si>
    <t>航空照明整備作業所</t>
  </si>
  <si>
    <t>保管管理装置</t>
  </si>
  <si>
    <t>2025040930-224-1 / 2025040936-224-1</t>
  </si>
  <si>
    <t>12211-059-002</t>
  </si>
  <si>
    <t>オリエンタル酵母工業株式会社</t>
  </si>
  <si>
    <t>2025040926-224-1</t>
  </si>
  <si>
    <t>27205-032-001</t>
  </si>
  <si>
    <t>4年目HDD交換【7号倉庫】</t>
  </si>
  <si>
    <t>8年目HDD交換、電源ユニット、冷却ﾌｧﾝ、電池、DVDﾄﾞﾗｲﾌﾞ交換【7号倉庫】</t>
  </si>
  <si>
    <t>2025040924-224-1</t>
  </si>
  <si>
    <t>4年目HDD交換【1号倉庫】</t>
  </si>
  <si>
    <t>8年目HDD交換、電源ユニット、冷却ﾌｧﾝ、電池、DVDﾄﾞﾗｲﾌﾞ交換【1号倉庫】</t>
  </si>
  <si>
    <t>北海製罐株式会社</t>
  </si>
  <si>
    <t>千代田工場</t>
  </si>
  <si>
    <t>2025040922-224-1 / 2025040928-224-1</t>
  </si>
  <si>
    <t>10523-014-002</t>
  </si>
  <si>
    <t xml:space="preserve">【保証】SGH229V9D6 / 【保証】SGH229V9D3
</t>
  </si>
  <si>
    <t xml:space="preserve">ＵＰＳバッテリ交換（2回目）
</t>
  </si>
  <si>
    <t xml:space="preserve">ブランド / 機器構成名(個体名) / 型式 / シリアル番号
WareNavi Framework Custom / WareNaviｻｰﾊﾞ(HA8000V/DL360 Gen10)(WCSSV01) / 無停電電源装置(1200VA)GQ-SBURV1202LNH / 10660
WareNavi Framework Custom / WareNaviｻｰﾊﾞ予備機(HA8000V/DL360 Gen10)(WCSSV02) / 無停電電源装置(1200VA)GQ-SBURV1202LNH / 10659
</t>
  </si>
  <si>
    <t>2025051420-224-1</t>
  </si>
  <si>
    <t>熊本事業所</t>
  </si>
  <si>
    <t>ＤＡＳシステム</t>
  </si>
  <si>
    <t>2025051406-224-1</t>
  </si>
  <si>
    <t>43202A108-001</t>
  </si>
  <si>
    <t xml:space="preserve">ブランド / 機器構成名(個体名) / 型式 / シリアル番号
DAM / DAM本体(FC-S36W)(DAM) / FC-S36W-113CW5 / 4200163
</t>
  </si>
  <si>
    <t>対象外</t>
  </si>
  <si>
    <t>株式会社ピュール</t>
  </si>
  <si>
    <t>資材格納自動倉庫</t>
  </si>
  <si>
    <t>2025051426-224-1</t>
  </si>
  <si>
    <t>40230A107-001</t>
  </si>
  <si>
    <t>太陽インキ製造株式会社</t>
  </si>
  <si>
    <t>製品倉庫設備</t>
  </si>
  <si>
    <t>11342-003-001</t>
  </si>
  <si>
    <t>みやぎ生活協同組合</t>
  </si>
  <si>
    <t>要冷ピッキングシステム</t>
  </si>
  <si>
    <t>04423A001-001</t>
  </si>
  <si>
    <t>東京物流センター</t>
  </si>
  <si>
    <t xml:space="preserve">ブランド / 機器構成名(個体名) / 型式 / シリアル番号
ﾗﾍﾞﾙPC / ｵｰﾄﾗﾍﾞﾗ(ALB01) / LR4080SR-TCJ / ED000058
ﾗﾍﾞﾙPC / ｵｰﾄﾗﾍﾞﾗ(ALB02) / LR4080SR-TCJ / ED000059
ﾗﾍﾞﾙPC / ｵｰﾄﾗﾍﾞﾗ(ALB03) / LR4080SR-TCJ / ED000057
ﾗﾍﾞﾙPC / ｵｰﾄﾗﾍﾞﾗ(ALB04) / LR4080SR-TCJ / ED000056
</t>
  </si>
  <si>
    <t>桶川流通センター</t>
  </si>
  <si>
    <t>ヴォコレクト</t>
  </si>
  <si>
    <t>【ﾊﾟｯｸ契約】 / 2304-004</t>
  </si>
  <si>
    <t>11231-040-003</t>
  </si>
  <si>
    <t xml:space="preserve">日立より
バッテリー交換あり。電源をOFFにしての作業になりますので、システム装置の
計画停止をお願い致します。
点検は、平日の8：00～19：00の時間帯での実施となります。
</t>
  </si>
  <si>
    <t xml:space="preserve">ブランド / 機器構成名(個体名) / 型式 / シリアル番号
WareNavi7 / 音声管理ｻｰﾊﾞ(HA8000V/ML350 Gen10)(VOM001) / TQFD52-880404-B21 / SGH150Y1ZK
WareNavi7 / ﾎﾞｲｽ管理端末(ProDesk 600 G6 SFF)(WAT01) / PY-H-9AW71AV-CTPT / PH205WHKY
WareNavi7 / ﾎﾞｲｽ管理端末(ProDesk 600 G6 SFF)(WAT02) / PY-H-9AW71AV-CTPT / PH205WHKZ
</t>
  </si>
  <si>
    <t>2082396 / 2131284</t>
  </si>
  <si>
    <t>株式会社ＪＡＬカーゴサービス</t>
  </si>
  <si>
    <t>商品保管自動倉庫(CS,IDR,HCR)</t>
  </si>
  <si>
    <t>2109-010</t>
  </si>
  <si>
    <t>12211-094-001</t>
  </si>
  <si>
    <t>三井物産流通グループ株式会社</t>
  </si>
  <si>
    <t>首都圏東物流センター</t>
  </si>
  <si>
    <t>12220A127-001</t>
  </si>
  <si>
    <t xml:space="preserve">ブランド / 機器構成名(個体名) / 型式 / シリアル番号
LPM / ｵｰﾄﾗﾍﾞﾗ(LBRZ211) / LR4120SR-TSB / GH000076
LPM / ｵｰﾄﾗﾍﾞﾗ(LBRZ212) / LR4120SR-TSB / GH000077
LPM / ｵｰﾄﾗﾍﾞﾗ(LBRZ213) / LR4120SR-TSB / GH000078
LPM / ｵｰﾄﾗﾍﾞﾗ(LBRZ221) / LR4120SR-TSB / GH000079
LPM / ｵｰﾄﾗﾍﾞﾗ(LBRZ222) / LR4120SR-TSB / GH000080
LPM / ｵｰﾄﾗﾍﾞﾗ(LBRZ223) / LR4120SR-TSB / GH000081
LPM / ｵｰﾄﾗﾍﾞﾗ(LBRZ231) / LR4120SR-TSB / GH000082
LPM / ｵｰﾄﾗﾍﾞﾗ(LBRZ232) / LR4120SR-TSB / GH000083
LPM / ｵｰﾄﾗﾍﾞﾗ(LBRZ233) / LR4120SR-TSB / GH000084
LPM / ｵｰﾄﾗﾍﾞﾗ(LBRZ241) / LR4120SR-TSB / GH000085
LPM / ｵｰﾄﾗﾍﾞﾗ(LBRZ242) / LR4120SR-TSB / GH000086
LPM / ｵｰﾄﾗﾍﾞﾗ(LBRZ243) / LR4120SR-TSB / GH000087
LPM / ｵｰﾄﾗﾍﾞﾗ(LBRZ301) / LR4120SR-TSB / GF000119
LPM / ｵｰﾄﾗﾍﾞﾗ(LBRZ302) / LR4120SR-TSB / GF000120
</t>
  </si>
  <si>
    <t>【ドライライン】自動倉庫システム</t>
  </si>
  <si>
    <t>2089905 / 2091681</t>
  </si>
  <si>
    <t xml:space="preserve">ブランド / 機器構成名(個体名) / 型式 / シリアル番号
DPM / ｵｰﾄﾗﾍﾞﾗ (LR4080SR-T)(LBP03) / LR4080SR-TCJ / 10743320
DPM / ｵｰﾄﾗﾍﾞﾗ (LR4080SR-T)(LBP05) / LR4080SR-TCJ / 10743322
LPM / ｵｰﾄﾗﾍﾞﾗ (LR4081SR-T)(LBP01) / LR4081SR-TCJ / 10743323
LPM / ｵｰﾄﾗﾍﾞﾗ (LR4081SR-T)(LBP02) / LR4081SR-TCJ / 10743324
DPM / ｵｰﾄﾗﾍﾞﾗ (LR4081SR-T)(LBP04) / LR4081SR-TCJ / 10743321
DPM / ｵｰﾄﾗﾍﾞﾗ (LR4081SR-T)(LBP06) / LR4081SR-TCJ / AH000039
</t>
  </si>
  <si>
    <t>立体自動倉庫設備</t>
  </si>
  <si>
    <t>40133A102-001</t>
  </si>
  <si>
    <t>2025020410-224-1 / 2025020413-224-1</t>
  </si>
  <si>
    <t xml:space="preserve">ブランド / 機器構成名(個体名) / 型式 / シリアル番号
SAM / SAM(FC-S36W)(SAM101) / FC-S36W-143CV7 / 4101107
LPM / LPM(FC-S36W)(LPM101) / FC-S36W-143CV7 / 3Z01085
SAM / SAM兼LPM予備機(FC-S36W)(予備機) / FC-S36W-143CV7 / 4101108
SAM / MOSⅦ本体(FC-E22K)(MOSZ101) / FC-E22K-L / 4201968
</t>
  </si>
  <si>
    <t>広島事業所</t>
  </si>
  <si>
    <t>2025051402-224-1</t>
  </si>
  <si>
    <t>34212A110-001</t>
  </si>
  <si>
    <t>2025051408-224-1</t>
  </si>
  <si>
    <t>11214A111-001</t>
  </si>
  <si>
    <t>座間事業所</t>
  </si>
  <si>
    <t>2025051410-224-1</t>
  </si>
  <si>
    <t>14216A103-001</t>
  </si>
  <si>
    <t>習志野事業所</t>
  </si>
  <si>
    <t>2025051412-224-1</t>
  </si>
  <si>
    <t>12216A128-001</t>
  </si>
  <si>
    <t>北陸事業所</t>
  </si>
  <si>
    <t>2025051414-224-1</t>
  </si>
  <si>
    <t>17211A101-001</t>
  </si>
  <si>
    <t>名古屋事業所</t>
  </si>
  <si>
    <t>2025051416-224-1</t>
  </si>
  <si>
    <t>23361A106-001</t>
  </si>
  <si>
    <t>2025051432-224-1</t>
  </si>
  <si>
    <t>【製品倉庫】4年目HDD交換</t>
  </si>
  <si>
    <t>【製品倉庫】8年目HDD交換、電源ユニット、冷却ﾌｧﾝ、電池、DVDﾄﾞﾗｲﾌﾞ交換</t>
  </si>
  <si>
    <t>2025051430-224-1</t>
  </si>
  <si>
    <t>【資材倉庫】4年目HDD交換</t>
  </si>
  <si>
    <t>【資材倉庫】8年目HDD交換、電源ユニット、冷却ﾌｧﾝ、電池、DVDﾄﾞﾗｲﾌﾞ交換</t>
  </si>
  <si>
    <t>青木工場</t>
  </si>
  <si>
    <t>2025051428-224-1</t>
  </si>
  <si>
    <t>20349A100-001</t>
  </si>
  <si>
    <t>国立研究開発法人理化学研究所</t>
  </si>
  <si>
    <t>マウス施設用ケージ搬送システム(KT)</t>
  </si>
  <si>
    <t>2025051422-224-1</t>
  </si>
  <si>
    <t>28100-055-001</t>
  </si>
  <si>
    <t>福岡事業所　資材センター倉庫</t>
  </si>
  <si>
    <t>資材センター倉庫_自動倉庫</t>
  </si>
  <si>
    <t>2025051418-224-1</t>
  </si>
  <si>
    <t>40109A150-002</t>
  </si>
  <si>
    <t>2025051513-224-1</t>
  </si>
  <si>
    <t>鳥越製粉株式会社</t>
  </si>
  <si>
    <t>2025051438-224-1 / 2025051446-224-1</t>
  </si>
  <si>
    <t>12204-513-001</t>
  </si>
  <si>
    <t>株式会社ＩＨＩ原動機</t>
  </si>
  <si>
    <t>太田工場</t>
  </si>
  <si>
    <t>2025051434-224-1</t>
  </si>
  <si>
    <t>10205-029-002</t>
  </si>
  <si>
    <t>原料倉庫･中継ラック</t>
  </si>
  <si>
    <t>2025051454-224-1</t>
  </si>
  <si>
    <t>11342-003-002</t>
  </si>
  <si>
    <t>4年目HDD交換【1号倉庫】　Fc-S36W（#3z00340）のみ</t>
  </si>
  <si>
    <t>8年目HDD交換、電源ユニット、冷却ﾌｧﾝ、電池、DVDﾄﾞﾗｲﾌﾞ交換【1号倉庫】　Fc-S36W（#3z00340）のみ</t>
  </si>
  <si>
    <t>4年目HDD交換　FC-S36W（3X00290、3x00291・・・</t>
  </si>
  <si>
    <t>8年目HDD交換、電源ユニット、冷却ﾌｧﾝ、電池、DVDﾄﾞﾗｲﾌﾞ交換　FC-S36W（3X00290、3x00291・・・</t>
  </si>
  <si>
    <t>2025051450-224-1</t>
  </si>
  <si>
    <t xml:space="preserve">ブランド / 機器構成名(個体名) / 型式 / シリアル番号
eWareNavi Ordermade / eWareNavi端末(FC-E29U)(WMS12) / FC-E29U-S31C42 / 3600887
</t>
  </si>
  <si>
    <t xml:space="preserve">ブランド / 機器構成名(個体名) / 型式 / シリアル番号
eWareNavi Ordermade / eWareNavi端末(FC-E29U)(WMS08) / FC-E29U-S31C42 / 2Z00179
eWareNavi Ordermade / eWareNavi端末(FC-E29U)(WMS09) / FC-E29U-S31C42 / 2Z00189
</t>
  </si>
  <si>
    <t>4年目HDD交換　FC-E29U（2Z00345,2Z00360,2Z00363,2Z00378,2Z00369,2Z00339）</t>
  </si>
  <si>
    <t xml:space="preserve">ブランド / 機器構成名(個体名) / 型式 / シリアル番号
eWareNavi Ordermade / eWareNavi端末(FC-E29U)(WMS10) / FC-E29U-S31C42 / 2Z00345
eWareNavi Ordermade / eWareNavi端末(FC-E29U)(WMS11) / FC-E29U-S31C42 / 2Z00360
eWareNavi Ordermade / eWareNavi端末(FC-E29U)(WMS03) / FC-E29U-S31C42 / 2Z00339
eWareNavi Ordermade / eWareNavi端末(FC-E29U)(WMS04) / FC-E29U-S31C42 / 2Z00363
eWareNavi Ordermade / eWareNavi端末(FC-E29U)(WMS05) / FC-E29U-S31C42 / 2Z00378
eWareNavi Ordermade / eWareNavi端末(FC-E29U)(WMS06) / FC-E29U-S31C42 / 2Z00369
</t>
  </si>
  <si>
    <t>8年目HDD交換、電源ユニット、冷却ﾌｧﾝ、電池、DVDﾄﾞﾗｲﾌﾞ交換　FC-E29U（2Z00345,2Z00360,2Z00363,2Z00378,2Z00369,2Z00339）</t>
  </si>
  <si>
    <t>コンテック</t>
  </si>
  <si>
    <t>医薬品保管・仕分けシステム</t>
  </si>
  <si>
    <t>MSP-20250521-01</t>
  </si>
  <si>
    <t>4年目HDD、シャーシファン、CPUファン交換</t>
  </si>
  <si>
    <t>AWC7 Framework(1号機) / AWC7本体(VPC-5000)(AWC001) / VPC-5000-D01 / OJRLN33000006</t>
  </si>
  <si>
    <t>予防保守作業（6年目）</t>
  </si>
  <si>
    <t>6年目電源ユニット交換</t>
  </si>
  <si>
    <t>8年目HDD、シャーシファン、CPUファン、電池、DVDドライブ交換</t>
  </si>
  <si>
    <t>堺ストックセンター</t>
  </si>
  <si>
    <t>保管設備</t>
  </si>
  <si>
    <t>FA192</t>
  </si>
  <si>
    <t>27144A128-001</t>
  </si>
  <si>
    <t xml:space="preserve">ブランド / 機器構成名(個体名) / 型式 / シリアル番号
WareNavi7A / WareNavi7本体(FA3100T model 800)(WNA001) / UA538020-DF2-CKC-A2663 / OHB889
WareNavi7A / WareNavi7本体(FA3100T model 800)(WNA002) / UA538020-DF2-CKC-A2663 / OHB890
</t>
  </si>
  <si>
    <t>株式会社北翔</t>
  </si>
  <si>
    <t>千葉ロジスティクスセンター</t>
  </si>
  <si>
    <t>2503-001</t>
  </si>
  <si>
    <t>12236A113-001</t>
  </si>
  <si>
    <t>B2棟VF仕上げ自動倉庫</t>
  </si>
  <si>
    <t>2503-002</t>
  </si>
  <si>
    <t>16207-068-013</t>
  </si>
  <si>
    <t>東邦化学工業株式会社</t>
  </si>
  <si>
    <t>冷蔵危険物格納自動倉庫</t>
  </si>
  <si>
    <t>2503-003</t>
  </si>
  <si>
    <t>12229-014-003</t>
  </si>
  <si>
    <t>2503-004</t>
  </si>
  <si>
    <t>クロレラ工業株式会社</t>
  </si>
  <si>
    <t>2504-001</t>
  </si>
  <si>
    <t>40211-021-001</t>
  </si>
  <si>
    <t xml:space="preserve">ブランド / 機器構成名(個体名) / 型式 / シリアル番号
AWC7 Basic / AWC7本体(HF-W6555)(AWC001) / HJ-6555-WEJD/DF05 / 4240138-1
AWC7 Basic / AWC7端末(HF-W2050)(WAT001) / HJ-2050-WEMA/DF03 / 8053103-1
AWC7 Basic / AWC7端末(HF-W2050)(WAT002) / HJ-2050-WEMA/DF03 / 8053103-2
AWC7 Basic / AWC7端末(HF-W2050)(WAT003) / HJ-2050-WEMA/DF03 / 8053101-5
</t>
  </si>
  <si>
    <t>三波食品株式会社</t>
  </si>
  <si>
    <t>2504-002</t>
  </si>
  <si>
    <t>04203A104-001</t>
  </si>
  <si>
    <t>第５製剤･物流棟</t>
  </si>
  <si>
    <t>2504-003</t>
  </si>
  <si>
    <t>27207-010-006</t>
  </si>
  <si>
    <t>4年目HDD交換（パレット系）</t>
  </si>
  <si>
    <t>8年目HDD交換（パレット系）</t>
  </si>
  <si>
    <t>2504-004</t>
  </si>
  <si>
    <t>4年目HDD交換（保冷系）</t>
  </si>
  <si>
    <t>8年目HDD交換（保冷系）</t>
  </si>
  <si>
    <t>株式会社カネカ</t>
  </si>
  <si>
    <t>高砂工業所</t>
  </si>
  <si>
    <t>イースト課　一号冷蔵庫</t>
  </si>
  <si>
    <t>2505-001</t>
  </si>
  <si>
    <t>28216-001-002</t>
  </si>
  <si>
    <t>2505-002</t>
  </si>
  <si>
    <t>仕分機自動倉庫</t>
  </si>
  <si>
    <t>2505-004 / 2505-005</t>
  </si>
  <si>
    <t>08221A102-001</t>
  </si>
  <si>
    <t>4年目HDD交換（仕分け機）</t>
  </si>
  <si>
    <t>8年目HDD交換（仕分け機）</t>
  </si>
  <si>
    <t>2505-006</t>
  </si>
  <si>
    <t>4年目HDD交換（自動ラック）</t>
  </si>
  <si>
    <t>8年目HDD交換（自動ラック）</t>
  </si>
  <si>
    <t>2505-007</t>
  </si>
  <si>
    <t>株式会社BANDAI SPIRITS</t>
  </si>
  <si>
    <t>ホビーセンター新工場</t>
  </si>
  <si>
    <t>ホビーセンター新工場マテハン導入計画</t>
  </si>
  <si>
    <t>2025061008-224-1</t>
  </si>
  <si>
    <t>22101A142-001</t>
  </si>
  <si>
    <t>水島工場</t>
  </si>
  <si>
    <t>立体自動倉庫棟 マテハン設備</t>
  </si>
  <si>
    <t>2025061122-224-1 / 2025061124-224-1</t>
  </si>
  <si>
    <t>33202A179-001</t>
  </si>
  <si>
    <t>南港東営業所</t>
  </si>
  <si>
    <t>2025051442-224-2 / 2025051444-224-2</t>
  </si>
  <si>
    <t>27125-326-001</t>
  </si>
  <si>
    <t>くもん東京ＤＣ</t>
  </si>
  <si>
    <t>教材保管倉庫</t>
  </si>
  <si>
    <t>2025061014-224-1 / 2025061016-224-1</t>
  </si>
  <si>
    <t>12204-257-001</t>
  </si>
  <si>
    <t>名古屋大学医学部附属病院</t>
  </si>
  <si>
    <t>名古屋大病院</t>
  </si>
  <si>
    <t>手術器材・廃棄物自動搬送システム</t>
  </si>
  <si>
    <t>2025061023-224-1</t>
  </si>
  <si>
    <t>23107-126-001</t>
  </si>
  <si>
    <t>協同水産流通株式会社</t>
  </si>
  <si>
    <t>船橋</t>
  </si>
  <si>
    <t>冷凍食品保管倉庫(KT)</t>
  </si>
  <si>
    <t>2025061104-224-1 / 2025061106-224-1</t>
  </si>
  <si>
    <t>12204-175-002</t>
  </si>
  <si>
    <t>太陽鉱工株式会社</t>
  </si>
  <si>
    <t>2025061108-224-1　</t>
  </si>
  <si>
    <t>18361-062-002</t>
  </si>
  <si>
    <t>株式会社松戸家</t>
  </si>
  <si>
    <t>小平メモリアルガーデン</t>
  </si>
  <si>
    <t>2025061110-224-1</t>
  </si>
  <si>
    <t>13213A108-001</t>
  </si>
  <si>
    <t>ダイヘン産業機器株式会社</t>
  </si>
  <si>
    <t>樟原工場</t>
  </si>
  <si>
    <t>2025061114-224-1</t>
  </si>
  <si>
    <t>31201A117-003</t>
  </si>
  <si>
    <t>福崎物流センタ－</t>
  </si>
  <si>
    <t>ウェアナビシステム</t>
  </si>
  <si>
    <t>2025061118-224-1 / 2025061120-224-1</t>
  </si>
  <si>
    <t>28443-059-001</t>
  </si>
  <si>
    <t>※FTサーバの為、診断対象外。</t>
  </si>
  <si>
    <t>※プロダクト対象外の為、診断対象外。</t>
  </si>
  <si>
    <t xml:space="preserve">ブランド / 機器構成名(個体名) / 型式 / シリアル番号
AWC7 Basic / AWC7本体(FC-S36W)(AWC001) / FC-S36W-143CV7 / 4101121
</t>
  </si>
  <si>
    <t>※UNIXサーバの為、診断対象外。</t>
  </si>
  <si>
    <t>株式会社J-MAX</t>
  </si>
  <si>
    <t>上石津工場</t>
  </si>
  <si>
    <t>部品保管自動倉庫</t>
  </si>
  <si>
    <t>1609-002</t>
  </si>
  <si>
    <t>21342-009-001</t>
  </si>
  <si>
    <t xml:space="preserve">ブランド / 機器構成名(個体名) / 型式 / シリアル番号
AWC4 Framework / AWC4本体 (HF-W6545)(AWC001) / HJ-65459EWJD/DF01 / 4227246-1
</t>
  </si>
  <si>
    <t>2407-003 / 2407-004</t>
  </si>
  <si>
    <t xml:space="preserve">ブランド / 機器構成名(個体名) / 型式 / シリアル番号
AWC-800U / AWCｻｰﾊﾞ (EP8000 S914)(AWC01) / THE-C900941G623 / 70659
AWC-800U / AWCｻｰﾊﾞ予備機 (EP8000 S914)(AWC01予備) / THE-C900941G623 / 70660
AWC-800U / 無線ﾊﾝﾃﾞｨｻｰﾊﾞ (HF-W6560)(WARENAVI001) / HJ-6560-WFJB/7R / 4525646-1
AWC-800U / AWC画面ﾏﾈｰｼﾞｬ (HF-W6560)(AWC02) / HJ-6560-WFJB/7R / 4525646-2
AWC-800U / AWC画面ﾏﾈｰｼﾞｬ予備機 (HF-W6560)(AWC02予備) / HJ-6560-WFJB/7R / 4525647-5
AWC-800U / AWC端末 (HF-W2050)(WSC001) / HJ-2050-WEMA/DF03 / 8055379-4
AWC-800U / AWC端末 (HF-W2050)(WSC002) / HJ-2050-WEMA/DF03 / 8055370-10
AWC-800U / AWC端末 (HF-W2050)(WSC003) / HJ-2050-WEMA/DF03 / 8055379-2
AWC-800U / AWC端末 (HF-W2050)(WSC004) / HJ-2050-WEMA/DF03 / 8055370-9
AWC-800U / AWC端末 (HF-W2050)(WSC005) / HJ-2050-WEMA/DF03 / 8055379-3
AWC-800U / AWC端末 (HF-W2050)(WSC006) / HJ-2050-WEMA/DF03 / 8055379-1
</t>
  </si>
  <si>
    <t>1911-004 / 1912-003 / 2405-005</t>
  </si>
  <si>
    <t>【システム点検】※ハードウェア単独保守の為、診断対象外。　/【契約情報：ハードのみ】</t>
  </si>
  <si>
    <t xml:space="preserve">ブランド / 機器構成名(個体名) / 型式 / シリアル番号
RTS-100 / RTSｻｰﾊﾞ(EP8000 S814)(RTS01) / THE-C828641A630T / 51503
RTS-100 / RTSｻｰﾊﾞ(EP8000 S814)(RTS01) / THE-C3580-H6S / ???
RTS-100 / RTSｻｰﾊﾞ予備機(EP8000 S814)(RTS予備機) / THE-C828641A630T / 51504
RTS-100 / RTS端末(HF-W2045)(WSC01) / HJ-2045-WBJA/DF01 / 4233247-6
RTS-100 / RTS端末(HF-W2045)(WSC09) / HJ-2045-WBJA/DF01 / 4233247-5
RTS-100 / RTS端末/BCR付(HF-W2045)(WSC02) / HJ-2045-WBJA/DF01 / 4233247-16
RTS-100 / RTS端末/BCR付(HF-W2045)(WSC03) / HJ-2045-WBJA/DF01 / 4233247-19
RTS-100 / RTS端末/BCR付(HF-W2045)(WSC04) / HJ-2045-WBJA/DF01 / 4233247-8
RTS-100 / RTS端末/BCR付(HF-W2045)(WSC05) / HJ-2045-WBJA/DF01 / 4233247-11
RTS-100 / RTS端末/BCR付(HF-W2045)(WSC06) / HJ-2045-WBJA/DF01 / 4233247-15
RTS-100 / RTS端末/BCR付(HF-W2045)(WSC07) / HJ-2045-WBJA/DF01 / 4233247-2 
RTS-100 / RTS端末/BCR付(HF-W2045)(WSC08) / HJ-2045-WBJA/DF01 / 4233247-18
RTS-100 / RTS端末/BCR付(HF-W2045)(WSC10) / HJ-2045-WBJA/DF01 / 4233247-20
RTS-100 / RTS端末/BCR付(HF-W2045)(WSC11) / HJ-2045-WBJA/DF01 / 4233247-17
RTS-100 / RTS端末/BCR付(HF-W2045)(WSC12) / HJ-2045-WBJA/DF01 / 4233247-10
RTS-100 / RTS端末/BCR付(HF-W2045)(WSC13) / HJ-2045-WBJA/DF01 / 4233247-14
RTS-100 / RTS端末/BCR付(HF-W2045)(WSC14) / HJ-2045-WBJA/DF01 / 4233247-12
RTS-100 / RTS端末/BCR付(HF-W2045)(WSC15) / HJ-2045-WBJA/DF01 / 4233247-1
RTS-100 / RTS端末/BCR付(HF-W2045)(WSC16) / HJ-2045-WBJA/DF01 / 4233247-9
RTS-100 / RTS端末/BCR付(HF-W2045)(WSC17) / HJ-2045-WBJA/DF01 / 4233247-4
RTS-100 / RTS端末/BCR付(HF-W2045)(WSC18) / HJ-2045-WBJA/DF01 / 4233247-3
RTS-100 / RTS端末/BCR付(HF-W2045)(WSC19) / HJ-2045-WBJA/DF01 / 4233247-13
RTS-100 / RTS端末(HF-W6555)(WSC20) / HJ-6555-WBJD/DF01 / 4240726-1
RTS-100 / ﾊﾝﾃﾞｨｻｰﾊﾞ(HF-W2045)(WN001) / HJ-2045-WBJA/DF01 / 4233247-7 
</t>
  </si>
  <si>
    <t>2023051704-224-1</t>
  </si>
  <si>
    <t xml:space="preserve">ブランド / 機器構成名(個体名) / 型式 / シリアル番号
RTS-100 / 9Y-MOS(FC-E22U)(MOS01) / FC-E22U-S / 8506087
RTS-100 / 9Y-MOS(FC-E22U)(MOS02) / FC-E22U-S / 8506092
</t>
  </si>
  <si>
    <t>テクノステージ物流センター</t>
  </si>
  <si>
    <t>eyeNAVI</t>
  </si>
  <si>
    <t>27202-185-001</t>
  </si>
  <si>
    <t xml:space="preserve">ブランド / 機器構成名(個体名) / 型式 / シリアル番号
DPM(要冷ﾗｲﾝ) / ｵｰﾄﾗﾍﾞﾗ (LR4080SR-TSB)(LBP01) / LR4080SR-TSB / 3054A562
DPM(要冷ﾗｲﾝ) / ｵｰﾄﾗﾍﾞﾗ (LR4080SR-TSB)(LBP03) / LR4080SR-TSB / 3054A561
DPM(要冷ﾗｲﾝ) / ｵｰﾄﾗﾍﾞﾗ (LR4080SR-TSB)(LBP05) / LR4080SR-TSB / 4014A003
DPM(要冷ﾗｲﾝ) / ｵｰﾄﾗﾍﾞﾗ (LR4080SR-TSB)(LBP07) / LR4080SR-TSB / 4014A002
DPM(要冷ﾗｲﾝ) / ｵｰﾄﾗﾍﾞﾗ (LR4081SR-TSB)(LBP02) / LR4081SR-TSB / 3054A564
DPM(要冷ﾗｲﾝ) / ｵｰﾄﾗﾍﾞﾗ (LR4081SR-TSB)(LBP04) / LR4081SR-TSB / 3054A563
DPM(要冷ﾗｲﾝ) / ｵｰﾄﾗﾍﾞﾗ (LR4081SR-TSB)(LBP06) / LR4081SR-TSB / 4014A004
</t>
  </si>
  <si>
    <t>【システム点検】※プロダクト対象外の為、診断対象外。　/【契約情報：ドライライン】</t>
  </si>
  <si>
    <t xml:space="preserve">ブランド / 機器構成名(個体名) / 型式 / シリアル番号
eAWC Framework(FS) / eAWC本体 / FS (FC-S35W/S7)(AWC01) / FC-S35W/S72CL9 / S890014MA
eAWC Framework(DPS補充) / eAWC本体 / DPS補充【AWC02】 (FC-S35W/S7)(AWC02) / FC-S35W/S72CL9 / S890006MA
eAWC Framework(DPS補充) / eAWC本体 / DPS補充【AWC03】 (FC-S35W/S7)(AWC03) / FC-S35W/S72CL9 / S6X0288MA
DPM / 投入PC【DPM31, DPM32】 (FC-S35W/S7)(DPM31) / FC-S35W/S72CL9 / S451037MA
DPM / 投入PC【DPM31, DPM32】 (FC-S35W/S7)(DPM32) / FC-S35W/S72CL9 / S451035MA
DPM / 投入PC【DPM41, DPM42, DPM33, DPM43】 (FC-S35W/S7)(DPM041) / FC-S35W/S72CL9 / S6X0283MA
DPM / 投入PC【DPM41, DPM42, DPM33, DPM43】 (FC-S35W/S7)(DPM042) / FC-S35W/S72CL9 / S6X0292MA
DPM / 投入PC【DPM41, DPM42, DPM33, DPM43】 (FC-S35W/S7)(DPM033) / FC-S35W/S72CL9 / S6X0286MA
DPM / 投入PC【DPM41, DPM42, DPM33, DPM43】 (FC-S35W/S7)(DPM043) / FC-S35W/S72CL9 / S6X0287MA
</t>
  </si>
  <si>
    <t xml:space="preserve">ブランド / 機器構成名(個体名) / 型式 / シリアル番号
AWC7 Framework / AWC7本体 (FC-S36W)(AWC001) / FC-S36W-143CV7 / 1900480
AWC7 Framework / AWC7端末 (FC-E22U)(WAT001) / FC-E22U-S / 1716403
AWC7 Framework / 9Y-MOS(FC-E22U)(MOS01) / FC-E22U-S / 9609905
</t>
  </si>
  <si>
    <t>株式会社神戸物産</t>
  </si>
  <si>
    <t>28102-128-001</t>
  </si>
  <si>
    <t xml:space="preserve">ブランド / 機器構成名(個体名) / 型式 / シリアル番号
LPM / ｵｰﾄﾗﾍﾞﾗ(LBRZ001) / LR4120SR-TSJ / HB000098
LPM / ｵｰﾄﾗﾍﾞﾗ(LBRZ002) / LR4120SR-TSJ / HB000099
LPM / ｵｰﾄﾗﾍﾞﾗ(LBRZ003) / LR4120SR-TSJ / HB000100
LPM / ｵｰﾄﾗﾍﾞﾗ(LBRZ004) / LR4120SR-TSJ / HB000101
LPM / ｵｰﾄﾗﾍﾞﾗ(LBRZ005) / LR4120SR-TSJ / HB000102
</t>
  </si>
  <si>
    <t>士幌町農業協同組合</t>
  </si>
  <si>
    <t>食用馬鈴薯貯蔵・選果施設</t>
  </si>
  <si>
    <t>馬鈴薯出荷貯蔵施設</t>
  </si>
  <si>
    <t>01632A101-001</t>
  </si>
  <si>
    <t xml:space="preserve">ブランド / 機器構成名(個体名) / 型式 / シリアル番号
AWC4 Framework / AWC4本体 (FC-S35W/S7)(AWC001) / FC-S35W/S72CL9 / S521254MA
</t>
  </si>
  <si>
    <t>広域統括本部　LW北東北DDC</t>
  </si>
  <si>
    <t>CE451511</t>
  </si>
  <si>
    <t>03305-037-001</t>
  </si>
  <si>
    <t>2026年7月終息
【システム点検】※IAサーバの為、診断対象外。</t>
  </si>
  <si>
    <t xml:space="preserve">ブランド / 機器構成名(個体名) / 型式 / シリアル番号
SAM / SAM (PRIMERGY TX1310 M3)(batpc) / PYT1313T3S / MA9F011750
</t>
  </si>
  <si>
    <t>2020061606-216-1 / 2020061612-216-1</t>
  </si>
  <si>
    <t>2004-001 / 2505-002</t>
  </si>
  <si>
    <t xml:space="preserve">ブランド / 機器構成名(個体名) / 型式 / シリアル番号
AWC-500N / AWC本体 (HF-W6555)(AWC001) / HJ-6555-WBJD/DF01 / 4234785-1
AWC-500N / AWC端末 (HF-W2045)(WAT004) / HJ-2045-WBJA/DF01 / 4234469-1
AWC-500N / AWC端末 (HF-W2045【BCR付き】)(WAT001) / HJ-2045-WBJA/DF01 / 4234470-1
AWC-500N / AWC端末 (HF-W2045【BCR付き】)(WAT002) / HJ-2045-WBJA/DF01 / 4234471-1
AWC-500N / AWC端末 (HF-W2045【BCR付き】)(WAT003) / HJ-2045-WBJA/DF01 / 4234472-1
AWC-500N / MOSⅦ本体 (HF-W2055)() / HJ-2055-WEMA/DF04 / 8054682-3
</t>
  </si>
  <si>
    <t xml:space="preserve">ブランド / 機器構成名(個体名) / 型式 / シリアル番号
AWC4 Framework / AWC4本体(FC-S36W)(AWC001) / FC-S36W-143CV7 / 0900263
</t>
  </si>
  <si>
    <t>ミツエイ株式会社</t>
  </si>
  <si>
    <t>本社いわき工場</t>
  </si>
  <si>
    <t>第2工場自動倉庫</t>
  </si>
  <si>
    <t>1511-001</t>
  </si>
  <si>
    <t>07204A118-001</t>
  </si>
  <si>
    <t xml:space="preserve">ブランド / 機器構成名(個体名) / 型式 / シリアル番号
AWC4 Framework / AWC4本体 (HF-W6545)(AWC001) / HJ-65459EWJD/DF01 / 4224286-1
AWC4 Framework / AWC4端末 (HF-W2035)(WAT001) / HJ-20359EWJA/DF01 / 4224195-1
</t>
  </si>
  <si>
    <t>2023110804-224-1 / 2025111204-225-1</t>
  </si>
  <si>
    <t xml:space="preserve">ブランド / 機器構成名(個体名) / 型式 / シリアル番号
AWC7 Framework / AWC7本体 (FC-S36W)(AWC001) / FC-S36W-113CW5 / 2800139
AWC7 Framework / AWC7端末(FC-E29U)(WAT003) / FC-E29U-S31C42 / 3200518
AWC7 Framework / AWC7端末(FC-E29U)(WAT004) / FC-E29U-S31C42 / 3200535
</t>
  </si>
  <si>
    <t>●上位  【システム点検】※RMC10台、FSC1台の保守を店舗自営にて契約</t>
  </si>
  <si>
    <t>2024120602-224-1</t>
  </si>
  <si>
    <t>08444-002-001</t>
  </si>
  <si>
    <t xml:space="preserve">ブランド / 機器構成名(個体名) / 型式 / シリアル番号
AWC-100N+ / MOSⅦ(FC-E22K)(MOS01) / FC-E22K-L / 4X02697
</t>
  </si>
  <si>
    <t xml:space="preserve">ブランド / 機器構成名(個体名) / 型式 / シリアル番号
AWC4 Framework / AWC4本体 （FC-S35W/S7）(AWC001) / FC-S35W/S72CL9 / S630518MA
AWC4 Framework / AWC4端末 （FC-E16U/S7）(WAT001) / FC-E16U/S71R4Z / S660993MA
AWC4 Framework / AWC4端末 （FC-E16U/S7）(WAT002) / FC-E16U/S71R4Z / S660996MA
</t>
  </si>
  <si>
    <t>08443-079-011</t>
  </si>
  <si>
    <t xml:space="preserve">ブランド / 機器構成名(個体名) / 型式 / シリアル番号
eAWC Framework Custom / eAWC本体(FC-S36W)(EAWC001) / FC-S36W-143CV7 / 4901221
</t>
  </si>
  <si>
    <t>中外製薬工業株式会社</t>
  </si>
  <si>
    <t>宇都宮工場</t>
  </si>
  <si>
    <t>製品搬送倉庫</t>
  </si>
  <si>
    <t>CE150229-1 / CE350091-3</t>
  </si>
  <si>
    <t>09201-404-001</t>
  </si>
  <si>
    <t>2018062110-216-1 / 2018062603-216-1</t>
  </si>
  <si>
    <t>2022101906-221-1 / 2022101908-221-1 / 2024111221-224-1</t>
  </si>
  <si>
    <t>【第6工場】自動倉庫システム</t>
  </si>
  <si>
    <t>1602-003</t>
  </si>
  <si>
    <t>11108A000-001</t>
  </si>
  <si>
    <t>株式会社ＬＩＸＩＬサンウエーブ製作所</t>
  </si>
  <si>
    <t>深谷工場</t>
  </si>
  <si>
    <t>キャビネット格納システム</t>
  </si>
  <si>
    <t>2021042318-216-1</t>
  </si>
  <si>
    <t>11218A110-003</t>
  </si>
  <si>
    <t>北埼玉支店</t>
  </si>
  <si>
    <t>2018092502-216-1 / 2022120108-221-1</t>
  </si>
  <si>
    <t>11210A126-001</t>
  </si>
  <si>
    <t>日高センター計画</t>
  </si>
  <si>
    <t>【システム点検】※サポート対象外OSの為、診断対象外。　/【契約情報：ハードウェアのみ】</t>
  </si>
  <si>
    <t>2023051202-224-1 / 2023051204-224-1 / 2023051206-224-1</t>
  </si>
  <si>
    <t>冷凍・常温自動倉庫</t>
  </si>
  <si>
    <t>12227-004-002</t>
  </si>
  <si>
    <t>FA149</t>
  </si>
  <si>
    <t>12219-348-001</t>
  </si>
  <si>
    <t>FA154 / FA155</t>
  </si>
  <si>
    <t>2022060806-221-1 / 2022060808-221-1</t>
  </si>
  <si>
    <t>2302-003</t>
  </si>
  <si>
    <t>東京支店</t>
  </si>
  <si>
    <t>13201A007-001</t>
  </si>
  <si>
    <t>納骨堂（FS）</t>
  </si>
  <si>
    <t xml:space="preserve">ブランド / 機器構成名(個体名) / 型式 / シリアル番号
eAWC Framework / eAWC本体(FC-S36W)(AWC001) / FC-S36W-143CV7 / 0900272
</t>
  </si>
  <si>
    <t>2021060902-221-1 / 2021060904-221-1 / 2021061102-221-1</t>
  </si>
  <si>
    <t>210608-1-221</t>
  </si>
  <si>
    <t>ユニマーケティングサービス株式会社</t>
  </si>
  <si>
    <t>三菱鉛筆株式会社　横浜新物流センター</t>
  </si>
  <si>
    <t>14102A116-001</t>
  </si>
  <si>
    <t xml:space="preserve">ブランド / 機器構成名(個体名) / 型式 / シリアル番号
LPM / ｵｰﾄﾗﾍﾞﾗ(ALBP04) / LR4081SR-TSB / ED000075
LPM / ｵｰﾄﾗﾍﾞﾗ(ALBP01) / LR4081SR-TSB / EJ000063
LPM / ｵｰﾄﾗﾍﾞﾗ(ALBP02) / LR4081SR-TSB / EJ000062
LPM / ｵｰﾄﾗﾍﾞﾗ(ALBP03) / LR4081SR-TSB / EJ000061
</t>
  </si>
  <si>
    <t>2号棟ドライルーム　ベースフィルム保管自動倉庫</t>
  </si>
  <si>
    <t>1705-004</t>
  </si>
  <si>
    <t>15222-238-002</t>
  </si>
  <si>
    <t>新潟江南物流センター</t>
  </si>
  <si>
    <t>ウオロク新潟総合物流センター</t>
  </si>
  <si>
    <t>15104A109-001</t>
  </si>
  <si>
    <t>長岡北センター</t>
  </si>
  <si>
    <t>冷凍・冷蔵自動倉庫</t>
  </si>
  <si>
    <t>2025051456-224-1</t>
  </si>
  <si>
    <t>15202A145-001</t>
  </si>
  <si>
    <t>新中村化学工業株式会社</t>
  </si>
  <si>
    <t>FA173</t>
  </si>
  <si>
    <t>18201-483-001</t>
  </si>
  <si>
    <t>●上位 / 【システム点検】※途中契約の為、フィルター交換対象外</t>
  </si>
  <si>
    <t>2020040703-216-1 / 2020040705-216-1</t>
  </si>
  <si>
    <t>2024091128-224-1 / 2024091134-224-1</t>
  </si>
  <si>
    <t>【システム点検】※サポート対象外OSの為、診断対象外。　/【契約情報：AWC】</t>
  </si>
  <si>
    <t xml:space="preserve">ブランド / 機器構成名(個体名) / 型式 / シリアル番号
AWC-500N / ﾗﾍﾞﾙﾌﾟﾘﾝﾀ(LPR001) / CL4NX-J08 Plus / GJ101280
</t>
  </si>
  <si>
    <t>佐久間特殊鋼株式会社</t>
  </si>
  <si>
    <t>【システム点検】※ハードウェア単独保守の為、診断対象外。</t>
  </si>
  <si>
    <t>株式会社ムラキ</t>
  </si>
  <si>
    <t>金型保管倉庫</t>
  </si>
  <si>
    <t>1602-001</t>
  </si>
  <si>
    <t>22218-119-001</t>
  </si>
  <si>
    <t>掛川商品センター</t>
  </si>
  <si>
    <t>2021090605-221-1</t>
  </si>
  <si>
    <t>22213-248-001</t>
  </si>
  <si>
    <t>1805-007 / 1805-008 / 1805-009</t>
  </si>
  <si>
    <t>2121205 / 2123288</t>
  </si>
  <si>
    <t>愛知みなみ農業協同組合</t>
  </si>
  <si>
    <t>花ポートセンター</t>
  </si>
  <si>
    <t>花卉選別システム</t>
  </si>
  <si>
    <t>CE1001331 / CE150261</t>
  </si>
  <si>
    <t>23623-010-001</t>
  </si>
  <si>
    <t>常温小牧センター</t>
  </si>
  <si>
    <t>ケース搬送ライン</t>
  </si>
  <si>
    <t>2023101216-224-1</t>
  </si>
  <si>
    <t>23219A004-001</t>
  </si>
  <si>
    <t>2081367 / 2143515</t>
  </si>
  <si>
    <t>名南物流センター</t>
  </si>
  <si>
    <t>2024100815-224-1 / 2024100819-224-1</t>
  </si>
  <si>
    <t>23223A113-001</t>
  </si>
  <si>
    <t>10t金型保管倉庫　1号機</t>
  </si>
  <si>
    <t>1606-003</t>
  </si>
  <si>
    <t>23213A109-001</t>
  </si>
  <si>
    <t xml:space="preserve">ブランド / 機器構成名(個体名) / 型式 / シリアル番号
AWC4 Framework / AWC4本体 (HF-W6545)(AWC001) / HJ-65459EWJD/DF01 / 4224734-1
AWC4 Framework / AWC4端末 (HF-W2035)(WAT001) / HJ-20359EWJA/DF01 / 4224918-1
</t>
  </si>
  <si>
    <t>2203-002 / 2203-003</t>
  </si>
  <si>
    <t>花王株式会社</t>
  </si>
  <si>
    <t>豊橋工場</t>
  </si>
  <si>
    <t>豊橋LC　日常生活用品格納仕分RBシステム</t>
  </si>
  <si>
    <t>23201-175-006</t>
  </si>
  <si>
    <t xml:space="preserve">ブランド / 機器構成名(個体名) / 型式 / シリアル番号
AWC7 Basic / AWC7本体(FC-S36W)(AWC001) / FC-S36W-143CV7 / 4401146
AWC7 Basic / AWC7端末(FC-E29U)(WAT001) / FC-E29U-S31C42 / 3600859
AWC7 Basic / AWC7端末(FC-E29U)(WAT002) / FC-E29U-S31C42 / 3600904
</t>
  </si>
  <si>
    <t>株式会社東京インテリア家具</t>
  </si>
  <si>
    <t>大阪ＤＣ</t>
  </si>
  <si>
    <t>大阪配送センター</t>
  </si>
  <si>
    <t>2020012007-216-1</t>
  </si>
  <si>
    <t>27108A106-001</t>
  </si>
  <si>
    <t>株式会社吉野家ホールディングス</t>
  </si>
  <si>
    <t>関西ＤＣ</t>
  </si>
  <si>
    <t>西日本配送センター</t>
  </si>
  <si>
    <t>2019111403-216-1</t>
  </si>
  <si>
    <t>27223A122-001</t>
  </si>
  <si>
    <t>西日本医薬品センター</t>
  </si>
  <si>
    <t>2025102808-225-1 / 2022031105-221-1 / 2022031107-221-1 / 2022031109-221-1 / 2022031111-221-1 / 2022031113-221-1</t>
  </si>
  <si>
    <t xml:space="preserve">ブランド / 機器構成名(個体名) / 型式 / シリアル番号
WareNavi7 / WareNavi7ｻｰﾊﾞ (Express5800/R320g-E4)(WN7-001) / N8800-255Y / 0X00428
WareNavi7 / ｼｬﾄﾙﾗｯｸｻｰﾊﾞ (FC-S36W)(SRS-001) / FC-S36W-143CV7 / 0800236
WareNavi7 / ｼｬﾄﾙﾗｯｸﾘｼﾞｪｸﾄ端末 (FC-E22U)(WAT001) / FC-E22U-S / 0914286
WareNavi7 / ﾊﾞｰｽ端末 (FC-E22U)(WAT101) / FC-E22U-S / 9914297
WareNavi7 / ﾊﾞｰｽ端末 (FC-E22U)(WAT102) / FC-E22U-S / 0914282
WareNavi7 / ﾊﾞｰｽ端末 (FC-E22U)(WAT103) / FC-E22U-S / 0914292
WareNavi7 / ﾊﾞｰｽ端末 (FC-E22U)(WAT104) / FC-E22U-S / 0914290
WareNavi7 / ﾊﾞｰｽ端末 (FC-E22U)(WAT105) / FC-E22U-S / 0914283
WareNavi7 / ﾊﾞｰｽ端末 (FC-E22U)(WAT106) / FC-E22U-S / 0914291
WareNavi7 / ﾊﾞｰｽ端末 (FC-E22U)(WAT107) / FC-E22U-S / 0914299
WareNavi7 / ﾊﾞｰｽ端末 (FC-E22U)(WAT108) / FC-E22U-S / 0914281
WareNavi7 / ﾊﾞｰｽ端末 (FC-E22U)(WAT109) / FC-E22U-S / 0914300
WareNavi7 / ﾊﾞｰｽ端末 (FC-E22U)(WAT110) / FC-E22U-S / 0914294
WareNavi7 / MOSⅦｻｰﾊﾞ (FC-E27B)(MOS01) / FC-E27B-S / 0Y12790
WareNavi7 / MOSⅦｻｰﾊﾞ (FC-E27B)(MOS02) / FC-E27B-S / 0Y12789
WareNavi7 / MOSⅦ端末 (FC-P28X)(MOS101) / FC-P28X-L1 / 0900798
WareNavi7 / MOSⅦ端末 (FC-P28X)(MOS102) / FC-P28X-L1 / 0900799
WareNavi7 / MOSⅦ端末 (FC-P28X)(MOS201) / FC-P28X-L1 / 0900800
WareNavi7 / MOSⅦ端末 (FC-P31X)(MOS301) / FC-P31X-L1 / 0Y00189
SAM / SAMｻｰﾊﾞ (FC-S36W)(SAM-001) / FC-S36W-143CV7 / 0800252
SAM / ｿｰﾀﾘｼﾞｪｸﾄ端末 (FC-E22U)(WAT002) / FC-E22U-S / 0914293
</t>
  </si>
  <si>
    <t>2025020404-224-1 / 2025020406-224-1 / 2025020408-224-1</t>
  </si>
  <si>
    <t>マルサンアイ鳥取株式会社</t>
  </si>
  <si>
    <t>豆乳保管用自動倉庫設備</t>
  </si>
  <si>
    <t>2018042309-216-1</t>
  </si>
  <si>
    <t>31201A115-001</t>
  </si>
  <si>
    <t>帝國製薬株式会社</t>
  </si>
  <si>
    <t>2023091302-224-2</t>
  </si>
  <si>
    <t>37302-012-001</t>
  </si>
  <si>
    <t>2022051205-221-1</t>
  </si>
  <si>
    <t>【パンライン】自動倉庫システム</t>
  </si>
  <si>
    <t xml:space="preserve">ブランド / 機器構成名(個体名) / 型式 / シリアル番号
DPM4(ﾊﾟﾝﾗｲﾝ) / ｵｰﾄﾗﾍﾞﾗ (LR4081SR-TSB)(LBP08) / LR4081SR-TSB / BK000136
DPM4(ﾊﾟﾝﾗｲﾝ) / ｵｰﾄﾗﾍﾞﾗ (LR4080SR-TSB)(LBP09) / LR4080SR-TSB / CA000042
DPM4(ﾊﾟﾝﾗｲﾝ) / ｵｰﾄﾗﾍﾞﾗ (LR4080SR-TSB)(LBP10) / LR4080SR-TSB / BF000012
</t>
  </si>
  <si>
    <t>【資材倉庫】Lプロジェクト　自動倉庫</t>
  </si>
  <si>
    <t>【システム点検】※プロダクト対象外の為、診断対象外。　/【契約情報：資材倉庫】</t>
  </si>
  <si>
    <t>【製品倉庫】Lプロジェクト　自動倉庫</t>
  </si>
  <si>
    <t>【システム点検】※プロダクト対象外の為、診断対象外。　/【契約情報：製品倉庫】</t>
  </si>
  <si>
    <t>日本食研製造株式会社</t>
  </si>
  <si>
    <t>ＫＯ宮殿工場</t>
  </si>
  <si>
    <t>2022090607-221-1</t>
  </si>
  <si>
    <t>38202-092-001</t>
  </si>
  <si>
    <t>ＴＯＴＯプラテクノ株式会社</t>
  </si>
  <si>
    <t>西棟製品・半製品格納用立体自動倉庫</t>
  </si>
  <si>
    <t>2019102113-216-1 / 2019102115-216-1</t>
  </si>
  <si>
    <t>40621-009-001</t>
  </si>
  <si>
    <t>●上位/boxcell</t>
  </si>
  <si>
    <t>2020030617-216-1 / 2023060209-224-1</t>
  </si>
  <si>
    <t>※IAサーバの為、診断対象外。</t>
  </si>
  <si>
    <t>【7年保証】WMSｻｰﾊﾞ / 【5年保証】分析PC / 2502-002 / 2502-003</t>
  </si>
  <si>
    <t>生活協同組合コープみやざき</t>
  </si>
  <si>
    <t>高能力集品システム</t>
  </si>
  <si>
    <t>45201A156-001</t>
  </si>
  <si>
    <t xml:space="preserve">ブランド / 機器構成名(個体名) / 型式 / シリアル番号
eye-navi / ｵｰﾄﾗﾍﾞﾗ (LR4080SR-THC)(LBRZ101) / LR4080SR-THC / GK000066
eye-navi / ｵｰﾄﾗﾍﾞﾗ (LR4080SR-THC)(LBRZ102) / LR4080SR-THC / GK000067
eye-navi / ｵｰﾄﾗﾍﾞﾗ (LR4080SR-THC)(LBRZ103) / LR4080SR-THC / GK000068
eye-navi / ｵｰﾄﾗﾍﾞﾗ (LR4080SR-THC)(LBRZ104) / LR4080SR-THC / GK000069
eye-navi / ｵｰﾄﾗﾍﾞﾗ (LR4081SR-TSJ)(LBRZ105) / LR4081SR-TSJ / GJ000118
eye-navi / ｵｰﾄﾗﾍﾞﾗ (LR4081SR-TSJ)(LBRZ106) / LR4081SR-TSJ / GJ000117
</t>
  </si>
  <si>
    <t>株式会社PILLAR</t>
  </si>
  <si>
    <t>福知山事業所第２工場</t>
  </si>
  <si>
    <t>2508-003</t>
  </si>
  <si>
    <t>26201A112-001</t>
  </si>
  <si>
    <t>三井倉庫株式会社</t>
  </si>
  <si>
    <t>共立製薬関西物流センター</t>
  </si>
  <si>
    <t>共立製薬関西物流センターマテハン設備</t>
  </si>
  <si>
    <t>2025070419-221-1</t>
  </si>
  <si>
    <t>27207A147-001</t>
  </si>
  <si>
    <t>上野緑工場</t>
  </si>
  <si>
    <t>浴室材料自動倉庫</t>
  </si>
  <si>
    <t>2025070411-221-1 / 2025070413-221-1</t>
  </si>
  <si>
    <t>24206-025-002</t>
  </si>
  <si>
    <t xml:space="preserve">ブランド / 機器構成名(個体名) / 型式 / シリアル番号
AWC4 Framework / AWC4本体 (FC-S36W)(AWC001) / FC-S36W-143CV7 / 3Y01055
AWC4 Framework / AWC4端末 (FC-E29U)(WAT001) / FC-E29U-S31C42 / 3500728
</t>
  </si>
  <si>
    <t>静岡ＰＣ</t>
  </si>
  <si>
    <t>搬送システム/副資材</t>
  </si>
  <si>
    <t>2025070409-221-1</t>
  </si>
  <si>
    <t>22424-030-001</t>
  </si>
  <si>
    <t>シオノギファーマ株式会社</t>
  </si>
  <si>
    <t>2025070706-221-1 / 2025070708-221-1</t>
  </si>
  <si>
    <t>28207-098-001</t>
  </si>
  <si>
    <t>株式会社　明治</t>
  </si>
  <si>
    <t>稚内工場</t>
  </si>
  <si>
    <t>バター製品格納用冷凍自動倉庫システム</t>
  </si>
  <si>
    <t>1604-004</t>
  </si>
  <si>
    <t>01214-043-001</t>
  </si>
  <si>
    <t>2023071113-224-1 / 2025072202-221-1</t>
  </si>
  <si>
    <t>【システム点検】※周辺機器の為、診断対象外。　/【契約情報：ｵｰﾄﾗﾍﾞﾗのみ】</t>
  </si>
  <si>
    <t>HSY0003743 / HSY0004652</t>
  </si>
  <si>
    <t>2019082006-216-1 / 2020021204-216-1</t>
  </si>
  <si>
    <t>武州製薬株式会社</t>
  </si>
  <si>
    <t>会津工場</t>
  </si>
  <si>
    <t>中間倉庫</t>
  </si>
  <si>
    <t>2024082302-224-1</t>
  </si>
  <si>
    <t>07202-026-001</t>
  </si>
  <si>
    <t>第二筑波工場</t>
  </si>
  <si>
    <t>薬品保管設備</t>
  </si>
  <si>
    <t>1704-004</t>
  </si>
  <si>
    <t>08502-012-001</t>
  </si>
  <si>
    <t>新棟自動倉庫</t>
  </si>
  <si>
    <t>キッコーマンソイフーズ株式会社</t>
  </si>
  <si>
    <t>2007-005</t>
  </si>
  <si>
    <t>11215-246-001</t>
  </si>
  <si>
    <t>【システム点検】※周辺機器の為、診断対象外。　/【契約情報：サトーのみ】</t>
  </si>
  <si>
    <t>鋼材倉庫</t>
  </si>
  <si>
    <t>1607-006</t>
  </si>
  <si>
    <t>11210-033-003</t>
  </si>
  <si>
    <t>多層階部品供給・格納立体自動倉庫システム</t>
  </si>
  <si>
    <t>2024120616-224-1 / 2024120618-224-1</t>
  </si>
  <si>
    <t>2117181 / 2179683</t>
  </si>
  <si>
    <t>ブランド / 機器構成名(個体名) / 型式 / シリアル番号
DPM / ﾗﾍﾞﾙﾌﾟﾘﾝﾀ予備機(LBL003) / CL4NX-J08 / 5L001601
DPM / ﾗﾍﾞﾙﾌﾟﾘﾝﾀ(LBL001) / CL4NX-J08 Plus / FH101854　※プラチナ点検
DPM / ﾗﾍﾞﾙﾌﾟﾘﾝﾀ(LBL002) / CL4NX-J08 Plus / FH101874　※プラチナ点検</t>
  </si>
  <si>
    <t>新物流センター　製品自動倉庫</t>
  </si>
  <si>
    <t>2018090410-216-1 / 2021100120-221-1 / 2025101006-221-1</t>
  </si>
  <si>
    <t>11217-103-002</t>
  </si>
  <si>
    <t>資材倉庫システム</t>
  </si>
  <si>
    <t>1712-006</t>
  </si>
  <si>
    <t>11215-246-003</t>
  </si>
  <si>
    <t>【システム点検】※周辺機器の為、診断対象外。</t>
  </si>
  <si>
    <t>2022011108-221-1 / 2022011112-221-1</t>
  </si>
  <si>
    <t>CE350125</t>
  </si>
  <si>
    <t>2025041514-224-1</t>
  </si>
  <si>
    <t>ナイキロジスティクス有限会社</t>
  </si>
  <si>
    <t>富里</t>
  </si>
  <si>
    <t>富里ＣＳＣ</t>
  </si>
  <si>
    <t>12324-039-001</t>
  </si>
  <si>
    <t>CE1001345 / CE150313</t>
  </si>
  <si>
    <t>2107938 / 2128744</t>
  </si>
  <si>
    <t>千葉センター</t>
  </si>
  <si>
    <t>1505-006</t>
  </si>
  <si>
    <t>12203-508-001</t>
  </si>
  <si>
    <t>事業統括本部　MS松戸SDC</t>
  </si>
  <si>
    <t>12207-394-001</t>
  </si>
  <si>
    <t>第１原料倉庫</t>
  </si>
  <si>
    <t>2017112403-216-1</t>
  </si>
  <si>
    <t>12211-096-004</t>
  </si>
  <si>
    <t>2024121703-224-1</t>
  </si>
  <si>
    <t>リコージャパン</t>
  </si>
  <si>
    <t>LD-02</t>
  </si>
  <si>
    <t xml:space="preserve">【システム点検】※プロダクト対象外の為、診断対象外。
・エトリア窓口　長嶋　Reina.Nagashima@jp.ricoh.com
1.変更日
令和8年1月1日（木）より
2.新連絡先（変更後）
電話番号：0120-553-093
受付時間：平日 9:00～17:00（祝祭日及び弊社休業日を除く）
※定期保守契約向けと同一の番号に統一されました。
定期保守契約現場のご連絡に関しては引き続き24H/365日受付で承ります。
</t>
  </si>
  <si>
    <t>ブランド / 機器構成名(個体名) / 型式 / シリアル番号
WareNavi7 / ｵｰﾄﾗﾍﾞﾗ(ALR01) / LR4081SR-TSB / AH000016
WareNavi7 / ｵｰﾄﾗﾍﾞﾗ(ALR02) / LR4081SR-TSB / AH000017
WareNavi7 / ｵｰﾄﾗﾍﾞﾗ(ALR03) / LR4081SR-TSB / AH000018
DAM / ﾗﾍﾞﾙﾌﾟﾘﾝﾀ(LPR01) / CL4NX-J08 / 6D000417</t>
  </si>
  <si>
    <t>2018092005-216-1</t>
  </si>
  <si>
    <t>追浜工場</t>
  </si>
  <si>
    <t>コンパクトシステム(防爆)</t>
  </si>
  <si>
    <t>1701-002</t>
  </si>
  <si>
    <t>14201-226-001</t>
  </si>
  <si>
    <t>培養センター</t>
  </si>
  <si>
    <t>1805-001</t>
  </si>
  <si>
    <t>15524-002-001</t>
  </si>
  <si>
    <t>2022012703-221-1 / 2022012705-221-1</t>
  </si>
  <si>
    <t>株式会社うめはら</t>
  </si>
  <si>
    <t>蓼科工場</t>
  </si>
  <si>
    <t>仕掛品及び製品保管倉庫</t>
  </si>
  <si>
    <t>1812-002</t>
  </si>
  <si>
    <t>20214-065-001</t>
  </si>
  <si>
    <t>信英蓄電器箔　株式会社</t>
  </si>
  <si>
    <t>モノリフト</t>
  </si>
  <si>
    <t>2018041104-216-1</t>
  </si>
  <si>
    <t>20385-007-001</t>
  </si>
  <si>
    <t>2022010615-221-1 / 2022010617-221-1</t>
  </si>
  <si>
    <t>2023090514-224-1 / 2025031309-224-1 / 2025031321-224-1</t>
  </si>
  <si>
    <t>【システム点検】※サポート対象外OSの為、診断対象外。　/【契約情報：WareNavi4 Framework】</t>
  </si>
  <si>
    <t>株式会社山本製作所</t>
  </si>
  <si>
    <t>恵那工場</t>
  </si>
  <si>
    <t>第2工場CS</t>
  </si>
  <si>
    <t>1712-005</t>
  </si>
  <si>
    <t>21210-076-003</t>
  </si>
  <si>
    <t>コーケン工業株式会社</t>
  </si>
  <si>
    <t>製品・仕掛品格納ＣＳ</t>
  </si>
  <si>
    <t>FA156 / FA157</t>
  </si>
  <si>
    <t>22483-011-002</t>
  </si>
  <si>
    <t>牧之原第二配送センター</t>
  </si>
  <si>
    <t>22226A111-001</t>
  </si>
  <si>
    <t>CE451699</t>
  </si>
  <si>
    <t>日鉄物産特殊鋼株式会社</t>
  </si>
  <si>
    <t>鋼材格納倉庫</t>
  </si>
  <si>
    <t>FA102</t>
  </si>
  <si>
    <t>23428-025-001</t>
  </si>
  <si>
    <t>西尾支店</t>
  </si>
  <si>
    <t>1602-004</t>
  </si>
  <si>
    <t>23213A105-001</t>
  </si>
  <si>
    <t>名古屋市立大学病院</t>
  </si>
  <si>
    <t>薬剤部</t>
  </si>
  <si>
    <t>2022040608-221-1 / 2022040610-221-1</t>
  </si>
  <si>
    <t>23108-023-001</t>
  </si>
  <si>
    <t>2019042409-216-1 / 2024021906-224-1</t>
  </si>
  <si>
    <t>株式会社松尾製作所</t>
  </si>
  <si>
    <t>東浦工場</t>
  </si>
  <si>
    <t>金型格納自動倉庫</t>
  </si>
  <si>
    <t>2003-001</t>
  </si>
  <si>
    <t>23442A105-001</t>
  </si>
  <si>
    <t>片山チエン株式会社</t>
  </si>
  <si>
    <t>白樫工場</t>
  </si>
  <si>
    <t>チェンホイール格納自動倉庫</t>
  </si>
  <si>
    <t>2025011016-224-1</t>
  </si>
  <si>
    <t>24206-111-001</t>
  </si>
  <si>
    <t>三重物流センター</t>
  </si>
  <si>
    <t>24407-032-001</t>
  </si>
  <si>
    <t>2024112004-224-1</t>
  </si>
  <si>
    <t>事業統括本部　MS久御山ドライSDC</t>
  </si>
  <si>
    <t>平和堂久御山センターA棟システム</t>
  </si>
  <si>
    <t>26322-124-001</t>
  </si>
  <si>
    <t>ORD東大阪ステーション</t>
  </si>
  <si>
    <t>FA162 / FA163</t>
  </si>
  <si>
    <t>27000-002-001</t>
  </si>
  <si>
    <t>三菱電機ビルソリューションズ株式会社</t>
  </si>
  <si>
    <t>保守部品倉庫</t>
  </si>
  <si>
    <t>2021041508-216-1</t>
  </si>
  <si>
    <t>27211A155-001</t>
  </si>
  <si>
    <t>2504-003 / 2504-004</t>
  </si>
  <si>
    <t>2020091002-216-1 / 2020091004-216-1 / 2025060912-224-1</t>
  </si>
  <si>
    <t>LD-03</t>
  </si>
  <si>
    <t xml:space="preserve">※プロダクト対象外の為、診断対象外。
・エトリア窓口　長嶋　Reina.Nagashima@jp.ricoh.com
1.変更日
令和8年1月1日（木）より
2.新連絡先（変更後）
電話番号：0120-553-093
受付時間：平日 9:00～17:00（祝祭日及び弊社休業日を除く）
※定期保守契約向けと同一の番号に統一されました。
定期保守契約現場のご連絡に関しては引き続き24H/365日受付で承ります。
</t>
  </si>
  <si>
    <t>2021111502-221-1 / 2021112407-221-1</t>
  </si>
  <si>
    <t>事業統括本部　MS岡山SDC</t>
  </si>
  <si>
    <t>33201-A55-001</t>
  </si>
  <si>
    <t>減速機部品保管システム</t>
  </si>
  <si>
    <t>西川ゴム工業株式会社</t>
  </si>
  <si>
    <t>安佐工場</t>
  </si>
  <si>
    <t>FA142 / FA143</t>
  </si>
  <si>
    <t>34106-050-002</t>
  </si>
  <si>
    <t>ニッポン高度紙工業株式会社</t>
  </si>
  <si>
    <t>1707-005 / 1707-006</t>
  </si>
  <si>
    <t>2022011102-221-1 / 2023031301-223-1</t>
  </si>
  <si>
    <t>2138964 / 2158500</t>
  </si>
  <si>
    <t>RDC九州</t>
  </si>
  <si>
    <t>2018041105-216-1</t>
  </si>
  <si>
    <t>40216A002-001</t>
  </si>
  <si>
    <t xml:space="preserve">ブランド / 機器構成名(個体名) / 型式 / シリアル番号
AWC4 Framework / AWC4端末(FC-E16U/S7)(AWC003) / FC-E16U/S71R4Z / S620925MA
</t>
  </si>
  <si>
    <t>【システム点検】※IAサーバの為、診断対象外。　見積番号：08SC2701で契約していたが、現契約のリニューアルと、増設部分の契約が別製番となることから、、07SC5921の見積に現契約を移した。VPNリモートは、９月から、増設分の製番で「1BF019721」2024/09/01～処理　/【契約情報：SAM・LPM】</t>
  </si>
  <si>
    <t>電子、出荷工場搬送システム</t>
  </si>
  <si>
    <t>【システム点検】※プロダクト対象外の為、診断対象外。　/【契約情報：出荷センター】</t>
  </si>
  <si>
    <t>【システム点検】※プロダクト対象外の為、診断対象外。　/【契約情報：電子工場】</t>
  </si>
  <si>
    <t>【システム点検】※プロダクト対象外の為、診断対象外。　/【契約情報：第一倉庫】</t>
  </si>
  <si>
    <t>【第二倉庫】</t>
  </si>
  <si>
    <t>2018121815-216-1 / 2018121816-216-1</t>
  </si>
  <si>
    <t>宗教法人常光円満寺</t>
  </si>
  <si>
    <t>2025071508-221-1</t>
  </si>
  <si>
    <t>27205A122-001</t>
  </si>
  <si>
    <t>2025071102-221-1 / 2025071104-221-1</t>
  </si>
  <si>
    <t>マリンフード株式会社</t>
  </si>
  <si>
    <t>長浜工場</t>
  </si>
  <si>
    <t>製品・原料保管システム</t>
  </si>
  <si>
    <t>2025070415-221-1</t>
  </si>
  <si>
    <t>25203A103-001</t>
  </si>
  <si>
    <t>食品工場</t>
  </si>
  <si>
    <t>2025080808-224-1</t>
  </si>
  <si>
    <t>01632-002-001</t>
  </si>
  <si>
    <t>川口事業所</t>
  </si>
  <si>
    <t>2025080810-224-1 / 2025080812-224-1</t>
  </si>
  <si>
    <t>11226-077-001</t>
  </si>
  <si>
    <t>株式会社竹原ゴム加工</t>
  </si>
  <si>
    <t>恵那</t>
  </si>
  <si>
    <t>CS倉庫</t>
  </si>
  <si>
    <t>2025080814-224-1</t>
  </si>
  <si>
    <t>21563-001-001</t>
  </si>
  <si>
    <t>月桂冠株式会社</t>
  </si>
  <si>
    <t>物流部</t>
  </si>
  <si>
    <t>2025080816-224-1</t>
  </si>
  <si>
    <t>26109-166-001</t>
  </si>
  <si>
    <t>コメリ茨城流通センター</t>
  </si>
  <si>
    <t>自動倉庫・仕分搬送設備</t>
  </si>
  <si>
    <t>2025080830-224-1 / 2025080832-224-1</t>
  </si>
  <si>
    <t>08229A101-001</t>
  </si>
  <si>
    <t>フルサト工業株式会社</t>
  </si>
  <si>
    <t>堺物流センター</t>
  </si>
  <si>
    <t>自動倉庫(CS)</t>
  </si>
  <si>
    <t>2025081204-224-1 / 2025081218-224-1</t>
  </si>
  <si>
    <t>27141A142-001</t>
  </si>
  <si>
    <t>フイルム製品格納ＲＢ</t>
  </si>
  <si>
    <t>2025081214-224-1</t>
  </si>
  <si>
    <t>24210-041-001</t>
  </si>
  <si>
    <t>北海道ロジサービス株式会社</t>
  </si>
  <si>
    <t>江別物流センター</t>
  </si>
  <si>
    <t>新冷凍セットセンターマテハン設備</t>
  </si>
  <si>
    <t>2025081206-224-1 / 2025081210-224-1</t>
  </si>
  <si>
    <t>01217-001-004</t>
  </si>
  <si>
    <t>4年目HDD交換。FC-E29Uは8H保守なので作業時間に注意する事。FC-S36Wは24H保守</t>
  </si>
  <si>
    <t>8年目HDD交換、電源ユニット、冷却ﾌｧﾝ、電池、DVDﾄﾞﾗｲﾌﾞ交換。FC-E29Uは8H保守なので作業時間に注意する事。FC-S36Wは24H保守</t>
  </si>
  <si>
    <t>20235081216-224-1</t>
  </si>
  <si>
    <t>4年目HDD交換　LPM105、106</t>
  </si>
  <si>
    <t>8年目HDD交換、電源ユニット、冷却ﾌｧﾝ、電池、DVDﾄﾞﾗｲﾌﾞ交換　LPM105、106</t>
  </si>
  <si>
    <t>2025080826-224-1</t>
  </si>
  <si>
    <t>4年目HDD交換【AWC】　※SAMとは保守製番が違うため、チケットを分けています</t>
  </si>
  <si>
    <t>8年目HDD交換、電源ユニット、冷却ﾌｧﾝ、電池、DVDﾄﾞﾗｲﾌﾞ交換【AWC】　※SAMとは保守製番が違うため、チケットを分けています</t>
  </si>
  <si>
    <t>日向化学品工場</t>
  </si>
  <si>
    <t>危険物保管自動倉庫</t>
  </si>
  <si>
    <t>2025081220-224-1</t>
  </si>
  <si>
    <t>45206A107-001</t>
  </si>
  <si>
    <t>自動倉庫(FS)</t>
  </si>
  <si>
    <t>2025080818-224-1 / 2025080820-224-1</t>
  </si>
  <si>
    <t>27141A142-002</t>
  </si>
  <si>
    <t>株式会社ジュンテンドー</t>
  </si>
  <si>
    <t>三木ＴＣ・ＤＣ</t>
  </si>
  <si>
    <t>2025080822-224-1</t>
  </si>
  <si>
    <t>28215-090-001</t>
  </si>
  <si>
    <t>ナガセケムテックス株式会社</t>
  </si>
  <si>
    <t>播磨事業所</t>
  </si>
  <si>
    <t>原料保管防爆自動倉庫</t>
  </si>
  <si>
    <t>2025080824-224-1</t>
  </si>
  <si>
    <t>28211-075-001</t>
  </si>
  <si>
    <t>平置倉庫棟</t>
  </si>
  <si>
    <t>2506-001</t>
  </si>
  <si>
    <t>11232-004-004</t>
  </si>
  <si>
    <t>自動倉庫システム【B棟】</t>
  </si>
  <si>
    <t>2506-002</t>
  </si>
  <si>
    <t xml:space="preserve">ブランド / 機器構成名(個体名) / 型式 / シリアル番号
eAWC Framework(B棟) / eAWC本体 (HF-W6560)(AWC003) / HJ-6560-WGJB/7R / 4530732-3
</t>
  </si>
  <si>
    <t>2506-003</t>
  </si>
  <si>
    <t>新証券棟</t>
  </si>
  <si>
    <t>2506-004</t>
  </si>
  <si>
    <t>パナソニックエコテクノロジー関東株式会社</t>
  </si>
  <si>
    <t>冷蔵庫ストッカー</t>
  </si>
  <si>
    <t>2507-001</t>
  </si>
  <si>
    <t>08229A002-001</t>
  </si>
  <si>
    <t>2507-002</t>
  </si>
  <si>
    <t>2507-003</t>
  </si>
  <si>
    <t>2507-004</t>
  </si>
  <si>
    <t>2508-001</t>
  </si>
  <si>
    <t>三菱電機モビリティ　姫路事業所　広畑工場</t>
  </si>
  <si>
    <t>第六・七工場　自動倉庫システム</t>
  </si>
  <si>
    <t>2508-002</t>
  </si>
  <si>
    <t>28201-813-004</t>
  </si>
  <si>
    <t>2508-004</t>
  </si>
  <si>
    <t>26201A112-002</t>
  </si>
  <si>
    <t>アサヒプリテック株式会社</t>
  </si>
  <si>
    <t>乾式棟 自動倉庫</t>
  </si>
  <si>
    <t>2508-005</t>
  </si>
  <si>
    <t>08228A117-001</t>
  </si>
  <si>
    <t>標準ポンプ事業部　藤沢工場</t>
  </si>
  <si>
    <t>新工場物流自動倉庫設備</t>
  </si>
  <si>
    <t>2025081202-224-1</t>
  </si>
  <si>
    <t>14205-006-007</t>
  </si>
  <si>
    <t xml:space="preserve">ブランド / 機器構成名(個体名) / 型式 / シリアル番号
WareNavi7(WCS) / ﾗﾍﾞﾙﾌﾟﾘﾝﾀ(袋ﾗﾍﾞﾙ用)(MLB101) / CL4NX-J08 Plus / HE100106
WareNavi7(WCS) / ﾗﾍﾞﾙﾌﾟﾘﾝﾀ(袋ﾗﾍﾞﾙ用)(MLB103) / CL4NX-J08 Plus / HE100114
WareNavi7(WCS) / ﾗﾍﾞﾙﾌﾟﾘﾝﾀ(袋ﾗﾍﾞﾙ用)(MLB105) / CL4NX-J08 Plus / HE100110
</t>
  </si>
  <si>
    <t>2509-001</t>
  </si>
  <si>
    <t xml:space="preserve">ブランド / 機器構成名(個体名) / 型式 / シリアル番号
AWC4 Framework(処理紛倉庫) / AWC4端末 (HF-W2050)[C棟](WAT002) / HJ-2050-WEMA/DF03 / 8055379-10
AWC4 Framework(処理紛倉庫) / AWC4端末 (HF-W2050)[C棟](WAT003) / HJ-2050-WEMA/DF03 / 8055441-1
</t>
  </si>
  <si>
    <t>黒鉛・銅紛添加剤倉庫</t>
  </si>
  <si>
    <t>2509-002</t>
  </si>
  <si>
    <t>4年目HDD交換　MCM：2400923</t>
  </si>
  <si>
    <t xml:space="preserve">ブランド / 機器構成名(個体名) / 型式 / シリアル番号
AWC4 Framework(黒鉛・銅紛添加剤倉庫) / AWC4端末(HF-W2050) [C棟](WAT003) / HJ-2050-WEMA/DF03 / 8055441-2
AWC4 Framework(黒鉛・銅紛添加剤倉庫) / AWC4端末(HF-W2050) [C棟](WAT004) / HJ-2050-WEMA/DF03 / 8055379-9
</t>
  </si>
  <si>
    <t>8年目HDD交換　MCM：2400923</t>
  </si>
  <si>
    <t>2025090506-221-1</t>
  </si>
  <si>
    <t>2025090815-221-1 / 2025090817-221-1</t>
  </si>
  <si>
    <t>2025091702-221-1</t>
  </si>
  <si>
    <t>株式会社パイロットコーポレーション</t>
  </si>
  <si>
    <t>平塚商品センター</t>
  </si>
  <si>
    <t>組立棟 自動倉庫</t>
  </si>
  <si>
    <t>2025090302-221-1 / 2025090206-221-1 / 2025090304-221-1</t>
  </si>
  <si>
    <t>14203-110-004</t>
  </si>
  <si>
    <t>K3棟マテハン設備</t>
  </si>
  <si>
    <t>2025091216-221-1 / 2025091218-221-1 / 2025091220-221-1</t>
  </si>
  <si>
    <t>43367-011-003</t>
  </si>
  <si>
    <t xml:space="preserve">ブランド / 機器構成名(個体名) / 型式 / シリアル番号
WareNavi7A / WCSｻｰﾊﾞ(Express5800/R120j-1M)(APLSV01) / N8100-2986Y / JPND1J00NP
WareNavi7A / WCSｻｰﾊﾞ(Express5800/R120j-1M)(APLSV01) / 無停電電源装置(1500VA,ﾗｯｸﾏｳﾝﾄ)N8142-101 / ???
WareNavi7A / WCSｻｰﾊﾞ予備機(Express5800/R120j-1M)(APLSV02) / N8100-2986Y / JPND1J00NQ
WareNavi7A / WCSｻｰﾊﾞ予備機(Express5800/R120j-1M)(APLSV02) / 無停電電源装置(1500VA,ﾗｯｸﾏｳﾝﾄ)N8142-101 / ???
WareNavi7A / WareNavi7A端末(FC-E29U)(WAT101) / FC-E29U-S31C42 / 3601122
WareNavi7A / WareNavi7A端末(FC-E29U)(WAT102) / FC-E29U-S31C42 / 3601138
WareNavi7A / WareNavi7A端末(FC-E29U)(WAT103) / FC-E29U-S31C42 / 3601152
WareNavi7A / WareNavi7A端末(FC-E29U)(WAT301) / FC-E29U-S31C42 / 3601141
WareNavi7A / WareNavi7A端末(FC-E29U)(WAT302) / FC-E29U-S31C42 / 3601128
WareNavi7A / WareNavi7A端末(FC-E29U)(WAT303) / FC-E29U-S31C42 / 3601143
WareNavi7A / MOSⅦ本体(FC-E22K)(MOSA101) / FC-E22K-L / 4702349
WareNavi7A / MOSⅦ本体(FC-E22K)(MOSB301) / FC-E22K-L / 4702352
WareNavi7A / MOSⅦ本体(FC-E22K)(MOSZ301) / FC-E22K-L / 4702353
WareNavi7A / MOSⅦ端末(FC-P31X)(MOTZ101) / FC-P31X-L1 / 3X02906
WareNavi7A / MOSⅦ端末(FC-P31X)(MOTA301) / FC-P31X-L1 / 2801162
</t>
  </si>
  <si>
    <t>横浜ゴム株式会社</t>
  </si>
  <si>
    <t>ミキサー用ノンプロストレージ 自動倉庫</t>
  </si>
  <si>
    <t>2025090806-221-1 / 2025090808-221-1</t>
  </si>
  <si>
    <t>23221-005-002</t>
  </si>
  <si>
    <t>2025090304-221-1</t>
  </si>
  <si>
    <t>株式会社クミカ物流</t>
  </si>
  <si>
    <t>磐田支店</t>
  </si>
  <si>
    <t>自動倉庫(KU)</t>
  </si>
  <si>
    <t>2025090306-221-1</t>
  </si>
  <si>
    <t>22482-016-001</t>
  </si>
  <si>
    <t>中井機械工業株式会社</t>
  </si>
  <si>
    <t>2025090308-221-1</t>
  </si>
  <si>
    <t>27229-029-001</t>
  </si>
  <si>
    <t>第２物流センター</t>
  </si>
  <si>
    <t>2025090402-221-1</t>
  </si>
  <si>
    <t>05208-013-001</t>
  </si>
  <si>
    <t>秋田物流センター</t>
  </si>
  <si>
    <t>2025090404-221-2 / 2025090406-221-2</t>
  </si>
  <si>
    <t>05421-003-001</t>
  </si>
  <si>
    <t>ノボ ノルディスク ファーマ株式会社</t>
  </si>
  <si>
    <t>2025090408-221-1</t>
  </si>
  <si>
    <t>07203-422-001</t>
  </si>
  <si>
    <t xml:space="preserve">ブランド / 機器構成名(個体名) / 型式 / シリアル番号
RTS-100 / WSC端末(FC-E29U)(WSC01) / FC-E29U-L / 2X00262
</t>
  </si>
  <si>
    <t>粉掛け品保管自動倉庫</t>
  </si>
  <si>
    <t>2025090804-221-1</t>
  </si>
  <si>
    <t>11215-083-002</t>
  </si>
  <si>
    <t>株式会社山一ハガネ</t>
  </si>
  <si>
    <t>コイル自動倉庫</t>
  </si>
  <si>
    <t>2025090810-221-1 / 2025090812-221-1</t>
  </si>
  <si>
    <t>23114-290-002</t>
  </si>
  <si>
    <t>2509-004</t>
  </si>
  <si>
    <t>日新製薬株式会社</t>
  </si>
  <si>
    <t>荒谷工場</t>
  </si>
  <si>
    <t>2509-003</t>
  </si>
  <si>
    <t>06210A009-001</t>
  </si>
  <si>
    <t>株式会社平野屋物産</t>
  </si>
  <si>
    <t>鷹取工場</t>
  </si>
  <si>
    <t>2509-008</t>
  </si>
  <si>
    <t>40225A100-002</t>
  </si>
  <si>
    <t>株式会社エドウィン</t>
  </si>
  <si>
    <t>野田物流</t>
  </si>
  <si>
    <t>2509-006</t>
  </si>
  <si>
    <t>12208A127-002</t>
  </si>
  <si>
    <t>北港(舞洲)物流センター</t>
  </si>
  <si>
    <t>冷凍倉庫</t>
  </si>
  <si>
    <t>2509-007</t>
  </si>
  <si>
    <t>27104-175-001</t>
  </si>
  <si>
    <t>株式会社千代田テクノル</t>
  </si>
  <si>
    <t>大貫台事業所</t>
  </si>
  <si>
    <t>コンテナパレットマテリアルハンドリングシステム</t>
  </si>
  <si>
    <t>2509-005</t>
  </si>
  <si>
    <t>08309A101-001</t>
  </si>
  <si>
    <t>2025101502-221-1</t>
  </si>
  <si>
    <t>西川ローズ株式会社</t>
  </si>
  <si>
    <t>甲南事業所</t>
  </si>
  <si>
    <t>甲南事業所 製品保管自動倉庫</t>
  </si>
  <si>
    <t>2025101504-221-1 / 2025101506-221-1</t>
  </si>
  <si>
    <t>25209A136-001</t>
  </si>
  <si>
    <t>デルタ工業株式会社</t>
  </si>
  <si>
    <t>八本松工場</t>
  </si>
  <si>
    <t>2025101510-221-1</t>
  </si>
  <si>
    <t>34212A158-001</t>
  </si>
  <si>
    <t>2025101405-225-1</t>
  </si>
  <si>
    <t>2025100909-225-1 / 2025100911-225-1</t>
  </si>
  <si>
    <t>静岡共同配送センター</t>
  </si>
  <si>
    <t>ソータ設備計画</t>
  </si>
  <si>
    <t>2025101606-225-1 / 2025101608-225-1</t>
  </si>
  <si>
    <t>22210A219-001</t>
  </si>
  <si>
    <t>2025101604-225-1</t>
  </si>
  <si>
    <t>20388-023-002</t>
  </si>
  <si>
    <t>2510-001</t>
  </si>
  <si>
    <t>信越化学工業株式会社</t>
  </si>
  <si>
    <t>武生工場</t>
  </si>
  <si>
    <t>自動倉庫システム（ＲＢシステム）</t>
  </si>
  <si>
    <t>2510-002</t>
  </si>
  <si>
    <t>18203-004-001</t>
  </si>
  <si>
    <t>2510-003</t>
  </si>
  <si>
    <t>2511-001</t>
  </si>
  <si>
    <t>2511-002</t>
  </si>
  <si>
    <t>鬼怒川ゴム工業株式会社</t>
  </si>
  <si>
    <t>郡山車体部品生産部</t>
  </si>
  <si>
    <t>自動倉庫システム【原材料倉庫】</t>
  </si>
  <si>
    <t>2511-003</t>
  </si>
  <si>
    <t>07203-266-002</t>
  </si>
  <si>
    <t>自動倉庫システム【A練倉庫】</t>
  </si>
  <si>
    <t>2511-004</t>
  </si>
  <si>
    <t>自動倉庫システム【B練倉庫】</t>
  </si>
  <si>
    <t>2511-005</t>
  </si>
  <si>
    <t>CE1001526</t>
  </si>
  <si>
    <t>CE1000568</t>
  </si>
  <si>
    <t>2025101002-221-1</t>
  </si>
  <si>
    <t>MOSⅦ (FC-E22K)　S/N： 2900376</t>
  </si>
  <si>
    <t>福山通運株式会社</t>
  </si>
  <si>
    <t>イオン関東ＲＤＣ</t>
  </si>
  <si>
    <t>イオン棟（コンベヤシステム）</t>
  </si>
  <si>
    <t>12204-450-002</t>
  </si>
  <si>
    <t>2025101608-225-1 / 2025101004-221-1 / 2025101606-225-1</t>
  </si>
  <si>
    <t xml:space="preserve">ブランド / 機器構成名(個体名) / 型式 / シリアル番号
LPM / LPM(FC-S36W)(LPM101) / FC-S36W-113CW5 / 4700192
LPM / ﾘｼﾞｪｸﾄ端末(FC-E29U)(WAT101) / FC-E29U-S31C42 / 4Y01357
LPM / MOSⅦ本体(FC-E22K)(MOSZ101) / FC-E22K-L / 5403195
LPM / MOSⅦ端末(FC-P31X)(MOTZ301) / FC-P31X-L1 / 2X01367
</t>
  </si>
  <si>
    <t xml:space="preserve">ブランド / 機器構成名(個体名) / 型式 / シリアル番号
LPM / ﾗﾍﾞﾙﾌﾟﾘﾝﾀ(LBP101) / CT4-LX DT305 / JL226117
LPM / ｵｰﾄﾗﾍﾞﾗ(LBRZ101) / LR4120SR-TSB / JK000096
LPM / ｵｰﾄﾗﾍﾞﾗ(LBRZ102) / LR4120SR-TSB / JK000097
LPM / ｵｰﾄﾗﾍﾞﾗ(LBRZ103) / LR4120SR-TSB / JK000098
</t>
  </si>
  <si>
    <t>C棟店舗ケース【仕分け設備】</t>
  </si>
  <si>
    <t>01217-001-003</t>
  </si>
  <si>
    <t>C棟店舗ケース【小分け設備】</t>
  </si>
  <si>
    <t>磯原分工場</t>
  </si>
  <si>
    <t>金属材料保管用立体自動倉庫システム</t>
  </si>
  <si>
    <t>2025111113-225-1 / 2025111115-225-1</t>
  </si>
  <si>
    <t>08215A109-002</t>
  </si>
  <si>
    <t>渡波水産加工業協同組合</t>
  </si>
  <si>
    <t>2025111121-225-1 / 2025111123-225-1</t>
  </si>
  <si>
    <t>04202A118-001</t>
  </si>
  <si>
    <t>JX金属株式会社</t>
  </si>
  <si>
    <t>日立北工場</t>
  </si>
  <si>
    <t>ターゲット材保管ケース自動倉庫</t>
  </si>
  <si>
    <t>2025111117-225-1 / 2025111119-225-1</t>
  </si>
  <si>
    <t>08202A134-001</t>
  </si>
  <si>
    <t>2025111210-225-1</t>
  </si>
  <si>
    <t>2025111204-225-1</t>
  </si>
  <si>
    <t>2025111003-225-1 / 2025111005-225-1 / 2025111109-225-2 / 2025111111-225-1</t>
  </si>
  <si>
    <t>2025111002-221-1 / 2025111008-221-1</t>
  </si>
  <si>
    <t>福岡支店</t>
  </si>
  <si>
    <t>2512-001</t>
  </si>
  <si>
    <t>40205A124-001</t>
  </si>
  <si>
    <t>2512-003</t>
  </si>
  <si>
    <t>ボルト・針金収納自動倉庫【針金倉庫】</t>
  </si>
  <si>
    <t>2512-004</t>
  </si>
  <si>
    <t>株式会社ヤマサキ</t>
  </si>
  <si>
    <t>西風新都工場</t>
  </si>
  <si>
    <t>2512-005</t>
  </si>
  <si>
    <t>34105-275-001</t>
  </si>
  <si>
    <t>2025111111-225-1 / 2025111109-225-2 / 2025111003-225-1 / 2025111005-225-1 / 2025111007-225-1 / 2025111107-225-1</t>
  </si>
  <si>
    <t>2025111008-221-1 / 2025111002-221-1 / 2025111004-221-1 / 2025111006-221-1</t>
  </si>
  <si>
    <t xml:space="preserve">取得中
2026年2月契約開始
</t>
  </si>
  <si>
    <t>39383-003-003</t>
  </si>
  <si>
    <t>【システム診断】※プロダクト対象外の為、診断対象外。
2026年2月契約開始</t>
  </si>
  <si>
    <t xml:space="preserve">ブランド / 機器構成名(個体名) / 型式 / シリアル番号
AWC7 Framework / AWC7本体(FC-S36W)(AWC001) / FC-S36W-113CW5 / 4700189
AWC7 Framework / AWC7端末(FC-E29U)(WATA01) / FC-E29U-S31C42 / 3701216
AWC7 Framework / AWC7端末(FC-E29U)(WATA02) / FC-E29U-S31C42 / 3701206
</t>
  </si>
  <si>
    <t>2026012602-225-1</t>
  </si>
  <si>
    <t xml:space="preserve">ブランド / 機器構成名(個体名) / 型式 / シリアル番号
eWareNavi Framework / 管理端末(FC-E22U)(WAT001) / FC-E22U-S / 0513250
eWareNavi Framework / 現場端末(FC-E22U)(WAT002) / FC-E22U-S / 0513258
eWareNavi Framework / 現場端末(FC-E22U)(WAT003) / FC-E22U-S / 0513263
eWareNavi Framework / 現場端末(FC-E22U)(WAT004) / FC-E22U-S / 0513251
eWareNavi Framework / ﾋﾟｯｷﾝｸﾞST端末(FC-E22U)(WAT005) / FC-E22U-S / 0513260
eWareNavi Framework / ﾋﾟｯｷﾝｸﾞST端末(FC-E22U)(WAT006) / FC-E22U-S / 0513245
eWareNavi Framework / ﾋﾟｯｷﾝｸﾞST端末(FC-E22U)(WAT007) / FC-E22U-S / 0513274
eWareNavi Framework / ﾋﾟｯｷﾝｸﾞST端末(FC-E22U)(WAT008) / FC-E22U-S / 0513256
</t>
  </si>
  <si>
    <t>明石メガDC　小川様　090-2440-0502</t>
  </si>
  <si>
    <t>神戸第３CS　吉井　090-3260-2772</t>
  </si>
  <si>
    <t>池本様／08068600347</t>
  </si>
  <si>
    <t>鷹島雄馬／08087569560
柵山貴紀／08089540597</t>
  </si>
  <si>
    <t>　予定年月、依頼先（保守会社）が判らない場合は</t>
    <rPh sb="1" eb="3">
      <t>ヨテイ</t>
    </rPh>
    <rPh sb="3" eb="5">
      <t>ネンゲツ</t>
    </rPh>
    <rPh sb="6" eb="9">
      <t>イライサキ</t>
    </rPh>
    <rPh sb="10" eb="12">
      <t>ホシュ</t>
    </rPh>
    <rPh sb="12" eb="14">
      <t>カイシャ</t>
    </rPh>
    <rPh sb="16" eb="17">
      <t>ワカ</t>
    </rPh>
    <rPh sb="20" eb="22">
      <t>バアイ</t>
    </rPh>
    <phoneticPr fontId="1"/>
  </si>
  <si>
    <t>　サポートIDのみを入力した後、下のボタンをクリックしてください。</t>
    <rPh sb="10" eb="12">
      <t>ニュウリョク</t>
    </rPh>
    <rPh sb="14" eb="15">
      <t>アト</t>
    </rPh>
    <rPh sb="16" eb="17">
      <t>シタ</t>
    </rPh>
    <phoneticPr fontId="1"/>
  </si>
  <si>
    <t>　対象の予定年月、依頼先、作業内容を一覧表示します。</t>
    <rPh sb="1" eb="3">
      <t>タイショウ</t>
    </rPh>
    <rPh sb="4" eb="6">
      <t>ヨテイ</t>
    </rPh>
    <rPh sb="6" eb="8">
      <t>ネンゲツ</t>
    </rPh>
    <rPh sb="9" eb="12">
      <t>イライサキ</t>
    </rPh>
    <rPh sb="13" eb="15">
      <t>サギョウ</t>
    </rPh>
    <rPh sb="15" eb="17">
      <t>ナイヨウ</t>
    </rPh>
    <rPh sb="18" eb="20">
      <t>イチラン</t>
    </rPh>
    <rPh sb="20" eb="22">
      <t>ヒョウジ</t>
    </rPh>
    <phoneticPr fontId="1"/>
  </si>
  <si>
    <t>2026011437-225-1</t>
  </si>
  <si>
    <t>CE451715</t>
  </si>
  <si>
    <t xml:space="preserve">ブランド / 機器構成名(個体名) / 型式 / シリアル番号
eAWC Ordermade / ﾏﾃﾊﾝｻｰﾊﾞ (SPARC M10-1)(AWC001) / SPMAKAA1EF / PZ31951015
eAWC Ordermade / ｺﾝｿｰﾙ端末 (PRIMERGY RX1330 M4)(CONSOLE) / PYR1334R3S / MAHV012736
</t>
  </si>
  <si>
    <t>ブランド(1)</t>
    <phoneticPr fontId="1"/>
  </si>
  <si>
    <t>品名(1)</t>
    <phoneticPr fontId="1"/>
  </si>
  <si>
    <t>型式(1)</t>
    <phoneticPr fontId="1"/>
  </si>
  <si>
    <t>台数(1)</t>
    <phoneticPr fontId="1"/>
  </si>
  <si>
    <t>ブランド(2)</t>
    <phoneticPr fontId="1"/>
  </si>
  <si>
    <t>品名(2)</t>
    <phoneticPr fontId="1"/>
  </si>
  <si>
    <t>型式(2)</t>
    <phoneticPr fontId="1"/>
  </si>
  <si>
    <t>台数(2)</t>
    <phoneticPr fontId="1"/>
  </si>
  <si>
    <t>ブランド(3)</t>
    <phoneticPr fontId="1"/>
  </si>
  <si>
    <t>品名(3)</t>
    <phoneticPr fontId="1"/>
  </si>
  <si>
    <t>型式(3)</t>
    <phoneticPr fontId="1"/>
  </si>
  <si>
    <t>台数(3)</t>
    <phoneticPr fontId="1"/>
  </si>
  <si>
    <t>品名(4)</t>
    <phoneticPr fontId="1"/>
  </si>
  <si>
    <t>型式(4)</t>
    <phoneticPr fontId="1"/>
  </si>
  <si>
    <t>台数(4)</t>
    <phoneticPr fontId="1"/>
  </si>
  <si>
    <t>ブランド(5)</t>
    <phoneticPr fontId="1"/>
  </si>
  <si>
    <t>品名(5)</t>
    <phoneticPr fontId="1"/>
  </si>
  <si>
    <t>型式(5)</t>
    <phoneticPr fontId="1"/>
  </si>
  <si>
    <t>台数(5)</t>
    <phoneticPr fontId="1"/>
  </si>
  <si>
    <t>ブランド(6)</t>
    <phoneticPr fontId="1"/>
  </si>
  <si>
    <t>品名(6)</t>
    <phoneticPr fontId="1"/>
  </si>
  <si>
    <t>型式(6)</t>
    <phoneticPr fontId="1"/>
  </si>
  <si>
    <t>台数(6)</t>
    <phoneticPr fontId="1"/>
  </si>
  <si>
    <t>ブランド(7)</t>
    <phoneticPr fontId="1"/>
  </si>
  <si>
    <t>品名(7)</t>
    <phoneticPr fontId="1"/>
  </si>
  <si>
    <t>型式(7)</t>
    <phoneticPr fontId="1"/>
  </si>
  <si>
    <t>台数(7)</t>
    <phoneticPr fontId="1"/>
  </si>
  <si>
    <t>ブランド(8)</t>
    <phoneticPr fontId="1"/>
  </si>
  <si>
    <t>品名(8)</t>
    <phoneticPr fontId="1"/>
  </si>
  <si>
    <t>型式(8)</t>
    <phoneticPr fontId="1"/>
  </si>
  <si>
    <t>台数(8)</t>
    <phoneticPr fontId="1"/>
  </si>
  <si>
    <t>ブランド(9)</t>
    <phoneticPr fontId="1"/>
  </si>
  <si>
    <t>品名(9)</t>
    <phoneticPr fontId="1"/>
  </si>
  <si>
    <t>型式(9)</t>
    <phoneticPr fontId="1"/>
  </si>
  <si>
    <t>台数(9)</t>
    <phoneticPr fontId="1"/>
  </si>
  <si>
    <t>ブランド(10)</t>
    <phoneticPr fontId="1"/>
  </si>
  <si>
    <t>品名(10)</t>
    <phoneticPr fontId="1"/>
  </si>
  <si>
    <t>型式(10)</t>
    <phoneticPr fontId="1"/>
  </si>
  <si>
    <t>台数(10)</t>
    <phoneticPr fontId="1"/>
  </si>
  <si>
    <t>ブランド(11)</t>
    <phoneticPr fontId="1"/>
  </si>
  <si>
    <t>品名(11)</t>
    <phoneticPr fontId="1"/>
  </si>
  <si>
    <t>型式(11)</t>
    <phoneticPr fontId="1"/>
  </si>
  <si>
    <t>台数(11)</t>
    <phoneticPr fontId="1"/>
  </si>
  <si>
    <t>ブランド(12)</t>
    <phoneticPr fontId="1"/>
  </si>
  <si>
    <t>品名(12)</t>
    <phoneticPr fontId="1"/>
  </si>
  <si>
    <t>型式(12)</t>
    <phoneticPr fontId="1"/>
  </si>
  <si>
    <t>台数(12)</t>
    <phoneticPr fontId="1"/>
  </si>
  <si>
    <t>ブランド(13)</t>
    <phoneticPr fontId="1"/>
  </si>
  <si>
    <t>品名(13)</t>
    <phoneticPr fontId="1"/>
  </si>
  <si>
    <t>型式(13)</t>
    <phoneticPr fontId="1"/>
  </si>
  <si>
    <t>台数(13)</t>
    <phoneticPr fontId="1"/>
  </si>
  <si>
    <t>ブランド(14)</t>
    <phoneticPr fontId="1"/>
  </si>
  <si>
    <t>品名(14)</t>
    <phoneticPr fontId="1"/>
  </si>
  <si>
    <t>型式(14)</t>
    <phoneticPr fontId="1"/>
  </si>
  <si>
    <t>台数(14)</t>
    <phoneticPr fontId="1"/>
  </si>
  <si>
    <t>ブランド(15)</t>
    <phoneticPr fontId="1"/>
  </si>
  <si>
    <t>品名(15)</t>
    <phoneticPr fontId="1"/>
  </si>
  <si>
    <t>型式(15)</t>
    <phoneticPr fontId="1"/>
  </si>
  <si>
    <t>台数(15)</t>
    <phoneticPr fontId="1"/>
  </si>
  <si>
    <t>ブランド(16)</t>
    <phoneticPr fontId="1"/>
  </si>
  <si>
    <t>品名(16)</t>
    <phoneticPr fontId="1"/>
  </si>
  <si>
    <t>型式(16)</t>
    <phoneticPr fontId="1"/>
  </si>
  <si>
    <t>台数(16)</t>
    <phoneticPr fontId="1"/>
  </si>
  <si>
    <t>ブランド(17)</t>
    <phoneticPr fontId="1"/>
  </si>
  <si>
    <t>品名(17)</t>
    <phoneticPr fontId="1"/>
  </si>
  <si>
    <t>型式(17)</t>
    <phoneticPr fontId="1"/>
  </si>
  <si>
    <t>台数(17)</t>
    <phoneticPr fontId="1"/>
  </si>
  <si>
    <t>ブランド(18)</t>
    <phoneticPr fontId="1"/>
  </si>
  <si>
    <t>品名(18)</t>
    <phoneticPr fontId="1"/>
  </si>
  <si>
    <t>型式(18)</t>
    <phoneticPr fontId="1"/>
  </si>
  <si>
    <t>台数(18)</t>
    <phoneticPr fontId="1"/>
  </si>
  <si>
    <t>ブランド(19)</t>
    <phoneticPr fontId="1"/>
  </si>
  <si>
    <t>品名(19)</t>
    <phoneticPr fontId="1"/>
  </si>
  <si>
    <t>型式(19)</t>
    <phoneticPr fontId="1"/>
  </si>
  <si>
    <t>台数(19)</t>
    <phoneticPr fontId="1"/>
  </si>
  <si>
    <t>ブランド(20)</t>
    <phoneticPr fontId="1"/>
  </si>
  <si>
    <t>品名(20)</t>
    <phoneticPr fontId="1"/>
  </si>
  <si>
    <t>型式(20)</t>
    <phoneticPr fontId="1"/>
  </si>
  <si>
    <t>台数(20)</t>
    <phoneticPr fontId="1"/>
  </si>
  <si>
    <t>ブランド(4)</t>
    <phoneticPr fontId="1"/>
  </si>
  <si>
    <t>end</t>
    <phoneticPr fontId="1"/>
  </si>
  <si>
    <t>東芝ITサービス</t>
    <phoneticPr fontId="1"/>
  </si>
  <si>
    <t>イシダ</t>
    <phoneticPr fontId="1"/>
  </si>
  <si>
    <t>東芝ITサービス</t>
    <rPh sb="0" eb="2">
      <t>トウシバ</t>
    </rPh>
    <phoneticPr fontId="1"/>
  </si>
  <si>
    <t>IBM他</t>
    <phoneticPr fontId="1"/>
  </si>
  <si>
    <t>小川漁業協同組合</t>
  </si>
  <si>
    <t>2018092019-216-1</t>
  </si>
  <si>
    <t>22212-159-001</t>
  </si>
  <si>
    <t xml:space="preserve">ブランド / 機器構成名(個体名) / 型式 / シリアル番号
eAWC Framework / eAWC本体 （FC-S35W/S7）(AWC001) / FC-S35W/S72CL9 / S750270MA
</t>
  </si>
  <si>
    <t>2026011936-225-1 / 2026011938-225-1</t>
  </si>
  <si>
    <t>谷口/080-1550-1948</t>
  </si>
  <si>
    <t>2026011907-225-1</t>
  </si>
  <si>
    <t>熊本県果実農業協同組合連合会</t>
  </si>
  <si>
    <t>熊本工場</t>
  </si>
  <si>
    <t>43201-509-001</t>
  </si>
  <si>
    <t>C:\ハードウェア点検依頼</t>
    <phoneticPr fontId="1"/>
  </si>
  <si>
    <t>C:\ハードウェア点検依頼\点検依頼</t>
    <phoneticPr fontId="1"/>
  </si>
  <si>
    <t xml:space="preserve">ダイフク　フィールドサポート室　保守G　冨田です。 </t>
    <rPh sb="14" eb="15">
      <t>シツ</t>
    </rPh>
    <rPh sb="16" eb="18">
      <t>ホシュ</t>
    </rPh>
    <phoneticPr fontId="1"/>
  </si>
  <si>
    <t xml:space="preserve">※年齢・生年月日･血液型は、記入無しでも構いません。 </t>
  </si>
  <si>
    <t>冨田　義男 (yoshio tomita)</t>
  </si>
  <si>
    <t>フィールドサポート室　保守G（Ｍ棟）</t>
    <rPh sb="16" eb="17">
      <t>トウ</t>
    </rPh>
    <phoneticPr fontId="1"/>
  </si>
  <si>
    <t>〒529-1692  滋賀県蒲生郡日野町中在寺1225番地</t>
  </si>
  <si>
    <t>携帯　080-7700-0139</t>
  </si>
  <si>
    <t>E-Mail : yoshio_tomita.da2@ha.daifuku.co.jp</t>
  </si>
  <si>
    <t>C:\ハードウェア点検依頼\＜依頼書テンプレート＞NEW\20xxxxxx_保守作業依頼書「株式会社xxxxxx｣_NEC pass=41234123.xlsx</t>
    <phoneticPr fontId="1"/>
  </si>
  <si>
    <t>C:\ハードウェア点検依頼\＜依頼書テンプレート＞NEW\20xxxxxx_保守作業依頼書「株式会社xxxxxx｣_日立 pass=05036265330.xlsx</t>
    <phoneticPr fontId="1"/>
  </si>
  <si>
    <t>C:\ハードウェア点検依頼\＜依頼書テンプレート＞NEW\20xxxxxx_保守作業依頼書「株式会社xxxxxx｣_東芝 pass=528907.xlsx</t>
    <phoneticPr fontId="1"/>
  </si>
  <si>
    <t>C:\ハードウェア点検依頼\＜依頼書テンプレート＞NEW\20xxxxxx_保守作業依頼書「株式会社xxxxxx｣_サトー pass=5065057.xlsx</t>
    <phoneticPr fontId="1"/>
  </si>
  <si>
    <t>C:\ハードウェア点検依頼\＜依頼書テンプレート＞NEW\20xxxxxx_保守作業依頼書「株式会社xxxxxx｣_イシダ.xlsx</t>
    <phoneticPr fontId="1"/>
  </si>
  <si>
    <t>C:\ハードウェア点検依頼\＜依頼書テンプレート＞NEW\20xxxxxx_保守作業依頼書「株式会社xxxxxx｣_PFU pass=daifuku2pfu.xlsx</t>
    <phoneticPr fontId="1"/>
  </si>
  <si>
    <t>C:\ハードウェア点検依頼\＜依頼書テンプレート＞NEW\20xxxxxx_保守作業依頼書「株式会社xxxxxx｣_共通 pass=05036265330.xlsx</t>
    <phoneticPr fontId="1"/>
  </si>
  <si>
    <t>エフピコ物流株式会社</t>
  </si>
  <si>
    <t>日産化学株式会社</t>
  </si>
  <si>
    <t>2512-002</t>
  </si>
  <si>
    <t>35209-020-002</t>
  </si>
  <si>
    <t>2026011905-225-1</t>
  </si>
  <si>
    <t>2023013104-221-1 / 2026011406-225-1 / 2026011408-225-1</t>
  </si>
  <si>
    <t xml:space="preserve">ブランド / 機器構成名(個体名) / 型式 / シリアル番号
AWC7 Framework / AWC7本体 (FC-S36W)(AWC001) / FC-S36W-143CV7 / 2100623
AWC7 Framework / MOSⅦ本体(FC-E22K)(MOSA01) / FC-E22K-L / 5X03634
AWC7 Framework / MOSⅦ端末(FC-P31X)(MOSA02) / FC-P31X-L1 / 2801108
AWC7 Framework / MOSⅦ端末(FC-P31X)(MOSA03) / FC-P31X-L1 / 2801115
</t>
  </si>
  <si>
    <t>HC20-0021-2</t>
  </si>
  <si>
    <t>2026011424-225-1</t>
  </si>
  <si>
    <t>takuji_tsukagoshi@ha.daifuku.co.jp; yoshio_tomita.da2@ha.daifuku.co.jp; kazuya_hirata.da2@ha.daifuku.co.jp</t>
    <phoneticPr fontId="1"/>
  </si>
  <si>
    <t>※プロダクト対象外の為、診断対象外。
予定年月を
2025年12月→2026年06月に変更
次回より毎年6月</t>
  </si>
  <si>
    <t>2025121808-221-1 / 2025121810-221-1 / 2025121812-221-1</t>
  </si>
  <si>
    <t>2025120923-225-1 / 2022031117-221-1 / 2022031119-221-1 / 2022031121-221-1 / 2022031123-221-1</t>
  </si>
  <si>
    <t xml:space="preserve">ブランド / 機器構成名(個体名) / 型式 / シリアル番号
WareNavi7 / WareNavi7ｻｰﾊﾞ (Express5800/R320g-E4)(WN7-001) / N8800-255Y / 0Y00491
WareNavi7 / ｼｬﾄﾙﾗｯｸｻｰﾊﾞ (FC-S36W)(SRS-001) / FC-S36W-143CV7 / 0900274
WareNavi7 / ｼｬﾄﾙﾗｯｸﾘｼﾞｪｸﾄ端末 (FC-E22U)(WAT001) / FC-E22U-S / 0Y14728
WareNavi7 / ﾊﾞｰｽ端末 (FC-E22U)(WAT101) / FC-E22U-S / 0Y14733
WareNavi7 / ﾊﾞｰｽ端末 (FC-E22U)(WAT102) / FC-E22U-S / 0X14531
WareNavi7 / ﾊﾞｰｽ端末 (FC-E22U)(WAT103) / FC-E22U-S / 0Y14731
WareNavi7 / ﾊﾞｰｽ端末 (FC-E22U)(WAT104) / FC-E22U-S / 0Y14727
WareNavi7 / ﾊﾞｰｽ端末 (FC-E22U)(WAT105) / FC-E22U-S / 0Y14734
WareNavi7 / ﾊﾞｰｽ端末 (FC-E22U)(WAT106) / FC-E22U-S / 0Y14735
WareNavi7 / ﾊﾞｰｽ端末 (FC-E22U)(WAT107) / FC-E22U-S / 0Y14732
WareNavi7 / ﾊﾞｰｽ端末 (FC-E22U)(WAT108) / FC-E22U-S / 0X14530
WareNavi7 / ﾊﾞｰｽ端末 (FC-E22U)(WAT109) / FC-E22U-S / 0Y14726
WareNavi7 / ﾊﾞｰｽ端末 (FC-E22U)(WAT110) / FC-E22U-S / 0Y14730
WareNavi7 / MOSⅦｻｰﾊﾞ (FC-E27B)(MOSA01) / FC-E27B-S / 0Z12980
WareNavi7 / MOSⅦｻｰﾊﾞ (FC-E27B)(MOSB01) / FC-E27B-S / 1213313
WareNavi7 / MOSⅦ端末 (FC-P31X)(MOSA02) / FC-P31X-L1 / 1100274
WareNavi7 / MOSⅦ端末 (FC-P31X)(MOSA03) / FC-P31X-L1 / 0Z00248
WareNavi7 / MOSⅦ端末 (FC-P31X)(MOSB02) / FC-P31X-L1 / 0Z00245
WareNavi7 / MOSⅦ端末 (FC-P31X)(MOSC01) / FC-P31X-L1 / 1100273
SAM / SAMｻｰﾊﾞ (FC-S36W)(SAM-001) / FC-S36W-143CV7 / 0X00277
SAM / ｿｰﾀﾘｼﾞｪｸﾄ端末 (FC-E22U)(WAT002) / FC-E22U-S / 0Y14729
</t>
  </si>
  <si>
    <t>2021071404-221-1 / 2025120909-225-1 / 2025120911-225-1</t>
  </si>
  <si>
    <t>2021071402-221-1 / 2025120913-225-1</t>
  </si>
  <si>
    <t>2022062107-221-1 / 2025121602-225-1</t>
  </si>
  <si>
    <t>札幌定温運輸株式会社</t>
  </si>
  <si>
    <t>2025120902-225-1</t>
  </si>
  <si>
    <t>01107A130-001</t>
  </si>
  <si>
    <t>藤倉化成株式会社</t>
  </si>
  <si>
    <t>佐野事業所</t>
  </si>
  <si>
    <t>2025121804-225-1</t>
  </si>
  <si>
    <t>09204-009-002</t>
  </si>
  <si>
    <t>株式会社ＡＮＡケータリングサービス</t>
  </si>
  <si>
    <t>ＡＮＡケータリングサービス羽田工場</t>
  </si>
  <si>
    <t>2025120804-225-1 / 2025120806-225-1</t>
  </si>
  <si>
    <t>13111-870-001</t>
  </si>
  <si>
    <t>株式会社カネカフード</t>
  </si>
  <si>
    <t>神戸</t>
  </si>
  <si>
    <t>2025120810-225-1 / 2025120814-225-1 / 2025120816-225-1 / 2025120812-225-2</t>
  </si>
  <si>
    <t>28111-182-001</t>
  </si>
  <si>
    <t>株式会社さかえ屋</t>
  </si>
  <si>
    <t>平恒工場</t>
  </si>
  <si>
    <t>冷凍立体自動倉庫</t>
  </si>
  <si>
    <t>2025120903-225-1 / 2025120905-225-1</t>
  </si>
  <si>
    <t>40426-030-002</t>
  </si>
  <si>
    <t>toshio-fukushima@nec.com; hideaki-noda@nec.com; mizuguchi.terumi@nec.com; baba.yukinori@nec.com</t>
    <phoneticPr fontId="1"/>
  </si>
  <si>
    <t xml:space="preserve">ブランド / 機器構成名(個体名) / 型式 / シリアル番号
MC / 端末(HF-W2045)(WAT00) / HJ-2045-WBJA/DF01 / 4235457-1
MC / 端末(HF-W2045)(WAT01) / HJ-2045-WBJA/DF01 / 4235455-1
MC / 端末(HF-W2045)(WAT02) / HJ-2045-WBJA/DF01 / 4235458-1
MC / 端末(HF-W2045)(WAT04) / HJ-2045-WBJA/DF01 / 4235456-1
MC / 端末(HF-W2045)(WAT06) / HJ-2045-WBJA/DF01 / 4235454-1
</t>
  </si>
  <si>
    <t>2026011934-225-1</t>
  </si>
  <si>
    <t xml:space="preserve">ブランド / 機器構成名(個体名) / 型式 / シリアル番号
eAWC Ordermade / eAWC端末 (FC-E22U)() / FC-E22U-S / 8Y07876
eAWC Ordermade / 設備監視用PC (FC-E22U)() / FC-E22U-S / 8Y07879
</t>
  </si>
  <si>
    <t xml:space="preserve">ブランド / 機器構成名(個体名) / 型式 / シリアル番号
AWC4 Framework Custom / AWC4本体 (HF-W6555)(AWC001) / HJ-6555-WEJD/7R / 4235546-1
AWC4 Framework Custom / AWC4端末 (HF-W2045)(WAT001) / HJ-2045-WEJA/DF03 / 4235553-3
AWC4 Framework Custom / AWC4端末 (HF-W2045)(WAT002) / HJ-2045-WEJA/DF03 / 4235553-4
AWC4 Framework Custom / AWC4端末 (HF-W2045)(WAT003) / HJ-2045-WEJA/DF03 / 4235553-1
AWC4 Framework Custom / AWC4端末 (HF-W2045)(WAT004) / HJ-2045-WEJA/DF03 / 4235553-2
AWC4 Framework Custom / AWC4端末 (HF-W2045)(WAT005) / HJ-2045-WEJA/DF03 / 4235553-5
</t>
  </si>
  <si>
    <t>2026011930-225-1 / 2026011932-225-1</t>
  </si>
  <si>
    <t>2026011922-225-1 / 2026011924-225-1</t>
  </si>
  <si>
    <t>2025121806-221-1</t>
  </si>
  <si>
    <t xml:space="preserve">ブランド / 機器構成名(個体名) / 型式 / シリアル番号
AWC4 Basic / AWC4端末 (FC-E22U)(WAT002) / FC-E22U-S / 2X18766
</t>
  </si>
  <si>
    <t>2022041208-221-1 / 2025082502-221-1</t>
  </si>
  <si>
    <t xml:space="preserve">ブランド / 機器構成名(個体名) / 型式 / シリアル番号
AWC-800U / AWC端末(HF-W2050)(WSC01) / HJ-2050-WEMA/DF03 / 8054502-2
AWC-800U / AWC端末(HF-W2050)(WSC02) / HJ-2050-WEMA/DF03 / 8054502-3
AWC-800U / AWC端末(HF-W2050)(WSC03) / HJ-2050-WEMA/DF03 / 8054502-4
AWC-800U / AWC端末(HF-W2050)(WSC04) / HJ-2050-WEMA/DF03 / 8054502-5
AWC-800U / AWC端末/新払出ｺﾝﾍﾞﾔ(HF-W2050)(WSC05) / HJ-2050-WEMA/DF03 / 8054502-6
</t>
  </si>
  <si>
    <t>2026011918-225-1 / 2026011920-225-1</t>
  </si>
  <si>
    <t>2026011909-225-1 / 2026011911-225-1</t>
  </si>
  <si>
    <t>2026011913-225-1</t>
  </si>
  <si>
    <t>2026011926-225-1 / 2026011928-225-1</t>
  </si>
  <si>
    <t>2026011915-225-1</t>
  </si>
  <si>
    <t>月島食品工業株式会社</t>
  </si>
  <si>
    <t>2026011426-225-1</t>
  </si>
  <si>
    <t>12203A157-001</t>
  </si>
  <si>
    <t>福助工業株式会社</t>
  </si>
  <si>
    <t>三重第2工場</t>
  </si>
  <si>
    <t>原反保管搬送システム</t>
  </si>
  <si>
    <t>2026011414-225-1 / 2026011416-225-1</t>
  </si>
  <si>
    <t>24214A110-005</t>
  </si>
  <si>
    <t>2026011420-225-1 / 2026011422-225-1</t>
  </si>
  <si>
    <t>株式会社藤川商運</t>
  </si>
  <si>
    <t>印西第三センター</t>
  </si>
  <si>
    <t>2025120802-225-2</t>
  </si>
  <si>
    <t>12231A120-001</t>
  </si>
  <si>
    <t>2025120814-225-1 / 2025120816-225-1</t>
  </si>
  <si>
    <t>第一冷蔵株式会社</t>
  </si>
  <si>
    <t>東扇島物流センター</t>
  </si>
  <si>
    <t>2025120808-225-1</t>
  </si>
  <si>
    <t>14131-422-001</t>
  </si>
  <si>
    <t>群馬製作所　大泉工場</t>
  </si>
  <si>
    <t>2026011410-225-1 / 2026011412-225-1</t>
  </si>
  <si>
    <t>eAWC本体（FC-S36W：2800745、2800750）、eAWC端末（FC-E22U：2Z00167、2Z00165）</t>
  </si>
  <si>
    <t>2026011410-225-1</t>
  </si>
  <si>
    <t>eAWC本体・通信PC兼予備機（FC-S36W：3Y01053）、eAWC本体（FC-S36W：3Y01033、3Y01015）</t>
  </si>
  <si>
    <t>2026021704-225-1</t>
  </si>
  <si>
    <t>2601-002</t>
  </si>
  <si>
    <t>中海鋼業株式会社</t>
  </si>
  <si>
    <t>2601-001</t>
  </si>
  <si>
    <t>27106A133-001</t>
  </si>
  <si>
    <t>本社秦野工場</t>
  </si>
  <si>
    <t>2601-003</t>
  </si>
  <si>
    <t>14211-020-002</t>
  </si>
  <si>
    <t>秦野物流センター</t>
  </si>
  <si>
    <t>2601-004</t>
  </si>
  <si>
    <t>14211-070-001</t>
  </si>
  <si>
    <t>FA194</t>
  </si>
  <si>
    <t>2025年11月</t>
    <rPh sb="4" eb="5">
      <t>ネン</t>
    </rPh>
    <rPh sb="7" eb="8">
      <t>ツキ</t>
    </rPh>
    <phoneticPr fontId="1"/>
  </si>
  <si>
    <t>2025年12月</t>
    <rPh sb="4" eb="5">
      <t>ネン</t>
    </rPh>
    <rPh sb="7" eb="8">
      <t>ツキ</t>
    </rPh>
    <phoneticPr fontId="1"/>
  </si>
  <si>
    <t>日本機材株式会社</t>
  </si>
  <si>
    <t>ブランド / 機器構成名(個体名) / 型式 / シリアル番号
WareNavi7 / WareNavi7本体 (HF-W6555)(WN7) / HJ-6555-WEJD/DF05 / 4237289-1
WareNavi7 / MOSⅦ (HF-W2045)(MOS01) / HJ-2045-WEJA/7R / 4522590-1</t>
  </si>
  <si>
    <t>2025年10月</t>
    <rPh sb="4" eb="5">
      <t>ネン</t>
    </rPh>
    <rPh sb="7" eb="8">
      <t>ツキ</t>
    </rPh>
    <phoneticPr fontId="1"/>
  </si>
  <si>
    <t xml:space="preserve">ブランド / 機器構成名(個体名) / 型式 / シリアル番号
WareNavi7 / 荷合わせｼｬﾄﾙﾗｯｸ管理端末 (FC-S36W)(SRS001) / FC-S36W-143CV7 / 0900269
WareNavi7 / 管理端末 (FC-E22U)(WAT001) / FC-E22U-S / 0Y14756
SAM / ｺﾝﾍﾞﾔ制御PC (FC-S36W)(SAM001) / FC-S36W-143CV7 / 0X00276
SAM / ﾘｼﾞｪｸﾄ端末 (FC-E22U)(WAT301) / FC-E22U-S / 0Y14757
SAM / 出荷ｼｭｰﾄ作業端末 (FC-E22U)(WAT101) / FC-E22U-S / 0Y14751
DAM / DAS管理PC (FC-S36W)(DAS001) / FC-S36W-143CV7 / 0X00288
DAM / DAS管理PC (FC-S36W)(DAS002) / FC-S36W-143CV7 / 0900271
DAM / 仕分けｽﾃｰｼｮﾝ作業端末 (FC-E22U)(WAT401) / FC-E22U-S / 0Z15218
DAM / 仕分けｽﾃｰｼｮﾝ作業端末 (FC-E22U)(WAT402) / FC-E22U-S / 0Z15229
DAM / 仕分けｽﾃｰｼｮﾝ作業端末 (FC-E22U)(WAT403) / FC-E22U-S / 0Z15221
DAM / 仕分けｽﾃｰｼｮﾝ作業端末 (FC-E22U)(WAT404) / FC-E22U-S / 0Z15231
DAM / 仕分けｽﾃｰｼｮﾝ作業端末 (FC-E22U)(WAT405) / FC-E22U-S / 0Z15230
DAM / 仕分けｽﾃｰｼｮﾝ作業端末 (FC-E22U)(WAT406) / FC-E22U-S / 0Z15228
DAM / 仕分けｽﾃｰｼｮﾝ作業端末 (FC-E22U)(WAT407) / FC-E22U-S / 0Z15232
DAM / 仕分けｽﾃｰｼｮﾝ作業端末 (FC-E22U)(WAT408) / FC-E22U-S / 0Z15224
DAM / 仕分けｽﾃｰｼｮﾝ作業端末 (FC-E22U)(WAT409) / FC-E22U-S / 0Z15223
DAM / 仕分けｽﾃｰｼｮﾝ作業端末 (FC-E22U)(WAT410) / FC-E22U-S / 0Z15225
DAM / 仕分けｽﾃｰｼｮﾝ作業端末 (FC-E22U)(WAT411) / FC-E22U-S / 0Z15227
DAM / 仕分けｽﾃｰｼｮﾝ作業端末 (FC-E22U)(WAT412) / FC-E22U-S / 0Z15220
DAM / 仕分けｽﾃｰｼｮﾝ作業端末 (FC-E22U)(WAT413) / FC-E22U-S / 0Z15219
DAM / 仕分けｽﾃｰｼｮﾝ作業端末 (FC-E22U)(WAT414) / FC-E22U-S / 0Z15233
DAM / 仕分けｽﾃｰｼｮﾝ作業端末 (FC-E22U)(WAT415) / FC-E22U-S / 0Z15222
DAM / 仕分けｽﾃｰｼｮﾝ作業端末 (FC-E22U)(WAT416) / FC-E22U-S / 0Z15226
DAM / QAﾗｲﾝ端末 (FC-E22U)(WAT201) / FC-E22U-S / 0Y14749
</t>
  </si>
  <si>
    <t>佐賀大学医学部附属病院
材料部・野田様
0952-34-3869</t>
  </si>
  <si>
    <t>鳥栖第一中野/080-3901-9366</t>
  </si>
  <si>
    <t xml:space="preserve">ブランド / 機器構成名(個体名) / 型式 / シリアル番号
AWC-800U / AWCｻｰﾊﾞ (IBM Power System S914)(AWC01) / 9009-41A / 7894C20
</t>
  </si>
  <si>
    <t>ジック株式会社</t>
  </si>
  <si>
    <t xml:space="preserve">ブランド / 機器構成名(個体名) / 型式 / シリアル番号
才数計ｼｽﾃﾑ / 才数計ｼｽﾃﾑ() / SIM2000 / 24352130
</t>
  </si>
  <si>
    <t>Tec_2024-0601-09</t>
  </si>
  <si>
    <t xml:space="preserve">ブランド / 機器構成名(個体名) / 型式 / シリアル番号
ICRｶﾒﾗｼｽﾃﾑ / ｶﾒﾗBCRｼｽﾃﾑ / MSC800+SIM2000 / </t>
  </si>
  <si>
    <t>C棟店舗ケース仕分け設備</t>
  </si>
  <si>
    <t>Tec_2025-1201-01</t>
  </si>
  <si>
    <t xml:space="preserve">ブランド / 機器構成名(個体名) / 型式 / シリアル番号
Lectorｶﾒﾗｼｽﾃﾑ(C棟店舗ｹｰｽ仕分け) / ｶﾒﾗ式BCRｼｽﾃﾑ(BCRZ) / MSC800 / 
</t>
  </si>
  <si>
    <t>Tec_20241101-01</t>
  </si>
  <si>
    <t xml:space="preserve">ブランド / 機器構成名(個体名) / 型式 / シリアル番号
Lectorｶﾒﾗｼｽﾃﾑ / ｶﾒﾗ式BCRｼｽﾃﾑ(BCRA) / MSC800 / 
</t>
  </si>
  <si>
    <t>Tec_20241201-01</t>
  </si>
  <si>
    <t>ジック</t>
    <phoneticPr fontId="1"/>
  </si>
  <si>
    <t>2026021826-225-1 / 2026021828-225-1</t>
  </si>
  <si>
    <t>2025061108-224-1</t>
  </si>
  <si>
    <t>2019011109-216-1 / 2019011110-216-1 / 2021061406-221-1 / 2026021702-225-1</t>
  </si>
  <si>
    <t>ブランド / 機器構成名(個体名) / 型式 / シリアル番号
RTS-100 / RTS端末 (FC-E22U)(WSC01) / FC-E22U-S / 0Y14767
RTS-100 / RTS端末 (FC-E22U)(WSC02) / FC-E22U-S / 0Y14762
RTS-100 / RTS端末 (FC-E22U)(WSC03) / FC-E22U-S / 0Y14764
RTS-100 / RTS端末 (FC-E22U【第3倉庫】)(WSC05) / FC-E22U-S / 7603104
DAM / RFM (FC-E22U)(HTSV1) / FC-E22U-S / 0914351
DAM / RFM (FC-E22U)(HTSV2) / FC-E22U-S / 0Y14761
DAM / RFM (FC-S35W/S7)(HTSV3) / FC-S35W/S72CL9 / S730256MA
SAM / SAM(FC-E22U)(SAM01) / FC-E22U-S / 0Y14763
SAM / 実績収集PC(FC-E22U)(JSKPC) / FC-E22U-S / 0914353
RTS-100 / 9Y-MOS(FC-E22U)(MOS01) / FC-E22U-S / 1115275
DAM/ DAM (FC-E29U)(DAM) / FC-E29U-S31C42 / 3500711</t>
  </si>
  <si>
    <t>CL4NX-J08　2026年5月で保守終息で解約</t>
  </si>
  <si>
    <t>2023090522-224-1 / 2026011913-225-1</t>
  </si>
  <si>
    <t>CE350092 / CE350131-1</t>
  </si>
  <si>
    <t xml:space="preserve">ブランド / 機器構成名(個体名) / 型式 / シリアル番号
eAWC Ordermade(CS/BL) / eAWC本体 (ESPRIMO D7010/E【CS・BL倉庫】)(AWC02) / FMVD47003 / MA1203919
eAWC Ordermade(CS/BL) / eAWC本体 (ESPRIMO D7010/E【CS・BL倉庫】)(AWC02) / 無停電電源装置(750VA)FMUP-204 / TT102A0185
eAWC Ordermade(CS/BL) / eAWC端末 (ESPRIMO D7010/E【CS・BL倉庫】)(WAT05) / FMVD47003 / MA1203924
SAM / SAM (ESPRIMO D7010/E)(SAM01) / FMVD47003 / MA1203922
SAM / SAM (ESPRIMO D7010/E)(SAM02) / FMVD47003 / MA1203921
SAM / SAM (ESPRIMO D7010/E)(SAM05) / FMVD47003 / MA1203912
SAM / SAM (ESPRIMO D7010/E)(SAM01) / 無停電電源装置(750VA)FMUP-204 / TT102A0052
SAM / SAM (ESPRIMO D7010/E)(SAM02) / 無停電電源装置(750VA)FMUP-204 / TT102A0181
SAM / SAM (ESPRIMO D7010/E)(SAM05) / 無停電電源装置(750VA)FMUP-204 / TT102A0055
SAM / SAM (ESPRIMO D7010/E【BCR付】)(SAM03) / FMVD47003 / MA1203918
SAM / SAM (ESPRIMO D7010/E【BCR付】)(SAM04) / FMVD47003 / MA1203916
SAM / SAM (ESPRIMO D7010/E【BCR付】)(SAM03) / 無停電電源装置(750VA)FMUP-204 / TT102A0047
SAM / SAM (ESPRIMO D7010/E【BCR付】)(SAM04) / 無停電電源装置(750VA)FMUP-204 / TT102A0053
SAM / ﾘｼﾞｪｸﾄ端末 (ESPRIMO D7010/E)(WAT04) / FMVD47003 / MA1203926
</t>
  </si>
  <si>
    <t>2026021820-225-1</t>
  </si>
  <si>
    <t xml:space="preserve">ブランド / 機器構成名(個体名) / 型式 / シリアル番号
AWC-800N / AWC本体 (FC-S36W)(AWC001) / FC-S36W-133CW4 / 3800260
</t>
  </si>
  <si>
    <t>CE1003932 / CE1001526 / CE1003931</t>
  </si>
  <si>
    <t xml:space="preserve">ブランド / 機器構成名(個体名) / 型式 / シリアル番号
AWC7 Ordermade / DBｻｰﾊﾞ (SPARC M12-1)() / SPNAAAA4EL / PZ72443004
AWC7 Ordermade / DBｻｰﾊﾞ (SPARC M12-1)() / 無停電電源装置(1500VA,ﾗｯｸﾏｳﾝﾄ)PY-UPAR152 / 
AWC7 Ordermade / ｺﾝｿｰﾙ端末 (PRIMERGY RX1330 M6)() / PYR1336R3S / MAKS002569
</t>
  </si>
  <si>
    <t xml:space="preserve">ブランド / 機器構成名(個体名) / 型式 / シリアル番号
WareNavi7A / WareNavi7A本体(FC-S36W)(WNZ001) / FC-S36W-143CV7 / 5101290
WareNavi7A / WareNavi7A端末(FC-E29U）(WATZ001) / FC-E29U-S31C42 / 4Y01343
WareNavi7A / WareNavi7A端末(FC-E29U）(WATZ002) / FC-E29U-S31C42 / 4Y01358
WareNavi7A / WareNavi7A端末(FC-E29U）(WATZ003) / FC-E29U-S31C42 / 4Y01355
WareNavi7A / MOSⅦ本体(FC-E22K)(MOSZ01) / FC-E22K-L / 5403203
</t>
  </si>
  <si>
    <t>ジック</t>
  </si>
  <si>
    <t>真北運輸倉庫株式会社</t>
  </si>
  <si>
    <t>2026021018-225-1 / 2026022522-225-1</t>
  </si>
  <si>
    <t>28229-003-001</t>
  </si>
  <si>
    <t>日立情報通信エンジニアリング</t>
    <rPh sb="0" eb="2">
      <t>ヒタチ</t>
    </rPh>
    <rPh sb="2" eb="4">
      <t>ジョウホウ</t>
    </rPh>
    <rPh sb="4" eb="6">
      <t>ツウシン</t>
    </rPh>
    <phoneticPr fontId="1"/>
  </si>
  <si>
    <t>よしの様</t>
  </si>
  <si>
    <t xml:space="preserve">佐藤L：090-8860-2652
</t>
  </si>
  <si>
    <t>名張工場</t>
  </si>
  <si>
    <t>山中様：090-1782-2102</t>
  </si>
  <si>
    <t>王　堅全：090-6578-1713</t>
  </si>
  <si>
    <t>8年目HDD交換
USBの本数：2本</t>
  </si>
  <si>
    <t xml:space="preserve">ブランド / 機器構成名(個体名) / 型式 / シリアル番号
eAWC Ordermade / eAWCｻｰﾊﾞ（FC-S35W/S7）(MHS01) / FC-S35W/S72CL9 / S710185MA
eAWC Framework(CS) / eAWC本体（FC-S35W/S7）(CSAWC) / FC-S35W/S72CL9 / S710189MA
eAWC Framework(CS) / eAWC端末（FC-E22U）(WAT01) / FC-E22U-S / 7102068
eAWC Framework(CS) / eAWC端末（FC-E22U）(WAT02) / FC-E22U-S / 7102057
eAWC Framework(CS) / eAWC端末（FC-E22U）(WAT03) / FC-E22U-S / 7102070
eAWC Framework(FS) / eAWC本体（FC-S35W/S7）(FSAWC) / FC-S35W/S72CL9 / S6Z0288MA
eAWC Framework(FS) / eAWC端末（FC-E22U）(WAT04) / FC-E22U-S / 7102083
eAWC Framework(FS) / eAWC端末（FC-E22U）(WAT05) / FC-E22U-S / 7102066
eAWC Framework(FS) / eAWC端末（FC-E22U）(WAT06) / FC-E22U-S / 7102071
</t>
  </si>
  <si>
    <t>2025年7月</t>
    <rPh sb="4" eb="5">
      <t>ネン</t>
    </rPh>
    <rPh sb="6" eb="7">
      <t>ツキ</t>
    </rPh>
    <phoneticPr fontId="1"/>
  </si>
  <si>
    <t>横山センター長/088-855-5208</t>
  </si>
  <si>
    <t>三谷　和彦/080-8659-1472</t>
  </si>
  <si>
    <t>竹下センター長/088-880-8638</t>
  </si>
  <si>
    <t xml:space="preserve">ブランド / 機器構成名(個体名) / 型式 / シリアル番号
搬送ｼｽﾃﾑ(撤去) / DBｻｰﾊﾞ (FC-S35W/SE)(KantoKm1-SV) / FC-S35W/SE2W6Z / S480673MA
搬送ｼｽﾃﾑ(撤去) / 管理PC (FC-E21G/SX)(KantoKm-C1) / FC-E21G/SX1R6Z / S471521MA
搬送ｼｽﾃﾑ(撤去) / 管理PC (FC-E21G/SX)(KantoKm-C2) / FC-E21G/SX1R6Z / S471522MA
搬送ｼｽﾃﾑ(撤去) / 管理PC (FC-E21G/SX)(KantoKm-C3) / FC-E21G/SX1R6Z / S471520MA
搬送ｼｽﾃﾑ(撤去) / 管理端末PC (FC-E16U/SX)(KantoKm-001) / FC-E16U/SX1R4Z / S480036MA
搬送ｼｽﾃﾑ(撤去) / 端末PC (FC-E16U/SX)(KantoKm-101) / FC-E16U/SX1R4Z / S480034MA
搬送ｼｽﾃﾑ(撤去) / 端末PC (FC-E16U/SX)(KantoKm-201) / FC-E16U/SX1R4Z / S480038MA
搬送ｼｽﾃﾑ(撤去) / 端末PC (FC-E16U/SX)(KantoKm-202) / FC-E16U/SX1R4Z / S480035MA
搬送ｼｽﾃﾑ(撤去) / 端末PC (FC-E16U/SX)(KantoKm-203) / FC-E16U/SX1R4Z / S480039MA
搬送ｼｽﾃﾑ(撤去) / 端末PC (FC-E16U/SX)(KantoKm-204) / FC-E16U/SX1R4Z / S480040MA
搬送ｼｽﾃﾑ(撤去) / 端末PC (FC-E16U/SX)(KantoKm-205) / FC-E16U/SX1R4Z / S480037MA
搬送ｼｽﾃﾑ(撤去) / 端末PC(FC-E22U)(KantoKm-102) / FC-E22U-S / 8205324
</t>
  </si>
  <si>
    <t>有（システム診断：　1本、ウィルスチェック：　1本）　※本数の記載がない場合は送付いたしません。</t>
  </si>
  <si>
    <t>大志田様/0195-62-5843</t>
  </si>
  <si>
    <t>佐々木純一/080-1663-1281</t>
  </si>
  <si>
    <t xml:space="preserve">ブランド / 機器構成名(個体名) / 型式 / シリアル番号
AWC-800U / AWCｻｰﾊﾞ(EP8000 S914)(AWC01) / THE-C900941G623 / 66744
AWC-800U / AWCｻｰﾊﾞ予備機(EP8000 S914)(AWC01予備機) / THE-C900941G623 / 66745
</t>
  </si>
  <si>
    <t xml:space="preserve">ブランド / 機器構成名(個体名) / 型式 / シリアル番号
WareNavi7 / ﾏﾃﾊﾝｻｰﾊﾞ(FC-S36W)(WN7) / FC-S36W-113CW5 / 9X00104
WareNavi7 / FSWCSｻｰﾊﾞ(FC-S36W)(WN7-001) / FC-S36W-143CV7 / 0300136
WareNavi7 / SRSWCSｻｰﾊﾞ(FC-S36W)(WN7-002) / FC-S36W-143CV7 / 0200135
WareNavi7 / ﾏﾃﾊﾝｻｰﾊﾞ予備機(FC-S36W)(WN7-011) / FC-S36W-113CW5 / 9X00103
WareNavi7 / WCSｻｰﾊﾞ予備機(FC-S36W)(WN7-012) / FC-S36W-143CV7 / 0300142
DAM / DAM(FC-S36W)(DAM001) / FC-S36W-143CV7 / 0200131
SAM / SAM/BCR付(FC-S36W)(SAM001) / FC-S36W-143CV7 / 0300140
SAM / SAM/BCR付(FC-S36W)(SAM003) / FC-S36W-143CV7 / 0300139
SAM / SAM/BCR付(FC-S36W)(SAM004) / FC-S36W-143CV7 / 0300137
SAM / SAM(FC-S36W)(SAM002) / FC-S36W-143CV7 / 0200130
SAM / SAM(FC-S36W)(SAM005) / FC-S36W-143CV7 / 0200133
WareNavi7 / FS現場端末(FC-E22U)(WAT001) / FC-E22U-S / 9Z11769
WareNavi7 / MOSⅦ(FC-E27B)(MOSA01) / FC-E27B-S / 0110883
WareNavi7 / MOSⅦ(FC-E27B)(MOSB01) / FC-E27B-S / 0110882
</t>
  </si>
  <si>
    <t xml:space="preserve">ブランド / 機器構成名(個体名) / 型式 / シリアル番号
WareNavi7 / ﾗﾍﾞﾙﾌﾟﾘﾝﾀ(LBL01) / BA410T-TS12-S / 2319Y110161
WareNavi7 / ﾗﾍﾞﾙﾌﾟﾘﾝﾀ(LBL02) / BA410T-TS12-S / 2319N110408
WareNavi7 / ﾗﾍﾞﾙﾌﾟﾘﾝﾀ(LBL03) / BA410T-TS12-S / 2319N110441
WareNavi7 / ﾗﾍﾞﾙﾌﾟﾘﾝﾀ(LBL04) / BA410T-TS12-S / 2319W110446
WareNavi7 / ﾗﾍﾞﾙﾌﾟﾘﾝﾀ(LBL05) / BA410T-TS12-S / 2319N110416
WareNavi7 / ﾗﾍﾞﾙﾌﾟﾘﾝﾀ(LBL06) / BA410T-TS12-S / 2319N110440
</t>
  </si>
  <si>
    <t xml:space="preserve">ブランド / 機器構成名(個体名) / 型式 / シリアル番号
AWC-500N / AWC本体(FC-R16W)(AWC001) / FC-R16W-L1 / 5401313
AWC-500N / AWC端末(FC-R16W)(WAT001) / FC-R16W-L1 / 5401315
AWC-500N / AWC端末(FC-R16W)(WAT002) / FC-R16W-L1 / 5401316
AWC-500N / AWC端末(FC-R16W)(WAT003) / FC-R16W-L1 / 5401314
AWC-500N / AGC MOS(MOS03) / FC-E22U-S / 0Z15268
AWC-500N / AGC MOS(MOS04) / FC-E22U-S / 0Z15269
</t>
  </si>
  <si>
    <t>清野　080-8258-1189
篠田　080-4593-2509</t>
  </si>
  <si>
    <t xml:space="preserve">ブランド / 機器構成名(個体名) / 型式 / シリアル番号
CMC(撤去) / CMCｻｰﾊﾞ(SPARC M10-1)(AWC01) / SPMAKAA1EF / PZ32125012
CMC(撤去) / CMCｻｰﾊﾞ(SPARC M10-1)(AWC01) / 無停電電源装置(1500VA,ﾗｯｸﾏｳﾝﾄ)PY-UPAR152 / TT051A0295
</t>
  </si>
  <si>
    <t xml:space="preserve">ブランド / 機器構成名(個体名) / 型式 / シリアル番号
AWC4 Framework / AWC4本体 (FC-S35W/S7)(AWC001) / FC-S35W/S72CL9 / S490676MA
AWC4 Framework / AWC4端末 (FC-E16U/S7)(WAT001) / FC-E16U/S71R4Z / S4X0643MA
AWC4 Framework / AWC4端末 (FC-E16U/S7)(WAT002) / FC-E16U/S71R4Z / S4X0650MA
</t>
  </si>
  <si>
    <t xml:space="preserve">ブランド / 機器構成名(個体名) / 型式 / シリアル番号
AWC7 Framework / AWC7本体(FC-S36W)(AWC001) / FC-S36W-143CV7 / 1100326
AWC7 Framework / AWC7本体予備機(FC-S36W)(AWC_YOBI) / FC-S36W-143CV7 / 1200329
AWC7 Framework / AWC7端末(FC-E22U)(WAT001) / FC-E22U-S / 1215606
AWC7 Framework / 入庫端末 (FC-E29U)(NK21) / FC-E29U-S31C42 / 3400666
AWC7 Framework / 入庫端末 (FC-E29U)(NK22) / FC-E29U-S31C42 / 3400680
</t>
  </si>
  <si>
    <t xml:space="preserve">ブランド / 機器構成名(個体名) / 型式 / シリアル番号
WareNavi7 / WareNavi7本体(FC-S36W)(WNZ01) / FC-S36W-113CW5 / 2100128
WareNavi7 / WareNavi7本体予備機(FC-S36W)(WNZ02) / FC-S36W-113CW5 / 1900125
SAM / SAM(FC-S36W)(SAMZ01) / FC-S36W-143CV7 / 2300644
LPM / LPM(FC-S36W)(LPM101) / FC-S36W-143CV7 / 2100574
LPM / LPM(FC-S36W)(LPM201) / FC-S36W-143CV7 / 2300640
WareNavi7 / WareNavi7端末(FC-E22U)(WATZ01) / FC-E22U-S / 1X17221
WareNavi7 / WareNavi7端末(FC-E22U)(WATZ05) / FC-E22U-S / 1X17230
WareNavi7 / WareNavi7端末(FC-E22U)(WATZ02) / FC-E22U-S / 1X17227
WareNavi7 / WareNavi7端末(FC-E22U)(WATZ03) / FC-E22U-S / 1X17224
WareNavi7 / WareNavi7端末(FC-E22U)(WATZ04) / FC-E22U-S / 1X17222
SAM / MOSⅦ本体(FC-E27B)(MOSZ102) / FC-E27B-SR / 2600295
WareNavi7 / MOSⅦ本体(FC-E27B)(MOSZ201) / FC-E27B-SR / 2300239
WareNavi7 / MOSⅦ端末(FC-P31X)(MOTZ101) / FC-P31X-L1 / 2400867
</t>
  </si>
  <si>
    <t xml:space="preserve">ブランド / 機器構成名(個体名) / 型式 / シリアル番号
LPM / ｵｰﾄﾗﾍﾞﾗ(LBRZ101) / LR4080SR-TSB / GA000086
LPM / ｵｰﾄﾗﾍﾞﾗ(LBRZ102) / LR4080SR-TSB / GA000087
LPM / ｵｰﾄﾗﾍﾞﾗ(LBRZ201) / LR4080SR-TSB / GA000088
LPM / ｵｰﾄﾗﾍﾞﾗ(LBRZ202) / LR4080SR-TSB / GA000089
WareNavi7 / ﾗﾍﾞﾙﾌﾟﾘﾝﾀ(LPTZ01) / CL4NX-J08 Plus / FM104160
WareNavi7 / ﾗﾍﾞﾙﾌﾟﾘﾝﾀ(LPTZ02) / CL4NX-J08 Plus / FM104135
</t>
  </si>
  <si>
    <t xml:space="preserve">ブランド / 機器構成名(個体名) / 型式 / シリアル番号
AWC-100N+ / ﾗﾍﾞﾙﾌﾟﾘﾝﾀ(LPR01) / CL4NX-J08 Plus / GB100344
</t>
  </si>
  <si>
    <t xml:space="preserve">ブランド / 機器構成名(個体名) / 型式 / シリアル番号
WareNavi4 Framework / WareNavi本体 (HF-W7540)(WARENAVI) / HJ-75407ESJD/7R / 4224969-1
WareNavi4 Framework / WareNavi本体予備機 (HF-W7540)(STANDBY) / HJ-75407ESJD/7R / 4224969-2
SAM / SAM (HF-W7540)(SAM01) / HJ-75407ESJD/7R / 4224970-2
SAM / SAM (HF-W7540)(SAM02) / HJ-75407ESJD/7R / 4224970-1
</t>
  </si>
  <si>
    <t xml:space="preserve">ブランド / 機器構成名(個体名) / 型式 / シリアル番号
WareNavi4 Framework / ｵｰﾄﾗﾍﾞﾗ (LR4121SR-TPJ)(ALBL01) / LR4121SR-TPJ / GK000097
WareNavi4 Framework / ｵｰﾄﾗﾍﾞﾗ (LR4121SR-TPJ)(ALBL02) / LR4121SR-TPJ / GK000098
</t>
  </si>
  <si>
    <t xml:space="preserve">ブランド / 機器構成名(個体名) / 型式 / シリアル番号
AWC4 Framework / AWC4ｻｰﾊﾞ(Express5800/R320e-E4)(AWCSVF01) / N8800-201Y / 6300187
</t>
  </si>
  <si>
    <t xml:space="preserve">ブランド / 機器構成名(個体名) / 型式 / シリアル番号
WareNavi7 / WareNavi7ｻｰﾊﾞ(Express5800/R320e-M4)(WN7-001) / N8800-237Y / 7Z00112
WareNavi7 / MOSⅦ(FC-P33W)(MOS01) / FC-P33W-148W7H / 8300111
</t>
  </si>
  <si>
    <t xml:space="preserve">ブランド / 機器構成名(個体名) / 型式 / シリアル番号
LPM / ｵｰﾄﾗﾍﾞﾗ(AL01) / LR4NX-FA12R-PJ / DG000020
</t>
  </si>
  <si>
    <t xml:space="preserve">ブランド / 機器構成名(個体名) / 型式 / シリアル番号
LPM / ｵｰﾄﾗﾍﾞﾗ(LR4120SR-TPJ)(AL01) / LR4120SR-TPJ / DB000001
</t>
  </si>
  <si>
    <t xml:space="preserve">ブランド / 機器構成名(個体名) / 型式 / シリアル番号
AWC7 Framework / AWC7本体(FC-S36W)(AWC001) / FC-S36W-143CV7 / 9800110
</t>
  </si>
  <si>
    <t xml:space="preserve">ブランド / 機器構成名(個体名) / 型式 / シリアル番号
AWC7 Basic / AWC7本体 (HF-W6555)(AWC001) / HJ-6555-WEJD/DF05 / 4238936-1
AWC7 Basic / AWC7端末 (HF-W2050)(WAT001) / HJ-2050-WEMA/DF03 / 8051178-1
</t>
  </si>
  <si>
    <t xml:space="preserve">ブランド / 機器構成名(個体名) / 型式 / シリアル番号
SAM / ﾏﾃﾊﾝｻｰﾊﾞ(FC-S36W)(WCSSV01) / FC-S36W-143CV7 / 4101135
SAM / SAM(FC-S36W)(SAM101) / FC-S36W-143CV7 / 4101137
SAM / ﾏﾃﾊﾝｻｰﾊﾞ兼SAM予備機(FC-S36W)(WCSSV01予備) / FC-S36W-143CV7 / 4101133
LPM / LPM(FC-E22K)(LPM102) / FC-E22K-L / 4402139
LPM / LPM(FC-E22K)(LPM103) / FC-E22K-L / 4402140
LPM / LPM(FC-E22K)(LPM104) / FC-E22K-L / 4402144
LPM / LPM(FC-E22K)(LPM105) / FC-E22K-L / 4402138
LPM / LPM(FC-E22K)(LPM108) / FC-E22K-L / 4402137
LPM / LPM(FC-E22K)(LPM109) / FC-E22K-L / 4402142
LPM / LPM(FC-E22K)(LPM112) / FC-E22K-L / 4402143
LPM / LPM予備機(FC-E22K)(LPM予備) / FC-E22K-L / 4402141
SAM / ﾘｼﾞｪｸﾄ端末(FC-E29U)(WAT121) / FC-E29U-S31C42 / 3600930
SAM / MOSⅦ本体(FC-E22K)(MOSZ001) / FC-E22K-L / 4302113
</t>
  </si>
  <si>
    <t xml:space="preserve">ブランド / 機器構成名(個体名) / 型式 / シリアル番号
LPM / ﾗﾍﾞﾙﾌﾟﾘﾝﾀ(MLB102) / CL4NX-J08 Plus / HL101153
LPM / ﾗﾍﾞﾙﾌﾟﾘﾝﾀ(MLB103) / CL4NX-J08 Plus / HL101217
LPM / ﾗﾍﾞﾙﾌﾟﾘﾝﾀ(MLB104) / CL4NX-J08 Plus / HL101243
LPM / ﾗﾍﾞﾙﾌﾟﾘﾝﾀ(MLB105) / CL4NX-J08 Plus / HL101165
LPM / ﾗﾍﾞﾙﾌﾟﾘﾝﾀ(MLB108) / CL4NX-J08 Plus / HL101164
LPM / ﾗﾍﾞﾙﾌﾟﾘﾝﾀ(MLB109) / CL4NX-J08 Plus / HL101199
LPM / ﾗﾍﾞﾙﾌﾟﾘﾝﾀ(MLB112) / CL4NX-J08 Plus / HL101231
SAM / ﾗﾍﾞﾙﾌﾟﾘﾝﾀ(MLB121) / CL4NX-J08 Plus / HL101172
LPM / ｵｰﾄﾗﾍﾞﾗ(LBRZ102) / LR4080SR-TSJ / JB000061
LPM / ｵｰﾄﾗﾍﾞﾗ(LBRZ103) / LR4080SR-TSJ / JB000062
LPM / ｵｰﾄﾗﾍﾞﾗ(LBRZ104) / LR4080SR-TSJ / JB000063
LPM / ｵｰﾄﾗﾍﾞﾗ(LBRZ105) / LR4080SR-TSJ / JB000064
LPM / ｵｰﾄﾗﾍﾞﾗ(LBRZ108) / LR4080SR-TSJ / HM000088
LPM / ｵｰﾄﾗﾍﾞﾗ(LBRZ109) / LR4080SR-TSJ / HM000089
LPM / ｵｰﾄﾗﾍﾞﾗ(LBRZ112) / LR4080SR-TSJ / HM000090
</t>
  </si>
  <si>
    <t xml:space="preserve">ブランド / 機器構成名(個体名) / 型式 / シリアル番号
WareNavi7 / WareNavi7ｻｰﾊﾞ (Express5800/R320h-M4)(WN7-001) / N8800-302Y / 1800120
WareNavi7 / ｻｰﾊﾞ用UPS(WN7-001) / 無停電電源装置(1500VA,ﾗｯｸﾏｳﾝﾄ)N8142-101 / SJ12128110247
WareNavi7 / ｻｰﾊﾞ用UPS(WN7-001) / 無停電電源装置(1500VA,ﾗｯｸﾏｳﾝﾄ)N8142-101 / SJ12128110275
WareNavi7 / 無線ﾏﾈｰｼﾞｬ (FC-S36W)(MNG001) / FC-S36W-143CV7 / 1700442
WareNavi7 / 無線ﾏﾈｰｼﾞｬ (FC-S36W)(MNG002) / FC-S36W-143CV7 / 1700441
WareNavi7 / MOSⅦｻｰﾊﾞ (FC-E27B)(MOS001) / FC-E27B-S / 1X14606
</t>
  </si>
  <si>
    <t xml:space="preserve">ブランド / 機器構成名(個体名) / 型式 / シリアル番号
eWareNavi Framework / eWareNavi本体(HF-W6555)(WN001) / HJ-6555-WEJD/DF05 / 4237285-1
eWareNavi Framework / eWareNavi端末 / ﾊﾝﾃﾞｨBCR無(HF-W2045)(WAT002) / HJ-2045-WEJA/DF03 / 4237453-1
eWareNavi Framework / eWareNavi端末 / ﾊﾝﾃﾞｨBCR無(HF-W2045)(WAT003) / HJ-2045-WEJA/DF03 / 4237448-1
eWareNavi Framework / eWareNavi端末 / ﾊﾝﾃﾞｨBCR付(HF-W2045)(WAT004) / HJ-2045-WEJA/DF03 / 4237450-1
eWareNavi Framework / eWareNavi端末 / ﾊﾝﾃﾞｨBCR付(HF-W2045)(WAT005) / HJ-2045-WEJA/DF03 / 4237449-1
eWareNavi Framework / eWareNavi端末 / ﾊﾝﾃﾞｨBCR付(HF-W2045)(WAT006) / HJ-2045-WEJA/DF03 / 4237452-1
eWareNavi Framework / eWareNavi端末 / ﾊﾝﾃﾞｨBCR付(HF-W2045)(WAT007) / HJ-2045-WEJA/DF03 / 4237451-1
LPM / LPM端末(HF-W2045)(LPM001) / HJ-2045-WBJA/DF01 / 4237085-1
LPM / LPM端末(HF-W2045)(LPM002) / HJ-2045-WBJA/DF01 / 4237084-1
LPM / LPM端末(HF-W2045)(LPM003) / HJ-2045-WBJA/DF01 / 4237290-1
</t>
  </si>
  <si>
    <t xml:space="preserve">ブランド / 機器構成名(個体名) / 型式 / シリアル番号
LPM / ｵｰﾄﾗﾍﾞﾗ (LR4121SR)(ALR01) / LR4121SR-TSB / 0014A114
LPM / ｵｰﾄﾗﾍﾞﾗ (LR4121SR)(ALR02) / LR4121SR-TSB / 0014A116
LPM / ｵｰﾄﾗﾍﾞﾗ (LR4121SR)(ALR03) / LR4121SR-TSB / 0014A115
LPM / ｵｰﾄﾗﾍﾞﾗ (LR4121SR)(ALR予備) / LR4121SR-TSB / 0014A117
</t>
  </si>
  <si>
    <t xml:space="preserve">ブランド / 機器構成名(個体名) / 型式 / シリアル番号
AWC-800N / AWC本体(FA3100SS model 1000)(nte250i) / UD431016-02-DHT / OEX048
</t>
  </si>
  <si>
    <t xml:space="preserve">ブランド / 機器構成名(個体名) / 型式 / シリアル番号
eAWC Framework / eAWC本体 (FA3100T model 800)(01PCnnnnn) / UA538020 / OHA425
</t>
  </si>
  <si>
    <t xml:space="preserve">ブランド / 機器構成名(個体名) / 型式 / シリアル番号
LPM(自動倉庫) / ｵｰﾄﾗﾍﾞﾗ(ALB01) / LR4081SR-TSJ / GE000099
LPM(自動倉庫) / ｵｰﾄﾗﾍﾞﾗ(ALB02) / LR4081SR-TSJ / GE000100
LPM(自動倉庫) / ｵｰﾄﾗﾍﾞﾗ(ALB03) / LR4081SR-TSJ / GE000101
LPM(自動倉庫) / ｵｰﾄﾗﾍﾞﾗ(ALB04) / LR4081SR-TSJ / GE000102
LPM(ｿｰﾀ) / ｵｰﾄﾗﾍﾞﾗ(ALB05) / LR4081SR-TSJ / GE000103
LPM(ｿｰﾀ) / ｵｰﾄﾗﾍﾞﾗ(ALB06) / LR4081SR-TSJ / GE000104
</t>
  </si>
  <si>
    <t xml:space="preserve">ブランド / 機器構成名(個体名) / 型式 / シリアル番号
WareNavi7 / WareNavi7本体(FC-S36W)(WN7A01) / FC-S36W-143CV7 / 0400160
WareNavi7 / WareNavi7端末(FC-E22U)(WAT001) / FC-E22U-S / 0312880
WareNavi7 / WareNavi7端末(FC-E22U)(WAT002) / FC-E22U-S / 0312883
</t>
  </si>
  <si>
    <t xml:space="preserve">ブランド / 機器構成名(個体名) / 型式 / シリアル番号
eAWC Basic / eAWC本体 (HF-W6555)(EAWC001) / HJ-6555-WEJD/DF03 / 4236389-1
eAWC Basic / eAWC端末 (HF-W2045)(WAT001) / HJ-2045-WEJA/DF03 / 4236400-1
eAWC Basic / eAWC端末 (HF-W2045)(WAT002) / HJ-2045-WEJA/DF03 / 4236402-1
</t>
  </si>
  <si>
    <t xml:space="preserve">ブランド / 機器構成名(個体名) / 型式 / シリアル番号
LPM / ｵｰﾄﾗﾍﾞﾗ(LB041) / L-2000AT-12C / 1086548
LPM / ｵｰﾄﾗﾍﾞﾗ(LB042) / L-2000AT-12C / 1086552
LPM / ｵｰﾄﾗﾍﾞﾗ(LB052) / L-2000AT-12C / 1086549
LPM / ｵｰﾄﾗﾍﾞﾗ(LB021) / L-2000AT-12C / 1086550
LPM / ｵｰﾄﾗﾍﾞﾗ(LB032) / L-2000AT-12C / 1086546
LPM / ｵｰﾄﾗﾍﾞﾗ(LB031) / L-2000AT-12C / 1086545
LPM / ｵｰﾄﾗﾍﾞﾗ(LB051) / L-2000AT-12C / 1086547
LPM / ｵｰﾄﾗﾍﾞﾗ(LB011) / L-2000AT-12C / 1086543
LPM / ｵｰﾄﾗﾍﾞﾗ(LB012) / L-2000AT-12C / 1086544
LPM / ｵｰﾄﾗﾍﾞﾗ(LB022) / L-2000AT-12C / 1086551
</t>
  </si>
  <si>
    <t xml:space="preserve">ブランド / 機器構成名(個体名) / 型式 / シリアル番号
eAWC Framework / eAWC本体 (HF-W6555)(EAWC001) / HJ-6555-WEJD/DF05 / 4238149-1
eAWC Framework / eAWC端末 (HF-W2050)(WAT001) / HJ-2050-WEMA/DF03 / 8050527-1
</t>
  </si>
  <si>
    <t xml:space="preserve">ブランド / 機器構成名(個体名) / 型式 / シリアル番号
AWC4 Framework / AWC4本体（HF-W6545）(AWC001) / HJ-65459EWJD/DF01 / 4227243-1
AWC4 Framework / AWC4端末（HF-W2035）(WAT001) / HJ-20359EWJA/DF01 / 4226873-1
</t>
  </si>
  <si>
    <t xml:space="preserve">ブランド / 機器構成名(個体名) / 型式 / シリアル番号
LPM / ｵｰﾄﾗﾍﾞﾗ(LBL101) / LR4120SR-TSB / 15120101
LPM / ｵｰﾄﾗﾍﾞﾗ(LBL102) / LR4121SR-TSB / 16020086
LPM / ｵｰﾄﾗﾍﾞﾗ(LBL103) / LR4121SR-TSB / 16020087
LPM / ｵｰﾄﾗﾍﾞﾗ(LBL104) / LR4121SR-TSB / 16020088
LPM / ｵｰﾄﾗﾍﾞﾗ(LBL201) / LR4121SR-TSB / 16020089
LPM / ｵｰﾄﾗﾍﾞﾗ(LBL202) / LR4121SR-TSB / 16020090
LPM / ｵｰﾄﾗﾍﾞﾗ(LBL203) / LR4121SR-TSB / 16020091
LPM / ｵｰﾄﾗﾍﾞﾗ(LBL204) / LR4121SR-TSB / 16020092
</t>
  </si>
  <si>
    <t xml:space="preserve">ブランド / 機器構成名(個体名) / 型式 / シリアル番号
AWC4 Framework / AWC4本体 (HF-W6555)(AWC001) / HJ-6555-WEJD/DF05 / 4237861-2
AWC4 Framework / AWC4端末 (HF-W2045)(WAT001) / HJ-2045-WEJA/DF03 / 4237606-1
</t>
  </si>
  <si>
    <t xml:space="preserve">ブランド / 機器構成名(個体名) / 型式 / シリアル番号
WareNavi7 Framework / WareNavi7ｻｰﾊﾞ(Express5800/R320h-E4)(WNA01) / N8800-301Y / 2Y00534
WareNavi7 Framework / Express用UPS(UPS101) / 無停電電源装置(1500VA,ﾗｯｸﾏｳﾝﾄ)N8142-101 / J12230211149
WareNavi7 Framework / Express用UPS(UPS102) / 無停電電源装置(1500VA,ﾗｯｸﾏｳﾝﾄ)N8142-101 / J12230210929
</t>
  </si>
  <si>
    <t xml:space="preserve">ブランド / 機器構成名(個体名) / 型式 / シリアル番号
AWC7 Basic / AWC7本体(HF-W6555)(AWC001) / HJ-6555-WEJD/DF05 / 4240888-1
</t>
  </si>
  <si>
    <t xml:space="preserve">ブランド / 機器構成名(個体名) / 型式 / シリアル番号
LPM / ｵｰﾄﾗﾍﾞﾗ (LR4080SR-TSB)(LAB01) / LR4080SR-TSB / CD000006
LPM / ｵｰﾄﾗﾍﾞﾗ (LR4080SR-TCJ)(LAB02) / LR4080SR-TCJ / CD000007
LPM / ｵｰﾄﾗﾍﾞﾗ (LR4081SR-TCJ)(LAB03) / LR4081SR-TCJ / CD000030
</t>
  </si>
  <si>
    <t xml:space="preserve">ブランド / 機器構成名(個体名) / 型式 / シリアル番号
AWC-100N(AS) / AWC本体(FA3100SS model 1000)(AWC001) / UD431016-01-DHT / OEX613
</t>
  </si>
  <si>
    <t xml:space="preserve">ブランド / 機器構成名(個体名) / 型式 / シリアル番号
eye-navi / DPMｻｰﾊﾞ (FC-S35W/S7)(SRV01) / FC-S35W/S42CM0 / S810278MA
eye-navi / DPM (FC-S35W/S7)(DPM01) / FC-S35W/S42CM0 / S810279MA
eye-navi / DPM (FC-S35W/S7)(DPM02) / FC-S35W/S42CM0 / S810276MA
eye-navi / DPM (FC-S35W/S7)(DPM03) / FC-S35W/S42CM0 / S810275MA
eye-navi / DPM (FC-S35W/S7)(DPM04) / FC-S35W/S42CM0 / S810283MA
eye-navi / DPM予備機 (FC-S35W/S4)(DPM予備) / FC-S35W/S42CM0 / 9302106
</t>
  </si>
  <si>
    <t xml:space="preserve">ブランド / 機器構成名(個体名) / 型式 / シリアル番号
AWC4 Basic / AWC4本体 (HF-W2035)(AWC001) / HJ-20359EWJA/DF02 / 4223323-1
</t>
  </si>
  <si>
    <t xml:space="preserve">ブランド / 機器構成名(個体名) / 型式 / シリアル番号
AWC-800N / AWC本体 (FC-E25B)(AWC001) / FC-E25B/S71W6Z / S650663MA
AWC-800N / AWC本体予備機 (FC-E25B)(AWC999) / FC-E25B/S71W6Z / S650665MA
</t>
  </si>
  <si>
    <t xml:space="preserve">ブランド / 機器構成名(個体名) / 型式 / シリアル番号
RTS-100 / RTSｻｰﾊﾞ (EP8000 S814)(AWC01) / THE-C828641A630B / 46716
RTS-100 / RTSｻｰﾊﾞ予備機 (EP8000 S814)(AWC01予備) / THE-C828641A630B / 46720
RTS-100 / RTS端末 (HF-W2045)(WSC01) / HJ-2045-WBJA/DF01 / 4230404-1
RTS-100 / RTS端末 (HF-W2045)(WSC02) / HJ-2045-WBJA/DF01 / 4230403-10
RTS-100 / RTS端末 (HF-W2045)(WSC03) / HJ-2045-WBJA/DF01 / 4230403-5
RTS-100 / RTS端末 (HF-W2045)(WSC04) / HJ-2045-WBJA/DF01 / 4230403-4
RTS-100 / RTS端末 (HF-W2045)(WSC05) / HJ-2045-WBJA/DF01 / 4230403-6
RTS-100 / RTS端末 (HF-W2045)(WSC06) / HJ-2045-WBJA/DF01 / 4230403-1
RTS-100 / RTS端末 (HF-W2045)(WSC07) / HJ-2045-WBJA/DF01 / 4230403-2
RTS-100 / RTS端末 (HF-W2045)(WSC08) / HJ-2045-WBJA/DF01 / 4230403-8
RTS-100 / RTS端末 (HF-W2045)(WSC09) / HJ-2045-WBJA/DF01 / 4230403-3
RTS-100 / RTS端末 (HF-W2045)(WSC10) / HJ-2045-WBJA/DF01 / 4230403-7
RTS-100 / RTS端末 (HF-W2045)(WSC11) / HJ-2045-WBJA/DF01 / 4230403-9
</t>
  </si>
  <si>
    <t xml:space="preserve">ブランド / 機器構成名(個体名) / 型式 / シリアル番号
AWC-800U / AWCｻｰﾊﾞ (SPARC M12-1)(AWC001) / SPNAAAA3EF / PZ72312008
AWC-800U / AWCｻｰﾊﾞ (SPARC M12-1)(AWC001) / 無停電電源装置(1500VA,ﾗｯｸﾏｳﾝﾄ)PY-UPAR152 / TT213A0155
AWC-800U / ｺﾝｿｰﾙ端末 (PRIMERGY RX1330 M5)(CONSOLE-PC) / PYR1335R3S / MADM005680
</t>
  </si>
  <si>
    <t xml:space="preserve">ブランド / 機器構成名(個体名) / 型式 / シリアル番号
AWC7 Framework / AWC7本体(FC-S36W)(AWC001) / FC-S36W-143CV7 / 0900259
</t>
  </si>
  <si>
    <t xml:space="preserve">ブランド / 機器構成名(個体名) / 型式 / シリアル番号
AWC4 Ordermade / MOSⅦｻｰﾊﾞ (FC-E22K)(MOS01) / FC-E22K-L / 3200764
</t>
  </si>
  <si>
    <t xml:space="preserve">ブランド / 機器構成名(個体名) / 型式 / シリアル番号
WareNavi4 Ordermade / ﾗﾍﾞﾙﾌﾟﾘﾝﾀ / 新棟(LBL017) / CL4NX-J08 Plus / FA103514
SAM / ﾗﾍﾞﾙﾌﾟﾘﾝﾀ / 新棟(LBL018) / CL4NX-J08 Plus / FB100486
DPM / ﾗﾍﾞﾙﾌﾟﾘﾝﾀ / 新棟(LBL014) / CL4NX-J08 Plus / FA103524
DPM / ﾗﾍﾞﾙﾌﾟﾘﾝﾀ / 新棟(LBL015) / CL4NX-J08 Plus / FA103517
DPM / ﾗﾍﾞﾙﾌﾟﾘﾝﾀ / 新棟(LBL016) / CL4NX-J08 Plus / FB100498
LPM / ﾗﾍﾞﾙﾌﾟﾘﾝﾀ / 新棟(LBL001) / CL4NX-J08 Plus / FB100497
LPM / ﾗﾍﾞﾙﾌﾟﾘﾝﾀ / 新棟(LBL002) / CL4NX-J08 Plus / FB100505
LPM / ﾗﾍﾞﾙﾌﾟﾘﾝﾀ / 新棟(LBL003) / CL4NX-J08 Plus / FA103504
LPM / ﾗﾍﾞﾙﾌﾟﾘﾝﾀ / 新棟(LBL004) / CL4NX-J08 Plus / FB100490
LPM / ﾗﾍﾞﾙﾌﾟﾘﾝﾀ / 新棟(LBL005) / CL4NX-J08 Plus / FB100526
LPM / ﾗﾍﾞﾙﾌﾟﾘﾝﾀ / 新棟(LBL006) / CL4NX-J08 Plus / FA103530
LPM / ﾗﾍﾞﾙﾌﾟﾘﾝﾀ / 新棟(LBL007) / CL4NX-J08 Plus / FB100509
LPM / ﾗﾍﾞﾙﾌﾟﾘﾝﾀ / 新棟(LBL008) / CL4NX-J08 Plus / FA103531
LPM / ﾗﾍﾞﾙﾌﾟﾘﾝﾀ / 新棟(LBL009) / CL4NX-J08 Plus / FB100506
LPM / ﾗﾍﾞﾙﾌﾟﾘﾝﾀ / 新棟(LBL010) / CL4NX-J08 Plus / FA103503
LPM / ﾗﾍﾞﾙﾌﾟﾘﾝﾀ / 新棟(LBL011) / CL4NX-J08 Plus / FB100508
LPM / ﾗﾍﾞﾙﾌﾟﾘﾝﾀ / 新棟(LBL012) / CL4NX-J08 Plus / FA103484
LPM / ﾗﾍﾞﾙﾌﾟﾘﾝﾀ / 新棟(LBL013) / CL4NX-J08 Plus / FB100517
</t>
  </si>
  <si>
    <t xml:space="preserve">ブランド / 機器構成名(個体名) / 型式 / シリアル番号
DPM / ｵｰﾄﾗﾍﾞﾗ (LR4080SR-T)() / LR4080SR-TSB / AG000030
DPM / ｵｰﾄﾗﾍﾞﾗ (LR4081SR-T)() / LR4081SR-TSB / AG000054
DPM / ｵｰﾄﾗﾍﾞﾗ (LR4081SR-T)() / LR4081SR-TSB / AG000055
DPM / ｵｰﾄﾗﾍﾞﾗ予備機(予備機) / LR4081SR-TSB / AG000046
</t>
  </si>
  <si>
    <t xml:space="preserve">ブランド / 機器構成名(個体名) / 型式 / シリアル番号
WareNavi (既設) / 管理ｻｰﾊﾞ (Express5800/R320h-M4)(DB-SV) / N8800-312Y / 3900137
WareNavi (既設) / ｻｰﾊﾞ用UPS(DB-SV) / 無停電電源装置(1500VA,ﾗｯｸﾏｳﾝﾄ)N8142-101 / 
WareNavi (既設) / ｻｰﾊﾞ用UPS(DB-SV) / 無停電電源装置(1500VA,ﾗｯｸﾏｳﾝﾄ)N8142-101 / 
WareNavi (既設) / ｻｰﾊﾞ端末 (FC-E24G)(WAT04) / FC-E24G-L / 3900161
</t>
  </si>
  <si>
    <t xml:space="preserve">ブランド / 機器構成名(個体名) / 型式 / シリアル番号
WareNavi7 / WareNavi7本体 (HF-W6555)(WN7-001) / HJ-6555-WEJD/7R / 4236182-1
WareNavi7 / WareNavi7予備機 (HF-W6555)(WN7-002) / HJ-6555-WEJD/7R / 4236182-2
WareNavi7 / 入出庫兼用端末 (HF-W2045)(WAT004) / HJ-2045-WEJA/DF03 / 4236168-8
WareNavi7 / 操作端末 (HF-W2045)(WAT001) / HJ-2045-WEJA/DF03 / 4236168-7
WareNavi7 / 操作端末 (HF-W2045)(WAT002) / HJ-2045-WEJA/DF03 / 4236168-4
WareNavi7 / 操作端末 (HF-W2045)(WAT003) / HJ-2045-WEJA/DF03 / 4236168-5
WareNavi7 / 操作端末 (HF-W2045)(WAT005) / HJ-2045-WEJA/DF03 / 4236168-6
WareNavi7 / 作業表示端末 (HF-W2045)(WAT006) / HJ-2045-WEJA/DF03 / 4236168-2
WareNavi7 / 作業表示端末 (HF-W2045)(WAT007) / HJ-2045-WEJA/DF03 / 4236168-1
WareNavi7 / 作業表示端末 (HF-W2045)(WAT008) / HJ-2045-WEJA/DF03 / 4236168-3
WareNavi7 / MOSⅦ本体 (HF-W2045)(MOS01) / HJ-2045-WEJA/7R / 4236134-1
WareNavi7 / MOSⅦ端末 (HF-W2045)(MOS02) / HJ-2045-WEJA/7R / 4236135-1
</t>
  </si>
  <si>
    <t xml:space="preserve">ブランド / 機器構成名(個体名) / 型式 / シリアル番号
AWC4 Framework / AWC4本体 （FC-S35W/S7）(AWC38) / FC-S35W/S72CL9 / S6Z0282MA
</t>
  </si>
  <si>
    <t xml:space="preserve">ブランド / 機器構成名(個体名) / 型式 / シリアル番号
ｺﾝﾄﾛｰﾗ / MOSⅦ本体(FC-E27B)(MOS01) / FC-E27B-S / 8Z06597
</t>
  </si>
  <si>
    <t xml:space="preserve">ブランド / 機器構成名(個体名) / 型式 / シリアル番号
AWC7 Framework / AWC7本体(FC-S36W)(AWC001a) / FC-S36W-113CW5 / 4200164
AWC7 Framework / AWC7端末(FC-E29U) / BCR付(WAT001) / FC-E29U-S31C42 / 3600854
AWC7 Framework / AWC7端末(FC-E29U)(WAT002) / FC-E29U-S31C42 / 3600855
AWC7 Framework / AWC7端末(FC-E29U)(WAT003) / FC-E29U-S31C42 / 3600860
AWC7 Framework / AWC7端末(FC-E29U)(WAT004) / FC-E29U-S31C42 / 3600863
AWC7 Framework / AWC7端末(FC-E29U)(WAT005) / FC-E29U-S31C42 / 3600874
AWC7 Framework / AWC7端末(FC-E29U)(WAT006) / FC-E29U-S31C42 / 3600882
AWC7 Framework / AWC7端末(FC-E29U)(WAT007) / FC-E29U-S31C42 / 3600884
AWC7 Framework / AWC7端末(FC-E29U)(WAT008) / FC-E29U-S31C42 / 3600899
AWC7 Framework / AWC7端末(FC-E29U)(WAT009) / FC-E29U-S31C42 / 3600900
AWC7 Framework / AWC7端末(FC-E29U)(WAT010) / FC-E29U-S31C42 / 3600901
AWC7 Framework / ﾍﾟｰｼﾞﾌﾟﾘﾝﾀ(PR-L5350)(PRN001) / PR-L5350 / 1Z02155YA
AWC7 Framework / ﾍﾟｰｼﾞﾌﾟﾘﾝﾀ(PR-L5350)(PRN002) / PR-L5350 / 1Z02026YA
AWC7 Framework / ﾍﾟｰｼﾞﾌﾟﾘﾝﾀ(PR-L5350)(PRN003) / PR-L5350 / 1Z02157YA
AWC7 Framework / ﾍﾟｰｼﾞﾌﾟﾘﾝﾀ(PR-L5350)(PRN004) / PR-L5350 / 1Z01790YA
AWC7 Framework / ﾍﾟｰｼﾞﾌﾟﾘﾝﾀ(PR-L5350)(PRN005) / PR-L5350 / 1Z01789YA
AWC7 Framework / ﾍﾟｰｼﾞﾌﾟﾘﾝﾀ(PR-L5350)(PRN006) / PR-L5350 / 1Z01791YA
AWC7 Framework / ﾍﾟｰｼﾞﾌﾟﾘﾝﾀ(PR-L5350)(PRN007) / PR-L5350 / 1Z02077YA
AWC7 Framework / ﾍﾟｰｼﾞﾌﾟﾘﾝﾀ(PR-L5350)(PRN008) / PR-L5350 / 1Z01792YA
</t>
  </si>
  <si>
    <t xml:space="preserve">ブランド / 機器構成名(個体名) / 型式 / シリアル番号
AWC7 Framework / AWC7本体 (FC-S36W)(AWC001) / FC-S36W-143CV7 / 2800733
AWC7 Framework / AWC7端末 (FC-E29U)(WAT001) / FC-E29U-S31C42 / 2Z00222
</t>
  </si>
  <si>
    <t xml:space="preserve">ブランド / 機器構成名(個体名) / 型式 / シリアル番号
AWC7 Framework / MOSⅦ(HF-W2055)(MOSA001) / HJ-2055-WEMA/DF04 / 8054503-1
</t>
  </si>
  <si>
    <t xml:space="preserve">ブランド / 機器構成名(個体名) / 型式 / シリアル番号
AWC4 Framework / AWC4本体 （FC-S35W/S7）(AWC001) / FC-S35W/S72CL9 / S6Z0291MA
</t>
  </si>
  <si>
    <t xml:space="preserve">ブランド / 機器構成名(個体名) / 型式 / シリアル番号
管理ｻｰﾊﾞ / 管理ｻｰﾊﾞ(FC-E23W)(PDM) / FC-E23W-S / 9405802
管理ｻｰﾊﾞ / 管理ｻｰﾊﾞ予備機(FC-E23W)(PDM予備機) / FC-E23W-S / 9405801
DPM / DPM(FC-E23W)(DPM01) / FC-E23W-S / 9405799
DPM / DPM(FC-E23W)(DPM02) / FC-E23W-S / 9405797
DPM / DPM予備機(FC-E23W)(DPM予備機) / FC-E23W-S / 9405800
PCM / PCM(FC-E23W)(PCM) / FC-E23W-S / 9405798
PCM / PCM予備機(FC-E23W)(PCM予備機) / FC-E23W-S / 9405796
管理ｻｰﾊﾞ / 進捗端末(FC-E22U)(WAT01) / FC-E22U-S / 9309338
管理ｻｰﾊﾞ / 端末予備機(FC-E22U)(WAT予備機) / FC-E22U-S / 9309340
</t>
  </si>
  <si>
    <t xml:space="preserve">ブランド / 機器構成名(個体名) / 型式 / シリアル番号
AWC-500N / AWCｻｰﾊﾞ(FC-R24W)(AWC001) / FC-R24W-L1 / 2Z00584
</t>
  </si>
  <si>
    <t xml:space="preserve">ブランド / 機器構成名(個体名) / 型式 / シリアル番号
WareNavi7(資材倉庫) / WareNavi7ｻｰﾊﾞ(Express5800/R320g-E4)(WN7-006) / N8800-255Y / 0Y00476
WareNavi7(資材倉庫) / WareNavi7端末(FC-E22U)(WAT501) / FC-E22U-S / 0X14497
WareNavi7(資材倉庫) / WareNavi7端末(FC-E22U)(WAT502) / FC-E22U-S / 0X14491
WareNavi7(資材倉庫) / MOSⅦ(FC-E27B)(MOSF01) / FC-E27B-S / 0Z12963
WareNavi7(資材倉庫) / VTC(NT-8000)(VTCF01) / FC-E22U-S / 0Z15097
</t>
  </si>
  <si>
    <t xml:space="preserve">ブランド / 機器構成名(個体名) / 型式 / シリアル番号
WareNavi7(製品倉庫) / WareNavi7ｻｰﾊﾞ(Express5800/R320g-E4)(WN7-007) / N8800-255Y / 0Y00475
WareNavi7(製品倉庫) / WareNavi7端末(FC-E22U)(WAT601) / FC-E22U-S / 0X14495
WareNavi7(製品倉庫) / WareNavi7端末(FC-E22U)(WAT602) / FC-E22U-S / 0X14489
WareNavi7(製品倉庫) / WareNavi7端末(FC-E22U)(WAT603) / FC-E22U-S / 0X14490
WareNavi7(製品倉庫) / MOSⅦ(FC-E27B)(MOSG01) / FC-E27B-S / 0Z12981
</t>
  </si>
  <si>
    <t xml:space="preserve">ブランド / 機器構成名(個体名) / 型式 / シリアル番号
AWC-500N / AWCｻｰﾊﾞ (Express5800/R320h-E4)(AWC001) / N8800-301Y / 2200430
</t>
  </si>
  <si>
    <t xml:space="preserve">ブランド / 機器構成名(個体名) / 型式 / シリアル番号
AWC-100N+ / AWC本体(FC-S35W/S7)(AWC001) / FC-S35W/S72CL9 / S710184MA
AWC-100N+ / AWC端末(FC-E22U)(WAT002) / FC-E22U-S / 7302479
AWC-100N+ / AWC端末(FC-E22U)(WAT003) / FC-E22U-S / 7302472
AWC-100N+ / AWC端末(FC-E22U)(WAT004) / FC-E22U-S / 7302468
</t>
  </si>
  <si>
    <t xml:space="preserve">ブランド / 機器構成名(個体名) / 型式 / シリアル番号
DPM / ｵｰﾄﾗﾍﾞﾗ (冷蔵ﾗｲﾝ用)(ALR01) / LR4NX-FA08LPJ / GH000029
DPM / ｵｰﾄﾗﾍﾞﾗ (冷蔵ﾗｲﾝ用)(ALR02) / LR4NX-FA08LPJ / GH000035
DPM / ｵｰﾄﾗﾍﾞﾗ (冷蔵ﾗｲﾝ用)(ALR03) / LR4NX-FA08LPJ / GH000030
DPM / ｵｰﾄﾗﾍﾞﾗ (冷蔵ﾗｲﾝ用)(ALR04) / LR4NX-FA08LPJ / GH000036
DPM / ｵｰﾄﾗﾍﾞﾗ (冷蔵ﾗｲﾝ用)(ALR05) / LR4NX-FA08LPJ / GH000031
DPM / ｵｰﾄﾗﾍﾞﾗ (冷蔵ﾗｲﾝ用)(ALR06) / LR4NX-FA08LPJ / GH000037
DPM / ｵｰﾄﾗﾍﾞﾗ (冷蔵ﾗｲﾝ用)(ALR07) / LR4NX-FA08LPJ / GH000032
DPM / ｵｰﾄﾗﾍﾞﾗ (冷蔵ﾗｲﾝ用)(ALR08) / LR4NX-FA08LPJ / GH000038
DPM / ｵｰﾄﾗﾍﾞﾗ (冷蔵ﾗｲﾝ用)(ALR09) / LR4NX-FA08LPJ / GH000033
DPM / ｵｰﾄﾗﾍﾞﾗ (冷蔵ﾗｲﾝ用)(ALR10) / LR4NX-FA08LPJ / GH000039
DPM / ｵｰﾄﾗﾍﾞﾗ (冷蔵ﾗｲﾝ用)(ALR11) / LR4NX-FA08LPJ / GH000034
DPM / ｵｰﾄﾗﾍﾞﾗ (冷蔵ﾗｲﾝ用)(ALR12) / LR4NX-FA08LPJ / GH000040
DPM / ｵｰﾄﾗﾍﾞﾗ (農産ﾗｲﾝ用)(ALR13) / LR4NX-FA08LPJ / GH000057
DPM / ｵｰﾄﾗﾍﾞﾗ (農産ﾗｲﾝ用)(ALR14) / LR4NX-FA08LPJ / GH000059
DPM / ｵｰﾄﾗﾍﾞﾗ (農産ﾗｲﾝ用)(ALR15) / LR4NX-FA08LPJ / GH000058
DPM / ｵｰﾄﾗﾍﾞﾗ (農産ﾗｲﾝ用)(ALR16) / LR4NX-FA08LPJ / GH000060
DPM / ｵｰﾄﾗﾍﾞﾗ (農産ﾗｲﾝ用)(ALR17) / LR4NX-FA08RPJ / GH000025
DPM / ｵｰﾄﾗﾍﾞﾗ (農産ﾗｲﾝ用)(ALR18) / LR4NX-FA08RPJ / GH000027
DPM / ｵｰﾄﾗﾍﾞﾗ (農産ﾗｲﾝ用)(ALR19) / LR4NX-FA08RPJ / GH000026
DPM / ｵｰﾄﾗﾍﾞﾗ (農産ﾗｲﾝ用)(ALR20) / LR4NX-FA08RPJ / GH000028
</t>
  </si>
  <si>
    <t xml:space="preserve">ブランド / 機器構成名(個体名) / 型式 / シリアル番号
DPM / DPMｻｰﾊﾞ (Express5800/T110i)(DPM_SERVER) / N8100-2510Y / 8700269
DPM / DPMｻｰﾊﾞ予備機 (Express5800/T110i)(DPM_SERVER予備) / N8100-2510Y / 8700270
DPM / 管理端末 (FC-E22U)(CONTROL) / FC-E22U-S / 8606297
DPM / DPM端末 (FC-E22U【冷蔵ﾗｲﾝ】)(DPM01) / FC-E22U-S / 8606284
DPM / DPM端末 (FC-E22U【冷蔵ﾗｲﾝ】)(DPM02) / FC-E22U-S / 8606286
DPM / DPM端末 (FC-E22U【冷蔵ﾗｲﾝ】)(DPM03) / FC-E22U-S / 8606279
DPM / DPM端末 (FC-E22U【冷蔵ﾗｲﾝ】)(DPM04) / FC-E22U-S / 8606278
DPM / DPM端末 (FC-E22U【冷蔵ﾗｲﾝ】)(DPM05) / FC-E22U-S / 8606281
DPM / DPM端末 (FC-E22U【冷蔵ﾗｲﾝ】)(DPM06) / FC-E22U-S / 8606331
DPM / DPM端末 (FC-E22U【農産ﾗｲﾝ】)(DPM07) / FC-E22U-S / 8606291
DPM / DPM端末 (FC-E22U【農産ﾗｲﾝ】)(DPM08) / FC-E22U-S / 8606316
DPM / DPM端末 (FC-E22U【農産ﾗｲﾝ】)(DPM09) / FC-E22U-S / 8606289
DPM / DPM端末 (FC-E22U【農産ﾗｲﾝ】)(DPM10) / FC-E22U-S / 8606296
DPM / DPM端末予備機 (FC-E22U【冷蔵ﾗｲﾝ】)(YOBI01) / FC-E22U-S / 8606329
DPM / DPM端末予備機 (FC-E22U【農産ﾗｲﾝ】)(YOBI02) / FC-E22U-S / 8606293
</t>
  </si>
  <si>
    <t xml:space="preserve">ブランド / 機器構成名(個体名) / 型式 / シリアル番号
WareNavi7(WMS) / WMSｻｰﾊﾞ (HA8000V/DL360 Gen10 Plus)(MSVR01) / TQFD73-P28670-B21 / SGH426L9DH
WareNavi7(WMS) / WMSｻｰﾊﾞ (HA8000V/DL360 Gen10 Plus)(MSVR02) / TQFD73-P28670-B21 / SGH426L9DQ
WareNavi7(WMS) / WMSｻｰﾊﾞ (HA8000V/DL360 Gen10 Plus)(MSVR03) / TQFD73-P28670-B21 / SGH426L9D8
WareNavi7(WMS) / WMSｻｰﾊﾞ用UPS() / 無停電電源装置(1200VA)GQ-SBURV1202MNK / 20013
WareNavi7(WMS) / WMSｻｰﾊﾞ用UPS() / 無停電電源装置(1200VA)GQ-SBURV1202MNK / 20014
WareNavi7(WMS) / WMSｻｰﾊﾞ用UPS() / 無停電電源装置(1200VA)GQ-SBURV1202MNK / 20015
WareNavi7(WMS) / 分析PC(HA8000V/ML30 Gen10)(JSSV01) / TXFD53-P45874-010 / SGH236WY3C
WareNavi7(WMS) / 分析PC(HA8000V/ML30 Gen10)(JSSV01) / 無停電電源装置(750VA)GQ-SBUTV0752RNH / 10087
</t>
  </si>
  <si>
    <t xml:space="preserve">ブランド / 機器構成名(個体名) / 型式 / シリアル番号
LPM / ｵｰﾄﾗﾍﾞﾗ(AL001) / LR4081SR-TPJ / CD000026
LPM / ｵｰﾄﾗﾍﾞﾗ(AL002) / LR4081SR-TPJ / CD000028
LPM / ｵｰﾄﾗﾍﾞﾗ(AL003) / LR4081SR-TPJ / CD000027
LPM / ｵｰﾄﾗﾍﾞﾗ(AL004) / LR4081SR-TPJ / CD000025
</t>
  </si>
  <si>
    <t xml:space="preserve">ブランド / 機器構成名(個体名) / 型式 / シリアル番号
AWC7 Framework / AWC7本体(FC-S36W)(AWC001) / FC-S36W-143CV7 / 4Z01263
</t>
  </si>
  <si>
    <t xml:space="preserve">ブランド / 機器構成名(個体名) / 型式 / シリアル番号
eAWC Framework / eAWC本体(FC-S36W)(AWC001) / FC-S36W-143CV7 / 5101288
eAWC Framework / eAWC端末(FC-E29U)(WAT001) / FC-E29U-S31C42 / 4Z01375
</t>
  </si>
  <si>
    <t xml:space="preserve">ブランド / 機器構成名(個体名) / 型式 / シリアル番号
AWC7 Framework / AWC7本体 (FC-S36W)(AWC001) / FC-S36W-143CV7 / 0700234
</t>
  </si>
  <si>
    <t xml:space="preserve">ブランド / 機器構成名(個体名) / 型式 / シリアル番号
eAWC Framework / eAWC本体 (HF-W6545)(EAWC001) / HJ-65459EWJD/DF01 / 4226610-1
</t>
  </si>
  <si>
    <t xml:space="preserve">ブランド / 機器構成名(個体名) / 型式 / シリアル番号
WareNavi7 / WareNavi7本体(FC-S36W)(WNVA001) / FC-S36W-143CV7 / 2900794
WareNavi7 / WareNavi7端末(FC-E29U)(WAT001) / FC-E29U-S31C42 / 2Z00320
WareNavi7 / 作業表示端末 (FC-E29U)(WAT002) / FC-E29U-S31C42 / 2Z00325
WareNavi7 / MOSⅦ本体(FC-E22K)(MOS01) / FC-E22K-L / 2X00507
</t>
  </si>
  <si>
    <t xml:space="preserve">ブランド / 機器構成名(個体名) / 型式 / シリアル番号
AWC7 Basic / AWC7本体 (HF-W6555)(AWC001) / HJ-6555-WEJD/DF05 / 4237284-1
</t>
  </si>
  <si>
    <t xml:space="preserve">ブランド / 機器構成名(個体名) / 型式 / シリアル番号
LPM / ｵｰﾄﾗﾍﾞﾗ (L-2000-AT)(ALR01) / L-2000-AT-12A / 4046512
LPM / ｵｰﾄﾗﾍﾞﾗ (L-2000-AT)(ALR02) / L-2000-AT-12A / 4046513
LPM / ｵｰﾄﾗﾍﾞﾗ (L-2000-AT)(ALR03) / L-2000-AT-12A / 4046514
LPM / ｵｰﾄﾗﾍﾞﾗ (L-2000-AT)(ALR04) / L-2000-AT-12A / 4046515
LPM / ｵｰﾄﾗﾍﾞﾗ (L-2000-AT)(ALR05) / L-2000-AT-12A / 4046516
LPM / ｵｰﾄﾗﾍﾞﾗ (L-2000-AT)(ALR06) / L-2000-AT-12A / 4046518
LPM / ｵｰﾄﾗﾍﾞﾗ (L-2000-AT)(ALR06) / L-2000-AT-12A / 4046517
LPM / ｵｰﾄﾗﾍﾞﾗ (L-2000-AT)(ｵｰﾄﾗﾍﾞﾗ07) / L-2000-AT-12A / 7096545
LPM / ｵｰﾄﾗﾍﾞﾗ (L-2000-AT)(ｵｰﾄﾗﾍﾞﾗ08) / L-2000-AT-12A / 7096546
LPM / ｵｰﾄﾗﾍﾞﾗ (L-2000-AT)(ｵｰﾄﾗﾍﾞﾗ09) / L-2000-AT-12A / 7096547
DAM / ﾗﾍﾞﾙﾌﾟﾘﾝﾀ (BP-4300)(LBP01) / BP-4300 / 1051163
DAM / ﾗﾍﾞﾙﾌﾟﾘﾝﾀ (BP-4300)(LBP03) / BP-4300 / 0060994
DAM / ﾗﾍﾞﾙﾌﾟﾘﾝﾀ (BP-4300)(LBP04) / BP-4300 / 1051165
DAM / ﾗﾍﾞﾙﾌﾟﾘﾝﾀ (BP-4300)(LBP05) / BP-4300 / 0060500
DAM / ﾗﾍﾞﾙﾌﾟﾘﾝﾀ (BP-4300)(LBP06) / BP-4300 / 0060995
DAM / ﾗﾍﾞﾙﾌﾟﾘﾝﾀ (BP-4300)(LBP10) / BP-4300 / 1050982
DAM / ﾗﾍﾞﾙﾌﾟﾘﾝﾀ (BP-4300)(LBP12) / BP-4300 / 0060997
DAM / ﾗﾍﾞﾙﾌﾟﾘﾝﾀ (BP-4300)(LBP15) / BP-4300 / 1041531
DAM / ﾗﾍﾞﾙﾌﾟﾘﾝﾀ (BP-4300)(LBP16) / BP-4300 / 1050979
DAM / ﾗﾍﾞﾙﾌﾟﾘﾝﾀ (BP-4300)(LBP19) / BP-4300 / 0060998
DAM / ﾗﾍﾞﾙﾌﾟﾘﾝﾀ (BP-4300)(LBP32) / BP-4300 / 1050980
DAM / ﾗﾍﾞﾙﾌﾟﾘﾝﾀ (BP-4300)(LBP39) / BP-4300 / 1050981
DAM / ﾗﾍﾞﾙﾌﾟﾘﾝﾀ (BP-4300)(LBP41) / BP-4300 / 1050978
DAM / ﾗﾍﾞﾙﾌﾟﾘﾝﾀ (BP-4300)(LBP42) / BP-4300 / 1051062
</t>
  </si>
  <si>
    <t xml:space="preserve">ブランド / 機器構成名(個体名) / 型式 / シリアル番号
eye-navi【Aライン】 / ﾗﾍﾞﾙﾌﾟﾘﾝﾀ（M-48Pro8）(LPR01) / M-48Pro8 / BC101928
eye-navi【Aライン】 / ﾗﾍﾞﾙﾌﾟﾘﾝﾀ（M-48Pro8）(LPR02) / M-48Pro8 / BC101931
eye-navi【Bライン】 / ﾗﾍﾞﾙﾌﾟﾘﾝﾀ（M-48Pro8）(LPR04) / M-48Pro8 / BD102376
eye-navi【Bライン】 / ﾗﾍﾞﾙﾌﾟﾘﾝﾀ（M-48Pro8）(LPR05) / M-48Pro8 / BD102379
</t>
  </si>
  <si>
    <t xml:space="preserve">ブランド / 機器構成名(個体名) / 型式 / シリアル番号
AWC7 Framework / AWC7本体(FC-S36W)(AWC001) / FC-S36W-143CV7 / 0700198
</t>
  </si>
  <si>
    <t xml:space="preserve">ブランド / 機器構成名(個体名) / 型式 / シリアル番号
AWC4 Framework / AWC4本体 (FC-S35W/S7)(AWC001) / FC-S35W/S72CL9 / S610563MA
</t>
  </si>
  <si>
    <t xml:space="preserve">ブランド / 機器構成名(個体名) / 型式 / シリアル番号
ｺﾝﾄﾛｰﾗ / AGC MOS(MOS01) / FC-E22U-S / 9710283
</t>
  </si>
  <si>
    <t xml:space="preserve">ブランド / 機器構成名(個体名) / 型式 / シリアル番号
AWC4 Framework / ﾗﾍﾞﾙﾌﾟﾘﾝﾀ(LBL01) / CL4NX-J08 Plus / FB100515
</t>
  </si>
  <si>
    <t xml:space="preserve">ブランド / 機器構成名(個体名) / 型式 / シリアル番号
AWC4-R / AWC4本体（HF-W2035）(AWC001) / HJ-20359EWJA/DF02 / 4228335-1
AWC4-R / AWC4端末（HF-W2035）(WAT001) / HJ-20359EWJA/DF01 / 4228835-1
AWC4-R / AWC4端末（HF-W2035）(WAT002) / HJ-20359EWJA/DF01 / 4228836-1
</t>
  </si>
  <si>
    <t xml:space="preserve">ブランド / 機器構成名(個体名) / 型式 / シリアル番号
AWC7 Framework(1号機) / AWC7本体(VPC-5000)(AWC001) / VPC-5000-D01 / OJRLN33000006
</t>
  </si>
  <si>
    <t xml:space="preserve">ブランド / 機器構成名(個体名) / 型式 / シリアル番号
AWC7 Framework / AWC7本体(FC-S36W)(AWC001) / FC-S36W-143CV7 / 3Y01054
</t>
  </si>
  <si>
    <t xml:space="preserve">ブランド / 機器構成名(個体名) / 型式 / シリアル番号
AWC7 Basic / AWC7本体 (HF-W6560)(AWC001) / HJ-6560-WFJB/7R / 4525646-5
</t>
  </si>
  <si>
    <t xml:space="preserve">ブランド / 機器構成名(個体名) / 型式 / シリアル番号
AWC-300N / AWC本体(HF-W6545)(AWC001) / HJ-65459EWJD/DF01 / 4229031-8
</t>
  </si>
  <si>
    <t>【システム点検】※サポート対象外OSの為、診断対象外。
CL4NX-J08　2026年5月で保守終息で解約
契約期間　2025/9/1～2026/5/31</t>
  </si>
  <si>
    <t xml:space="preserve">ブランド / 機器構成名(個体名) / 型式 / シリアル番号
AWC-500N / ﾗﾍﾞﾙﾌﾟﾘﾝﾀ() / CL4NX-J08 / CM104160
</t>
  </si>
  <si>
    <t xml:space="preserve">ブランド / 機器構成名(個体名) / 型式 / シリアル番号
AWC-500N / AWC本体（HF-W6555）(AWCS01) / HJ-6555-SDJD/DF06 / 4240745-1
AWC-500N / AWC管理端末 (HF-W2050）(WAT010) / HJ-2050-WEMA/DF03 / 8054678-6
AWC-500N / AWC端末 (HF-W2050）(WAT007) / HJ-2050-WEMA/DF03 / 8054678-7
AWC-500N / AWC端末 (HF-W2050）(WAT008) / HJ-2050-WEMA/DF03 / 8054678-1
AWC-500N / AWC端末 (HF-W2050）(WAT009) / HJ-2050-WEMA/DF03 / 8054678-9
AWC-500N / AWC端末 (HF-W2050）【BCR付】(WAT001) / HJ-2050-WEMA/DF03 / 8054678-3
AWC-500N / AWC端末 (HF-W2050）【BCR付】(WAT002) / HJ-2050-WEMA/DF03 / 8054678-2
AWC-500N / AWC端末 (HF-W2050）【BCR付】(WAT003) / HJ-2050-WEMA/DF03 / 8054678-8
AWC-500N / AWC端末 (HF-W2050）【BCR付】(WAT004) / HJ-2050-WEMA/DF03 / 8054679-10
AWC-500N / AWC端末 (HF-W2050）【BCR付】(WAT005) / HJ-2050-WEMA/DF03 / 8054678-4
AWC-500N / AWC端末 (HF-W2050）【BCR付】(WAT006) / HJ-2050-WEMA/DF03 / 8054678-5
</t>
  </si>
  <si>
    <t xml:space="preserve">ブランド / 機器構成名(個体名) / 型式 / シリアル番号
AWC-500N / AWC本体 (HF-W6545)(AWCS02) / HJ-65459EWJD/DF01 / 4225566-1
AWC-500N / AWC端末 (HF-W2035)(WAT001) / HJ-20359EWJA/DF01 / 4225581-1
AWC-500N / AWC端末 (HF-W2035)(WAT002) / HJ-20359EWJA/DF01 / 4225580-1
</t>
  </si>
  <si>
    <t xml:space="preserve">ブランド / 機器構成名(個体名) / 型式 / シリアル番号
AWC4 Framework / AWC4本体 (FC-S36W)(AWC001) / FC-S36W-143CV7 / 2X00905
AWC4 Framework / AWC4端末 (FC-E29U)(WAT001) / FC-E29U-S31C42 / 3200554
AWC4 Framework / AWC4端末 (FC-E29U)(WAT002) / FC-E29U-S31C42 / 3200555
AWC4 Framework / AWC4端末予備 (FC-E29U)(WAT003(予備機)) / FC-E29U-S31C42 / 3200568
</t>
  </si>
  <si>
    <t xml:space="preserve">ブランド / 機器構成名(個体名) / 型式 / シリアル番号
eye-navi / DPM本体 (FC-S36W)(DPM01) / FC-S36W-L / 2803005
eye-navi / DPM本体 (FC-S36W)(DPM02) / FC-S36W-L / 2803007
eye-navi / DPM本体 (FC-S36W)(DPM03) / FC-S36W-L / 2803008
eye-navi / DPM本体 (FC-S36W)(DPM04) / FC-S36W-L / 2803009
eye-navi / DPM本体 (FC-S35W)(DPM05) / FC-S35W/S72CL9 / S5Y0061MA
eye-navi / 予備機 (FC-S35W/S7)(YOBI01) / FC-S35W/S72CL9 / S6Z0277MA
eye-navi / 予備機 (FC-S35W/S7)(YOBI02) / FC-S35W/S72CL9 / S6Z0276MA
eye-navi / ﾍﾟｰｼﾞﾌﾟﾘﾝﾀ(PR1) / PR-L5350 / 2300210YA
eye-navi / ﾍﾟｰｼﾞﾌﾟﾘﾝﾀ(PR2) / PR-L5350 / 2300219YA
eye-navi / ﾍﾟｰｼﾞﾌﾟﾘﾝﾀ(PR3) / PR-L5350 / 2300207YA
eye-navi / ﾍﾟｰｼﾞﾌﾟﾘﾝﾀ(PR4) / PR-L5350 / 2300216YA
eye-navi / ﾍﾟｰｼﾞﾌﾟﾘﾝﾀ(PR5) / PR-L5350 / 2300215YA
RFM / RFM本体 (FC-S36W)(RFM01) / FC-S36W-L / 2803006
</t>
  </si>
  <si>
    <t xml:space="preserve">ブランド / 機器構成名(個体名) / 型式 / シリアル番号
AWC4 Framework / AWC4本体 (FC-S35W/S7)(AWC001) / FC-S35W/S72CL9 / S520523MA
AWC4 Framework / AWC4端末 (FC-E29U)(WAT001) / FC-E29U-S31C42 / 3200550
</t>
  </si>
  <si>
    <t xml:space="preserve">ブランド / 機器構成名(個体名) / 型式 / シリアル番号
WareNavi7 / WareNavi7ｻｰﾊﾞ(Express5800/R320e-E4)(WN7001) / N8800-201Y / 6X00393
WareNavi7 / 作業表示端末(FC-E22U)(WAT01) / FC-E22U-S / 6900762
WareNavi7 / MOSⅦ (FC-E22K)(MOS01) / FC-E22K-L / 4302114
</t>
  </si>
  <si>
    <t xml:space="preserve">ブランド / 機器構成名(個体名) / 型式 / シリアル番号
AWC4 Framework / AWC4本体(HF-W6545)(AWC010) / HJ-65459EWJD/DF01 / 4229046-1
AWC4 Framework / AWC4端末(HF-W2045)(WAT001) / HJ-2045-WBJA/DF01 / 4229058-1
</t>
  </si>
  <si>
    <t>2023110908-224-1 / 2024022102-224-1</t>
  </si>
  <si>
    <t xml:space="preserve">ブランド / 機器構成名(個体名) / 型式 / シリアル番号
WareNavi7 / WareNavi7ｻｰﾊﾞ(Express5800/R320f-E4)(WN7-001) / N8800-218Y / 9100207
WareNavi7 / VTC(NT8000)(VTC01) / FC-E22U-S / 8907330
</t>
  </si>
  <si>
    <t xml:space="preserve">ブランド / 機器構成名(個体名) / 型式 / シリアル番号
AWC-800U / 出荷進捗管理PCｻｰﾊﾞ (FC-E22U)(WAT007) / FC-E22U-S / 9309331
AWC-800U / AWC端末 (FC-E16U/S7)(WAT001) / FC-E16U/S71R4Z / S550680MA
AWC-800U / AWC端末 (FC-E16U/S7)(WAT002) / FC-E16U/S71R4Z / S550683MA
AWC-800U / AWC端末 (FC-E16U/S7)(WAT003) / FC-E16U/S71R4Z / S550684MA
AWC-800U / AWC端末 (FC-E16U/S7)(WAT005) / FC-E16U/S71R4Z / S560282MA
AWC-800U / AWC端末 (FC-E16U/S7)(WAT006) / FC-E16U/S71R4Z / S550699MA
</t>
  </si>
  <si>
    <t xml:space="preserve">ブランド / 機器構成名(個体名) / 型式 / シリアル番号
AWC-800U / AWCｻｰﾊﾞ (SPARC M10-1 【運用系】)(AWC01_1) / SPMAKAA1EF / TZ11851064
AWC-800U / AWCｻｰﾊﾞ (SPARC M10-1 【待機系】)(AWC01_2) / SPMAKAA1EF / TZ11851013
</t>
  </si>
  <si>
    <t xml:space="preserve">ブランド / 機器構成名(個体名) / 型式 / シリアル番号
eAWC Framework / 9Y-MOS(FC-E22U)(MOS01) / FC-E22U-S / 112266
</t>
  </si>
  <si>
    <t xml:space="preserve">ブランド / 機器構成名(個体名) / 型式 / シリアル番号
RTS-100 / ｵｰﾄﾗﾍﾞﾗ() / LR4NX-FA08RPJ / GF000071
RTS-100 / ｵｰﾄﾗﾍﾞﾗ() / LR4NX-FA08RPJ / GF000072
</t>
  </si>
  <si>
    <t xml:space="preserve">ブランド / 機器構成名(個体名) / 型式 / シリアル番号
AWC-800U / AWCｻｰﾊﾞ (SPARC M12-1)(awc01-nd1) / SPNAAAA4EF / PZ72330001
AWC-800U / AWCｻｰﾊﾞ (SPARC M12-1)(awc01-nd2) / SPNAAAA4EF / PZ72330005
AWC-800U / AWCｻｰﾊﾞ (SPARC M12-1)(awc01-nd1) / 無停電電源装置(1500VA,ﾗｯｸﾏｳﾝﾄ)PY-UPAR152 / TT315A0149
AWC-800U / AWCｻｰﾊﾞ (SPARC M12-1)(awc01-nd2) / 無停電電源装置(1500VA,ﾗｯｸﾏｳﾝﾄ)PY-UPAR152 / TT315A0093
AWC-800U / 外部共有ﾃﾞｨｽｸ (ETERNUS DX100 S5)(awc01-stg) / ET105SA / 4602317016
AWC-800U / 外部共有ﾃﾞｨｽｸ (ETERNUS DX100 S5)(awc01-stg) / 無停電電源装置(1500VA,ﾗｯｸﾏｳﾝﾄ)PY-UPAR152 / TT315A0143
AWC-800U / ｺﾝｿｰﾙ端末 (PRIMERGY RX1330 M5)(awc-console) / PYR1335R3S / MADM008671
</t>
  </si>
  <si>
    <t xml:space="preserve">ブランド / 機器構成名(個体名) / 型式 / シリアル番号
SAM / ﾗﾍﾞﾙﾌﾟﾘﾝﾀ(LBP01) / CL4NX-J08 Plus / FA103492
LPM / ｵｰﾄﾗﾍﾞﾗ(ALBP01) / LR4080SR-TCJ / DM000070
LPM / ｵｰﾄﾗﾍﾞﾗ(ALBP02) / LR4080SR-TCJ / DM000069
</t>
  </si>
  <si>
    <t xml:space="preserve">ブランド / 機器構成名(個体名) / 型式 / シリアル番号
LPM / LPM (HF-W6545)(KT307-LPM-1) / HJ-65459EWJD/DF01 / 4223466-1
</t>
  </si>
  <si>
    <t xml:space="preserve">ブランド / 機器構成名(個体名) / 型式 / シリアル番号
LPM / ｵｰﾄﾗﾍﾞﾗ(ALB01) / L-2000AT-12A / 100557670
</t>
  </si>
  <si>
    <t xml:space="preserve">ブランド / 機器構成名(個体名) / 型式 / シリアル番号
LPM / ｵｰﾄﾗﾍﾞﾗ(ALB01) / L-2000AT-12A / 0066520
LPM / ｵｰﾄﾗﾍﾞﾗ(ALB02) / L-2000AT-12A / 0066521
LPM / ｵｰﾄﾗﾍﾞﾗ(ALB03) / L-2000AT-12A / 0066522
LPM / ｵｰﾄﾗﾍﾞﾗ(ALB04) / L-2000AT-12A / 0066523
LPM / ｵｰﾄﾗﾍﾞﾗ(ALB05) / L-2000AT-12A / 0066524
LPM / ｵｰﾄﾗﾍﾞﾗ(ALB06) / L-2000AT-12A / 0066525
</t>
  </si>
  <si>
    <t xml:space="preserve">ブランド / 機器構成名(個体名) / 型式 / シリアル番号
AWC-300N(第1原料倉庫) / AWC本体(FC-S35W/S7)(AWC003) / FC-S35W/S72CL9 / S730252MA
</t>
  </si>
  <si>
    <t xml:space="preserve">ブランド / 機器構成名(個体名) / 型式 / シリアル番号
WareNavi7 / DBｻｰﾊﾞ/稼働系(Express5800/R120h-2M)(DBSV01) / N8100-2836Y / JPN24800SH
WareNavi7 / DBｻｰﾊﾞ/稼働系(Express5800/R120h-2M)(DBSV01) / 無停電電源装置(3000VA,ﾗｯｸﾏｳﾝﾄ)N8142-106 / 
WareNavi7 / DBｻｰﾊﾞ/待機系(Express5800/R120h-2M)(DBSV02) / N8100-2836Y / JPN24800SJ
WareNavi7 / DBｻｰﾊﾞ/待機系(Express5800/R120h-2M)(DBSV02) / 無停電電源装置(3000VA,ﾗｯｸﾏｳﾝﾄ)N8142-106 / 
WareNavi7 / APｻｰﾊﾞ(Express5800/R120h-2M)(WCSSV01) / N8100-2836Y / JPN24800PW
WareNavi7 / APｻｰﾊﾞ(Express5800/R120h-2M)(WCSSV02) / N8100-2836Y / JPN24800MD
WareNavi7 / APｻｰﾊﾞ(Express5800/R120h-2M)(WCSSV03) / N8100-2836Y / JPN24800SK
WareNavi7 / APｻｰﾊﾞ(Express5800/R120h-2M)(WCSSV04) / N8100-2836Y / JPN24800SG
WareNavi7 / APｻｰﾊﾞ(Express5800/R120h-2M)(WCSSV05) / N8100-2836Y / JPN24800MC
WareNavi7 / APｻｰﾊﾞ(Express5800/R120h-2M)(WCSSV01) / 無停電電源装置(3000VA,ﾗｯｸﾏｳﾝﾄ)N8142-106 / 
WareNavi7 / APｻｰﾊﾞ(Express5800/R120h-2M)(WCSSV02) / 無停電電源装置(3000VA,ﾗｯｸﾏｳﾝﾄ)N8142-106 / 
WareNavi7 / APｻｰﾊﾞ(Express5800/R120h-2M)(WCSSV03) / 無停電電源装置(3000VA,ﾗｯｸﾏｳﾝﾄ)N8142-106 / 
WareNavi7 / APｻｰﾊﾞ(Express5800/R120h-2M)(WCSSV04) / 無停電電源装置(3000VA,ﾗｯｸﾏｳﾝﾄ)N8142-106 / 
WareNavi7 / APｻｰﾊﾞ(Express5800/R120h-2M)(WCSSV05) / 無停電電源装置(3000VA,ﾗｯｸﾏｳﾝﾄ)N8142-106 / 
WareNavi7 / APｻｰﾊﾞ予備機(Express5800/R120h-2M)(WCSSV06) / N8100-2836Y / JPN24800MB
WareNavi7 / APｻｰﾊﾞ予備機(Express5800/R120h-2M)(WCSSV06) / 無停電電源装置(3000VA,ﾗｯｸﾏｳﾝﾄ)N8142-106 / 
</t>
  </si>
  <si>
    <t xml:space="preserve">ブランド / 機器構成名(個体名) / 型式 / シリアル番号
WareNavi7 / ﾘﾗｲﾀﾌﾞﾙﾚｰｻﾞｰｼｽﾃﾑ(RWMZ211) / Rewritable Laser System L3000/C3000 / 
WareNavi7 / ﾘﾗｲﾀﾌﾞﾙﾚｰｻﾞｰｼｽﾃﾑ(RWMZ212) / Rewritable Laser System L3000/C3000 / 
WareNavi7 / ﾘﾗｲﾀﾌﾞﾙﾚｰｻﾞｰｼｽﾃﾑ(RWMZ213) / Rewritable Laser System L3000/C3000 / 
WareNavi7 / ﾘﾗｲﾀﾌﾞﾙﾚｰｻﾞｰｼｽﾃﾑ(RWMZ221) / Rewritable Laser System L3000/C3000 / 
WareNavi7 / ﾘﾗｲﾀﾌﾞﾙﾚｰｻﾞｰｼｽﾃﾑ(RWMZ222) / Rewritable Laser System L3000/C3000 / 
WareNavi7 / ﾘﾗｲﾀﾌﾞﾙﾚｰｻﾞｰｼｽﾃﾑ(RWMZ223) / Rewritable Laser System L3000/C3000 / 
</t>
  </si>
  <si>
    <t xml:space="preserve">ブランド / 機器構成名(個体名) / 型式 / シリアル番号
WareNavi7(店舗向け) / WareNavi7端末(HF-W2045)(WAT01) / HJ-2045-WBJA/DF01 / 4230384-1
WareNavi7(店舗向け) / WareNavi7端末(HF-W2045)(WAT02) / HJ-2045-WBJA/DF01 / 4230384-3
WareNavi7(店舗向け) / MOS端末(HF-W2045)(MOS301) / HJ-2045-WBJA/DF01 / 4229061-1
WareNavi7(店舗向け) / MOS端末(HF-W2045)(MOS302) / HJ-2045-WBJA/DF01 / 4229063-1
WareNavi7(店舗向け) / MOS端末(HF-W2045)(MOS303) / HJ-2045-WBJA/DF01 / 4229064-1
WareNavi7(店舗向け) / MOS端末(HF-W2045)(MOS305) / HJ-2045-WBJA/DF01 / 4229060-1
WareNavi7(店舗向け) / MOS端末(HF-W2045)(MOS401) / HJ-2045-WBJA/DF01 / 4230384-2
WareNavi7(店舗向け) / MOS端末/BCR付(HF-W2045)(MOS304) / HJ-2045-WBJA/DF01 / 4229062-1
</t>
  </si>
  <si>
    <t xml:space="preserve">ブランド / 機器構成名(個体名) / 型式 / シリアル番号
WareNavi7(店舗向け) / ﾏﾃﾊﾝｻｰﾊﾞ用UPS(WARENAVI) / 無停電電源装置(1500VA,ﾗｯｸﾏｳﾝﾄ)N8142-101 / J12344111169
WareNavi7(店舗向け) / ﾏﾃﾊﾝｻｰﾊﾞ用UPS(WARENAVI) / 無停電電源装置(1500VA,ﾗｯｸﾏｳﾝﾄ)N8142-101 / J12344111189
WareNavi7(店舗向け)【撤去】 / ﾏﾃﾊﾝｻｰﾊﾞ(Express5800/R320e-E4)(WARENAVI) / N8800-201Y / 7400622
WareNavi7(店舗向け)【撤去】 / MOSｻｰﾊﾞ(Express5800/R320e-E4)(MOSサーバーHOST) / N8800-212Y / 7400139
WareNavi7(店舗向け)【撤去】 / MOSｻｰﾊﾞ用UPS(MOSサーバーHOST) / 無停電電源装置(1500VA,ﾗｯｸﾏｳﾝﾄ)N8142-101 / J12344111185
WareNavi7(店舗向け)【撤去】 / MOSｻｰﾊﾞ用UPS(MOSサーバーHOST) / 無停電電源装置(1500VA,ﾗｯｸﾏｳﾝﾄ)N8142-101 / J12344111171
</t>
  </si>
  <si>
    <t xml:space="preserve">ブランド / 機器構成名(個体名) / 型式 / シリアル番号
LPM / LPM(FC-S35W/S7)(LPM04) / FC-S35W/S72CL9 / S630920MA
LPM / LPM(FC-S35W/S7)(LPM05) / FC-S35W/S72CL9 / S630922MA
LPM / LPM(FC-S35W/S7)(LPM06) / FC-S35W/S72CL9 / S630919MA
LPM / LPM(FC-S35W/S7)(LPM07) / FC-S35W/S72CL9 / S631004MA
LPM / LPM(FC-S35W/S7)(LPM08) / FC-S35W/S72CL9 / S630511MA
LPM / LPM(FC-S35W/S7)(LPM09) / FC-S35W/S72CL9 / S630963MA
</t>
  </si>
  <si>
    <t xml:space="preserve">ブランド / 機器構成名(個体名) / 型式 / シリアル番号
AWC-100N+ / AWC本体（HF-W6545）(AWC001) / HJ-65459EWJD/DF01 / 4228612-1
</t>
  </si>
  <si>
    <t xml:space="preserve">ブランド / 機器構成名(個体名) / 型式 / シリアル番号
AWC-100N+ / AWC本体(HF-W6545)(AWC001) / HJ-65459EWJD/DF01 / 4227937-1
AWC-100N+ / AWC端末(HF-W2035)(WAT001) / HJ-20359EWJA/DF01 / 4228155-1
</t>
  </si>
  <si>
    <t xml:space="preserve">ブランド / 機器構成名(個体名) / 型式 / シリアル番号
WareNavi / WareNavi本体(FC-R16W)(EWARENAVI) / FC-R16W-L1 / 1200637
WareNavi / 自動倉庫ﾏﾈｰｼﾞｬ(FC-R16W)(AWC001) / FC-R16W-L1 / 1200636
WareNavi / 入出荷端末(FC-E22U)(WAT001) / FC-E22U-S / 9208707
WareNavi / 入出荷端末(FC-E22U)(WAT002) / FC-E22U-S / 9208711
WareNavi / 入出荷端末(FC-E22U)(WAT003) / FC-E22U-S / 9208699
</t>
  </si>
  <si>
    <t xml:space="preserve">ブランド / 機器構成名(個体名) / 型式 / シリアル番号
AWC4 Framework Custom / AWC4本体(HF-W6545)(RTS01) / HJ-65459EWJD/DF01 / 4231806-1
AWC4 Framework Custom / AWC4本体予備機(HF-W6545)(RTS02) / HJ-65459EWJD/DF01 / 4231806-2
</t>
  </si>
  <si>
    <t xml:space="preserve">ブランド / 機器構成名(個体名) / 型式 / シリアル番号
ｺﾝﾄﾛｰﾗ / KISC-CS1 (FC-D18M/SX)(FCD18M-K7R8M) / FC-D18M/SX1V3Z / S230331MA
</t>
  </si>
  <si>
    <t xml:space="preserve">ブランド / 機器構成名(個体名) / 型式 / シリアル番号
AWC4 Basic / AWC4本体(FC-S36W)(EAWC002) / FC-S36W-143CV7 / 0X00297
AWC4 Basic / AWC4端末(FC-E22U)(WAT001) / FC-E22U-S / 7603100
</t>
  </si>
  <si>
    <t xml:space="preserve">ブランド / 機器構成名(個体名) / 型式 / シリアル番号
WareNavi4 Framework / WareNavi4本体 (FC-S35W/S4)(WMS001) / FC-S35W/S44W7Z / S4Z0972MA
WareNavi4 Framework / 操作端末A (PC-VKT44/X-C)(操作端末A) / PC-VKT44XZQC / 6233000051A
WareNavi4 Framework / 操作端末B (PC-VKT44/X-C)(操作端末B) / PC-VKT44XZQC / 622Y000051A
WareNavi4 Framework / 操作端末C/D (FC-E29U)(操作端末C) / FC-E29U-S31C42 / 2Z00188
WareNavi4 Framework / 操作端末C/D (FC-E29U)(操作端末D) / FC-E29U-S31C42 / 2Z00182
WareNavi4 Framework / ﾍﾟｰｼﾞﾌﾟﾘﾝﾀ(PRN01) / PR-L5500 / 4X00373PA
</t>
  </si>
  <si>
    <t xml:space="preserve">ブランド / 機器構成名(個体名) / 型式 / シリアル番号
WareNavi4 Framework / ﾗﾍﾞﾙﾌﾟﾘﾝﾀ (単色)(LBP01) / BF408R / 4L000007
WareNavi4 Framework / ﾗﾍﾞﾙﾌﾟﾘﾝﾀ (2色)(LBP02) / GHS612R / 4G800003
</t>
  </si>
  <si>
    <t xml:space="preserve">ブランド / 機器構成名(個体名) / 型式 / シリアル番号
eAWC Framework / eAWC本体 (HF-W2035)(EAWC002) / HJ-20359EWJA/DF02 / 4224422-2
</t>
  </si>
  <si>
    <t>オモビオ株式会社</t>
  </si>
  <si>
    <t>浜北工場</t>
  </si>
  <si>
    <t xml:space="preserve">ブランド / 機器構成名(個体名) / 型式 / シリアル番号
AWC4 Framework / AWC4本体(FC-S36W)(AWC001) / FC-S36W-143CV7 / 3Z01094
AWC4 Framework / AWC4端末(FC-E29U)(WAT001) / FC-E29U-S31C42 / 3600796
</t>
  </si>
  <si>
    <t xml:space="preserve">ブランド / 機器構成名(個体名) / 型式 / シリアル番号
AWC4 Framework / AWC4本体 (FA3100SS model 1000)(AWC001) / UD431016-01-DHT / OEX536
AWC4 Framework / AWC4端末 (FA2100SS model 500)(WAT001) / UV4A502-07-DHT / OBY890
AWC4 Framework / AWC4端末 (FA2100SS model 500)(WAT002) / UV4A502-07-DHT / OBY891
</t>
  </si>
  <si>
    <t xml:space="preserve">ブランド / 機器構成名(個体名) / 型式 / シリアル番号
LPM / ｵｰﾄﾗﾍﾞﾗ(ALR01) / LR4NX-FA08RCJ / HE000055
LPM / ｵｰﾄﾗﾍﾞﾗ(ALR02) / LR4NX-FA08RCJ / HE000056
LPM / ｵｰﾄﾗﾍﾞﾗ(ALR03) / LR4NX-FA08RCJ / HE000057
LPM / ｵｰﾄﾗﾍﾞﾗ(ALR04) / LR4NX-FA08RCJ / HE000058
</t>
  </si>
  <si>
    <t xml:space="preserve">ブランド / 機器構成名(個体名) / 型式 / シリアル番号
AWC7 Framework / AWC7本体(FC-S36W)(AWC001) / FC-S36W-143CV7 / 3500969
AWC7 Framework / AWC7端末(FC-E29U)(WAT001) / FC-E29U-S31C42 / 3701212
AWC7 Framework / AWC7端末(FC-E29U)(WAT002) / FC-E29U-S31C42 / 3701228
AWC7 Framework / AWC7端末(FC-E29U)(WAT003) / FC-E29U-S31C42 / 3701242
</t>
  </si>
  <si>
    <t xml:space="preserve">ブランド / 機器構成名(個体名) / 型式 / シリアル番号
AWC-800U / 出荷進捗管理端末(FC-E22U)(WAT007) / FC-E22U-S / 7603365
AWC-800U / 入庫設定用端末（FC-E22U）(WAT006) / FC-E22U-S / 7603370
AWC-800U / ﾏｰｸ設定用端末（FC-E22U）(WAT005) / FC-E22U-S / 9710374
</t>
  </si>
  <si>
    <t xml:space="preserve">ブランド / 機器構成名(個体名) / 型式 / シリアル番号
AWC-800U / AWCｻｰﾊﾞ運用系(SPARC M10-1)(AWC02_1) / SPMAKAA1EF / TZ11941030
AWC-800U / AWCｻｰﾊﾞ待機系(SPARC M10-1)(AWC02_2) / SPMAKAA1EF / TZ11941031
</t>
  </si>
  <si>
    <t xml:space="preserve">ブランド / 機器構成名(個体名) / 型式 / シリアル番号
AWC-300N / AWC本体（FA3100SS model1000）(AWC001) / UD431016-01-DHT / OEY706
</t>
  </si>
  <si>
    <t xml:space="preserve">ブランド / 機器構成名(個体名) / 型式 / シリアル番号
AWC7 Ordermade / ﾗﾍﾞﾙﾌﾟﾘﾝﾀ(LPR001) / CL4NX-J08 Plus / FD100193
</t>
  </si>
  <si>
    <t xml:space="preserve">ブランド / 機器構成名(個体名) / 型式 / シリアル番号
AWC4 Framework / AWC4本体 (HF-W6545)(AWC001) / HJ-65459EWJD/DF01 / 4224281-1
</t>
  </si>
  <si>
    <t xml:space="preserve">ブランド / 機器構成名(個体名) / 型式 / シリアル番号
AWC-300N / AWC本体(FC-S36W)(AWC001) / FC-S36W-133CW4 / 1900154
AWC-300N / AWC端末(FC-E22U)(WAT001) / FC-E22U-S / 1X16982
</t>
  </si>
  <si>
    <t xml:space="preserve">ブランド / 機器構成名(個体名) / 型式 / シリアル番号
AWC7 Framework / AWC7本体(FC-S36W)(AWC001) / FC-S36W-143CV7 / 2900852
AWC7 Framework / AWC7端末(FC-E29U)(WAT001) / FC-E29U-S31C42 / 3200483
</t>
  </si>
  <si>
    <t xml:space="preserve">ブランド / 機器構成名(個体名) / 型式 / シリアル番号
AWC4 Basic / AWC4本体(FC-S35W/S7)(AWC001) / FC-S35W/S72CL9 / S610574MA
</t>
  </si>
  <si>
    <t xml:space="preserve">ブランド / 機器構成名(個体名) / 型式 / シリアル番号
eAWC Framework / eAWC本体(FC-S36W)(AWC001) / FC-S36W-143CV7 / 3500974
eAWC Framework / eAWC端末(FC-E29U)(WAT001) / FC-E29U-S31C42 / 3600986
eAWC Framework / eAWC端末(FC-E29U)(WAT002) / FC-E29U-S31C42 / 3601018
eAWC Framework / eAWC端末(FC-E29U)(WAT003) / FC-E29U-S31C42 / 3601030
</t>
  </si>
  <si>
    <t xml:space="preserve">ブランド / 機器構成名(個体名) / 型式 / シリアル番号
eAWC Ordermade / eAWCｻｰﾊﾞ (Express5800/R320f-E4)() / N8800-218Y / 9100208
eAWC Ordermade / eAWC端末 (FC-E22U)() / FC-E22U-S / 8Y07876
eAWC Ordermade / 設備監視用PC (FC-E22U)() / FC-E22U-S / 8Y07879
</t>
  </si>
  <si>
    <t xml:space="preserve">ブランド / 機器構成名(個体名) / 型式 / シリアル番号
AWC4 Framework / AWC4本体(HF-W6545)(AWC001) / HJ-65459EWJD/DF01 / 4227359-1
</t>
  </si>
  <si>
    <t xml:space="preserve">ブランド / 機器構成名(個体名) / 型式 / シリアル番号
LPM / ﾗﾍﾞﾙﾌﾟﾘﾝﾀ(LBP201) / CT4-LX DT305 / JB201466
LPM / ﾗﾍﾞﾙﾌﾟﾘﾝﾀ(LBP301) / CT4-LX DT305 / JB201489
SAM / ﾗﾍﾞﾙﾌﾟﾘﾝﾀ(LBP101) / CT4-LX DT305 / JC202339
</t>
  </si>
  <si>
    <t xml:space="preserve">ブランド / 機器構成名(個体名) / 型式 / シリアル番号
eWareNavi Ordermade / ﾗﾍﾞﾙﾌﾟﾘﾝﾀ(BUTPS110001) / CL4NX-J12 / BK102755
eWareNavi Ordermade / ﾗﾍﾞﾙﾌﾟﾘﾝﾀ(BUTPS111001) / CL4NX-J12 / BK102738
eWareNavi Ordermade / ﾗﾍﾞﾙﾌﾟﾘﾝﾀ(BUTPS112001) / CL4NX-J12 / BK102739
eWareNavi Ordermade / ﾗﾍﾞﾙﾌﾟﾘﾝﾀ/南面(BUTPS113001) / CL4NX-J12 / BK102608
</t>
  </si>
  <si>
    <t xml:space="preserve">ブランド / 機器構成名(個体名) / 型式 / シリアル番号
eAWC Framework / eAWCｻｰﾊﾞ (Express5800/R320h-E4)(EAWC001) / N8800-311Y / 4800667
eAWC Framework / ｻｰﾊﾞ用UPS(EAWC001) / 無停電電源装置(1500VA,ﾗｯｸﾏｳﾝﾄ)N8142-101 / 
eAWC Framework / ｻｰﾊﾞ用UPS(EAWC001) / 無停電電源装置(1500VA,ﾗｯｸﾏｳﾝﾄ)N8142-101 / 
</t>
  </si>
  <si>
    <t xml:space="preserve">ブランド / 機器構成名(個体名) / 型式 / シリアル番号
AWC7 Framework / ﾗﾍﾞﾙﾌﾟﾘﾝﾀ(LBP01) / CL4NX-J08 Plus / HG100375
AWC7 Framework / ﾗﾍﾞﾙﾌﾟﾘﾝﾀ(LBP02) / CL4NX-J08 Plus / HG100384
AWC7 Framework / ﾗﾍﾞﾙﾌﾟﾘﾝﾀ(LBP03) / CL4NX-J08 Plus / HG100406
</t>
  </si>
  <si>
    <t xml:space="preserve">ブランド / 機器構成名(個体名) / 型式 / シリアル番号
eAWC Framework Custom / eAWC本体 (FC-S36W)(EAWC001) / FC-S36W-143CV7 / 0700199
</t>
  </si>
  <si>
    <t xml:space="preserve">ブランド / 機器構成名(個体名) / 型式 / シリアル番号
eAWC Framework / 9Y-MOS(FC-E22U)(MOS01) / FC-E22U-S / 9910829
</t>
  </si>
  <si>
    <t xml:space="preserve">ブランド / 機器構成名(個体名) / 型式 / シリアル番号
LPM / ｵｰﾄﾗﾍﾞﾗ(ALP01) / LR4080SR-TSB / DB000007
LPM / ｵｰﾄﾗﾍﾞﾗ(ALP02) / LR4080SR-TSB / DB000008
LPM / ｵｰﾄﾗﾍﾞﾗ(ALP03) / LR4080SR-TSB / DB000009
LPM / ｵｰﾄﾗﾍﾞﾗ(ALP04) / LR4080SR-TSB / DB000010
</t>
  </si>
  <si>
    <t xml:space="preserve">ブランド / 機器構成名(個体名) / 型式 / シリアル番号
eAWC Basic / eAWC本体(FC-S36W)(AWC001) / FC-S36W-143CV7 / 3Z01095
eAWC Basic / eAWC端末(FC-E29U)(WAT001) / FC-E29U-S31C42 / 3600785
eAWC Basic / eAWC端末(FC-E29U)(WAT002) / FC-E29U-S31C42 / 3600797
</t>
  </si>
  <si>
    <t xml:space="preserve">ブランド / 機器構成名(個体名) / 型式 / シリアル番号
DPM / DPM本体（FA3100SS model 1000）(DPM001) / UD431016-01-DHT / OEZ068
DPM / DPM予備機（FA3100SS model 1000）(DPM002) / UD431016-01-DHT / OEZ285
</t>
  </si>
  <si>
    <t xml:space="preserve">ブランド / 機器構成名(個体名) / 型式 / シリアル番号
AWC4-RⅡ (DS5号) / AWC4本体(FC-S35W)(AWC001) / FC-S35W/S72CL9 / S610555MA
</t>
  </si>
  <si>
    <t xml:space="preserve">ブランド / 機器構成名(個体名) / 型式 / シリアル番号
ｺﾝﾄﾛｰﾗ / MOSⅦ(MOS01) / FC-E27B-S / 9Z10514
</t>
  </si>
  <si>
    <t xml:space="preserve">ブランド / 機器構成名(個体名) / 型式 / シリアル番号
RTS-100(ﾊﾟﾚｯﾄ系) / MOSⅦ本体 (HF-W2055)(9Y-MOS-P1F) / HJ-2055-WEMA/DF04 / 8056949-1
RTS-100(ﾊﾟﾚｯﾄ系) / MOSⅦ端末 (HF-W2050)(9Y-MOS-P3F) / HJ-2050-WEMA/DF03 / 8056950-8
RTS-100(保冷系) / MOSⅦ本体 (HF-W2055)(9Y-MOS-HOREI) / HJ-2055-WEMA/DF04 / 8056949-2
</t>
  </si>
  <si>
    <t xml:space="preserve">ブランド / 機器構成名(個体名) / 型式 / シリアル番号
AWC4 Framework / AWC4本体(FC-S36W)(HUWO-AWC001) / FC-S36W-143CV7 / 0400166
AWC4 Framework / AWC4端末(FC-E22U)(WAT001) / FC-E22U-S / 0312875
AWC4 Framework / AWC4端末(FC-E22U)(WAT002) / FC-E22U-S / 0413050
AWC4 Framework / AWC4端末(FC-E22U)(WAT003) / FC-E22U-S / 0413049
AWC4 Framework / AWC4端末(FC-E22U)(WAT004) / FC-E22U-S / 0413047
AWC4 Framework / AGC MOS(MOS01) / FC-E22U-S / 0413151
</t>
  </si>
  <si>
    <t xml:space="preserve">ブランド / 機器構成名(個体名) / 型式 / シリアル番号
AWC4 Framework / AWC4本体 (FC-S36W)(AWC001) / FC-S36W-113CW5 / 9800101
</t>
  </si>
  <si>
    <t xml:space="preserve">ブランド / 機器構成名(個体名) / 型式 / シリアル番号
LPM / 印字用ﾘﾗｲﾀﾌﾞﾙﾌﾟﾘﾝﾀ(RWMZ101) / Rewritable Laser System L3000/C3000 / 48G2-220020、48G3-220020
LPM / 印字用ﾘﾗｲﾀﾌﾞﾙﾌﾟﾘﾝﾀ(RWMZ102) / Rewritable Laser System L3000/C3000 / 48G2-220021、48G3-220021
LPM / 印字用ﾘﾗｲﾀﾌﾞﾙﾌﾟﾘﾝﾀ(RWMZ201) / Rewritable Laser System L3000/C3000 / 48G2-220025、48G3-220025
LPM / 印字用ﾘﾗｲﾀﾌﾞﾙﾌﾟﾘﾝﾀ(RWMZ202) / Rewritable Laser System L3000/C3000 / 48G2-220026、48G3-220026
LPM / 消去用ﾘﾗｲﾀﾌﾞﾙﾌﾟﾘﾝﾀ(RWMZ111) / Rewritable Laser System L3000/C3000 / 48G2-120017、48G3-120017
LPM / 消去用ﾘﾗｲﾀﾌﾞﾙﾌﾟﾘﾝﾀ(RWMZ112) / Rewritable Laser System L3000/C3000 / 48G2-120018、48G3-120018
LPM / 消去用ﾘﾗｲﾀﾌﾞﾙﾌﾟﾘﾝﾀ(RWMZ113) / Rewritable Laser System L3000/C3000 / 48G2-120019、48G3-120019
LPM / 消去用ﾘﾗｲﾀﾌﾞﾙﾌﾟﾘﾝﾀ(RWMZ211) / Rewritable Laser System L3000/C3000 / 48G2-220022、48G3-220022
LPM / 消去用ﾘﾗｲﾀﾌﾞﾙﾌﾟﾘﾝﾀ(RWMZ212) / Rewritable Laser System L3000/C3000 / 48G2-220023、48G3-220023
LPM / 消去用ﾘﾗｲﾀﾌﾞﾙﾌﾟﾘﾝﾀ(RWMZ213) / Rewritable Laser System L3000/C3000 / 48G2-220024、48G3-220024
</t>
  </si>
  <si>
    <t xml:space="preserve">ブランド / 機器構成名(個体名) / 型式 / シリアル番号
AWC-100N+ / AWC本体(FC-R24W)(AWC001) / FC-R24W-L1 / 1500426
AWC-100N+ / AWC端末(FC-E22U)(WAT001) / FC-E22U-S / 0Z15008
AWC-100N+ / AWC端末(FC-E22U)(WAT002) / FC-E22U-S / 0Y14977
AWC-100N+ / AWC端末(FC-E22U)(WAT003) / FC-E22U-S / 0Y14974
</t>
  </si>
  <si>
    <t xml:space="preserve">ブランド / 機器構成名(個体名) / 型式 / シリアル番号
LPM / ｵｰﾄﾗﾍﾞﾗ(ALBP01) / LR4NX-FA08LCJ / GE000001
LPM / ｵｰﾄﾗﾍﾞﾗ(ALBP02) / LR4NX-FA08LCJ / GE000002
</t>
  </si>
  <si>
    <t xml:space="preserve">ブランド / 機器構成名(個体名) / 型式 / シリアル番号
eAWC Framework / eAWC本体 (HF-W6555)(eAWC001) / HJ-6555-WEJD/DF03 / 4235693-4
</t>
  </si>
  <si>
    <t xml:space="preserve">ブランド / 機器構成名(個体名) / 型式 / シリアル番号
AWC4 Framework / AWC4本体(FA3100SS model 1000)(SASAAWC001) / UD431016-01-DHT / OEZ254
AWC4 Framework / AWC4端末(FA2100SS model 400)(WAT001) / UV4A414-07-DHT / OF0336
</t>
  </si>
  <si>
    <t xml:space="preserve">ブランド / 機器構成名(個体名) / 型式 / シリアル番号
LPM / ｵｰﾄﾗﾍﾞﾗ(AL001) / LR4081SR-TSB / BK000041
LPM / ｵｰﾄﾗﾍﾞﾗ(AL002) / LR4081SR-TSB / BK000042
LPM / ｵｰﾄﾗﾍﾞﾗ(AL003) / LR4081SR-TSB / BK000043
LPM / ｵｰﾄﾗﾍﾞﾗ(AL004) / LR4081SR-TSB / BK000044
LPM / ｵｰﾄﾗﾍﾞﾗ(AL005) / LR4081SR-TSB / BK000131
LPM / ｵｰﾄﾗﾍﾞﾗ(AL006) / LR4081SR-TSB / BK000132
LPM / ｵｰﾄﾗﾍﾞﾗ(AL007) / LR4081SR-TCJ / BK000045
LPM / ｵｰﾄﾗﾍﾞﾗ(AL008) / LR4081SR-TCJ / BK000133
LPM / ｵｰﾄﾗﾍﾞﾗ(AL009) / LR4081SR-TCJ / BK000134
LPM / ｵｰﾄﾗﾍﾞﾗ(AL010) / LR4081SR-TCJ / BK000135
</t>
  </si>
  <si>
    <t xml:space="preserve">ブランド / 機器構成名(個体名) / 型式 / シリアル番号
RTS-100 / RTSｻｰﾊﾞ(EP8000 S814)(AWC01) / THE-C828641A630T / 34510
RTS-100 / RTSｻｰﾊﾞ(EP8000 S814)(AWC01) / THE-C3580-H6S / 10097
RTS-100 / RTS端末/BCR付き(HF-W2035)(WSC01) / HJ-20359EWJA/DF01 / 4228823-1
RTS-100 / RTS端末/BCR付き(HF-W2035)(WSC02) / HJ-20359EWJA/DF01 / 4228824-1
RTS-100 / RTS端末/BCR付き(HF-W2035)(WSC03) / HJ-20359EWJA/DF01 / 4228825-1
RTS-100 / RTS端末(HF-W2035)(WSC04) / HJ-20359EWJA/DF01 / 4228826-1
RTS-100 / RTS端末(HF-W2035)(WSC06) / HJ-20359EWJA/DF01 / 4228827-1
RTS-100 / RTS端末(HF-W2035)(WSC07) / HJ-20359EWJA/DF01 / 4228828-1
RTS-100 / RTS端末(HF-W2035)(WSC09) / HJ-20359EWJA/DF01 / 4228829-1
</t>
  </si>
  <si>
    <t xml:space="preserve">ブランド / 機器構成名(個体名) / 型式 / シリアル番号
RTS-100 / 9Y-MOS(FC-E22U)(9Y-MOS-OYA) / FC-E22U-S / 6900866
RTS-100 / 9Y-MOS(FC-E22U)(9Y-MOS-KO) / FC-E22U-S / 6900869
DPM / DPM (FC-E16U/S7)(DPM01) / FC-E16U/S72W5Z / S4X1023MA
DPM / DPM (FC-E16U/S7)(DPM02) / FC-E16U/S72W5Z / S4X1024MA
DPM / DPM (FC-E16U/S7)(DPM03) / FC-E16U/S72W5Z / S4X1025MA
DPM / DPM (FC-E16U/S7)(DPM04) / FC-E16U/S72W5Z / S4X1026MA
CRM / CRM (FC-E16U/S7)(CRM01) / FC-E16U/S72W6Z / S3Z2594MA
CRM / CRM (FC-E16U/S7)(CRM02) / FC-E16U/S72W6Z / S3Z2592MA
CRM / CRM (FC-E16U/S7)(CRM03) / FC-E16U/S72W6Z / S3Z2595MA
CRM / CRM (FC-E16U/S7)(CRM04) / FC-E16U/S72W6Z / S3Z2593MA
</t>
  </si>
  <si>
    <t xml:space="preserve">ブランド / 機器構成名(個体名) / 型式 / シリアル番号
LPM / ﾗﾍﾞﾙﾌﾟﾘﾝﾀ(LBL001) / M-48Pro8 / 6M000098
LPM / ｵｰﾄﾗﾍﾞﾗ(LR4NX-FA08LCJ)(ALR001) / LR4NX-FA08LCJ / GL000010
LPM / ｵｰﾄﾗﾍﾞﾗ(LR4NX-FA08LCJ)(ALR002) / LR4NX-FA08LCJ / GL000011
</t>
  </si>
  <si>
    <t xml:space="preserve">ブランド / 機器構成名(個体名) / 型式 / シリアル番号
LPM / ｵｰﾄﾗﾍﾞﾗ(ALB201) / LR4NX-FA08LPJ / GJ000039
LPM / ｵｰﾄﾗﾍﾞﾗ(ALB202) / LR4NX-FA08LPJ / GJ000040
LPM / ｵｰﾄﾗﾍﾞﾗ(LBRZ003) / LR4NX-FA08LPJ / GM000046
</t>
  </si>
  <si>
    <t xml:space="preserve">ブランド / 機器構成名(個体名) / 型式 / シリアル番号
WareNavi7 / WareNavi7本体(FC-S36W)(WN7) / FC-S36W-L / 1901879
SAM(増設) / SAM(FC-S36W)(SAM04) / FC-S36W-143CV7 / 1700455
SAM(増設) / ﾘｼﾞｪｸﾄ端末(FC-E22U)(WAT71) / FC-E22U-S / 1616277
WareNavi7 / MOSⅦ本体(FC-E27B)(MOSA01) / FC-E27B-S / 1X14663
WareNavi7 / MOSⅦ端末(FC-P31X)(MOTA03) / FC-P31X-L1 / 1Y00549
WareNavi7 / MOSⅦ端末(FC-P31X)(MOTA04) / FC-P31X-L1 / 1Y00550
WareNavi7 / MOSⅦ端末(FC-P31X)(MOTA05) / FC-P31X-L1 / 1Y00551
WareNavi7 / MOSⅦ端末/BCR付(FC-P31X)(MOTA02) / FC-P31X-L1 / 1Y00552
WareNavi7 / MOSⅦ端末/BCR付(FC-P31X)(MOTA06) / FC-P31X-L1 / 1Y00553
WareNavi7 / MOSⅦ端末/BCR付(FC-P31X)(MOTA07) / FC-P31X-L1 / 1Y00554
</t>
  </si>
  <si>
    <t xml:space="preserve">ブランド / 機器構成名(個体名) / 型式 / シリアル番号
WareNavi7(出荷ｾﾝﾀｰ) / ｵｰﾄﾗﾍﾞﾗ() / LR4121SR-TCJ / BD000026
</t>
  </si>
  <si>
    <t xml:space="preserve">ブランド / 機器構成名(個体名) / 型式 / シリアル番号
WareNavi7(電子工場) / ｵｰﾄﾗﾍﾞﾗ() / LR4121SR-TCJ / BD000025
WareNavi7(電子工場) / ｵｰﾄﾗﾍﾞﾗ() / LR4121SR-TCJ / GB000107
</t>
  </si>
  <si>
    <t xml:space="preserve">ブランド / 機器構成名(個体名) / 型式 / シリアル番号
AWC7 Basic(第一倉庫) / AWC7本体(FC-S36W)(AWC001) / FC-S36W-143CV7 / 3Y01031
</t>
  </si>
  <si>
    <t xml:space="preserve">ブランド / 機器構成名(個体名) / 型式 / シリアル番号
AWC4 Basic(第二倉庫) / AWC4本体 （FC-S35W/S7）(AWC001) / FC-S35W/S72CL9 / S680647MA
AWC4 Basic(第二倉庫) / AWC4端末 （FC-E22U-S）(WAT001) / FC-E22U-S / 6900870
</t>
  </si>
  <si>
    <t xml:space="preserve">ブランド / 機器構成名(個体名) / 型式 / シリアル番号
納骨堂ｼｽﾃﾑ / 納骨堂ｻｰﾊﾞ'(FC-S36W)(NKDAPSrv) / FC-S36W-113CW5 / 4900200
</t>
  </si>
  <si>
    <t xml:space="preserve">ブランド / 機器構成名(個体名) / 型式 / シリアル番号
AWC7 Framework / AWC7本体 (FC-S36W)(AWC001) / FC-S36W-143CV7 / 4101132
AWC7 Framework / AWC7予備機 (FC-S36W)(AWC001予備) / FC-S36W-143CV7 / 4101122
</t>
  </si>
  <si>
    <t xml:space="preserve">ブランド / 機器構成名(個体名) / 型式 / シリアル番号
AWC7 Framework / AWC7本体(FC-S36W)(AWC001) / FC-S36W-143CV7 / 36500995
</t>
  </si>
  <si>
    <t xml:space="preserve">ブランド / 機器構成名(個体名) / 型式 / シリアル番号
AWC7 Ordermade / APｻｰﾊﾞ (FC-S36W)() / FC-S36W-113CW5 / 4700190
AWC7 Ordermade / AWC7端末 (FC-E29U)() / FC-E29U-S31C42 / 4901261
AWC7 Ordermade / AWC7端末 (FC-E29U)() / FC-E29U-S31C42 / 4901254
AWC7 Ordermade / AWC7端末 (FC-E29U)() / FC-E29U-S31C42 / 4901251
AWC7 Ordermade / AWC7端末 (FC-E29U)() / FC-E29U-S31C42 / 4X01271
AWC7 Ordermade / AWC7端末 (FC-E29U)() / FC-E29U-S31C42 / 4X01289
AWC7 Ordermade / AWC7端末 (FC-E29U)() / FC-E29U-S31C42 / 4X01277
AWC7 Ordermade / AWC7端末 (FC-E29U)() / FC-E29U-S31C42 / 4X01282
AWC7 Ordermade / AWC7端末 (FC-E29U)() / FC-E29U-S31C42 / 4901255
AWC7 Ordermade / AWC7端末 (FC-E29U)() / FC-E29U-S31C42 / 4901253
AWC7 Ordermade / AWC7端末 (FC-E29U)() / FC-E29U-S31C42 / 4901268
AWC7 Ordermade / AWC7端末 (FC-E29U)() / FC-E29U-S31C42 / 4X01287
AWC7 Ordermade / AWC7端末 (FC-E29U)() / FC-E29U-S31C42 / 4X01290
AWC7 Ordermade / AWC7端末 (FC-E29U)() / FC-E29U-S31C42 / 4X01273
AWC7 Ordermade / AWC7端末 (FC-E29U)() / FC-E29U-S31C42 / 4901266
AWC7 Ordermade / AWC7端末 (FC-E29U)() / FC-E29U-S31C42 / 4901258
AWC7 Ordermade / MOSⅦｻｰﾊﾞ (FC-E22K)(MOS) / FC-E22K-L / 5603307
</t>
  </si>
  <si>
    <t xml:space="preserve">ブランド / 機器構成名(個体名) / 型式 / シリアル番号
AWC7 Ordermade / ﾗﾍﾞﾙﾌﾟﾘﾝﾀ() / CL4NX-J08 Plus / JH101351
AWC7 Ordermade / ﾗﾍﾞﾙﾌﾟﾘﾝﾀ() / CL4NX-J08 Plus / JH101323
</t>
  </si>
  <si>
    <t xml:space="preserve">ブランド / 機器構成名(個体名) / 型式 / シリアル番号
WareNavi7A / WareNavi7A本体 (FC-S36W)(WNA01) / FC-S36W-143CV7 / 4601188
WareNavi7A / ﾛﾎﾞｯﾄPC (FC-S36W)(RBMA01) / FC-S36W-143CV7 / 4601190
WareNavi7A / MOSⅦ本体 (FC-E22K)(MOS01) / FC-E22K-L / 4702370
WareNavi7A / MOSⅦ端末 (FC-P31X)(MOTA002) / FC-P31X-L1 / 2701686
</t>
  </si>
  <si>
    <t xml:space="preserve">ブランド / 機器構成名(個体名) / 型式 / シリアル番号
WareNavi7A / WareNavi7本体(FC-S36W)(WN101) / FC-S36W-L / 4705049
WareNavi7A / MOSⅦ(FC-E22K)(MOSZ101) / FC-E22K-L / 4802414
</t>
  </si>
  <si>
    <t xml:space="preserve">ブランド / 機器構成名(個体名) / 型式 / シリアル番号
AWC7 Basic / AWC7本体(FC-S36W)(AWC001) / FC-S36W-143CV7 / 2Z00946
</t>
  </si>
  <si>
    <t xml:space="preserve">ブランド / 機器構成名(個体名) / 型式 / シリアル番号
AWC7 Framework / AWC7本体(HF-W6560)(AWC001) / HJ-6560-WFJB/7R / 
</t>
  </si>
  <si>
    <t xml:space="preserve">ブランド / 機器構成名(個体名) / 型式 / シリアル番号
WareNavi7(C棟店舗ｹｰｽ仕分け) / 事務所端末 (FC-E29U)(WAT001) / FC-E29U-S31C42 / 2Z00354
WareNavi7(C棟店舗ｹｰｽ仕分け) / WareNavi7端末 (FC-E29U) / B棟(WAT121) / FC-E29U-S31C42 / 3200508
WareNavi7(C棟店舗ｹｰｽ仕分け) / WareNavi7端末 (FC-E29U) / B棟(WAT122) / FC-E29U-S31C42 / 3200487
WareNavi7(C棟店舗ｹｰｽ仕分け) / WareNavi7端末 (FC-E29U) / B棟(WAT123) / FC-E29U-S31C42 / 3200504
WareNavi7(C棟店舗ｹｰｽ仕分け) / ｶｺﾞ車積み付け端末 (FC-E29U)(WAT101) / FC-E29U-S31C42 / 3200528
WareNavi7(C棟店舗ｹｰｽ仕分け) / ｶｺﾞ車積み付け端末 (FC-E29U)(WAT103) / FC-E29U-S31C42 / 3200521
WareNavi7(C棟店舗ｹｰｽ仕分け) / ｶｺﾞ車積み付け端末 (FC-E29U)(WAT105) / FC-E29U-S31C42 / 3200501
WareNavi7(C棟店舗ｹｰｽ仕分け) / ｶｺﾞ車積み付け端末 (FC-E29U)(WAT107) / FC-E29U-S31C42 / 3200520
WareNavi7(C棟店舗ｹｰｽ仕分け) / ｶｺﾞ車積み付け端末 (FC-E29U)(WAT109) / FC-E29U-S31C42 / 3200530
WareNavi7(C棟店舗ｹｰｽ仕分け) / ｶｺﾞ車積み付け端末 (FC-E29U)(WAT111) / FC-E29U-S31C42 / 3200514
WareNavi7(C棟店舗ｹｰｽ仕分け) / ｶｺﾞ車積み付け端末 (FC-E29U)(WAT113) / FC-E29U-S31C42 / 3200538
WareNavi7(C棟店舗ｹｰｽ仕分け) / ｶｺﾞ車積み付け端末 (FC-E29U)(WAT115) / FC-E29U-S31C42 / 3200539
WareNavi7(C棟店舗ｹｰｽ仕分け) / ｶｺﾞ車払い出し端末 (FC-E29U)(WAT102) / FC-E29U-S31C42 / 3200469
WareNavi7(C棟店舗ｹｰｽ仕分け) / ｶｺﾞ車払い出し端末 (FC-E29U)(WAT104) / FC-E29U-S31C42 / 3200531
WareNavi7(C棟店舗ｹｰｽ仕分け) / ｶｺﾞ車払い出し端末 (FC-E29U)(WAT106) / FC-E29U-S31C42 / 3200517
WareNavi7(C棟店舗ｹｰｽ仕分け) / ｶｺﾞ車払い出し端末 (FC-E29U)(WAT110) / FC-E29U-S31C42 / 3200475
WareNavi7(C棟店舗ｹｰｽ仕分け) / ｶｺﾞ車払い出し端末 (FC-E29U)(WAT112) / FC-E29U-S31C42 / 3200486
WareNavi7(C棟店舗ｹｰｽ仕分け) / ｶｺﾞ車払い出し端末 (FC-E29U)(WAT114) / FC-E29U-S31C42 / 3200485
WareNavi7(C棟店舗ｹｰｽ仕分け) / 端末予備 (FC-E29U)(WAT128) / FC-E29U-S31C42 / 3200505
WareNavi7(C棟店舗ｹｰｽ仕分け) / MOSⅦ本体(FC-E27B)(MOSA001) / FC-E27B-SR / 2800376
WareNavi7(C棟店舗ｹｰｽ仕分け) / MOSⅦ端末 (FC-P31X)(MOSZ107) / FC-P31X-L1 / 3202035
WareNavi7(C棟店舗ｹｰｽ仕分け) / MOSⅦ端末 (FC-P31X)(MOSZ109) / FC-P31X-L1 / 2600966
SAM(C棟店舗ｹｰｽ仕分け) / ﾘｼﾞｪｸﾄ端末 (FC-E29U)(WAT108) / FC-E29U-S31C42 / 3200515
SAM(C棟店舗ｹｰｽ仕分け) / ﾘｼﾞｪｸﾄ端末 (FC-E29U)(WAT116) / FC-E29U-S31C42 / 3200479
SAM(C棟店舗ｹｰｽ仕分け) / ﾘｼﾞｪｸﾄ端末 (FC-E29U)(WAT118) / FC-E29U-S31C42 / 3200527
SAM(C棟店舗ｹｰｽ仕分け) / ﾘｼﾞｪｸﾄ端末 (FC-E29U)(WAT119) / FC-E29U-S31C42 / 3200510
SAM(C棟店舗ｹｰｽ仕分け) / ﾘｼﾞｪｸﾄ端末 (FC-E29U)(WAT120) / FC-E29U-S31C42 / 3200536
SAM(C棟店舗ｹｰｽ仕分け) / 直出荷端末 (FC-E29U)(WAT117) / FC-E29U-S31C42 / 3200507
SAM(C棟店舗ｹｰｽ仕分け) / MOSⅦ本体(FC-E27B)(MOSZ001) / FC-E27B-SR / 2800367
SAM(C棟店舗ｹｰｽ仕分け) / MOSⅦ本体(FC-E27B)(MOSZ002) / FC-E27B-SR / 2800363
SAM(C棟店舗ｹｰｽ仕分け) / MOSⅦ端末 (FC-P31X)(MOTZ102) / FC-P31X-L1 / 2701046
SAM(C棟店舗ｹｰｽ仕分け) / MOSⅦ端末 (FC-P31X)(MOTZ103) / FC-P31X-L1 / 2701069
SAM(C棟店舗ｹｰｽ仕分け) / MOSⅦ端末 (FC-P31X)(MOTZ104) / FC-P31X-L1 / 2701055
SAM(C棟店舗ｹｰｽ仕分け) / MOSⅦ端末 (FC-P31X)(MOTZ111) / FC-P31X-L1 / 2701068
LPM(C棟店舗ｹｰｽ仕分け) / LPM (FC-S36W)(LPM101) / FC-S36W-143CV7 / 2900809
LPM(C棟店舗ｹｰｽ仕分け) / LPM (FC-S36W)(LPM102) / FC-S36W-143CV7 / 2X00881
LPM(C棟店舗ｹｰｽ仕分け) / LPM (FC-S36W)(LPM103) / FC-S36W-143CV7 / 2900866
LPM(C棟店舗ｹｰｽ仕分け) / LPM (FC-S36W)(LPM104) / FC-S36W-143CV7 / 2900869
LPM(C棟店舗ｹｰｽ仕分け) / LPM (FC-S36W)(LPM105) / FC-S36W-143CV7 / 2900859
LPM(C棟店舗ｹｰｽ仕分け) / LPM予備 (FC-S36W)(LPM106) / FC-S36W-143CV7 / 2900857
LPM(C棟店舗ｹｰｽ仕分け) / 投入設定端末 (FC-E29U)(WAT124) / FC-E29U-S31C42 / 3200506
LPM(C棟店舗ｹｰｽ仕分け) / 投入設定端末 (FC-E29U)(WAT125) / FC-E29U-S31C42 / 3200512
LPM(C棟店舗ｹｰｽ仕分け) / 投入設定端末 (FC-E29U)(WAT126) / FC-E29U-S31C42 / 3200499
LPM(C棟店舗ｹｰｽ仕分け) / 投入設定端末 (FC-E29U)(WAT127) / FC-E29U-S31C42 / 3200503
</t>
  </si>
  <si>
    <t xml:space="preserve">ブランド / 機器構成名(個体名) / 型式 / シリアル番号
WareNavi7(C棟店舗小分け) / 小分け1次端末 (FC-E29U)(WAT202) / FC-E29U-S31C42 / 3600873
WareNavi7(C棟店舗小分け) / 小分け1次端末 (FC-E29U)(WAT203) / FC-E29U-S31C42 / 3600845
WareNavi7(C棟店舗小分け) / 小分け1次端末 (FC-E29U)(WAT204) / FC-E29U-S31C42 / 3600830
WareNavi7(C棟店舗小分け) / 小分け1次端末 (FC-E29U)(WAT205) / FC-E29U-S31C42 / 3600897
WareNavi7(C棟店舗小分け) / 小分け1次端末 (FC-E29U)(WAT206) / FC-E29U-S31C42 / 3600878
WareNavi7(C棟店舗小分け) / 小分け1次端末 (FC-E29U)(WAT207) / FC-E29U-S31C42 / 3600871
WareNavi7(C棟店舗小分け) / 小分け1次端末 (FC-E29U)(WAT208) / FC-E29U-S31C42 / 3600883
WareNavi7(C棟店舗小分け) / 小分け1次端末 (FC-E29U)(WAT209) / FC-E29U-S31C42 / 3600850
WareNavi7(C棟店舗小分け) / 小分け1次端末 (FC-E29U)(WAT210) / FC-E29U-S31C42 / 3600825
WareNavi7(C棟店舗小分け) / 小分け2次端末 (FC-E29U)(WAT213) / FC-E29U-S31C42 / 3600906
WareNavi7(C棟店舗小分け) / 小分け2次端末 (FC-E29U)(WAT214) / FC-E29U-S31C42 / 3600829
WareNavi7(C棟店舗小分け) / 小分け2次端末 (FC-E29U)(WAT215) / FC-E29U-S31C42 / 3600834
WareNavi7(C棟店舗小分け) / 小分け2次端末 (FC-E29U)(WAT216) / FC-E29U-S31C42 / 3600824
WareNavi7(C棟店舗小分け) / 小分け2次端末 (FC-E29U)(WAT217) / FC-E29U-S31C42 / 3600856
WareNavi7(C棟店舗小分け) / 小分け2次端末 (FC-E29U)(WAT218) / FC-E29U-S31C42 / 3600843
WareNavi7(C棟店舗小分け) / 小分け2次端末 (FC-E29U)(WAT219) / FC-E29U-S31C42 / 3600837
WareNavi7(C棟店舗小分け) / 小分け2次端末 (FC-E29U)(WAT220) / FC-E29U-S31C42 / 3600838
WareNavi7(C棟店舗小分け) / WCS端末 (FC-E29U)(WAT222) / FC-E29U-S31C42 / 3600881
WareNavi7(C棟店舗小分け) / WCS端末 (FC-E29U)(WAT223) / FC-E29U-S31C42 / 3600876
WareNavi7(C棟店舗小分け) / 端末予備 (FC-E29U)(WAT予備) / FC-E29U-S31C42 / 3600898
WareNavi7(C棟店舗小分け) / MOSⅦ本体 (FC-E22K)(MOSB001) / FC-E22K-L / 2900382
WareNavi7(C棟店舗小分け) / MOSⅦ本体 (FC-E22K)(MOSC001) / FC-E22K-L / 2900379
WareNavi7(C棟店舗小分け) / MOSⅦ端末 (FC-P31X)(MOTB002) / FC-P31X-L1 / 3202037
SAM(C棟店舗小分け) / 小分け1次分岐端末 (FC-E29U)(WAT211) / FC-E29U-S31C42 / 3600828
SAM(C棟店舗小分け) / ﾘｼﾞｪｸﾄ端末 (FC-E29U)(WAT212) / FC-E29U-S31C42 / 3600872
SAM(C棟店舗小分け) / ﾘｼﾞｪｸﾄ端末 (FC-E29U)(WAT221) / FC-E29U-S31C42 / 3600844
SAM(C棟店舗小分け) / MOSⅦ本体 (FC-E22K)(MOSZ003) / FC-E22K-L / 2900389
SAM(C棟店舗小分け) / MOSⅦ端末 (FC-P31X)(MOTZ201) / FC-P31X-L1 / 3202033
</t>
  </si>
  <si>
    <t xml:space="preserve">ブランド / 機器構成名(個体名) / 型式 / シリアル番号
AWC7 Framework / AWC7本体(HF-W6560)(AWC001) / HJ-6560-WFJB/7R / 4530121-8
</t>
  </si>
  <si>
    <t xml:space="preserve">ブランド / 機器構成名(個体名) / 型式 / シリアル番号
AWC7 Framework / ﾗﾍﾞﾙﾌﾟﾘﾝﾀ(LBP01) / CL4NX-J08 Plus / JF101843
</t>
  </si>
  <si>
    <t xml:space="preserve">ブランド / 機器構成名(個体名) / 型式 / シリアル番号
WareNavi4 Framework / WareNavi4本体(HF-W6555)(WARENAVI001) / HJ-6555-WBJD/DF01 / 4233381-1
</t>
  </si>
  <si>
    <t xml:space="preserve">ブランド / 機器構成名(個体名) / 型式 / シリアル番号
AWC7 Framework / AWC7本体(FC-S36W)(AWC001) / FC-S36W-143CV7 / 4901220
</t>
  </si>
  <si>
    <t xml:space="preserve">ブランド / 機器構成名(個体名) / 型式 / シリアル番号
AWC7 Framework / AWC7本体(FC-S36W)(AWC001) / FC-S36W-143CV7 / 4101102
AWC7 Framework / AWC7端末(FC-E29U)(WAT001) / FC-E29U-S31C42 / 3600847
AWC7 Framework / AWC7端末(FC-E29U)(WAT002) / FC-E29U-S31C42 / 3600814
AWC7 Framework / ﾍﾟｰｼﾞﾌﾟﾘﾝﾀ(PRN01) / PR-L5350 / 1Y00506YA
AWC7 Framework / ﾍﾟｰｼﾞﾌﾟﾘﾝﾀ(PRN02) / PR-L5350 / 1Y00498YA
AWC7 Framework / 9Y-MOS (FC-D28U)(MOS01) / FC-D28U-L / 4300749
</t>
  </si>
  <si>
    <t xml:space="preserve">ブランド / 機器構成名(個体名) / 型式 / シリアル番号
AWC7 Framework / ﾗﾍﾞﾙﾌﾟﾘﾝﾀ(LB01) / CL4NX-J08 Plus / HH100824
</t>
  </si>
  <si>
    <t xml:space="preserve">ブランド / 機器構成名(個体名) / 型式 / シリアル番号
AWC7 Framework / AWC7本体(HF-W7565)(S01L0561ASRS00) / HJ-7565-SEJD/7R / 4530800-1
AWC7 Framework / AWC7本体予備機(HF-W7565)(S01L0561ASRS01) / HJ-7565-SEJD/7R / 4530800-2
</t>
  </si>
  <si>
    <t xml:space="preserve">ブランド / 機器構成名(個体名) / 型式 / シリアル番号
WareNavi7A / WareNavi7A本体(FC-S36W)(WNA001) / FC-S36W-113CW5 / 4700191
WareNavi7A / WareNavi7A端末(FC-E29U)(WAT101) / FC-E29U-S31C42 / 4Y01292
WareNavi7A / WareNavi7A端末(FC-E29U)(WAT102) / FC-E29U-S31C42 / 4Y01307
WareNavi7A / WareNavi7A端末(FC-E29U)(WAT103) / FC-E29U-S31C42 / 4Y01295
WareNavi7A / WareNavi7A端末(FC-E29U)(WAT104) / FC-E29U-S31C42 / 4Y01301
WareNavi7A / WareNavi7A端末(FC-E29U)(WAT105) / FC-E29U-S31C42 / 4Y01310
WareNavi7A / WareNavi7A端末(FC-E29U)(WAT106) / FC-E29U-S31C42 / 4Y01306
WareNavi7A / WareNavi7A端末(FC-E29U)(WAT107) / FC-E29U-S31C42 / 4Y01304
WareNavi7A / WareNavi7A端末(FC-E29U)(WAT108) / FC-E29U-S31C42 / 4Y01305
WareNavi7A / MOSⅦ(FC-E22K)(MOSA001) / FC-E22K-L / 5102888
WareNavi7A / VTC(NT8000)(VTCA001) / FC-E29U-S / 5102803
</t>
  </si>
  <si>
    <t xml:space="preserve">ブランド / 機器構成名(個体名) / 型式 / シリアル番号
WareNavi7A / ﾗﾍﾞﾙﾌﾟﾘﾝﾀ(MLB101) / CL4NX-J08 Plus / JK100587
WareNavi7A / ﾗﾍﾞﾙﾌﾟﾘﾝﾀ(MLB102) / CL4NX-J08 Plus / JK100552
WareNavi7A / ﾗﾍﾞﾙﾌﾟﾘﾝﾀ(MLB103) / CL4NX-J08 Plus / JK100621
</t>
  </si>
  <si>
    <t>2026年3月25日に有償点検実施。保守契約分（ICR）を9月頃に実施予定のため、チケット起票しました。</t>
  </si>
  <si>
    <t xml:space="preserve">ｶﾒﾗｼｽﾃﾑ / ｶﾒﾗ式BCRｼｽﾃﾑ(ICR)(BCRZ103) / SIM2000 / </t>
  </si>
  <si>
    <t>1911-004</t>
  </si>
  <si>
    <t xml:space="preserve">ブランド / 機器構成名(個体名) / 型式 / シリアル番号
RTS-100 / RTS端末(HF-W2045)(WSC01) / HJ-2045-WBJA/DF01 / 4233247-6
RTS-100 / RTS端末(HF-W2045)(WSC09) / HJ-2045-WBJA/DF01 / 4233247-5
RTS-100 / RTS端末/BCR付(HF-W2045)(WSC02) / HJ-2045-WBJA/DF01 / 4233247-16
RTS-100 / RTS端末/BCR付(HF-W2045)(WSC03) / HJ-2045-WBJA/DF01 / 4233247-19
RTS-100 / RTS端末/BCR付(HF-W2045)(WSC04) / HJ-2045-WBJA/DF01 / 4233247-8
RTS-100 / RTS端末/BCR付(HF-W2045)(WSC05) / HJ-2045-WBJA/DF01 / 4233247-11
RTS-100 / RTS端末/BCR付(HF-W2045)(WSC06) / HJ-2045-WBJA/DF01 / 4233247-15
RTS-100 / RTS端末/BCR付(HF-W2045)(WSC07) / HJ-2045-WBJA/DF01 / 4233247-2 
RTS-100 / RTS端末/BCR付(HF-W2045)(WSC08) / HJ-2045-WBJA/DF01 / 4233247-18
RTS-100 / RTS端末/BCR付(HF-W2045)(WSC10) / HJ-2045-WBJA/DF01 / 4233247-20
RTS-100 / RTS端末/BCR付(HF-W2045)(WSC11) / HJ-2045-WBJA/DF01 / 4233247-17
RTS-100 / RTS端末/BCR付(HF-W2045)(WSC12) / HJ-2045-WBJA/DF01 / 4233247-10
RTS-100 / RTS端末/BCR付(HF-W2045)(WSC13) / HJ-2045-WBJA/DF01 / 4233247-14
RTS-100 / RTS端末/BCR付(HF-W2045)(WSC14) / HJ-2045-WBJA/DF01 / 4233247-12
RTS-100 / RTS端末/BCR付(HF-W2045)(WSC15) / HJ-2045-WBJA/DF01 / 4233247-1
RTS-100 / RTS端末/BCR付(HF-W2045)(WSC16) / HJ-2045-WBJA/DF01 / 4233247-9
RTS-100 / RTS端末/BCR付(HF-W2045)(WSC17) / HJ-2045-WBJA/DF01 / 4233247-4
RTS-100 / RTS端末/BCR付(HF-W2045)(WSC18) / HJ-2045-WBJA/DF01 / 4233247-3
RTS-100 / RTS端末/BCR付(HF-W2045)(WSC19) / HJ-2045-WBJA/DF01 / 4233247-13
RTS-100 / ﾊﾝﾃﾞｨｻｰﾊﾞ(HF-W2045)(WN001) / HJ-2045-WBJA/DF01 / 4233247-7 
</t>
  </si>
  <si>
    <t>2027年2月</t>
    <rPh sb="4" eb="5">
      <t>ネン</t>
    </rPh>
    <rPh sb="6" eb="7">
      <t>ツキ</t>
    </rPh>
    <phoneticPr fontId="1"/>
  </si>
  <si>
    <t xml:space="preserve">生産部 工程管理課
長谷川夢育
TEL：083-988-0911
</t>
  </si>
  <si>
    <t xml:space="preserve">同行者：内田裕貴
TEL：090-2739-9978
</t>
  </si>
  <si>
    <t>DM三井製糖株式会社
設備課　土田様　TEL→070-2478-3208</t>
  </si>
  <si>
    <t>原料保管用自動倉庫／アセプライン</t>
  </si>
  <si>
    <t>契約番号取得中</t>
  </si>
  <si>
    <t>33208-035-003</t>
  </si>
  <si>
    <t>５月契約開始、５月点検</t>
  </si>
  <si>
    <t xml:space="preserve">ブランド / 機器構成名(個体名) / 型式 / シリアル番号
AWC4 Framework / AWC4本体(HF-W7565)() / HJ-7565-SEJD/7R / 
AWC4 Framework / AWC4端末(HF-W2065)() / HJ-2065-WGMA/7R / 
</t>
  </si>
  <si>
    <t>ea@it-serve.co.jp; takayuki_miura@h-ax.com</t>
    <phoneticPr fontId="1"/>
  </si>
  <si>
    <t>野田CS</t>
  </si>
  <si>
    <t>海老名第2CS</t>
  </si>
  <si>
    <t>ブランド / 機器構成名(個体名) / 型式 / シリアル番号
AWC4 Framework / AWC4本体(FC-S36W)(AWC001) / FC-S36W-143CV7 / 0400162</t>
  </si>
  <si>
    <t>1601-001</t>
  </si>
  <si>
    <t>14203-110-001</t>
  </si>
  <si>
    <t>ブランド / 機器構成名(個体名) / 型式 / シリアル番号
AWC4 Framework / AWC4本体 (HF-W6545)(AWC001) / HJ-65459EWJD/DF01 / 4223469-1
AWC4 Framework / AWC4端末 (HF-W2035)(WAT001) / HJ-20359EWJA/DF01 / 4223975-1
AWC4 Framework / AWC4端末 (HF-W2035)(WAT002) / HJ-20359EWJA/DF01 / 4223488-1
AWC4 Framework / AWC4端末 (HF-W2035)(WAT003) / HJ-20359EWJA/DF01 / 4223486-1
AWC4 Framework / AWC4端末 (HF-W2035)(WAT004) / HJ-20359EWJA/DF01 / 4223487-1</t>
  </si>
  <si>
    <t>【システム点検】※客先支給サーバの為、診断対象外。</t>
  </si>
  <si>
    <t>ブランド / 機器構成名(個体名) / 型式 / シリアル番号
LPM / ｵｰﾄﾗﾍﾞﾗ(LR4081SR-TSJ)(ALB01) / LR4081SR-TSJ / GH000101
LPM / ｵｰﾄﾗﾍﾞﾗ(LR4081SR-TSJ)(ALB02) / LR4081SR-TSJ / GH000102
LPM / ｵｰﾄﾗﾍﾞﾗ(LR4080SR-TSB)(ALB03) / LR4080SR-TSB / 16020030
LPM / ｵｰﾄﾗﾍﾞﾗ(LR4080SR-TSB)(ALB04) / LR4080SR-TSB / 16050051</t>
  </si>
  <si>
    <t>プライムデリカ株式会社</t>
  </si>
  <si>
    <t>相模原第二工場　施設課</t>
  </si>
  <si>
    <t>2018090405-216-1 / 2021082404-221-1</t>
  </si>
  <si>
    <t>14163A114-001</t>
  </si>
  <si>
    <t>ブランド / 機器構成名(個体名) / 型式 / シリアル番号
WareNavi7 / WareNavi7ｻｰﾊﾞ(Express5800/R320e-E4)(WN7-001) / N8800-201Y / 6900361
WareNavi7 / WareNavi7端末/BCR付き(FC-E16U/S7)(WN7-TRM001) / FC-E16U/S71R4Z / S680888MA
WareNavi7 / WareNavi7端末(FC-E16U/S7)(WN7-TRM002) / FC-E16U/S71R4Z / S680891MA
WareNavi7 / WareNavi7端末(FC-E16U/S7)(WN7-TRM003) / FC-E16U/S71R4Z / S680893MA
WareNavi7 / WareNavi7端末(FC-E16U/S7)(WN7-TRM004) / FC-E16U/S71R4Z / S680894MA</t>
  </si>
  <si>
    <t>ブランド / 機器構成名(個体名) / 型式 / シリアル番号
WareNavi7 / ﾗﾍﾞﾙﾌﾟﾘﾝﾀ(LPR01) / CL4NX-J08 / 6D000404
WareNavi7 / ﾗﾍﾞﾙﾌﾟﾘﾝﾀ(LPR02) / CL4NX-J08 / 6D000443</t>
  </si>
  <si>
    <t>ブランド / 機器構成名(個体名) / 型式 / シリアル番号
LPM / ｵｰﾄﾗﾍﾞﾗ (LR4080SR-TSJ)(LBRZ311) / LR4080SR-TSJ / FE000036
LPM / ｵｰﾄﾗﾍﾞﾗ (LR4080SR-TSJ)(LBRZ312) / LR4080SR-TSJ / FE000037
LPM / ｵｰﾄﾗﾍﾞﾗ (LR4080SR-TSJ)(LBRZ321) / LR4080SR-TSJ / FE000038
LPM / ｵｰﾄﾗﾍﾞﾗ (LR4080SR-TSJ)(LBRZ322) / LR4080SR-TSJ / FE000039
LPM / ｵｰﾄﾗﾍﾞﾗ (LR4120SR-TPJ)(LBRZ201) / LR4120SR-TPJ / FE000040
LPM / ｵｰﾄﾗﾍﾞﾗ (LR4120SR-TPJ)(LBRZ202) / LR4120SR-TPJ / FE000041
LPM / ｵｰﾄﾗﾍﾞﾗ (LR4121SR-TPJ)(LBRZ203) / LR4121SR-TPJ / FD000067
LPM / ｵｰﾄﾗﾍﾞﾗ (LR4121SR-TSJ)(LBRZ204) / LR4121SR-TSJ / FD000061
I-Packｼｽﾃﾑ / ｵｰﾄﾗﾍﾞﾗ (LR4120SR-TPJ)() / LR4120SR-TPJ / FA000037
I-Packｼｽﾃﾑ / ｵｰﾄﾗﾍﾞﾗ (LR4120SR-TPJ)() / LR4120SR-TPJ / FA000038
I-Packｼｽﾃﾑ / ｵｰﾄﾗﾍﾞﾗ (LR4120SR-TPJ)() / LR4120SR-TPJ / FA000039
I-Packｼｽﾃﾑ / ｵｰﾄﾗﾍﾞﾗ (LR4120SR-TPJ)() / LR4120SR-TPJ / FA000040</t>
  </si>
  <si>
    <t xml:space="preserve">ブランド / 機器構成名(個体名) / 型式 / シリアル番号
WareNavi7 / APｻｰﾊﾞ (Express5800/R320h-M4)(WN7-001) / N8800-302Y / 1500107
WareNavi7 / APｻｰﾊﾞ用UPS(WN7-001) / 無停電電源装置(1500VA,ﾗｯｸﾏｳﾝﾄ)N8142-101 / 
WareNavi7 / APｻｰﾊﾞ用UPS(WN7-001) / 無停電電源装置(1500VA,ﾗｯｸﾏｳﾝﾄ)N8142-101 / 
WareNavi7 / DBｻｰﾊﾞ (Express5800/R120h-1E)(DBSV-001) / N8100-2842Y / JPN12100PM
WareNavi7 / DBｻｰﾊﾞ (Express5800/R120h-1E)(DBSV-002) / N8100-2842Y / JPN12100PN
WareNavi7 / DBｻｰﾊﾞ (Express5800/R120h-1E)(DBSV-001) / 無停電電源装置(1500VA,ﾗｯｸﾏｳﾝﾄ)N8142-101 / 
WareNavi7 / DBｻｰﾊﾞ (Express5800/R120h-1E)(DBSV-002) / 無停電電源装置(1500VA,ﾗｯｸﾏｳﾝﾄ)N8142-101 / 
WareNavi7 / MOSｻｰﾊﾞ (Express5800/R120h-1E)(MOSSV001) / N8100-2842Y / JPN12100PP
WareNavi7 / MOSｻｰﾊﾞ (Express5800/R120h-1E)(MOSSV001) / 無停電電源装置(1500VA,ﾗｯｸﾏｳﾝﾄ)N8142-101 / 
WareNavi7 / 管理端末 (PC-MJL36/B-9)(WATZ101) / PC-MJL36BZG9 / 15000061A
SAM / SAM (FC-S36W)(SAM201) / FC-S36W-143CV7 / 1400359
SAM / SAM (FC-S36W)(SAM301) / FC-S36W-143CV7 / 1300346
LPM / LPM (FC-S36W)(LPM201) / FC-S36W-143CV7 / 1300350
LPM / LPM (FC-S36W)(LPM202) / FC-S36W-143CV7 / 1400362
LPM / LPM (FC-S36W)(LPM203) / FC-S36W-143CV7 / 1600408
LPM / LPM (FC-S36W)(LPM311) / FC-S36W-143CV7 / 1300349
LPM / LPM (FC-S36W)(LPM321) / FC-S36W-143CV7 / 1300351
LPM / LPC (FC-S36W)(LPCZ301) / FC-S36W-143CV7 / 1300347
LPM / LPC (FC-S36W)(LPCZ302) / FC-S36W-143CV7 / 1300352
LPM / ﾏﾈｰｼﾞｬ予備機 (FC-S36W)(ﾏﾈｰｼﾞｬ予備) / FC-S36W-143CV7 / 1600386
JCM / JCM (FC-S36W)(JCMZ301) / FC-S36W-143CV7 / 1400358
JCM / JCM (FC-S36W)(JCMZ302) / FC-S36W-143CV7 / 1400361
</t>
  </si>
  <si>
    <t>2023061322-224-1 / 2023110910-224-1</t>
  </si>
  <si>
    <t>ブランド / 機器構成名(個体名) / 型式 / シリアル番号
AWC7 Framework / AWC7本体 (FC-S36W)(AWC001) / FC-S36W-113CW5 / 2100127
AWC7 Framework / MOSⅦ本体(FC-E27B)(MOSA001) / FC-E27B-SR / 2600291</t>
  </si>
  <si>
    <t>ブランド / 機器構成名(個体名) / 型式 / シリアル番号
AWC7 Framework / AWC7端末 (HF-W2050)(WAT001) / HJ-2050-WEMA/DF03 / 8053655-5
AWC7 Framework / AWC7端末 (HF-W2050)(WAT002) / HJ-2050-WEMA/DF03 / 8053655-4
AWC7 Framework / AWC7端末 (HF-W2050)(WAT003) / HJ-2050-WEMA/DF03 / 8053655-3</t>
  </si>
  <si>
    <t>ブランド / 機器構成名(個体名) / 型式 / シリアル番号
LPM / ｵｰﾄﾗﾍﾞﾗ(ALR01) / NLR4080SR-TCJ / 15080561
LPM / ｵｰﾄﾗﾍﾞﾗ(ALR02) / NLR4080SR-TCJ / 15080562</t>
  </si>
  <si>
    <t>ブランド / 機器構成名(個体名) / 型式 / シリアル番号
WareNavi Framework / WareNavi本体 (FC-S36W)(WARENAVI001) / FC-S36W-113CW5 / 2800142
WareNavi Framework / WareNavi端末 (FC-E29U)(WAT001) / FC-E29U-S31C42 / 3200618
WareNavi Framework / WareNavi端末 (FC-E29U)(WAT004) / FC-E29U-S31C42 / 3200612
WareNavi Framework / WareNavi端末 (FC-E29U)(WAT005) / FC-E29U-S31C42 / 3200615
WareNavi Framework / WareNavi端末 (FC-E29U)(WAT006) / FC-E29U-S31C42 / 3200629
WareNavi Framework / WareNavi端末 (FC-E29U)(WAT007) / FC-E29U-S31C42 / 3200621</t>
  </si>
  <si>
    <t>ブランド / 機器構成名(個体名) / 型式 / シリアル番号
AWC4 Framework / AWC4本体(FC-S36W)(EAWC001) / FC-S36W-143CV7 / 4501174</t>
  </si>
  <si>
    <t>ブランド / 機器構成名(個体名) / 型式 / シリアル番号
AWC7 Framework / AWC7本体(HF-W6560)(AWC001) / HJ-6560-WFJB/7R / 4525736-1
AWC7 Framework / AWC7端末(HF-W2050)(WAT001) / HJ-2050-WEMA/DF03 / 8055584-5
AWC7 Framework / AWC7端末(HF-W2050)(WAT002) / HJ-2050-WEMA/DF03 / 8055584-9
AWC7 Framework / AWC7端末(HF-W2050)(WAT003) / HJ-2050-WEMA/DF03 / 8055584-6
AWC7 Framework / AWC7端末(HF-W2050)(WAT005) / HJ-2050-WEMA/DF03 / 8055584-7
AWC7 Framework / AWC7端末(HF-W2050)(WAT006) / HJ-2050-WEMA/DF03 / 8055584-8</t>
  </si>
  <si>
    <t>ブランド / 機器構成名(個体名) / 型式 / シリアル番号
AWC4 Basic / AWC4本体(HF-W6555)(AWC001) / HJ-6555-WBJD/DF01 / 4234984-1
AWC4 Basic / AWC4端末(HF-W2045)(WAT001) / HJ-2045-WBJA/DF01 / 4235461-1</t>
  </si>
  <si>
    <t>株式会社ニイタカ</t>
  </si>
  <si>
    <t>つくば工場</t>
  </si>
  <si>
    <t>2018062011-216-1 / 2022122905-221-1</t>
  </si>
  <si>
    <t>08208-026-003</t>
  </si>
  <si>
    <t>ブランド / 機器構成名(個体名) / 型式 / シリアル番号
AWC-500N / AWC本体(FC-S35W/S7)(AWC001) / FC-S35W/S72CL9 / S6Z0280MA
AWC-500N / AWC本体予備機兼用端末(FC-S35W/S7)(WAT007) / FC-S35W/S72CL9 / S6Z0281MA
AWC-500N / AWC端末(FC-E22U)(WAT001) / FC-E22U-S / 7101883
AWC-500N / AWC端末(FC-E22U)(WAT002) / FC-E22U-S / 7101885
AWC-500N / AWC端末(FC-E22U)(WAT003) / FC-E22U-S / 7101875
AWC-500N / AWC端末(FC-E22U)(WAT004) / FC-E22U-S / 7101887
AWC-500N / AWC端末(FC-E22U)(WAT005) / FC-E22U-S / 7101890
AWC-500N / AWC端末(FC-E22U)(WAT008) / FC-E22U-S / 7Z04805
AWC-500N / AWC端末(FC-E22U)(WAT009) / FC-E22U-S / 7Z04844
AWC-500N / AWC端末(FC-E22U)(WAT010) / FC-E22U-S / 7Z04796
AWC-500N / AGC MOS(MOS01) / FC-E22U-S / 7X04407
AWC-500N / AGC MOS(MOS11) / FC-E22U-S / 7Z04839</t>
  </si>
  <si>
    <t>ブランド / 機器構成名(個体名) / 型式 / シリアル番号
AWC4 Framework / AWC4本体(HF-W6560)(eAWC001) / HJ-6560-WGJB/7R / 4530799-1</t>
  </si>
  <si>
    <t>ブランド / 機器構成名(個体名) / 型式 / シリアル番号
AWC4 Framework / AWC4本体 (FC-S35W/S7)(AWC001) / FC-S35W/S72CL9 / S521256MA</t>
  </si>
  <si>
    <t>2025031313-224-1 / 2025031319-224-1 / 2025031323-224-1</t>
  </si>
  <si>
    <t>ブランド / 機器構成名(個体名) / 型式 / シリアル番号
eWareNavi Framework Custom / eWareNavi本体(FC-S36W)(EWARENAVI) / FC-S36W-113CW5 / 2700132
eWareNavi Framework Custom / eWareNavi端末(FC-E29U)(WAT001) / FC-E29U-S31C42 / 3200572
eWareNavi Framework Custom / eWareNavi端末(FC-E29U)(WAT002) / FC-E29U-S31C42 / 3200574
eWareNavi Framework Custom / eWareNavi端末(FC-E29U)(WAT003) / FC-E29U-S31C42 / 3200544
eWareNavi Framework Custom / eWareNavi端末(FC-E29U)(WAT004) / FC-E29U-S31C42 / 3200549
eWareNavi Framework Custom / eWareNavi端末(FC-E29U)(WAT005) / FC-E29U-S31C42 / 3200563
eWareNavi Framework Custom / eWareNavi端末(FC-E29U)(WAT006) / FC-E29U-S31C42 / 3200569
eWareNavi Framework Custom / eWareNavi端末(FC-E29U)(WAT007) / FC-E29U-S31C42 / 3200560
eWareNavi Framework Custom / ﾍﾟｰｼﾞﾌﾟﾘﾝﾀ(PRN01) / PR-L5350 / 3500136YA
eWareNavi Framework Custom / ﾍﾟｰｼﾞﾌﾟﾘﾝﾀ(PRN02) / PR-L5350 / 3500154YA
eWareNavi Framework Custom / ﾍﾟｰｼﾞﾌﾟﾘﾝﾀ(PRN03) / PR-L5350 / 3500152YA
eWareNavi Framework Custom / ﾍﾟｰｼﾞﾌﾟﾘﾝﾀ(PRN04) / PR-L5350 / 3500151YA
eWareNavi Framework Custom / ﾍﾟｰｼﾞﾌﾟﾘﾝﾀ(PRN05) / PR-L5350 / 3500149YA
eWareNavi Framework Custom / ﾍﾟｰｼﾞﾌﾟﾘﾝﾀ(PRN06) / PR-L5350 / 3500155YA
eWareNavi Framework Custom / ﾍﾟｰｼﾞﾌﾟﾘﾝﾀ(PRN07) / PR-L5350 / 3500153YA
eWareNavi Framework Custom / ﾍﾟｰｼﾞﾌﾟﾘﾝﾀ(PRN08) / PR-L5350 / 3500150YA
eWareNavi Framework Custom / ﾍﾟｰｼﾞﾌﾟﾘﾝﾀ(PRN09) / PR-L5350 / 3500156YA
eWareNavi Framework Custom / ﾍﾟｰｼﾞﾌﾟﾘﾝﾀ(PRN10) / PR-L5350 / 3500006YA
eWareNavi Framework Custom / ﾍﾟｰｼﾞﾌﾟﾘﾝﾀ(PRN11) / PR-L5350 / 3500137YA
eWareNavi Framework Custom / ﾍﾟｰｼﾞﾌﾟﾘﾝﾀ(PRN12) / PR-L5350 / 3500140YA</t>
  </si>
  <si>
    <t>仕掛品第一倉庫</t>
  </si>
  <si>
    <t>2020031902-216-1 / 2020031904-216-1</t>
  </si>
  <si>
    <t>27207-038-001</t>
  </si>
  <si>
    <t>ブランド / 機器構成名(個体名) / 型式 / シリアル番号
AWC-500N / AWC本体(FC-S35W/S7)(AWC001) / FC-S35W/S72CL9 / S780408MA
AWC-500N / AWC端末(FC-E22U)(WAT001) / FC-E22U-S / 7X04439
AWC-500N / AWC端末(FC-E22U)(WAT004) / FC-E22U-S / 7X04422
AWC-500N / AWC端末(FC-E22U)(WAT005) / FC-E22U-S / 7X04423
AWC-500N / AWC端末/BCR付(FC-E22U)(WAT003（客先都合で一時撤去中）) / FC-E22U-S / 7X04433
AWC-500N / AWC端末予備機(FC-E22U)(WAT002（客先都合で一時撤去中）) / FC-E22U-S / 7X04435</t>
  </si>
  <si>
    <t>ブランド / 機器構成名(個体名) / 型式 / シリアル番号
AWC4 Framework / AWC4本体(FC-S36W)(AWC001) / FC-S36W-143CV7 / 4401142</t>
  </si>
  <si>
    <t>ブランド / 機器構成名(個体名) / 型式 / シリアル番号
AWC7 Framework / AWC7本体(HF-W6555)(AWC001) / HJ-6555-WEJD/DF05 / 4239966-4
AWC7 Framework / AWC7端末(HF-W2050)(WAT001) / HJ-2050-WEMA/DF03 / 8052830-5</t>
  </si>
  <si>
    <t>ブランド / 機器構成名(個体名) / 型式 / シリアル番号
AWC-500N / AWC端末 (FC-E22U)(WAT001) / FC-E22U-S / 1516090
AWC-500N / AWC端末 (FC-E22U)(WAT002) / FC-E22U-S / 1516092
AWC-500N / AWC端末 (FC-E22U)(WAT003) / FC-E22U-S / 1516093</t>
  </si>
  <si>
    <t>ブランド / 機器構成名(個体名) / 型式 / シリアル番号
AWC-500N / ﾗﾍﾞﾙﾌﾟﾘﾝﾀ(LBL01) / CL4NX-J12 Plus / FD101553
AWC-500N / ﾗﾍﾞﾙﾌﾟﾘﾝﾀ(LBL02) / CL4NX-J12 Plus / FD101627
AWC-500N / ﾗﾍﾞﾙﾌﾟﾘﾝﾀ(LBL03) / CL4NX-J12 Plus / FD101625
AWC-500N / ﾗﾍﾞﾙﾌﾟﾘﾝﾀ(LBL04) / CL4NX-J12 Plus / FD101595
AWC-500N / ﾗﾍﾞﾙﾌﾟﾘﾝﾀ(LBL05) / CL4NX-J12 Plus / FD101562
AWC-500N / ﾗﾍﾞﾙﾌﾟﾘﾝﾀ(LBL06) / CL4NX-J12 Plus / FD101561</t>
  </si>
  <si>
    <t>ブランド / 機器構成名(個体名) / 型式 / シリアル番号
AWC-500N / AWC本体 (HF-W6555)(AWC001) / HJ-6555-SBJD/DF04 / 4239694-1</t>
  </si>
  <si>
    <t>2018072404-216-1 / 2021030509-216-1</t>
  </si>
  <si>
    <t>ブランド / 機器構成名(個体名) / 型式 / シリアル番号
eAWC Framework / eAWC本体(FC-S35W/S7)(EAWC001) / FC-S35W/S72CL9 / S720422MA
eAWC Framework / eAWC端末(FC-E22U)(WAT001) / FC-E22U-S / 9409527
eAWC Framework / eAWC端末(FC-E22U)(WAT002) / FC-E22U-S / 9409526</t>
  </si>
  <si>
    <t>DC高槻物流センター</t>
  </si>
  <si>
    <t>2020061614-216-1 / 2023090502-224-1 / 2023090504-224-1 / 2025031341-224-1</t>
  </si>
  <si>
    <t>27207-345-001</t>
  </si>
  <si>
    <t>ブランド / 機器構成名(個体名) / 型式 / シリアル番号
AWC4 Framework(ﾊﾟﾚｯﾄ自動倉庫) / DBｻｰﾊﾞ (Express5800/R320f-E4)(DB-SV) / N8800-218Y / 8900155
AWC4 Framework(ﾊﾟﾚｯﾄ自動倉庫) / AWC4端末 (FC-E22U)(AWC003) / FC-E22U-S / 8807012
eAWC Ordermade(MARS) / eAWC端末 (FC-E22U)(AWC001) / FC-E22U-S / 8807014
TMN(SAM) / 搬送系管理ｻｰﾊﾞ (Express5800/R320f-E4)(DB002) / N8800-218Y / 8900154
TMN(SAM) / SAM (FC-S36W)(SAM01) / FC-S36W-133CW4 / 1Z100165
SAM / 入庫仕分端末 (FC-E22U)(SAM002) / FC-E22U-S / 8807009
SAM / ﾘｼﾞｪｸﾄ端末 (FC-E22U)(WAT001) / FC-E22U-S / 8807010
LPM / LPM (FC-S36W)(LPM01) / FC-S36W-133CW4 / 1Z100161
LPM / LPM (FC-S36W)(LPM02) / FC-S36W-133CW4 / 1Z100162
LPM / LPM (FC-S36W)(LPM03) / FC-S36W-133CW4 / 1Z100163
LPM / LPM (FC-S36W)(LPM04) / FC-S36W-133CW4 / 1Z100164
ｽﾀｯｶﾏﾈｰｼﾞｬ / ｽﾀｯｶﾏﾈｰｼﾞｬ (FC-S36W)(OSM01) / FC-S36W-133CW4 / 1Z100166</t>
  </si>
  <si>
    <t>ブランド / 機器構成名(個体名) / 型式 / シリアル番号
WareNavi7 / MOSⅦ(MOSA01) / HJ-2045-WEJA/7R / 4235055-1</t>
  </si>
  <si>
    <t>2020031907-216-1 / 2023110902-224-1</t>
  </si>
  <si>
    <t>ブランド / 機器構成名(個体名) / 型式 / シリアル番号
WareNavi7 / WareNavi7本体 (FC-S35W/S4)(WN7-001) / FC-S35W/S42CM0 / S810282MA
WareNavi7 / WareNavi7予備機 (FC-S35W/S4)(WN7-002) / FC-S35W/S42CM0 / S780263MA
WareNavi7 / WareNavi7端末 (FC-E22U)(WAT003) / FC-E22U-S / 8807052
WareNavi7 / 現場端末 (FC-E22U)(WAT001) / FC-E22U-S / 88070546
WareNavi7 / 現場端末 (FC-E22U)(WAT002) / FC-E22U-S / 88070445
WareNavi7 / 進捗表示ﾏﾈｰｼﾞｬ (FC-E22U)(WAT004) / FC-E22U-S / 88070434
WareNavi7 / 進捗表示ﾏﾈｰｼﾞｬ (FC-E22U)(WAT005) / FC-E22U-S / 88070467</t>
  </si>
  <si>
    <t>ヤナセ製油株式会社</t>
  </si>
  <si>
    <t>寝屋川工場</t>
  </si>
  <si>
    <t>2018111211-216-1</t>
  </si>
  <si>
    <t>27215-166-001</t>
  </si>
  <si>
    <t>ブランド / 機器構成名(個体名) / 型式 / シリアル番号
AWC-100N / AWC本体(FC-S35W)(AWC001) / FC-S35W/S72CL9 / S680651MA</t>
  </si>
  <si>
    <t>ブランド / 機器構成名(個体名) / 型式 / シリアル番号
LPM / ｵｰﾄﾗﾍﾞﾗ (LR4080SR-TSB)(LAB401) / LR4080SR-TSB / FE000047
LPM / ｵｰﾄﾗﾍﾞﾗ (LR4080SR-TSB)(LAB403) / LR4080SR-TSB / FE000048
LPM / ｵｰﾄﾗﾍﾞﾗ (LR4080SR-TSB)(LAB405) / LR4080SR-TSB / FE000049
LPM / ｵｰﾄﾗﾍﾞﾗ (LR4080SR-TSB)(LAB407) / LR4080SR-TSB / FE000050
LPM / ｵｰﾄﾗﾍﾞﾗ (LR4080SR-TSB)(LAB501) / LR4080SR-TSB / FE000051
LPM / ｵｰﾄﾗﾍﾞﾗ (LR4080SR-TSB)(LAB503) / LR4080SR-TSB / FE000052
LPM / ｵｰﾄﾗﾍﾞﾗ (LR4080SR-TSJ)(LAB402) / LR4080SR-TSJ / FE000053
LPM / ｵｰﾄﾗﾍﾞﾗ (LR4080SR-TSJ)(LAB404) / LR4080SR-TSJ / FE000054
LPM / ｵｰﾄﾗﾍﾞﾗ (LR4080SR-TSJ)(LAB406) / LR4080SR-TSJ / FE000055
LPM / ｵｰﾄﾗﾍﾞﾗ (LR4080SR-TSJ)(LAB502) / LR4080SR-TSJ / FE000056
LPM / ｵｰﾄﾗﾍﾞﾗ (LR4080SR-TSJ)(LAB504) / LR4080SR-TSJ / FE000057</t>
  </si>
  <si>
    <t>ブランド / 機器構成名(個体名) / 型式 / シリアル番号
AWC7 Ordermade / AWC7本体(FC-S36W)(AWC001) / FC-S36W-143CV7 / 2800737
AWC7 Ordermade / AWC7本体予備機(FC-S36W)(AWC002) / FC-S36W-143CV7 / 2800684</t>
  </si>
  <si>
    <t>株式会社ジーユー</t>
  </si>
  <si>
    <t>GU西日本倉庫(DPL茨木北)</t>
  </si>
  <si>
    <t>仕分け搬送システム</t>
  </si>
  <si>
    <t>27211A168-001</t>
  </si>
  <si>
    <t>【システム点検】※周辺機器の為、診断対象外。　/【契約情報：オートラベラのみ】</t>
  </si>
  <si>
    <t>ブランド / 機器構成名(個体名) / 型式 / シリアル番号
WareNavi7 / ｵｰﾄﾗﾍﾞﾗ (LR4080SR-TSJ)() / LR4080SR-TSJ / GD000081
WareNavi7 / ｵｰﾄﾗﾍﾞﾗ (LR4080SR-TSJ)() / LR4080SR-TSJ / GD000082
WareNavi7 / ｵｰﾄﾗﾍﾞﾗ (LR4080SR-TSJ)() / LR4080SR-TSJ / GD000083
WareNavi7 / ｵｰﾄﾗﾍﾞﾗ (LR4080SR-TSJ)() / LR4080SR-TSJ / GD000084
WareNavi7 / ｵｰﾄﾗﾍﾞﾗ (LR4080SR-TSJ)() / LR4080SR-TSJ / GD000085
WareNavi7 / ｵｰﾄﾗﾍﾞﾗ (LR4080SR-TSJ)() / LR4080SR-TSJ / GD000086
WareNavi7 / ｵｰﾄﾗﾍﾞﾗ (LR4080SR-TSJ)() / LR4080SR-TSJ / GD000087
WareNavi7 / ｵｰﾄﾗﾍﾞﾗ (LR4080SR-TSJ)() / LR4080SR-TSJ / GD000088
WareNavi7 / ｵｰﾄﾗﾍﾞﾗ (LR4121SR-TSJ)(LBRZ103) / LR4121SR-TSJ / GG000099
WareNavi7 / ｵｰﾄﾗﾍﾞﾗ (LR4121SR-TSJ)(LBRZ104) / LR4121SR-TSJ / GG000106
WareNavi7 / ｵｰﾄﾗﾍﾞﾗ (LR4121SR-TSJ)(LBRZ105) / LR4121SR-TSJ / GG000103
WareNavi7 / ｵｰﾄﾗﾍﾞﾗ (LR4121SR-TSJ)(LBRZ106) / LR4121SR-TSJ / GG000104
WareNavi7 / ｵｰﾄﾗﾍﾞﾗ (LR4121SR-TSJ)(LBRZ107) / LR4121SR-TSJ / GG000097
WareNavi7 / ｵｰﾄﾗﾍﾞﾗ (LR4121SR-TSJ)(LBRZ108) / LR4121SR-TSJ / GG000102
WareNavi7 / ｵｰﾄﾗﾍﾞﾗ (LR4121SR-TSJ)(LBRZ109) / LR4121SR-TSJ / GG000101
WareNavi7 / ｵｰﾄﾗﾍﾞﾗ (LR4121SR-TSJ)(LBRZ110) / LR4121SR-TSJ / GG000105
WareNavi7 / ｵｰﾄﾗﾍﾞﾗ (LR4121SR-TSJ)(LBRZ111) / LR4121SR-TSJ / GG000098
WareNavi7 / ｵｰﾄﾗﾍﾞﾗ (LR4121SR-TSJ)(LBRZ112) / LR4121SR-TSJ / GG000100
WareNavi7 / ｵｰﾄﾗﾍﾞﾗ (LR4121SR-TSJ)(LBRZ113) / LR4121SR-TSJ / GG000095
WareNavi7 / ｵｰﾄﾗﾍﾞﾗ (LR4121SR-TSJ)(LBRZ114) / LR4121SR-TSJ / GG000096
WareNavi7 / ｵｰﾄﾗﾍﾞﾗ (LR4121SR-TSJ)(LBRZ115) / LR4121SR-TSJ / GG000128
WareNavi7 / ｵｰﾄﾗﾍﾞﾗ (LR4121SR-TSJ)(LBRZ116) / LR4121SR-TSJ / GF000129
WareNavi7 / ｵｰﾄﾗﾍﾞﾗ (LR4121SR-TSJ)(LBRZ117) / LR4121SR-TSJ / GF000130
WareNavi7 / ｵｰﾄﾗﾍﾞﾗ (LR4121SR-TSJ)(LBRZ118) / LR4121SR-TSJ / GF000134
WareNavi7 / ｵｰﾄﾗﾍﾞﾗ (LR4121SR-TSJ)(LBRZ119) / LR4121SR-TSJ / GG000093
WareNavi7 / ｵｰﾄﾗﾍﾞﾗ (LR4121SR-TSJ)(LBRZ120) / LR4121SR-TSJ / GG000094
WareNavi7 / ｵｰﾄﾗﾍﾞﾗ (LR4121SR-TSJ)(LBRZ121) / LR4121SR-TSJ / GF000127
WareNavi7 / ｵｰﾄﾗﾍﾞﾗ (LR4121SR-TSJ)(LBRZ122) / LR4121SR-TSJ / GF000128
WareNavi7 / ｵｰﾄﾗﾍﾞﾗ (LR4121SR-TSJ)(LBRZ123) / LR4121SR-TSJ / GF000131
WareNavi7 / ｵｰﾄﾗﾍﾞﾗ (LR4121SR-TSJ)(LBRZ124) / LR4121SR-TSJ / GF000132</t>
  </si>
  <si>
    <t>ブランド / 機器構成名(個体名) / 型式 / シリアル番号
eAWC Ordermade / eAWC本体(HF-W6555)(AWC-SV) / HJ-6555-SBJD/DF04 / 4236796-1
eAWC Ordermade / 事務所端末(HF-W2045)(WAT01) / HJ-2045-WBJA/DF01 / 4236605-1
eAWC Ordermade / ﾄﾗｯｸ受付端末/第一倉庫(HF-W2045)(WAT02) / HJ-2045-WBJA/DF01 / 4236602-1
eAWC Ordermade / ﾄﾗｯｸ受付端末/第二倉庫(HF-W2045)(WAT03) / HJ-2045-WBJA/DF01 / 4236603-1
eAWC Ordermade / ﾄﾗｯｸ着床端末(HF-W2045)(WAT04) / HJ-2045-WBJA/DF01 / 4236601-1
eAWC Ordermade / ﾄﾗｯｸ着床端末(HF-W2045)(WAT14) / HJ-2045-WBJA/DF01 / 4236854-1
eAWC Ordermade / ﾉｰﾘｰﾄﾞ端末/BCR付(HF-W2045)(WAT22) / HJ-2045-WBJA/DF01 / 4236857-1
eAWC Ordermade / ﾉｰﾘｰﾄﾞ端末(HF-W2045)(WAT23) / HJ-2045-WBJA/DF01 / 4236859-1
eAWC Ordermade / 投入端末(HF-W2045)(WAT05) / HJ-2045-WBJA/DF01 / 4236600-1
eAWC Ordermade / 投入端末(HF-W2045)(WAT06) / HJ-2045-WBJA/DF01 / 4236604-1
eAWC Ordermade / 投入端末(HF-W2045)(WAT07) / HJ-2045-WBJA/DF01 / 4236864-1
eAWC Ordermade / 投入端末(HF-W2045)(WAT08) / HJ-2045-WBJA/DF01 / 4236851-1
eAWC Ordermade / 投入端末(HF-W2045)(WAT09) / HJ-2045-WBJA/DF01 / 4236858-1
eAWC Ordermade / 投入端末(HF-W2045)(WAT10) / HJ-2045-WBJA/DF01 / 4236852-1
eAWC Ordermade / 投入端末(HF-W2045)(WAT15) / HJ-2045-WBJA/DF01 / 4236855-1
eAWC Ordermade / 投入端末(HF-W2045)(WAT16) / HJ-2045-WBJA/DF01 / 4236856-1
eAWC Ordermade / 投入端末(HF-W2045)(WAT17) / HJ-2045-WBJA/DF01 / 4236861-1
eAWC Ordermade / 投入端末(HF-W2045)(WAT18) / HJ-2045-WBJA/DF01 / 4236863-1
eAWC Ordermade / 投入端末(HF-W2045)(WAT19) / HJ-2045-WBJA/DF01 / 4236862-1
eAWC Ordermade / 投入端末(HF-W2045)(WAT20) / HJ-2045-WBJA/DF01 / 4236853-1
eAWC Ordermade / 投入端末(HF-W2045)(WAT21) / HJ-2045-WBJA/DF01 / 4236860-1</t>
  </si>
  <si>
    <t>ブランド / 機器構成名(個体名) / 型式 / シリアル番号
AWC4 Framework / AWC4本体(HF-W6555)(AWC001) / HJ-6555-WEJD/DF05 / 4237283-1
AWC4 Framework / AWC4端末(HF-W2045)(WAT001) / HJ-2045-WEJA/DF03 / 4237443-1
AWC4 Framework / AWC4端末(HF-W2045)(WAT002) / HJ-2045-WEJA/DF03 / 4237444-1
AWC4 Framework / AWC4端末(HF-W2045)(WAT003) / HJ-2045-WEJA/DF03 / 4237445-1</t>
  </si>
  <si>
    <t>横浜南物流センター</t>
  </si>
  <si>
    <t>ケースコンベヤ，ソータ設備</t>
  </si>
  <si>
    <t>1806-005</t>
  </si>
  <si>
    <t>14108-369-001</t>
  </si>
  <si>
    <t>●上位 / 2019年横浜第1ｃｓより移管</t>
  </si>
  <si>
    <t>ブランド / 機器構成名(個体名) / 型式 / シリアル番号
LPM / ｵｰﾄﾗﾍﾞﾗ(LBRZ001) / LR4080SR-TSB / GA000098
LPM / ｵｰﾄﾗﾍﾞﾗ(LBRZ002) / LR4080SR-TSB / GA000099
LPM / ｵｰﾄﾗﾍﾞﾗ(LBRZ003) / LR4080SR-TSB / GA000100</t>
  </si>
  <si>
    <t>ブランド / 機器構成名(個体名) / 型式 / シリアル番号
AWC7 Framwork / AWC7端末 (FC-E29U)(WCS12) / FC-E29U-S31C42 / 4Z01379R
AWC7 Framwork / AWC7端末 (FC-E29U)(WCS13) / FC-E29U-S31C42 / 5101404Q
AWC7 Framwork / 事務所端末 (FC-E29U)(WCS11) / FC-E29U-S31C42 / 4Z01391L</t>
  </si>
  <si>
    <t>ブランド / 機器構成名(個体名) / 型式 / シリアル番号
AWC7 Framwork / AWC7ｻｰﾊﾞ (FS20000R model 100)(AWC01) / CKC-A8863 / OLA22600</t>
  </si>
  <si>
    <t>2021061010-221-1 / 2024041806-224-1 / 2024052221-224-1</t>
  </si>
  <si>
    <t>ブランド / 機器構成名(個体名) / 型式 / シリアル番号
ﾏﾃﾊﾝｻｰﾊﾞ / WCSｻｰﾊﾞ (Express5800/R320f-E4)(WCS001) / N8800-218Y / 9400239
ﾏﾃﾊﾝｻｰﾊﾞ / 管理端末 (FC-E22U)(WAT001) / FC-E22U-S / 9509627
ﾏﾃﾊﾝｻｰﾊﾞ / MOSｻｰﾊﾞ (FC-E27B)(MOS01) / FC-E27B-S / 9508204
ﾏﾃﾊﾝｻｰﾊﾞ / MOSｻｰﾊﾞ (FC-E27B)(MOS02) / FC-E27B-S / 9508203
ﾏﾃﾊﾝｻｰﾊﾞ / MOS端末 (FC-P28X)(MOS03) / FC-P28X-S1 / 9501414
ﾏﾃﾊﾝｻｰﾊﾞ / MOS端末 (FC-P28X)(MOS04) / FC-P28X-S1 / 9501415
SAM / SAM (FC-E22U)(WAT002) / FC-E22U-S / 9509623
SAM / ﾘｼﾞｪｸﾄ端末 (FC-E22U)(WAT005) / FC-E22U-S / 9509624
LPM / LPM (FC-E22U)(WAT003) / FC-E22U-S / 9509626
LPM / LPM (FC-E22U)(WAT004) / FC-E22U-S / 9509625</t>
  </si>
  <si>
    <t>ブランド / 機器構成名(個体名) / 型式 / シリアル番号
LPM / ｵｰﾄﾗﾍﾞﾗ(LAB01) / LR4080SR-TSB / DB000014
LPM / ｵｰﾄﾗﾍﾞﾗ(LAB02) / LR4080SR-TSB / DB000015
LPM / ｵｰﾄﾗﾍﾞﾗ(LAB03) / LR4080SR-TSB / DB000016
LPM / ｵｰﾄﾗﾍﾞﾗ(LAB04) / LR4080SR-TSB / DB000017</t>
  </si>
  <si>
    <t>株式会社ライフコーポレーション</t>
  </si>
  <si>
    <t>新横浜センター</t>
  </si>
  <si>
    <t>14109A129-001</t>
  </si>
  <si>
    <t>ブランド / 機器構成名(個体名) / 型式 / シリアル番号
LPM / ｵｰﾄﾗﾍﾞﾗ(LBRZ111) / LR4121SR-TSJ / GE000061
LPM / ｵｰﾄﾗﾍﾞﾗ(LBRZ112) / LR4121SR-TSJ / GE000062
LPM / ｵｰﾄﾗﾍﾞﾗ(LBRZ121) / LR4121SR-TSJ / GE000063
LPM / ｵｰﾄﾗﾍﾞﾗ(LBRZ122) / LR4121SR-TSJ / GE000064
LPM / ｵｰﾄﾗﾍﾞﾗ(LBRZ131) / LR4121SR-TSJ / GE000065
LPM / ｵｰﾄﾗﾍﾞﾗ(LBRZ132) / LR4121SR-TSJ / GE000066
LPM / ｵｰﾄﾗﾍﾞﾗ(LBRZ341) / LR4121SR-TSJ / GE000067
LPM / ｵｰﾄﾗﾍﾞﾗ(LBRZ342) / LR4121SR-TSJ / GE000068</t>
  </si>
  <si>
    <t>2025062422-224-1 / 2025062424-224-1</t>
  </si>
  <si>
    <t>ブランド / 機器構成名(個体名) / 型式 / シリアル番号
WareNavi7 / DBｻｰﾊﾞ(Express5800/R120h-2M)(WCSDB001) / N8100-2836Y / JPN224000S
WareNavi7 / DBｻｰﾊﾞ(Express5800/R120h-2M)(WCSDB001) / 無停電電源装置(3000VA,ﾗｯｸﾏｳﾝﾄ)N8142-106 / AS2136251254
WareNavi7 / DBｻｰﾊﾞ予備機(Express5800/R120h-2M)(WCSDB002) / N8100-2836Y / JPN224000P
WareNavi7 / DBｻｰﾊﾞ予備機(Express5800/R120h-2M)(WCSDB002) / 無停電電源装置(3000VA,ﾗｯｸﾏｳﾝﾄ)N8142-106 / AS2136251260
WareNavi7 / APｻｰﾊﾞ(Express5800/R120h-2M)(WCSAP001) / N8100-2836Y / JPN224003J
WareNavi7 / APｻｰﾊﾞ(Express5800/R120h-2M)(WCSAP001) / 無停電電源装置(3000VA,ﾗｯｸﾏｳﾝﾄ)N8142-106 / AS2136251188
WareNavi7 / APｻｰﾊﾞ(Express5800/R120h-2M)(WCSAP002) / N8100-2836Y / JPN224003C
WareNavi7 / APｻｰﾊﾞ(Express5800/R120h-2M)(WCSAP003) / N8100-2836Y / JPN224000R
WareNavi7 / APｻｰﾊﾞ(Express5800/R120h-2M)(WCSAP004) / N8100-2836Y / JPN224000Q
WareNavi7 / APｻｰﾊﾞ(Express5800/R120h-2M)(WCSAP005) / N8100-2836Y / JPN224003B
WareNavi7 / APｻｰﾊﾞ(Express5800/R120h-2M)(WCSAP006) / N8100-2836Y / JPN224000N
WareNavi7 / APｻｰﾊﾞ(Express5800/R120h-2M)(WCSAP002) / 無停電電源装置(3000VA,ﾗｯｸﾏｳﾝﾄ)N8142-106 / AS2136251248
WareNavi7 / APｻｰﾊﾞ(Express5800/R120h-2M)(WCSAP003) / 無停電電源装置(3000VA,ﾗｯｸﾏｳﾝﾄ)N8142-106 / AS2136251246
WareNavi7 / APｻｰﾊﾞ(Express5800/R120h-2M)(WCSAP004) / 無停電電源装置(3000VA,ﾗｯｸﾏｳﾝﾄ)N8142-106 / AS2136251163
WareNavi7 / APｻｰﾊﾞ(Express5800/R120h-2M)(WCSAP005) / 無停電電源装置(3000VA,ﾗｯｸﾏｳﾝﾄ)N8142-106 / AS2136251240
WareNavi7 / APｻｰﾊﾞ(Express5800/R120h-2M)(WCSAP006) / 無停電電源装置(3000VA,ﾗｯｸﾏｳﾝﾄ)N8142-106 / AS2136251212
WareNavi7 / APｻｰﾊﾞ予備機(Express5800/R120h-2M)(WCSAP007) / N8100-2836Y / JPN224000M
WareNavi7 / APｻｰﾊﾞ予備機(Express5800/R120h-2M)(WCSAP007) / 無停電電源装置(3000VA,ﾗｯｸﾏｳﾝﾄ)N8142-106 / AS2136251255
GTP / GTP(FC-E22K)(GTPZ101) / FC-E22K-L / 2400182
GTP / GTP(FC-E22K)(GTPZ102) / FC-E22K-L / 2400187
GTP / GTP(FC-E22K)(GTPZ301) / FC-E22K-L / 2400177
GTP / GTP(FC-E22K)(GTPZ302) / FC-E22K-L / 2400181
GTP / GTP(FC-E22K)(GTPZ303) / FC-E22K-L / 2400184
GTP / GTP(FC-E22K)(GTPZ304) / FC-E22K-L / 2400183
GTP / GTP(FC-E22K)(GTPZ305) / FC-E22K-L / 2400180
GTP / GTP(FC-E22K)(GTPZ306) / FC-E22K-L / 2400178
GTP / GTP(FC-E22K)(GTPZ307) / FC-E22K-L / 2400185
GTP / GTP(FC-E22K)(GTPZ308) / FC-E22K-L / 2400188
GTP / GTP予備機(FC-E22K)(GTP予備01) / FC-E22K-L / 2400186
GTP / GTP予備機(FC-E22K)(GTP予備02) / FC-E22K-L / 2400179
WareNavi7 / 管理端末(FC-E29U)(WATZ201) / FC-E29U-L / 2400169
WareNavi7 / 管理端末(FC-E29U)(WATZ202) / FC-E29U-L / 2400182
WareNavi7 / 遠隔端末(FC-E29U)(WATZ203) / FC-E29U-L / 2400178
WareNavi7 / 遠隔端末(FC-E29U)(WATZ204) / FC-E29U-L / 2400180
WareNavi7 / WareNavi7端末(FC-E29U)(WATZ302) / FC-E29U-L / 2400195
WareNavi7 / WareNavi7端末/BCR付(FC-E29U)(WATZ101) / FC-E29U-L / 2400194
WareNavi7 / WareNavi7端末/BCR付(FC-E29U)(WATZ109) / FC-E29U-L / 2400175
WareNavi7 / WareNavi7端末/BCR付(FC-E29U)(WATZ303) / FC-E29U-L / 2400197
WareNavi7 / WareNavi7端末/BCR付(FC-E29U)(WATZ304) / FC-E29U-L / 2400183
WareNavi7 / WareNavi7端末/ﾀｯﾁﾊﾟﾈﾙ(FC-E29U)(WATZ110) / FC-E29U-L / 2400166
WareNavi7 / WareNavi7端末/ﾀｯﾁﾊﾟﾈﾙ(FC-E29U)(WATZ111) / FC-E29U-L / 2400168
WareNavi7 / WareNavi7端末/ﾀｯﾁﾊﾟﾈﾙ(FC-E29U)(WATZ112) / FC-E29U-L / 2400189
WareNavi7 / WareNavi7端末/ﾀｯﾁﾊﾟﾈﾙ(FC-E29U)(WATZ113) / FC-E29U-L / 2400190
SAM / ﾘｼﾞｪｸﾄ端末(FC-E29U)(WATZ104) / FC-E29U-L / 2400170
SAM / ﾘｼﾞｪｸﾄ端末(FC-E29U)(WATZ106) / FC-E29U-L / 2400176
SAM / ﾘｼﾞｪｸﾄ端末(FC-E29U)(WATZ116) / FC-E29U-L / 2400188
SAM / ﾘｼﾞｪｸﾄ端末(FC-E29U)(WATZ119) / FC-E29U-L / 2400174
SAM / ﾘｼﾞｪｸﾄ端末(FC-E29U)(WATZ205) / FC-E29U-L / 2400177
SAM / ﾘｼﾞｪｸﾄ端末(FC-E29U)(WATZ206) / FC-E29U-L / 2400179
SAM / ﾘｼﾞｪｸﾄ端末(FC-E29U)(WATZ207) / FC-E29U-L / 2400200
SAM / ﾘｼﾞｪｸﾄ端末(FC-E29U)(WATZ301) / FC-E29U-L / 2400164
SAM / ﾘｼﾞｪｸﾄ端末(FC-E29U)(WATZ309) / FC-E29U-L / 2400201
SAM / ﾘｼﾞｪｸﾄ端末(FC-E29U)(WATZ310) / FC-E29U-L / 2400198
LPM / LPM端末(FC-E29U)(WATZ107) / FC-E29U-L / 2400172
LPM / LPM端末(FC-E29U)(WATZ117) / FC-E29U-L / 2400186
LPM / LPM端末(FC-E29U)(WATZ120) / FC-E29U-L / 2400199
LPM / LPM端末(FC-E29U)(WATZ311) / FC-E29U-L / 2400165
eye-navi / DPS(FC-E29U)(WATZ105) / FC-E29U-L / 2400167
eye-navi / DPS(FC-E29U)(WATZ108) / FC-E29U-L / 2400196
eye-navi / DPS(FC-E29U)(WATZ118) / FC-E29U-L / 2400162
eye-navi / DPS(FC-E29U)(WATZ308) / FC-E29U-L / 2400171
JCM / ｼﾞｬﾝｸﾞﾙｶｰﾄ集品端末(FC-E29U)(WATZ114) / FC-E29U-L / 2400191
JCM / ｼﾞｬﾝｸﾞﾙｶｰﾄ投入端末(FC-E29U)(WATZ115) / FC-E29U-L / 2400163
GTP / GTP端末(FC-E29U)(WATZ102) / FC-E29U-L / 2400173
GTP / GTP端末(FC-E29U)(WATZ103) / FC-E29U-L / 2400193
GTP / GTP端末(FC-E29U)(WATZ305) / FC-E29U-L / 2400185
GTP / GTP端末(FC-E29U)(WATZ306) / FC-E29U-L / 2400181
GTP / GTP端末(FC-E29U)(WATZ307) / FC-E29U-L / 2400192
WareNavi7 / 端末予備機(FC-E29U)(WAT予備01) / FC-E29U-L / 2400184
WareNavi7 / 端末予備機(FC-E29U)(WAT予備02) / FC-E29U-L / 2400187</t>
  </si>
  <si>
    <t>エプソン販売</t>
  </si>
  <si>
    <t>181019-21-216 / OS-205936</t>
  </si>
  <si>
    <t>ブランド / 機器構成名(個体名) / 型式 / シリアル番号
AWC-800N / ﾄﾞｯﾄｲﾝﾊﾟｸﾄﾌﾟﾘﾝﾀ(PR02) / VP-5200N / ACN0038976
AWC-800N / ﾄﾞｯﾄｲﾝﾊﾟｸﾄﾌﾟﾘﾝﾀ(PR03) / VP-5200N / ACN0038979
AWC-800N / ﾄﾞｯﾄｲﾝﾊﾟｸﾄﾌﾟﾘﾝﾀ予備機(PR予備) / VP-5200N / ACN0017795</t>
  </si>
  <si>
    <t>ブランド / 機器構成名(個体名) / 型式 / シリアル番号
AWC4 Framework / AWC4本体 (FC-S36W)(AWC001) / FC-S36W-143CV7 / 3Z01096</t>
  </si>
  <si>
    <t>ブランド / 機器構成名(個体名) / 型式 / シリアル番号
eAWC Framework / eAWC本体 (FC-S36W)(AWC001) / FC-S36W-143CV7 / 0700229
eAWC Framework / eAWC端末 (FC-E22U)(WAT001) / FC-E22U-S / 0914151
eAWC Framework / eAWC端末 (FC-E22U)(WAT002) / FC-E22U-S / 0914145</t>
  </si>
  <si>
    <t>ブランド / 機器構成名(個体名) / 型式 / シリアル番号
eAWC Framework / eAWC本体 (FA3100T model 800)(EAWC001) / CKC-A8185 / OHD048</t>
  </si>
  <si>
    <t>ブランド / 機器構成名(個体名) / 型式 / シリアル番号
eAWC Framework / eAWC本体(FA3100T model 800)(AWC001) / UA538020 / OHA533
eAWC Framework / eAWC端末(FA2100T model 600)(WAT001) / UA52602 / OGJ042</t>
  </si>
  <si>
    <t>2022110208-221-1 / 2022110210-221-1</t>
  </si>
  <si>
    <t>ブランド / 機器構成名(個体名) / 型式 / シリアル番号
AWC4 Framework / AWC4本体(FC-S36W)(AWC001) / FC-S36W-143CV7 / 2100624
AWC4 Framework / AWC4端末(FC-E22U)(WAT001) / FC-E22U-S / 2117467</t>
  </si>
  <si>
    <t>イオン横浜LC</t>
  </si>
  <si>
    <t>ケース仕分設備</t>
  </si>
  <si>
    <t>2106-005</t>
  </si>
  <si>
    <t>14113A112-001</t>
  </si>
  <si>
    <t>ブランド / 機器構成名(個体名) / 型式 / シリアル番号
SAM / ｿｰﾀ管理PC(HF-W6555)(SAM01) / HJ-6555-WAJD/DF02 / 4236278-5
SAM / ﾘｼﾞｪｸﾄ端末兼MOS端末(HF-W6555)(WATZ301) / HJ-6555-WAJD/DF02 / 4236278-3
LPM / ﾗﾍﾞﾗPC兼MOS端末(HF-W6555)(LPM01) / HJ-6555-WAJD/DF02 / 4236278-4
LPM / ﾗﾍﾞﾗPC兼MOS端末(HF-W6555)(LPM02) / HJ-6555-WAJD/DF02 / 4236278-1
SAM / MOSⅦ本体(HF-W2045)(MOSZ001) / HJ-2045-WEJA/7R / 4236218-1</t>
  </si>
  <si>
    <t>ブランド / 機器構成名(個体名) / 型式 / シリアル番号
LPM / ｵｰﾄﾗﾍﾞﾗ(LBRZ401) / LR4080SR-TSB / DE000001
LPM / ｵｰﾄﾗﾍﾞﾗ(LBRZ402) / LR4080SR-TSB / DE000002
LPM / ｵｰﾄﾗﾍﾞﾗ(LBRZ403) / LR4080SR-TSB / DE000003
LPM / ｵｰﾄﾗﾍﾞﾗ(LBRZ404) / LR4080SR-TSB / DE000004
LPM / ｵｰﾄﾗﾍﾞﾗ(LBRZ405) / LR4080SR-TSB / DE000005</t>
  </si>
  <si>
    <t>東京臨海支店　第一センタ－</t>
  </si>
  <si>
    <t>2023061332-224-1 / 2023061334-224-1</t>
  </si>
  <si>
    <t>14131-625-001</t>
  </si>
  <si>
    <t>ブランド / 機器構成名(個体名) / 型式 / シリアル番号
WareNavi Framework / WareNaviｻｰﾊﾞ (Express5800/R320h-M4)(AWC014) / N8800-302Y / 2X00180
WareNavi Framework / ｻｰﾊﾞ用UPS(AWC014) / 無停電電源装置(1500VA)N8180-67 / J12205211098
WareNavi Framework / ｻｰﾊﾞ用UPS(AWC014) / 無停電電源装置(1500VA)N8180-67 / J12205211107
WareNavi Framework / HTｻｰﾊﾞ (FC-S36W)(RFT001) / FC-S36W-143CV7 / 2800711
WareNavi Framework / 予備機 (FC-S36W)(WAT001(予備機)) / FC-S36W-143CV7 / 2800709
WareNavi Framework / 搬送制御端末 (FC-S36W)(CTL001) / FC-S36W-143CV7 / 2800715</t>
  </si>
  <si>
    <t>川崎第一物流センター</t>
  </si>
  <si>
    <t>川崎第一物流センター増築計画　パレット自動ラック倉庫設備、移動ラック設備</t>
  </si>
  <si>
    <t>2025031107-224-1 / 2025031111-224-1 / 2025031113-224-1</t>
  </si>
  <si>
    <t>14131A184-001</t>
  </si>
  <si>
    <t>ブランド / 機器構成名(個体名) / 型式 / シリアル番号
WareNavi7 / WareNavi7ｻｰﾊﾞ(Express5800/R320h-M4)(WN7-001) / N8800-312Y / 4800186
WareNavi7 / ｻｰﾊﾞ用UPS(WN7-001) / 無停電電源装置(1500VA)N8180-67 / 
WareNavi7 / ｻｰﾊﾞ用UPS(WN7-001) / 無停電電源装置(1500VA)N8180-67 / 
WareNavi7 / 管理端末(PC-MKE34/E-J)(WAT001) / PC-MKE34EZGJ / 6248000021A
WareNavi7 / 作業端末(PC-MKE34/E-J)(WAT002) / PC-MKE34EZGJ / 6248000041A
WareNavi7 / 作業端末(PC-MKE34/E-J)(WAT003) / PC-MKE34EZGJ / 6248000011A
WareNavi7 / 作業端末(PC-MKE34/E-J)(WAT004) / PC-MKE34EZGJ / 6248000051A
WareNavi7 / 作業端末/BCR付(PC-MKE34/E-J)(WAT005) / PC-MKE34EZGJ / 6248000031A
WareNavi7 / MOSⅦ本体(FC-E22K)(MOSA001) / FC-E22K-L / 4702372</t>
  </si>
  <si>
    <t>ブランド / 機器構成名(個体名) / 型式 / シリアル番号
AWC7 Framework / AWC7本体(HF-W6555)(AWC001) / HJ-6555-WEJD/DF05 / 4239695-5
AWC7 Framework / AWC7端末(HF-W2050)(WAT001) / HJ-2050-WEMA/DF03 / 8052212-3
AWC7 Framework / AWC7端末(HF-W2050)(WAT002) / HJ-2050-WEMA/DF03 / 8052212-4
AWC7 Framework / AWC7端末(HF-W2050)(WAT003) / HJ-2050-WEMA/DF03 / 8052212-5</t>
  </si>
  <si>
    <t>ブランド / 機器構成名(個体名) / 型式 / シリアル番号
AWC4 Framework Custom / AWC4本体 (HF-W6555)(AWC001) / HJ-6555-WEJD/7R / 4235546-1
AWC4 Framework Custom / AWC4端末 (HF-W2045)(WAT001) / HJ-2045-WEJA/DF03 / 4235553-3
AWC4 Framework Custom / AWC4端末 (HF-W2045)(WAT002) / HJ-2045-WEJA/DF03 / 4235553-4
AWC4 Framework Custom / AWC4端末 (HF-W2045)(WAT003) / HJ-2045-WEJA/DF03 / 4235553-1
AWC4 Framework Custom / AWC4端末 (HF-W2045)(WAT004) / HJ-2045-WEJA/DF03 / 4235553-2
AWC4 Framework Custom / AWC4端末 (HF-W2045)(WAT005) / HJ-2045-WEJA/DF03 / 4235553-5</t>
  </si>
  <si>
    <t>ブランド / 機器構成名(個体名) / 型式 / シリアル番号
AWC7 Framework / AWC7本体(FC-S36W)(AWC001) / FC-S36W-143CV7 / 3Y01023
AWC7 Framework / AWC7端末(FC-E29U)(WAT001) / FC-E29U-S31C42 / 3600983
AWC7 Framework / AWC7端末(FC-E29U)(WAT002) / FC-E29U-S31C42 / 3600984
AWC7 Framework / AWC7端末(FC-E29U)(WAT003) / FC-E29U-S31C42 / 3601006</t>
  </si>
  <si>
    <t>小林クリエイト株式会社</t>
  </si>
  <si>
    <t>安城工場</t>
  </si>
  <si>
    <t>2018031606-216-1</t>
  </si>
  <si>
    <t>23212-076-002</t>
  </si>
  <si>
    <t>ブランド / 機器構成名(個体名) / 型式 / シリアル番号
AWC4 Basic / AWC4本体 （FC-S35W/S7）(AWC001) / FC-S35W/S72CL9 / S690407MA</t>
  </si>
  <si>
    <t>ブランド / 機器構成名(個体名) / 型式 / シリアル番号
AWC7 Framework / AWC7本体(HF-W6555)(AWC001) / HJ-6555-WEJD/DF05 / 4239515-2</t>
  </si>
  <si>
    <t>株式会社川本製作所</t>
  </si>
  <si>
    <t>仕掛り品及び製品保管倉庫</t>
  </si>
  <si>
    <t>2022040702-221-1 / 2022040704-221-1</t>
  </si>
  <si>
    <t>23202-117-001</t>
  </si>
  <si>
    <t>ブランド / 機器構成名(個体名) / 型式 / シリアル番号
ｺﾝﾄﾛｰﾗ / MOSⅦ本体(FC-E27B)(MOS01) / FC-E27B-S / 1Y14742
ｺﾝﾄﾛｰﾗ / MOSⅦ端末(FC-P31X)(MOS02) / FC-P31X-L1 / 1Y00561
ｺﾝﾄﾛｰﾗ / MOSⅦ端末(FC-P31X)(MOS03) / FC-P31X-L1 / 1Y00560</t>
  </si>
  <si>
    <t>ブランド / 機器構成名(個体名) / 型式 / シリアル番号
AWC7 Basic / AWC7本体 (HF-W6555)(AWC001) / HJ-6555-WEJD/DF05 / 4240321-4</t>
  </si>
  <si>
    <t>株式会社愛知ヤクルト工場</t>
  </si>
  <si>
    <t>2022122207-221-1</t>
  </si>
  <si>
    <t>23303-001-001</t>
  </si>
  <si>
    <t>ブランド / 機器構成名(個体名) / 型式 / シリアル番号
eAWC Ordermade / eAWCｻｰﾊﾞ (Express5800/R320e-E4)(AWC001) / N8800-236Y / 8100211</t>
  </si>
  <si>
    <t>2021020807-216-1 / 2025072304-221-1</t>
  </si>
  <si>
    <t>ブランド / 機器構成名(個体名) / 型式 / シリアル番号
AWC7 Framework / AWC7ｻｰﾊﾞ (Express5800/R320g-M4)(AWC001) / N8800-256Y / 0700169
AWC7 Framework / 入庫端末 (FC-E22U)(WAT001) / FC-E22U-S / 0713813
AWC7 Framework / ﾋﾟｯｷﾝｸﾞ端末 (FC-E22U)(WAT002) / FC-E22U-S / 0713833
AWC7 Framework / ﾋﾟｯｷﾝｸﾞ端末 (FC-E22U)(WAT003) / FC-E22U-S / 0713810
AWC7 Framework / ﾋﾟｯｷﾝｸﾞ端末 (FC-E22U)(WAT004) / FC-E22U-S / 0713812
AWC7 Framework / 管理端末 (FC-E22U)(WAT101) / FC-E22U-S / 0713815
AWC7 Framework / 作業端末 (FC-E22U)(WAT102) / FC-E22U-S / 0713830
AWC7 Framework / MOSⅦｻｰﾊﾞ (FC-E27B)(MOSA001) / FC-E27B-S / 0711932</t>
  </si>
  <si>
    <t>2025040912-224-1 / 2025040914-224-1</t>
  </si>
  <si>
    <t>ブランド / 機器構成名(個体名) / 型式 / シリアル番号
AWC7 Framework(東棟) / AWC7本体 (Express5800/R320h-E4)(AWC001) / N8800-311Y / 4700626
AWC7 Framework(東棟) / ｻｰﾊﾞ用UPS(AWC001) / 無停電電源装置(1500VA,ﾗｯｸﾏｳﾝﾄ)N8142-101 / 
AWC7 Framework(東棟) / ｻｰﾊﾞ用UPS(AWC001) / 無停電電源装置(1500VA,ﾗｯｸﾏｳﾝﾄ)N8142-101 / 
AWC7 Framework(東棟) / CCR端末 (FC-E29U)(WAT001) / FC-E29U-S31C42 / 3601098
AWC7 Framework(東棟) / 入庫端末 (FC-E29U)(WAT002) / FC-E29U-S31C42 / 3601111
AWC7 Framework(東棟) / 入庫端末予備 (FC-E29U)(WAT003) / FC-E29U-S31C42 / 3601099</t>
  </si>
  <si>
    <t>ブランド / 機器構成名(個体名) / 型式 / シリアル番号
AWC7 Framework / AWC7本体 (HF-W6555)(AWC001) / HJ-6555-WEJD/DF05 / 4238690-1</t>
  </si>
  <si>
    <t>海老名第1CS</t>
  </si>
  <si>
    <t>ブランド / 機器構成名(個体名) / 型式 / シリアル番号
WareNavi7 / WareNavi7本体 (FC-S36W)(WN7) / FC-S36W-143CV7 / 1200330
WareNavi7 / WareNavi7端末 (FC-E22U)(WAT01) / FC-E22U-S / 1215635
WareNavi7 / WareNavi7端末 (FC-E22U)(WAT02) / FC-E22U-S / 1215640
WareNavi7 / WareNavi7端末 (FC-E22U)(WAT03) / FC-E22U-S / 1215633
WareNavi7 / WareNavi7端末 (FC-E22U)(WAT04) / FC-E22U-S / 1215637
WareNavi7 / WareNavi7端末 (FC-E22U)(WAT05) / FC-E22U-S / 1215618
WareNavi7 / WareNavi7端末 (FC-E22U)(WAT06) / FC-E22U-S / 1215617
WareNavi7 / MOSⅦ (FC-E27B)(MOSA01) / FC-E27B-S / 1213332</t>
  </si>
  <si>
    <t>2020070614-216-1 / 2022010613-221-1</t>
  </si>
  <si>
    <t>ブランド / 機器構成名(個体名) / 型式 / シリアル番号
AWC-800U / 混載PC(FC-E22U)(混載PC) / FC-E22U-S / 9710309
AWC-800U / ﾗｲﾝPC(FC-E22U) / 1号機(LINEPC01) / FC-E22U-S / 9710307
AWC-800U / ﾗｲﾝPC(FC-E22U) / 2-6号機(LINEPC02) / FC-E22U-S / 1415879
AWC-800U / ﾗｲﾝPC(FC-E22U) / 2-6号機(LINEPC03) / FC-E22U-S / 1415881
AWC-800U / ﾗｲﾝPC(FC-E22U) / 2-6号機(LINEPC04) / FC-E22U-S / 0513314
AWC-800U / ﾗｲﾝPC(FC-E22U) / 2-6号機(LINEPC05) / FC-E22U-S / 0513316
AWC-800U / ﾗｲﾝPC(FC-E22U) / 2-6号機(LINEPC06) / FC-E22U-S / 0513317
AWC-800U / ﾋﾞｼﾞｮﾝPC(FC-E22U) / 1号機(VISIONPC01) / FC-E22U-S / 9710308
AWC-800U / ﾋﾞｼﾞｮﾝPC(FC-E22U) / 2-3号機(VISIONPC02) / FC-E22U-S / 1415880
AWC-800U / ﾋﾞｼﾞｮﾝPC(FC-E22U) / 2-3号機(VISIONPC03) / FC-E22U-S / 1415882
AWC-800U / ﾋﾞｼﾞｮﾝPC(FC-E22U) / 4-6号機(VISIONPC04) / FC-E22U-S / 0513312
AWC-800U / ﾋﾞｼﾞｮﾝPC(FC-E22U) / 4-6号機(VISIONPC05) / FC-E22U-S / 0513315
AWC-800U / ﾋﾞｼﾞｮﾝPC(FC-E22U) / 4-6号機(VISIONPC06) / FC-E22U-S / 0513313</t>
  </si>
  <si>
    <t>2106-008 / 2106-009</t>
  </si>
  <si>
    <t>ブランド / 機器構成名(個体名) / 型式 / シリアル番号
AWC-800U / AWCｻｰﾊﾞ(EP8000 S914)(AWC001) / THE-C900941A623T / 61508
AWC-800U / AWC端末(HF-W2045)(WAT00) / HJ-2045-WBJA/DF01 / 4238552-2
AWC-800U / AWC端末(HF-W2045)(WAT01) / HJ-2045-WBJA/DF01 / 4238552-6
AWC-800U / AWC端末(HF-W2045)(WAT02) / HJ-2045-WBJA/DF01 / 4238552-3
AWC-800U / AWC端末(HF-W2045)(WAT03) / HJ-2045-WBJA/DF01 / 4237604-1
AWC-800U / AWC端末(HF-W2045)(WAT05) / HJ-2045-WBJA/DF01 / 4237601-1
AWC-800U / AWC端末(HF-W2045)(WAT06) / HJ-2045-WBJA/DF01 / 4238552-4
AWC-800U / AWC端末(HF-W2045)(WAT07) / HJ-2045-WBJA/DF01 / 4238552-1
AWC-800U / AWC端末(HF-W2045)(WAT08) / HJ-2045-WBJA/DF01 / 4238552-5
AWC-800U / AWC端末(HF-W2045)(WAT09) / HJ-2045-WBJA/DF01 / 4237602-1
AWC-800U / AWC端末(HF-W2045)(WAT10) / HJ-2045-WBJA/DF01 / 4237603-1
AWC-800U / 生産ﾗｲﾝ管理PC(HF-W2045)(WAT04) / HJ-2045-WBJA/DF01 / 4237600-1</t>
  </si>
  <si>
    <t>ブランド / 機器構成名(個体名) / 型式 / シリアル番号
AWC-800U / 進捗表示用端末(FC-E29U)(WAT11) / FC-E29U-S31C42 / 3200570
AWC-800U / 進捗表示用端末(FC-E29U)(WAT12) / FC-E29U-S31C42 / 3200543</t>
  </si>
  <si>
    <t>ブランド / 機器構成名(個体名) / 型式 / シリアル番号
AWC-800U / MOSⅦ(HF-W2050)(MOS01) / HJ-2050-WEMA/DF03 / 8052088-3
AWC-800U / MOSⅦ(HF-W2050)(MOS02) / HJ-2050-WEMA/DF03 / 8052088-4
AWC-800U / MOSⅦ(HF-W2055)(MOS03) / HJ-2055-WEMA/DF04 / 8052089-4</t>
  </si>
  <si>
    <t>ブランド / 機器構成名(個体名) / 型式 / シリアル番号
WareNavi7 / WareNavi7本体 (HF-W6555)(WN7-001) / HJ-6555-WEJD/7R / 4236030-1
WareNavi7 / MOSⅦ(MOS) / HJ-2045-WEJA/7R / 4235898-1</t>
  </si>
  <si>
    <t>ブランド / 機器構成名(個体名) / 型式 / シリアル番号
eAWC Framework / eAWC本体(HF-W6560)(EAWC001) / HJ-6560-WFJB/7R / 4530121-2
eAWC Framework / eAWC端末(HF-W2050)(WAT001) / HJ-2050-WEMA/DF03 / 8056333-1
eAWC Framework / eAWC端末(HF-W2050)(WAT002) / HJ-2050-WEMA/DF03 / 8056068-10
eAWC Framework / eAWC端末(HF-W2050)(WAT003) / HJ-2050-WEMA/DF03 / 8056068-9</t>
  </si>
  <si>
    <t>2021071318-221-1 / 2021071320-221-1</t>
  </si>
  <si>
    <t>ブランド / 機器構成名(個体名) / 型式 / シリアル番号
eWareNavi Ordermade / eWareNavi本体 (FC-S36W)(WARENAVI001) / FC-S36W-L / 0901029
eWareNavi Ordermade / 無線ﾏﾈｰｼﾞｬ (FC-S36W)(RFT01) / FC-S36W-L / 0901034
eWareNavi Ordermade / 予備機 (FC-S36W)(WARENAVI001予備) / FC-S36W-L / 0901033
eAWC Framework / eAWC本体 (FC-S36W)(ASRS01) / FC-S36W-L / 0901027
BSﾋﾟｯｸﾏﾈｰｼﾞｬ / BSﾋﾟｯｸﾏﾈｰｼﾞｬ (FC-E22U)(PMG01) / FC-E22U-S / 0914338
DPM / DPM (FC-S36W)(DPM01) / FC-S36W-L / 0901031
DPM / DPM (FC-S36W)(DPM02) / FC-S36W-L / 0901028
LPM / LPM (FC-S36W)(LPM01) / FC-S36W-L / 0901030
LPM / LPM (FC-S36W)(LPM02) / FC-S36W-L / 0901032
LPM / LPM (FC-E22U)(LPM03) / FC-E22U-S / 0914339
LPM / ﾗﾍﾞﾙ発行LPM (FC-E22U)(LPM11) / FC-E22U-S / 0914340
LPM / ﾗﾍﾞﾙ発行LPM (FC-E22U)(LPM12) / FC-E22U-S / 0914342
LPM / 予備機 (FC-E22U)(PMG01予備) / FC-E22U-S / 0914341</t>
  </si>
  <si>
    <t>ブランド / 機器構成名(個体名) / 型式 / シリアル番号
DAM / DAM本体(FC-S36W)(DAM) / FC-S36W-113CW5 / 4200166</t>
  </si>
  <si>
    <t>ブランド / 機器構成名(個体名) / 型式 / シリアル番号
WareNavi7 Framework / DBｻｰﾊﾞ(HA8000V/DL360)(DB01) / TXFD72-P21294-110 / SGH152XQTD
WareNavi7 Framework / DBｻｰﾊﾞ(HA8000V/DL360)(DB02) / TXFD72-P21294-110 / SGH152XQTK
WareNavi7 Framework / APｻｰﾊﾞ(HA8000V/DL360)(AP01) / TXFD72-P21294-110 / SGH152XQTF
WareNavi7 Framework / APｻｰﾊﾞ(HA8000V/DL360)(AP02) / TXFD72-P21294-110 / SGH152XQTC
WareNavi7 Framework / APｻｰﾊﾞ(HA8000V/DL360)(AP03) / TXFD72-P21294-110 / SGH152XQTJ
WareNavi7 Framework / APｻｰﾊﾞ(HA8000V/DL360)(AP04) / TXFD72-P21294-110 / SGH152XQTH</t>
  </si>
  <si>
    <t>RDC横浜</t>
  </si>
  <si>
    <t>2020080615-216-1 / 2023040406-221-1</t>
  </si>
  <si>
    <t>14216A101-001</t>
  </si>
  <si>
    <t>ブランド / 機器構成名(個体名) / 型式 / シリアル番号
eAWC Ordermade(MARS) / DBｻｰﾊﾞ(Express5800/R320e-E4)(DB-SV) / N8800-236Y / 8200242
eAWC Ordermade(MARS) / eAWC端末(FC-E22U)(AWC001) / FC-E22U-S / 7Z04826
SAM(MARS) / SAM(FC-E22U)(SAM01) / FC-E22U-S / 7Z04822
SAM(MARS) / ﾘｼﾞｪｸﾄ端末(FC-E22U)(WAT001) / FC-E22U-S / 7Z04819
AWC4 Framework(ﾊﾟﾚｯﾄ) / AWC4端末(FC-E22U)(AWC003) / FC-E22U-S / 7Z04825</t>
  </si>
  <si>
    <t>ブランド / 機器構成名(個体名) / 型式 / シリアル番号
AWC-800U / ｵｰﾄﾗﾍﾞﾗ(AL001) / LR4NX-FA08LPJ / FG000002
AWC-800U / ｵｰﾄﾗﾍﾞﾗ(AL002) / LR4NX-FA08LPJ / FG000003
AWC-800U / ｵｰﾄﾗﾍﾞﾗ(AL003) / LR4NX-FA08LPJ / FG000004</t>
  </si>
  <si>
    <t>神奈川物流センター</t>
  </si>
  <si>
    <t>2022062109-221-1</t>
  </si>
  <si>
    <t>14321-145-001</t>
  </si>
  <si>
    <t>ブランド / 機器構成名(個体名) / 型式 / シリアル番号
AWC-800N / AWCｻｰﾊﾞ(Express5800/R320e-M4)(AWC-SV) / N8800-202Y / 7700261
SAM / SAMｻｰﾊﾞ(Express5800/R320e-M4)(SAM-SV) / N8800-202Y / 7700262</t>
  </si>
  <si>
    <t>ブランド / 機器構成名(個体名) / 型式 / シリアル番号
WareNavi7 Framework / 事務所端末(FC-E22U)(WATZ101) / FC-E22U-S / 1Z17375
WareNavi7 Framework / WCS管理端末(FC-E22U)(WATZ106) / FC-E22U-S / 1Z17373
WareNavi7 Framework / WCS管理端末(FC-E22U)(WATZ107) / FC-E22U-S / 1Y17304
WareNavi7 Framework / ﾄｰﾄ作業WCS管理端末(FC-E22U)(WATZ103) / FC-E22U-S / 1Y17305
SAM / ｿｰﾀ管理端末(FC-E22U)(WATZ104) / FC-E22U-S / 1Z17376
SAM / 出荷ｿｰﾀﾘｼﾞｪｸﾄ端末(FC-E22U)(WATZ110) / FC-E22U-S / 1Y17282
SAM / TC投入端末(FC-E22U)(WATZ105) / FC-E22U-S / 1Y17302
SAM / ｵﾘｺﾝ自動積付端末(FC-E22U)(WATZ111) / FC-E22U-S / 1Y17279
SAM / ｵﾘｺﾝ自動積付ﾘｼﾞｪｸﾄ端末(FC-E22U)(WATZ112) / FC-E22U-S / 1Y17281
LPM / LPM端末(FC-E22U)(WATZ113) / FC-E22U-S / 1Z17377</t>
  </si>
  <si>
    <t>ブランド / 機器構成名(個体名) / 型式 / シリアル番号
LPM / ﾗﾍﾞﾙﾌﾟﾘﾝﾀ(LBL03) / CT4-LX DT203 / FL203579
LPM / ｵｰﾄﾗﾍﾞﾗ(LBL01) / LR4081SR-TSJ / GB000117
LPM / ｵｰﾄﾗﾍﾞﾗ(LBL02) / LR4081SR-TSJ / GB000118</t>
  </si>
  <si>
    <t>ブランド / 機器構成名(個体名) / 型式 / シリアル番号
AWC7 Framework / ﾗﾍﾞﾙﾌﾟﾘﾝﾀ(LBL001) / CT4-LX TT203 / JE202893</t>
  </si>
  <si>
    <t>ブランド / 機器構成名(個体名) / 型式 / シリアル番号
AWC7 Framework / AWC7本体(HF-W6560)(AWC001) / HJ-6560-WFJB/7R / 4530121-6</t>
  </si>
  <si>
    <t>ブランド / 機器構成名(個体名) / 型式 / シリアル番号
WareNavi7 / WareNavi7ｻｰﾊﾞ (Express5800/R320h-M4)(WN7-001) / N8800-312Y / 4Z00219
WareNavi7 / ｻｰﾊﾞ用UPS(WN7-001) / 無停電電源装置(1500VA,ﾗｯｸﾏｳﾝﾄ)N8142-101 / 
WareNavi7 / ｻｰﾊﾞ用UPS(WN7-001) / 無停電電源装置(1500VA,ﾗｯｸﾏｳﾝﾄ)N8142-101 / 
WareNavi7 / WareNavi7端末(FC-E22U)(WATZ001) / FC-E22U-S / 9810800
WareNavi7 / WareNavi7端末/BCR付(FC-E22U)(WATZ101) / FC-E22U-S / 9810798
WareNavi7 / WareNavi7端末/BCR付(FC-E22U)(WATZ102) / FC-E22U-S / 9910867
WareNavi7 / WareNavi7端末/BCR付(FC-E22U)(WATZ201) / FC-E22U-S / 9810802
WareNavi7 / WareNavi7端末/BCR付(FC-E22U)(WATZ202) / FC-E22U-S / 9810801
WareNavi7 / DPM端末(FC-E22U)(DPMZ201) / FC-E22U-S / 9810799
WareNavi7 / MOSⅦ(FC-E27B)(MOSA101) / FC-E27B-S / 9X09883
WareNavi7 / MOSⅦ(FC-E27B)(MOSB101) / FC-E27B-S / 9Y10187</t>
  </si>
  <si>
    <t>ニプロファーマ飛騨工場株式会社</t>
  </si>
  <si>
    <t>2025010705-224-1 / 2025010709-224-1</t>
  </si>
  <si>
    <t>21621-021-001</t>
  </si>
  <si>
    <t>ブランド / 機器構成名(個体名) / 型式 / シリアル番号
AWC7 Framework / AWC7本体(FC-S36W)(AWC001) / FC-S36W-143CV7 / 3600978
AWC7 Framework / AWC7端末(FC-E29U)(WAT001) / FC-E29U-S31C42 / 3601025</t>
  </si>
  <si>
    <t>ブランド / 機器構成名(個体名) / 型式 / シリアル番号
AWC4 Framework / AWC4本体 (FC-S35W/S7)(AWC001) / FC-S35W/S72CL9 / S7X0164MA
AWC4 Framework / AWC4端末 (FC-E22U)(WAT001) / FC-E22U-S / 8606268</t>
  </si>
  <si>
    <t>カヤバ株式会社</t>
  </si>
  <si>
    <t>岐阜北工場</t>
  </si>
  <si>
    <t>北工場　部品倉庫</t>
  </si>
  <si>
    <t>2018070402-216-1</t>
  </si>
  <si>
    <t>21522-011-001</t>
  </si>
  <si>
    <t>ブランド / 機器構成名(個体名) / 型式 / シリアル番号
AWC4 Framework / AWC4本体 (FC-E16U/S7)(CRM001) / FC-E16U/S71CE8 / S640549MA</t>
  </si>
  <si>
    <t>2021102502-221-1 / 2021102504-221-1</t>
  </si>
  <si>
    <t>ブランド / 機器構成名(個体名) / 型式 / シリアル番号
eAWC Framework / eAWC本体 (FC-S36W)(EAWC001) / FC-S36W-143CV7 / 1300341
eAWC Framework / eAWC端末 (FC-E22U)(WAT001) / FC-E22U-S / 1215660</t>
  </si>
  <si>
    <t>ブランド / 機器構成名(個体名) / 型式 / シリアル番号
eAWC Framework / eAWC本体(HF-W6555)(EAWC001) / HJ-6555-WEJD/DF05 / 4240422-4</t>
  </si>
  <si>
    <t>ブランド / 機器構成名(個体名) / 型式 / シリアル番号
eAWC Framework / eAWC本体(FC-S35W/S7)(EAWC001) / FC-S35W/S72CL9 / S610572MA</t>
  </si>
  <si>
    <t>エーザイ株式会社</t>
  </si>
  <si>
    <t>川島工園</t>
  </si>
  <si>
    <t>第3製剤棟搬送システムサーバシステム</t>
  </si>
  <si>
    <t>2003-002</t>
  </si>
  <si>
    <t>21301-006-003</t>
  </si>
  <si>
    <t>ブランド / 機器構成名(個体名) / 型式 / シリアル番号
在庫管理ｼｽﾃﾑ / 搬送管理ｻﾌﾞｼｽﾃﾑ本体 (EP8000 S814)() / THE-C828641A630B / 57627</t>
  </si>
  <si>
    <t>中日本ダイカスト工業株式会社</t>
  </si>
  <si>
    <t>1804-002</t>
  </si>
  <si>
    <t>21213-281-001</t>
  </si>
  <si>
    <t>ブランド / 機器構成名(個体名) / 型式 / シリアル番号
eAWC Framework / eAWC本体 (HF-W6545)(AWC001) / HJ-65459EWJD/DF01 / 4225386-1</t>
  </si>
  <si>
    <t>株式会社八幡ねじ</t>
  </si>
  <si>
    <t>テクノセンター</t>
  </si>
  <si>
    <t>1807-003</t>
  </si>
  <si>
    <t>21213A116-001</t>
  </si>
  <si>
    <t>ブランド / 機器構成名(個体名) / 型式 / シリアル番号
WareNavi7 / ﾏﾃﾊﾝｻｰﾊﾞ (HF-W6545)(DBServer) / HJ-65458EWJD/DF02 / 4226734-1
WareNavi7 / APPｻｰﾊﾞ (HF-W6545)(APPServer) / HJ-65458EWJD/DF02 / 4226734-2
WareNavi7 / MOS7ｻｰﾊﾞ (HF-W6545)(MOS) / HJ-65458EWJD/DF02 / 4226734-3
WareNavi7 / ｻｰﾊﾞ予備機 (HF-W6545)(YOBI) / HJ-65458EWJD/DF02 / 4226734-4</t>
  </si>
  <si>
    <t>2024112006-224-1 / 2024112010-224-1</t>
  </si>
  <si>
    <t>ブランド / 機器構成名(個体名) / 型式 / シリアル番号
WareNavi7 / WareNavi7ｻｰﾊﾞ(Express5800/R320g-E4)(WNVA001) / N8800-240Y / 9Y00304
WareNavi7 / 管理端末(FC-E22U)(WATA001) / FC-E22U-S / 9X11230
WareNavi7 / 現場端末(FC-E22U)(WATA101) / FC-E22U-S / 9X11231
WareNavi7 / 現場端末(FC-E22U)(WATA102) / FC-E22U-S / 9X11232
WareNavi7 / 現場端末(FC-E22U)(WATA103) / FC-E22U-S / 9X11233
WareNavi7 / 現場端末(FC-E22U)(WATA201) / FC-E22U-S / 9X11235
WareNavi7 / 現場端末(FC-E22U)(WATA301) / FC-E22U-S / 9X11238
WareNavi7 / MOSⅦ(FC-E27B)(MOS01) / FC-E27B-S / 9X10103</t>
  </si>
  <si>
    <t>ブランド / 機器構成名(個体名) / 型式 / シリアル番号
AWC7 Basic / AWC7本体(HF-W6555)(AWC001) / HJ-6555-WEJD/DF05 / 4239720-3</t>
  </si>
  <si>
    <t>2024082102-224-1 / 2024091120-224-1 / 2024091122-224-1</t>
  </si>
  <si>
    <t>ブランド / 機器構成名(個体名) / 型式 / シリアル番号
WareNavi Framework Custom / WareNaviｻｰﾊﾞ (FC-S36W)(WMS01) / FC-S36W-113CW5 / 2X00146
WareNavi Framework Custom / WareNaviｻｰﾊﾞ予備機 (FC-S36W)(WMS01予備) / FC-S36W-113CW5 / 2800140
SAM / SAM (FC-E29U)(SAM01) / FC-E29U-L / 4100801
LPM / LPM (FC-E29U)(LPM01) / FC-E29U-L / 4100799
LPM / LPM (FC-E29U)(LPM02) / FC-E29U-L / 4100800
WareNavi Framework Custom / 管理端末 (FC-E29U)(WAT001) / FC-E29U-S31C42 / 3600761
WareNavi Framework Custom / 自動倉庫端末 (FC-E29U)(WAT004) / FC-E29U-S31C42 / 3500727
WareNavi Framework Custom / 操作端末 (FC-E29U)(WAT005) / FC-E29U-S31C42 / 3600752
WareNavi Framework Custom / 操作端末 (FC-E29U)(WAT002) / FC-E29U-S31C42 / 3500732
WareNavi Framework Custom / 操作端末 (FC-E29U)(WAT003) / FC-E29U-S31C42 / 3500764
WareNavi Framework Custom / MOSⅦ(MOSA01) / FC-E22K-L / 4602322</t>
  </si>
  <si>
    <t>2114866 / 2161672</t>
  </si>
  <si>
    <t>ブランド / 機器構成名(個体名) / 型式 / シリアル番号
LPM / ｵｰﾄﾗﾍﾞﾗ(ALR01) / LR4080SR-TSB / 3064A592
LPM / ｵｰﾄﾗﾍﾞﾗ(ALR02) / LR4080SR-TSB / 3064A593
LPM / ｵｰﾄﾗﾍﾞﾗ(ALR03) / LR4080SR-TSB / 3064A594
LPM / ｵｰﾄﾗﾍﾞﾗ(ALR04) / LR4080SR-TSB / 3064A595
WareNavi Framework Custom / ﾗﾍﾞﾙﾌﾟﾘﾝﾀ(LP03) / CL4NX-J08 Plus / HM100887
WareNavi Framework Custom / ﾗﾍﾞﾙﾌﾟﾘﾝﾀ(LP04) / CL4NX-J08 Plus / HM100834</t>
  </si>
  <si>
    <t>ブランド / 機器構成名(個体名) / 型式 / シリアル番号
AWC7 Framework / AWC7本体(FC-E29U)(AWC001) / FC-E29U-S31C46 / 2Z00109</t>
  </si>
  <si>
    <t>ブランド / 機器構成名(個体名) / 型式 / シリアル番号
AWC7 Framework / AWC7本体(FC-S36W)(AWC01) / FC-S36W-113CW5 / 1900124
AWC7 Framework / MOSⅦ(MOS01) / FC-E27B-SR / 2600298</t>
  </si>
  <si>
    <t>株式会社エヌ・エス・ピー</t>
  </si>
  <si>
    <t>21206-151-001</t>
  </si>
  <si>
    <t>ブランド / 機器構成名(個体名) / 型式 / シリアル番号
RTS-60 / RTSｻｰﾊﾞ (SPARC M12-1)(RTS01) / SPNAAAA3EF / PZ72228001
RTS-60 / RTSｻｰﾊﾞ (SPARC M12-1)(RTS01) / 無停電電源装置(1500VA,ﾗｯｸﾏｳﾝﾄ)PY-UPAR152 / TT204A0037
RTS-60 / ｺﾝｿｰﾙ端末 (PRIMERGY RX1330 M4)(CONSOLE-PC) / PYR1334R3S / MAHV037818
RTS-60 / RTS端末(ESPRIMO D7011/H)(WSC001) / FMVD52065 / R2700595
RTS-60 / RTS端末(ESPRIMO D7011/H)(WSC002) / FMVD52065 / R2700596
RTS-60 / RTS端末(ESPRIMO D7011/H)(WSC001) / 無停電電源装置(750VA)FMUP-204 / TT150A0058
RTS-60 / RTS端末(ESPRIMO D7011/H)(WSC002) / 無停電電源装置(750VA)FMUP-204 / TT150A0022</t>
  </si>
  <si>
    <t>ブランド / 機器構成名(個体名) / 型式 / シリアル番号
eAWC Framework / eAWC本体(HF-W6560)(EAWC001) / HJ-6560-WFJB/7R / 4525737-3</t>
  </si>
  <si>
    <t>ブランド / 機器構成名(個体名) / 型式 / シリアル番号
AWC7 Framework / AWC7本体 (FA3100T model 800)(N5554216) / UA538020 / OHB052
AWC7 Framework / AWC7端末 (FA2100T model 600)(WAT001) / UA52602 / OGJ075
AWC7 Framework / AWC7端末 (FA2100T model 600)(WAT002) / UA52602 / OGJ076
AWC7 Framework / AWC7端末 (FA2100T model 600)(WAT003) / UA52602 / OGJ074</t>
  </si>
  <si>
    <t>関東物流センター計画</t>
  </si>
  <si>
    <t>ブランド / 機器構成名(個体名) / 型式 / シリアル番号
WareNavi4 Framework Custom / DBｻｰﾊﾞ (FC-S35W/S4)(WN01) / FC-S35W/S42CM0 / S521093MA
WareNavi4 Framework Custom / APLｻｰﾊﾞ (FC-S35W/S4)(WN02) / FC-S35W/S42CM0 / S521092MA
WareNavi4 Framework Custom / 予備機 (FC-S35W/S4)(WN03) / FC-S35W/S42CM0 / S450690MA
WareNavi4 Framework Custom / 端末 (FC-E16U/S7 無線ﾊﾝﾃﾞｨBCR付)(WAT11) / FC-E16U/S71R4Z / S4Z0144MA
WareNavi4 Framework Custom / 端末 (FC-E16U/S7 無線ﾊﾝﾃﾞｨBCR付)(WAT12) / FC-E16U/S71R4Z / S4Z0151MA
WareNavi4 Framework Custom / 端末 (FC-E16U/S7)(WAT13) / FC-E16U/S71R4Z / S4X0645MA</t>
  </si>
  <si>
    <t>ＴＢＣ埼玉</t>
  </si>
  <si>
    <t>2153693 / 2153720</t>
  </si>
  <si>
    <t>11232A101-001</t>
  </si>
  <si>
    <t>ブランド / 機器構成名(個体名) / 型式 / シリアル番号
LPM(入庫ﾗｲﾝ) / ｵｰﾄﾗﾍﾞﾗ(LR4081SR-TCJ)(ALBL01) / LR4081SR-TCJ / GH000091
LPM(入庫ﾗｲﾝ) / ｵｰﾄﾗﾍﾞﾗ(LR4081SR-TCJ)(ALBL02) / LR4081SR-TCJ / GH000092
LPM(入庫ﾗｲﾝ) / ｵｰﾄﾗﾍﾞﾗ(LR4081SR-TCJ)(ALBL03) / LR4081SR-TCJ / GH000093
LPM(入庫ﾗｲﾝ) / ｵｰﾄﾗﾍﾞﾗ(LR4081SR-TCJ)(ALBL04) / LR4081SR-TCJ / GH000094
LPM(入庫ﾗｲﾝ) / ｵｰﾄﾗﾍﾞﾗ(LR4081SR-TCJ)(ALBL05) / LR4081SR-TCJ / GH000095
LPM(入庫ﾗｲﾝ) / ｵｰﾄﾗﾍﾞﾗ(LR4081SR-TCJ)(ALBL06) / LR4081SR-TCJ / GH000096
LPM(元梱ﾃﾞﾊﾟﾚ後) / ｵｰﾄﾗﾍﾞﾗ(LR4081SR-TCJ)(ALBL07) / LR4081SR-TCJ / GH000097
LPM(元梱ﾃﾞﾊﾟﾚ後) / ｵｰﾄﾗﾍﾞﾗ(LR4081SR-TCJ)(ALBL08) / LR4081SR-TCJ / GH000098
ASM(元梱自動倉庫(FS)) / ｵｰﾄﾗﾍﾞﾗ(LR4081SR-TCJ)(ALBL09) / LR4081SR-TCJ / GH000099
ASM(元梱自動倉庫(FS)) / ｵｰﾄﾗﾍﾞﾗ(LR4081SR-TCJ)(ALBL10) / LR4081SR-TCJ / GH000100
LPM(出荷ﾗﾍﾞﾙ) / ｵｰﾄﾗﾍﾞﾗ(LR4081SR-TSB)(ALBL11) / LR4081SR-TSB / 2114A471
LPM(出荷ﾗﾍﾞﾙ) / ｵｰﾄﾗﾍﾞﾗ(LR4081SR-TSB)(ALBL12) / LR4081SR-TSB / 2114A472</t>
  </si>
  <si>
    <t>ブランド / 機器構成名(個体名) / 型式 / シリアル番号
AWC7 Basic / AWC7本体(HF-W6555)(AWC001) / HJ-6555-WEJD/DF05 / 4239515-7
AWC7 Basic / AWC7端末(HF-W2050)(WAT001) / HJ-2050-WEMA/DF03 / 8052088-2</t>
  </si>
  <si>
    <t>ブランド / 機器構成名(個体名) / 型式 / シリアル番号
AWC-100N+ / AWC本体(FC-S35W/S7)(AWC001) / FC-S35W/S72CL9 / S7X0165MA
AWC-100N+ / AWC端末(FC-E22U)(WAT001) / FC-E22U-S / 8506066</t>
  </si>
  <si>
    <t>2411-004 / 2411-003</t>
  </si>
  <si>
    <t>ブランド / 機器構成名(個体名) / 型式 / シリアル番号
RTS-100 / 在庫管理ｻｰﾊﾞ (EP8000 S914)(RTS01) / THE-C900941G623T / 71510
RTS-100 / 在庫管理端末 (HF-W2050)(WSC01) / HJ-2050-WEMA/DF03 / 8055441-10</t>
  </si>
  <si>
    <t>ブランド / 機器構成名(個体名) / 型式 / シリアル番号
甘藷選果ｼｽﾃﾑ / 評価卓ｻｰﾊﾞ (FC-S36W)(HONTAI) / FC-S36W-133CW4 / 3700234</t>
  </si>
  <si>
    <t>株式会社都城酒造</t>
  </si>
  <si>
    <t>1808-002</t>
  </si>
  <si>
    <t>45202-134-002</t>
  </si>
  <si>
    <t>ブランド / 機器構成名(個体名) / 型式 / シリアル番号
WareNavi4 Framework / WareNavi4本体 （HF-W6545）(WMS001) / HJ-65459EWJD/DF01 / 4229044-1
WareNavi4 Framework / WareNavi4端末 （HF-W2045）(WAT001) / HJ-2045-WBJA/DF01 / 4229056-1
WareNavi4 Framework / WareNavi4端末 （HF-W2045）(WAT002) / HJ-2045-WBJA/DF01 / 4229057-1</t>
  </si>
  <si>
    <t>ブランド / 機器構成名(個体名) / 型式 / シリアル番号
eye-navi / ﾗﾍﾞﾙﾌﾟﾘﾝﾀ(MLB101) / CL4NX-J08 Plus / HD100217
eye-navi / ﾗﾍﾞﾙﾌﾟﾘﾝﾀ(MLB102) / CL4NX-J08 Plus / HD100216
eye-navi / ﾗﾍﾞﾙﾌﾟﾘﾝﾀ(MLB103) / CL4NX-J08 Plus / HD100212
eye-navi / ﾗﾍﾞﾙﾌﾟﾘﾝﾀ(MLB104) / CL4NX-J08 Plus / HD100221
eye-navi / ｵｰﾄﾗﾍﾞﾗ (LR4080SR-THC)(LBRZ101) / LR4080SR-THC / GK000066
eye-navi / ｵｰﾄﾗﾍﾞﾗ (LR4080SR-THC)(LBRZ102) / LR4080SR-THC / GK000067
eye-navi / ｵｰﾄﾗﾍﾞﾗ (LR4080SR-THC)(LBRZ103) / LR4080SR-THC / GK000068
eye-navi / ｵｰﾄﾗﾍﾞﾗ (LR4080SR-THC)(LBRZ104) / LR4080SR-THC / GK000069
eye-navi / ｵｰﾄﾗﾍﾞﾗ (LR4081SR-TSJ)(LBRZ105) / LR4081SR-TSJ / GJ000118
eye-navi / ｵｰﾄﾗﾍﾞﾗ (LR4081SR-TSJ)(LBRZ106) / LR4081SR-TSJ / GJ000117</t>
  </si>
  <si>
    <t>熊谷CS</t>
  </si>
  <si>
    <t>株式会社タケトモ</t>
  </si>
  <si>
    <t>箕田物流センター</t>
  </si>
  <si>
    <t>1808-005</t>
  </si>
  <si>
    <t>11217-024-001</t>
  </si>
  <si>
    <t>ブランド / 機器構成名(個体名) / 型式 / シリアル番号
AWC4 Framework / AWC4本体(HF-W6545)(AWC001) / HJ-65459EWJD/DF01 / 4228472-1
AWC4 Framework / AWC4端末(HF-W2035)(WAT001) / HJ-20359EWJA/DF01 / 4228832-1</t>
  </si>
  <si>
    <t>ブランド / 機器構成名(個体名) / 型式 / シリアル番号
AWC-800N / AWC本体 (FC-S36W)(AWC001) / FC-S36W-133CW4 / 2900189</t>
  </si>
  <si>
    <t>関東中央支店　蓮田センター</t>
  </si>
  <si>
    <t>自動倉庫物流システム</t>
  </si>
  <si>
    <t>2022060616-221-1 / 2025073103-221-1</t>
  </si>
  <si>
    <t>11238A108-001</t>
  </si>
  <si>
    <t>ブランド / 機器構成名(個体名) / 型式 / シリアル番号
WareNavi7 / WareNavi7ｻｰﾊﾞ(Express5800/R320g-E4)(AWC030) / N8800-255Y / 0700335
WareNavi7 / 無線ﾏﾈｰｼﾞｬ(FC-E22U)(RFM001) / FC-E22U-S / 0513295
WareNavi7 / 無線ﾏﾈｰｼﾞｬ(FC-E22U)(RFM002) / FC-E22U-S / 0513310
WareNavi7 / MOSⅦ(FC-E27B)(MOS01) / FC-E27B-S / 0912351</t>
  </si>
  <si>
    <t>2025031210-224-1 / 2025031212-224-1</t>
  </si>
  <si>
    <t>ブランド / 機器構成名(個体名) / 型式 / シリアル番号
WareNavi7 / APｻｰﾊﾞ(FC-S36W)(WCSSV01) / FC-S36W-113CW5 / 4500171
WareNavi7 / APｻｰﾊﾞ予備機(FC-S36W)(WCSSV02) / FC-S36W-113CW5 / 4500172
WareNavi7 / DBｻｰﾊﾞ(FC-S36W)(WCSSV03) / FC-S36W-113CW5 / 4500173
WareNavi7 / DBｻｰﾊﾞ予備機(FC-S36W)(WCSSV04) / FC-S36W-113CW5 / 4500170
WareNavi7 / MOSⅦ (FC-E22K)(MOSB001) / FC-E22K-L / 4402175</t>
  </si>
  <si>
    <t>Ｅ号棟　自動倉庫</t>
  </si>
  <si>
    <t>2022060608-221-1 / 2022060610-221-1</t>
  </si>
  <si>
    <t>11440-002-001</t>
  </si>
  <si>
    <t>ブランド / 機器構成名(個体名) / 型式 / シリアル番号
WareNavi Framework / WareNaviｻｰﾊﾞ(Express5800/R320h-M4)(AWC002) / N8800-302Y / 1X00135
WareNavi Framework / ｻｰﾊﾞ用UPS(AWC002) / 無停電電源装置(1500VA)N8180-67 / SJ12118212376
WareNavi Framework / ｻｰﾊﾞ用UPS(AWC002) / 無停電電源装置(1500VA)N8180-67 / SJ12122210901
WareNavi Framework / HTｻｰﾊﾞ兼管理端末(FC-S36W)(RFM001) / FC-S36W-143CV7 / 1900478
WareNavi Framework / HTｻｰﾊﾞ兼管理端末(FC-S36W)(RFM002) / FC-S36W-143CV7 / 1800460
WareNavi Framework / 搬送制御兼管理端末(FC-S36W)(CTL001) / FC-S36W-143CV7 / 1800463
WareNavi Framework / 搬送制御兼管理端末(FC-S36W)(CTL002) / FC-S36W-143CV7 / 1900479</t>
  </si>
  <si>
    <t>ブランド / 機器構成名(個体名) / 型式 / シリアル番号
AWC7 Basic / AWC7本体(HF-W6555)(AWC001) / HJ-6555-WEJD/DF05 / 4239281-1
AWC7 Basic / AWC7端末(HF-W2050)(WAT001) / HJ-2050-WEMA/DF03 / 8051861-5
AWC7 Basic / AWC7端末(HF-W2050)(WAT002) / HJ-2050-WEMA/DF03 / 8051803-1</t>
  </si>
  <si>
    <t>2023071121-224-1</t>
  </si>
  <si>
    <t>ブランド / 機器構成名(個体名) / 型式 / シリアル番号
AWC7 Framework / 9Y-MOS(FC-D28U)(MOS01) / FC-D28U-L / 3400589</t>
  </si>
  <si>
    <t>ブランド / 機器構成名(個体名) / 型式 / シリアル番号
AWC7 Framework / AWC7本体(HF-W6555)(AWC001) / HJ-6555-WEJD/DF05 / 4240715-9</t>
  </si>
  <si>
    <t>ブランド / 機器構成名(個体名) / 型式 / シリアル番号
ﾗﾍﾞﾙPC / ﾗﾍﾞﾙPC(FC-S36W)(LBLPC) / FC-S36W-133CW4 / 3Z00340
ﾗﾍﾞﾙPC / 荷札･GHSﾗﾍﾞﾙ発行PC(FC-S36W)(LPM001) / FC-S36W-133CW4 / 3X00290
AWC-800U / 統合ｺﾝｿｰﾙ端末(FC-S36W)(CONSOLE-PC) / FC-S36W-133CW4 / 3X00291
AWC-800U / CCR端末(FC-S36W)(WAT000) / FC-S36W-133CW4 / 3X00283
AWC-800U / AWC端末(FC-S36W)(WAT001) / FC-S36W-133CW4 / 3X00304
AWC-800U / AWC端末(FC-S36W)(WAT002) / FC-S36W-133CW4 / 3X00297
AWC-800U / AWC端末(FC-S36W)(WAT003) / FC-S36W-133CW4 / 3X00277
AWC-800U / AWC端末(FC-S36W)(WAT025) / FC-S36W-133CW4 / 3X00269
AWC-800U / AWC端末(FC-S36W)(WAT024) / FC-S36W-133CW4 / 3X00274
AWC-800U / AWC端末(FC-S36W)(WAT011) / FC-S36W-133CW4 / 3X00267
AWC-800U / AWC端末(FC-S36W)(WAT022) / FC-S36W-133CW4 / 3X00299
AWC-800U / AWC端末(FC-S36W)(WAT023) / FC-S36W-133CW4 / 3X00300
AWC-800U / AWC端末(FC-S36W)(WAT004) / FC-S36W-133CW4 / 3X00301
AWC-800U / AWC端末(FC-S36W)(WAT006) / FC-S36W-133CW4 / 3X00306
AWC-800U / AWC端末(FC-S36W)(WAT005) / FC-S36W-133CW4 / 3X00308
AWC-800U / AWC端末(FC-S36W)(WAT007) / FC-S36W-133CW4 / 3X00285
AWC-800U / AWC端末(FC-S36W)(WAT008) / FC-S36W-133CW4 / 3X00273
AWC-800U / AWC端末(FC-S36W)(WAT012) / FC-S36W-133CW4 / 3X00275
AWC-800U / AWC端末(FC-S36W)(WAT013) / FC-S36W-133CW4 / 3X00288
AWC-800U / AWC端末(FC-S36W)(WAT021) / FC-S36W-133CW4 / 3X00303
AWC-800U / AWC端末(FC-S36W)(WAT009) / FC-S36W-133CW4 / 3X00276
AWC-800U / AWC端末(FC-S36W)(WAT014) / FC-S36W-133CW4 / 3X00268
AWC-800U / AWC端末(FC-S36W)(WAT015) / FC-S36W-133CW4 / 3X00286
AWC-800U / AWC端末(FC-S36W)(WAT017) / FC-S36W-133CW4 / 3X00305
AWC-800U / AWC端末(FC-S36W)(WAT018) / FC-S36W-133CW4 / 3X00293
AWC-800U / AWC端末(FC-S36W)(WAT016) / FC-S36W-133CW4 / 3X00298
AWC-800U / AWC端末(FC-S36W)(WAT019) / FC-S36W-133CW4 / 3X00294
AWC-800U / AWC端末(FC-S36W)(WAT020) / FC-S36W-133CW4 / 3X00307
AWC-800U / AWC端末予備機(FC-S36W)(WAT予備01) / FC-S36W-133CW4 / 3X00295
AWC-800U / AWC端末予備機(FC-S36W)(WAT予備02) / FC-S36W-133CW4 / 3X00292</t>
  </si>
  <si>
    <t>ブランド / 機器構成名(個体名) / 型式 / シリアル番号
ﾗﾍﾞﾙPC / ｵｰﾄﾗﾍﾞﾗ(ALR01) / LR4NX-FA08LPJ / JB000025</t>
  </si>
  <si>
    <t>CE1003319 / CE150352</t>
  </si>
  <si>
    <t xml:space="preserve">ブランド / 機器構成名(個体名) / 型式 / シリアル番号
AWC-800U / AWCｻｰﾊﾞ(SPARC M12-1)(AWC01) / SPNAAAA3EF / 
AWC-800U / AWCｻｰﾊﾞ(SPARC M12-1)(AWC01) / 無停電電源装置(1500VA,ﾗｯｸﾏｳﾝﾄ)PY-UPAR152 / 
AWC-800U / AWCｻｰﾊﾞ予備機(SPARC M12-1)(AWC01予備) / SPNAAAA3EF / 
AWC-800U / AWCｻｰﾊﾞ予備機(SPARC M12-1)(AWC01予備) / 無停電電源装置(1500VA,ﾗｯｸﾏｳﾝﾄ)PY-UPAR152 / </t>
  </si>
  <si>
    <t>加須ＰＤセンター</t>
  </si>
  <si>
    <t>2018082718-216-1</t>
  </si>
  <si>
    <t>11210A125-001</t>
  </si>
  <si>
    <t>ブランド / 機器構成名(個体名) / 型式 / シリアル番号
SAM / ﾏﾃﾊﾝｻｰﾊﾞ （FC-S35W/S4）(SAM01) / FC-S35W/S42CM0 / S670473MA
SAM / 仕分端末 (FC-S35W/S4)(SAM02) / FC-S35W/S42CM0 / S670477MA</t>
  </si>
  <si>
    <t>ブランド / 機器構成名(個体名) / 型式 / シリアル番号
AWC7 Framework / AWC7本体(HF-W6560)(AWC001) / HJ-6560-WGJB/7R / 4530732-6
AWC7 Framework / AWC7端末(HF-W2050)(WAT001) / HJ-2050-WEMA/DF03 / 8057317-18</t>
  </si>
  <si>
    <t>2021071504-221-1 / 2025040922-224-1 / 2025040928-224-1</t>
  </si>
  <si>
    <t>ブランド / 機器構成名(個体名) / 型式 / シリアル番号
AWC7 Framework / AWC7本体(FC-S36W)(AWC001) / FC-S36W-143CV7 / 4401152
AWC7 Framework / AWC7端末(FC-E29U)(WAT001) / FC-E29U-S31C42 / 3601092
AWC7 Framework / VTC(NT8000)(VTCA01) / FC-E22U-S / 6700424</t>
  </si>
  <si>
    <t>ブランド / 機器構成名(個体名) / 型式 / シリアル番号
AWC4 Framework / AWC4本体(HF-W6555)(AWC001) / HJ-6555-WEJD/DF03 / 4235926-1
AWC4 Framework / AWC4本体予備機(HF-W6555)(予備機) / HJ-6555-WEJD/DF03 / 4235926-2</t>
  </si>
  <si>
    <t>RDC関東</t>
  </si>
  <si>
    <t>2022072706-221-1 / 2025031904-224-1</t>
  </si>
  <si>
    <t>11445A101-001</t>
  </si>
  <si>
    <t>ブランド / 機器構成名(個体名) / 型式 / シリアル番号
eAWC Ordermade（MARS） / DBｻｰﾊﾞ(Express5800/R320g-E4)(DB-SV) / N8800-255Y / 0300203
eAWC Ordermade（MARS） / eAWC端末(FC-E22U)(AWC001) / FC-E22U-S / 9Z12004
SAM（MARS） / SAM(FC-E22U)(SAM01) / FC-E22U-S / 9Z11990
SAM（MARS） / ﾘｼﾞｪｸﾄ端末(FC-E22U)(WAT001) / FC-E22U-S / 9Z11995
AWC4 Framework（ﾊﾟﾚｯﾄ） / AWC4端末(FC-E22U)(AWC003) / FC-E22U-S / 9Z12000</t>
  </si>
  <si>
    <t>ブランド / 機器構成名(個体名) / 型式 / シリアル番号
LPM / ｵｰﾄﾗﾍﾞﾗ(LBRZ101) / LR4080SR-TSB / GA000086
LPM / ｵｰﾄﾗﾍﾞﾗ(LBRZ102) / LR4080SR-TSB / GA000087
LPM / ｵｰﾄﾗﾍﾞﾗ(LBRZ201) / LR4080SR-TSB / GA000088
LPM / ｵｰﾄﾗﾍﾞﾗ(LBRZ202) / LR4080SR-TSB / GA000089</t>
  </si>
  <si>
    <t>ブランド / 機器構成名(個体名) / 型式 / シリアル番号
AWC7 Framework / AWC7本体(HF-W6555)(AWC001) / HJ-6555-WEJD/DF05 / 4240422-6</t>
  </si>
  <si>
    <t>2205-002 / 2507-002</t>
  </si>
  <si>
    <t>ブランド / 機器構成名(個体名) / 型式 / シリアル番号
AWC7 Ordermade / AWC7本体(HF-W6560)(WMS001) / HJ-6560-WFJB/7R / 4525836-4
AWC7 Ordermade / 自動倉庫制御PC (HF-W6560)(AWC01) / HJ-6560-WFJB/7R / 4525836-5
AWC7 Ordermade / ﾊﾝﾃﾞｨﾏﾈｰｼﾞｬ (HF-W6560)(AWC02) / HJ-6560-WFJB/7R / 4525836-6
AWC7 Ordermade / 2F入出庫ゲート端末 (HF-W2050)(WAT001) / HJ-2050-WEMA/DF03 / 8055584-10
AWC7 Ordermade / 3F入出庫ゲート端末(HF-W6555)(WMS001) / HJ-6555-WEJD/7R / 4522104-2</t>
  </si>
  <si>
    <t>2023030902-223-1 / 2023030904-223-1 / 2023030906-223-1</t>
  </si>
  <si>
    <t>ブランド / 機器構成名(個体名) / 型式 / シリアル番号
eAWC Framework / 予措庫管理PC(FC-S36W)(AWC002) / FC-S36W-143CV7 / 1100322
SAM / SAM(FC-S36W)(SAM001) / FC-S36W-143CV7 / 1100319
eWareNavi Framework Custom / ﾏﾃﾊﾝ端末(FC-E22U)(WAT001) / FC-E22U-S / 1215611
eWareNavi Framework Custom / MOSⅦ本体(FC-E27B)(MOS001) / FC-E27B-S / 1313520
SAM / MOSⅦ本体(FC-E27B)(MOS002) / FC-E27B-S / 1313519
eWareNavi Framework Custom / MOSⅦ本体(FC-E27B)(MOS003) / FC-E27B-S / 1313518
eWareNavi Framework Custom / MOSⅦ本体(FC-E27B)(MOS004) / FC-E27B-S / 1313517
SAM / MOSⅦ端末(FC-P31X)(MOS401) / FC-P31X-L1 / 1900475</t>
  </si>
  <si>
    <t>CE451927</t>
  </si>
  <si>
    <t>ブランド / 機器構成名(個体名) / 型式 / シリアル番号
eWareNavi Framework Custom / ﾏﾃﾊﾝｻｰﾊﾞ(SPARC M10-1)(AWC001) / SPMAKAA1EF / PZ32108007</t>
  </si>
  <si>
    <t>ブランド / 機器構成名(個体名) / 型式 / シリアル番号
WareNavi7 / WareNavi7本体(HF-W6555)(AWC001) / HJ-6555-WEJD/DF05 / 4239000-1</t>
  </si>
  <si>
    <t>熊本物流センター</t>
  </si>
  <si>
    <t>2141551 / 2141553 / 2141557</t>
  </si>
  <si>
    <t>43201A173-001</t>
  </si>
  <si>
    <t>ブランド / 機器構成名(個体名) / 型式 / シリアル番号
eye-navi(要冷) / ﾗﾍﾞﾙﾌﾟﾘﾝﾀ (要冷Aライン)(LPR11) / CL4NX-J08 Plus / FA103843
eye-navi(要冷) / ﾗﾍﾞﾙﾌﾟﾘﾝﾀ (要冷Aライン)(LPR12) / CL4NX-J08 Plus / FA103842
eye-navi(要冷) / ﾗﾍﾞﾙﾌﾟﾘﾝﾀ (要冷Bライン)(LPR21) / CL4NX-J08 Plus / FA103839
eye-navi(要冷) / ﾗﾍﾞﾙﾌﾟﾘﾝﾀ (要冷Bライン)(LPR22) / CL4NX-J08 Plus / FA103836
eye-navi(要冷) / ﾗﾍﾞﾙﾌﾟﾘﾝﾀ予備(LPR予備) / CL4NX-J08 Plus / FA103841
eye-navi(ﾄﾞﾗｲ) / ﾗﾍﾞﾙﾌﾟﾘﾝﾀ (ドライEライン)(LPR51) / CL4NX-J08 Plus / FA103828
eye-navi(ﾄﾞﾗｲ) / ﾗﾍﾞﾙﾌﾟﾘﾝﾀ (ドライEライン)(LPR52) / CL4NX-J08 Plus / FA103833
eye-navi(ﾄﾞﾗｲ) / ﾗﾍﾞﾙﾌﾟﾘﾝﾀ (ドライFライン)(LPR61) / CL4NX-J08 Plus / FA103829
eye-navi(ﾄﾞﾗｲ) / ﾗﾍﾞﾙﾌﾟﾘﾝﾀ (ドライFライン)(LPR62) / CL4NX-J08 Plus / FA103832
eye-navi(青果) / ﾗﾍﾞﾙﾌﾟﾘﾝﾀ(LPR31) / CL4NX-J08 Plus / FA103827
eye-navi(青果) / ﾗﾍﾞﾙﾌﾟﾘﾝﾀ(LPR32) / CL4NX-J08 Plus / FA103825</t>
  </si>
  <si>
    <t>2023020702-221-1 / 2023020704-221-1</t>
  </si>
  <si>
    <t>ブランド / 機器構成名(個体名) / 型式 / シリアル番号
JCM(要冷) / JCM (FC-S36W)(JCM01) / FC-S36W-143CV7 / 0X00316
JCM(要冷) / ﾏﾈｰｼﾞｬ予備機 (FC-S36W)(ﾏﾈｰｼﾞｬ予備) / FC-S36W-143CV7 / 0X00305
eye-navi(要冷) / DPM (FC-S36W)(DPM01) / FC-S36W-143CV7 / 0X00303
eye-navi(要冷) / DPM (FC-S36W)(DPM02) / FC-S36W-143CV7 / 0X00310
eye-navi(要冷) / 寄せ端末 (FC-E22U)(WAT12) / FC-E22U-S / 0Z15003
eye-navi(要冷) / 寄せ端末 (FC-E22U)(WAT22) / FC-E22U-S / 0Y14989
eye-navi(要冷) / 低頻度投入端末 (FC-E22U)(WAT11) / FC-E22U-S / 0Y14990
eye-navi(要冷) / 低頻度投入端末 (FC-E22U)(WAT21) / FC-E22U-S / 0Y14987
JCM(ﾄﾞﾗｲ) / JCM (FC-S36W)(JCM03) / FC-S36W-143CV7 / 0X00304
eye-navi(ﾄﾞﾗｲ) / DPM (FC-S36W)(DPM05) / FC-S36W-143CV7 / 0X00302
eye-navi(ﾄﾞﾗｲ) / DPM (FC-S36W)(DPM06) / FC-S36W-143CV7 / 0X00311
eye-navi(ﾄﾞﾗｲ) / 寄せ端末 (FC-E22U)(WAT52) / FC-E22U-S / 0Y14988
eye-navi(ﾄﾞﾗｲ) / 寄せ端末 (FC-E22U)(WAT62) / FC-E22U-S / 0Z15004
eye-navi(ﾄﾞﾗｲ) / 低頻度投入端末 (FC-E22U)(WAT51) / FC-E22U-S / 0Z15006
eye-navi(ﾄﾞﾗｲ) / 低頻度投入端末 (FC-E22U)(WAT61) / FC-E22U-S / 0Z15002
eye-navi(青果) / DPMｻｰﾊﾞ (FC-S36W)(JCM02) / FC-S36W-143CV7 / 0X00312
eye-navi(青果) / DPM (FC-S36W)(DPM03) / FC-S36W-143CV7 / 0X00301
eye-navi(青果) / 寄せ端末 (FC-E22U)(WAT32) / FC-E22U-S / 0Z15114</t>
  </si>
  <si>
    <t>ブランド / 機器構成名(個体名) / 型式 / シリアル番号
AWC7 Framework / AWC7本体(FC-S36W)(AWC001) / FC-S36W-143CV7 / 3Y01029</t>
  </si>
  <si>
    <t>ブランド / 機器構成名(個体名) / 型式 / シリアル番号
DAM / DAM本体(FC-S36W)(DAM) / FC-S36W-113CW5 / 4200163</t>
  </si>
  <si>
    <t>ポッカサッポロフード＆ビバレッジ株式会社</t>
  </si>
  <si>
    <t>2019100210-216-1</t>
  </si>
  <si>
    <t>10463-025-001</t>
  </si>
  <si>
    <t>ブランド / 機器構成名(個体名) / 型式 / シリアル番号
AWC-800U / AWC端末 (FC-E22U)(WSC01) / FC-E22U-S / 7903962
AWC-800U / AWC端末 (FC-E22U)(WSC02) / FC-E22U-S / 7903978
AWC-800U / AWC端末 (FC-E22U)(WSC03) / FC-E22U-S / 7903967
AWC-800U / AWC端末 (FC-E22U)(WSC04) / FC-E22U-S / 7903979</t>
  </si>
  <si>
    <t>CE451387</t>
  </si>
  <si>
    <t>ブランド / 機器構成名(個体名) / 型式 / シリアル番号
AWC-800U / AWCｻｰﾊﾞ (SPARC M10-1)(AWC01) / SPMAKAA1DL / PZ31739055</t>
  </si>
  <si>
    <t xml:space="preserve">コンピュータ点検：問題無し
</t>
  </si>
  <si>
    <t>ブランド / 機器構成名(個体名) / 型式 / シリアル番号
eAWC Ordermade(ﾌﾞﾛｯｸ中間) / eAWC本体 (FC-S36W)(EAWC002) / FC-S36W-143CV7 / 1900513
eAWC Ordermade(ﾌﾞﾛｯｸ中間) / eAWC端末 (FC-E22U)(WAT0219) / FC-E22U-S / 1X17017
eAWC Ordermade(ﾌﾞﾛｯｸｼﾘﾝﾀﾞ) / AGC MOS (FC-E22U)(MOS01) / FC-E22U-S / 0513270
eAWC Ordermade(ﾍｯﾄﾞｼﾘﾝﾀﾞ) / AGC MOS (FC-E22U)(MOS04) / FC-E22U-S / 0513264
eAWC Ordermade(ｸﾗﾝｸｼｬﾌﾄ) / AGC MOS (FC-E22U)(MOS05) / FC-E22U-S / 1816495
eAWC Ordermade(ﾌﾞﾛｯｸ中間) / AGC MOS (FC-E22U)(MOS02) / FC-E22U-S / 1816570
eAWC Ordermade(ﾀﾞﾐｰﾍｯﾄﾞ) / AGC MOS (FC-E22U)(MOS03) / FC-E22U-S / 1816571
eAWC Ordermade(ﾌﾞﾛｯｸｼﾘﾝﾀﾞ) / AGC MOS予備機 (FC-E22U)(MOS予備) / FC-E22U-S / 0Z15266</t>
  </si>
  <si>
    <t>ブランド / 機器構成名(個体名) / 型式 / シリアル番号
通信PC / 通信PC (FC-E22U)(GOFA5208) / FC-E22U-SR / 2200130</t>
  </si>
  <si>
    <t>ブランド / 機器構成名(個体名) / 型式 / シリアル番号
LPM / ｵｰﾄﾗﾍﾞﾗ(AL01) / LR4080SR-TSB / 16050031
LPM / ｵｰﾄﾗﾍﾞﾗ(AL02) / LR4080SR-TSB / 16050032
LPM / ｵｰﾄﾗﾍﾞﾗ(AL03) / LR4080SR-TSB / 16050033
LPM / ｵｰﾄﾗﾍﾞﾗ(AL04) / LR4080SR-TSB / 16050034</t>
  </si>
  <si>
    <t>2025061002-224-1</t>
  </si>
  <si>
    <t>ブランド / 機器構成名(個体名) / 型式 / シリアル番号
SAM / SAM本体(FC-S35W/S4)(SAM01) / FC-S35W/S42CM0 / S660184MA
SAM / リジェクト端末兼MOS(FC-S35W/S4)(MOS) / FC-S35W/S42CM0 / S620591MA
LPM / LPM本体(FC-S35W/S4)(LPM01) / FC-S35W/S42CM0 / S650974MA</t>
  </si>
  <si>
    <t>【システム点検】※プロダクト対象外の為、診断対象外。　/【契約情報：1号機】</t>
  </si>
  <si>
    <t>ブランド / 機器構成名(個体名) / 型式 / シリアル番号
AWC7 Basic(1号機) / AWC7本体 (FC-S36W)(AWC001) / FC-S36W-143CV7 / 0400175</t>
  </si>
  <si>
    <t>ブランド / 機器構成名(個体名) / 型式 / シリアル番号
AWC7 Basic(2号機) / AWC7本体(HF-W6555)(AWC001) / HJ-6555-WEJD/DF05 / 4241047-4
AWC7 Basic(2号機) / AWC7端末(HF-W2050)(WAT001) / HJ-2050-WEMA/DF03 / 8055129-6</t>
  </si>
  <si>
    <t>吉井倉庫</t>
  </si>
  <si>
    <t>ブランド / 機器構成名(個体名) / 型式 / シリアル番号
WareNavi7 / WareNavi7本体(FC-S36W)(WN7-001) / FC-S36W-143CV7 / 1200328
WareNavi7 / 【1Fﾋﾟｯｷﾝｸﾞst】WareNavi7端末(FC-E22U)(WAT001) / FC-E22U-S / 1215607
WareNavi7 / 【1Fﾋﾟｯｷﾝｸﾞst】WareNavi7端末(FC-E22U)(WAT002) / FC-E22U-S / 1215605
WareNavi7 / 【1F入庫st】WareNavi7端末(FC-E22U)(WAT003) / FC-E22U-S / 1215604
WareNavi7 / 【2F入庫st】WareNavi7端末(FC-E22U)(WAT004) / FC-E22U-S / 1215612</t>
  </si>
  <si>
    <t>ブランド / 機器構成名(個体名) / 型式 / シリアル番号
WareNavi7 / MOSⅦ(MOS01) / HJ-2055-WEMA/DF04 / 8051465-1</t>
  </si>
  <si>
    <t>2023041012-224-1 / 2023040602-221-1 / 2025012409-224-1</t>
  </si>
  <si>
    <t>ブランド / 機器構成名(個体名) / 型式 / シリアル番号
WareNavi7 / ﾏﾃﾊﾝｻｰﾊﾞ(Express5800/R320h-M4)(WCSZ001) / N8800-302Y / 1X00137
WareNavi7 / ｻｰﾊﾞ用UPS(WCSZ001) / 無停電電源装置(1500VA,ﾗｯｸﾏｳﾝﾄ)N8142-101 / 
WareNavi7 / ｻｰﾊﾞ用UPS(WCSZ001) / 無停電電源装置(1500VA,ﾗｯｸﾏｳﾝﾄ)N8142-101 / 
WareNavi7 / WareNavi7本体/FS(FC-S36W)(WNVA002) / FC-S36W-143CV7 / 1900485
WareNavi7 / WareNavi7本体/CS(FC-S36W)(WNVA001) / FC-S36W-143CV7 / 1900486
SAM / SAM(FC-S36W)(SAMZ001) / FC-S36W-143CV7 / 1900487
LPM / LPM(FC-S36W)(LPMZ101) / FC-S36W-143CV7 / 1900484
LPM / LPM(FC-S36W)(LPMZ102) / FC-S36W-143CV7 / 1900495
LPM / LPM(FC-S36W)(LPMZ103) / FC-S36W-143CV7 / 1900489
WareNavi7 / 事務所端末(FC-E22U)(WATZ106) / FC-E22U-S / 1X16994
WareNavi7 / 作業表示端末(FC-E22U)(WATZ103) / FC-E22U-S / 1X17019
WareNavi7 / 作業表示端末(FC-E22U)(WATZ104) / FC-E22U-S / 1X17023
WareNavi7 / 作業表示端末(FC-E22U)(WATZ105) / FC-E22U-S / 1X17022
SAM / ﾘｼﾞｪｸﾄ端末(FC-E22U)(WATZ102) / FC-E22U-S / 1X16993
WareNavi7 / MOSⅦ本体(FC-E27B)(MOSA001) / FC-E27B-S / 1X14695
WareNavi7 / MOSⅦ本体(FC-E27B)(MOSB001) / FC-E27B-S / 1X14621
WareNavi7 / MOSⅦ本体(FC-E27B)(MOSZ001) / FC-E27B-S / 1X14656</t>
  </si>
  <si>
    <t>ブランド / 機器構成名(個体名) / 型式 / シリアル番号
WareNavi7 / ﾗﾍﾞﾙﾌﾟﾘﾝﾀ(LPTZ104) / CL4NX-J08 Plus / FH100044
WareNavi7 / ﾗﾍﾞﾙﾌﾟﾘﾝﾀ(LPTZ105) / CL4NX-J08 Plus / FH100001
WareNavi7 / ﾗﾍﾞﾙﾌﾟﾘﾝﾀ(LPTZ106) / CL4NX-J08 Plus / FH100092
SAM / ﾗﾍﾞﾙﾌﾟﾘﾝﾀ(LPTZ103) / CL4NX-J08 Plus / FH100073
LPM / ﾗﾍﾞﾙﾌﾟﾘﾝﾀ(LPTZ101) / CL4NX-J08 Plus / FH100082
LPM / ﾗﾍﾞﾙﾌﾟﾘﾝﾀ(LPTZ102) / CL4NX-J08 Plus / FH100065
LPM / ｵｰﾄﾗﾍﾞﾗ(LR4081SR-TSJ)(LBRZ101) / LR4081SR-TSJ / FL000061
LPM / ｵｰﾄﾗﾍﾞﾗ(LR4081SR-TSJ)(LBRZ102) / LR4081SR-TSJ / FL000062
LPM / ｵｰﾄﾗﾍﾞﾗ(LR4080SR-TSJ)(LBRZ103) / LR4080SR-TSJ / FL000063
LPM / ｵｰﾄﾗﾍﾞﾗ(LR4080SR-TSJ)(LBRZ104) / LR4080SR-TSJ / FL000064</t>
  </si>
  <si>
    <t>株式会社アイシーカーゴ</t>
  </si>
  <si>
    <t>太田流通センター</t>
  </si>
  <si>
    <t>2022072704-221-1</t>
  </si>
  <si>
    <t>10205A100-001</t>
  </si>
  <si>
    <t>ブランド / 機器構成名(個体名) / 型式 / シリアル番号
eSAM / SAM本体 (FC-S35W/S7)(SAM01) / FC-S35W/S72CL9 / S850362MA</t>
  </si>
  <si>
    <t>伊勢崎流通センター</t>
  </si>
  <si>
    <t>ソーター設備</t>
  </si>
  <si>
    <t>2022072702-221-1</t>
  </si>
  <si>
    <t>10204-177-003</t>
  </si>
  <si>
    <t>ブランド / 機器構成名(個体名) / 型式 / シリアル番号
SAM / SAM(FC-S35W/S7)(SAM001) / FC-S35W/S72CL9 / S850363MA</t>
  </si>
  <si>
    <t>2022051003-221-1</t>
  </si>
  <si>
    <t>ブランド / 機器構成名(個体名) / 型式 / シリアル番号
WareNavi7 / MOSⅦ(MOS01) / FC-E27B-S / 1413738</t>
  </si>
  <si>
    <t>ブランド / 機器構成名(個体名) / 型式 / シリアル番号
WareNavi7 / WareNavi7本体(HF-W6555)(WN7-001) / HJ-6555-WEJD/DF05 / 4238999-1
WareNavi7 / WareNavi7端末(HF-W2050)(WAT001) / HJ-2050-WEMA/DF03 / 8051460-1</t>
  </si>
  <si>
    <t>2018081604-216-1 / 2018081606-216-1 / 2025090802-221-1</t>
  </si>
  <si>
    <t>ブランド / 機器構成名(個体名) / 型式 / シリアル番号
WareNavi4 Framework / WareNavi4本体 (FC-S35W/S7)(WMS001) / FC-S35W/S72CL9 / S450754MA
WareNavi4 Framework / WareNavi4端末 (FC-E16U/S7)(WAT001) / FC-E16U/S71R4Z / S490737MA
WareNavi4 Framework / WareNavi4端末 (FC-E16U/S7)(WAT002) / FC-E16U/S71R4Z / S490730MA
WareNavi4 Framework / MOSⅦ(MOS01) / FC-E22K-L / 4X02694</t>
  </si>
  <si>
    <t>2023011308-221-2 / 2023091103-224-1</t>
  </si>
  <si>
    <t>ブランド / 機器構成名(個体名) / 型式 / シリアル番号
WareNavi7 / WareNavi7ｻｰﾊﾞ(Express5800/R320h-M4)(WN7-001) / N8800-302Y / 2400168
WareNavi7 / ｻｰﾊﾞ用UPS(WN7-001) / 無停電電源装置(1500VA)N8180-67 / J12142213335
WareNavi7 / ｻｰﾊﾞ用UPS(WN7-001) / 無停電電源装置(1500VA)N8180-67 / J12142213325
WareNavi7 / WareNavi7端末(FC-E22U)(WATA001) / FC-E22U-S / 1X17232
WareNavi7 / WareNavi7端末(FC-E22U)(WATA002) / FC-E22U-S / 1X17215
WareNavi7 / WareNavi7端末(FC-E22U)(WATA003) / FC-E22U-S / 1X17218
WareNavi7 / WareNavi7端末(FC-E22U)(WATB001) / FC-E22U-S / 1X17228
WareNavi7 / WareNavi7端末(FC-E22U)(WATB002) / FC-E22U-S / 1Y17297
WareNavi7 / WareNavi7端末(FC-E22U)(WATB003) / FC-E22U-S / 1X17234</t>
  </si>
  <si>
    <t>ブランド / 機器構成名(個体名) / 型式 / シリアル番号
WareNavi7 / MOSⅦ本体(HF-W2055)(MOSA001) / HJ-2055-WEMA/DF04 / 8053654-1
WareNavi7 / MOSⅦ本体(HF-W2055)(MOSB001) / HJ-2055-WEMA/DF04 / 8053654-2</t>
  </si>
  <si>
    <t>ブランド / 機器構成名(個体名) / 型式 / シリアル番号
AWC-500N / AWC本体 (FC-S35W/S7)(AWC001) / FC-S35W/S72CL9 / S521446MA
AWC-500N / AWC端末 (FC-E16U/S7)(WAT001) / FC-E16U/S71R4Z / S580999MA
AWC-500N / AWC端末 (FC-E16U/S7)(WAT002) / FC-E16U/S71R4Z / S581005MA</t>
  </si>
  <si>
    <t>ブランド / 機器構成名(個体名) / 型式 / シリアル番号
DPM / ﾏﾃﾊﾝｻｰﾊﾞ(FC-S36W)(TPSSV) / FC-S36W-143CV7 / 0700208
DPM / ﾏﾃﾊﾝｻｰﾊﾞ予備機(FC-S36W)(TPSSV予備) / FC-S36W-143CV7 / 0700221
DPM / DPM(FC-E22U)(DPM01) / FC-E22U-S / 0613661
DPM / DPM端末(FC-E22U)(DPW01) / FC-E22U-S / 0613671</t>
  </si>
  <si>
    <t>大内新興化学工業株式会社</t>
  </si>
  <si>
    <t>須賀川工場</t>
  </si>
  <si>
    <t>自動倉庫(オートデポ)(KU)</t>
  </si>
  <si>
    <t>FA115</t>
  </si>
  <si>
    <t>07207-026-002</t>
  </si>
  <si>
    <t>ブランド / 機器構成名(個体名) / 型式 / シリアル番号
AWC4-RⅡ / AWC4本体(FA3100SS model 1000)(AWC001) / UD431016-01-DHT / OEY604</t>
  </si>
  <si>
    <t>日本パッキング工業株式会社</t>
  </si>
  <si>
    <t>白河製作所</t>
  </si>
  <si>
    <t>金型保管用自動倉庫</t>
  </si>
  <si>
    <t>1802-005</t>
  </si>
  <si>
    <t>07463-011-006</t>
  </si>
  <si>
    <t>ブランド / 機器構成名(個体名) / 型式 / シリアル番号
AWC-100N+ / AWC本体（HF-W6545）(AWC001) / HJ-65459EWJD/DF01 / 4229042-1</t>
  </si>
  <si>
    <t>第四グループ製品自動倉庫</t>
  </si>
  <si>
    <t>1902-010</t>
  </si>
  <si>
    <t>07463-011-007</t>
  </si>
  <si>
    <t>ブランド / 機器構成名(個体名) / 型式 / シリアル番号
eAWC Framework / eAWC本体 (HF-W6545)(EAWC001) / HJ-65459EWJD/DF01 / 4231665-1</t>
  </si>
  <si>
    <t>第三グループ製品自動倉庫2号機</t>
  </si>
  <si>
    <t>1902-009</t>
  </si>
  <si>
    <t>07463-011-009</t>
  </si>
  <si>
    <t>ブランド / 機器構成名(個体名) / 型式 / シリアル番号
AWC4 Basic / AWC4本体 (HF-W6545)(3g-rack5) / HJ-65459EWJD/DF01 / 4232159-1</t>
  </si>
  <si>
    <t>　/【契約情報：AWC4(CRM)】</t>
  </si>
  <si>
    <t>ブランド / 機器構成名(個体名) / 型式 / シリアル番号
AWC4(CRM) / AWC4本体 (FC-S36W)(AWC001) / FC-S36W-143CV7 / 5701365</t>
  </si>
  <si>
    <t>第三グループ製品自動倉庫</t>
  </si>
  <si>
    <t>1702-002</t>
  </si>
  <si>
    <t>07463-011-004</t>
  </si>
  <si>
    <t>ブランド / 機器構成名(個体名) / 型式 / シリアル番号
AWC4 Framework / AWC4本体 (HF-W6545)(S-3g-rack3) / HJ-65459EWJD/DF01 / 4227240-1</t>
  </si>
  <si>
    <t>第二グループ製品自動倉庫</t>
  </si>
  <si>
    <t>1702-001</t>
  </si>
  <si>
    <t>07463-011-005</t>
  </si>
  <si>
    <t>ブランド / 機器構成名(個体名) / 型式 / シリアル番号
AWC4 Basic / AWC4本体 (HF-W6545)(S-2g-rack4) / HJ-65459EWJD/DF01 / 4227347-1</t>
  </si>
  <si>
    <t>小名浜工場</t>
  </si>
  <si>
    <t>倉庫棟 マテハン設備</t>
  </si>
  <si>
    <t>2023061312-224-1 / 2023061314-224-1 / 2023061316-224-1</t>
  </si>
  <si>
    <t>07204-099-002</t>
  </si>
  <si>
    <t>ブランド / 機器構成名(個体名) / 型式 / シリアル番号
WareNavi7 / WareNavi7ｻｰﾊﾞ(Express5800/R320h-M4)(WMS5101) / N8800-306Y / 2800140
WareNavi7 / ｻｰﾊﾞ用UPS(WMS5101) / 無停電電源装置(1500VA,ﾗｯｸﾏｳﾝﾄ)N8142-101 / J12203112539
WareNavi7 / ｻｰﾊﾞ用UPS(WMS5101) / 無停電電源装置(1500VA,ﾗｯｸﾏｳﾝﾄ)N8142-101 / J12203112536
WareNavi7 / WareNavi7端末/BCR付(FC-E29U)(WMS5102) / FC-E29U-L / 2X00280
WareNavi7 / WareNavi7端末/BCR付(FC-E29U)(WMS5103) / FC-E29U-L / 2X00278
WareNavi7 / WareNavi7端末/BCR付(FC-E29U)(WMS5202) / FC-E29U-L / 2X00267
WareNavi7 / WareNavi7端末(FC-E29U)(WMS5201) / FC-E29U-L / 2X00279
WareNavi7 / WareNavi7端末(PC-VKE19/X-9)(WMS6161) / PC-VKE19XZG9 / 28003271A
WareNavi7 / WareNavi7端末(PC-VKE19/X-9)(WMS6261) / PC-VKE19XZG9 / 28003281A
WareNavi7 / MOSⅦ(FC-E22K)(MOSA001) / FC-E22K-L / 2X00495</t>
  </si>
  <si>
    <t>ブランド / 機器構成名(個体名) / 型式 / シリアル番号
RTS-100 / WSC端末(FC-E29U)(WSC01) / FC-E29U-L / 2X00262
RTS-100 / MOSⅦ本体(9Y-MOS-OYA) / FC-E22K-L / 4402134
RTS-100 / MOSⅦ端末(9Y-MOS-KO1) / FC-P31X-L1 / 3202032
RTS-100 / MOSⅦ端末(9Y-MOS-KO2) / FC-P31X-L1 / 3202039</t>
  </si>
  <si>
    <t xml:space="preserve">ブランド / 機器構成名(個体名) / 型式 / シリアル番号
RTS-100 / RTSｻｰﾊﾞ (SPARC M10-1)(AWC01) / SPMAKAA1EF / PZ32028006
RTS-100 / RTSｻｰﾊﾞ予備機 (SPARC M12-1)(WN001) / SPNAAAA4EF / 
RTS-100 / RTSｻｰﾊﾞ予備機 (SPARC M12-1)(WN001) / 無停電電源装置(1500VA,ﾗｯｸﾏｳﾝﾄ)PY-UPAR152 / 
WareNavi4 Ordermade / WareNavi4ｻｰﾊﾞ 生産用(SPARC M12-1)(WN001(PROD)) / SPNAAAA4EF / 
WareNavi4 Ordermade / WareNavi4ｻｰﾊﾞ 生産用(SPARC M12-1)(WN001(PROD)) / 無停電電源装置(1500VA,ﾗｯｸﾏｳﾝﾄ)PY-UPAR152 / 
WareNavi4 Ordermade / WareNavi4ｻｰﾊﾞ 検証用(SPARC M12-1)(WN001(VALD)) / SPNAAAA4EF / 
WareNavi4 Ordermade / WareNavi4ｻｰﾊﾞ 検証用(SPARC M12-1)(WN001(VALD)) / 無停電電源装置(1500VA,ﾗｯｸﾏｳﾝﾄ)PY-UPAR152 / </t>
  </si>
  <si>
    <t>ブランド / 機器構成名(個体名) / 型式 / シリアル番号
AWC-500N / AWC本体 (FC-S35W/S7)(AWC001) / FC-S35W/S72CL9 / S520516MA</t>
  </si>
  <si>
    <t>ブランド / 機器構成名(個体名) / 型式 / シリアル番号
AWC4 Framework / AWC4本体(HF-W6555)(AWC001) / HJ-6555-WEJD/DF05 / 4237275-1
AWC4 Framework / AWC4本体予備機(HF-W6555)(AWC001予備機) / HJ-6555-WEJD/DF05 / 4237276-1
AWC4 Framework / AWC4端末(HF-W2045)(WAT002) / HJ-2045-WEJA/DF03 / 4237295-1
AWC4 Framework / AWC4端末(HF-W2045)(WAT003) / HJ-2045-WEJA/DF03 / 4237296-1
AWC4 Framework / AWC4端末(HF-W2045)(WAT004) / HJ-2045-WEJA/DF03 / 4237297-1
AWC4 Framework / AWC4端末(HF-W2045)(WAT006) / HJ-2045-WEJA/DF03 / 4237298-1
AWC4 Framework / AWC4端末(HF-W2045)(WAT007) / HJ-2045-WEJA/DF03 / 4237299-1
AWC4 Framework / AWC4端末(HF-W2045)(WAT010) / HJ-2045-WEJA/DF03 / 4237300-1
AWC4 Framework / AWC4端末(HF-W2045)(WAT011) / HJ-2045-WEJA/DF03 / 4237301-1
AWC4 Framework / AWC4端末(HF-W2045)(WAT012) / HJ-2045-WEJA/DF03 / 4237302-1
AWC4 Framework / AWC4端末(HF-W2045)(WAT015) / HJ-2045-WEJA/DF03 / 4237303-1
AWC4 Framework / AWC4端末/BCR付(HF-W2045)(WAT005) / HJ-2045-WEJA/DF03 / 4237304-1
AWC4 Framework / AWC4端末/BCR付(HF-W2045)(WAT008) / HJ-2045-WEJA/DF03 / 4237305-1
AWC4 Framework / AWC4端末/BCR付(HF-W2045)(WAT009) / HJ-2045-WEJA/DF03 / 4237306-1
AWC4 Framework / AWC4端末/BCR付(HF-W2045)(WAT013) / HJ-2045-WEJA/DF03 / 4237307-1
AWC4 Framework / AWC4端末/BCR付(HF-W2045)(WAT014) / HJ-2045-WEJA/DF03 / 4237308-1</t>
  </si>
  <si>
    <t>●上位　/【契約情報：CSシステム】</t>
  </si>
  <si>
    <t>ブランド / 機器構成名(個体名) / 型式 / シリアル番号
AWC-300N / AWC本体 (FC-S36W)(AWC001) / FC-S36W-133CW4 / 3Y00319</t>
  </si>
  <si>
    <t>ブランド / 機器構成名(個体名) / 型式 / シリアル番号
AWC7 Basic / AWC7本体(HF-W6555)(AWC001) / HJ-6555-WEJD/DF05 / 4238990-1</t>
  </si>
  <si>
    <t>ブランド / 機器構成名(個体名) / 型式 / シリアル番号
AWC7 Framework / AWC7本体(FC-S36W)(AWC001) / FC-S36W-143CV7 / 4401159
AWC7 Framework / AWC7端末(FC-E29U)(WAT001) / FC-E29U-S31C42 / 3601096</t>
  </si>
  <si>
    <t>泉崎工場</t>
  </si>
  <si>
    <t>軟包装システム</t>
  </si>
  <si>
    <t>2210-002</t>
  </si>
  <si>
    <t>07464-020-001</t>
  </si>
  <si>
    <t>ブランド / 機器構成名(個体名) / 型式 / シリアル番号
RTS-100 / RTSｻｰﾊﾞ(EP8000 S914)(RTS00) / THE-C900941G623T / 71502</t>
  </si>
  <si>
    <t>株式会社エイチワン</t>
  </si>
  <si>
    <t>郡山製作所</t>
  </si>
  <si>
    <t>第１溶接工場 Ｐr仕掛品保管自動倉庫</t>
  </si>
  <si>
    <t>2024031314-224-1</t>
  </si>
  <si>
    <t>07203-036-003</t>
  </si>
  <si>
    <t>ブランド / 機器構成名(個体名) / 型式 / シリアル番号
AWC-100N+ / AWC端末 (FC-E16U/S7)(WAT001) / FC-E16U/S71R4Z / S3Z0261MA
AWC-100N+ / AWC端末 (FC-E16U/S7)(WAT002) / FC-E16U/S71R4Z / S3Z0263MA
AWC-100N+ / AWC端末 (FC-E16U/S7)(WAT003) / FC-E16U/S71R4Z / S3X1461MA
AWC-100N+ / AWC端末 (FC-E16U/S7)(WAT004) / FC-E16U/S71R4Z / S3X1463MA</t>
  </si>
  <si>
    <t>ブランド / 機器構成名(個体名) / 型式 / シリアル番号
eAWC Framework / eAWC本体(HF-W6555)(AWC001) / HJ-6555-WEJD/DF03 / 4237232-3</t>
  </si>
  <si>
    <t>株式会社エバルス</t>
  </si>
  <si>
    <t>広島ALC</t>
  </si>
  <si>
    <t>2020070917-216-1</t>
  </si>
  <si>
    <t>34100-032-001</t>
  </si>
  <si>
    <t>ブランド / 機器構成名(個体名) / 型式 / シリアル番号
eAWC Framework (FS) / MOSⅦ (FC-E27B)(MOSA01) / FC-E27B-S / 9809625
eAWC Framework (FS) / MOSⅦ (FC-E27B)(MOSA02) / FC-E27B-S / 9809626</t>
  </si>
  <si>
    <t>ひろしま農業協同組合</t>
  </si>
  <si>
    <t>三次地域　営農経済センター</t>
  </si>
  <si>
    <t>マジックアイルシステム</t>
  </si>
  <si>
    <t>2020012011-216-1</t>
  </si>
  <si>
    <t>34209-054-001</t>
  </si>
  <si>
    <t>ブランド / 機器構成名(個体名) / 型式 / シリアル番号
AWC-100N+ / AWC本体(FC-S35W/S7)(AWC001) / FC-S35W/S72CL9 / S780417MA
AWC-100N+ / AWC端末(FC-E22U)(WAT001) / FC-E22U-S / 7Z04810</t>
  </si>
  <si>
    <t>RDC中国</t>
  </si>
  <si>
    <t>2018070907-216-1</t>
  </si>
  <si>
    <t>34105-263-001</t>
  </si>
  <si>
    <t>AWC4ｻｰﾊﾞ(Express5800/R320-E4)(DB-SV)（N8800-201Y）2025年8月終息</t>
  </si>
  <si>
    <t>ブランド / 機器構成名(個体名) / 型式 / シリアル番号
AWC4 Framework / AWC4端末(FC-E16U/S7)(AWC003) / FC-E16U/S71R4Z / S661320MA</t>
  </si>
  <si>
    <t>日立インダストリアルプロダクツ</t>
  </si>
  <si>
    <t>広島ＲＤＣ</t>
  </si>
  <si>
    <t>H245-0181-02</t>
  </si>
  <si>
    <t>34212A103-001</t>
  </si>
  <si>
    <t>ブランド / 機器構成名(個体名) / 型式 / シリアル番号
BOXｿｰﾀｼｽﾃﾑ / BOXｿｰﾀｺﾝﾄﾛｰﾗｻｰﾊﾞ(HF-W7550)() / HJ-7550-SDJD/0R / 4523014-1</t>
  </si>
  <si>
    <t>2025101508-221-1 / 2025101510-221-1</t>
  </si>
  <si>
    <t>ブランド / 機器構成名(個体名) / 型式 / シリアル番号
WareNavi7 / WareNavi7本体(FC-S36W)(WNA001) / FC-S36W-113CW5 / 4800197
WareNavi7 / WrareNavi7本体予備機(FC-S36W)(WNA002) / FC-S36W-113CW5 / 4800199
WareNavi7 / MOSⅦｻｰﾊﾞ(FC-E22K)(MOSA001) / FC-E22K-L / 5703398</t>
  </si>
  <si>
    <t>2022051005-221-1 / 2022051007-221-1</t>
  </si>
  <si>
    <t>ブランド / 機器構成名(個体名) / 型式 / シリアル番号
eAWC Framework / eAWC本体(FC-S36W)(AWC001) / FC-S36W-143CV7 / 0X00306
eAWC Framework / eAWC端末(FC-E22U)(WAT001) / FC-E22U-S / 1115418
eAWC Framework / eAWC端末(FC-E22U)(WAT002) / FC-E22U-S / 0Z15110
eAWC Framework / eAWC端末(FC-E22U)(WAT003) / FC-E22U-S / 0Z15116</t>
  </si>
  <si>
    <t>丸井産業株式会社</t>
  </si>
  <si>
    <t>第１自動倉庫システム</t>
  </si>
  <si>
    <t>CE1003085 / CE150251</t>
  </si>
  <si>
    <t>34106-041-001</t>
  </si>
  <si>
    <t>ブランド / 機器構成名(個体名) / 型式 / シリアル番号
AWC7 Ordermade / DBｻｰﾊﾞ (SPARC M12-1)(AWC001) / SPNAAAA3EF / PZ72316011
AWC7 Ordermade / DBｻｰﾊﾞ (SPARC M12-1)(AWC002) / SPNAAAA3EF / PZ72317001
AWC7 Ordermade / DBｻｰﾊﾞ (SPARC M12-1)(AWC001) / 無停電電源装置(1500VA,ﾗｯｸﾏｳﾝﾄ)PY-UPAR152 / TT306A0125
AWC7 Ordermade / DBｻｰﾊﾞ (SPARC M12-1)(AWC002) / 無停電電源装置(1500VA,ﾗｯｸﾏｳﾝﾄ)PY-UPAR152 / TT306A0127
AWC7 Ordermade / DBｻｰﾊﾞ用共有ｽﾄﾚｰｼﾞ(AWCRAID) / ET065SA / 4602248113
AWC7 Ordermade / DBｻｰﾊﾞ用共有ｽﾄﾚｰｼﾞ(AWCRAID) / 無停電電源装置(1500VA,ﾗｯｸﾏｳﾝﾄ)PY-UPAR152 / TT306A0128
AWC7 Ordermade / APｻｰﾊﾞ (PRIMERGY RX1330 M5)(AWC701) / PYR1335R2S / MADM006085
AWC7 Ordermade / APｻｰﾊﾞ (PRIMERGY RX1330 M5)(AWC701) / 無停電電源装置(1500VA,ﾗｯｸﾏｳﾝﾄ)PY-UPAR152 / TT316A0178</t>
  </si>
  <si>
    <t>ブランド / 機器構成名(個体名) / 型式 / シリアル番号
DAM / DAM本体(FC-S36W)(DAM) / FC-S36W-113CW5 / 4200169</t>
  </si>
  <si>
    <t>2021031104-216-1 / 2025060910-224-1</t>
  </si>
  <si>
    <t>ブランド / 機器構成名(個体名) / 型式 / シリアル番号
CMC / ﾊﾟﾚｯﾄ系ﾒﾝﾃﾅﾝｽ端末 (FC-E22U)(WSC01) / FC-E22U-S / 0413062
CMC / ｹｰｽ系ﾒﾝﾃﾅﾝｽ端末 (FC-E22U)(WSC02) / FC-E22U-S / 0413077
SAM / SAM (FC-E22U)(SAM) / FC-E22U-S / 0413158
CMC / CMCｹﾞｰﾄｳｪｲ (FC-E22U)(CMC-GW) / FC-E22U-S / 9910811
CMC / CMCｹﾞｰﾄｳｪｲ予備機 (FC-E22U)(CMC-GW予備機) / FC-E22U-S / 9910817
CMC / 9Y-MOS (FC-E22U)(MOS01) / FC-E22U-S / 0413149
CMC / 9Y-MOS (FC-E22U)(MOS02) / FC-E22U-S / 0413146</t>
  </si>
  <si>
    <t>ブランド / 機器構成名(個体名) / 型式 / シリアル番号
SAM / ｵｰﾄﾗﾍﾞﾗ(ALB01) / LR4NX-FA08LA / GH000020
SAM / ｵｰﾄﾗﾍﾞﾗ(ALB02) / LR4NX-FA08LA / GE000004
SAM / ｵｰﾄﾗﾍﾞﾗ(ALB03) / LR4NX-FA08LA / GE000003
SAM / ｵｰﾄﾗﾍﾞﾗ(ALB04) / LR4NX-FA08LA / GE000005
SAM / ｵｰﾄﾗﾍﾞﾗ(ALB05) / LR4NX-FA08LA / GH000021
SAM / ｵｰﾄﾗﾍﾞﾗ (椿本ﾗｲﾝ)(ALB06) / LR4NX-FA08LA / GH000019</t>
  </si>
  <si>
    <t>CE150206</t>
  </si>
  <si>
    <t>ブランド / 機器構成名(個体名) / 型式 / シリアル番号
CMC / ﾊﾟﾚｯﾄ系CMC (SPARC M12-1)(CMC01) / SPNAAAA3EF / 90076645
CMC / ｹｰｽ系CMC (SPARC M12-1)(CMC02) / SPNAAAA3EF / 90076646</t>
  </si>
  <si>
    <t>2206-002 / 2206-003</t>
  </si>
  <si>
    <t>ブランド / 機器構成名(個体名) / 型式 / シリアル番号
WareNavi7 / WareNavi7本体(HF-W6555)(WN7-001) / HJ-6555-WEJD/DF05 / 4238152-5
WareNavi7 / WareNavi7端末(HF-W2050)(WAT001) / HJ-2050-WEMA/DF03 / 8050686-1
WareNavi7 / WareNavi7端末(HF-W2050)(WAT002) / HJ-2050-WEMA/DF03 / 8050687-1
WareNavi7 / MOSⅦ(MOS01) / HJ-2055-WEMA/DF04 / 8050881-1</t>
  </si>
  <si>
    <t>2018051811-216-1</t>
  </si>
  <si>
    <t>39383-003-001</t>
  </si>
  <si>
    <t>ブランド / 機器構成名(個体名) / 型式 / シリアル番号
AWC4 Framework / AWC4本体(FC-S35W/S7)(AWC001) / FC-S35W/S72CL9 / S780005MA</t>
  </si>
  <si>
    <t>2109-007 / 2109-008</t>
  </si>
  <si>
    <t>ブランド / 機器構成名(個体名) / 型式 / シリアル番号
ｺﾝﾄﾛｰﾗ / MOSⅦｻｰﾊﾞ (HF-W2045)(MOS01) / HJ-2045-WEJA/7R / 4522193-1
ｺﾝﾄﾛｰﾗ / MOSⅦ端末 (HF-W2045)(MOS02) / HJ-2045-WEJA/DF03 / 4236665-1</t>
  </si>
  <si>
    <t>ブランド / 機器構成名(個体名) / 型式 / シリアル番号
DPM / ﾏﾃﾊﾝｻｰﾊﾞ(FC-S36W)(TPSSV) / FC-S36W-143CV7 / 0700217
DPM / ﾏﾃﾊﾝｻｰﾊﾞ予備機(FC-S36W)(TPSSV予備) / FC-S36W-143CV7 / 0700218
DPM / DPM(FC-E22U)(DPM01) / FC-E22U-S / 0613667
DPM / DPM端末(FC-E22U)(DPW01) / FC-E22U-S / 0613672</t>
  </si>
  <si>
    <t>歯磨棟自動倉庫設備</t>
  </si>
  <si>
    <t>2021090202-221-2 / 2025111208-225-1 / 2025120915-225-1</t>
  </si>
  <si>
    <t>ブランド / 機器構成名(個体名) / 型式 / シリアル番号
WareNavi7(SRS) / WareNavi7ｻｰﾊﾞ(Express5800/T120h)(WN7-004) / N8100-2783Y / JPN0434003
WareNavi7(SRS) / ｻｰﾊﾞ用UPS(WN7-004) / 無停電電源装置(1500VA)N8180-67 / J12517210516
WareNavi7(SRS) / MOSⅦ(FC-E27B)(MOSD01) / FC-E27B-S / 0X12505</t>
  </si>
  <si>
    <t>2021090222-221-1 / 2021090607-221-1</t>
  </si>
  <si>
    <t>【システム点検】※プロダクト対象外の為、診断対象外。　/【契約情報：原料倉庫】</t>
  </si>
  <si>
    <t>ブランド / 機器構成名(個体名) / 型式 / シリアル番号
WareNavi7(原料倉庫) / WareNavi7本体(FC-S36W)(WN7-002) / FC-S36W-143CV7 / 0800244
WareNavi7(原料倉庫) / MOSⅦ(FC-E27B)(MOSB01) / FC-E27B-S / 0912295</t>
  </si>
  <si>
    <t>2021090224-221-1 / 2021090609-221-1</t>
  </si>
  <si>
    <t>【システム点検】※プロダクト対象外の為、診断対象外。　/【契約情報：包材倉庫】</t>
  </si>
  <si>
    <t>ブランド / 機器構成名(個体名) / 型式 / シリアル番号
WareNavi7(包材倉庫) / WareNavi7本体(FC-S36W)(WN7-003) / FC-S36W-143CV7 / 0900256
WareNavi7(包材倉庫) / MOSⅦ(FC-E27B)(MOSC01) / FC-E27B-S / 0912296</t>
  </si>
  <si>
    <t>製品倉庫棟 自動倉庫</t>
  </si>
  <si>
    <t>2021090206-221-2 / 2025100705-225-1 / 2025111206-225-1</t>
  </si>
  <si>
    <t>37203-120-004</t>
  </si>
  <si>
    <t>ブランド / 機器構成名(個体名) / 型式 / シリアル番号
WareNavi7 / WareNavi7ｻｰﾊﾞ(Express5800/T120h)(WN7-001) / N8100-2783Y / JPN0384013
WareNavi7 / ｻｰﾊﾞ用UPS(WN7-001) / 無停電電源装置(1500VA)N8180-67 / J12517210519
WareNavi7 / MOSⅦ(FC-E27B)(MOSA01) / FC-E27B-S / 0711874</t>
  </si>
  <si>
    <t>歯磨棟 小物原料計量システム</t>
  </si>
  <si>
    <t>2021090210-221-1 / 2021090212-221-1</t>
  </si>
  <si>
    <t>ブランド / 機器構成名(個体名) / 型式 / シリアル番号
WareNavi7 / WareNavi7本体(FC-S36W)(WN7-005) / FC-S36W-143CV7 / 0080247
WareNavi7 / MOSⅦ(FC-E27B)(MOSE01) / FC-E27B-S / 0Z12958</t>
  </si>
  <si>
    <t>四国ＤＤＣ</t>
  </si>
  <si>
    <t>2019080816-216-1</t>
  </si>
  <si>
    <t>37203-082-001</t>
  </si>
  <si>
    <t>ブランド / 機器構成名(個体名) / 型式 / シリアル番号
管理ｻｰﾊﾞ / 管理ｻｰﾊﾞ (FC-E23W)(PDM) / FC-E23W-S / 7802134
管理ｻｰﾊﾞ / ｻｰﾊﾞ予備機 (FC-E23W)(PDM予備) / FC-E23W-S / 7802135
PCM / PCM / PCM予備機(FC-E23W)(PCM) / FC-E23W-S / 7802136
PCM / PCM / PCM予備機(FC-E23W)(PCM予備) / FC-E23W-S / 7802137
DPM / DPM （FC-E22U）(DPM01) / FC-E22U-S / 7603363
DPM / DPM （FC-E22U）(DPM02) / FC-E22U-S / 7603364
DPM / DPM予備機 （FC-E22U）(DPM予備) / FC-E22U-S / 7603371</t>
  </si>
  <si>
    <t>2023101804-224-1</t>
  </si>
  <si>
    <t>ブランド / 機器構成名(個体名) / 型式 / シリアル番号
AWC7 Framework / VTC(NT8000)(VTC01) / FC-E29U-S / 3801379</t>
  </si>
  <si>
    <t>CE1003352 / CE1003353 / CE1000568</t>
  </si>
  <si>
    <t xml:space="preserve">ブランド / 機器構成名(個体名) / 型式 / シリアル番号
AWC7 Framework / DBｻｰﾊﾞ (SPARC M12-1)(AWC01) / SPNAAAA4EL / PZ72426009
AWC7 Framework / DBｻｰﾊﾞ (SPARC M12-1)(AWC01) / 無停電電源装置(1500VA,ﾗｯｸﾏｳﾝﾄ)PY-UPAR152 / J12405111935
AWC7 Framework / APｻｰﾊﾞ (PRIMERGY RX1330 M5)(console) / PYR1335R2S / MADM016679
AWC7 Framework / APｻｰﾊﾞ (PRIMERGY RX1330 M5)(console) / 無停電電源装置(1500VA,ﾗｯｸﾏｳﾝﾄ)PY-UPAR152 / </t>
  </si>
  <si>
    <t>鴻巣第1CS</t>
  </si>
  <si>
    <t>株式会社ゼクロスクリエイティブ</t>
  </si>
  <si>
    <t>1508-002</t>
  </si>
  <si>
    <t>11301-089-001</t>
  </si>
  <si>
    <t>ブランド / 機器構成名(個体名) / 型式 / シリアル番号
AWC-100N+ / AWC本体 (HF-W6545)(AWC001) / HJ-65459EWJD/DF01 / 4225378-1
AWC-100N+ / AWC端末 (HF-W2035)(WAT001) / HJ-20359EWJA/DF01 / 4224742-1
AWC-100N+ / AWC端末 (HF-W2035)(WAT002) / HJ-20359EWJA/DF01 / 4224743-1
AWC-100N+ / AWC端末 (HF-W2035)(WAT003) / HJ-20359EWJA/DF01 / 4224744-1</t>
  </si>
  <si>
    <t>三井物産サプライチェーン・ソリューションズ株式会社</t>
  </si>
  <si>
    <t>埼玉Ｈｕｂ／ＤＣ</t>
  </si>
  <si>
    <t>1605-004</t>
  </si>
  <si>
    <t>11210A112-001</t>
  </si>
  <si>
    <t>ブランド / 機器構成名(個体名) / 型式 / シリアル番号
AWC4 Framework / AWC4本体 (HF-W6545)(AWC001) / HJ-65459EWJD/DF01 / 4223443-2
AWC4 Framework / AWC4本体予備機 (HF-W6545)(AWC002) / HJ-65459EWJD/DF01 / 4223328-1</t>
  </si>
  <si>
    <t>2025020704-224-1</t>
  </si>
  <si>
    <t>ブランド / 機器構成名(個体名) / 型式 / シリアル番号
AWC4 Framework / MOSⅦ本体 (FC-E22K)(MOSA01) / FC-E22K-L / 4Y02730</t>
  </si>
  <si>
    <t>2021061008-221-1 / 2021080607-221-1 / 2021080609-221-1 / 2025073102-224-2</t>
  </si>
  <si>
    <t>ブランド / 機器構成名(個体名) / 型式 / シリアル番号
WareNavi7 / DBｻｰﾊﾞ (Express5800/R120h-2E)(IADB01) / N8100-2781Y / JPN0254009
WareNavi7 / DBｻｰﾊﾞ (Express5800/R120h-2E)(IADB02) / N8100-2781Y / JPN025400B
WareNavi7 / APｻｰﾊﾞ (Express5800/R120h-2E)(IAAP01) / N8100-2781Y / JPN0254007
WareNavi7 / APｻｰﾊﾞ (Express5800/R120h-2E)(IAAP02) / N8100-2781Y / JPN0254006
WareNavi7 / APｻｰﾊﾞ (Express5800/R120h-2E)(IAAP03) / N8100-2781Y / JPN0254005
WareNavi7 / MOSｻｰﾊﾞ (Express5800/R120h-2E)(IAAP04) / N8100-2781Y / JPN0254004
WareNavi7 / MOSｻｰﾊﾞ (Express5800/R120h-2E)(IAAP05) / N8100-2781Y / JPN0254003
WareNavi7 / MOSｻｰﾊﾞ (Express5800/R120h-2E)(IAAP06) / N8100-2781Y / JPN0254002
WareNavi7 / ｽﾍﾟｱｻｰﾊﾞ (Express5800/R120h-2E)(IAAP07) / N8100-2781Y / JPN0254008
WareNavi7 / WareNavi7端末 (FC-E22U【BCR, 防塵ﾌｨﾙﾀ付】)(WATe201) / FC-E22U-S / 0513242
WareNavi7 / WareNavi7端末 (FC-E22U【BCR, 防塵ﾌｨﾙﾀ付】)(WATe202) / FC-E22U-S / 0513244
WareNavi7 / WareNavi7端末 (FC-E22U【BCR, 防塵ﾌｨﾙﾀ付】)(WATe203) / FC-E22U-S / 0513216
WareNavi7 / WareNavi7端末 (FC-E22U【BCR, 防塵ﾌｨﾙﾀ付】)(WATn107) / FC-E22U-S / 0513227
WareNavi7 / WareNavi7端末 (FC-E22U【BCR, 防塵ﾌｨﾙﾀ付】)(WATn201) / FC-E22U-S / 0413123
WareNavi7 / WareNavi7端末 (FC-E22U【BCR, 防塵ﾌｨﾙﾀ付】)(WATn202) / FC-E22U-S / 0413130
WareNavi7 / WareNavi7端末 (FC-E22U【BCR, 防塵ﾌｨﾙﾀ付】)(WATn203) / FC-E22U-S / 0413125
WareNavi7 / WareNavi7端末 (FC-E22U【BCR, 防塵ﾌｨﾙﾀ付】)(WATn204) / FC-E22U-S / 0413133
WareNavi7 / WareNavi7端末 (FC-E22U【BCR, 防塵ﾌｨﾙﾀ付】)(WATn302) / FC-E22U-S / 0413120
WareNavi7 / WareNavi7端末 (FC-E22U【BCR, 防塵ﾌｨﾙﾀ付】)(WATn305) / FC-E22U-S / 0513215
WareNavi7 / WareNavi7端末 (FC-E22U【BCR, 防塵ﾌｨﾙﾀ付】)(WATn306) / FC-E22U-S / 0513232
WareNavi7 / WareNavi7端末 (FC-E22U【BCR, 防塵ﾌｨﾙﾀ付】)(WATn307) / FC-E22U-S / 0413115
WareNavi7 / WareNavi7端末 (FC-E22U【BCR, 防塵ﾌｨﾙﾀ付】)(WATn314) / FC-E22U-S / 0413131
WareNavi7 / WareNavi7端末 (FC-E22U【BCR付】)(WATe101) / FC-E22U-S / 0513235
WareNavi7 / WareNavi7端末 (FC-E22U【BCR付】)(WATe102) / FC-E22U-S / 0513219
WareNavi7 / WareNavi7端末 (FC-E22U【BCR付】)(WATn101) / FC-E22U-S / 0513218
WareNavi7 / WareNavi7端末 (FC-E22U【BCR付】)(WATn102) / FC-E22U-S / 0513239
WareNavi7 / WareNavi7端末 (FC-E22U【BCR付】)(WATn103) / FC-E22U-S / 0513238
WareNavi7 / WareNavi7端末 (FC-E22U【BCR付】)(WATn104) / FC-E22U-S / 0513241
WareNavi7 / WareNavi7端末 (FC-E22U【BCR付】)(WATn105) / FC-E22U-S / 0513237
WareNavi7 / WareNavi7端末 (FC-E22U【BCR付】)(WATn106) / FC-E22U-S / 0513234
WareNavi7 / WareNavi7端末 (FC-E22U【BCR, ﾀｯﾁﾊﾟﾈﾙﾓﾆﾀ付】)(WATn301) / FC-E22U-S / 0413124
WareNavi7 / WareNavi7端末 (FC-E22U【BCR, ﾀｯﾁﾊﾟﾈﾙﾓﾆﾀ付】)(WATn303) / FC-E22U-S / 0413126
WareNavi7 / WareNavi7端末 (FC-E22U【BCR, ﾀｯﾁﾊﾟﾈﾙﾓﾆﾀ付】)(WATn304) / FC-E22U-S / 0413127
WareNavi7 / WareNavi7端末 (FC-E22U【BCR, ﾀｯﾁﾊﾟﾈﾙﾓﾆﾀ付】)(WATn312) / FC-E22U-S / 0413121
WareNavi7 / WareNavi7端末 (FC-E22U【BCR, ﾀｯﾁﾊﾟﾈﾙﾓﾆﾀ付】)(WATn313) / FC-E22U-S / 0413117
WareNavi7 / WareNavi7端末 (FC-E22U)(WATc101) / FC-E22U-S / 0413118
WareNavi7 / WareNavi7端末 (FC-E22U)(WATc301) / FC-E22U-S / 0413134
WareNavi7 / WareNavi7端末 (FC-E22U)(WATc302) / FC-E22U-S / 0413116
LPM / LPM (FC-E22U【BCR付】)(WATn205) / FC-E22U-S / 0513217
LPM / LPM (FC-E22U【BCR付】)(WATn206) / FC-E22U-S / 0513236
LPM / LPM (FC-E22U【BCR付】)(WATn207) / FC-E22U-S / 0413122
LPM / LPM (FC-E22U【BCR付】)(WATn208) / FC-E22U-S / 0413119
ﾛﾎﾞｯﾄPC / ﾛﾎﾞｯﾄPC (FC-S36W【ﾀｯﾁﾊﾟﾈﾙﾓﾆﾀ付】)(RBM201) / FC-S36W-143CV7 / 0500186
ﾛﾎﾞｯﾄPC / ﾛﾎﾞｯﾄPC (FC-S36W【ﾀｯﾁﾊﾟﾈﾙﾓﾆﾀ付】)(RBM202) / FC-S36W-143CV7 / 0400171
ﾛﾎﾞｯﾄPC / ﾛﾎﾞｯﾄPC (FC-S36W【ﾀｯﾁﾊﾟﾈﾙﾓﾆﾀ付】)(RBM203) / FC-S36W-143CV7 / 0500183
ﾛﾎﾞｯﾄPC / ﾛﾎﾞｯﾄPC (FC-S36W【ﾀｯﾁﾊﾟﾈﾙﾓﾆﾀ付】)(RBM204) / FC-S36W-143CV7 / 0500182
ﾛﾎﾞｯﾄPC / ﾛﾎﾞｯﾄPC (FC-S36W【ﾀｯﾁﾊﾟﾈﾙﾓﾆﾀ付】)(RBM205) / FC-S36W-143CV7 / 0500181
ﾛﾎﾞｯﾄPC / ﾛﾎﾞｯﾄPC (FC-S36W【ﾀｯﾁﾊﾟﾈﾙﾓﾆﾀ付】)(RBM206) / FC-S36W-143CV7 / 0400179
ﾛﾎﾞｯﾄPC / ﾛﾎﾞｯﾄPC (FC-S36W【ﾀｯﾁﾊﾟﾈﾙﾓﾆﾀ付】)(RBM207) / FC-S36W-143CV7 / 0400158
ﾛﾎﾞｯﾄPC / ﾛﾎﾞｯﾄPC (FC-S36W【ﾀｯﾁﾊﾟﾈﾙﾓﾆﾀ付】)(RBM208) / FC-S36W-143CV7 / 0400180
ﾛﾎﾞｯﾄPC / ﾛﾎﾞｯﾄPC (FC-S36W【ﾀｯﾁﾊﾟﾈﾙﾓﾆﾀ付】)(RBM209) / FC-S36W-143CV7 / 0400172
ﾛﾎﾞｯﾄPC / ﾛﾎﾞｯﾄPC (FC-S36W【ﾀｯﾁﾊﾟﾈﾙﾓﾆﾀ付】)(RBM210) / FC-S36W-143CV7 / 0400177
ﾛﾎﾞｯﾄPC / ﾛﾎﾞｯﾄPC (FC-S36W【ﾀｯﾁﾊﾟﾈﾙﾓﾆﾀ付】)(RBM211) / FC-S36W-143CV7 / 0400176
ﾛﾎﾞｯﾄPC / ﾛﾎﾞｯﾄPC (FC-S36W【ﾀｯﾁﾊﾟﾈﾙﾓﾆﾀ付】)(RBM212) / FC-S36W-143CV7 / 0400173
ﾛﾎﾞｯﾄPC / ﾛﾎﾞｯﾄPC (FC-S36W【ﾀｯﾁﾊﾟﾈﾙﾓﾆﾀ付】)(RBM213) / FC-S36W-143CV7 / 0400174
ﾛﾎﾞｯﾄPC / ﾛﾎﾞｯﾄPC (FC-S36W【ﾀｯﾁﾊﾟﾈﾙﾓﾆﾀ付】)(RBM214) / FC-S36W-143CV7 / 0400168
ﾛﾎﾞｯﾄPC / ﾛﾎﾞｯﾄPC (FC-S36W【ﾀｯﾁﾊﾟﾈﾙﾓﾆﾀ付】)(RBM215) / FC-S36W-143CV7 / 0500193
ﾛﾎﾞｯﾄPC / ﾛﾎﾞｯﾄPC (FC-S36W【ﾀｯﾁﾊﾟﾈﾙﾓﾆﾀ付】)(RBM216) / FC-S36W-143CV7 / 0500189
ﾛﾎﾞｯﾄPC / ﾛﾎﾞｯﾄPC (FC-S36W【ﾀｯﾁﾊﾟﾈﾙﾓﾆﾀ付】)(RBM217) / FC-S36W-143CV7 / 0500188
ﾛﾎﾞｯﾄPC / ﾛﾎﾞｯﾄPC (FC-S36W【ﾀｯﾁﾊﾟﾈﾙﾓﾆﾀ付】)(RBM218) / FC-S36W-143CV7 / 0500187
ﾛﾎﾞｯﾄPC / ﾛﾎﾞｯﾄPC (FC-S36W【ﾀｯﾁﾊﾟﾈﾙﾓﾆﾀ付】)(RBM219) / FC-S36W-143CV7 / 0500191
ﾛﾎﾞｯﾄPC / ﾛﾎﾞｯﾄPC (FC-S36W【ﾀｯﾁﾊﾟﾈﾙﾓﾆﾀ付】)(RBM220) / FC-S36W-143CV7 / 0500190
ﾛﾎﾞｯﾄPC / ﾛﾎﾞｯﾄPC (FC-S36W【ﾀｯﾁﾊﾟﾈﾙﾓﾆﾀ付】)(RBM221) / FC-S36W-143CV7 / 0500192
ﾛﾎﾞｯﾄPC / ﾛﾎﾞｯﾄPC予備機 (FC-S36W【ﾀｯﾁﾊﾟﾈﾙﾓﾆﾀ付】)(RBM予備01) / FC-S36W-143CV7 / 0500184
ﾛﾎﾞｯﾄPC / ﾛﾎﾞｯﾄPC予備機 (FC-S36W【ﾀｯﾁﾊﾟﾈﾙﾓﾆﾀ付】)(RBM予備02) / FC-S36W-143CV7 / 0500185</t>
  </si>
  <si>
    <t>鴻巣第2CS</t>
  </si>
  <si>
    <t>顔料・原料倉庫</t>
  </si>
  <si>
    <t>ブランド / 機器構成名(個体名) / 型式 / シリアル番号
AWC7 Framework(立体倉庫) / AWC7本体(FC-S36W)(AWC001) / FC-S36W-143CV7 / 2100627
AWC7 Framework(立体倉庫) / AWC7端末(FC-E22U)(WAT001) / FC-E22U-S / 2718035
AWC7 Framework(立体倉庫) / AWC7端末(FC-E22U)(WAT002) / FC-E22U-S / 2718054
AWC7 Framework(立体倉庫) / AWC7端末(FC-E22U)(WAT003) / FC-E22U-S / 2718096
AWC7 Framework(立体倉庫) / AWC7端末(FC-E22U)(WAT004) / FC-E22U-S / 2718097
AWC7 Framework(立体倉庫) / AWC7端末(FC-E22U)(WAT005) / FC-E22U-S / 2718098</t>
  </si>
  <si>
    <t>株式会社トーハン桶川１Ｆ書籍注文品センター</t>
  </si>
  <si>
    <t>書籍注文品センター</t>
  </si>
  <si>
    <t>1F注文品センター</t>
  </si>
  <si>
    <t>2143070 / 2147117</t>
  </si>
  <si>
    <t>11231-103-002</t>
  </si>
  <si>
    <t>ブランド / 機器構成名(個体名) / 型式 / シリアル番号
SAM(仕分けｿｰﾀ) / ｵｰﾄﾗﾍﾞﾗ(LR4NX-FA08LA)(ALB01) / LR4NX-FA08LA / GF000042
SAM(仕分けｿｰﾀ) / ｵｰﾄﾗﾍﾞﾗ(LR4NX-FA08LA)(ALB03) / LR4NX-FA08LA / GF000043
SAM(仕分けｿｰﾀ) / ｵｰﾄﾗﾍﾞﾗ(LR4NX-FA08LA)(ALB05) / LR4NX-FA08LA / GF000044
SAM(仕分けｿｰﾀ) / ｵｰﾄﾗﾍﾞﾗ(LR4NX-FA08LA)(ALB07) / LR4NX-FA08LA / GF000045
SAM(仕分けｿｰﾀ) / ｵｰﾄﾗﾍﾞﾗ(LR4NX-FA08LA)(ALB09) / LR4NX-FA08LA / GF000046
SAM(仕分けｿｰﾀ) / ｵｰﾄﾗﾍﾞﾗ(LR4NX-FA08LA)(ALB11) / LR4NX-FA08LA / GF000047
SAM(仕分けｿｰﾀ) / ｵｰﾄﾗﾍﾞﾗ(LR4NX-FA08LA)(ALB13) / LR4NX-FA08LA / HA000019
SAM(仕分けｿｰﾀ) / ｵｰﾄﾗﾍﾞﾗ(LR4NX-FA08LA)(ALB15) / LR4NX-FA08LA / HA000020
SAM(仕分けｿｰﾀ) / ｵｰﾄﾗﾍﾞﾗ(LR4NX-FA08LA)(ALB17) / LR4NX-FA08LA / HA000021
SAM(仕分けｿｰﾀ) / ｵｰﾄﾗﾍﾞﾗ(LR4NX-FA08LA)(ALB19) / LR4NX-FA08LA / HA000022
SAM(仕分けｿｰﾀ) / ｵｰﾄﾗﾍﾞﾗ(LR4NX-FA08LA)(ALB21) / LR4NX-FA08LA / HA000023
SAM(仕分けｿｰﾀ) / ｵｰﾄﾗﾍﾞﾗ(LR4NX-FA08LA)(ALB23) / LR4NX-FA08LA / HA000024
SAM(仕分けｿｰﾀ) / ｵｰﾄﾗﾍﾞﾗ(LR4NX-FA08RA)(ALB02) / LR4NX-FA08RA / GE000049
SAM(仕分けｿｰﾀ) / ｵｰﾄﾗﾍﾞﾗ(LR4NX-FA08RA)(ALB04) / LR4NX-FA08RA / GE000050
SAM(仕分けｿｰﾀ) / ｵｰﾄﾗﾍﾞﾗ(LR4NX-FA08RA)(ALB06) / LR4NX-FA08RA / GE000051
SAM(仕分けｿｰﾀ) / ｵｰﾄﾗﾍﾞﾗ(LR4NX-FA08RA)(ALB08) / LR4NX-FA08RA / GE000052
SAM(仕分けｿｰﾀ) / ｵｰﾄﾗﾍﾞﾗ(LR4NX-FA08RA)(ALB10) / LR4NX-FA08RA / GE000053
SAM(仕分けｿｰﾀ) / ｵｰﾄﾗﾍﾞﾗ(LR4NX-FA08RA)(ALB12) / LR4NX-FA08RA / GE000054
SAM(仕分けｿｰﾀ) / ｵｰﾄﾗﾍﾞﾗ(LR4NX-FA08RA)(ALB14) / LR4NX-FA08RA / HA000060
SAM(仕分けｿｰﾀ) / ｵｰﾄﾗﾍﾞﾗ(LR4NX-FA08RA)(ALB16) / LR4NX-FA08RA / HA000061
SAM(仕分けｿｰﾀ) / ｵｰﾄﾗﾍﾞﾗ(LR4NX-FA08RA)(ALB18) / LR4NX-FA08RA / HA000062
SAM(仕分けｿｰﾀ) / ｵｰﾄﾗﾍﾞﾗ(LR4NX-FA08RA)(ALB20) / LR4NX-FA08RA / HA000063
SAM(仕分けｿｰﾀ) / ｵｰﾄﾗﾍﾞﾗ(LR4NX-FA08RA)(ALB22) / LR4NX-FA08RA / HA000064
SAM(仕分けｿｰﾀ) / ｵｰﾄﾗﾍﾞﾗ(LR4NX-FA08RA)(ALB24) / LR4NX-FA08RA / HA000065</t>
  </si>
  <si>
    <t>ブランド / 機器構成名(個体名) / 型式 / シリアル番号
WareNavi7 / WareNavi7本体(FC-S35W/S4)(WN7-001) / FC-S35W/S42CM0 / S850201MA</t>
  </si>
  <si>
    <t>ブランド / 機器構成名(個体名) / 型式 / シリアル番号
WareNavi7 / MOSⅦｻｰﾊﾞ(HF-W2045)(MOS01) / HJ-2045-WEJA/7R / 4235759-1</t>
  </si>
  <si>
    <t>2021112405-221-1</t>
  </si>
  <si>
    <t>ブランド / 機器構成名(個体名) / 型式 / シリアル番号
WareNavi7 / MOSⅦ(FC-E27B)(MOS01) / FC-E27B-S / 511415</t>
  </si>
  <si>
    <t>2201-001 / 2201-002</t>
  </si>
  <si>
    <t>ブランド / 機器構成名(個体名) / 型式 / シリアル番号
WareNavi7 / WareNavi7本体(HF-W6555)(WN7-001) / HJ-6555-WEJD/DF05 / 4237872-1
WareNavi7 / WareNavi7端末(HF-W2050)(WAT001) / HJ-2050-WEMA/DF03 / 8050524-1
WareNavi7 / WareNavi7端末(HF-W2050)(WAT002) / HJ-2050-WEMA/DF03 / 8050525-1
WareNavi7 / WareNavi7端末(HF-W2050)(WAT003) / HJ-2050-WEMA/DF03 / 8050526-1</t>
  </si>
  <si>
    <t>金具保管倉庫</t>
  </si>
  <si>
    <t>CE1000442 / CE1002925</t>
  </si>
  <si>
    <t>11210-033-001</t>
  </si>
  <si>
    <t xml:space="preserve">ブランド / 機器構成名(個体名) / 型式 / シリアル番号
AWC-800U / AWCｻｰﾊﾞ (SPARC M12-1)(rts01) / SPNAAAA4EF / 
AWC-800U / AWCｻｰﾊﾞ (SPARC M12-1)(rts01) / 無停電電源装置(1500VA,ﾗｯｸﾏｳﾝﾄ)PY-UPAR152 / </t>
  </si>
  <si>
    <t>荷揃えシステム及びプールシステム</t>
  </si>
  <si>
    <t>2021082019-221-1</t>
  </si>
  <si>
    <t>11218A110-002</t>
  </si>
  <si>
    <t>ブランド / 機器構成名(個体名) / 型式 / シリアル番号
WareNavi4 Framework / WareNavi4ｻｰﾊﾞ(Express5800/E320e-E4)(AWCSVF02) / N8800-201Y / 6800339</t>
  </si>
  <si>
    <t>2023020716-221-1 / 2023020718-221-1</t>
  </si>
  <si>
    <t>【システム点検】※プロダクト対象外の為、診断対象外。　/【契約情報：簡易立体倉庫】</t>
  </si>
  <si>
    <t>ブランド / 機器構成名(個体名) / 型式 / シリアル番号
AWC7 Framework(簡易倉庫) / AWC7本体(FC-S36W)(AWC001) / FC-S36W-143CV7 / 2100619
AWC7 Framework(簡易倉庫) / AWC7端末(FC-E22U)(WAT001) / FC-E22U-S / 2718051
AWC7 Framework(簡易倉庫) / AWC7端末(FC-E22U)(WAT002) / FC-E22U-S / 2718056</t>
  </si>
  <si>
    <t>大旺鋼球製造株式会社</t>
  </si>
  <si>
    <t>北海道工場</t>
  </si>
  <si>
    <t>1907-010</t>
  </si>
  <si>
    <t>01216A100-001</t>
  </si>
  <si>
    <t>ブランド / 機器構成名(個体名) / 型式 / シリアル番号
AWC4 Framework / AWC4本体(HF-W6545)(AWC001) / HJ-65459EWJD/DF01 / 4231759-1</t>
  </si>
  <si>
    <t>ブランド / 機器構成名(個体名) / 型式 / シリアル番号
AWC4 Framework / AWC4本体(HF-W6555)(AWC001) / HJ-6555-SBJD/DF04 / 4236105-1</t>
  </si>
  <si>
    <t>ブランド / 機器構成名(個体名) / 型式 / シリアル番号
AWC4 Framework / ﾗﾍﾞﾙﾌﾟﾘﾝﾀ(LBP001) / CL4NX-J08 / DC102921
AWC4 Framework / ﾗﾍﾞﾙﾌﾟﾘﾝﾀ(LBP002) / CL4NX-J08 / DC102924
AWC4 Framework / ﾗﾍﾞﾙﾌﾟﾘﾝﾀ(LBP003) / CL4NX-J08 / DC102926
AWC4 Framework / ﾗﾍﾞﾙﾌﾟﾘﾝﾀ(LBP004) / CL4NX-J08 / DC102916
AWC4 Framework / ﾗﾍﾞﾙﾌﾟﾘﾝﾀ(LBP005) / CL4NX-J08 / DC102925
AWC4 Framework / ﾗﾍﾞﾙﾌﾟﾘﾝﾀ(LBP006) / CL4NX-J08 / DC102923
AWC4 Framework / ﾗﾍﾞﾙﾌﾟﾘﾝﾀ(LBP007) / CL4NX-J08 / DC102929
AWC4 Framework / ﾗﾍﾞﾙﾌﾟﾘﾝﾀ(LBP008) / CL4NX-J08 / DC102927
AWC4 Framework / ﾗﾍﾞﾙﾌﾟﾘﾝﾀ(LBP009) / CL4NX-J08 / DC102917
AWC4 Framework / ﾗﾍﾞﾙﾌﾟﾘﾝﾀ(LBP010) / CL4NX-J08 / DC102931
AWC4 Framework / ﾗﾍﾞﾙﾌﾟﾘﾝﾀ(LBP011) / CL4NX-J08 / DC102892
AWC4 Framework / ﾗﾍﾞﾙﾌﾟﾘﾝﾀ(LBP012) / CL4NX-J08 / DC102922</t>
  </si>
  <si>
    <t>ブランド / 機器構成名(個体名) / 型式 / シリアル番号
LPM(C棟店舗ｹｰｽ仕分け) / ｵｰﾄﾗﾍﾞﾗ(LBRZ101) / LR4080SR-TSJ / HB000091
LPM(C棟店舗ｹｰｽ仕分け) / ｵｰﾄﾗﾍﾞﾗ(LBRZ102) / LR4080SR-TSJ / HB000092
LPM(C棟店舗ｹｰｽ仕分け) / ｵｰﾄﾗﾍﾞﾗ(LBRZ103) / LR4080SR-TSJ / HB000093
LPM(C棟店舗ｹｰｽ仕分け) / ｵｰﾄﾗﾍﾞﾗ(LBRZ104) / LR4080SR-TSJ / HB000094
LPM(C棟店舗ｹｰｽ仕分け) / ｵｰﾄﾗﾍﾞﾗ(LBRZ105) / LR4080SR-TSJ / HB000095
LPM(C棟店舗ｹｰｽ仕分け) / ｵｰﾄﾗﾍﾞﾗ(LBRZ106) / LR4080SR-TSJ / HB000096
LPM(C棟店舗ｹｰｽ仕分け) / ｵｰﾄﾗﾍﾞﾗ(LBRZ107) / LR4080SR-TSJ / HB000097</t>
  </si>
  <si>
    <t>2021051304-221-1 / 2021051306-221-1</t>
  </si>
  <si>
    <t>ブランド / 機器構成名(個体名) / 型式 / シリアル番号
AWC-500N / AWC本体 (FC-S36W)(AWC001) / FC-S36W-133CW4 / 9Z00127
AWC-500N / AWC端末 (FC-E22U)(WAT001) / FC-E22U-S / 0413194
DPM / DPM (FC-S36W)(DPM) / FC-S36W-133CW4 / 9X00120</t>
  </si>
  <si>
    <t>2018072402-216-1 / 2018072403-216-1</t>
  </si>
  <si>
    <t>ブランド / 機器構成名(個体名) / 型式 / シリアル番号
AWC4 Basic / AWC4本体（FC-S35W/S7）(AWC001) / FC-S35W/S72CL9 / S5Z1697MA
AWC4 Basic / AWC4端末（FC-E16U/S7）(WAT001) / FC-E16U/S71R4Z / S620107MA</t>
  </si>
  <si>
    <t>日幸産業運輸株式会社</t>
  </si>
  <si>
    <t>石狩第２物流センター</t>
  </si>
  <si>
    <t>2024112008-224-1</t>
  </si>
  <si>
    <t>01203A120-001</t>
  </si>
  <si>
    <t>ブランド / 機器構成名(個体名) / 型式 / シリアル番号
AWC7 Framework / AWC7ｻｰﾊﾞ(Express5800/R320g-E4)(AWC001) / N8800-240Y / 9X00290</t>
  </si>
  <si>
    <t>恵庭工場</t>
  </si>
  <si>
    <t>2023011312-221-1</t>
  </si>
  <si>
    <t>01231A110-001</t>
  </si>
  <si>
    <t>ブランド / 機器構成名(個体名) / 型式 / シリアル番号
WareNavi7 / MOSⅦ(FC-E27B)(MOSA01) / FC-E27B-SR / 2200107</t>
  </si>
  <si>
    <t>2023011314-221-1 / 2023011316-221-1 / 2023011318-221-1 / 2023011320-221-1</t>
  </si>
  <si>
    <t>ブランド / 機器構成名(個体名) / 型式 / シリアル番号
WareNavi7 / WareNavi7ｻｰﾊﾞ(Express5800/R320h-M4)(WNVZ001) / N8800-302Y / 2200159
WareNavi7 / ｻｰﾊﾞ用UPS(WNVZ001) / 無停電電源装置(1500VA,ﾗｯｸﾏｳﾝﾄ)N8142-101 / SJ12129110639
WareNavi7 / ｻｰﾊﾞ用UPS(WNVZ001) / 無停電電源装置(1500VA,ﾗｯｸﾏｳﾝﾄ)N8142-101 / SJ12129110633
WareNavi7 / WareNavi7端末(FC-P36K)(WATZ101) / FC-P36K-L1 / 2300309
WareNavi7 / WareNavi7端末(FC-P36K)(WATZ102) / FC-P36K-L1 / 2300304
WareNavi7 / WareNavi7端末(FC-P36K)(WATZ103) / FC-P36K-L1 / 2300302
WareNavi7 / WareNavi7端末(FC-P36K)(WATZ104) / FC-P36K-L1 / 2300301
WareNavi7 / WareNavi7端末/BCR付(FC-P36K)(WATZ105) / FC-P36K-L1 / 2300303
WareNavi7 / WareNavi7端末/BCR付(FC-P36K)(WATZ106) / FC-P36K-L1 / 2300307
WareNavi7 / WareNavi7端末/BCR付(FC-P36K)(WATZ107) / FC-P36K-L1 / 2300308
WareNavi7 / 作業表示端末(FC-P36K)(WATZ108) / FC-P36K-L1 / 2300305
WareNavi7 / 作業表示端末(FC-P36K)(WATZ109) / FC-P36K-L1 / 2300310
WareNavi7 / 作業表示端末(FC-P36K)(WARZ110) / FC-P36K-L1 / 2300306
AGFｼｽﾃﾑ / AGFｻｰﾊﾞ(FC-P34W)(MLN01) / FC-P34W-L2 / 2300690
AGFｼｽﾃﾑ / AGFｻｰﾊﾞ(FC-P34W)(MLN01) / 無停電電源装置(1200VA,ﾗｯｸﾏｳﾝﾄ)N8142-100 / SJ12149211682
WareNavi7 / VTC(NT8000)(VTCA001) / FC-E22U-S / 2117518</t>
  </si>
  <si>
    <t>ブランド / 機器構成名(個体名) / 型式 / シリアル番号
WareNavi7 / ｵｰﾄﾗﾍﾞﾗ(AL01) / LR4121SR-TPJ / GB000105
WareNavi7 / ｵｰﾄﾗﾍﾞﾗ(AL02) / LR4121SR-TPJ / GB000106</t>
  </si>
  <si>
    <t>ブランド / 機器構成名(個体名) / 型式 / シリアル番号
WareNavi7(WMS) / ﾗﾍﾞﾙﾌﾟﾘﾝﾀ(LP001) / CT4-LX DT203 / HC202311
WareNavi7(WMS) / ﾗﾍﾞﾙﾌﾟﾘﾝﾀ(LP002) / CT4-LX DT203 / HC202329
WareNavi7(WCS) / ﾗﾍﾞﾙﾌﾟﾘﾝﾀ(出荷箱ﾗﾍﾞﾙ用)(MLB102) / CL4NX-J08 Plus / HE100120
WareNavi7(WCS) / ﾗﾍﾞﾙﾌﾟﾘﾝﾀ(出荷箱ﾗﾍﾞﾙ用)(MLB104) / CL4NX-J08 Plus / HE100130
WareNavi7(WCS) / ﾗﾍﾞﾙﾌﾟﾘﾝﾀ(出荷箱ﾗﾍﾞﾙ用)(MLB106) / CL4NX-J08 Plus / HE100118
WareNavi7(WCS) / ﾗﾍﾞﾙﾌﾟﾘﾝﾀ(出荷箱ﾗﾍﾞﾙ用)(MLB121) / CL4NX-J08 Plus / HE100119
WareNavi7(WCS) / ﾗﾍﾞﾙﾌﾟﾘﾝﾀ(出荷箱ﾗﾍﾞﾙ用)(MLB122) / CL4NX-J08 Plus / HE100104
WareNavi7(WCS) / ﾗﾍﾞﾙﾌﾟﾘﾝﾀ(袋ﾗﾍﾞﾙ用)(MLB101) / CL4NX-J08 Plus / HE100106
WareNavi7(WCS) / ﾗﾍﾞﾙﾌﾟﾘﾝﾀ(袋ﾗﾍﾞﾙ用)(MLB103) / CL4NX-J08 Plus / HE100114
WareNavi7(WCS) / ﾗﾍﾞﾙﾌﾟﾘﾝﾀ(袋ﾗﾍﾞﾙ用)(MLB105) / CL4NX-J08 Plus / HE100110
WareNavi7(WCS) / ﾗﾍﾞﾙﾌﾟﾘﾝﾀ予備(MLB予備) / CL4NX-J08 Plus / HE100128</t>
  </si>
  <si>
    <t>イオン北海道ＲＤＣ</t>
  </si>
  <si>
    <t>01234-038-001</t>
  </si>
  <si>
    <t>ブランド / 機器構成名(個体名) / 型式 / シリアル番号
LPM(自動倉庫) / ｵｰﾄﾗﾍﾞﾗ(ALB01) / LR4081SR-TSJ / HH000071
LPM(自動倉庫) / ｵｰﾄﾗﾍﾞﾗ(ALB02) / LR4081SR-TSJ / HH000072
LPM(自動倉庫) / ｵｰﾄﾗﾍﾞﾗ(ALB03) / LR4081SR-TSJ / HH000073
LPM(自動倉庫) / ｵｰﾄﾗﾍﾞﾗ(ALB04) / LR4081SR-TSJ / HH000074
LPM(自動倉庫) / ｵｰﾄﾗﾍﾞﾗ(ALB05) / LR4081SR-TSJ / HH000075
LPM(自動倉庫) / ｵｰﾄﾗﾍﾞﾗ(ALB06) / LR4081SR-TSJ / HH000076
LPM(ｿｰﾀ) / ｵｰﾄﾗﾍﾞﾗ(ALB07) / LR4081SR-TSJ / HH000077
LPM(ｿｰﾀ) / ｵｰﾄﾗﾍﾞﾗ(ALB08) / LR4081SR-TSJ / HH000078</t>
  </si>
  <si>
    <t>一般社団法人日本血液製剤機構</t>
  </si>
  <si>
    <t>千歳工場</t>
  </si>
  <si>
    <t>貯留保管設備FSシステム</t>
  </si>
  <si>
    <t>1709-003 / 1709-004</t>
  </si>
  <si>
    <t>01224-047-002</t>
  </si>
  <si>
    <t>【システム点検】※UNIXサーバの為、診断対象外。　/【契約情報：貯留保管】</t>
  </si>
  <si>
    <t>ブランド / 機器構成名(個体名) / 型式 / シリアル番号
RTS-80 / RTSｻｰﾊﾞ(EP8000 S814)(RTS01) / THE-C828641A630T / 34509
RTS-80 / RTSｻｰﾊﾞ(EP8000 S814)(RTS01) / THE-C3580-H6S / 10096
RTS-80 / RTS端末(HF-W2035)(WAT01) / HJ-20359EWJA/DF01 / 4228780-1
RTS-80 / RTS端末(HF-W2035)(WAT02) / HJ-20359EWJA/DF01 / 4228780-2
RTS-80 / RTS端末(HF-W2035)(WAT03) / HJ-20359EWJA/DF01 / 4228780-3
RTS-80 / RTS端末(HF-W2035)(WAT04) / HJ-20359EWJA/DF01 / 4228780-4
RTS-80 / RTS端末(HF-W2035)(WAT05) / HJ-20359EWJA/DF01 / 4228780-5
RTS-80 / RTS端末(HF-W2035)(WAT06) / HJ-20359EWJA/DF01 / 4228780-6</t>
  </si>
  <si>
    <t>Ｍ１棟自動倉庫</t>
  </si>
  <si>
    <t>2023061506-224-1</t>
  </si>
  <si>
    <t>01224-047-005</t>
  </si>
  <si>
    <t>ブランド / 機器構成名(個体名) / 型式 / シリアル番号
ｺﾝﾄﾛｰﾗ / MOSⅦ本体 (FC-E27B)(MOS01) / FC-E27B-S / 0411272</t>
  </si>
  <si>
    <t>ブランド / 機器構成名(個体名) / 型式 / シリアル番号
SAM / ﾗﾍﾞﾙﾌﾟﾘﾝﾀ(MLB01) / CL4NX-J08 Plus / FA100690
SAM / ﾗﾍﾞﾙﾌﾟﾘﾝﾀ(MLB04) / CL4NX-J08 Plus / FA100704
SAM / ﾗﾍﾞﾙﾌﾟﾘﾝﾀ予備(MLB予備) / CL4NX-J08 Plus / FA100717
LPM / ﾗﾍﾞﾙﾌﾟﾘﾝﾀ(MLB02) / CL4NX-J08 Plus / FA100682
LPM / ﾗﾍﾞﾙﾌﾟﾘﾝﾀ(MLB03) / CL4NX-J08 Plus / FA100683
LPM / ｵｰﾄﾗﾍﾞﾗ(LAB03) / LR4080SR-TSB / EK000031
LPM / ｵｰﾄﾗﾍﾞﾗ(LAB04) / LR4080SR-TSB / EK000032
LPM / ｵｰﾄﾗﾍﾞﾗ(LAB05) / LR4080SR-TSB / EK000033
LPM / ｵｰﾄﾗﾍﾞﾗ(LAB01) / LR4081SR-TSB / EF000047
LPM / ｵｰﾄﾗﾍﾞﾗ(LAB02) / LR4081SR-TSB / EF000048</t>
  </si>
  <si>
    <t>2022051806-221-1 / 2022051808-221-1 / 2022051810-221-1 / 2022051812-221-1</t>
  </si>
  <si>
    <t>ブランド / 機器構成名(個体名) / 型式 / シリアル番号
WareNavi7 / WareNavi7本体 (FC-S36W【ﾒｲﾝ】)(WN7-001) / FC-S36W-L / 1101360
WareNavi7 / WareNavi7本体 (FC-S36W【待機】)(WN7-002) / FC-S36W-L / 1101361
WareNavi7 / 事務所端末 (FC-E22U)(WAT01) / FC-E22U-S / 0Z15238
SAM / SAM (FC-S36W)(SAM01) / FC-S36W-143CV7 / 0X00289
SAM / SAM予備機 (FC-S36W)(SAM01予備) / FC-S36W-143CV7 / 0X00294
SAM / ﾘｼﾞｪｸﾄ端末 (FC-E22U)(WAT03) / FC-E22U-S / 0Z15242
SAM / 作業端末 (FC-E22U)(WAT02) / FC-E22U-S / 0Z15235
SAM / 作業端末 (PC-VKE19/X-7)(WAT04) / PC-VKE19XZG7 / 13000131A
SAM / MOSⅦｻｰﾊﾞ (FC-E27B)(MOSA01) / FC-E27B-S / 0Y12819
SAM / MOSⅦｻｰﾊﾞ (FC-E27B)(MOSA02) / FC-E27B-S / 0Z12962
SAM / MOSⅦ端末 (FC-P31X)(MOS101) / FC-P31X-L1 / 0Y00190
SAM / MOSⅦ端末 (FC-P31X)(MOS201) / FC-P31X-L1 / 0Z00244
SAM / MOSⅦ端末 (FC-P31X)(MOS202) / FC-P31X-L1 / 0Z00243
LPM / LPM (FC-S36W)(LPM01) / FC-S36W-143CV7 / 0X00292
LPM / LPM (FC-S36W)(LPM02) / FC-S36W-143CV7 / 0X00283
LPM / LPM (FC-S36W)(LPM03) / FC-S36W-143CV7 / 0X00281
LPM / LPM予備機 (FC-S36W)(LPM予備) / FC-S36W-143CV7 / 0X00284</t>
  </si>
  <si>
    <t>サッポロプレシジョン株式会社</t>
  </si>
  <si>
    <t>2025031906-224-1</t>
  </si>
  <si>
    <t>01216-005-001</t>
  </si>
  <si>
    <t>ブランド / 機器構成名(個体名) / 型式 / シリアル番号
eWareNavi Framework / eWareNavi本体(Express5800/R110i-1)(WN001) / N8100-2526Y / 0300985</t>
  </si>
  <si>
    <t>ブランド / 機器構成名(個体名) / 型式 / シリアル番号
eWareNavi Framework / ﾗﾍﾞﾙﾌﾟﾘﾝﾀ (CL4NX-J12)() / CL4NX-J12 / BJ102512
eWareNavi Framework / ﾗﾍﾞﾙﾌﾟﾘﾝﾀ (CL4NX-J12)() / CL4NX-J12 / BJ102617</t>
  </si>
  <si>
    <t>ブランド / 機器構成名(個体名) / 型式 / シリアル番号
AWC7 Basic / AWC7本体(HF-W6555)(AWC001) / HJ-6555-WEJD/DF05 / 4241104-7</t>
  </si>
  <si>
    <t>2025081206-224-1 / 2025081208-224-1 / 2025081210-224-1 / 2025081212-224-1</t>
  </si>
  <si>
    <t>ブランド / 機器構成名(個体名) / 型式 / シリアル番号
WareNavi7(WCS) / 事務所端末 (FC-E29U)(WAT101) / FC-E29U-S31C42 / 3200613
WareNavi7(WCS) / 平場/出荷箱管理端末 (FC-E29U)(WAT102) / FC-E29U-S31C42 / 3200614
WareNavi7(WCS) / 平場/出荷箱管理端末 (FC-E29U)(WAT121) / FC-E29U-S31C42 / 3200616
WareNavi7(WCS) / 平場/出荷箱管理端末 (FC-E29U)(WAT122) / FC-E29U-S31C42 / 3200635
WareNavi7(WCS) / 入庫ST端末 (FC-E29U)(WAT103) / FC-E29U-S31C42 / 3200630
WareNavi7(WCS) / 入庫ST端末 (FC-E29U)(WAT104) / FC-E29U-S31C42 / 3200622
WareNavi7(WCS) / 入庫ST端末 (FC-E29U)(WAT105) / FC-E29U-S31C42 / 3200642
WareNavi7(WCS) / 端末予備 (FC-E29U)(YOBIWATPC) / FC-E29U-S31C42 / 3200646
WareNavi7(WCS) / MOSⅦ本体 (FC-E27B)(MOSZ101) / FC-E27B-SR / 2700331
WareNavi7(WCS) / MOSⅦ端末 (FC-P31X)(MOTZ102) / FC-P31X-L1 / 2200806
DAM / DAM (FC-S36W)(DAM101) / FC-S36W-143CV7 / 2Y00916
eye-navi / DPM (FC-S36W)(DPM101) / FC-S36W-143CV7 / 3500968
eye-navi / DPM (FC-S36W)(DPM102) / FC-S36W-143CV7 / 3500967
eye-navi / DPM (FC-S36W)(DPM103) / FC-S36W-143CV7 / 2Z00960
eye-navi / DPM予備 (FC-S36W)(DPM予備) / FC-S36W-143CV7 / 2Y00940
eye-navi / ｼﾞｬﾝｸﾞﾙ間口端末 (FC-E29U)(WAT110) / FC-E29U-S31C42 / 3200631
eye-navi / ｼﾞｬﾝｸﾞﾙ間口端末 (FC-E29U)(WAT115) / FC-E29U-S31C42 / 3200619
eye-navi / ｼﾞｬﾝｸﾞﾙ間口端末 (FC-E29U)(WAT120) / FC-E29U-S31C42 / 3200628</t>
  </si>
  <si>
    <t>ブランド / 機器構成名(個体名) / 型式 / シリアル番号
WareNavi7(WCS) / ﾗﾍﾞﾙﾌﾟﾘﾝﾀ(袋ﾗﾍﾞﾙ用)(MLB101) / CL4NX-J08 Plus / HE100106
WareNavi7(WCS) / ﾗﾍﾞﾙﾌﾟﾘﾝﾀ(袋ﾗﾍﾞﾙ用)(MLB103) / CL4NX-J08 Plus / HE100114
WareNavi7(WCS) / ﾗﾍﾞﾙﾌﾟﾘﾝﾀ(袋ﾗﾍﾞﾙ用)(MLB105) / CL4NX-J08 Plus / HE100110</t>
  </si>
  <si>
    <t>2110-003 / 2312-003</t>
  </si>
  <si>
    <t>ブランド / 機器構成名(個体名) / 型式 / シリアル番号
RTS-100 / RTS端末 (HF-W2050)(WSC00) / HJ-2050-WEMA/DF03 / 8054241-1
RTS-100 / RTS端末 (HF-W2050)(WSC01) / HJ-2050-WEMA/DF03 / 8054240-8
RTS-100 / RTS端末 (HF-W2050)(WSC02) / HJ-2050-WEMA/DF03 / 8054241-2
RTS-100 / RTS端末 (HF-W2050)(WSC03) / HJ-2050-WEMA/DF03 / 8054240-10
RTS-100 / RTS端末 (HF-W2050)(WSC04) / HJ-2050-WEMA/DF03 / 8054241-4
RTS-100 / RTS端末 (HF-W2050)(WSC05) / HJ-2050-WEMA/DF03 / 8054241-6
RTS-100 / RTS端末 (HF-W2050)(WSC06) / HJ-2050-WEMA/DF03 / 8054241-3
RTS-100 / RTS端末 (HF-W2050)(WSC07) / HJ-2050-WEMA/DF03 / 8054241-5
RTS-100 / RTS端末 (HF-W2050)(WSC08) / HJ-2050-WEMA/DF03 / 8054240-9
DPM / DPMｻｰﾊﾞ (HF-W6555)(DPS) / HJ-6555-WBJD/7R / 4522094-10
DPM / 通信PC (HF-W6555)(KPC) / HJ-6555-WBJD/7R / 4522094-9
DPM / DPM / ST1 (HF-W6555)(DPM01) / HJ-6555-WBJD/7R / 4522094-1
DPM / DPM / ST2-5 (HF-W6555)(DPM02) / HJ-6555-WBJD/7R / 4522094-2
DPM / DPM / ST2-5 (HF-W6555)(DPM03) / HJ-6555-WBJD/7R / 4522094-3
DPM / DPM / ST2-5 (HF-W6555)(DPM04) / HJ-6555-WBJD/7R / 4522094-4
DPM / DPM / ST2-5 (HF-W6555)(DPM05) / HJ-6555-WBJD/7R / 4522094-5
DPM / DPM / ST6-8 (HF-W6555)(DPM06) / HJ-6555-WBJD/7R / 4522094-6
DPM / DPM / ST6-8 (HF-W6555)(DPM07) / HJ-6555-WBJD/7R / 4522094-7
DPM / DPM / ST6-8 (HF-W6555)(DPM08) / HJ-6555-WBJD/7R / 4522094-8</t>
  </si>
  <si>
    <t>イオン北海道株式会社</t>
  </si>
  <si>
    <t>イオン石狩PC</t>
  </si>
  <si>
    <t>コンテナ搬送ライン</t>
  </si>
  <si>
    <t>2022111102-221-1 / 2022111104-221-1</t>
  </si>
  <si>
    <t>01235A116-001</t>
  </si>
  <si>
    <t>ブランド / 機器構成名(個体名) / 型式 / シリアル番号
ｺﾝﾄﾛｰﾗ / MOSⅦ本体(MOS01) / FC-E27B-S / 1213366
ｺﾝﾄﾛｰﾗ / MOSⅦ端末(MOS201) / FC-P31X-L1 / 1200296
ｺﾝﾄﾛｰﾗ / MOSⅦ端末(MOS202) / FC-P31X-L1 / 1200297
ｺﾝﾄﾛｰﾗ / MOSⅦ端末(MOS203) / FC-P31X-L1 / 1200298</t>
  </si>
  <si>
    <t>株式会社ＮＴＮ三重製作所</t>
  </si>
  <si>
    <t>第３工場 熱処理自動倉庫</t>
  </si>
  <si>
    <t>FA097 / FA098</t>
  </si>
  <si>
    <t>24301-019-005</t>
  </si>
  <si>
    <t>ブランド / 機器構成名(個体名) / 型式 / シリアル番号
eAWC Framework / eAWC本体 (FA3100SS model 1000)(AWC005) / UD431016-01-DHT / OEX921
eAWC Framework / eAWC端末 (FA2100SS model 400)[ BCR有 ](WAT001) / UV4A414 / OF0051
eAWC Framework / eAWC端末 (FA2100SS model 400)[ BCR有 ](WAT004) / UV4A414 / OF0054
eAWC Framework / eAWC端末 (FA2100SS model 400)(WAT002) / UV4A414 / OF0052
eAWC Framework / eAWC端末 (FA2100SS model 400)(WAT003) / UV4A414 / OF0053</t>
  </si>
  <si>
    <t>2022120711-221-1 / 2022120713-221-1</t>
  </si>
  <si>
    <t>ブランド / 機器構成名(個体名) / 型式 / シリアル番号
AWC7 Framework / AWC7本体(FC-S36W)(AWC001) / FC-S36W-143CV7 / 2700695
AWC7 Framework / AWC7端末(FC-E22U)(WAT001) / FC-E22U-S / 2818284
AWC7 Framework / AWC7端末(FC-E22U)(WAT002) / FC-E22U-S / 2818255</t>
  </si>
  <si>
    <t>FA150</t>
  </si>
  <si>
    <t>24325-014-001</t>
  </si>
  <si>
    <t>ブランド / 機器構成名(個体名) / 型式 / シリアル番号
AWC4 Framework / AWC4本体（FA3100SS model1000）(AWC001) / UD431016-01-DHT / OEY108</t>
  </si>
  <si>
    <t>製品パレタイズライン</t>
  </si>
  <si>
    <t>2019061904-216-1 / 2019061905-216-1</t>
  </si>
  <si>
    <t>24214A110-001</t>
  </si>
  <si>
    <t>ブランド / 機器構成名(個体名) / 型式 / シリアル番号
WareNavi7 / WareNavi7本体(FC-S35W/S4)(WN7-001) / FC-S35W/S42CM0 / S780452MA
WareNavi7 / WareNavi7本体予備機(FC-S35W/S4)(WN7-002) / FC-S35W/S42CM0 / S780449MA
WareNavi7 / WareNavi7端末(FC-E22U)(WAT-001) / FC-E22U-S / 7903968</t>
  </si>
  <si>
    <t>金型保管自動倉庫</t>
  </si>
  <si>
    <t>2019061903-216-1</t>
  </si>
  <si>
    <t>24214A110-002</t>
  </si>
  <si>
    <t>ブランド / 機器構成名(個体名) / 型式 / シリアル番号
AWC4 Framework / AWC4本体(FC-S35W/S7)(AWC01) / FC-S35W/S72CL9 / S780424MA</t>
  </si>
  <si>
    <t>ブランド / 機器構成名(個体名) / 型式 / シリアル番号
AWC7 Framework / AWC7本体(HF-W6555)(AWC001) / HJ-6555-WEJD/DF05 / 4237871-1</t>
  </si>
  <si>
    <t>河原田倉庫　パレット自動倉庫計画</t>
  </si>
  <si>
    <t>2024101802-224-1 / 2024111207-224-1 / 2024111209-224-1</t>
  </si>
  <si>
    <t>ブランド / 機器構成名(個体名) / 型式 / シリアル番号
WareNavi7 / WareNavi7本体 (FC-S36W)(WN01) / FC-S36W-143CV7 / 4101128
WareNavi7 / WareNavi7本体予備機 (FC-S36W)(WN01予備) / FC-S36W-143CV7 / 4101136
WareNavi7 / ﾕﾆｯﾄ入出庫ST端末 (FC-E29U)(WAT101) / FC-E29U-S31C42 / 3600857
WareNavi7 / 平置きｲﾝﾀﾞｸｼｮﾝ投入端末 (FC-E29U)(WAT102) / FC-E29U-S31C42 / 3600839
WareNavi7 / コの字ﾋﾟｯｸ端末 (FC-E29U)(WAT201) / FC-E29U-S31C42 / 3600831
WareNavi7 / コの字ﾋﾟｯｸ端末 (FC-E29U)(WAT202) / FC-E29U-S31C42 / 3600823
WareNavi7 / コの字ﾋﾟｯｸ端末 (FC-E29U)(WAT203) / FC-E29U-S31C42 / 3600903
WareNavi7 / コの字ﾋﾟｯｸ端末 (FC-E29U)(WAT204) / FC-E29U-S31C42 / 3600862
WareNavi7 / コの字ﾋﾟｯｸ端末 (FC-E29U)(WAT205) / FC-E29U-S31C42 / 3600907
WareNavi7 / コの字ﾋﾟｯｸ端末 (FC-E29U)(WAT206) / FC-E29U-S31C42 / 3600851
WareNavi7 / コの字ﾋﾟｯｸ端末 (FC-E29U)(WAT207) / FC-E29U-S31C42 / 3600846
WareNavi7 / コの字ﾋﾟｯｸ端末 (FC-E29U)(WAT208) / FC-E29U-S31C42 / 3600867
WareNavi7 / MOSⅦ本体(FC-E22K)(MOSA001) / FC-E22K-L / 4402128
WareNavi7 / MOSⅦ端末 (FC-P31X)(MOTA001) / FC-P31X-L1 / 2Z01671
SAM / SAM (FC-S36W)(SAM101) / FC-S36W-143CV7 / 4101124
SAM / ﾘｼﾞｪｸﾄ端末 (FC-E29U)(WAT103) / FC-E29U-S31C42 / 3600842</t>
  </si>
  <si>
    <t>ブランド / 機器構成名(個体名) / 型式 / シリアル番号
WareNavi7 / ﾗﾍﾞﾙﾌﾟﾘﾝﾀ(MLB201) / CL4NX-J08 Plus / JB100357
WareNavi7 / ﾗﾍﾞﾙﾌﾟﾘﾝﾀ(MLB202) / CL4NX-J08 Plus / JB100389
WareNavi7 / ﾗﾍﾞﾙﾌﾟﾘﾝﾀ(MLB203) / CL4NX-J08 Plus / JB100400
WareNavi7 / ﾗﾍﾞﾙﾌﾟﾘﾝﾀ(MLB204) / CL4NX-J08 Plus / JB100410
WareNavi7 / ﾗﾍﾞﾙﾌﾟﾘﾝﾀ(MLB205) / CL4NX-J08 Plus / JB100356
WareNavi7 / ﾗﾍﾞﾙﾌﾟﾘﾝﾀ(MLB206) / CL4NX-J08 Plus / JB100395
WareNavi7 / ﾗﾍﾞﾙﾌﾟﾘﾝﾀ(MLB207) / CL4NX-J08 Plus / JB100401
WareNavi7 / ﾗﾍﾞﾙﾌﾟﾘﾝﾀ(MLB208) / CL4NX-J08 Plus / JB100390
SAM / ﾗﾍﾞﾙﾌﾟﾘﾝﾀ(MLB101) / CL4NX-J08 Plus / JB100370</t>
  </si>
  <si>
    <t>2025031351-224-1 / 2025031353-224-1 / 2025031355-224-1</t>
  </si>
  <si>
    <t>ブランド / 機器構成名(個体名) / 型式 / シリアル番号
WareNavi7A / WCSｻｰﾊﾞ(Express5800/R120h-2M)(WCSSV01) / N8100-2836Y / JPN309007X
WareNavi7A / WCSｻｰﾊﾞ(Express5800/R120h-2M)(WCSSV01) / 無停電電源装置(1500VA,ﾗｯｸﾏｳﾝﾄ)N8142-101 / 
WareNavi7A / WCSｻｰﾊﾞ予備機(Express5800/R120h-2M)(WCSSV02) / N8100-2836Y / JPN309007W
WareNavi7A / WCSｻｰﾊﾞ予備機(Express5800/R120h-2M)(WCSSV02) / 無停電電源装置(1500VA,ﾗｯｸﾏｳﾝﾄ)N8142-101 / 
LPM / LPM(FC-S36W)(LPM101) / FC-S36W-143CV7 / 2900864
LPM / LPM(FC-S36W)(LPM102) / FC-S36W-143CV7 / 2900843
LPM / LPM(FC-S36W)(LPM103) / FC-S36W-143CV7 / 2900856
LPM / LPM(FC-S36W)(LPM111) / FC-S36W-143CV7 / 2900860
LPM / LPM(FC-S36W)(LPM201) / FC-S36W-143CV7 / 2900847
LPM / LPM(FC-S36W)(LPM301) / FC-S36W-143CV7 / 2900855
LPM / LPM(FC-S36W)(LPM302) / FC-S36W-143CV7 / 2900835
LPM / LPM(FC-S36W)(LPM401) / FC-S36W-143CV7 / 2900848
LPM / LPM(FC-S36W)(LPM402) / FC-S36W-143CV7 / 2900861
LPM / LPM予備機(FC-S36W)(LPM000) / FC-S36W-143CV7 / 2900853
WareNavi7A / ﾛﾎﾞｯﾄ管理PC(FC-S36W)(RBM301) / FC-S36W-143CV7 / 2900842
WareNavi7A / WareNavi7A端末(PC-MKE28/C-C)(WN101) / PC-MKE28CZQC / 36000021A
WareNavi7A / WareNavi7A端末(PC-MKE28/C-C)(WN102) / PC-MKE28CZQC / 36000031A
WareNavi7A / WareNavi7A端末(PC-MKE28/C-C)(WN103) / PC-MKE28CZQC / 36000041A
WareNavi7A / WareNavi7A端末(PC-MKE28/C-C)(WN111) / PC-MKE28CZQC / 36000051A
WareNavi7A / WareNavi7A端末(PC-MKE28/C-C)(WN202) / PC-MKE28CZQC / 36000061A
WareNavi7A / WareNavi7A端末(PC-MKE28/C-C)(WN304) / PC-MKE28CZQC / 36000071A
WareNavi7A / WareNavi7A端末(PC-MKE28/C-C)(WN301) / PC-MKE28CZQC / 36000081A
WareNavi7A / WareNavi7A端末(PC-MKE28/C-C)(WN302) / PC-MKE28CZQC / 36000091A
WareNavi7A / WareNavi7A端末(PC-MKE28/C-C)(WN303) / PC-MKE28CZQC / 36000101A
SAM / ﾘｼﾞｪｸﾄ端末(PC-MKE28/C-C)(WN114) / PC-MKE28CZQC / 36000111A
SAM / ﾘｼﾞｪｸﾄ端末(PC-MKE28/C-C)(WN201) / PC-MKE28CZQC / 36000011A
WareNavi7A / MOSⅦ端末(FC-P31X)(MOTZ101) / FC-P31X-L1 / 2X01228
WareNavi7A / MOSⅦ端末(FC-P31X)(MOTZ102) / FC-P31X-L1 / 2X01223
WareNavi7A / MOSⅦ端末(FC-P31X)(MOTZ103) / FC-P31X-L1 / 2X01220
WareNavi7A / MOSⅦ端末(FC-P31X)(MOTZ201) / FC-P31X-L1 / 2X01225
WareNavi7A / MOSⅦ端末(FC-P31X)(MOTZ202) / FC-P31X-L1 / 2X01224
WareNavi7A / MOSⅦ端末(FC-P31X)(MOTZ301) / FC-P31X-L1 / 2701044
WareNavi7A / MOSⅦ端末(FC-P31X)(MOTZ302) / FC-P31X-L1 / 2701048
WareNavi7A / MOSⅦ端末(FC-P31X)(MOTZ303) / FC-P31X-L1 / 2701045
WareNavi7A / MOSⅦ端末(FC-P31X)(MOTZ304) / FC-P31X-L1 / 2701050</t>
  </si>
  <si>
    <t>ブランド / 機器構成名(個体名) / 型式 / シリアル番号
LPM / ｵｰﾄﾗﾍﾞﾗ(LBRZ101) / LR4080SR-TSJ / GK000077
LPM / ｵｰﾄﾗﾍﾞﾗ(LBRZ102) / LR4080SR-TSJ / GK000090
LPM / ｵｰﾄﾗﾍﾞﾗ(LBRZ103) / LR4080SR-TSJ / GK000089
LPM / ｵｰﾄﾗﾍﾞﾗ(LBRZ111) / LR4080SR-TSJ / GK000088
LPM / ｵｰﾄﾗﾍﾞﾗ(LBRZ201) / LR4080SR-TSJ / GK000087
LPM / ｵｰﾄﾗﾍﾞﾗ(LBRZ202) / LR4080SR-TSJ / GK000086
LPM / ｵｰﾄﾗﾍﾞﾗ(LBRZ301) / LR4080SR-TSJ / GK000085
LPM / ｵｰﾄﾗﾍﾞﾗ(LBRZ302) / LR4080SR-TSJ / GK000084
LPM / ｵｰﾄﾗﾍﾞﾗ(LBRZ303) / LR4080SR-TSJ / GK000083
LPM / ｵｰﾄﾗﾍﾞﾗ(LBRZ304) / LR4080SR-TSJ / GK000082
LPM / ｵｰﾄﾗﾍﾞﾗ(LBRZ401) / LR4080SR-TSJ / GK000081
LPM / ｵｰﾄﾗﾍﾞﾗ(LBRZ402) / LR4080SR-TSJ / GK000080
LPM / ｵｰﾄﾗﾍﾞﾗ(LBRZ403) / LR4080SR-TSJ / GK000079
LPM / ｵｰﾄﾗﾍﾞﾗ(LBRZ404) / LR4080SR-TSJ / GK000078</t>
  </si>
  <si>
    <t>【無償保証】SGH141VFH1 / 1806-002 / 1806-004 / 2212-004</t>
  </si>
  <si>
    <t>ブランド / 機器構成名(個体名) / 型式 / シリアル番号
WareNavi4 Framework Custom / WareNavi4ｻｰﾊﾞ (HA8000V/ML350)(WMS01) / TQFD72-880404-B21 / SGH141VFH1
DPM / DPM (HF-W6545)(DPM01-1) / HJ-65458EWJD/DF02 / 4229302-1
DPM / DPM (HF-W6545)(DPM02) / HJ-65458EWJD/DF02 / 4229302-2
DPM / DPM (HF-W6545)(DPM03) / HJ-65458EWJD/DF02 / 4229302-3
DPM / DPM予備機 (HF-W6545)(DPM予備01) / HJ-65458EWJD/DF02 / 4228408-2
DPM / DPM予備機 (HF-W6545)(DPM予備02) / HJ-65458EWJD/DF02 / 4228408-1
DPM / DPM予備機 (HF-W6555)(DPM予備03) / HJ-6555-WAJD/DF02 / 4238687-1</t>
  </si>
  <si>
    <t>ブランド / 機器構成名(個体名) / 型式 / シリアル番号
DPM / ﾗﾍﾞﾙﾌﾟﾘﾝﾀ(LBP01) / CL4NX-J08 / 6D000336
DPM / ﾗﾍﾞﾙﾌﾟﾘﾝﾀ予備機(LBP予備) / CL4NX-J08 / 6D000658
DPM / ｵｰﾄﾗﾍﾞﾗ (LR4080SR-T)() / LR4080SR-TSB / AG000030
DPM / ｵｰﾄﾗﾍﾞﾗ (LR4081SR-T)() / LR4081SR-TSB / AG000054
DPM / ｵｰﾄﾗﾍﾞﾗ (LR4081SR-T)() / LR4081SR-TSB / AG000055
DPM / ｵｰﾄﾗﾍﾞﾗ予備機(予備機) / LR4081SR-TSB / AG000046</t>
  </si>
  <si>
    <t>2025020402-224-1 / 2025020415-224-1</t>
  </si>
  <si>
    <t>ブランド / 機器構成名(個体名) / 型式 / シリアル番号
WareNavi7A / WareNavi7本体(FC-S36W)(WNAZ001) / FC-S36W-143CV7 / 2Y00909
WareNavi7A / WareNavi7本体予備機(FC-S36W)(WNAZ003) / FC-S36W-143CV7 / 2Y00914
WareNavi7A / WareNavi7端末(FC-E29U)(WATA001) / FC-E29U-S31C42 / 3400689
WareNavi7A / WareNavi7端末(FC-E29U)(WATA002) / FC-E29U-S31C42 / 2Z00291</t>
  </si>
  <si>
    <t>ブランド / 機器構成名(個体名) / 型式 / シリアル番号
AWC4 Framework / AWC4ｻｰﾊﾞ (FC-S35W/S4)(AWC001) / FC-S35W/S42CM0 / S540083MA
AWC4 Framework / 出来高管理PC (FC-S35W/S4)(AWC002) / FC-S35W/SE4CM2 / S570468MA
AWC4 Framework / 事務所端末 (FC-E16U/S7)(WAT001) / FC-E16U/S71R4Z / S520964MA
LPM / ﾗﾍﾞﾗ管理PC (FC-S35W/S4)(LPM001) / FC-S35W/S42CM0 / S540081MA
LPM / ﾗﾍﾞﾗ管理PC (FC-S35W/S4 BCR付き)(LPM002) / FC-S35W/S42CM0 / S540079MA
SAM / ｺﾝﾍﾞﾔ搬送管理PC (FC-S35W/S4)(SAM001) / FC-S35W/S42CM0 / S540082MA</t>
  </si>
  <si>
    <t>ブランド / 機器構成名(個体名) / 型式 / シリアル番号
LPM / ﾗﾍﾞﾙﾌﾟﾘﾝﾀ(LBP001) / CL4NX-J12 Plus / GB100935
LPM / ｵｰﾄﾗﾍﾞﾗ(LR4NX-FA12LCJ)(LBL01) / LR4NX-FA12LCJ / HK000017
LPM / ｵｰﾄﾗﾍﾞﾗ(LR4NX-FA12LCJ)(LBL02) / LR4NX-FA12LCJ / HK000018
LPM / ｵｰﾄﾗﾍﾞﾗ(LR4NX-FA12LCJ)(LBL03) / LR4NX-FA12LCJ / HK000015
LPM / ｵｰﾄﾗﾍﾞﾗ(LR4NX-FA12LCJ)(LBL04) / LR4NX-FA12LCJ / HK000016
LPM / ｵｰﾄﾗﾍﾞﾗ(LR4NX-FA08LCJ)(LBL05) / LR4NX-FA08LCJ / HK000020
LPM / ｵｰﾄﾗﾍﾞﾗ(LR4NX-FA08LCJ)(LBL06) / LR4NX-FA08LCJ / HK000021
LPM / ｵｰﾄﾗﾍﾞﾗ(LR4NX-FA08LCJ)(LBL07) / LR4NX-FA08LCJ / HK000019</t>
  </si>
  <si>
    <t>2020050707-216-1 / 2022051102-221-1 / 2024062404-224-1</t>
  </si>
  <si>
    <t>ブランド / 機器構成名(個体名) / 型式 / シリアル番号
eAWC Framework Custom / eAWC本体 (Express5800/R320f-E4)(EAWC001) / N8800-218Y / 9600258
eAWC Framework Custom / eAWC端末 (FC-E22U)(WAT01) / FC-E22U-S / 8606267
eAWC Framework Custom / eAWC端末 (FC-E22U)(WAT02) / FC-E22U-S / 8606260
eAWC Framework Custom / eAWC端末 (FC-E22U)(WAT03) / FC-E22U-S / 0Z15112</t>
  </si>
  <si>
    <t>2020111016-216-1 / 2024101702-224-1</t>
  </si>
  <si>
    <t>ブランド / 機器構成名(個体名) / 型式 / シリアル番号
SAM / SAMｻｰﾊﾞ(Express5800/R320f-E4)(SAMSV) / N8800-218Y / 9Z00303
SAM / SAMｻｰﾊﾞ用UPS(SAMSV) / 無停電電源装置(1500VA,ﾗｯｸﾏｳﾝﾄ)N8142-101 / 
SAM / SAMｻｰﾊﾞ用UPS(SAMSV) / 無停電電源装置(1500VA,ﾗｯｸﾏｳﾝﾄ)N8142-101 / 
SAM / 管理端末(FC-E22U)(SAM00) / FC-E22U-S / 9Z11999
SAM / 仕分管理端末(FC-E22U)(SAM99) / FC-E22U-S / 9Z12003
SAM / SAM端末(FC-E23W)(SAM01) / FC-E23W-S / 0107450
SAM / SAM端末(FC-E23W)(SAM02) / FC-E23W-S / 0107452
SAM / SAM端末(FC-E23W)(SAM03) / FC-E23W-S / 0107449
SAM / SAM端末(FC-E23W)(SAM04) / FC-E23W-S / 0107451
SAM / SAM端末予備機(FC-E23W)(SAM_YOBI01) / FC-E23W-S / 0107453
SAM / SAM端末予備機(FC-E23W)(SAM_YOBI02) / FC-E23W-S / 0107454</t>
  </si>
  <si>
    <t>ブランド / 機器構成名(個体名) / 型式 / シリアル番号
eWareNavi Framework Custom / eWareNavi本体(FC-S36W)(WMS001) / FC-S36W-143CV7 / 1300340</t>
  </si>
  <si>
    <t>富士電機株式会社</t>
  </si>
  <si>
    <t>食品流通事業本部　三重工場</t>
  </si>
  <si>
    <t>総合検収場 部品保管システム</t>
  </si>
  <si>
    <t>2025041008-224-1 / 2025041010-224-1</t>
  </si>
  <si>
    <t>24202-002-005</t>
  </si>
  <si>
    <t>ブランド / 機器構成名(個体名) / 型式 / シリアル番号
ｺﾝﾄﾛｰﾗ / MOSⅦ本体(FC-E27B)(MOSZ101) / FC-E27B-SR / 2700329
ｺﾝﾄﾛｰﾗ / MOSⅦ端末(FC-P31X)(MOTZ102) / FC-P31X-L1 / 3202030</t>
  </si>
  <si>
    <t>株式会社あさひ</t>
  </si>
  <si>
    <t>自転車格納ＲＢ</t>
  </si>
  <si>
    <t>2018101711-216-1</t>
  </si>
  <si>
    <t>24206-123-001</t>
  </si>
  <si>
    <t>ブランド / 機器構成名(個体名) / 型式 / シリアル番号
AWC4 Framework / AWC4本体(FC-S35W/S7)(AWC001) / FC-S35W/S72CL9 / S680646MA</t>
  </si>
  <si>
    <t>ブランド / 機器構成名(個体名) / 型式 / シリアル番号
AWC-300N / AWC本体(FC-S36W)(AWC001) / FC-S36W-133CW4 / 1Z00158
AWC-300N / AWC端末(FC-E22U)(WAT001) / FC-E22U-S / 2718093
AWC-300N / AWC端末(FC-E22U)(WAT002) / FC-E22U-S / 2718081</t>
  </si>
  <si>
    <t>常盤薬品工業株式会社</t>
  </si>
  <si>
    <t>医薬品格納ＲＢ</t>
  </si>
  <si>
    <t>CE451449</t>
  </si>
  <si>
    <t>24206-049-002</t>
  </si>
  <si>
    <t>ブランド / 機器構成名(個体名) / 型式 / シリアル番号
eAWC Ordermade / eAWCｻｰﾊﾞ(SPARC M10-1)(AWC01) / SPMAKAA1EF / PZ31816026</t>
  </si>
  <si>
    <t>ブランド / 機器構成名(個体名) / 型式 / シリアル番号
AWC7 Framework / AWC7本体 (FC-S36W)(AWC001) / FC-S36W-143CV7 / 3Y01065
AWC7 Framework / AWC7本体予備機 (FC-S36W)(AWC002) / FC-S36W-143CV7 / 3Y01070
AWC7 Framework / VTC(NT8000)(VTC01) / FC-E22U-S / 0Z15150
AWC7 Framework / VTC予備機(NT8000)(VTC予備機) / FC-E22U-S / 1115379</t>
  </si>
  <si>
    <t>製造・包装新工場　自動倉庫</t>
  </si>
  <si>
    <t>24202A177-001</t>
  </si>
  <si>
    <t>ブランド / 機器構成名(個体名) / 型式 / シリアル番号
WareNavi7 / ｵｰﾄﾗﾍﾞﾗ(LAB001) / LR4081SR-TPJ / DE000014</t>
  </si>
  <si>
    <t>ブランド / 機器構成名(個体名) / 型式 / シリアル番号
AWC7 Framework / AWC7本体(FC-S36W)(AWC001) / FC-S36W-143CV7 / 3Y01038</t>
  </si>
  <si>
    <t>ブランド / 機器構成名(個体名) / 型式 / シリアル番号
AWC7 Framework / ﾗﾍﾞﾙﾌﾟﾘﾝﾀ(LBP001) / CL4NX-J08 Plus / HG100506</t>
  </si>
  <si>
    <t>株式会社ジェイ・エム・エス</t>
  </si>
  <si>
    <t>出雲工場</t>
  </si>
  <si>
    <t>シリンジ成形品梱包搬送ライン設備</t>
  </si>
  <si>
    <t>2025021209-224-1</t>
  </si>
  <si>
    <t>32203-087-008</t>
  </si>
  <si>
    <t>ブランド / 機器構成名(個体名) / 型式 / シリアル番号
ｺﾝﾄﾛｰﾗ / VTC(NT8000)(VTC01) / FC-E29U-S / 4602147</t>
  </si>
  <si>
    <t>ブランド / 機器構成名(個体名) / 型式 / シリアル番号
管理ｻｰﾊﾞ / 管理ｻｰﾊﾞ(FC-E23W)(PDM) / FC-E23W-S / 9405774
管理ｻｰﾊﾞ / 管理ｻｰﾊﾞ予備機(FC-E23W)(PDM予備機) / FC-E23W-S / 9405773
PCM / PCM(FC-E23W)(PCM) / FC-E23W-S / 9405775
PCM / PCM予備機(FC-E23W)(PCM予備機) / FC-E23W-S / 9405776
管理ｻｰﾊﾞ / 進捗端末(FC-E22U)(WAT01) / FC-E22U-S / 9208705
PCM / 酒端末(FC-E22U)(WAT002) / FC-E22U-S / 9208698</t>
  </si>
  <si>
    <t>2025061114-224-1 / 2025061116-224-1</t>
  </si>
  <si>
    <t>ブランド / 機器構成名(個体名) / 型式 / シリアル番号
AWC7 Framework / AWC7本体(FC-S36W)(DSKAWC1) / FC-S36W-L / 4705073
AWC7 Framework / AWC7端末(FC-E29U)(WAT101) / FC-E29U-S31C42 / 3600959
AWC7 Framework / AWC7端末(FC-E29U)(WAT102) / FC-E29U-S31C42 / 3601032</t>
  </si>
  <si>
    <t>ブランド / 機器構成名(個体名) / 型式 / シリアル番号
AWC7 Framework / MOSⅦ(HF-W2055)(MOSZ101) / HJ-2055-WEMA/DF04 / 8054682-5</t>
  </si>
  <si>
    <t>VCR</t>
  </si>
  <si>
    <t>2020121110-216-1 / 2020121126-216-1</t>
  </si>
  <si>
    <t>35202-138-001</t>
  </si>
  <si>
    <t>ブランド / 機器構成名(個体名) / 型式 / シリアル番号
WareNavi4 Framework / WareNavi4本体 (FC-S35W/S7)(WMS001) / FC-S35W/S72CL9 / S890276MA
WareNavi4 Framework / WareNavi4端末 (FC-E22U)(WAT001) / FC-E22U-S / 8Y07774
WareNavi4 Framework / 2F作業表示端末 (FC-E22U)(WAT002) / FC-E22U-S / 8Y07793
WareNavi4 Framework / 4F作業表示端末 (FC-E22U)(WAT003) / FC-E22U-S / 8Y07875</t>
  </si>
  <si>
    <t>ブランド / 機器構成名(個体名) / 型式 / シリアル番号
WareNavi4 Framework / ﾗﾍﾞﾙﾌﾟﾘﾝﾀ(LBL01) / CL4NX-J08 / CH102156</t>
  </si>
  <si>
    <t>株式会社コニカミノルタサプライズ</t>
  </si>
  <si>
    <t>NP棟 素管倉庫</t>
  </si>
  <si>
    <t>FA180</t>
  </si>
  <si>
    <t>19201-033-005</t>
  </si>
  <si>
    <t>【システム点検】※サポート対象外OSの為、診断対象外。 / 【システム点検】※途中契約の為、フィルター交換対象外</t>
  </si>
  <si>
    <t>ブランド / 機器構成名(個体名) / 型式 / シリアル番号
eAWC Framework / eAWC本体(FA3100SSmodel1000)(AWC001) / UD431016-04-DHT / OEX780</t>
  </si>
  <si>
    <t>NP棟 中間倉庫</t>
  </si>
  <si>
    <t>FA181</t>
  </si>
  <si>
    <t>19201-033-007</t>
  </si>
  <si>
    <t>ブランド / 機器構成名(個体名) / 型式 / シリアル番号
eAWC Framework / eAWC本体(FA3100SSmodel1000)(AWC101) / UD431016-04-DHT / OEX779</t>
  </si>
  <si>
    <t>2024091114-224-1 / 2024091116-224-1 / 2024091118-224-1</t>
  </si>
  <si>
    <t>ブランド / 機器構成名(個体名) / 型式 / シリアル番号
WareNavi7 / WareNavi7本体(FC-S36W)(WNA01) / FC-S36W-143CV7 / 2100573
WareNavi7 / WareNavi7端末/BCR付(FC-E22U)(WATA001) / FC-E22U-S / 2718037
WareNavi7 / WareNavi7端末(FC-E22U)(WATA002) / FC-E22U-S / 2718048
WareNavi7 / MOSⅦ(FC-E27B)(MOSA01) / FC-E27B-SR / 2600292</t>
  </si>
  <si>
    <t>ブランド / 機器構成名(個体名) / 型式 / シリアル番号
LPM / ｵｰﾄﾗﾍﾞﾗ(2022年納入)(ALBP02) / LR4080SR-TCJ / GD000089
SAM / ﾗﾍﾞﾙﾌﾟﾘﾝﾀ(LBP01) / CL4NX-J08 Plus / FM104188
SAM / ﾗﾍﾞﾙﾌﾟﾘﾝﾀ(LBP02) / CL4NX-J08 Plus / FM104121</t>
  </si>
  <si>
    <t>CE150180 / CE150317 / CE150323</t>
  </si>
  <si>
    <t>ブランド / 機器構成名(個体名) / 型式 / シリアル番号
eAWC Ordermade(FS) / ﾏﾃﾊﾝｻｰﾊﾞ(PRIMERGY TX1330 M4)(MC001) / PYT1334TNS / MAJL020927
eAWC Ordermade(FS) / ﾏﾃﾊﾝｻｰﾊﾞ(PRIMERGY TX1330 M4)(MC001) / 無停電電源装置(750J)PY-UPAT752 / TT201A0015
eAWC Ordermade(FS) / eAWC本体(ESPRIMO D7011/G)(AWC001) / FMVD52001 / R2400077
eAWC Ordermade(CS) / eAWC本体(ESPRIMO D7011/G)(AWC002) / FMVD52001 / R2400078
eAWC Framework(補充) / eAWC本体(ESPRIMO D7011/G)(AWC003) / FMVD52001 / R2400076
eAWC Ordermade(FS) / eAWC本体(ESPRIMO D7011/G)(AWC001) / 無停電電源装置(750VA)FMUP-204 / TT827A0122
eAWC Ordermade(CS) / eAWC本体(ESPRIMO D7011/G)(AWC002) / 無停電電源装置(750VA)FMUP-204 / TT117A0005
eAWC Framework(補充) / eAWC本体(ESPRIMO D7011/G)(AWC003) / 無停電電源装置(750VA)FMUP-204 / TT117A0014
SAM / SAM本体(ESPRIMO D7011/G)(SAM001) / FMVD52001 / R2400080
SAM / SAM本体(ESPRIMO D7011/G)(SAM002) / FMVD52001 / R2400079
SAM / SAM本体(ESPRIMO D7011/G)(SAM001) / 無停電電源装置(750VA)FMUP-204 / TT117A0007
SAM / SAM本体(ESPRIMO D7011/G)(SAM002) / 無停電電源装置(750VA)FMUP-204 / TT117A0013
LPM / LPM本体(ESPRIMO D7011/G)(LPM001) / FMVD52001 / R2400075
LPM / LPM本体(ESPRIMO D7011/G)(LPM001) / 無停電電源装置(750VA)FMUP-204 / TT827A0122
eAWC Ordermade(FS) / eAWC端末(ESPRIMO D7011/G)(WAT01) / FMVD52001 / R2400071
eAWC Ordermade(FS) / eAWC端末(ESPRIMO D7011/G)(WAT02) / FMVD52001 / R2400044
eAWC Ordermade(FS) / eAWC端末(ESPRIMO D7011/G)(WAT11) / FMVD52001 / R2400045
eAWC Ordermade(CS) / eAWC端末/ﾀｯﾁﾊﾟﾈﾙ(ESPRIMO D7011/G)(WAT05) / FMVD52001 / R2400043
eAWC Ordermade(CS) / eAWC端末/ﾀｯﾁﾊﾟﾈﾙ(ESPRIMO D7011/G)(WAT07) / FMVD52001 / R2400073
eAWC Ordermade(CS) / eAWC端末/ﾀｯﾁﾊﾟﾈﾙ(ESPRIMO D7011/G)(WAT08) / FMVD52001 / R2400042
eAWC Ordermade(CS) / eAWC端末/ﾀｯﾁﾊﾟﾈﾙ(ESPRIMO D7011/G)(WAT09) / FMVD52001 / R2400072
SAM / ﾘｼﾞｪｸﾄ端末(ESPRIMO D7011/G)(WAT10) / FMVD52001 / R2400070
SAM / ﾘｼﾞｪｸﾄ端末(ESPRIMO D7011/G)(WAT12) / FMVD52001 / R2400074
eAWC Ordermade(FS) / ﾍﾟｰｼﾞﾌﾟﾘﾝﾀ(Pr01) / XL-4405 / LD2209891
eAWC Ordermade(FS) / ﾍﾟｰｼﾞﾌﾟﾘﾝﾀ(Pr09) / XL-4405 / LD2209893</t>
  </si>
  <si>
    <t>ブランド / 機器構成名(個体名) / 型式 / シリアル番号
AWC7 Framework / AWC7本体(HF-W6555)(AWC001) / HJ-6555-WEJD/DF05 / 4240888-4
AWC7 Framework / AWC7端末(HF-W2050)(WAT001) / HJ-2050-WEMA/DF03 / 8054960-4</t>
  </si>
  <si>
    <t>新第２工場（ML）</t>
  </si>
  <si>
    <t>2019110117-216-1</t>
  </si>
  <si>
    <t>19400-002-003</t>
  </si>
  <si>
    <t>ブランド / 機器構成名(個体名) / 型式 / シリアル番号
AWC4 Framework / AWC4本体 (FC-S35W/S7)(AWC001) / FC-S35W/S72CL9 / S490678MA</t>
  </si>
  <si>
    <t>武蔵エナジーソリューションズ株式会社</t>
  </si>
  <si>
    <t>山梨本社工場</t>
  </si>
  <si>
    <t>工場棟　自動倉庫</t>
  </si>
  <si>
    <t>1511-003</t>
  </si>
  <si>
    <t>19209-010-001</t>
  </si>
  <si>
    <t>ブランド / 機器構成名(個体名) / 型式 / シリアル番号
AWC4 Framework / AWC4本体 (HF-W6545)(AWC001) / HJ-65458EWJD/DF02 / 4224569-1</t>
  </si>
  <si>
    <t>ブランド / 機器構成名(個体名) / 型式 / シリアル番号
WareNavi7 / ﾏﾃﾊﾝｻｰﾊﾞ (Express5800/R320g-E4)(WMS) / N8800-255Y / 0Z00541
WareNavi7 / 荷合わせｼｬﾄﾙﾗｯｸ管理端末 (FC-S36W)(SRS001) / FC-S36W-143CV7 / 0900269
WareNavi7 / 管理端末 (FC-E22U)(WAT001) / FC-E22U-S / 0Y14756
SAM / ｺﾝﾍﾞﾔ制御PC (FC-S36W)(SAM001) / FC-S36W-143CV7 / 0X00276
SAM / ﾘｼﾞｪｸﾄ端末 (FC-E22U)(WAT301) / FC-E22U-S / 0Y14757
SAM / 出荷ｼｭｰﾄ作業端末 (FC-E22U)(WAT101) / FC-E22U-S / 0Y14751
DAM / DAS管理PC (FC-S36W)(DAS001) / FC-S36W-143CV7 / 0X00288
DAM / DAS管理PC (FC-S36W)(DAS002) / FC-S36W-143CV7 / 0900271
DAM / 仕分けｽﾃｰｼｮﾝ作業端末 (FC-E22U)(WAT401) / FC-E22U-S / 0Z15218
DAM / 仕分けｽﾃｰｼｮﾝ作業端末 (FC-E22U)(WAT402) / FC-E22U-S / 0Z15229
DAM / 仕分けｽﾃｰｼｮﾝ作業端末 (FC-E22U)(WAT403) / FC-E22U-S / 0Z15221
DAM / 仕分けｽﾃｰｼｮﾝ作業端末 (FC-E22U)(WAT404) / FC-E22U-S / 0Z15231
DAM / 仕分けｽﾃｰｼｮﾝ作業端末 (FC-E22U)(WAT405) / FC-E22U-S / 0Z15230
DAM / 仕分けｽﾃｰｼｮﾝ作業端末 (FC-E22U)(WAT406) / FC-E22U-S / 0Z15228
DAM / 仕分けｽﾃｰｼｮﾝ作業端末 (FC-E22U)(WAT407) / FC-E22U-S / 0Z15232
DAM / 仕分けｽﾃｰｼｮﾝ作業端末 (FC-E22U)(WAT408) / FC-E22U-S / 0Z15224
DAM / 仕分けｽﾃｰｼｮﾝ作業端末 (FC-E22U)(WAT409) / FC-E22U-S / 0Z15223
DAM / 仕分けｽﾃｰｼｮﾝ作業端末 (FC-E22U)(WAT410) / FC-E22U-S / 0Z15225
DAM / 仕分けｽﾃｰｼｮﾝ作業端末 (FC-E22U)(WAT411) / FC-E22U-S / 0Z15227
DAM / 仕分けｽﾃｰｼｮﾝ作業端末 (FC-E22U)(WAT412) / FC-E22U-S / 0Z15220
DAM / 仕分けｽﾃｰｼｮﾝ作業端末 (FC-E22U)(WAT413) / FC-E22U-S / 0Z15219
DAM / 仕分けｽﾃｰｼｮﾝ作業端末 (FC-E22U)(WAT414) / FC-E22U-S / 0Z15233
DAM / 仕分けｽﾃｰｼｮﾝ作業端末 (FC-E22U)(WAT415) / FC-E22U-S / 0Z15222
DAM / 仕分けｽﾃｰｼｮﾝ作業端末 (FC-E22U)(WAT416) / FC-E22U-S / 0Z15226
DAM / QAﾗｲﾝ端末 (FC-E22U)(WAT201) / FC-E22U-S / 0Y14749
WareNavi7 / MOSⅦｻｰﾊﾞ (FC-E27B)(MOSZ301) / FC-E27B-S / 0Z13097
SAM / MOSⅦｻｰﾊﾞ (FC-E27B)(MOSZ302) / FC-E27B-S / 0Z13099
SAM / MOSⅦｻｰﾊﾞ (FC-E27B)(MOSZ303) / FC-E27B-S / 0Z13098
WareNavi7 / MOSⅦ端末 (FC-P31X)(MOTZ304) / FC-P31X-L1 / 0Z00256
SAM / MOSⅦ端末 (FC-P31X)(MOTZ305) / FC-P31X-L1 / 0Z00255
SAM / MOSⅦ端末 (FC-P31X)(MOTZ401) / FC-P31X-L1 / 1500360
SAM / MOSⅦ端末 (FC-P31X)(MOTZ101) / FC-P31X-L1 / 0Z00254</t>
  </si>
  <si>
    <t>ブランド / 機器構成名(個体名) / 型式 / シリアル番号
LPM / ｵｰﾄﾗﾍﾞﾗ(LBRZ401) / LR4080SR-TSB / HK000089
LPM / ｵｰﾄﾗﾍﾞﾗ(LBRZ402) / LR4080SR-TSB / HK000090</t>
  </si>
  <si>
    <t>(仮称)月島食品工業株式会社東京物流センター建設工事</t>
  </si>
  <si>
    <t>2026011426-225-1 / 2026011428-225-1</t>
  </si>
  <si>
    <t>ブランド / 機器構成名(個体名) / 型式 / シリアル番号
WareNavi7A / WareNavi7本体(FC-S36W)(WNA001) / FC-S36W-143CV7 / 4Y01259
WareNavi7A / WareNavi7端末(FC-E22K【BCR付き】)(WAT101) / FC-E22K-L / 5102892
WareNavi7A / WareNavi7端末(FC-E22K)(WAT101) / FC-E22K-L / 5102891
WareNavi7A / MOSⅦ本体(FC-E22K)(MOSZ001) / FC-E22K-L / 5403189</t>
  </si>
  <si>
    <t>株式会社タカラトミー</t>
  </si>
  <si>
    <t>2024093002-224-1</t>
  </si>
  <si>
    <t>12106-126-001</t>
  </si>
  <si>
    <t>ブランド / 機器構成名(個体名) / 型式 / シリアル番号
eWareNavi / 通信端末 (FC-E27B)(t2logi021) / FC-E27B-S / 9809543
eWareNavi / 管理端末 (FC-E27B)(WAT01) / FC-E27B-S / 9809541
eWareNavi / 端末予備機 (FC-E27B)(t2logi021予備) / FC-E27B-S / 9809538
eSAM / eSAM (FC-E27B【BCR付】)(SAM01) / FC-E27B-S / 9809537
eSAM / eSAM (FC-E27B【BCR付】)(SAM02) / FC-E27B-S / 9809540
eSAM / eSAM (FC-E27B)(SAM03) / FC-E27B-S / 9809539
LPM / LPM (FC-E27B)(LPM01) / FC-E27B-S / 9809542</t>
  </si>
  <si>
    <t>ブランド / 機器構成名(個体名) / 型式 / シリアル番号
LPM / ﾗﾍﾞﾙﾌﾟﾘﾝﾀ(LBP01) / M-48Pro8 / 9A000084
LPM / ﾗﾍﾞﾙﾌﾟﾘﾝﾀ(LBP02) / M-48Pro8 / 8M000135
LPM / ﾗﾍﾞﾙﾌﾟﾘﾝﾀ(LBP03) / M-48Pro8 / 9A000076
LPM / ﾗﾍﾞﾙﾌﾟﾘﾝﾀ(LBP04) / M-48Pro8 / 9A000097</t>
  </si>
  <si>
    <t>2505-003</t>
  </si>
  <si>
    <t>12203-282-001</t>
  </si>
  <si>
    <t>ブランド / 機器構成名(個体名) / 型式 / シリアル番号
AWC4 Ordermade / AWC4ｻｰﾊﾞ (EP8000 S914)(AWC01) / THE-C900941G623 / 70674</t>
  </si>
  <si>
    <t>イオン棟（自動倉庫システム）</t>
  </si>
  <si>
    <t>12204-450-001</t>
  </si>
  <si>
    <t>ブランド / 機器構成名(個体名) / 型式 / シリアル番号
eWareNavi Ordermade / ﾗﾍﾞﾙﾌﾟﾘﾝﾀ(LPN001) / CL4NX-J08 / CG102148
eWareNavi Ordermade / ﾗﾍﾞﾙﾌﾟﾘﾝﾀ(LPN002) / CL4NX-J08 / CG102034
eWareNavi Ordermade / ﾗﾍﾞﾙﾌﾟﾘﾝﾀ(LPN003) / CL4NX-J08 / CG102131
eWareNavi Ordermade / ﾗﾍﾞﾙﾌﾟﾘﾝﾀ(LPN004) / CL4NX-J08 / CG102130
eWareNavi Ordermade / ﾗﾍﾞﾙﾌﾟﾘﾝﾀ(LPN005) / CL4NX-J08 / CG102125
eWareNavi Ordermade / ﾗﾍﾞﾙﾌﾟﾘﾝﾀ(LPN006) / CL4NX-J08 / CG102090
eWareNavi Ordermade / ﾗﾍﾞﾙﾌﾟﾘﾝﾀ(LPN007) / CL4NX-J08 / CG102089
eWareNavi Ordermade / ﾗﾍﾞﾙﾌﾟﾘﾝﾀ(LPN008) / CL4NX-J08 / CG102081
eWareNavi Ordermade / ﾗﾍﾞﾙﾌﾟﾘﾝﾀ(LPN009) / CL4NX-J08 / CG102080
eWareNavi Ordermade / ﾗﾍﾞﾙﾌﾟﾘﾝﾀ(LPN010) / CL4NX-J08 / CG102069
eWareNavi Ordermade / ﾗﾍﾞﾙﾌﾟﾘﾝﾀ(LPN011) / CL4NX-J08 / CG102061
eWareNavi Ordermade / ﾗﾍﾞﾙﾌﾟﾘﾝﾀ(LPN012) / CL4NX-J08 / CG102060
eWareNavi Ordermade / ﾗﾍﾞﾙﾌﾟﾘﾝﾀ(LPN013) / CL4NX-J08 / CG102035</t>
  </si>
  <si>
    <t>CE451548</t>
  </si>
  <si>
    <t>ブランド / 機器構成名(個体名) / 型式 / シリアル番号
eWareNavi Ordermade / eWareNaviｻｰﾊﾞ(PRIMERGY RX2520 M4)(AWC002) / PYR2524R2N / MADE003145
eWareNavi Ordermade / eWareNaviｻｰﾊﾞ予備機(PRIMERGY RX2520 M4)(AWC002予備) / PYR2524R2N / MADE003126
eWareNavi Ordermade / 外部共有ﾃﾞｨｽｸ(ST001) / ET064A / 4601828370
eWareNavi Ordermade / eWareNavi端末(PRIMERGY TX1310 M3)(WAT001) / PYT1313T3S / MA9F013654
eWareNavi Ordermade / eWareNavi端末(PRIMERGY TX1310 M3)(WAT002) / PYT1313T3S / MA9F013655
eWareNavi Ordermade / eWareNavi端末(PRIMERGY TX1310 M3)(WAT003) / PYT1313T3S / MA9F013674
eWareNavi Ordermade / eWareNavi端末(PRIMERGY TX1310 M3)(WAT004) / PYT1313T3S / MA9F013676
eWareNavi Ordermade / eWareNavi端末(PRIMERGY TX1310 M3)(WAT005) / PYT1313T3S / MA9F013704
eWareNavi Ordermade / eWareNavi端末(PRIMERGY TX1310 M3)(WAT006) / PYT1313T3S / MA9F013719
eWareNavi Ordermade / eWareNavi端末(PRIMERGY TX1310 M3)(WAT007) / PYT1313T3S / MA9F013721
eWareNavi Ordermade / eWareNavi端末(PRIMERGY TX1310 M3)(WAT008) / PYT1313T3S / MA9F013722
eWareNavi Ordermade / eWareNavi端末(PRIMERGY TX1310 M3)(WAT009) / PYT1313T3S / MA9F013723
eWareNavi Ordermade / eWareNavi端末(PRIMERGY TX1310 M3)(WAT010) / PYT1313T3S / MA9F013726
eWareNavi Ordermade / eWareNavi端末(PRIMERGY TX1310 M3)(WAT011) / PYT1313T3S / MA9F013729
eWareNavi Ordermade / eWareNavi端末(PRIMERGY TX1310 M3)(WAT012) / PYT1313T3S / MA9F013730
eWareNavi Ordermade / eWareNavi端末(PRIMERGY TX1310 M3)(WAT013) / PYT1313T3S / MA9F013731
eWareNavi Ordermade / eWareNavi端末/BCR付(PRIMERGY TX1310 M3)(WAT014) / PYT1313T3S / MA9F013758</t>
  </si>
  <si>
    <t>ブランド / 機器構成名(個体名) / 型式 / シリアル番号
LPM / ﾗﾍﾞﾙﾌﾟﾘﾝﾀ(ｶﾙﾋﾞﾗｲﾝ)(LBL01) / CL4NX-J08 / CG102178</t>
  </si>
  <si>
    <t>CE451549</t>
  </si>
  <si>
    <t>ブランド / 機器構成名(個体名) / 型式 / シリアル番号
SAM / SAMｻｰﾊﾞ(SPARC M10-1)(SAMSV01) / SPMAKAA1EF / PZ31839004
SAM / SAMｻｰﾊﾞ予備機(SPARC M10-1)(SAMSV予備機) / SPMAKAA1EF / PZ31840004
SAM / 外部共有ﾃﾞｨｽｸ(ST001) / ET064A / 4601828369
SAM / SAM(PRIMERGY TX1310 M3)(SAM01) / PYT1313T3S / MA9F013668
SAM / SAM(PRIMERGY TX1310 M3)(SAM02) / PYT1313T3S / MA9F013671
SAM / SAM(PRIMERGY TX1310 M3)(SAM03) / PYT1313T3S / MA9F013677
SAM / SAM(PRIMERGY TX1310 M3)(SAM04) / PYT1313T3S / MA9F013678
SAM / SAM(PRIMERGY TX1310 M3)(SAM05(予備機)) / PYT1313T3S / MA9F013680
SAM / SAM(PRIMERGY TX1310 M3)(SAM09) / PYT1313T3S / MA9F013689
SAM / SAM(PRIMERGY TX1310 M3)(SAM07) / PYT1313T3S / MA9F013703
SAM / SAM(PRIMERGY TX1310 M3)(SAM08) / PYT1313T3S / MA9F013720
SAM / SAM管理端末(PRIMERGY TX1310 M3)(SAM06) / PYT1313T3S / MA9F013724
LPM / LPM/ｶﾙﾋﾞﾗｲﾝ(PRIMERGY TX1310 M3)(LPM01) / PYT1313T3S / MA9F013728
LPM / LPM/ｶﾙﾋﾞﾗｲﾝ(PRIMERGY TX1310 M3)(LPM02) / PYT1313T3S / MA9F013732
LPM / LPM/3F(PRIMERGY TX1310 M3)(LPM03) / PYT1313T3S / MA9F013736
LPM / LPM/3F(PRIMERGY TX1310 M3)(LPM04) / PYT1313T3S / MA9F013739
SAM / 予備機(PRIMERGY TX1310 M3)(予備機) / PYT1313T3S / MA9F013664</t>
  </si>
  <si>
    <t>ブランド / 機器構成名(個体名) / 型式 / シリアル番号
LPM / ｵｰﾄﾗﾍﾞﾗ(ｶﾙﾋﾞﾗｲﾝ)(ALR001) / LR4080SR-TCJ / FM000086
LPM / ｵｰﾄﾗﾍﾞﾗ(ｶﾙﾋﾞﾗｲﾝ)(ALR002) / LR4080SR-TCJ / FM000085</t>
  </si>
  <si>
    <t>2024041008-224-1 / 2157148</t>
  </si>
  <si>
    <t>ブランド / 機器構成名(個体名) / 型式 / シリアル番号
LPM / ﾏﾃﾊﾝｻｰﾊﾞ (FC-S36W)(LPMZ101) / FC-S36W-143CV7 / 2100568
LPM / 投入端末 (FC-S36W)(WATZ101) / FC-S36W-143CV7 / 1Z00549
LPM / ﾘｼﾞｪｸﾄ端末 (FC-E22U)(WATZ102) / FC-E22U-S / 1Z17402
LPM / MOSⅦ本体(FC-E27B)(MOSZ101) / FC-E27B-SR / 2300238</t>
  </si>
  <si>
    <t>市川第2CS</t>
  </si>
  <si>
    <t>市川塩浜DC倉庫</t>
  </si>
  <si>
    <t>DC自動倉庫</t>
  </si>
  <si>
    <t>12203A152-001</t>
  </si>
  <si>
    <t>ブランド / 機器構成名(個体名) / 型式 / シリアル番号
WareNavi7 / ｵｰﾄﾗﾍﾞﾗ (LR4121SR-TSJ)() / LR4121SR-TSJ / GA000103
WareNavi7 / ｵｰﾄﾗﾍﾞﾗ (LR4121SR-TSJ)() / LR4121SR-TSJ / GA000104
WareNavi7 / ｵｰﾄﾗﾍﾞﾗ (LR4121SR-TSJ)() / LR4121SR-TSJ / GA000105
WareNavi7 / ｵｰﾄﾗﾍﾞﾗ (LR4121SR-TSJ)() / LR4121SR-TSJ / GA000106
WareNavi7 / ｵｰﾄﾗﾍﾞﾗ (LR4121SR-TSJ)() / LR4121SR-TSJ / GA000107
WareNavi7 / ｵｰﾄﾗﾍﾞﾗ (LR4121SR-TSJ)() / LR4121SR-TSJ / GA000108
WareNavi7 / ｵｰﾄﾗﾍﾞﾗ (LR4121SR-TSJ)() / LR4121SR-TSJ / GA000109
WareNavi7 / ｵｰﾄﾗﾍﾞﾗ (LR4121SR-TSJ)() / LR4121SR-TSJ / GA000110
WareNavi7 / ｵｰﾄﾗﾍﾞﾗ (LR4121SR-TSJ)() / LR4121SR-TSJ / GA000111
WareNavi7 / ｵｰﾄﾗﾍﾞﾗ (LR4121SR-TSJ)() / LR4121SR-TSJ / GA000112
WareNavi7 / ｵｰﾄﾗﾍﾞﾗ (LR4121SR-TSJ)() / LR4121SR-TSJ / GA000113
WareNavi7 / ｵｰﾄﾗﾍﾞﾗ (LR4121SR-TSJ)() / LR4121SR-TSJ / GA000114
WareNavi7 / ｵｰﾄﾗﾍﾞﾗ (LR4121SR-TSJ)() / LR4121SR-TSJ / GA000115
WareNavi7 / ｵｰﾄﾗﾍﾞﾗ (LR4121SR-TSJ)() / LR4121SR-TSJ / GA000116
WareNavi7 / ｵｰﾄﾗﾍﾞﾗ (LR4121SR-TSJ)() / LR4121SR-TSJ / GA000117
WareNavi7 / ｵｰﾄﾗﾍﾞﾗ (LR4121SR-TSJ)() / LR4121SR-TSJ / GA000118
WareNavi7 / ｵｰﾄﾗﾍﾞﾗ (LR4121SR-TSJ)() / LR4121SR-TSJ / GA000119
WareNavi7 / ｵｰﾄﾗﾍﾞﾗ (LR4121SR-TSJ)() / LR4121SR-TSJ / GA000120
WareNavi7 / ｵｰﾄﾗﾍﾞﾗ (LR4121SR-TSJ)() / LR4121SR-TSJ / GB000081
WareNavi7 / ｵｰﾄﾗﾍﾞﾗ (LR4121SR-TSJ)() / LR4121SR-TSJ / GB000082
WareNavi7 / ｵｰﾄﾗﾍﾞﾗ (LR4121SR-TSJ)() / LR4121SR-TSJ / GB000083
WareNavi7 / ｵｰﾄﾗﾍﾞﾗ (LR4121SR-TSJ)() / LR4121SR-TSJ / GB000084
WareNavi7 / ｵｰﾄﾗﾍﾞﾗ (LR4121SR-TSJ)() / LR4121SR-TSJ / GB000085
WareNavi7 / ｵｰﾄﾗﾍﾞﾗ (LR4121SR-TSJ)() / LR4121SR-TSJ / GB000086
WareNavi7 / ｵｰﾄﾗﾍﾞﾗ (LR4121SR-TSJ)() / LR4121SR-TSJ / GB000087
WareNavi7 / ｵｰﾄﾗﾍﾞﾗ (LR4121SR-TSJ)() / LR4121SR-TSJ / GB000088
WareNavi7 / ｵｰﾄﾗﾍﾞﾗ (LR4121SR-TSJ)() / LR4121SR-TSJ / GB000089
WareNavi7 / ｵｰﾄﾗﾍﾞﾗ (LR4121SR-TSJ)() / LR4121SR-TSJ / GB000090
WareNavi7 / ｵｰﾄﾗﾍﾞﾗ (LR4121SR-TSJ)() / LR4121SR-TSJ / GB000091
WareNavi7 / ｵｰﾄﾗﾍﾞﾗ (LR4121SR-TSJ)() / LR4121SR-TSJ / GB000092
WareNavi7 / ｵｰﾄﾗﾍﾞﾗ (LR4121SR-TSJ)() / LR4121SR-TSJ / GB000093
WareNavi7 / ｵｰﾄﾗﾍﾞﾗ (LR4121SR-TSJ)() / LR4121SR-TSJ / GB000094
WareNavi7 / ｵｰﾄﾗﾍﾞﾗ (LR4121SR-TSJ)() / LR4121SR-TSJ / GB000095
WareNavi7 / ｵｰﾄﾗﾍﾞﾗ (LR4121SR-TSJ)() / LR4121SR-TSJ / GB000096
WareNavi7 / ｵｰﾄﾗﾍﾞﾗ (LR4121SR-TSJ)() / LR4121SR-TSJ / GB000097
WareNavi7 / ｵｰﾄﾗﾍﾞﾗ (LR4121SR-TSJ)() / LR4121SR-TSJ / GB000098
WareNavi7 / ｵｰﾄﾗﾍﾞﾗ (LR4080SR-TCJ)() / LR4080SR-TCJ / FL000077
WareNavi7 / ｵｰﾄﾗﾍﾞﾗ (LR4080SR-TCJ)() / LR4080SR-TCJ / FL000078
WareNavi7 / ｵｰﾄﾗﾍﾞﾗ (LR4080SR-TCJ)() / LR4080SR-TCJ / FL000079
WareNavi7 / ｵｰﾄﾗﾍﾞﾗ (LR4080SR-TCJ)(LBRZ221) / LR4080SR-TCJ / GA000081
WareNavi7 / ｵｰﾄﾗﾍﾞﾗ (LR4080SR-TCJ)(LBRZ222) / LR4080SR-TCJ / GA000082
WareNavi7 / ｵｰﾄﾗﾍﾞﾗ (LR4080SR-TCJ)(LBRZ301) / LR4080SR-TCJ / GA000083
WareNavi7 / ｵｰﾄﾗﾍﾞﾗ (LR4080SR-TCJ)(LBRZ302) / LR4080SR-TCJ / GA000084
WareNavi7 / ｵｰﾄﾗﾍﾞﾗ (LR4080SR-TCJ)(LBRZ303) / LR4080SR-TCJ / GA000085
WareNavi7 / ｵｰﾄﾗﾍﾞﾗ (LR4081SR-TCJ)() / LR4081SR-TCJ / GB000099
WareNavi7 / ｵｰﾄﾗﾍﾞﾗ (LR4081SR-TCJ)() / LR4081SR-TCJ / GB000100</t>
  </si>
  <si>
    <t>中日本事業所　長浜地区</t>
  </si>
  <si>
    <t>フィルム倉庫システム</t>
  </si>
  <si>
    <t>2025091202-221-1 / 2025091204-221-1</t>
  </si>
  <si>
    <t>25203-005-004</t>
  </si>
  <si>
    <t>ブランド / 機器構成名(個体名) / 型式 / シリアル番号
AWC7 Framework / AWC7ｻｰﾊﾞ (Express5800/R320h-E4)(DB001) / N8800-311Y / 4400564
AWC7 Framework / ｻｰﾊﾞ用UPS(DB001) / 無停電電源装置(1500VA)N8180-67 / 
AWC7 Framework / ｻｰﾊﾞ用UPS(DB001) / 無停電電源装置(1500VA)N8180-67 / 
AWC7 Framework / AWC7端末(FC-E29U)(WAT001) / FC-E29U-S31C42 / 3600902</t>
  </si>
  <si>
    <t>ブランド / 機器構成名(個体名) / 型式 / シリアル番号
AWC7 Framework / ﾗﾍﾞﾙﾌﾟﾘﾝﾀ(LBP01) / CL4NX-J08 Plus / HM100819</t>
  </si>
  <si>
    <t>びわ湖工場</t>
  </si>
  <si>
    <t>ブランド / 機器構成名(個体名) / 型式 / シリアル番号
RTS-100 / RTS端末(FC-E22U)(WSC01) / FC-E22U-S / 0312876</t>
  </si>
  <si>
    <t>CE451800-1</t>
  </si>
  <si>
    <t>ブランド / 機器構成名(個体名) / 型式 / シリアル番号
RTS-100 / RTSｻｰﾊﾞ(SPARC M10-1)(RTS01) / SPMAKAA1EF / PZ32013003
RTS-100 / ｺﾝｿｰﾙ端末(PRIMERGY RX1330 M4)(WSC00) / PYR1334R3S / SC2011B00816</t>
  </si>
  <si>
    <t>2025070415-221-1 / 2025070417-221-1</t>
  </si>
  <si>
    <t>ブランド / 機器構成名(個体名) / 型式 / シリアル番号
AWC4 Framework / AWC4本体(FC-S36W)(AWC001) / FC-S36W-143CV7 / 4501175
AWC4 Framework / AWC4端末(FC-E22U)(WAT001) / FC-E22U-S / 9Z11992
AWC4 Framework / AWC4端末(FC-E22U)(WAT002) / FC-E22U-S / 9Z11993
AWC4 Framework / AWC4端末(FC-E22U)(WAT003) / FC-E22U-S / 9Z11998
AWC4 Framework / AWC4端末(FC-E22U)(WAT004) / FC-E22U-S / 9Z12001</t>
  </si>
  <si>
    <t>株式会社関西丸和ロジスティクス</t>
  </si>
  <si>
    <t>AZ-COM Logistics 滋賀</t>
  </si>
  <si>
    <t>ドライライン　マテハンシステム</t>
  </si>
  <si>
    <t>2001-003 / 2001-004</t>
  </si>
  <si>
    <t>25204-123-001</t>
  </si>
  <si>
    <t>ブランド / 機器構成名(個体名) / 型式 / シリアル番号
WareNavi4 Ordermade / JCM兼用ﾏﾃﾊﾝｻｰﾊﾞ (HF-W6545)(JSVR02) / HJ-65458EWJD/DF02 / 4230367-1
JCM / JCM端末 (HF-W6545)() / HJ-65458EWJD/DF02 / 4229994-1
eye-navi / DPM (HF-W6545)(DPM05) / HJ-65458EWJD/DF02 / 4230367-2
eye-navi / DPM (HF-W6545)(DPM06) / HJ-65458EWJD/DF02 / 4230367-3</t>
  </si>
  <si>
    <t>要冷ライン　マテハンシステム</t>
  </si>
  <si>
    <t>2001-005 / 2001-006 / 2001-007</t>
  </si>
  <si>
    <t>25204-123-002</t>
  </si>
  <si>
    <t>【システム点検】※プロダクト対象外の為、診断対象外。　/【契約情報：要冷ライン】</t>
  </si>
  <si>
    <t>ブランド / 機器構成名(個体名) / 型式 / シリアル番号
WareNavi4 Ordermade / JCM兼用ﾏﾃﾊﾝｻｰﾊﾞ (HF-W6545)(JSVR01) / HJ-65458EWJD/DF02 / 4230488-1
eye-navi / DPM (HF-W6545【Aﾗｲﾝ】)(DPM01) / HJ-65458EWJD/DF02 / 4231353-1
eye-navi / DPM (HF-W6545【B・Cﾗｲﾝ】)(DPM02) / HJ-65458EWJD/DF02 / 4230366-1
eye-navi / DPM (HF-W6545【B・Cﾗｲﾝ】)(DPM03) / HJ-65458EWJD/DF02 / 4230366-2
eye-navi / DPM (HF-W6545【Dﾗｲﾝ】)(DPM04) / HJ-65458EWJD/DF02 / 4230488-2</t>
  </si>
  <si>
    <t>ブランド / 機器構成名(個体名) / 型式 / シリアル番号
AWC-300N / AWC本体(FC-S36W)(AWC001) / FC-S36W-133CW4 / 2700183
AWC-300N / FS用AWC端末(FC-E22U)(WAT001) / FC-E22U-S / 2918469
AWC-300N / FS用AWC端末(FC-E22U)(WAT002) / FC-E22U-S / 2918476
AWC-300N / CS用AWC端末 (FC-E22U)(WAT003) / FC-E22U-S / 0513259
AWC-300N / CS用AWC端末 (FC-E22U)(WAT004) / FC-E22U-S / 0513265
AWC-300N / CS用AWC端末 (FC-E22U)(WAT005) / FC-E22U-S / 0513268
AWC-300N / CS用AWC端末 (FC-E22U)(WAT006) / FC-E22U-S / 0914234</t>
  </si>
  <si>
    <t>2008-009 / 2008-010 / 2010-001</t>
  </si>
  <si>
    <t>ブランド / 機器構成名(個体名) / 型式 / シリアル番号
RTS-100 / RTS本体 (EP8000 S914)(RTS01) / THE-C900941A623T / 61507
RTS-100 / 事務所端末 (HF-W2045)(WSC01) / HJ-2045-WEJA/DF03 / 4237454-1
RTS-100 / RTS端末 (HF-W2045)(WSC02) / HJ-2045-WEJA/DF03 / 4237455-1
RTS-100 / RTS端末 (HF-W2045)(WSC03) / HJ-2045-WEJA/DF03 / 4237456-1
RTS-100 / RTS端末 (HF-W2045)(WSC04) / HJ-2045-WEJA/DF03 / 4237457-1
RTS-100 / RTS端末 (HF-W2045)(WSC05) / HJ-2045-WEJA/DF03 / 4237458-1
RTS-100 / RTS端末 (HF-W2045)(WSC06) / HJ-2045-WEJA/DF03 / 4237459-1
RTS-100 / 集合表示器管理PC (HF-W2045)(DSPCTRL) / HJ-2045-WBJA/DF01 / 4236988-1
RTS-100 / MOS端末 (HF-W2045)(MOS01) / HJ-2045-WBJA/DF01 / 4236989-1</t>
  </si>
  <si>
    <t>ブランド / 機器構成名(個体名) / 型式 / シリアル番号
AWC7 Framework / AWC7本体 (FC-S36W)(AWC001) / FC-S36W-143CV7 / 4Y01246</t>
  </si>
  <si>
    <t>フジノ食品株式会社</t>
  </si>
  <si>
    <t>彦根物流センター</t>
  </si>
  <si>
    <t>FA121 / FA122</t>
  </si>
  <si>
    <t>25202-173-001</t>
  </si>
  <si>
    <t>ブランド / 機器構成名(個体名) / 型式 / シリアル番号
AWC-100N+ / AWC本体 (FA3100SS model 1000)(AWC001) / UD431016-01-DHT / OEY590
AWC-100N+ / AWC端末 (FA2100SS model 500)(WAT001) / UV4A502-07-DHT / OBA224</t>
  </si>
  <si>
    <t>2023080915-224-2 / 2023081804-224-1 / 2023090533-224-1 / 2025081216-224-1</t>
  </si>
  <si>
    <t>ブランド / 機器構成名(個体名) / 型式 / シリアル番号
LPM / LPM(FC-S36W)(LPM101) / FC-S36W-143CV7 / 2300637
LPM / LPM(FC-S36W)(LPM102) / FC-S36W-143CV7 / 2300632
LPM / LPM(FC-S36W)(LPM103) / FC-S36W-143CV7 / 2100590
LPM / LPM(FC-S36W)(LPM104) / FC-S36W-143CV7 / 2300635
LPM / LPM(FC-S36W)(LPM105) / FC-S36W-143CV7 / 3601004
LPM / LPM(FC-S36W)(LPM106) / FC-S36W-143CV7 / 3601002
LPM / 制御PC予備機(FC-S36W)(LPM予備) / FC-S36W-143CV7 / 2100607
ﾛﾎﾞｯﾄPC / ﾛﾎﾞｯﾄPC(FC-S36W)(RBM101) / FC-S36W-143CV7 / 2100589
ﾛﾎﾞｯﾄPC / ﾛﾎﾞｯﾄPC(FC-S36W)(RBM102) / FC-S36W-143CV7 / 2100594
SAM / ﾘｼﾞｪｸﾄ端末(FC-E22U)(WN113) / FC-E22U-S / 2918501
SAM / ﾘｼﾞｪｸﾄ端末(FC-E22U)(WN114) / FC-E22U-S / 2918550
SAM / ﾘｼﾞｪｸﾄ端末(FC-E22U)(WN115) / FC-E22U-S / 2918491
SAM / ﾘｼﾞｪｸﾄ端末(FC-E22U)(WN226) / FC-E22U-S / 2918519
SAM / ﾘｼﾞｪｸﾄ端末(FC-E22U)(WN228) / FC-E22U-S / 2918518
SAM / MOSⅦ端末(FC-P31X)(MOTZ501) / FC-P31X-L1 / 2200807
SAM / MOSⅦ端末(FC-P31X)(MOTZ502) / FC-P31X-L1 / 2200809
SAM / MOSⅦ端末(FC-P31X)(MOTZ503) / FC-P31X-L1 / 2200817</t>
  </si>
  <si>
    <t>2176895 / 2176896</t>
  </si>
  <si>
    <t>　/【契約情報：オートラベラのみ】</t>
  </si>
  <si>
    <t>ブランド / 機器構成名(個体名) / 型式 / シリアル番号
LPM / ｵｰﾄﾗﾍﾞﾗ(LBRZ001) / LR4081SR-TCJ / GG000107
LPM / ｵｰﾄﾗﾍﾞﾗ(LBRZ002) / LR4081SR-TCJ / GG000108
LPM / ｵｰﾄﾗﾍﾞﾗ(LBRZ003) / LR4121SR-TCJ / GG000123
LPM / ｵｰﾄﾗﾍﾞﾗ(LBRZ004) / LR4121SR-TCJ / GG000124
LPM / ｵｰﾄﾗﾍﾞﾗ(LBRZ005) / LR4121SR-TCJ / GG000125
LPM / ｵｰﾄﾗﾍﾞﾗ(LBRZ006) / LR4121SR-TPJ / GG000120
LPM / ｵｰﾄﾗﾍﾞﾗ(LBRZ007) / LR4121SR-TPJ / GG000121
LPM / ｵｰﾄﾗﾍﾞﾗ(LBRZ008) / LR4121SR-TPJ / GG000122
LPM / ｵｰﾄﾗﾍﾞﾗ(LBRZ103) / LR4120SR-TPJ / HK000091
LPM / ｵｰﾄﾗﾍﾞﾗ(LBRZ104) / LR4120SR-TPJ / HK000092
LPM / ｵｰﾄﾗﾍﾞﾗ(LBRZ101) / LR4121SR-TPJ / HH000069
LPM / ｵｰﾄﾗﾍﾞﾗ(LBRZ102) / LR4121SR-TPJ / HH000070
WareNavi7 Custom(WMS) / ﾗﾍﾞﾙﾌﾟﾘﾝﾀ(MLB001) / CL4NX-J12 Plus / GB108001
WareNavi7 Custom(WMS) / ﾗﾍﾞﾙﾌﾟﾘﾝﾀ(MLB002) / CL4NX-J12 Plus / GB108090
WareNavi7 Custom(WMS) / ﾗﾍﾞﾙﾌﾟﾘﾝﾀ(MLB003) / CL4NX-J12 Plus / GD100043
WareNavi7 Custom(WMS) / ﾗﾍﾞﾙﾌﾟﾘﾝﾀ(MLB004) / CL4NX-J12 Plus / GB108091
WareNavi7 Custom(WMS) / ﾗﾍﾞﾙﾌﾟﾘﾝﾀ(MLB005) / CL4NX-J12 Plus / GB108131
WareNavi7 Custom(WMS) / ﾗﾍﾞﾙﾌﾟﾘﾝﾀ(MLB006) / CL4NX-J12 Plus / GB108144
WareNavi7 Custom(WMS) / ﾗﾍﾞﾙﾌﾟﾘﾝﾀ(MLB007) / CL4NX-J12 Plus / GB108005
WareNavi7 Custom(WMS) / ﾗﾍﾞﾙﾌﾟﾘﾝﾀ(MLB008) / CL4NX-J12 Plus / GD100030
WareNavi7 Custom(WMS) / ﾗﾍﾞﾙﾌﾟﾘﾝﾀ(MLB009) / CL4NX-J12 Plus / GB108042
WareNavi7 Custom(WMS) / ﾗﾍﾞﾙﾌﾟﾘﾝﾀ(MLB010) / CL4NX-J12 Plus / GB108118
WareNavi7 Custom(WMS) / ﾗﾍﾞﾙﾌﾟﾘﾝﾀ(MLB011) / CL4NX-J12 Plus / GD100042
WareNavi7 Custom(WCS) / ﾗﾍﾞﾙﾌﾟﾘﾝﾀ(MLB101) / CL4NX-J12 Plus / GB108080
WareNavi7 Custom(WCS) / ﾗﾍﾞﾙﾌﾟﾘﾝﾀ(MLB102) / CL4NX-J12 Plus / GD100041
WareNavi7 Custom(WCS) / ﾗﾍﾞﾙﾌﾟﾘﾝﾀ(MLB103) / CL4NX-J12 Plus / GB108079
WareNavi7 Custom(WCS) / ﾗﾍﾞﾙﾌﾟﾘﾝﾀ(MLB104) / CL4NX-J12 Plus / GB108143
WareNavi7 Custom(WCS) / ﾗﾍﾞﾙﾌﾟﾘﾝﾀ(MLB105) / CL4NX-J12 Plus / GB108022
WareNavi7 Custom(WCS) / ﾗﾍﾞﾙﾌﾟﾘﾝﾀ(MLB106) / CL4NX-J12 Plus / GB108007
WareNavi7 Custom(WCS) / ﾗﾍﾞﾙﾌﾟﾘﾝﾀ(MLB111) / CL4NX-J12 Plus / GB108006
WareNavi7 Custom(WCS) / ﾗﾍﾞﾙﾌﾟﾘﾝﾀ(MLB112) / CL4NX-J12 Plus / GB108036
WareNavi7 Custom(WCS) / ﾗﾍﾞﾙﾌﾟﾘﾝﾀ(MLB201) / CL4NX-J12 Plus / GB108097
WareNavi7 Custom(WCS) / ﾗﾍﾞﾙﾌﾟﾘﾝﾀ(MLB202) / CL4NX-J12 Plus / GB108117
WareNavi7 Custom(WCS) / ﾗﾍﾞﾙﾌﾟﾘﾝﾀ(MLB203) / CL4NX-J12 Plus / GB108081
WareNavi7 Custom(WCS) / ﾗﾍﾞﾙﾌﾟﾘﾝﾀ(MLB204) / CL4NX-J12 Plus / GB108057
WareNavi7 Custom(WCS) / ﾗﾍﾞﾙﾌﾟﾘﾝﾀ(MLB205) / CL4NX-J12 Plus / GB108065
WareNavi7 Custom(WCS) / ﾗﾍﾞﾙﾌﾟﾘﾝﾀ(MLB206) / CL4NX-J12 Plus / GB108130
WareNavi7 Custom(WCS) / ﾗﾍﾞﾙﾌﾟﾘﾝﾀ(MLB207) / CL4NX-J12 Plus / GB108132
WareNavi7 Custom(WCS) / ﾗﾍﾞﾙﾌﾟﾘﾝﾀ(MLB208) / CL4NX-J12 Plus / GB108142
WareNavi7 Custom(WCS) / ﾗﾍﾞﾙﾌﾟﾘﾝﾀ(MLB209) / CL4NX-J12 Plus / GB108096
WareNavi7 Custom(WCS) / ﾗﾍﾞﾙﾌﾟﾘﾝﾀ(MLB210) / CL4NX-J12 Plus / GB108010
WareNavi7 Custom(WCS) / ﾗﾍﾞﾙﾌﾟﾘﾝﾀ(MLB211) / CL4NX-J12 Plus / GB108008
WareNavi7 Custom(WCS) / ﾗﾍﾞﾙﾌﾟﾘﾝﾀ(MLB212) / CL4NX-J12 Plus / GD100023
WareNavi7 Custom(WCS) / ﾗﾍﾞﾙﾌﾟﾘﾝﾀ(MLB213) / CL4NX-J12 Plus / GB108019
WareNavi7 Custom(WCS) / ﾗﾍﾞﾙﾌﾟﾘﾝﾀ(MLB214) / CL4NX-J12 Plus / GB108050
WareNavi7 Custom(WCS) / ﾗﾍﾞﾙﾌﾟﾘﾝﾀ(MLB215) / CL4NX-J12 Plus / GB108082
LPM / ﾗﾍﾞﾙﾌﾟﾘﾝﾀ(MLB113) / CL4NX-J12 Plus / GB108176
LPM / ﾗﾍﾞﾙﾌﾟﾘﾝﾀ(MLB114) / CL4NX-J12 Plus / GB108018
LPM / ﾗﾍﾞﾙﾌﾟﾘﾝﾀ(MLB115) / CL4NX-J12 Plus / GB108095
WareNavi7 Custom(WMS) / ﾗﾍﾞﾙﾌﾟﾘﾝﾀ(MLB116) / CL4NX-J12 Plus / GM103474
WareNavi7 Custom(WMS) / ﾗﾍﾞﾙﾌﾟﾘﾝﾀ【小箱ﾗﾍﾞﾙ発行用】(MLB119) / CL4NX-J12 Plus / GM103550
WareNavi7 Custom(WMS) / ﾗﾍﾞﾙﾌﾟﾘﾝﾀ予備機(MLB予備) / CL4NX-J12 Plus / GB108058</t>
  </si>
  <si>
    <t>宮川化成工業株式会社</t>
  </si>
  <si>
    <t>第二製造部 自動倉庫システム</t>
  </si>
  <si>
    <t>FA134</t>
  </si>
  <si>
    <t>25321-041-002</t>
  </si>
  <si>
    <t>ブランド / 機器構成名(個体名) / 型式 / シリアル番号
AWC4 Framework / AWC4本体(FA3100SS model 1000)(AWC001) / UD431016-01-DHT / OEZ174</t>
  </si>
  <si>
    <t>2025090202-221-1</t>
  </si>
  <si>
    <t>ブランド / 機器構成名(個体名) / 型式 / シリアル番号
AWC7 Framework / AWC7ｻｰﾊﾞ(Express5800/R320g-M4)(m66mg07) / N8800-256Y / 0800180</t>
  </si>
  <si>
    <t xml:space="preserve">ブランド / 機器構成名(個体名) / 型式 / シリアル番号
eAWC Framework / eAWC本体(HF-W6555)(AWC001) / HJ-6555-WEJD/DF03 / 4235693-5
</t>
  </si>
  <si>
    <t>ブランド / 機器構成名(個体名) / 型式 / シリアル番号
AWC4 Framework Custom / AWC4本体(FC-S36W)(AWC001) / FC-S36W-143CV7 / 0800242</t>
  </si>
  <si>
    <t>ブランド / 機器構成名(個体名) / 型式 / シリアル番号
AWC-800N / ｵｰﾄﾗﾍﾞﾗ(LR610e)(ALR01) / LR610eC / 11142103
AWC-800N / ｵｰﾄﾗﾍﾞﾗ(LR610e)(ALR02) / LR610eC / 11142104</t>
  </si>
  <si>
    <t>ブランド / 機器構成名(個体名) / 型式 / シリアル番号
AWC7 Framework / AWC7本体(HF-W7560)(AWC002) / HJ-7560-SEJD/7R / 4525332-1
AWC7 Framework / AWC7端末(HF-W2050)(WAT001) / HJ-2050-WEMA/DF03 / 8054677-1</t>
  </si>
  <si>
    <t>ブランド / 機器構成名(個体名) / 型式 / シリアル番号
AWC4 Framework / AWC4本体 （FC-S35W/S7）(AWC001) / FC-S35W/S72CL9 / S631006MA</t>
  </si>
  <si>
    <t>ブランド / 機器構成名(個体名) / 型式 / シリアル番号
AWC-800N / AWC本体 (HF-W6555)(AWC001) / HJ-6555-WBJD/DF01 / 4236618-1
AWC-800N / AWC端末 (HF-W2045)(WAT001) / HJ-2045-WBJA/DF01 / 4235875-1</t>
  </si>
  <si>
    <t>●上位 / BoxCell　/【契約情報：AWC】</t>
  </si>
  <si>
    <t>ブランド / 機器構成名(個体名) / 型式 / シリアル番号
AWC-500N / AWC本体 (FC-S35W/S7)(AWC001) / FC-S35W/S72CL9 / S520530MA
AWC-500N / AWC端末 / HP作業場 (FC-E16U/S7)(WAT001) / FC-E16U/S71R4Z / S560279MA
AWC-500N / AWC端末 / OP作業場 (FC-E16U/S7)(WAT002) / FC-E16U/S71R4Z / S560280MA
AWC-500N / AWC端末 / OP作業場 (FC-E16U/S7)(WAT003) / FC-E16U/S71R4Z / S581004MA</t>
  </si>
  <si>
    <t>2004-003 / 2204-007</t>
  </si>
  <si>
    <t>ブランド / 機器構成名(個体名) / 型式 / シリアル番号
AWC4 Framework / AWC4本体(HF-W6555)(AWC001) / HJ-6555-SBJD/DF04 / 4236462-1
AWC4 Framework / AWC4端末/ダイフク自動倉庫/住重自動倉庫(HF-W2050)(WAT001) / HJ-2050-WEMA/DF03 / 8052683-3
AWC4 Framework / AWC4端末/ダイフク自動倉庫/住重自動倉庫(HF-W2050)(WAT002) / HJ-2050-WEMA/DF03 / 8052683-4
AWC4 Framework / AWC4端末/第3自動倉庫(HF-W2045)(WAT004) / HJ-2045-WEJA/DF03 / 4236331-1</t>
  </si>
  <si>
    <t>●上位（VTCは対象外）</t>
  </si>
  <si>
    <t>ブランド / 機器構成名(個体名) / 型式 / シリアル番号
AWC4 Framework / AWC4本体 (HF-W6555)(AWC001) / HJ-6555-WBJD/DF01 / 4234777-1</t>
  </si>
  <si>
    <t>2023110904-224-1</t>
  </si>
  <si>
    <t>ブランド / 機器構成名(個体名) / 型式 / シリアル番号
AWC4 Framework / VTC(NT8000)(VTC01) / FC-E22U-S / 9309049</t>
  </si>
  <si>
    <t>ブランド / 機器構成名(個体名) / 型式 / シリアル番号
AWC7 Framework / AWC7端末(FC-E22U)(WAT04) / FC-E22U-S / 0914152
AWC7 Framework / AWC7端末(FC-E22U)(WAT05) / FC-E22U-S / 0914146
AWC7 Framework / AWC7端末(FC-E22U)(WAT06) / FC-E22U-S / 0713816
AWC7 Framework / AWC7端末(FC-E22U)(WAT07) / FC-E22U-S / 0914153
AWC7 Framework / AWC7端末(FC-E22U)(WAT01) / FC-E22U-S / 0713809
AWC7 Framework / AWC7端末(FC-E22U)(WAT02) / FC-E22U-S / 0914150
AWC7 Framework / AWC7端末(FC-E22U)(WAT03) / FC-E22U-S / 0713808
AWC7 Framework / 作業進捗端末(FC-E22U)(WAT30) / FC-E22U-S / 0713818</t>
  </si>
  <si>
    <t>2023032401-223-1 / 2025041506-224-1</t>
  </si>
  <si>
    <t>ブランド / 機器構成名(個体名) / 型式 / シリアル番号
AWC-800N / 9Y-MOS(FC-E22U)(MOS03) / FC-E22U-S / 0112255
AWC-800N / VTC(FC-E22U)(VTC01) / FC-E22U-S / 8606376</t>
  </si>
  <si>
    <t>ブランド / 機器構成名(個体名) / 型式 / シリアル番号
AWC-800N / AWC本体(HF-W6555)(AWC001) / HJ-6555-WBJD/DF01 / 4237858-2
AWC-800N / 通信PC(HF-W6555)(AWCRTS) / HJ-6555-WBJD/DF01 / 4237858-1
AWC-800N / AWC端末(HF-W2045)(WAT001) / HJ-2045-WBJA/DF01 / 4237293-1
AWC-800N / AWC端末(HF-W2045)(WAT002) / HJ-2045-WBJA/DF01 / 4237292-1</t>
  </si>
  <si>
    <t>ブランド / 機器構成名(個体名) / 型式 / シリアル番号
AWC7 Basic / AWC7本体 (HF-W6555)(AWC001) / HJ-6555-WEJD/DF05 / 4237862-3</t>
  </si>
  <si>
    <t>2021090218-221-1 / 2021090220-221-1</t>
  </si>
  <si>
    <t>ブランド / 機器構成名(個体名) / 型式 / シリアル番号
管理ｺﾝﾋﾟｭｰﾀｼｽﾃﾑ / DBｻｰﾊﾞ(FC-S36W)(AGRICO000) / FC-S36W-143CV7 / 9800112
管理ｺﾝﾋﾟｭｰﾀｼｽﾃﾑ / 事務所端末(FC-E22U)(AGRICO001) / FC-E22U-S / 9Y11612
管理ｺﾝﾋﾟｭｰﾀｼｽﾃﾑ / 現場端末(FC-E22U)(AGRICO002) / FC-E22U-S / 9Y11610
管理ｺﾝﾋﾟｭｰﾀｼｽﾃﾑ / 現場端末(FC-E22U)(AGRICO003) / FC-E22U-S / 9Y11611</t>
  </si>
  <si>
    <t>ブランド / 機器構成名(個体名) / 型式 / シリアル番号
AWC4 Basic / AWC4本体 (FC-S35W/S7)(AWC001) / FC-S35W/S72CL9 / S620519MA</t>
  </si>
  <si>
    <t>ブランド / 機器構成名(個体名) / 型式 / シリアル番号
AWC7 Framework / AWC7本体(FC-S36W)(AWC001) / FC-S36W-113CW5 / 2800141</t>
  </si>
  <si>
    <t>2018081003-216-1 / 2018081008-216-1 / 2021082025-221-2</t>
  </si>
  <si>
    <t>ブランド / 機器構成名(個体名) / 型式 / シリアル番号
AWC-500N / AWC本体 (FC-S35W/S7)(AWC001) / FC-S35W/S72CL9 / S630509MA
AWC-500N / AWC端末/ﾛﾎﾞｯﾄ付近 (FC-E22U-S)(WAT001) / FC-E22U-S / 6700476
AWC-500N / MOS(FC-E22U-S)(MOS01) / FC-E22U-S / 6800730</t>
  </si>
  <si>
    <t>ブランド / 機器構成名(個体名) / 型式 / シリアル番号
AWC4 Basic / AWC4本体(FC-S35W)(AWC001) / FC-S35W/S72CL9 / 9608428</t>
  </si>
  <si>
    <t>ブランド / 機器構成名(個体名) / 型式 / シリアル番号
AWC7 Framework / AWC7本体 (HF-W6555)(AWC001) / HJ-6555-WEJD/DF05 / 4237287-1</t>
  </si>
  <si>
    <t>ブランド / 機器構成名(個体名) / 型式 / シリアル番号
AWC-800N / AWC本体(FC-S36W)(AWC001) / FC-S36W-133CW4 / 9X00117
AWC-800N / AWC端末(FC-E22U)(WAT001) / FC-E22U-S / 0413193</t>
  </si>
  <si>
    <t>部品課</t>
  </si>
  <si>
    <t>2025011515-224-1</t>
  </si>
  <si>
    <t>20521-006-001</t>
  </si>
  <si>
    <t>ブランド / 機器構成名(個体名) / 型式 / シリアル番号
eAWC Framework / eAWC本体(Express5800/T120h)(EAWC001) / N8100-2846Y / JPN211010W
eAWC Framework / eAWC本体(Express5800/T120h)(EAWC001) / 無停電電源装置(1500VA)N8180-67 / J12139113074</t>
  </si>
  <si>
    <t>樫山工業株式会社</t>
  </si>
  <si>
    <t>2023071117-224-2 / 2023071119-224-2</t>
  </si>
  <si>
    <t>20217-121-001</t>
  </si>
  <si>
    <t>ブランド / 機器構成名(個体名) / 型式 / シリアル番号
AWC4 Basic / AWC4本体 (FC-S35W/S7)(AWC001) / FC-S35W/S72CL9 / S850365MA
AWC4 Basic / AWC4端末 (FC-E22U)(WAT001) / FC-E22U-S / 8706849</t>
  </si>
  <si>
    <t>ブランド / 機器構成名(個体名) / 型式 / シリアル番号
AWC4 Basic / AWC4本体(FC-S35W/S7)(AWC001) / FC-S35W/S72CL9 / S910015MA</t>
  </si>
  <si>
    <t>2018051804-216-1 / 2018051810-216-1</t>
  </si>
  <si>
    <t>ブランド / 機器構成名(個体名) / 型式 / シリアル番号
AWC-100N+ / AWC本体(FC-S35W/S7)(AWC001) / FC-S35W/S72CL9 / S6Z0274MA
AWC-100N+ / AWC端末(FC-E22U)(WAT001) / FC-E22U-S / 7102060
AWC-100N+ / AWC端末(FC-E22U)(WAT002) / FC-E22U-S / 7102069</t>
  </si>
  <si>
    <t>小林製袋産業株式会社</t>
  </si>
  <si>
    <t>果実袋製品・原料保管倉庫</t>
  </si>
  <si>
    <t>1512-007</t>
  </si>
  <si>
    <t>20205-033-001</t>
  </si>
  <si>
    <t>ブランド / 機器構成名(個体名) / 型式 / シリアル番号
eAWC Framework / eAWC本体 (HF-W6545)(AWC001) / HJ-65459EWJD/DF01 / 4226605-1</t>
  </si>
  <si>
    <t>ブランド / 機器構成名(個体名) / 型式 / シリアル番号
DPM / ﾏﾃﾊﾝｻｰﾊﾞ(FC-S36W)(TPSSV) / FC-S36W-143CV7 / 0700209
DPM / ﾏﾃﾊﾝｻｰﾊﾞ予備機(FC-S36W)(TPSSV予備) / FC-S36W-143CV7 / 0700220
DPM / DPM(FC-E22U)(DPM01) / FC-E22U-S / 0613660
DPM / DPM(FC-E22U)(DPM02) / FC-E22U-S / 0613669
DPM / DPM端末(FC-E22U)(DPW01) / FC-E22U-S / 0613664
DPM / DPM端末(FC-E22U)(DPW02) / FC-E22U-S / 0613666</t>
  </si>
  <si>
    <t>ブランド / 機器構成名(個体名) / 型式 / シリアル番号
AWC7 Framework / AWC7本体(FC-S36W)(AWC001) / FC-S36W-143CV7 / 2Z00950</t>
  </si>
  <si>
    <t>2025102812-225-1</t>
  </si>
  <si>
    <t>【システム点検】※サポート対象外OSの為、診断対象外。　/【契約情報：資材倉庫】</t>
  </si>
  <si>
    <t>ブランド / 機器構成名(個体名) / 型式 / シリアル番号
AWC4 Ordermade (資材) / 9Y-MOS (FC-E22U)(MOS01) / FC-E22U-S / 0914354</t>
  </si>
  <si>
    <t>ブランド / 機器構成名(個体名) / 型式 / シリアル番号
AWC4 Ordermade (資材) / AWC4本体 (HF-W6555)(AWC002) / HJ-6555-WEJD/DF05 / 4238982-1
AWC4 Ordermade (資材) / AWC4端末 (HF-W2050)(WAT001) / HJ-2050-WEMA/DF03 / 8051269-1
AWC4 Ordermade (資材) / AWC4端末 (HF-W2050)(WAT002) / HJ-2050-WEMA/DF03 / 8051267-1</t>
  </si>
  <si>
    <t>1505-004 / 1505-005</t>
  </si>
  <si>
    <t>●上位 / BoxCell　/【契約情報：製品倉庫】</t>
  </si>
  <si>
    <t>ブランド / 機器構成名(個体名) / 型式 / シリアル番号
AWC4 Ordermade (製品) / AWC4本体 (HF-W6545)(AWC001) / HJ-65459EWJD/DF01 / 4224285-1
AWC4 Ordermade (製品) / AWC4端末 (HF-W2035)(WAT001) / HJ-20359EWJA/DF01 / 4224091-1
AWC4 Ordermade (製品) / AWC4端末 (HF-W2035)(WAT002) / HJ-20359EWJA/DF01 / 4224090-1
AWC4 Ordermade (製品) / AWC4端末 (HF-W2035)(WAT003) / HJ-20359EWJA/DF01 / 4224097-1
AWC4 Ordermade (製品) / AWC4端末 (HF-W2035)(WAT004) / HJ-20359EWJA/DF01 / 4224095-1
AWC4 Ordermade (製品) / AWC4端末 (HF-W2035)[ BCR付 ](WAT005) / HJ-20359EWJA/DF01 / 4224098-1
AWC4 Ordermade (製品) / AWC4端末 (HF-W2035)[ BCR付 ](WAT006) / HJ-20359EWJA/DF01 / 4224192-1</t>
  </si>
  <si>
    <t>株式会社ハーモニックウィンベル</t>
  </si>
  <si>
    <t>2022070628-221-1</t>
  </si>
  <si>
    <t>20210-062-001</t>
  </si>
  <si>
    <t>ブランド / 機器構成名(個体名) / 型式 / シリアル番号
AWC4 Framework / AWC4本体 (FC-S35W/S7)(AWC001) / FC-S35W/S72CL9 / S810269MA</t>
  </si>
  <si>
    <t>ブランド / 機器構成名(個体名) / 型式 / シリアル番号
AWC7 Basic / AWC7本体(HF-W6555)(AWC001) / HJ-6555-WEJD/DF05 / 4239860-1
AWC7 Basic / AWC7端末(HF-W2050)(WAT001) / HJ-2050-WEMA/DF03 / 8052681-1</t>
  </si>
  <si>
    <t>ブランド / 機器構成名(個体名) / 型式 / シリアル番号
AWC7 Framework / AWC7本体 (FC-S36W)(AWC001) / FC-S36W-143CV7 / 2100587
AWC7 Framework / AWC7端末 (FC-E22U)(WAT001) / FC-E22U-S / 2117481
AWC7 Framework / AWC7端末 (FC-E22U)(WAT002) / FC-E22U-S / 2117482</t>
  </si>
  <si>
    <t>2108-003 / 2108-004</t>
  </si>
  <si>
    <t>ブランド / 機器構成名(個体名) / 型式 / シリアル番号
AWC-100N+ / AWC本体(HF-W6555)(AWC001) / HJ-6555-WBJD/DF01 / 4234448-1
AWC-100N+ / AWC端末(HF-W2045)(WAT001) / HJ-2045-WBJA/DF01 / 4234464-1
AWC-100N+ / MOSⅦ(MOS01) / HJ-2055-WEMA/DF04 / 8051183-1</t>
  </si>
  <si>
    <t>2025062406-224-1</t>
  </si>
  <si>
    <t>ブランド / 機器構成名(個体名) / 型式 / シリアル番号
WareNavi7 / MOSⅦｻｰﾊﾞ (FC-E27B)(MOSA01) / FC-E27B-SR / 2700323</t>
  </si>
  <si>
    <t>ブランド / 機器構成名(個体名) / 型式 / シリアル番号
WareNavi7 / WareNavi7本体 (HF-W6555)(WNA001) / HJ-6555-WEJD/DF05 / 4240599-7
WareNavi7 / WareNavi7端末 (HF-W2050)(WATZ001) / HJ-2050-WEMA/DF03 / 8054680-8
WareNavi7 / WareNavi7端末 (HF-W2050)(WATZ002) / HJ-2050-WEMA/DF03 / 8054680-9
WareNavi7 / WareNavi7端末 (HF-W2050)(WATZ003) / HJ-2050-WEMA/DF03 / 8054680-7</t>
  </si>
  <si>
    <t>【システム点検】※プロダクト対象外の為、診断対象外。　/【契約情報：旧倉庫】</t>
  </si>
  <si>
    <t>ブランド / 機器構成名(個体名) / 型式 / シリアル番号
AWC7 Framework / AWC7端末(FC-E22U)(WAT002) / FC-E22U-S / 0713796</t>
  </si>
  <si>
    <t>北信越総合センター</t>
  </si>
  <si>
    <t>2019062511-216-1 / 2019062512-216-1</t>
  </si>
  <si>
    <t>15202-233-001</t>
  </si>
  <si>
    <t>ブランド / 機器構成名(個体名) / 型式 / シリアル番号
AWC4 Framework / AWC4本体(FC-S35W/S7)(AWC004) / FC-S35W/S72CL9 / S780491MA
AWC4 Framework / AWC4端末(FC-E22U)(WAT001) / FC-E22U-S / 8205405</t>
  </si>
  <si>
    <t>2021110404-221-1 / 2025071412-221-1</t>
  </si>
  <si>
    <t>【システム点検】※プロダクト対象外の為、診断対象外。　/【契約情報：新倉庫】</t>
  </si>
  <si>
    <t>ブランド / 機器構成名(個体名) / 型式 / シリアル番号
AWC7 Framework / AWC7ｻｰﾊﾞ(Express5800/R320g-E4)(AWC001) / N8800-255Y / 0700334
AWC7 Framework / AWC7端末(FC-E22U)(WAT001) / FC-E22U-S / 0713797</t>
  </si>
  <si>
    <t>ブランド / 機器構成名(個体名) / 型式 / シリアル番号
eAWC Framework Custom / eAWC本体(HF-W6555)(EAWC001) / HJ-6555-WEJD/DF05 / 4240141-5
eAWC Framework Custom / eAWC端末(HF-W2050)(WAT001) / HJ-2050-WEMA/DF03 / 8053653-1
eAWC Framework Custom / eAWC端末(HF-W2050)(WAT002) / HJ-2050-WEMA/DF03 / 8053651-4
eAWC Framework Custom / eAWC端末(HF-W2050)(WAT003) / HJ-2050-WEMA/DF03 / 8053651-5</t>
  </si>
  <si>
    <t>新潟ＲＤＣ</t>
  </si>
  <si>
    <t>H245-0180-02</t>
  </si>
  <si>
    <t>15213A103-001</t>
  </si>
  <si>
    <t>ブランド / 機器構成名(個体名) / 型式 / シリアル番号
BOXｿｰﾀｼｽﾃﾑ / BOXｿｰﾀｺﾝﾄﾛｰﾗｻｰﾊﾞ(HF-W7550)() / HJ-7550-SDJD/0R / 4523013-1</t>
  </si>
  <si>
    <t>原料保管用自動倉庫</t>
  </si>
  <si>
    <t>2021031506-216-1</t>
  </si>
  <si>
    <t>06401-005-002</t>
  </si>
  <si>
    <t>ブランド / 機器構成名(個体名) / 型式 / シリアル番号
AWC4 Basic / AWC4本体 (FC-S35W/S7)(AWC001) / FC-S35W/S72CL9 / S760214MA</t>
  </si>
  <si>
    <t>1906-002</t>
  </si>
  <si>
    <t>15210-039-001</t>
  </si>
  <si>
    <t>ブランド / 機器構成名(個体名) / 型式 / シリアル番号
AWC-300N / AWC本体 (HF-W6545)(AWC001) / HJ-65459EWJD/DF01 / 4228319-1
AWC-300N / AWC端末 (HF-W2035)(WAT001) / HJ-20359EWJA/DF01 / 4228148-1</t>
  </si>
  <si>
    <t>2023011322-221-1 / 2023011324-221-1</t>
  </si>
  <si>
    <t>ブランド / 機器構成名(個体名) / 型式 / シリアル番号
eWareNavi Framework / eWareNavi本体(FC-S36W)(EWARENAVI) / FC-S36W-113CW5 / 0X00117
eWareNavi Framework / 作業端末(FC-E22U)(WAT001) / FC-E22U-S / 1616220
eWareNavi Framework / 作業端末(FC-E22U)(WAT002) / FC-E22U-S / 1616206
eWareNavi Framework / 作業表示端末(FC-E22U)(WAT003) / FC-E22U-S / 1616217
eWareNavi Framework / 作業表示端末(FC-E22U)(WAT004) / FC-E22U-S / 1616222
eWareNavi Framework / 作業表示端末(FC-E22U)(WAT005) / FC-E22U-S / 1616221</t>
  </si>
  <si>
    <t>ブランド / 機器構成名(個体名) / 型式 / シリアル番号
eWareNavi Framework / ﾗﾍﾞﾙﾌﾟﾘﾝﾀ(LPN001) / CL4NX-J08 Plus / FE103784</t>
  </si>
  <si>
    <t>ブランド / 機器構成名(個体名) / 型式 / シリアル番号
SAM / ﾗﾍﾞﾙﾌﾟﾘﾝﾀ(LBP01) / CL4NX-J08 Plus / JH101349 
SAM / ﾗﾍﾞﾙﾌﾟﾘﾝﾀ(LBP02) / CL4NX-J08 Plus / JH101295
SAM / ﾗﾍﾞﾙﾌﾟﾘﾝﾀ予備機(LBP予備) / CL4NX-J08 Plus / JH101317</t>
  </si>
  <si>
    <t>ブランド / 機器構成名(個体名) / 型式 / シリアル番号
SAM / SAMｻｰﾊﾞ (HF-W7560)(WMS01) / HJ-7560-SEJD/7R / 4530591-2
SAM / SAM (HF-W6560)(SAM01) / HJ-6560-WFJB/7R / 4530611-1
LPM / LPM (HF-W6560)(LPM01) / HJ-6560-WFJB/7R / 4530472-10
RFM / RFM (HF-W6560)(RFM01) / HJ-6560-WFJB/7R / 4530611-2
SAM / ｻｰﾊﾞ予備機兼用 業務端末 (HF-W7560)(WAT01) / HJ-7560-SEJD/7R / 4530591-1
SAM / 業務端末 (HF-W2050)(WAT02) / HJ-2050-WEMA/DF03 / 8057152-3
SAM / 業務端末 (HF-W2050)(WAT03) / HJ-2050-WEMA/DF03 / 8057152-4</t>
  </si>
  <si>
    <t>ブランド / 機器構成名(個体名) / 型式 / シリアル番号
eAWC-R / eAWC本体(HF-W2055)(AWC001) / HJ-2055-WEMA/DF04 / 8052089-1</t>
  </si>
  <si>
    <t>ブランド / 機器構成名(個体名) / 型式 / シリアル番号
LPM / ｵｰﾄﾗﾍﾞﾗ(ALBP04) / LR4081SR-TSB / ED000075
LPM / ｵｰﾄﾗﾍﾞﾗ(ALBP01) / LR4081SR-TSB / EJ000063
LPM / ｵｰﾄﾗﾍﾞﾗ(ALBP02) / LR4081SR-TSB / EJ000062
LPM / ｵｰﾄﾗﾍﾞﾗ(ALBP03) / LR4081SR-TSB / EJ000061</t>
  </si>
  <si>
    <t>ブランド / 機器構成名(個体名) / 型式 / シリアル番号
LPM / ｵｰﾄﾗﾍﾞﾗ(LBL101) / LR4120SR-TSB / 15120101
LPM / ｵｰﾄﾗﾍﾞﾗ(LBL102) / LR4121SR-TSB / 16020086
LPM / ｵｰﾄﾗﾍﾞﾗ(LBL103) / LR4121SR-TSB / 16020087
LPM / ｵｰﾄﾗﾍﾞﾗ(LBL104) / LR4121SR-TSB / 16020088
LPM / ｵｰﾄﾗﾍﾞﾗ(LBL201) / LR4121SR-TSB / 16020089
LPM / ｵｰﾄﾗﾍﾞﾗ(LBL202) / LR4121SR-TSB / 16020090
LPM / ｵｰﾄﾗﾍﾞﾗ(LBL203) / LR4121SR-TSB / 16020091
LPM / ｵｰﾄﾗﾍﾞﾗ(LBL204) / LR4121SR-TSB / 16020092</t>
  </si>
  <si>
    <t>CE1000699 / CE150336 / CE350137-1</t>
  </si>
  <si>
    <t>ブランド / 機器構成名(個体名) / 型式 / シリアル番号
WareNavi4 Framework Custom / WMSｻｰﾊﾞ (PRIMERGY RX2530 M6)(MSVR001) / PYR2536R2N / MABA011564
WareNavi4 Framework Custom / WMSｻｰﾊﾞ (PRIMERGY RX2530 M6)(MSVR002) / PYR2536R2N / MABA011398
WareNavi4 Framework Custom / WMSｻｰﾊﾞ (PRIMERGY RX2530 M6)(MSVR003) / PYR2536R2N / MABA011386
WareNavi4 Framework Custom / WMSｻｰﾊﾞ (PRIMERGY RX2530 M6)(MSVR001) / 無停電電源装置(1500VA,ﾗｯｸﾏｳﾝﾄ)PY-UPAR152 / TT127A0169
WareNavi4 Framework Custom / WMSｻｰﾊﾞ (PRIMERGY RX2530 M6)(MSVR002) / 無停電電源装置(1500VA,ﾗｯｸﾏｳﾝﾄ)PY-UPAR152 / TT127A0360
WareNavi4 Framework Custom / WMSｻｰﾊﾞ (PRIMERGY RX2530 M6)(MSVR003) / 無停電電源装置(1500VA,ﾗｯｸﾏｳﾝﾄ)PY-UPAR152 / TT127A0370
WareNavi4 Framework Custom / ﾊﾞｯｸｱｯﾌﾟｻｰﾊﾞ (PRIMERGY RX2530 M6)(MSVR004) / PYR2536R2N / MABA011393
WareNavi4 Framework Custom / ﾊﾞｯｸｱｯﾌﾟｻｰﾊﾞ (PRIMERGY RX2530 M6)(MSVR004) / 無停電電源装置(1500VA,ﾗｯｸﾏｳﾝﾄ)PY-UPAR152 / TT125A0449
WareNavi4 Framework Custom / 現場端末 (ESPRIMO D7012/M【ﾒﾓﾘ8GB】)(WAT006) / FMVD56001 / R3900952
WareNavi4 Framework Custom / 現場端末 (ESPRIMO D7010/F)(WAT002) / FMVD50001 / R1X00992
WareNavi4 Framework Custom / 現場端末 (ESPRIMO D7010/F)(WAT007) / FMVD50001 / R1X00994</t>
  </si>
  <si>
    <t>ブランド / 機器構成名(個体名) / 型式 / シリアル番号
LPM / ｵｰﾄﾗﾍﾞﾗ(LBRZ101) / LR4120SR-TSB / HB000103
LPM / ｵｰﾄﾗﾍﾞﾗ(LBRZ102) / LR4120SR-TSB / HB000104
LPM / ｵｰﾄﾗﾍﾞﾗ(LBRZ103) / LR4120SR-TSB / HB000105
LPM / ｵｰﾄﾗﾍﾞﾗ(LBRZ104) / LR4120SR-TSB / HB000106</t>
  </si>
  <si>
    <t>ブランド / 機器構成名(個体名) / 型式 / シリアル番号
ﾗﾍﾞﾙPC / ｵｰﾄﾗﾍﾞﾗ (入荷ﾗｲﾝ)(CS-ATLBL01) / NLR4081SR-TPJ / 31045637
ﾗﾍﾞﾙPC / ｵｰﾄﾗﾍﾞﾗ (入荷ﾗｲﾝ)(CS-ATLBL02) / NLR4081SR-TPJ / 31045638
ﾗﾍﾞﾙPC / ｵｰﾄﾗﾍﾞﾗ (入荷ﾗｲﾝ)(CS-ATLBL03) / NLR4081SR-TPJ / 31045639</t>
  </si>
  <si>
    <t>ブランド / 機器構成名(個体名) / 型式 / シリアル番号
AWC-300N / AWC本体 (FC-S36W)(AWC001) / FC-S36W-133CW4 / 3700243
AWC-300N / 無線ﾊﾝﾃﾞｨﾏﾈｰｼﾞｬ (FC-S36W)(MORS) / FC-S36W-133CW4 / 3700240</t>
  </si>
  <si>
    <t>ブランド / 機器構成名(個体名) / 型式 / シリアル番号
eye-navi / ｵｰﾄﾗﾍﾞﾗ (LR4080SR-TSB)(DPS-ATLBL02) / LR4080SR-TSB / 3114A650
eye-navi / ｵｰﾄﾗﾍﾞﾗ (LR4080SR-TSB)(DPS-ATLBL04) / LR4080SR-TSB / 3114A651
eye-navi / ｵｰﾄﾗﾍﾞﾗ (LR4080SR-TSB)(DPS-ATLBL06) / LR4080SR-TSB / 3114A652
eye-navi / ｵｰﾄﾗﾍﾞﾗ (LR4080SR-TSB)() / LR4080SR-TSB / CA000049
eye-navi / ｵｰﾄﾗﾍﾞﾗ (LR4081SR-TSB)(DPS-ATLBL01) / LR4081SR-TSB / 3114A653
eye-navi / ｵｰﾄﾗﾍﾞﾗ (LR4081SR-TSB)(DPS-ATLBL03) / LR4081SR-TSB / 3094A625
eye-navi / ｵｰﾄﾗﾍﾞﾗ (LR4081SR-TSB)(DPS-ATLBL05) / LR4081SR-TSB / 3114A655
eye-navi / ｵｰﾄﾗﾍﾞﾗ (LR4081SR-TSB)() / LR4081SR-TSB / 16020101
eye-navi / ｵｰﾄﾗﾍﾞﾗ (LR4081SR-TSB)() / LR4081SR-TSB / GB000101</t>
  </si>
  <si>
    <t>2024061108-224-1</t>
  </si>
  <si>
    <t>ブランド / 機器構成名(個体名) / 型式 / シリアル番号
WareNavi7A / ﾏﾃﾊﾝｻｰﾊﾞ兼DAM(Express5800/R320h-E4)(DAM101) / N8800-311Y / 3500237
WareNavi7A / ｻｰﾊﾞ用UPS(DAM101) / 無停電電源装置(1500VA)N8180-67 / SJ12231112184
WareNavi7A / ｻｰﾊﾞ用UPS(DAM101) / 無停電電源装置(1500VA)N8180-67 / SJ12231112183</t>
  </si>
  <si>
    <t>東灘工場</t>
  </si>
  <si>
    <t>CE150360 / CE150235</t>
  </si>
  <si>
    <t>28101-311-001</t>
  </si>
  <si>
    <t>ブランド / 機器構成名(個体名) / 型式 / シリアル番号
AWC-800U / AWCｻｰﾊﾞ / 運用系 (SPARC M12-1)(AWC04_1) / SPNAAAA3EF / PZ72305004
AWC-800U / AWCｻｰﾊﾞ / 運用系 (SPARC M12-1)(AWC04_1) / 無停電電源装置(1500VA,ﾗｯｸﾏｳﾝﾄ)PY-UPAR152 / TT248A0570
AWC-800U / AWCｻｰﾊﾞ / 待機系 (SPARC M12-1)(AWC04_2) / SPNAAAA3EF / 
AWC-800U / AWCｻｰﾊﾞ / 待機系 (SPARC M12-1)(AWC04_2) / 無停電電源装置(1500VA,ﾗｯｸﾏｳﾝﾄ)PY-UPAR152 / TT248A0568
AWC-800U / ｺﾝｿｰﾙ端末 (PRIMERGY RX1330 M5)(WAT000) / PYR1335R3S / MADM004942</t>
  </si>
  <si>
    <t>2020021902-216-1</t>
  </si>
  <si>
    <t>ブランド / 機器構成名(個体名) / 型式 / シリアル番号
AWC-800U / 出荷進捗管理PC (FC-E16U/S7)(WAT001) / FC-E16U/S71R4Z / S490736MA
AWC-800U / AWC端末 / 遠隔保守用 (FC-E16U/S7)(WAT002) / FC-E16U/S71R4Z / S490732MA
AWC-800U / AWC端末 (FC-E16U/S7)(WAT004) / FC-E16U/S71R4Z / S490735MA
AWC-800U / AWC端末 (FC-E16U/S7)(WAT005) / FC-E16U/S71R4Z / S490729MA
AWC-800U / AWC端末 (FC-E16U/S7)(WAT006) / FC-E16U/S71R4Z / S490738MA
AWC-800U / AWC端末 (FC-E16U/S7)(WAT007) / FC-E16U/S71R4Z / S490450MA
AWC-800U / AWC端末 / 小袋棟 (FC-E16U/S7)(WAT008) / FC-E16U/S71R4Z / S490733MA
AWC-800U / AWC端末 / 小袋棟 (FC-E16U/S7)(WAT009) / FC-E16U/S71R4Z / S490731MA</t>
  </si>
  <si>
    <t>ブランド / 機器構成名(個体名) / 型式 / シリアル番号
CMC / CMC本体 (HF-W6555)(CMC) / HJ-6555-WEJD/DF05 / 4240599-4</t>
  </si>
  <si>
    <t>事業統括本部　関西支店　MS神戸西見津が丘SDC</t>
  </si>
  <si>
    <t>ブランド / 機器構成名(個体名) / 型式 / シリアル番号
eye-navi / ﾗﾍﾞﾙﾌﾟﾘﾝﾀ【1ﾗｲﾝ～4ﾗｲﾝ】(LabelPR11) / CL4NX-J08 Plus / FB102747
eye-navi / ﾗﾍﾞﾙﾌﾟﾘﾝﾀ【1ﾗｲﾝ～4ﾗｲﾝ】(LabelPR12) / CL4NX-J08 Plus / FB102745
eye-navi / ﾗﾍﾞﾙﾌﾟﾘﾝﾀ【1ﾗｲﾝ～4ﾗｲﾝ】(LabelPR13) / CL4NX-J08 Plus / FB102750
eye-navi / ﾗﾍﾞﾙﾌﾟﾘﾝﾀ【1ﾗｲﾝ～4ﾗｲﾝ】(LabelPR14) / CL4NX-J08 Plus / FB102751</t>
  </si>
  <si>
    <t>ブランド / 機器構成名(個体名) / 型式 / シリアル番号
AWC7 Framework / AWC7本体 (FC-S36W)(AWC001) / FC-S36W-143CV7 / 3Y01037</t>
  </si>
  <si>
    <t>兵庫物流センター</t>
  </si>
  <si>
    <t>2022060704-221-1</t>
  </si>
  <si>
    <t>28111A146-001</t>
  </si>
  <si>
    <t>ブランド / 機器構成名(個体名) / 型式 / シリアル番号
WareNavi4 Framework / WareNavi4ｻｰﾊﾞ (Express5800/R320e-M4)(WN7_DB) / N8800-202Y / 7700270
WareNavi4 Framework / APｻｰﾊﾞ (Express5800/R120g-2M)(IASRV-01) / N8100-2414Y / 7700172
WareNavi4 Framework / APｻｰﾊﾞ (Express5800/R120g-2M)(IASRV-02) / N8100-2414Y / 7700173
WareNavi4 Framework / APｻｰﾊﾞ (Express5800/R120g-2M)(IASRV-03) / N8100-2414Y / 7700174</t>
  </si>
  <si>
    <t>阪神物流センター</t>
  </si>
  <si>
    <t>DPS／ソーター</t>
  </si>
  <si>
    <t>2018081006-216-1 / 2025051424-224-1</t>
  </si>
  <si>
    <t>28109-092-001</t>
  </si>
  <si>
    <t>【システム点検】※FTサーバの為、診断対象外。　/【契約情報：SAM】</t>
  </si>
  <si>
    <t>ブランド / 機器構成名(個体名) / 型式 / シリアル番号
SAM / 管理ｻｰﾊﾞ (Express5800/R320h-M4)(SAM-SV) / N8800-312Y / 3Y00144
SAM / ｻｰﾊﾞ用UPS(SAM-SV) / 無停電電源装置(1500VA,ﾗｯｸﾏｳﾝﾄ)N8142-101 / J12339214617
SAM / ｻｰﾊﾞ用UPS(SAM-SV) / 無停電電源装置(1500VA,ﾗｯｸﾏｳﾝﾄ)N8142-101 / J12339214621
SAM / 予備機 (FC-E25B/S71W6Z)(予備機) / FC-E25B/S71W6Z / S570974MA</t>
  </si>
  <si>
    <t>【システム点検】※周辺機器の為、診断対象外。　/【契約情報：ハードのみ】</t>
  </si>
  <si>
    <t>ブランド / 機器構成名(個体名) / 型式 / シリアル番号
SAM / ｵｰﾄﾗﾍﾞﾗ (LR4120SR-TCJ)() / LR4120SR-TCJ / GF000083
SAM / ｵｰﾄﾗﾍﾞﾗ (LR4120SR-TCJ)() / LR4120SR-TCJ / GF000084
SAM / ｵｰﾄﾗﾍﾞﾗ (LR4121SR-TSJ)() / LR4121SR-TSJ / GG000109
SAM / ｵｰﾄﾗﾍﾞﾗ (LR4121SR-TSJ)() / LR4121SR-TSJ / GG000110
SAM / ｵｰﾄﾗﾍﾞﾗ (LR4121SR-TSJ)() / LR4121SR-TSJ / GG000111
SAM / ｵｰﾄﾗﾍﾞﾗ (LR4121SR-TSJ)() / LR4121SR-TSJ / GG000112</t>
  </si>
  <si>
    <t>西神戸ＰＤセンター</t>
  </si>
  <si>
    <t>28111A008-004</t>
  </si>
  <si>
    <t>ブランド / 機器構成名(個体名) / 型式 / シリアル番号
LPM / ｵｰﾄﾗﾍﾞﾗ(ALBP01) / LR4081SR-TSB / 16020041
LPM / ｵｰﾄﾗﾍﾞﾗ(ALBP02) / LR4081SR-TSB / 16020042</t>
  </si>
  <si>
    <t>ブランド / 機器構成名(個体名) / 型式 / シリアル番号
LPM / ｵｰﾄﾗﾍﾞﾗ() / LR4NX-FA08L-CJ / BE000015
LPM / ｵｰﾄﾗﾍﾞﾗ() / LR4NX-FA08L-CJ / BE000013
LPM / ｵｰﾄﾗﾍﾞﾗ() / LR4NX-FA08L-CJ / BE000014
LPM / ｵｰﾄﾗﾍﾞﾗ() / LR4NX-FA08L-CJ / BE000011
LPM / ｵｰﾄﾗﾍﾞﾗ() / LR4NX-FA08L-CJ / BE000012</t>
  </si>
  <si>
    <t>メガDC(既存棟)</t>
  </si>
  <si>
    <t>2022051108-221-1 / 2022080506-221-1 / 2022051104-221-1 / 2022051106-221-1</t>
  </si>
  <si>
    <t>ブランド / 機器構成名(個体名) / 型式 / シリアル番号
AWC7 Framework / WCSｻｰﾊﾞ (Express5800/R120h-2E)(AWC001) / N8100-2844Y / JPN13000Q0
AWC7 Framework / WCSｻｰﾊﾞ (Express5800/R120h-2E)(AWC001予備) / N8100-2844Y / JPN13000PZ
AWC7 Framework / ｻｰﾊﾞ周辺機器(AWC001) / 無停電電源装置(3000VA,ﾗｯｸﾏｳﾝﾄ)N8142-102 / AS2132255568
AWC7 Framework / NAS (iStorage NS100Tk)(NAS02) / NF8100-276Y / 23000132
AWC7 Framework / AWC7端末 (FC-E22U)(WAT001) / FC-E22U-S / 1415940
AWC7 Framework / AWC7端末 (FC-E22U)(WAT002) / FC-E22U-S / 1415948
AWC7 Framework / AWC7端末 (FC-E22U)(WAT003) / FC-E22U-S / 1415939
AWC7 Framework / 入出荷ｴﾘｱ端末 (FC-E22U)(WAT005) / FC-E22U-S / 1415947
AWC7 Framework / 入出荷ｴﾘｱ端末 (FC-E22U)(WAT006) / FC-E22U-S / 1415943
AWC7 Framework / 出荷ｴﾘｱ端末 (FC-E22U【BCR付】)(WAT004) / FC-E22U-S / 1415946
AWC7 Framework / ﾊﾟﾚﾀｲｻﾞｴﾘｱ端末 (FC-E22U【BCR付】)(WAT008) / FC-E22U-S / 1415944
AWC7 Framework / QR入力端末 (FC-E22U【BCR付】)(WAT007) / FC-E22U-S / 1415942
AWC7 Framework / ﾍﾟｰｼﾞﾌﾟﾘﾝﾀ(PRN01) / PR-L7200 / 0Y00082VA
AWC7 Framework / MOSⅦｻｰﾊﾞ (FC-E27B)() / FC-E27B-S / 1Y14798
AWC7 Framework / MOSⅦ端末 (FC-P31X)() / FC-P31X-L1 / 1Y00558
AWC7 Framework / MOSⅦ端末 (FC-P31X)() / FC-P31X-L1 / 1Y00559</t>
  </si>
  <si>
    <t>1805-011</t>
  </si>
  <si>
    <t>28203-152-002</t>
  </si>
  <si>
    <t>ブランド / 機器構成名(個体名) / 型式 / シリアル番号
eAWC Framework / eAWC本体（HF-W7540）(AWC002) / HJ-7540AESJD/7R / 4231393-1
eAWC Framework / eAWC端末（HF-W2045）(WAT001) / HJ-2045-WBJA/DF01 / 4231194-1
eAWC Framework / eAWC端末（HF-W2045）(WAT003) / HJ-2045-WBJA/DF01 / 4231192-1
eAWC Framework / eAWC端末（HF-W2045）【ﾊﾝﾃﾞｨBCR付】(WAT002) / HJ-2045-WBJA/DF01 / 4231193-1</t>
  </si>
  <si>
    <t>メガDC(新棟)</t>
  </si>
  <si>
    <t>2022070610-221-1 / 2022070612-221-1 / 2022070614-221-1 / 2022070616-221-1 / 2022070618-221-1</t>
  </si>
  <si>
    <t>ブランド / 機器構成名(個体名) / 型式 / シリアル番号
WareNavi7 / DBｻｰﾊﾞ (Express5800/R120h-2E)(IADB01) / N8100-2844Y / JPN130016K
WareNavi7 / DBｻｰﾊﾞ (Express5800/R120h-2E)(IADB02) / N8100-2844Y / JPN130016H
WareNavi7 / APｻｰﾊﾞ (Express5800/R120h-2E)(IAAP01) / N8100-2844Y / JPN130016C
WareNavi7 / APｻｰﾊﾞ (Express5800/R120h-2E)(IAAP02) / N8100-2844Y / JPN1300169
WareNavi7 / APｻｰﾊﾞ (Express5800/R120h-2E)(IAAP03) / N8100-2844Y / JPN130016P
WareNavi7 / MOSｻｰﾊﾞ (Express5800/R120h-2E)(IAAP04) / N8100-2844Y / JPN130016F
WareNavi7 / MOSｻｰﾊﾞ (Express5800/R120h-2E)(IAAP05) / N8100-2844Y / JPN1300170
WareNavi7 / MOSｻｰﾊﾞ (Express5800/R120h-2E)(IAAP06) / N8100-2844Y / JPN130016Y
WareNavi7 / ｽﾍﾟｱｻｰﾊﾞ (Express5800/R120h-2E)(IAAP07) / N8100-2844Y / JPN130016W
WareNavi7 / ｻｰﾊﾞ用UPS() / 無停電電源装置(3000VA,ﾗｯｸﾏｳﾝﾄ)N8142-106 / 
WareNavi7 / ｻｰﾊﾞ用UPS() / 無停電電源装置(3000VA,ﾗｯｸﾏｳﾝﾄ)N8142-106 / 
WareNavi7 / ｻｰﾊﾞ用UPS() / 無停電電源装置(3000VA,ﾗｯｸﾏｳﾝﾄ)N8142-106 / 
WareNavi7 / ｻｰﾊﾞ用UPS() / 無停電電源装置(3000VA,ﾗｯｸﾏｳﾝﾄ)N8142-106 / 
WareNavi7 / ｻｰﾊﾞ用UPS(IAAP06) / 無停電電源装置(3000VA,ﾗｯｸﾏｳﾝﾄ)N8142-106 / 
WareNavi7 / NAS (iStorage NS100Tk)(NAS01) / NF8100-276Y / 23000131
WareNavi7 / WareNavi7端末 (FC-E22U)(WATc101) / FC-E22U-S / 1616188
WareNavi7 / WareNavi7端末 (FC-E22U)(WATc201) / FC-E22U-S / 1616196
WareNavi7 / WareNavi7端末 (FC-E22U)(WATc202) / FC-E22U-S / 1616199
WareNavi7 / WareNavi7端末 (FC-E22U【BCR付】)(WATn201) / FC-E22U-S / 1616202
WareNavi7 / WareNavi7端末 (FC-E22U【BCR付】)(WATn202) / FC-E22U-S / 1516167
WareNavi7 / WareNavi7端末 (FC-E22U【BCR付】)(WATn203) / FC-E22U-S / 1616191
WareNavi7 / WareNavi7端末 (FC-E22U【BCR付】)(WATn204) / FC-E22U-S / 1616219
WareNavi7 / WareNavi7端末 (FC-E22U【BCR付】)(WATn205) / FC-E22U-S / 1616197
WareNavi7 / WareNavi7端末 (FC-E22U【BCR付】)(WATn206) / FC-E22U-S / 1616190
WareNavi7 / WareNavi7端末 (FC-E22U【BCR付】)(WATn207) / FC-E22U-S / 1516170
WareNavi7 / WareNavi7端末 (FC-E22U【BCR付】)(WATn208) / FC-E22U-S / 1616194
WareNavi7 / WareNavi7端末 (FC-E22U【BCR付】)(WATn302) / FC-E22U-S / 1616215
WareNavi7 / WareNavi7端末 (FC-E22U【BCR付】)(WATn303) / FC-E22U-S / 1616205
WareNavi7 / WareNavi7端末 (FC-E22U【BCR付】)(WATn304) / FC-E22U-S / 1616204
WareNavi7 / WareNavi7端末 (FC-E22U【BCR付】)(WATn305) / FC-E22U-S / 1616187
WareNavi7 / WareNavi7端末 (FC-E22U【BCR付】)(WATn312) / FC-E22U-S / 1516169
WareNavi7 / WareNavi7端末 (FC-E22U【BCR付】)(WATc301) / FC-E22U-S / 1616203
WareNavi7 / WareNavi7端末 (FC-E22U【BCR付】)(WATc302) / FC-E22U-S / 1616189
WareNavi7 / WareNavi7端末 (FC-E22U【BCR付】)(WATc303) / FC-E22U-S / 1616212
WareNavi7 / WareNavi7端末 (FC-E22U【ﾀｯﾁﾊﾟﾈﾙﾓﾆﾀ・BCR付】)(WATn301) / FC-E22U-S / 1616195
WareNavi7 / WareNavi7端末 (FC-E22U【ﾀｯﾁﾊﾟﾈﾙﾓﾆﾀ・BCR付】)(WATn306) / FC-E22U-S / 1616193
WareNavi7 / WareNavi7端末 (FC-E22U【ﾀｯﾁﾊﾟﾈﾙﾓﾆﾀ・BCR付】)(WATn307) / FC-E22U-S / 1516168
WareNavi7 / WareNavi7端末 (FC-E22U【ﾀｯﾁﾊﾟﾈﾙﾓﾆﾀ・BCR付】)(WATn313) / FC-E22U-S / 1516176
WareNavi7 / WareNavi7端末 (FC-E22U【ﾀｯﾁﾊﾟﾈﾙﾓﾆﾀ・BCR付】)(WATn314) / FC-E22U-S / 1616200
WareNavi7 / WareNavi7端末 (FC-E22U【防塵ﾗｯｸ入り】)(WATe191) / FC-E22U-S / 1616192
WareNavi7 / WareNavi7端末 (FC-E22U【防塵ﾗｯｸ入り】)(WATn101) / FC-E22U-S / 1516175
WareNavi7 / WareNavi7端末 (FC-E22U【防塵ﾗｯｸ入り】)(WATn102) / FC-E22U-S / 1616198
WareNavi7 / WareNavi7端末 (FC-E22U【防塵ﾗｯｸ入り】)(WATn103) / FC-E22U-S / 1616201
WareNavi7 / WareNavi7端末 (FC-E22U【防塵ﾗｯｸ入り】)(WATn104) / FC-E22U-S / 1516171
WareNavi7 / WareNavi7端末 (FC-E22U【防塵ﾗｯｸ入り】)(WATn105) / FC-E22U-S / 1516174
WareNavi7 / 端末予備機 (FC-E22U)(WATn100) / FC-E22U-S / 1616186
WareNavi7 / ﾍﾟｰｼﾞﾌﾟﾘﾝﾀ(PRN01) / PR-L7200 / 0Y00082VA
WareNavi7 / ﾍﾟｰｼﾞﾌﾟﾘﾝﾀ(PRN02) / PR-L7200 / 0900033VA
ﾛﾎﾞｯﾄPC / ﾛﾎﾞｯﾄPC (FC-S36W)(RBM201) / FC-S36W-143CV7 / 1600407
ﾛﾎﾞｯﾄPC / ﾛﾎﾞｯﾄPC (FC-S36W)(RBM202) / FC-S36W-143CV7 / 1600432
ﾛﾎﾞｯﾄPC / ﾛﾎﾞｯﾄPC (FC-S36W)(RBM203) / FC-S36W-143CV7 / 1600427
ﾛﾎﾞｯﾄPC / ﾛﾎﾞｯﾄPC (FC-S36W)(RBM204) / FC-S36W-143CV7 / 1600417
ﾛﾎﾞｯﾄPC / ﾛﾎﾞｯﾄPC (FC-S36W)(RBM205) / FC-S36W-143CV7 / 1600413
ﾛﾎﾞｯﾄPC / ﾛﾎﾞｯﾄPC (FC-S36W)(RBM206) / FC-S36W-143CV7 / 1600414
ﾛﾎﾞｯﾄPC / ﾛﾎﾞｯﾄPC (FC-S36W)(RBM207) / FC-S36W-143CV7 / 1600425
ﾛﾎﾞｯﾄPC / ﾛﾎﾞｯﾄPC (FC-S36W)(RBM208) / FC-S36W-143CV7 / 1600433
ﾛﾎﾞｯﾄPC / ﾛﾎﾞｯﾄPC (FC-S36W)(RBM209) / FC-S36W-143CV7 / 1600418
ﾛﾎﾞｯﾄPC / ﾛﾎﾞｯﾄPC (FC-S36W)(RBM210) / FC-S36W-143CV7 / 1600402
ﾛﾎﾞｯﾄPC / ﾛﾎﾞｯﾄPC (FC-S36W)(RBM211) / FC-S36W-143CV7 / 1600429
ﾛﾎﾞｯﾄPC / ﾛﾎﾞｯﾄPC (FC-S36W)(RBM212) / FC-S36W-143CV7 / 1600424
ﾛﾎﾞｯﾄPC / ﾛﾎﾞｯﾄPC (FC-S36W【防塵ﾗｯｸ入り】)(RBM213) / FC-S36W-143CV7 / 1600423
ﾛﾎﾞｯﾄPC / ﾛﾎﾞｯﾄPC (FC-S36W【防塵ﾗｯｸ入り】)(RBM214) / FC-S36W-143CV7 / 1600411
ﾛﾎﾞｯﾄPC / ﾛﾎﾞｯﾄPC (FC-S36W【防塵ﾗｯｸ入り】)(RBM215) / FC-S36W-143CV7 / 1600431
ﾛﾎﾞｯﾄPC / ﾛﾎﾞｯﾄPC (FC-S36W【防塵ﾗｯｸ入り】)(RBM216) / FC-S36W-143CV7 / 1600420
ﾛﾎﾞｯﾄPC / ﾛﾎﾞｯﾄPC (FC-S36W【防塵ﾗｯｸ入り】)(RBM217) / FC-S36W-143CV7 / 1600422
ﾛﾎﾞｯﾄPC / ﾛﾎﾞｯﾄPC (FC-S36W【防塵ﾗｯｸ入り】)(RBM218) / FC-S36W-143CV7 / 1600421
ﾛﾎﾞｯﾄPC / ﾛﾎﾞｯﾄPC (FC-S36W【防塵ﾗｯｸ入り】)(RBM219) / FC-S36W-143CV7 / 1600430
ﾛﾎﾞｯﾄPC / ﾛﾎﾞｯﾄPC (FC-S36W【防塵ﾗｯｸ入り】)(RBM220) / FC-S36W-143CV7 / 1600428
ﾛﾎﾞｯﾄPC / ﾛﾎﾞｯﾄPC予備 (FC-S36W)(RBM予備01) / FC-S36W-143CV7 / 1600404
ﾛﾎﾞｯﾄPC / ﾛﾎﾞｯﾄPC予備 (FC-S36W)(RBM予備02) / FC-S36W-143CV7 / 1600426
ﾛﾎﾞｯﾄPC / ﾛﾎﾞｯﾄPC予備 (FC-S36W)(RBM予備03) / FC-S36W-143CV7 / 1600415</t>
  </si>
  <si>
    <t>ブランド / 機器構成名(個体名) / 型式 / シリアル番号
WareNavi Framework(仕分機) / WareNavi本体 (HF-W7560)(WARENAVI02) / HJ-7560-SEJD/7R / 4530192-2
WareNavi Framework(仕分機) / MOSⅦ本体 (HF-W2055)(MOSB01) / HJ-2055-WEMA/DF04 / 8057263-1</t>
  </si>
  <si>
    <t>2505-006 / 2505-007</t>
  </si>
  <si>
    <t>ブランド / 機器構成名(個体名) / 型式 / シリアル番号
WareNavi Framework(自動ﾗｯｸ) / WareNavi本体 (HF-W7560)(WARENAVI01) / HJ-7560-SEJD/7R / 4530192-1
WareNavi Framework(自動ﾗｯｸ) / WareNavi端末 (HF-W2050)(WAT001) / HJ-2050-WEMA/DF03 / 8056333-3
WareNavi Framework(自動ﾗｯｸ) / WareNavi端末 (HF-W2050)(WAT002) / HJ-2050-WEMA/DF03 / 8056333-2
WareNavi Framework(自動ﾗｯｸ) / WareNavi端末 (HF-W2050)(WAT003) / HJ-2050-WEMA/DF03 / 8056333-6
WareNavi Framework(自動ﾗｯｸ) / WareNavi端末 (HF-W2050)(WAT004) / HJ-2050-WEMA/DF03 / 8056333-4
WareNavi Framework(自動ﾗｯｸ) / WareNavi端末 (HF-W2050)(WAT005) / HJ-2050-WEMA/DF03 / 8056333-5
WareNavi Framework(自動ﾗｯｸ) / MOSⅦ本体 (HF-W2055)(MOSA01) / HJ-2055-WEMA/DF04 / 8056949-5</t>
  </si>
  <si>
    <t>2023110817-224-1 / 2023110819-224-1</t>
  </si>
  <si>
    <t>ブランド / 機器構成名(個体名) / 型式 / シリアル番号
AWC7 Framework / AWC7本体(FC-S36W)(AWC001) / FC-S36W-143CV7 / 2300631
AWC7 Framework / AWC7端末(FC-E22U)(WAT001) / FC-E22U-S / 2718047</t>
  </si>
  <si>
    <t>ブランド / 機器構成名(個体名) / 型式 / シリアル番号
WareNavi7 / WareNavi7本体 (FC-S35W/S4)(WN001) / FC-S35W/S42CM0 / S780257MA</t>
  </si>
  <si>
    <t>ブランド / 機器構成名(個体名) / 型式 / シリアル番号
AWC-300N / AWC本体(FA3100SS model 1000)(AWC001) / UD431016-01-DHT / OEZ999
AWC-300N / AWC端末(FA2100SS model 400)(WAT001) / UV4A414-07-DHT / OF0531
AWC-300N / AWC端末(FA2100SS model 400)(WAT002) / UV4A414-07-DHT / OF0532</t>
  </si>
  <si>
    <t>1909-001 / 1909-002</t>
  </si>
  <si>
    <t>ブランド / 機器構成名(個体名) / 型式 / シリアル番号
eAWC Ordermade / eAWCｻｰﾊﾞ (EP8000 S814)(AWC01) / THE-C828641A630T / 51508
eAWC Ordermade / ｺﾝｿｰﾙ端末 (HF-W2045)(WAT007) / HJ-2045-WBJA/DF01 / 4234281-1
eAWC Ordermade / 設定端末 (HF-W2045【BCR付き】)(WAT001) / HJ-2045-WBJA/DF01 / 4234282-1
eAWC Ordermade / 設定端末 (HF-W2045【BCR付き】)(WAT006) / HJ-2045-WBJA/DF01 / 4234283-1
eAWC Ordermade / 設定端末 (HF-W2045)(WAT002) / HJ-2045-WBJA/DF01 / 4234284-1
eAWC Ordermade / 設定端末 (HF-W2045)(WAT003) / HJ-2045-WBJA/DF01 / 4234449-1
eAWC Ordermade / 設定端末 (HF-W2045)(WAT005) / HJ-2045-WBJA/DF01 / 4234450-1
eAWC Ordermade / 出荷進捗ﾓﾆﾀ端末 (HF-W2045【17ｲﾝﾁﾓﾆﾀ】)(WAT009) / HJ-2045-WBJA/DF01 / 4234451-1
eAWC Ordermade / 出荷進捗ﾓﾆﾀ端末 (HF-W2045【32ｲﾝﾁﾓﾆﾀ】)(WAT010) / HJ-2045-WBJA/DF01 / 4234452-1</t>
  </si>
  <si>
    <t>2023080808-224-2</t>
  </si>
  <si>
    <t>ブランド / 機器構成名(個体名) / 型式 / シリアル番号
eAWC Ordermade / MOS(FC-E22U)(MOS01) / FC-E22U-S / 2617958
eAWC Ordermade / 子MOS(FC-E22U)(MOS03) / FC-E22U-S / 1816569</t>
  </si>
  <si>
    <t>水島第1CS</t>
  </si>
  <si>
    <t>コバシ倉庫株式会社</t>
  </si>
  <si>
    <t>1610-003</t>
  </si>
  <si>
    <t>33201-283-001</t>
  </si>
  <si>
    <t>ブランド / 機器構成名(個体名) / 型式 / シリアル番号
在庫管理ｼｽﾃﾑ / 本体 (HF-W7540)(KOBASHI-SV) / HJ-75407ESJD/7R / 4228042-1
在庫管理ｼｽﾃﾑ / 端末 (HF-W2035)(TERM01) / HJ-20359EWJA/DF01 / 4227370-1
在庫管理ｼｽﾃﾑ / 端末 (HF-W2035)(TERM02) / HJ-20359EWJA/DF01 / 4226875-1
在庫管理ｼｽﾃﾑ / 端末 (HF-W2035)(TERM03) / HJ-20359EWJA/DF01 / 4226877-1
在庫管理ｼｽﾃﾑ / 端末 (HF-W2035)(TERM04) / HJ-20359EWJA/DF01 / 4226878-1
在庫管理ｼｽﾃﾑ / 端末 (HF-W2035)(TERM05) / HJ-20359EWJA/DF01 / 4226876-1
在庫管理ｼｽﾃﾑ / 端末 (HF-W2035)(TERM06) / HJ-20359EWJA/DF01 / 4227368-1
在庫管理ｼｽﾃﾑ / 端末 (HF-W2035)(TERM07) / HJ-20359EWJA/DF01 / 4227369-1</t>
  </si>
  <si>
    <t>【撤去】無人フォークシステム</t>
  </si>
  <si>
    <t>ブランド / 機器構成名(個体名) / 型式 / シリアル番号
AWC4 Framework / AWC4本体(HF-W6555)(AWC001) / HJ-6555-WEJD/7R / 4234797-2
AWC4 Framework / AWC4端末(HF-W2045)(WAT001) / HJ-2045-WEJA/7R / 4234798-1</t>
  </si>
  <si>
    <t>イオン岡山LC</t>
  </si>
  <si>
    <t>岡山施設物流設備</t>
  </si>
  <si>
    <t>33104A123-001</t>
  </si>
  <si>
    <t>ブランド / 機器構成名(個体名) / 型式 / シリアル番号
LPM (自動倉庫系) / ｵｰﾄﾗﾍﾞﾗ() / LR4081SR-TSJ / GF000135
LPM (自動倉庫系) / ｵｰﾄﾗﾍﾞﾗ() / LR4081SR-TSJ / GF000136
LPM (ｿｰﾀ系) / ｵｰﾄﾗﾍﾞﾗ() / LR4081SR-TSJ / GF000137
LPM (ｿｰﾀ系) / ｵｰﾄﾗﾍﾞﾗ() / LR4081SR-TSJ / GF000138</t>
  </si>
  <si>
    <t>水島第2CS</t>
  </si>
  <si>
    <t>ブランド / 機器構成名(個体名) / 型式 / シリアル番号
AWC7 Framework / AWC7本体 (FC-S36W)(AWC001) / FC-S36W-143CV7 / 2700696
AWC7 Framework / AWC7端末(FC-E29U)(WAT001) / FC-E29U-S31C42 / 2Z00186
AWC7 Framework / AWC7端末(FC-E29U)(WAT002) / FC-E29U-S31C42 / 2Z00183</t>
  </si>
  <si>
    <t>ブランド / 機器構成名(個体名) / 型式 / シリアル番号
AWC4 Framework / AWC4本体(FC-S35W/S7)(AWC001) / FC-S35W/S72CL9 / 9508420</t>
  </si>
  <si>
    <t>ブランド / 機器構成名(個体名) / 型式 / シリアル番号
AWC4 Framework / AWC4本体(FC-S35W/S7)(AWC001) / FC-S35W/S72CL9 / S910014MA</t>
  </si>
  <si>
    <t>株式会社サンキ</t>
  </si>
  <si>
    <t>岡山商品センター</t>
  </si>
  <si>
    <t>2025060914-224-1 / 2025012411-224-1</t>
  </si>
  <si>
    <t>33423A000-001</t>
  </si>
  <si>
    <t>ブランド / 機器構成名(個体名) / 型式 / シリアル番号
AWC-800N / 管理ｻｰﾊﾞ (Express5800/R320f-M4)(AWC-SV) / N8800-219Y / 9Y00162
AWC-800N / 管理端末 (FC-E27B)(WAT02) / FC-E27B-S / 9Z10614</t>
  </si>
  <si>
    <t>CE1003416 / CE1000973</t>
  </si>
  <si>
    <t>ブランド / 機器構成名(個体名) / 型式 / シリアル番号
AWC7 Ordermade / AWC7ｻｰﾊﾞ/運用系(SPARC M12-1)(awc071) / SPNAAAA4EF / TZ42412028
AWC7 Ordermade / AWC7ｻｰﾊﾞ/運用系(SPARC M12-1)(awc071) / 無停電電源装置(1500VA,ﾗｯｸﾏｳﾝﾄ)PY-UPAR152 / TT406A0012
AWC7 Ordermade / AWC7ｻｰﾊﾞ/待機系(SPARC M12-1)(awc072) / SPNAAAA4EF / TZ42412025
AWC7 Ordermade / AWC7ｻｰﾊﾞ/待機系(SPARC M12-1)(awc072) / 無停電電源装置(1500VA,ﾗｯｸﾏｳﾝﾄ)PY-UPAR152 / TT406A0014
AWC7 Ordermade / ｺﾝｿｰﾙ端末(PRIMERGY RX1330 M5)(wat000) / PYR1335R3S / MADM016915</t>
  </si>
  <si>
    <t>ブランド / 機器構成名(個体名) / 型式 / シリアル番号
AWC7 Ordermade / 出荷事務所端末(FC-S36W)(wat001) / FC-S36W-143CV7 / 4601187
AWC7 Ordermade / 出荷事務所端末(FC-S36W)(wat002) / FC-S36W-143CV7 / 4601186
AWC7 Ordermade / 作業端末/外部入庫口・ﾛﾎﾞｯﾄ傍(FC-E29U)(wat003) / FC-E29U-S31C42 / 3601130
AWC7 Ordermade / 作業端末/外部入庫口・ﾛﾎﾞｯﾄ傍(FC-E29U)(wat005) / FC-E29U-S31C42 / 3701165
AWC7 Ordermade / 作業端末/大袋包装室(FC-E29U)(wat004) / FC-E29U-S31C42 / 3701175
AWC7 Ordermade / MOSⅦ本体(FC-E22K)(MOSZ001) / FC-E22K-L / 4802415</t>
  </si>
  <si>
    <t>成田第1CS</t>
  </si>
  <si>
    <t>ナリタ合成株式会社</t>
  </si>
  <si>
    <t>1905-002</t>
  </si>
  <si>
    <t>12211-017-001</t>
  </si>
  <si>
    <t>ブランド / 機器構成名(個体名) / 型式 / シリアル番号
AWC4-Jr / AWC4本体(HF-W2035)(AWC001) / HJ-20359EWJA/DF02 / 4227750-1</t>
  </si>
  <si>
    <t>ブランド / 機器構成名(個体名) / 型式 / シリアル番号
AWC7 Framework / AWC7本体(HF-W6555)(AWC001) / HJ-6555-WEJD/DF05 / 4240888-8
AWC7 Framework / AWC7端末(HF-W2050)(WAT001) / HJ-2050-WEMA/DF03 / 8054960-8</t>
  </si>
  <si>
    <t>株式会社ニッスイ</t>
  </si>
  <si>
    <t>医薬品倉庫</t>
  </si>
  <si>
    <t>2019081902-216-1</t>
  </si>
  <si>
    <t>08232A127-001</t>
  </si>
  <si>
    <t>ブランド / 機器構成名(個体名) / 型式 / シリアル番号
AWC4 Framework / AWC4本体(FC-S35W)(AWC001) / FC-S35W/S72CL9 / S690408MA</t>
  </si>
  <si>
    <t>ブランド / 機器構成名(個体名) / 型式 / シリアル番号
AWC4 Basic / AWC4本体(FC-S35W/S7)(AWC001) / FC-S35W/S72CL9 / S890274MA</t>
  </si>
  <si>
    <t>株式会社アンターク本舗</t>
  </si>
  <si>
    <t>酒々井倉庫</t>
  </si>
  <si>
    <t>2019031108-216-1</t>
  </si>
  <si>
    <t>12322A103-001</t>
  </si>
  <si>
    <t>ブランド / 機器構成名(個体名) / 型式 / シリアル番号
AWC4 Framework / AWC4本体(FC-S35W/S7)(AWC001) / FC-S35W/S72CL9 / S780479MA</t>
  </si>
  <si>
    <t>ブランド / 機器構成名(個体名) / 型式 / シリアル番号
WareNavi Framework / WareNavi本体 (FC-S36W)(WMS001) / FC-S36W-113CW5 / 2800138
WareNavi Framework / WareNavi端末 (FC-E29U)(WAT001) / FC-E29U-S31C42 / 3500729
WareNavi Framework / WareNavi端末 (FC-E29U)(WAT002) / FC-E29U-S31C42 / 3600749
WareNavi Framework / WareNavi端末 (FC-E29U)(WAT003) / FC-E29U-S31C42 / 3600753
WareNavi Framework / WareNavi端末 (FC-E29U)(WAT004) / FC-E29U-S31C42 / 3600747
WareNavi Framework / WareNavi端末 (FC-E29U)(WAT005) / FC-E29U-S31C42 / 3600748
WareNavi Framework / WareNavi端末 (FC-E29U)(WAT006) / FC-E29U-S31C42 / 3500731
WareNavi Framework / WareNavi端末 (FC-E29U)(WAT007) / FC-E29U-S31C42 / 3600762
WareNavi Framework / WareNavi端末 (FC-E29U)(WAT008) / FC-E29U-S31C42 / 3600757
WareNavi Framework / WareNavi端末 (FC-E29U)(WAT009) / FC-E29U-S31C42 / 3600751
WareNavi Framework / WareNavi端末 (FC-E29U)(WAT010) / FC-E29U-S31C42 / 3600746
WareNavi Framework / WareNavi端末 (FC-E29U)(WAT011) / FC-E29U-S31C42 / 3600750
WareNavi Framework / WareNavi端末 (FC-E29U)(WAT012) / FC-E29U-S31C42 / 3600744
WareNavi Framework / WareNavi端末 (FC-E29U)(WAT013) / FC-E29U-S31C42 / 3600763
WareNavi Framework / MOSⅦ(MOS01) / FC-E22K-L / 4902635</t>
  </si>
  <si>
    <t>ブランド / 機器構成名(個体名) / 型式 / シリアル番号
eAWC Ordermade / eAWC本体（FC-S35W/S7）(AWC001) / FC-S35W/S72CL9 / S620518MA</t>
  </si>
  <si>
    <t>成田第2CS</t>
  </si>
  <si>
    <t>HC23-0022</t>
  </si>
  <si>
    <t>ブランド / 機器構成名(個体名) / 型式 / シリアル番号
RTS-100 / WCSｻｰﾊﾞ(IBM Power System S914)(WCS01) / 9009-41G / 7843AF1
RTS-100 / WCSｻｰﾊﾞ(IBM Power System S914)(WCS01予備) / 9009-41G / 7843B11
RTS-100 / SAMｻｰﾊﾞ(IBM Power System S914)(WCS02) / 9009-41G / 7843AC1
RTS-100 / SAMｻｰﾊﾞ(IBM Power System S914)(WCS02予備) / 9009-41G / 7843AE1
RTS-100 / MOSｻｰﾊﾞ(IBM Power System S914)(WCS03) / 9009-41G / 7843A91
RTS-100 / MOSｻｰﾊﾞ(IBM Power System S914)(WCS03予備) / 9009-41G / 7843AB1
RTS-100 / 開発機(IBM Power System S914)(WCS01開発) / 9009-41G / 7843B01
RTS-100 / 開発機(IBM Power System S914)(WCS02開発) / 9009-41G / 7843AD1
RTS-100 / 開発機(IBM Power System S914)(WCS03開発) / 9009-41G / 7843AA1
RTS-100 / 共用ｽﾄﾚｰｼﾞ (FlashSystem 5035 SFF Control Enclosure)() / 2072-3N4 / 781P8V3
RTS-100 / SANｽｲｯﾁ (IBM Storage Networking SAN24B-6)() / 8960-F24 / 755383G
RTS-100 / SANｽｲｯﾁ (IBM Storage Networking SAN24B-6)() / 8960-F24 / 755387M</t>
  </si>
  <si>
    <t>ブランド / 機器構成名(個体名) / 型式 / シリアル番号
RTS-100 / ｵｰﾄﾗﾍﾞﾗ() / LR4NX-FA08RPJ / GF000071
RTS-100 / ｵｰﾄﾗﾍﾞﾗ() / LR4NX-FA08RPJ / GF000072</t>
  </si>
  <si>
    <t>ブランド / 機器構成名(個体名) / 型式 / シリアル番号
eye-navi / ｵｰﾄﾗﾍﾞﾗ(ALR01) / LR4080SR-TSB / 15030165</t>
  </si>
  <si>
    <t>ブランド / 機器構成名(個体名) / 型式 / シリアル番号
AWC7 Framework / AWC7本体 (HF-W6555)(AWC001) / HJ-6555-WEJD/DF05 / 4239860-8</t>
  </si>
  <si>
    <t>2020050804-216-1 / 2024092407-224-1</t>
  </si>
  <si>
    <t>ブランド / 機器構成名(個体名) / 型式 / シリアル番号
eWareNavi Ordermade / eWareNaviｻｰﾊﾞ(Express5800/T120h)(AWC001) / N8100-2640Y / JPN936405J
eWareNavi Ordermade / 管理端末(FC-E22U)(WAT001) / FC-E22U-S / 9910904
eWareNavi Ordermade / 管理端末(FC-E22U)(WAT021) / FC-E22U-S / 9910890
eWareNavi Ordermade / MOSｻｰﾊﾞ(FC-E22U)(MOS002) / FC-E22U-S / 9910898
eWareNavi Ordermade / eWareNavi端末(FC-E22U)(WAT002) / FC-E22U-S / 9910905
eWareNavi Ordermade / eWareNavi端末(FC-E22U)(WAT003) / FC-E22U-S / 9910903
eWareNavi Ordermade / eWareNavi端末(FC-E22U)(WAT004) / FC-E22U-S / 9910897
eWareNavi Ordermade / eWareNavi端末(FC-E22U)(WAT011) / FC-E22U-S / 9910906
eWareNavi Ordermade / eWareNavi端末(FC-E22U)(WAT012) / FC-E22U-S / 9910899
eWareNavi Ordermade / eWareNavi端末(FC-E22U)(WAT013) / FC-E22U-S / 9910891
eWareNavi Ordermade / eWareNavi端末(FC-E22U)(WAT014) / FC-E22U-S / 9910896
eWareNavi Ordermade / eWareNavi端末(FC-E22U)(WAT022) / FC-E22U-S / 9910889
eWareNavi Ordermade / eWareNavi端末(FC-E22U)(WAT023) / FC-E22U-S / 9910902
eWareNavi Ordermade / eWareNavi端末(FC-E22U)(WAT024) / FC-E22U-S / 9910901
eWareNavi Ordermade / eWareNavi端末(FC-E22U)(WAT025) / FC-E22U-S / 9910895
eWareNavi Ordermade / eWareNavi端末(FC-E22U)(WAT026) / FC-E22U-S / 9910900
eWareNavi Ordermade / eWareNavi端末(FC-E22U)(WAT027) / FC-E22U-S / 9910893
eWareNavi Ordermade / eWareNavi端末(FC-E22U)(WAT028) / FC-E22U-S / 9910894
eWareNavi Ordermade / eWareNavi端末(FC-E22U)(WAT029) / FC-E22U-S / 9910892</t>
  </si>
  <si>
    <t>ブランド / 機器構成名(個体名) / 型式 / シリアル番号
AWC-500N / AWC本体 (FC-S35W/S7)(AWC001) / FC-S35W/S72CL9 / S521253MA
AWC-500N / AWC端末 (FC-E16U/S7)(WAT001) / FC-E16U/S71R4Z / S580300MA
AWC-500N / AWC端末 (FC-E16U/S7)(WAT002) / FC-E16U/S71R4Z / S580295MA
AWC-500N / AWC端末 (FC-E16U/S7)(WAT003) / FC-E16U/S71R4Z / S580301MA</t>
  </si>
  <si>
    <t>全国農業協同組合連合会　秋田県本部</t>
  </si>
  <si>
    <t>農機部品流通拠点施設</t>
  </si>
  <si>
    <t>1607-003</t>
  </si>
  <si>
    <t>05201-283-001</t>
  </si>
  <si>
    <t>ブランド / 機器構成名(個体名) / 型式 / シリアル番号
AWC-300N / AWC本体 (HF-W6545)(AWC001) / HJ-65459EWJD/DF01 / 4225736-1</t>
  </si>
  <si>
    <t>ブランド / 機器構成名(個体名) / 型式 / シリアル番号
AWC7 Framework / AWC7本体(HF-W6555)(AWC001) / HJ-6555-WEJD/DF05 / 4240140-2</t>
  </si>
  <si>
    <t>ブランド / 機器構成名(個体名) / 型式 / シリアル番号
eAWC Framework / eAWC本体(HF-W6555)(AWC001) / HJ-6555-WEJD/DF03 / 4236147-1
eAWC Framework / eAWC端末(HF-W2045)(WAT001) / HJ-2045-WEJA/DF03 / 4236157-1
eAWC Framework / eAWC端末(HF-W2045)(WAT002) / HJ-2045-WEJA/DF03 / 4236158-1</t>
  </si>
  <si>
    <t>ブランド / 機器構成名(個体名) / 型式 / シリアル番号
AWC7 Framework / AWC7本体 (FC-S36W)(AWC001) / FC-S36W-143CV7 / 0X00278</t>
  </si>
  <si>
    <t>ブランド / 機器構成名(個体名) / 型式 / シリアル番号
AWC4 Ordermade / AWC4ｻｰﾊﾞ(EP8000 S914)(AWC01) / THE-C900941G623 / 7876021</t>
  </si>
  <si>
    <t>ブランド / 機器構成名(個体名) / 型式 / シリアル番号
AWC4 Ordermade / AWC4端末(FC-S36W)(WAT001) / FC-S36W-133CW4 / 3Z00338
AWC4 Ordermade / AWC4端末/BCR付(FC-S36W)(WAT002) / FC-S36W-133CW4 / 3Y00316
AWC4 Ordermade / AWC4端末/BCR付(FC-S36W)(WAT003) / FC-S36W-133CW4 / 3Y00317
AWC4 Ordermade / LPM端末(FC-S36W)(LPM001) / FC-S36W-133CW4 / 3Z00329
AWC4 Ordermade / LPM端末(FC-S36W)(LPM002) / FC-S36W-133CW4 / 3Y00314
AWC4 Ordermade / LPM端末(FC-S36W)(LPM003) / FC-S36W-133CW4 / 3Y00321
AWC4 Ordermade / LPM端末(FC-S36W)(LPM004) / FC-S36W-133CW4 / 3Z00327
AWC4 Ordermade / LPM端末(FC-S36W)(LPM005) / FC-S36W-133CW4 / 3Y00313
AWC4 Ordermade / LPM端末(FC-S36W)(LPM006) / FC-S36W-133CW4 / 3Z00332
AWC4 Ordermade / LPM端末(FC-S36W)(LPM007) / FC-S36W-133CW4 / 3Y00323</t>
  </si>
  <si>
    <t>ブランド / 機器構成名(個体名) / 型式 / シリアル番号
AWC4 Framework / AWC4本体(HF-W6555)(EAWC003) / HJ-6555-WEJD/DF03 / 4236330-1</t>
  </si>
  <si>
    <t>ブランド / 機器構成名(個体名) / 型式 / シリアル番号
WareNavi / WMSｻｰﾊﾞ (Express5800/R320h-E4)(NITTSUWMS) / N8800-311Y / 4800661
WareNavi / WMSｻｰﾊﾞ用UPS(NITTSUWMS) / 無停電電源装置(1500VA)N8180-67 / J12422211665
WareNavi / WMSｻｰﾊﾞ用UPS(NITTSUWMS) / 無停電電源装置(1500VA)N8180-67 / J12422211655
WareNavi / 履歴ｻｰﾊﾞ (Express5800/T110k-M)(NITTSURIREKI) / N8100-3000Y / JPND1F007B
WareNavi / 履歴ｻｰﾊﾞ (Express5800/T110k-M)(NITTSURIREKI) / 無停電電源装置(1500VA)N8180-67 / J12422211671
WareNavi / 通信端末 (FC-E22U)(W11) / FC-E22U-S / 9910808
WareNavi / 無線ﾏﾈｰｼﾞｬｰ(FC-E22U)(W14N) / FC-E22U-S / 9910826
WareNavi / 無線ﾏﾈｰｼﾞｬｰ(FC-E22U)(W15N) / FC-E22U-S / 9910809
WareNavi / SIDﾏﾈｰｼﾞｬｰ(FC-E22U)(W12) / FC-E22U-S / 9910810
WareNavi / SIDﾏﾈｰｼﾞｬｰ(FC-E22U)(W13) / FC-E22U-S / 9910816</t>
  </si>
  <si>
    <t>2024051510-224-1 / 2024051502-224-1 / 2024051506-224-1 / 2024051504-224-1 / 2024051508-224-1</t>
  </si>
  <si>
    <t>ブランド / 機器構成名(個体名) / 型式 / シリアル番号
WareNavi7 / WareNavi7ｻｰﾊﾞ (Express5800/R320-M4)(WCSAPLSV01) / N8800-312Y / 3400117
WareNavi7 / ｻｰﾊﾞ用UPS(WCSAPLSV01) / 無停電電源装置(1500VA,ﾗｯｸﾏｳﾝﾄ)N8142-101 / 
WareNavi7 / ｻｰﾊﾞ用UPS(WCSAPLSV01) / 無停電電源装置(1500VA,ﾗｯｸﾏｳﾝﾄ)N8142-101 / 
WareNavi7 / WareNavi7端末 (FC-E29U)(WAT104) / FC-E29U-S31C42 / 3200585
WareNavi7 / WareNavi7端末 (FC-E29U)(WAT105) / FC-E29U-S31C42 / 3200576
WareNavi7 / WareNavi7端末 (FC-E29U)(WAT201) / FC-E29U-S31C42 / 3200599
WareNavi7 / WareNavi7端末 (FC-E29U)(WAT301) / FC-E29U-S31C42 / 3200594
WareNavi7 / WareNavi7端末 (FC-E29U)(WAT401) / FC-E29U-S31C42 / 3200589
WareNavi7 / WareNavi7端末 (FC-E29U)(WAT402) / FC-E29U-S31C42 / 3200559
WareNavi7 / WareNavi7端末 (FC-E29U)(WAT403) / FC-E29U-S31C42 / 3200601
WareNavi7 / WareNavi7端末 (FC-E29U)(WAT404) / FC-E29U-S31C42 / 3200579
WareNavi7 / WareNavi7端末 (FC-E29U)(WAT501) / FC-E29U-S31C42 / 3200591
WareNavi7 / WareNavi7端末 (FC-E29U)(WAT503) / FC-E29U-S31C42 / 3200588
WareNavi7 / WareNavi7端末 (FC-E29U【BCR付】)(WAT101) / FC-E29U-S31C42 / 3200593
WareNavi7 / WareNavi7端末 (FC-E29U【BCR付】)(WAT102) / FC-E29U-S31C42 / 3200577
WareNavi7 / WareNavi7端末 (FC-E29U【BCR付】)(WAT103) / FC-E29U-S31C42 / 3200600
WareNavi7 / WareNavi7端末 (FC-E29U【BCR付】)(WAT405) / FC-E29U-S31C42 / 3200582
WareNavi7 / WareNavi7端末 (FC-E29U【BCR付】)(WAT504) / FC-E29U-S31C42 / 3200590
WareNavi7 / 作業表示端末 (FC-E29U)(WAT202) / FC-E29U-S31C42 / 3200584
WareNavi7 / 作業表示端末 (FC-E29U)(WAT203) / FC-E29U-S31C42 / 3200558
WareNavi7 / VTC(NT8000)(VTCA001) / FC-E29U-S / 3501166
WareNavi7 / MOSⅦｻｰﾊﾞ (FC-E22K)(MOSZ001) / FC-E22K-L / 3400947
WareNavi7 / MOSⅦｻｰﾊﾞ (FC-E27B)(MOSZ002) / FC-E27B-SR / 2800369
SAM / SAM (FC-S36W)(SAMZ01) / FC-S36W-143CV7 / 2900862
SAM / SAM (FC-S36W)(SAMZ02) / FC-S36W-143CV7 / 2900865
LPM / LPM (FC-S36W)(LPMZ01) / FC-S36W-143CV7 / 2900863
LPM / LPM (FC-S36W)(LPMZ02) / FC-S36W-143CV7 / 2900854
LPM / ﾗﾍﾞﾗPC端末 (FC-E29U)(WAT502) / FC-E29U-S31C42 / 3200586</t>
  </si>
  <si>
    <t>ブランド / 機器構成名(個体名) / 型式 / シリアル番号
WareNavi7 / ﾗﾍﾞﾙﾌﾟﾘﾝﾀ(MLPZ01) / CL4NX-J12 Plus / HA101577
WareNavi7 / ﾗﾍﾞﾙﾌﾟﾘﾝﾀ(MLPZ03) / CL4NX-J12 Plus / HA101561
WareNavi7 / ﾗﾍﾞﾙﾌﾟﾘﾝﾀ(MLPZ05) / CL4NX-J12 Plus / HA101560
WareNavi7 / ﾗﾍﾞﾙﾌﾟﾘﾝﾀ(MLPZ07) / CL4NX-J12 Plus / HA101595
LPM / ﾗﾍﾞﾙﾌﾟﾘﾝﾀ(MLPZ02) / CL4NX-J12 Plus / HA101537
LPM / ﾗﾍﾞﾙﾌﾟﾘﾝﾀ(MLPZ04) / CL4NX-J12 Plus / HA101586
LPM / ﾗﾍﾞﾙﾌﾟﾘﾝﾀ(MLPZ06) / CL4NX-J12 Plus / HA101549
LPM / ｵｰﾄﾗﾍﾞﾗ(LBRZ001) / LR4120SR-TSJ / HB000098
LPM / ｵｰﾄﾗﾍﾞﾗ(LBRZ002) / LR4120SR-TSJ / HB000099
LPM / ｵｰﾄﾗﾍﾞﾗ(LBRZ003) / LR4120SR-TSJ / HB000100
LPM / ｵｰﾄﾗﾍﾞﾗ(LBRZ004) / LR4120SR-TSJ / HB000101
LPM / ｵｰﾄﾗﾍﾞﾗ(LBRZ005) / LR4120SR-TSJ / HB000102</t>
  </si>
  <si>
    <t>ブランド / 機器構成名(個体名) / 型式 / シリアル番号
WareNavi7A / WareNavi7A本体(HF-W7560)(WARENAVI001) / HJ-7560-SEJD/7R / 4525632-1</t>
  </si>
  <si>
    <t>ブランド / 機器構成名(個体名) / 型式 / シリアル番号
WareNavi7A / WareNavi7A本体(HF-W7560)(WARENAVI002) / HJ-7560-SEJD/7R / 4525632-2</t>
  </si>
  <si>
    <t>ブランド / 機器構成名(個体名) / 型式 / シリアル番号
AWC-500N / AWCｻｰﾊﾞ (HF-W7530)(AWC001) / HJ-75307ESJF/DF01 / 4224341-1
AWC-500N / AWC端末 (HF-W2035)[ BCR付 ](WAT001) / HJ-20359EWJA/DF01 / 4224181-1
AWC-500N / AWC端末 (HF-W2035)[ BCR付 ](WAT002) / HJ-20359EWJA/DF01 / 4224182-1
AWC-500N / AWC端末 (HF-W2035)[ BCR付 ](WAT003) / HJ-20359EWJA/DF01 / 4224183-1
AWC-500N / AWC端末 (HF-W2050)(WAT004) / HJ-2050-WFMA/7R / 8055373-1
AWC-500N / AWC端末 (HF-W2035)(WAT005) / HJ-20359EWJA/DF01 / 4224185-1
AWC-500N / AWC端末 (HF-W2035)(WAT006) / HJ-20359EWJA/DF01 / 4224099-1</t>
  </si>
  <si>
    <t>ブランド / 機器構成名(個体名) / 型式 / シリアル番号
AWC7 Framework / AWC7本体(FC-S36W)(AWC001) / FC-S36W-143CV7 / 2900811
AWC7 Framework / AWC7端末(FC-E29U)(WAT001) / FC-E29U-S31C42 / 3100404</t>
  </si>
  <si>
    <t>●上位　/【契約情報：1号機】</t>
  </si>
  <si>
    <t>ブランド / 機器構成名(個体名) / 型式 / シリアル番号
eAWC-R(1号機) / eAWC本体(HF-W2045)(EAWC001) / HJ-2045-WBJA/DF02 / 4234794-1</t>
  </si>
  <si>
    <t>●上位　/【契約情報：2号機】</t>
  </si>
  <si>
    <t>ブランド / 機器構成名(個体名) / 型式 / シリアル番号
eAWC-R(2号機) / eAWC本体(HF-W2045)(EAWC002) / HJ-2045-WBJA/DF02 / 4236617-1</t>
  </si>
  <si>
    <t>清水農業協同組合</t>
  </si>
  <si>
    <t>柑橘共選場</t>
  </si>
  <si>
    <t>柑橘共選場施設</t>
  </si>
  <si>
    <t>2011-005</t>
  </si>
  <si>
    <t>22103A105-001</t>
  </si>
  <si>
    <t>ブランド / 機器構成名(個体名) / 型式 / シリアル番号
ASM / ASM本体 (HF-W6555)(ASM001) / HJ-6555-WEJD/DF05 / 4237860-6
ASM / MOS本体 (HF-W6555)(MOS01) / HJ-6555-WEJD/DF05 / 4237860-7</t>
  </si>
  <si>
    <t>CE451807</t>
  </si>
  <si>
    <t>ブランド / 機器構成名(個体名) / 型式 / シリアル番号
AWC4 Ordermade / AWC4ｻｰﾊﾞ (SPARC M10-1)(AWC001) / SPMAKAA1EF / TZ32015006
AWC4 Ordermade / ｺﾝｿｰﾙ端末 (PRIMERGY RX1330 M4)(WAT001) / PYR1334R3S / MAHV016413</t>
  </si>
  <si>
    <t>大井川センター</t>
  </si>
  <si>
    <t>2016113003-220-1</t>
  </si>
  <si>
    <t>22212A115-001</t>
  </si>
  <si>
    <t>【システム点検】※UNIXサーバの為、診断対象外。　/【契約情報：SAM】</t>
  </si>
  <si>
    <t>ブランド / 機器構成名(個体名) / 型式 / シリアル番号
SAM / SAM (FC-E25B/S7)(DP-JAREDSAM01) / FC-E25B/S72R6Z / S490440MA
SAM / ｺﾐｭﾆｹｰｼｮﾝPC (FC-E25B/S7)(DP-JAREDCOM02) / FC-E25B/S72R6Z / S4Y0982MA</t>
  </si>
  <si>
    <t>2024061124-224-1</t>
  </si>
  <si>
    <t>ブランド / 機器構成名(個体名) / 型式 / シリアル番号
WareNavi / DPMｻｰﾊﾞ (FC-R16W)(DP-JAREDSVR2) / FC-R16W-L1 / 3Y00985</t>
  </si>
  <si>
    <t>HC23-0011</t>
  </si>
  <si>
    <t>ブランド / 機器構成名(個体名) / 型式 / シリアル番号
WareNavi / WareNaviｻｰﾊﾞ (IBM Power System S914)(DP-JAREDSVR1) / 9009-41G / 783EEA1</t>
  </si>
  <si>
    <t>ブランド / 機器構成名(個体名) / 型式 / シリアル番号
AWC4 Basic / AWC4本体(HF-W6555)(AWC001) / HJ-6555-WEJD/DF03 / 4237232-5
AWC4 Basic / AWC4端末(HF-W2045)(WAT001) / HJ-2045-WEJA/DF03 / 4237512-1
AWC4 Basic / AWC4端末(HF-W2045)(WAT002) / HJ-2045-WEJA/DF03 / 4237511-1</t>
  </si>
  <si>
    <t>ディスクストレージ搬送システム</t>
  </si>
  <si>
    <t>22424-030-002</t>
  </si>
  <si>
    <t>ブランド / 機器構成名(個体名) / 型式 / シリアル番号
DPM / ｵｰﾄﾗﾍﾞﾗ(ALB01) / LR4080SR-TSB / 1034A288
DPM / ｵｰﾄﾗﾍﾞﾗ(ALB02) / LR4080SR-TSB / 1034A287
DPM / ﾗﾍﾞﾙﾌﾟﾘﾝﾀ(LBP01) / M-48Pro8 / 0J002523
DPM / ﾗﾍﾞﾙﾌﾟﾘﾝﾀ(LBP02) / M-48Pro8 / 0J002526
DPM / ﾗﾍﾞﾙﾌﾟﾘﾝﾀ(LBP03) / M-48Pro8 / 1C002678
DPM / ﾗﾍﾞﾙﾌﾟﾘﾝﾀ(LBP04) / M-48Pro8 / 1C002682
DPM / ﾗﾍﾞﾙﾌﾟﾘﾝﾀ(LBP05) / M-48Pro8 / 1LA00519
DPM / ﾗﾍﾞﾙﾌﾟﾘﾝﾀ(LBP06) / M-48Pro8 / 2D001595</t>
  </si>
  <si>
    <t>ドライ総合物流センター</t>
  </si>
  <si>
    <t>店舗物流センター（2・3F）</t>
  </si>
  <si>
    <t>04105A000-004</t>
  </si>
  <si>
    <t>ブランド / 機器構成名(個体名) / 型式 / シリアル番号
LPM / ｵｰﾄﾗﾍﾞﾗ(ALR01) / LR4120SR-TCJ-H / 15070485
LPM / ｵｰﾄﾗﾍﾞﾗ(ALR02) / LR4120SR-TCJ-H / 15070486</t>
  </si>
  <si>
    <t>2094000 / 2172717</t>
  </si>
  <si>
    <t>ブランド / 機器構成名(個体名) / 型式 / シリアル番号
eWareNavi Ordermade / ｵｰﾄﾗﾍﾞﾗ(LBL01) / LR4NX-FA12R-PJ / BD000061
eWareNavi Ordermade / ｵｰﾄﾗﾍﾞﾗ(LBL02) / LR4NX-FA12R-PJ / BD000062
eWareNavi Ordermade / ｵｰﾄﾗﾍﾞﾗ(LBL03) / LR4NX-FA12R-PJ / BD000063
eWareNavi Ordermade / ｵｰﾄﾗﾍﾞﾗ(LBL11) / LR4NX-FA12RPJ / HA000077
eWareNavi Ordermade / ｵｰﾄﾗﾍﾞﾗ(LBL12) / LR4NX-FA12RPJ / HA000078
eWareNavi Ordermade / ｵｰﾄﾗﾍﾞﾗ(LBL13) / LR4NX-FA12RPJ / HA000079
eWareNavi Ordermade / ｵｰﾄﾗﾍﾞﾗ(LBL14) / LR4NX-FA12RPJ / HA000080
eWareNavi Ordermade / ｵｰﾄﾗﾍﾞﾗ(LBL21) / LR4NX-FA12RPJ / HC000061</t>
  </si>
  <si>
    <t>2021020811-216-1 / 2024052217-224-1 / 2025051440-224-1 / 2025051448-224-1 / 2025051450-224-1 / 2025051452-224-1 / 2025052302-224-1 / 2025052304-224-1</t>
  </si>
  <si>
    <t>ブランド / 機器構成名(個体名) / 型式 / シリアル番号
eWareNavi Ordermade / eWareNaviｻｰﾊﾞ【親】(Express5800/R320f-E4)(WMSSV1) / N8800-222Y / 9400592
eWareNavi Ordermade / eWareNaviｻｰﾊﾞ【子】(Express5800/R320h-E4)(WMSSV2) / N8800-301Y / 2Y00541
eWareNavi Ordermade / ｻｰﾊﾞ用UPS(UPS21) / 無停電電源装置(1500VA,ﾗｯｸﾏｳﾝﾄ)N8142-101 / SJ12230111443
eWareNavi Ordermade / ｻｰﾊﾞ用UPS(UPS22) / 無停電電源装置(1500VA,ﾗｯｸﾏｳﾝﾄ)N8142-101 / SJ12230111444
eWareNavi Ordermade / eWareNavi端末(FC-E22U)(WMS01) / FC-E22U-S / 9409600
eWareNavi Ordermade / eWareNavi端末(FC-E22U)(WMS02) / FC-E22U-S / 9409599
eWareNavi Ordermade / eWareNavi端末(FC-E22U)(WMS07) / FC-E22U-S / 9409598
eWareNavi Ordermade / eWareNavi端末(FC-E29U)(WMS10) / FC-E29U-S31C42 / 2Z00345
eWareNavi Ordermade / eWareNavi端末(FC-E29U)(WMS11) / FC-E29U-S31C42 / 2Z00360
eWareNavi Ordermade / eWareNavi端末(FC-E29U)(WMS03) / FC-E29U-S31C42 / 2Z00339
eWareNavi Ordermade / eWareNavi端末(FC-E29U)(WMS04) / FC-E29U-S31C42 / 2Z00363
eWareNavi Ordermade / eWareNavi端末(FC-E29U)(WMS05) / FC-E29U-S31C42 / 2Z00378
eWareNavi Ordermade / eWareNavi端末(FC-E29U)(WMS06) / FC-E29U-S31C42 / 2Z00369
eWareNavi Ordermade / eWareNavi端末(FC-E29U)(WMS08) / FC-E29U-S31C42 / 2Z00179
eWareNavi Ordermade / eWareNavi端末(FC-E29U)(WMS09) / FC-E29U-S31C42 / 2Z00189
eWareNavi Ordermade / eWareNavi端末(FC-E29U)(WMS12) / FC-E29U-S31C42 / 3600887
eWareNavi Ordermade / MOSⅦ本体(FC-E27B)(MOS01) / FC-E27B-S / 9809450
eWareNavi Ordermade / MOSⅦ本体(FC-E22K)(MOSB001) / FC-E22K-L / 3400949
eWareNavi Ordermade / MOSⅦ本体(FC-E22K)(MOSC001) / FC-E22K-L / 3400943
eWareNavi Ordermade / MOSⅦ本体(FC-E22K)(MOSD001) / FC-E22K-L / 3400945
eWareNavi Ordermade / MOSⅦ本体(FC-E22K)(MOSE001) / FC-E22K-L / 2900383
eWareNavi Ordermade / MOSⅦ本体(FC-E22K)(MOSF001) / FC-E22K-L / 3400942
eWareNavi Ordermade / MOSⅦ本体(FC-E22K)(MOSG001) / FC-E22K-L / 3400948
eWareNavi Ordermade / MOSⅦ端末(FC-P28X)(MOS03) / FC-P28X-L1 / 9700512
eWareNavi Ordermade / MOSⅦ端末(FC-P28X)(MOS05) / FC-P28X-L1 / 9700511
eWareNavi Ordermade / MOSⅦ端末(FC-P28X)(MOS06) / FC-P28X-L1 / 9700514
eWareNavi Ordermade / MOSⅦ端末(FC-P31X)(MOSZ001) / FC-P31X-L1 / 3202040
eWareNavi Ordermade / MOSⅦ端末(FC-P31X)(MOSZ002) / FC-P31X-L1 / 2600963
eWareNavi Ordermade / VTC(NT8000)(VTCC01) / FC-E22U-S / 7603096
eWareNavi Ordermade / VTC(NT8000)(VTCC02) / FC-E22U-S / 7603095
eWareNavi Ordermade / VTC(NT8000)(VTCE001) / FC-E29U-S / 3501190
eWareNavi Ordermade / VTC(NT8000)(VTCF001) / FC-E29U-S / 3501168
eWareNavi Ordermade / VTC(NT8000)(VTCF002) / FC-E29U-S / 3501167
eWareNavi Ordermade / VTC(NT8000)(VTCG001) / FC-E29U-S / 4201853
eWareNavi Ordermade / RTC(FC-E22K)(RTCJ001) / FC-E22K-L / 4101887</t>
  </si>
  <si>
    <t>東北主管支店　東北ＲＤＣ</t>
  </si>
  <si>
    <t>04421-044-001</t>
  </si>
  <si>
    <t>ブランド / 機器構成名(個体名) / 型式 / シリアル番号
LPM / ｵｰﾄﾗﾍﾞﾗ (LR4080SR-T)【2Fﾋﾟｯｷﾝｸﾞｺﾝﾍﾞﾔ】(ABL01) / LR4080SR-TSJ / HK000100
LPM / ｵｰﾄﾗﾍﾞﾗ (LR4080SR-T)【2Fﾋﾟｯｷﾝｸﾞｺﾝﾍﾞﾔ】(ABL02) / LR4080SR-TSJ / HK000099
LPM / ｵｰﾄﾗﾍﾞﾗ (LR4080SR-T)【2Fﾋﾟｯｷﾝｸﾞｺﾝﾍﾞﾔ】(ABL03) / LR4080SR-TSJ / HG000106
LPM / ｵｰﾄﾗﾍﾞﾗ (LR4080SR-T)【2Fﾋﾟｯｷﾝｸﾞｺﾝﾍﾞﾔ】(ABL04) / LR4080SR-TSJ / HG000105
LPM / ｵｰﾄﾗﾍﾞﾗ (LR4080SR-T)【2Fﾋﾟｯｷﾝｸﾞｺﾝﾍﾞﾔ】(ABL05) / LR4080SR-TSJ / HM000061
LPM / ｵｰﾄﾗﾍﾞﾗ (LR4080SR-T)【2Fﾋﾟｯｷﾝｸﾞｺﾝﾍﾞﾔ】(ABL06) / LR4080SR-TSJ / HM000062</t>
  </si>
  <si>
    <t>ブランド / 機器構成名(個体名) / 型式 / シリアル番号
eAWC Basic / eAWC本体 (FA3100SS model 1000)(AWC001) / UD431016-01-DHT / OEZ920</t>
  </si>
  <si>
    <t>株式会社ニチレイ・ロジスティクス東北</t>
  </si>
  <si>
    <t>ケース品仕分け設備</t>
  </si>
  <si>
    <t>2018042305-216-1</t>
  </si>
  <si>
    <t>04102A153-001</t>
  </si>
  <si>
    <t>ブランド / 機器構成名(個体名) / 型式 / シリアル番号
SAM / SAM本体(FC-S35W/S4)(SAM01) / FC-S35W/S42CM0 / S720438MA</t>
  </si>
  <si>
    <t>2020121118-216-1 / 2025051515-224-1 / 2025111702-225-1</t>
  </si>
  <si>
    <t>ブランド / 機器構成名(個体名) / 型式 / シリアル番号
WareNavi7 / WareNavi7ｻｰﾊﾞ(Express5800/R320g-M4)(AWC001) / N8800-256Y / 0400138
WareNavi7 / WareNavi7端末(FC-E22U)(WAT001) / FC-E22U-S / 0312868
WareNavi7 / WareNavi7端末(FC-E22U)(WAT002) / FC-E22U-S / 0312865
WareNavi7 / WareNavi7端末(FC-E22U)(WAT003) / FC-E22U-S / 0312871
WareNavi7 / WareNavi7端末(FC-E22U)(WAT004) / FC-E22U-S / 0312869
WareNavi7 / WareNavi7端末(FC-E22U)(WAT005) / FC-E22U-S / 0312872
WareNavi7 / WareNavi7端末(FC-E22U)(WAT006) / FC-E22U-S / 0312870
WareNavi7 / WareNavi7端末(FC-E22U)(WAT007) / FC-E22U-S / 0312866
WareNavi7 / 作業表示端末(FC-E22U)(WAT008) / FC-E22U-S / 0312867
WareNavi7 / 作業表示端末(FC-E22U)(WAT009) / FC-E22U-S / 0312864
WareNavi7 / 作業表示端末(FC-E22U)(WAT010) / FC-E22U-S / 0312873
WareNavi7 / MOSⅦ(MOS01) / FC-E27B-S / 0411358</t>
  </si>
  <si>
    <t>仙台低温物流センター</t>
  </si>
  <si>
    <t>2025031315-224-1 / 2025031305-224-1 / 2025031325-224-1</t>
  </si>
  <si>
    <t>04102A170-001</t>
  </si>
  <si>
    <t>ブランド / 機器構成名(個体名) / 型式 / シリアル番号
WareNavi7 / WareNavi7本体(FC-S36W)(WN301) / FC-S36W-L / 2X03240
LPM / LPM(FC-S36W)(LPMZ301) / FC-S36W-L / 2X03241
WareNavi7 / ｹｰｽﾋﾟｯｸ端末(FC-S36W)(WATZ301) / FC-S36W-L / 2X03242
WareNavi7 / MOSⅦ本体(FC-E27B)(MOSA001) / FC-E27B-SR / 2800371
WareNavi7 / MOSⅦ端末(FC-P31X)(MOTA001) / FC-P31X-L1 / 2600960</t>
  </si>
  <si>
    <t>ブランド / 機器構成名(個体名) / 型式 / シリアル番号
WareNavi7 / ﾗﾍﾞﾙﾌﾟﾘﾝﾀ(LPTZ301) / CL4NX-J08 Plus / FK102924
LPM / ｵｰﾄﾗﾍﾞﾗ(LBRZ001) / LR4081SR-TCJ / GH000108</t>
  </si>
  <si>
    <t>ブランド / 機器構成名(個体名) / 型式 / シリアル番号
WareNavi4 Framework / WareNavi4本体 (FC-S36W)(WMS001) / FC-S36W-143CV7 / 2Y00923
WareNavi4 Framework / WareNavi4端末 (FC-E29U)(WAT001) / FC-E29U-S31C42 / 3400662
WareNavi4 Framework / WareNavi4端末 (FC-E29U)(WAT002) / FC-E29U-S31C42 / 3400665</t>
  </si>
  <si>
    <t>2017052403-221-1</t>
  </si>
  <si>
    <t>ブランド / 機器構成名(個体名) / 型式 / シリアル番号
eWareNavi Ordermade / AGC MOS(FC-E22U)(MOS01) / FC-E22U-S / 7302470
eWareNavi Ordermade / AGC MOS(FC-E22U)(MOS03) / FC-E22U-S / 7302474
eWareNavi Ordermade / 統括MOS(FC-E22U)(MOS02) / FC-E22U-S / 7302481
eWareNavi Ordermade / 統括MOS(FC-E22U)(MOS04) / FC-E22U-S / 7302483</t>
  </si>
  <si>
    <t>本社倉庫</t>
  </si>
  <si>
    <t>【システム点検】※サポート対象外OSの為、診断対象外。　/【契約情報：製品倉庫】</t>
  </si>
  <si>
    <t>ブランド / 機器構成名(個体名) / 型式 / シリアル番号
WareNavi Framework(冷凍庫) / WareNavi本体(FC-S36W)(WMS001) / FC-S36W-143CV7 / 2700683
WareNavi Framework(冷凍庫) / WareNavi端末(FC-E29U)(WAT001) / FC-E29U-S31C42 / 2Z00159
WareNavi Framework(冷凍庫) / WareNavi端末(FC-E29U)(WAT002) / FC-E29U-S31C42 / 2Z00157
WareNavi Framework(冷凍庫) / WareNavi端末(FC-E22U)(WAT003) / FC-E22U-S / 0513248</t>
  </si>
  <si>
    <t>2024091130-224-1 / 2024091140-224-1</t>
  </si>
  <si>
    <t>【システム点検】※サポート対象外OSの為、診断対象外。　/【契約情報：冷凍倉庫】</t>
  </si>
  <si>
    <t>ブランド / 機器構成名(個体名) / 型式 / シリアル番号
WareNavi Framework(凍結庫) / WareNavi本体(FC-S36W)(WMS002) / FC-S36W-143CV7 / 2700680
WareNavi Framework(凍結庫) / WareNavi端末(FC-E29U)(WAT011) / FC-E29U-S31C42 / 2Z00158</t>
  </si>
  <si>
    <t>ブランド / 機器構成名(個体名) / 型式 / シリアル番号
AWC4 Framework / AWC4本体(HF-W6560)(AWC001) / HJ-6560-WFJB/7R / 4530231-7
AWC4 Framework / AWC4端末(HF-W2050)(WAT001) / HJ-2050-WEMA/DF03 / 8056950-3</t>
  </si>
  <si>
    <t>ブランド / 機器構成名(個体名) / 型式 / シリアル番号
eye-navi【Aライン】 / ﾗﾍﾞﾙﾌﾟﾘﾝﾀ（M-48Pro8）(LPR01) / M-48Pro8 / BC101928
eye-navi【Aライン】 / ﾗﾍﾞﾙﾌﾟﾘﾝﾀ（M-48Pro8）(LPR02) / M-48Pro8 / BC101931
eye-navi【Bライン】 / ﾗﾍﾞﾙﾌﾟﾘﾝﾀ（M-48Pro8）(LPR04) / M-48Pro8 / BD102376
eye-navi【Bライン】 / ﾗﾍﾞﾙﾌﾟﾘﾝﾀ（M-48Pro8）(LPR05) / M-48Pro8 / BD102379</t>
  </si>
  <si>
    <t>ブランド / 機器構成名(個体名) / 型式 / シリアル番号
eAWC Ordermade / eAWC本体(HF-W6555)(EAWC001) / HJ-6555-WEJD/7R / 4522456-1</t>
  </si>
  <si>
    <t>東京エレクトロン宮城株式会社</t>
  </si>
  <si>
    <t>受入倉庫</t>
  </si>
  <si>
    <t>FA167</t>
  </si>
  <si>
    <t>04421A103-001</t>
  </si>
  <si>
    <t>ブランド / 機器構成名(個体名) / 型式 / シリアル番号
WareNavi7 / WareNavi7ｻｰﾊﾞ (FA3100SS model 1000)(WN7-001) / UD431016-03-DHT / OEZ688</t>
  </si>
  <si>
    <t>ブランド / 機器構成名(個体名) / 型式 / シリアル番号
AWC7 Framework / AWC7本体(HF-W6555)(AWC001) / HJ-6555-WEJD/DF05 / 4238693-1</t>
  </si>
  <si>
    <t>ブランド / 機器構成名(個体名) / 型式 / シリアル番号
eAWC Framework / eAWC本体(FC-S36W)(AWC001) / FC-S36W-143CV7 / 2Z00958
eAWC Framework / eAWC本体予備機(FC-S36W)(AWC001予備) / FC-S36W-143CV7 / 3601003
eAWC Framework / eAWC端末(FC-E29U)(WAT001) / FC-E29U-S31C42 / 3601000</t>
  </si>
  <si>
    <t>株式会社TIFロジスティクス</t>
  </si>
  <si>
    <t>保管・配送システム</t>
  </si>
  <si>
    <t>2020012005-216-1</t>
  </si>
  <si>
    <t>12103A106-001</t>
  </si>
  <si>
    <t>ブランド / 機器構成名(個体名) / 型式 / シリアル番号
AWC4 Framework / AWC4本体(FC-S35W/S7)(AWC301) / FC-S35W/S72CL9 / S460739MA</t>
  </si>
  <si>
    <t>ジュピターショップチャンネル株式会社</t>
  </si>
  <si>
    <t>南船橋センター</t>
  </si>
  <si>
    <t>12204A151-001</t>
  </si>
  <si>
    <t>ブランド / 機器構成名(個体名) / 型式 / シリアル番号
LPM / ｵｰﾄﾗﾍﾞﾗ(LR4080SR-TSJ)() / LR4080SR-TSJ / FE000059
LPM / ｵｰﾄﾗﾍﾞﾗ(LR4080SR-TSJ)() / LR4080SR-TSJ / FE000058
LPM / ｵｰﾄﾗﾍﾞﾗ(LR4080SR-TSJ)() / LR4080SR-TSJ / FA000035
LPM / ｵｰﾄﾗﾍﾞﾗ(LR4081SR-TSJ)() / LR4081SR-TSJ / FD000060
LPM / ｵｰﾄﾗﾍﾞﾗ(LR4081SR-TSJ)() / LR4081SR-TSJ / FD000059
LPM / ｵｰﾄﾗﾍﾞﾗ(LR4081SR-TSJ)() / LR4081SR-TSJ / FD000044
LPM / ｵｰﾄﾗﾍﾞﾗ(LR4081SR-TSJ)() / LR4081SR-TSJ / FD000043
LPM / ｵｰﾄﾗﾍﾞﾗ(LR4081SR-TSJ)() / LR4081SR-TSJ / FD000042
LPM / ｵｰﾄﾗﾍﾞﾗ(LR4120SR-TPJ)() / LR4120SR-TPJ / FA000031
LPM / ｵｰﾄﾗﾍﾞﾗ(LR4120SR-TPJ)() / LR4120SR-TPJ / FA000032
LPM / ｵｰﾄﾗﾍﾞﾗ(LR4120SR-TPJ)() / LR4120SR-TPJ / FA000033
LPM / ｵｰﾄﾗﾍﾞﾗ(LR4120SR-TPJ)() / LR4120SR-TPJ / FA000034
LPM / ｵｰﾄﾗﾍﾞﾗ(LR4120SR-TPJ)() / LR4120SR-TPJ / FE000060
LPM / ｵｰﾄﾗﾍﾞﾗ(LR4120SR-TPJ)() / LR4120SR-TPJ / FE000061
LPM / ｵｰﾄﾗﾍﾞﾗ(LR4121SR-TPJ)() / LR4121SR-TPJ / FD000053
LPM / ｵｰﾄﾗﾍﾞﾗ(LR4121SR-TPJ)() / LR4121SR-TPJ / FD000054
LPM / ｵｰﾄﾗﾍﾞﾗ(LR4121SR-TPJ)() / LR4121SR-TPJ / EJ000068</t>
  </si>
  <si>
    <t>セルジャパン株式会社</t>
  </si>
  <si>
    <t>1812-001</t>
  </si>
  <si>
    <t>12106-058-001</t>
  </si>
  <si>
    <t>ブランド / 機器構成名(個体名) / 型式 / シリアル番号
AWC-100N / AWC本体（HF-W6545）(AWC001) / HJ-65459EWJD/DF01 / 4232160-1</t>
  </si>
  <si>
    <t>危険物格納ラックビル</t>
  </si>
  <si>
    <t>1901-002</t>
  </si>
  <si>
    <t>12229-014-001</t>
  </si>
  <si>
    <t>ブランド / 機器構成名(個体名) / 型式 / シリアル番号
AWC4 Framework / AWC4本体 (HF-W6555)(AWC001) / HJ-6555-WBJD/DF01 / 4233575-1</t>
  </si>
  <si>
    <t>2022100604-221-1 / 2022100606-221-1 / 2022100608-221-1 / 2022100610-221-1</t>
  </si>
  <si>
    <t>ブランド / 機器構成名(個体名) / 型式 / シリアル番号
WareNavi7 / ﾏﾃﾊﾝｻｰﾊﾞ(Express5800/R120h-2M)(APLSV01) / N8100-2836Y / JPN116002H
WareNavi7 / ﾏﾃﾊﾝｻｰﾊﾞ(Express5800/R120h-2M)(APLSV01) / 無停電電源装置(3000VA,ﾗｯｸﾏｳﾝﾄ)N8142-106 / 
WareNavi7 / ﾏﾃﾊﾝｻｰﾊﾞ予備機(Express5800/R120h-2M)(APLSV02) / N8100-2836Y / JPN116002G
WareNavi7 / ﾏﾃﾊﾝｻｰﾊﾞ予備機(Express5800/R120h-2M)(APLSV02) / 無停電電源装置(3000VA,ﾗｯｸﾏｳﾝﾄ)N8142-106 / 
WareNavi7 / QPSﾏﾈｰｼﾞｬ(FC-S36W)(QPS001) / FC-S36W-143CV7 / 1300336
WareNavi7 / QPSﾏﾈｰｼﾞｬ(FC-S36W)(QPS002) / FC-S36W-143CV7 / 1300338
WareNavi7 / QPSﾏﾈｰｼﾞｬ(FC-S36W)(QPS003) / FC-S36W-143CV7 / 1300334
WareNavi7 / QPSﾏﾈｰｼﾞｬ(FC-S36W)(QPS004) / FC-S36W-143CV7 / 1300337
WareNavi7 / QPSﾏﾈｰｼﾞｬ(FC-S36W)(QPS005) / FC-S36W-143CV7 / 1300339
WareNavi7 / QPSﾏﾈｰｼﾞｬ(FC-S36W)(QPS006) / FC-S36W-143CV7 / 1300335
SAM / 行変換端末(FC-E22U)(WATZ001) / FC-E22U-S / 1215628
SAM / 行変換端末(FC-E22U)(WATZ002) / FC-E22U-S / 1215629
SAM / 行変換端末(FC-E22U)(WATZ003) / FC-E22U-S / 1215627
SAM / 行変換端末(FC-E22U)(WATZ004) / FC-E22U-S / 1215656
SAM / 行変換端末(FC-E22U)(WATZ005) / FC-E22U-S / 1215663
SAM / 行変換端末(FC-E22U)(WATZ006) / FC-E22U-S / 1215626
SAM / 行変換端末(FC-E22U)(WATZ007) / FC-E22U-S / 1215638
SAM / 行変換端末(FC-E22U)(WATZ008) / FC-E22U-S / 1215636
WareNavi7 / ﾘｼﾞｪｸﾄ端末(FC-E22U)(WATZ009) / FC-E22U-S / 1215630
SAM / ﾘｼﾞｪｸﾄ端末(FC-E22U)(WATZ010) / FC-E22U-S / 1215631
SAM / ﾘｼﾞｪｸﾄ端末(FC-E22U)(WATZ011) / FC-E22U-S / 1215662
SAM / ﾘｼﾞｪｸﾄ端末(FC-E22U)(WATZ012) / FC-E22U-S / 1215634
SAM / ﾘｼﾞｪｸﾄ端末(FC-E22U)(WATZ013) / FC-E22U-S / 1215632
SAM / ﾘｼﾞｪｸﾄ端末(FC-E22U)(WATZ014) / FC-E22U-S / 1215654
SAM / ﾘｼﾞｪｸﾄ端末(FC-E22U)(WATZ015) / FC-E22U-S / 1215661
SAM / ﾘｼﾞｪｸﾄ端末(FC-E22U)(WATZ016) / FC-E22U-S / 1215659
SAM / ﾘｼﾞｪｸﾄ端末(FC-E22U)(WATZ017) / FC-E22U-S / 1215639
WareNavi7 / MOSⅦ本体(FC-E27B)(MOSZ301) / FC-E27B-S / 1213374
WareNavi7 / MOSⅦ本体(FC-E27B)(MOSZ302) / FC-E27B-S / 1213375
WareNavi7 / MOSⅦ本体(FC-E27B)(MOSZ303) / FC-E27B-S / 1213372
WareNavi7 / MOSⅦ本体(FC-E27B)(MOSZ304) / FC-E27B-S / 1213373
WareNavi7 / MOSⅦ本体(FC-E27B)(MOSZ305) / FC-E27B-S / 1213371
WareNavi7 / MOSⅦ端末(FC-P31X)(MOTZ201) / FC-P31X-L1 / 1200306
WareNavi7 / MOSⅦ端末(FC-P31X)(MOTZ306) / FC-P31X-L1 / 1200307
WareNavi7 / MOSⅦ端末(FC-P31X)(MOTZ307) / FC-P31X-L1 / 1200304
WareNavi7 / MOSⅦ端末(FC-P31X)(MOTZ308) / FC-P31X-L1 / 1200303
WareNavi7 / MOSⅦ端末(FC-P31X)(MOTZ309) / FC-P31X-L1 / 1200305</t>
  </si>
  <si>
    <t>ブランド / 機器構成名(個体名) / 型式 / シリアル番号
AWC7 Framework / AWC7本体(FC-S36W)(AWC001) / FC-S36W-143CV7 / 0400170
AWC7 Framework / AWC7端末(FC-E22U)(WAT001) / FC-E22U-S / 0312878</t>
  </si>
  <si>
    <t>ブランド / 機器構成名(個体名) / 型式 / シリアル番号
LPM / ｵｰﾄﾗﾍﾞﾗ (LR4121SR)(ALR01) / LR4121SR-TSB / 0014A114
LPM / ｵｰﾄﾗﾍﾞﾗ (LR4121SR)(ALR02) / LR4121SR-TSB / 0014A116
LPM / ｵｰﾄﾗﾍﾞﾗ (LR4121SR)(ALR03) / LR4121SR-TSB / 0014A115
LPM / ｵｰﾄﾗﾍﾞﾗ (LR4121SR)(ALR予備) / LR4121SR-TSB / 0014A117</t>
  </si>
  <si>
    <t>ブランド / 機器構成名(個体名) / 型式 / シリアル番号
AWC7 Framework / AWC7本体(HF-W6555)(AWC001) / HJ-6555-WEJD/DF05 / 4237862-6
AWC7 Framework / AWC7本体予備機(HF-W6555)(WAT001) / HJ-6555-WEJD/DF05 / 4237862-7</t>
  </si>
  <si>
    <t>ブランド / 機器構成名(個体名) / 型式 / シリアル番号
AWC4 Framework / MOSⅦ(HF-W2045)(MOS01) / HJ-2045-WEJA/7R / 4234630-1</t>
  </si>
  <si>
    <t>ブランド / 機器構成名(個体名) / 型式 / シリアル番号
AWC4 Framework / AWC4本体(FC-S35W/S4)(WN7-001) / FC-S35W/S42CM0 / S780256MA
AWC4 Framework / AWC4端末(FC-E22U)(WAT001) / FC-E22U-S / 88070131
AWC4 Framework / AWC4端末(FC-E22U)(WAT002) / FC-E22U-S / 88070186
AWC4 Framework / AWC4端末(FC-E22U)(WAT003) / FC-E22U-S / 88070164</t>
  </si>
  <si>
    <t>ブランド / 機器構成名(個体名) / 型式 / シリアル番号
LPM / ｵｰﾄﾗﾍﾞﾗ(LBRZ401) / NLR4120SR-TCJ / GH000127
LPM / ｵｰﾄﾗﾍﾞﾗ(LBRZ402) / NLR4120SR-TCJ / GH000128
LPM / ｵｰﾄﾗﾍﾞﾗ(LBRZ403) / NLR4120SR-TCJ / GH000129
LPM / ｵｰﾄﾗﾍﾞﾗ(LBRZ404) / NLR4120SR-TCJ / GH000130
LPM / ｵｰﾄﾗﾍﾞﾗ(LBRZ405) / NLR4120SR-TCJ / GH000131
LPM / ｵｰﾄﾗﾍﾞﾗ(LBRZ406) / NLR4120SR-TCJ / GH000137</t>
  </si>
  <si>
    <t>ブランド / 機器構成名(個体名) / 型式 / シリアル番号
LPM / LPMｻｰﾊﾞ (FC-S35W)(LPM01) / FC-S35W/S42CM0 / S860127MA</t>
  </si>
  <si>
    <t>ブランド / 機器構成名(個体名) / 型式 / シリアル番号
DAM / DAM本体(FC-S36W)(DAM) / FC-S36W-113CW5 / 4200156</t>
  </si>
  <si>
    <t>岩城製薬佐倉工場株式会社</t>
  </si>
  <si>
    <t>佐倉工場</t>
  </si>
  <si>
    <t>2025031805-224-1</t>
  </si>
  <si>
    <t>12212-082-004</t>
  </si>
  <si>
    <t>ブランド / 機器構成名(個体名) / 型式 / シリアル番号
AWC7 Ordermade / 9Y-MOS(FC-D28U)(9Y-MOS) / FC-D28U-L / 3Z00718</t>
  </si>
  <si>
    <t>東習志野センター</t>
  </si>
  <si>
    <t>1711-002</t>
  </si>
  <si>
    <t>12216A116-001</t>
  </si>
  <si>
    <t>ブランド / 機器構成名(個体名) / 型式 / シリアル番号
WareNavi7 / MOSⅦ本体 (HF-W2045)(MOSA01) / HJ-2045-WEJA/7R / 4231111-1
WareNavi7 / MOSⅦ端末 (HF-W2045)(MOSA02) / HJ-2045-WEJA/7R / 4231111-2
WareNavi7 / MOSⅦ端末 (HF-W2045)(MOSA03) / HJ-2045-WEJA/7R / 4231111-3</t>
  </si>
  <si>
    <t>2019051319-216-1</t>
  </si>
  <si>
    <t>ブランド / 機器構成名(個体名) / 型式 / シリアル番号
WareNavi7 / WareNavi本体 （FC-S35W/S4）(WARENAVI001) / FC-S35W/S42CM0 / S720442MA
WareNavi7 / WareNavi本体予備機 （FC-S35W/S4）(WARENAVI001予備) / FC-S35W/S42CM0 / S720443MA</t>
  </si>
  <si>
    <t>CAB保管立体自動倉庫</t>
  </si>
  <si>
    <t>2018071205-216-1</t>
  </si>
  <si>
    <t>12219-053-001</t>
  </si>
  <si>
    <t>ブランド / 機器構成名(個体名) / 型式 / シリアル番号
WareNavi7 / WareNavi7本体(FC-S35W/S4)(WN7-001) / FC-S35W/S42CM0 / S780438MA</t>
  </si>
  <si>
    <t>2023061354-224-1 / 2023061356-224-1 / 2023061358-224-1</t>
  </si>
  <si>
    <t>ブランド / 機器構成名(個体名) / 型式 / シリアル番号
WareNavi7 / WareNavi7ｻｰﾊﾞ(Express5800/R320h-M4)(WNVZ001) / N8800-302Y / 2600171
WareNavi7 / Express用UPS(UPSWMS01) / 無停電電源装置(1500VA,ﾗｯｸﾏｳﾝﾄ)N8142-101 / J12203111781
WareNavi7 / Express用UPS(UPSWMS02) / 無停電電源装置(1500VA,ﾗｯｸﾏｳﾝﾄ)N8142-101 / J12203111783
WareNavi7 / WareNavi7端末(FC-E22U)(WATZ01) / FC-E22U-S / 2718033
WareNavi7 / MOSⅦ本体(MOSZ101) / FC-E27B-SR / 2600290
WareNavi7 / MOSⅦ本体(MOSZ102) / FC-E27B-SR / 2600301
WareNavi7 / MOSⅦ端末(MOTZ301) / FC-P31X-L1 / 2200810
WareNavi7 / MOSⅦ端末(MOTZ401) / FC-P31X-L1 / 2200811</t>
  </si>
  <si>
    <t>新狭山物流センター</t>
  </si>
  <si>
    <t>1904-001</t>
  </si>
  <si>
    <t>11215-195-001</t>
  </si>
  <si>
    <t>ブランド / 機器構成名(個体名) / 型式 / シリアル番号
AWC-800U / AWCｻｰﾊﾞ (EP8000 S814)(AWC01) / THE-C828641A630B / 57597</t>
  </si>
  <si>
    <t>2017060802-221-1</t>
  </si>
  <si>
    <t>ブランド / 機器構成名(個体名) / 型式 / シリアル番号
AWC-800U / AWC端末 (FC-E16U/S7)(YOSI01) / FC-E16U/S71R5Z / S4X1018MA
AWC-800U / AWC端末 (FC-E16U/S7)(YOSI02) / FC-E16U/S71R5Z / S4X1021MA
AWC-800U / AWC端末 (FC-E16U/S7)(YOSI03) / FC-E16U/S71R5Z / S4X1020MA
AWC-800U / AWC端末 (FC-E16U/S7)(YOSI04) / FC-E16U/S71R5Z / S4X1019MA
AWC-800U / AWC端末 (FC-E16U/S7)(YOSI05) / FC-E16U/S71R5Z / S4X1017MA
DPM / DPM (FC-E16U/S7)(DPM001) / FC-E16U/S72W6Z / S4X1029MA</t>
  </si>
  <si>
    <t>ブランド / 機器構成名(個体名) / 型式 / シリアル番号
AWC-800U / ﾗﾍﾞﾙﾌﾟﾘﾝﾀ (3F一般物/3F危険物前)(LBLK10) / CL4NX-J08 / BB101270
AWC-800U / ﾗﾍﾞﾙﾌﾟﾘﾝﾀ (3F一般物/3F危険物前)(LBLI11) / CL4NX-J08 / BB101253
AWC-800U / ﾗﾍﾞﾙﾌﾟﾘﾝﾀ (3F一般物/3F危険物前)(LBLI12) / CL4NX-J08 / BB101276
DPM / ﾗﾍﾞﾙﾌﾟﾘﾝﾀ (3F一般物/3F危険物前)(LBLI13) / CL4NX-J08 / BB101141
AWC-800U / ﾗﾍﾞﾙﾌﾟﾘﾝﾀ (3F一般物/3F危険物前)(LBLI14) / CL4NX-J08 / BB101140
AWC-800U / ﾗﾍﾞﾙﾌﾟﾘﾝﾀ (1F入出庫ｺﾝﾍﾞﾔ/4F自走台車)(LBL10) / MT400e / 9E000714
AWC-800U / ﾗﾍﾞﾙﾌﾟﾘﾝﾀ (1F入出庫ｺﾝﾍﾞﾔ/4F自走台車)(LBL11) / MT400e / 9E000707</t>
  </si>
  <si>
    <t>2048436-1</t>
  </si>
  <si>
    <t>ブランド / 機器構成名(個体名) / 型式 / シリアル番号
LPM / ｵｰﾄﾗﾍﾞﾗ(ALBP01) / LR4081SR-TSB / 3124A658
LPM / ｵｰﾄﾗﾍﾞﾗ(ALBP02) / LR4081SR-TSB / 3124A659
LPM / ｵｰﾄﾗﾍﾞﾗ(ALBP03) / LR4081SR-TSB / 3124A660
LPM / ｵｰﾄﾗﾍﾞﾗ(ALBP04) / LR4081SR-TSB / 3124A661</t>
  </si>
  <si>
    <t>2018071305-216-1 / 2018071706-216-1 / 2021120802-221-1</t>
  </si>
  <si>
    <t>ブランド / 機器構成名(個体名) / 型式 / シリアル番号
eAWC Framework / eAWC本体（FC-S35W/S7）(AWC004) / FC-S35W/S72CL9 / S6Y0224MA
eAWC Framework / eAWC端末（FC-E22U-S）(WAT001) / FC-E22U-S / 6Z01763
eAWC Framework / eAWC端末（FC-E22U-S）(WAT002) / FC-E22U-S / 6Z01771
eAWC Framework / eAWC端末（FC-E22U-S）(WAT003) / FC-E22U-S / 6Z01764
eAWC Framework / eAWC端末（FC-E22U-S）(WAT004) / FC-E22U-S / 6Z01755
eAWC Framework / AGC MOS(MOS01) / FC-E22U-S / 7102061</t>
  </si>
  <si>
    <t>2022030908-221-1 / 2022030910-221-1</t>
  </si>
  <si>
    <t>ブランド / 機器構成名(個体名) / 型式 / シリアル番号
eAWC Framework Custom / eAWC本体(FC-S36W)(SAG1S015) / FC-S36W-143CV7 / 1600398
eAWC Framework Custom / eAWC端末(FC-E22U)(WAT001) / FC-E22U-S / 1415945</t>
  </si>
  <si>
    <t>株式会社ビルディング・ブックセンター</t>
  </si>
  <si>
    <t>第一倉庫　自動倉庫システム</t>
  </si>
  <si>
    <t>CE451607</t>
  </si>
  <si>
    <t>11324-007-001</t>
  </si>
  <si>
    <t>ブランド / 機器構成名(個体名) / 型式 / シリアル番号
AWC-800U / AWCｻｰﾊﾞ(SPARC M10-1)(AWC03) / SPMAKAA1EF / PZ31911004</t>
  </si>
  <si>
    <t>FA165</t>
  </si>
  <si>
    <t>ブランド / 機器構成名(個体名) / 型式 / シリアル番号
AWC-800U / AWC端末(FA2100SS model 400)(WAT000) / UV4A414-07-DHT / OF0333
AWC-800U / AWC端末(FA2100SS model 400)(WAT001) / UV4A414-07-DHT / OF0332
AWC-800U / AWC端末(FA2100SS model 400)(WAT002) / UV4A414-07-DHT / OF0328
AWC-800U / AWC端末(FA2100SS model 400)(WAT003) / UV4A414-07-DHT / OF0330</t>
  </si>
  <si>
    <t>ハスクバーナ・ゼノア株式会社</t>
  </si>
  <si>
    <t>工務倉庫(KU)</t>
  </si>
  <si>
    <t>1802-007</t>
  </si>
  <si>
    <t>11201-471-002</t>
  </si>
  <si>
    <t>●上位　/【契約情報：WareNavi4】</t>
  </si>
  <si>
    <t>ブランド / 機器構成名(個体名) / 型式 / シリアル番号
WareNavi4 Framework / WareNavi4本体 (HF-W7540)(WARENAVI001) / HJ-75407ESJD/7R / 4228804-1</t>
  </si>
  <si>
    <t>鈴与株式会社</t>
  </si>
  <si>
    <t>ＭＦＬＰプロロジスパーク川越</t>
  </si>
  <si>
    <t>ロフト向け物流センター</t>
  </si>
  <si>
    <t>2025041510-224-1</t>
  </si>
  <si>
    <t>11201A178-001</t>
  </si>
  <si>
    <t>ブランド / 機器構成名(個体名) / 型式 / シリアル番号
WareNavi7 / DBｻｰﾊﾞ (Express5800/R120h-2E)(DBSV01) / N8100-2781Y / JPN0144010
WareNavi7 / DBｻｰﾊﾞ (Express5800/R120h-2E)(DBSV02) / N8100-2781Y / JPN0144011
WareNavi7 / APｻｰﾊﾞ (Express5800/R120h-2M)(APLSV01) / N8100-2775Y / JPN0144012
WareNavi7 / APｻｰﾊﾞ (Express5800/R120h-2M)(APLSV02) / N8100-2775Y / JPN014400Y</t>
  </si>
  <si>
    <t>ブランド / 機器構成名(個体名) / 型式 / シリアル番号
LPM / ｵｰﾄﾗﾍﾞﾗ(LR4NX-FA12RPJ)(AL001) / LR4NX-FA12RPJ / EA000036
LPM / ｵｰﾄﾗﾍﾞﾗ(LR4NX-FA12RPJ)(AL002) / LR4NX-FA12RPJ / EA000037
LPM / ｵｰﾄﾗﾍﾞﾗ(LR4NX-FA08LPJ)(AL003) / LR4NX-FA08LPJ / DM000047
LPM / ｵｰﾄﾗﾍﾞﾗ(LR4NX-FA08RPJ)(AL004) / LR4NX-FA08RPJ / EA000035</t>
  </si>
  <si>
    <t>2021121602-221-1 / 2021121604-221-1 / 2021121606-221-1 / 2021121608-221-1</t>
  </si>
  <si>
    <t>ブランド / 機器構成名(個体名) / 型式 / シリアル番号
WareNavi7 / WareNavi7本体 (FC-S36W)(WN7-001) / FC-S36W-143CV7 / 1300348
WareNavi7 / WareNavi7端末 (FC-E22U)(WAT001) / FC-E22U-S / 1315696
WareNavi7 / WareNavi7端末 (FC-E22U)(WAT002) / FC-E22U-S / 1315694
WareNavi7 / WareNavi7端末 (FC-E22U)(WAT003) / FC-E22U-S / 1315692
WareNavi7 / MOSⅦ本体 (FC-E27B)(MOSA001) / FC-E27B-S / 1513833
WareNavi7 / VTC(NT8000)(VTC01) / FC-E22U-S / 1516096
WareNavi7 / VTC(NT8000)(VTC02) / FC-E22U-S / 1516097</t>
  </si>
  <si>
    <t>ブランド / 機器構成名(個体名) / 型式 / シリアル番号
AWC7 Framework / AWC7本体(FC-S36W)(AWC001) / FC-S36W-143CV7 / 2900839</t>
  </si>
  <si>
    <t>ブランド / 機器構成名(個体名) / 型式 / シリアル番号
AWC7 Framework / AWC7本体 (FC-S36W)(AWC001) / FC-S36W-143CV7 / 3Y01046</t>
  </si>
  <si>
    <t>2022070624-221-1 / 2025031902-224-1</t>
  </si>
  <si>
    <t>ブランド / 機器構成名(個体名) / 型式 / シリアル番号
AWC4 Framework / AWC4本体 （FC-S35W/S7）(AWC001) / FC-S35W/S72CL9 / S6Y0226MA
AWC4 Framework / AWC4端末 （FC-E22U-S）(WAT001) / FC-E22U-S / 7101911</t>
  </si>
  <si>
    <t>2024031423-224-1 / 2024031425-224-1</t>
  </si>
  <si>
    <t>ブランド / 機器構成名(個体名) / 型式 / シリアル番号
eAWC Framework / eAWC本体(FC-S36W)(EAWC001) / FC-S36W-143CV7 / 3Y01047
eAWC Framework / eAWC端末【1階入出庫場】(FC-E22U)(WAT001) / FC-E22U-S / 8907340
eAWC Framework / eAWC端末【3階入出庫場】(FC-E22U)(WAT002) / FC-E22U-S / 8907344</t>
  </si>
  <si>
    <t>トーヨーケム株式会社</t>
  </si>
  <si>
    <t>川越製造所</t>
  </si>
  <si>
    <t>M14棟 危険物自動倉庫</t>
  </si>
  <si>
    <t>2018070906-216-1</t>
  </si>
  <si>
    <t>11201A155-001</t>
  </si>
  <si>
    <t>ブランド / 機器構成名(個体名) / 型式 / シリアル番号
WareNavi7 / WareNavi7本体 （FC-S35W/S4）(WN01) / FC-S35W/S42CM0 / S620590MA</t>
  </si>
  <si>
    <t>2021031205-216-1</t>
  </si>
  <si>
    <t>ブランド / 機器構成名(個体名) / 型式 / シリアル番号
WareNavi7 / MOSⅦ(FC-E27B)(MOS01) / FC-E27B-S / 0812035</t>
  </si>
  <si>
    <t>ブランド / 機器構成名(個体名) / 型式 / シリアル番号
WareNavi7 / WCSｻｰﾊﾞ(HF-W7560)(WCS01) / HJ-7560-SEJD/7R / 4530424-1</t>
  </si>
  <si>
    <t>2020061008-216-1 / 2024052213-224-1</t>
  </si>
  <si>
    <t>ブランド / 機器構成名(個体名) / 型式 / シリアル番号
WareNavi7 / DBｻｰﾊﾞ(Express5800/R120h-2M)(IADB01) / N8100-2562Y / JPN917404N
WareNavi7 / DBｻｰﾊﾞ(Express5800/R120h-2M)(IADB02) / N8100-2562Y / JPN917404M
WareNavi7 / Appｻｰﾊﾞ(Express5800/R120h-2M)(IAAP01) / N8100-2562Y / JPN917404R
WareNavi7 / MOSｻｰﾊﾞ(Express5800/R120h-2M)(IAAP02) / N8100-2562Y / JPN917404Q
SAM / ｿｰﾀ管理端末(FC-E22U)(WATZ126) / FC-E22U-S / 9208908
SAM / ｿｰﾀｼｭｰﾄ作業端末(FC-E22U)(WATZ116) / FC-E22U-S / 9208897</t>
  </si>
  <si>
    <t>ブランド / 機器構成名(個体名) / 型式 / シリアル番号
LPM / ｵｰﾄﾗﾍﾞﾗ(LR4120SR-TPJ)(AL01) / LR4120SR-TPJ / DB000001</t>
  </si>
  <si>
    <t>ブランド / 機器構成名(個体名) / 型式 / シリアル番号
AWC7 Framework / AWC7本体(HF-W6555)(AWC001) / HJ-6555-WEJD/DF05 / 4236982-1</t>
  </si>
  <si>
    <t>ブランド / 機器構成名(個体名) / 型式 / シリアル番号
AWC7 Framework / AWC7本体(HF-W6555)(AWC002) / HJ-6555-WEJD/DF05 / 4240138-5</t>
  </si>
  <si>
    <t>ブランド / 機器構成名(個体名) / 型式 / シリアル番号
LPM / ｵｰﾄﾗﾍﾞﾗ(LBRZ102) / LR4080SR-TSJ / JB000061
LPM / ｵｰﾄﾗﾍﾞﾗ(LBRZ103) / LR4080SR-TSJ / JB000062
LPM / ｵｰﾄﾗﾍﾞﾗ(LBRZ104) / LR4080SR-TSJ / JB000063
LPM / ｵｰﾄﾗﾍﾞﾗ(LBRZ105) / LR4080SR-TSJ / JB000064
LPM / ｵｰﾄﾗﾍﾞﾗ(LBRZ108) / LR4080SR-TSJ / HM000088
LPM / ｵｰﾄﾗﾍﾞﾗ(LBRZ109) / LR4080SR-TSJ / HM000089
LPM / ｵｰﾄﾗﾍﾞﾗ(LBRZ112) / LR4080SR-TSJ / HM000090</t>
  </si>
  <si>
    <t>粉掛け品保管自動倉庫計画</t>
  </si>
  <si>
    <t>ブランド / 機器構成名(個体名) / 型式 / シリアル番号
AWC7 Framework / AWC7本体(FC-S36W)(AWC001) / FC-S36W-143CV7 / 4501181</t>
  </si>
  <si>
    <t>【システム点検】※周辺機器の為、診断対象外。　/【契約情報：ﾗﾍﾞﾙﾌﾟﾘﾝﾀのみ】</t>
  </si>
  <si>
    <t>ブランド / 機器構成名(個体名) / 型式 / シリアル番号
ﾏﾃﾊﾝｻｰﾊﾞ / ﾗﾍﾞﾙﾌﾟﾘﾝﾀ(ｶｯﾀ付,標準仕様)(PR01) / CL4NX-J08 / CA101330
ﾏﾃﾊﾝｻｰﾊﾞ / ﾗﾍﾞﾙﾌﾟﾘﾝﾀ(ｶｯﾀ付,標準仕様)(PR02) / CL4NX-J08 / CA101329
ﾏﾃﾊﾝｻｰﾊﾞ / ﾗﾍﾞﾙﾌﾟﾘﾝﾀ(ｶｯﾀ付,標準仕様)(PR03) / CL4NX-J08 / CA101353
ﾏﾃﾊﾝｻｰﾊﾞ / ﾗﾍﾞﾙﾌﾟﾘﾝﾀ(ｶｯﾀ付,標準仕様)(PR04) / CL4NX-J08 / CA101186
ﾏﾃﾊﾝｻｰﾊﾞ / ﾗﾍﾞﾙﾌﾟﾘﾝﾀ(ｶｯﾀ付,標準仕様)(PR05) / CL4NX-J08 / CA101349
DPM / ﾗﾍﾞﾙﾌﾟﾘﾝﾀ(剥離付,標準仕様)(予備機) / CL4NX-J08 / BK101959</t>
  </si>
  <si>
    <t>ブランド / 機器構成名(個体名) / 型式 / シリアル番号
AWC4 Framework / AWC4本体(FC-S35W/SE)(AWC001) / FC-S35W/SE4CM2 / S620530MA</t>
  </si>
  <si>
    <t>2024082904-224-1 / 2024082902-224-2</t>
  </si>
  <si>
    <t>ブランド / 機器構成名(個体名) / 型式 / シリアル番号
AWC4 Framework / AWC4端末/BCR付(FC-E29U)(WAT001) / FC-E29U-S31C42 / 3100432
AWC4 Framework / AWC4端末/BCR付(FC-E29U)(WAT002) / FC-E29U-S31C42 / 3100434
AWC4 Framework / AWC4端末/BCR付(FC-E29U)(WAT005) / FC-E29U-S31C42 / 3100446
AWC4 Framework / AWC4端末(FC-E29U)(WAT003) / FC-E29U-S31C42 / 3100439
AWC4 Framework / AWC4端末(FC-E29U)(WAT004) / FC-E29U-S31C42 / 3100440
AWC4 Framework / MOSⅦ(FC-E22K)(MOSA01) / FC-E22K-L / 2900370</t>
  </si>
  <si>
    <t>ブランド / 機器構成名(個体名) / 型式 / シリアル番号
DPM / ｵｰﾄﾗﾍﾞﾗ (LR4080SR-TPJ)(ALR02) / LR4080SR-TPJ / GH000089
DPM / ｵｰﾄﾗﾍﾞﾗ (LR4080SR-TPJ)(ALR06) / LR4080SR-TPJ / GH000090
DPM / ｵｰﾄﾗﾍﾞﾗ (LR4081SR-TPJ)(ALR01) / LR4081SR-TPJ / GJ000091
DPM / ｵｰﾄﾗﾍﾞﾗ (LR4081SR-TPJ)(ALR03) / LR4081SR-TPJ / GJ000092
DPM / ｵｰﾄﾗﾍﾞﾗ (LR4081SR-TPJ)(ALR05) / LR4081SR-TPJ / GJ000093</t>
  </si>
  <si>
    <t>ブランド / 機器構成名(個体名) / 型式 / シリアル番号
AWC7 Framework / AWC7本体(HF-W6555)(AWC001) / HJ-6555-WEJD/DF05 / 4240888-10
AWC7 Framework / AWC7端末(HF-W2050)(WAT001) / HJ-2050-WEMA/DF03 / 8054960-10</t>
  </si>
  <si>
    <t>【システム点検】※UNIXサーバの為、診断対象外</t>
  </si>
  <si>
    <t>ブランド / 機器構成名(個体名) / 型式 / シリアル番号
AWC-800U / AWC端末/ｻｰﾊﾞ室 (HF-W2045)(WAT006) / HJ-2045-WBJA/DF01 / 4233187-1
AWC-800U / AWC端末/再加工場 (HF-W2045)(WAT003) / HJ-2045-WBJA/DF01 / 4233188-1
AWC-800U / AWC端末 (HF-W2045【BCR付】)(WAT001) / HJ-2045-WBJA/DF01 / 4233189-1
AWC-800U / AWC端末 (HF-W2045【BCR付】)(WAT002) / HJ-2045-WBJA/DF01 / 4233386-1
AWC-800U / ﾗﾍﾞﾗ管理端末 (HF-W2045)(WAT004) / HJ-2045-WBJA/DF01 / 4233387-1
AWC-800U / ﾗﾍﾞﾗ管理端末 (HF-W2045)(WAT005) / HJ-2045-WBJA/DF01 / 4233388-1</t>
  </si>
  <si>
    <t xml:space="preserve">ブランド / 機器構成名(個体名) / 型式 / シリアル番号
AWC-800U / AWCｻｰﾊﾞ (SPARC M10-1)(AWC001) / SPMAKAA1EF / PZ31814008
AWC-800U / ｻｰﾊﾞｰ用UPS(AWC001) / 無停電電源装置(1500VA,ﾗｯｸﾏｳﾝﾄ)PY-UPAR152 / </t>
  </si>
  <si>
    <t>ブランド / 機器構成名(個体名) / 型式 / シリアル番号
AWC4 Framework / AWC4本体 （FC-S35W/S7）(AWC001) / FC-S35W/S72CL9 / S610573MA</t>
  </si>
  <si>
    <t>2023091107-224-2 / 2023091109-224-2</t>
  </si>
  <si>
    <t>ブランド / 機器構成名(個体名) / 型式 / シリアル番号
WareNavi7 / WareNavi7本体(FC-S36W)(WN001) / FC-S36W-143CV7 / 2100578
WareNavi7 / MOSⅦ本体(FC-E27B)(MOSA001) / FC-E27B-SR / 2600293</t>
  </si>
  <si>
    <t>2025091902-221-1 / 2025102810-225-1</t>
  </si>
  <si>
    <t xml:space="preserve">ブランド / 機器構成名(個体名) / 型式 / シリアル番号
AWC-800N / AWCｻｰﾊﾞ (Express5800/R120h-2M)(AWC001) / N8100-2836Y / JPN028400Y
AWC-800N / AWCｻｰﾊﾞ用UPS() / 無停電電源装置(1500VA,ﾗｯｸﾏｳﾝﾄ)N8142-101 / 
AWC-800N / AWCｻｰﾊﾞ予備 (Express5800/R120h-2M)(AWC001予備) / N8100-2836Y / JPN028400Z
AWC-800N / AWCｻｰﾊﾞ予備用UPS() / 無停電電源装置(1500VA,ﾗｯｸﾏｳﾝﾄ)N8142-101 / </t>
  </si>
  <si>
    <t>ブランド / 機器構成名(個体名) / 型式 / シリアル番号
AWC-800N / AWC端末 (HF-W2045)(WAT001) / HJ-2045-WBJA/DF01 / 4237598-1
AWC-800N / AWC端末 (HF-W2045)(WAT002) / HJ-2045-WBJA/DF01 / 4237599-1
SAM / SAM (HF-W6555【BCR付】)(SAM001) / HJ-6555-WBJD/DF01 / 4237859-2
SAM / SAM (HF-W6555)(SAM002) / HJ-6555-WBJD/DF01 / 4237859-3
SAM / SAM (HF-W6555)(SAM003) / HJ-6555-WBJD/DF01 / 4237859-5
SAM / SAM予備 (HF-W6555)(SAM予備) / HJ-6555-WBJD/DF01 / 4238511-1
ﾗﾍﾞﾙPC / LPM (HF-W6555)(LPM001) / HJ-6555-WBJD/DF01 / 4237859-4
ﾗﾍﾞﾙPC / LPM (HF-W6555)(LPM002) / HJ-6555-WBJD/DF01 / 4237859-7
ﾗﾍﾞﾙPC / LPM予備 (HF-W6555)(LPM予備) / HJ-6555-WBJD/DF01 / 4237859-6</t>
  </si>
  <si>
    <t>ブランド / 機器構成名(個体名) / 型式 / シリアル番号
ﾗﾍﾞﾙPC / ｵｰﾄﾗﾍﾞﾗ(ALB01) / LR4080SR-TCJ / ED000058
ﾗﾍﾞﾙPC / ｵｰﾄﾗﾍﾞﾗ(ALB02) / LR4080SR-TCJ / ED000059
ﾗﾍﾞﾙPC / ｵｰﾄﾗﾍﾞﾗ(ALB03) / LR4080SR-TCJ / ED000057
ﾗﾍﾞﾙPC / ｵｰﾄﾗﾍﾞﾗ(ALB04) / LR4080SR-TCJ / ED000056</t>
  </si>
  <si>
    <t>株式会社ピーチ＆ドリーム</t>
  </si>
  <si>
    <t>2020030306-216-1</t>
  </si>
  <si>
    <t>11110A126-001</t>
  </si>
  <si>
    <t>ブランド / 機器構成名(個体名) / 型式 / シリアル番号
AWC4 Basic / AWC4本体(FC-S35W/S7)(AWC001) / FC-S35W/S72CL9 / S760223MA</t>
  </si>
  <si>
    <t>ブランド / 機器構成名(個体名) / 型式 / シリアル番号
AWC-800U / 無線ｻｰﾊﾞ (FC-S35W/S4)(MORSSV1) / FC-S35W/S42CM0 / S850225MA
AWC-800U / 無線ｻｰﾊﾞ (FC-S35W/S4)(MORSSV2) / FC-S35W/S42CM0 / S850202MA</t>
  </si>
  <si>
    <t>関東支店第二センター</t>
  </si>
  <si>
    <t>2階フローズンセンター</t>
  </si>
  <si>
    <t>11222-366-001</t>
  </si>
  <si>
    <t>ブランド / 機器構成名(個体名) / 型式 / シリアル番号
WareNavi4 Framework Custom / WareNavi4ｻｰﾊﾞ (Express5800/R320h-E4)(AWC018) / N8800-311Y / 3200152</t>
  </si>
  <si>
    <t>1階コープ日配センター</t>
  </si>
  <si>
    <t>11222-366-002</t>
  </si>
  <si>
    <t>ブランド / 機器構成名(個体名) / 型式 / シリアル番号
WareNavi / WareNaviｻｰﾊﾞ (Express5800/R320h-E4)(WMS001) / N8800-311Y / 3200151</t>
  </si>
  <si>
    <t>CE1003253 / CE1004579</t>
  </si>
  <si>
    <t xml:space="preserve">ブランド / 機器構成名(個体名) / 型式 / シリアル番号
eAWC Framework Custom / eAWCｻｰﾊﾞ(PRIMERGY TX2550 M7)(AWC01) / PYT2557T3N / 
eAWC Framework Custom / eAWCｻｰﾊﾞ(PRIMERGY TX2550 M7)(AWC01) / 無停電電源装置(1500J)PY-UPAT152 / 
SAM / SAMｻｰﾊﾞ(PRIMERGY TX2550 M7)(SAM01) / PYT2557T3N / 
SAM / SAMｻｰﾊﾞ(PRIMERGY TX2550 M7)(SAM01) / 無停電電源装置(1500J)PY-UPAT152 / 
LPM / LPM(ESPRIMO D7014/R)(LPM01) / FMVD60001 / 
LPM / LPM(ESPRIMO D7014/R)(LPM02) / FMVD60001 / 
LPM / LPM(ESPRIMO D7014/R)(LPM03) / FMVD60001 / 
LPM / LPM(ESPRIMO D7014/R)(LPM01) / 無停電電源装置(750VA)FMUP-204 / 
LPM / LPM(ESPRIMO D7014/R)(LPM02) / 無停電電源装置(750VA)FMUP-204 / 
LPM / LPM(ESPRIMO D7014/R)(LPM03) / 無停電電源装置(750VA)FMUP-204 / 
eAWC Framework Custom / 事務所端末(ESPRIMO D7014/R)(WAT01) / FMVD60001 / 
SAM / ﾘｼﾞｪｸﾄ端末(ESPRIMO D7014/R)(WAT02) / FMVD60001 / </t>
  </si>
  <si>
    <t>ブランド / 機器構成名(個体名) / 型式 / シリアル番号
eAWC Framework / eAWC本体(FC-S36W)(EAWC001) / FC-S36W-143CV7 / 2800725</t>
  </si>
  <si>
    <t>ブランド / 機器構成名(個体名) / 型式 / シリアル番号
WareNavi4 Framework / ｵｰﾄﾗﾍﾞﾗ (LR4121SR-TPJ)(ALBL01) / LR4121SR-TPJ / GK000097
WareNavi4 Framework / ｵｰﾄﾗﾍﾞﾗ (LR4121SR-TPJ)(ALBL02) / LR4121SR-TPJ / GK000098</t>
  </si>
  <si>
    <t>ブランド / 機器構成名(個体名) / 型式 / シリアル番号
LPM / ｵｰﾄﾗﾍﾞﾗ(AL01) / LR4NX-FA12R-PJ / DG000020</t>
  </si>
  <si>
    <t>朝日生命保険相互会社</t>
  </si>
  <si>
    <t>多摩本社　内</t>
  </si>
  <si>
    <t>書類倉庫</t>
  </si>
  <si>
    <t>13224-017-001</t>
  </si>
  <si>
    <t>ブランド / 機器構成名(個体名) / 型式 / シリアル番号
AWC-800U / AWCｻｰﾊﾞ (SPARC M10-1)(asahi) / SPMAKAA1EF / PZ32134011
AWC-800U / 管理ｺﾝｿｰﾙPC(PRIMERGY RX1330 M4)(CONSOLEPC) / PYR1334R3S / MAHV030419</t>
  </si>
  <si>
    <t>2022060902-221-1 / 2024101606-224-1</t>
  </si>
  <si>
    <t>ブランド / 機器構成名(個体名) / 型式 / シリアル番号
WareNavi / WareNaviｻｰﾊﾞ(Express5800/R320f-E4)(WMS002) / N8800-218Y / 9X00290
AWC-800N / AWC(FC-P33W)(AWC001) / FC-P33W-L2 / 9Y02041
RFM / 予備機(FC-P33W)(RFM001) / FC-P33W-L2 / 9Y02046
SAM / SAM(FC-P33W)(SAM001) / FC-P33W-L2 / 9Y02045
SAM / SAM(FC-P33W)(SAM002) / FC-P33W-L2 / 9Y02040
LPM / LPM(FC-P33W)(LPM001) / FC-P33W-L2 / 9Y02047
LPM / LPM(FC-P33W)(LPM002) / FC-P33W-L2 / 9Y02042
LPM / LPM(FC-P33W)(LPM003) / FC-P33W-L2 / 9Y02038
LPM / LPM(FC-P33W)(LPM004) / FC-P33W-L2 / 9Y02043
LPM / LPM(FC-P33W)(LPM005) / FC-P33W-L2 / 9Y02044</t>
  </si>
  <si>
    <t>2018052107-216-1 / 2018052202-216-1</t>
  </si>
  <si>
    <t>ブランド / 機器構成名(個体名) / 型式 / シリアル番号
WareNavi7 / 管理PC(FC-E22U)(WAT01) / FC-E22U-S / 6900760
WareNavi7 / 入庫HTﾏﾈｰｼﾞｬｰ(FC-E22U)(WAT02) / FC-E22U-S / 6900755
DAM / ﾋﾟｯｷﾝｸﾞ端末(FC-E22U)(WAT03) / FC-E22U-S / 6900861
DAM / ﾋﾟｯｷﾝｸﾞ端末(FC-E22U)(WAT04) / FC-E22U-S / 6900862
DAM / ﾋﾟｯｷﾝｸﾞ端末(FC-E22U)(WAT05) / FC-E22U-S / 6900754
WareNavi7 / ﾗﾍﾞﾗ端末(FC-E23W)(LPM01) / FC-E23W-S / 6X00922
WareNavi7 / ﾗﾍﾞﾗ端末(FC-E23W)(LPM02) / FC-E23W-S / 6X00921
WareNavi7 / ﾗﾍﾞﾗ端末(FC-E23W)(LPM03) / FC-E23W-S / 6X00923
WareNavi7 / MOSⅦ(FC-E23W)(MOS03) / FC-E23W-S / 6Y01114
WareNavi7 / MOSｻｰﾊﾞ(FC-E23W)(MOS01) / FC-E23W-S / 6Y00975
WareNavi7 / MOSｻｰﾊﾞ(FC-E23W)(MOS02) / FC-E23W-S / 6Y01115
DAM(撤去) / ﾋﾟｯｷﾝｸﾞ端末/ﾀｯﾁﾊﾟﾈﾙ付き(FC-E22U)(WAT06) / FC-E22U-S / 6900756
DAM(撤去) / ﾋﾟｯｷﾝｸﾞ端末/ﾀｯﾁﾊﾟﾈﾙ付き(FC-E22U)(WAT07) / FC-E22U-S / 6900856
DAM(撤去) / ﾋﾟｯｷﾝｸﾞ端末/ﾀｯﾁﾊﾟﾈﾙ付き(FC-E22U)(WAT08) / FC-E22U-S / 6900761</t>
  </si>
  <si>
    <t>昭和飛行機工業株式会社</t>
  </si>
  <si>
    <t>北工場</t>
  </si>
  <si>
    <t>1605-002</t>
  </si>
  <si>
    <t>13207-006-002</t>
  </si>
  <si>
    <t>ブランド / 機器構成名(個体名) / 型式 / シリアル番号
AWC-100N+ / AWC本体 (HF-W6545)(AWC001) / HJ-65459EWJD/DF01 / 4226400-1
AWC-100N+ / AWC端末 (HF-W2035)(WAT001) / HJ-20359EWJA/DF01 / 4226144-1</t>
  </si>
  <si>
    <t>ブランド / 機器構成名(個体名) / 型式 / シリアル番号
WareNavi7 / ｵｰﾄﾗﾍﾞﾗ(ALR01) / LR4081SR-TSB / AH000016
WareNavi7 / ｵｰﾄﾗﾍﾞﾗ(ALR02) / LR4081SR-TSB / AH000017
WareNavi7 / ｵｰﾄﾗﾍﾞﾗ(ALR03) / LR4081SR-TSB / AH000018</t>
  </si>
  <si>
    <t>ブランド / 機器構成名(個体名) / 型式 / シリアル番号
eWareNavi Framework Custom / eWareNavi本体 (FC-S36W)(WARENAVI001) / FC-S36W-143CV7 / 3Y01066
eWareNavi Framework Custom / 端末兼用ﾊﾝﾃﾞｨｻｰﾊﾞ (FC-S36W)(WAT001) / FC-S36W-143CV7 / 3Z01073</t>
  </si>
  <si>
    <t>【システム点検】※サポート対象外OSの為、診断対象外。　/【契約情報：旧ラック】</t>
  </si>
  <si>
    <t>ブランド / 機器構成名(個体名) / 型式 / シリアル番号
eAWC Framework(旧ラック) / eAWC本体(HF-W6555)(AWC001) / HJ-6555-WEJD/DF05 / 4241104-10
eAWC Framework(旧ラック) / eAWC端末(HF-W2050)(WAT001) / HJ-2050-WEMA/DF03 / 8055441-8</t>
  </si>
  <si>
    <t>【システム点検】※プロダクト対象外の為、診断対象外。　/【契約情報：新ラック】</t>
  </si>
  <si>
    <t>ブランド / 機器構成名(個体名) / 型式 / シリアル番号
AWC7 Framework(新ラック) / AWC7本体(HF-W6555)(AWC001) / HJ-6555-SDJD/DF06 / 4241194-1
AWC7 Framework(新ラック) / AWC7端末(HF-W2050)(WAT001) / HJ-2050-WEMA/DF03 / 8055129-3
AWC7 Framework(新ラック) / AWC7端末(HF-W2050)(WAT002) / HJ-2050-WEMA/DF03 / 8055129-5
AWC7 Framework(新ラック) / AWC7端末(HF-W2050)(WAT003) / HJ-2050-WEMA/DF03 / 8055129-4</t>
  </si>
  <si>
    <t>帯広CS</t>
  </si>
  <si>
    <t>ブランド / 機器構成名(個体名) / 型式 / シリアル番号
AWC7 Framework / AWC7本体(HF-W6555)(AWC001) / HJ-6555-WEJD/DF05 / 4240322-3
AWC7 Framework / AWC7端末(HF-W2050)(WAT001) / HJ-2050-WEMA/DF03 / 8053777-7</t>
  </si>
  <si>
    <t>ブランド / 機器構成名(個体名) / 型式 / シリアル番号
eAWC Framework / eAWC本体 (FC-S36W)(EAWC001) / FC-S36W-143CV7 / 1300344
eAWC Framework / eAWC端末 (FC-E22U)(WAT001) / FC-E22U-S / 1315683</t>
  </si>
  <si>
    <t>【システム点検】※プロダクト対象外の為、診断対象外。　/【契約情報：A棟】</t>
  </si>
  <si>
    <t>ブランド / 機器構成名(個体名) / 型式 / シリアル番号
AWC7 Framework(A棟) / AWC7本体(FC-S36W)(AWC001) / FC-S36W-143CV7 / 2X00876
AWC7 Framework(A棟) / AWC7端末(FC-E29U)(WAT001) / FC-E29U-S31C42 / 3200519
AWC7 Framework(A棟) / AWC7端末(FC-E29U)(WAT002) / FC-E29U-S31C42 / 3200537
AWC7 Framework(A棟) / AWC7端末(FC-E29U)(WAT003) / FC-E29U-S31C42 / 3200540
AWC7 Framework(A棟) / AWC7端末(FC-E29U)(WAT004) / FC-E29U-S31C42 / 3200562</t>
  </si>
  <si>
    <t>2021020904-216-1 / 2025073002-221-1</t>
  </si>
  <si>
    <t>ブランド / 機器構成名(個体名) / 型式 / シリアル番号
DPM / ﾏﾃﾊﾝｻｰﾊﾞ (FC-S36W)(TPSSV) / FC-S36W-143CV7 / 0700213
DPM / ﾏﾃﾊﾝｻｰﾊﾞ予備機 (FC-S36W)(TPSSV予備) / FC-S36W-143CV7 / 0700214
DPM / DPM (FC-E22U)(DPM01) / FC-E22U-S / 0613655
DPM / DPM端末 (FC-E22U)(DPW01) / FC-E22U-S / 0613668</t>
  </si>
  <si>
    <t>ブランド / 機器構成名(個体名) / 型式 / シリアル番号
AWC7 Framework / AWC7本体(FC-S36W)(AWC001) / FC-S36W-143CV7 / 1600400</t>
  </si>
  <si>
    <t>杉田工業株式会社</t>
  </si>
  <si>
    <t>都田新工場</t>
  </si>
  <si>
    <t>2018092003-216-1</t>
  </si>
  <si>
    <t>22202-850-001</t>
  </si>
  <si>
    <t>ブランド / 機器構成名(個体名) / 型式 / シリアル番号
AWC-300N / AWC本体 (FC-S35W/S7)(AWC001) / FC-S35W/S72CL9 / S4Y0423MA</t>
  </si>
  <si>
    <t>ブランド / 機器構成名(個体名) / 型式 / シリアル番号
AWC4 Framework / AWC4本体(FC-S36W)(EAWC001) / FC-S36W-143CV7 / 4401144</t>
  </si>
  <si>
    <t>【システム点検】※プロダクト対象外の為、診断対象外。　/【契約情報：ﾛﾎﾞｯﾄPC】</t>
  </si>
  <si>
    <t>ブランド / 機器構成名(個体名) / 型式 / シリアル番号
ﾛﾎﾞｯﾄPC / ﾛﾎﾞｯﾄPC (HF-W6555)(RBM101) / HJ-6555-WEJD/DF05 / 4239285-1</t>
  </si>
  <si>
    <t>2018020504-216-1 / 2018020804-216-1</t>
  </si>
  <si>
    <t>●上位　/【契約情報：B棟】</t>
  </si>
  <si>
    <t>ブランド / 機器構成名(個体名) / 型式 / シリアル番号
eAWC Framework(B棟) / eAWC本体（FC-S35W/S7）(HSDAI1) / FC-S35W/S72CL9 / S5Z1599MA
eAWC Framework(B棟) / eAWC端末（FC-E16U/S7）【防塵フィルタ有り】(WAT011) / FC-E16U/S71R4Z / S620212MA
eAWC Framework(B棟) / eAWC端末（FC-E16U/S7）【防塵フィルタ有り】(WAT021) / FC-E16U/S71R4Z / S5Z1674MA
eAWC Framework(B棟) / eAWC端末（FC-E16U/S7）【防塵フィルタ有り】(WAT031) / FC-E16U/S71R4Z / S5Z1677MA
eAWC Framework(B棟) / eAWC端末（FC-E16U/S7）【防塵フィルタ無し】(WAT012) / FC-E16U/S71R4Z / S620204MA</t>
  </si>
  <si>
    <t>住岡食品株式会社</t>
  </si>
  <si>
    <t>1611-002</t>
  </si>
  <si>
    <t>22136-006-002</t>
  </si>
  <si>
    <t>ブランド / 機器構成名(個体名) / 型式 / シリアル番号
AWC-100N / AWC本体 (HF-W2035)(AWC001) / HJ-20359EWJA/DF02 / 4224460-1
AWC-100N / AWC端末 (HF-W2035)(WAT001) / HJ-20359EWJA/DF01 / 4224190-1</t>
  </si>
  <si>
    <t>イーエスフーズ株式会社</t>
  </si>
  <si>
    <t>浜松工場</t>
  </si>
  <si>
    <t>原料用自動倉庫</t>
  </si>
  <si>
    <t>1611-001</t>
  </si>
  <si>
    <t>22136A108-001</t>
  </si>
  <si>
    <t>ブランド / 機器構成名(個体名) / 型式 / シリアル番号
AWC-100N / AWC本体 (HF-W2035)(AWC002) / HJ-20359EWJA/DF02 / 4225586-1
AWC-100N / AWC端末 (HF-W2035)(WAT001) / HJ-20359EWJA/DF01 / 4225746-1</t>
  </si>
  <si>
    <t>西尾精密株式会社</t>
  </si>
  <si>
    <t>2019061902-216-1</t>
  </si>
  <si>
    <t>22135A113-001</t>
  </si>
  <si>
    <t>ブランド / 機器構成名(個体名) / 型式 / シリアル番号
AWC4 Basic / AWC4本体(FC-S35W/S7)(AWC001) / FC-S35W/S72CL9 / S720421MA</t>
  </si>
  <si>
    <t>2020040606-216-1</t>
  </si>
  <si>
    <t>ブランド / 機器構成名(個体名) / 型式 / シリアル番号
WareNavi4 Framework / WareNavi4本体 (FC-S35W/SE)(WMS01) / FC-S35W/SE4CM2 / S4Z0590MA
WareNavi4 Framework / WareNavi4予備機 (FC-S35W/SE)(WMS01予備) / FC-S35W/SE4CM2 / S4Z0591MA
SAM / SAM本体 (FC-S35W/S7)(SAM01) / FC-S35W/S72CL9 / S490674MA
SAM / 入荷端末 (FC-E16U/S7)(LPM03) / FC-E16U/S71CE8 / S2Z1149MA
LPM / LPM (FC-E16U/S7)(LPM01) / FC-E16U/S71CE8 / S2Z1146MA
LPM / LPM (FC-E16U/S7)(LPM02) / FC-E16U/S71CE8 / S2Z1148MA</t>
  </si>
  <si>
    <t>DKSHジャパン株式会社</t>
  </si>
  <si>
    <t>流通配送センター</t>
  </si>
  <si>
    <t>2022080120-221-1 / 2023012505-221-1</t>
  </si>
  <si>
    <t>22216-136-001</t>
  </si>
  <si>
    <t>ブランド / 機器構成名(個体名) / 型式 / シリアル番号
eAWC Framework / eAWC本体（Express5800/T120g）(EAWC001) / N8100-2456Y / 7500543
eAWC Framework / eAWC本体周辺機器(EAWC001) / 無停電電源装置(1500VA)N8180-67 / J12212111913
eAWC Framework / eAWC端末(MKM31/B-B)(WAT001) / PC-MKM31BZCB / 28011471A
eAWC Framework / ｼﾘｱﾙﾌﾟﾘﾝﾀ【伝票/送り状用】(PRN03) / PR-D700JEN / 2800306UA
eAWC Framework / ｼﾘｱﾙﾌﾟﾘﾝﾀ【伝票/送り状用】(PRN04) / PR-D700JEN / 2800352UA</t>
  </si>
  <si>
    <t>ブランド / 機器構成名(個体名) / 型式 / シリアル番号
eAWC Framework / ﾗﾍﾞﾙﾌﾟﾘﾝﾀ(LPR01) / CL4NX-J08 / BD101629
eAWC Framework / ﾗﾍﾞﾙﾌﾟﾘﾝﾀ(LPR02) / CL4NX-J08 / BD101642</t>
  </si>
  <si>
    <t>2103-001</t>
  </si>
  <si>
    <t>22422-032-001</t>
  </si>
  <si>
    <t>ブランド / 機器構成名(個体名) / 型式 / シリアル番号
eAWC Ordermade / eAWCｻｰﾊﾞ(EP8000 S914)(AWC001) / THE-C900941A623B / 66647</t>
  </si>
  <si>
    <t>2002-001 / 2002-002</t>
  </si>
  <si>
    <t>ブランド / 機器構成名(個体名) / 型式 / シリアル番号
eAWC Ordermade / eAWCｻｰﾊﾞ(EP8000 S914)(EAWC001) / THE-C900941A623B / 66551
eAWC Ordermade / eAWC端末(HF-W2045)(WAT001) / HJ-2045-WBJA/DF01 / 4236597-1
eAWC Ordermade / eAWC端末(HF-W2045)(WAT002) / HJ-2045-WBJA/DF01 / 4236598-1
eAWC Ordermade / eAWC端末(HF-W2045)(WAT003) / HJ-2045-WBJA/DF01 / 4236596-1</t>
  </si>
  <si>
    <t>ブランド / 機器構成名(個体名) / 型式 / シリアル番号
LPM（倉庫系） / ｵｰﾄﾗﾍﾞﾗ(ALR01) / LR4081SR-TSJ / GH000112
LPM（倉庫系） / ｵｰﾄﾗﾍﾞﾗ(ALR02) / LR4081SR-TSJ / GH000113
LPM（ｿｰﾀ系） / ｵｰﾄﾗﾍﾞﾗ(ALR03) / LR4081SR-TSJ / GH000114
LPM（ｿｰﾀ系） / ｵｰﾄﾗﾍﾞﾗ(ALR04) / LR4081SR-TSJ / GH000115</t>
  </si>
  <si>
    <t>2023101202-224-2</t>
  </si>
  <si>
    <t>ブランド / 機器構成名(個体名) / 型式 / シリアル番号
AWC-800N / AGC MOS(MOS01) / FC-E22U-S / 8807011
AWC-800N / AGC MOS(MOS02) / FC-E22U-S / 8807015</t>
  </si>
  <si>
    <t>三粧化研株式会社</t>
  </si>
  <si>
    <t>池田工場</t>
  </si>
  <si>
    <t>FA152</t>
  </si>
  <si>
    <t>27204A102-001</t>
  </si>
  <si>
    <t>ブランド / 機器構成名(個体名) / 型式 / シリアル番号
AWC4 Basic / AWC4本体（FA3100SS model1000）(AWC001) / UD431016-01-DHT / OEZ132</t>
  </si>
  <si>
    <t>2017071402-220-1</t>
  </si>
  <si>
    <t>ブランド / 機器構成名(個体名) / 型式 / シリアル番号
AWC-800N(ﾀｯｸ平判) / AWC本体 (FC-S35W/S7)(AWC01) / FC-S35W/S72CL9 / S520521MA
AWC-800N(ﾀｯｸ平判) / AWC端末 (FC-E16U/S7)(WAT001) / FC-E16U/S71R4Z / S581427MA
AWC-800N(ﾀｯｸ平判) / AWC端末 (FC-E16U/S7)(WAT002) / FC-E16U/S71R4Z / S581424MA</t>
  </si>
  <si>
    <t>2023061318-224-1 / 2023061320-224-2</t>
  </si>
  <si>
    <t>ブランド / 機器構成名(個体名) / 型式 / シリアル番号
RTS-100 / RTS端末 (FC-E22U)(WSC001) / FC-E22U-S / 2818313
RTS-100 / RTS端末 (FC-E22U)(WSC002) / FC-E22U-S / 2818316
RTS-100 / RTS端末 (FC-E22U)(WSC003) / FC-E22U-S / 2818315
RTS-100 / RTS端末 (FC-E22U)(WSC004) / FC-E22U-S / 2818314
RTS-100 / RTS端末 (FC-E22U)(WSC005) / FC-E22U-S / 2818317
RTS-100 / RTS端末 (FC-E22U)(WSC006) / FC-E22U-S / 2818312
RTS-100 / RTS端末予備 (FC-E22U)(WSC011) / FC-E22U-S / 2718055
RTS-100 / RTS端末予備 (FC-E22U)(WSC012) / FC-E22U-S / 2718041
RTS-100 / MOSⅦ本体 (FC-E22K)(MOS01) / FC-E22K-L / 2X00502</t>
  </si>
  <si>
    <t>CE150173 / CE150269</t>
  </si>
  <si>
    <t>ブランド / 機器構成名(個体名) / 型式 / シリアル番号
RTS-100 / RTSｻｰﾊﾞ (SPARC M12-1)() / SPNAAAA3EL / PZ72227007
RTS-100 / RTSｻｰﾊﾞ (SPARC M12-1)() / SP0X9DV2F / PZ72227007
RTS-100 / RTSｻｰﾊﾞ (SPARC M12-1)() / 無停電電源装置(1500VA,ﾗｯｸﾏｳﾝﾄ)PY-UPAR152 / TT202A0542
RTS-100 / RTSｻｰﾊﾞ予備機 (SPARC M12-1)() / SPNAAAA3EL / PZ72227008
RTS-100 / ｺﾝｿｰﾙPC (PRIMERGY RX2530 M5)() / B511C06E7 / 
RTS-100 / ﾍﾟｰｼﾞﾌﾟﾘﾝﾀ() / VSP4540B / LF25A0648</t>
  </si>
  <si>
    <t>ブランド / 機器構成名(個体名) / 型式 / シリアル番号
AWC4 Framework(1号倉庫) / AWC4本体(FC-S36W)(AWC001) / FC-S36W-143CV7 / 2Z00948</t>
  </si>
  <si>
    <t>広域統括本部　LW阪神DDC</t>
  </si>
  <si>
    <t>2021020813-216-1</t>
  </si>
  <si>
    <t>28204A138-001</t>
  </si>
  <si>
    <t>ブランド / 機器構成名(個体名) / 型式 / シリアル番号
WareNavi7 / MOSⅦ(FC-E27B)(MOS01) / FC-E27B-S / 9X09882</t>
  </si>
  <si>
    <t>CE451705</t>
  </si>
  <si>
    <t>ブランド / 機器構成名(個体名) / 型式 / シリアル番号
WareNavi7 / WareNavi7ｻｰﾊﾞ(PRIMERGY TX1320 M4)(WN7-001) / PYT1324T2S / MAJK019382</t>
  </si>
  <si>
    <t>2024061208-224-1 / 2024061220-224-1</t>
  </si>
  <si>
    <t>ブランド / 機器構成名(個体名) / 型式 / シリアル番号
WareNavi7A / 管理端末 (FC-E29U)(WAT01) / FC-E29U-S31C42 / 3100421
WareNavi7A / MOSⅦ端末 (FC-P31X)(MOTZ101) / FC-P31X-L1 / 2600964
WareNavi7A / MOSⅦ端末 (FC-P31X)(MOTZ102) / FC-P31X-L1 / 2600970
WareNavi7A / MOSⅦ端末 (FC-P31X)(MOTZ201) / FC-P31X-L1 / 2600961
WareNavi7A / MOSⅦ端末 (FC-P31X)(MOTZ301) / FC-P31X-L1 / 2600978
WareNavi7A / MOSⅦ端末 (FC-P31X)(MOTZ302) / FC-P31X-L1 / 2600973
WareNavi7A / MOSⅦ端末 (FC-P31X)(MOTZ401) / FC-P31X-L1 / 2600965</t>
  </si>
  <si>
    <t>【システム点検】※サポート対象外OSの為、診断対象外。　/【契約情報：7号倉庫】</t>
  </si>
  <si>
    <t>ブランド / 機器構成名(個体名) / 型式 / シリアル番号
AWC4 Framework(7号倉庫) / AWC4本体(FC-S36W)(AWC001) / FC-S36W-143CV7 / 2Z00961</t>
  </si>
  <si>
    <t>ブランド / 機器構成名(個体名) / 型式 / シリアル番号
eAWC Ordermade / eAWC本体 (HF-W6555)(eAWC001) / HJ-6555-WEJD/DF03 / 4236017-1
eAWC Ordermade / eAWC端末兼用予備機 (HF-W6555)() / HJ-6555-WEJD/DF03 / 4236017-2
eAWC Ordermade / eAWC端末 (HF-W2045)() / HJ-2045-WEJA/DF03 / 4236018-1
eAWC Ordermade / eAWC端末 (HF-W2045)() / HJ-2045-WEJA/DF03 / 4236018-2
eAWC Ordermade / eAWC端末 (HF-W2045)() / HJ-2045-WEJA/DF03 / 4236018-3
eAWC Ordermade / eAWC端末 (HF-W2045)() / HJ-2045-WEJA/DF03 / 4236018-4</t>
  </si>
  <si>
    <t>ブランド / 機器構成名(個体名) / 型式 / シリアル番号
DPM / ﾏﾃﾊﾝｻｰﾊﾞ(FC-S36W)(TPSSV02) / FC-S36W-143CV7 / 0700200
DPM / ﾏﾃﾊﾝｻｰﾊﾞ予備機(FC-S36W)(TPSSV02予備機) / FC-S36W-143CV7 / 0700196
DPM / DPM(FC-E22U)(DPM01) / FC-E22U-S / 0513222
DPM / DPM(FC-E22U)(DPM02) / FC-E22U-S / 0513228
DPM / DPM(FC-E22U)(DPM03) / FC-E22U-S / 0513231
DPM / DPM端末(FC-E22U)(DPW01) / FC-E22U-S / 0513220
DPM / DPM端末(FC-E22U)(DPW02) / FC-E22U-S / 0513229
DPM / DPM端末(FC-E22U)(DPW03) / FC-E22U-S / 0513240</t>
  </si>
  <si>
    <t>ブランド / 機器構成名(個体名) / 型式 / シリアル番号
SAM / SAMｻｰﾊﾞ (SPARC M10-1)(SAMSV) / SPMAKAA1EF / PZ32134016
SAM / SAMｻｰﾊﾞ用UPS() / 無停電電源装置(1500VA,ﾗｯｸﾏｳﾝﾄ)PY-UPAR152 / TT512A0602
SAM / ｺﾝｿｰﾙ端末 (ESPRIMO N529/FA)(WAT001) / FMVN0101K / R1800011
SAM / ｺﾝｿｰﾙ端末用UPS() / 無停電電源装置(750VA)FMUP-204 / TT436A0086</t>
  </si>
  <si>
    <t>ブランド / 機器構成名(個体名) / 型式 / シリアル番号
AWC-500N / AWC本体 (FC-S36W)(AWC) / FC-S36W-133CW4 / 3Y00322
SAM / SAM (FC-S36W)(SAM01) / FC-S36W-133CW4 / 3Z00325
SAM / SAM (FC-S36W)(SAM02) / FC-S36W-133CW4 / 3Z00328
SAM / SAM (FC-S36W)(SAM03) / FC-S36W-133CW4 / 3Z00333</t>
  </si>
  <si>
    <t>ブランド / 機器構成名(個体名) / 型式 / シリアル番号
AWC7 Framework / AWC7本体(FC-S36W)(AWC001) / FC-S36W-143CV7 / 2Y00939</t>
  </si>
  <si>
    <t>西大阪流通センター営業所</t>
  </si>
  <si>
    <t>2073234 / 2172707</t>
  </si>
  <si>
    <t>27113A127-001</t>
  </si>
  <si>
    <t>ブランド / 機器構成名(個体名) / 型式 / シリアル番号
LPM / ｵｰﾄﾗﾍﾞﾗ(LR4120SR-TSJ)(AL01) / LR4120SR-TSJ / 16010023
LPM / ｵｰﾄﾗﾍﾞﾗ(LR4120SR-TSJ)(AL02) / LR4120SR-TSJ / 16010024
LPM / ｵｰﾄﾗﾍﾞﾗ(LR4120SR-TSJ)(LBRZ201) / LR4120SR-TSJ / JD000079
LPM / ｵｰﾄﾗﾍﾞﾗ(LR4120SR-TSJ)(LBRZ202) / LR4120SR-TSJ / JD000080
LPM / ｵｰﾄﾗﾍﾞﾗ(LR4121SR-TSJ)(AL03) / LR4121SR-TSJ / 16020104
LPM / ｵｰﾄﾗﾍﾞﾗ(LR4121SR-TSJ)(AL04) / LR4121SR-TSJ / 16020105
LPM / ｵｰﾄﾗﾍﾞﾗ(LR4121SR-TSJ)(LBRZ203) / LR4121SR-TSJ / JC000089
LPM / ｵｰﾄﾗﾍﾞﾗ(LR4121SR-TSJ)(LBRZ204) / LR4121SR-TSJ / JC000090
LPM / ｵｰﾄﾗﾍﾞﾗ(LR4120SR-TPJ)(AL05) / LR4120SR-TPJ / 16020014
LPM / ｵｰﾄﾗﾍﾞﾗ(LR4121SR-TCJ)(AL07) / LR4121SR-TCJ / 16010025</t>
  </si>
  <si>
    <t>2205-007 / 2205-008 / 2205-009</t>
  </si>
  <si>
    <t>ブランド / 機器構成名(個体名) / 型式 / シリアル番号
WareNavi7 / WareNavi7本体(HF-W6555)(WN7-001) / HJ-6555-WEJD/DF05 / 4238149-3
WareNavi7 / WareNavi7本体予備機(HF-W6555)(WN7-002) / HJ-6555-WEJD/DF05 / 4238149-4
WareNavi7 / WareNavi7端末(HF-W2045)(WAT001) / HJ-2045-WEJA/DF03 / 4237620-1
WareNavi7 / WareNavi7端末(HF-W2045)(WAT002) / HJ-2045-WEJA/DF03 / 4237621-1
WareNavi7 / WareNavi7端末(HF-W2045)(WAT003) / HJ-2045-WEJA/DF03 / 4237622-1
WareNavi7 / WareNavi7端末(HF-W2045)(WAT004) / HJ-2045-WEJA/DF03 / 4237623-1
WareNavi7 / MOSⅦ(HF-W2055)(MOS01) / HJ-2055-WEMA/DF04 / 8050530-1</t>
  </si>
  <si>
    <t>2025011004-224-1 / 2025011006-224-1 / 2025011018-224-1</t>
  </si>
  <si>
    <t>ブランド / 機器構成名(個体名) / 型式 / シリアル番号
WareNavi7 / WareNavi7本体(FC-S36W)(WN7) / FC-S36W-143CV7 / 2800766
WareNavi7 / WareNavi7端末(FC-E29U)(WATA001) / FC-E29U-S31C42 / 2Z00306
WareNavi7 / WareNavi7端末(FC-E29U)(WATA002) / FC-E29U-S31C42 / 2Z00308
WareNavi7 / MOSⅦ(FC-E22K)(MOSA001) / FC-E22K-L / 2X00503</t>
  </si>
  <si>
    <t>ブランド / 機器構成名(個体名) / 型式 / シリアル番号
AWC7 Basic / AWC7本体 (FC-S36W)(AWC001) / FC-S36W-143CV7 / 0300153
AWC7 Basic / AWC7端末 (FC-E22U)(WAT001) / FC-E22U-S / 0312782</t>
  </si>
  <si>
    <t>ブランド / 機器構成名(個体名) / 型式 / シリアル番号
eAWC Framework / eAWC本体(FC-S35W/S7)(AWC001) / FC-S35W/S72CL9 / S5Z1698MA</t>
  </si>
  <si>
    <t>コスメクリエイト プロダクツ株式会社</t>
  </si>
  <si>
    <t>商品センター</t>
  </si>
  <si>
    <t>1502-003</t>
  </si>
  <si>
    <t>27113A119-001</t>
  </si>
  <si>
    <t>ブランド / 機器構成名(個体名) / 型式 / シリアル番号
AWC4 Basic / AWC4本体 (HF-W6545)(AWC001) / HJ-65459EWJD/DF01 / 4223467-1</t>
  </si>
  <si>
    <t>株式会社セントラル・コールド・ストレージ</t>
  </si>
  <si>
    <t>2022051203-221-1</t>
  </si>
  <si>
    <t>27104-093-001</t>
  </si>
  <si>
    <t>ブランド / 機器構成名(個体名) / 型式 / シリアル番号
AWC4 Framework / MOS (FC-E22U)(MOS01) / FC-E22U-S / 1X16985</t>
  </si>
  <si>
    <t>FA099 / FA100</t>
  </si>
  <si>
    <t>ブランド / 機器構成名(個体名) / 型式 / シリアル番号
AWC4 Framework / AWC4本体(FA3100SS model 1000)(AWC001) / UD431016-01-DHT / OEY419
AWC4 Framework / AWC4端末(FA2100SS model 500)(WAT001) / UV4A502-07-DHT / OBA002
AWC4 Framework / AWC4端末(FA2100SS model 500)(WAT002) / UV4A502-07-DHT / OBZ845</t>
  </si>
  <si>
    <t>ブランド / 機器構成名(個体名) / 型式 / シリアル番号
AWC4 Framework / AWC4本体(HF-W6555)(AWC001) / HJ-6555-WEJD/DF05 / 4238696-1</t>
  </si>
  <si>
    <t>CS/FS自動倉庫</t>
  </si>
  <si>
    <t>ブランド / 機器構成名(個体名) / 型式 / シリアル番号
AWC7 Basic / AWC7本体(FC-S36W)(AWC001) / FC-S36W-143CV7 / 3600996</t>
  </si>
  <si>
    <t>ブランド / 機器構成名(個体名) / 型式 / シリアル番号
WareNavi7 / MOSⅦ(HF-W2055)(MOSA01) / HJ-2055-WEMA/DF04 / 8054961-3</t>
  </si>
  <si>
    <t>ブランド / 機器構成名(個体名) / 型式 / シリアル番号
AWC4 Framework / AWC4本体(HF-W6555)(AWC001) / HJ-6555-WBJD/DF01 / 4236737-1</t>
  </si>
  <si>
    <t>ブランド / 機器構成名(個体名) / 型式 / シリアル番号
AWC4 Framework / AWC4本体 (FC-S36W)(AWC001) / FC-S36W-143CV7 / 9800108</t>
  </si>
  <si>
    <t>ブランド / 機器構成名(個体名) / 型式 / シリアル番号
AWC4 Framework / ﾗﾍﾞﾙﾌﾟﾘﾝﾀ(LBP01) / CL4NX-J08 / DJ101790
AWC4 Framework / ﾗﾍﾞﾙﾌﾟﾘﾝﾀ(LBP02) / CL4NX-J08 / DJ101863</t>
  </si>
  <si>
    <t>ブランド / 機器構成名(個体名) / 型式 / シリアル番号
AWC7 Framework / AWC7本体(HF-W6555)(AWC001) / HJ-6555-WEJD/DF05 / 4237874-1</t>
  </si>
  <si>
    <t>ブランド / 機器構成名(個体名) / 型式 / シリアル番号
AWC7 Framework / AWC7本体(FC-S36W)(AWC001) / FC-S36W-143CV7 / 0700232</t>
  </si>
  <si>
    <t>2021120703-221-1 / 2021120705-221-1</t>
  </si>
  <si>
    <t>ブランド / 機器構成名(個体名) / 型式 / シリアル番号
WareNavi7 / WareNavi7本体 (FC-S36W)(WARENAVI002) / FC-S36W-113CW5 / 0X00116
WareNavi7 / MOSⅦｻｰﾊﾞ (FC-E27B)(MOSA001) / FC-E27B-S / 1313476
ｺﾝﾄﾛｰﾗ (搬送系) / MOSⅦｻｰﾊﾞ (FC-E27B)(MOSB001) / FC-E27B-S / 1313477</t>
  </si>
  <si>
    <t>ブランド / 機器構成名(個体名) / 型式 / シリアル番号
AWC7 Framework / AWC7本体(FC-S36W)(AWC001) / FC-S36W-113CW5 / 0X00114</t>
  </si>
  <si>
    <t>ブランド / 機器構成名(個体名) / 型式 / シリアル番号
AWC7 Framework / ﾗﾍﾞﾙﾌﾟﾘﾝﾀ(LBP01) / CT4-LX DT203 / KC202363
AWC7 Framework / ﾗﾍﾞﾙﾌﾟﾘﾝﾀ(LBP02) / CT4-LX DT203 / KC202375
AWC7 Framework / ﾗﾍﾞﾙﾌﾟﾘﾝﾀ(LBP03) / CT4-LX DT203 / KC202386
AWC7 Framework / ﾗﾍﾞﾙﾌﾟﾘﾝﾀ(LBP04) / CT4-LX DT203 / KC202429
AWC7 Framework / ﾗﾍﾞﾙﾌﾟﾘﾝﾀ(LBP05) / CT4-LX DT203 / KC202432
AWC7 Framework / ﾗﾍﾞﾙﾌﾟﾘﾝﾀ(LBP06) / CT4-LX DT203 / KC202435
AWC7 Framework / ﾗﾍﾞﾙﾌﾟﾘﾝﾀ(LBP07) / CT4-LX DT203 / KC202450
AWC7 Framework / ﾗﾍﾞﾙﾌﾟﾘﾝﾀ(LBP08) / CT4-LX DT203 / KC202458
AWC7 Framework / ﾗﾍﾞﾙﾌﾟﾘﾝﾀ(LBP09) / CT4-LX DT203 / KC202459
AWC7 Framework / ﾗﾍﾞﾙﾌﾟﾘﾝﾀ(LBP10) / CT4-LX DT203 / KC202463</t>
  </si>
  <si>
    <t>2020040711-216-1 / 2023072402-224-2</t>
  </si>
  <si>
    <t>ブランド / 機器構成名(個体名) / 型式 / シリアル番号
SAM / SAM (Express5800/R320f-E4)(SAM01) / N8800-218Y / 8800139
SAM / MOS親機 (FC-S35W/S4)(MOS03) / FC-S35W/S42CM0 / S810277MA
SAM / MOS親機 (FC-S35W/S4)(MOS04) / FC-S35W/S42CM0 / S810281MA</t>
  </si>
  <si>
    <t>ブランド / 機器構成名(個体名) / 型式 / シリアル番号
AWC4 Framework / AWC4本体(HF-W6555)(AWC001) / HJ-6555-WBJD/DF01 / 4235251-1</t>
  </si>
  <si>
    <t>2022051802-221-1 / 2025051442-224-2 / 2025051444-224-2</t>
  </si>
  <si>
    <t>ブランド / 機器構成名(個体名) / 型式 / シリアル番号
WareNavi7A / WareNavi7A本体(FC-S36W)(WN201) / FC-S36W-113CW5 / 4600178
SAM(増設) / SAM(FC-S36W)(FCM201) / FC-S36W-113CW5 / 4600175
SAM(増設) / SAM(FC-S36W)(FCM202) / FC-S36W-113CW5 / 4600179
SAM(増設) / SAM(FC-S36W)(FCM203) / FC-S36W-113CW5 / 4600176
WareNavi7A / 制御PC予備機(FC-S36W)(WN999) / FC-S36W-113CW5 / 4600177
WareNavi7A / 行バラシ端末(FC-E29U)(WAT201) / FC-E29U-S31C42 / 3601082
WareNavi7A / 行バラシ端末(FC-E29U)(WAT202) / FC-E29U-S31C42 / 3601049
WareNavi7A / 行バラシ端末(FC-E29U)(WAT203) / FC-E29U-S31C42 / 3601072
WareNavi7A / 行バラシ端末(FC-E29U)(WAT204) / FC-E29U-S31C42 / 3601046
WareNavi7A / 行バラシ端末(FC-E29U)(WAT205) / FC-E29U-S31C42 / 3601053
WareNavi7A / 行バラシ端末(FC-E29U)(WAT206) / FC-E29U-S31C42 / 3601063
WareNavi7A / 行バラシ端末(FC-E29U)(WAT207) / FC-E29U-S31C42 / 3601077
WareNavi7A / 行バラシ端末(FC-E29U)(WAT208) / FC-E29U-S31C42 / 3601057
WareNavi7A / 行バラシ端末(FC-E29U)(WAT209) / FC-E29U-S31C42 / 3601078
WareNavi7A / 梱包作業用端末(FC-E29U)(WAT211) / FC-E29U-S31C42 / 3601069
WareNavi7A / 梱包作業用端末(FC-E29U)(WAT212) / FC-E29U-S31C42 / 3601044
WareNavi7A / 梱包作業用端末(FC-E29U)(WAT213) / FC-E29U-S31C42 / 3601056
WareNavi7A / 梱包作業用端末(FC-E29U)(WAT214) / FC-E29U-S31C42 / 3601047
WareNavi7A / 梱包作業用端末(FC-E29U)(WAT215) / FC-E29U-S31C42 / 3601036
WareNavi7A / 梱包作業用端末(FC-E29U)(WAT216) / FC-E29U-S31C42 / 3601090
WareNavi7A / 梱包作業用端末(FC-E29U)(WAT217) / FC-E29U-S31C42 / 3601079
WareNavi7A / 梱包作業用端末(FC-E29U)(WAT218) / FC-E29U-S31C42 / 3601070
WareNavi7A / 梱包作業用端末(FC-E29U)(WAT219) / FC-E29U-S31C42 / 3601037
WareNavi7A / 梱包作業用端末(FC-E29U)(WAT220) / FC-E29U-S31C42 / 3601039
WareNavi7A / 行バラシ分割用端末(FC-E29U)(WAT221) / FC-E29U-S31C42 / 3601086
WareNavi7A / 端末予備機(FC-E29U)(WAT991) / FC-E29U-S31C42 / 3601083
WareNavi7A / 端末予備機(FC-E29U)(WAT992) / FC-E29U-S31C42 / 3601067
WareNavi7A / MOSⅦ本体(FC-E22K)(MOSZ001) / FC-E22K-L / 4602319
WareNavi7A / MOSⅦ本体(FC-E22K)(MOSZ002) / FC-E22K-L / 4602320
WareNavi7A / MOSⅦ本体(FC-E22K)(MOSZ003) / FC-E22K-L / 4602321
AWC-500N / AWCｻｰﾊﾞ（Express5800/T120g）(AWC001) / N8100-2456Y / 7600557
SAM(既設) / SAMｻｰﾊﾞ（Express5800/T120g）(SAM001) / N8100-2456Y / 7600558
SAM(既設) / SAMｻｰﾊﾞ（Express5800/T120g）(SAM002) / N8100-2456Y / 7600560
SAM(既設) / SAMｻｰﾊﾞ（Express5800/T120g）(SAM003) / N8100-2456Y / 7600561
SAM(既設) / SAMｻｰﾊﾞ（Express5800/T120g）(SAM004) / N8100-2456Y / 7600562
SAM(既設) / SAMｻｰﾊﾞ（Express5800/T120g）(SAM005) / N8100-2456Y / 7600563
SAM(既設) / SAMｻｰﾊﾞ予備機（Express5800/T120g）(SAM001予備) / N8100-2456Y / 7600559</t>
  </si>
  <si>
    <t>ブランド / 機器構成名(個体名) / 型式 / シリアル番号
AWC7 Framework / AWC7本体(FC-S36W)(AWC001) / FC-S36W-143CV7 / 2Z00951
AWC7 Framework / AWC7端末(FC-E29U)(WAT001) / FC-E29U-S31C42 / 3600969
AWC7 Framework / AWC7端末(FC-E29U)(WAT002) / FC-E29U-S31C42 / 3601002</t>
  </si>
  <si>
    <t>ブランド / 機器構成名(個体名) / 型式 / シリアル番号
AWC4 Framework / AWC4本体(HF-W6555)(AWC001) / HJ-6555-WEJD/DF03 / 4236390-1
AWC4 Framework / AWC4予備機(HF-W6555)(AWC002) / HJ-6555-WEJD/DF03 / 4236391-1
AWC4 Framework / AWC4端末(HF-W2045)(WAT001) / HJ-2045-WEJA/DF03 / 4236403-1</t>
  </si>
  <si>
    <t>株式会社日本自然発酵</t>
  </si>
  <si>
    <t>春日井物流センター</t>
  </si>
  <si>
    <t>2019012302-216-1</t>
  </si>
  <si>
    <t>23206A159-001</t>
  </si>
  <si>
    <t>ブランド / 機器構成名(個体名) / 型式 / シリアル番号
AWC4 Framework / AWC4本体 (FC-S35W/S7)(AWC001) / FC-S35W/S72CL9 / S780410MA</t>
  </si>
  <si>
    <t>2404-003</t>
  </si>
  <si>
    <t>ブランド / 機器構成名(個体名) / 型式 / シリアル番号
WareNavi4 Framework / ﾍﾟｰｼﾞﾌﾟﾘﾝﾀ(PL311) / P6020LE / 48QS-118986
WareNavi4 Framework / ﾍﾟｰｼﾞﾌﾟﾘﾝﾀ(PL001) / P6020LE / 48QS-118990
WareNavi4 Framework / ﾍﾟｰｼﾞﾌﾟﾘﾝﾀ(PL101) / P6020LE / 48QS-118984
WareNavi4 Framework / ﾍﾟｰｼﾞﾌﾟﾘﾝﾀ(PL102) / P6020LE / 48QS-118983
WareNavi4 Framework / ﾍﾟｰｼﾞﾌﾟﾘﾝﾀ(PL104) / P6020LE / 48QS-118971
WareNavi4 Framework / ﾍﾟｰｼﾞﾌﾟﾘﾝﾀ(PL106) / P6020LE / 48QS-118974
WareNavi4 Framework / ﾍﾟｰｼﾞﾌﾟﾘﾝﾀ(PL103) / P6020LE / 48QS-118994
WareNavi4 Framework / ﾍﾟｰｼﾞﾌﾟﾘﾝﾀ(PL105) / P6020LE / 48QS-118987
WareNavi4 Framework / ﾍﾟｰｼﾞﾌﾟﾘﾝﾀ(PL301) / P6020LE / 48QS-118944
WareNavi4 Framework / ﾍﾟｰｼﾞﾌﾟﾘﾝﾀ(PL302) / P6020LE / 48QS-118993
WareNavi4 Framework / ﾍﾟｰｼﾞﾌﾟﾘﾝﾀ(PL303) / P6020LE / 48QS-118989</t>
  </si>
  <si>
    <t>【ﾊﾟｯｸ契約】SGH321NQSG / 【ﾊﾟｯｸ契約】SGH321NQSM</t>
  </si>
  <si>
    <t>ブランド / 機器構成名(個体名) / 型式 / シリアル番号
WareNavi4 Framework / WareNavi4ｻｰﾊﾞ/主系(HA8000V/ML30 Gen10 Plus)(WNSVR01) / TQFD73-P45874-B21 / SGH321NQSM
WareNavi4 Framework / WareNavi4ｻｰﾊﾞ/待機系(HA8000V/ML30 Gen10 Plus)(WNSVR02) / TQFD73-P45874-B21 / SGH321NQSG</t>
  </si>
  <si>
    <t>稲沢第２センター</t>
  </si>
  <si>
    <t>稲沢第２センター　マテハン設備</t>
  </si>
  <si>
    <t>【ﾊﾟｯｸ契約】NAS / 【ﾊﾟｯｸ契約】ｻｰﾊﾞ</t>
  </si>
  <si>
    <t>23220-204-001</t>
  </si>
  <si>
    <t>【システム点検】※UNIXサーバの為、診断対象外。　/【契約情報：AWC】</t>
  </si>
  <si>
    <t>ブランド / 機器構成名(個体名) / 型式 / シリアル番号
AWC-500U / 外部共有ﾃﾞｨｽｸ(NAS001) / 2072-2N4 / 781Z5R7</t>
  </si>
  <si>
    <t>2018090409-216-1</t>
  </si>
  <si>
    <t>ブランド / 機器構成名(個体名) / 型式 / シリアル番号
SAM / SAM（FC-E22U）(SAM) / FC-E22U-S / 6900772
SAM / 実績収集PC（FC-E22U）(RESPC) / FC-E22U-S / 6900765
AWC-500U / RFM兼AWC端末（FC-E22U）(WAT003) / FC-E22U-S / 6900763</t>
  </si>
  <si>
    <t>ホクショー</t>
  </si>
  <si>
    <t>BT03997-00</t>
  </si>
  <si>
    <t>2020121604-216-1 / 2025031807-224-1</t>
  </si>
  <si>
    <t>●上位　/【契約情報：エージング倉庫】</t>
  </si>
  <si>
    <t>ブランド / 機器構成名(個体名) / 型式 / シリアル番号
eAWC Framework(ｴｰｼﾞﾝｸﾞ) / eAWC本体(FC-S36W)(eAWC001) / FC-S36W-133CW4 / 4600376
eAWC Framework(ｴｰｼﾞﾝｸﾞ) / eAWC端末 (FC-E22U-S)(WAT006) / FC-E22U-S / 7603101</t>
  </si>
  <si>
    <t>2020121017-216-1</t>
  </si>
  <si>
    <t>●上位　/【契約情報：原材料倉庫】</t>
  </si>
  <si>
    <t>ブランド / 機器構成名(個体名) / 型式 / シリアル番号
eAWC Framework(原材料) / eAWC端末(FC-E22U)(WAT002) / FC-E22U-S / 8405848
eAWC Framework(原材料) / eAWC端末(FC-E22U)(WAT003) / FC-E22U-S / 8405838</t>
  </si>
  <si>
    <t>ブランド / 機器構成名(個体名) / 型式 / シリアル番号
DAM / DAM本体(FC-S36W)(DAM) / FC-S36W-113CW5 / 4200165</t>
  </si>
  <si>
    <t>2021041608-216-1 / 2021043024-221-1</t>
  </si>
  <si>
    <t>ブランド / 機器構成名(個体名) / 型式 / シリアル番号
SAM / SAM本体(FC-S36W)(SAMZ101) / FC-S36W-143CV7 / 0500194
SAM / MOSⅦ(FC-E27B)(MOS01) / FC-E27B-S / 0711914</t>
  </si>
  <si>
    <t>ブランド / 機器構成名(個体名) / 型式 / シリアル番号
LPM / ｵｰﾄﾗﾍﾞﾗ(LBRZ101) / LR4121SR-TSB / JC000061
LPM / ｵｰﾄﾗﾍﾞﾗ(LBRZ102) / LR4121SR-TSB / JC000062
LPM / ｵｰﾄﾗﾍﾞﾗ(LBRZ103) / LR4121SR-TSB / JC000063
LPM / ｵｰﾄﾗﾍﾞﾗ(LBRZ201) / LR4121SR-TSB / JC000064
LPM / ｵｰﾄﾗﾍﾞﾗ(LBRZ202) / LR4121SR-TSB / JC000065
LPM / ｵｰﾄﾗﾍﾞﾗ(LBRZ203) / LR4121SR-TSB / JC000066
LPM / ｵｰﾄﾗﾍﾞﾗ(LBRZ301) / LR4121SR-TSB / JC000067
LPM / ｵｰﾄﾗﾍﾞﾗ(LBRZ302) / LR4121SR-TSB / JC000068
LPM / ｵｰﾄﾗﾍﾞﾗ(LBRZ303) / LR4121SR-TSB / JC000069</t>
  </si>
  <si>
    <t>アルテミラ製缶株式会社</t>
  </si>
  <si>
    <t>缶保管搬送システム</t>
  </si>
  <si>
    <t>CE150363 / CE451870</t>
  </si>
  <si>
    <t>21211-052-001</t>
  </si>
  <si>
    <t>ブランド / 機器構成名(個体名) / 型式 / シリアル番号
MC / ﾏﾃﾊﾝｻｰﾊﾞ(SPARC M10-1)(AWC01) / SPMAKAA1EF / PT32035022
MC / ｺﾝｿｰﾙ端末(PRIMERGY RX1330 M4)(WAT004) / PYR1334R3S / MAHV020726
MC / 端末(ESPRIMO D7012/M)(wat001) / FMVD56001 / R202403271
MC / 端末(ESPRIMO D7012/M)(wat002) / FMVD56001 / R202403272
MC / 端末(ESPRIMO D7012/M) / 事務所(wat003) / FMVD56001 / R202403273</t>
  </si>
  <si>
    <t>春日井製菓株式会社</t>
  </si>
  <si>
    <t>春日井工場</t>
  </si>
  <si>
    <t>配送センター自動倉庫システム</t>
  </si>
  <si>
    <t>2018062602-216-1</t>
  </si>
  <si>
    <t>23206-652-001</t>
  </si>
  <si>
    <t>ブランド / 機器構成名(個体名) / 型式 / シリアル番号
CMC / CMC (FC-S35W/S4)(CMC001) / FC-S35W/S42CM0 / S720441MA</t>
  </si>
  <si>
    <t>ブランド / 機器構成名(個体名) / 型式 / シリアル番号
AWC4 Framework / AWC4本体(HF-W6555)(AWC001) / HJ-6555-WEJD/7R / 4235986-1</t>
  </si>
  <si>
    <t>ブランド / 機器構成名(個体名) / 型式 / シリアル番号
AWC7 Framework / AWC7本体(FC-S36W)(AWC001) / FC-S36W-143CV7 / 2Z00947
AWC7 Framework / AWC7端末(FC-E29U)(WAT001) / FC-E29U-S31C42 / 3600979
AWC7 Framework / AWC7端末(FC-E29U)(WAT002) / FC-E29U-S31C42 / 3601011
AWC7 Framework / AWC7端末(FC-E29U)(WAT003) / FC-E29U-S31C42 / 3601020</t>
  </si>
  <si>
    <t>ブランド / 機器構成名(個体名) / 型式 / シリアル番号
SAM / SAM本体 (FC-S36W)(SAMSV) / FC-S36W-143CV7 / 2X00906
SAM / 進捗端末 (FC-E29U)(SAM03) / FC-E29U-S31C42 / 3200587</t>
  </si>
  <si>
    <t>本社・尾張旭工場</t>
  </si>
  <si>
    <t>2023091304-224-1 / 2023091306-224-1 / 2023091308-224-1</t>
  </si>
  <si>
    <t>ブランド / 機器構成名(個体名) / 型式 / シリアル番号
WareNavi7A / WareNavi7本体(FC-S36W)(WNA01) / FC-S36W-143CV7 / 2900803
WareNavi7A / 作業端末(FC-E29U)(WATA01) / FC-E29U-S31C42 / 2Z00355
WareNavi7A / 作業端末(FC-E29U)(WATB01) / FC-E29U-S31C42 / 2Z00356
WareNavi7A / 作業端末(FC-E29U)(WATB02) / FC-E29U-S31C42 / 2Z00356
WareNavi7A / 作業端末(FC-E29U)(WATB03) / FC-E29U-S31C42 / 2Z00373
WareNavi7A / ﾘｼﾞｪｸﾄ端末(FC-E29U)(WATA02) / FC-E29U-S31C42 / 2Z00365
WareNavi7A / MOSⅦ本体(FC-E27B)(MOSA001) / FC-E27B-SR / 2800360</t>
  </si>
  <si>
    <t>貝印株式会社</t>
  </si>
  <si>
    <t>関田原流通センター</t>
  </si>
  <si>
    <t>CSｼｽﾃﾑ（ﾘﾆｭｱﾙ機種AGC・STV）</t>
  </si>
  <si>
    <t>CE451898</t>
  </si>
  <si>
    <t>21205-058-001</t>
  </si>
  <si>
    <t>　/【契約情報：ハードのみの契約】</t>
  </si>
  <si>
    <t>ブランド / 機器構成名(個体名) / 型式 / シリアル番号
CMC / CMC (SPARC M10-1)(RTS01) / SPMAKAA1EF / PZ32048001
CMC / ｺﾝｿｰﾙ端末 (PRIMERGY RX1330 M4)(WAT000) / PYR1334R3S / MAHV023788</t>
  </si>
  <si>
    <t>西美濃農業協同組合</t>
  </si>
  <si>
    <t>海津集出荷センター</t>
  </si>
  <si>
    <t>青果物集出荷システム（MSS2)</t>
  </si>
  <si>
    <t>2019060408-216-1</t>
  </si>
  <si>
    <t>21321-017-001</t>
  </si>
  <si>
    <t>ブランド / 機器構成名(個体名) / 型式 / シリアル番号
AWC-800U / 管理端末（FC-E22U）(WSC01) / FC-E22U-S / 7402787
AWC-800U / 分岐PC（FC-E22U）(WSC02) / FC-E22U-S / 7402775</t>
  </si>
  <si>
    <t>2024111414-224-1 / 2024111420-224-1</t>
  </si>
  <si>
    <t>ブランド / 機器構成名(個体名) / 型式 / シリアル番号
AWC-800U / ﾄﾞｯﾄｲﾝﾊﾟｸﾄﾌﾟﾘﾝﾀ(LPR01) / PR-D700XEN / 3900003UA
AWC-800U / 9Y-MOS (FC-E22U)(9Y-MOS) / FC-E22U-S / 0513262</t>
  </si>
  <si>
    <t>CE150335 / CE1002001</t>
  </si>
  <si>
    <t>ブランド / 機器構成名(個体名) / 型式 / シリアル番号
AWC-800U / AWCｻｰﾊﾞ (SPARC M12-1)(AWC01) / SPNAAAA4EF / PZ72336015
AWC-800U / AWCｻｰﾊﾞ (SPARC M12-1)(AWC01) / 無停電電源装置(1500VA,ﾗｯｸﾏｳﾝﾄ)PY-UPAR152 / TT320A0134</t>
  </si>
  <si>
    <t>2022042806-221-1</t>
  </si>
  <si>
    <t>【システム点検】※プロダクト対象外の為、診断対象外。　/【契約情報：出荷制御PC】</t>
  </si>
  <si>
    <t>ブランド / 機器構成名(個体名) / 型式 / シリアル番号
出荷制御PC / 出荷制御PC (FC-S22U/S7)(出荷PC) / FC-S22U/S71R6Z / S760300MA</t>
  </si>
  <si>
    <t>事業統括本部　中部支店</t>
  </si>
  <si>
    <t>ブランド / 機器構成名(個体名) / 型式 / シリアル番号
AWC-500N / AWC本体(FC-S36W)(AWC001) / FC-S36W-133CW4 / 9800102
DPM / DPM(FC-S36W)(DPM01) / FC-S36W-133CW4 / 9800104</t>
  </si>
  <si>
    <t>アサヒビール株式会社</t>
  </si>
  <si>
    <t>名古屋工場</t>
  </si>
  <si>
    <t>1号自動倉庫設置工事</t>
  </si>
  <si>
    <t>2021041506-216-1 / 2025120919-225-1</t>
  </si>
  <si>
    <t>23113-005-001</t>
  </si>
  <si>
    <t>ブランド / 機器構成名(個体名) / 型式 / シリアル番号
WareNavi7 / WareNavi7ｻｰﾊﾞ (Express5800/R320g-M4)(WN7-001) / N8800-256Y / 0Y00207
WareNavi7 / MOSⅦ(MOS01) / FC-E27B-S / 0912179</t>
  </si>
  <si>
    <t>日医工岐阜工場株式会社</t>
  </si>
  <si>
    <t>薬品仕分け配送システム</t>
  </si>
  <si>
    <t>21203-047-001</t>
  </si>
  <si>
    <t>【システム点検】※プロダクト対象外の為、診断対象外。　/【契約情報：配送センター】</t>
  </si>
  <si>
    <t>ブランド / 機器構成名(個体名) / 型式 / シリアル番号
AWC7 Framework(配送ｾﾝﾀｰ) / ﾗﾍﾞﾙﾌﾟﾘﾝﾀ(LBP01) / CL4NX-J08 Plus / HM100115</t>
  </si>
  <si>
    <t>2024012205-224-1</t>
  </si>
  <si>
    <t>【システム点検】※FTサーバの為、診断対象外。　/【契約情報：原材料】</t>
  </si>
  <si>
    <t>ブランド / 機器構成名(個体名) / 型式 / シリアル番号
AWC-800N(原材料) / AWCｻｰﾊﾞ(Express5800/R320f-E4)(AWC2000) / N8800-218Y / 9300229</t>
  </si>
  <si>
    <t>2025041027-224-1</t>
  </si>
  <si>
    <t>【システム点検】※FTサーバの為、診断対象外。　/【契約情報：受入倉庫】</t>
  </si>
  <si>
    <t>ブランド / 機器構成名(個体名) / 型式 / シリアル番号
AWC4 Ordermade / 統括CMC(Express5800/R320h-E4)(AWC7000) / N8800-301Y / 2400449
AWC4 Ordermade / ｻｰﾊﾞ用UPS(AWC7000) / 無停電電源装置(1500VA,ﾗｯｸﾏｳﾝﾄ)N8142-101 / J12152110236
AWC4 Ordermade / ｻｰﾊﾞ用UPS(AWC7000) / 無停電電源装置(1500VA,ﾗｯｸﾏｳﾝﾄ)N8142-101 / J12152110239
AWC4 Ordermade / AWCｻｰﾊﾞ(Express5800/R320h-E4)(AWC6000) / N8800-301Y / 2400450
AWC4 Ordermade / ｻｰﾊﾞ用UPS(AWC6000) / 無停電電源装置(1500VA,ﾗｯｸﾏｳﾝﾄ)N8142-101 / J12152110235
AWC4 Ordermade / ｻｰﾊﾞ用UPS(AWC6000) / 無停電電源装置(1500VA,ﾗｯｸﾏｳﾝﾄ)N8142-101 / J12152110238</t>
  </si>
  <si>
    <t>2024120604-224-1</t>
  </si>
  <si>
    <t>【システム点検】※プロダクト対象外の為、診断対象外。　/【契約情報：第３固形剤棟】</t>
  </si>
  <si>
    <t xml:space="preserve">ブランド / 機器構成名(個体名) / 型式 / シリアル番号
AWC7 Framework(第3固形剤) / AWCｻｰﾊﾞ (Express5800/R320h-E4)(AWC5000) / N8800-311Y / 4300526
AWC7 Framework(第3固形剤) / ｻｰﾊﾞ用UPS(AWC5000) / 無停電電源装置(1500VA,ﾗｯｸﾏｳﾝﾄ)N8142-101 / 
AWC7 Framework(第3固形剤) / ｻｰﾊﾞ用UPS(AWC5000) / 無停電電源装置(1500VA,ﾗｯｸﾏｳﾝﾄ)N8142-101 / </t>
  </si>
  <si>
    <t>2024012207-224-1</t>
  </si>
  <si>
    <t>【システム点検】※FTサーバの為、診断対象外。　/【契約情報：第３注射剤】</t>
  </si>
  <si>
    <t>ブランド / 機器構成名(個体名) / 型式 / シリアル番号
AWC-800N(第3注射剤) / AWCｻｰﾊﾞ(Express5800/R320f-E4)(AWC4000) / N8800-218Y / 9300228</t>
  </si>
  <si>
    <t>2024120606-224-1</t>
  </si>
  <si>
    <t xml:space="preserve">ブランド / 機器構成名(個体名) / 型式 / シリアル番号
AWC7 Framework(配送ｾﾝﾀｰ) / AWC7ｻｰﾊﾞ (Express5800/R320h-E4)(AWC1000) / N8800-311Y / 4400563
AWC7 Framework(配送ｾﾝﾀｰ) / ｻｰﾊﾞ用UPS(AWC1000) / 無停電電源装置(1500VA,ﾗｯｸﾏｳﾝﾄ)N8142-101 / 
AWC7 Framework(配送ｾﾝﾀｰ) / ｻｰﾊﾞ用UPS(AWC1000) / 無停電電源装置(1500VA,ﾗｯｸﾏｳﾝﾄ)N8142-101 / </t>
  </si>
  <si>
    <t>2022082606-221-1</t>
  </si>
  <si>
    <t>【システム点検】※FTサーバの為、診断対象外。　/【契約情報：本棟】</t>
  </si>
  <si>
    <t>ブランド / 機器構成名(個体名) / 型式 / シリアル番号
AWC-800N(本棟) / AWCｻｰﾊﾞ(Express5800/R320e-M4)(AWC0001) / N8800-202Y / 7800287</t>
  </si>
  <si>
    <t>ブランド / 機器構成名(個体名) / 型式 / シリアル番号
AWC4 Framework / AWC4本体(FA3100SS model 1000)(AWC001) / UD431016-01-DHT / OEV249</t>
  </si>
  <si>
    <t>ブランド / 機器構成名(個体名) / 型式 / シリアル番号
AWC7 Framework / AWC7本体 (FC-S36W)(AWC001) / FC-S36W-143CV7 / 3601007</t>
  </si>
  <si>
    <t>中部支店</t>
  </si>
  <si>
    <t>2022060606-221-1 / 2024101610-224-1</t>
  </si>
  <si>
    <t>23219-943-001</t>
  </si>
  <si>
    <t>ブランド / 機器構成名(個体名) / 型式 / シリアル番号
WareNavi4 Framework / WareNavi4ｻｰﾊﾞ(Express5800/R320f-E4)(AWC015) / N8800-218Y / 9X00289
WareNavi4 Framework / 無線ﾏﾈｰｼﾞｬ(FC-E22U)(RFM001) / FC-E22U-S / 0413154
WareNavi4 Framework / 無線ﾏﾈｰｼﾞｬ(FC-E22U)(RFM002) / FC-E22U-S / 0413153
WareNavi4 Framework / WareNavi4端末(FC-E22U)(WAT001) / FC-E22U-S / 0413150</t>
  </si>
  <si>
    <t>ブランド / 機器構成名(個体名) / 型式 / シリアル番号
AWC4 Framework / AWC4本体(FA3100T model 800)(AWC001) / UA538020-DF2-CKC-A2153 / OHA186</t>
  </si>
  <si>
    <t>鳥栖第1CS</t>
  </si>
  <si>
    <t>シリンダー格納自動倉庫</t>
  </si>
  <si>
    <t>FA193</t>
  </si>
  <si>
    <t>40225A100-001</t>
  </si>
  <si>
    <t>ブランド / 機器構成名(個体名) / 型式 / シリアル番号
AWC4 Basic / AWC4本体 (FA3100SS model 1000)(AWC001) / UD431016-01-DHT / OEX045</t>
  </si>
  <si>
    <t>2023110806-224-1 / 2023110809-224-1</t>
  </si>
  <si>
    <t>ブランド / 機器構成名(個体名) / 型式 / シリアル番号
SAM / SAM(FC-S36W)(SAM101) / FC-S36W-143CV7 / 2900814
DPM / DPM(FC-S36W)(DPM201) / FC-S36W-143CV7 / 2900815
DPM / DPM(FC-S36W)(DPM202) / FC-S36W-143CV7 / 2900807
LPM / LPM(FC-S36W)(LPM101) / FC-S36W-143CV7 / 2900806
LPM / LPM(FC-S36W)(LPM201) / FC-S36W-143CV7 / 2900817
SAM / MOSⅦ本体(FC-E27B)(MOSZ101) / FC-E27B-SR / 2800364</t>
  </si>
  <si>
    <t>ブランド / 機器構成名(個体名) / 型式 / シリアル番号
AWC7 Basic / AWC7本体(HF-W6560)(AWC002) / HJ-6560-WFJB/7R / 4530009-8</t>
  </si>
  <si>
    <t>ブランド / 機器構成名(個体名) / 型式 / シリアル番号
eAWC Framework / eAWC本体(HF-W6555)(AWC01) / HJ-6555-WBJD/DF01 / 4233572-1</t>
  </si>
  <si>
    <t>2024101604-224-1 / 2020120802-216-1</t>
  </si>
  <si>
    <t>ブランド / 機器構成名(個体名) / 型式 / シリアル番号
AWC-800N / AWC本体(FC-S35W/S7)(AWC001) / FC-S35W/S72CL9 / S810271MA
AWC-800N / AWC端末(FC-E22U)(WAT001) / FC-E22U-S / 8706841
AWC-800N / 9Y-MOS(FC-E22U)(MOS01) / FC-E22U-S / 9710377</t>
  </si>
  <si>
    <t>2022121606-221-1</t>
  </si>
  <si>
    <t>ブランド / 機器構成名(個体名) / 型式 / シリアル番号
AWC4 Framework / AWC4ｻｰﾊﾞ(Express5800/R320e-E4)(AWC001) / N8800-236Y / 8100214</t>
  </si>
  <si>
    <t>ブランド / 機器構成名(個体名) / 型式 / シリアル番号
AWC7 Basic / AWC7本体(HF-W6555)(AWC001) / HJ-6555-WEJD/DF05 / 4240138-1
AWC7 Basic / AWC7端末(HF-W2050)(WAT001) / HJ-2050-WEMA/DF03 / 8053103-1
AWC7 Basic / AWC7端末(HF-W2050)(WAT002) / HJ-2050-WEMA/DF03 / 8053103-2
AWC7 Basic / AWC7端末(HF-W2050)(WAT003) / HJ-2050-WEMA/DF03 / 8053101-5</t>
  </si>
  <si>
    <t>吉田海運ロジソリューションズ株式会社</t>
  </si>
  <si>
    <t>小郡物流センター</t>
  </si>
  <si>
    <t>2021031502-216-1 / 2025031920-224-1</t>
  </si>
  <si>
    <t>40216A107-001</t>
  </si>
  <si>
    <t>ブランド / 機器構成名(個体名) / 型式 / シリアル番号
WareNavi7 / WareNavi7ｻｰﾊﾞ(Express5800/R320g-M4)(WN7-001) / N8800-256Y / 0200130
WareNavi7 / MOSⅦ(MOS01) / FC-E27B-S / 0110910</t>
  </si>
  <si>
    <t>2022061014-221-1 / 2022061016-221-1</t>
  </si>
  <si>
    <t>ブランド / 機器構成名(個体名) / 型式 / シリアル番号
eye-navi / DPMｻｰﾊﾞ (FC-S36W)(PCM01) / FC-S36W-143CV7 / 0X00290
eye-navi / DPM (FC-S36W)(DPM01) / FC-S36W-143CV7 / 0X00285
eye-navi / DPM (FC-S36W)(DPM02) / FC-S36W-143CV7 / 0900275
eye-navi / ﾏﾈｰｼﾞｬ予備機 (FC-S36W)(予備機) / FC-S36W-143CV7 / 0X00282
eye-navi / 寄せ端末 (FC-E22U)(WAT01) / FC-E22U-S / 0Z15108
eye-navi / 寄せ端末 (FC-E22U)(WAT02) / FC-E22U-S / 0Z15113</t>
  </si>
  <si>
    <t>ブランド / 機器構成名(個体名) / 型式 / シリアル番号
eye-navi / ﾗﾍﾞﾙﾌﾟﾘﾝﾀ(LPR001) / CL4NX-J08 Plus / EJ101447
eye-navi / ﾗﾍﾞﾙﾌﾟﾘﾝﾀ(LPR002) / CL4NX-J08 Plus / EJ101449
eye-navi / ﾗﾍﾞﾙﾌﾟﾘﾝﾀ(LPR003) / CL4NX-J08 Plus / EJ101445
eye-navi / ﾗﾍﾞﾙﾌﾟﾘﾝﾀ(LPR004) / CL4NX-J08 Plus / EJ101446
eye-navi / ﾗﾍﾞﾙﾌﾟﾘﾝﾀ(LPR予備) / CL4NX-J08 Plus / EJ101444</t>
  </si>
  <si>
    <t>【システム点検】※UNIXサーバの為、診断対象外。　/【契約情報：10年保守】</t>
  </si>
  <si>
    <t>ブランド / 機器構成名(個体名) / 型式 / シリアル番号
AWC-800U(ｺﾝﾍﾞﾔｻｰﾊﾞ) / ｺﾝﾍﾞﾔｻｰﾊﾞ (EP8000 S914)(AWC002) / THE-C900941A623B / 66727
AWC-800U(ｺﾝﾍﾞﾔｻｰﾊﾞ) / ｺﾝﾍﾞﾔｻｰﾊﾞ予備機 (EP8000 S914)(AWC002予備) / THE-C900941A623B / 66728</t>
  </si>
  <si>
    <t>2025080826-224-1 / 2025080828-224-1</t>
  </si>
  <si>
    <t>ブランド / 機器構成名(個体名) / 型式 / シリアル番号
AWC-800U(ｺﾝﾍﾞﾔｻｰﾊﾞ) / ｺﾝｿｰﾙ端末 (FC-S36W)(WAT201) / FC-S36W-133CW4 / 3X00266
AWC-800U(ｺﾝﾍﾞﾔｻｰﾊﾞ) / ﾘｼﾞｪｸﾄ端末 (FC-S36W)(WAT203) / FC-S36W-133CW4 / 3X00287
AWC-800U(ｺﾝﾍﾞﾔｻｰﾊﾞ) / 現場端末 (FC-S36W)(WAT202) / FC-S36W-133CW4 / 3X00278
AWC-500N / AWCｻｰﾊﾞ (FC-R24W)(AWC001) / FC-R24W-L1 / 3X00647
AWC-500N / AWCｻｰﾊﾞ/CRMｻｰﾊﾞ兼用予備機 (FC-R24W)(RSV001) / FC-R24W-L1 / 3X00646
AWC-500N / 自動倉庫端末 (FC-S36W)(WAT101) / FC-S36W-133CW4 / 3X00279
CRM / CRMｻｰﾊﾞ (FC-R24W)(CRM001) / FC-R24W-L1 / 3X00645
CRM / CRM端末 (FC-S36W)(DPM301) / FC-S36W-133CW4 / 3X00272
DPM / DPM (FC-S36W)(DPM201) / FC-S36W-133CW4 / 3X00271
DPM / DPM (FC-S36W)(DPM202) / FC-S36W-133CW4 / 3800261
DPM / DPM/CRM端末兼用予備機 (FC-S36W)(WAT204) / FC-S36W-133CW4 / 3800264</t>
  </si>
  <si>
    <t>2025070713-221-1 / 2025070715-221-1 / 2025070717-221-1 / 2025070719-221-1</t>
  </si>
  <si>
    <t>ブランド / 機器構成名(個体名) / 型式 / シリアル番号
SAM(ｵｰﾀﾞｰｽﾀｰﾄ) / ｵｰﾀﾞｰｽﾀｰﾄｻｰﾊﾞ (FC-S36W)(SAM002) / FC-S36W-113CW5 / 2Y00150
SAM(ｵｰﾀﾞｰｽﾀｰﾄ) / ｵｰﾀﾞｰｽﾀｰﾄｻｰﾊﾞ予備機 (FC-S36W)(SAM002予備機) / FC-S36W-113CW5 / 2Y00151
SAM(ｵｰﾀﾞｰｽﾀｰﾄ) / MOSⅦ本体 (FC-E27B)(MOSZ001) / FC-E27B-SR / 2800383
SAM(重量検品) / 重量検品ｻｰﾊﾞ (FC-S36W)(SAM003) / FC-S36W-113CW5 / 2Y00152
SAM(重量検品) / 重量検品ｻｰﾊﾞ予備機 (FC-S36W)(SAM003予備) / FC-S36W-113CW5 / 2Y00153
SAM(重量検品) / ﾘｼﾞｪｸﾄ端末 (FC-E29U)(WAT401) / FC-E29U-S31C42 / 2Z00289
SAM(重量検品) / ﾓﾆﾀ表示端末 (FC-E29U)(WAT501) / FC-E29U-S31C42 / 2Z00280
SAM(重量検品) / ﾓﾆﾀ表示端末 (FC-E29U)(WAT502) / FC-E29U-S31C42 / 2Z00294
SAM(重量検品) / ﾓﾆﾀ表示端末 (FC-E29U)(WAT503) / FC-E29U-S31C42 / 2Z00298
SAM(重量検品) / ﾓﾆﾀ表示端末 (FC-E29U)(WAT504) / FC-E29U-S31C42 / 2Z00292
SAM(重量検品) / MOSⅦ端末 (FC-P31X)(MOTZ002) / FC-P31X-L1 / 2600975
SAM(重量検品) / MOSⅦ端末 (FC-P31X)(MOTZ003) / FC-P31X-L1 / 2600959
LPM / LPM (FC-S36W)(LPM401) / FC-S36W-143CV7 / 2800768
LPM / LPM (FC-S36W)(LPM402) / FC-S36W-143CV7 / 2800759
LPM / LPM (FC-S36W)(LPM403) / FC-S36W-143CV7 / 2800754
LPM / LPM予備機 (FC-S36W)(LPM予備機) / FC-S36W-143CV7 / 2800756</t>
  </si>
  <si>
    <t>ブランド / 機器構成名(個体名) / 型式 / シリアル番号
eAWC Ordermade / eAWC本体(HF-W6555)(AWC002) / HJ-6555-WBJD/DF01 / 4233842-1</t>
  </si>
  <si>
    <t>ブランド / 機器構成名(個体名) / 型式 / シリアル番号
eAWC Ordermade / eAWCｻｰﾊﾞ (HF-W6555)(AWC001) / HJ-6555-WBJD/DF01 / 4233841-1</t>
  </si>
  <si>
    <t>鳥栖第2CS</t>
  </si>
  <si>
    <t>株式会社ＳＵＭＣＯ</t>
  </si>
  <si>
    <t>伊万里ソーラー工場</t>
  </si>
  <si>
    <t>コンテナ倉庫保管システム</t>
  </si>
  <si>
    <t>2024121705-224-1 / 2024122418-224-1</t>
  </si>
  <si>
    <t>41205-073-001</t>
  </si>
  <si>
    <t>ブランド / 機器構成名(個体名) / 型式 / シリアル番号
AWC7 Framework / AWC7ｻｰﾊﾞ(Express5800/R320h-M4)(AWC002) / N8800-302Y / 1700115
AWC7 Framework / AWC7ｻｰﾊﾞ用UPS(UPS001) / 無停電電源装置(1500VA)N8180-67 / J12118212384
AWC7 Framework / AWC7ｻｰﾊﾞ用UPS(UPS002) / 無停電電源装置(1500VA)N8180-67 / J12118212401
AWC7 Framework / AWC7端末(FC-E22U)(WAT201) / FC-E22U-S / 1415941</t>
  </si>
  <si>
    <t>2024031310-224-1 / 2020031226-216-1</t>
  </si>
  <si>
    <t>ブランド / 機器構成名(個体名) / 型式 / シリアル番号
AWC4 Framework / AWC4ｻｰﾊﾞ (Express5800/T110i)(AWC001) / N8100-2508Y / 9300489
AWC4 Framework / ﾛｰﾙ倉庫出庫端末 (FC-E22U)(WAT001) / FC-E22U-S / 9309187
AWC4 Framework / ﾛｰﾙ倉庫入庫端末 (FC-E22U)(WAT002) / FC-E22U-S / 9309185
AWC4 Framework / ﾍﾞｰｽ倉庫出庫端末 (FC-E22U)(WAT003) / FC-E22U-S / 9309188
AWC4 Framework / ﾍﾞｰｽ倉庫入庫端末 (FC-E22U)(WAT004) / FC-E22U-S / 9309186</t>
  </si>
  <si>
    <t>ブランド / 機器構成名(個体名) / 型式 / シリアル番号
AWC7 Framework / AWC7本体(FC-S36W)(AWC001) / FC-S36W-143CV7 / 3Y01041</t>
  </si>
  <si>
    <t>2021072714-221-1 / 2025120921-225-1 / 2021072712-221-1</t>
  </si>
  <si>
    <t>ブランド / 機器構成名(個体名) / 型式 / シリアル番号
eWareNavi Ordermade / eWareNaviｻｰﾊﾞ(Express5800/R320g-E4)(WMSSVK1) / N8800-255Y / 0Y00500
PCM / PCM(FC-S36W)(PCM) / FC-S36W-113CW5 / 9Y00106
eWareNavi Ordermade / eWareNavi端末/BCR付(FC-E22U)(WMS01) / FC-E22U-S / 0Y14960
eWareNavi Ordermade / eWareNavi端末/BCR付(FC-E22U)(WMS02) / FC-E22U-S / 0Y14966
eWareNavi Ordermade / eWareNavi端末/BCR付(FC-E22U)(WMS03) / FC-E22U-S / 0Y14963
eWareNavi Ordermade / eWareNavi端末/BCR付(FC-E22U)(WMS04) / FC-E22U-S / 0Y14959
eWareNavi Ordermade / eWareNavi端末/BCR付(FC-E22U)(WMS05) / FC-E22U-S / 0Y14958
eWareNavi Ordermade / eWareNavi端末/BCR付(FC-E22U)(WMS06) / FC-E22U-S / 0Y14967
eWareNavi Ordermade / eWareNavi端末/BCR付(FC-E22U)(WMS07) / FC-E22U-S / 0Y14965
eWareNavi Ordermade / eWareNavi端末(FC-E22U)(WMS08) / FC-E22U-S / 0Y14964
eWareNavi Ordermade / eWareNavi端末(FC-E22U)(WMS09) / FC-E22U-S / 0Y14986
eWareNavi Ordermade / eWareNavi端末(FC-E22U)(WMS10) / FC-E22U-S / 0Y14961
eWareNavi Ordermade / eWareNavi端末(FC-E22U)(WMS11) / FC-E22U-S / 0Y14962
eWareNavi Ordermade / AGC MOS(FC-E22U)(MOS01) / FC-E22U-S / 9Z11787
eWareNavi Ordermade / 統括MOS(FC-E22U)(MOS02) / FC-E22U-S / 9Z11786</t>
  </si>
  <si>
    <t>CE1000288 / CE150249</t>
  </si>
  <si>
    <t>ブランド / 機器構成名(個体名) / 型式 / シリアル番号
AWC-800U / AWCｻｰﾊﾞ(SPARC M12-1)(RTS01) / SPNAAAA3EF / PZ72317002
AWC-800U / AWCｻｰﾊﾞ(SPARC M12-1)(RTS01) / 無停電電源装置(1500VA,ﾗｯｸﾏｳﾝﾄ)PY-UPAR152 / TT306A0174
AWC-800U / ｺﾝｿｰﾙ端末(PRIMERGY RX1330 M5)(CONSOLE-PC) / PYR1335R3S / MADM006105</t>
  </si>
  <si>
    <t>2025031339-224-1</t>
  </si>
  <si>
    <t>ブランド / 機器構成名(個体名) / 型式 / シリアル番号
AWC-800U / 9Y-MOS(FC-D28U)(MOS01) / FC-D28U-L / 3X00682</t>
  </si>
  <si>
    <t>2404-006 / 2404-007</t>
  </si>
  <si>
    <t>ブランド / 機器構成名(個体名) / 型式 / シリアル番号
AWC-800U / CCR端末(HF-W2050)(WSC01) / HJ-2050-WEMA/DF03 / 8055441-9
AWC-800U / CCM用端末(HF-W2050)(WSC02) / HJ-2050-WEMA/DF03 / 8054960-3
AWC-800U / CCM用端末(HF-W2050)(WSC03) / HJ-2050-WEMA/DF03 / 8054960-1
AWC-800U / CCM用端末(HF-W2050)(WSC04) / HJ-2050-WEMA/DF03 / 8054677-8
AWC-800U / CCM用端末(HF-W2050)(WSC05) / HJ-2050-WEMA/DF03 / 8054677-9
AWC-800U / INJ用端末(HF-W2050)(WSC07) / HJ-2050-WEMA/DF03 / 8054677-10
AWC-800U / INJ用端末(HF-W2050)(WSC08) / HJ-2050-WEMA/DF03 / 8054960-2
AWC-800U / INJ用端末(HF-W2050)(WSC09) / HJ-2050-WEMA/DF03 / 8054677-7</t>
  </si>
  <si>
    <t>ブランド / 機器構成名(個体名) / 型式 / シリアル番号
AWC7 Framework / AWC7本体(FC-S36W)(AWC001) / FC-S36W-143CV7 / 1Z00539</t>
  </si>
  <si>
    <t>2024092411-224-1 / 2020061705-216-1</t>
  </si>
  <si>
    <t>ブランド / 機器構成名(個体名) / 型式 / シリアル番号
AWC-800N / AWCｻｰﾊﾞ (Express5800/R320f-M4)(AWC001) / N8800-219Y / 9900156
AWC-800N / 管理端末 (FC-E22U)(WAT000) / FC-E22U-S / 9710284
AWC-800N / AWC端末 (FC-E22U)(WAT001) / FC-E22U-S / 9710381
AWC-800N / AWC端末 (FC-E22U)(WAT002) / FC-E22U-S / 9710373
AWC-800N / AWC端末 (FC-E22U)(WAT003) / FC-E22U-S / 9710372
AWC-800N / AWC端末 (FC-E22U)(WAT004) / FC-E22U-S / 9710292
AWC-800N / AWC端末 (FC-E22U)(WAT005) / FC-E22U-S / 9710298</t>
  </si>
  <si>
    <t>TBCダイナベース</t>
  </si>
  <si>
    <t>13111A195-001</t>
  </si>
  <si>
    <t>ブランド / 機器構成名(個体名) / 型式 / シリアル番号
LPM / ﾗﾍﾞﾙﾌﾟﾘﾝﾀ(LBL101) / CL4NX-J08 / DK101867
LPM / ﾗﾍﾞﾙﾌﾟﾘﾝﾀ(LBL102) / CL4NX-J08 / DK101901
LPM / ﾗﾍﾞﾙﾌﾟﾘﾝﾀ(LBL103) / CL4NX-J08 / DK101960
LPM / ﾗﾍﾞﾙﾌﾟﾘﾝﾀ(LBL301) / CL4NX-J08 / DK101906
WareNavi7 / ﾗﾍﾞﾙﾌﾟﾘﾝﾀ(LBL311) / CL4NX-J08 / DK101915
WareNavi7 / ﾗﾍﾞﾙﾌﾟﾘﾝﾀ(LBL321) / CL4NX-J08 / DK101886
WareNavi7 / ﾗﾍﾞﾙﾌﾟﾘﾝﾀ(LBL331) / CL4NX-J08 / DK101905
WareNavi7 / ﾗﾍﾞﾙﾌﾟﾘﾝﾀ(LBL341) / CL4NX-J08 / DK101899
LPM / ﾗﾍﾞﾙﾌﾟﾘﾝﾀ(LBL405) / CL4NX-J08 / DJ101864
LPM / ﾗﾍﾞﾙﾌﾟﾘﾝﾀ(LBL406) / CL4NX-J08 / DJ101841
LPM / ｵｰﾄﾗﾍﾞﾗ(LR4081SR-TSB)(ALB101) / LR4081SR-TSB / DE000026
LPM / ｵｰﾄﾗﾍﾞﾗ(LR4081SR-TSB)(ALB102) / LR4081SR-TSB / DE000027
LPM / ｵｰﾄﾗﾍﾞﾗ(LR4081SR-TSB)(ALB103) / LR4081SR-TSB / DE000028
LPM / ｵｰﾄﾗﾍﾞﾗ(LR4081SR-TSB)(ALB104) / LR4081SR-TSB / DE000029
LPM / ｵｰﾄﾗﾍﾞﾗ(LR4081SR-TSB)(ALB301) / LR4081SR-TSB / DH000011
LPM / ｵｰﾄﾗﾍﾞﾗ(LR4081SR-TSB)(ALB302) / LR4081SR-TSB / DH000012
LPM / ｵｰﾄﾗﾍﾞﾗ(LR4081SR-TSB)(ALB401) / LR4081SR-TSB / DH000015
LPM / ｵｰﾄﾗﾍﾞﾗ(LR4081SR-TSB)(ALB402) / LR4081SR-TSB / DH000016
LPM / ｵｰﾄﾗﾍﾞﾗ(LR4081SR-TSB)(ALB403) / LR4081SR-TSB / DH000017
LPM / ｵｰﾄﾗﾍﾞﾗ(LR4081SR-TSB)(ALB404) / LR4081SR-TSB / DH000018
LPM / ｵｰﾄﾗﾍﾞﾗ(LR4081SR-TSB)(ALB501) / LR4081SR-TSB / DH000013
LPM / ｵｰﾄﾗﾍﾞﾗ(LR4081SR-TSB)(ALB502) / LR4081SR-TSB / DH000014
LPM / ｵｰﾄﾗﾍﾞﾗ(LR4081SR-TCJ)(ALB105) / LR4081SR-TCJ / DF000023
LPM / ｵｰﾄﾗﾍﾞﾗ(LR4081SR-TCJ)(ALB106) / LR4081SR-TCJ / DF000024
LPM / ｵｰﾄﾗﾍﾞﾗ(LR4081SR-TCJ)(ALB107) / LR4081SR-TCJ / DF000025
LPM / ｵｰﾄﾗﾍﾞﾗ(LR4081SR-TCJ)(ALB108) / LR4081SR-TCJ / DF000026
LPM / ｵｰﾄﾗﾍﾞﾗ(LR4081SR-TCJ)(ALB109) / LR4081SR-TCJ / DF000027
LPM / ｵｰﾄﾗﾍﾞﾗ(LR4081SR-TCJ)(ALB110) / LR4081SR-TCJ / DF000028</t>
  </si>
  <si>
    <t>2024072404-224-1</t>
  </si>
  <si>
    <t>ブランド / 機器構成名(個体名) / 型式 / シリアル番号
eCMC / 9Y-MOS(MOS01) / FC-E22U-S / 9609998
eCMC / 9Y-MOS(MOS02) / FC-E22U-S / 9610000
eCMC / 9Y-MOS(MOS03) / FC-E22U-S / 9609985</t>
  </si>
  <si>
    <t>ブランド / 機器構成名(個体名) / 型式 / シリアル番号
eCMC / eCMC本体 (FC-S36W)(AWC001) / FC-S36W-143CV7 / 2300649</t>
  </si>
  <si>
    <t>宗教法人源覚寺</t>
  </si>
  <si>
    <t>1811-001</t>
  </si>
  <si>
    <t>13105A110-001</t>
  </si>
  <si>
    <t>ブランド / 機器構成名(個体名) / 型式 / シリアル番号
AWC4 Framework / AWC4本体（HF-W6500モデル45）(AWC001) / HJ-65459EWJD/DF01 / 4228321-1</t>
  </si>
  <si>
    <t>東京DLセンター</t>
  </si>
  <si>
    <t>1611-003</t>
  </si>
  <si>
    <t>13108A158-001</t>
  </si>
  <si>
    <t>ブランド / 機器構成名(個体名) / 型式 / シリアル番号
WareNavi7 / WareNavi7本体(HF-W6545)(WN7-001) / HJ-65458EWJD/DF02 / 4227250-1</t>
  </si>
  <si>
    <t>ブランド / 機器構成名(個体名) / 型式 / シリアル番号
WareNavi4 Framework / WareNavi4本体 (HF-W6560)(WMS01) / HJ-6560-WFJB/7R / 4530068-7
WareNavi4 Framework / WareNavi4端末 (HF-W2050)(WAT11) / HJ-2050-WEMA/DF03 / 8056032-3
WareNavi4 Framework / WareNavi4端末 (HF-W2050)(WAT12) / HJ-2050-WEMA/DF03 / 8056032-6
WareNavi4 Framework / WareNavi4端末 (HF-W2050)(WAT13) / HJ-2050-WEMA/DF03 / 8056032-8</t>
  </si>
  <si>
    <t>ブランド / 機器構成名(個体名) / 型式 / シリアル番号
WareNavi4 Framework / WareNavi4本体 (HF-W6560)(WMS01) / HJ-6560-WFJB/7R / 4530068-6
WareNavi4 Framework / WareNavi4端末 (HF-W2050)(WAT11) / HJ-2050-WEMA/DF03 / 8056032-2
WareNavi4 Framework / WareNavi4端末 (HF-W2050)(WAT12) / HJ-2050-WEMA/DF03 / 8056032-5
WareNavi4 Framework / WareNavi4端末 (HF-W2050)(WAT13) / HJ-2050-WEMA/DF03 / 8056032-4
WareNavi4 Framework / WareNavi4端末 (HF-W2050)(WAT14) / HJ-2050-WEMA/DF03 / 8056032-1
WareNavi4 Framework / WareNavi4端末 (HF-W2050)(WAT15) / HJ-2050-WEMA/DF03 / 8056032-7</t>
  </si>
  <si>
    <t>ブランド / 機器構成名(個体名) / 型式 / シリアル番号
AWC-800U / 通信PC (FC-E22U)(ANA15) / FC-E22U-S / 1215465</t>
  </si>
  <si>
    <t>ブランド / 機器構成名(個体名) / 型式 / シリアル番号
AWC-800U / AWC本体 (EP8000 S914)(M70120) / THE-C900941A623T / 71501</t>
  </si>
  <si>
    <t>2025022002-224-1</t>
  </si>
  <si>
    <t>ブランド / 機器構成名(個体名) / 型式 / シリアル番号
WareNavi7(ｵﾝﾗｲﾝ向け) / ﾏﾃﾊﾝｻｰﾊﾞ(Express5800/R320g-E4)(WN7-002) / N8800-240Y / 9X00289
WareNavi7(ｵﾝﾗｲﾝ向け) / MOSｻｰﾊﾞ(Express5800/R320g-E4)(MOSFT) / N8800-249Y / 9Y00104</t>
  </si>
  <si>
    <t>ブランド / 機器構成名(個体名) / 型式 / シリアル番号
WareNavi7(ｵﾝﾗｲﾝ向け) / WareNavi7端末(HF-W2045)(DPM01) / HJ-2045-WEJA/DF03 / 4237503-1
WareNavi7(ｵﾝﾗｲﾝ向け) / WareNavi7端末(HF-W2045)(DPM02) / HJ-2045-WEJA/DF03 / 4237500-1
WareNavi7(ｵﾝﾗｲﾝ向け) / WareNavi7端末(HF-W2045)(DPM03) / HJ-2045-WEJA/DF03 / 4237462-1
WareNavi7(ｵﾝﾗｲﾝ向け) / WareNavi7端末/BCR付(HF-W2045)(SAM01) / HJ-2045-WEJA/DF03 / 4237502-1
WareNavi7(ｵﾝﾗｲﾝ向け) / WareNavi7端末/BCR付(HF-W2045)(WAT402) / HJ-2045-WEJA/DF03 / 4237460-1
WareNavi7(ｵﾝﾗｲﾝ向け) / MOS端末(HF-W2045)(MOS402) / HJ-2045-WEJA/DF03 / 4237499-1
WareNavi7(ｵﾝﾗｲﾝ向け) / MOS端末(HF-W2045)(MOS403) / HJ-2045-WEJA/DF03 / 4237501-1
WareNavi7(ｵﾝﾗｲﾝ向け) / MOS端末(HF-W2045)(MOS404) / HJ-2045-WEJA/DF03 / 4237461-1</t>
  </si>
  <si>
    <t>有明倉庫</t>
  </si>
  <si>
    <t>2023011905-221-1</t>
  </si>
  <si>
    <t>13108A191-001</t>
  </si>
  <si>
    <t>【システム点検】※プロダクト対象外の為、診断対象外。　/【契約情報：WareNavi7】</t>
  </si>
  <si>
    <t>ブランド / 機器構成名(個体名) / 型式 / シリアル番号
WareNavi7 / 統括DBｻｰﾊﾞ (Express5800/R120g-2M)() / N8100-2408Y / 7X00231
WareNavi7 / 統括DBｻｰﾊﾞ (Express5800/R120g-2M)() / N8100-2408Y / 7X00232
WareNavi7 / ﾕﾆｯﾄDBｻｰﾊﾞ (Express5800/R120g-2M)() / N8100-2408Y / 7X00225
WareNavi7 / ﾕﾆｯﾄDBｻｰﾊﾞ (Express5800/R120g-2M)() / N8100-2408Y / 7X00226
WareNavi7 / ﾕﾆｯﾄDBｻｰﾊﾞ (Express5800/R120g-2M)() / N8100-2408Y / 7X00227
WareNavi7 / ﾕﾆｯﾄDBｻｰﾊﾞ (Express5800/R120g-2M)() / N8100-2408Y / 7X00228
WareNavi7 / ﾕﾆｯﾄDBｻｰﾊﾞ (Express5800/R120g-2M)() / N8100-2408Y / 7X00229
WareNavi7 / ﾕﾆｯﾄDBｻｰﾊﾞ (Express5800/R120g-2M)() / N8100-2408Y / 7X00230
WareNavi7 / APLｻｰﾊﾞ (Express5800/R120g-2M)() / N8100-2414Y / 7X00200
WareNavi7 / APLｻｰﾊﾞ (Express5800/R120g-2M)() / N8100-2414Y / 7X00201
WareNavi7 / APLｻｰﾊﾞ (Express5800/R120g-2M)() / N8100-2414Y / 7X00202
WareNavi7 / APLｻｰﾊﾞ (Express5800/R120g-2M)() / N8100-2414Y / 7X00203
WareNavi7 / APLｻｰﾊﾞ (Express5800/R120g-2M)() / N8100-2414Y / 7X00204
WareNavi7 / APLｻｰﾊﾞ (Express5800/R120g-2M)() / N8100-2414Y / 7X00205
WareNavi7 / IO-eyeｻｰﾊﾞ (Express5800/R120g-2M)() / N8100-2408Y / 7Z00240</t>
  </si>
  <si>
    <t>ブランド / 機器構成名(個体名) / 型式 / シリアル番号
AWC7 Basic / AWC7本体 (FC-S36W)(AWC001) / FC-S36W-143CV7 / 1600403</t>
  </si>
  <si>
    <t>冷凍食品保管設備</t>
  </si>
  <si>
    <t>1807-002</t>
  </si>
  <si>
    <t>13111-B68-001</t>
  </si>
  <si>
    <t>ブランド / 機器構成名(個体名) / 型式 / シリアル番号
RTS-100 / RTSｻｰﾊﾞ(EP8000 S814)(RTS) / THE-C828641A630T / 51501
RTS-100 / RTSｻｰﾊﾞ(EP8000 S814)(RTS) / THE-C3580-H6S / 10162</t>
  </si>
  <si>
    <t>ブランド / 機器構成名(個体名) / 型式 / シリアル番号
RTS-100 / ﾗﾍﾞﾙﾌﾟﾘﾝﾀ(CL6NX-J12)(LPR05) / CL6NX-J12 / CA102181
RTS-100 / ﾗﾍﾞﾙﾌﾟﾘﾝﾀ(CL6NX-J12)(LPR06) / CL6NX-J12 / CA102192
RTS-100 / ﾗﾍﾞﾙﾌﾟﾘﾝﾀ(CL6NX-J12)(LPR07) / CL6NX-J12 / CA102180
RTS-100 / ﾗﾍﾞﾙﾌﾟﾘﾝﾀ(CL6NX-J12)(LPR08) / CL6NX-J12 / BG103273
RTS-100 / ﾗﾍﾞﾙﾌﾟﾘﾝﾀ(CL6NX-J12)(LPR19) / CL6NX-J12 / CC101561
RTS-100 / ﾗﾍﾞﾙﾌﾟﾘﾝﾀ(CL6NX-J12)(LPR20) / CL6NX-J12 / CA102188
RTS-100 / ﾗﾍﾞﾙﾌﾟﾘﾝﾀ(CL6NX-J12)(LPR21) / CL6NX-J12 / CA102196
RTS-100 / ﾗﾍﾞﾙﾌﾟﾘﾝﾀ(CL6NX-J12)(LPR22) / CL6NX-J12 / CA102195
RTS-100 / ﾗﾍﾞﾙﾌﾟﾘﾝﾀ(CL6NX-J12)(LPR23) / CL6NX-J12 / CA102169
RTS-100 / ﾗﾍﾞﾙﾌﾟﾘﾝﾀ(CL6NX-J12)(LPR29) / CL6NX-J12 / CA102183
RTS-100 / ﾗﾍﾞﾙﾌﾟﾘﾝﾀ(CL6NX-J12)(LPR30) / CL6NX-J12 / CA102187
RTS-100 / ﾗﾍﾞﾙﾌﾟﾘﾝﾀ(CL6NX-J12)(LPR32) / CL6NX-J12 / CA102191
RTS-100 / ﾗﾍﾞﾙﾌﾟﾘﾝﾀ(CL6NX-J12)(LPR33) / CL6NX-J12 / CA102186
RTS-100 / ﾗﾍﾞﾙﾌﾟﾘﾝﾀ（CL4NX-J08）(LPR24) / CL4NX-J08 / BJ102173</t>
  </si>
  <si>
    <t>ブランド / 機器構成名(個体名) / 型式 / シリアル番号
AWC7 Framework / AWC7本体(FC-S36W)(DAIFUKU-SRV) / FC-S36W-143CV7 / 2900816
AWC7 Framework / AWC7端末(FC-E29U)(DAIFUKU-CL1) / FC-E29U-S31C42 / 3100406
AWC7 Framework / AWC7端末(FC-E29U)(DAIFUKU-CL2) / FC-E29U-S31C42 / 3100401</t>
  </si>
  <si>
    <t>ブランド / 機器構成名(個体名) / 型式 / シリアル番号
WareNavi7 / ｵｰﾄﾗﾍﾞﾗ() / LR4121SR-TPJ / BK000140
WareNavi7 / ｵｰﾄﾗﾍﾞﾗ() / LR4121SR-TPJ / BK000141
WareNavi7 / ｵｰﾄﾗﾍﾞﾗ() / LR4121SR-TPJ / BK000142
WareNavi7 / ｵｰﾄﾗﾍﾞﾗ() / LR4121SR-TPJ / BK000143
WareNavi7 / ｵｰﾄﾗﾍﾞﾗ() / LR4121SR-TPJ / BK000144
WareNavi7 / ｵｰﾄﾗﾍﾞﾗ() / LR4121SR-TPJ / BK000145
WareNavi7 / ｵｰﾄﾗﾍﾞﾗ() / LR4121SR-TPJ / EJ000070</t>
  </si>
  <si>
    <t>サンスター株式会社</t>
  </si>
  <si>
    <t>徳島工場</t>
  </si>
  <si>
    <t>2024070922-224-1</t>
  </si>
  <si>
    <t>36401-010-001</t>
  </si>
  <si>
    <t>ブランド / 機器構成名(個体名) / 型式 / シリアル番号
AWC7 Framework / AWC7本体 (FC-S36W)(AWC001) / FC-S36W-113CW5 / 0100111</t>
  </si>
  <si>
    <t>2022121902-221-1 / 2022121904-221-1 / 2024091212-224-1 / 2024091210-224-1</t>
  </si>
  <si>
    <t>ブランド / 機器構成名(個体名) / 型式 / シリアル番号
JCM / JCM (FC-S36W)(JCMZ001) / FC-S36W-143CV7 / 1600392
eye-navi / DPM (FC-S36W)(DPMZ001) / FC-S36W-143CV7 / 1600380
eye-navi / DPM (FC-S36W)(DPM201) / FC-S36W-143CV7 / 2900794
eye-navi / DPM予備機 (FC-S36W)(DPM予備) / FC-S36W-143CV7 / 2900837
eye-navi / 寄せ端末 (FC-E22U)(WATZ003) / FC-E22U-S / 1415852
eye-navi / 寄せ端末 (FC-E29U)(WAT203) / FC-E29U-S31C42 / 2Z00334
eye-navi / 寄せ端末 (FC-E29U)(WAT204) / FC-E29U-S31C42 / 2Z00330
eye-navi / 低頻度投入端末 (FC-E22U)(WATZ001) / FC-E22U-S / 1415857
eye-navi / 低頻度投入端末 (FC-E22U)(WATZ002) / FC-E22U-S / 1415850
eye-navi / 低頻度投入端末 (FC-E29U)(WAT201) / FC-E29U-S31C42 / 2Z00319
eye-navi / 低頻度投入端末 (FC-E29U)(WAT202) / FC-E29U-S31C42 / 2Z00310</t>
  </si>
  <si>
    <t>ブランド / 機器構成名(個体名) / 型式 / シリアル番号
eye-navi / ｵｰﾄﾗﾍﾞﾗ(LBRZ001) / LR4081SR-TSB / FD000064
eye-navi / ｵｰﾄﾗﾍﾞﾗ(LBRZ002) / LR4081SR-TSB / FD000065
eye-navi / ｵｰﾄﾗﾍﾞﾗ(LBRZ010) / LR4080SR-TSB / GH000071
eye-navi / ｵｰﾄﾗﾍﾞﾗ(LBRZ020) / LR4080SR-TSB / GH000072</t>
  </si>
  <si>
    <t>ブランド / 機器構成名(個体名) / 型式 / シリアル番号
LPM / ﾗﾍﾞﾙﾌﾟﾘﾝﾀ(LPR01) / M-48Pro8 / 6B500013</t>
  </si>
  <si>
    <t>ブランド / 機器構成名(個体名) / 型式 / シリアル番号
LPM / ｵｰﾄﾗﾍﾞﾗ(ALR01) / LR4081SR-TPJ / GF000125
LPM / ｵｰﾄﾗﾍﾞﾗ(ALR02) / LR4081SR-TPJ / GF000126</t>
  </si>
  <si>
    <t>2023071405-224-1</t>
  </si>
  <si>
    <t>ブランド / 機器構成名(個体名) / 型式 / シリアル番号
WareNavi7 / MOSⅦ(MOS01) / FC-E27B-S / 1814257
WareNavi7 / VTC(NT8000)(VTC01) / FC-E22U-S / 1916733</t>
  </si>
  <si>
    <t>2309-002 / 2309-003</t>
  </si>
  <si>
    <t>ブランド / 機器構成名(個体名) / 型式 / シリアル番号
WareNavi7 / WareNavi7本体(HF-W6555)(WNVA01) / HJ-6555-WEJD/DF05 / 4239720-7
WareNavi7 / 出荷ﾊﾞｰｽWareNavi7端末(HF-W2050)(WATA01) / HJ-2050-WEMA/DF03 / 8052357-5
WareNavi7 / WareNavi7端末(HF-W2050)(WATA02) / HJ-2050-WEMA/DF03 / 8052357-6
WareNavi7 / WareNavi7端末(HF-W2050)(WATA03) / HJ-2050-WEMA/DF03 / 8052357-4
WareNavi7 / WareNavi7端末(HF-W2050)(WATA04) / HJ-2050-WEMA/DF03 / 8052357-7
WareNavi7 / WareNavi7端末_2期増設(HF-W2050)(WATA05) / HJ-2050-WEMA/DF03 / 8054240-6
WareNavi7 / WareNavi7端末_2期増設(HF-W2050)(WATA06) / HJ-2050-WEMA/DF03 / 8054240-7</t>
  </si>
  <si>
    <t>ブランド / 機器構成名(個体名) / 型式 / シリアル番号
WareNavi7 / ﾗﾍﾞﾙﾌﾟﾘﾝﾀ(LBL01) / CL4NX-J12 Plus / FE100637
WareNavi7 / ｵｰﾄﾗﾍﾞﾗ(LBRA001) / LR4121SR-TPJ / FJ000067</t>
  </si>
  <si>
    <t>那須工場</t>
  </si>
  <si>
    <t>原材料及び包装資材用自動倉庫</t>
  </si>
  <si>
    <t>FA059 / FA060</t>
  </si>
  <si>
    <t>09212-006-001</t>
  </si>
  <si>
    <t>ブランド / 機器構成名(個体名) / 型式 / シリアル番号
AWC-300N / AWC本体 (FA3100SS model 1000)(AWC001-G) / UD431016-01-DHT / OEX104
AWC-300N / AWC端末 (FA2100SS model 500)(WAT001-G) / UV4A502-07-DHT / OBY279
AWC-300N / AWC端末 (FA2100SS model 500)(WAT002-G) / UV4A502-07-DHT / OBY277
AWC-300N / AWC端末 (FA2100SS model 500)(WAT003-G) / UV4A502-07-DHT / OBY278</t>
  </si>
  <si>
    <t>ニッケンデジタルセンター足利</t>
  </si>
  <si>
    <t>2019061707-216-1 / 2019061708-216-1</t>
  </si>
  <si>
    <t>09204A121-001</t>
  </si>
  <si>
    <t>ブランド / 機器構成名(個体名) / 型式 / シリアル番号
AWC4 Framework / AWC4本体(FC-S35W/S7)(AWC002) / FC-S35W/S72CL9 / S780475MA
AWC4 Framework / AWC4端末(FC-E22U)(WAT001) / FC-E22U-S / 8305631
AWC4 Framework / AWC4端末(FC-E22U)(WAT002) / FC-E22U-S / 8305625</t>
  </si>
  <si>
    <t>ブランド / 機器構成名(個体名) / 型式 / シリアル番号
AWC7 Framework / AWC7本体 (FC-S36W)(AWC001) / FC-S36W-143CV7 / 1800469
AWC7 Framework / AWC7端末 (FC-E22U)(WAT001) / FC-E22U-S / 1616346</t>
  </si>
  <si>
    <t>2025010713-224-1 / 2025010711-224-1</t>
  </si>
  <si>
    <t>ブランド / 機器構成名(個体名) / 型式 / シリアル番号
AWC7 Framework / AWC7本体(FC-S36W)(AWC001) / FC-S36W-143CV7 / 2X00893
AWC7 Framework / AWC7端末(FC-E29U)(WAT001) / FC-E29U-S31C42 / 3200611
AWC7 Framework / AWC7端末(FC-E29U)(WAT002) / FC-E29U-S31C42 / 3200623
AWC7 Framework / AWC7端末(FC-E29U)(WAT003) / FC-E29U-S31C42 / 3200625</t>
  </si>
  <si>
    <t>クリタ・ケミカル製造株式会社</t>
  </si>
  <si>
    <t>製品保管・搬送設備</t>
  </si>
  <si>
    <t>【ﾊﾟｯｸ契約】789B181, 7810RT8</t>
  </si>
  <si>
    <t>08542-003-001</t>
  </si>
  <si>
    <t>ブランド / 機器構成名(個体名) / 型式 / シリアル番号
AWC-800U / AWCｻｰﾊﾞ(IBM Power System S1014)() / 9105-41B / 789B181
AWC-800U / 外部共有ﾃﾞｨｽｸ() / 4680-2P4 / 7810RT8</t>
  </si>
  <si>
    <t>日野自動車株式会社</t>
  </si>
  <si>
    <t>古河工場</t>
  </si>
  <si>
    <t>受入～集荷～合梱工程自動化システム</t>
  </si>
  <si>
    <t>1707-002</t>
  </si>
  <si>
    <t>08204A110-002</t>
  </si>
  <si>
    <t>ブランド / 機器構成名(個体名) / 型式 / シリアル番号
WareNavi7 / WareNavi7本体(HF-W6545)(WN7-001) / HJ-65458EWJD/DF02 / 4228969-1
WareNavi7 / 管理端末(HF-W2035)(WN7-TRM001) / HJ-20359EWJA/DF01 / 4228906-1
WareNavi7 / 管理端末(HF-W2035)(WN7-TRM002) / HJ-20359EWJA/DF01 / 4228907-1
WareNavi7 / 進捗表示ﾏﾈｰｼﾞｬ(HF-W2035)(WN7-TRM003) / HJ-20359EWJA/DF01 / 4228908-1</t>
  </si>
  <si>
    <t>ブランド / 機器構成名(個体名) / 型式 / シリアル番号
AWC7 Basic / AWC7本体(HF-W6560)(AWC001) / HJ-6560-WFJB/7R / 4525647-2</t>
  </si>
  <si>
    <t>ブランド / 機器構成名(個体名) / 型式 / シリアル番号
AWC4 Ordermade(B棟1F) / MOSⅦｻｰﾊﾞ (HF-W2055)(MOSC01) / HJ-2055-WEMA/DF04 / 8051883-1
AWC4 Ordermade(B棟3F) / MOSⅦｻｰﾊﾞ (HF-W2055)(MOSD01) / HJ-2055-WEMA/DF04 / 8051882-1
AWC4 Ordermade(B棟3F) / MOSⅦ端末 (HF-W2050)(MOSD02) / HJ-2050-WEMA/DF03 / 8051802-1</t>
  </si>
  <si>
    <t>カミ商事株式会社</t>
  </si>
  <si>
    <t>自動倉庫パレット(KU）</t>
  </si>
  <si>
    <t>1806-001</t>
  </si>
  <si>
    <t>09204-247-001</t>
  </si>
  <si>
    <t>ブランド / 機器構成名(個体名) / 型式 / シリアル番号
AWC4 Framework / AWC4本体(HF-W6545)(AWC001) / HJ-65459EWJD/DF01 / 4230279-1
AWC4 Framework / AWC4端末(HF-W2045)(WAT001) / HJ-2045-WBJA/DF01 / 4230385-4
AWC4 Framework / AWC4端末(HF-W2045)(WAT002) / HJ-2045-WBJA/DF01 / 4230385-5</t>
  </si>
  <si>
    <t>2025031329-224-1 / 2025031331-224-1 / 2025031335-224-1</t>
  </si>
  <si>
    <t>ブランド / 機器構成名(個体名) / 型式 / シリアル番号
AWC7 Framework / AWC7本体 (FC-S36W)(AWC001) / FC-S36W-113CW5 / 2700131
AWC7 Framework / AWC7端末 (FC-E22U)(WAT001) / FC-E22U-S / 1X17225
AWC7 Framework / AWC7端末 (FC-E22U)(WAT002) / FC-E22U-S / 1X17217
AWC7 Framework / 作業表示端末 (FC-E29U)(WAT003) / FC-E29U-S31C42 / 2Z00376
AWC7 Framework / 作業表示端末 (FC-E29U)(WAT004) / FC-E29U-S31C42 / 2Z00344
AWC7 Framework / 作業表示端末 (FC-E29U)(WAT005) / FC-E29U-S31C42 / 2Z00337
AWC7 Framework / 作業表示端末 (FC-E29U)(WAT006) / FC-E29U-S31C42 / 2Z00347</t>
  </si>
  <si>
    <t>ブランド / 機器構成名(個体名) / 型式 / シリアル番号
AWC7 Framework / ﾗﾍﾞﾙﾌﾟﾘﾝﾀ(LB01) / CL4NX-J08 Plus / GM103446
AWC7 Framework / ﾗﾍﾞﾙﾌﾟﾘﾝﾀ(LB02) / CL4NX-J08 Plus / GM103405</t>
  </si>
  <si>
    <t>ブランド / 機器構成名(個体名) / 型式 / シリアル番号
DPM / ﾏﾃﾊﾝｻｰﾊﾞ(FC-S36W)(TPSSV) / FC-S36W-143CV7 / 0700206
DPM / ﾏﾃﾊﾝｻｰﾊﾞ予備機(FC-S36W)(TPSSV予備) / FC-S36W-143CV7 / 0700207
DPM / DPM(FC-E22U)(DPM01) / FC-E22U-S / 613654
DPM / DPM(FC-E22U)(DPM02) / FC-E22U-S / 613657
DPM / DPM(FC-E22U)(DPM03) / FC-E22U-S / 613658
DPM / DPM端末(FC-E22U)(DPW01) / FC-E22U-S / 613662
DPM / DPM端末(FC-E22U)(DPW02) / FC-E22U-S / 613663
DPM / DPM端末(FC-E22U)(DPW03) / FC-E22U-S / 613665</t>
  </si>
  <si>
    <t>ブランド / 機器構成名(個体名) / 型式 / シリアル番号
WareNavi7(電子工場) / 管理端末 (FC-E22U)(CONSOLE-PC) / FC-E22U-S / 0X14494</t>
  </si>
  <si>
    <t>ブランド / 機器構成名(個体名) / 型式 / シリアル番号
WareNavi7(出荷ｾﾝﾀｰ) / ｵｰﾄﾗﾍﾞﾗ() / LR4121SR-TCJ / BD000026</t>
  </si>
  <si>
    <t>ブランド / 機器構成名(個体名) / 型式 / シリアル番号
WareNavi7(電子工場) / ｵｰﾄﾗﾍﾞﾗ() / LR4121SR-TCJ / BD000025
WareNavi7(電子工場) / ｵｰﾄﾗﾍﾞﾗ() / LR4121SR-TCJ / GB000107</t>
  </si>
  <si>
    <t>ブランド / 機器構成名(個体名) / 型式 / シリアル番号
AWC7 Framework / AWC7本体 (FC-S36W)(AWC001) / FC-S36W-143CV7 / 1800465</t>
  </si>
  <si>
    <t>マルコ株式会社</t>
  </si>
  <si>
    <t>新物流センター</t>
  </si>
  <si>
    <t>2023041102-224-1</t>
  </si>
  <si>
    <t>29205-076-001</t>
  </si>
  <si>
    <t>ブランド / 機器構成名(個体名) / 型式 / シリアル番号
eAWC Ordermade / eAWC端末(FC-E22U)(WAT003) / FC-E22U-S / 2718091
eAWC Ordermade / eAWC端末(FC-E22U)(WAT004) / FC-E22U-S / 2718092
eAWC Ordermade / eAWC端末(FC-E22U)(WAT001) / FC-E22U-S / 2718089</t>
  </si>
  <si>
    <t>HC22-0016-1</t>
  </si>
  <si>
    <t>ブランド / 機器構成名(個体名) / 型式 / シリアル番号
eAWC Ordermade / eAWCｻｰﾊﾞ(IBM Power System S914)(RTS) / 9009-41G / 78282C1</t>
  </si>
  <si>
    <t>29363-025-001</t>
  </si>
  <si>
    <t>ブランド / 機器構成名(個体名) / 型式 / シリアル番号
DPM / ｵｰﾄﾗﾍﾞﾗ(G-ALB01) / LR4080SR-TSB / 15090105
DPM / ｵｰﾄﾗﾍﾞﾗ(G-ALB03) / LR4080SR-TSB / 15100041
DPM / ｵｰﾄﾗﾍﾞﾗ(G-ALB02) / LR4081SR-TSB / 15120123</t>
  </si>
  <si>
    <t>奈良工場</t>
  </si>
  <si>
    <t>ＳＳ自動倉庫（山葵格納倉庫）</t>
  </si>
  <si>
    <t>1512-002</t>
  </si>
  <si>
    <t>29203-054-001</t>
  </si>
  <si>
    <t>ブランド / 機器構成名(個体名) / 型式 / シリアル番号
AWC-800N / AWC本体 (HF-W6545)(AWC001) / HJ-65459EWJD/DF01 / 4226131-1</t>
  </si>
  <si>
    <t>自動倉庫設備（水倉庫）</t>
  </si>
  <si>
    <t>1607-005</t>
  </si>
  <si>
    <t>29203-054-002</t>
  </si>
  <si>
    <t>ブランド / 機器構成名(個体名) / 型式 / シリアル番号
AWC4 Framework / AWC4本体 (HF-W6545)(AWC001) / HJ-65459EWJD/DF01 / 4227245-1
AWC4 Framework / AWC4端末 (HF-W2035)(WAT001) / HJ-20359EWJA/DF01 / 4226874-1</t>
  </si>
  <si>
    <t>ブランド / 機器構成名(個体名) / 型式 / シリアル番号
WareNavi7 / RFM (FC-S36W)(RFM002) / FC-S36W-143CV7 / 3Y01068
SAM / SAM (FC-S36W)(FCM101) / FC-S36W-143CV7 / 3Y01056
LPM / LPM (FC-S36W)(LPM101) / FC-S36W-143CV7 / 3Y01057
LPM / LPM (FC-S36W)(LPM102) / FC-S36W-143CV7 / 3Y01061
JCM / JCM (FC-S36W)(JCM02) / FC-S36W-143CV7 / 3Z01084</t>
  </si>
  <si>
    <t>株式会社マックス</t>
  </si>
  <si>
    <t>奈良</t>
  </si>
  <si>
    <t>1607-001</t>
  </si>
  <si>
    <t>29205-046-001</t>
  </si>
  <si>
    <t>ブランド / 機器構成名(個体名) / 型式 / シリアル番号
eAWC Framework / eAWC本体 (HF-W6545)(AWC001) / HJ-65459EWJD/DF01 / 4225184-1</t>
  </si>
  <si>
    <t>鹿児島支店　鹿児島常温物流センター</t>
  </si>
  <si>
    <t>サーフィンソーター</t>
  </si>
  <si>
    <t>FA184 / FA185</t>
  </si>
  <si>
    <t>46201A163-001</t>
  </si>
  <si>
    <t>ブランド / 機器構成名(個体名) / 型式 / シリアル番号
LPM / ﾏﾃﾊﾝ兼LPMｻｰﾊﾞ (FA3100SS model 1000)(LPM01) / UD431016-08-DHT / OEV104
LPM / LPM端末 (FA2100SS model 400)(WAT01) / UV4A414-07-DHT / OF0457
LPM / LPM端末 (FA2100SS model 400)(WAT02) / UV4A414-07-DHT / OF0505
LPM / LPM端末 (FA2100SS model 400)(WAT03) / UV4A414-07-DHT / OF0506</t>
  </si>
  <si>
    <t>2024052104-224-1</t>
  </si>
  <si>
    <t>ブランド / 機器構成名(個体名) / 型式 / シリアル番号
LPM / MOSⅦ(MOS01) / FC-P33W-148W7H / 8900114</t>
  </si>
  <si>
    <t>ブランド / 機器構成名(個体名) / 型式 / シリアル番号
LPM / ﾗﾍﾞﾙﾌﾟﾘﾝﾀ(MLB01) / CL4NX-J08 / BL102438
LPM / ｵｰﾄﾗﾍﾞﾗ(LAB01) / LR4080SR-TSB / CC000007
LPM / ｵｰﾄﾗﾍﾞﾗ(LAB02) / LR4080SR-TSB / CC000008
LPM / ｵｰﾄﾗﾍﾞﾗ(LAB03) / LR4080SR-TSB / CC000013</t>
  </si>
  <si>
    <t>ブランド / 機器構成名(個体名) / 型式 / シリアル番号
AWC7 Basic / AWC7本体(FC-S36W)(AWC002) / FC-S36W-143CV7 / 1800470
AWC7 Basic / AWC7端末(FC-E22U)(WAT001) / FC-E22U-S / 1616334</t>
  </si>
  <si>
    <t>ブランド / 機器構成名(個体名) / 型式 / シリアル番号
eAWC Framework / eAWC本体 (HF-W6545)(EAWC001) / HJ-65459EWJD/DF01 / 4224438-1
eAWC Framework / eAWC端末 (HF-W2035)(WAT001) / HJ-20359EWJA/DF01 / 4224442-1</t>
  </si>
  <si>
    <t>RDC沖縄</t>
  </si>
  <si>
    <t>2019080817-216-1 / 2022031602-221-1</t>
  </si>
  <si>
    <t>47213A101-001</t>
  </si>
  <si>
    <t>ブランド / 機器構成名(個体名) / 型式 / シリアル番号
AWC4 Framework / DBｻｰﾊﾞ(Express5800/R320e-E4)(DB-SV) / N8800-201Y / 7400624
AWC4 Framework / AWC4端末(FC-E22U)(AWC003) / FC-E22U-S / 7302477</t>
  </si>
  <si>
    <t>2020091107-216-1 / 2025012413-224-1</t>
  </si>
  <si>
    <t>ブランド / 機器構成名(個体名) / 型式 / シリアル番号
eAWC Framework Custom / eAWCｻｰﾊﾞ (Express5800/T120h)(EAWC001) / N8100-2783Y / JPN9514076
eAWC Framework Custom / eAWC端末 (FC-E22U)(WAT001) / FC-E22U-S / 9Z11798</t>
  </si>
  <si>
    <t>ブランド / 機器構成名(個体名) / 型式 / シリアル番号
eAWC Framework Custom / ｵｰﾄﾗﾍﾞﾗ(ALR01) / L-2000AT-12C / 0126528</t>
  </si>
  <si>
    <t>プラネット大阪</t>
  </si>
  <si>
    <t>1807-007</t>
  </si>
  <si>
    <t>27141A113-001</t>
  </si>
  <si>
    <t>ブランド / 機器構成名(個体名) / 型式 / シリアル番号
AWC4 Framework / AWC4本体（HF-W6500モデル45）(TCT301) / HJ-65459EWJD/DF01 / 4224920-1
AWC4 Framework / AWC4本体予備機（HF-W6500モデル45）(TCT302) / HJ-65459EWJD/DF01 / 4224921-1</t>
  </si>
  <si>
    <t>【システム点検】※プロダクト対象外の為、診断対象外。　/【契約情報：ハード・コントローラのみ】</t>
  </si>
  <si>
    <t>ブランド / 機器構成名(個体名) / 型式 / シリアル番号
WareNavi7 / MOSⅦ(MOS01) / HJ-2045-WEJA/7R / 4236383-1</t>
  </si>
  <si>
    <t>ブランド / 機器構成名(個体名) / 型式 / シリアル番号
WareNavi7 / WareNavi7本体(FC-S35W)(WN7-001) / FC-S35W/S42CM0 / 9302109
WareNavi7 / WareNavi7端末(FC-E22U)(WAT001) / FC-E22U-S / 9609988</t>
  </si>
  <si>
    <t>ブランド / 機器構成名(個体名) / 型式 / シリアル番号
RTS-100 / RTS本体 (FC-E22U)(M03S01) / FC-E22U-S / 9409426
AWC-500N / AWC本体 (FC-E22U)(M03S05) / FC-E22U-S / 9409424
SAM / SAM (FC-E22U)(M03S02) / FC-E22U-S / 9409427
SAM / ﾘｼﾞｪｸﾄ端末 (FC-E22U)(M03S06) / FC-E22U-S / 9409425</t>
  </si>
  <si>
    <t>南大阪ＲＤＣ</t>
  </si>
  <si>
    <t>27144-015-001</t>
  </si>
  <si>
    <t>ブランド / 機器構成名(個体名) / 型式 / シリアル番号
LPM / ｵｰﾄﾗﾍﾞﾗ(ALB01) / LR4NX-FA08LCJ / GG000022
LPM / ｵｰﾄﾗﾍﾞﾗ(ALB02) / LR4NX-FA08LCJ / GG000023
LPM / ｵｰﾄﾗﾍﾞﾗ(ALB03) / LR4NX-FA08LCJ / GG000024
LPM / ｵｰﾄﾗﾍﾞﾗ(ALB04) / LR4NX-FA08LCJ / GG000025</t>
  </si>
  <si>
    <t>2021120606-221-1 / 2021120608-221-1</t>
  </si>
  <si>
    <t>ブランド / 機器構成名(個体名) / 型式 / シリアル番号
WareNavi7 / WareNavi7本体(FC-S35W/S4)(WN7) / FC-S35W/S42CM0 / S860126MA
WareNavi7 / WareNavi7端末(FC-S35W/S4)(WAT01) / FC-S35W/S42CM0 / S860016MA
WareNavi7 / MOSⅦ(MOS01) / FC-E27B-S / 9508207</t>
  </si>
  <si>
    <t>2020121122-216-1</t>
  </si>
  <si>
    <t>ブランド / 機器構成名(個体名) / 型式 / シリアル番号
SAM / SAM (FC-E22U)(WAT02) / FC-E22U-S / 9509683
LPM / LPM (FC-E22U)(WAT03) / FC-E22U-S / 9509681</t>
  </si>
  <si>
    <t>ブランド / 機器構成名(個体名) / 型式 / シリアル番号
AWC7 Basic / AWC7本体 (HF-W6555)(AWC001) / HJ-6555-WEJD/DF05 / 4238483-1
AWC7 Basic / AWC7端末 (HF-W2050)(WAT001) / HJ-2050-WEMA/DF03 / 8050695-1
AWC7 Basic / AWC7端末 (HF-W2050)(WAT002) / HJ-2050-WEMA/DF03 / 8050696-1
AWC7 Basic / AWC7端末 (HF-W2050)(WAT003) / HJ-2050-WEMA/DF03 / 8050697-1</t>
  </si>
  <si>
    <t>ブランド / 機器構成名(個体名) / 型式 / シリアル番号
WareNavi7A / WareNavi7本体(FA3100T model 800)(WNA001) / UA538020-DF2-CKC-A2663 / OHB889
WareNavi7A / WareNavi7本体(FA3100T model 800)(WNA002) / UA538020-DF2-CKC-A2663 / OHB890</t>
  </si>
  <si>
    <t>2025051436-224-1</t>
  </si>
  <si>
    <t>ブランド / 機器構成名(個体名) / 型式 / シリアル番号
WareNavi7A / MOSⅦ(FC-E22K)(MOSA001) / FC-E22K-L / 2X00510</t>
  </si>
  <si>
    <t>ブランド / 機器構成名(個体名) / 型式 / シリアル番号
DPM(要冷ﾗｲﾝ) / ｵｰﾄﾗﾍﾞﾗ (LR4080SR-TSB)(LBP01) / LR4080SR-TSB / 3054A562
DPM(要冷ﾗｲﾝ) / ｵｰﾄﾗﾍﾞﾗ (LR4080SR-TSB)(LBP03) / LR4080SR-TSB / 3054A561
DPM(要冷ﾗｲﾝ) / ｵｰﾄﾗﾍﾞﾗ (LR4080SR-TSB)(LBP05) / LR4080SR-TSB / 4014A003
DPM(要冷ﾗｲﾝ) / ｵｰﾄﾗﾍﾞﾗ (LR4080SR-TSB)(LBP07) / LR4080SR-TSB / 4014A002
DPM(要冷ﾗｲﾝ) / ｵｰﾄﾗﾍﾞﾗ (LR4081SR-TSB)(LBP02) / LR4081SR-TSB / 3054A564
DPM(要冷ﾗｲﾝ) / ｵｰﾄﾗﾍﾞﾗ (LR4081SR-TSB)(LBP04) / LR4081SR-TSB / 3054A563
DPM(要冷ﾗｲﾝ) / ｵｰﾄﾗﾍﾞﾗ (LR4081SR-TSB)(LBP06) / LR4081SR-TSB / 4014A004</t>
  </si>
  <si>
    <t>ブランド / 機器構成名(個体名) / 型式 / シリアル番号
WareNavi7 / WareNavi7本体(FC-S36W)(WN7-001) / FC-S36W-113CW5 / 9800102</t>
  </si>
  <si>
    <t>ブランド / 機器構成名(個体名) / 型式 / シリアル番号
DPM / ｵｰﾄﾗﾍﾞﾗ (LR4080SR-T)(LBP03) / LR4080SR-TCJ / 10743320
DPM / ｵｰﾄﾗﾍﾞﾗ (LR4080SR-T)(LBP05) / LR4080SR-TCJ / 10743322
LPM / ｵｰﾄﾗﾍﾞﾗ (LR4081SR-T)(LBP01) / LR4081SR-TCJ / 10743323
LPM / ｵｰﾄﾗﾍﾞﾗ (LR4081SR-T)(LBP02) / LR4081SR-TCJ / 10743324
DPM / ｵｰﾄﾗﾍﾞﾗ (LR4081SR-T)(LBP04) / LR4081SR-TCJ / 10743321
DPM / ｵｰﾄﾗﾍﾞﾗ (LR4081SR-T)(LBP06) / LR4081SR-TCJ / AH000039</t>
  </si>
  <si>
    <t>【システム点検】※プロダクト対象外の為、診断対象外。　/【契約情報：パンライン】</t>
  </si>
  <si>
    <t>ブランド / 機器構成名(個体名) / 型式 / シリアル番号
DPM4(ﾊﾟﾝﾗｲﾝ) / ｵｰﾄﾗﾍﾞﾗ (LR4081SR-TSB)(LBP08) / LR4081SR-TSB / BK000136
DPM4(ﾊﾟﾝﾗｲﾝ) / ｵｰﾄﾗﾍﾞﾗ (LR4080SR-TSB)(LBP09) / LR4080SR-TSB / CA000042
DPM4(ﾊﾟﾝﾗｲﾝ) / ｵｰﾄﾗﾍﾞﾗ (LR4080SR-TSB)(LBP10) / LR4080SR-TSB / BF000012</t>
  </si>
  <si>
    <t>ブランド / 機器構成名(個体名) / 型式 / シリアル番号
AWC7 Framework / AWC7本体(FC-S36W)(AWC001) / FC-S36W-143CV7 / 3600994
AWC7 Framework / AWC7端末(FC-E29U)(WAT001) / FC-E29U-S31C42 / 3600981
AWC7 Framework / AWC7端末(FC-E29U)(WAT002) / FC-E29U-S31C42 / 3600996
AWC7 Framework / AWC7端末(FC-E29U)(WAT003) / FC-E29U-S31C42 / 3601005
AWC7 Framework / MOSⅦ(MOSA001) / FC-E22K-L / 2900385</t>
  </si>
  <si>
    <t>ブランド / 機器構成名(個体名) / 型式 / シリアル番号
AWC7 Framework / ﾗﾍﾞﾙﾌﾟﾘﾝﾀ(LBL001) / CL4NX-J08 Plus / HG100430
AWC7 Framework / ﾗﾍﾞﾙﾌﾟﾘﾝﾀ(LBL002) / CL4NX-J08 Plus / HG100447</t>
  </si>
  <si>
    <t>ブランド / 機器構成名(個体名) / 型式 / シリアル番号
AWC7 Framework / AWC7本体(FC-S36W)(AWC001) / FC-S36W-143CV7 / 3600999
AWC7 Framework / AWC7端末(FC-E29U)(WAT001) / FC-E29U-S31C42 / 3601012
AWC7 Framework / AWC7端末(FC-E29U)(WAT002) / FC-E29U-S31C42 / 3600985</t>
  </si>
  <si>
    <t>ブランド / 機器構成名(個体名) / 型式 / シリアル番号
AWC7 Framework / ﾗﾍﾞﾙﾌﾟﾘﾝﾀ(LBL001) / CL4NX-J08 Plus / HG100442
AWC7 Framework / ﾗﾍﾞﾙﾌﾟﾘﾝﾀ(LBL002) / CL4NX-J08 Plus / HG101479</t>
  </si>
  <si>
    <t>東レ・カプトン株式会社</t>
  </si>
  <si>
    <t>東海工場</t>
  </si>
  <si>
    <t>FA132 / FA133</t>
  </si>
  <si>
    <t>23222-058-001</t>
  </si>
  <si>
    <t>ブランド / 機器構成名(個体名) / 型式 / シリアル番号
AWC-100N+ / AWC本体（FA3100SS model 1000）(AWC001) / UD431016-01-DHT / OEY966
AWC-100N+ / AWC端末（FA2100SS model 400）(WAT001) / UV4A414-07-DHT / OF0190
AWC-100N+ / AWC端末（FA2100SS model 400）(WAT002) / UV4A414-07-DHT / OF0191
AWC-100N+ / AWC端末（FA2100SS model 400）(WAT003) / UV4A414-07-DHT / OF0192</t>
  </si>
  <si>
    <t>ブランド / 機器構成名(個体名) / 型式 / シリアル番号
AWC4 Framework / AWC4本体 (FC-S36W)(AWC001) / FC-S36W-143CV7 / 0700203
AWC4 Framework / AWC4端末 (FC-E22U)(WAT001) / FC-E22U-S / 0513299
AWC4 Framework / AWC4端末 (FC-E22U)(WAT002) / FC-E22U-S / 0513309</t>
  </si>
  <si>
    <t>ブランド / 機器構成名(個体名) / 型式 / シリアル番号
AWC7 Framework / AWC7本体(FC-S36W)(AWC001) / FC-S36W-143CV7 / 2100588</t>
  </si>
  <si>
    <t>中日本物流センター</t>
  </si>
  <si>
    <t>2023041104-224-1</t>
  </si>
  <si>
    <t>23110-451-001</t>
  </si>
  <si>
    <t>ブランド / 機器構成名(個体名) / 型式 / シリアル番号
ｺﾝﾄﾛｰﾗ / MOSⅦ本体(MOS01) / FC-E22K-L / 2X00506</t>
  </si>
  <si>
    <t>ブラザーロジテック株式会社</t>
  </si>
  <si>
    <t>2111-002</t>
  </si>
  <si>
    <t>23112A001-001</t>
  </si>
  <si>
    <t>ブランド / 機器構成名(個体名) / 型式 / シリアル番号
eAWC Framework / eAWC本体(HF-W6555)(AWC001) / HJ-6555-WEJD/DF05 / 4238761-1</t>
  </si>
  <si>
    <t>ブランド / 機器構成名(個体名) / 型式 / シリアル番号
AWC-300N / AWC本体 (FC-S35W/S7)(AWC001) / FC-S35W/S72CL9 / S451038MA</t>
  </si>
  <si>
    <t>名古屋ＲＤＣ</t>
  </si>
  <si>
    <t>H245-0182-02</t>
  </si>
  <si>
    <t>23111A102-001</t>
  </si>
  <si>
    <t>ブランド / 機器構成名(個体名) / 型式 / シリアル番号
BOXｿｰﾀｼｽﾃﾑ / BOXｿｰﾀｺﾝﾄﾛｰﾗｻｰﾊﾞ(HF-W7550)() / HJ-7550-SDJD/0R / 45223015-1</t>
  </si>
  <si>
    <t>株式会社ロジャースイノアック</t>
  </si>
  <si>
    <t>ブランド / 機器構成名(個体名) / 型式 / シリアル番号
eAWC Framework / eAWC本体 (FC-S36W)(EAWC001) / FC-S36W-143CV7 / 1300354</t>
  </si>
  <si>
    <t>ブランド / 機器構成名(個体名) / 型式 / シリアル番号
AWC4 Framework / AWC4本体(HF-W6555)(AWC001) / HJ-6555-WEJD/DF03 / 4236395-1</t>
  </si>
  <si>
    <t>ブランド / 機器構成名(個体名) / 型式 / シリアル番号
AWC7 Framework / AWC7本体(HF-W6555)(AWC002) / HJ-6555-WEJD/DF05 / 4240139-2
AWC7 Framework / AWC7端末(HF-W2050)(WAT002) / HJ-2050-WEMA/DF03 / 8053104-5</t>
  </si>
  <si>
    <t>ブランド / 機器構成名(個体名) / 型式 / シリアル番号
AWC7 Framework / AWC7本体(HF-W6555)(AWC001) / HJ-6555-WEJD/DF05 / 4239387-1</t>
  </si>
  <si>
    <t>2020050810-216-1 / 2020050812-216-1</t>
  </si>
  <si>
    <t>ブランド / 機器構成名(個体名) / 型式 / シリアル番号
eAWC Framework (ｹｰｽ倉庫) / eAWCｻｰﾊﾞ (FC-S35W/SE)(AWC001) / FC-S35W/SE4CM2 / 9308701
eAWC Framework (ｹｰｽ倉庫) / eAWC端末 (FC-E22U)(WAT402) / FC-E22U-S / 9208716
eAWC Framework (ﾊﾟﾚｯﾄ倉庫) / eAWCｻｰﾊﾞ (FC-S35W/SE)(AWC003) / FC-S35W/SE4CM2 / 9308702
eAWC Framework (ﾊﾟﾚｯﾄ倉庫) / eAWC入庫端末 (FC-E22U)(WAT101) / FC-E22U-S / 9208883
eAWC Framework (ﾊﾟﾚｯﾄ倉庫) / eAWC出庫端末 (FC-E22U)(WAT102) / FC-E22U-S / 9208886
eAWC Framework (ﾊﾟﾚｯﾄ倉庫) / eAWC端末 (FC-E22U)(WAT401) / FC-E22U-S / 9208703
eAWC Framework (ﾊﾟﾚｯﾄ倉庫) / eAWC端末 (FC-E22U)(WAT501) / FC-E22U-S / 9208879
eAWC Framework (ﾊﾟﾚｯﾄ倉庫) / eAWC端末 (FC-E22U)(WAT502) / FC-E22U-S / 9208710
eAWC Framework (ﾊﾟﾚｯﾄ倉庫) / eAWC端末 (FC-E22U)(WAT503) / FC-E22U-S / 9208878
eAWC Framework (ﾊﾟﾚｯﾄ倉庫) / eAWC端末 (FC-E22U)(WAT504) / FC-E22U-S / 9208712
eAWC Framework (ﾊﾟﾚｯﾄ倉庫) / eAWC端末 (FC-E22U)(WAT505) / FC-E22U-S / 9208700
eAWC Framework (ﾊﾟﾚｯﾄ倉庫) / eAWC端末 (FC-E22U)(WAT506) / FC-E22U-S / 9208880
eAWC Framework (ﾊﾟﾚｯﾄ倉庫) / eAWC端末 (FC-E22U)(WAT507) / FC-E22U-S / 9208706
eAWC Framework (ﾊﾟﾚｯﾄ倉庫) / eAWC端末 (FC-E22U)(WAT508) / FC-E22U-S / 9208877
eAWC Framework (ﾊﾟﾚｯﾄ倉庫) / eAWC端末 (FC-E22U)(WAT509) / FC-E22U-S / 9208884
eAWC Framework (ﾊﾟﾚｯﾄDPS) / eAWCｻｰﾊﾞ (FC-S35W/S7)(AWC002) / FC-S35W/S72CL9 / S8Y0010MA
eAWC Framework (ﾊﾟﾚｯﾄDPS) / eAWC端末 (FC-E22U)(WAT103) / FC-E22U-S / 9208687
DPM / DPM端末 (FC-E22U)(WAT104) / FC-E22U-S / 9208694</t>
  </si>
  <si>
    <t>福山ハブセンター</t>
  </si>
  <si>
    <t>第1センター自動倉庫システム</t>
  </si>
  <si>
    <t>2025031912-224-1</t>
  </si>
  <si>
    <t>34207-B02-001</t>
  </si>
  <si>
    <t>ブランド / 機器構成名(個体名) / 型式 / シリアル番号
AWC4 Ordermade / AWC4ｻｰﾊﾞ(Express5800/R320g-M4)(EAWCF01) / N8800-241Y / 9Z00160</t>
  </si>
  <si>
    <t>ブランド / 機器構成名(個体名) / 型式 / シリアル番号
AWC4 Ordermade / ﾗﾍﾞﾙﾌﾟﾘﾝﾀ(LPR01) / CL4NX-J12 / BF102409
AWC4 Ordermade / ﾗﾍﾞﾙﾌﾟﾘﾝﾀ(LPR02) / CL4NX-J12 / BF102463
AWC4 Ordermade / ﾗﾍﾞﾙﾌﾟﾘﾝﾀ(LPR03) / CL4NX-J12 / BF102473
AWC4 Ordermade / ﾗﾍﾞﾙﾌﾟﾘﾝﾀ(LPR04) / CL4NX-J12 / BF102483</t>
  </si>
  <si>
    <t>2023071103-224-2</t>
  </si>
  <si>
    <t>ブランド / 機器構成名(個体名) / 型式 / シリアル番号
AWC4 Ordermade / 出庫用ﾋﾟｯｷﾝｸﾞ端末(PC-MKE34/B-D)(WAT001) / PC-MKE34BZGD / 34000161A
AWC4 Ordermade / 出庫用ﾋﾟｯｷﾝｸﾞ端末(PC-MKE34/B-D)(WAT002) / PC-MKE34BZGD / 34000101A
AWC4 Ordermade / 出庫用ﾋﾟｯｷﾝｸﾞ端末(PC-MKE34/B-D)(WAT003) / PC-MKE34BZGD / 34000121A
AWC4 Ordermade / 出庫用ﾋﾟｯｷﾝｸﾞ端末(PC-MKE34/B-D)(WAT004) / PC-MKE34BZGD / 34000111A
AWC4 Ordermade / 出庫用ﾋﾟｯｷﾝｸﾞ端末(PC-MKE34/B-D)(WAT005) / PC-MKE34BZGD / 34000141A
AWC4 Ordermade / 出庫用ﾋﾟｯｷﾝｸﾞ端末(PC-MKE34/B-D)(WAT006) / PC-MKE34BZGD / 34000091A
AWC4 Ordermade / 出庫用ﾋﾟｯｷﾝｸﾞ端末(PC-MKE34/B-D)(WAT007) / PC-MKE34BZGD / 34000131A
AWC4 Ordermade / 入庫端末(PC-MKE34/B-D)(WAT008) / PC-MKE34BZGD / 34000171A
AWC4 Ordermade / CCR端末(PC-MKE34/B-D)(WAT009) / PC-MKE34BZGD / 34000151A</t>
  </si>
  <si>
    <t>第3センター自動倉庫システム</t>
  </si>
  <si>
    <t>2025031914-224-1</t>
  </si>
  <si>
    <t>34207-B02-002</t>
  </si>
  <si>
    <t>ブランド / 機器構成名(個体名) / 型式 / シリアル番号
AWC4 Ordermade / AWC4ｻｰﾊﾞ(Express5800/R320g-M4)(EAWCF03) / N8800-241Y / 9Z00162</t>
  </si>
  <si>
    <t>ブランド / 機器構成名(個体名) / 型式 / シリアル番号
AWC4 Ordermade / ﾗﾍﾞﾙﾌﾟﾘﾝﾀ(LPR01) / CL4NX-J12 / BF102405
AWC4 Ordermade / ﾗﾍﾞﾙﾌﾟﾘﾝﾀ(LPR02) / CL4NX-J12 / BF102408
AWC4 Ordermade / ﾗﾍﾞﾙﾌﾟﾘﾝﾀ(LPR03) / CL4NX-J12 / BF102415
AWC4 Ordermade / ﾗﾍﾞﾙﾌﾟﾘﾝﾀ(LPR04) / CL4NX-J12 / BF102416</t>
  </si>
  <si>
    <t>2023071105-224-1</t>
  </si>
  <si>
    <t>ブランド / 機器構成名(個体名) / 型式 / シリアル番号
AWC4 Ordermade / 出庫用ﾋﾟｯｷﾝｸﾞ端末(PC-MKE34/B-D)(WAT001) / PC-MKE34BZGD / 34000181A
AWC4 Ordermade / 出庫用ﾋﾟｯｷﾝｸﾞ端末(PC-MKE34/B-D)(WAT002) / PC-MKE34BZGD / 34000221A
AWC4 Ordermade / 出庫用ﾋﾟｯｷﾝｸﾞ端末(PC-MKE34/B-D)(WAT003) / PC-MKE34BZGD / 34000261A
AWC4 Ordermade / 出庫用ﾋﾟｯｷﾝｸﾞ端末(PC-MKE34/B-D)(WAT004) / PC-MKE34BZGD / 34000191A
AWC4 Ordermade / 出庫用ﾋﾟｯｷﾝｸﾞ端末(PC-MKE34/B-D)(WAT005) / PC-MKE34BZGD / 34000251A
AWC4 Ordermade / 出庫用ﾋﾟｯｷﾝｸﾞ端末(PC-MKE34/B-D)(WAT006) / PC-MKE34BZGD / 34000241A
AWC4 Ordermade / 出庫用ﾋﾟｯｷﾝｸﾞ端末(PC-MKE34/B-D)(WAT007) / PC-MKE34BZGD / 34000201A
AWC4 Ordermade / 入庫端末(PC-MKE34/B-D)(WAT008) / PC-MKE34BZGD / 34000231A
AWC4 Ordermade / CCR端末(PC-MKE34/B-D)(WAT009) / PC-MKE34BZGD / 34000211A</t>
  </si>
  <si>
    <t>ブランド / 機器構成名(個体名) / 型式 / シリアル番号
WareNavi4 Framework Custom / WareNavi4ｻｰﾊﾞｰ(FC-S36W)(WMS001) / FC-S36W-143CV7 / 2X00890</t>
  </si>
  <si>
    <t>広島第２センター</t>
  </si>
  <si>
    <t>2023032402-223-1</t>
  </si>
  <si>
    <t>34212A123-001</t>
  </si>
  <si>
    <t>ブランド / 機器構成名(個体名) / 型式 / シリアル番号
DAM / DAM本体（Express5800/T110i）(DAM001) / N8100-2507Y / 7X01699</t>
  </si>
  <si>
    <t>第3製造棟 自動倉庫</t>
  </si>
  <si>
    <t>1807-001</t>
  </si>
  <si>
    <t>34205-140-002</t>
  </si>
  <si>
    <t>ブランド / 機器構成名(個体名) / 型式 / シリアル番号
AWC4 Framework / AWC4本体(HF-W6545)(AWC001) / HJ-65459EWJD/DF01 / 4230277-1</t>
  </si>
  <si>
    <t>2017103005-216-1</t>
  </si>
  <si>
    <t>ブランド / 機器構成名(個体名) / 型式 / シリアル番号
AWC-100N+ / AWC本体 (FC-S35W/S7)(AWC001) / FC-S35W/S72CL9 / S520525MA
AWC-100N+ / AWC端末 (FC-E16U/S7)(WAT001) / FC-E16U/S71R4Z / S581436MA
AWC-100N+ / AWC端末 (FC-E16U/S7) [ BCR付 ](WAT002) / FC-E16U/S71R4Z / S581435MA
AWC-100N+ / AWC端末 (FC-E16U/S7) [ BCR付 ](WAT003) / FC-E16U/S71R4Z / S590661MA
AWC-100N+ / AWC端末 (FC-E16U/S7) [ BCR付 ](WAT004) / FC-E16U/S71R4Z / S590658MA</t>
  </si>
  <si>
    <t>ブランド / 機器構成名(個体名) / 型式 / シリアル番号
WareNavi7 / WareNavi7ｻｰﾊﾞ (FC-S36W)(WN7-001) / FC-S36W-113CW5 / 9Y00108
WareNavi7 / WareNavi7端末 (FC-E22U)(WAT001) / FC-E22U-S / 0X14453
WareNavi7 / MOSⅦ (FC-E27B)(MOS01) / FC-E27B-S / 0912172</t>
  </si>
  <si>
    <t>株式会社ダイセル</t>
  </si>
  <si>
    <t>広畑工場</t>
  </si>
  <si>
    <t>ＰＳ－１自動倉庫システム</t>
  </si>
  <si>
    <t>1908-006</t>
  </si>
  <si>
    <t>28201-485-001</t>
  </si>
  <si>
    <t>ブランド / 機器構成名(個体名) / 型式 / シリアル番号
MC / ﾏﾃﾊﾝｻｰﾊﾞ (EP8000 S814)() / THE-C828641A630B / 57591
MC / ﾏﾃﾊﾝｻｰﾊﾞ予備機 (EP8000 S814)() / THE-C828641A630B / 57592</t>
  </si>
  <si>
    <t>北倉庫地区　A-06自動倉庫</t>
  </si>
  <si>
    <t>2021071310-221-1 / 2025071506-221-1</t>
  </si>
  <si>
    <t>ブランド / 機器構成名(個体名) / 型式 / シリアル番号
AWC7 Framework / AWC7ｻｰﾊﾞ(Express5800/R320g-E4)(AWC006) / N8800-255Y / 0700356
AWC7 Framework / AWC7端末(FC-E22U)(WAT001) / FC-E22U-S / 0713831
AWC7 Framework / AWC7端末(FC-E22U)(WAT002) / FC-E22U-S / 0713827
AWC7 Framework / AWC7端末(FC-E22U)(WAT003) / FC-E22U-S / 0713826</t>
  </si>
  <si>
    <t>ブランド / 機器構成名(個体名) / 型式 / シリアル番号
eAWC Framework / eAWCｻｰﾊﾞ(Express5800/R320h-E4)(AWC001) / N8800-311Y / 4100468
eAWC Framework / ｻｰﾊﾞ用UPS(AWC001) / 無停電電源装置(1500VA)N8180-67 / J12336210795
eAWC Framework / ｻｰﾊﾞ用UPS(AWC001) / 無停電電源装置(1500VA)N8180-67 / J12336210791
eAWC Framework / eAWC端末(FC-E29U)(WAT001) / FC-E29U-S31C42 / 3600756
eAWC Framework / eAWC端末(FC-E29U)(WAT002) / FC-E29U-S31C42 / 3600745
eAWC Framework / eAWC端末(FC-E29U)(WAT003) / FC-E29U-S31C42 / 3600759</t>
  </si>
  <si>
    <t>グローリー株式会社</t>
  </si>
  <si>
    <t>姫路物流センター</t>
  </si>
  <si>
    <t>2024021902-224-1 / 2024021904-224-1 / 2019070912-216-1</t>
  </si>
  <si>
    <t>28422-014-001</t>
  </si>
  <si>
    <t>ブランド / 機器構成名(個体名) / 型式 / シリアル番号
AWC-800N / AWCｻｰﾊﾞ (Express5800/R320f-E4)(AWC001) / N8800-218Y / 9100210
AWC-800N / AWC管理端末 (FC-E22U)() / FC-E22U-S / 8Z08060
AWC-800N / MOS (FC-E22U)() / FC-E22U-S / 8Z08018</t>
  </si>
  <si>
    <t>ブランド / 機器構成名(個体名) / 型式 / シリアル番号
AWC-100N+ / AWC本体(FC-S35W/S7)(AWC001) / FC-S35W/S72CL9 / S7X0161MA</t>
  </si>
  <si>
    <t>ブランド / 機器構成名(個体名) / 型式 / シリアル番号
CMC / MOSⅦ(MOS01) / HJ-2045-WEJA/7R / 4234973-1</t>
  </si>
  <si>
    <t>株式会社アイカワ</t>
  </si>
  <si>
    <t>富山物流センター</t>
  </si>
  <si>
    <t>M2001878</t>
  </si>
  <si>
    <t>16206A105-001</t>
  </si>
  <si>
    <t>ブランド / 機器構成名(個体名) / 型式 / シリアル番号
WareNavi7 / WareNavi7ｻｰﾊﾞ(SPARC M12-1)(AWC01) / SPNAAAA2EL / PZ72149015
WareNavi7 / WareNavi7ｻｰﾊﾞ(SPARC M12-1)(AWC01) / 無停電電源装置(1500VA,ﾗｯｸﾏｳﾝﾄ)PY-UPAR152 / FJT1500RMJ2U
WareNavi7 / ｺﾝｿｰﾙ端末(PRIMERGY RX1330 M4)(WAT000) / PYR1334R3S / SC2140B00361
WareNavi7 / HT管理端末(ESPRIMO D7011/G)(HTSRV) / FMVD52001 / R1Z02843
WareNavi7 / HT管理端末(ESPRIMO D7011/G)(WAT001) / FMVD52001 / R1Z02842
WareNavi7 / 操作端末(ESPRIMO D7010/F)(WAT002) / FMVD5005W / R1X00955H
WareNavi7 / 操作端末(ESPRIMO D7010/F)(WAT003) / FMVD5005W / R1X00957J
WareNavi7 / 操作端末(ESPRIMO D7010/F)(WAT004) / FMVD5005W / R1X00953F
WareNavi7 / 操作端末(ESPRIMO D7010/F)(WAT005) / FMVD5005W / R1X00951D
WareNavi7 / 操作端末(ESPRIMO D7010/F)(WAT006) / FMVD5005W / R1X00956I
WareNavi7 / 操作端末(ESPRIMO D7010/F)(WAT007) / FMVD5005W / R1X00952E
WareNavi7 / 検品端末(ESPRIMO D7010/F)(WAT008) / FMVD5005W / R1X00954G
WareNavi7 / 検品端末(ESPRIMO D7010/F)(WAT009) / FMVD5005W / R1X00958K
WareNavi7 / 検品端末(ESPRIMO D7010/F)(WAT010) / FMVD5005W / R1X00950C
WareNavi7 / 検品端末(ESPRIMO D7011/H)(WAT011) / FMVD52065 / R2500043
WareNavi7 / 検品端末(ESPRIMO D7011/H)(WAT012) / FMVD52065 / R2500042</t>
  </si>
  <si>
    <t>新新薬品工業株式会社</t>
  </si>
  <si>
    <t>包材・製品格納用自動倉庫</t>
  </si>
  <si>
    <t>2021051310-221-1</t>
  </si>
  <si>
    <t>16201A196-001</t>
  </si>
  <si>
    <t>ブランド / 機器構成名(個体名) / 型式 / シリアル番号
AWC7 Framework / AWC7本体(FC-S36W)(AWC001) / FC-S36W-143CV7 / 0400156</t>
  </si>
  <si>
    <t>ブランド / 機器構成名(個体名) / 型式 / シリアル番号
AWC7 Framework / AWC7本体 (HF-W6555)(AWC001) / HJ-6555-WEJD/DF05 / 4238151-4</t>
  </si>
  <si>
    <t>【システム点検】※プロダクト対象外の為、診断対象外。　/【契約情報：荷合せラック】</t>
  </si>
  <si>
    <t>ブランド / 機器構成名(個体名) / 型式 / シリアル番号
WareNavi7 / WareNavi7本体(FC-S35W/S4)(WN7) / FC-S35W/S42CM0 / 9302104</t>
  </si>
  <si>
    <t>2112-002 / 2112-005</t>
  </si>
  <si>
    <t>ブランド / 機器構成名(個体名) / 型式 / シリアル番号
WareNavi7 / MOSⅦ本体(HF-W2045)(MOSB01) / HJ-2045-WEJA/7R / 4236250-1
WareNavi7 / MOSⅦ端末(HF-W2045)(MOSB02) / HJ-2045-WEJA/7R / 4522223-1</t>
  </si>
  <si>
    <t>【システム点検】※プロダクト対象外の為、診断対象外。　/【契約情報：出荷ラック】</t>
  </si>
  <si>
    <t>ブランド / 機器構成名(個体名) / 型式 / シリアル番号
CMC / CMC本体(FC-S35W)(WN7-001) / FC-S35W/S42CM0 / 9302110</t>
  </si>
  <si>
    <t>2112-003 / 2112-004</t>
  </si>
  <si>
    <t>ブランド / 機器構成名(個体名) / 型式 / シリアル番号
CMC / MOSⅦ本体(HF-W2045)(MOSA01) / HJ-2045-WEJA/7R / 4522260-1
CMC / MOSⅦ端末(HF-W2045)(MOSA02) / HJ-2045-WEJA/7R / 4522223-2</t>
  </si>
  <si>
    <t>ブランド / 機器構成名(個体名) / 型式 / シリアル番号
AWC7 Basic / AWC7本体 (FC-S36W)(AWC001) / FC-S36W-143CV7 / 2100598</t>
  </si>
  <si>
    <t>1612-002</t>
  </si>
  <si>
    <t>16207-065-001</t>
  </si>
  <si>
    <t>ブランド / 機器構成名(個体名) / 型式 / シリアル番号
eAWC Basic / eAWC本体(HF-W6545)(AWC001) / HJ-65459EWJD/DF01 / 4228613-1</t>
  </si>
  <si>
    <t>ブランド / 機器構成名(個体名) / 型式 / シリアル番号
eAWC Basic【FS】 / eAWC本体(HF-W6555)(AWC002) / HJ-6555-WBJD/DF01 / 4233837-1
eAWC Basic【CS】 / eAWC本体(HF-W6555)(AWC001) / HJ-6555-WBJD/DF01 / 4233838-1</t>
  </si>
  <si>
    <t>日東メディック株式会社</t>
  </si>
  <si>
    <t>2023080804-224-1 / 2023080811-224-1</t>
  </si>
  <si>
    <t>16361-027-001</t>
  </si>
  <si>
    <t>ブランド / 機器構成名(個体名) / 型式 / シリアル番号
AWC7 Framework / AWC7本体(FC-S36W)(AWC001) / FC-S36W-143CV7 / 2900792
AWC7 Framework / AWC7端末(FC-E29U)(WAT001) / FC-E29U-S31C42 / 2Z00340
AWC7 Framework / AWC7端末(FC-E29U)(WAT002) / FC-E29U-S31C42 / 2Z00341
AWC7 Framework / AWC7端末(FC-E29U)(WAT003) / FC-E29U-S31C42 / 2Z00349</t>
  </si>
  <si>
    <t>第3ラック倉庫</t>
  </si>
  <si>
    <t>2022040604-221-1 / 2022040606-221-1</t>
  </si>
  <si>
    <t>16202-043-005</t>
  </si>
  <si>
    <t>ブランド / 機器構成名(個体名) / 型式 / シリアル番号
WareNavi Framework / WareNavi本体(FC-S36W)(AWC001) / FC-S36W-143CV7 / 0700226
WareNavi Framework / 第3ﾗｯｸWareNavi端末(FC-E22U)(WAT001) / FC-E22U-S / 0713824
WareNavi Framework / 第3ﾗｯｸWareNavi端末(FC-E22U)(WAT002) / FC-E22U-S / 0713807
WareNavi Framework / 管理室WareNavi端末(FC-E22U)(WAT003) / FC-E22U-S / 0713836
WareNavi Framework / QA室WareNavi端末(FC-E22U)(WAT004) / FC-E22U-S / 0713819
WareNavi Framework / 第2ﾗｯｸWareNavi端末(FC-E22U)(WAT006) / FC-E22U-S / 0713821
WareNavi Framework / 第2ﾗｯｸWareNavi端末(FC-E22U)(WAT007) / FC-E22U-S / 0713822
WareNavi Framework / バックアップ端末(FC-E22U)(WAT008) / FC-E22U-S / 0814073
WareNavi Framework / QC室WareNavi端末(FC-E22U)(WAT009) / FC-E22U-S / 0713811
WareNavi Framework / WareNavi端末予備機(FC-E22U)(WAT005) / FC-E22U-S / 0713834</t>
  </si>
  <si>
    <t>ブランド / 機器構成名(個体名) / 型式 / シリアル番号
ｺﾝﾄﾛｰﾗ / MOSⅦ端末(HF-W2050)(MOSA002) / HJ-2050-WEMA/DF03 / 8055976-5</t>
  </si>
  <si>
    <t>株式会社KOKUSAI ELECTRIC</t>
  </si>
  <si>
    <t>砺波事業所</t>
  </si>
  <si>
    <t>2024111213-224-1 / 2024111215-224-1 / 2024111217-224-1 / 2024111219-224-1 / 2024111233-224-1</t>
  </si>
  <si>
    <t>16208A115-001</t>
  </si>
  <si>
    <t>ブランド / 機器構成名(個体名) / 型式 / シリアル番号
WareNavi7A / WCSｻｰﾊﾞ(Express5800/R120h-1M)(WCSSV01) / N8100-2834Y / JPN34500HY
WareNavi7A / WCSｻｰﾊﾞ(Express5800/R120h-1M)(WCSSV01) / 無停電電源装置(1500VA,ﾗｯｸﾏｳﾝﾄ)N8142-101 / 
WareNavi7A / WCSｻｰﾊﾞ予備機(Express5800/R120h-1M)(WCSSV02) / N8100-2834Y / JPN34500HX
WareNavi7A / WCSｻｰﾊﾞ予備機(Express5800/R120h-1M)(WCSSV02) / 無停電電源装置(1500VA,ﾗｯｸﾏｳﾝﾄ)N8142-101 / 
WareNavi7A / 管理端末(PC-MKE34/A-J)(WAT001) / PC-MKE34AZGJ / 3Y000141A
WareNavi7A / 作業端末(PC-MKE34/A-J)(WAT111) / PC-MKE34AZGJ / 3Y000081A
WareNavi7A / 作業端末(PC-MKE34/A-J)(WAT112) / PC-MKE34AZGJ / 3Y000121A
WareNavi7A / 作業端末(PC-MKE34/A-J)(WAT113) / PC-MKE34AZGJ / 3Y000191A
WareNavi7A / 作業端末(PC-MKE34/A-J)(WAT114) / PC-MKE34AZGJ / 3Y000261A
WareNavi7A / 作業端末(PC-MKE34/A-J)(WAT121) / PC-MKE34AZGJ / 3Y000341A
WareNavi7A / 作業端末(PC-MKE34/A-J)(WAT201) / PC-MKE34AZGJ / 3Y000301A
WareNavi7A / 作業端末(PC-MKE34/A-J)(WAT202) / PC-MKE34AZGJ / 3Y000181A
WareNavi7A / 作業端末(PC-MKE34/A-J)(WAT203) / PC-MKE34AZGJ / 3Y000201A
WareNavi7A / 作業端末(PC-MKE34/A-J)(WAT211) / PC-MKE34AZGJ / 3Y000131A
WareNavi7A / 作業端末(PC-MKE34/A-J)(WAT212) / PC-MKE34AZGJ / 3Y000021A
WareNavi7A / 作業端末(PC-MKE34/A-J)(WAT213) / PC-MKE34AZGJ / 3Y000281A
WareNavi7A / 作業端末(PC-MKE34/A-J)(WAT214) / PC-MKE34AZGJ / 3Y000051A
WareNavi7A / 作業端末(PC-MKE34/A-J)(WAT221) / PC-MKE34AZGJ / 3Y000331A
WareNavi7A / 作業端末(PC-MKE34/A-J)(WAT311) / PC-MKE34AZGJ / 3Y000321A
WareNavi7A / 作業端末(PC-MKE34/A-J)(WAT312) / PC-MKE34AZGJ / 3Y000101A
WareNavi7A / 作業端末(PC-MKE34/A-J)(WAT313) / PC-MKE34AZGJ / 3Y000271A
WareNavi7A / 作業端末(PC-MKE34/A-J)(WAT314) / PC-MKE34AZGJ / 3Y000091A
WareNavi7A / 作業端末(PC-MKE34/A-J)(WAT321) / PC-MKE34AZGJ / 3Y000151A
WareNavi7A / 作業端末(PC-MKE34/A-J)(WAT101) / PC-MKE34AZGJ / 3Y000241A
WareNavi7A / 作業端末(PC-MKE34/A-J)(WAT102) / PC-MKE34AZGJ / 3Y000071A
WareNavi7A / 作業端末(PC-MKE34/A-J)(WAT301) / PC-MKE34AZGJ / 3Y000171A
WareNavi7A / 作業端末(PC-MKE34/A-J)(WAT302) / PC-MKE34AZGJ / 3Y000251A
WareNavi7A / 作業端末(PC-MKE34/A-J)(WAT303) / PC-MKE34AZGJ / 3Y000221A
WareNavi7A / ﾘｼﾞｪｸﾄ端末(PC-MKE34/A-J)(WAT103) / PC-MKE34AZGJ / 3Y000041A
WareNavi7A / ﾘｼﾞｪｸﾄ端末(PC-MKE34/A-J)(WAT104) / PC-MKE34AZGJ / 3Y000111A
WareNavi7A / ﾘｼﾞｪｸﾄ端末(PC-MKE34/A-J)(WAT204) / PC-MKE34AZGJ / 3Y000291A
WareNavi7A / ﾘｼﾞｪｸﾄ端末(PC-MKE34/A-J)(WAT304) / PC-MKE34AZGJ / 3Y000161A
WareNavi7A / 出庫端末(PC-MKE34/A-J)(WAT205) / PC-MKE34AZGJ / 3Y000351A
WareNavi7A / 出庫端末(PC-MKE34/A-J)(WAT305) / PC-MKE34AZGJ / 3Y000311A
WareNavi7A / 1次DAS端末(PC-MKE34/A-J)(WAT131) / PC-MKE34AZGJ / 3Y000011A
WareNavi7A / 2次DAS端末(PC-MKE34/A-J)(WAT132) / PC-MKE34AZGJ / 3Y000231A
WareNavi7A / 集約DPS端末(PC-MKE34/A-J)(WAT133) / PC-MKE34AZGJ / 3Y000211A
WareNavi7A / 端末予備機(PC-MKE34/A-J)(WAT002) / PC-MKE34AZGJ / 3Y000061A
WareNavi7A / 端末予備機(PC-MKE34/A-J)(WAT003) / PC-MKE34AZGJ / 3Y000031A
WareNavi7A / MOSⅦ本体(FC-E27B)(MOSA001) / FC-E27B-SR / 2700325
WareNavi7A / MOSⅦ本体(FC-E27B)(MOSC001) / FC-E27B-SR / 2800372
WareNavi7A / MOSⅦ本体(FC-E22K)(MOSB001) / FC-E22K-L / 3400941
WareNavi7A / MOSⅦ端末(PC-VKL44/X-G)(MOTC001) / PC-VKL44XZFG / 3Z000011A
WareNavi7A / MOSⅦ端末(PC-VKL44/X-G)(MOTC002) / PC-VKL44XZFG / 3Z000021A</t>
  </si>
  <si>
    <t>2024111225-224-1 / 2024111227-224-1 / 2024111229-224-1 / 2024111231-224-1</t>
  </si>
  <si>
    <t>ブランド / 機器構成名(個体名) / 型式 / シリアル番号
AWC7 Framework / AWC7本体(FC-S36W)(AWCA01) / FC-S36W-113CW5 / 2800144
AWC7 Framework / AWC7端末(FC-E29U)(WATA001) / FC-E29U-S31C42 / 3500720
AWC7 Framework / AWC7端末(FC-E29U)(WATA002) / FC-E29U-S31C42 / 3500715
AWC7 Framework / AWC7端末(FC-E29U)(WATA004) / FC-E29U-S31C42 / 3500721
AWC7 Framework / AWC7端末(FC-E29U)(WATA005) / FC-E29U-S31C42 / 3500739
AWC7 Framework / ﾉｰﾄPC端末 (PC-VKL44/M-H)(WATA003) / PC-VKL44MZQH / 41000011A
AWC7 Framework / MOSⅦ(MOSA001) / FC-E22K-L / 3600986
AWC7 Framework / VTC(NT8000)(VTCA001) / FC-E29U-S / 4201846</t>
  </si>
  <si>
    <t>ブランド / 機器構成名(個体名) / 型式 / シリアル番号
eAWC Framework / eAWC本体 (FC-S35W/S7)(EAWC001) / FC-S35W/S72CL9 / S850264MA</t>
  </si>
  <si>
    <t>ブランド / 機器構成名(個体名) / 型式 / シリアル番号
WareNavi4 Framework / MOSⅦ (HF-W2045)(MOS01) / HJ-2045-WEJA/7R / 4234865-1</t>
  </si>
  <si>
    <t>2020061602-216-1 / 2020061604-216-1 / 2024012203-224-1</t>
  </si>
  <si>
    <t>ブランド / 機器構成名(個体名) / 型式 / シリアル番号
WareNavi4 Framework / WareNavi4ｻｰﾊﾞ (Express5800/R320f-M4)(CMC) / N8800-219Y / 8X00112
WareNavi4 Framework / 管理端末 (FC-E22U)(WAT01) / FC-E22U-S / 8807058
LPM / LPM (FC-E27B)(LPM01) / FC-E27B-S / 8X05840
LPM / LPM (FC-E27B)(LPM02) / FC-E27B-S / 8X05839
LPM / 作業端末 (FC-E22U)(WAT02) / FC-E22U-S / 8807040
LPM / ﾘｼﾞｪｸﾄ端末 (FC-E22U)(WAT03) / FC-E22U-S / 8807051
LPM / LPM予備機 (FC-E27B)(LPM予備) / FC-E27B-S / 8X05838
LPM / 端末予備機 (FC-E22U)(WAT予備) / FC-E22U-S / 8807049</t>
  </si>
  <si>
    <t>ブランド / 機器構成名(個体名) / 型式 / シリアル番号
LPM / ｵｰﾄﾗﾍﾞﾗ (LR4080SR-TSB)(LAB01) / LR4080SR-TSB / CD000006
LPM / ｵｰﾄﾗﾍﾞﾗ (LR4080SR-TCJ)(LAB02) / LR4080SR-TCJ / CD000007
LPM / ｵｰﾄﾗﾍﾞﾗ (LR4081SR-TCJ)(LAB03) / LR4081SR-TCJ / CD000030</t>
  </si>
  <si>
    <t>2024041206-224-1 / 2024041208-224-1 / 2025041020-224-1</t>
  </si>
  <si>
    <t>ハードウェア点検：問題無し</t>
  </si>
  <si>
    <t>ブランド / 機器構成名(個体名) / 型式 / シリアル番号
AWC7 Framework / AWC7本体 (FC-S36W)(AWC001) / FC-S36W-143CV7 / 2100621
AWC7 Framework / AWC7端末 (FC-E22U)(WAT001) / FC-E22U-S / 1X17216
AWC7 Framework / AWC7端末 (FC-E22U)(WAT002) / FC-E22U-S / 1X17219
AWC7 Framework / AWC7端末 (FC-E22U)(WAT003) / FC-E22U-S / 1X17229
AWC7 Framework / AWC7端末 (FC-E22U)(WAT004) / FC-E22U-S / 1X17231
AWC7 Framework / AWC7端末 (FC-E29U)(WAT005) / FC-E29U-S31C42 / 3600852
AWC7 Framework / AWC7端末 (FC-E29U)(WAT006) / FC-E29U-S31C42 / 3600880
AWC7 Framework / AWC7端末 (FC-E29U)(WAT007) / FC-E29U-S31C42 / 3600927
AWC7 Framework / AWC7端末 (FC-E29U)(WAT008) / FC-E29U-S31C42 / 3600938</t>
  </si>
  <si>
    <t>ブランド / 機器構成名(個体名) / 型式 / シリアル番号
AWC7 Framework / MOSⅦ本体(HF-W2055)(MOSA001) / HJ-2055-WEMA/DF04 / 8053730-5</t>
  </si>
  <si>
    <t>新富士PDセンター（クリエイト）</t>
  </si>
  <si>
    <t>クリエイト専用センター仕分け設備</t>
  </si>
  <si>
    <t>22210A179-001</t>
  </si>
  <si>
    <t>ブランド / 機器構成名(個体名) / 型式 / シリアル番号
LPM / ｵｰﾄﾗﾍﾞﾗ(AL01) / LR4081SR-TSB / BD000028
LPM / ｵｰﾄﾗﾍﾞﾗ(AL02) / LR4081SR-TSB / BD000029
LPM / ｵｰﾄﾗﾍﾞﾗ(AL03) / LR4081SR-TSB / BD000030</t>
  </si>
  <si>
    <t>東富士PDセンター　（ウェルシア）</t>
  </si>
  <si>
    <t>ウェルシア東富士センター仕分け設備</t>
  </si>
  <si>
    <t>22210A183-001</t>
  </si>
  <si>
    <t>ブランド / 機器構成名(個体名) / 型式 / シリアル番号
LPM / ｵｰﾄﾗﾍﾞﾗ(AL01) / LR4080SR-TSB / BK000117
LPM / ｵｰﾄﾗﾍﾞﾗ(AL02) / LR4080SR-TSB / BK000118
LPM / ｵｰﾄﾗﾍﾞﾗ(AL03) / LR4080SR-TSB / BK000119
LPM / ｵｰﾄﾗﾍﾞﾗ(AL04) / LR4080SR-TSB / BK000120</t>
  </si>
  <si>
    <t>2019071004-216-1 / 2019071005-216-1 / 2019071007-216-1</t>
  </si>
  <si>
    <t>ブランド / 機器構成名(個体名) / 型式 / シリアル番号
LPM / LPM兼ﾏﾃﾊﾝｻｰﾊﾞ(FC-S35W/S4)(LPM01) / FC-S35W/S42CM0 / S780435MA
LPM / LPM(FC-P33W)(LPM02) / FC-P33W-L2 / 8200514
SAM / SAM(FC-S35W/S4)(SAM01) / FC-S35W/S42CM0 / S780444MA
SAM / ﾘｼﾞｪｸﾄ端末(FC-E22U)(WAT01) / FC-E22U-S / 7X04428</t>
  </si>
  <si>
    <t>ブランド / 機器構成名(個体名) / 型式 / シリアル番号
LPM / ｵｰﾄﾗﾍﾞﾗ(LBRZ101) / LR4120SR-TSB / JK000096
LPM / ｵｰﾄﾗﾍﾞﾗ(LBRZ102) / LR4120SR-TSB / JK000097
LPM / ｵｰﾄﾗﾍﾞﾗ(LBRZ103) / LR4120SR-TSB / JK000098</t>
  </si>
  <si>
    <t>富士小山工場</t>
  </si>
  <si>
    <t>22344-045-001</t>
  </si>
  <si>
    <t>ブランド / 機器構成名(個体名) / 型式 / シリアル番号
MC / 荷捌き場端末 (ESPRIMO D7012/K)(WAT002) / FMVD54001 / R3602159
MC / 空ﾊﾟﾚｯﾄ入出庫口端末 (ESPRIMO D7012/K)(WAT001) / FMVD54001 / R3602158</t>
  </si>
  <si>
    <t>2019071009-216-1 / 2019071010-216-1</t>
  </si>
  <si>
    <t>ブランド / 機器構成名(個体名) / 型式 / シリアル番号
LPM / LPM本体(FC-S35W/S4)(LPM01) / FC-S35W/S42CM0 / S720440MA
LPM / ﾘｼﾞｪｸﾄ端末(FC-E22U)(WAT01) / FC-E22U-S / 7502950</t>
  </si>
  <si>
    <t>ブランド / 機器構成名(個体名) / 型式 / シリアル番号
RTS-100 / RTS端末(FC-E22U)(TKS-CCR-PC1) / FC-E22U-S / 8606327
RTS-100 / RTS端末(FC-E22U)(TKS-CCR-PC2) / FC-E22U-S / 8606330
RTS-100 / RTS端末(FC-E22U)(TKS-1F-PC1) / FC-E22U-S / 8606324
RTS-100 / RTS端末(FC-E22U)(TKS-1F-PC2) / FC-E22U-S / 8606320
RTS-100 / RTS端末(FC-E22U)(TKS-3F-PC1) / FC-E22U-S / 8606322
RTS-100 / RTS端末/2F現場(FC-E22U)(TKS-2F-PC1) / FC-E22U-S / 8606314</t>
  </si>
  <si>
    <t>CE451495</t>
  </si>
  <si>
    <t>ブランド / 機器構成名(個体名) / 型式 / シリアル番号
RTS-100 / RTSｻｰﾊﾞ(SPARC M10-1)(RTS001) / SPMAKAA1EF / PZ31828005</t>
  </si>
  <si>
    <t>2021090902-221-1 / 2021090906-221-1 / 2021090909-221-2</t>
  </si>
  <si>
    <t>ブランド / 機器構成名(個体名) / 型式 / シリアル番号
WareNavi7 / WareNavi7本体(FC-S36W)(WN7-001) / FC-S36W-143CV7 / 0800241
WareNavi7 / WareNavi7端末(FC-E22U)(WAT01) / FC-E22U-S / 0914189
WareNavi7 / MOSⅦ(MOS01) / FC-E27B-S / 0812054</t>
  </si>
  <si>
    <t>HSY0175416</t>
  </si>
  <si>
    <t>ブランド / 機器構成名(個体名) / 型式 / シリアル番号
WareNavi7 / ﾗﾍﾞﾙﾌﾟﾘﾝﾀ(LPR001) / BP-4300 / 100490455</t>
  </si>
  <si>
    <t>冨士森永乳業株式会社</t>
  </si>
  <si>
    <t>FA130 / FA131</t>
  </si>
  <si>
    <t>22342-081-001</t>
  </si>
  <si>
    <t>ブランド / 機器構成名(個体名) / 型式 / シリアル番号
AWC-800N / AWC本体 (FA3100SS model 1000)(AWC001) / UD431016-01-DHT / OEZ172
AWC-800N / AWC端末 (FA2100SS model 500)(WAT001) / UV4A502-07-DHT / OBA379</t>
  </si>
  <si>
    <t>松本システムエンジニアリング株式会社</t>
  </si>
  <si>
    <t>アタッチメント格納自動倉庫</t>
  </si>
  <si>
    <t>2022120915-221-1</t>
  </si>
  <si>
    <t>40342A101-001</t>
  </si>
  <si>
    <t>ブランド / 機器構成名(個体名) / 型式 / シリアル番号
AWC4-Jr / AWC4本体(FC-E22U)(AWC001) / FC-E22U-S / 0Z15040</t>
  </si>
  <si>
    <t>ブランド / 機器構成名(個体名) / 型式 / シリアル番号
WareNavi / ﾏﾃﾊﾝｻｰﾊﾞ (FC-S36W)(MC01) / FC-S36W-143CV7 / 2900871
SAM / SAM (FC-S36W)(SAM01) / FC-S36W-143CV7 / 2X00887
LPM / LPM (FC-S36W)(LPM01) / FC-S36W-143CV7 / 2900858
LPM / LPM (FC-S36W)(LPM02) / FC-S36W-143CV7 / 2900867
LPM / LPM (FC-S36W【BCR付】)(LPM03) / FC-S36W-143CV7 / 2X00878</t>
  </si>
  <si>
    <t>2023090508-224-1</t>
  </si>
  <si>
    <t>ブランド / 機器構成名(個体名) / 型式 / シリアル番号
AWC-800U / AWC端末 (FC-E16U/S7)(WAT001) / FC-E16U/S71R4Z / S330539MA
AWC-800U / AWC端末 (FC-E16U/S7)(WAT002) / FC-E16U/S71R4Z / S330538MA
AWC-800U / AWC端末 (FC-E16U/S7)(WAT005) / FC-E16U/S71R4Z / S330534MA
AWC-800U / AWC端末 / 外部入庫口 (FC-E16U/S7)(WAT003) / FC-E16U/S71R4Z / S330535MA
AWC-800U / AWC端末 / 外部入庫口 (FC-E16U/S7)(WAT004) / FC-E16U/S71R4Z / S330530MA</t>
  </si>
  <si>
    <t>福岡営業所</t>
  </si>
  <si>
    <t>DAS</t>
  </si>
  <si>
    <t>2025051404-224-1</t>
  </si>
  <si>
    <t>40131-446-002</t>
  </si>
  <si>
    <t>ブランド / 機器構成名(個体名) / 型式 / シリアル番号
DAM / DAM (FC-R24W)(DAM) / FC-R24W-L1 / 3700624</t>
  </si>
  <si>
    <t>ブランド / 機器構成名(個体名) / 型式 / シリアル番号
LPM / ｵｰﾄﾗﾍﾞﾗ(LR4080SR-TSB)(LBRZ101) / LR4080SR-TSB / HM000064
LPM / ｵｰﾄﾗﾍﾞﾗ(LR4080SR-TSB)(LBRZ102) / LR4080SR-TSB / HM000065
LPM / ｵｰﾄﾗﾍﾞﾗ(LR4080SR-TSB)(LBRZ201) / LR4080SR-TSB / JB000065
LPM / ｵｰﾄﾗﾍﾞﾗ(LR4080SR-TSB)(LBRZ202) / LR4080SR-TSB / JB000066
LPM / ｵｰﾄﾗﾍﾞﾗ(LR4080SR-TSB)(LBRZ203) / LR4080SR-TSB / JB000067
LPM / ｵｰﾄﾗﾍﾞﾗ(LR4080SR-TSB)(LBRZ204) / LR4080SR-TSB / JB000068
LPM / ｵｰﾄﾗﾍﾞﾗ(LR4080SR-TSB)(LBRZ205) / LR4080SR-TSB / JB000069
LPM / ｵｰﾄﾗﾍﾞﾗ(LR4NX-FA08RPJ)(LBRZ103) / LR4NX-FA08RPJ / HK000070</t>
  </si>
  <si>
    <t>ブランド / 機器構成名(個体名) / 型式 / シリアル番号
DPM / ｵｰﾄﾗﾍﾞﾗ (冷蔵ﾗｲﾝ用)(ALR01) / LR4NX-FA08LPJ / GH000029
DPM / ｵｰﾄﾗﾍﾞﾗ (冷蔵ﾗｲﾝ用)(ALR02) / LR4NX-FA08LPJ / GH000035
DPM / ｵｰﾄﾗﾍﾞﾗ (冷蔵ﾗｲﾝ用)(ALR03) / LR4NX-FA08LPJ / GH000030
DPM / ｵｰﾄﾗﾍﾞﾗ (冷蔵ﾗｲﾝ用)(ALR04) / LR4NX-FA08LPJ / GH000036
DPM / ｵｰﾄﾗﾍﾞﾗ (冷蔵ﾗｲﾝ用)(ALR05) / LR4NX-FA08LPJ / GH000031
DPM / ｵｰﾄﾗﾍﾞﾗ (冷蔵ﾗｲﾝ用)(ALR06) / LR4NX-FA08LPJ / GH000037
DPM / ｵｰﾄﾗﾍﾞﾗ (冷蔵ﾗｲﾝ用)(ALR07) / LR4NX-FA08LPJ / GH000032
DPM / ｵｰﾄﾗﾍﾞﾗ (冷蔵ﾗｲﾝ用)(ALR08) / LR4NX-FA08LPJ / GH000038
DPM / ｵｰﾄﾗﾍﾞﾗ (冷蔵ﾗｲﾝ用)(ALR09) / LR4NX-FA08LPJ / GH000033
DPM / ｵｰﾄﾗﾍﾞﾗ (冷蔵ﾗｲﾝ用)(ALR10) / LR4NX-FA08LPJ / GH000039
DPM / ｵｰﾄﾗﾍﾞﾗ (冷蔵ﾗｲﾝ用)(ALR11) / LR4NX-FA08LPJ / GH000034
DPM / ｵｰﾄﾗﾍﾞﾗ (冷蔵ﾗｲﾝ用)(ALR12) / LR4NX-FA08LPJ / GH000040
DPM / ｵｰﾄﾗﾍﾞﾗ (農産ﾗｲﾝ用)(ALR13) / LR4NX-FA08LPJ / GH000057
DPM / ｵｰﾄﾗﾍﾞﾗ (農産ﾗｲﾝ用)(ALR14) / LR4NX-FA08LPJ / GH000059
DPM / ｵｰﾄﾗﾍﾞﾗ (農産ﾗｲﾝ用)(ALR15) / LR4NX-FA08LPJ / GH000058
DPM / ｵｰﾄﾗﾍﾞﾗ (農産ﾗｲﾝ用)(ALR16) / LR4NX-FA08LPJ / GH000060
DPM / ｵｰﾄﾗﾍﾞﾗ (農産ﾗｲﾝ用)(ALR17) / LR4NX-FA08RPJ / GH000025
DPM / ｵｰﾄﾗﾍﾞﾗ (農産ﾗｲﾝ用)(ALR18) / LR4NX-FA08RPJ / GH000027
DPM / ｵｰﾄﾗﾍﾞﾗ (農産ﾗｲﾝ用)(ALR19) / LR4NX-FA08RPJ / GH000026
DPM / ｵｰﾄﾗﾍﾞﾗ (農産ﾗｲﾝ用)(ALR20) / LR4NX-FA08RPJ / GH000028</t>
  </si>
  <si>
    <t>福岡物流センター</t>
  </si>
  <si>
    <t>ブランド / 機器構成名(個体名) / 型式 / シリアル番号
LPM / ｵｰﾄﾗﾍﾞﾗ(AL001) / LR4081SR-TPJ / CD000026
LPM / ｵｰﾄﾗﾍﾞﾗ(AL002) / LR4081SR-TPJ / CD000028
LPM / ｵｰﾄﾗﾍﾞﾗ(AL003) / LR4081SR-TPJ / CD000027
LPM / ｵｰﾄﾗﾍﾞﾗ(AL004) / LR4081SR-TPJ / CD000025</t>
  </si>
  <si>
    <t>豊橋農業協同組合</t>
  </si>
  <si>
    <t>トマト選果場</t>
  </si>
  <si>
    <t>トマト製品保管シャトルラック</t>
  </si>
  <si>
    <t>1701-001</t>
  </si>
  <si>
    <t>23201A163-001</t>
  </si>
  <si>
    <t>ブランド / 機器構成名(個体名) / 型式 / シリアル番号
WareNavi4 Framework / ﾏﾃﾊﾝｻｰﾊﾞ (HF-W7530)(WareNavi) / HJ-75307ESJD/H10 / 4225159-1</t>
  </si>
  <si>
    <t>ブランド / 機器構成名(個体名) / 型式 / シリアル番号
AWC7 Framework / AWC7本体 (FC-S36W)(AWC001) / FC-S36W-143CV7 / 0900261</t>
  </si>
  <si>
    <t>ブランド / 機器構成名(個体名) / 型式 / シリアル番号
AWC-100N+ / AWC本体 (FC-S35W/S7)(AWC001) / FC-S35W/S72CL9 / S5Y0060MA
AWC-100N+ / AWC端末 (FC-E16U/S7)(WAT001) / FC-E16U/S71R4Z / S5Y0875MA</t>
  </si>
  <si>
    <t>食品冷凍自動倉庫システム(LL棟)</t>
  </si>
  <si>
    <t>FA103 / FA104</t>
  </si>
  <si>
    <t>23603-026-001</t>
  </si>
  <si>
    <t>ブランド / 機器構成名(個体名) / 型式 / シリアル番号
AWC-500N / AWC本体 (FA3100SS model 1000)(RT01) / UD431016-01-DHT / OEY542
AWC-500N / AWC端末 (FA2100SS model 500)(WT0101(デザート棟)) / UV4A502-07-DHT / OBA003</t>
  </si>
  <si>
    <t>食品冷凍自動倉庫システム(デザート棟)</t>
  </si>
  <si>
    <t>FA105 / FA106</t>
  </si>
  <si>
    <t>23603-026-002</t>
  </si>
  <si>
    <t>ブランド / 機器構成名(個体名) / 型式 / シリアル番号
AWC-500N / AWC本体 (FA3100SS model 1000)(RT02) / UD431016-01-DHT / OEY543
AWC-500N / AWC端末 (FA2100SS model 500)(WT0201(取外し中)) / UV4A502-07-DHT / OBA061
AWC-500N / AWC端末 (FA2100SS model 500)(WT0202) / UV4A502-07-DHT / OBA062</t>
  </si>
  <si>
    <t>恒温RMシステム</t>
  </si>
  <si>
    <t>2106-007</t>
  </si>
  <si>
    <t>23201-455-001</t>
  </si>
  <si>
    <t>ブランド / 機器構成名(個体名) / 型式 / シリアル番号
AWC-800U / AWCｻｰﾊﾞ (EP8000 S914)(AWC001) / THE-C900941A623T / 61509</t>
  </si>
  <si>
    <t>ブランド / 機器構成名(個体名) / 型式 / シリアル番号
AWC4 Framework / AWC4本体(FC-S36W)(AWC001) / FC-S36W-143CV7 / 0800250
AWC4 Framework / AWC4本体予備機(FC-S36W)(AWC002) / FC-S36W-143CV7 / 0800251</t>
  </si>
  <si>
    <t>ブランド / 機器構成名(個体名) / 型式 / シリアル番号
AWC4 Basic / AWC4本体 (FC-S35W/S7)(AWC001) / FC-S35W/S72CL9 / S4Z0589MA</t>
  </si>
  <si>
    <t>2016092604-220-1 / 2022070606-221-1</t>
  </si>
  <si>
    <t>ブランド / 機器構成名(個体名) / 型式 / シリアル番号
AWC4 Framework / AWC4本体(FC-S35W/S7)(AWC001) / FC-S35W/S72CL9 / S451030MA
AWC4 Framework / AWC4本体予備機(FC-S35W)(AWC001_YOBI) / FC-S35W/S72CL9 / 9708434</t>
  </si>
  <si>
    <t>2022070608-221-1 / 2024111223-224-1</t>
  </si>
  <si>
    <t>ブランド / 機器構成名(個体名) / 型式 / シリアル番号
AWC4 Framework / AWC4本体 (FC-S36W)(AWC001) / FC-S36W-133CW4 / 3Z00341
AWC4 Framework / AWC4本体予備機(FC-S36W)(AWC001予備) / FC-S36W-133CW4 / 9X00109</t>
  </si>
  <si>
    <t>ブランド / 機器構成名(個体名) / 型式 / シリアル番号
AWC4 Basic / AWC4本体 (FA3100SS model 1000)(AWC001) / UD431016-01-DHT / OEZ896</t>
  </si>
  <si>
    <t>門司工場</t>
  </si>
  <si>
    <t>2508-006</t>
  </si>
  <si>
    <t>40101-092-001</t>
  </si>
  <si>
    <t>ブランド / 機器構成名(個体名) / 型式 / シリアル番号
eAWC Framework / eAWC本体 (HF-W6545)(EAWC001) / HJ-65459EWJD/DF01 / 4230273-1</t>
  </si>
  <si>
    <t>ブランド / 機器構成名(個体名) / 型式 / シリアル番号
WareNavi7(資材倉庫) / WareNavi7本体 (Express5800/R320f-M4【資材・製品共有】)(FTS001) / N8800-219Y / 8Y00119
WareNavi7(資材倉庫) / WareNavi7端末 (FC-E22U)(WAT001) / FC-E22U-S / 8Y07773
WareNavi7(資材倉庫) / WareNavi7端末 (FC-E22U)(WAT002) / FC-E22U-S / 8Y07779
WareNavi7(製品倉庫) / MOSⅦ端末 (FC-P31X)(MOSA02) / FC-P31X-L1 / 2801117</t>
  </si>
  <si>
    <t>2102-004 / 2102-005 / 2102-006</t>
  </si>
  <si>
    <t>ブランド / 機器構成名(個体名) / 型式 / シリアル番号
WareNavi7(資材倉庫) / MOSⅦｻｰﾊﾞ (HF-W2045【1号倉庫】)(MOSA01) / HJ-2045-WEJA/7R / 4234629-1
WareNavi7(資材倉庫) / MOSⅦｻｰﾊﾞ (HF-W2045【2号倉庫】)(MOSA02) / HJ-2045-WEJA/7R / 4522419-1
WareNavi7(製品倉庫) / MOSⅦ本体 (HF-W2045)(MOSA01) / HJ-2045-WEJA/7R / 4234903-1</t>
  </si>
  <si>
    <t>2024051512-224-1 / 2024051515-224-1</t>
  </si>
  <si>
    <t>ブランド / 機器構成名(個体名) / 型式 / シリアル番号
eAWC Framework Custom / eAWC本体(FC-S36W)(EAWC001) / FC-S36W-143CV7 / 2900791
eAWC Framework Custom / 仕分けPC(FC-E29U)(SAM001) / FC-E29U-L / 3600475
eAWC Framework Custom / eAWC端末(FC-E29U)(WAT001) / FC-E29U-S31C42 / 2Z00348
eAWC Framework Custom / eAWC端末(FC-E29U)(WAT002) / FC-E29U-S31C42 / 2Z00351
eAWC Framework Custom / eAWC端末(FC-E29U)(WAT003) / FC-E29U-S31C42 / 2Z00336
eAWC Framework Custom / eAWC端末(FC-E29U)(WAT004) / FC-E29U-S31C42 / 2Z00375
eAWC Framework Custom / eAWC端末(FC-E29U)(WAT005) / FC-E29U-S31C42 / 2Z00342
eAWC Framework Custom / eAWC端末(FC-E29U)(WAT006) / FC-E29U-S31C42 / 2Z00346
eAWC Framework Custom / eAWC端末(FC-E29U)(WAT007) / FC-E29U-S31C42 / 2Z00379
eAWC Framework Custom / eAWC端末(FC-E29U)(WAT008) / FC-E29U-S31C42 / 2Z00343</t>
  </si>
  <si>
    <t>2404-004 / 2305-011</t>
  </si>
  <si>
    <t>ブランド / 機器構成名(個体名) / 型式 / シリアル番号
AWC7 Ordermade / AWC7本体(HF-W7560)(AWC01) / HJ-7560-SEJD/7R / 4525038-1
AWC7 Ordermade / AWC7端末(HF-W2050)(FDC202) / HJ-2050-WEMA/DF03 / 8053777-5
AWC7 Ordermade / AWC7端末(HF-W2050)(FDC203) / HJ-2050-WEMA/DF03 / 8053777-4</t>
  </si>
  <si>
    <t>若宮物流センター</t>
  </si>
  <si>
    <t>要冷ライン</t>
  </si>
  <si>
    <t>2020051410-216-1</t>
  </si>
  <si>
    <t>40226A104-001</t>
  </si>
  <si>
    <t>ブランド / 機器構成名(個体名) / 型式 / シリアル番号
PCM / PCM本体(FC-S35W/S7)(PCM01) / FC-S35W/S72CL9 / S630514MA
eye-navi / DPM本体(FC-S35W/S7)(DPM01) / FC-S35W/S72CL9 / S630510MA
eye-navi / DPM本体(FC-S35W/S7)(DPM02) / FC-S35W/S72CL9 / S630921MA</t>
  </si>
  <si>
    <t>ブランド / 機器構成名(個体名) / 型式 / シリアル番号
eye-navi / ﾗﾍﾞﾙﾌﾟﾘﾝﾀ(LP01) / CL4NX-J08 / 6D000666
eye-navi / ﾗﾍﾞﾙﾌﾟﾘﾝﾀ(LP02) / CL4NX-J08 / 6D000670
eye-navi / ﾗﾍﾞﾙﾌﾟﾘﾝﾀ(LP03) / CL4NX-J08 / 6D000667
eye-navi / ﾗﾍﾞﾙﾌﾟﾘﾝﾀ(LP04) / CL4NX-J08 / AJ102126
eye-navi / ﾗﾍﾞﾙﾌﾟﾘﾝﾀ(LP05) / CL4NX-J08 / AG100805</t>
  </si>
  <si>
    <t>ドライライン</t>
  </si>
  <si>
    <t>2020051406-216-1 / 2020051408-216-1</t>
  </si>
  <si>
    <t>40226A104-002</t>
  </si>
  <si>
    <t>ブランド / 機器構成名(個体名) / 型式 / シリアル番号
JCM / JCM (FC-S35W/S7)(PCM02) / FC-S35W/S72CL9 / S780432MA
eye-navi / DPM (FC-S35W/S7)(DPM03) / FC-S35W/S72CL9 / S780428MA
eye-navi / DPM (FC-S35W/S7)(DPM04) / FC-S35W/S72CL9 / S780429MA
eye-navi / 低頻度品投入端末 (FC-E22U)(WAT31) / FC-E22U-S / 7Z04820
eye-navi / 低頻度品投入端末 (FC-E22U)(WAT41) / FC-E22U-S / 7Z04821
eye-navi / 寄せ端末 (FC-E22U)(WAT32) / FC-E22U-S / 7Z04827
eye-navi / 寄せ端末 (FC-E22U)(WAT42) / FC-E22U-S / 7Z04824</t>
  </si>
  <si>
    <t>ブランド / 機器構成名(個体名) / 型式 / シリアル番号
eye-navi / ﾗﾍﾞﾙﾌﾟﾘﾝﾀ(LBL31) / CL4NX-J08 / BK101994
eye-navi / ﾗﾍﾞﾙﾌﾟﾘﾝﾀ(LBL41) / CL4NX-J08 / BK101967
eye-navi / ﾗﾍﾞﾙﾌﾟﾘﾝﾀ(LBL32) / CL4NX-J08 / BK101977
eye-navi / ﾗﾍﾞﾙﾌﾟﾘﾝﾀ(LBL42) / CL4NX-J08 / BK101966
eye-navi / ﾗﾍﾞﾙﾌﾟﾘﾝﾀ(LBL予備) / CL4NX-J08 / BK101976</t>
  </si>
  <si>
    <t>2005-010 / 2005-011</t>
  </si>
  <si>
    <t>ブランド / 機器構成名(個体名) / 型式 / シリアル番号
WareNavi7 / WareNavi7本体 (HF-W6555)(WN7) / HJ-6555-WEJD/7R / 4236133-1
WareNavi7 / MOSⅦｻｰﾊﾞ (HF-W2045)(MOSA01) / HJ-2045-WEJA/7R / 4235878-1
WareNavi7 / MOSⅦｸﾗｲｱﾝﾄ (HF-W2045)(MOSA02) / HJ-2045-WEJA/7R / 4235899-1</t>
  </si>
  <si>
    <t>青果ライン</t>
  </si>
  <si>
    <t>2022060706-221-1 / 2022060708-221-1</t>
  </si>
  <si>
    <t>40226A104-003</t>
  </si>
  <si>
    <t>ブランド / 機器構成名(個体名) / 型式 / シリアル番号
eye-navi / DPMｻｰﾊﾞ (FC-S36W)(PCM03) / FC-S36W-143CV7 / 0300155
eye-navi / DPM本体 (FC-S36W)(DPM05) / FC-S36W-143CV7 / 0300154
eye-navi / DPM予備機 (FC-S36W)(DPM予備) / FC-S36W-143CV7 / 0300149
eye-navi / 寄せ端末 (FC-E22U)(WAT51) / FC-E22U-S / 0312805</t>
  </si>
  <si>
    <t>ブランド / 機器構成名(個体名) / 型式 / シリアル番号
eye-navi / ﾗﾍﾞﾙﾌﾟﾘﾝﾀ(LBP01) / CL4NX-J08 / DK102484
eye-navi / ﾗﾍﾞﾙﾌﾟﾘﾝﾀ(LBP02) / CL4NX-J08 / DK102494
eye-navi / ﾗﾍﾞﾙﾌﾟﾘﾝﾀ(LBP予備) / CL4NX-J08 / DK102496</t>
  </si>
  <si>
    <t>ブランド / 機器構成名(個体名) / 型式 / シリアル番号
AWC4 Basic / AWC4本体(HF-W6555)(AWC001) / HJ-6555-WEJD/DF03 / 4236940-2</t>
  </si>
  <si>
    <t>ブランド / 機器構成名(個体名) / 型式 / シリアル番号
WareNavi7A / WareNavi7本体 (FC-S36W)(WN7A) / FC-S36W-143CV7 / 2X00880</t>
  </si>
  <si>
    <t>作道印刷株式会社</t>
  </si>
  <si>
    <t>原料・仕掛品・製品格納ＡＳ／ＲＳ</t>
  </si>
  <si>
    <t>FA063</t>
  </si>
  <si>
    <t>27227-B09-001</t>
  </si>
  <si>
    <t>ブランド / 機器構成名(個体名) / 型式 / シリアル番号
AWC4 Basic / AWC4本体　(FA3100SS model 1000)(AWC001) / UD431016-01-DHT / OEX011</t>
  </si>
  <si>
    <t>ブランド / 機器構成名(個体名) / 型式 / シリアル番号
LPM / ﾗﾍﾞﾙﾌﾟﾘﾝﾀ(LPR01) / CL4NX-J08 / 5H000775
LPM / ｵｰﾄﾗﾍﾞﾗ(ALR01) / LR4080SR-TSB / 15120107
LPM / ｵｰﾄﾗﾍﾞﾗ(ALR02) / LR4080SR-TSB / 15120108
LPM / ｵｰﾄﾗﾍﾞﾗ(ALR03) / LR4080SR-TSB / 15120109
LPM / ｵｰﾄﾗﾍﾞﾗ(ALR04) / LR4080SR-TSB / 15120110</t>
  </si>
  <si>
    <t>2021062406-221-1 / 2025111213-225-1</t>
  </si>
  <si>
    <t>ブランド / 機器構成名(個体名) / 型式 / シリアル番号
WareNavi7 / DBｻｰﾊﾞ (Express5800/R120h-2M)(DBSV01) / N8100-2836Y / JPN040404Z
WareNavi7 / DBｻｰﾊﾞ (Express5800/R120h-2M)(DBSV02) / N8100-2836Y / JPN040404Y
WareNavi7 / APｻｰﾊﾞﾞ (Express5800/R120h-2M)(APLSV01) / N8100-2836Y / JPN24600XR
WareNavi7 / APｻｰﾊﾞﾞ (Express5800/R120h-2M)(APLSV02) / N8100-2836Y / JPN040404X
WareNavi7 / APｻｰﾊﾞﾞ (Express5800/R120h-2M)(APLSV03) / N8100-2836Y / JPN0404050
WareNavi7 / APｻｰﾊﾞ予備 (Express5800/R120h-2M)(APLSV04) / N8100-2836Y / JPN040404W
WareNavi7 / WareNavi7端末 (FC-E27B【BCR付】)(WATZ412) / FC-E27B-S / 0X12483
WareNavi7 / WareNavi7端末 (FC-E27B【BCR付】)(WATZ413) / FC-E27B-S / 0X12470
WareNavi7 / WareNavi7端末 (FC-E27B【BCR付】)(WATZ414) / FC-E27B-S / 0X12481
WareNavi7 / WareNavi7端末 (FC-E27B【BCR付】)(WATZ415) / FC-E27B-S / 0X12475
WareNavi7 / WareNavi7端末 (FC-E27B【BCR付】)(WATZ416) / FC-E27B-S / 0X12479
WareNavi7 / WareNavi7端末 (FC-E27B【BCR付】)(WATZ417) / FC-E27B-S / 0X12469
WareNavi7 / WareNavi7端末 (FC-E27B【BCR付】)(WATZ418) / FC-E27B-S / 0X12466
WareNavi7 / WareNavi7端末 (FC-E27B【BCR付】)(WATZ419) / FC-E27B-S / 0X12471
WareNavi7 / WareNavi7端末 (FC-E27B【BCR付】)(WATZ420) / FC-E27B-S / 0X12473
WareNavi7 / WareNavi7端末 (FC-E27B【BCR付】)(WATZ421) / FC-E27B-S / 0X12474
WareNavi7 / WareNavi7端末 (FC-E27B【BCR付】)(WATZ405) / FC-E27B-S / 0X12477
WareNavi7 / 制御PC予備機 (FC-E27B)(WATZ004) / FC-E27B-S / 0X12491
WareNavi7 / 端末予備機 (FC-E22U)(WATZ005) / FC-E22U-S / 0914141
DPM / DPM (FC-S36W)(DPMZ304) / FC-S36W-143CV7 / 0700224
DPM / DPM (FC-S36W)(DPMZ305) / FC-S36W-143CV7 / 0700225
DPM / DPM (FC-S36W)(DPMZ407) / FC-S36W-143CV7 / 0800239
DPM / DPM (FC-S36W)(DPMZ408) / FC-S36W-143CV7 / 0700211
DPM / DPM (FC-S36W)(DPMZ409) / FC-S36W-143CV7 / 0800240
DPM / DPM (FC-S36W)(DPMZ410) / FC-S36W-143CV7 / 0700205
DPM / DPM (FC-S36W)(DPMZ412) / FC-S36W-143CV7 / 0700235
DPM / DPM予備機 (FC-S36W)(DPMZ999) / FC-S36W-143CV7 / 0700212
LPM / LPM (FC-E27B)(LPMZ105) / FC-E27B-S / 0X12478
LPM / LPM (FC-E27B)(LPMZ106) / FC-E27B-S / 0X12467
LPM / LPM (FC-E27B)(LPMZ107) / FC-E27B-S / 0X12480
LPM / LPM (FC-E27B)(LPMZ422) / FC-E27B-S / 0X12468
ﾛﾎﾞｯﾄPC / ﾛﾎﾞｯﾄPC (FC-E27B)(WATZ108) / FC-E27B-S / 0X12482
ﾛﾎﾞｯﾄPC / ﾛﾎﾞｯﾄPC (FC-E27B)(WATZ109) / FC-E27B-S / 0X12476
ﾛﾎﾞｯﾄPC / ﾛﾎﾞｯﾄPC (FC-E27B【BCR付】)(WATZ403) / FC-E27B-S / 0X12472
ﾛﾎﾞｯﾄPC / ﾛﾎﾞｯﾄPC (FC-E27B【BCR付】)(WATZ404) / FC-E27B-S / 0X12490</t>
  </si>
  <si>
    <t>ブランド / 機器構成名(個体名) / 型式 / シリアル番号
LPM / ｵｰﾄﾗﾍﾞﾗ(LBRZ101) / LR4081SR-TSJ / EF000035
LPM / ｵｰﾄﾗﾍﾞﾗ(LBRZ102) / LR4081SR-TSJ / EF000036
LPM / ｵｰﾄﾗﾍﾞﾗ(LBRZ103) / LR4081SR-TSJ / EF000037
LPM / ｵｰﾄﾗﾍﾞﾗ(LBRZ401) / LR4120SR-TPJ / ED000055</t>
  </si>
  <si>
    <t>岡總株式会社</t>
  </si>
  <si>
    <t>八尾流通センター</t>
  </si>
  <si>
    <t>2017070302-221-1</t>
  </si>
  <si>
    <t>27212-383-001</t>
  </si>
  <si>
    <t>ブランド / 機器構成名(個体名) / 型式 / シリアル番号
AWC-800U / AWC端末 (FC-E16U/S7)(WAT001) / FC-E16U/S71R4Z / S540114MA
AWC-800U / AWC端末 (FC-E16U/S7)(WAT002) / FC-E16U/S71R4Z / S540088MA
AWC-800U / AWC端末 (FC-E16U/S7)(WAT003) / FC-E16U/S71R4Z / S540095MA
AWC-800U / AWC端末 (FC-E16U/S7)(WAT004) / FC-E16U/S71R4Z / S540115MA
AWC-800U / AWC端末 (FC-E16U/S7)(WAT005) / FC-E16U/S71R4Z / S540116MA
AWC-800U / AWC端末 (FC-E16U/S7)(WAT007) / FC-E16U/S71R4Z / S540118MA
AWC-800U / AWC端末 (FC-E16U/S7)(WAT008) / FC-E16U/S71R4Z / S540119MA
AWC-800U / AWC端末 (FC-E16U/S7)(WAT010) / FC-E16U/S71R4Z / S540121MA
AWC-800U / AWC端末 (FC-E16U/S7)(WAT011) / FC-E16U/S71R4Z / S540122MA
AWC-800U / AWC端末 (FC-E16U/S7)(WAT012) / FC-E16U/S71R4Z / S550678MA
AWC-800U / AWC端末 (FC-E16U/S7 BCR付き)(WAT006) / FC-E16U/S71R4Z / S540117MA
AWC-800U / AWC端末 (FC-E16U/S7 BCR付き)(WAT009) / FC-E16U/S71R4Z / S540120MA</t>
  </si>
  <si>
    <t>2171729 / 2182490 / 2180406</t>
  </si>
  <si>
    <t>ブランド / 機器構成名(個体名) / 型式 / シリアル番号
AWC7 Framework(A棟) / ﾗﾍﾞﾙﾌﾟﾘﾝﾀ(LPR01) / MT400e / 5G500007
AWC7 Framework(A棟) / ﾗﾍﾞﾙﾌﾟﾘﾝﾀ(LPR02) / MT400e / 5G500013
AWC7 Framework(A棟) / ﾗﾍﾞﾙﾌﾟﾘﾝﾀ(LPR03) / MT400e / 5G500006
AWC7 Framework(A棟) / ﾗﾍﾞﾙﾌﾟﾘﾝﾀ(LPR04) / MT400e / 5G500014
AWC7 Framework(A棟) / ﾗﾍﾞﾙﾌﾟﾘﾝﾀ(LPR05) / MT400e / 5G500042
AWC7 Framework(A棟) / ﾗﾍﾞﾙﾌﾟﾘﾝﾀ(LPR06) / MT400e / 5G500003
AWC7 Framework(A棟) / ﾗﾍﾞﾙﾌﾟﾘﾝﾀ(LPR07) / MT400e / 5G500002
AWC7 Framework(A棟) / ﾗﾍﾞﾙﾌﾟﾘﾝﾀ(LPR08) / MT400e / 5G500043
AWC7 Framework(A棟) / ﾗﾍﾞﾙﾌﾟﾘﾝﾀ(LPR09) / MT400e / 5F500012
AWC7 Framework(A棟) / ﾗﾍﾞﾙﾌﾟﾘﾝﾀ(LPR10) / MT400e / 5F500007
AWC7 Framework(A棟) / ﾗﾍﾞﾙﾌﾟﾘﾝﾀ(LPR11) / MT400e / 5G500005
AWC7 Framework(A棟) / ﾗﾍﾞﾙﾌﾟﾘﾝﾀ(LPR12) / MT400e / 5G500008
AWC7 Framework(A棟) / ﾗﾍﾞﾙﾌﾟﾘﾝﾀ(LPR13) / MT400e / 5G500016
AWC7 Framework(A棟) / ﾗﾍﾞﾙﾌﾟﾘﾝﾀ(LPR16) / MT400e / DE101048
AWC7 Framework(A棟) / ﾗﾍﾞﾙﾌﾟﾘﾝﾀ(LPR17) / MT400e / DE101055
AWC7 Framework(A棟) / ﾗﾍﾞﾙﾌﾟﾘﾝﾀ(LPR18) / MT400e / DE101056
AWC7 Framework(A棟) / ﾗﾍﾞﾙﾌﾟﾘﾝﾀ(LPR19) / MT400e / CK104168
AWC7 Framework(A棟) / ﾗﾍﾞﾙﾌﾟﾘﾝﾀ(LPR20) / MT400e / CK104163
AWC7 Framework(A棟) / ﾗﾍﾞﾙﾌﾟﾘﾝﾀ(LPR21) / MT400e / CL100190
AWC7 Framework(A棟) / ﾗﾍﾞﾙﾌﾟﾘﾝﾀ(LPR22) / MT400e / CK104164
AWC7 Framework(A棟) / ﾗﾍﾞﾙﾌﾟﾘﾝﾀ(LPR23) / MT400e / CK104165
AWC7 Framework(A棟) / ﾗﾍﾞﾙﾌﾟﾘﾝﾀ(LPR24) / MT400e / CL100192
AWC7 Framework(A棟) / ﾗﾍﾞﾙﾌﾟﾘﾝﾀ(LPR25) / MT400e / DE101049
AWC7 Framework(A棟) / ﾗﾍﾞﾙﾌﾟﾘﾝﾀ予備(LPR26) / CL4NX-J08 Plus / FK103714
AWC7 Framework(A棟) / ﾗﾍﾞﾙﾌﾟﾘﾝﾀ予備(LPR27) / CL4NX-J08 Plus / FK103713
AWC7 Framework(A棟) / ﾗﾍﾞﾙﾌﾟﾘﾝﾀ予備(LPR28) / CL4NX-J08 Plus / FK103719
AWC7 Framework(A棟) / ｵｰﾄﾗﾍﾞﾗ(ALR01) / LR4NX-FA08LPJ / GD000013
AWC7 Framework(A棟) / ﾗﾍﾞﾙﾌﾟﾘﾝﾀ(LPR14) / CL4NX-J08 Plus / KE101631
AWC7 Framework(A棟) / ﾗﾍﾞﾙﾌﾟﾘﾝﾀ(LPR15) / CL4NX-J08 Plus / KE101632</t>
  </si>
  <si>
    <t>ブランド / 機器構成名(個体名) / 型式 / シリアル番号
AWC7 Framework(B棟) / ﾗﾍﾞﾙﾌﾟﾘﾝﾀ(LPR29) / CL4NX-J08 Plus / FK103721</t>
  </si>
  <si>
    <t>ブランド / 機器構成名(個体名) / 型式 / シリアル番号
AWC-300N / AWC本体(FC-S36W)(AWC001) / FC-S36W-133CW4 / 3800257</t>
  </si>
  <si>
    <t>株式会社コボリ</t>
  </si>
  <si>
    <t>新配送センター</t>
  </si>
  <si>
    <t>2024041216-224-1</t>
  </si>
  <si>
    <t>27227-545-001</t>
  </si>
  <si>
    <t xml:space="preserve">ブランド / 機器構成名(個体名) / 型式 / シリアル番号
AWC7 Framework / AWCｻｰﾊﾞ（Express5800/T120h）(AWC001) / N8100-2846Y / JPN312005S
AWC7 Framework / AWCｻｰﾊﾞ（Express5800/T120h）(AWC001) / 無停電電源装置(1000VA)N8180-66 / </t>
  </si>
  <si>
    <t>2022011402-221-1 / 2022011404-221-1</t>
  </si>
  <si>
    <t>ブランド / 機器構成名(個体名) / 型式 / シリアル番号
WareNavi7 / 管理端末(FC-E22U)(WAT001) / FC-E22U-S / 1115422
WareNavi7 / 作業端末(FC-E22U)(WAT007) / FC-E22U-S / 1215536
WareNavi7 / 作業端末(FC-E22U)(WAT008) / FC-E22U-S / 1215537
WareNavi7 / 作業端末(FC-E22U)(WAT009) / FC-E22U-S / 1115419
WareNavi7 / 作業端末(FC-E22U)(WAT010) / FC-E22U-S / 1215539
WareNavi7 / 作業端末(FC-E22U)(WAT011) / FC-E22U-S / 1215535
WareNavi7 / 作業端末(FC-E22U)(WAT012) / FC-E22U-S / 1215608
WareNavi7 / MOSⅦ(FC-E27B)(MOSA101) / FC-E27B-S / 1313530
WareNavi7 / MOSⅦ(FC-E27B)(MOSB201) / FC-E27B-S / 1313529
WareNavi7 / MOSⅦ(FC-E27B)(MOSZ102) / FC-E27B-S / 1313527
WareNavi7 / MOSⅦ(FC-E27B)(MOSZ202) / FC-E27B-S / 1313528</t>
  </si>
  <si>
    <t>ブランド / 機器構成名(個体名) / 型式 / シリアル番号
eAWC Framework / eAWC本体(FC-S36W)(AWC001) / FC-S36W-143CV7 / 3600985</t>
  </si>
  <si>
    <t>CE1000648 / CE150277</t>
  </si>
  <si>
    <t>ブランド / 機器構成名(個体名) / 型式 / シリアル番号
AWC-800U / AWCｻｰﾊﾞ (SPARC M12-1)(AWC01) / SPNAAAA3EF / PZ72325007
AWC-800U / AWCｻｰﾊﾞ (SPARC M12-1)(AWC01) / 無停電電源装置(1500VA,ﾗｯｸﾏｳﾝﾄ)PY-UPAR152 / TT312A0069
AWC-800U / ｺﾝｿｰﾙPC (PRIMERGY RX1330 M5)(console-pc) / PYR1335R2S / MADM007926</t>
  </si>
  <si>
    <t>ブランド / 機器構成名(個体名) / 型式 / シリアル番号
AWC4 Framework / AWC4本体(HF-W6555)(AWC001) / HJ-6555-WEJD/DF05 / 4238633-1</t>
  </si>
  <si>
    <t>2307-002 / 2307-003</t>
  </si>
  <si>
    <t>【システム点検】※サポート対象外OSの為、診断対象外。　/【契約情報：ハードのみ】</t>
  </si>
  <si>
    <t>ブランド / 機器構成名(個体名) / 型式 / シリアル番号
WareNavi Framework / WareNavi本体(HF-W6555)(WN7-001) / HJ-6555-WEJD/DF05 / 4238151-3
WareNavi Framework / MOSⅦ本体(MOS01) / HJ-2055-WEMA/DF04 / 8050880-1
WareNavi Framework / MOSⅦ端末(MOS01) / HJ-2050-WEMA/DF03 / 8050688-1
WareNavi Framework / MOSⅦ端末(MOS02) / HJ-2050-WEMA/DF03 / 8050689-1
WareNavi Framework / MOSⅦ端末(MOS03) / HJ-2050-WEMA/DF03 / 8050690-1
WareNavi Framework / MOSⅦ端末(MOS04) / HJ-2050-WEMA/DF03 / 8050691-1
WareNavi Framework / MOSⅦ端末(MOS05) / HJ-2050-WEMA/DF03 / 8050692-1</t>
  </si>
  <si>
    <t>ブランド / 機器構成名(個体名) / 型式 / シリアル番号
AWC4 Framework / AWC4本体(HF-W6555)(AWC001) / HJ-6555-WEJD/DF03 / 4235965-1</t>
  </si>
  <si>
    <t>ブランド / 機器構成名(個体名) / 型式 / シリアル番号
AWC7 Basic / AWC7本体(HF-W2055)(AWC001) / HJ-2055-WEMA/DF04 / 8051467-1</t>
  </si>
  <si>
    <t>ブランド / 機器構成名(個体名) / 型式 / シリアル番号
eAWC Framework / eAWC本体(HF-W6555)(AWC001) / HJ-6555-WEJD/DF03 / 4237049-1
eAWC Framework / eAWC端末(HF-W2045)(WAT001) / HJ-2045-WEJA/DF03 / 4237086-1
eAWC Framework / eAWC端末(HF-W2045)(WAT002) / HJ-2045-WEJA/DF03 / 4237087-1
eAWC Framework / eAWC端末(HF-W2045)(WAT003) / HJ-2045-WEJA/DF03 / 4237088-1
eAWC Framework / eAWC端末(HF-W2045)(WAT004) / HJ-2045-WEJA/DF03 / 4237089-1
eAWC Framework / eAWC端末(HF-W2045)(WAT005) / HJ-2045-WEJA/DF03 / 4237090-1
eAWC Framework / eAWC端末(HF-W2045)(WAT006) / HJ-2045-WEJA/DF03 / 4237091-1
eAWC Framework / eAWC端末(HF-W2045)(WAT007) / HJ-2045-WEJA/DF03 / 4237092-1</t>
  </si>
  <si>
    <t>ブランド / 機器構成名(個体名) / 型式 / シリアル番号
AWC-100N+ / AWC本体(FC-S35W/S7)(AWC001) / FC-S35W/S72CL9 / S610575MA
AWC-100N+ / AWC端末(FC-E16U/SX)(WAT001) / FC-E16U/SX1R4Z / S370200MA
AWC-100N+ / AWC端末(FC-E16U/SX)(WAT002) / FC-E16U/SX1R4Z / S370199MA
AWC-100N+ / AWC端末(FC-E16U/SX)(WAT003) / FC-E16U/SX1R4Z / S370201MA
AWC-100N+ / AWC端末(FC-E16U/SX)(WAT004) / FC-E16U/SX1R4Z / S370202MA</t>
  </si>
  <si>
    <t>ブランド / 機器構成名(個体名) / 型式 / シリアル番号
eAWC Framework / eAWC本体 (FC-S35W/S7)(EAWC001) / FC-S35W/S72CL9 / S620524MA
eAWC Framework / eAWC端末 (FC-E16U/S7） [事務所](WAT001) / FC-E16U/S71R4Z / S650229MA
eAWC Framework / eAWC端末 (FC-E16U/S7） [ﾊﾟﾚﾀｲｻﾞ室](WAT002) / FC-E16U/S71R4Z / S650227MA
eAWC Framework / eAWC端末 (FC-E16U/S7） [OP側室](WAT003) / FC-E16U/S71R4Z / S650226MA
eAWC Framework / eAWC端末 (FC-E16U/S7） [OP側室](WAT004) / FC-E16U/S71R4Z / S650225MA
eAWC Framework / eAWC端末 (FC-E16U/S7） [OP側室](WAT005) / FC-E16U/S71R4Z / S620936MA
eAWC Framework / AGC MOS (FC-E22U-S)(MOS01) / FC-E22U-S / 6700417</t>
  </si>
  <si>
    <t>2018080204-216-1 / 2018081009-216-1</t>
  </si>
  <si>
    <t>ブランド / 機器構成名(個体名) / 型式 / シリアル番号
AWC4 Framework / AWC4本体(FC-S35W)(AWC001) / FC-S35W/S72CL9 / S630512MA
AWC4 Framework / 荷捌場端末(FC-E16U)(WAT001) / FC-E16U/S71R4Z / S661318MA
AWC4 Framework / 作業表示用端末(FC-E16U)(WAT002) / FC-E16U/S71R4Z / S661321MA</t>
  </si>
  <si>
    <t>ブランド / 機器構成名(個体名) / 型式 / シリアル番号
AWC7 Framework / AWC7本体(HF-W6555)(AWC001) / HJ-6555-WEJD/DF05 / 4238150-5</t>
  </si>
  <si>
    <t>西日本MLC</t>
  </si>
  <si>
    <t>2022122911-221-1</t>
  </si>
  <si>
    <t>27230A111-001</t>
  </si>
  <si>
    <t xml:space="preserve">ブランド / 機器構成名(個体名) / 型式 / シリアル番号
WareNavi7 / WareNavi7ｻｰﾊﾞ(Express5800/R320h-E4)(SV01) / N8800-301Y / 1800272
WareNavi7 / ｻｰﾊﾞ用UPS(SV01) / 無停電電源装置(1500VA,ﾗｯｸﾏｳﾝﾄ)N8142-101 / 
WareNavi7 / ｻｰﾊﾞ用UPS(SV01) / 無停電電源装置(1500VA,ﾗｯｸﾏｳﾝﾄ)N8142-101 / 
WareNavi7 / MOSｻｰﾊﾞ(Express5800/R320h-E4)(SV02) / N8800-301Y / 1800270
WareNavi7 / ｻｰﾊﾞ用UPS(SV02) / 無停電電源装置(1500VA,ﾗｯｸﾏｳﾝﾄ)N8142-101 / 
WareNavi7 / ｻｰﾊﾞ用UPS(SV02) / 無停電電源装置(1500VA,ﾗｯｸﾏｳﾝﾄ)N8142-101 / </t>
  </si>
  <si>
    <t>2023061344-224-1 / 2023061346-224-1</t>
  </si>
  <si>
    <t>ブランド / 機器構成名(個体名) / 型式 / シリアル番号
AWC7 Framework / AWC7本体 (FC-S36W)(AWC001) / FC-S36W-143CV7 / 1800476
AWC7 Framework / AWC7端末 (FC-E22U)(WAT001) / FC-E22U-S / 1716406</t>
  </si>
  <si>
    <t>ブランド / 機器構成名(個体名) / 型式 / シリアル番号
eAWC Framework / eAWC本体(FC-S36W)(EAWC001) / FC-S36W-143CV7 / 4Z01265</t>
  </si>
  <si>
    <t>2023042002-224-1 / 2023042004-224-1</t>
  </si>
  <si>
    <t>ブランド / 機器構成名(個体名) / 型式 / シリアル番号
AWC7 Framework / AWC7本体(FC-E20W)(AWC001) / FC-E20W-L / 3100702
AWC7 Framework / AWC7端末(FC-E22U)(WAT001) / FC-E22U-S / 2X18749</t>
  </si>
  <si>
    <t>ブランド / 機器構成名(個体名) / 型式 / シリアル番号
DPM / ﾏﾃﾊﾝｻｰﾊﾞ(FC-S36W)(TPSSV) / FC-S36W-143CV7 / 0700197
DPM / ﾏﾃﾊﾝｻｰﾊﾞ予備機(FC-S36W)(TPSSV予備) / FC-S36W-143CV7 / 0700204
DPM / DPM(FC-E22U)(DPM01) / FC-E22U-S / 0513291
DPM / DPM(FC-E22U)(DPM02) / FC-E22U-S / 0513297
DPM / DPM端末(FC-E22U)(DPW01) / FC-E22U-S / 0513223
DPM / DPM端末(FC-E22U)(DPW02) / FC-E22U-S / 0513225</t>
  </si>
  <si>
    <t>株式会社五健堂ロジ</t>
  </si>
  <si>
    <t>ソーター</t>
  </si>
  <si>
    <t>2019080806-216-1 / 2019080807-216-1</t>
  </si>
  <si>
    <t>26109A142-001</t>
  </si>
  <si>
    <t>ブランド / 機器構成名(個体名) / 型式 / シリアル番号
LPM / LPM (FC-S35W/S4)(LPM01) / FC-S35W/S42CM0 / S780445MA
LPM / MOSⅦ (FC-P33W)(MOS01) / FC-P33W-148W7H / 7Z00109</t>
  </si>
  <si>
    <t>有（ウィルスチェック：　本）　※本数の記載がない場合は送付いたしません。</t>
  </si>
  <si>
    <t>2023011302-221-1 / 2023011304-221-1</t>
  </si>
  <si>
    <t>●上位（【システム点検】※プロダクト対象外でウィルスチェックのみ対象）</t>
  </si>
  <si>
    <t>ブランド / 機器構成名(個体名) / 型式 / シリアル番号
AWC7 Framework / AWC7本体(FC-S36W)(AWC001) / FC-S36W-143CV7 / 2300629
AWC7 Framework / AWC7端末(FC-E22U)(WAT001) / FC-E22U-S / 2X18750</t>
  </si>
  <si>
    <t>2022010609-221-1 / 2022010611-221-1</t>
  </si>
  <si>
    <t>ブランド / 機器構成名(個体名) / 型式 / シリアル番号
WareNavi / 無線ｻｰﾊﾞ(FC-R24W)(MORSSV1) / FC-R24W-S1 / 1600183
WareNavi / 無線ｻｰﾊﾞ(FC-R24W)(MORSSV2) / FC-R24W-S1 / 1600184
WareNavi / 現場端末(FC-E22U)(WAT001) / FC-E22U-S / 1115276
WareNavi / 現場端末(FC-E22U)(WAT002) / FC-E22U-S / 0Y14971
WareNavi / 現場端末(FC-E22U)(WAT003) / FC-E22U-S / 0Y14975
WareNavi / 現場端末(FC-E22U)(WAT004) / FC-E22U-S / 0914350
WareNavi / 現場端末(FC-E22U)(WAT005) / FC-E22U-S / 0914345
WareNavi / 現場端末(FC-E22U)(WAT007) / FC-E22U-S / 0914225
WareNavi / 現場端末(FC-E22U)(WAT008) / FC-E22U-S / 0914231
WareNavi / 現場端末(FC-E22U)(WAT009) / FC-E22U-S / 0914229
WareNavi / 現場端末(FC-E22U)(WAT010) / FC-E22U-S / 0914347
WareNavi / 現場端末(FC-E22U)(WAT013) / FC-E22U-S / 0914226
WareNavi / 運転手控室端末(FC-E22U)(WAT006) / FC-E22U-S / 0914227</t>
  </si>
  <si>
    <t>ブランド / 機器構成名(個体名) / 型式 / シリアル番号
WareNavi / ﾗﾍﾞﾙﾌﾟﾘﾝﾀ(LBP001) / CL4NX-J08 / BK101804
WareNavi / ﾗﾍﾞﾙﾌﾟﾘﾝﾀ(LBP002) / CL4NX-J08 / BJ102138
WareNavi / ﾗﾍﾞﾙﾌﾟﾘﾝﾀ(LBP003) / CL4NX-J08 / BJ102155
WareNavi / ﾗﾍﾞﾙﾌﾟﾘﾝﾀ(LBP004) / CL4NX-J08 / BJ102139
WareNavi / ﾗﾍﾞﾙﾌﾟﾘﾝﾀ(LBP005) / CL4NX-J08 / BK101809
WareNavi / ﾗﾍﾞﾙﾌﾟﾘﾝﾀ(LBP006) / CL4NX-J08 / BK101803
WareNavi / ﾗﾍﾞﾙﾌﾟﾘﾝﾀ(LBP007) / CL4NX-J08 / BK101908</t>
  </si>
  <si>
    <t>CE350098 / CE350121</t>
  </si>
  <si>
    <t>ブランド / 機器構成名(個体名) / 型式 / シリアル番号
WareNavi / WareNaviｻｰﾊﾞ(SPARC M10-1)(awc01-nd1) / SPMAKAA1EF / PZ32132001
WareNavi / WareNaviｻｰﾊﾞ(SPARC M10-1)(awc01-nd1) / 無停電電源装置(1500VA,ﾗｯｸﾏｳﾝﾄ)PY-UPAR152 / TT903A0563
WareNavi / WareNaviｻｰﾊﾞ予備機(SPARC M10-1)(awc01-nd2) / SPMAKAA1EF / PZ32132012
WareNavi / WareNaviｻｰﾊﾞ予備機(SPARC M10-1)(awc01-nd2) / 無停電電源装置(1500VA,ﾗｯｸﾏｳﾝﾄ)PY-UPAR152 / TT103A0019
WareNavi / 管理ｺﾝｿｰﾙPC(PRIMERGY RX1330 M4)(CONSOLE_PC) / PYR1334R3S / SC2110B0037</t>
  </si>
  <si>
    <t>京セラドキュメントソリューションズ株式会社</t>
  </si>
  <si>
    <t>枚方工場</t>
  </si>
  <si>
    <t>1712-001</t>
  </si>
  <si>
    <t>27210-256-001</t>
  </si>
  <si>
    <t>ブランド / 機器構成名(個体名) / 型式 / シリアル番号
eAWC Framework / eAWC本体 (HF-W6545)(AWC001) / HJ-65459EWJD/DF01 / 4228619-1
eAWC Framework / eAWC端末 (HF-W2035)(WAT01) / HJ-20359EWJA/DF01 / 4228831-1</t>
  </si>
  <si>
    <t>2022012806-221-1</t>
  </si>
  <si>
    <t>ブランド / 機器構成名(個体名) / 型式 / シリアル番号
eAWC Framework / AGC MOS (FC-E22U-S)(MOS01) / FC-E22U-S / 6900770
eAWC Framework / 統括MOS (FC-E22U-S)(MOS02) / FC-E22U-S / 6900768</t>
  </si>
  <si>
    <t>ブランド / 機器構成名(個体名) / 型式 / シリアル番号
AWC4 Basic / AWC4本体(HF-W6555)(AWC001) / HJ-6555-WEJD/DF03 / 4237232-4
AWC4 Basic / AWC4端末(HF-W2045)(WAT001) / HJ-2045-WEJA/DF03 / 4237505-1</t>
  </si>
  <si>
    <t>2019012303-216-1</t>
  </si>
  <si>
    <t>18364-031-001</t>
  </si>
  <si>
    <t>ブランド / 機器構成名(個体名) / 型式 / シリアル番号
AWC-500N / AWC本体 (FC-S35W/S7)(AWC001) / FC-S35W/S72CL9 / S780425MA</t>
  </si>
  <si>
    <t>ブランド / 機器構成名(個体名) / 型式 / シリアル番号
eAWC Framework / eAWC本体（FC-S35W/S7）(EAWC001) / FC-S35W/S72CL9 / S610571MA
eAWC Framework / eAWC端末（FC-E16U/S7）(WAT001) / FC-E16U/S71R4Z / S620106MA</t>
  </si>
  <si>
    <t>ブランド / 機器構成名(個体名) / 型式 / シリアル番号
JCM / JCM (FC-S36W)(JCMZ001) / FC-S36W-143CV7 / 1700448
JCM / JCM端末 (FC-E22U)(JCMZ002) / FC-E22U-S / 1616269
JCM / JCM端末 (FC-E22U)(JCTZ003) / FC-E22U-S / 1616271
eye-navi / DPM (FC-S36W)(DPMZ001) / FC-S36W-143CV7 / 1700451
eye-navi / DPM (FC-S36W)(DPMZ002) / FC-S36W-143CV7 / 1700452
eye-navi / 低頻度投入端末 (FC-E22U)(WATZ001) / FC-E22U-S / 1616270
eye-navi / 低頻度投入端末 (FC-E22U)(WATZ002) / FC-E22U-S / 1616266
eye-navi / 寄せ端末 (FC-E22U)(WATZ003) / FC-E22U-S / 1616268
eye-navi / 寄せ端末 (FC-E22U)(WATZ004) / FC-E22U-S / 1616281</t>
  </si>
  <si>
    <t>ブランド / 機器構成名(個体名) / 型式 / シリアル番号
eye-navi / ﾗﾍﾞﾙﾌﾟﾘﾝﾀ(LPTZ001) / CL4NX-J08 Plus / FE103429
eye-navi / ﾗﾍﾞﾙﾌﾟﾘﾝﾀ(LPTZ003) / CL4NX-J08 Plus / FE103439
eye-navi / ｵｰﾄﾗﾍﾞﾗ (LR4080SR-TSB)(LBRZ101) / LR4080SR-TSB / FG000052
eye-navi / ｵｰﾄﾗﾍﾞﾗ (LR4081SR-TSB)(LBRZ201) / LR4081SR-TSB / FJ000062</t>
  </si>
  <si>
    <t>ブランド / 機器構成名(個体名) / 型式 / シリアル番号
AWC-300N / AWC本体(FC-S35W/S7)(AWC001) / FC-S35W/S72CL9 / 9608426
AWC-300N / AWC端末(FC-E22U)(WAT001) / FC-E22U-S / 9609992
AWC-300N / AWC端末(FC-E22U)(WAT002) / FC-E22U-S / 9609991
AWC-300N / AWC端末(FC-E22U)(WAT003) / FC-E22U-S / 9609899</t>
  </si>
  <si>
    <t>2019070810-216-1</t>
  </si>
  <si>
    <t>●上位　/【契約情報：【工場用】】</t>
  </si>
  <si>
    <t>ブランド / 機器構成名(個体名) / 型式 / シリアル番号
AWC4 Basic(工場用) / AWC4本体(FC-S35W/S7)(AWC101) / FC-S35W/S72CL9 / S810272MA</t>
  </si>
  <si>
    <t>2019070811-216-1</t>
  </si>
  <si>
    <t>●上位　/【契約情報：【製品格納用倉庫】】</t>
  </si>
  <si>
    <t>ブランド / 機器構成名(個体名) / 型式 / シリアル番号
AWC4 Basic(北陸支店用) / AWC4本体(FC-S35W/S7)(AWC001) / FC-S35W/S72CL9 / S820076MA</t>
  </si>
  <si>
    <t>ブランド / 機器構成名(個体名) / 型式 / シリアル番号
AWC7 Basic / AWC7本体(HF-W6555)(AWC001) / HJ-6555-WEJD/DF05 / 4240321-3
AWC7 Basic / AWC7端末(HF-W2050)(WAT001) / HJ-2050-WEMA/DF03 / 8053775-9</t>
  </si>
  <si>
    <t>株式会社松浦機械製作所</t>
  </si>
  <si>
    <t>自動倉庫（武生工場）</t>
  </si>
  <si>
    <t>1708-005</t>
  </si>
  <si>
    <t>18209A109-001</t>
  </si>
  <si>
    <t>ブランド / 機器構成名(個体名) / 型式 / シリアル番号
WareNavi4 Framework Custom / WareNavi4本体 (HF-W6545)(WARENAVI002) / HJ-65459EWJD/DF01 / 4226963-1</t>
  </si>
  <si>
    <t>ブランド / 機器構成名(個体名) / 型式 / シリアル番号
WareNavi7 / WareNavi7本体 (HF-W6555)(WN7) / HJ-6555-WEJD/7R / 4236502-2
WareNavi7 / WareNavi7予備機 (HF-W6555)(予備機) / HJ-6555-WEJD/7R / 4236502-1
WareNavi7 / WareNavi7端末 (HF-W2045)(WAT001) / HJ-2045-WEJA/DF03 / 4236163-1
WareNavi7 / WareNavi7端末 (HF-W2045)(WAT002) / HJ-2045-WEJA/DF03 / 4236164-1
WareNavi7 / WareNavi7端末 (HF-W2045)(WAT003) / HJ-2045-WEJA/DF03 / 4236165-1
WareNavi7 / MOSⅦ(MOS) / HJ-2045-WEJA/7R / 4236419-1</t>
  </si>
  <si>
    <t>シプロ化成株式会社</t>
  </si>
  <si>
    <t>MSP-20251110-01</t>
  </si>
  <si>
    <t>18361-021-002</t>
  </si>
  <si>
    <t>ブランド / 機器構成名(個体名) / 型式 / シリアル番号
AWC7 Basic / AWC7本体(AWC001) / VPC-5000-D01 / PERLN33000017</t>
  </si>
  <si>
    <t>ブランド / 機器構成名(個体名) / 型式 / シリアル番号
eAWC Framework / eAWC本体 (HF-W6555)(AWC001) / HJ-6555-WEJD/DF03 / 4236995-4
eAWC Framework / eAWC端末 (HF-W2045)(WAT001) / HJ-2045-WEJA/DF03 / 4236868-1</t>
  </si>
  <si>
    <t>2025031333-224-1</t>
  </si>
  <si>
    <t>ブランド / 機器構成名(個体名) / 型式 / シリアル番号
eAWC Framework / MOSⅦ本体(FC-E22K)(MOS01) / FC-E22K-L / 2900386</t>
  </si>
  <si>
    <t>ブランド / 機器構成名(個体名) / 型式 / シリアル番号
DAM / DAM本体(FC-S36W)(DAM) / FC-S36W-113CW5 / 4200158</t>
  </si>
  <si>
    <t>1809-002 / 2510-002</t>
  </si>
  <si>
    <t>ブランド / 機器構成名(個体名) / 型式 / シリアル番号
AWC4 Framework / AWC4本体 (HF-W6545)(AWC001) / HJ-65459EWJD/DF01 / 4230280-1
AWC4 Framework / AWC4端末(HF-W2050)(WAT001) / HJ-2050-WEMA/DF03 / 8055888-4
AWC4 Framework / AWC4端末(HF-W2050)(WAT002) / HJ-2050-WEMA/DF03 / 8055888-5
AWC4 Framework / AWC4端末(HF-W2050)(WAT003) / HJ-2050-WEMA/DF03 / 8055888-6
AWC4 Framework / AWC4端末(HF-W2050)(WAT004) / HJ-2050-WEMA/DF03 / 8055888-7</t>
  </si>
  <si>
    <t>2025091214-221-1</t>
  </si>
  <si>
    <t>ブランド / 機器構成名(個体名) / 型式 / シリアル番号
AWC4 Framework / MOSⅦ本体 (FC-E22K)(MOS01) / FC-E22K-L / 4702373</t>
  </si>
  <si>
    <t>ブランド / 機器構成名(個体名) / 型式 / シリアル番号
AWC4 Framework (統括) / 統括AWC本体 (HF-W6555)(AWC004) / HJ-6555-WEJD/DF03 / 4236398-1</t>
  </si>
  <si>
    <t>小松シヤリング株式会社</t>
  </si>
  <si>
    <t>FA068</t>
  </si>
  <si>
    <t>17203-161-001</t>
  </si>
  <si>
    <t>ブランド / 機器構成名(個体名) / 型式 / シリアル番号
eAWC Framework / eAWC本体 (FA3100SS model 1000)(AWC001) / UD431016-01-DHT / OEX254</t>
  </si>
  <si>
    <t>【システム点検】※サポート対象外OSの為、診断対象外。　/【契約情報：B棟】</t>
  </si>
  <si>
    <t>ブランド / 機器構成名(個体名) / 型式 / シリアル番号
eAWC Framework(B棟) / eAWC本体 (HF-W6560)(AWC003) / HJ-6560-WGJB/7R / 4530732-3</t>
  </si>
  <si>
    <t>ブランド / 機器構成名(個体名) / 型式 / シリアル番号
AWC7 Basic / AWC7本体(FC-S36W)(AWC001) / FC-S36W-143CV7 / 4101121</t>
  </si>
  <si>
    <t>2025040908-224-1 / 2025040920-224-1</t>
  </si>
  <si>
    <t>ブランド / 機器構成名(個体名) / 型式 / シリアル番号
AWC-800U / MOSⅦ本体(MOS02) / FC-E22K-L / 4X02668
AWC-800U / MOSⅦ端末(MOS01) / FC-P31X-L1 / 2Z01687
AWC-800U / 統括MOS(MOS03) / FC-E22K-L / 4X02669</t>
  </si>
  <si>
    <t>ブランド / 機器構成名(個体名) / 型式 / シリアル番号
AWC-800U / AWC端末(HF-W2050)(WSC01) / HJ-2050-WEMA/DF03 / 8054502-2
AWC-800U / AWC端末(HF-W2050)(WSC02) / HJ-2050-WEMA/DF03 / 8054502-3
AWC-800U / AWC端末(HF-W2050)(WSC03) / HJ-2050-WEMA/DF03 / 8054502-4
AWC-800U / AWC端末(HF-W2050)(WSC04) / HJ-2050-WEMA/DF03 / 8054502-5
AWC-800U / AWC端末/新払出ｺﾝﾍﾞﾔ(HF-W2050)(WSC05) / HJ-2050-WEMA/DF03 / 8054502-6</t>
  </si>
  <si>
    <t>CE150236 / CE150361</t>
  </si>
  <si>
    <t>ブランド / 機器構成名(個体名) / 型式 / シリアル番号
AWC-800U / AWCｻｰﾊﾞ(SPARC M12-1)(RN01R) / SPNAAAA3EF / PZ72252001
AWC-800U / AWCｻｰﾊﾞ(SPARC M12-1)(RN01R) / 無停電電源装置(1500VA,ﾗｯｸﾏｳﾝﾄ)PY-UPAR152 / TT240A0048</t>
  </si>
  <si>
    <t>2109420 / 2109619</t>
  </si>
  <si>
    <t>ブランド / 機器構成名(個体名) / 型式 / シリアル番号
eWareNavi Ordermade / ﾗﾍﾞﾙﾌﾟﾘﾝﾀ(LBL01) / CL4NX-J08 / DC102830
eWareNavi Ordermade / ﾗﾍﾞﾙﾌﾟﾘﾝﾀ(LBL02) / CL4NX-J08 / DC102815
eWareNavi Ordermade / ﾗﾍﾞﾙﾌﾟﾘﾝﾀ(LBL03) / CL4NX-J08 / DC102841
eWareNavi Ordermade / ﾗﾍﾞﾙﾌﾟﾘﾝﾀ(LBL04) / CL4NX-J08 / DC102890
eWareNavi Ordermade / ﾗﾍﾞﾙﾌﾟﾘﾝﾀ(LBL05) / CL4NX-J08 / DC102865
eWareNavi Ordermade / ﾗﾍﾞﾙﾌﾟﾘﾝﾀ(LBL06) / CL4NX-J08 / DC102838
eWareNavi Ordermade / ﾗﾍﾞﾙﾌﾟﾘﾝﾀ(LBL07) / CL4NX-J08 / DC102817
eWareNavi Ordermade / ﾗﾍﾞﾙﾌﾟﾘﾝﾀ(LBL08) / CL4NX-J08 / DC102839
eWareNavi Ordermade / ﾗﾍﾞﾙﾌﾟﾘﾝﾀ(LBL09) / CL4NX-J08 / DC102833
eWareNavi Ordermade / ﾗﾍﾞﾙﾌﾟﾘﾝﾀ(LBL10) / CL4NX-J08 / DC102898
eWareNavi Ordermade / ﾗﾍﾞﾙﾌﾟﾘﾝﾀ(LBL11) / CL4NX-J08 / DC102864
eWareNavi Ordermade / ﾗﾍﾞﾙﾌﾟﾘﾝﾀ(LBL12) / CL4NX-J08 / DC102897
eWareNavi Ordermade / ﾗﾍﾞﾙﾌﾟﾘﾝﾀ(LBL13) / CL4NX-J08 / DC102818
eWareNavi Ordermade / ﾗﾍﾞﾙﾌﾟﾘﾝﾀ(LBL14) / CL4NX-J08 / DC102909
eWareNavi Ordermade / ﾗﾍﾞﾙﾌﾟﾘﾝﾀ(LBL15) / CL4NX-J08 / DC102870
eWareNavi Ordermade / ﾗﾍﾞﾙﾌﾟﾘﾝﾀ(LBL16) / CL4NX-J08 / DC102866
eWareNavi Ordermade / ﾗﾍﾞﾙﾌﾟﾘﾝﾀ(LBL17) / CL4NX-J08 / DC102907
eWareNavi Ordermade / ﾗﾍﾞﾙﾌﾟﾘﾝﾀ(LBL18) / CL4NX-J08 / DC102904
eWareNavi Ordermade / ﾗﾍﾞﾙﾌﾟﾘﾝﾀ(LBL19) / CL4NX-J08 / DC102846
LPM(ｿｰﾀ) / ﾗﾍﾞﾙﾌﾟﾘﾝﾀ(LBL20) / CL4NX-J08 / DC102860</t>
  </si>
  <si>
    <t>ブランド / 機器構成名(個体名) / 型式 / シリアル番号
eWareNavi Ordermade / AGC MOS (FC-E22U)(MOS01) / FC-E22U-S / 9910821
eWareNavi Ordermade / 統括MOS (FC-E22U)(MOS02) / FC-E22U-S / 9910813</t>
  </si>
  <si>
    <t>CE451619 / CE451628</t>
  </si>
  <si>
    <t>ブランド / 機器構成名(個体名) / 型式 / シリアル番号
eWareNavi Ordermade / eWareNaviｻｰﾊﾞ (PRIMERGY RX2520 M4)(AWC003) / PYR2524R2N / MADE004975
eWareNavi Ordermade / eWareNaviｻｰﾊﾞ予備機 (PRIMERGY RX2520 M4)(SUB003) / PYR2524R2N / MADE004978
eWareNavi Ordermade / 外部共有ﾃﾞｨｽｸ() / ET064A / 4601909469
eWareNavi Ordermade / 管理端末 (PRIMERGY TX1310 M3)(WAT001) / PYT1313T3S / MA9F021400
eWareNavi Ordermade / eWareNavi端末(PRIMERGY TX1310 M3)(WAT003) / PYT1313T3S / MA9F021411
eWareNavi Ordermade / eWareNavi端末(PRIMERGY TX1310 M3)(WAT004) / PYT1313T3S / MA9F021414
eWareNavi Ordermade / eWareNavi端末(PRIMERGY TX1310 M3)(WAT005) / PYT1313T3S / MA9F021363
eWareNavi Ordermade / eWareNavi端末(PRIMERGY TX1310 M3)(WAT006) / PYT1313T3S / MA9F021366
eWareNavi Ordermade / eWareNavi端末(PRIMERGY TX1310 M3)(WAT007) / PYT1313T3S / MA9F021367
eWareNavi Ordermade / eWareNavi端末(PRIMERGY TX1310 M3)(WAT008) / PYT1313T3S / MA9F021368
eWareNavi Ordermade / eWareNavi端末(PRIMERGY TX1310 M3)(WAT009) / PYT1313T3S / MA9F021372
eWareNavi Ordermade / eWareNavi端末(PRIMERGY TX1310 M3)(WAT010) / PYT1313T3S / MA9F021374
eWareNavi Ordermade / eWareNavi端末(PRIMERGY TX1310 M3)(WAT011) / PYT1313T3S / MA9F021375
eWareNavi Ordermade / eWareNavi端末(PRIMERGY TX1310 M3)(WAT012) / PYT1313T3S / MA9F021377
eWareNavi Ordermade / eWareNavi端末(PRIMERGY TX1310 M3)(WAT013) / PYT1313T3S / MA9F021380
eWareNavi Ordermade / eWareNavi端末(PRIMERGY TX1310 M3)(WAT014) / PYT1313T3S / MA9F021382
eWareNavi Ordermade / eWareNavi端末(PRIMERGY TX1310 M3)(WAT015) / PYT1313T3S / MA9F021387
eWareNavi Ordermade / eWareNavi端末(PRIMERGY TX1310 M3)(WAT016) / PYT1313T3S / MA9F021395
eWareNavi Ordermade / eWareNavi端末(PRIMERGY TX1310 M3)(WAT017) / PYT1313T3S / MA9F021417
eWareNavi Ordermade / eWareNavi端末(PRIMERGY TX1310 M3)(WAT018) / PYT1313T3S / MA9F021418
eWareNavi Ordermade / eWareNavi端末(PRIMERGY TX1310 M3)(WAT019) / PYT1313T3S / MA9F021420
eWareNavi Ordermade / eWareNavi端末(PRIMERGY TX1310 M3【BCR付】)(WAT002) / PYT1313T3S / MA9F021422
LPM(自動倉庫) / ﾗﾍﾞﾙPC(PRIMERGY TX1310 M3)(LPM02) / PYT1313T3S / MA9F021423
LPM(自動倉庫) / ﾗﾍﾞﾙPC(PRIMERGY TX1310 M3)(LPM03) / PYT1313T3S / MA9F021424
LPM(自動倉庫) / ﾗﾍﾞﾙPC予備(PRIMERGY TX1310 M3)(SUB-PC) / PYT1313T3S / MA9F021431
SAM / SAMｻｰﾊﾞ (SPARC M10-1)(SAMSV) / SPMAKAA1EF / PZ31914001
SAM / SAMｻｰﾊﾞ予備機 (SPARC M10-1)(SAMSV予備) / SPMAKAA1EF / PZ31914002
SAM / 外部共有ﾃﾞｨｽｸ(SAMSV) / ET064A / 4601909412
SAM / ｺﾝｿｰﾙPC (PRIMERGY RX1330 M4)(CONSOLE-PC) / PYR1334R3S / MAHV002598
SAM / 管理端末 (PRIMERGY TX1310 M3)(SAM02) / PYT1313T3S / MA9F021432
SAM / SAM (PRIMERGY TX1310 M3)(SAM01) / PYT1313T3S / MA9F021401
SAM / ﾘｼﾞｪｸﾄ端末 (PRIMERGY TX1310 M3)(SAM03) / PYT1313T3S / MA9F021412
LPM(ｿｰﾀ) / ﾗﾍﾞﾙPC (PRIMERGY TX1310 M3)(LPM01) / PYT1313T3S / MA9F021421
LPM(ｿｰﾀ) / ﾗﾍﾞﾙPC (PRIMERGY TX1310 M3)(LPM02) / PYT1313T3S / MA9F021410</t>
  </si>
  <si>
    <t>ブランド / 機器構成名(個体名) / 型式 / シリアル番号
LPM(自動倉庫) / ｵｰﾄﾗﾍﾞﾗ(ALB01) / LR4081SR-TSJ / GE000099
LPM(自動倉庫) / ｵｰﾄﾗﾍﾞﾗ(ALB02) / LR4081SR-TSJ / GE000100
LPM(自動倉庫) / ｵｰﾄﾗﾍﾞﾗ(ALB03) / LR4081SR-TSJ / GE000101
LPM(自動倉庫) / ｵｰﾄﾗﾍﾞﾗ(ALB04) / LR4081SR-TSJ / GE000102
LPM(ｿｰﾀ) / ｵｰﾄﾗﾍﾞﾗ(ALB05) / LR4081SR-TSJ / GE000103
LPM(ｿｰﾀ) / ｵｰﾄﾗﾍﾞﾗ(ALB06) / LR4081SR-TSJ / GE000104</t>
  </si>
  <si>
    <t>ブランド / 機器構成名(個体名) / 型式 / シリアル番号
DAM / ﾗﾍﾞﾙﾌﾟﾘﾝﾀ(LBP02) / CL4NX-J08 Plus / FA103498
DAM / ﾗﾍﾞﾙﾌﾟﾘﾝﾀ(LBP03) / CL4NX-J08 Plus / FA103528
DAM / ﾗﾍﾞﾙﾌﾟﾘﾝﾀ(LBP04) / CL4NX-J08 Plus / FA103523
LPM / ｵｰﾄﾗﾍﾞﾗ(ALBP01) / LR4080SR-TCJ / DM000070
LPM / ｵｰﾄﾗﾍﾞﾗ(ALBP02) / LR4080SR-TCJ / DM000069</t>
  </si>
  <si>
    <t>ブランド / 機器構成名(個体名) / 型式 / シリアル番号
DPM / DPM (ESPRIMO D7010/E)(DPM01) / FMVD47003 / MA1203920
DPM / DPM (ESPRIMO D7010/E)(DPM01) / 無停電電源装置(750VA)FMUP-204 / TT102A0186
DAM / DAM (ESPRIMO D7010/E)(DAM01) / FMVD47003 / MA1203917
DAM / DAM (ESPRIMO D7010/E)(DAM01) / 無停電電源装置(750VA)FMUP-204 / TT102A0183
DAM / DAM端末 (ESPRIMO D7010/E)(WAT09) / FMVD47003 / MA1203929
DAM / DAM端末 (ESPRIMO D7010/E)(WAT10) / FMVD47003 / MA1203928
DAM / DAM端末 (ESPRIMO D7010/E【BCR付】)(WAT07) / FMVD47003 / MA1203930
DAM / DAM端末 (ESPRIMO D7010/E【BCR付】)(WAT08) / FMVD47003 / MA1203925
LPM / LPM (ESPRIMO D7010/E)(LPM01) / FMVD47003 / MA1203915
LPM / LPM (ESPRIMO D7010/E)(LPM01) / 無停電電源装置(750VA)FMUP-204 / TT102A0182</t>
  </si>
  <si>
    <t>2084920 / 2088396 / 2109309</t>
  </si>
  <si>
    <t>ブランド / 機器構成名(個体名) / 型式 / シリアル番号
LPM / ｵｰﾄﾗﾍﾞﾗ(ALR211) / LR4080SR-TSB / AK000092
LPM / ｵｰﾄﾗﾍﾞﾗ(ALR213) / LR4080SR-TSB / BA000021
LPM / ｵｰﾄﾗﾍﾞﾗ(ALR212) / LR4080SR-TSB / BA000022
LPM / ｵｰﾄﾗﾍﾞﾗ(ALR231) / LR4080SR-TSB / AK000091
LPM / ｵｰﾄﾗﾍﾞﾗ(ALR233) / LR4080SR-TSB / AK000093
LPM / ｵｰﾄﾗﾍﾞﾗ(ALR232) / LR4080SR-TSB / BA000023
LPM / ｵｰﾄﾗﾍﾞﾗ(ALR221) / LR4081SR-TSB / BA000037
LPM / ｵｰﾄﾗﾍﾞﾗ(ALR223) / LR4081SR-TSB / AK000096
LPM / ｵｰﾄﾗﾍﾞﾗ(ALR222) / LR4081SR-TSB / AK000097
LPM / ｵｰﾄﾗﾍﾞﾗ(ALR241) / LR4081SR-TSB / AK000098
LPM / ｵｰﾄﾗﾍﾞﾗ(ALR242) / LR4081SR-TSB / BA000036
eWareNavi Framework Custom / ﾗﾍﾞﾙﾌﾟﾘﾝﾀ(LBL241) / CL4NX-J08 / AM100641
eWareNavi Framework Custom / ﾗﾍﾞﾙﾌﾟﾘﾝﾀ(YOBI2) / CL4NX-J08 / AM100642
LPM / ﾗﾍﾞﾙﾌﾟﾘﾝﾀ(YOBI1) / CL4NX-J08 / AM100668
eye-navi(ﾄﾞﾗｲﾗｲﾝ) / ﾗﾍﾞﾙﾌﾟﾘﾝﾀ(LBL211) / CL4NX-J08 / BB101364
eye-navi(ﾄﾞﾗｲﾗｲﾝ) / ﾗﾍﾞﾙﾌﾟﾘﾝﾀ(LBL221) / CL4NX-J08 / BB101346
eye-navi(ﾄﾞﾗｲﾗｲﾝ) / ﾗﾍﾞﾙﾌﾟﾘﾝﾀ(LBL231) / CL4NX-J08 / BB101357
LPM / ﾗﾍﾞﾙﾌﾟﾘﾝﾀ(LBL251) / CL4NX-J08 / BK102036
eye-navi(ﾊﾟﾝﾗｲﾝ) / ｵｰﾄﾗﾍﾞﾗ(ALR102) / LR4080SR-TSB / AK000088
eye-navi(ﾊﾟﾝﾗｲﾝ) / ｵｰﾄﾗﾍﾞﾗ(ALR106) / LR4080SR-TSB / AK000090
eye-navi(ﾊﾟﾝﾗｲﾝ) / ｵｰﾄﾗﾍﾞﾗ(ALR104) / LR4080SR-TSB / AK000087
eye-navi(ﾊﾟﾝﾗｲﾝ) / ｵｰﾄﾗﾍﾞﾗ(ALR108) / LR4080SR-TSB / AK000089
eye-navi(ﾊﾟﾝﾗｲﾝ) / ｵｰﾄﾗﾍﾞﾗ(ALR101) / LR4081SR-TSB / AH000034
eye-navi(ﾊﾟﾝﾗｲﾝ) / ｵｰﾄﾗﾍﾞﾗ(ALR105) / LR4081SR-TSB / AK000095
eye-navi(ﾊﾟﾝﾗｲﾝ) / ｵｰﾄﾗﾍﾞﾗ(ALR103) / LR4081SR-TSB / AH000033
eye-navi(ﾊﾟﾝﾗｲﾝ) / ｵｰﾄﾗﾍﾞﾗ(ALR107) / LR4081SR-TSB / AK000094</t>
  </si>
  <si>
    <t>【システム点検】※FTサーバの為、診断対象外。　/【契約情報：サトー以外】</t>
  </si>
  <si>
    <t>ブランド / 機器構成名(個体名) / 型式 / シリアル番号
ﾏﾃﾊﾝｻｰﾊﾞ / 管理端末 (FC-S35W/S7)(KAN001) / FC-S35W/S72CL9 / S8Y0023MA
eAWC Framework / AWC本体 (FC-S35W/S7)(AWC001) / FC-S35W/S72CL9 / S8Y0025MA</t>
  </si>
  <si>
    <t>ブランド / 機器構成名(個体名) / 型式 / シリアル番号
ｺﾝﾄﾛｰﾗ / MOSⅦ本体(HF-W2055)(MOS01) / HJ-2055-WFMA/7R / 8057721-1
ｺﾝﾄﾛｰﾗ / MOSⅦ本体(HF-W2055)(MOS02) / HJ-2055-WFMA/7R / 8057721-2</t>
  </si>
  <si>
    <t>ブランド / 機器構成名(個体名) / 型式 / シリアル番号
AWC4 Basic / AWC4本体(FA3100SS model 1000)(AWC001) / UD431016-01-DHT / OEZ906</t>
  </si>
  <si>
    <t>2018061908-216-1 / 2018062106-216-1 / 2018062107-216-1 / 2022040612-221-1</t>
  </si>
  <si>
    <t>ブランド / 機器構成名(個体名) / 型式 / シリアル番号
WareNavi7 / JCM本体(FC-S35W/S4)(WN7) / FC-S35W/S42CM0 / S670478MA
WareNavi7 / JCM本体予備機(FC-S35W/S4)(WN7予備) / FC-S35W/S42CM0 / S720435MA
DPM4 / DPM本体(FC-S35W/S4)(DPM01) / FC-S35W/S42CM0 / S710285MA
DPM4 / DPM本体(FC-S35W/S4)(DPM02) / FC-S35W/S42CM0 / S710284MA
DPM4 / DPM本体(FC-S35W/S4)(DPM03) / FC-S35W/S42CM0 / S710282MA
DPM4 / DPM本体(FC-S35W/S4)(DPM04) / FC-S35W/S42CM0 / S670475MA
DPM4 / DPM本体(FC-S36W) / ﾊﾟﾝﾗｲﾝ(DPM05) / FC-S36W-143CV7 / 1400360
DPM4 / DPM本体(FC-S36W) / ﾊﾟﾝﾗｲﾝ(DPM06) / FC-S36W-143CV7 / 1600389
DPM4 / DPM本体(FC-S36W) / ﾊﾟﾝﾗｲﾝ(DPM07) / FC-S36W-143CV7 / 1600383
DPM4 / 投入端末(FC-E22U)(WAT01) / FC-E22U-S / 7102064
DPM4 / 投入端末(FC-E22U)(WAT02) / FC-E22U-S / 7102054
DPM4 / 投入端末(FC-E22U)(WAT03) / FC-E22U-S / 7101874
DPM4 / 投入端末(FC-E22U)(WAT04) / FC-E22U-S / 7102056
DPM4 / 寄せ作業端末(FC-E22U)(WAT11) / FC-E22U-S / 7102062
DPM4 / 寄せ作業端末(FC-E22U)(WAT12) / FC-E22U-S / 7102055
DPM4 / 寄せ作業端末(FC-E22U)(WAT13) / FC-E22U-S / 7102067
DPM4 / 寄せ作業端末(FC-E22U)(WAT14) / FC-E22U-S / 7102059</t>
  </si>
  <si>
    <t>ブランド / 機器構成名(個体名) / 型式 / シリアル番号
DPM4 / ｵｰﾄﾗﾍﾞﾗ(LR4080SR-TSB)(AL01) / LR4080SR-TSB / BB000037
DPM4 / ｵｰﾄﾗﾍﾞﾗ(LR4080SR-TSB)(AL02) / LR4080SR-TSB / BA000046
DPM4 / ｵｰﾄﾗﾍﾞﾗ(LR4081SR-TSB)(AL03) / LR4081SR-TSB / BB000038
DPM4 / ｵｰﾄﾗﾍﾞﾗ(LR4081SR-TSB)(AL04) / LR4081SR-TSB / BA000047
DPM4 / ﾗﾍﾞﾙﾌﾟﾘﾝﾀ【C,E,Fﾗｲﾝ】(LBL01) / CL4NX-J08 / BA100674
DPM4 / ﾗﾍﾞﾙﾌﾟﾘﾝﾀ【C,E,Fﾗｲﾝ】(LBL03) / CL4NX-J08 / AM100722
DPM4 / ﾗﾍﾞﾙﾌﾟﾘﾝﾀ【C,E,Fﾗｲﾝ】(LBL04) / CL4NX-J08 / AM100716
DPM4 / ﾗﾍﾞﾙﾌﾟﾘﾝﾀ【Dﾗｲﾝ】(LBL02) / CL4NX-J08 / AK101734
DPM4 / ﾗﾍﾞﾙﾌﾟﾘﾝﾀ【ﾊﾟﾝﾗｲﾝ】(LBL05) / CL4NX-J08 Plus / FD100743
DPM4 / ﾗﾍﾞﾙﾌﾟﾘﾝﾀ【ﾊﾟﾝﾗｲﾝ】(LBL06) / CL4NX-J08 Plus / FD100733
DPM4 / ﾗﾍﾞﾙﾌﾟﾘﾝﾀ【ﾊﾟﾝﾗｲﾝ】(LBL07) / CL4NX-J08 Plus / FD100735
DPM4 / ﾗﾍﾞﾙﾌﾟﾘﾝﾀ【ﾊﾟﾝﾗｲﾝ】(LBL08) / CL4NX-J08 Plus / FD100720
DPM4 / ﾗﾍﾞﾙﾌﾟﾘﾝﾀ【ﾊﾟﾝﾗｲﾝ】(LBL09) / CL4NX-J08 Plus / FD100744
DPM4 / ﾗﾍﾞﾙﾌﾟﾘﾝﾀ【ﾊﾟﾝﾗｲﾝ】(LBL10) / CL4NX-J08 Plus / FD100732</t>
  </si>
  <si>
    <t>ブランド / 機器構成名(個体名) / 型式 / シリアル番号
AWC7 Ordermade / ﾗﾍﾞﾙﾌﾟﾘﾝﾀ(LBL01) / CL4NX-J08 / DJ101747
AWC7 Ordermade / ﾗﾍﾞﾙﾌﾟﾘﾝﾀ(LBL02) / CL4NX-J08 / DJ101760
AWC7 Ordermade / ﾗﾍﾞﾙﾌﾟﾘﾝﾀ(LBL03) / CL4NX-J08 / DJ101758
AWC7 Ordermade / ﾗﾍﾞﾙﾌﾟﾘﾝﾀ(LBL04) / CL4NX-J08 / DH101838
AWC7 Ordermade / ﾗﾍﾞﾙﾌﾟﾘﾝﾀ(LBL05) / CL4NX-J08 / DH101760
AWC7 Ordermade / ﾗﾍﾞﾙﾌﾟﾘﾝﾀ(LBL06) / CL4NX-J08 / DH101833
AWC7 Ordermade / ﾗﾍﾞﾙﾌﾟﾘﾝﾀ(LBL07) / CL4NX-J08 / DH101823
AWC7 Ordermade / ﾗﾍﾞﾙﾌﾟﾘﾝﾀ(LBL08) / CL4NX-J08 / DE103932
AWC7 Ordermade / ﾗﾍﾞﾙﾌﾟﾘﾝﾀ(LBL09) / CL4NX-J08 / DE104029
AWC7 Ordermade / ﾗﾍﾞﾙﾌﾟﾘﾝﾀ(LBL10) / CL4NX-J08 / DF101369</t>
  </si>
  <si>
    <t>ブランド / 機器構成名(個体名) / 型式 / シリアル番号
DPM / ｵｰﾄﾗﾍﾞﾗ (LR4080SR-TCJ)() / LR4080SR-TCJ / HE000099
DPM / ｵｰﾄﾗﾍﾞﾗ (LR4081SR-TCJ)() / LR4080SR-TCJ / HE000100</t>
  </si>
  <si>
    <t>流山倉庫</t>
  </si>
  <si>
    <t>12220A124-001</t>
  </si>
  <si>
    <t>【システム点検】※ハードウェア単独保守の為、診断対象外。　/【契約情報：ﾗﾍﾞﾗのみ】</t>
  </si>
  <si>
    <t>ブランド / 機器構成名(個体名) / 型式 / シリアル番号
WareNavi7 / ﾗﾍﾞﾙﾌﾟﾘﾝﾀ(LPTZ301) / CL4NX-J08 Plus / FH100033
WareNavi7 / ﾗﾍﾞﾙﾌﾟﾘﾝﾀ(LPTZ302) / CL4NX-J08 Plus / FH100010
WareNavi7 / ﾗﾍﾞﾙﾌﾟﾘﾝﾀ(LPTZ303) / CL4NX-J08 Plus / FH100005
WareNavi7 / ﾗﾍﾞﾙﾌﾟﾘﾝﾀ予備(予備) / CL4NX-J08 Plus / FH100027
WareNavi7 / ｵｰﾄﾗﾍﾞﾗ (LR4080SR-TCJ)(LBRZ301) / LR4080SR-TCJ / FH000044
WareNavi7 / ｵｰﾄﾗﾍﾞﾗ (LR4080SR-TCJ)(LBRZ302) / LR4080SR-TCJ / FH000045
WareNavi7 / ｵｰﾄﾗﾍﾞﾗ (LR4081SR-TCJ)(LBRZ371) / LR4081SR-TCJ / FK000071
WareNavi7 / ｵｰﾄﾗﾍﾞﾗ (LR4081SR-TCJ)(LBRZ372) / LR4081SR-TCJ / FK000072
WareNavi7 / ｵｰﾄﾗﾍﾞﾗ (LR4081SR-TCJ)(LBRZ381) / LR4081SR-TCJ / FK000073
WareNavi7 / ｵｰﾄﾗﾍﾞﾗ (LR4081SR-TCJ)(LBRZ382) / LR4081SR-TCJ / FK000074
WareNavi7 / ｵｰﾄﾗﾍﾞﾗ (LR4081SR-TCJ)(LBRZ411) / LR4081SR-TCJ / FK000075
WareNavi7 / ｵｰﾄﾗﾍﾞﾗ (LR4081SR-TCJ)(LBRZ412) / LR4081SR-TCJ / FK000076
WareNavi7 / ｵｰﾄﾗﾍﾞﾗ (LR4081SR-TCJ)(LBRZ421) / LR4081SR-TCJ / FK000077
WareNavi7 / ｵｰﾄﾗﾍﾞﾗ (LR4081SR-TCJ)(LBRZ422) / LR4081SR-TCJ / FK000078
WareNavi7 / ｵｰﾄﾗﾍﾞﾗ (LR4081SR-TCJ)(LBRZ431) / LR4081SR-TCJ / FK000079
WareNavi7 / ｵｰﾄﾗﾍﾞﾗ (LR4081SR-TCJ)(LBRZ432) / LR4081SR-TCJ / FK000080
WareNavi7 / ｵｰﾄﾗﾍﾞﾗ (LR4081SR-TCJ)(LBRZ441) / LR4081SR-TCJ / FK000081
WareNavi7 / ｵｰﾄﾗﾍﾞﾗ (LR4081SR-TCJ)(LBRZ442) / LR4081SR-TCJ / FK000082
WareNavi7 / ｵｰﾄﾗﾍﾞﾗ (LR4081SR-TCJ)(LBRZ451) / LR4081SR-TCJ / FK000083
WareNavi7 / ｵｰﾄﾗﾍﾞﾗ (LR4081SR-TCJ)(LBRZ452) / LR4081SR-TCJ / FK000084
WareNavi7 / ｵｰﾄﾗﾍﾞﾗ (LR4121SR-TSJ)() / LR4121SR-TSJ / FH000051
WareNavi7 / ｵｰﾄﾗﾍﾞﾗ (LR4121SR-TSJ)() / LR4121SR-TSJ / FH000052
WareNavi7 / ｵｰﾄﾗﾍﾞﾗ (LR4121SR-TSJ)() / LR4121SR-TSJ / FH000053
WareNavi7 / ｵｰﾄﾗﾍﾞﾗ (LR4121SR-TSJ)() / LR4121SR-TSJ / FH000054
WareNavi7 / ｵｰﾄﾗﾍﾞﾗ (LR4121SR-TSJ)() / LR4121SR-TSJ / FH000055
WareNavi7 / ｵｰﾄﾗﾍﾞﾗ (LR4121SR-TSJ)() / LR4121SR-TSJ / FH000056
WareNavi7 / ｵｰﾄﾗﾍﾞﾗ (LR4121SR-TSJ)() / LR4121SR-TSJ / FH000057
WareNavi7 / ｵｰﾄﾗﾍﾞﾗ (LR4121SR-TSJ)() / LR4121SR-TSJ / FH000058
WareNavi7 / ｵｰﾄﾗﾍﾞﾗ (LR4121SR-TSJ)() / LR4121SR-TSJ / FH000059
WareNavi7 / ｵｰﾄﾗﾍﾞﾗ (LR4121SR-TSJ)() / LR4121SR-TSJ / FH000060
WareNavi7 / ｵｰﾄﾗﾍﾞﾗ (LR4121SR-TSJ)() / LR4121SR-TSJ / FH000061
WareNavi7 / ｵｰﾄﾗﾍﾞﾗ (LR4121SR-TSJ)() / LR4121SR-TSJ / FH000062
WareNavi7 / ｵｰﾄﾗﾍﾞﾗ (LR4121SR-TSJ)() / LR4121SR-TSJ / FH000063
WareNavi7 / ｵｰﾄﾗﾍﾞﾗ (LR4121SR-TSJ)() / LR4121SR-TSJ / FH000064
WareNavi7 / ｵｰﾄﾗﾍﾞﾗ (LR4121SR-TSJ)() / LR4121SR-TSJ / FH000065
WareNavi7 / ｵｰﾄﾗﾍﾞﾗ (LR4121SR-TSJ)() / LR4121SR-TSJ / FH000066
WareNavi7 / ｵｰﾄﾗﾍﾞﾗ (LR4121SR-TSJ)() / LR4121SR-TSJ / FH000067
WareNavi7 / ｵｰﾄﾗﾍﾞﾗ (LR4121SR-TSJ)() / LR4121SR-TSJ / FH000068
WareNavi7 / ｵｰﾄﾗﾍﾞﾗ (LR4121SR-TSJ)() / LR4121SR-TSJ / FJ000043
WareNavi7 / ｵｰﾄﾗﾍﾞﾗ (LR4121SR-TSJ)() / LR4121SR-TSJ / FJ000044
WareNavi7 / ｵｰﾄﾗﾍﾞﾗ (LR4121SR-TSJ)() / LR4121SR-TSJ / FJ000045
WareNavi7 / ｵｰﾄﾗﾍﾞﾗ (LR4121SR-TSJ)() / LR4121SR-TSJ / FJ000046
WareNavi7 / ｵｰﾄﾗﾍﾞﾗ (LR4121SR-TSJ)() / LR4121SR-TSJ / FJ000047
WareNavi7 / ｵｰﾄﾗﾍﾞﾗ (LR4121SR-TSJ)() / LR4121SR-TSJ / FJ000048
WareNavi7 / ｵｰﾄﾗﾍﾞﾗ (LR4121SR-TSJ)() / LR4121SR-TSJ / FJ000049
WareNavi7 / ｵｰﾄﾗﾍﾞﾗ (LR4121SR-TSJ)() / LR4121SR-TSJ / FJ000050
WareNavi7 / ｵｰﾄﾗﾍﾞﾗ (LR4121SR-TSJ)() / LR4121SR-TSJ / FJ000051
WareNavi7 / ｵｰﾄﾗﾍﾞﾗ (LR4121SR-TSJ)() / LR4121SR-TSJ / FJ000052
WareNavi7 / ｵｰﾄﾗﾍﾞﾗ (LR4121SR-TSJ)() / LR4121SR-TSJ / FJ000053
WareNavi7 / ｵｰﾄﾗﾍﾞﾗ (LR4121SR-TSJ)() / LR4121SR-TSJ / FJ000054
WareNavi7 / ｵｰﾄﾗﾍﾞﾗ (LR4121SR-TSJ)() / LR4121SR-TSJ / FJ000055
WareNavi7 / ｵｰﾄﾗﾍﾞﾗ (LR4121SR-TSJ)() / LR4121SR-TSJ / FJ000056
WareNavi7 / ｵｰﾄﾗﾍﾞﾗ (LR4121SR-TSJ)() / LR4121SR-TSJ / FJ000057
WareNavi7 / ｵｰﾄﾗﾍﾞﾗ (LR4121SR-TSJ)() / LR4121SR-TSJ / FJ000058
WareNavi7 / ｵｰﾄﾗﾍﾞﾗ (LR4121SR-TSJ)() / LR4121SR-TSJ / FJ000059
WareNavi7 / ｵｰﾄﾗﾍﾞﾗ (LR4121SR-TSJ)() / LR4121SR-TSJ / FJ000060</t>
  </si>
  <si>
    <t>2020041004-216-1 / 2023081802-224-2</t>
  </si>
  <si>
    <t>ブランド / 機器構成名(個体名) / 型式 / シリアル番号
WareNavi Framework / WareNaviｻｰﾊﾞ(Express5800/R320f-E4)(WMS001) / N8800-218Y / 8700134
WareNavi Framework / WareNavi端末(FC-E22U)(WAT001) / FC-E22U-S / 8706807
WareNavi Framework / HTｻｰﾊﾞ(FC-E22U)(WCS002) / FC-E22U-S / 8706842</t>
  </si>
  <si>
    <t>ブランド / 機器構成名(個体名) / 型式 / シリアル番号
WareNavi Framework / ﾗﾍﾞﾙﾌﾟﾘﾝﾀ(PRN002) / CL4NX-J08 / CC100955</t>
  </si>
  <si>
    <t>ブランド / 機器構成名(個体名) / 型式 / シリアル番号
DAM / DAM本体(FC-S36W)(DAM) / FC-S36W-113CW5 / 4200157</t>
  </si>
  <si>
    <t>安田倉庫株式会社</t>
  </si>
  <si>
    <t>吉川営業所</t>
  </si>
  <si>
    <t>11243A104-002</t>
  </si>
  <si>
    <t>ブランド / 機器構成名(個体名) / 型式 / シリアル番号
ﾗﾍﾞﾙPC(元梱ﾊﾞﾗ) / ｵｰﾄﾗﾍﾞﾗ(ALB201) / LR4NX-FA08LCJ / HF000001</t>
  </si>
  <si>
    <t>ブランド / 機器構成名(個体名) / 型式 / シリアル番号
LPM / ｵｰﾄﾗﾍﾞﾗ(LBRZ211) / LR4120SR-TSB / GH000076
LPM / ｵｰﾄﾗﾍﾞﾗ(LBRZ212) / LR4120SR-TSB / GH000077
LPM / ｵｰﾄﾗﾍﾞﾗ(LBRZ213) / LR4120SR-TSB / GH000078
LPM / ｵｰﾄﾗﾍﾞﾗ(LBRZ221) / LR4120SR-TSB / GH000079
LPM / ｵｰﾄﾗﾍﾞﾗ(LBRZ222) / LR4120SR-TSB / GH000080
LPM / ｵｰﾄﾗﾍﾞﾗ(LBRZ223) / LR4120SR-TSB / GH000081
LPM / ｵｰﾄﾗﾍﾞﾗ(LBRZ231) / LR4120SR-TSB / GH000082
LPM / ｵｰﾄﾗﾍﾞﾗ(LBRZ232) / LR4120SR-TSB / GH000083
LPM / ｵｰﾄﾗﾍﾞﾗ(LBRZ233) / LR4120SR-TSB / GH000084
LPM / ｵｰﾄﾗﾍﾞﾗ(LBRZ241) / LR4120SR-TSB / GH000085
LPM / ｵｰﾄﾗﾍﾞﾗ(LBRZ242) / LR4120SR-TSB / GH000086
LPM / ｵｰﾄﾗﾍﾞﾗ(LBRZ243) / LR4120SR-TSB / GH000087
LPM / ｵｰﾄﾗﾍﾞﾗ(LBRZ301) / LR4120SR-TSB / GF000119
LPM / ｵｰﾄﾗﾍﾞﾗ(LBRZ302) / LR4120SR-TSB / GF000120</t>
  </si>
  <si>
    <t>FE/扇様/0587-34-1275</t>
  </si>
  <si>
    <t>契約No取得中</t>
  </si>
  <si>
    <t>2026011402-225-1 / 2026011404-225-1 / 2025090408-221-1</t>
  </si>
  <si>
    <t>CE150358 / CE1004782 / CE451833</t>
  </si>
  <si>
    <t>CE150289 / CE451447-1</t>
  </si>
  <si>
    <t>CE350101 / CE150285</t>
  </si>
  <si>
    <t>28201-877-004</t>
  </si>
  <si>
    <t>2026021822-225-1 / 2026021830-225-1</t>
  </si>
  <si>
    <t>2023101223-224-1</t>
  </si>
  <si>
    <t>ブランド / 機器構成名(個体名) / 型式 / シリアル番号
AWC7 Framework / AWC7本体(FC-S36W)(AWC01) / FC-S36W-113CW5 / 1900124</t>
  </si>
  <si>
    <t>2026021814-225-1 / 2026021824-225-1</t>
  </si>
  <si>
    <t xml:space="preserve">ブランド / 機器構成名(個体名) / 型式 / シリアル番号
AWC7 Framework / AWC7本体 (FC-S36W)(AWC001) / FC-S36W-143CV7 / 2700696
AWC7 Framework / AWC7端末(FC-E29U)(WAT001) / FC-E29U-S31C42 / 2Z00186
AWC7 Framework / AWC7端末(FC-E29U)(WAT002) / FC-E29U-S31C42 / 2Z00183
</t>
  </si>
  <si>
    <t>ブランド / 機器構成名(個体名) / 型式 / シリアル番号
AWC7 Framework / AWC7本体 (FC-S36W)(AWC001) / FC-S36W-143CV7 / 3Y01065
AWC7 Framework / AWC7本体予備機 (FC-S36W)(AWC002) / FC-S36W-143CV7 / 3Y01070</t>
  </si>
  <si>
    <t>2022122209-221-1 / 2022122211-221-1 / 2026031204-225-1</t>
  </si>
  <si>
    <t xml:space="preserve">ブランド / 機器構成名(個体名) / 型式 / シリアル番号
SAM / SAMｻｰﾊﾞ(Express5800/R320g-E4)(SAM01) / N8800-255Y / 1200607
SAM / MOS端末兼用SAM端末(FC-P31X)(MOS101) / FC-P31X-L1 / 1300319
SAM / MOS端末兼用SAM端末(FC-P31X)(MOS103) / FC-P31X-L1 / 1300320
SAM / MOSⅦ本体(FC-E27B)(MOS01) / FC-E27B-S / 1213430
SAM / MOSⅦ端末(FC-P31X)(MOS102) / FC-P31X-L1 / 1200311
</t>
  </si>
  <si>
    <t>2022041210-221-1 / 2022041212-221-1 / 2022041216-221-1 / 2022041214-221-1</t>
  </si>
  <si>
    <t>当日(24時間)保守モデル(7年) / 2307-007</t>
  </si>
  <si>
    <t>2023101223-224-1 / 2026011431-225-1</t>
  </si>
  <si>
    <t>CE150174 / CE150208 / CE150340 / CE150345</t>
  </si>
  <si>
    <t>2025031109-224-1 / 2025031115-224-1 / 2026021706-225-1</t>
  </si>
  <si>
    <t>2021101104-221-1 / 2021101106-221-1 / 2026011435-225-1 / 2021101110-221-1 / 2021101111-221-1</t>
  </si>
  <si>
    <t>2026011918-225-1 /  2026011920-225-1</t>
  </si>
  <si>
    <t>2026011903-225-1 / 2024091136-224-1 / 2024091138-224-1</t>
  </si>
  <si>
    <t>2026021832-225-1</t>
  </si>
  <si>
    <t>2026021818-225-1</t>
  </si>
  <si>
    <t>【ﾊﾟｯｸ契約】BB9018788784 / CE1004291 / CE350106 / CE150157-1 / CE1004290</t>
  </si>
  <si>
    <t>CE1000444-1 / CE451512</t>
  </si>
  <si>
    <t>2021010817-216-1 / 2023110916-224-3 / 2025120901-225-1</t>
  </si>
  <si>
    <t>2026031210-225-1</t>
  </si>
  <si>
    <t>ブランド / 機器構成名(個体名) / 型式 / シリアル番号
WareNavi7 / ﾏﾃﾊﾝｻｰﾊﾞ(Express5800/R320g-M4)(WN7-HOST) / N8800-256Y / 1200223</t>
  </si>
  <si>
    <t>2019012205-216-1 / 2019012219-216-1 / 2019020605-216-1 / 2019030406-216-1 / 2026031332-225-1</t>
  </si>
  <si>
    <t xml:space="preserve">ブランド / 機器構成名(個体名) / 型式 / シリアル番号
eWareNavi Framework Custom / ﾏﾃﾊﾝｻｰﾊﾞ (Express5800/R320h-E4)(WARENAVI) / N8800-311Y / 5900997
eWareNavi Framework Custom / ｻｰﾊﾞ用UPS(WARENAVI) / 無停電電源装置(1500VA,ﾗｯｸﾏｳﾝﾄ)N8142-101 / 
eWareNavi Framework Custom / ｻｰﾊﾞ用UPS(WARENAVI) / 無停電電源装置(1500VA,ﾗｯｸﾏｳﾝﾄ)N8142-101 / 
eWareNavi Framework Custom / MOSｻｰﾊﾞ(FC-S35W/S4)(MOSA01) / FC-S35W/S42CM0 / S710286MA
eWareNavi Framework Custom / MOSｻｰﾊﾞ(FC-S35W/S4)(MOSA02) / FC-S35W/S42CM0 / S710283MA
eWareNavi Framework Custom / MOSｻｰﾊﾞ(FC-S35W/S4)(MOSA03) / FC-S35W/S42CM0 / S6Y0831MA
eWareNavi Framework Custom / 補充ﾏﾈｰｼﾞｬ(FC-S35W/S4)(WCS201) / FC-S35W/S42CM0 / S6Y0840MA
eWareNavi Framework Custom / 制御PC予備機(FC-S35W/S4)(WCS999) / FC-S35W/S42CM0 / S720434MA
eWareNavi Framework Custom / 事務所端末(FC-E22U)(WAT01) / FC-E22U-S / 6Z01550
eWareNavi Framework Custom / MOS端末/BCR有(FC-E22U)(MOS1) / FC-E22U-S / 6Y01413
eWareNavi Framework Custom / MOS端末/BCR有(FC-E22U)(MOS2) / FC-E22U-S / 6Z01545
eWareNavi Framework Custom / MOS端末/BCR有(FC-E22U)(MOS3) / FC-E22U-S / 6Z01552
eWareNavi Framework Custom / MOS端末/BCR有(FC-E22U)(MOS4) / FC-E22U-S / 6Z01551
eWareNavi Framework Custom / MOS端末/BCR有(FC-E22U)(MOS5) / FC-E22U-S / 6Z01537
eWareNavi Framework Custom / MOS端末(FC-E22U)(MOS6) / FC-E22U-S / 6Z01533
eWareNavi Framework Custom / 画像配信PC(FC-E22U)(WAT02) / FC-E22U-S / 7102074
eWareNavi Framework Custom / 端末予備機(FC-E22U)(WAT99) / FC-E22U-S / 6Y01430
eye-navi(ﾄﾞﾗｲﾗｲﾝ) / 寄せﾏﾈｰｼﾞｬ(FC-S35W/S4)(WCS211) / FC-S35W/S42CM0 / S670479MA
eye-navi(ﾄﾞﾗｲﾗｲﾝ) / 寄せﾏﾈｰｼﾞｬ(FC-S35W/S4)(WCS221) / FC-S35W/S42CM0 / S6Y0845MA
eye-navi(ﾄﾞﾗｲﾗｲﾝ) / 寄せﾏﾈｰｼﾞｬ(FC-S35W/S4)(WCS231) / FC-S35W/S42CM0 / S720433MA
eye-navi(ﾄﾞﾗｲﾗｲﾝ) / eye-navi本体(FC-S35W/S4)(DPM222) / FC-S35W/S42CM0 / S660182MA
eye-navi(ﾄﾞﾗｲﾗｲﾝ) / eye-navi本体(FC-S35W/S4)(DPM231) / FC-S35W/S42CM0 / S6Y0832MA
eye-navi(ﾄﾞﾗｲﾗｲﾝ) / eye-navi本体(FC-S35W/S4)(DPM232) / FC-S35W/S42CM0 / S6Y0843MA
eye-navi(ﾄﾞﾗｲﾗｲﾝ) / ｼﾞｬﾝｸﾞﾙ投入端末(FC-E22U)(WAT213) / FC-E22U-S / 6Z01540
eye-navi(ﾄﾞﾗｲﾗｲﾝ) / ｼﾞｬﾝｸﾞﾙ投入端末(FC-E22U)(WAT214) / FC-E22U-S / 6Z01549
eye-navi(ﾄﾞﾗｲﾗｲﾝ) / ｼﾞｬﾝｸﾞﾙ投入端末(FC-E22U)(WAT223) / FC-E22U-S / 6Z01546
eye-navi(ﾄﾞﾗｲﾗｲﾝ) / ｼﾞｬﾝｸﾞﾙ投入端末(FC-E22U)(WAT224) / FC-E22U-S / 6Z01539
eye-navi(ﾄﾞﾗｲﾗｲﾝ) / ｼﾞｬﾝｸﾞﾙ投入端末(FC-E22U)(WAT233) / FC-E22U-S / 6Z01547
eye-navi(ﾄﾞﾗｲﾗｲﾝ) / ｼﾞｬﾝｸﾞﾙ投入端末(FC-E22U)(WAT234) / FC-E22U-S / 6Y01421
eye-navi(ﾄﾞﾗｲﾗｲﾝ) / 増箱端末(FC-E22U)(WAT215) / FC-E22U-S / 6Y01423
eye-navi(ﾄﾞﾗｲﾗｲﾝ) / 増箱端末(FC-E22U)(WAT225) / FC-E22U-S / 6Z01534
eye-navi(ﾄﾞﾗｲﾗｲﾝ) / 増箱端末(FC-E22U)(WAT235) / FC-E22U-S / 6Y01417
DPM / DPM本体(FC-S35W/S4)(DPM211) / FC-S35W/S42CM0 / S6Y0836MA
DPM / DPM本体(FC-S35W/S4)(DPM212) / FC-S35W/S42CM0 / S6Y0835MA
DPM / DPM本体(FC-S35W/S4)(DPM221) / FC-S35W/S42CM0 / S6Y0844MA
RFM / RFM本体(FC-S35W/S4)(RFM201) / FC-S35W/S42CM0 / S670482MA
RFM / RFM端末(FC-E22U)(WAT211) / FC-E22U-S / 6Z01536
RFM / RFM端末(FC-E22U)(WAT212) / FC-E22U-S / 6Z01532
RFM / RFM端末(FC-E22U)(WAT221) / FC-E22U-S / 6Z01543
RFM / RFM端末(FC-E22U)(WAT222) / FC-E22U-S / 6Y01424
RFM / RFM端末(FC-E22U)(WAT231) / FC-E22U-S / 6Z01548
RFM / RFM端末(FC-E22U)(WAT232) / FC-E22U-S / 6Z01535
RFM / RFM端末(FC-E22U)(WAT241) / FC-E22U-S / 6Z01541
PCM / JCM本体(FC-S35W/S4)(RFM202) / FC-S35W/S42CM0 / S6Y0833MA
LPM / LPM本体(FC-S35W/S4)(LPM211) / FC-S35W/S42CM0 / S6Y0839MA
LPM / LPM本体(FC-S35W/S4)(LPM221) / FC-S35W/S42CM0 / S6Y0841MA
LPM / LPM本体(FC-S35W/S4)(LPM231) / FC-S35W/S42CM0 / S670484MA
LPM / LPM本体(FC-S35W/S4)(LPM241) / FC-S35W/S42CM0 / S6Y0837MA
eye-navi(ﾊﾟﾝﾗｲﾝ) / eye-navi本体【2016年12月納入】(DPM101) / FC-S35W/S42CM0 / S6Y0838MA
eye-navi(ﾊﾟﾝﾗｲﾝ) / eye-navi本体【2016年12月納入】(DPM102) / FC-S35W/S42CM0 / S6Y0834MA
eye-navi(ﾊﾟﾝﾗｲﾝ) / eye-navi本体【2016年12月納入】(DPM104) / FC-S35W/S42CM0 / S6Y0842MA
eye-navi(ﾊﾟﾝﾗｲﾝ) / eye-navi本体【2017年1月納入】(DPM103) / FC-S35W/S42CM0 / S676474MA
ブランド / 機器構成名(個体名) / 型式 / シリアル番号
eWareNavi Framework Custom / ﾏﾃﾊﾝｻｰﾊﾞ (Express5800/R320h-E4)(WARENAVI) / N8800-311Y / 5900997
eWareNavi Framework Custom / ｻｰﾊﾞ用UPS(WARENAVI) / 無停電電源装置(1500VA,ﾗｯｸﾏｳﾝﾄ)N8142-101 / 
eWareNavi Framework Custom / ｻｰﾊﾞ用UPS(WARENAVI) / 無停電電源装置(1500VA,ﾗｯｸﾏｳﾝﾄ)N8142-101 / 
eWareNavi Framework Custom / MOSｻｰﾊﾞ(FC-S35W/S4)(MOSA01) / FC-S35W/S42CM0 / S710286MA
eWareNavi Framework Custom / MOSｻｰﾊﾞ(FC-S35W/S4)(MOSA02) / FC-S35W/S42CM0 / S710283MA
eWareNavi Framework Custom / MOSｻｰﾊﾞ(FC-S35W/S4)(MOSA03) / FC-S35W/S42CM0 / S6Y0831MA
eWareNavi Framework Custom / 補充ﾏﾈｰｼﾞｬ(FC-S35W/S4)(WCS201) / FC-S35W/S42CM0 / S6Y0840MA
eWareNavi Framework Custom / 制御PC予備機(FC-S35W/S4)(WCS999) / FC-S35W/S42CM0 / S720434MA
eWareNavi Framework Custom / 事務所端末(FC-E22U)(WAT01) / FC-E22U-S / 6Z01550
eWareNavi Framework Custom / MOS端末/BCR有(FC-E22U)(MOS1) / FC-E22U-S / 6Y01413
eWareNavi Framework Custom / MOS端末/BCR有(FC-E22U)(MOS2) / FC-E22U-S / 6Z01545
eWareNavi Framework Custom / MOS端末/BCR有(FC-E22U)(MOS3) / FC-E22U-S / 6Z01552
eWareNavi Framework Custom / MOS端末/BCR有(FC-E22U)(MOS4) / FC-E22U-S / 6Z01551
eWareNavi Framework Custom / MOS端末/BCR有(FC-E22U)(MOS5) / FC-E22U-S / 6Z01537
eWareNavi Framework Custom / MOS端末(FC-E22U)(MOS6) / FC-E22U-S / 6Z01533
eWareNavi Framework Custom / 画像配信PC(FC-E22U)(WAT02) / FC-E22U-S / 7102074
eWareNavi Framework Custom / 端末予備機(FC-E22U)(WAT99) / FC-E22U-S / 6Y01430
eye-navi(ﾄﾞﾗｲﾗｲﾝ) / 寄せﾏﾈｰｼﾞｬ(FC-S35W/S4)(WCS211) / FC-S35W/S42CM0 / S670479MA
eye-navi(ﾄﾞﾗｲﾗｲﾝ) / 寄せﾏﾈｰｼﾞｬ(FC-S35W/S4)(WCS221) / FC-S35W/S42CM0 / S6Y0845MA
eye-navi(ﾄﾞﾗｲﾗｲﾝ) / 寄せﾏﾈｰｼﾞｬ(FC-S35W/S4)(WCS231) / FC-S35W/S42CM0 / S720433MA
eye-navi(ﾄﾞﾗｲﾗｲﾝ) / eye-navi本体(FC-S35W/S4)(DPM222) / FC-S35W/S42CM0 / S660182MA
eye-navi(ﾄﾞﾗｲﾗｲﾝ) / eye-navi本体(FC-S35W/S4)(DPM231) / FC-S35W/S42CM0 / S6Y0832MA
eye-navi(ﾄﾞﾗｲﾗｲﾝ) / eye-navi本体(FC-S35W/S4)(DPM232) / FC-S35W/S42CM0 / S6Y0843MA
eye-navi(ﾄﾞﾗｲﾗｲﾝ) / ｼﾞｬﾝｸﾞﾙ投入端末(FC-E22U)(WAT213) / FC-E22U-S / 6Z01540
eye-navi(ﾄﾞﾗｲﾗｲﾝ) / ｼﾞｬﾝｸﾞﾙ投入端末(FC-E22U)(WAT214) / FC-E22U-S / 6Z01549
eye-navi(ﾄﾞﾗｲﾗｲﾝ) / ｼﾞｬﾝｸﾞﾙ投入端末(FC-E22U)(WAT223) / FC-E22U-S / 6Z01546
eye-navi(ﾄﾞﾗｲﾗｲﾝ) / ｼﾞｬﾝｸﾞﾙ投入端末(FC-E22U)(WAT224) / FC-E22U-S / 6Z01539
eye-navi(ﾄﾞﾗｲﾗｲﾝ) / ｼﾞｬﾝｸﾞﾙ投入端末(FC-E22U)(WAT233) / FC-E22U-S / 6Z01547
eye-navi(ﾄﾞﾗｲﾗｲﾝ) / ｼﾞｬﾝｸﾞﾙ投入端末(FC-E22U)(WAT234) / FC-E22U-S / 6Y01421
eye-navi(ﾄﾞﾗｲﾗｲﾝ) / 増箱端末(FC-E22U)(WAT215) / FC-E22U-S / 6Y01423
eye-navi(ﾄﾞﾗｲﾗｲﾝ) / 増箱端末(FC-E22U)(WAT225) / FC-E22U-S / 6Z01534
eye-navi(ﾄﾞﾗｲﾗｲﾝ) / 増箱端末(FC-E22U)(WAT235) / FC-E22U-S / 6Y01417
DPM / DPM本体(FC-S35W/S4)(DPM211) / FC-S35W/S42CM0 / S6Y0836MA
DPM / DPM本体(FC-S35W/S4)(DPM212) / FC-S35W/S42CM0 / S6Y0835MA
DPM / DPM本体(FC-S35W/S4)(DPM221) / FC-S35W/S42CM0 / S6Y0844MA
RFM / RFM本体(FC-S35W/S4)(RFM201) / FC-S35W/S42CM0 / S670482MA
RFM / RFM端末(FC-E22U)(WAT211) / FC-E22U-S / 6Z01536
RFM / RFM端末(FC-E22U)(WAT212) / FC-E22U-S / 6Z01532
RFM / RFM端末(FC-E22U)(WAT221) / FC-E22U-S / 6Z01543
RFM / RFM端末(FC-E22U)(WAT222) / FC-E22U-S / 6Y01424
RFM / RFM端末(FC-E22U)(WAT231) / FC-E22U-S / 6Z01548
RFM / RFM端末(FC-E22U)(WAT232) / FC-E22U-S / 6Z01535
RFM / RFM端末(FC-E22U)(WAT241) / FC-E22U-S / 6Z01541
PCM / JCM本体(FC-S35W/S4)(RFM202) / FC-S35W/S42CM0 / S6Y0833MA
LPM / LPM本体(FC-S35W/S4)(LPM211) / FC-S35W/S42CM0 / S6Y0839MA
LPM / LPM本体(FC-S35W/S4)(LPM221) / FC-S35W/S42CM0 / S6Y0841MA
LPM / LPM本体(FC-S35W/S4)(LPM231) / FC-S35W/S42CM0 / S670484MA
LPM / LPM本体(FC-S35W/S4)(LPM241) / FC-S35W/S42CM0 / S6Y0837MA
eye-navi(ﾊﾟﾝﾗｲﾝ) / eye-navi本体【2016年12月納入】(DPM101) / FC-S35W/S42CM0 / S6Y0838MA
eye-navi(ﾊﾟﾝﾗｲﾝ) / eye-navi本体【2016年12月納入】(DPM102) / FC-S35W/S42CM0 / S6Y0834MA
eye-navi(ﾊﾟﾝﾗｲﾝ) / eye-navi本体【2016年12月納入】(DPM104) / FC-S35W/S42CM0 / S6Y0842MA
eye-navi(ﾊﾟﾝﾗｲﾝ) / eye-navi本体【2017年1月納入】(DPM103) / FC-S35W/S42CM0 / S676474MA
</t>
  </si>
  <si>
    <t>Tec_2025-0701-01</t>
  </si>
  <si>
    <t>2026011414-225-1 / 2026011416-225-1 / 2026011418-225-1</t>
  </si>
  <si>
    <t>2026031326-225-1 / 2026031328-225-1 / 2026031330-225-1</t>
  </si>
  <si>
    <t>01637-049-001</t>
  </si>
  <si>
    <t>株式会社コバヤシ</t>
  </si>
  <si>
    <t>2604-004</t>
  </si>
  <si>
    <t>08462-021-001</t>
  </si>
  <si>
    <t>関東支店第一センター</t>
  </si>
  <si>
    <t>2025041002-224-1</t>
  </si>
  <si>
    <t>11222-183-001</t>
  </si>
  <si>
    <t>東京臨海支店　第二センター</t>
  </si>
  <si>
    <t>2026021008-225-1 / 2026021010-225-1 / 2026021012-225-1</t>
  </si>
  <si>
    <t>14131-700-001</t>
  </si>
  <si>
    <t>旧第２工場（ML）</t>
  </si>
  <si>
    <t>2026021014-225-1</t>
  </si>
  <si>
    <t>19400-002-002</t>
  </si>
  <si>
    <t>第３工場（ML)</t>
  </si>
  <si>
    <t>2026021016-225-1</t>
  </si>
  <si>
    <t>19400-002-005</t>
  </si>
  <si>
    <t>豊川市中央図書館</t>
  </si>
  <si>
    <t>自動書庫設備</t>
  </si>
  <si>
    <t>2026031340-225-1 / 2026031342-225-1</t>
  </si>
  <si>
    <t>23207-308-001</t>
  </si>
  <si>
    <t>2021031108-216-1 / 2024041810-224-1</t>
  </si>
  <si>
    <t>※サポート対象外OSの為、診断対象外。</t>
  </si>
  <si>
    <t>2018122504-216-1 / 2023050808-224-1</t>
  </si>
  <si>
    <t>39204-049-002</t>
  </si>
  <si>
    <t>阿蘇工場</t>
  </si>
  <si>
    <t>2026031334-225-1 / 2026031336-225-1</t>
  </si>
  <si>
    <t>43421-002-001</t>
  </si>
  <si>
    <t>日幸製菓株式会社</t>
  </si>
  <si>
    <t>各務原市</t>
  </si>
  <si>
    <t>製菓製品倉庫</t>
  </si>
  <si>
    <t>2026031302-225-1</t>
  </si>
  <si>
    <t>21213-021-001</t>
  </si>
  <si>
    <t>ヤマハ発動機株式会社</t>
  </si>
  <si>
    <t>袋井南</t>
  </si>
  <si>
    <t>パレテーナ保管自動倉庫</t>
  </si>
  <si>
    <t>2026031304-225-1</t>
  </si>
  <si>
    <t>22216A100-001</t>
  </si>
  <si>
    <t>※周辺機器の為、診断対象外。</t>
  </si>
  <si>
    <t>岩槻長宮物流センター</t>
  </si>
  <si>
    <t>F級自動倉庫システム</t>
  </si>
  <si>
    <t>2026010902-225-1</t>
  </si>
  <si>
    <t>11110A112-003</t>
  </si>
  <si>
    <t>A05・06倉庫</t>
  </si>
  <si>
    <t>2019071213-216-1 / 2019071214-216-1 / 2023022808-223-1</t>
  </si>
  <si>
    <t>コンテナ格納自動倉庫</t>
  </si>
  <si>
    <t>2026031344-225-1 / 2026031346-225-1</t>
  </si>
  <si>
    <t>11203A142-003</t>
  </si>
  <si>
    <t>若松工場</t>
  </si>
  <si>
    <t>ニッケル粉第5工場自動倉庫</t>
  </si>
  <si>
    <t>2026031348-225-1 / 2026031350-225-1</t>
  </si>
  <si>
    <t>40103A122-002</t>
  </si>
  <si>
    <t>2604-011</t>
  </si>
  <si>
    <t>宗教法人建功寺</t>
  </si>
  <si>
    <t>瑞雲閣納骨堂</t>
  </si>
  <si>
    <t>2026031310-225-1 / 2026031312-225-1</t>
  </si>
  <si>
    <t>14101A144-001</t>
  </si>
  <si>
    <t>埼玉低温センター</t>
  </si>
  <si>
    <t>日本アクセス久喜フローズン計画</t>
  </si>
  <si>
    <t>2026031318-225-1 / 2026031320-225-1</t>
  </si>
  <si>
    <t>11232A145-001</t>
  </si>
  <si>
    <t>東海営業所</t>
  </si>
  <si>
    <t>名古屋センター 自動倉庫</t>
  </si>
  <si>
    <t>2604-006 / 2604-007</t>
  </si>
  <si>
    <t>23222A127-001</t>
  </si>
  <si>
    <t>HGロジスティクス株式会社</t>
  </si>
  <si>
    <t>金枠保管倉庫</t>
  </si>
  <si>
    <t>MSP-20260310-01</t>
  </si>
  <si>
    <t>23212A148-001</t>
  </si>
  <si>
    <t>大府新ベース</t>
  </si>
  <si>
    <t>東海大府　マテハン計画</t>
  </si>
  <si>
    <t>2026031306-225-1 / 2026031308-225-1</t>
  </si>
  <si>
    <t>23223A127-001</t>
  </si>
  <si>
    <t>富士通ゼネラル</t>
  </si>
  <si>
    <t>みなみ信州農業協同組合</t>
  </si>
  <si>
    <t>松川インター選果場</t>
  </si>
  <si>
    <t>選果場</t>
  </si>
  <si>
    <t>20402A000-001</t>
  </si>
  <si>
    <t xml:space="preserve">2026年5月契約開始
取引先		：株式会社富士通ゼネラルOSテクノロジー
■日程調整担当者
　大沼様：oonuma.satoshi@generalww.com
　佐藤様：sato.katsuya@generalww.com
　三輪様：miwa.yasuhiro@generalww.com
</t>
  </si>
  <si>
    <t xml:space="preserve">ブランド / 機器構成名(個体名) / 型式 / シリアル番号
選果場情報システム / 集出荷ｻｰﾊﾞ (PRIMERGY RX1330 M5)() / PYT1335RNM / 
選果場情報システム / ﾊﾟﾗﾒｰﾀ設定PC (ESPRIMO D7012/K)() / FMVD54001 / 
選果場情報システム / 個体管理PC (ESPRIMO D7012/K)() / FMVD54001 / 
選果場情報システム / 個体管理PC (ESPRIMO D7012/K)() / FMVD54001 / 
選果場情報システム / 選果状況表示PC (ESPRIMO D7012/K)() / FMVD54001 / 
選果場情報システム / 計数機PC (ESPRIMO D7012/K)() / FMVD54001 / 
選果場情報システム / 現場操作卓 (ESPRIMO D7012/K)() / FMVD54001 / 
選果場情報システム / 現場操作卓 (ESPRIMO D7012/K)() / FMVD54001 / 
選果場情報システム / 現場操作卓 (ESPRIMO D7012/K)() / FMVD54001 / 
選果場情報システム / 現場操作卓 (ESPRIMO D7012/K)() / FMVD54001 / 
選果場情報システム / 現場操作卓 (ESPRIMO D7012/K)() / FMVD54001 / 
選果場情報システム / 現場操作卓 (ESPRIMO D7012/K)() / FMVD54001 / 
</t>
  </si>
  <si>
    <t>作業技術第二G　久保田様　06-6428-3132</t>
  </si>
  <si>
    <t>大阪CS１　嶌田　09018945029</t>
  </si>
  <si>
    <t xml:space="preserve">ブランド / 機器構成名(個体名) / 型式 / シリアル番号
RTS-100 / RTSｻｰﾊﾞ (EP8000 S914)(RTS00) / THE-C900941G623 / 70710
RTS-100 / RTSｻｰﾊﾞ (EP8000 S914)(RTS00) / 無停電電源装置(1500VA)H-77-014XLS / 014XLSB240002
</t>
  </si>
  <si>
    <t xml:space="preserve">ブランド / 機器構成名(個体名) / 型式 / シリアル番号
AWC4 Framework / AWC4本体 (FC-S36W)(AWC001) / FC-S36W-143CV7 / 4101139
AWC4 Framework / AWC4本体予備機 (FC-S36W)(AWC予備機) / FC-S36W-143CV7 / 4101123
</t>
  </si>
  <si>
    <t xml:space="preserve">ブランド / 機器構成名(個体名) / 型式 / シリアル番号
AWC4 Framework / AWC4本体 (FC-S36W)(AWC001) / FC-S36W-143CV7 / 4101131
</t>
  </si>
  <si>
    <t xml:space="preserve">ブランド / 機器構成名(個体名) / 型式 / シリアル番号
eWareNavi Framework Custom / WCS本体(HF-W7560)(WCS001) / HJ-7560-SEJD/7R / 4530852-2
eWareNavi Framework Custom / HTサーバ(HF-W2055)(HTS001) / HJ-2055-WEMB/7R / 8057621-3
eWareNavi Framework Custom / HTサーバ(HF-W2055)(HTS002) / HJ-2055-WEMB/7R / 8057621-4
</t>
  </si>
  <si>
    <t xml:space="preserve">ブランド / 機器構成名(個体名) / 型式 / シリアル番号
eWareNavi Framework Custom / WMS本体(HF-W7560)(WMS001) / HJ-7560-SEJD/7R / 4530852-4
</t>
  </si>
  <si>
    <t xml:space="preserve">ブランド / 機器構成名(個体名) / 型式 / シリアル番号
eye-navi / ｵｰﾄﾗﾍﾞﾗ (LR4080SR-T)(ALB01) / LR4080SR-TSB / 4064A072
eye-navi / ｵｰﾄﾗﾍﾞﾗ (LR4080SR-T)(ALB03) / LR4080SR-TSB / 4064A073
eye-navi / ｵｰﾄﾗﾍﾞﾗ (LR4080SR-T)(ALB06) / LR4080SR-TSB / 15100059
eye-navi / ｵｰﾄﾗﾍﾞﾗ (LR4080SR-T)(ALB08) / LR4080SR-TSB / 15100060
eye-navi / ｵｰﾄﾗﾍﾞﾗ (LR4081SR-T)(ALB02) / LR4081SR-TSB / 4064A074
eye-navi / ｵｰﾄﾗﾍﾞﾗ (LR4081SR-T)(ALB04) / LR4081SR-TSB / 4064A075
eye-navi / ｵｰﾄﾗﾍﾞﾗ (LR4081SR-T)(ALB07) / LR4081SR-TSB / 16020032
eye-navi / ｵｰﾄﾗﾍﾞﾗ (LR4081SR-T)(ALB09) / LR4081SR-TSB / 16020033
eye-navi / ｵｰﾄﾗﾍﾞﾗ (LR4081SR-T)(ALB05) / LR4081SR-TSB / 16020034
eye-navi / ｵｰﾄﾗﾍﾞﾗ (LR4081SR-T)(ALB10) / LR4081SR-TSB / 16020035
</t>
  </si>
  <si>
    <t xml:space="preserve">ブランド / 機器構成名(個体名) / 型式 / シリアル番号
eAWC Framework / eAWC本体 (Express5800/R320e-E4)(AWC001) / N8800-236Y / 8200249
eAWC Framework / eAWC端末 (FC-E22U)(WAT001) / FC-E22U-S / 8205279
eAWC Framework / eAWC端末 (FC-E22U)(WAT002) / FC-E22U-S / 8205277
eAWC Framework / eAWC端末 (FC-E22U)(WAT003) / FC-E22U-S / 8205281
eAWC Framework / eAWC端末 (FC-E16U)(WAT004) / FC-E16U/S71R4Z / S650230MA
</t>
  </si>
  <si>
    <t>CL4NX-J08　2026年5月解約
DAM / ﾗﾍﾞﾙﾌﾟﾘﾝﾀ (CL4NX-J08【第3倉庫】)(LBL010) / CL4NX-J08 / BE101414</t>
  </si>
  <si>
    <t xml:space="preserve">ブランド / 機器構成名(個体名) / 型式 / シリアル番号
RTS-100 / ﾗﾍﾞﾙﾌﾟﾘﾝﾀ(LBL01) / CL4NX-J08 Plus / EJ101465
RTS-100 / ﾗﾍﾞﾙﾌﾟﾘﾝﾀ(LBL02) / CL4NX-J08 Plus / EJ101489
RTS-100 / ﾗﾍﾞﾙﾌﾟﾘﾝﾀ(LBL03) / CL4NX-J08 Plus / EJ101480
RTS-100 / ﾗﾍﾞﾙﾌﾟﾘﾝﾀ(LBL04) / CL4NX-J08 Plus / EJ101493
RTS-100 / ﾗﾍﾞﾙﾌﾟﾘﾝﾀ(LBL05) / CL4NX-J08 Plus / EJ101463
RTS-100 / ﾗﾍﾞﾙﾌﾟﾘﾝﾀ(LBL06) / CL4NX-J08 Plus / EJ101453
RTS-100 / ﾗﾍﾞﾙﾌﾟﾘﾝﾀ(LBL07) / CL4NX-J08 Plus / EJ101469
DAM / ﾗﾍﾞﾙﾌﾟﾘﾝﾀ(LBL08) / CL4NX-J08 Plus / EJ101495
SAM / ﾗﾍﾞﾙﾌﾟﾘﾝﾀ(LBL09) / CL4NX-J08 Plus / EJ101485
</t>
  </si>
  <si>
    <t>天王寺谷様/0942-26-3131</t>
  </si>
  <si>
    <t>天本格正/090-8663-3020</t>
  </si>
  <si>
    <t>淺川様/0942-52-2191</t>
  </si>
  <si>
    <t>鳥栖第一CS/天本　090-8663-3020</t>
  </si>
  <si>
    <t>2019071004-216-1 / 2019071005-216-1</t>
  </si>
  <si>
    <t xml:space="preserve">担当者：日下　慎吾　様
TEL：0545-38-9813
</t>
  </si>
  <si>
    <t>森武 光平
090-3157-6466</t>
  </si>
  <si>
    <t xml:space="preserve">ブランド / 機器構成名(個体名) / 型式 / シリアル番号
LPM / LPM兼ﾏﾃﾊﾝｻｰﾊﾞ(FC-S35W/S4)(LPM01) / FC-S35W/S42CM0 / S780435MA
SAM / SAM(FC-S35W/S4)(SAM01) / FC-S35W/S42CM0 / S780444MA
SAM / ﾘｼﾞｪｸﾄ端末(FC-E22U)(WAT01) / FC-E22U-S / 7X04428
</t>
  </si>
  <si>
    <t>ブランド / 機器構成名(個体名) / 型式 / シリアル番号
AWC7 Framework / 作業表示端末 (FC-E29U)(WAT003) / FC-E29U-S31C42 / 2Z00376
AWC7 Framework / 作業表示端末 (FC-E29U)(WAT004) / FC-E29U-S31C42 / 2Z00344
AWC7 Framework / 作業表示端末 (FC-E29U)(WAT005) / FC-E29U-S31C42 / 2Z00337
AWC7 Framework / 作業表示端末 (FC-E29U)(WAT006) / FC-E29U-S31C42 / 2Z00347</t>
  </si>
  <si>
    <t>2025031331-224-1</t>
  </si>
  <si>
    <t xml:space="preserve">2025031335-224-1 / 2025031329-224-1
</t>
  </si>
  <si>
    <t xml:space="preserve">ブランド / 機器構成名(個体名) / 型式 / シリアル番号
AWC7 Framework / AWC7本体 (FC-S36W)(AWC001) / FC-S36W-113CW5 / 2700131
AWC7 Framework / AWC7端末 (FC-E22U)(WAT001) / FC-E22U-S / 1X17225
AWC7 Framework / AWC7端末 (FC-E22U)(WAT002) / FC-E22U-S / 1X17217
</t>
  </si>
  <si>
    <t>藤田/090-4114－6862</t>
  </si>
  <si>
    <t xml:space="preserve">ブランド / 機器構成名(個体名) / 型式 / シリアル番号
BOXｿｰﾀｼｽﾃﾑ / BOXｿｰﾀｺﾝﾄﾛｰﾗｻｰﾊﾞ(HF-W7550)() / HJ-7550-SDJD/0R / 4523013-1
</t>
  </si>
  <si>
    <t>熊谷CS 海野  翔/070‐2243‐4467</t>
  </si>
  <si>
    <t>三谷産業</t>
  </si>
  <si>
    <t xml:space="preserve">【システム点検】※プロダクト対象外の為、診断対象外。
2026/4/1~三谷産業の担当者変更
取引先	三谷産業株式会社
宛先：本谷　哲大
CC：曾原　竜乃介
</t>
  </si>
  <si>
    <t>2025年9月</t>
    <rPh sb="4" eb="5">
      <t>ネン</t>
    </rPh>
    <rPh sb="6" eb="7">
      <t>ツキ</t>
    </rPh>
    <phoneticPr fontId="1"/>
  </si>
  <si>
    <t xml:space="preserve">ブランド / 機器構成名(個体名) / 型式 / シリアル番号
AWC7 Framework / AWC7本体(FC-S36W)(AWC001) / FC-S36W-143CV7 / 4401168
AWC7 Framework / AWC7端末(FC-E29U)(WAT001) / FC-E29U-S31C42 / 3601108
AWC7 Framework / AWC7端末(FC-E29U)(WAT002) / FC-E29U-S31C42 / 3601113
AWC7 Framework / AWC7端末(FC-E29U)(WAT003) / FC-E29U-S31C42 / 3601115
AWC7 Framework / 9Y-MOS(FC-D28U)(MOS01) / FC-D28U-L / 4800814
</t>
  </si>
  <si>
    <t xml:space="preserve">ブランド / 機器構成名(個体名) / 型式 / シリアル番号
AWC7 Framework / AWC7本体(FC-S36W)(AWC001) / FC-S36W-143CV7 / 5901383
</t>
  </si>
  <si>
    <t xml:space="preserve">ブランド / 機器構成名(個体名) / 型式 / シリアル番号
WareNavi4 Framework Custom / WMSｻｰﾊﾞ (Express5800/R320h-E4)(WMS001) / N8800-311Y / 4500569
WareNavi4 Framework Custom / ｻｰﾊﾞ用UPS(WMS001) / 無停電電源装置(1500VA)N8180-67 / J12339114146
WareNavi4 Framework Custom / ｻｰﾊﾞ用UPS(WMS001) / 無停電電源装置(1500VA)N8180-67 / J12339114143
</t>
  </si>
  <si>
    <t xml:space="preserve">ブランド / 機器構成名(個体名) / 型式 / シリアル番号
AWC7 Framework / MOSⅦ (FC-E22K)(MOS001) / FC-E22K-L / 2900376
</t>
  </si>
  <si>
    <t xml:space="preserve">ブランド / 機器構成名(個体名) / 型式 / シリアル番号
WareNavi7A / WareNavi7A本体(FC-S36W)(WNA01) / FC-S36W-L / 4805209
WareNavi7A / WareNavi7A端末(FC-E29U)(WAT101) / FC-E29U-S31C42 / 3601155
WareNavi7A / WareNavi7A端末(FC-E29U)(WAT102) / FC-E29U-S31C42 / 3601123
WareNavi7A / WareNavi7A端末(FC-E29U)(WAT103) / FC-E29U-S31C42 / 3601137
WareNavi7A / WareNavi7A端末(FC-E29U)(WAT301) / FC-E29U-S31C42 / 3601129
WareNavi7A / WareNavi7A端末(FC-E29U)(WAT302) / FC-E29U-S31C42 / 3601125
WareNavi7A / MOSⅦ本体(MOSA01) / FC-E22K-L / 4702351
</t>
  </si>
  <si>
    <t xml:space="preserve">ブランド / 機器構成名(個体名) / 型式 / シリアル番号
WareNavi7A / WareNavi7A端末(HF-W6555)(AWC001) / HJ-6555-WEJD/DF05 / 4238766-1
</t>
  </si>
  <si>
    <t>MOSⅦ　HF-W2055は2026年5月契約開始</t>
  </si>
  <si>
    <t xml:space="preserve">ブランド / 機器構成名(個体名) / 型式 / シリアル番号
WareNavi7A / WareNavi7本体(HF-W6560)(WN001) / HJ-6560-WFJB/7R / 4525736-7
WareNavi7A / MOSⅦ本体(HF-W2055)(MOSA001) / HJ-2055-WEMA/DF04 / 8055737-1
</t>
  </si>
  <si>
    <t xml:space="preserve">ブランド / 機器構成名(個体名) / 型式 / シリアル番号
SAM / SAM(FC-S36W)(SAM101) / FC-S36W-143CV7 / 5701377
SAM / SAM予備機(FC-S36W)(SAM101予備機) / FC-S36W-143CV7 / 5701376
SAM / MOSⅦ本体(FC-E22K)(MOSZ001) / FC-E22K-L / 5X03629
</t>
  </si>
  <si>
    <t>norikazu.fujita@sato-global.com;kaoru.mizunaga@sato-global.com</t>
    <phoneticPr fontId="1"/>
  </si>
  <si>
    <t>yoji.fujita@sato-global.com;junji.hitomi@sato-global.com</t>
    <phoneticPr fontId="1"/>
  </si>
  <si>
    <t>菊川工場</t>
  </si>
  <si>
    <t>藤田様、人見様</t>
    <rPh sb="0" eb="2">
      <t>フジタ</t>
    </rPh>
    <phoneticPr fontId="1"/>
  </si>
  <si>
    <t>HC21-0199-1 / 【ﾊﾟｯｸ契約】IBMｻｰﾊﾞ,外部ｽﾄﾚｰｼﾞ</t>
  </si>
  <si>
    <t>ブランド / 機器構成名(個体名) / 型式 / シリアル番号
RTS-100 / RTSｻｰﾊﾞ(IBM Power System S914)(DISK) / 9009-41G / 7806D81
RTS-100 / RTSｻｰﾊﾞ(IBM Power S1014)(rts01) / 9105-41B / 78BCAB1
RTS-100 / FlashSystem 5015 SFF Control Enclosure(rts01) / 4680-2P4 / 7813HP6</t>
  </si>
  <si>
    <t>原川　様</t>
  </si>
  <si>
    <t>原田　070-2237-2458</t>
  </si>
  <si>
    <t>三浦様</t>
    <rPh sb="0" eb="2">
      <t>ミウラ</t>
    </rPh>
    <rPh sb="2" eb="3">
      <t>サマ</t>
    </rPh>
    <phoneticPr fontId="1"/>
  </si>
  <si>
    <t>takayuki_miura@h-ax.com</t>
    <phoneticPr fontId="1"/>
  </si>
  <si>
    <t xml:space="preserve">松原健悟/090-1567-2143
</t>
  </si>
  <si>
    <t>無</t>
  </si>
  <si>
    <t>-</t>
  </si>
  <si>
    <t>濁川様/047-305-3032</t>
  </si>
  <si>
    <t>若林/090-1564-1097</t>
  </si>
  <si>
    <t>山路様／076-277-7360</t>
  </si>
  <si>
    <t>松屋／090-5179-0605</t>
  </si>
  <si>
    <t>生産管理課　丹波様　070-2320-2214　</t>
  </si>
  <si>
    <t>米田　大介　090-7961-5290</t>
  </si>
  <si>
    <t>株式会社シーエル/原田/080-9692-4654</t>
  </si>
  <si>
    <t>鳥栖第一CS　中野/080-3901-9366</t>
  </si>
  <si>
    <t>2025121602-225-1</t>
  </si>
  <si>
    <t>【システム点検】※プロダクト対象外の為、診断対象外。
2026/4/30解約
WareNavi7(店舗向け)【撤去】 / ﾏﾃﾊﾝｻｰﾊﾞ(Express5800/R320e-E4)(WARENAVI) / N8800-201Y / 7400622
WareNavi7(店舗向け)【撤去】 / MOSｻｰﾊﾞ(Express5800/R320e-E4)(MOSサーバーHOST) / N8800-212Y / 7400139</t>
  </si>
  <si>
    <t xml:space="preserve">ブランド / 機器構成名(個体名) / 型式 / シリアル番号
WareNavi7(店舗向け) / ﾏﾃﾊﾝｻｰﾊﾞ用UPS(WARENAVI) / 無停電電源装置(1500VA,ﾗｯｸﾏｳﾝﾄ)N8142-101 / J12344111169
WareNavi7(店舗向け) / ﾏﾃﾊﾝｻｰﾊﾞ用UPS(WARENAVI) / 無停電電源装置(1500VA,ﾗｯｸﾏｳﾝﾄ)N8142-101 / J12344111189
WareNavi7(店舗向け)【撤去】 / MOSｻｰﾊﾞ用UPS(MOSサーバーHOST) / 無停電電源装置(1500VA,ﾗｯｸﾏｳﾝﾄ)N8142-101 / J12344111185
WareNavi7(店舗向け)【撤去】 / MOSｻｰﾊﾞ用UPS(MOSサーバーHOST) / 無停電電源装置(1500VA,ﾗｯｸﾏｳﾝﾄ)N8142-101 / J12344111171
</t>
  </si>
  <si>
    <t>フォークＬＡＮシステム</t>
  </si>
  <si>
    <t>2024072410-224-1</t>
  </si>
  <si>
    <t>40131A168-001</t>
  </si>
  <si>
    <t>荻野様/092/410/0400</t>
  </si>
  <si>
    <t>福岡CS 原/090-5105-9684</t>
  </si>
  <si>
    <t xml:space="preserve">ブランド / 機器構成名(個体名) / 型式 / シリアル番号
WareNavi7 / WareNavi7ｻｰﾊﾞ(Express5800/R320f-M4)(WN7-001) / N8800-219Y / 9700151
</t>
  </si>
  <si>
    <t>大阪第1CS　河埜　080-1579-0746</t>
  </si>
  <si>
    <t>作業実施日（保守G記載）</t>
  </si>
  <si>
    <t>進捗状況（保守Gにて変更）</t>
  </si>
  <si>
    <t>業務課/山田様/0157-36-3611</t>
  </si>
  <si>
    <t>細木・岡嶋/細木（090-1562-4904）</t>
  </si>
  <si>
    <t>清水俊希/090-1457-0278</t>
  </si>
  <si>
    <t>中谷様/070-2839-6722</t>
  </si>
  <si>
    <t>4年目HDD交換
3時間で終わらない場合は、予定を組みなおすため、連絡お願いいたします。</t>
  </si>
  <si>
    <t>リンテック株式会社</t>
  </si>
  <si>
    <t>龍野工場</t>
  </si>
  <si>
    <t>仕掛品自動倉庫</t>
  </si>
  <si>
    <t>HC21-0168-1</t>
  </si>
  <si>
    <t>28211-081-001</t>
  </si>
  <si>
    <t xml:space="preserve">ブランド / 機器構成名(個体名) / 型式 / シリアル番号
eAWC Ordermade（仕掛品） / SANｽｲｯﾁ (SAN24B-6)() / 8960-F24 / 780741M
eAWC Ordermade（仕掛品） / SANｽｲｯﾁ (SAN24B-6)() / 8960-F24 / 780750L
</t>
  </si>
  <si>
    <t>HC20-0050-1</t>
  </si>
  <si>
    <t xml:space="preserve">ブランド / 機器構成名(個体名) / 型式 / シリアル番号
eAWC Ordermade（製品） / SANｽｲｯﾁ (SAN24B-6)() / 8960-F24 / 131240R
eAWC Ordermade（製品） / SANｽｲｯﾁ (SAN24B-6)() / 8960-F24 / 131240Y
</t>
  </si>
  <si>
    <t>イオン常総XD</t>
  </si>
  <si>
    <t>簡易ソータ</t>
  </si>
  <si>
    <t>08211A121-001</t>
  </si>
  <si>
    <t xml:space="preserve">ブランド / 機器構成名(個体名) / 型式 / シリアル番号
LPM / オートラベラ(左流れ)() / LR4080SR-TSJ / JM000051
LPM / オートラベラ(左流れ)( ) / LR4080SR-TSJ / JM000052
LPM / オートラベラ(左流れ)( ) / LR4080SR-TSJ / JM000053
LPM / オートラベラ(右流れ)() / LR4081SR-TSJ / KD000041
LPM / オートラベラ(右流れ)() / LR4081SR-TSJ / KD000042
LPM / オートラベラ(右流れ)() / LR4081SR-TSJ / KD000043
</t>
  </si>
  <si>
    <t>2605-005</t>
  </si>
  <si>
    <t>佐賀工場</t>
  </si>
  <si>
    <t>冷凍・資材倉庫</t>
  </si>
  <si>
    <t>FA195</t>
  </si>
  <si>
    <t>41305-003-001</t>
  </si>
  <si>
    <t xml:space="preserve">ブランド / 機器構成名(個体名) / 型式 / シリアル番号
AWC7 Framework(資材倉庫) / AWC7本体(FA3100Tmodel800)(N5554217) / UA538020 / OHB053
</t>
  </si>
  <si>
    <t>2026040965-225-1</t>
  </si>
  <si>
    <t xml:space="preserve">ブランド / 機器構成名(個体名) / 型式 / シリアル番号
AWC7 Framework(資材倉庫) / AWC7端末(FC-E22U)(WAT001) / FC-E22U-S / 0312779
AWC7 Framework(資材倉庫) / AWC7端末(FC-E22U)(WAT002) / FC-E22U-S / 0312780
AWC7 Framework(資材倉庫) / AWC7端末(FC-E22U)(WAT003) / FC-E22U-S / 0312803
AWC7 Framework(資材倉庫) / AWC7端末(FC-E22U)(WAT004) / FC-E22U-S / 0312806
AWC7 Framework(資材倉庫) / AWC7端末(FC-E22U)(WAT005) / FC-E22U-S / 0312807
</t>
  </si>
  <si>
    <t>株式会社ドウシシャ</t>
  </si>
  <si>
    <t>関東物流センター</t>
  </si>
  <si>
    <t>12206A119-001</t>
  </si>
  <si>
    <t>小林様/080-3757-3129</t>
  </si>
  <si>
    <t>千葉１ 齋藤 070-6558-1912</t>
  </si>
  <si>
    <t>2026年5月契約開始</t>
  </si>
  <si>
    <t>ブランド / 機器構成名(個体名) / 型式 / シリアル番号
LPM / ｵｰﾄﾗﾍﾞﾗ(ALR01) / LR4080SR-TSB / BD000008
LPM / ｵｰﾄﾗﾍﾞﾗ(ALR02) / LR4080SR-TSB / BD000009
LPM / ｵｰﾄﾗﾍﾞﾗ(ALR03) / LR4080SR-TSB / BD000010</t>
  </si>
  <si>
    <t>2026011420-225-1 /  2026011422-225-1</t>
  </si>
  <si>
    <t>工場管理課　中野様　0294-74-3111（代表）</t>
  </si>
  <si>
    <t>増田宗徳　090/7002-1242</t>
  </si>
  <si>
    <t>8年目HDD交換
上履き必須となります。
5日～9日の間で、最短可能日の提示をお願いいたします。
また、作業にかかる時間は4Hとみてよろしいでしょうか。
作業時間によって客先対応可能日も限られますので、
ご回答のほど、よろしくお願いいたします。</t>
  </si>
  <si>
    <t xml:space="preserve">ブランド / 機器構成名(個体名) / 型式 / シリアル番号
PAS 統括PC(Elite Mini 800 G9)  / 統括PC01 / PY-H-519Q1AV-BPBV
</t>
  </si>
  <si>
    <t xml:space="preserve">ブランド / 機器構成名(個体名) / 型式 / シリアル番号
AWC7 Ordermade / AWC7ｻｰﾊﾞ(Express5800/T110k-M)(AWC001) / N8100-3016Y / JPND32007Y
AWC7 Ordermade / AWC7ｻｰﾊﾞ(Express5800/T110k-M)(AWC001) / 無停電電源装置(1500VA)N8180-67 / J12514211009
AWC7 Ordermade / AWC7端末(FC-E29U)(WAT001) / FC-E29U-S31C42 / 5701654
AWC7 Ordermade / AWC7端末(FC-E29U)(WAT002) / FC-E29U-S31C42 / 5701663
AWC7 Ordermade / VTC(NT8000)【1号機】(VTC01) / FC-E22U-S / 0Z15151
AWC7 Ordermade / VTC(NT8000)【2号機】(VTC02) / FC-E22U-S / 9509721
</t>
  </si>
  <si>
    <t xml:space="preserve">ブランド / 機器構成名(個体名) / 型式 / シリアル番号
WareNavi7A / WareNavi7A本体 (Express5800/R320h-E4)(AWC101) / N8800-311Y / 4300513
WareNavi7A / ｻｰﾊﾞ用UPS(AWC101) / 無停電電源装置(1500VA)N8180-67 / 
WareNavi7A / ｻｰﾊﾞ用UPS(AWC101) / 無停電電源装置(1500VA)N8180-67 / 
</t>
  </si>
  <si>
    <t xml:space="preserve">ブランド / 機器構成名(個体名) / 型式 / シリアル番号
WareNavi4 Framework / WareNavi4ｻｰﾊﾞ (Express5800/R320c-E4)(AWC015) / N8800-311Y / 5100801
WareNavi4 Framework / ｻｰﾊﾞ用UPS(AWC015) / 無停電電源装置(1500VA)N8180-67 / 
WareNavi4 Framework / ｻｰﾊﾞ用UPS(AWC015) / 無停電電源装置(1500VA)N8180-67 / 
WareNavi4 Framework / 無線ﾏﾈｰｼﾞｬ (FC-S36W)(RFT001) / FC-S36W-143CV7 / 4Z01268
WareNavi4 Framework / 無線ﾏﾈｰｼﾞｬ (FC-S36W)(RFT002) / FC-S36W-143CV7 / 4Z01269
WareNavi4 Framework / 事務所端末 (FC-S36W)(WAT001) / FC-S36W-143CV7 / 4Z01270
WareNavi4 Framework / ﾋﾟｯｸ端末 (FC-E29U)(WAT002) / FC-E29U-S31C42 / 4Y01311
WareNavi4 Framework / ﾋﾟｯｸ端末 (FC-E29U)(WAT003) / FC-E29U-S31C42 / 4Z01269
WareNavi4 Framework / ﾋﾟｯｸ端末 (FC-E29U)(WAT004) / FC-E29U-S31C42 / 4Z01270
</t>
  </si>
  <si>
    <t xml:space="preserve">ブランド / 機器構成名(個体名) / 型式 / シリアル番号
CMC / CMC本体(FC-S36W)(CMC) / FC-S36W-133CW4 / 9X00123
CMC / MOS (FC-E22U)(MOS01) / FC-E22U-S / 9208713
</t>
  </si>
  <si>
    <t xml:space="preserve">ブランド / 機器構成名(個体名) / 型式 / シリアル番号
AWC-500N / AWCｻｰﾊﾞ (Express5800/R320e-E4)(AWC) / N8800-236Y / 8500309
AWC-500N / AWC端末 (FC-E22U)(WAT002) / FC-E22U-S / 8506067
AWC-500N / AWC端末 (FC-E22U)(WAT001) / FC-E22U-S / 8506094
</t>
  </si>
  <si>
    <t xml:space="preserve">ブランド / 機器構成名(個体名) / 型式 / シリアル番号
AWC7 Framework / AWC7本体(FC-S36W)(AWC001) / FC-S36W-143CV7 / 3Z01092
AWC7 Framework / AWC7端末(FC-E29U)(WAT001) / FC-E29U-S31C42 / 3600741
AWC7 Framework / AWC7端末(FC-E29U)(WAT002) / FC-E29U-S31C42 / 3600755
</t>
  </si>
  <si>
    <t xml:space="preserve">ブランド / 機器構成名(個体名) / 型式 / シリアル番号
通信PC / eAWC本体・通信PC兼用予備機 (FC-S36W)(EAWC予備) / FC-S36W-143CV7 / 3Y01053
eAWC Ordermade(ﾌﾞﾛｯｸｼﾘﾝﾀﾞ) / eAWC本体 (FC-S36W)(EAWC001) / FC-S36W-143CV7 / 2800745
eAWC Ordermade(ﾍｯﾄﾞｼﾘﾝﾀﾞ) / eAWC本体 (FC-S36W)(EAWC004) / FC-S36W-143CV7 / 2800750
eAWC Ordermade(ｸﾗﾝｸｼｬﾌﾄ) / eAWC本体 (FC-S36W)(EAWC005) / FC-S36W-143CV7 / 3Y01033
eAWC Ordermade(ﾀﾞﾐｰﾍｯﾄﾞ) / eAWC本体 (FC-S36W)(EAWC003) / FC-S36W-143CV7 / 3Y01015
eAWC Ordermade(ﾌﾞﾛｯｸｼﾘﾝﾀﾞ) / eAWC端末 (FC-E29U)(WAT0119) / FC-E29U-S31C42 / 2Z00167
eAWC Ordermade(ﾍｯﾄﾞｼﾘﾝﾀﾞ) / eAWC端末 (FC-E29U)(WAT0419) / FC-E29U-S31C42 / 2Z00165
</t>
  </si>
  <si>
    <t xml:space="preserve">ブランド / 機器構成名(個体名) / 型式 / シリアル番号
AWC4 Framework / AWC4本体(FC-S36W)(AWC001) / FC-S36W-143CV7 / 4101126
</t>
  </si>
  <si>
    <t xml:space="preserve">ブランド / 機器構成名(個体名) / 型式 / シリアル番号
AWC7 Framework / AWC7本体(FC-S36W)(AWC002) / FC-S36W-143CV7 / 4101127
AWC7 Framework / AWC7端末(FC-E29U)(WAT001) / FC-E29U-S31C42 / 3600877
</t>
  </si>
  <si>
    <t xml:space="preserve">ブランド / 機器構成名(個体名) / 型式 / シリアル番号
AWC7 Framework / 納骨堂ｻｰﾊﾞ(FC-S36W)(AWC001) / FC-S36W-113CW5 / 4500174
AWC7 Framework / 参拝端末(FC-E29U)(WAT301) / FC-E29U-S31C42 / 3600937
AWC7 Framework / 参拝端末(FC-E29U)(WAT302) / FC-E29U-S31C42 / 3600943
AWC7 Framework / 参拝端末(FC-E29U)(WAT303) / FC-E29U-S31C42 / 3600914
AWC7 Framework / 参拝端末(FC-E29U)(WAT304) / FC-E29U-S31C42 / 3600931
</t>
  </si>
  <si>
    <t xml:space="preserve">ブランド / 機器構成名(個体名) / 型式 / シリアル番号
WareNavi7 / WareNavi7本体 (FC-S36W)(WN001) / FC-S36W-L / 5505949
WareNavi7 / WareNavi7本体予備 (FC-S36W)(WN002) / FC-S36W-L / 5505950
WareNavi7 / MOSⅦ本体 (FC-E22K)(MOSA001) / FC-E22K-L / 5503241
</t>
  </si>
  <si>
    <t xml:space="preserve">ブランド / 機器構成名(個体名) / 型式 / シリアル番号
AWC7 Framework / AWC7本体(VPC-5000)(AWC01) / VPC-5000-D02 / PJRLN34000023
</t>
  </si>
  <si>
    <t>2026021008-225-1 / 2026021010-225-1</t>
  </si>
  <si>
    <t>2026021702-225-1</t>
  </si>
  <si>
    <t>2026031342-225-2 / 2026031340-225-1</t>
  </si>
  <si>
    <t>2026031338-225-1</t>
  </si>
  <si>
    <t>2026031326-225-1</t>
  </si>
  <si>
    <t>カーメイト物流株式会社</t>
  </si>
  <si>
    <t>結城物流センター</t>
  </si>
  <si>
    <t>2026031322-225-1 / 2026031324-225-1</t>
  </si>
  <si>
    <t>08207-036-001</t>
  </si>
  <si>
    <t>第42号運搬設備</t>
  </si>
  <si>
    <t>2026031314-225-1 / 2026031316-225-1</t>
  </si>
  <si>
    <t>13117-305-008</t>
  </si>
  <si>
    <t>大府センター</t>
  </si>
  <si>
    <t>2026031306-225-1</t>
  </si>
  <si>
    <t>株式会社ドトールコーヒー</t>
  </si>
  <si>
    <t>2026031602-225-1 / 2026031604-225-1</t>
  </si>
  <si>
    <t>28343-018-002</t>
  </si>
  <si>
    <t>2026031348-225-1</t>
  </si>
  <si>
    <t>株式会社栃木ニコン</t>
  </si>
  <si>
    <t>MSP-20260513-01</t>
  </si>
  <si>
    <t>09210-021-002</t>
  </si>
  <si>
    <t>イーグル工業株式会社</t>
  </si>
  <si>
    <t>つくば事業所</t>
  </si>
  <si>
    <t>Oリング用金型保管倉庫</t>
  </si>
  <si>
    <t>MSP-20260408-01</t>
  </si>
  <si>
    <t>08220A173-001</t>
  </si>
  <si>
    <t>株式会社三社電機製作所</t>
  </si>
  <si>
    <t>2604-008</t>
  </si>
  <si>
    <t>25207-101-001</t>
  </si>
  <si>
    <t>2604-009</t>
  </si>
  <si>
    <t>株式会社バルダン</t>
  </si>
  <si>
    <t>2604-010</t>
  </si>
  <si>
    <t>23203-350-001</t>
  </si>
  <si>
    <t>甲府医薬品工場</t>
  </si>
  <si>
    <t>RM、AGV、STV、搬送</t>
  </si>
  <si>
    <t>2605-008</t>
  </si>
  <si>
    <t>19384-016-001</t>
  </si>
  <si>
    <t>A6棟 MES箱 自動振分システム</t>
  </si>
  <si>
    <t>2604-001</t>
  </si>
  <si>
    <t>16207-068-018</t>
  </si>
  <si>
    <t>2604-002 / 2604-003</t>
  </si>
  <si>
    <t>Ａ４棟 テープ自動倉庫システム</t>
  </si>
  <si>
    <t>2604-005</t>
  </si>
  <si>
    <t>16207-068-016</t>
  </si>
  <si>
    <t>株式会社ユシロ</t>
  </si>
  <si>
    <t>富士工場</t>
  </si>
  <si>
    <t>2603-001</t>
  </si>
  <si>
    <t>22344-044-001</t>
  </si>
  <si>
    <t>ＩＤＦＳ（インテリジェント・ダイナミック・フロア・システム）</t>
  </si>
  <si>
    <t>2603-002 / 2603-003</t>
  </si>
  <si>
    <t>32203-024-001</t>
  </si>
  <si>
    <t>知多産業運輸株式会社</t>
  </si>
  <si>
    <t>2606-002</t>
  </si>
  <si>
    <t>23201-880-001</t>
  </si>
  <si>
    <t>仕分搬送システム(日立製作所)</t>
  </si>
  <si>
    <t>2606-001</t>
  </si>
  <si>
    <t>22213A111-003</t>
  </si>
  <si>
    <t>日本ジェネリック株式会社</t>
  </si>
  <si>
    <t>2605-002</t>
  </si>
  <si>
    <t>08220-018-001</t>
  </si>
  <si>
    <t>井上</t>
  </si>
  <si>
    <t>プレミアムウォータープロダクツ
櫻井様</t>
  </si>
  <si>
    <t xml:space="preserve">原田
070-2237-2458
</t>
  </si>
  <si>
    <t>新保様(事務所TEL:0480-21-5375)</t>
  </si>
  <si>
    <t>久喜CS:池田(070-2243-4461)</t>
  </si>
  <si>
    <t>8年目HDD交換、電源ユニット、冷却ﾌｧﾝ、電池、DVDﾄﾞﾗｲﾌﾞ交換
4年目のHDD交換実施日確認。
2022年6月予定を2025年7月13日に実施。
よって前回HDD交換から1年も経過していない。</t>
  </si>
  <si>
    <t>IBM他</t>
    <rPh sb="3" eb="4">
      <t>ホカ</t>
    </rPh>
    <phoneticPr fontId="1"/>
  </si>
  <si>
    <t>2187821 / 2158264</t>
  </si>
  <si>
    <t>2084920 / 2188552</t>
  </si>
  <si>
    <t>2187850 / 2189272</t>
  </si>
  <si>
    <t>ブランド / 機器構成名(個体名) / 型式 / シリアル番号
DPM / ｵｰﾄﾗﾍﾞﾗ (LR4080SR-T)() / LR4080SR-TSB / AG000030
DPM / ｵｰﾄﾗﾍﾞﾗ (LR4081SR-T)() / LR4081SR-TSB / AG000054
DPM / ｵｰﾄﾗﾍﾞﾗ (LR4081SR-T)() / LR4081SR-TSB / AG000055
DPM / ｵｰﾄﾗﾍﾞﾗ予備機(予備機) / LR4081SR-TSB / AG000046</t>
  </si>
  <si>
    <t>ブランド / 機器構成名(個体名) / 型式 / シリアル番号
AWC-800U / ﾗﾍﾞﾙﾌﾟﾘﾝﾀ (1F入出庫ｺﾝﾍﾞﾔ/4F自走台車)(LBL10) / MT400e / 9E000714
AWC-800U / ﾗﾍﾞﾙﾌﾟﾘﾝﾀ (1F入出庫ｺﾝﾍﾞﾔ/4F自走台車)(LBL11) / MT400e / 9E000707</t>
  </si>
  <si>
    <t>ブランド / 機器構成名(個体名) / 型式 / シリアル番号
DPM4 / ｵｰﾄﾗﾍﾞﾗ(LR4080SR-TSB)(AL01) / LR4080SR-TSB / BB000037
DPM4 / ｵｰﾄﾗﾍﾞﾗ(LR4080SR-TSB)(AL02) / LR4080SR-TSB / BA000046
DPM4 / ｵｰﾄﾗﾍﾞﾗ(LR4081SR-TSB)(AL03) / LR4081SR-TSB / BB000038
DPM4 / ｵｰﾄﾗﾍﾞﾗ(LR4081SR-TSB)(AL04) / LR4081SR-TSB / BA000047
DPM4 / ﾗﾍﾞﾙﾌﾟﾘﾝﾀ【ﾊﾟﾝﾗｲﾝ】(LBL05) / CL4NX-J08 Plus / FD100743
DPM4 / ﾗﾍﾞﾙﾌﾟﾘﾝﾀ【ﾊﾟﾝﾗｲﾝ】(LBL06) / CL4NX-J08 Plus / FD100733
DPM4 / ﾗﾍﾞﾙﾌﾟﾘﾝﾀ【ﾊﾟﾝﾗｲﾝ】(LBL07) / CL4NX-J08 Plus / FD100735
DPM4 / ﾗﾍﾞﾙﾌﾟﾘﾝﾀ【ﾊﾟﾝﾗｲﾝ】(LBL08) / CL4NX-J08 Plus / FD100720
DPM4 / ﾗﾍﾞﾙﾌﾟﾘﾝﾀ【ﾊﾟﾝﾗｲﾝ】(LBL09) / CL4NX-J08 Plus / FD100744
DPM4 / ﾗﾍﾞﾙﾌﾟﾘﾝﾀ【ﾊﾟﾝﾗｲﾝ】(LBL10) / CL4NX-J08 Plus / FD100732</t>
  </si>
  <si>
    <t>渡邉様/0544-27-9322</t>
  </si>
  <si>
    <t>神細工/080-8979-9649</t>
  </si>
  <si>
    <t>渡邉/0544-27-9322</t>
  </si>
  <si>
    <t>村上様/044-975-2731</t>
  </si>
  <si>
    <t>中村知也/080-8660-5715</t>
  </si>
  <si>
    <t>今西様</t>
  </si>
  <si>
    <t>上森sf/中本sf</t>
  </si>
  <si>
    <t xml:space="preserve">札幌CS　小酒
080-1396-4370
</t>
  </si>
  <si>
    <t>4年目HDD交換
台数も多いのでＣＥも複数名来ていただき早めの完了希望</t>
  </si>
  <si>
    <t xml:space="preserve">SMC　大塚様　080-2019-8734
</t>
  </si>
  <si>
    <t>滋賀第一　小西　080-4494-0017</t>
  </si>
  <si>
    <t>生産管理課／足立様／0586-72-0352</t>
  </si>
  <si>
    <t>中部第１ＣＳ　森本／090-8324-0829</t>
  </si>
  <si>
    <t xml:space="preserve">伯東株式会社 ケミカルソリューションカンパニー
技術開発・生産本部　四日市工場　生産管理グループ
中井　卓也
Tel ： 059-331-8357
Fax ： 059-331-8361
</t>
  </si>
  <si>
    <t>寺田和洋/080-3644-4540</t>
  </si>
  <si>
    <t>D棟宅配冷蔵農産ライン</t>
  </si>
  <si>
    <t>01217-001-011</t>
  </si>
  <si>
    <t>ブランド / 機器構成名(個体名) / 型式 / シリアル番号
ｵｰﾄﾗﾍﾞﾗ(LAN仕様)　LR4080SR-THC　S/N： JF000080 / JF000082 / JF000081
ｵｰﾄﾗﾍﾞﾗ(LAN仕様)　LR4081SR-THC　S/N： JE000077 / JJ000091 / JJ000090</t>
  </si>
  <si>
    <t>ブランド / 機器構成名(個体名) / 型式 / シリアル番号
ﾗﾍﾞﾙﾌﾟﾘﾝﾀ(剥離付,標準仕様)　CL4NX-J08 Plus　S/N： JD101232 / JD101229 / JD101236 / JD101233
ｵｰﾄﾗﾍﾞﾗ(LAN仕様)　LR4080SR-THC　S/N： JF000080 / JF000082 / JF000081
ｵｰﾄﾗﾍﾞﾗ(LAN仕様)　LR4081SR-THC　S/N： JE000077 / JJ000091 / JJ000090</t>
  </si>
  <si>
    <t>2026051406-221-1 / 2026051408-221-1</t>
  </si>
  <si>
    <t xml:space="preserve">ブランド / 機器構成名(個体名) / 型式 / シリアル番号
eye-navi / DPM (FC-S36W)(DPM101) / FC-S36W-143CV7 / 4701198
eye-navi / DPM (FC-S36W)(DPM102) / FC-S36W-143CV7 / 4701193
eye-navi / DPM (FC-S36W)(DPM103) / FC-S36W-143CV7 / 4701199
eye-navi / DPM (FC-S36W)(DPM104) / FC-S36W-143CV7 / 4701197
eye-navi / DPM (FC-S36W)(DPM105) / FC-S36W-143CV7 / 4701201
eye-navi / DPM (FC-S36W)(DPM106) / FC-S36W-143CV7 / 4601182
eye-navi / DPM予備機 (FC-S36W)(DPMYOBI) / FC-S36W-143CV7 / 4601185
eye-navi / 事務所端末 (FC-E29U)(WAT110) / FC-E29U-S31C42 / 4901257
eye-navi / ｼﾞｬﾝｸﾞﾙ間口端末 (FC-E29U)(WAT101) / FC-E29U-S31C42 / 3601134
eye-navi / ｼﾞｬﾝｸﾞﾙ間口端末 (FC-E29U)(WAT102) / FC-E29U-S31C42 / 4901270
eye-navi / ｼﾞｬﾝｸﾞﾙ間口端末 (FC-E29U)(WAT103) / FC-E29U-S31C42 / 4901267
eye-navi / ｼﾞｬﾝｸﾞﾙ間口端末 (FC-E29U)(WAT104) / FC-E29U-S31C42 / 4901263
eye-navi / ｼﾞｬﾝｸﾞﾙ間口端末 (FC-E29U)(WAT105) / FC-E29U-S31C42 / 4901265
eye-navi / ｼﾞｬﾝｸﾞﾙ間口端末 (FC-E29U)(WAT106) / FC-E29U-S31C42 / 4901256
eye-navi / ｼﾞｬﾝｸﾞﾙ間口端末予備機 (FC-E29U)(WATYOBI) / FC-E29U-S31C42 / 4901262
eye-navi / 集品ﾗｲﾝ端末 (FC-E29U)(WAT107) / FC-E29U-S31C42 / 4901264
eye-navi / 集品ﾗｲﾝ端末 (FC-E29U)(WAT108) / FC-E29U-S31C42 / 4901259
eye-navi / 集品ﾗｲﾝ端末 (FC-E29U)(WAT109) / FC-E29U-S31C42 / 4901269
</t>
  </si>
  <si>
    <t>増田 宗徳　090-7002-1242</t>
  </si>
  <si>
    <t xml:space="preserve">客先より、7月希望があり、
7/11（土）、20（月）、25（土）のいずれかで
実施可能か確認をお願いいたします。
時間については、10時～17時を希望いたします。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</si>
</sst>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d\(aaa\)"/>
  </numFmts>
  <fonts count="23" x14ac:knownFonts="1">
    <font>
      <sz val="11"/>
      <color theme="1"/>
      <name val="ＭＳ Ｐゴシック"/>
      <family val="2"/>
      <charset val="128"/>
      <scheme val="minor"/>
    </font>
    <font>
      <sz val="6"/>
      <name val="ＭＳ Ｐゴシック"/>
      <family val="2"/>
      <charset val="128"/>
      <scheme val="minor"/>
    </font>
    <font>
      <sz val="11"/>
      <color rgb="FF000000"/>
      <name val="ＭＳ Ｐゴシック"/>
      <family val="3"/>
      <charset val="128"/>
    </font>
    <font>
      <sz val="12"/>
      <color rgb="FF000000"/>
      <name val="ＭＳ Ｐゴシック"/>
      <family val="3"/>
      <charset val="128"/>
    </font>
    <font>
      <sz val="11"/>
      <color theme="1"/>
      <name val="ＭＳ Ｐゴシック"/>
      <family val="3"/>
      <charset val="128"/>
      <scheme val="minor"/>
    </font>
    <font>
      <sz val="11"/>
      <color rgb="FFFF0000"/>
      <name val="ＭＳ Ｐゴシック"/>
      <family val="3"/>
      <charset val="128"/>
      <scheme val="minor"/>
    </font>
    <font>
      <sz val="11"/>
      <name val="ＭＳ Ｐゴシック"/>
      <family val="3"/>
      <charset val="128"/>
      <scheme val="minor"/>
    </font>
    <font>
      <sz val="16"/>
      <color theme="1"/>
      <name val="ＭＳ Ｐゴシック"/>
      <family val="2"/>
      <charset val="128"/>
      <scheme val="minor"/>
    </font>
    <font>
      <b/>
      <sz val="11"/>
      <color rgb="FFFF0000"/>
      <name val="ＭＳ Ｐゴシック"/>
      <family val="3"/>
      <charset val="128"/>
      <scheme val="minor"/>
    </font>
    <font>
      <sz val="16"/>
      <color theme="1"/>
      <name val="ＭＳ Ｐゴシック"/>
      <family val="3"/>
      <charset val="128"/>
      <scheme val="minor"/>
    </font>
    <font>
      <sz val="16"/>
      <color rgb="FF000000"/>
      <name val="ＭＳ Ｐゴシック"/>
      <family val="3"/>
      <charset val="128"/>
    </font>
    <font>
      <sz val="9"/>
      <color theme="1"/>
      <name val="ＭＳ Ｐゴシック"/>
      <family val="2"/>
      <charset val="128"/>
      <scheme val="minor"/>
    </font>
    <font>
      <u/>
      <sz val="11"/>
      <color theme="10"/>
      <name val="ＭＳ Ｐゴシック"/>
      <family val="2"/>
      <charset val="128"/>
      <scheme val="minor"/>
    </font>
    <font>
      <u/>
      <sz val="18"/>
      <color theme="10"/>
      <name val="ＭＳ Ｐゴシック"/>
      <family val="2"/>
      <charset val="128"/>
      <scheme val="minor"/>
    </font>
    <font>
      <sz val="10"/>
      <color theme="1"/>
      <name val="游ゴシック"/>
      <family val="3"/>
      <charset val="128"/>
    </font>
    <font>
      <sz val="10"/>
      <color rgb="FFFF0000"/>
      <name val="游ゴシック"/>
      <family val="3"/>
      <charset val="128"/>
    </font>
    <font>
      <b/>
      <sz val="20"/>
      <color theme="1"/>
      <name val="ＭＳ Ｐゴシック"/>
      <family val="3"/>
      <charset val="128"/>
      <scheme val="minor"/>
    </font>
    <font>
      <sz val="12"/>
      <color theme="1"/>
      <name val="ＭＳ Ｐゴシック"/>
      <family val="3"/>
      <charset val="128"/>
      <scheme val="minor"/>
    </font>
    <font>
      <b/>
      <sz val="16"/>
      <color rgb="FFFF0000"/>
      <name val="ＭＳ Ｐゴシック"/>
      <family val="3"/>
      <charset val="128"/>
      <scheme val="minor"/>
    </font>
    <font>
      <sz val="10"/>
      <color theme="1"/>
      <name val="ＭＳ Ｐゴシック"/>
      <family val="3"/>
      <charset val="128"/>
      <scheme val="minor"/>
    </font>
    <font>
      <sz val="11"/>
      <color rgb="FF616161"/>
      <name val="Segoe UI"/>
      <family val="2"/>
    </font>
    <font>
      <sz val="20"/>
      <color rgb="FFFF0000"/>
      <name val="ＭＳ Ｐゴシック"/>
      <family val="2"/>
      <charset val="128"/>
      <scheme val="minor"/>
    </font>
    <font>
      <b/>
      <sz val="36"/>
      <color rgb="FFFF0000"/>
      <name val="ＭＳ Ｐゴシック"/>
      <family val="3"/>
      <charset val="128"/>
      <scheme val="minor"/>
    </font>
  </fonts>
  <fills count="16">
    <fill>
      <patternFill patternType="none"/>
    </fill>
    <fill>
      <patternFill patternType="gray125"/>
    </fill>
    <fill>
      <patternFill patternType="solid">
        <fgColor rgb="FFFFC000"/>
        <bgColor indexed="64"/>
      </patternFill>
    </fill>
    <fill>
      <patternFill patternType="solid">
        <fgColor rgb="FFFFFF00"/>
        <bgColor indexed="64"/>
      </patternFill>
    </fill>
    <fill>
      <patternFill patternType="solid">
        <fgColor rgb="FF92D050"/>
        <bgColor indexed="64"/>
      </patternFill>
    </fill>
    <fill>
      <patternFill patternType="solid">
        <fgColor theme="4" tint="0.59999389629810485"/>
        <bgColor indexed="64"/>
      </patternFill>
    </fill>
    <fill>
      <patternFill patternType="solid">
        <fgColor theme="7"/>
        <bgColor indexed="64"/>
      </patternFill>
    </fill>
    <fill>
      <patternFill patternType="solid">
        <fgColor theme="5" tint="0.39997558519241921"/>
        <bgColor indexed="64"/>
      </patternFill>
    </fill>
    <fill>
      <patternFill patternType="solid">
        <fgColor rgb="FFC0C0C0"/>
        <bgColor indexed="64"/>
      </patternFill>
    </fill>
    <fill>
      <patternFill patternType="solid">
        <fgColor rgb="FF00B0F0"/>
        <bgColor indexed="64"/>
      </patternFill>
    </fill>
    <fill>
      <patternFill patternType="solid">
        <fgColor theme="9" tint="0.39997558519241921"/>
        <bgColor indexed="64"/>
      </patternFill>
    </fill>
    <fill>
      <patternFill patternType="solid">
        <fgColor rgb="FFFF00FF"/>
        <bgColor indexed="64"/>
      </patternFill>
    </fill>
    <fill>
      <patternFill patternType="solid">
        <fgColor theme="1" tint="0.34998626667073579"/>
        <bgColor indexed="64"/>
      </patternFill>
    </fill>
    <fill>
      <patternFill patternType="solid">
        <fgColor theme="7" tint="0.79998168889431442"/>
        <bgColor indexed="64"/>
      </patternFill>
    </fill>
    <fill>
      <patternFill patternType="solid">
        <fgColor theme="1" tint="0.499984740745262"/>
        <bgColor indexed="64"/>
      </patternFill>
    </fill>
    <fill>
      <patternFill patternType="solid">
        <fgColor theme="6" tint="-0.249977111117893"/>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diagonalUp="1">
      <left style="thin">
        <color indexed="64"/>
      </left>
      <right style="thin">
        <color indexed="64"/>
      </right>
      <top style="thin">
        <color indexed="64"/>
      </top>
      <bottom style="thin">
        <color indexed="64"/>
      </bottom>
      <diagonal style="thick">
        <color indexed="64"/>
      </diagonal>
    </border>
    <border>
      <left style="thick">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ck">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style="thin">
        <color auto="1"/>
      </left>
      <right style="thick">
        <color auto="1"/>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ck">
        <color auto="1"/>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style="medium">
        <color indexed="64"/>
      </bottom>
      <diagonal/>
    </border>
  </borders>
  <cellStyleXfs count="2">
    <xf numFmtId="0" fontId="0" fillId="0" borderId="0">
      <alignment vertical="center"/>
    </xf>
    <xf numFmtId="0" fontId="12" fillId="0" borderId="0" applyNumberFormat="0" applyFill="0" applyBorder="0" applyAlignment="0" applyProtection="0">
      <alignment vertical="center"/>
    </xf>
  </cellStyleXfs>
  <cellXfs count="102">
    <xf numFmtId="0" fontId="0" fillId="0" borderId="0" xfId="0">
      <alignment vertical="center"/>
    </xf>
    <xf numFmtId="0" fontId="0" fillId="0" borderId="1" xfId="0" applyBorder="1">
      <alignment vertical="center"/>
    </xf>
    <xf numFmtId="0" fontId="0" fillId="4" borderId="1" xfId="0" applyFill="1" applyBorder="1">
      <alignment vertical="center"/>
    </xf>
    <xf numFmtId="0" fontId="0" fillId="0" borderId="0" xfId="0" applyProtection="1">
      <alignment vertical="center"/>
      <protection locked="0"/>
    </xf>
    <xf numFmtId="14" fontId="0" fillId="0" borderId="0" xfId="0" applyNumberFormat="1" applyProtection="1">
      <alignment vertical="center"/>
      <protection locked="0"/>
    </xf>
    <xf numFmtId="20" fontId="0" fillId="0" borderId="0" xfId="0" applyNumberFormat="1" applyProtection="1">
      <alignment vertical="center"/>
      <protection locked="0"/>
    </xf>
    <xf numFmtId="0" fontId="0" fillId="3" borderId="1" xfId="0" applyFill="1" applyBorder="1">
      <alignment vertical="center"/>
    </xf>
    <xf numFmtId="0" fontId="0" fillId="2" borderId="1" xfId="0" applyFill="1" applyBorder="1" applyAlignment="1">
      <alignment horizontal="center" vertical="center"/>
    </xf>
    <xf numFmtId="0" fontId="0" fillId="0" borderId="2" xfId="0" applyBorder="1">
      <alignment vertical="center"/>
    </xf>
    <xf numFmtId="0" fontId="0" fillId="5" borderId="0" xfId="0" applyFill="1">
      <alignment vertical="center"/>
    </xf>
    <xf numFmtId="0" fontId="5" fillId="0" borderId="1" xfId="0" applyFont="1" applyBorder="1">
      <alignment vertical="center"/>
    </xf>
    <xf numFmtId="0" fontId="3" fillId="0" borderId="1" xfId="0" applyFont="1" applyBorder="1" applyAlignment="1">
      <alignment horizontal="left" vertical="center"/>
    </xf>
    <xf numFmtId="0" fontId="3" fillId="6" borderId="1" xfId="0" applyFont="1" applyFill="1" applyBorder="1" applyAlignment="1">
      <alignment horizontal="left" vertical="center"/>
    </xf>
    <xf numFmtId="0" fontId="3" fillId="0" borderId="0" xfId="0" applyFont="1" applyAlignment="1">
      <alignment horizontal="left" vertical="center"/>
    </xf>
    <xf numFmtId="0" fontId="7" fillId="0" borderId="1" xfId="0" applyFont="1" applyBorder="1">
      <alignment vertical="center"/>
    </xf>
    <xf numFmtId="0" fontId="0" fillId="7" borderId="1" xfId="0" applyFill="1" applyBorder="1" applyAlignment="1">
      <alignment horizontal="center" vertical="center"/>
    </xf>
    <xf numFmtId="0" fontId="4" fillId="0" borderId="1" xfId="0" applyFont="1" applyBorder="1" applyProtection="1">
      <alignment vertical="center"/>
      <protection locked="0"/>
    </xf>
    <xf numFmtId="0" fontId="6" fillId="0" borderId="1" xfId="0" applyFont="1" applyBorder="1" applyProtection="1">
      <alignment vertical="center"/>
      <protection locked="0"/>
    </xf>
    <xf numFmtId="49" fontId="0" fillId="0" borderId="0" xfId="0" applyNumberFormat="1">
      <alignment vertical="center"/>
    </xf>
    <xf numFmtId="0" fontId="11" fillId="8" borderId="1" xfId="0" applyFont="1" applyFill="1" applyBorder="1">
      <alignment vertical="center"/>
    </xf>
    <xf numFmtId="49" fontId="11" fillId="8" borderId="1" xfId="0" applyNumberFormat="1" applyFont="1" applyFill="1" applyBorder="1">
      <alignment vertical="center"/>
    </xf>
    <xf numFmtId="0" fontId="11" fillId="0" borderId="1" xfId="0" applyFont="1" applyBorder="1">
      <alignment vertical="center"/>
    </xf>
    <xf numFmtId="49" fontId="11" fillId="0" borderId="1" xfId="0" applyNumberFormat="1" applyFont="1" applyBorder="1">
      <alignment vertical="center"/>
    </xf>
    <xf numFmtId="0" fontId="11" fillId="0" borderId="0" xfId="0" applyFont="1">
      <alignment vertical="center"/>
    </xf>
    <xf numFmtId="0" fontId="0" fillId="0" borderId="1" xfId="0" applyBorder="1" applyAlignment="1">
      <alignment vertical="center" wrapText="1"/>
    </xf>
    <xf numFmtId="0" fontId="0" fillId="9" borderId="1" xfId="0" applyFill="1" applyBorder="1">
      <alignment vertical="center"/>
    </xf>
    <xf numFmtId="0" fontId="12" fillId="0" borderId="1" xfId="1" applyBorder="1" applyProtection="1">
      <alignment vertical="center"/>
    </xf>
    <xf numFmtId="0" fontId="0" fillId="10" borderId="1" xfId="0" applyFill="1" applyBorder="1">
      <alignment vertical="center"/>
    </xf>
    <xf numFmtId="0" fontId="0" fillId="2" borderId="1" xfId="0" applyFill="1" applyBorder="1">
      <alignment vertical="center"/>
    </xf>
    <xf numFmtId="49" fontId="11" fillId="0" borderId="0" xfId="0" applyNumberFormat="1" applyFont="1">
      <alignment vertical="center"/>
    </xf>
    <xf numFmtId="0" fontId="13" fillId="0" borderId="1" xfId="1" applyFont="1" applyBorder="1" applyProtection="1">
      <alignment vertical="center"/>
      <protection locked="0"/>
    </xf>
    <xf numFmtId="0" fontId="12" fillId="0" borderId="1" xfId="1" applyFill="1" applyBorder="1" applyProtection="1">
      <alignment vertical="center"/>
    </xf>
    <xf numFmtId="0" fontId="16" fillId="0" borderId="1" xfId="0" applyFont="1" applyBorder="1" applyAlignment="1">
      <alignment horizontal="center" vertical="center"/>
    </xf>
    <xf numFmtId="0" fontId="16" fillId="3" borderId="1" xfId="0" applyFont="1" applyFill="1" applyBorder="1" applyAlignment="1">
      <alignment horizontal="center" vertical="center"/>
    </xf>
    <xf numFmtId="0" fontId="0" fillId="0" borderId="0" xfId="0" applyAlignment="1">
      <alignment vertical="center" wrapText="1"/>
    </xf>
    <xf numFmtId="0" fontId="17" fillId="0" borderId="0" xfId="0" applyFont="1">
      <alignment vertical="center"/>
    </xf>
    <xf numFmtId="0" fontId="0" fillId="0" borderId="8" xfId="0"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14" fontId="0" fillId="0" borderId="0" xfId="0" applyNumberFormat="1">
      <alignment vertical="center"/>
    </xf>
    <xf numFmtId="0" fontId="0" fillId="11" borderId="0" xfId="0" applyFill="1">
      <alignment vertical="center"/>
    </xf>
    <xf numFmtId="176" fontId="0" fillId="0" borderId="0" xfId="0" applyNumberFormat="1">
      <alignment vertical="center"/>
    </xf>
    <xf numFmtId="0" fontId="0" fillId="13" borderId="9" xfId="0" applyFill="1" applyBorder="1">
      <alignment vertical="center"/>
    </xf>
    <xf numFmtId="0" fontId="0" fillId="14" borderId="7" xfId="0" applyFill="1" applyBorder="1">
      <alignment vertical="center"/>
    </xf>
    <xf numFmtId="0" fontId="0" fillId="14" borderId="9" xfId="0" applyFill="1" applyBorder="1">
      <alignment vertical="center"/>
    </xf>
    <xf numFmtId="22" fontId="0" fillId="13" borderId="9" xfId="0" applyNumberFormat="1" applyFill="1" applyBorder="1">
      <alignment vertical="center"/>
    </xf>
    <xf numFmtId="0" fontId="0" fillId="13" borderId="9" xfId="0" applyFill="1" applyBorder="1" applyAlignment="1">
      <alignment vertical="center" wrapText="1"/>
    </xf>
    <xf numFmtId="0" fontId="0" fillId="15" borderId="6" xfId="0" applyFill="1" applyBorder="1">
      <alignment vertical="center"/>
    </xf>
    <xf numFmtId="0" fontId="0" fillId="15" borderId="8" xfId="0" applyFill="1" applyBorder="1">
      <alignment vertical="center"/>
    </xf>
    <xf numFmtId="0" fontId="0" fillId="13" borderId="12" xfId="0" applyFill="1" applyBorder="1">
      <alignment vertical="center"/>
    </xf>
    <xf numFmtId="0" fontId="19" fillId="0" borderId="0" xfId="0" applyFont="1">
      <alignment vertical="center"/>
    </xf>
    <xf numFmtId="0" fontId="12" fillId="0" borderId="0" xfId="1">
      <alignment vertical="center"/>
    </xf>
    <xf numFmtId="0" fontId="0" fillId="12" borderId="13" xfId="0" applyFill="1" applyBorder="1">
      <alignment vertical="center"/>
    </xf>
    <xf numFmtId="0" fontId="0" fillId="12" borderId="15" xfId="0" applyFill="1" applyBorder="1">
      <alignment vertical="center"/>
    </xf>
    <xf numFmtId="0" fontId="0" fillId="13" borderId="16" xfId="0" applyFill="1" applyBorder="1">
      <alignment vertical="center"/>
    </xf>
    <xf numFmtId="0" fontId="0" fillId="12" borderId="17" xfId="0" applyFill="1" applyBorder="1">
      <alignment vertical="center"/>
    </xf>
    <xf numFmtId="0" fontId="0" fillId="3" borderId="0" xfId="0" applyFill="1">
      <alignment vertical="center"/>
    </xf>
    <xf numFmtId="0" fontId="0" fillId="13" borderId="14" xfId="0" applyFill="1" applyBorder="1" applyAlignment="1">
      <alignment vertical="center" wrapText="1"/>
    </xf>
    <xf numFmtId="12" fontId="0" fillId="13" borderId="9" xfId="0" applyNumberFormat="1" applyFill="1" applyBorder="1">
      <alignment vertical="center"/>
    </xf>
    <xf numFmtId="0" fontId="0" fillId="14" borderId="8" xfId="0" applyFill="1" applyBorder="1">
      <alignment vertical="center"/>
    </xf>
    <xf numFmtId="55" fontId="0" fillId="0" borderId="0" xfId="0" applyNumberFormat="1">
      <alignment vertical="center"/>
    </xf>
    <xf numFmtId="22" fontId="0" fillId="0" borderId="0" xfId="0" applyNumberFormat="1">
      <alignment vertical="center"/>
    </xf>
    <xf numFmtId="0" fontId="0" fillId="12" borderId="19" xfId="0" applyFill="1" applyBorder="1">
      <alignment vertical="center"/>
    </xf>
    <xf numFmtId="0" fontId="0" fillId="13" borderId="20" xfId="0" applyFill="1" applyBorder="1">
      <alignment vertical="center"/>
    </xf>
    <xf numFmtId="0" fontId="0" fillId="5" borderId="8" xfId="0" applyFill="1" applyBorder="1">
      <alignment vertical="center"/>
    </xf>
    <xf numFmtId="49" fontId="0" fillId="5" borderId="9" xfId="0" applyNumberFormat="1" applyFill="1" applyBorder="1" applyAlignment="1">
      <alignment horizontal="left" vertical="center"/>
    </xf>
    <xf numFmtId="0" fontId="0" fillId="5" borderId="9" xfId="0" applyFill="1" applyBorder="1">
      <alignment vertical="center"/>
    </xf>
    <xf numFmtId="0" fontId="0" fillId="13" borderId="8" xfId="0" applyFill="1" applyBorder="1">
      <alignment vertical="center"/>
    </xf>
    <xf numFmtId="0" fontId="21" fillId="0" borderId="0" xfId="0" applyFont="1" applyAlignment="1">
      <alignment horizontal="center" vertical="center"/>
    </xf>
    <xf numFmtId="0" fontId="18" fillId="0" borderId="0" xfId="0" applyFont="1" applyAlignment="1">
      <alignment horizontal="center" vertical="center"/>
    </xf>
    <xf numFmtId="0" fontId="18" fillId="0" borderId="0" xfId="0" applyFont="1">
      <alignment vertical="center"/>
    </xf>
    <xf numFmtId="0" fontId="20" fillId="5" borderId="9" xfId="0" applyFont="1" applyFill="1" applyBorder="1">
      <alignment vertical="center"/>
    </xf>
    <xf numFmtId="0" fontId="22" fillId="0" borderId="0" xfId="0" applyFont="1">
      <alignment vertical="center"/>
    </xf>
    <xf numFmtId="0" fontId="18" fillId="0" borderId="0" xfId="0" applyFont="1" applyAlignment="1">
      <alignment horizontal="left" vertical="center"/>
    </xf>
    <xf numFmtId="49" fontId="0" fillId="0" borderId="0" xfId="0" applyNumberFormat="1" applyAlignment="1">
      <alignment horizontal="left" vertical="center"/>
    </xf>
    <xf numFmtId="0" fontId="20" fillId="0" borderId="0" xfId="0" applyFont="1">
      <alignment vertical="center"/>
    </xf>
    <xf numFmtId="12" fontId="0" fillId="0" borderId="0" xfId="0" applyNumberFormat="1">
      <alignment vertical="center"/>
    </xf>
    <xf numFmtId="0" fontId="18" fillId="0" borderId="18" xfId="0" applyFont="1" applyBorder="1" applyAlignment="1">
      <alignment horizontal="left" vertical="center"/>
    </xf>
    <xf numFmtId="0" fontId="18" fillId="0" borderId="0" xfId="0" applyFont="1" applyAlignment="1">
      <alignment horizontal="left" vertical="center"/>
    </xf>
    <xf numFmtId="0" fontId="0" fillId="0" borderId="1" xfId="0" applyBorder="1" applyAlignment="1">
      <alignment vertical="center" wrapText="1"/>
    </xf>
    <xf numFmtId="0" fontId="0" fillId="0" borderId="1" xfId="0" applyBorder="1">
      <alignment vertical="center"/>
    </xf>
    <xf numFmtId="0" fontId="7" fillId="0" borderId="1" xfId="0" applyFont="1" applyBorder="1">
      <alignment vertical="center"/>
    </xf>
    <xf numFmtId="0" fontId="9" fillId="0" borderId="1" xfId="0" applyFont="1" applyBorder="1">
      <alignment vertical="center"/>
    </xf>
    <xf numFmtId="0" fontId="0" fillId="9" borderId="1" xfId="0" applyFill="1" applyBorder="1" applyAlignment="1">
      <alignment vertical="center" wrapText="1"/>
    </xf>
    <xf numFmtId="0" fontId="0" fillId="0" borderId="3" xfId="0" applyBorder="1" applyAlignment="1">
      <alignment horizontal="left" vertical="center" wrapText="1"/>
    </xf>
    <xf numFmtId="0" fontId="0" fillId="0" borderId="2" xfId="0" applyBorder="1" applyAlignment="1">
      <alignment horizontal="left" vertical="center" wrapText="1"/>
    </xf>
    <xf numFmtId="0" fontId="0" fillId="0" borderId="4" xfId="0" applyBorder="1" applyAlignment="1">
      <alignment horizontal="left" vertical="center" wrapText="1"/>
    </xf>
    <xf numFmtId="0" fontId="7" fillId="0" borderId="3" xfId="0" applyFont="1" applyBorder="1" applyAlignment="1">
      <alignment horizontal="center" vertical="center" wrapText="1"/>
    </xf>
    <xf numFmtId="0" fontId="7" fillId="0" borderId="2" xfId="0" applyFont="1" applyBorder="1" applyAlignment="1">
      <alignment horizontal="center" vertical="center" wrapText="1"/>
    </xf>
    <xf numFmtId="0" fontId="7" fillId="0" borderId="4" xfId="0" applyFont="1" applyBorder="1" applyAlignment="1">
      <alignment horizontal="center" vertical="center" wrapText="1"/>
    </xf>
    <xf numFmtId="0" fontId="7" fillId="0" borderId="3" xfId="0" applyFont="1" applyBorder="1" applyAlignment="1">
      <alignment horizontal="left" vertical="center" wrapText="1"/>
    </xf>
    <xf numFmtId="0" fontId="7" fillId="0" borderId="2" xfId="0" applyFont="1" applyBorder="1" applyAlignment="1">
      <alignment horizontal="left" vertical="center" wrapText="1"/>
    </xf>
    <xf numFmtId="0" fontId="7" fillId="0" borderId="4" xfId="0" applyFont="1" applyBorder="1" applyAlignment="1">
      <alignment horizontal="left" vertical="center" wrapText="1"/>
    </xf>
    <xf numFmtId="49" fontId="14" fillId="0" borderId="5" xfId="0" applyNumberFormat="1" applyFont="1" applyBorder="1" applyAlignment="1">
      <alignment vertical="center" wrapText="1"/>
    </xf>
    <xf numFmtId="0" fontId="0" fillId="9" borderId="1" xfId="0" applyFill="1" applyBorder="1">
      <alignment vertical="center"/>
    </xf>
    <xf numFmtId="0" fontId="0" fillId="0" borderId="3" xfId="0" applyBorder="1" applyAlignment="1">
      <alignment vertical="center" wrapText="1"/>
    </xf>
    <xf numFmtId="0" fontId="0" fillId="0" borderId="2" xfId="0" applyBorder="1" applyAlignment="1">
      <alignment vertical="center" wrapText="1"/>
    </xf>
    <xf numFmtId="0" fontId="0" fillId="0" borderId="4" xfId="0" applyBorder="1" applyAlignment="1">
      <alignment vertical="center" wrapText="1"/>
    </xf>
    <xf numFmtId="0" fontId="7" fillId="0" borderId="3" xfId="0" applyFont="1" applyBorder="1">
      <alignment vertical="center"/>
    </xf>
    <xf numFmtId="0" fontId="7" fillId="0" borderId="2" xfId="0" applyFont="1" applyBorder="1">
      <alignment vertical="center"/>
    </xf>
    <xf numFmtId="0" fontId="7" fillId="0" borderId="4" xfId="0" applyFont="1" applyBorder="1">
      <alignment vertical="center"/>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 Id="rId24" Type="http://schemas.openxmlformats.org/officeDocument/2006/relationships/worksheet" Target="worksheets/sheet1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104775</xdr:colOff>
          <xdr:row>4</xdr:row>
          <xdr:rowOff>104775</xdr:rowOff>
        </xdr:from>
        <xdr:to>
          <xdr:col>4</xdr:col>
          <xdr:colOff>285750</xdr:colOff>
          <xdr:row>6</xdr:row>
          <xdr:rowOff>28575</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0000-000001C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保存先フォルダ</a:t>
              </a:r>
            </a:p>
            <a:p>
              <a:pPr algn="ctr" rtl="0">
                <a:defRPr sz="1000"/>
              </a:pPr>
              <a:r>
                <a:rPr lang="ja-JP" altLang="en-US" sz="1100" b="0" i="0" u="none" strike="noStrike" baseline="0">
                  <a:solidFill>
                    <a:srgbClr val="000000"/>
                  </a:solidFill>
                  <a:latin typeface="ＭＳ Ｐゴシック"/>
                  <a:ea typeface="ＭＳ Ｐゴシック"/>
                </a:rPr>
                <a:t>自動入力ボタン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104775</xdr:colOff>
          <xdr:row>4</xdr:row>
          <xdr:rowOff>142875</xdr:rowOff>
        </xdr:from>
        <xdr:to>
          <xdr:col>8</xdr:col>
          <xdr:colOff>161925</xdr:colOff>
          <xdr:row>5</xdr:row>
          <xdr:rowOff>371475</xdr:rowOff>
        </xdr:to>
        <xdr:sp macro="" textlink="">
          <xdr:nvSpPr>
            <xdr:cNvPr id="49155" name="Button 3" hidden="1">
              <a:extLst>
                <a:ext uri="{63B3BB69-23CF-44E3-9099-C40C66FF867C}">
                  <a14:compatExt spid="_x0000_s49155"/>
                </a:ext>
                <a:ext uri="{FF2B5EF4-FFF2-40B4-BE49-F238E27FC236}">
                  <a16:creationId xmlns:a16="http://schemas.microsoft.com/office/drawing/2014/main" id="{00000000-0008-0000-0000-000003C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600" b="0" i="0" u="none" strike="noStrike" baseline="0">
                  <a:solidFill>
                    <a:srgbClr val="000000"/>
                  </a:solidFill>
                  <a:latin typeface="ＭＳ Ｐゴシック"/>
                  <a:ea typeface="ＭＳ Ｐゴシック"/>
                </a:rPr>
                <a:t>選択</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123825</xdr:colOff>
          <xdr:row>6</xdr:row>
          <xdr:rowOff>123825</xdr:rowOff>
        </xdr:from>
        <xdr:to>
          <xdr:col>7</xdr:col>
          <xdr:colOff>3067050</xdr:colOff>
          <xdr:row>10</xdr:row>
          <xdr:rowOff>38100</xdr:rowOff>
        </xdr:to>
        <xdr:sp macro="" textlink="">
          <xdr:nvSpPr>
            <xdr:cNvPr id="49156" name="Button 4" hidden="1">
              <a:extLst>
                <a:ext uri="{63B3BB69-23CF-44E3-9099-C40C66FF867C}">
                  <a14:compatExt spid="_x0000_s49156"/>
                </a:ext>
                <a:ext uri="{FF2B5EF4-FFF2-40B4-BE49-F238E27FC236}">
                  <a16:creationId xmlns:a16="http://schemas.microsoft.com/office/drawing/2014/main" id="{00000000-0008-0000-0000-000004C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600" b="0" i="0" u="none" strike="noStrike" baseline="0">
                  <a:solidFill>
                    <a:srgbClr val="000000"/>
                  </a:solidFill>
                  <a:latin typeface="ＭＳ Ｐゴシック"/>
                  <a:ea typeface="ＭＳ Ｐゴシック"/>
                </a:rPr>
                <a:t>依頼書テンプレート指定フォーム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561975</xdr:colOff>
      <xdr:row>9</xdr:row>
      <xdr:rowOff>47624</xdr:rowOff>
    </xdr:from>
    <xdr:to>
      <xdr:col>2</xdr:col>
      <xdr:colOff>177642</xdr:colOff>
      <xdr:row>21</xdr:row>
      <xdr:rowOff>104775</xdr:rowOff>
    </xdr:to>
    <xdr:grpSp>
      <xdr:nvGrpSpPr>
        <xdr:cNvPr id="2" name="グループ化 1">
          <a:extLst>
            <a:ext uri="{FF2B5EF4-FFF2-40B4-BE49-F238E27FC236}">
              <a16:creationId xmlns:a16="http://schemas.microsoft.com/office/drawing/2014/main" id="{E0662F90-D122-1E4D-A282-EE276EFBA8EC}"/>
            </a:ext>
          </a:extLst>
        </xdr:cNvPr>
        <xdr:cNvGrpSpPr/>
      </xdr:nvGrpSpPr>
      <xdr:grpSpPr>
        <a:xfrm>
          <a:off x="561975" y="1726405"/>
          <a:ext cx="996792" cy="2224089"/>
          <a:chOff x="495300" y="2371724"/>
          <a:chExt cx="987267" cy="2114551"/>
        </a:xfrm>
      </xdr:grpSpPr>
      <xdr:pic>
        <xdr:nvPicPr>
          <xdr:cNvPr id="4" name="グラフィックス 3">
            <a:extLst>
              <a:ext uri="{FF2B5EF4-FFF2-40B4-BE49-F238E27FC236}">
                <a16:creationId xmlns:a16="http://schemas.microsoft.com/office/drawing/2014/main" id="{4A12DCEC-5C9A-62D7-5F74-A6D2C5B404D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95300" y="2638425"/>
            <a:ext cx="987267" cy="1847850"/>
          </a:xfrm>
          <a:prstGeom prst="rect">
            <a:avLst/>
          </a:prstGeom>
        </xdr:spPr>
      </xdr:pic>
      <xdr:sp macro="" textlink="">
        <xdr:nvSpPr>
          <xdr:cNvPr id="5" name="スマイル 4">
            <a:extLst>
              <a:ext uri="{FF2B5EF4-FFF2-40B4-BE49-F238E27FC236}">
                <a16:creationId xmlns:a16="http://schemas.microsoft.com/office/drawing/2014/main" id="{282B91D4-149E-08DC-6577-AE0FF8FCC9C0}"/>
              </a:ext>
            </a:extLst>
          </xdr:cNvPr>
          <xdr:cNvSpPr/>
        </xdr:nvSpPr>
        <xdr:spPr>
          <a:xfrm>
            <a:off x="828675" y="2371724"/>
            <a:ext cx="342900" cy="371475"/>
          </a:xfrm>
          <a:prstGeom prst="smileyFace">
            <a:avLst/>
          </a:prstGeom>
          <a:solidFill>
            <a:schemeClr val="tx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0]!削除" textlink="">
        <xdr:nvSpPr>
          <xdr:cNvPr id="6" name="テキスト ボックス 5">
            <a:extLst>
              <a:ext uri="{FF2B5EF4-FFF2-40B4-BE49-F238E27FC236}">
                <a16:creationId xmlns:a16="http://schemas.microsoft.com/office/drawing/2014/main" id="{2D42DC0F-1358-57DB-6E0E-7D0A1EFD963D}"/>
              </a:ext>
            </a:extLst>
          </xdr:cNvPr>
          <xdr:cNvSpPr txBox="1"/>
        </xdr:nvSpPr>
        <xdr:spPr>
          <a:xfrm>
            <a:off x="495300" y="2924175"/>
            <a:ext cx="981076" cy="590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200" b="0">
                <a:latin typeface="HGS創英角ﾎﾟｯﾌﾟ体" panose="040B0A00000000000000" pitchFamily="50" charset="-128"/>
                <a:ea typeface="HGS創英角ﾎﾟｯﾌﾟ体" panose="040B0A00000000000000" pitchFamily="50" charset="-128"/>
              </a:rPr>
              <a:t>前回</a:t>
            </a:r>
            <a:endParaRPr kumimoji="1" lang="en-US" altLang="ja-JP" sz="1200" b="0">
              <a:latin typeface="HGS創英角ﾎﾟｯﾌﾟ体" panose="040B0A00000000000000" pitchFamily="50" charset="-128"/>
              <a:ea typeface="HGS創英角ﾎﾟｯﾌﾟ体" panose="040B0A00000000000000" pitchFamily="50" charset="-128"/>
            </a:endParaRPr>
          </a:p>
          <a:p>
            <a:pPr algn="ctr"/>
            <a:r>
              <a:rPr kumimoji="1" lang="ja-JP" altLang="en-US" sz="1200" b="0">
                <a:latin typeface="HGS創英角ﾎﾟｯﾌﾟ体" panose="040B0A00000000000000" pitchFamily="50" charset="-128"/>
                <a:ea typeface="HGS創英角ﾎﾟｯﾌﾟ体" panose="040B0A00000000000000" pitchFamily="50" charset="-128"/>
              </a:rPr>
              <a:t>データ削除</a:t>
            </a:r>
          </a:p>
        </xdr:txBody>
      </xdr:sp>
    </xdr:grpSp>
    <xdr:clientData/>
  </xdr:twoCellAnchor>
  <mc:AlternateContent xmlns:mc="http://schemas.openxmlformats.org/markup-compatibility/2006">
    <mc:Choice xmlns:a14="http://schemas.microsoft.com/office/drawing/2010/main" Requires="a14">
      <xdr:twoCellAnchor>
        <xdr:from>
          <xdr:col>6</xdr:col>
          <xdr:colOff>114300</xdr:colOff>
          <xdr:row>12</xdr:row>
          <xdr:rowOff>47625</xdr:rowOff>
        </xdr:from>
        <xdr:to>
          <xdr:col>6</xdr:col>
          <xdr:colOff>1362075</xdr:colOff>
          <xdr:row>16</xdr:row>
          <xdr:rowOff>47625</xdr:rowOff>
        </xdr:to>
        <xdr:sp macro="" textlink="">
          <xdr:nvSpPr>
            <xdr:cNvPr id="50177" name="Button 1" descr="データ取込み" hidden="1">
              <a:extLst>
                <a:ext uri="{63B3BB69-23CF-44E3-9099-C40C66FF867C}">
                  <a14:compatExt spid="_x0000_s50177"/>
                </a:ext>
                <a:ext uri="{FF2B5EF4-FFF2-40B4-BE49-F238E27FC236}">
                  <a16:creationId xmlns:a16="http://schemas.microsoft.com/office/drawing/2014/main" id="{00000000-0008-0000-0100-000001C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データ表示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114300</xdr:colOff>
          <xdr:row>4</xdr:row>
          <xdr:rowOff>247650</xdr:rowOff>
        </xdr:from>
        <xdr:to>
          <xdr:col>6</xdr:col>
          <xdr:colOff>1362075</xdr:colOff>
          <xdr:row>8</xdr:row>
          <xdr:rowOff>152400</xdr:rowOff>
        </xdr:to>
        <xdr:sp macro="" textlink="">
          <xdr:nvSpPr>
            <xdr:cNvPr id="50178" name="Button 1" descr="データ取込み" hidden="1">
              <a:extLst>
                <a:ext uri="{63B3BB69-23CF-44E3-9099-C40C66FF867C}">
                  <a14:compatExt spid="_x0000_s50178"/>
                </a:ext>
                <a:ext uri="{FF2B5EF4-FFF2-40B4-BE49-F238E27FC236}">
                  <a16:creationId xmlns:a16="http://schemas.microsoft.com/office/drawing/2014/main" id="{00000000-0008-0000-0100-000002C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エクスポートデータ取込み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123825</xdr:colOff>
          <xdr:row>20</xdr:row>
          <xdr:rowOff>38100</xdr:rowOff>
        </xdr:from>
        <xdr:to>
          <xdr:col>6</xdr:col>
          <xdr:colOff>1371600</xdr:colOff>
          <xdr:row>24</xdr:row>
          <xdr:rowOff>38100</xdr:rowOff>
        </xdr:to>
        <xdr:sp macro="" textlink="">
          <xdr:nvSpPr>
            <xdr:cNvPr id="50181" name="Button 1" descr="データ取込み" hidden="1">
              <a:extLst>
                <a:ext uri="{63B3BB69-23CF-44E3-9099-C40C66FF867C}">
                  <a14:compatExt spid="_x0000_s50181"/>
                </a:ext>
                <a:ext uri="{FF2B5EF4-FFF2-40B4-BE49-F238E27FC236}">
                  <a16:creationId xmlns:a16="http://schemas.microsoft.com/office/drawing/2014/main" id="{00000000-0008-0000-0100-000005C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サポートID検索</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2</xdr:row>
          <xdr:rowOff>152400</xdr:rowOff>
        </xdr:from>
        <xdr:to>
          <xdr:col>5</xdr:col>
          <xdr:colOff>533400</xdr:colOff>
          <xdr:row>6</xdr:row>
          <xdr:rowOff>152400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200-0000015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①左から</a:t>
              </a:r>
            </a:p>
            <a:p>
              <a:pPr algn="ctr" rtl="0">
                <a:defRPr sz="1000"/>
              </a:pPr>
              <a:r>
                <a:rPr lang="ja-JP" altLang="en-US" sz="1100" b="0" i="0" u="none" strike="noStrike" baseline="0">
                  <a:solidFill>
                    <a:srgbClr val="000000"/>
                  </a:solidFill>
                  <a:latin typeface="ＭＳ Ｐゴシック"/>
                  <a:ea typeface="ＭＳ Ｐゴシック"/>
                </a:rPr>
                <a:t>　　　文字編集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104775</xdr:colOff>
          <xdr:row>7</xdr:row>
          <xdr:rowOff>152400</xdr:rowOff>
        </xdr:from>
        <xdr:to>
          <xdr:col>9</xdr:col>
          <xdr:colOff>1333500</xdr:colOff>
          <xdr:row>12</xdr:row>
          <xdr:rowOff>38100</xdr:rowOff>
        </xdr:to>
        <xdr:sp macro="" textlink="">
          <xdr:nvSpPr>
            <xdr:cNvPr id="23554" name="Button 3" hidden="1">
              <a:extLst>
                <a:ext uri="{63B3BB69-23CF-44E3-9099-C40C66FF867C}">
                  <a14:compatExt spid="_x0000_s23554"/>
                </a:ext>
                <a:ext uri="{FF2B5EF4-FFF2-40B4-BE49-F238E27FC236}">
                  <a16:creationId xmlns:a16="http://schemas.microsoft.com/office/drawing/2014/main" id="{00000000-0008-0000-0200-0000025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②NEC依頼書</a:t>
              </a:r>
            </a:p>
            <a:p>
              <a:pPr algn="ctr" rtl="0">
                <a:defRPr sz="1000"/>
              </a:pPr>
              <a:r>
                <a:rPr lang="ja-JP" altLang="en-US" sz="1100" b="0" i="0" u="none" strike="noStrike" baseline="0">
                  <a:solidFill>
                    <a:srgbClr val="000000"/>
                  </a:solidFill>
                  <a:latin typeface="ＭＳ Ｐゴシック"/>
                  <a:ea typeface="ＭＳ Ｐゴシック"/>
                </a:rPr>
                <a:t>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85725</xdr:colOff>
          <xdr:row>2</xdr:row>
          <xdr:rowOff>114300</xdr:rowOff>
        </xdr:from>
        <xdr:to>
          <xdr:col>9</xdr:col>
          <xdr:colOff>1333500</xdr:colOff>
          <xdr:row>6</xdr:row>
          <xdr:rowOff>114300</xdr:rowOff>
        </xdr:to>
        <xdr:sp macro="" textlink="">
          <xdr:nvSpPr>
            <xdr:cNvPr id="23557" name="Button 5" hidden="1">
              <a:extLst>
                <a:ext uri="{63B3BB69-23CF-44E3-9099-C40C66FF867C}">
                  <a14:compatExt spid="_x0000_s23557"/>
                </a:ext>
                <a:ext uri="{FF2B5EF4-FFF2-40B4-BE49-F238E27FC236}">
                  <a16:creationId xmlns:a16="http://schemas.microsoft.com/office/drawing/2014/main" id="{00000000-0008-0000-0200-0000055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MCMデータ抽出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13</xdr:row>
          <xdr:rowOff>19050</xdr:rowOff>
        </xdr:from>
        <xdr:to>
          <xdr:col>9</xdr:col>
          <xdr:colOff>1333500</xdr:colOff>
          <xdr:row>16</xdr:row>
          <xdr:rowOff>0</xdr:rowOff>
        </xdr:to>
        <xdr:sp macro="" textlink="">
          <xdr:nvSpPr>
            <xdr:cNvPr id="23559" name="Button 7" hidden="1">
              <a:extLst>
                <a:ext uri="{63B3BB69-23CF-44E3-9099-C40C66FF867C}">
                  <a14:compatExt spid="_x0000_s23559"/>
                </a:ext>
                <a:ext uri="{FF2B5EF4-FFF2-40B4-BE49-F238E27FC236}">
                  <a16:creationId xmlns:a16="http://schemas.microsoft.com/office/drawing/2014/main" id="{00000000-0008-0000-0200-0000075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メール作成</a:t>
              </a:r>
            </a:p>
            <a:p>
              <a:pPr algn="ctr" rtl="0">
                <a:defRPr sz="1000"/>
              </a:pPr>
              <a:r>
                <a:rPr lang="ja-JP" altLang="en-US" sz="1100" b="0" i="0" u="none" strike="noStrike" baseline="0">
                  <a:solidFill>
                    <a:srgbClr val="000000"/>
                  </a:solidFill>
                  <a:latin typeface="ＭＳ Ｐゴシック"/>
                  <a:ea typeface="ＭＳ Ｐゴシック"/>
                </a:rPr>
                <a:t>( Outlook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2</xdr:row>
          <xdr:rowOff>152400</xdr:rowOff>
        </xdr:from>
        <xdr:to>
          <xdr:col>5</xdr:col>
          <xdr:colOff>533400</xdr:colOff>
          <xdr:row>6</xdr:row>
          <xdr:rowOff>152400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300-000001A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①左から</a:t>
              </a:r>
            </a:p>
            <a:p>
              <a:pPr algn="ctr" rtl="0">
                <a:defRPr sz="1000"/>
              </a:pPr>
              <a:r>
                <a:rPr lang="ja-JP" altLang="en-US" sz="1100" b="0" i="0" u="none" strike="noStrike" baseline="0">
                  <a:solidFill>
                    <a:srgbClr val="000000"/>
                  </a:solidFill>
                  <a:latin typeface="ＭＳ Ｐゴシック"/>
                  <a:ea typeface="ＭＳ Ｐゴシック"/>
                </a:rPr>
                <a:t>　　　文字編集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7</xdr:row>
          <xdr:rowOff>171450</xdr:rowOff>
        </xdr:from>
        <xdr:to>
          <xdr:col>9</xdr:col>
          <xdr:colOff>1343025</xdr:colOff>
          <xdr:row>12</xdr:row>
          <xdr:rowOff>47625</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300-000002A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②日立依頼書</a:t>
              </a:r>
            </a:p>
            <a:p>
              <a:pPr algn="ctr" rtl="0">
                <a:defRPr sz="1000"/>
              </a:pPr>
              <a:r>
                <a:rPr lang="ja-JP" altLang="en-US" sz="1100" b="0" i="0" u="none" strike="noStrike" baseline="0">
                  <a:solidFill>
                    <a:srgbClr val="000000"/>
                  </a:solidFill>
                  <a:latin typeface="ＭＳ Ｐゴシック"/>
                  <a:ea typeface="ＭＳ Ｐゴシック"/>
                </a:rPr>
                <a:t>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85725</xdr:colOff>
          <xdr:row>2</xdr:row>
          <xdr:rowOff>114300</xdr:rowOff>
        </xdr:from>
        <xdr:to>
          <xdr:col>9</xdr:col>
          <xdr:colOff>1333500</xdr:colOff>
          <xdr:row>6</xdr:row>
          <xdr:rowOff>114300</xdr:rowOff>
        </xdr:to>
        <xdr:sp macro="" textlink="">
          <xdr:nvSpPr>
            <xdr:cNvPr id="41989" name="Button 5" hidden="1">
              <a:extLst>
                <a:ext uri="{63B3BB69-23CF-44E3-9099-C40C66FF867C}">
                  <a14:compatExt spid="_x0000_s41989"/>
                </a:ext>
                <a:ext uri="{FF2B5EF4-FFF2-40B4-BE49-F238E27FC236}">
                  <a16:creationId xmlns:a16="http://schemas.microsoft.com/office/drawing/2014/main" id="{00000000-0008-0000-0300-000005A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MCMデータ抽出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13</xdr:row>
          <xdr:rowOff>0</xdr:rowOff>
        </xdr:from>
        <xdr:to>
          <xdr:col>9</xdr:col>
          <xdr:colOff>1333500</xdr:colOff>
          <xdr:row>15</xdr:row>
          <xdr:rowOff>171450</xdr:rowOff>
        </xdr:to>
        <xdr:sp macro="" textlink="">
          <xdr:nvSpPr>
            <xdr:cNvPr id="41990" name="Button 6" hidden="1">
              <a:extLst>
                <a:ext uri="{63B3BB69-23CF-44E3-9099-C40C66FF867C}">
                  <a14:compatExt spid="_x0000_s41990"/>
                </a:ext>
                <a:ext uri="{FF2B5EF4-FFF2-40B4-BE49-F238E27FC236}">
                  <a16:creationId xmlns:a16="http://schemas.microsoft.com/office/drawing/2014/main" id="{00000000-0008-0000-0300-000006A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メール作成</a:t>
              </a:r>
            </a:p>
            <a:p>
              <a:pPr algn="ctr" rtl="0">
                <a:defRPr sz="1000"/>
              </a:pPr>
              <a:r>
                <a:rPr lang="ja-JP" altLang="en-US" sz="1100" b="0" i="0" u="none" strike="noStrike" baseline="0">
                  <a:solidFill>
                    <a:srgbClr val="000000"/>
                  </a:solidFill>
                  <a:latin typeface="ＭＳ Ｐゴシック"/>
                  <a:ea typeface="ＭＳ Ｐゴシック"/>
                </a:rPr>
                <a:t>( Outlook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104775</xdr:colOff>
          <xdr:row>7</xdr:row>
          <xdr:rowOff>152400</xdr:rowOff>
        </xdr:from>
        <xdr:to>
          <xdr:col>9</xdr:col>
          <xdr:colOff>1323975</xdr:colOff>
          <xdr:row>12</xdr:row>
          <xdr:rowOff>38100</xdr:rowOff>
        </xdr:to>
        <xdr:sp macro="" textlink="">
          <xdr:nvSpPr>
            <xdr:cNvPr id="36865" name="Button 2" hidden="1">
              <a:extLst>
                <a:ext uri="{63B3BB69-23CF-44E3-9099-C40C66FF867C}">
                  <a14:compatExt spid="_x0000_s36865"/>
                </a:ext>
                <a:ext uri="{FF2B5EF4-FFF2-40B4-BE49-F238E27FC236}">
                  <a16:creationId xmlns:a16="http://schemas.microsoft.com/office/drawing/2014/main" id="{00000000-0008-0000-0400-0000019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②東芝依頼書</a:t>
              </a:r>
            </a:p>
            <a:p>
              <a:pPr algn="ctr" rtl="0">
                <a:defRPr sz="1000"/>
              </a:pPr>
              <a:r>
                <a:rPr lang="ja-JP" altLang="en-US" sz="1100" b="0" i="0" u="none" strike="noStrike" baseline="0">
                  <a:solidFill>
                    <a:srgbClr val="000000"/>
                  </a:solidFill>
                  <a:latin typeface="ＭＳ Ｐゴシック"/>
                  <a:ea typeface="ＭＳ Ｐゴシック"/>
                </a:rPr>
                <a:t>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3</xdr:row>
          <xdr:rowOff>9525</xdr:rowOff>
        </xdr:from>
        <xdr:to>
          <xdr:col>5</xdr:col>
          <xdr:colOff>542925</xdr:colOff>
          <xdr:row>7</xdr:row>
          <xdr:rowOff>9525</xdr:rowOff>
        </xdr:to>
        <xdr:sp macro="" textlink="">
          <xdr:nvSpPr>
            <xdr:cNvPr id="36866" name="Button 1" hidden="1">
              <a:extLst>
                <a:ext uri="{63B3BB69-23CF-44E3-9099-C40C66FF867C}">
                  <a14:compatExt spid="_x0000_s36866"/>
                </a:ext>
                <a:ext uri="{FF2B5EF4-FFF2-40B4-BE49-F238E27FC236}">
                  <a16:creationId xmlns:a16="http://schemas.microsoft.com/office/drawing/2014/main" id="{00000000-0008-0000-0400-0000029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①左から</a:t>
              </a:r>
            </a:p>
            <a:p>
              <a:pPr algn="ctr" rtl="0">
                <a:defRPr sz="1000"/>
              </a:pPr>
              <a:r>
                <a:rPr lang="ja-JP" altLang="en-US" sz="1100" b="0" i="0" u="none" strike="noStrike" baseline="0">
                  <a:solidFill>
                    <a:srgbClr val="000000"/>
                  </a:solidFill>
                  <a:latin typeface="ＭＳ Ｐゴシック"/>
                  <a:ea typeface="ＭＳ Ｐゴシック"/>
                </a:rPr>
                <a:t>　　　文字編集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85725</xdr:colOff>
          <xdr:row>2</xdr:row>
          <xdr:rowOff>114300</xdr:rowOff>
        </xdr:from>
        <xdr:to>
          <xdr:col>9</xdr:col>
          <xdr:colOff>1333500</xdr:colOff>
          <xdr:row>6</xdr:row>
          <xdr:rowOff>114300</xdr:rowOff>
        </xdr:to>
        <xdr:sp macro="" textlink="">
          <xdr:nvSpPr>
            <xdr:cNvPr id="36871" name="Button 7" hidden="1">
              <a:extLst>
                <a:ext uri="{63B3BB69-23CF-44E3-9099-C40C66FF867C}">
                  <a14:compatExt spid="_x0000_s36871"/>
                </a:ext>
                <a:ext uri="{FF2B5EF4-FFF2-40B4-BE49-F238E27FC236}">
                  <a16:creationId xmlns:a16="http://schemas.microsoft.com/office/drawing/2014/main" id="{00000000-0008-0000-0400-0000079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MCMデータ抽出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13</xdr:row>
          <xdr:rowOff>0</xdr:rowOff>
        </xdr:from>
        <xdr:to>
          <xdr:col>9</xdr:col>
          <xdr:colOff>1333500</xdr:colOff>
          <xdr:row>15</xdr:row>
          <xdr:rowOff>171450</xdr:rowOff>
        </xdr:to>
        <xdr:sp macro="" textlink="">
          <xdr:nvSpPr>
            <xdr:cNvPr id="36872" name="Button 8" hidden="1">
              <a:extLst>
                <a:ext uri="{63B3BB69-23CF-44E3-9099-C40C66FF867C}">
                  <a14:compatExt spid="_x0000_s36872"/>
                </a:ext>
                <a:ext uri="{FF2B5EF4-FFF2-40B4-BE49-F238E27FC236}">
                  <a16:creationId xmlns:a16="http://schemas.microsoft.com/office/drawing/2014/main" id="{00000000-0008-0000-0400-0000089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メール作成</a:t>
              </a:r>
            </a:p>
            <a:p>
              <a:pPr algn="ctr" rtl="0">
                <a:defRPr sz="1000"/>
              </a:pPr>
              <a:r>
                <a:rPr lang="ja-JP" altLang="en-US" sz="1100" b="0" i="0" u="none" strike="noStrike" baseline="0">
                  <a:solidFill>
                    <a:srgbClr val="000000"/>
                  </a:solidFill>
                  <a:latin typeface="ＭＳ Ｐゴシック"/>
                  <a:ea typeface="ＭＳ Ｐゴシック"/>
                </a:rPr>
                <a:t>( Outlook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2</xdr:row>
          <xdr:rowOff>152400</xdr:rowOff>
        </xdr:from>
        <xdr:to>
          <xdr:col>5</xdr:col>
          <xdr:colOff>533400</xdr:colOff>
          <xdr:row>6</xdr:row>
          <xdr:rowOff>152400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500-000001E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①左から</a:t>
              </a:r>
            </a:p>
            <a:p>
              <a:pPr algn="ctr" rtl="0">
                <a:defRPr sz="1000"/>
              </a:pPr>
              <a:r>
                <a:rPr lang="ja-JP" altLang="en-US" sz="1100" b="0" i="0" u="none" strike="noStrike" baseline="0">
                  <a:solidFill>
                    <a:srgbClr val="000000"/>
                  </a:solidFill>
                  <a:latin typeface="ＭＳ Ｐゴシック"/>
                  <a:ea typeface="ＭＳ Ｐゴシック"/>
                </a:rPr>
                <a:t>　　　文字編集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7</xdr:row>
          <xdr:rowOff>171450</xdr:rowOff>
        </xdr:from>
        <xdr:to>
          <xdr:col>9</xdr:col>
          <xdr:colOff>1343025</xdr:colOff>
          <xdr:row>12</xdr:row>
          <xdr:rowOff>47625</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500-000002E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②サトー依頼書</a:t>
              </a:r>
            </a:p>
            <a:p>
              <a:pPr algn="ctr" rtl="0">
                <a:defRPr sz="1000"/>
              </a:pPr>
              <a:r>
                <a:rPr lang="ja-JP" altLang="en-US" sz="1100" b="0" i="0" u="none" strike="noStrike" baseline="0">
                  <a:solidFill>
                    <a:srgbClr val="000000"/>
                  </a:solidFill>
                  <a:latin typeface="ＭＳ Ｐゴシック"/>
                  <a:ea typeface="ＭＳ Ｐゴシック"/>
                </a:rPr>
                <a:t>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85725</xdr:colOff>
          <xdr:row>2</xdr:row>
          <xdr:rowOff>114300</xdr:rowOff>
        </xdr:from>
        <xdr:to>
          <xdr:col>9</xdr:col>
          <xdr:colOff>1333500</xdr:colOff>
          <xdr:row>6</xdr:row>
          <xdr:rowOff>114300</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500-000003E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MCMデータ抽出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13</xdr:row>
          <xdr:rowOff>0</xdr:rowOff>
        </xdr:from>
        <xdr:to>
          <xdr:col>9</xdr:col>
          <xdr:colOff>1343025</xdr:colOff>
          <xdr:row>15</xdr:row>
          <xdr:rowOff>171450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500-000004E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メール作成</a:t>
              </a:r>
            </a:p>
            <a:p>
              <a:pPr algn="ctr" rtl="0">
                <a:defRPr sz="1000"/>
              </a:pPr>
              <a:r>
                <a:rPr lang="ja-JP" altLang="en-US" sz="1100" b="0" i="0" u="none" strike="noStrike" baseline="0">
                  <a:solidFill>
                    <a:srgbClr val="000000"/>
                  </a:solidFill>
                  <a:latin typeface="ＭＳ Ｐゴシック"/>
                  <a:ea typeface="ＭＳ Ｐゴシック"/>
                </a:rPr>
                <a:t>( Outlook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7</xdr:row>
          <xdr:rowOff>152400</xdr:rowOff>
        </xdr:from>
        <xdr:to>
          <xdr:col>9</xdr:col>
          <xdr:colOff>1333500</xdr:colOff>
          <xdr:row>12</xdr:row>
          <xdr:rowOff>38100</xdr:rowOff>
        </xdr:to>
        <xdr:sp macro="" textlink="">
          <xdr:nvSpPr>
            <xdr:cNvPr id="60417" name="Button 2" hidden="1">
              <a:extLst>
                <a:ext uri="{63B3BB69-23CF-44E3-9099-C40C66FF867C}">
                  <a14:compatExt spid="_x0000_s60417"/>
                </a:ext>
                <a:ext uri="{FF2B5EF4-FFF2-40B4-BE49-F238E27FC236}">
                  <a16:creationId xmlns:a16="http://schemas.microsoft.com/office/drawing/2014/main" id="{00000000-0008-0000-0600-000001E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②イシダ依頼書</a:t>
              </a:r>
            </a:p>
            <a:p>
              <a:pPr algn="ctr" rtl="0">
                <a:defRPr sz="1000"/>
              </a:pPr>
              <a:r>
                <a:rPr lang="ja-JP" altLang="en-US" sz="1100" b="0" i="0" u="none" strike="noStrike" baseline="0">
                  <a:solidFill>
                    <a:srgbClr val="000000"/>
                  </a:solidFill>
                  <a:latin typeface="ＭＳ Ｐゴシック"/>
                  <a:ea typeface="ＭＳ Ｐゴシック"/>
                </a:rPr>
                <a:t>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3</xdr:row>
          <xdr:rowOff>9525</xdr:rowOff>
        </xdr:from>
        <xdr:to>
          <xdr:col>5</xdr:col>
          <xdr:colOff>542925</xdr:colOff>
          <xdr:row>7</xdr:row>
          <xdr:rowOff>9525</xdr:rowOff>
        </xdr:to>
        <xdr:sp macro="" textlink="">
          <xdr:nvSpPr>
            <xdr:cNvPr id="60418" name="Button 1" hidden="1">
              <a:extLst>
                <a:ext uri="{63B3BB69-23CF-44E3-9099-C40C66FF867C}">
                  <a14:compatExt spid="_x0000_s60418"/>
                </a:ext>
                <a:ext uri="{FF2B5EF4-FFF2-40B4-BE49-F238E27FC236}">
                  <a16:creationId xmlns:a16="http://schemas.microsoft.com/office/drawing/2014/main" id="{00000000-0008-0000-0600-000002E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①左から</a:t>
              </a:r>
            </a:p>
            <a:p>
              <a:pPr algn="ctr" rtl="0">
                <a:defRPr sz="1000"/>
              </a:pPr>
              <a:r>
                <a:rPr lang="ja-JP" altLang="en-US" sz="1100" b="0" i="0" u="none" strike="noStrike" baseline="0">
                  <a:solidFill>
                    <a:srgbClr val="000000"/>
                  </a:solidFill>
                  <a:latin typeface="ＭＳ Ｐゴシック"/>
                  <a:ea typeface="ＭＳ Ｐゴシック"/>
                </a:rPr>
                <a:t>　　　文字編集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85725</xdr:colOff>
          <xdr:row>2</xdr:row>
          <xdr:rowOff>114300</xdr:rowOff>
        </xdr:from>
        <xdr:to>
          <xdr:col>9</xdr:col>
          <xdr:colOff>1333500</xdr:colOff>
          <xdr:row>6</xdr:row>
          <xdr:rowOff>114300</xdr:rowOff>
        </xdr:to>
        <xdr:sp macro="" textlink="">
          <xdr:nvSpPr>
            <xdr:cNvPr id="60419" name="Button 3" hidden="1">
              <a:extLst>
                <a:ext uri="{63B3BB69-23CF-44E3-9099-C40C66FF867C}">
                  <a14:compatExt spid="_x0000_s60419"/>
                </a:ext>
                <a:ext uri="{FF2B5EF4-FFF2-40B4-BE49-F238E27FC236}">
                  <a16:creationId xmlns:a16="http://schemas.microsoft.com/office/drawing/2014/main" id="{00000000-0008-0000-0600-000003E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MCMデータ抽出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12</xdr:row>
          <xdr:rowOff>171450</xdr:rowOff>
        </xdr:from>
        <xdr:to>
          <xdr:col>9</xdr:col>
          <xdr:colOff>1333500</xdr:colOff>
          <xdr:row>15</xdr:row>
          <xdr:rowOff>161925</xdr:rowOff>
        </xdr:to>
        <xdr:sp macro="" textlink="">
          <xdr:nvSpPr>
            <xdr:cNvPr id="60420" name="Button 4" hidden="1">
              <a:extLst>
                <a:ext uri="{63B3BB69-23CF-44E3-9099-C40C66FF867C}">
                  <a14:compatExt spid="_x0000_s60420"/>
                </a:ext>
                <a:ext uri="{FF2B5EF4-FFF2-40B4-BE49-F238E27FC236}">
                  <a16:creationId xmlns:a16="http://schemas.microsoft.com/office/drawing/2014/main" id="{00000000-0008-0000-0600-000004E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メール作成</a:t>
              </a:r>
            </a:p>
            <a:p>
              <a:pPr algn="ctr" rtl="0">
                <a:defRPr sz="1000"/>
              </a:pPr>
              <a:r>
                <a:rPr lang="ja-JP" altLang="en-US" sz="1100" b="0" i="0" u="none" strike="noStrike" baseline="0">
                  <a:solidFill>
                    <a:srgbClr val="000000"/>
                  </a:solidFill>
                  <a:latin typeface="ＭＳ Ｐゴシック"/>
                  <a:ea typeface="ＭＳ Ｐゴシック"/>
                </a:rPr>
                <a:t>( Outlook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104775</xdr:colOff>
          <xdr:row>7</xdr:row>
          <xdr:rowOff>152400</xdr:rowOff>
        </xdr:from>
        <xdr:to>
          <xdr:col>9</xdr:col>
          <xdr:colOff>1333500</xdr:colOff>
          <xdr:row>12</xdr:row>
          <xdr:rowOff>38100</xdr:rowOff>
        </xdr:to>
        <xdr:sp macro="" textlink="">
          <xdr:nvSpPr>
            <xdr:cNvPr id="37889" name="Button 2" hidden="1">
              <a:extLst>
                <a:ext uri="{63B3BB69-23CF-44E3-9099-C40C66FF867C}">
                  <a14:compatExt spid="_x0000_s37889"/>
                </a:ext>
                <a:ext uri="{FF2B5EF4-FFF2-40B4-BE49-F238E27FC236}">
                  <a16:creationId xmlns:a16="http://schemas.microsoft.com/office/drawing/2014/main" id="{00000000-0008-0000-0700-0000019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②PFU依頼書</a:t>
              </a:r>
            </a:p>
            <a:p>
              <a:pPr algn="ctr" rtl="0">
                <a:defRPr sz="1000"/>
              </a:pPr>
              <a:r>
                <a:rPr lang="ja-JP" altLang="en-US" sz="1100" b="0" i="0" u="none" strike="noStrike" baseline="0">
                  <a:solidFill>
                    <a:srgbClr val="000000"/>
                  </a:solidFill>
                  <a:latin typeface="ＭＳ Ｐゴシック"/>
                  <a:ea typeface="ＭＳ Ｐゴシック"/>
                </a:rPr>
                <a:t>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3</xdr:row>
          <xdr:rowOff>9525</xdr:rowOff>
        </xdr:from>
        <xdr:to>
          <xdr:col>5</xdr:col>
          <xdr:colOff>542925</xdr:colOff>
          <xdr:row>7</xdr:row>
          <xdr:rowOff>9525</xdr:rowOff>
        </xdr:to>
        <xdr:sp macro="" textlink="">
          <xdr:nvSpPr>
            <xdr:cNvPr id="37890" name="Button 1" hidden="1">
              <a:extLst>
                <a:ext uri="{63B3BB69-23CF-44E3-9099-C40C66FF867C}">
                  <a14:compatExt spid="_x0000_s37890"/>
                </a:ext>
                <a:ext uri="{FF2B5EF4-FFF2-40B4-BE49-F238E27FC236}">
                  <a16:creationId xmlns:a16="http://schemas.microsoft.com/office/drawing/2014/main" id="{00000000-0008-0000-0700-0000029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①左から</a:t>
              </a:r>
            </a:p>
            <a:p>
              <a:pPr algn="ctr" rtl="0">
                <a:defRPr sz="1000"/>
              </a:pPr>
              <a:r>
                <a:rPr lang="ja-JP" altLang="en-US" sz="1100" b="0" i="0" u="none" strike="noStrike" baseline="0">
                  <a:solidFill>
                    <a:srgbClr val="000000"/>
                  </a:solidFill>
                  <a:latin typeface="ＭＳ Ｐゴシック"/>
                  <a:ea typeface="ＭＳ Ｐゴシック"/>
                </a:rPr>
                <a:t>　　　文字編集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85725</xdr:colOff>
          <xdr:row>2</xdr:row>
          <xdr:rowOff>114300</xdr:rowOff>
        </xdr:from>
        <xdr:to>
          <xdr:col>9</xdr:col>
          <xdr:colOff>1333500</xdr:colOff>
          <xdr:row>6</xdr:row>
          <xdr:rowOff>114300</xdr:rowOff>
        </xdr:to>
        <xdr:sp macro="" textlink="">
          <xdr:nvSpPr>
            <xdr:cNvPr id="37893" name="Button 5" hidden="1">
              <a:extLst>
                <a:ext uri="{63B3BB69-23CF-44E3-9099-C40C66FF867C}">
                  <a14:compatExt spid="_x0000_s37893"/>
                </a:ext>
                <a:ext uri="{FF2B5EF4-FFF2-40B4-BE49-F238E27FC236}">
                  <a16:creationId xmlns:a16="http://schemas.microsoft.com/office/drawing/2014/main" id="{00000000-0008-0000-0700-0000059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MCMデータ抽出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13</xdr:row>
          <xdr:rowOff>0</xdr:rowOff>
        </xdr:from>
        <xdr:to>
          <xdr:col>9</xdr:col>
          <xdr:colOff>1333500</xdr:colOff>
          <xdr:row>15</xdr:row>
          <xdr:rowOff>171450</xdr:rowOff>
        </xdr:to>
        <xdr:sp macro="" textlink="">
          <xdr:nvSpPr>
            <xdr:cNvPr id="37894" name="Button 6" hidden="1">
              <a:extLst>
                <a:ext uri="{63B3BB69-23CF-44E3-9099-C40C66FF867C}">
                  <a14:compatExt spid="_x0000_s37894"/>
                </a:ext>
                <a:ext uri="{FF2B5EF4-FFF2-40B4-BE49-F238E27FC236}">
                  <a16:creationId xmlns:a16="http://schemas.microsoft.com/office/drawing/2014/main" id="{00000000-0008-0000-0700-0000069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メール作成</a:t>
              </a:r>
            </a:p>
            <a:p>
              <a:pPr algn="ctr" rtl="0">
                <a:defRPr sz="1000"/>
              </a:pPr>
              <a:r>
                <a:rPr lang="ja-JP" altLang="en-US" sz="1100" b="0" i="0" u="none" strike="noStrike" baseline="0">
                  <a:solidFill>
                    <a:srgbClr val="000000"/>
                  </a:solidFill>
                  <a:latin typeface="ＭＳ Ｐゴシック"/>
                  <a:ea typeface="ＭＳ Ｐゴシック"/>
                </a:rPr>
                <a:t>( Outlook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7</xdr:row>
          <xdr:rowOff>171450</xdr:rowOff>
        </xdr:from>
        <xdr:to>
          <xdr:col>9</xdr:col>
          <xdr:colOff>1323975</xdr:colOff>
          <xdr:row>12</xdr:row>
          <xdr:rowOff>47625</xdr:rowOff>
        </xdr:to>
        <xdr:sp macro="" textlink="">
          <xdr:nvSpPr>
            <xdr:cNvPr id="38913" name="Button 2" hidden="1">
              <a:extLst>
                <a:ext uri="{63B3BB69-23CF-44E3-9099-C40C66FF867C}">
                  <a14:compatExt spid="_x0000_s38913"/>
                </a:ext>
                <a:ext uri="{FF2B5EF4-FFF2-40B4-BE49-F238E27FC236}">
                  <a16:creationId xmlns:a16="http://schemas.microsoft.com/office/drawing/2014/main" id="{00000000-0008-0000-0800-0000019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②IBM依頼書</a:t>
              </a:r>
            </a:p>
            <a:p>
              <a:pPr algn="ctr" rtl="0">
                <a:defRPr sz="1000"/>
              </a:pPr>
              <a:r>
                <a:rPr lang="ja-JP" altLang="en-US" sz="1100" b="0" i="0" u="none" strike="noStrike" baseline="0">
                  <a:solidFill>
                    <a:srgbClr val="000000"/>
                  </a:solidFill>
                  <a:latin typeface="ＭＳ Ｐゴシック"/>
                  <a:ea typeface="ＭＳ Ｐゴシック"/>
                </a:rPr>
                <a:t>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3</xdr:row>
          <xdr:rowOff>9525</xdr:rowOff>
        </xdr:from>
        <xdr:to>
          <xdr:col>5</xdr:col>
          <xdr:colOff>542925</xdr:colOff>
          <xdr:row>7</xdr:row>
          <xdr:rowOff>9525</xdr:rowOff>
        </xdr:to>
        <xdr:sp macro="" textlink="">
          <xdr:nvSpPr>
            <xdr:cNvPr id="38914" name="Button 1" hidden="1">
              <a:extLst>
                <a:ext uri="{63B3BB69-23CF-44E3-9099-C40C66FF867C}">
                  <a14:compatExt spid="_x0000_s38914"/>
                </a:ext>
                <a:ext uri="{FF2B5EF4-FFF2-40B4-BE49-F238E27FC236}">
                  <a16:creationId xmlns:a16="http://schemas.microsoft.com/office/drawing/2014/main" id="{00000000-0008-0000-0800-0000029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①左から</a:t>
              </a:r>
            </a:p>
            <a:p>
              <a:pPr algn="ctr" rtl="0">
                <a:defRPr sz="1000"/>
              </a:pPr>
              <a:r>
                <a:rPr lang="ja-JP" altLang="en-US" sz="1100" b="0" i="0" u="none" strike="noStrike" baseline="0">
                  <a:solidFill>
                    <a:srgbClr val="000000"/>
                  </a:solidFill>
                  <a:latin typeface="ＭＳ Ｐゴシック"/>
                  <a:ea typeface="ＭＳ Ｐゴシック"/>
                </a:rPr>
                <a:t>　　　文字編集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85725</xdr:colOff>
          <xdr:row>2</xdr:row>
          <xdr:rowOff>114300</xdr:rowOff>
        </xdr:from>
        <xdr:to>
          <xdr:col>9</xdr:col>
          <xdr:colOff>1333500</xdr:colOff>
          <xdr:row>6</xdr:row>
          <xdr:rowOff>114300</xdr:rowOff>
        </xdr:to>
        <xdr:sp macro="" textlink="">
          <xdr:nvSpPr>
            <xdr:cNvPr id="38917" name="Button 5" hidden="1">
              <a:extLst>
                <a:ext uri="{63B3BB69-23CF-44E3-9099-C40C66FF867C}">
                  <a14:compatExt spid="_x0000_s38917"/>
                </a:ext>
                <a:ext uri="{FF2B5EF4-FFF2-40B4-BE49-F238E27FC236}">
                  <a16:creationId xmlns:a16="http://schemas.microsoft.com/office/drawing/2014/main" id="{00000000-0008-0000-0800-0000059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MCMデータ抽出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13</xdr:row>
          <xdr:rowOff>0</xdr:rowOff>
        </xdr:from>
        <xdr:to>
          <xdr:col>9</xdr:col>
          <xdr:colOff>1314450</xdr:colOff>
          <xdr:row>15</xdr:row>
          <xdr:rowOff>171450</xdr:rowOff>
        </xdr:to>
        <xdr:sp macro="" textlink="">
          <xdr:nvSpPr>
            <xdr:cNvPr id="38918" name="Button 6" hidden="1">
              <a:extLst>
                <a:ext uri="{63B3BB69-23CF-44E3-9099-C40C66FF867C}">
                  <a14:compatExt spid="_x0000_s38918"/>
                </a:ext>
                <a:ext uri="{FF2B5EF4-FFF2-40B4-BE49-F238E27FC236}">
                  <a16:creationId xmlns:a16="http://schemas.microsoft.com/office/drawing/2014/main" id="{00000000-0008-0000-0800-0000069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メール作成</a:t>
              </a:r>
            </a:p>
            <a:p>
              <a:pPr algn="ctr" rtl="0">
                <a:defRPr sz="1000"/>
              </a:pPr>
              <a:r>
                <a:rPr lang="ja-JP" altLang="en-US" sz="1100" b="0" i="0" u="none" strike="noStrike" baseline="0">
                  <a:solidFill>
                    <a:srgbClr val="000000"/>
                  </a:solidFill>
                  <a:latin typeface="ＭＳ Ｐゴシック"/>
                  <a:ea typeface="ＭＳ Ｐゴシック"/>
                </a:rPr>
                <a:t>( Outlook )</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mailto:SSC_ask-G/daifuku-n@daifuku-n;%20hideki%20maruyama/DTS/da2;%20shigeru%20kametake/DFKPE/da2;%20yoshio%20tomita/DFKPE/da2;%20kazuya%20hirata/DFKPE/da2;%20masato%20kitagawa/DFKPE/da2;" TargetMode="External"/><Relationship Id="rId7" Type="http://schemas.openxmlformats.org/officeDocument/2006/relationships/vmlDrawing" Target="../drawings/vmlDrawing1.vml"/><Relationship Id="rId2" Type="http://schemas.openxmlformats.org/officeDocument/2006/relationships/hyperlink" Target="../../../../../Temp/&#12513;&#12540;&#12459;&#12540;&#28857;&#26908;&#20381;&#38972;/&#28857;&#26908;&#20316;&#26989;" TargetMode="External"/><Relationship Id="rId1" Type="http://schemas.openxmlformats.org/officeDocument/2006/relationships/hyperlink" Target="../../../../../Temp/&#12513;&#12540;&#12459;&#12540;&#28857;&#26908;&#20381;&#38972;/&#28857;&#26908;&#20316;&#26989;"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hyperlink" Target="mailto:takuji_tsukagoshi@ha.daifuku.co.jp" TargetMode="Externa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printerSettings" Target="../printerSettings/printerSettings2.bin"/><Relationship Id="rId7" Type="http://schemas.openxmlformats.org/officeDocument/2006/relationships/ctrlProp" Target="../ctrlProps/ctrlProp8.xml"/><Relationship Id="rId2" Type="http://schemas.openxmlformats.org/officeDocument/2006/relationships/hyperlink" Target="mailto:fukushima-t@star.fielding.nec.co.jp;" TargetMode="External"/><Relationship Id="rId1" Type="http://schemas.openxmlformats.org/officeDocument/2006/relationships/hyperlink" Target="mailto:daifuku-shien-dm@fildg.jp.nec.com" TargetMode="External"/><Relationship Id="rId6" Type="http://schemas.openxmlformats.org/officeDocument/2006/relationships/ctrlProp" Target="../ctrlProps/ctrlProp7.xml"/><Relationship Id="rId5" Type="http://schemas.openxmlformats.org/officeDocument/2006/relationships/vmlDrawing" Target="../drawings/vmlDrawing3.vml"/><Relationship Id="rId4" Type="http://schemas.openxmlformats.org/officeDocument/2006/relationships/drawing" Target="../drawings/drawing3.xml"/><Relationship Id="rId9" Type="http://schemas.openxmlformats.org/officeDocument/2006/relationships/ctrlProp" Target="../ctrlProps/ctrlProp10.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printerSettings" Target="../printerSettings/printerSettings3.bin"/><Relationship Id="rId7" Type="http://schemas.openxmlformats.org/officeDocument/2006/relationships/ctrlProp" Target="../ctrlProps/ctrlProp12.xml"/><Relationship Id="rId2" Type="http://schemas.openxmlformats.org/officeDocument/2006/relationships/hyperlink" Target="mailto:daifuku_hosyu@mizuho-ki.co.jp;suguru.yoshimoto.ct@hitachi-systems.com" TargetMode="External"/><Relationship Id="rId1" Type="http://schemas.openxmlformats.org/officeDocument/2006/relationships/hyperlink" Target="mailto:kansei.mail13.cj@hitachi-systems.com" TargetMode="External"/><Relationship Id="rId6" Type="http://schemas.openxmlformats.org/officeDocument/2006/relationships/ctrlProp" Target="../ctrlProps/ctrlProp11.xml"/><Relationship Id="rId5" Type="http://schemas.openxmlformats.org/officeDocument/2006/relationships/vmlDrawing" Target="../drawings/vmlDrawing4.vml"/><Relationship Id="rId4" Type="http://schemas.openxmlformats.org/officeDocument/2006/relationships/drawing" Target="../drawings/drawing4.xml"/><Relationship Id="rId9"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8.xml"/><Relationship Id="rId2" Type="http://schemas.openxmlformats.org/officeDocument/2006/relationships/drawing" Target="../drawings/drawing5.xml"/><Relationship Id="rId1" Type="http://schemas.openxmlformats.org/officeDocument/2006/relationships/hyperlink" Target="mailto:takayuki_miura@h-ax.com" TargetMode="Externa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printerSettings" Target="../printerSettings/printerSettings4.bin"/><Relationship Id="rId7" Type="http://schemas.openxmlformats.org/officeDocument/2006/relationships/ctrlProp" Target="../ctrlProps/ctrlProp20.xml"/><Relationship Id="rId2" Type="http://schemas.openxmlformats.org/officeDocument/2006/relationships/hyperlink" Target="mailto:yoji.fujita@sato-global.com;junji.hitomi@sato-global.com" TargetMode="External"/><Relationship Id="rId1" Type="http://schemas.openxmlformats.org/officeDocument/2006/relationships/hyperlink" Target="mailto:norikazu.fujita@sato-global.com;kaoru.mizunaga@sato-global.com" TargetMode="External"/><Relationship Id="rId6" Type="http://schemas.openxmlformats.org/officeDocument/2006/relationships/ctrlProp" Target="../ctrlProps/ctrlProp19.xml"/><Relationship Id="rId5" Type="http://schemas.openxmlformats.org/officeDocument/2006/relationships/vmlDrawing" Target="../drawings/vmlDrawing6.vml"/><Relationship Id="rId4" Type="http://schemas.openxmlformats.org/officeDocument/2006/relationships/drawing" Target="../drawings/drawing6.xml"/><Relationship Id="rId9"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26.xml"/><Relationship Id="rId2" Type="http://schemas.openxmlformats.org/officeDocument/2006/relationships/drawing" Target="../drawings/drawing7.xml"/><Relationship Id="rId1" Type="http://schemas.openxmlformats.org/officeDocument/2006/relationships/hyperlink" Target="mailto:takata@ishida.co.jp" TargetMode="External"/><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drawing" Target="../drawings/drawing8.xml"/><Relationship Id="rId7" Type="http://schemas.openxmlformats.org/officeDocument/2006/relationships/ctrlProp" Target="../ctrlProps/ctrlProp29.xml"/><Relationship Id="rId2" Type="http://schemas.openxmlformats.org/officeDocument/2006/relationships/hyperlink" Target="mailto:pfu-centerce-g@ml.ricoh.com" TargetMode="External"/><Relationship Id="rId1" Type="http://schemas.openxmlformats.org/officeDocument/2006/relationships/hyperlink" Target="mailto:nakano.pfu@jp.fujitsu.com" TargetMode="External"/><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31.xml"/><Relationship Id="rId2" Type="http://schemas.openxmlformats.org/officeDocument/2006/relationships/vmlDrawing" Target="../drawings/vmlDrawing9.vml"/><Relationship Id="rId1" Type="http://schemas.openxmlformats.org/officeDocument/2006/relationships/drawing" Target="../drawings/drawing9.xml"/><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C5:M55"/>
  <sheetViews>
    <sheetView zoomScale="70" zoomScaleNormal="70" workbookViewId="0">
      <selection activeCell="J14" sqref="J14"/>
    </sheetView>
  </sheetViews>
  <sheetFormatPr defaultColWidth="9" defaultRowHeight="13.5" outlineLevelCol="1" x14ac:dyDescent="0.15"/>
  <cols>
    <col min="1" max="1" width="3.5" customWidth="1"/>
    <col min="2" max="2" width="5.375" customWidth="1"/>
    <col min="3" max="3" width="81.5" customWidth="1"/>
    <col min="4" max="4" width="11" bestFit="1" customWidth="1"/>
    <col min="5" max="5" width="5.625" customWidth="1"/>
    <col min="6" max="6" width="13.625" customWidth="1"/>
    <col min="7" max="8" width="50.625" customWidth="1"/>
    <col min="9" max="9" width="15.625" bestFit="1" customWidth="1"/>
    <col min="10" max="10" width="33.75" bestFit="1" customWidth="1"/>
    <col min="11" max="11" width="22.75" customWidth="1" outlineLevel="1"/>
    <col min="12" max="12" width="10.125" customWidth="1" outlineLevel="1"/>
    <col min="13" max="13" width="9" customWidth="1" outlineLevel="1"/>
  </cols>
  <sheetData>
    <row r="5" spans="3:10" ht="18" customHeight="1" x14ac:dyDescent="0.15">
      <c r="C5" s="6" t="s">
        <v>66</v>
      </c>
      <c r="G5" s="6" t="s">
        <v>71</v>
      </c>
    </row>
    <row r="6" spans="3:10" ht="30.75" customHeight="1" x14ac:dyDescent="0.15">
      <c r="C6" s="30" t="s">
        <v>5039</v>
      </c>
      <c r="G6" s="30" t="s">
        <v>5040</v>
      </c>
      <c r="H6" t="s">
        <v>75</v>
      </c>
    </row>
    <row r="10" spans="3:10" ht="14.25" x14ac:dyDescent="0.15">
      <c r="C10" s="12" t="s">
        <v>57</v>
      </c>
      <c r="D10" s="2" t="s">
        <v>63</v>
      </c>
      <c r="F10" s="27" t="s">
        <v>198</v>
      </c>
      <c r="G10" s="28" t="s">
        <v>199</v>
      </c>
      <c r="H10" s="13"/>
      <c r="I10" s="13"/>
    </row>
    <row r="11" spans="3:10" ht="26.25" customHeight="1" x14ac:dyDescent="0.15">
      <c r="C11" s="11" t="s">
        <v>62</v>
      </c>
      <c r="D11" s="14" t="s">
        <v>58</v>
      </c>
      <c r="F11" s="25" t="s">
        <v>194</v>
      </c>
      <c r="G11" s="31" t="s">
        <v>5064</v>
      </c>
      <c r="H11" s="13" t="s">
        <v>189</v>
      </c>
      <c r="J11" s="13"/>
    </row>
    <row r="12" spans="3:10" ht="26.25" customHeight="1" x14ac:dyDescent="0.15">
      <c r="C12" s="96" t="s">
        <v>70</v>
      </c>
      <c r="D12" s="99" t="s">
        <v>60</v>
      </c>
      <c r="F12" s="25" t="s">
        <v>188</v>
      </c>
      <c r="G12" s="1"/>
    </row>
    <row r="13" spans="3:10" ht="26.25" customHeight="1" x14ac:dyDescent="0.15">
      <c r="C13" s="97"/>
      <c r="D13" s="100"/>
      <c r="F13" s="84" t="s">
        <v>195</v>
      </c>
      <c r="G13" s="94" t="s">
        <v>226</v>
      </c>
    </row>
    <row r="14" spans="3:10" ht="26.25" customHeight="1" x14ac:dyDescent="0.15">
      <c r="C14" s="98"/>
      <c r="D14" s="101"/>
      <c r="F14" s="84"/>
      <c r="G14" s="94"/>
    </row>
    <row r="15" spans="3:10" ht="26.25" customHeight="1" x14ac:dyDescent="0.15">
      <c r="C15" s="1" t="s">
        <v>59</v>
      </c>
      <c r="D15" s="14" t="s">
        <v>61</v>
      </c>
      <c r="F15" s="84"/>
      <c r="G15" s="94"/>
    </row>
    <row r="16" spans="3:10" ht="26.25" customHeight="1" x14ac:dyDescent="0.15">
      <c r="C16" s="96" t="s">
        <v>64</v>
      </c>
      <c r="D16" s="99" t="s">
        <v>65</v>
      </c>
      <c r="F16" s="95" t="s">
        <v>196</v>
      </c>
      <c r="G16" s="94" t="s">
        <v>225</v>
      </c>
    </row>
    <row r="17" spans="3:13" ht="26.25" customHeight="1" x14ac:dyDescent="0.15">
      <c r="C17" s="97"/>
      <c r="D17" s="100"/>
      <c r="F17" s="95"/>
      <c r="G17" s="94"/>
    </row>
    <row r="18" spans="3:13" ht="26.25" customHeight="1" x14ac:dyDescent="0.15">
      <c r="C18" s="98"/>
      <c r="D18" s="101"/>
      <c r="F18" s="95"/>
      <c r="G18" s="94"/>
    </row>
    <row r="19" spans="3:13" ht="26.25" customHeight="1" x14ac:dyDescent="0.15">
      <c r="C19" s="80" t="s">
        <v>69</v>
      </c>
      <c r="D19" s="82" t="s">
        <v>68</v>
      </c>
      <c r="F19" s="95"/>
      <c r="G19" s="94"/>
    </row>
    <row r="20" spans="3:13" ht="26.25" customHeight="1" x14ac:dyDescent="0.15">
      <c r="C20" s="80"/>
      <c r="D20" s="82"/>
      <c r="F20" s="95"/>
      <c r="G20" s="94"/>
    </row>
    <row r="21" spans="3:13" ht="26.25" customHeight="1" x14ac:dyDescent="0.15">
      <c r="C21" s="80"/>
      <c r="D21" s="82"/>
      <c r="F21" s="95"/>
      <c r="G21" s="94"/>
    </row>
    <row r="22" spans="3:13" ht="26.25" customHeight="1" x14ac:dyDescent="0.15">
      <c r="C22" s="80"/>
      <c r="D22" s="82"/>
      <c r="K22">
        <f>COLUMN()</f>
        <v>11</v>
      </c>
    </row>
    <row r="23" spans="3:13" ht="26.25" customHeight="1" x14ac:dyDescent="0.15">
      <c r="C23" s="80" t="s">
        <v>73</v>
      </c>
      <c r="D23" s="82" t="s">
        <v>72</v>
      </c>
      <c r="F23" s="32"/>
      <c r="G23" s="33" t="s">
        <v>227</v>
      </c>
      <c r="H23" s="33" t="s">
        <v>228</v>
      </c>
      <c r="K23" t="s">
        <v>245</v>
      </c>
      <c r="L23" t="s">
        <v>246</v>
      </c>
      <c r="M23" t="s">
        <v>247</v>
      </c>
    </row>
    <row r="24" spans="3:13" ht="26.25" customHeight="1" x14ac:dyDescent="0.15">
      <c r="C24" s="81"/>
      <c r="D24" s="83"/>
      <c r="F24" s="32" t="s">
        <v>229</v>
      </c>
      <c r="G24" s="32" t="s">
        <v>257</v>
      </c>
      <c r="H24" s="32" t="s">
        <v>257</v>
      </c>
      <c r="K24" t="str">
        <f>K23&amp;G24&amp;L23&amp;G25&amp;M23</f>
        <v>&lt;font face="游ゴシック (本文のフォント - 日本語)" size="2"&gt;</v>
      </c>
    </row>
    <row r="25" spans="3:13" ht="26.25" customHeight="1" x14ac:dyDescent="0.15">
      <c r="C25" s="81"/>
      <c r="D25" s="83"/>
      <c r="F25" s="32" t="s">
        <v>230</v>
      </c>
      <c r="G25" s="32">
        <v>2</v>
      </c>
      <c r="H25" s="32">
        <v>2</v>
      </c>
      <c r="K25" t="str">
        <f>K23&amp;H24&amp;L23&amp;H25&amp;M23</f>
        <v>&lt;font face="游ゴシック (本文のフォント - 日本語)" size="2"&gt;</v>
      </c>
    </row>
    <row r="26" spans="3:13" ht="26.25" customHeight="1" x14ac:dyDescent="0.15">
      <c r="C26" s="80" t="s">
        <v>212</v>
      </c>
      <c r="D26" s="82" t="s">
        <v>74</v>
      </c>
      <c r="G26" t="s">
        <v>241</v>
      </c>
      <c r="H26" s="51" t="s">
        <v>231</v>
      </c>
    </row>
    <row r="27" spans="3:13" ht="26.25" customHeight="1" x14ac:dyDescent="0.15">
      <c r="C27" s="80"/>
      <c r="D27" s="82"/>
      <c r="G27" t="s">
        <v>5041</v>
      </c>
      <c r="H27" s="51" t="s">
        <v>5043</v>
      </c>
    </row>
    <row r="28" spans="3:13" ht="26.25" customHeight="1" x14ac:dyDescent="0.15">
      <c r="C28" s="80"/>
      <c r="D28" s="82"/>
      <c r="H28" s="51" t="s">
        <v>232</v>
      </c>
    </row>
    <row r="29" spans="3:13" ht="26.25" customHeight="1" x14ac:dyDescent="0.15">
      <c r="C29" s="80"/>
      <c r="D29" s="82"/>
      <c r="G29" t="s">
        <v>277</v>
      </c>
      <c r="H29" s="51" t="s">
        <v>233</v>
      </c>
    </row>
    <row r="30" spans="3:13" ht="26.25" customHeight="1" x14ac:dyDescent="0.15">
      <c r="C30" s="80"/>
      <c r="D30" s="82"/>
      <c r="G30" s="35" t="s">
        <v>268</v>
      </c>
      <c r="H30" s="51" t="s">
        <v>5044</v>
      </c>
    </row>
    <row r="31" spans="3:13" ht="26.25" customHeight="1" x14ac:dyDescent="0.15">
      <c r="C31" s="80"/>
      <c r="D31" s="82"/>
      <c r="G31" s="35" t="s">
        <v>269</v>
      </c>
      <c r="H31" s="51" t="s">
        <v>5045</v>
      </c>
    </row>
    <row r="32" spans="3:13" ht="26.25" customHeight="1" x14ac:dyDescent="0.15">
      <c r="C32" s="80"/>
      <c r="D32" s="82"/>
      <c r="H32" s="51" t="s">
        <v>5046</v>
      </c>
    </row>
    <row r="33" spans="3:8" ht="26.25" customHeight="1" x14ac:dyDescent="0.15">
      <c r="C33" s="80"/>
      <c r="D33" s="82"/>
      <c r="G33" t="s">
        <v>5042</v>
      </c>
      <c r="H33" s="52" t="s">
        <v>5047</v>
      </c>
    </row>
    <row r="34" spans="3:8" ht="26.25" customHeight="1" x14ac:dyDescent="0.15">
      <c r="C34" s="80" t="s">
        <v>211</v>
      </c>
      <c r="D34" s="82" t="s">
        <v>187</v>
      </c>
      <c r="G34" t="s">
        <v>278</v>
      </c>
      <c r="H34" s="51" t="s">
        <v>231</v>
      </c>
    </row>
    <row r="35" spans="3:8" ht="26.25" customHeight="1" x14ac:dyDescent="0.15">
      <c r="C35" s="80"/>
      <c r="D35" s="82"/>
      <c r="H35" t="s">
        <v>234</v>
      </c>
    </row>
    <row r="36" spans="3:8" ht="26.25" customHeight="1" x14ac:dyDescent="0.15">
      <c r="C36" s="80"/>
      <c r="D36" s="82"/>
      <c r="G36" t="s">
        <v>242</v>
      </c>
      <c r="H36" t="s">
        <v>235</v>
      </c>
    </row>
    <row r="37" spans="3:8" ht="26.25" customHeight="1" x14ac:dyDescent="0.15">
      <c r="C37" s="80"/>
      <c r="D37" s="82"/>
      <c r="G37" t="s">
        <v>243</v>
      </c>
      <c r="H37" t="s">
        <v>236</v>
      </c>
    </row>
    <row r="38" spans="3:8" ht="26.25" customHeight="1" x14ac:dyDescent="0.15">
      <c r="C38" s="80"/>
      <c r="D38" s="82"/>
      <c r="H38" t="s">
        <v>237</v>
      </c>
    </row>
    <row r="39" spans="3:8" ht="26.25" customHeight="1" x14ac:dyDescent="0.15">
      <c r="C39" s="80"/>
      <c r="D39" s="82"/>
      <c r="G39" t="s">
        <v>244</v>
      </c>
      <c r="H39" t="s">
        <v>238</v>
      </c>
    </row>
    <row r="40" spans="3:8" x14ac:dyDescent="0.15">
      <c r="C40" s="80"/>
      <c r="D40" s="82"/>
      <c r="H40" t="s">
        <v>239</v>
      </c>
    </row>
    <row r="41" spans="3:8" ht="13.5" customHeight="1" x14ac:dyDescent="0.15">
      <c r="C41" s="85" t="s">
        <v>221</v>
      </c>
      <c r="D41" s="91" t="s">
        <v>216</v>
      </c>
      <c r="H41" t="s">
        <v>240</v>
      </c>
    </row>
    <row r="42" spans="3:8" ht="13.5" customHeight="1" x14ac:dyDescent="0.15">
      <c r="C42" s="86"/>
      <c r="D42" s="92"/>
    </row>
    <row r="43" spans="3:8" ht="13.5" customHeight="1" x14ac:dyDescent="0.15">
      <c r="C43" s="86"/>
      <c r="D43" s="92"/>
    </row>
    <row r="44" spans="3:8" ht="13.5" customHeight="1" x14ac:dyDescent="0.15">
      <c r="C44" s="86"/>
      <c r="D44" s="92"/>
    </row>
    <row r="45" spans="3:8" ht="13.5" customHeight="1" x14ac:dyDescent="0.15">
      <c r="C45" s="86"/>
      <c r="D45" s="92"/>
    </row>
    <row r="46" spans="3:8" ht="13.5" customHeight="1" x14ac:dyDescent="0.15">
      <c r="C46" s="86"/>
      <c r="D46" s="92"/>
    </row>
    <row r="47" spans="3:8" ht="13.5" customHeight="1" x14ac:dyDescent="0.15">
      <c r="C47" s="86"/>
      <c r="D47" s="92"/>
    </row>
    <row r="48" spans="3:8" ht="13.5" customHeight="1" x14ac:dyDescent="0.15">
      <c r="C48" s="87"/>
      <c r="D48" s="93"/>
    </row>
    <row r="49" spans="3:4" ht="13.5" customHeight="1" x14ac:dyDescent="0.15">
      <c r="C49" s="85" t="s">
        <v>223</v>
      </c>
      <c r="D49" s="88" t="s">
        <v>222</v>
      </c>
    </row>
    <row r="50" spans="3:4" ht="13.5" customHeight="1" x14ac:dyDescent="0.15">
      <c r="C50" s="86"/>
      <c r="D50" s="89"/>
    </row>
    <row r="51" spans="3:4" ht="13.5" customHeight="1" x14ac:dyDescent="0.15">
      <c r="C51" s="86"/>
      <c r="D51" s="89"/>
    </row>
    <row r="52" spans="3:4" ht="13.5" customHeight="1" x14ac:dyDescent="0.15">
      <c r="C52" s="86"/>
      <c r="D52" s="89"/>
    </row>
    <row r="53" spans="3:4" ht="13.5" customHeight="1" x14ac:dyDescent="0.15">
      <c r="C53" s="86"/>
      <c r="D53" s="89"/>
    </row>
    <row r="54" spans="3:4" ht="13.5" customHeight="1" x14ac:dyDescent="0.15">
      <c r="C54" s="86"/>
      <c r="D54" s="89"/>
    </row>
    <row r="55" spans="3:4" x14ac:dyDescent="0.15">
      <c r="C55" s="87"/>
      <c r="D55" s="90"/>
    </row>
  </sheetData>
  <mergeCells count="20">
    <mergeCell ref="G13:G15"/>
    <mergeCell ref="F16:F21"/>
    <mergeCell ref="G16:G21"/>
    <mergeCell ref="C12:C14"/>
    <mergeCell ref="D12:D14"/>
    <mergeCell ref="C16:C18"/>
    <mergeCell ref="D16:D18"/>
    <mergeCell ref="C19:C22"/>
    <mergeCell ref="D19:D22"/>
    <mergeCell ref="C23:C25"/>
    <mergeCell ref="D23:D25"/>
    <mergeCell ref="F13:F15"/>
    <mergeCell ref="C49:C55"/>
    <mergeCell ref="D49:D55"/>
    <mergeCell ref="C34:C40"/>
    <mergeCell ref="D34:D40"/>
    <mergeCell ref="C26:C33"/>
    <mergeCell ref="D26:D33"/>
    <mergeCell ref="C41:C48"/>
    <mergeCell ref="D41:D48"/>
  </mergeCells>
  <phoneticPr fontId="1"/>
  <dataValidations count="1">
    <dataValidation type="list" allowBlank="1" showInputMessage="1" showErrorMessage="1" sqref="G24:H24" xr:uid="{9EEC5354-C6E6-4259-ACE7-08F7611A6D4C}">
      <formula1>"游ゴシック (本文のフォント - 日本語),HGP創英角ﾎﾟｯﾌﾟ体,ＭＳ 明朝,HGPｺﾞｼｯｸE,HG教科書体,Meiryo UI"</formula1>
    </dataValidation>
  </dataValidations>
  <hyperlinks>
    <hyperlink ref="G6" r:id="rId1" display="\\file-sig\S-DTS\システム保守センター\99...一時保管\丸山データ\点検作業" xr:uid="{00000000-0004-0000-0000-000000000000}"/>
    <hyperlink ref="C6" r:id="rId2" display="\\file-sig\S-DTS\システム保守センター\99...一時保管\丸山データ\点検作業" xr:uid="{00000000-0004-0000-0000-000001000000}"/>
    <hyperlink ref="G11" r:id="rId3" display="SSC_ask-G/daifuku-n@daifuku-n; hideki maruyama/DTS/da2; shigeru kametake/DFKPE/da2; yoshio tomita/DFKPE/da2; kazuya hirata/DFKPE/da2; masato kitagawa/DFKPE/da2;" xr:uid="{00000000-0004-0000-0000-000002000000}"/>
    <hyperlink ref="H33" r:id="rId4" display="mailto:takuji_tsukagoshi@ha.daifuku.co.jp" xr:uid="{CF3F126E-E05C-4681-A151-97F7717AD956}"/>
  </hyperlinks>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49153" r:id="rId8" name="Button 1">
              <controlPr defaultSize="0" print="0" autoFill="0" autoPict="0" macro="[0]!main_save_folder_select">
                <anchor moveWithCells="1" sizeWithCells="1">
                  <from>
                    <xdr:col>3</xdr:col>
                    <xdr:colOff>104775</xdr:colOff>
                    <xdr:row>4</xdr:row>
                    <xdr:rowOff>104775</xdr:rowOff>
                  </from>
                  <to>
                    <xdr:col>4</xdr:col>
                    <xdr:colOff>285750</xdr:colOff>
                    <xdr:row>6</xdr:row>
                    <xdr:rowOff>28575</xdr:rowOff>
                  </to>
                </anchor>
              </controlPr>
            </control>
          </mc:Choice>
        </mc:AlternateContent>
        <mc:AlternateContent xmlns:mc="http://schemas.openxmlformats.org/markup-compatibility/2006">
          <mc:Choice Requires="x14">
            <control shapeId="49155" r:id="rId9" name="Button 3">
              <controlPr defaultSize="0" print="0" autoFill="0" autoPict="0" macro="[0]!main_create_file_pass">
                <anchor moveWithCells="1" sizeWithCells="1">
                  <from>
                    <xdr:col>7</xdr:col>
                    <xdr:colOff>104775</xdr:colOff>
                    <xdr:row>4</xdr:row>
                    <xdr:rowOff>142875</xdr:rowOff>
                  </from>
                  <to>
                    <xdr:col>8</xdr:col>
                    <xdr:colOff>161925</xdr:colOff>
                    <xdr:row>5</xdr:row>
                    <xdr:rowOff>371475</xdr:rowOff>
                  </to>
                </anchor>
              </controlPr>
            </control>
          </mc:Choice>
        </mc:AlternateContent>
        <mc:AlternateContent xmlns:mc="http://schemas.openxmlformats.org/markup-compatibility/2006">
          <mc:Choice Requires="x14">
            <control shapeId="49156" r:id="rId10" name="Button 4">
              <controlPr defaultSize="0" print="0" autoFill="0" autoPict="0" macro="[0]!BtnSavePassSelect_Click">
                <anchor moveWithCells="1">
                  <from>
                    <xdr:col>7</xdr:col>
                    <xdr:colOff>123825</xdr:colOff>
                    <xdr:row>6</xdr:row>
                    <xdr:rowOff>123825</xdr:rowOff>
                  </from>
                  <to>
                    <xdr:col>7</xdr:col>
                    <xdr:colOff>3067050</xdr:colOff>
                    <xdr:row>10</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8F147-5EFB-4919-898B-AB10393AC580}">
  <sheetPr codeName="Sheet6">
    <tabColor rgb="FFFF0000"/>
  </sheetPr>
  <dimension ref="C4:N231"/>
  <sheetViews>
    <sheetView tabSelected="1" zoomScale="80" zoomScaleNormal="80" workbookViewId="0">
      <selection activeCell="E31" sqref="E31:H231"/>
    </sheetView>
  </sheetViews>
  <sheetFormatPr defaultRowHeight="13.5" x14ac:dyDescent="0.15"/>
  <cols>
    <col min="4" max="4" width="18.75" bestFit="1" customWidth="1"/>
    <col min="5" max="5" width="113.75" customWidth="1"/>
    <col min="6" max="6" width="6.625" customWidth="1"/>
    <col min="7" max="7" width="19.375" bestFit="1" customWidth="1"/>
    <col min="8" max="8" width="18.625" customWidth="1"/>
    <col min="13" max="13" width="11.375" bestFit="1" customWidth="1"/>
  </cols>
  <sheetData>
    <row r="4" spans="4:14" x14ac:dyDescent="0.15">
      <c r="G4" t="s">
        <v>312</v>
      </c>
    </row>
    <row r="5" spans="4:14" ht="19.5" thickBot="1" x14ac:dyDescent="0.2">
      <c r="D5" s="79" t="s">
        <v>297</v>
      </c>
      <c r="E5" s="79"/>
      <c r="F5" s="74"/>
      <c r="G5" t="s">
        <v>313</v>
      </c>
    </row>
    <row r="6" spans="4:14" ht="14.25" thickTop="1" x14ac:dyDescent="0.15">
      <c r="D6" s="48" t="s">
        <v>283</v>
      </c>
      <c r="E6" s="44"/>
      <c r="M6" s="18" t="s">
        <v>315</v>
      </c>
      <c r="N6" t="s">
        <v>322</v>
      </c>
    </row>
    <row r="7" spans="4:14" ht="20.100000000000001" customHeight="1" x14ac:dyDescent="0.15">
      <c r="D7" s="65" t="s">
        <v>284</v>
      </c>
      <c r="E7" s="66"/>
      <c r="F7" s="75"/>
      <c r="M7" s="18" t="s">
        <v>316</v>
      </c>
      <c r="N7" t="s">
        <v>323</v>
      </c>
    </row>
    <row r="8" spans="4:14" x14ac:dyDescent="0.15">
      <c r="D8" s="49" t="s">
        <v>285</v>
      </c>
      <c r="E8" s="45"/>
      <c r="M8" s="18" t="s">
        <v>317</v>
      </c>
      <c r="N8" t="s">
        <v>5025</v>
      </c>
    </row>
    <row r="9" spans="4:14" x14ac:dyDescent="0.15">
      <c r="D9" s="49" t="s">
        <v>286</v>
      </c>
      <c r="E9" s="45"/>
      <c r="M9" s="18" t="s">
        <v>318</v>
      </c>
      <c r="N9" t="s">
        <v>324</v>
      </c>
    </row>
    <row r="10" spans="4:14" ht="20.100000000000001" customHeight="1" x14ac:dyDescent="0.15">
      <c r="D10" s="65" t="s">
        <v>287</v>
      </c>
      <c r="E10" s="67"/>
      <c r="M10" s="18" t="s">
        <v>319</v>
      </c>
      <c r="N10" t="s">
        <v>5026</v>
      </c>
    </row>
    <row r="11" spans="4:14" x14ac:dyDescent="0.15">
      <c r="D11" s="60" t="s">
        <v>288</v>
      </c>
      <c r="E11" s="45"/>
      <c r="G11" t="s">
        <v>330</v>
      </c>
      <c r="M11" s="18" t="s">
        <v>320</v>
      </c>
      <c r="N11" t="s">
        <v>309</v>
      </c>
    </row>
    <row r="12" spans="4:14" ht="20.100000000000001" customHeight="1" x14ac:dyDescent="0.15">
      <c r="D12" s="65" t="s">
        <v>289</v>
      </c>
      <c r="E12" s="72"/>
      <c r="F12" s="76"/>
      <c r="G12" t="s">
        <v>314</v>
      </c>
      <c r="M12" s="18" t="s">
        <v>321</v>
      </c>
      <c r="N12" t="s">
        <v>7644</v>
      </c>
    </row>
    <row r="13" spans="4:14" x14ac:dyDescent="0.15">
      <c r="D13" s="68" t="s">
        <v>296</v>
      </c>
      <c r="E13" s="50"/>
      <c r="M13" s="18" t="s">
        <v>325</v>
      </c>
      <c r="N13" t="s">
        <v>5162</v>
      </c>
    </row>
    <row r="14" spans="4:14" x14ac:dyDescent="0.15">
      <c r="D14" s="68" t="s">
        <v>298</v>
      </c>
      <c r="E14" s="43"/>
      <c r="M14" s="18" t="s">
        <v>326</v>
      </c>
      <c r="N14" t="s">
        <v>5180</v>
      </c>
    </row>
    <row r="15" spans="4:14" x14ac:dyDescent="0.15">
      <c r="D15" s="49" t="s">
        <v>290</v>
      </c>
      <c r="E15" s="45"/>
      <c r="M15" s="18" t="s">
        <v>327</v>
      </c>
    </row>
    <row r="16" spans="4:14" x14ac:dyDescent="0.15">
      <c r="D16" s="68" t="s">
        <v>295</v>
      </c>
      <c r="E16" s="46"/>
      <c r="F16" s="62"/>
      <c r="M16" s="18" t="s">
        <v>328</v>
      </c>
    </row>
    <row r="17" spans="3:13" x14ac:dyDescent="0.15">
      <c r="D17" s="68" t="s">
        <v>291</v>
      </c>
      <c r="E17" s="46"/>
      <c r="F17" s="62"/>
      <c r="M17" s="18" t="s">
        <v>329</v>
      </c>
    </row>
    <row r="18" spans="3:13" x14ac:dyDescent="0.15">
      <c r="D18" s="49" t="s">
        <v>293</v>
      </c>
      <c r="E18" s="45"/>
      <c r="G18" t="s">
        <v>4938</v>
      </c>
      <c r="M18" s="18" t="s">
        <v>5188</v>
      </c>
    </row>
    <row r="19" spans="3:13" x14ac:dyDescent="0.15">
      <c r="D19" s="68" t="s">
        <v>294</v>
      </c>
      <c r="E19" s="47"/>
      <c r="F19" s="34"/>
      <c r="G19" t="s">
        <v>4939</v>
      </c>
      <c r="M19" s="18" t="s">
        <v>5147</v>
      </c>
    </row>
    <row r="20" spans="3:13" x14ac:dyDescent="0.15">
      <c r="D20" s="68" t="s">
        <v>292</v>
      </c>
      <c r="E20" s="59"/>
      <c r="F20" s="77"/>
      <c r="G20" t="s">
        <v>4940</v>
      </c>
      <c r="M20" s="18" t="s">
        <v>5143</v>
      </c>
    </row>
    <row r="21" spans="3:13" x14ac:dyDescent="0.15">
      <c r="D21" s="68" t="s">
        <v>302</v>
      </c>
      <c r="E21" s="47"/>
      <c r="F21" s="34"/>
      <c r="M21" s="18" t="s">
        <v>5144</v>
      </c>
    </row>
    <row r="22" spans="3:13" x14ac:dyDescent="0.15">
      <c r="D22" s="68" t="s">
        <v>300</v>
      </c>
      <c r="E22" s="43"/>
      <c r="M22" s="18" t="s">
        <v>7486</v>
      </c>
    </row>
    <row r="23" spans="3:13" x14ac:dyDescent="0.15">
      <c r="D23" s="68" t="s">
        <v>301</v>
      </c>
      <c r="E23" s="50"/>
      <c r="M23" s="18" t="s">
        <v>5383</v>
      </c>
    </row>
    <row r="24" spans="3:13" x14ac:dyDescent="0.15">
      <c r="D24" s="36"/>
      <c r="E24" s="37"/>
      <c r="M24" s="18"/>
    </row>
    <row r="25" spans="3:13" x14ac:dyDescent="0.15">
      <c r="D25" s="36"/>
      <c r="E25" s="37"/>
      <c r="M25" s="18"/>
    </row>
    <row r="26" spans="3:13" x14ac:dyDescent="0.15">
      <c r="D26" s="36"/>
      <c r="E26" s="37"/>
      <c r="M26" s="18"/>
    </row>
    <row r="27" spans="3:13" x14ac:dyDescent="0.15">
      <c r="D27" s="36"/>
      <c r="E27" s="37"/>
      <c r="G27" s="40"/>
      <c r="M27" s="18"/>
    </row>
    <row r="28" spans="3:13" x14ac:dyDescent="0.15">
      <c r="D28" s="36"/>
      <c r="E28" s="37"/>
      <c r="G28" s="40"/>
      <c r="M28" s="18"/>
    </row>
    <row r="29" spans="3:13" ht="14.25" thickBot="1" x14ac:dyDescent="0.2">
      <c r="D29" s="38"/>
      <c r="E29" s="39"/>
      <c r="G29" s="40"/>
      <c r="M29" s="18"/>
    </row>
    <row r="30" spans="3:13" ht="43.5" thickTop="1" thickBot="1" x14ac:dyDescent="0.2">
      <c r="D30" s="78" t="s">
        <v>267</v>
      </c>
      <c r="E30" s="78"/>
      <c r="F30" s="74"/>
      <c r="G30" s="40"/>
      <c r="H30" s="73">
        <f>E10</f>
        <v>0</v>
      </c>
      <c r="M30" s="18"/>
    </row>
    <row r="31" spans="3:13" x14ac:dyDescent="0.15">
      <c r="D31" s="53"/>
      <c r="E31" s="58"/>
      <c r="F31" s="34"/>
      <c r="G31" s="40"/>
      <c r="M31" s="18"/>
    </row>
    <row r="32" spans="3:13" x14ac:dyDescent="0.15">
      <c r="C32">
        <v>1</v>
      </c>
      <c r="D32" s="54"/>
      <c r="E32" s="55"/>
      <c r="G32" s="40"/>
      <c r="M32" s="18"/>
    </row>
    <row r="33" spans="3:13" x14ac:dyDescent="0.15">
      <c r="C33">
        <v>2</v>
      </c>
      <c r="D33" s="54"/>
      <c r="E33" s="55"/>
      <c r="G33" s="40"/>
      <c r="M33" s="18"/>
    </row>
    <row r="34" spans="3:13" x14ac:dyDescent="0.15">
      <c r="C34">
        <v>3</v>
      </c>
      <c r="D34" s="54"/>
      <c r="E34" s="55"/>
      <c r="G34" s="40"/>
      <c r="M34" s="18"/>
    </row>
    <row r="35" spans="3:13" x14ac:dyDescent="0.15">
      <c r="C35">
        <v>4</v>
      </c>
      <c r="D35" s="54"/>
      <c r="E35" s="55"/>
      <c r="G35" s="40"/>
    </row>
    <row r="36" spans="3:13" x14ac:dyDescent="0.15">
      <c r="C36">
        <v>5</v>
      </c>
      <c r="D36" s="54"/>
      <c r="E36" s="55"/>
      <c r="G36" s="40"/>
    </row>
    <row r="37" spans="3:13" x14ac:dyDescent="0.15">
      <c r="C37">
        <v>6</v>
      </c>
      <c r="D37" s="54"/>
      <c r="E37" s="55"/>
      <c r="G37" s="40"/>
    </row>
    <row r="38" spans="3:13" x14ac:dyDescent="0.15">
      <c r="C38">
        <v>7</v>
      </c>
      <c r="D38" s="54"/>
      <c r="E38" s="55"/>
      <c r="G38" s="40"/>
    </row>
    <row r="39" spans="3:13" x14ac:dyDescent="0.15">
      <c r="C39">
        <v>8</v>
      </c>
      <c r="D39" s="54"/>
      <c r="E39" s="55"/>
      <c r="G39" s="40"/>
    </row>
    <row r="40" spans="3:13" x14ac:dyDescent="0.15">
      <c r="C40">
        <v>9</v>
      </c>
      <c r="D40" s="54"/>
      <c r="E40" s="55"/>
      <c r="G40" s="40"/>
    </row>
    <row r="41" spans="3:13" x14ac:dyDescent="0.15">
      <c r="C41">
        <v>10</v>
      </c>
      <c r="D41" s="54"/>
      <c r="E41" s="55"/>
      <c r="G41" s="40"/>
    </row>
    <row r="42" spans="3:13" x14ac:dyDescent="0.15">
      <c r="C42">
        <v>11</v>
      </c>
      <c r="D42" s="54"/>
      <c r="E42" s="55"/>
      <c r="G42" s="40"/>
    </row>
    <row r="43" spans="3:13" x14ac:dyDescent="0.15">
      <c r="C43">
        <v>12</v>
      </c>
      <c r="D43" s="54"/>
      <c r="E43" s="55"/>
      <c r="G43" s="40"/>
    </row>
    <row r="44" spans="3:13" x14ac:dyDescent="0.15">
      <c r="C44">
        <v>13</v>
      </c>
      <c r="D44" s="54"/>
      <c r="E44" s="55"/>
      <c r="G44" s="40"/>
    </row>
    <row r="45" spans="3:13" x14ac:dyDescent="0.15">
      <c r="C45">
        <v>14</v>
      </c>
      <c r="D45" s="54"/>
      <c r="E45" s="55"/>
      <c r="G45" s="40"/>
    </row>
    <row r="46" spans="3:13" x14ac:dyDescent="0.15">
      <c r="C46">
        <v>15</v>
      </c>
      <c r="D46" s="54"/>
      <c r="E46" s="55"/>
      <c r="G46" s="40"/>
    </row>
    <row r="47" spans="3:13" x14ac:dyDescent="0.15">
      <c r="C47">
        <v>16</v>
      </c>
      <c r="D47" s="54"/>
      <c r="E47" s="55"/>
      <c r="G47" s="40"/>
    </row>
    <row r="48" spans="3:13" x14ac:dyDescent="0.15">
      <c r="C48">
        <v>17</v>
      </c>
      <c r="D48" s="54"/>
      <c r="E48" s="55"/>
    </row>
    <row r="49" spans="3:5" x14ac:dyDescent="0.15">
      <c r="C49">
        <v>18</v>
      </c>
      <c r="D49" s="54"/>
      <c r="E49" s="55"/>
    </row>
    <row r="50" spans="3:5" x14ac:dyDescent="0.15">
      <c r="C50">
        <v>19</v>
      </c>
      <c r="D50" s="54"/>
      <c r="E50" s="55"/>
    </row>
    <row r="51" spans="3:5" x14ac:dyDescent="0.15">
      <c r="C51">
        <v>20</v>
      </c>
      <c r="D51" s="54"/>
      <c r="E51" s="55"/>
    </row>
    <row r="52" spans="3:5" x14ac:dyDescent="0.15">
      <c r="C52">
        <v>21</v>
      </c>
      <c r="D52" s="54"/>
      <c r="E52" s="55"/>
    </row>
    <row r="53" spans="3:5" x14ac:dyDescent="0.15">
      <c r="C53">
        <v>22</v>
      </c>
      <c r="D53" s="54"/>
      <c r="E53" s="55"/>
    </row>
    <row r="54" spans="3:5" x14ac:dyDescent="0.15">
      <c r="C54">
        <v>23</v>
      </c>
      <c r="D54" s="54"/>
      <c r="E54" s="55"/>
    </row>
    <row r="55" spans="3:5" x14ac:dyDescent="0.15">
      <c r="C55">
        <v>24</v>
      </c>
      <c r="D55" s="54"/>
      <c r="E55" s="55"/>
    </row>
    <row r="56" spans="3:5" x14ac:dyDescent="0.15">
      <c r="C56">
        <v>25</v>
      </c>
      <c r="D56" s="54"/>
      <c r="E56" s="55"/>
    </row>
    <row r="57" spans="3:5" x14ac:dyDescent="0.15">
      <c r="C57">
        <v>26</v>
      </c>
      <c r="D57" s="54"/>
      <c r="E57" s="55"/>
    </row>
    <row r="58" spans="3:5" x14ac:dyDescent="0.15">
      <c r="C58">
        <v>27</v>
      </c>
      <c r="D58" s="54"/>
      <c r="E58" s="55"/>
    </row>
    <row r="59" spans="3:5" x14ac:dyDescent="0.15">
      <c r="C59">
        <v>28</v>
      </c>
      <c r="D59" s="54"/>
      <c r="E59" s="55"/>
    </row>
    <row r="60" spans="3:5" x14ac:dyDescent="0.15">
      <c r="C60">
        <v>29</v>
      </c>
      <c r="D60" s="54"/>
      <c r="E60" s="55"/>
    </row>
    <row r="61" spans="3:5" x14ac:dyDescent="0.15">
      <c r="C61">
        <v>30</v>
      </c>
      <c r="D61" s="54">
        <v>1</v>
      </c>
      <c r="E61" s="55"/>
    </row>
    <row r="62" spans="3:5" x14ac:dyDescent="0.15">
      <c r="C62">
        <v>31</v>
      </c>
      <c r="D62" s="54"/>
      <c r="E62" s="55"/>
    </row>
    <row r="63" spans="3:5" x14ac:dyDescent="0.15">
      <c r="C63">
        <v>32</v>
      </c>
      <c r="D63" s="54"/>
      <c r="E63" s="55"/>
    </row>
    <row r="64" spans="3:5" x14ac:dyDescent="0.15">
      <c r="C64">
        <v>33</v>
      </c>
      <c r="D64" s="54"/>
      <c r="E64" s="55"/>
    </row>
    <row r="65" spans="3:5" x14ac:dyDescent="0.15">
      <c r="C65">
        <v>34</v>
      </c>
      <c r="D65" s="54"/>
      <c r="E65" s="55"/>
    </row>
    <row r="66" spans="3:5" x14ac:dyDescent="0.15">
      <c r="C66">
        <v>35</v>
      </c>
      <c r="D66" s="54"/>
      <c r="E66" s="55"/>
    </row>
    <row r="67" spans="3:5" x14ac:dyDescent="0.15">
      <c r="C67">
        <v>36</v>
      </c>
      <c r="D67" s="54"/>
      <c r="E67" s="55"/>
    </row>
    <row r="68" spans="3:5" x14ac:dyDescent="0.15">
      <c r="C68">
        <v>37</v>
      </c>
      <c r="D68" s="54"/>
      <c r="E68" s="55"/>
    </row>
    <row r="69" spans="3:5" x14ac:dyDescent="0.15">
      <c r="C69">
        <v>38</v>
      </c>
      <c r="D69" s="54"/>
      <c r="E69" s="55"/>
    </row>
    <row r="70" spans="3:5" x14ac:dyDescent="0.15">
      <c r="C70">
        <v>39</v>
      </c>
      <c r="D70" s="54"/>
      <c r="E70" s="55"/>
    </row>
    <row r="71" spans="3:5" x14ac:dyDescent="0.15">
      <c r="C71">
        <v>40</v>
      </c>
      <c r="D71" s="63"/>
      <c r="E71" s="55"/>
    </row>
    <row r="72" spans="3:5" x14ac:dyDescent="0.15">
      <c r="C72">
        <v>41</v>
      </c>
      <c r="D72" s="54"/>
      <c r="E72" s="55"/>
    </row>
    <row r="73" spans="3:5" x14ac:dyDescent="0.15">
      <c r="C73">
        <v>42</v>
      </c>
      <c r="D73" s="54"/>
      <c r="E73" s="55"/>
    </row>
    <row r="74" spans="3:5" x14ac:dyDescent="0.15">
      <c r="C74">
        <v>43</v>
      </c>
      <c r="D74" s="54"/>
      <c r="E74" s="55"/>
    </row>
    <row r="75" spans="3:5" x14ac:dyDescent="0.15">
      <c r="C75">
        <v>44</v>
      </c>
      <c r="D75" s="54"/>
      <c r="E75" s="55"/>
    </row>
    <row r="76" spans="3:5" x14ac:dyDescent="0.15">
      <c r="C76">
        <v>45</v>
      </c>
      <c r="D76" s="54"/>
      <c r="E76" s="55"/>
    </row>
    <row r="77" spans="3:5" x14ac:dyDescent="0.15">
      <c r="C77">
        <v>46</v>
      </c>
      <c r="D77" s="54"/>
      <c r="E77" s="55"/>
    </row>
    <row r="78" spans="3:5" x14ac:dyDescent="0.15">
      <c r="C78">
        <v>47</v>
      </c>
      <c r="D78" s="54"/>
      <c r="E78" s="55"/>
    </row>
    <row r="79" spans="3:5" x14ac:dyDescent="0.15">
      <c r="C79">
        <v>48</v>
      </c>
      <c r="D79" s="54"/>
      <c r="E79" s="55"/>
    </row>
    <row r="80" spans="3:5" x14ac:dyDescent="0.15">
      <c r="C80">
        <v>49</v>
      </c>
      <c r="D80" s="54"/>
      <c r="E80" s="55"/>
    </row>
    <row r="81" spans="3:5" x14ac:dyDescent="0.15">
      <c r="C81">
        <v>50</v>
      </c>
      <c r="D81" s="54"/>
      <c r="E81" s="55"/>
    </row>
    <row r="82" spans="3:5" x14ac:dyDescent="0.15">
      <c r="C82">
        <v>51</v>
      </c>
      <c r="D82" s="54"/>
      <c r="E82" s="55"/>
    </row>
    <row r="83" spans="3:5" x14ac:dyDescent="0.15">
      <c r="C83">
        <v>52</v>
      </c>
      <c r="D83" s="54"/>
      <c r="E83" s="55"/>
    </row>
    <row r="84" spans="3:5" x14ac:dyDescent="0.15">
      <c r="C84">
        <v>53</v>
      </c>
      <c r="D84" s="54"/>
      <c r="E84" s="55"/>
    </row>
    <row r="85" spans="3:5" x14ac:dyDescent="0.15">
      <c r="C85">
        <v>54</v>
      </c>
      <c r="D85" s="54"/>
      <c r="E85" s="55"/>
    </row>
    <row r="86" spans="3:5" x14ac:dyDescent="0.15">
      <c r="C86">
        <v>55</v>
      </c>
      <c r="D86" s="54"/>
      <c r="E86" s="55"/>
    </row>
    <row r="87" spans="3:5" x14ac:dyDescent="0.15">
      <c r="C87">
        <v>56</v>
      </c>
      <c r="D87" s="54"/>
      <c r="E87" s="55"/>
    </row>
    <row r="88" spans="3:5" x14ac:dyDescent="0.15">
      <c r="C88">
        <v>57</v>
      </c>
      <c r="D88" s="54"/>
      <c r="E88" s="55"/>
    </row>
    <row r="89" spans="3:5" x14ac:dyDescent="0.15">
      <c r="C89">
        <v>58</v>
      </c>
      <c r="D89" s="54"/>
      <c r="E89" s="55"/>
    </row>
    <row r="90" spans="3:5" x14ac:dyDescent="0.15">
      <c r="C90">
        <v>59</v>
      </c>
      <c r="D90" s="54"/>
      <c r="E90" s="55"/>
    </row>
    <row r="91" spans="3:5" x14ac:dyDescent="0.15">
      <c r="C91">
        <v>60</v>
      </c>
      <c r="D91" s="54"/>
      <c r="E91" s="55"/>
    </row>
    <row r="92" spans="3:5" x14ac:dyDescent="0.15">
      <c r="C92">
        <v>61</v>
      </c>
      <c r="D92" s="54"/>
      <c r="E92" s="55"/>
    </row>
    <row r="93" spans="3:5" x14ac:dyDescent="0.15">
      <c r="C93">
        <v>62</v>
      </c>
      <c r="D93" s="54"/>
      <c r="E93" s="55"/>
    </row>
    <row r="94" spans="3:5" x14ac:dyDescent="0.15">
      <c r="C94">
        <v>63</v>
      </c>
      <c r="D94" s="54"/>
      <c r="E94" s="55"/>
    </row>
    <row r="95" spans="3:5" x14ac:dyDescent="0.15">
      <c r="C95">
        <v>64</v>
      </c>
      <c r="D95" s="54"/>
      <c r="E95" s="55"/>
    </row>
    <row r="96" spans="3:5" x14ac:dyDescent="0.15">
      <c r="C96">
        <v>65</v>
      </c>
      <c r="D96" s="54"/>
      <c r="E96" s="55"/>
    </row>
    <row r="97" spans="3:5" x14ac:dyDescent="0.15">
      <c r="C97">
        <v>66</v>
      </c>
      <c r="D97" s="54"/>
      <c r="E97" s="55"/>
    </row>
    <row r="98" spans="3:5" x14ac:dyDescent="0.15">
      <c r="C98">
        <v>67</v>
      </c>
      <c r="D98" s="54"/>
      <c r="E98" s="55"/>
    </row>
    <row r="99" spans="3:5" x14ac:dyDescent="0.15">
      <c r="C99">
        <v>68</v>
      </c>
      <c r="D99" s="54"/>
      <c r="E99" s="55"/>
    </row>
    <row r="100" spans="3:5" x14ac:dyDescent="0.15">
      <c r="C100">
        <v>69</v>
      </c>
      <c r="D100" s="54"/>
      <c r="E100" s="55"/>
    </row>
    <row r="101" spans="3:5" x14ac:dyDescent="0.15">
      <c r="C101">
        <v>70</v>
      </c>
      <c r="D101" s="54"/>
      <c r="E101" s="55"/>
    </row>
    <row r="102" spans="3:5" x14ac:dyDescent="0.15">
      <c r="C102">
        <v>71</v>
      </c>
      <c r="D102" s="54"/>
      <c r="E102" s="55"/>
    </row>
    <row r="103" spans="3:5" x14ac:dyDescent="0.15">
      <c r="C103">
        <v>72</v>
      </c>
      <c r="D103" s="54"/>
      <c r="E103" s="55"/>
    </row>
    <row r="104" spans="3:5" x14ac:dyDescent="0.15">
      <c r="C104">
        <v>73</v>
      </c>
      <c r="D104" s="54"/>
      <c r="E104" s="55"/>
    </row>
    <row r="105" spans="3:5" x14ac:dyDescent="0.15">
      <c r="C105">
        <v>74</v>
      </c>
      <c r="D105" s="54"/>
      <c r="E105" s="55"/>
    </row>
    <row r="106" spans="3:5" x14ac:dyDescent="0.15">
      <c r="C106">
        <v>75</v>
      </c>
      <c r="D106" s="54"/>
      <c r="E106" s="55"/>
    </row>
    <row r="107" spans="3:5" x14ac:dyDescent="0.15">
      <c r="C107">
        <v>76</v>
      </c>
      <c r="D107" s="54"/>
      <c r="E107" s="55"/>
    </row>
    <row r="108" spans="3:5" x14ac:dyDescent="0.15">
      <c r="C108">
        <v>77</v>
      </c>
      <c r="D108" s="54"/>
      <c r="E108" s="55"/>
    </row>
    <row r="109" spans="3:5" x14ac:dyDescent="0.15">
      <c r="C109">
        <v>78</v>
      </c>
      <c r="D109" s="54"/>
      <c r="E109" s="55"/>
    </row>
    <row r="110" spans="3:5" x14ac:dyDescent="0.15">
      <c r="C110">
        <v>79</v>
      </c>
      <c r="D110" s="54"/>
      <c r="E110" s="55"/>
    </row>
    <row r="111" spans="3:5" x14ac:dyDescent="0.15">
      <c r="C111">
        <v>80</v>
      </c>
      <c r="D111" s="54"/>
      <c r="E111" s="55"/>
    </row>
    <row r="112" spans="3:5" x14ac:dyDescent="0.15">
      <c r="C112">
        <v>81</v>
      </c>
      <c r="D112" s="54"/>
      <c r="E112" s="55"/>
    </row>
    <row r="113" spans="3:5" x14ac:dyDescent="0.15">
      <c r="C113">
        <v>82</v>
      </c>
      <c r="D113" s="54"/>
      <c r="E113" s="55"/>
    </row>
    <row r="114" spans="3:5" x14ac:dyDescent="0.15">
      <c r="C114">
        <v>83</v>
      </c>
      <c r="D114" s="54"/>
      <c r="E114" s="55"/>
    </row>
    <row r="115" spans="3:5" x14ac:dyDescent="0.15">
      <c r="C115">
        <v>84</v>
      </c>
      <c r="D115" s="54"/>
      <c r="E115" s="55"/>
    </row>
    <row r="116" spans="3:5" x14ac:dyDescent="0.15">
      <c r="C116">
        <v>85</v>
      </c>
      <c r="D116" s="54"/>
      <c r="E116" s="55"/>
    </row>
    <row r="117" spans="3:5" x14ac:dyDescent="0.15">
      <c r="C117">
        <v>86</v>
      </c>
      <c r="D117" s="54"/>
      <c r="E117" s="55"/>
    </row>
    <row r="118" spans="3:5" x14ac:dyDescent="0.15">
      <c r="C118">
        <v>87</v>
      </c>
      <c r="D118" s="54"/>
      <c r="E118" s="55"/>
    </row>
    <row r="119" spans="3:5" x14ac:dyDescent="0.15">
      <c r="C119">
        <v>88</v>
      </c>
      <c r="D119" s="54"/>
      <c r="E119" s="55"/>
    </row>
    <row r="120" spans="3:5" x14ac:dyDescent="0.15">
      <c r="C120">
        <v>89</v>
      </c>
      <c r="D120" s="54"/>
      <c r="E120" s="55"/>
    </row>
    <row r="121" spans="3:5" x14ac:dyDescent="0.15">
      <c r="C121">
        <v>90</v>
      </c>
      <c r="D121" s="54"/>
      <c r="E121" s="55"/>
    </row>
    <row r="122" spans="3:5" x14ac:dyDescent="0.15">
      <c r="C122">
        <v>91</v>
      </c>
      <c r="D122" s="54"/>
      <c r="E122" s="55"/>
    </row>
    <row r="123" spans="3:5" x14ac:dyDescent="0.15">
      <c r="C123">
        <v>92</v>
      </c>
      <c r="D123" s="54"/>
      <c r="E123" s="55"/>
    </row>
    <row r="124" spans="3:5" x14ac:dyDescent="0.15">
      <c r="C124">
        <v>93</v>
      </c>
      <c r="D124" s="54"/>
      <c r="E124" s="55"/>
    </row>
    <row r="125" spans="3:5" x14ac:dyDescent="0.15">
      <c r="C125">
        <v>94</v>
      </c>
      <c r="D125" s="54"/>
      <c r="E125" s="55"/>
    </row>
    <row r="126" spans="3:5" x14ac:dyDescent="0.15">
      <c r="C126">
        <v>95</v>
      </c>
      <c r="D126" s="54"/>
      <c r="E126" s="55"/>
    </row>
    <row r="127" spans="3:5" x14ac:dyDescent="0.15">
      <c r="C127">
        <v>96</v>
      </c>
      <c r="D127" s="54"/>
      <c r="E127" s="55"/>
    </row>
    <row r="128" spans="3:5" x14ac:dyDescent="0.15">
      <c r="C128">
        <v>97</v>
      </c>
      <c r="D128" s="54"/>
      <c r="E128" s="55"/>
    </row>
    <row r="129" spans="3:5" x14ac:dyDescent="0.15">
      <c r="C129">
        <v>98</v>
      </c>
      <c r="D129" s="54"/>
      <c r="E129" s="55"/>
    </row>
    <row r="130" spans="3:5" x14ac:dyDescent="0.15">
      <c r="C130">
        <v>99</v>
      </c>
      <c r="D130" s="54"/>
      <c r="E130" s="55"/>
    </row>
    <row r="131" spans="3:5" x14ac:dyDescent="0.15">
      <c r="C131">
        <v>100</v>
      </c>
      <c r="D131" s="54"/>
      <c r="E131" s="55"/>
    </row>
    <row r="132" spans="3:5" x14ac:dyDescent="0.15">
      <c r="C132">
        <v>101</v>
      </c>
      <c r="D132" s="54"/>
      <c r="E132" s="55"/>
    </row>
    <row r="133" spans="3:5" x14ac:dyDescent="0.15">
      <c r="C133">
        <v>102</v>
      </c>
      <c r="D133" s="54"/>
      <c r="E133" s="55"/>
    </row>
    <row r="134" spans="3:5" x14ac:dyDescent="0.15">
      <c r="C134">
        <v>103</v>
      </c>
      <c r="D134" s="54"/>
      <c r="E134" s="55"/>
    </row>
    <row r="135" spans="3:5" x14ac:dyDescent="0.15">
      <c r="C135">
        <v>104</v>
      </c>
      <c r="D135" s="54"/>
      <c r="E135" s="55"/>
    </row>
    <row r="136" spans="3:5" x14ac:dyDescent="0.15">
      <c r="C136">
        <v>105</v>
      </c>
      <c r="D136" s="54"/>
      <c r="E136" s="55"/>
    </row>
    <row r="137" spans="3:5" x14ac:dyDescent="0.15">
      <c r="C137">
        <v>106</v>
      </c>
      <c r="D137" s="54"/>
      <c r="E137" s="55"/>
    </row>
    <row r="138" spans="3:5" x14ac:dyDescent="0.15">
      <c r="C138">
        <v>107</v>
      </c>
      <c r="D138" s="54"/>
      <c r="E138" s="55"/>
    </row>
    <row r="139" spans="3:5" x14ac:dyDescent="0.15">
      <c r="C139">
        <v>108</v>
      </c>
      <c r="D139" s="54"/>
      <c r="E139" s="55"/>
    </row>
    <row r="140" spans="3:5" x14ac:dyDescent="0.15">
      <c r="C140">
        <v>109</v>
      </c>
      <c r="D140" s="54"/>
      <c r="E140" s="55"/>
    </row>
    <row r="141" spans="3:5" x14ac:dyDescent="0.15">
      <c r="C141">
        <v>110</v>
      </c>
      <c r="D141" s="54"/>
      <c r="E141" s="55"/>
    </row>
    <row r="142" spans="3:5" x14ac:dyDescent="0.15">
      <c r="C142">
        <v>111</v>
      </c>
      <c r="D142" s="54"/>
      <c r="E142" s="55"/>
    </row>
    <row r="143" spans="3:5" x14ac:dyDescent="0.15">
      <c r="C143">
        <v>112</v>
      </c>
      <c r="D143" s="54"/>
      <c r="E143" s="55"/>
    </row>
    <row r="144" spans="3:5" x14ac:dyDescent="0.15">
      <c r="C144">
        <v>113</v>
      </c>
      <c r="D144" s="54"/>
      <c r="E144" s="55"/>
    </row>
    <row r="145" spans="3:5" x14ac:dyDescent="0.15">
      <c r="C145">
        <v>114</v>
      </c>
      <c r="D145" s="54"/>
      <c r="E145" s="55"/>
    </row>
    <row r="146" spans="3:5" x14ac:dyDescent="0.15">
      <c r="C146">
        <v>115</v>
      </c>
      <c r="D146" s="54"/>
      <c r="E146" s="55"/>
    </row>
    <row r="147" spans="3:5" x14ac:dyDescent="0.15">
      <c r="C147">
        <v>116</v>
      </c>
      <c r="D147" s="54"/>
      <c r="E147" s="55"/>
    </row>
    <row r="148" spans="3:5" x14ac:dyDescent="0.15">
      <c r="C148">
        <v>117</v>
      </c>
      <c r="D148" s="54"/>
      <c r="E148" s="55"/>
    </row>
    <row r="149" spans="3:5" x14ac:dyDescent="0.15">
      <c r="C149">
        <v>118</v>
      </c>
      <c r="D149" s="54"/>
      <c r="E149" s="55"/>
    </row>
    <row r="150" spans="3:5" x14ac:dyDescent="0.15">
      <c r="C150">
        <v>119</v>
      </c>
      <c r="D150" s="54"/>
      <c r="E150" s="55"/>
    </row>
    <row r="151" spans="3:5" x14ac:dyDescent="0.15">
      <c r="C151">
        <v>120</v>
      </c>
      <c r="D151" s="54"/>
      <c r="E151" s="55"/>
    </row>
    <row r="152" spans="3:5" x14ac:dyDescent="0.15">
      <c r="C152">
        <v>121</v>
      </c>
      <c r="D152" s="54"/>
      <c r="E152" s="55"/>
    </row>
    <row r="153" spans="3:5" x14ac:dyDescent="0.15">
      <c r="C153">
        <v>122</v>
      </c>
      <c r="D153" s="54"/>
      <c r="E153" s="55"/>
    </row>
    <row r="154" spans="3:5" x14ac:dyDescent="0.15">
      <c r="C154">
        <v>123</v>
      </c>
      <c r="D154" s="54"/>
      <c r="E154" s="55"/>
    </row>
    <row r="155" spans="3:5" x14ac:dyDescent="0.15">
      <c r="C155">
        <v>124</v>
      </c>
      <c r="D155" s="54"/>
      <c r="E155" s="55"/>
    </row>
    <row r="156" spans="3:5" x14ac:dyDescent="0.15">
      <c r="C156">
        <v>125</v>
      </c>
      <c r="D156" s="54"/>
      <c r="E156" s="55"/>
    </row>
    <row r="157" spans="3:5" x14ac:dyDescent="0.15">
      <c r="C157">
        <v>126</v>
      </c>
      <c r="D157" s="54"/>
      <c r="E157" s="55"/>
    </row>
    <row r="158" spans="3:5" x14ac:dyDescent="0.15">
      <c r="C158">
        <v>127</v>
      </c>
      <c r="D158" s="54"/>
      <c r="E158" s="55"/>
    </row>
    <row r="159" spans="3:5" x14ac:dyDescent="0.15">
      <c r="C159">
        <v>128</v>
      </c>
      <c r="D159" s="54"/>
      <c r="E159" s="55"/>
    </row>
    <row r="160" spans="3:5" x14ac:dyDescent="0.15">
      <c r="C160">
        <v>129</v>
      </c>
      <c r="D160" s="54"/>
      <c r="E160" s="55"/>
    </row>
    <row r="161" spans="3:5" x14ac:dyDescent="0.15">
      <c r="C161">
        <v>130</v>
      </c>
      <c r="D161" s="54"/>
      <c r="E161" s="55"/>
    </row>
    <row r="162" spans="3:5" x14ac:dyDescent="0.15">
      <c r="C162">
        <v>131</v>
      </c>
      <c r="D162" s="54"/>
      <c r="E162" s="55"/>
    </row>
    <row r="163" spans="3:5" x14ac:dyDescent="0.15">
      <c r="C163">
        <v>132</v>
      </c>
      <c r="D163" s="54"/>
      <c r="E163" s="55"/>
    </row>
    <row r="164" spans="3:5" x14ac:dyDescent="0.15">
      <c r="C164">
        <v>133</v>
      </c>
      <c r="D164" s="54"/>
      <c r="E164" s="55"/>
    </row>
    <row r="165" spans="3:5" x14ac:dyDescent="0.15">
      <c r="C165">
        <v>134</v>
      </c>
      <c r="D165" s="54"/>
      <c r="E165" s="55"/>
    </row>
    <row r="166" spans="3:5" x14ac:dyDescent="0.15">
      <c r="C166">
        <v>135</v>
      </c>
      <c r="D166" s="54"/>
      <c r="E166" s="55"/>
    </row>
    <row r="167" spans="3:5" x14ac:dyDescent="0.15">
      <c r="C167">
        <v>136</v>
      </c>
      <c r="D167" s="54"/>
      <c r="E167" s="55"/>
    </row>
    <row r="168" spans="3:5" x14ac:dyDescent="0.15">
      <c r="C168">
        <v>137</v>
      </c>
      <c r="D168" s="54"/>
      <c r="E168" s="55"/>
    </row>
    <row r="169" spans="3:5" x14ac:dyDescent="0.15">
      <c r="C169">
        <v>138</v>
      </c>
      <c r="D169" s="54"/>
      <c r="E169" s="55"/>
    </row>
    <row r="170" spans="3:5" x14ac:dyDescent="0.15">
      <c r="C170">
        <v>139</v>
      </c>
      <c r="D170" s="54"/>
      <c r="E170" s="55"/>
    </row>
    <row r="171" spans="3:5" x14ac:dyDescent="0.15">
      <c r="C171">
        <v>140</v>
      </c>
      <c r="D171" s="54"/>
      <c r="E171" s="55"/>
    </row>
    <row r="172" spans="3:5" x14ac:dyDescent="0.15">
      <c r="C172">
        <v>141</v>
      </c>
      <c r="D172" s="54"/>
      <c r="E172" s="55"/>
    </row>
    <row r="173" spans="3:5" x14ac:dyDescent="0.15">
      <c r="C173">
        <v>142</v>
      </c>
      <c r="D173" s="54"/>
      <c r="E173" s="55"/>
    </row>
    <row r="174" spans="3:5" x14ac:dyDescent="0.15">
      <c r="C174">
        <v>143</v>
      </c>
      <c r="D174" s="54"/>
      <c r="E174" s="55"/>
    </row>
    <row r="175" spans="3:5" x14ac:dyDescent="0.15">
      <c r="C175">
        <v>144</v>
      </c>
      <c r="D175" s="54"/>
      <c r="E175" s="55"/>
    </row>
    <row r="176" spans="3:5" x14ac:dyDescent="0.15">
      <c r="C176">
        <v>145</v>
      </c>
      <c r="D176" s="54"/>
      <c r="E176" s="55"/>
    </row>
    <row r="177" spans="3:5" x14ac:dyDescent="0.15">
      <c r="C177">
        <v>146</v>
      </c>
      <c r="D177" s="54"/>
      <c r="E177" s="55"/>
    </row>
    <row r="178" spans="3:5" x14ac:dyDescent="0.15">
      <c r="C178">
        <v>147</v>
      </c>
      <c r="D178" s="54"/>
      <c r="E178" s="55"/>
    </row>
    <row r="179" spans="3:5" x14ac:dyDescent="0.15">
      <c r="C179">
        <v>148</v>
      </c>
      <c r="D179" s="54"/>
      <c r="E179" s="55"/>
    </row>
    <row r="180" spans="3:5" x14ac:dyDescent="0.15">
      <c r="C180">
        <v>149</v>
      </c>
      <c r="D180" s="54"/>
      <c r="E180" s="55"/>
    </row>
    <row r="181" spans="3:5" x14ac:dyDescent="0.15">
      <c r="C181">
        <v>150</v>
      </c>
      <c r="D181" s="54"/>
      <c r="E181" s="55"/>
    </row>
    <row r="182" spans="3:5" x14ac:dyDescent="0.15">
      <c r="C182">
        <v>151</v>
      </c>
      <c r="D182" s="54"/>
      <c r="E182" s="55"/>
    </row>
    <row r="183" spans="3:5" x14ac:dyDescent="0.15">
      <c r="C183">
        <v>152</v>
      </c>
      <c r="D183" s="54"/>
      <c r="E183" s="55"/>
    </row>
    <row r="184" spans="3:5" x14ac:dyDescent="0.15">
      <c r="C184">
        <v>153</v>
      </c>
      <c r="D184" s="54"/>
      <c r="E184" s="55"/>
    </row>
    <row r="185" spans="3:5" x14ac:dyDescent="0.15">
      <c r="C185">
        <v>154</v>
      </c>
      <c r="D185" s="54"/>
      <c r="E185" s="55"/>
    </row>
    <row r="186" spans="3:5" x14ac:dyDescent="0.15">
      <c r="C186">
        <v>155</v>
      </c>
      <c r="D186" s="54"/>
      <c r="E186" s="55"/>
    </row>
    <row r="187" spans="3:5" x14ac:dyDescent="0.15">
      <c r="C187">
        <v>156</v>
      </c>
      <c r="D187" s="54"/>
      <c r="E187" s="55"/>
    </row>
    <row r="188" spans="3:5" x14ac:dyDescent="0.15">
      <c r="C188">
        <v>157</v>
      </c>
      <c r="D188" s="54"/>
      <c r="E188" s="55"/>
    </row>
    <row r="189" spans="3:5" x14ac:dyDescent="0.15">
      <c r="C189">
        <v>158</v>
      </c>
      <c r="D189" s="54"/>
      <c r="E189" s="55"/>
    </row>
    <row r="190" spans="3:5" x14ac:dyDescent="0.15">
      <c r="C190">
        <v>159</v>
      </c>
      <c r="D190" s="54"/>
      <c r="E190" s="55"/>
    </row>
    <row r="191" spans="3:5" x14ac:dyDescent="0.15">
      <c r="C191">
        <v>160</v>
      </c>
      <c r="D191" s="54"/>
      <c r="E191" s="55"/>
    </row>
    <row r="192" spans="3:5" x14ac:dyDescent="0.15">
      <c r="C192">
        <v>161</v>
      </c>
      <c r="D192" s="54"/>
      <c r="E192" s="55"/>
    </row>
    <row r="193" spans="3:5" x14ac:dyDescent="0.15">
      <c r="C193">
        <v>162</v>
      </c>
      <c r="D193" s="54"/>
      <c r="E193" s="55"/>
    </row>
    <row r="194" spans="3:5" x14ac:dyDescent="0.15">
      <c r="C194">
        <v>163</v>
      </c>
      <c r="D194" s="54"/>
      <c r="E194" s="55"/>
    </row>
    <row r="195" spans="3:5" x14ac:dyDescent="0.15">
      <c r="C195">
        <v>164</v>
      </c>
      <c r="D195" s="54"/>
      <c r="E195" s="55"/>
    </row>
    <row r="196" spans="3:5" x14ac:dyDescent="0.15">
      <c r="C196">
        <v>165</v>
      </c>
      <c r="D196" s="54"/>
      <c r="E196" s="55"/>
    </row>
    <row r="197" spans="3:5" x14ac:dyDescent="0.15">
      <c r="C197">
        <v>166</v>
      </c>
      <c r="D197" s="54"/>
      <c r="E197" s="55"/>
    </row>
    <row r="198" spans="3:5" x14ac:dyDescent="0.15">
      <c r="C198">
        <v>167</v>
      </c>
      <c r="D198" s="54"/>
      <c r="E198" s="55"/>
    </row>
    <row r="199" spans="3:5" x14ac:dyDescent="0.15">
      <c r="C199">
        <v>168</v>
      </c>
      <c r="D199" s="54"/>
      <c r="E199" s="55"/>
    </row>
    <row r="200" spans="3:5" x14ac:dyDescent="0.15">
      <c r="C200">
        <v>169</v>
      </c>
      <c r="D200" s="54"/>
      <c r="E200" s="55"/>
    </row>
    <row r="201" spans="3:5" x14ac:dyDescent="0.15">
      <c r="C201">
        <v>170</v>
      </c>
      <c r="D201" s="54"/>
      <c r="E201" s="55"/>
    </row>
    <row r="202" spans="3:5" x14ac:dyDescent="0.15">
      <c r="C202">
        <v>171</v>
      </c>
      <c r="D202" s="54"/>
      <c r="E202" s="55"/>
    </row>
    <row r="203" spans="3:5" x14ac:dyDescent="0.15">
      <c r="C203">
        <v>172</v>
      </c>
      <c r="D203" s="54"/>
      <c r="E203" s="55"/>
    </row>
    <row r="204" spans="3:5" x14ac:dyDescent="0.15">
      <c r="C204">
        <v>173</v>
      </c>
      <c r="D204" s="54"/>
      <c r="E204" s="55"/>
    </row>
    <row r="205" spans="3:5" x14ac:dyDescent="0.15">
      <c r="C205">
        <v>174</v>
      </c>
      <c r="D205" s="54"/>
      <c r="E205" s="55"/>
    </row>
    <row r="206" spans="3:5" x14ac:dyDescent="0.15">
      <c r="C206">
        <v>175</v>
      </c>
      <c r="D206" s="54"/>
      <c r="E206" s="55"/>
    </row>
    <row r="207" spans="3:5" x14ac:dyDescent="0.15">
      <c r="C207">
        <v>176</v>
      </c>
      <c r="D207" s="54"/>
      <c r="E207" s="55"/>
    </row>
    <row r="208" spans="3:5" x14ac:dyDescent="0.15">
      <c r="C208">
        <v>177</v>
      </c>
      <c r="D208" s="54"/>
      <c r="E208" s="55"/>
    </row>
    <row r="209" spans="3:5" x14ac:dyDescent="0.15">
      <c r="C209">
        <v>178</v>
      </c>
      <c r="D209" s="54"/>
      <c r="E209" s="55"/>
    </row>
    <row r="210" spans="3:5" x14ac:dyDescent="0.15">
      <c r="C210">
        <v>179</v>
      </c>
      <c r="D210" s="54"/>
      <c r="E210" s="55"/>
    </row>
    <row r="211" spans="3:5" x14ac:dyDescent="0.15">
      <c r="C211">
        <v>180</v>
      </c>
      <c r="D211" s="54"/>
      <c r="E211" s="55"/>
    </row>
    <row r="212" spans="3:5" x14ac:dyDescent="0.15">
      <c r="C212">
        <v>181</v>
      </c>
      <c r="D212" s="54"/>
      <c r="E212" s="55"/>
    </row>
    <row r="213" spans="3:5" x14ac:dyDescent="0.15">
      <c r="C213">
        <v>182</v>
      </c>
      <c r="D213" s="54"/>
      <c r="E213" s="55"/>
    </row>
    <row r="214" spans="3:5" x14ac:dyDescent="0.15">
      <c r="C214">
        <v>183</v>
      </c>
      <c r="D214" s="54"/>
      <c r="E214" s="55"/>
    </row>
    <row r="215" spans="3:5" x14ac:dyDescent="0.15">
      <c r="C215">
        <v>184</v>
      </c>
      <c r="D215" s="54"/>
      <c r="E215" s="55"/>
    </row>
    <row r="216" spans="3:5" x14ac:dyDescent="0.15">
      <c r="C216">
        <v>185</v>
      </c>
      <c r="D216" s="54"/>
      <c r="E216" s="55"/>
    </row>
    <row r="217" spans="3:5" x14ac:dyDescent="0.15">
      <c r="C217">
        <v>186</v>
      </c>
      <c r="D217" s="54"/>
      <c r="E217" s="55"/>
    </row>
    <row r="218" spans="3:5" x14ac:dyDescent="0.15">
      <c r="C218">
        <v>187</v>
      </c>
      <c r="D218" s="54"/>
      <c r="E218" s="55"/>
    </row>
    <row r="219" spans="3:5" x14ac:dyDescent="0.15">
      <c r="C219">
        <v>188</v>
      </c>
      <c r="D219" s="54"/>
      <c r="E219" s="55"/>
    </row>
    <row r="220" spans="3:5" x14ac:dyDescent="0.15">
      <c r="C220">
        <v>189</v>
      </c>
      <c r="D220" s="54"/>
      <c r="E220" s="55"/>
    </row>
    <row r="221" spans="3:5" x14ac:dyDescent="0.15">
      <c r="C221">
        <v>190</v>
      </c>
      <c r="D221" s="54"/>
      <c r="E221" s="55"/>
    </row>
    <row r="222" spans="3:5" x14ac:dyDescent="0.15">
      <c r="C222">
        <v>191</v>
      </c>
      <c r="D222" s="54"/>
      <c r="E222" s="55"/>
    </row>
    <row r="223" spans="3:5" x14ac:dyDescent="0.15">
      <c r="C223">
        <v>192</v>
      </c>
      <c r="D223" s="54"/>
      <c r="E223" s="55"/>
    </row>
    <row r="224" spans="3:5" x14ac:dyDescent="0.15">
      <c r="C224">
        <v>193</v>
      </c>
      <c r="D224" s="54"/>
      <c r="E224" s="55"/>
    </row>
    <row r="225" spans="3:5" x14ac:dyDescent="0.15">
      <c r="C225">
        <v>194</v>
      </c>
      <c r="D225" s="54"/>
      <c r="E225" s="55"/>
    </row>
    <row r="226" spans="3:5" x14ac:dyDescent="0.15">
      <c r="C226">
        <v>195</v>
      </c>
      <c r="D226" s="54"/>
      <c r="E226" s="55"/>
    </row>
    <row r="227" spans="3:5" x14ac:dyDescent="0.15">
      <c r="C227">
        <v>196</v>
      </c>
      <c r="D227" s="54"/>
      <c r="E227" s="55"/>
    </row>
    <row r="228" spans="3:5" x14ac:dyDescent="0.15">
      <c r="C228">
        <v>197</v>
      </c>
      <c r="D228" s="54"/>
      <c r="E228" s="55"/>
    </row>
    <row r="229" spans="3:5" x14ac:dyDescent="0.15">
      <c r="C229">
        <v>198</v>
      </c>
      <c r="D229" s="54"/>
      <c r="E229" s="55"/>
    </row>
    <row r="230" spans="3:5" x14ac:dyDescent="0.15">
      <c r="C230">
        <v>199</v>
      </c>
      <c r="D230" s="54"/>
      <c r="E230" s="55"/>
    </row>
    <row r="231" spans="3:5" ht="14.25" thickBot="1" x14ac:dyDescent="0.2">
      <c r="C231">
        <v>200</v>
      </c>
      <c r="D231" s="56"/>
      <c r="E231" s="64"/>
    </row>
  </sheetData>
  <mergeCells count="2">
    <mergeCell ref="D30:E30"/>
    <mergeCell ref="D5:E5"/>
  </mergeCells>
  <phoneticPr fontId="1"/>
  <dataValidations count="2">
    <dataValidation type="list" allowBlank="1" showInputMessage="1" showErrorMessage="1" sqref="E10:F10" xr:uid="{14C3F949-14C6-4604-A794-E0314A14D90E}">
      <formula1>$N$6:$N$17</formula1>
    </dataValidation>
    <dataValidation type="list" allowBlank="1" showInputMessage="1" showErrorMessage="1" sqref="E7:F7" xr:uid="{E68ABFAE-957D-4B0C-B686-ACBB4F6C304A}">
      <formula1>$M$6:$M$25</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FilterAndCopyRows" altText="データ取込み">
                <anchor moveWithCells="1" sizeWithCells="1">
                  <from>
                    <xdr:col>6</xdr:col>
                    <xdr:colOff>114300</xdr:colOff>
                    <xdr:row>12</xdr:row>
                    <xdr:rowOff>47625</xdr:rowOff>
                  </from>
                  <to>
                    <xdr:col>6</xdr:col>
                    <xdr:colOff>1362075</xdr:colOff>
                    <xdr:row>16</xdr:row>
                    <xdr:rowOff>47625</xdr:rowOff>
                  </to>
                </anchor>
              </controlPr>
            </control>
          </mc:Choice>
        </mc:AlternateContent>
        <mc:AlternateContent xmlns:mc="http://schemas.openxmlformats.org/markup-compatibility/2006">
          <mc:Choice Requires="x14">
            <control shapeId="50178" r:id="rId4" name="Button 2">
              <controlPr defaultSize="0" print="0" autoFill="0" autoPict="0" macro="[0]!ImportSheet_AsIs" altText="データ取込み">
                <anchor moveWithCells="1" sizeWithCells="1">
                  <from>
                    <xdr:col>6</xdr:col>
                    <xdr:colOff>114300</xdr:colOff>
                    <xdr:row>4</xdr:row>
                    <xdr:rowOff>247650</xdr:rowOff>
                  </from>
                  <to>
                    <xdr:col>6</xdr:col>
                    <xdr:colOff>1362075</xdr:colOff>
                    <xdr:row>8</xdr:row>
                    <xdr:rowOff>152400</xdr:rowOff>
                  </to>
                </anchor>
              </controlPr>
            </control>
          </mc:Choice>
        </mc:AlternateContent>
        <mc:AlternateContent xmlns:mc="http://schemas.openxmlformats.org/markup-compatibility/2006">
          <mc:Choice Requires="x14">
            <control shapeId="50181" r:id="rId5" name="Button 5">
              <controlPr defaultSize="0" print="0" autoFill="0" autoPict="0" macro="[0]!SearchSupportID" altText="データ取込み">
                <anchor moveWithCells="1" sizeWithCells="1">
                  <from>
                    <xdr:col>6</xdr:col>
                    <xdr:colOff>123825</xdr:colOff>
                    <xdr:row>20</xdr:row>
                    <xdr:rowOff>38100</xdr:rowOff>
                  </from>
                  <to>
                    <xdr:col>6</xdr:col>
                    <xdr:colOff>1371600</xdr:colOff>
                    <xdr:row>24</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F1:W134"/>
  <sheetViews>
    <sheetView zoomScale="85" zoomScaleNormal="85" workbookViewId="0">
      <selection activeCell="G32" sqref="G32"/>
    </sheetView>
  </sheetViews>
  <sheetFormatPr defaultColWidth="9" defaultRowHeight="13.5" outlineLevelCol="1" x14ac:dyDescent="0.15"/>
  <cols>
    <col min="1" max="5" width="2.125" customWidth="1"/>
    <col min="6" max="6" width="26.125" customWidth="1"/>
    <col min="7" max="7" width="88.875" customWidth="1"/>
    <col min="8" max="8" width="9" hidden="1" customWidth="1" outlineLevel="1"/>
    <col min="9" max="9" width="48.25" hidden="1" customWidth="1" outlineLevel="1"/>
    <col min="10" max="10" width="25.375" customWidth="1" collapsed="1"/>
    <col min="11" max="11" width="11" style="3" customWidth="1"/>
    <col min="12" max="12" width="7.5" style="3" customWidth="1"/>
    <col min="13" max="13" width="10.5" style="3" customWidth="1"/>
    <col min="14" max="14" width="7" style="3" customWidth="1"/>
    <col min="15" max="15" width="8" style="3" customWidth="1"/>
    <col min="16" max="16" width="13.625" style="3" customWidth="1"/>
    <col min="17" max="17" width="33.125" style="3" customWidth="1"/>
    <col min="18" max="20" width="13.625" style="3" customWidth="1"/>
    <col min="21" max="21" width="8.625" style="3" customWidth="1"/>
    <col min="22" max="22" width="9.375" customWidth="1"/>
  </cols>
  <sheetData>
    <row r="1" spans="6:23" x14ac:dyDescent="0.15">
      <c r="F1" s="15" t="s">
        <v>322</v>
      </c>
      <c r="K1"/>
      <c r="L1"/>
      <c r="M1"/>
      <c r="N1"/>
      <c r="O1"/>
      <c r="P1"/>
      <c r="Q1"/>
      <c r="R1"/>
      <c r="S1"/>
      <c r="T1"/>
      <c r="U1"/>
      <c r="W1" t="s">
        <v>56</v>
      </c>
    </row>
    <row r="2" spans="6:23" x14ac:dyDescent="0.15">
      <c r="G2" s="6" t="s">
        <v>0</v>
      </c>
      <c r="H2" s="23"/>
      <c r="I2" s="25" t="s">
        <v>190</v>
      </c>
      <c r="K2" s="19" t="s">
        <v>185</v>
      </c>
      <c r="L2" s="20" t="s">
        <v>76</v>
      </c>
      <c r="M2" s="19" t="s">
        <v>203</v>
      </c>
      <c r="N2" s="19" t="s">
        <v>175</v>
      </c>
      <c r="O2" s="19" t="s">
        <v>176</v>
      </c>
      <c r="P2" s="19" t="s">
        <v>177</v>
      </c>
      <c r="Q2" s="19" t="s">
        <v>178</v>
      </c>
      <c r="R2" s="20" t="s">
        <v>179</v>
      </c>
      <c r="S2" s="20" t="s">
        <v>180</v>
      </c>
      <c r="T2" s="20" t="s">
        <v>181</v>
      </c>
      <c r="U2" s="20" t="s">
        <v>182</v>
      </c>
      <c r="V2" s="20" t="s">
        <v>186</v>
      </c>
      <c r="W2" s="29" t="s">
        <v>213</v>
      </c>
    </row>
    <row r="3" spans="6:23" x14ac:dyDescent="0.15">
      <c r="G3" s="16" t="s">
        <v>5048</v>
      </c>
      <c r="H3" s="23" t="s">
        <v>189</v>
      </c>
      <c r="I3" s="26" t="s">
        <v>261</v>
      </c>
      <c r="J3" t="s">
        <v>56</v>
      </c>
      <c r="K3" s="21"/>
      <c r="L3" s="22"/>
      <c r="M3" s="21"/>
      <c r="N3" s="21"/>
      <c r="O3" s="21"/>
      <c r="P3" s="21"/>
      <c r="Q3" s="21"/>
      <c r="R3" s="22"/>
      <c r="S3" s="22"/>
      <c r="T3" s="22"/>
      <c r="U3" s="22"/>
      <c r="V3" s="22"/>
      <c r="W3" s="29"/>
    </row>
    <row r="4" spans="6:23" x14ac:dyDescent="0.15">
      <c r="G4" s="6" t="s">
        <v>34</v>
      </c>
      <c r="H4" s="23"/>
      <c r="I4" s="25" t="s">
        <v>191</v>
      </c>
      <c r="K4" s="21"/>
      <c r="L4" s="22"/>
      <c r="M4" s="21"/>
      <c r="N4" s="21"/>
      <c r="O4" s="21"/>
      <c r="P4" s="21"/>
      <c r="Q4" s="21"/>
      <c r="R4" s="22"/>
      <c r="S4" s="22"/>
      <c r="T4" s="22"/>
      <c r="U4" s="22"/>
      <c r="V4" s="22"/>
      <c r="W4" s="29"/>
    </row>
    <row r="5" spans="6:23" x14ac:dyDescent="0.15">
      <c r="G5" s="10" t="str">
        <f>IF(メインページ!G6 = "", メインページ!C6, メインページ!G6)</f>
        <v>C:\ハードウェア点検依頼\点検依頼</v>
      </c>
      <c r="H5" s="23"/>
      <c r="I5" s="26" t="s">
        <v>5092</v>
      </c>
      <c r="J5" t="s">
        <v>56</v>
      </c>
      <c r="K5" s="21"/>
      <c r="L5" s="22"/>
      <c r="M5" s="21"/>
      <c r="N5" s="21"/>
      <c r="O5" s="21"/>
      <c r="P5" s="21"/>
      <c r="Q5" s="21"/>
      <c r="R5" s="22"/>
      <c r="S5" s="22"/>
      <c r="T5" s="22"/>
      <c r="U5" s="22"/>
      <c r="V5" s="22"/>
      <c r="W5" s="29"/>
    </row>
    <row r="6" spans="6:23" x14ac:dyDescent="0.15">
      <c r="G6" s="2" t="s">
        <v>35</v>
      </c>
      <c r="H6" s="23"/>
      <c r="I6" s="25" t="s">
        <v>192</v>
      </c>
      <c r="K6" s="21"/>
      <c r="L6" s="22"/>
      <c r="M6" s="21"/>
      <c r="N6" s="21"/>
      <c r="O6" s="21"/>
      <c r="P6" s="21"/>
      <c r="Q6" s="21"/>
      <c r="R6" s="22"/>
      <c r="S6" s="22"/>
      <c r="T6" s="22"/>
      <c r="U6" s="22"/>
      <c r="V6" s="22"/>
      <c r="W6" s="29"/>
    </row>
    <row r="7" spans="6:23" x14ac:dyDescent="0.15">
      <c r="G7" s="1" t="str">
        <f>SUBSTITUTE(G18,"/","") &amp; "_保守作業依頼書「 " &amp; G10 &amp; " 」 _NEC.xlsx"</f>
        <v>19000100_保守作業依頼書「 0 」 _NEC.xlsx</v>
      </c>
      <c r="H7" s="23"/>
      <c r="I7" s="1" t="str">
        <f ca="1">"日程調整依頼("&amp;TEXT(INDIRECT("G18"),"YYYY/MM/DD")&amp;" "&amp;TEXT(INDIRECT("G20"),"hh:mm")&amp;"-"&amp;TEXT(INDIRECT("G21"),"hh:mm")&amp;") "&amp;G10&amp;" _NEC"</f>
        <v>日程調整依頼(1900/01/00 00:00-00:00) 0 _NEC</v>
      </c>
      <c r="J7" t="s">
        <v>189</v>
      </c>
      <c r="K7" s="21"/>
      <c r="L7" s="22"/>
      <c r="M7" s="21"/>
      <c r="N7" s="21"/>
      <c r="O7" s="21"/>
      <c r="P7" s="21"/>
      <c r="Q7" s="21"/>
      <c r="R7" s="22"/>
      <c r="S7" s="22"/>
      <c r="T7" s="22"/>
      <c r="U7" s="22"/>
      <c r="V7" s="22"/>
    </row>
    <row r="8" spans="6:23" x14ac:dyDescent="0.15">
      <c r="H8" s="23"/>
      <c r="I8" s="1"/>
      <c r="K8" s="21"/>
      <c r="L8" s="22"/>
      <c r="M8" s="21"/>
      <c r="N8" s="21"/>
      <c r="O8" s="21"/>
      <c r="P8" s="21"/>
      <c r="Q8" s="21"/>
      <c r="R8" s="22"/>
      <c r="S8" s="22"/>
      <c r="T8" s="22"/>
      <c r="U8" s="22"/>
      <c r="V8" s="22"/>
    </row>
    <row r="9" spans="6:23" x14ac:dyDescent="0.15">
      <c r="F9" s="1"/>
      <c r="G9" s="7" t="s">
        <v>36</v>
      </c>
      <c r="H9" s="23"/>
      <c r="I9" s="25" t="s">
        <v>193</v>
      </c>
      <c r="K9" s="21"/>
      <c r="L9" s="22"/>
      <c r="M9" s="21"/>
      <c r="N9" s="21"/>
      <c r="O9" s="21"/>
      <c r="P9" s="21"/>
      <c r="Q9" s="21"/>
      <c r="R9" s="22"/>
      <c r="S9" s="22"/>
      <c r="T9" s="22"/>
      <c r="U9" s="22"/>
      <c r="V9" s="22"/>
    </row>
    <row r="10" spans="6:23" ht="13.5" customHeight="1" x14ac:dyDescent="0.15">
      <c r="F10" s="2" t="s">
        <v>38</v>
      </c>
      <c r="G10" s="35">
        <f>_xlfn.XLOOKUP("出荷先名 +工場名",貼付エリア!$D$6:$D$29,貼付エリア!$E$6:$E$29,"",0)</f>
        <v>0</v>
      </c>
      <c r="I10" s="24" t="s">
        <v>220</v>
      </c>
      <c r="K10" s="21"/>
      <c r="L10" s="22"/>
      <c r="M10" s="21"/>
      <c r="N10" s="21"/>
      <c r="O10" s="21"/>
      <c r="P10" s="21"/>
      <c r="Q10" s="21"/>
      <c r="R10" s="22"/>
      <c r="S10" s="22"/>
      <c r="T10" s="22"/>
      <c r="U10" s="22"/>
      <c r="V10" s="22"/>
    </row>
    <row r="11" spans="6:23" ht="14.25" x14ac:dyDescent="0.15">
      <c r="F11" s="1"/>
      <c r="G11" s="35"/>
      <c r="I11" s="25" t="s">
        <v>197</v>
      </c>
      <c r="K11" s="21"/>
      <c r="L11" s="22"/>
      <c r="M11" s="21"/>
      <c r="N11" s="21"/>
      <c r="O11" s="21"/>
      <c r="P11" s="21"/>
      <c r="Q11" s="21"/>
      <c r="R11" s="22"/>
      <c r="S11" s="22"/>
      <c r="T11" s="22"/>
      <c r="U11" s="22"/>
      <c r="V11" s="22"/>
    </row>
    <row r="12" spans="6:23" ht="14.25" x14ac:dyDescent="0.15">
      <c r="F12" s="2" t="s">
        <v>303</v>
      </c>
      <c r="G12" s="35">
        <f>_xlfn.XLOOKUP("住所",貼付エリア!$D$6:$D$29,貼付エリア!$E$6:$E$29,"",0)</f>
        <v>0</v>
      </c>
      <c r="I12" s="1" t="str">
        <f>G5 &amp; "\" &amp; G7</f>
        <v>C:\ハードウェア点検依頼\点検依頼\19000100_保守作業依頼書「 0 」 _NEC.xlsx</v>
      </c>
      <c r="J12" t="s">
        <v>189</v>
      </c>
      <c r="K12" s="21"/>
      <c r="L12" s="22"/>
      <c r="M12" s="21"/>
      <c r="N12" s="21"/>
      <c r="O12" s="21"/>
      <c r="P12" s="21"/>
      <c r="Q12" s="21"/>
      <c r="R12" s="22"/>
      <c r="S12" s="22"/>
      <c r="T12" s="22"/>
      <c r="U12" s="22"/>
      <c r="V12" s="22"/>
    </row>
    <row r="13" spans="6:23" ht="14.25" x14ac:dyDescent="0.15">
      <c r="F13" s="1"/>
      <c r="G13" s="35"/>
      <c r="K13" s="21"/>
      <c r="L13" s="22"/>
      <c r="M13" s="21"/>
      <c r="N13" s="21"/>
      <c r="O13" s="21"/>
      <c r="P13" s="21"/>
      <c r="Q13" s="21"/>
      <c r="R13" s="22"/>
      <c r="S13" s="22"/>
      <c r="T13" s="22"/>
      <c r="U13" s="22"/>
      <c r="V13" s="22"/>
    </row>
    <row r="14" spans="6:23" ht="14.25" x14ac:dyDescent="0.15">
      <c r="F14" s="2" t="s">
        <v>39</v>
      </c>
      <c r="G14" s="35">
        <f>_xlfn.XLOOKUP("取引先契約番号  ",貼付エリア!$D$6:$D$29,貼付エリア!$E$6:$E$29,"",0)</f>
        <v>0</v>
      </c>
      <c r="K14" s="21"/>
      <c r="L14" s="22"/>
      <c r="M14" s="21"/>
      <c r="N14" s="21"/>
      <c r="O14" s="21"/>
      <c r="P14" s="21"/>
      <c r="Q14" s="21"/>
      <c r="R14" s="22"/>
      <c r="S14" s="22"/>
      <c r="T14" s="22"/>
      <c r="U14" s="22"/>
      <c r="V14" s="22"/>
    </row>
    <row r="15" spans="6:23" ht="14.25" x14ac:dyDescent="0.15">
      <c r="F15" s="1"/>
      <c r="G15" s="35"/>
      <c r="I15" s="24" t="s">
        <v>250</v>
      </c>
      <c r="K15" s="21"/>
      <c r="L15" s="22"/>
      <c r="M15" s="21"/>
      <c r="N15" s="21"/>
      <c r="O15" s="21"/>
      <c r="P15" s="21"/>
      <c r="Q15" s="21"/>
      <c r="R15" s="22"/>
      <c r="S15" s="22"/>
      <c r="T15" s="22"/>
      <c r="U15" s="22"/>
      <c r="V15" s="22"/>
    </row>
    <row r="16" spans="6:23" ht="14.25" x14ac:dyDescent="0.15">
      <c r="F16" s="2" t="s">
        <v>1</v>
      </c>
      <c r="G16" s="35">
        <f>_xlfn.XLOOKUP("サポートID  ",貼付エリア!$D$6:$D$29,貼付エリア!$E$6:$E$29,"",0)</f>
        <v>0</v>
      </c>
      <c r="I16" t="s">
        <v>248</v>
      </c>
      <c r="K16" s="21"/>
      <c r="L16" s="22"/>
      <c r="M16" s="21"/>
      <c r="N16" s="21"/>
      <c r="O16" s="21"/>
      <c r="P16" s="21"/>
      <c r="Q16" s="21"/>
      <c r="R16" s="22"/>
      <c r="S16" s="22"/>
      <c r="T16" s="22"/>
      <c r="U16" s="22"/>
      <c r="V16" s="22"/>
    </row>
    <row r="17" spans="6:22" ht="14.25" x14ac:dyDescent="0.15">
      <c r="F17" s="1"/>
      <c r="G17" s="35"/>
      <c r="I17" t="s">
        <v>249</v>
      </c>
      <c r="K17" s="21"/>
      <c r="L17" s="22"/>
      <c r="M17" s="21"/>
      <c r="N17" s="21"/>
      <c r="O17" s="21"/>
      <c r="P17" s="21"/>
      <c r="Q17" s="21"/>
      <c r="R17" s="22"/>
      <c r="S17" s="22"/>
      <c r="T17" s="22"/>
      <c r="U17" s="22"/>
      <c r="V17" s="22"/>
    </row>
    <row r="18" spans="6:22" ht="24" x14ac:dyDescent="0.15">
      <c r="F18" s="2" t="s">
        <v>40</v>
      </c>
      <c r="G18" s="40" t="str">
        <f>LEFT(TEXT(_xlfn.XLOOKUP("希望開始日時*",貼付エリア!$D$6:$D$29,貼付エリア!$E$6:$E$29,"---",2,1),"yyyy/mm/dd hh:mm"),10)</f>
        <v>1900/01/00</v>
      </c>
      <c r="J18" s="69" t="str" cm="1">
        <f t="array" ref="J18">IF(SUM(--ISNUMBER(SEARCH({"FC","N","PC"}, G36)))&gt;0, "NECで合ってる", "NEC違う")</f>
        <v>NEC違う</v>
      </c>
      <c r="K18" s="21"/>
      <c r="L18" s="22"/>
      <c r="M18" s="21"/>
      <c r="N18" s="21"/>
      <c r="O18" s="21"/>
      <c r="P18" s="21"/>
      <c r="Q18" s="21"/>
      <c r="R18" s="22"/>
      <c r="S18" s="22"/>
      <c r="T18" s="22"/>
      <c r="U18" s="22"/>
      <c r="V18" s="22"/>
    </row>
    <row r="19" spans="6:22" ht="14.25" x14ac:dyDescent="0.15">
      <c r="F19" s="1"/>
      <c r="G19" s="35"/>
      <c r="K19" s="21"/>
      <c r="L19" s="22"/>
      <c r="M19" s="21"/>
      <c r="N19" s="21"/>
      <c r="O19" s="21"/>
      <c r="P19" s="21"/>
      <c r="Q19" s="21"/>
      <c r="R19" s="22"/>
      <c r="S19" s="22"/>
      <c r="T19" s="22"/>
      <c r="U19" s="22"/>
      <c r="V19" s="22"/>
    </row>
    <row r="20" spans="6:22" x14ac:dyDescent="0.15">
      <c r="F20" s="2" t="s">
        <v>41</v>
      </c>
      <c r="G20" s="40" t="str" cm="1">
        <f t="array" ref="G20">RIGHT(TEXT(_xlfn.XLOOKUP("希望開始日時*",貼付エリア!$D$6:$D$29,貼付エリア!$E6:$E$29,"---",2,1),"yyyy/mm/dd hh:mm"),5)</f>
        <v>00:00</v>
      </c>
      <c r="K20" s="21"/>
      <c r="L20" s="22"/>
      <c r="M20" s="21"/>
      <c r="N20" s="21"/>
      <c r="O20" s="21"/>
      <c r="P20" s="21"/>
      <c r="Q20" s="21"/>
      <c r="R20" s="22"/>
      <c r="S20" s="22"/>
      <c r="T20" s="22"/>
      <c r="U20" s="22"/>
      <c r="V20" s="22"/>
    </row>
    <row r="21" spans="6:22" x14ac:dyDescent="0.15">
      <c r="F21" s="2" t="s">
        <v>42</v>
      </c>
      <c r="G21" s="40" t="str">
        <f>RIGHT(TEXT(_xlfn.XLOOKUP("希望終了日時*",貼付エリア!$D$6:$D$29,貼付エリア!$E$6:$E$29,"---",2,-1),"yyyy/mm/dd hh:mm"),5)</f>
        <v>00:00</v>
      </c>
      <c r="K21" s="21"/>
      <c r="L21" s="22"/>
      <c r="M21" s="21"/>
      <c r="N21" s="21"/>
      <c r="O21" s="21"/>
      <c r="P21" s="21"/>
      <c r="Q21" s="21"/>
      <c r="R21" s="22"/>
      <c r="S21" s="22"/>
      <c r="T21" s="22"/>
      <c r="U21" s="22"/>
      <c r="V21" s="22"/>
    </row>
    <row r="22" spans="6:22" ht="14.25" x14ac:dyDescent="0.15">
      <c r="F22" s="1"/>
      <c r="G22" s="35"/>
      <c r="K22" s="21"/>
      <c r="L22" s="22"/>
      <c r="M22" s="21"/>
      <c r="N22" s="21"/>
      <c r="O22" s="21"/>
      <c r="P22" s="21"/>
      <c r="Q22" s="21"/>
      <c r="R22" s="22"/>
      <c r="S22" s="22"/>
      <c r="T22" s="22"/>
      <c r="U22" s="22"/>
      <c r="V22" s="22"/>
    </row>
    <row r="23" spans="6:22" ht="14.25" x14ac:dyDescent="0.15">
      <c r="F23" s="2" t="s">
        <v>305</v>
      </c>
      <c r="G23" s="35">
        <f>_xlfn.XLOOKUP("店舗同行者／連絡先  ",貼付エリア!$D$6:$D$29,貼付エリア!$E$6:$E$29,"",0)</f>
        <v>0</v>
      </c>
      <c r="K23" s="21"/>
      <c r="L23" s="22"/>
      <c r="M23" s="21"/>
      <c r="N23" s="21"/>
      <c r="O23" s="21"/>
      <c r="P23" s="21"/>
      <c r="Q23" s="21"/>
      <c r="R23" s="22"/>
      <c r="S23" s="22"/>
      <c r="T23" s="22"/>
      <c r="U23" s="22"/>
      <c r="V23" s="22"/>
    </row>
    <row r="24" spans="6:22" ht="14.25" x14ac:dyDescent="0.15">
      <c r="F24" s="2" t="s">
        <v>44</v>
      </c>
      <c r="G24" s="35"/>
      <c r="K24" s="21"/>
      <c r="L24" s="22"/>
      <c r="M24" s="21"/>
      <c r="N24" s="21"/>
      <c r="O24" s="21"/>
      <c r="P24" s="21"/>
      <c r="Q24" s="21"/>
      <c r="R24" s="22"/>
      <c r="S24" s="22"/>
      <c r="T24" s="22"/>
      <c r="U24" s="22"/>
      <c r="V24" s="22"/>
    </row>
    <row r="25" spans="6:22" ht="14.25" x14ac:dyDescent="0.15">
      <c r="F25" s="1"/>
      <c r="G25" s="35"/>
      <c r="K25" s="21"/>
      <c r="L25" s="22"/>
      <c r="M25" s="21"/>
      <c r="N25" s="21"/>
      <c r="O25" s="21"/>
      <c r="P25" s="21"/>
      <c r="Q25" s="21"/>
      <c r="R25" s="22"/>
      <c r="S25" s="22"/>
      <c r="T25" s="22"/>
      <c r="U25" s="22"/>
      <c r="V25" s="22"/>
    </row>
    <row r="26" spans="6:22" ht="14.25" x14ac:dyDescent="0.15">
      <c r="F26" s="6" t="s">
        <v>55</v>
      </c>
      <c r="G26" s="35"/>
      <c r="K26" s="21"/>
      <c r="L26" s="22"/>
      <c r="M26" s="21"/>
      <c r="N26" s="21"/>
      <c r="O26" s="21"/>
      <c r="P26" s="21"/>
      <c r="Q26" s="21"/>
      <c r="R26" s="22"/>
      <c r="S26" s="22"/>
      <c r="T26" s="22"/>
      <c r="U26" s="22"/>
      <c r="V26" s="22"/>
    </row>
    <row r="27" spans="6:22" ht="14.25" x14ac:dyDescent="0.15">
      <c r="F27" s="1"/>
      <c r="G27" s="35"/>
      <c r="K27" s="21"/>
      <c r="L27" s="22"/>
      <c r="M27" s="21"/>
      <c r="N27" s="21"/>
      <c r="O27" s="21"/>
      <c r="P27" s="21"/>
      <c r="Q27" s="21"/>
      <c r="R27" s="22"/>
      <c r="S27" s="22"/>
      <c r="T27" s="22"/>
      <c r="U27" s="22"/>
      <c r="V27" s="22"/>
    </row>
    <row r="28" spans="6:22" x14ac:dyDescent="0.15">
      <c r="F28" s="2" t="s">
        <v>45</v>
      </c>
      <c r="G28" s="40" t="str">
        <f>SUBSTITUTE(CONCATENATE(IF(G29=0,"",G29),IF(G30=0,"","　" &amp; G30),IF(G31=0,"","　" &amp; G31))," ","")</f>
        <v/>
      </c>
      <c r="K28" s="21"/>
      <c r="L28" s="22"/>
      <c r="M28" s="21"/>
      <c r="N28" s="21"/>
      <c r="O28" s="21"/>
      <c r="P28" s="21"/>
      <c r="Q28" s="21"/>
      <c r="R28" s="22"/>
      <c r="S28" s="22"/>
      <c r="T28" s="22"/>
      <c r="U28" s="22"/>
      <c r="V28" s="22"/>
    </row>
    <row r="29" spans="6:22" x14ac:dyDescent="0.15">
      <c r="F29" s="2" t="s">
        <v>299</v>
      </c>
      <c r="G29">
        <f>_xlfn.XLOOKUP("連絡事項１",貼付エリア!$D$6:$D$29,貼付エリア!$E$6:$E$29,"",0)</f>
        <v>0</v>
      </c>
      <c r="K29" s="21"/>
      <c r="L29" s="22"/>
      <c r="M29" s="21"/>
      <c r="N29" s="21"/>
      <c r="O29" s="21"/>
      <c r="P29" s="21"/>
      <c r="Q29" s="21"/>
      <c r="R29" s="22"/>
      <c r="S29" s="22"/>
      <c r="T29" s="22"/>
      <c r="U29" s="22"/>
      <c r="V29" s="22"/>
    </row>
    <row r="30" spans="6:22" x14ac:dyDescent="0.15">
      <c r="F30" s="2" t="s">
        <v>300</v>
      </c>
      <c r="G30" s="3">
        <f>_xlfn.XLOOKUP("連絡事項２",貼付エリア!$D$6:$D$29,貼付エリア!$E$6:$E$29,"",0)</f>
        <v>0</v>
      </c>
      <c r="K30" s="21"/>
      <c r="L30" s="22"/>
      <c r="M30" s="21"/>
      <c r="N30" s="21"/>
      <c r="O30" s="21"/>
      <c r="P30" s="21"/>
      <c r="Q30" s="21"/>
      <c r="R30" s="22"/>
      <c r="S30" s="22"/>
      <c r="T30" s="22"/>
      <c r="U30" s="22"/>
      <c r="V30" s="22"/>
    </row>
    <row r="31" spans="6:22" x14ac:dyDescent="0.15">
      <c r="F31" s="2" t="s">
        <v>304</v>
      </c>
      <c r="G31">
        <f>_xlfn.XLOOKUP("連絡事項３",貼付エリア!$D$6:$D$29,貼付エリア!$E$6:$E$29,"",0)</f>
        <v>0</v>
      </c>
      <c r="K31"/>
      <c r="L31"/>
      <c r="M31"/>
      <c r="N31"/>
      <c r="O31"/>
      <c r="P31"/>
      <c r="Q31"/>
      <c r="R31"/>
      <c r="S31"/>
      <c r="T31"/>
      <c r="U31"/>
    </row>
    <row r="32" spans="6:22" ht="14.25" x14ac:dyDescent="0.15">
      <c r="F32" s="1"/>
      <c r="G32" s="35" t="s">
        <v>46</v>
      </c>
      <c r="J32" s="35"/>
      <c r="K32"/>
      <c r="L32"/>
      <c r="M32"/>
      <c r="N32"/>
      <c r="O32"/>
      <c r="P32"/>
      <c r="Q32"/>
      <c r="R32"/>
      <c r="S32"/>
      <c r="T32"/>
      <c r="U32"/>
    </row>
    <row r="33" spans="6:21" x14ac:dyDescent="0.15">
      <c r="F33" s="1"/>
      <c r="K33"/>
      <c r="L33"/>
      <c r="M33"/>
      <c r="N33"/>
      <c r="O33"/>
      <c r="P33"/>
      <c r="Q33"/>
      <c r="R33"/>
      <c r="S33"/>
      <c r="T33"/>
      <c r="U33"/>
    </row>
    <row r="34" spans="6:21" ht="14.25" x14ac:dyDescent="0.15">
      <c r="F34" s="2" t="s">
        <v>4944</v>
      </c>
      <c r="G34" s="35" t="str" cm="1">
        <f t="array" ref="G34">IF(貼付エリア!E10="NECフィールディング",IFERROR(_xlfn.TEXTSPLIT(貼付エリア!E32,," / ",),""),"")</f>
        <v/>
      </c>
      <c r="K34"/>
      <c r="L34"/>
      <c r="M34"/>
      <c r="N34"/>
      <c r="O34"/>
      <c r="P34"/>
      <c r="Q34"/>
      <c r="R34"/>
      <c r="S34"/>
      <c r="T34"/>
      <c r="U34"/>
    </row>
    <row r="35" spans="6:21" ht="14.25" x14ac:dyDescent="0.15">
      <c r="F35" s="2" t="s">
        <v>4945</v>
      </c>
      <c r="G35" s="35"/>
      <c r="K35"/>
      <c r="L35"/>
      <c r="M35"/>
      <c r="N35"/>
      <c r="O35"/>
      <c r="P35"/>
      <c r="Q35"/>
      <c r="R35"/>
      <c r="S35"/>
      <c r="T35"/>
      <c r="U35"/>
    </row>
    <row r="36" spans="6:21" ht="14.25" x14ac:dyDescent="0.15">
      <c r="F36" s="2" t="s">
        <v>4946</v>
      </c>
      <c r="G36" s="35"/>
      <c r="K36"/>
      <c r="L36"/>
      <c r="M36"/>
      <c r="N36"/>
      <c r="O36"/>
      <c r="P36"/>
      <c r="Q36"/>
      <c r="R36"/>
      <c r="S36"/>
      <c r="T36"/>
      <c r="U36"/>
    </row>
    <row r="37" spans="6:21" ht="14.25" x14ac:dyDescent="0.15">
      <c r="F37" s="2" t="s">
        <v>4947</v>
      </c>
      <c r="G37" s="35"/>
      <c r="K37"/>
      <c r="L37"/>
      <c r="M37"/>
      <c r="N37"/>
      <c r="O37"/>
      <c r="P37"/>
      <c r="Q37"/>
      <c r="R37"/>
      <c r="S37"/>
      <c r="T37"/>
      <c r="U37"/>
    </row>
    <row r="38" spans="6:21" ht="14.25" x14ac:dyDescent="0.15">
      <c r="F38" s="1"/>
      <c r="G38" s="35"/>
      <c r="K38"/>
      <c r="L38"/>
      <c r="M38"/>
      <c r="N38"/>
      <c r="O38"/>
      <c r="P38"/>
      <c r="Q38"/>
      <c r="R38"/>
      <c r="S38"/>
      <c r="T38"/>
      <c r="U38"/>
    </row>
    <row r="39" spans="6:21" ht="14.25" x14ac:dyDescent="0.15">
      <c r="F39" s="2" t="s">
        <v>4948</v>
      </c>
      <c r="G39" s="35" t="str" cm="1">
        <f t="array" ref="G39">IF(貼付エリア!E10="NECフィールディング",IFERROR(_xlfn.TEXTSPLIT(貼付エリア!E33,," / ",),""),"")</f>
        <v/>
      </c>
      <c r="K39"/>
      <c r="L39"/>
      <c r="M39"/>
      <c r="N39"/>
      <c r="O39"/>
      <c r="P39"/>
      <c r="Q39"/>
      <c r="R39"/>
      <c r="S39"/>
      <c r="T39"/>
      <c r="U39"/>
    </row>
    <row r="40" spans="6:21" ht="14.25" x14ac:dyDescent="0.15">
      <c r="F40" s="2" t="s">
        <v>4949</v>
      </c>
      <c r="G40" s="35"/>
      <c r="K40"/>
      <c r="L40"/>
      <c r="M40"/>
      <c r="N40"/>
      <c r="O40"/>
      <c r="P40"/>
      <c r="Q40"/>
      <c r="R40"/>
      <c r="S40"/>
      <c r="T40"/>
      <c r="U40"/>
    </row>
    <row r="41" spans="6:21" ht="14.25" x14ac:dyDescent="0.15">
      <c r="F41" s="2" t="s">
        <v>4950</v>
      </c>
      <c r="G41" s="35"/>
      <c r="K41"/>
      <c r="L41"/>
      <c r="M41"/>
      <c r="N41"/>
      <c r="O41"/>
      <c r="P41"/>
      <c r="Q41"/>
      <c r="R41"/>
      <c r="S41"/>
      <c r="T41"/>
      <c r="U41"/>
    </row>
    <row r="42" spans="6:21" ht="14.25" x14ac:dyDescent="0.15">
      <c r="F42" s="2" t="s">
        <v>4951</v>
      </c>
      <c r="G42" s="35"/>
      <c r="K42"/>
      <c r="L42"/>
      <c r="M42"/>
      <c r="N42"/>
      <c r="O42"/>
      <c r="P42"/>
      <c r="Q42"/>
      <c r="R42"/>
      <c r="S42"/>
      <c r="T42"/>
      <c r="U42"/>
    </row>
    <row r="43" spans="6:21" ht="14.25" x14ac:dyDescent="0.15">
      <c r="F43" s="1"/>
      <c r="G43" s="35"/>
      <c r="K43"/>
      <c r="L43"/>
      <c r="M43"/>
      <c r="N43"/>
      <c r="O43"/>
      <c r="P43"/>
      <c r="Q43"/>
      <c r="R43"/>
      <c r="S43"/>
      <c r="T43"/>
      <c r="U43"/>
    </row>
    <row r="44" spans="6:21" ht="14.25" x14ac:dyDescent="0.15">
      <c r="F44" s="2" t="s">
        <v>4952</v>
      </c>
      <c r="G44" s="35" t="str" cm="1">
        <f t="array" ref="G44">IF(貼付エリア!E10="NECフィールディング",IFERROR(_xlfn.TEXTSPLIT(貼付エリア!E34,," / ",),""),"")</f>
        <v/>
      </c>
      <c r="K44"/>
      <c r="L44"/>
      <c r="M44"/>
      <c r="N44"/>
      <c r="O44"/>
      <c r="P44"/>
      <c r="Q44"/>
      <c r="R44"/>
      <c r="S44"/>
      <c r="T44"/>
      <c r="U44"/>
    </row>
    <row r="45" spans="6:21" ht="14.25" x14ac:dyDescent="0.15">
      <c r="F45" s="2" t="s">
        <v>4953</v>
      </c>
      <c r="G45" s="35"/>
      <c r="K45"/>
      <c r="L45"/>
      <c r="M45"/>
      <c r="N45"/>
      <c r="O45"/>
      <c r="P45"/>
      <c r="Q45"/>
      <c r="R45"/>
      <c r="S45"/>
      <c r="T45"/>
      <c r="U45"/>
    </row>
    <row r="46" spans="6:21" ht="14.25" x14ac:dyDescent="0.15">
      <c r="F46" s="2" t="s">
        <v>4954</v>
      </c>
      <c r="G46" s="35"/>
      <c r="K46"/>
      <c r="L46"/>
      <c r="M46"/>
      <c r="N46"/>
      <c r="O46"/>
      <c r="P46"/>
      <c r="Q46"/>
      <c r="R46"/>
      <c r="S46"/>
      <c r="T46"/>
      <c r="U46"/>
    </row>
    <row r="47" spans="6:21" ht="14.25" x14ac:dyDescent="0.15">
      <c r="F47" s="2" t="s">
        <v>4955</v>
      </c>
      <c r="G47" s="35"/>
      <c r="K47"/>
      <c r="L47"/>
      <c r="M47"/>
      <c r="N47"/>
      <c r="O47"/>
      <c r="P47"/>
      <c r="Q47"/>
      <c r="R47"/>
      <c r="S47"/>
      <c r="T47"/>
      <c r="U47"/>
    </row>
    <row r="48" spans="6:21" ht="14.25" x14ac:dyDescent="0.15">
      <c r="F48" s="1"/>
      <c r="G48" s="35"/>
      <c r="K48"/>
      <c r="L48"/>
      <c r="M48"/>
      <c r="N48"/>
      <c r="O48"/>
      <c r="P48"/>
      <c r="Q48"/>
      <c r="R48"/>
      <c r="S48"/>
      <c r="T48"/>
      <c r="U48"/>
    </row>
    <row r="49" spans="6:21" ht="14.25" x14ac:dyDescent="0.15">
      <c r="F49" s="2" t="s">
        <v>5023</v>
      </c>
      <c r="G49" s="35" t="str" cm="1">
        <f t="array" ref="G49">IF(貼付エリア!E10="NECフィールディング",IFERROR(_xlfn.TEXTSPLIT(貼付エリア!E35,," / ",),""),"")</f>
        <v/>
      </c>
      <c r="K49"/>
      <c r="L49"/>
      <c r="M49"/>
      <c r="N49"/>
      <c r="O49"/>
      <c r="P49"/>
      <c r="Q49"/>
      <c r="R49"/>
      <c r="S49"/>
      <c r="T49"/>
      <c r="U49"/>
    </row>
    <row r="50" spans="6:21" ht="14.25" x14ac:dyDescent="0.15">
      <c r="F50" s="2" t="s">
        <v>4956</v>
      </c>
      <c r="G50" s="35"/>
      <c r="K50"/>
      <c r="L50"/>
      <c r="M50"/>
      <c r="N50"/>
      <c r="O50"/>
      <c r="P50"/>
      <c r="Q50"/>
      <c r="R50"/>
      <c r="S50"/>
      <c r="T50"/>
      <c r="U50"/>
    </row>
    <row r="51" spans="6:21" ht="14.25" x14ac:dyDescent="0.15">
      <c r="F51" s="2" t="s">
        <v>4957</v>
      </c>
      <c r="G51" s="35"/>
      <c r="K51"/>
      <c r="L51"/>
      <c r="M51"/>
      <c r="N51"/>
      <c r="O51"/>
      <c r="P51"/>
      <c r="Q51"/>
      <c r="R51"/>
      <c r="S51"/>
      <c r="T51"/>
      <c r="U51"/>
    </row>
    <row r="52" spans="6:21" ht="14.25" x14ac:dyDescent="0.15">
      <c r="F52" s="2" t="s">
        <v>4958</v>
      </c>
      <c r="G52" s="35"/>
      <c r="K52"/>
      <c r="L52"/>
      <c r="M52"/>
      <c r="N52"/>
      <c r="O52"/>
      <c r="P52"/>
      <c r="Q52"/>
      <c r="R52"/>
      <c r="S52"/>
      <c r="T52"/>
      <c r="U52"/>
    </row>
    <row r="53" spans="6:21" ht="14.25" x14ac:dyDescent="0.15">
      <c r="F53" s="1"/>
      <c r="G53" s="35"/>
      <c r="K53"/>
      <c r="L53"/>
      <c r="M53"/>
      <c r="N53"/>
      <c r="O53"/>
      <c r="P53"/>
      <c r="Q53"/>
      <c r="R53"/>
      <c r="S53"/>
      <c r="T53"/>
      <c r="U53"/>
    </row>
    <row r="54" spans="6:21" ht="14.25" x14ac:dyDescent="0.15">
      <c r="F54" s="2" t="s">
        <v>4959</v>
      </c>
      <c r="G54" s="35" t="str" cm="1">
        <f t="array" ref="G54">IF(貼付エリア!E10="NECフィールディング",IFERROR(_xlfn.TEXTSPLIT(貼付エリア!E36,," / ",),""),"")</f>
        <v/>
      </c>
      <c r="K54"/>
      <c r="L54"/>
      <c r="M54"/>
      <c r="N54"/>
      <c r="O54"/>
      <c r="P54"/>
      <c r="Q54"/>
      <c r="R54"/>
      <c r="S54"/>
      <c r="T54"/>
      <c r="U54"/>
    </row>
    <row r="55" spans="6:21" ht="14.25" x14ac:dyDescent="0.15">
      <c r="F55" s="2" t="s">
        <v>4960</v>
      </c>
      <c r="G55" s="35"/>
      <c r="K55"/>
      <c r="L55"/>
      <c r="M55"/>
      <c r="N55"/>
      <c r="O55"/>
      <c r="P55"/>
      <c r="Q55"/>
      <c r="R55"/>
      <c r="S55"/>
      <c r="T55"/>
      <c r="U55"/>
    </row>
    <row r="56" spans="6:21" ht="14.25" x14ac:dyDescent="0.15">
      <c r="F56" s="2" t="s">
        <v>4961</v>
      </c>
      <c r="G56" s="35"/>
      <c r="K56"/>
      <c r="L56"/>
      <c r="M56"/>
      <c r="N56"/>
      <c r="O56"/>
      <c r="P56"/>
      <c r="Q56"/>
      <c r="R56"/>
      <c r="S56"/>
      <c r="T56"/>
      <c r="U56"/>
    </row>
    <row r="57" spans="6:21" ht="14.25" x14ac:dyDescent="0.15">
      <c r="F57" s="2" t="s">
        <v>4962</v>
      </c>
      <c r="G57" s="35"/>
      <c r="K57"/>
      <c r="L57"/>
      <c r="M57"/>
      <c r="N57"/>
      <c r="O57"/>
      <c r="P57"/>
      <c r="Q57"/>
      <c r="R57"/>
      <c r="S57"/>
      <c r="T57"/>
      <c r="U57"/>
    </row>
    <row r="58" spans="6:21" ht="14.25" x14ac:dyDescent="0.15">
      <c r="F58" s="1"/>
      <c r="G58" s="35"/>
      <c r="K58"/>
      <c r="L58"/>
      <c r="M58"/>
      <c r="N58"/>
      <c r="O58"/>
      <c r="P58"/>
      <c r="Q58"/>
      <c r="R58"/>
      <c r="S58"/>
      <c r="T58"/>
      <c r="U58"/>
    </row>
    <row r="59" spans="6:21" ht="14.25" x14ac:dyDescent="0.15">
      <c r="F59" s="2" t="s">
        <v>4963</v>
      </c>
      <c r="G59" s="35" t="str" cm="1">
        <f t="array" ref="G59">IF(貼付エリア!E10="NECフィールディング",IFERROR(_xlfn.TEXTSPLIT(貼付エリア!E37,," / ",),""),"")</f>
        <v/>
      </c>
      <c r="K59"/>
      <c r="L59"/>
      <c r="M59"/>
      <c r="N59"/>
      <c r="O59"/>
      <c r="P59"/>
      <c r="Q59"/>
      <c r="R59"/>
      <c r="S59"/>
      <c r="T59"/>
      <c r="U59"/>
    </row>
    <row r="60" spans="6:21" ht="14.25" x14ac:dyDescent="0.15">
      <c r="F60" s="2" t="s">
        <v>4964</v>
      </c>
      <c r="G60" s="35"/>
      <c r="K60"/>
      <c r="L60"/>
      <c r="M60"/>
      <c r="N60"/>
      <c r="O60"/>
      <c r="P60"/>
      <c r="Q60"/>
      <c r="R60"/>
      <c r="S60"/>
      <c r="T60"/>
      <c r="U60"/>
    </row>
    <row r="61" spans="6:21" ht="14.25" x14ac:dyDescent="0.15">
      <c r="F61" s="2" t="s">
        <v>4965</v>
      </c>
      <c r="G61" s="35"/>
      <c r="K61"/>
      <c r="L61"/>
      <c r="M61"/>
      <c r="N61"/>
      <c r="O61"/>
      <c r="P61"/>
      <c r="Q61"/>
      <c r="R61"/>
      <c r="S61"/>
      <c r="T61"/>
      <c r="U61"/>
    </row>
    <row r="62" spans="6:21" ht="14.25" x14ac:dyDescent="0.15">
      <c r="F62" s="2" t="s">
        <v>4966</v>
      </c>
      <c r="G62" s="35"/>
      <c r="K62"/>
      <c r="L62"/>
      <c r="M62"/>
      <c r="N62"/>
      <c r="O62"/>
      <c r="P62"/>
      <c r="Q62"/>
      <c r="R62"/>
      <c r="S62"/>
      <c r="T62"/>
      <c r="U62"/>
    </row>
    <row r="63" spans="6:21" ht="14.25" x14ac:dyDescent="0.15">
      <c r="F63" s="1"/>
      <c r="G63" s="35"/>
      <c r="K63"/>
      <c r="L63"/>
      <c r="M63"/>
      <c r="N63"/>
      <c r="O63"/>
      <c r="P63"/>
      <c r="Q63"/>
      <c r="R63"/>
      <c r="S63"/>
      <c r="T63"/>
      <c r="U63"/>
    </row>
    <row r="64" spans="6:21" ht="14.25" x14ac:dyDescent="0.15">
      <c r="F64" s="2" t="s">
        <v>4967</v>
      </c>
      <c r="G64" s="35" t="str" cm="1">
        <f t="array" ref="G64">IF(貼付エリア!E10="NECフィールディング",IFERROR(_xlfn.TEXTSPLIT(貼付エリア!E38,," / ",),""),"")</f>
        <v/>
      </c>
      <c r="K64"/>
      <c r="L64"/>
      <c r="M64"/>
      <c r="N64"/>
      <c r="O64"/>
      <c r="P64"/>
      <c r="Q64"/>
      <c r="R64"/>
      <c r="S64"/>
      <c r="T64"/>
      <c r="U64"/>
    </row>
    <row r="65" spans="6:21" ht="14.25" x14ac:dyDescent="0.15">
      <c r="F65" s="2" t="s">
        <v>4968</v>
      </c>
      <c r="G65" s="35"/>
      <c r="K65"/>
      <c r="L65"/>
      <c r="M65"/>
      <c r="N65"/>
      <c r="O65"/>
      <c r="P65"/>
      <c r="Q65"/>
      <c r="R65"/>
      <c r="S65"/>
      <c r="T65"/>
      <c r="U65"/>
    </row>
    <row r="66" spans="6:21" ht="14.25" x14ac:dyDescent="0.15">
      <c r="F66" s="2" t="s">
        <v>4969</v>
      </c>
      <c r="G66" s="35"/>
      <c r="K66"/>
      <c r="L66"/>
      <c r="M66"/>
      <c r="N66"/>
      <c r="O66"/>
      <c r="P66"/>
      <c r="Q66"/>
      <c r="R66"/>
      <c r="S66"/>
      <c r="T66"/>
      <c r="U66"/>
    </row>
    <row r="67" spans="6:21" ht="14.25" x14ac:dyDescent="0.15">
      <c r="F67" s="2" t="s">
        <v>4970</v>
      </c>
      <c r="G67" s="35"/>
      <c r="K67"/>
      <c r="L67"/>
      <c r="M67"/>
      <c r="N67"/>
      <c r="O67"/>
      <c r="P67"/>
      <c r="Q67"/>
      <c r="R67"/>
      <c r="S67"/>
      <c r="T67"/>
      <c r="U67"/>
    </row>
    <row r="68" spans="6:21" ht="14.25" x14ac:dyDescent="0.15">
      <c r="F68" s="1"/>
      <c r="G68" s="35"/>
      <c r="K68"/>
      <c r="L68"/>
      <c r="M68"/>
      <c r="N68"/>
      <c r="O68"/>
      <c r="P68"/>
      <c r="Q68"/>
      <c r="R68"/>
      <c r="S68"/>
      <c r="T68"/>
      <c r="U68"/>
    </row>
    <row r="69" spans="6:21" ht="14.25" x14ac:dyDescent="0.15">
      <c r="F69" s="2" t="s">
        <v>4971</v>
      </c>
      <c r="G69" s="35" t="str" cm="1">
        <f t="array" ref="G69">IF(貼付エリア!E10="NECフィールディング",IFERROR(_xlfn.TEXTSPLIT(貼付エリア!E39,," / ",),""),"")</f>
        <v/>
      </c>
      <c r="K69"/>
      <c r="L69"/>
      <c r="M69"/>
      <c r="N69"/>
      <c r="O69"/>
      <c r="P69"/>
      <c r="Q69"/>
      <c r="R69"/>
      <c r="S69"/>
      <c r="T69"/>
      <c r="U69"/>
    </row>
    <row r="70" spans="6:21" ht="14.25" x14ac:dyDescent="0.15">
      <c r="F70" s="2" t="s">
        <v>4972</v>
      </c>
      <c r="G70" s="35"/>
      <c r="K70"/>
      <c r="L70"/>
      <c r="M70"/>
      <c r="N70"/>
      <c r="O70"/>
      <c r="P70"/>
      <c r="Q70"/>
      <c r="R70"/>
      <c r="S70"/>
      <c r="T70"/>
      <c r="U70"/>
    </row>
    <row r="71" spans="6:21" ht="14.25" x14ac:dyDescent="0.15">
      <c r="F71" s="2" t="s">
        <v>4973</v>
      </c>
      <c r="G71" s="35"/>
      <c r="K71"/>
      <c r="L71"/>
      <c r="M71"/>
      <c r="N71"/>
      <c r="O71"/>
      <c r="P71"/>
      <c r="Q71"/>
      <c r="R71"/>
      <c r="S71"/>
      <c r="T71"/>
      <c r="U71"/>
    </row>
    <row r="72" spans="6:21" ht="14.25" x14ac:dyDescent="0.15">
      <c r="F72" s="2" t="s">
        <v>4974</v>
      </c>
      <c r="G72" s="35"/>
      <c r="K72"/>
      <c r="L72"/>
      <c r="M72"/>
      <c r="N72"/>
      <c r="O72"/>
      <c r="P72"/>
      <c r="Q72"/>
      <c r="R72"/>
      <c r="S72"/>
      <c r="T72"/>
      <c r="U72"/>
    </row>
    <row r="73" spans="6:21" ht="14.25" x14ac:dyDescent="0.15">
      <c r="F73" s="1"/>
      <c r="G73" s="35"/>
      <c r="K73"/>
      <c r="L73"/>
      <c r="M73"/>
      <c r="N73"/>
      <c r="O73"/>
      <c r="P73"/>
      <c r="Q73"/>
      <c r="R73"/>
      <c r="S73"/>
      <c r="T73"/>
      <c r="U73"/>
    </row>
    <row r="74" spans="6:21" ht="14.25" x14ac:dyDescent="0.15">
      <c r="F74" s="2" t="s">
        <v>4975</v>
      </c>
      <c r="G74" s="35" t="str" cm="1">
        <f t="array" ref="G74">IF(貼付エリア!E10="NECフィールディング",IFERROR(_xlfn.TEXTSPLIT(貼付エリア!E40,," / ",),""),"")</f>
        <v/>
      </c>
      <c r="K74"/>
      <c r="L74"/>
      <c r="M74"/>
      <c r="N74"/>
      <c r="O74"/>
      <c r="P74"/>
      <c r="Q74"/>
      <c r="R74"/>
      <c r="S74"/>
      <c r="T74"/>
      <c r="U74"/>
    </row>
    <row r="75" spans="6:21" ht="14.25" x14ac:dyDescent="0.15">
      <c r="F75" s="2" t="s">
        <v>4976</v>
      </c>
      <c r="G75" s="35"/>
      <c r="K75"/>
      <c r="L75"/>
      <c r="M75"/>
      <c r="N75"/>
      <c r="O75"/>
      <c r="P75"/>
      <c r="Q75"/>
      <c r="R75"/>
      <c r="S75"/>
      <c r="T75"/>
      <c r="U75"/>
    </row>
    <row r="76" spans="6:21" ht="14.25" x14ac:dyDescent="0.15">
      <c r="F76" s="2" t="s">
        <v>4977</v>
      </c>
      <c r="G76" s="35"/>
      <c r="K76"/>
      <c r="L76"/>
      <c r="M76"/>
      <c r="N76"/>
      <c r="O76"/>
      <c r="P76"/>
      <c r="Q76"/>
      <c r="R76"/>
      <c r="S76"/>
      <c r="T76"/>
      <c r="U76"/>
    </row>
    <row r="77" spans="6:21" ht="14.25" x14ac:dyDescent="0.15">
      <c r="F77" s="2" t="s">
        <v>4978</v>
      </c>
      <c r="G77" s="35"/>
      <c r="K77"/>
      <c r="L77"/>
      <c r="M77"/>
      <c r="N77"/>
      <c r="O77"/>
      <c r="P77"/>
      <c r="Q77"/>
      <c r="R77"/>
      <c r="S77"/>
      <c r="T77"/>
      <c r="U77"/>
    </row>
    <row r="78" spans="6:21" ht="14.25" x14ac:dyDescent="0.15">
      <c r="F78" s="1"/>
      <c r="G78" s="35"/>
      <c r="K78"/>
      <c r="L78"/>
      <c r="M78"/>
      <c r="N78"/>
      <c r="O78"/>
      <c r="P78"/>
      <c r="Q78"/>
      <c r="R78"/>
      <c r="S78"/>
      <c r="T78"/>
      <c r="U78"/>
    </row>
    <row r="79" spans="6:21" ht="14.25" x14ac:dyDescent="0.15">
      <c r="F79" s="2" t="s">
        <v>4979</v>
      </c>
      <c r="G79" s="35" t="str" cm="1">
        <f t="array" ref="G79">IF(貼付エリア!E10="NECフィールディング",IFERROR(_xlfn.TEXTSPLIT(貼付エリア!E41,," / ",),""),"")</f>
        <v/>
      </c>
      <c r="J79" s="40"/>
      <c r="K79"/>
      <c r="L79"/>
      <c r="M79"/>
      <c r="N79"/>
      <c r="O79"/>
      <c r="P79"/>
      <c r="Q79"/>
      <c r="R79"/>
      <c r="S79"/>
      <c r="T79"/>
      <c r="U79"/>
    </row>
    <row r="80" spans="6:21" ht="14.25" x14ac:dyDescent="0.15">
      <c r="F80" s="2" t="s">
        <v>4980</v>
      </c>
      <c r="G80" s="35"/>
      <c r="K80"/>
      <c r="L80"/>
      <c r="M80"/>
      <c r="N80"/>
      <c r="O80"/>
      <c r="P80"/>
      <c r="Q80"/>
      <c r="R80"/>
      <c r="S80"/>
      <c r="T80"/>
      <c r="U80"/>
    </row>
    <row r="81" spans="6:21" ht="14.25" x14ac:dyDescent="0.15">
      <c r="F81" s="2" t="s">
        <v>4981</v>
      </c>
      <c r="G81" s="35"/>
      <c r="K81"/>
      <c r="L81"/>
      <c r="M81"/>
      <c r="N81"/>
      <c r="O81"/>
      <c r="P81"/>
      <c r="Q81"/>
      <c r="R81"/>
      <c r="S81"/>
      <c r="T81"/>
      <c r="U81"/>
    </row>
    <row r="82" spans="6:21" ht="14.25" x14ac:dyDescent="0.15">
      <c r="F82" s="2" t="s">
        <v>4982</v>
      </c>
      <c r="G82" s="35"/>
      <c r="K82"/>
      <c r="L82"/>
      <c r="M82"/>
      <c r="N82"/>
      <c r="O82"/>
      <c r="P82"/>
      <c r="Q82"/>
      <c r="R82"/>
      <c r="S82"/>
      <c r="T82"/>
      <c r="U82"/>
    </row>
    <row r="83" spans="6:21" x14ac:dyDescent="0.15">
      <c r="F83" s="1"/>
      <c r="G83" s="3"/>
      <c r="K83"/>
      <c r="L83"/>
      <c r="M83"/>
      <c r="N83"/>
      <c r="O83"/>
      <c r="P83"/>
      <c r="Q83"/>
      <c r="R83"/>
      <c r="S83"/>
      <c r="T83"/>
      <c r="U83"/>
    </row>
    <row r="84" spans="6:21" x14ac:dyDescent="0.15">
      <c r="F84" s="2" t="s">
        <v>4983</v>
      </c>
      <c r="G84" s="3" t="str" cm="1">
        <f t="array" ref="G84">IF(貼付エリア!E10="NECフィールディング",IFERROR(_xlfn.TEXTSPLIT(貼付エリア!E42,," / ",),""),"")</f>
        <v/>
      </c>
      <c r="K84"/>
      <c r="L84"/>
      <c r="M84"/>
      <c r="N84"/>
      <c r="O84"/>
      <c r="P84"/>
      <c r="Q84"/>
      <c r="R84"/>
      <c r="S84"/>
      <c r="T84"/>
      <c r="U84"/>
    </row>
    <row r="85" spans="6:21" x14ac:dyDescent="0.15">
      <c r="F85" s="2" t="s">
        <v>4984</v>
      </c>
      <c r="G85" s="3"/>
      <c r="K85"/>
      <c r="L85"/>
      <c r="M85"/>
      <c r="N85"/>
      <c r="O85"/>
      <c r="P85"/>
      <c r="Q85"/>
      <c r="R85"/>
      <c r="S85"/>
      <c r="T85"/>
      <c r="U85"/>
    </row>
    <row r="86" spans="6:21" x14ac:dyDescent="0.15">
      <c r="F86" s="2" t="s">
        <v>4985</v>
      </c>
      <c r="G86" s="3"/>
      <c r="K86"/>
      <c r="L86"/>
      <c r="M86"/>
      <c r="N86"/>
      <c r="O86"/>
      <c r="P86"/>
      <c r="Q86"/>
      <c r="R86"/>
      <c r="S86"/>
      <c r="T86"/>
      <c r="U86"/>
    </row>
    <row r="87" spans="6:21" x14ac:dyDescent="0.15">
      <c r="F87" s="2" t="s">
        <v>4986</v>
      </c>
      <c r="G87" s="3"/>
      <c r="K87"/>
      <c r="L87"/>
      <c r="M87"/>
      <c r="N87"/>
      <c r="O87"/>
      <c r="P87"/>
      <c r="Q87"/>
      <c r="R87"/>
      <c r="S87"/>
      <c r="T87"/>
      <c r="U87"/>
    </row>
    <row r="88" spans="6:21" x14ac:dyDescent="0.15">
      <c r="F88" s="1"/>
      <c r="G88" s="3"/>
      <c r="K88"/>
      <c r="L88"/>
      <c r="M88"/>
      <c r="N88"/>
      <c r="O88"/>
      <c r="P88"/>
      <c r="Q88"/>
      <c r="R88"/>
      <c r="S88"/>
      <c r="T88"/>
      <c r="U88"/>
    </row>
    <row r="89" spans="6:21" x14ac:dyDescent="0.15">
      <c r="F89" s="2" t="s">
        <v>4987</v>
      </c>
      <c r="G89" s="3" t="str" cm="1">
        <f t="array" ref="G89">IF(貼付エリア!E10="NECフィールディング",IFERROR(_xlfn.TEXTSPLIT(貼付エリア!E43,," / ",),""),"")</f>
        <v/>
      </c>
      <c r="K89"/>
      <c r="L89"/>
      <c r="M89"/>
      <c r="N89"/>
      <c r="O89"/>
      <c r="P89"/>
      <c r="Q89"/>
      <c r="R89"/>
      <c r="S89"/>
      <c r="T89"/>
      <c r="U89"/>
    </row>
    <row r="90" spans="6:21" x14ac:dyDescent="0.15">
      <c r="F90" s="2" t="s">
        <v>4988</v>
      </c>
      <c r="G90" s="3"/>
      <c r="K90"/>
      <c r="L90"/>
      <c r="M90"/>
      <c r="N90"/>
      <c r="O90"/>
      <c r="P90"/>
      <c r="Q90"/>
      <c r="R90"/>
      <c r="S90"/>
      <c r="T90"/>
      <c r="U90"/>
    </row>
    <row r="91" spans="6:21" x14ac:dyDescent="0.15">
      <c r="F91" s="2" t="s">
        <v>4989</v>
      </c>
      <c r="G91" s="3"/>
      <c r="K91"/>
      <c r="L91"/>
      <c r="M91"/>
      <c r="N91"/>
      <c r="O91"/>
      <c r="P91"/>
      <c r="Q91"/>
      <c r="R91"/>
      <c r="S91"/>
      <c r="T91"/>
      <c r="U91"/>
    </row>
    <row r="92" spans="6:21" x14ac:dyDescent="0.15">
      <c r="F92" s="2" t="s">
        <v>4990</v>
      </c>
      <c r="G92" s="3"/>
      <c r="K92"/>
      <c r="L92"/>
      <c r="M92"/>
      <c r="N92"/>
      <c r="O92"/>
      <c r="P92"/>
      <c r="Q92"/>
      <c r="R92"/>
      <c r="S92"/>
      <c r="T92"/>
      <c r="U92"/>
    </row>
    <row r="93" spans="6:21" x14ac:dyDescent="0.15">
      <c r="F93" s="1"/>
      <c r="G93" s="3"/>
      <c r="K93"/>
      <c r="L93"/>
      <c r="M93"/>
      <c r="N93"/>
      <c r="O93"/>
      <c r="P93"/>
      <c r="Q93"/>
      <c r="R93"/>
      <c r="S93"/>
      <c r="T93"/>
      <c r="U93"/>
    </row>
    <row r="94" spans="6:21" x14ac:dyDescent="0.15">
      <c r="F94" s="2" t="s">
        <v>4991</v>
      </c>
      <c r="G94" s="3" t="str" cm="1">
        <f t="array" ref="G94">IF(貼付エリア!E10="NECフィールディング",IFERROR(_xlfn.TEXTSPLIT(貼付エリア!E44,," / ",),""),"")</f>
        <v/>
      </c>
      <c r="K94"/>
      <c r="L94"/>
      <c r="M94"/>
      <c r="N94"/>
      <c r="O94"/>
      <c r="P94"/>
      <c r="Q94"/>
      <c r="R94"/>
      <c r="S94"/>
      <c r="T94"/>
      <c r="U94"/>
    </row>
    <row r="95" spans="6:21" x14ac:dyDescent="0.15">
      <c r="F95" s="2" t="s">
        <v>4992</v>
      </c>
      <c r="G95" s="3"/>
      <c r="K95"/>
      <c r="L95"/>
      <c r="M95"/>
      <c r="N95"/>
      <c r="O95"/>
      <c r="P95"/>
      <c r="Q95"/>
      <c r="R95"/>
      <c r="S95"/>
      <c r="T95"/>
      <c r="U95"/>
    </row>
    <row r="96" spans="6:21" x14ac:dyDescent="0.15">
      <c r="F96" s="2" t="s">
        <v>4993</v>
      </c>
      <c r="G96" s="3"/>
      <c r="K96"/>
      <c r="L96"/>
      <c r="M96"/>
      <c r="N96"/>
      <c r="O96"/>
      <c r="P96"/>
      <c r="Q96"/>
      <c r="R96"/>
      <c r="S96"/>
      <c r="T96"/>
      <c r="U96"/>
    </row>
    <row r="97" spans="6:21" x14ac:dyDescent="0.15">
      <c r="F97" s="2" t="s">
        <v>4994</v>
      </c>
      <c r="G97" s="3"/>
      <c r="K97"/>
      <c r="L97"/>
      <c r="M97"/>
      <c r="N97"/>
      <c r="O97"/>
      <c r="P97"/>
      <c r="Q97"/>
      <c r="R97"/>
      <c r="S97"/>
      <c r="T97"/>
      <c r="U97"/>
    </row>
    <row r="98" spans="6:21" x14ac:dyDescent="0.15">
      <c r="F98" s="1"/>
      <c r="G98" s="3"/>
      <c r="K98"/>
      <c r="L98"/>
      <c r="M98"/>
      <c r="N98"/>
      <c r="O98"/>
      <c r="P98"/>
      <c r="Q98"/>
      <c r="R98"/>
      <c r="S98"/>
      <c r="T98"/>
      <c r="U98"/>
    </row>
    <row r="99" spans="6:21" x14ac:dyDescent="0.15">
      <c r="F99" s="2" t="s">
        <v>4995</v>
      </c>
      <c r="G99" s="3" t="str" cm="1">
        <f t="array" ref="G99">IF(貼付エリア!E10="NECフィールディング",IFERROR(_xlfn.TEXTSPLIT(貼付エリア!E45,," / ",),""),"")</f>
        <v/>
      </c>
      <c r="K99"/>
      <c r="L99"/>
      <c r="M99"/>
      <c r="N99"/>
      <c r="O99"/>
      <c r="P99"/>
      <c r="Q99"/>
      <c r="R99"/>
      <c r="S99"/>
      <c r="T99"/>
      <c r="U99"/>
    </row>
    <row r="100" spans="6:21" x14ac:dyDescent="0.15">
      <c r="F100" s="2" t="s">
        <v>4996</v>
      </c>
      <c r="G100" s="3"/>
      <c r="K100"/>
      <c r="L100"/>
      <c r="M100"/>
      <c r="N100"/>
      <c r="O100"/>
      <c r="P100"/>
      <c r="Q100"/>
      <c r="R100"/>
      <c r="S100"/>
      <c r="T100"/>
      <c r="U100"/>
    </row>
    <row r="101" spans="6:21" x14ac:dyDescent="0.15">
      <c r="F101" s="2" t="s">
        <v>4997</v>
      </c>
      <c r="G101" s="3"/>
      <c r="K101"/>
      <c r="L101"/>
      <c r="M101"/>
      <c r="N101"/>
      <c r="O101"/>
      <c r="P101"/>
      <c r="Q101"/>
      <c r="R101"/>
      <c r="S101"/>
      <c r="T101"/>
      <c r="U101"/>
    </row>
    <row r="102" spans="6:21" x14ac:dyDescent="0.15">
      <c r="F102" s="2" t="s">
        <v>4998</v>
      </c>
      <c r="G102" s="3"/>
      <c r="K102"/>
      <c r="L102"/>
      <c r="M102"/>
      <c r="N102"/>
      <c r="O102"/>
      <c r="P102"/>
      <c r="Q102"/>
      <c r="R102"/>
      <c r="S102"/>
      <c r="T102"/>
      <c r="U102"/>
    </row>
    <row r="103" spans="6:21" x14ac:dyDescent="0.15">
      <c r="F103" s="1"/>
      <c r="G103" s="3"/>
      <c r="K103"/>
      <c r="L103"/>
      <c r="M103"/>
      <c r="N103"/>
      <c r="O103"/>
      <c r="P103"/>
      <c r="Q103"/>
      <c r="R103"/>
      <c r="S103"/>
      <c r="T103"/>
      <c r="U103"/>
    </row>
    <row r="104" spans="6:21" x14ac:dyDescent="0.15">
      <c r="F104" s="2" t="s">
        <v>4999</v>
      </c>
      <c r="G104" s="3" t="str" cm="1">
        <f t="array" ref="G104">IF(貼付エリア!E10="NECフィールディング",IFERROR(_xlfn.TEXTSPLIT(貼付エリア!E46,," / ",),""),"")</f>
        <v/>
      </c>
      <c r="K104"/>
      <c r="L104"/>
      <c r="M104"/>
      <c r="N104"/>
      <c r="O104"/>
      <c r="P104"/>
      <c r="Q104"/>
      <c r="R104"/>
      <c r="S104"/>
      <c r="T104"/>
      <c r="U104"/>
    </row>
    <row r="105" spans="6:21" x14ac:dyDescent="0.15">
      <c r="F105" s="2" t="s">
        <v>5000</v>
      </c>
      <c r="G105" s="3"/>
      <c r="K105"/>
      <c r="L105"/>
      <c r="M105"/>
      <c r="N105"/>
      <c r="O105"/>
      <c r="P105"/>
      <c r="Q105"/>
      <c r="R105"/>
      <c r="S105"/>
      <c r="T105"/>
      <c r="U105"/>
    </row>
    <row r="106" spans="6:21" x14ac:dyDescent="0.15">
      <c r="F106" s="2" t="s">
        <v>5001</v>
      </c>
      <c r="G106" s="3"/>
      <c r="K106"/>
      <c r="L106"/>
      <c r="M106"/>
      <c r="N106"/>
      <c r="O106"/>
      <c r="P106"/>
      <c r="Q106"/>
      <c r="R106"/>
      <c r="S106"/>
      <c r="T106"/>
      <c r="U106"/>
    </row>
    <row r="107" spans="6:21" x14ac:dyDescent="0.15">
      <c r="F107" s="2" t="s">
        <v>5002</v>
      </c>
      <c r="G107" s="3"/>
      <c r="K107"/>
      <c r="L107"/>
      <c r="M107"/>
      <c r="N107"/>
      <c r="O107"/>
      <c r="P107"/>
      <c r="Q107"/>
      <c r="R107"/>
      <c r="S107"/>
      <c r="T107"/>
      <c r="U107"/>
    </row>
    <row r="108" spans="6:21" x14ac:dyDescent="0.15">
      <c r="F108" s="1"/>
      <c r="G108" s="3"/>
      <c r="K108"/>
      <c r="L108"/>
      <c r="M108"/>
      <c r="N108"/>
      <c r="O108"/>
      <c r="P108"/>
      <c r="Q108"/>
      <c r="R108"/>
      <c r="S108"/>
      <c r="T108"/>
      <c r="U108"/>
    </row>
    <row r="109" spans="6:21" x14ac:dyDescent="0.15">
      <c r="F109" s="2" t="s">
        <v>5003</v>
      </c>
      <c r="G109" s="3" t="str" cm="1">
        <f t="array" ref="G109">IF(貼付エリア!E10="NECフィールディング",IFERROR(_xlfn.TEXTSPLIT(貼付エリア!E47,," / ",),""),"")</f>
        <v/>
      </c>
      <c r="K109"/>
      <c r="L109"/>
      <c r="M109"/>
      <c r="N109"/>
      <c r="O109"/>
      <c r="P109"/>
      <c r="Q109"/>
      <c r="R109"/>
      <c r="S109"/>
      <c r="T109"/>
      <c r="U109"/>
    </row>
    <row r="110" spans="6:21" x14ac:dyDescent="0.15">
      <c r="F110" s="2" t="s">
        <v>5004</v>
      </c>
      <c r="G110" s="3"/>
      <c r="K110"/>
      <c r="L110"/>
      <c r="M110"/>
      <c r="N110"/>
      <c r="O110"/>
      <c r="P110"/>
      <c r="Q110"/>
      <c r="R110"/>
      <c r="S110"/>
      <c r="T110"/>
      <c r="U110"/>
    </row>
    <row r="111" spans="6:21" x14ac:dyDescent="0.15">
      <c r="F111" s="2" t="s">
        <v>5005</v>
      </c>
      <c r="G111" s="3"/>
      <c r="K111"/>
      <c r="L111"/>
      <c r="M111"/>
      <c r="N111"/>
      <c r="O111"/>
      <c r="P111"/>
      <c r="Q111"/>
      <c r="R111"/>
      <c r="S111"/>
      <c r="T111"/>
      <c r="U111"/>
    </row>
    <row r="112" spans="6:21" x14ac:dyDescent="0.15">
      <c r="F112" s="2" t="s">
        <v>5006</v>
      </c>
      <c r="G112" s="3"/>
      <c r="K112"/>
      <c r="L112"/>
      <c r="M112"/>
      <c r="N112"/>
      <c r="O112"/>
      <c r="P112"/>
      <c r="Q112"/>
      <c r="R112"/>
      <c r="S112"/>
      <c r="T112"/>
      <c r="U112"/>
    </row>
    <row r="113" spans="6:21" x14ac:dyDescent="0.15">
      <c r="F113" s="1"/>
      <c r="G113" s="3"/>
      <c r="K113"/>
      <c r="L113"/>
      <c r="M113"/>
      <c r="N113"/>
      <c r="O113"/>
      <c r="P113"/>
      <c r="Q113"/>
      <c r="R113"/>
      <c r="S113"/>
      <c r="T113"/>
      <c r="U113"/>
    </row>
    <row r="114" spans="6:21" x14ac:dyDescent="0.15">
      <c r="F114" s="2" t="s">
        <v>5007</v>
      </c>
      <c r="G114" s="3" t="str" cm="1">
        <f t="array" ref="G114">IF(貼付エリア!E10="NECフィールディング",IFERROR(_xlfn.TEXTSPLIT(貼付エリア!E48,," / ",),""),"")</f>
        <v/>
      </c>
      <c r="K114"/>
      <c r="L114"/>
      <c r="M114"/>
      <c r="N114"/>
      <c r="O114"/>
      <c r="P114"/>
      <c r="Q114"/>
      <c r="R114"/>
      <c r="S114"/>
      <c r="T114"/>
      <c r="U114"/>
    </row>
    <row r="115" spans="6:21" x14ac:dyDescent="0.15">
      <c r="F115" s="2" t="s">
        <v>5008</v>
      </c>
      <c r="G115" s="3"/>
      <c r="K115"/>
      <c r="L115"/>
      <c r="M115"/>
      <c r="N115"/>
      <c r="O115"/>
      <c r="P115"/>
      <c r="Q115"/>
      <c r="R115"/>
      <c r="S115"/>
      <c r="T115"/>
      <c r="U115"/>
    </row>
    <row r="116" spans="6:21" x14ac:dyDescent="0.15">
      <c r="F116" s="2" t="s">
        <v>5009</v>
      </c>
      <c r="G116" s="3"/>
      <c r="K116"/>
      <c r="L116"/>
      <c r="M116"/>
      <c r="N116"/>
      <c r="O116"/>
      <c r="P116"/>
      <c r="Q116"/>
      <c r="R116"/>
      <c r="S116"/>
      <c r="T116"/>
      <c r="U116"/>
    </row>
    <row r="117" spans="6:21" x14ac:dyDescent="0.15">
      <c r="F117" s="2" t="s">
        <v>5010</v>
      </c>
      <c r="G117" s="3"/>
      <c r="K117"/>
      <c r="L117"/>
      <c r="M117"/>
      <c r="N117"/>
      <c r="O117"/>
      <c r="P117"/>
      <c r="Q117"/>
      <c r="R117"/>
      <c r="S117"/>
      <c r="T117"/>
      <c r="U117"/>
    </row>
    <row r="118" spans="6:21" x14ac:dyDescent="0.15">
      <c r="F118" s="1"/>
      <c r="G118" s="3"/>
      <c r="K118"/>
      <c r="L118"/>
      <c r="M118"/>
      <c r="N118"/>
      <c r="O118"/>
      <c r="P118"/>
      <c r="Q118"/>
      <c r="R118"/>
      <c r="S118"/>
      <c r="T118"/>
      <c r="U118"/>
    </row>
    <row r="119" spans="6:21" x14ac:dyDescent="0.15">
      <c r="F119" s="2" t="s">
        <v>5011</v>
      </c>
      <c r="G119" s="3" t="str" cm="1">
        <f t="array" ref="G119">IF(貼付エリア!E10="NECフィールディング",IFERROR(_xlfn.TEXTSPLIT(貼付エリア!E49,," / ",),""),"")</f>
        <v/>
      </c>
      <c r="K119"/>
      <c r="L119"/>
      <c r="M119"/>
      <c r="N119"/>
      <c r="O119"/>
      <c r="P119"/>
      <c r="Q119"/>
      <c r="R119"/>
      <c r="S119"/>
      <c r="T119"/>
      <c r="U119"/>
    </row>
    <row r="120" spans="6:21" x14ac:dyDescent="0.15">
      <c r="F120" s="2" t="s">
        <v>5012</v>
      </c>
      <c r="G120" s="3"/>
      <c r="K120"/>
      <c r="L120"/>
      <c r="M120"/>
      <c r="N120"/>
      <c r="O120"/>
      <c r="P120"/>
      <c r="Q120"/>
      <c r="R120"/>
      <c r="S120"/>
      <c r="T120"/>
      <c r="U120"/>
    </row>
    <row r="121" spans="6:21" x14ac:dyDescent="0.15">
      <c r="F121" s="2" t="s">
        <v>5013</v>
      </c>
      <c r="G121" s="3"/>
    </row>
    <row r="122" spans="6:21" x14ac:dyDescent="0.15">
      <c r="F122" s="2" t="s">
        <v>5014</v>
      </c>
      <c r="G122" s="3"/>
    </row>
    <row r="123" spans="6:21" x14ac:dyDescent="0.15">
      <c r="F123" s="1"/>
      <c r="G123" s="3"/>
    </row>
    <row r="124" spans="6:21" x14ac:dyDescent="0.15">
      <c r="F124" s="2" t="s">
        <v>5015</v>
      </c>
      <c r="G124" s="3" t="str" cm="1">
        <f t="array" ref="G124">IF(貼付エリア!E10="NECフィールディング",IFERROR(_xlfn.TEXTSPLIT(貼付エリア!E50,," / ",),""),"")</f>
        <v/>
      </c>
    </row>
    <row r="125" spans="6:21" x14ac:dyDescent="0.15">
      <c r="F125" s="2" t="s">
        <v>5016</v>
      </c>
      <c r="G125" s="3"/>
    </row>
    <row r="126" spans="6:21" x14ac:dyDescent="0.15">
      <c r="F126" s="2" t="s">
        <v>5017</v>
      </c>
      <c r="G126" s="3"/>
    </row>
    <row r="127" spans="6:21" x14ac:dyDescent="0.15">
      <c r="F127" s="2" t="s">
        <v>5018</v>
      </c>
      <c r="G127" s="3"/>
    </row>
    <row r="128" spans="6:21" x14ac:dyDescent="0.15">
      <c r="F128" s="1"/>
      <c r="G128" s="3"/>
    </row>
    <row r="129" spans="6:10" x14ac:dyDescent="0.15">
      <c r="F129" s="2" t="s">
        <v>5019</v>
      </c>
      <c r="G129" s="3" t="str" cm="1">
        <f t="array" ref="G129">IF(貼付エリア!E10="NECフィールディング",IFERROR(_xlfn.TEXTSPLIT(貼付エリア!E51,," / ",),""),"")</f>
        <v/>
      </c>
    </row>
    <row r="130" spans="6:10" x14ac:dyDescent="0.15">
      <c r="F130" s="2" t="s">
        <v>5020</v>
      </c>
      <c r="G130" s="3"/>
    </row>
    <row r="131" spans="6:10" x14ac:dyDescent="0.15">
      <c r="F131" s="2" t="s">
        <v>5021</v>
      </c>
      <c r="G131" s="3"/>
    </row>
    <row r="132" spans="6:10" x14ac:dyDescent="0.15">
      <c r="F132" s="2" t="s">
        <v>5022</v>
      </c>
      <c r="G132" s="3"/>
      <c r="J132" s="40"/>
    </row>
    <row r="133" spans="6:10" x14ac:dyDescent="0.15">
      <c r="F133" s="1"/>
    </row>
    <row r="134" spans="6:10" x14ac:dyDescent="0.15">
      <c r="G134" s="57" t="s">
        <v>46</v>
      </c>
    </row>
  </sheetData>
  <phoneticPr fontId="1"/>
  <hyperlinks>
    <hyperlink ref="I3" r:id="rId1" xr:uid="{00000000-0004-0000-0100-000000000000}"/>
    <hyperlink ref="I5" r:id="rId2" display="fukushima-t@star.fielding.nec.co.jp;" xr:uid="{00000000-0004-0000-0100-000001000000}"/>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3553" r:id="rId6" name="Button 1">
              <controlPr defaultSize="0" print="0" autoFill="0" autoPict="0" macro="[0]!main_string_cut_L2">
                <anchor moveWithCells="1" sizeWithCells="1">
                  <from>
                    <xdr:col>0</xdr:col>
                    <xdr:colOff>95250</xdr:colOff>
                    <xdr:row>2</xdr:row>
                    <xdr:rowOff>152400</xdr:rowOff>
                  </from>
                  <to>
                    <xdr:col>5</xdr:col>
                    <xdr:colOff>533400</xdr:colOff>
                    <xdr:row>6</xdr:row>
                    <xdr:rowOff>152400</xdr:rowOff>
                  </to>
                </anchor>
              </controlPr>
            </control>
          </mc:Choice>
        </mc:AlternateContent>
        <mc:AlternateContent xmlns:mc="http://schemas.openxmlformats.org/markup-compatibility/2006">
          <mc:Choice Requires="x14">
            <control shapeId="23554" r:id="rId7" name="Button 3">
              <controlPr defaultSize="0" print="0" autoFill="0" autoPict="0" macro="[0]!make_necbook_test_2">
                <anchor moveWithCells="1" sizeWithCells="1">
                  <from>
                    <xdr:col>9</xdr:col>
                    <xdr:colOff>104775</xdr:colOff>
                    <xdr:row>7</xdr:row>
                    <xdr:rowOff>152400</xdr:rowOff>
                  </from>
                  <to>
                    <xdr:col>9</xdr:col>
                    <xdr:colOff>1333500</xdr:colOff>
                    <xdr:row>12</xdr:row>
                    <xdr:rowOff>38100</xdr:rowOff>
                  </to>
                </anchor>
              </controlPr>
            </control>
          </mc:Choice>
        </mc:AlternateContent>
        <mc:AlternateContent xmlns:mc="http://schemas.openxmlformats.org/markup-compatibility/2006">
          <mc:Choice Requires="x14">
            <control shapeId="23557" r:id="rId8" name="Button 5">
              <controlPr defaultSize="0" print="0" autoFill="0" autoPict="0" macro="[0]!Start_UserInfo">
                <anchor moveWithCells="1" sizeWithCells="1">
                  <from>
                    <xdr:col>9</xdr:col>
                    <xdr:colOff>85725</xdr:colOff>
                    <xdr:row>2</xdr:row>
                    <xdr:rowOff>114300</xdr:rowOff>
                  </from>
                  <to>
                    <xdr:col>9</xdr:col>
                    <xdr:colOff>1333500</xdr:colOff>
                    <xdr:row>6</xdr:row>
                    <xdr:rowOff>114300</xdr:rowOff>
                  </to>
                </anchor>
              </controlPr>
            </control>
          </mc:Choice>
        </mc:AlternateContent>
        <mc:AlternateContent xmlns:mc="http://schemas.openxmlformats.org/markup-compatibility/2006">
          <mc:Choice Requires="x14">
            <control shapeId="23559" r:id="rId9" name="Button 7">
              <controlPr defaultSize="0" print="0" autoFill="0" autoPict="0" macro="[0]!sendmail_sample">
                <anchor moveWithCells="1">
                  <from>
                    <xdr:col>9</xdr:col>
                    <xdr:colOff>123825</xdr:colOff>
                    <xdr:row>13</xdr:row>
                    <xdr:rowOff>19050</xdr:rowOff>
                  </from>
                  <to>
                    <xdr:col>9</xdr:col>
                    <xdr:colOff>1333500</xdr:colOff>
                    <xdr:row>16</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F1:V134"/>
  <sheetViews>
    <sheetView zoomScale="85" zoomScaleNormal="85" workbookViewId="0">
      <selection activeCell="G32" sqref="G32"/>
    </sheetView>
  </sheetViews>
  <sheetFormatPr defaultColWidth="9" defaultRowHeight="13.5" outlineLevelCol="1" x14ac:dyDescent="0.15"/>
  <cols>
    <col min="1" max="5" width="2.125" customWidth="1"/>
    <col min="6" max="6" width="26.125" customWidth="1"/>
    <col min="7" max="7" width="72.125" customWidth="1"/>
    <col min="8" max="8" width="2.125" hidden="1" customWidth="1" outlineLevel="1"/>
    <col min="9" max="9" width="117.375" hidden="1" customWidth="1" outlineLevel="1"/>
    <col min="10" max="10" width="21.625" customWidth="1" collapsed="1"/>
    <col min="11" max="11" width="11" style="3" customWidth="1"/>
    <col min="12" max="12" width="7.5" style="3" customWidth="1"/>
    <col min="13" max="13" width="10.5" style="3" customWidth="1"/>
    <col min="14" max="14" width="7" style="3" customWidth="1"/>
    <col min="15" max="15" width="8" style="3" customWidth="1"/>
    <col min="16" max="20" width="13.625" style="3" customWidth="1"/>
    <col min="21" max="21" width="8.625" style="3" customWidth="1"/>
    <col min="22" max="22" width="9.375" customWidth="1"/>
  </cols>
  <sheetData>
    <row r="1" spans="6:22" x14ac:dyDescent="0.15">
      <c r="F1" s="15" t="s">
        <v>323</v>
      </c>
      <c r="V1" t="s">
        <v>214</v>
      </c>
    </row>
    <row r="2" spans="6:22" x14ac:dyDescent="0.15">
      <c r="G2" s="6" t="s">
        <v>0</v>
      </c>
      <c r="H2" s="23"/>
      <c r="I2" s="25" t="s">
        <v>190</v>
      </c>
      <c r="J2" s="23"/>
      <c r="K2" s="19" t="s">
        <v>185</v>
      </c>
      <c r="L2" s="20" t="s">
        <v>76</v>
      </c>
      <c r="M2" s="19" t="s">
        <v>203</v>
      </c>
      <c r="N2" s="19" t="s">
        <v>175</v>
      </c>
      <c r="O2" s="19" t="s">
        <v>176</v>
      </c>
      <c r="P2" s="19" t="s">
        <v>177</v>
      </c>
      <c r="Q2" s="19" t="s">
        <v>178</v>
      </c>
      <c r="R2" s="20" t="s">
        <v>179</v>
      </c>
      <c r="S2" s="20" t="s">
        <v>180</v>
      </c>
      <c r="T2" s="20" t="s">
        <v>181</v>
      </c>
      <c r="U2" s="20" t="s">
        <v>182</v>
      </c>
      <c r="V2" s="20" t="s">
        <v>186</v>
      </c>
    </row>
    <row r="3" spans="6:22" x14ac:dyDescent="0.15">
      <c r="G3" s="16" t="s">
        <v>5049</v>
      </c>
      <c r="H3" s="23" t="s">
        <v>189</v>
      </c>
      <c r="I3" s="26" t="s">
        <v>262</v>
      </c>
      <c r="J3" s="23" t="s">
        <v>189</v>
      </c>
      <c r="K3" s="21"/>
      <c r="L3" s="22"/>
      <c r="M3" s="21"/>
      <c r="N3" s="21"/>
      <c r="O3" s="21"/>
      <c r="P3" s="21"/>
      <c r="Q3" s="21"/>
      <c r="R3" s="22"/>
      <c r="S3" s="22"/>
      <c r="T3" s="22"/>
      <c r="U3" s="22"/>
      <c r="V3" s="22"/>
    </row>
    <row r="4" spans="6:22" x14ac:dyDescent="0.15">
      <c r="G4" s="6" t="s">
        <v>34</v>
      </c>
      <c r="H4" s="23"/>
      <c r="I4" s="25" t="s">
        <v>191</v>
      </c>
      <c r="J4" s="23"/>
      <c r="K4" s="21"/>
      <c r="L4" s="22"/>
      <c r="M4" s="21"/>
      <c r="N4" s="21"/>
      <c r="O4" s="21"/>
      <c r="P4" s="21"/>
      <c r="Q4" s="21"/>
      <c r="R4" s="22"/>
      <c r="S4" s="22"/>
      <c r="T4" s="22"/>
      <c r="U4" s="22"/>
      <c r="V4" s="22"/>
    </row>
    <row r="5" spans="6:22" x14ac:dyDescent="0.15">
      <c r="G5" s="10" t="str">
        <f>IF(メインページ!G6 = "", メインページ!C6, メインページ!G6)</f>
        <v>C:\ハードウェア点検依頼\点検依頼</v>
      </c>
      <c r="H5" s="23"/>
      <c r="I5" s="26" t="s">
        <v>264</v>
      </c>
      <c r="J5" s="23"/>
      <c r="K5" s="21"/>
      <c r="L5" s="22"/>
      <c r="M5" s="21"/>
      <c r="N5" s="21"/>
      <c r="O5" s="21"/>
      <c r="P5" s="21"/>
      <c r="Q5" s="21"/>
      <c r="R5" s="22"/>
      <c r="S5" s="22"/>
      <c r="T5" s="22"/>
      <c r="U5" s="22"/>
      <c r="V5" s="22"/>
    </row>
    <row r="6" spans="6:22" x14ac:dyDescent="0.15">
      <c r="G6" s="2" t="s">
        <v>35</v>
      </c>
      <c r="H6" s="23"/>
      <c r="I6" s="25" t="s">
        <v>192</v>
      </c>
      <c r="J6" s="23"/>
      <c r="K6" s="21"/>
      <c r="L6" s="22"/>
      <c r="M6" s="21"/>
      <c r="N6" s="21"/>
      <c r="O6" s="21"/>
      <c r="P6" s="21"/>
      <c r="Q6" s="21"/>
      <c r="R6" s="22"/>
      <c r="S6" s="22"/>
      <c r="T6" s="22"/>
      <c r="U6" s="22"/>
      <c r="V6" s="22"/>
    </row>
    <row r="7" spans="6:22" x14ac:dyDescent="0.15">
      <c r="G7" s="1" t="str">
        <f>SUBSTITUTE(G18,"/","") &amp; "_保守作業依頼書「 " &amp; G10 &amp; " 」 _日立.xlsx"</f>
        <v>19000100_保守作業依頼書「 0 」 _日立.xlsx</v>
      </c>
      <c r="H7" s="23"/>
      <c r="I7" s="1" t="str">
        <f ca="1">"日程調整依頼("&amp;TEXT(INDIRECT("G18"),"YYYY/MM/DD")&amp;" "&amp;TEXT(INDIRECT("G20"),"hh:mm")&amp;"-"&amp;TEXT(INDIRECT("G21"),"hh:mm")&amp;") "&amp;G10&amp;" _日立"</f>
        <v>日程調整依頼(1900/01/00 00:00-00:00) 0 _日立</v>
      </c>
      <c r="J7" s="23" t="s">
        <v>189</v>
      </c>
      <c r="K7" s="21"/>
      <c r="L7" s="22"/>
      <c r="M7" s="21"/>
      <c r="N7" s="21"/>
      <c r="O7" s="21"/>
      <c r="P7" s="21"/>
      <c r="Q7" s="21"/>
      <c r="R7" s="22"/>
      <c r="S7" s="22"/>
      <c r="T7" s="22"/>
      <c r="U7" s="22"/>
      <c r="V7" s="22"/>
    </row>
    <row r="8" spans="6:22" x14ac:dyDescent="0.15">
      <c r="H8" s="23"/>
      <c r="I8" s="1"/>
      <c r="J8" s="23"/>
      <c r="K8" s="21"/>
      <c r="L8" s="22"/>
      <c r="M8" s="21"/>
      <c r="N8" s="21"/>
      <c r="O8" s="21"/>
      <c r="P8" s="21"/>
      <c r="Q8" s="21"/>
      <c r="R8" s="22"/>
      <c r="S8" s="22"/>
      <c r="T8" s="22"/>
      <c r="U8" s="22"/>
      <c r="V8" s="22"/>
    </row>
    <row r="9" spans="6:22" x14ac:dyDescent="0.15">
      <c r="F9" s="1"/>
      <c r="G9" s="7" t="s">
        <v>36</v>
      </c>
      <c r="H9" s="23"/>
      <c r="I9" s="25" t="s">
        <v>193</v>
      </c>
      <c r="J9" s="23"/>
      <c r="K9" s="21"/>
      <c r="L9" s="22"/>
      <c r="M9" s="21"/>
      <c r="N9" s="21"/>
      <c r="O9" s="21"/>
      <c r="P9" s="21"/>
      <c r="Q9" s="21"/>
      <c r="R9" s="22"/>
      <c r="S9" s="22"/>
      <c r="T9" s="22"/>
      <c r="U9" s="22"/>
      <c r="V9" s="22"/>
    </row>
    <row r="10" spans="6:22" ht="13.5" customHeight="1" x14ac:dyDescent="0.15">
      <c r="F10" s="2" t="s">
        <v>38</v>
      </c>
      <c r="G10" s="35">
        <f>_xlfn.XLOOKUP("出荷先名 +工場名",貼付エリア!$D$6:$D$29,貼付エリア!$E$6:$E$29,"",0)</f>
        <v>0</v>
      </c>
      <c r="I10" s="24" t="s">
        <v>224</v>
      </c>
      <c r="J10" t="s">
        <v>189</v>
      </c>
      <c r="K10" s="21"/>
      <c r="L10" s="22"/>
      <c r="M10" s="21"/>
      <c r="N10" s="21"/>
      <c r="O10" s="21"/>
      <c r="P10" s="21"/>
      <c r="Q10" s="21"/>
      <c r="R10" s="22"/>
      <c r="S10" s="22"/>
      <c r="T10" s="22"/>
      <c r="U10" s="22"/>
      <c r="V10" s="22"/>
    </row>
    <row r="11" spans="6:22" ht="14.25" x14ac:dyDescent="0.15">
      <c r="F11" s="1"/>
      <c r="G11" s="35"/>
      <c r="I11" s="25" t="s">
        <v>197</v>
      </c>
      <c r="J11" t="s">
        <v>189</v>
      </c>
      <c r="K11" s="21"/>
      <c r="L11" s="22"/>
      <c r="M11" s="21"/>
      <c r="N11" s="21"/>
      <c r="O11" s="21"/>
      <c r="P11" s="21"/>
      <c r="Q11" s="21"/>
      <c r="R11" s="22"/>
      <c r="S11" s="22"/>
      <c r="T11" s="22"/>
      <c r="U11" s="22"/>
      <c r="V11" s="22"/>
    </row>
    <row r="12" spans="6:22" ht="14.25" x14ac:dyDescent="0.15">
      <c r="F12" s="2" t="s">
        <v>298</v>
      </c>
      <c r="G12" s="35">
        <f>_xlfn.XLOOKUP("住所",貼付エリア!$D$6:$D$29,貼付エリア!$E$6:$E$29,"",0)</f>
        <v>0</v>
      </c>
      <c r="I12" s="1" t="str">
        <f>G5 &amp; "\" &amp; G7</f>
        <v>C:\ハードウェア点検依頼\点検依頼\19000100_保守作業依頼書「 0 」 _日立.xlsx</v>
      </c>
      <c r="J12" t="s">
        <v>189</v>
      </c>
      <c r="K12" s="21"/>
      <c r="L12" s="22"/>
      <c r="M12" s="21"/>
      <c r="N12" s="21"/>
      <c r="O12" s="21"/>
      <c r="P12" s="21"/>
      <c r="Q12" s="21"/>
      <c r="R12" s="22"/>
      <c r="S12" s="22"/>
      <c r="T12" s="22"/>
      <c r="U12" s="22"/>
      <c r="V12" s="22"/>
    </row>
    <row r="13" spans="6:22" ht="14.25" x14ac:dyDescent="0.15">
      <c r="F13" s="1"/>
      <c r="G13" s="35"/>
      <c r="K13"/>
      <c r="L13"/>
      <c r="M13"/>
      <c r="N13"/>
      <c r="O13"/>
      <c r="P13"/>
      <c r="Q13"/>
      <c r="R13"/>
      <c r="S13"/>
      <c r="T13"/>
      <c r="U13"/>
    </row>
    <row r="14" spans="6:22" ht="14.25" x14ac:dyDescent="0.15">
      <c r="F14" s="2" t="s">
        <v>39</v>
      </c>
      <c r="G14" s="35">
        <f>_xlfn.XLOOKUP("取引先契約番号  ",貼付エリア!$D$6:$D$29,貼付エリア!$E$6:$E$29,"",0)</f>
        <v>0</v>
      </c>
      <c r="K14"/>
      <c r="L14"/>
      <c r="M14"/>
      <c r="N14"/>
      <c r="O14"/>
      <c r="P14"/>
      <c r="Q14"/>
      <c r="R14"/>
      <c r="S14"/>
      <c r="T14"/>
      <c r="U14"/>
    </row>
    <row r="15" spans="6:22" ht="14.25" x14ac:dyDescent="0.15">
      <c r="F15" s="1"/>
      <c r="G15" s="35"/>
      <c r="I15" s="34" t="s">
        <v>251</v>
      </c>
      <c r="K15"/>
      <c r="L15"/>
      <c r="M15"/>
      <c r="N15"/>
      <c r="O15"/>
      <c r="P15"/>
      <c r="Q15"/>
      <c r="R15"/>
      <c r="S15"/>
      <c r="T15"/>
      <c r="U15"/>
    </row>
    <row r="16" spans="6:22" ht="14.25" x14ac:dyDescent="0.15">
      <c r="F16" s="2" t="s">
        <v>1</v>
      </c>
      <c r="G16" s="35">
        <f>_xlfn.XLOOKUP("サポートID  ",貼付エリア!$D$6:$D$29,貼付エリア!$E$6:$E$29,"",0)</f>
        <v>0</v>
      </c>
      <c r="I16" t="s">
        <v>252</v>
      </c>
      <c r="K16"/>
      <c r="L16"/>
      <c r="M16"/>
      <c r="N16"/>
      <c r="O16"/>
      <c r="P16"/>
      <c r="Q16"/>
      <c r="R16"/>
      <c r="S16"/>
      <c r="T16"/>
      <c r="U16"/>
    </row>
    <row r="17" spans="6:22" ht="14.25" x14ac:dyDescent="0.15">
      <c r="F17" s="1"/>
      <c r="G17" s="35"/>
      <c r="I17" t="s">
        <v>265</v>
      </c>
      <c r="K17"/>
      <c r="L17"/>
      <c r="M17"/>
      <c r="N17"/>
      <c r="O17"/>
      <c r="P17"/>
      <c r="Q17"/>
      <c r="R17"/>
      <c r="S17"/>
      <c r="T17"/>
      <c r="U17"/>
    </row>
    <row r="18" spans="6:22" ht="18.75" x14ac:dyDescent="0.15">
      <c r="F18" s="2" t="s">
        <v>40</v>
      </c>
      <c r="G18" s="40" t="str">
        <f>LEFT(TEXT(_xlfn.XLOOKUP("希望開始日時*",貼付エリア!$D$6:$D$29,貼付エリア!$E$6:$E$29,"---",2,1),"yyyy/mm/dd hh:mm"),10)</f>
        <v>1900/01/00</v>
      </c>
      <c r="J18" s="70" t="str" cm="1">
        <f t="array" ref="J18">IF(SUM(--ISNUMBER(SEARCH({"HJ","GQ","THE","PY","TQ","TX"}, G36)))&gt;0, "日立で合ってる", "日立違う")</f>
        <v>日立違う</v>
      </c>
      <c r="K18"/>
      <c r="L18"/>
      <c r="M18"/>
      <c r="N18"/>
      <c r="O18"/>
      <c r="P18"/>
      <c r="Q18"/>
      <c r="R18"/>
      <c r="S18"/>
      <c r="T18"/>
      <c r="U18"/>
    </row>
    <row r="19" spans="6:22" ht="14.25" x14ac:dyDescent="0.15">
      <c r="F19" s="1"/>
      <c r="G19" s="35"/>
      <c r="K19"/>
      <c r="L19"/>
      <c r="M19"/>
      <c r="N19"/>
      <c r="O19"/>
      <c r="P19"/>
      <c r="Q19"/>
      <c r="R19"/>
      <c r="S19"/>
      <c r="T19"/>
      <c r="U19"/>
    </row>
    <row r="20" spans="6:22" x14ac:dyDescent="0.15">
      <c r="F20" s="2" t="s">
        <v>41</v>
      </c>
      <c r="G20" s="40" t="str" cm="1">
        <f t="array" ref="G20">RIGHT(TEXT(_xlfn.XLOOKUP("希望開始日時*",貼付エリア!$D$6:$D$29,貼付エリア!$E6:$E$29,"---",2,1),"yyyy/mm/dd hh:mm"),5)</f>
        <v>00:00</v>
      </c>
      <c r="K20"/>
      <c r="L20"/>
      <c r="M20"/>
      <c r="N20"/>
      <c r="O20"/>
      <c r="P20"/>
      <c r="Q20"/>
      <c r="R20"/>
      <c r="S20"/>
      <c r="T20"/>
      <c r="U20"/>
    </row>
    <row r="21" spans="6:22" x14ac:dyDescent="0.15">
      <c r="F21" s="2" t="s">
        <v>42</v>
      </c>
      <c r="G21" s="40" t="str">
        <f>RIGHT(TEXT(_xlfn.XLOOKUP("希望終了日時*",貼付エリア!$D$6:$D$29,貼付エリア!$E$6:$E$29,"---",2,-1),"yyyy/mm/dd hh:mm"),5)</f>
        <v>00:00</v>
      </c>
      <c r="K21"/>
      <c r="L21"/>
      <c r="M21"/>
      <c r="N21"/>
      <c r="O21"/>
      <c r="P21"/>
      <c r="Q21"/>
      <c r="R21"/>
      <c r="S21"/>
      <c r="T21"/>
      <c r="U21"/>
    </row>
    <row r="22" spans="6:22" ht="14.25" x14ac:dyDescent="0.15">
      <c r="F22" s="1"/>
      <c r="G22" s="35"/>
      <c r="K22"/>
      <c r="L22"/>
      <c r="M22"/>
      <c r="N22"/>
      <c r="O22"/>
      <c r="P22"/>
      <c r="Q22"/>
      <c r="R22"/>
      <c r="S22"/>
      <c r="T22"/>
      <c r="U22"/>
      <c r="V22" t="s">
        <v>56</v>
      </c>
    </row>
    <row r="23" spans="6:22" ht="14.25" x14ac:dyDescent="0.15">
      <c r="F23" s="2" t="s">
        <v>305</v>
      </c>
      <c r="G23" s="35">
        <f>_xlfn.XLOOKUP("店舗同行者／連絡先  ",貼付エリア!$D$6:$D$29,貼付エリア!$E$6:$E$29,"",0)</f>
        <v>0</v>
      </c>
      <c r="K23"/>
      <c r="L23"/>
      <c r="M23"/>
      <c r="N23"/>
      <c r="O23"/>
      <c r="P23"/>
      <c r="Q23"/>
      <c r="R23"/>
      <c r="S23"/>
      <c r="T23"/>
      <c r="U23"/>
      <c r="V23" t="s">
        <v>56</v>
      </c>
    </row>
    <row r="24" spans="6:22" ht="14.25" x14ac:dyDescent="0.15">
      <c r="F24" s="2" t="s">
        <v>44</v>
      </c>
      <c r="G24" s="35"/>
      <c r="K24"/>
      <c r="L24"/>
      <c r="M24"/>
      <c r="N24"/>
      <c r="O24"/>
      <c r="P24"/>
      <c r="Q24"/>
      <c r="R24"/>
      <c r="S24"/>
      <c r="T24"/>
      <c r="U24"/>
      <c r="V24" t="s">
        <v>56</v>
      </c>
    </row>
    <row r="25" spans="6:22" ht="14.25" x14ac:dyDescent="0.15">
      <c r="F25" s="1"/>
      <c r="G25" s="35"/>
      <c r="K25"/>
      <c r="L25"/>
      <c r="M25"/>
      <c r="N25"/>
      <c r="O25"/>
      <c r="P25"/>
      <c r="Q25"/>
      <c r="R25"/>
      <c r="S25"/>
      <c r="T25"/>
      <c r="U25"/>
      <c r="V25" t="s">
        <v>56</v>
      </c>
    </row>
    <row r="26" spans="6:22" ht="14.25" x14ac:dyDescent="0.15">
      <c r="F26" s="6" t="s">
        <v>55</v>
      </c>
      <c r="G26" s="35"/>
      <c r="K26"/>
      <c r="L26"/>
      <c r="M26"/>
      <c r="N26"/>
      <c r="O26"/>
      <c r="P26"/>
      <c r="Q26"/>
      <c r="R26"/>
      <c r="S26"/>
      <c r="T26"/>
      <c r="U26"/>
      <c r="V26" t="s">
        <v>56</v>
      </c>
    </row>
    <row r="27" spans="6:22" ht="14.25" x14ac:dyDescent="0.15">
      <c r="F27" s="1"/>
      <c r="G27" s="35"/>
      <c r="K27"/>
      <c r="L27"/>
      <c r="M27"/>
      <c r="N27"/>
      <c r="O27"/>
      <c r="P27"/>
      <c r="Q27"/>
      <c r="R27"/>
      <c r="S27"/>
      <c r="T27"/>
      <c r="U27"/>
      <c r="V27" t="s">
        <v>56</v>
      </c>
    </row>
    <row r="28" spans="6:22" x14ac:dyDescent="0.15">
      <c r="F28" s="2" t="s">
        <v>45</v>
      </c>
      <c r="G28" s="40" t="str">
        <f>SUBSTITUTE(CONCATENATE(IF(G29=0,"",G29),IF(G30=0,"","　" &amp; G30),IF(G31=0,"","　" &amp; G31))," ","")</f>
        <v/>
      </c>
      <c r="K28"/>
      <c r="L28"/>
      <c r="M28"/>
      <c r="N28"/>
      <c r="O28"/>
      <c r="P28"/>
      <c r="Q28"/>
      <c r="R28"/>
      <c r="S28"/>
      <c r="T28"/>
      <c r="U28"/>
      <c r="V28" t="s">
        <v>56</v>
      </c>
    </row>
    <row r="29" spans="6:22" x14ac:dyDescent="0.15">
      <c r="F29" s="2" t="s">
        <v>299</v>
      </c>
      <c r="G29">
        <f>_xlfn.XLOOKUP("連絡事項１",貼付エリア!$D$6:$D$29,貼付エリア!$E$6:$E$29,"",0)</f>
        <v>0</v>
      </c>
      <c r="K29"/>
      <c r="L29"/>
      <c r="M29"/>
      <c r="N29"/>
      <c r="O29"/>
      <c r="P29"/>
      <c r="Q29"/>
      <c r="R29"/>
      <c r="S29"/>
      <c r="T29"/>
      <c r="U29"/>
      <c r="V29" t="s">
        <v>56</v>
      </c>
    </row>
    <row r="30" spans="6:22" x14ac:dyDescent="0.15">
      <c r="F30" s="2" t="s">
        <v>300</v>
      </c>
      <c r="G30" s="3">
        <f>_xlfn.XLOOKUP("連絡事項２",貼付エリア!$D$6:$D$29,貼付エリア!$E$6:$E$29,"",0)</f>
        <v>0</v>
      </c>
      <c r="K30"/>
      <c r="L30"/>
      <c r="M30"/>
      <c r="N30"/>
      <c r="O30"/>
      <c r="P30"/>
      <c r="Q30"/>
      <c r="R30"/>
      <c r="S30"/>
      <c r="T30"/>
      <c r="U30"/>
      <c r="V30" t="s">
        <v>56</v>
      </c>
    </row>
    <row r="31" spans="6:22" x14ac:dyDescent="0.15">
      <c r="F31" s="2" t="s">
        <v>304</v>
      </c>
      <c r="G31">
        <f>_xlfn.XLOOKUP("連絡事項３",貼付エリア!$D$6:$D$29,貼付エリア!$E$6:$E$29,"",0)</f>
        <v>0</v>
      </c>
      <c r="K31"/>
      <c r="L31"/>
      <c r="M31"/>
      <c r="N31"/>
      <c r="O31"/>
      <c r="P31"/>
      <c r="Q31"/>
      <c r="R31"/>
      <c r="S31"/>
      <c r="T31"/>
      <c r="U31"/>
      <c r="V31" t="s">
        <v>56</v>
      </c>
    </row>
    <row r="32" spans="6:22" ht="14.25" x14ac:dyDescent="0.15">
      <c r="F32" s="1"/>
      <c r="G32" s="35" t="s">
        <v>5024</v>
      </c>
      <c r="K32"/>
      <c r="L32"/>
      <c r="M32"/>
      <c r="N32"/>
      <c r="O32"/>
      <c r="P32"/>
      <c r="Q32"/>
      <c r="R32"/>
      <c r="S32"/>
      <c r="T32"/>
      <c r="U32"/>
      <c r="V32" t="s">
        <v>56</v>
      </c>
    </row>
    <row r="33" spans="6:22" x14ac:dyDescent="0.15">
      <c r="F33" s="1"/>
      <c r="K33"/>
      <c r="L33"/>
      <c r="M33"/>
      <c r="N33"/>
      <c r="O33"/>
      <c r="P33"/>
      <c r="Q33"/>
      <c r="R33"/>
      <c r="S33"/>
      <c r="T33"/>
      <c r="U33"/>
      <c r="V33" t="s">
        <v>56</v>
      </c>
    </row>
    <row r="34" spans="6:22" ht="14.25" x14ac:dyDescent="0.15">
      <c r="F34" s="2" t="s">
        <v>4944</v>
      </c>
      <c r="G34" s="35" t="str" cm="1">
        <f t="array" ref="G34">IF(貼付エリア!E10="日立システムズ",IFERROR(_xlfn.TEXTSPLIT(貼付エリア!E32,," / ",),""),"")</f>
        <v/>
      </c>
      <c r="V34" t="s">
        <v>56</v>
      </c>
    </row>
    <row r="35" spans="6:22" ht="14.25" x14ac:dyDescent="0.15">
      <c r="F35" s="2" t="s">
        <v>4945</v>
      </c>
      <c r="G35" s="35"/>
      <c r="V35" t="s">
        <v>56</v>
      </c>
    </row>
    <row r="36" spans="6:22" ht="14.25" x14ac:dyDescent="0.15">
      <c r="F36" s="2" t="s">
        <v>4946</v>
      </c>
      <c r="G36" s="35"/>
      <c r="V36" t="s">
        <v>56</v>
      </c>
    </row>
    <row r="37" spans="6:22" ht="14.25" x14ac:dyDescent="0.15">
      <c r="F37" s="2" t="s">
        <v>4947</v>
      </c>
      <c r="G37" s="35"/>
      <c r="V37" t="s">
        <v>56</v>
      </c>
    </row>
    <row r="38" spans="6:22" ht="14.25" x14ac:dyDescent="0.15">
      <c r="F38" s="1"/>
      <c r="G38" s="35"/>
      <c r="V38" t="s">
        <v>56</v>
      </c>
    </row>
    <row r="39" spans="6:22" ht="14.25" x14ac:dyDescent="0.15">
      <c r="F39" s="2" t="s">
        <v>4948</v>
      </c>
      <c r="G39" s="35" t="str" cm="1">
        <f t="array" ref="G39">IF(貼付エリア!E10="日立システムズ",IFERROR(_xlfn.TEXTSPLIT(貼付エリア!E33,," / ",),""),"")</f>
        <v/>
      </c>
      <c r="V39" t="s">
        <v>56</v>
      </c>
    </row>
    <row r="40" spans="6:22" ht="14.25" x14ac:dyDescent="0.15">
      <c r="F40" s="2" t="s">
        <v>4949</v>
      </c>
      <c r="G40" s="35"/>
      <c r="V40" t="s">
        <v>56</v>
      </c>
    </row>
    <row r="41" spans="6:22" ht="14.25" x14ac:dyDescent="0.15">
      <c r="F41" s="2" t="s">
        <v>4950</v>
      </c>
      <c r="G41" s="35"/>
      <c r="V41" t="s">
        <v>56</v>
      </c>
    </row>
    <row r="42" spans="6:22" ht="14.25" x14ac:dyDescent="0.15">
      <c r="F42" s="2" t="s">
        <v>4951</v>
      </c>
      <c r="G42" s="35"/>
      <c r="V42" t="s">
        <v>56</v>
      </c>
    </row>
    <row r="43" spans="6:22" ht="14.25" x14ac:dyDescent="0.15">
      <c r="F43" s="1"/>
      <c r="G43" s="35"/>
      <c r="V43" t="s">
        <v>56</v>
      </c>
    </row>
    <row r="44" spans="6:22" ht="14.25" x14ac:dyDescent="0.15">
      <c r="F44" s="2" t="s">
        <v>4952</v>
      </c>
      <c r="G44" s="35" t="str" cm="1">
        <f t="array" ref="G44">IF(貼付エリア!E10="日立システムズ",IFERROR(_xlfn.TEXTSPLIT(貼付エリア!E34,," / ",),""),"")</f>
        <v/>
      </c>
      <c r="V44" t="s">
        <v>56</v>
      </c>
    </row>
    <row r="45" spans="6:22" ht="14.25" x14ac:dyDescent="0.15">
      <c r="F45" s="2" t="s">
        <v>4953</v>
      </c>
      <c r="G45" s="35"/>
      <c r="M45" s="4"/>
      <c r="V45" t="s">
        <v>56</v>
      </c>
    </row>
    <row r="46" spans="6:22" ht="14.25" x14ac:dyDescent="0.15">
      <c r="F46" s="2" t="s">
        <v>4954</v>
      </c>
      <c r="G46" s="35"/>
      <c r="V46" t="s">
        <v>56</v>
      </c>
    </row>
    <row r="47" spans="6:22" ht="14.25" x14ac:dyDescent="0.15">
      <c r="F47" s="2" t="s">
        <v>4955</v>
      </c>
      <c r="G47" s="35"/>
      <c r="M47" s="5"/>
      <c r="V47" t="s">
        <v>56</v>
      </c>
    </row>
    <row r="48" spans="6:22" ht="14.25" x14ac:dyDescent="0.15">
      <c r="F48" s="1"/>
      <c r="G48" s="35"/>
      <c r="M48" s="5"/>
      <c r="V48" t="s">
        <v>56</v>
      </c>
    </row>
    <row r="49" spans="6:22" ht="14.25" x14ac:dyDescent="0.15">
      <c r="F49" s="2" t="s">
        <v>5023</v>
      </c>
      <c r="G49" s="35" t="str" cm="1">
        <f t="array" ref="G49">IF(貼付エリア!E10="日立システムズ",IFERROR(_xlfn.TEXTSPLIT(貼付エリア!E35,," / ",),""),"")</f>
        <v/>
      </c>
      <c r="V49" t="s">
        <v>56</v>
      </c>
    </row>
    <row r="50" spans="6:22" ht="14.25" x14ac:dyDescent="0.15">
      <c r="F50" s="2" t="s">
        <v>4956</v>
      </c>
      <c r="G50" s="35"/>
      <c r="V50" t="s">
        <v>56</v>
      </c>
    </row>
    <row r="51" spans="6:22" ht="14.25" x14ac:dyDescent="0.15">
      <c r="F51" s="2" t="s">
        <v>4957</v>
      </c>
      <c r="G51" s="35"/>
    </row>
    <row r="52" spans="6:22" ht="14.25" x14ac:dyDescent="0.15">
      <c r="F52" s="2" t="s">
        <v>4958</v>
      </c>
      <c r="G52" s="35"/>
    </row>
    <row r="53" spans="6:22" ht="14.25" x14ac:dyDescent="0.15">
      <c r="F53" s="1"/>
      <c r="G53" s="35"/>
    </row>
    <row r="54" spans="6:22" ht="14.25" x14ac:dyDescent="0.15">
      <c r="F54" s="2" t="s">
        <v>4959</v>
      </c>
      <c r="G54" s="35" t="str" cm="1">
        <f t="array" ref="G54">IF(貼付エリア!E10="日立システムズ",IFERROR(_xlfn.TEXTSPLIT(貼付エリア!E36,," / ",),""),"")</f>
        <v/>
      </c>
    </row>
    <row r="55" spans="6:22" ht="14.25" x14ac:dyDescent="0.15">
      <c r="F55" s="2" t="s">
        <v>4960</v>
      </c>
      <c r="G55" s="35"/>
    </row>
    <row r="56" spans="6:22" ht="14.25" x14ac:dyDescent="0.15">
      <c r="F56" s="2" t="s">
        <v>4961</v>
      </c>
      <c r="G56" s="35"/>
    </row>
    <row r="57" spans="6:22" ht="14.25" x14ac:dyDescent="0.15">
      <c r="F57" s="2" t="s">
        <v>4962</v>
      </c>
      <c r="G57" s="35"/>
    </row>
    <row r="58" spans="6:22" ht="14.25" x14ac:dyDescent="0.15">
      <c r="F58" s="1"/>
      <c r="G58" s="35"/>
    </row>
    <row r="59" spans="6:22" ht="14.25" x14ac:dyDescent="0.15">
      <c r="F59" s="2" t="s">
        <v>4963</v>
      </c>
      <c r="G59" s="35" t="str" cm="1">
        <f t="array" ref="G59">IF(貼付エリア!E10="日立システムズ",IFERROR(_xlfn.TEXTSPLIT(貼付エリア!E37,," / ",),""),"")</f>
        <v/>
      </c>
    </row>
    <row r="60" spans="6:22" ht="14.25" x14ac:dyDescent="0.15">
      <c r="F60" s="2" t="s">
        <v>4964</v>
      </c>
      <c r="G60" s="35"/>
    </row>
    <row r="61" spans="6:22" ht="14.25" x14ac:dyDescent="0.15">
      <c r="F61" s="2" t="s">
        <v>4965</v>
      </c>
      <c r="G61" s="35"/>
    </row>
    <row r="62" spans="6:22" ht="14.25" x14ac:dyDescent="0.15">
      <c r="F62" s="2" t="s">
        <v>4966</v>
      </c>
      <c r="G62" s="35"/>
    </row>
    <row r="63" spans="6:22" ht="14.25" x14ac:dyDescent="0.15">
      <c r="F63" s="1"/>
      <c r="G63" s="35"/>
    </row>
    <row r="64" spans="6:22" ht="14.25" x14ac:dyDescent="0.15">
      <c r="F64" s="2" t="s">
        <v>4967</v>
      </c>
      <c r="G64" s="35" t="str" cm="1">
        <f t="array" ref="G64">IF(貼付エリア!E10="日立システムズ",IFERROR(_xlfn.TEXTSPLIT(貼付エリア!E38,," / ",),""),"")</f>
        <v/>
      </c>
    </row>
    <row r="65" spans="6:7" ht="14.25" x14ac:dyDescent="0.15">
      <c r="F65" s="2" t="s">
        <v>4968</v>
      </c>
      <c r="G65" s="35"/>
    </row>
    <row r="66" spans="6:7" ht="14.25" x14ac:dyDescent="0.15">
      <c r="F66" s="2" t="s">
        <v>4969</v>
      </c>
      <c r="G66" s="35"/>
    </row>
    <row r="67" spans="6:7" ht="14.25" x14ac:dyDescent="0.15">
      <c r="F67" s="2" t="s">
        <v>4970</v>
      </c>
      <c r="G67" s="35"/>
    </row>
    <row r="68" spans="6:7" ht="14.25" x14ac:dyDescent="0.15">
      <c r="F68" s="1"/>
      <c r="G68" s="35"/>
    </row>
    <row r="69" spans="6:7" ht="14.25" x14ac:dyDescent="0.15">
      <c r="F69" s="2" t="s">
        <v>4971</v>
      </c>
      <c r="G69" s="35" t="str" cm="1">
        <f t="array" ref="G69">IF(貼付エリア!E10="日立システムズ",IFERROR(_xlfn.TEXTSPLIT(貼付エリア!E39,," / ",),""),"")</f>
        <v/>
      </c>
    </row>
    <row r="70" spans="6:7" ht="14.25" x14ac:dyDescent="0.15">
      <c r="F70" s="2" t="s">
        <v>4972</v>
      </c>
      <c r="G70" s="35"/>
    </row>
    <row r="71" spans="6:7" ht="14.25" x14ac:dyDescent="0.15">
      <c r="F71" s="2" t="s">
        <v>4973</v>
      </c>
      <c r="G71" s="35"/>
    </row>
    <row r="72" spans="6:7" ht="14.25" x14ac:dyDescent="0.15">
      <c r="F72" s="2" t="s">
        <v>4974</v>
      </c>
      <c r="G72" s="35"/>
    </row>
    <row r="73" spans="6:7" ht="14.25" x14ac:dyDescent="0.15">
      <c r="F73" s="1"/>
      <c r="G73" s="35"/>
    </row>
    <row r="74" spans="6:7" ht="14.25" x14ac:dyDescent="0.15">
      <c r="F74" s="2" t="s">
        <v>4975</v>
      </c>
      <c r="G74" s="35" t="str" cm="1">
        <f t="array" ref="G74">IF(貼付エリア!E10="日立システムズ",IFERROR(_xlfn.TEXTSPLIT(貼付エリア!E40,," / ",),""),"")</f>
        <v/>
      </c>
    </row>
    <row r="75" spans="6:7" ht="14.25" x14ac:dyDescent="0.15">
      <c r="F75" s="2" t="s">
        <v>4976</v>
      </c>
      <c r="G75" s="35"/>
    </row>
    <row r="76" spans="6:7" ht="14.25" x14ac:dyDescent="0.15">
      <c r="F76" s="2" t="s">
        <v>4977</v>
      </c>
      <c r="G76" s="35"/>
    </row>
    <row r="77" spans="6:7" ht="14.25" x14ac:dyDescent="0.15">
      <c r="F77" s="2" t="s">
        <v>4978</v>
      </c>
      <c r="G77" s="35"/>
    </row>
    <row r="78" spans="6:7" ht="14.25" x14ac:dyDescent="0.15">
      <c r="F78" s="1"/>
      <c r="G78" s="35"/>
    </row>
    <row r="79" spans="6:7" ht="14.25" x14ac:dyDescent="0.15">
      <c r="F79" s="2" t="s">
        <v>4979</v>
      </c>
      <c r="G79" s="35" t="str" cm="1">
        <f t="array" ref="G79">IF(貼付エリア!E10="日立システムズ",IFERROR(_xlfn.TEXTSPLIT(貼付エリア!E41,," / ",),""),"")</f>
        <v/>
      </c>
    </row>
    <row r="80" spans="6:7" ht="14.25" x14ac:dyDescent="0.15">
      <c r="F80" s="2" t="s">
        <v>4980</v>
      </c>
      <c r="G80" s="35"/>
    </row>
    <row r="81" spans="6:7" ht="14.25" x14ac:dyDescent="0.15">
      <c r="F81" s="2" t="s">
        <v>4981</v>
      </c>
      <c r="G81" s="35"/>
    </row>
    <row r="82" spans="6:7" ht="14.25" x14ac:dyDescent="0.15">
      <c r="F82" s="2" t="s">
        <v>4982</v>
      </c>
      <c r="G82" s="35"/>
    </row>
    <row r="83" spans="6:7" x14ac:dyDescent="0.15">
      <c r="F83" s="1"/>
      <c r="G83" s="3"/>
    </row>
    <row r="84" spans="6:7" x14ac:dyDescent="0.15">
      <c r="F84" s="2" t="s">
        <v>4983</v>
      </c>
      <c r="G84" s="3" t="str" cm="1">
        <f t="array" ref="G84">IF(貼付エリア!E10="日立システムズ",IFERROR(_xlfn.TEXTSPLIT(貼付エリア!E42,," / ",),""),"")</f>
        <v/>
      </c>
    </row>
    <row r="85" spans="6:7" x14ac:dyDescent="0.15">
      <c r="F85" s="2" t="s">
        <v>4984</v>
      </c>
      <c r="G85" s="3"/>
    </row>
    <row r="86" spans="6:7" x14ac:dyDescent="0.15">
      <c r="F86" s="2" t="s">
        <v>4985</v>
      </c>
      <c r="G86" s="3"/>
    </row>
    <row r="87" spans="6:7" x14ac:dyDescent="0.15">
      <c r="F87" s="2" t="s">
        <v>4986</v>
      </c>
      <c r="G87" s="3"/>
    </row>
    <row r="88" spans="6:7" x14ac:dyDescent="0.15">
      <c r="F88" s="1"/>
      <c r="G88" s="3"/>
    </row>
    <row r="89" spans="6:7" x14ac:dyDescent="0.15">
      <c r="F89" s="2" t="s">
        <v>4987</v>
      </c>
      <c r="G89" s="3" t="str" cm="1">
        <f t="array" ref="G89">IF(貼付エリア!E10="日立システムズ",IFERROR(_xlfn.TEXTSPLIT(貼付エリア!E43,," / ",),""),"")</f>
        <v/>
      </c>
    </row>
    <row r="90" spans="6:7" x14ac:dyDescent="0.15">
      <c r="F90" s="2" t="s">
        <v>4988</v>
      </c>
      <c r="G90" s="3"/>
    </row>
    <row r="91" spans="6:7" x14ac:dyDescent="0.15">
      <c r="F91" s="2" t="s">
        <v>4989</v>
      </c>
      <c r="G91" s="3"/>
    </row>
    <row r="92" spans="6:7" x14ac:dyDescent="0.15">
      <c r="F92" s="2" t="s">
        <v>4990</v>
      </c>
      <c r="G92" s="3"/>
    </row>
    <row r="93" spans="6:7" x14ac:dyDescent="0.15">
      <c r="F93" s="1"/>
      <c r="G93" s="3"/>
    </row>
    <row r="94" spans="6:7" x14ac:dyDescent="0.15">
      <c r="F94" s="2" t="s">
        <v>4991</v>
      </c>
      <c r="G94" s="3" t="str" cm="1">
        <f t="array" ref="G94">IF(貼付エリア!E10="日立システムズ",IFERROR(_xlfn.TEXTSPLIT(貼付エリア!E44,," / ",),""),"")</f>
        <v/>
      </c>
    </row>
    <row r="95" spans="6:7" x14ac:dyDescent="0.15">
      <c r="F95" s="2" t="s">
        <v>4992</v>
      </c>
      <c r="G95" s="3"/>
    </row>
    <row r="96" spans="6:7" x14ac:dyDescent="0.15">
      <c r="F96" s="2" t="s">
        <v>4993</v>
      </c>
      <c r="G96" s="3"/>
    </row>
    <row r="97" spans="6:7" x14ac:dyDescent="0.15">
      <c r="F97" s="2" t="s">
        <v>4994</v>
      </c>
      <c r="G97" s="3"/>
    </row>
    <row r="98" spans="6:7" x14ac:dyDescent="0.15">
      <c r="F98" s="1"/>
      <c r="G98" s="3"/>
    </row>
    <row r="99" spans="6:7" x14ac:dyDescent="0.15">
      <c r="F99" s="2" t="s">
        <v>4995</v>
      </c>
      <c r="G99" s="3" t="str" cm="1">
        <f t="array" ref="G99">IF(貼付エリア!E10="日立システムズ",IFERROR(_xlfn.TEXTSPLIT(貼付エリア!E45,," / ",),""),"")</f>
        <v/>
      </c>
    </row>
    <row r="100" spans="6:7" x14ac:dyDescent="0.15">
      <c r="F100" s="2" t="s">
        <v>4996</v>
      </c>
      <c r="G100" s="3"/>
    </row>
    <row r="101" spans="6:7" x14ac:dyDescent="0.15">
      <c r="F101" s="2" t="s">
        <v>4997</v>
      </c>
      <c r="G101" s="3"/>
    </row>
    <row r="102" spans="6:7" x14ac:dyDescent="0.15">
      <c r="F102" s="2" t="s">
        <v>4998</v>
      </c>
      <c r="G102" s="3"/>
    </row>
    <row r="103" spans="6:7" x14ac:dyDescent="0.15">
      <c r="F103" s="1"/>
      <c r="G103" s="3"/>
    </row>
    <row r="104" spans="6:7" x14ac:dyDescent="0.15">
      <c r="F104" s="2" t="s">
        <v>4999</v>
      </c>
      <c r="G104" s="3" t="str" cm="1">
        <f t="array" ref="G104">IF(貼付エリア!E10="日立システムズ",IFERROR(_xlfn.TEXTSPLIT(貼付エリア!E46,," / ",),""),"")</f>
        <v/>
      </c>
    </row>
    <row r="105" spans="6:7" x14ac:dyDescent="0.15">
      <c r="F105" s="2" t="s">
        <v>5000</v>
      </c>
      <c r="G105" s="3"/>
    </row>
    <row r="106" spans="6:7" x14ac:dyDescent="0.15">
      <c r="F106" s="2" t="s">
        <v>5001</v>
      </c>
      <c r="G106" s="3"/>
    </row>
    <row r="107" spans="6:7" x14ac:dyDescent="0.15">
      <c r="F107" s="2" t="s">
        <v>5002</v>
      </c>
      <c r="G107" s="3"/>
    </row>
    <row r="108" spans="6:7" x14ac:dyDescent="0.15">
      <c r="F108" s="1"/>
      <c r="G108" s="3"/>
    </row>
    <row r="109" spans="6:7" x14ac:dyDescent="0.15">
      <c r="F109" s="2" t="s">
        <v>5003</v>
      </c>
      <c r="G109" s="3" t="str" cm="1">
        <f t="array" ref="G109">IF(貼付エリア!E10="日立システムズ",IFERROR(_xlfn.TEXTSPLIT(貼付エリア!E47,," / ",),""),"")</f>
        <v/>
      </c>
    </row>
    <row r="110" spans="6:7" x14ac:dyDescent="0.15">
      <c r="F110" s="2" t="s">
        <v>5004</v>
      </c>
      <c r="G110" s="3"/>
    </row>
    <row r="111" spans="6:7" x14ac:dyDescent="0.15">
      <c r="F111" s="2" t="s">
        <v>5005</v>
      </c>
      <c r="G111" s="3"/>
    </row>
    <row r="112" spans="6:7" x14ac:dyDescent="0.15">
      <c r="F112" s="2" t="s">
        <v>5006</v>
      </c>
      <c r="G112" s="3"/>
    </row>
    <row r="113" spans="6:7" x14ac:dyDescent="0.15">
      <c r="F113" s="1"/>
      <c r="G113" s="3"/>
    </row>
    <row r="114" spans="6:7" x14ac:dyDescent="0.15">
      <c r="F114" s="2" t="s">
        <v>5007</v>
      </c>
      <c r="G114" s="3" t="str" cm="1">
        <f t="array" ref="G114">IF(貼付エリア!E10="日立システムズ",IFERROR(_xlfn.TEXTSPLIT(貼付エリア!E48,," / ",),""),"")</f>
        <v/>
      </c>
    </row>
    <row r="115" spans="6:7" x14ac:dyDescent="0.15">
      <c r="F115" s="2" t="s">
        <v>5008</v>
      </c>
      <c r="G115" s="3"/>
    </row>
    <row r="116" spans="6:7" x14ac:dyDescent="0.15">
      <c r="F116" s="2" t="s">
        <v>5009</v>
      </c>
      <c r="G116" s="3"/>
    </row>
    <row r="117" spans="6:7" x14ac:dyDescent="0.15">
      <c r="F117" s="2" t="s">
        <v>5010</v>
      </c>
      <c r="G117" s="3"/>
    </row>
    <row r="118" spans="6:7" x14ac:dyDescent="0.15">
      <c r="F118" s="1"/>
      <c r="G118" s="3"/>
    </row>
    <row r="119" spans="6:7" x14ac:dyDescent="0.15">
      <c r="F119" s="2" t="s">
        <v>5011</v>
      </c>
      <c r="G119" s="3" t="str" cm="1">
        <f t="array" ref="G119">IF(貼付エリア!E10="日立システムズ",IFERROR(_xlfn.TEXTSPLIT(貼付エリア!E49,," / ",),""),"")</f>
        <v/>
      </c>
    </row>
    <row r="120" spans="6:7" x14ac:dyDescent="0.15">
      <c r="F120" s="2" t="s">
        <v>5012</v>
      </c>
      <c r="G120" s="3"/>
    </row>
    <row r="121" spans="6:7" x14ac:dyDescent="0.15">
      <c r="F121" s="2" t="s">
        <v>5013</v>
      </c>
      <c r="G121" s="3"/>
    </row>
    <row r="122" spans="6:7" x14ac:dyDescent="0.15">
      <c r="F122" s="2" t="s">
        <v>5014</v>
      </c>
      <c r="G122" s="3"/>
    </row>
    <row r="123" spans="6:7" x14ac:dyDescent="0.15">
      <c r="F123" s="1"/>
      <c r="G123" s="3"/>
    </row>
    <row r="124" spans="6:7" x14ac:dyDescent="0.15">
      <c r="F124" s="2" t="s">
        <v>5015</v>
      </c>
      <c r="G124" s="3" t="str" cm="1">
        <f t="array" ref="G124">IF(貼付エリア!E10="日立システムズ",IFERROR(_xlfn.TEXTSPLIT(貼付エリア!E50,," / ",),""),"")</f>
        <v/>
      </c>
    </row>
    <row r="125" spans="6:7" x14ac:dyDescent="0.15">
      <c r="F125" s="2" t="s">
        <v>5016</v>
      </c>
      <c r="G125" s="3"/>
    </row>
    <row r="126" spans="6:7" x14ac:dyDescent="0.15">
      <c r="F126" s="2" t="s">
        <v>5017</v>
      </c>
      <c r="G126" s="3"/>
    </row>
    <row r="127" spans="6:7" x14ac:dyDescent="0.15">
      <c r="F127" s="2" t="s">
        <v>5018</v>
      </c>
      <c r="G127" s="3"/>
    </row>
    <row r="128" spans="6:7" x14ac:dyDescent="0.15">
      <c r="F128" s="1"/>
      <c r="G128" s="3"/>
    </row>
    <row r="129" spans="6:7" x14ac:dyDescent="0.15">
      <c r="F129" s="2" t="s">
        <v>5019</v>
      </c>
      <c r="G129" s="3" t="str" cm="1">
        <f t="array" ref="G129">IF(貼付エリア!E10="日立システムズ",IFERROR(_xlfn.TEXTSPLIT(貼付エリア!E51,," / ",),""),"")</f>
        <v/>
      </c>
    </row>
    <row r="130" spans="6:7" x14ac:dyDescent="0.15">
      <c r="F130" s="2" t="s">
        <v>5020</v>
      </c>
      <c r="G130" s="3"/>
    </row>
    <row r="131" spans="6:7" x14ac:dyDescent="0.15">
      <c r="F131" s="2" t="s">
        <v>5021</v>
      </c>
      <c r="G131" s="3"/>
    </row>
    <row r="132" spans="6:7" x14ac:dyDescent="0.15">
      <c r="F132" s="2" t="s">
        <v>5022</v>
      </c>
      <c r="G132" s="3"/>
    </row>
    <row r="133" spans="6:7" x14ac:dyDescent="0.15">
      <c r="F133" s="1"/>
    </row>
    <row r="134" spans="6:7" x14ac:dyDescent="0.15">
      <c r="G134" s="57" t="s">
        <v>46</v>
      </c>
    </row>
  </sheetData>
  <phoneticPr fontId="1"/>
  <hyperlinks>
    <hyperlink ref="I3" r:id="rId1" xr:uid="{00000000-0004-0000-0200-000000000000}"/>
    <hyperlink ref="I5" r:id="rId2" display="daifuku_hosyu@mizuho-ki.co.jp;suguru.yoshimoto.ct@hitachi-systems.com" xr:uid="{3B023A0A-1425-4184-ABDC-95E53D8CB888}"/>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41985" r:id="rId6" name="Button 1">
              <controlPr defaultSize="0" print="0" autoFill="0" autoPict="0" macro="[0]!main_string_cut_L2">
                <anchor moveWithCells="1" sizeWithCells="1">
                  <from>
                    <xdr:col>0</xdr:col>
                    <xdr:colOff>95250</xdr:colOff>
                    <xdr:row>2</xdr:row>
                    <xdr:rowOff>152400</xdr:rowOff>
                  </from>
                  <to>
                    <xdr:col>5</xdr:col>
                    <xdr:colOff>533400</xdr:colOff>
                    <xdr:row>6</xdr:row>
                    <xdr:rowOff>152400</xdr:rowOff>
                  </to>
                </anchor>
              </controlPr>
            </control>
          </mc:Choice>
        </mc:AlternateContent>
        <mc:AlternateContent xmlns:mc="http://schemas.openxmlformats.org/markup-compatibility/2006">
          <mc:Choice Requires="x14">
            <control shapeId="41986" r:id="rId7" name="Button 2">
              <controlPr defaultSize="0" print="0" autoFill="0" autoPict="0" macro="[0]!make_necbook_test_2">
                <anchor moveWithCells="1" sizeWithCells="1">
                  <from>
                    <xdr:col>9</xdr:col>
                    <xdr:colOff>95250</xdr:colOff>
                    <xdr:row>7</xdr:row>
                    <xdr:rowOff>171450</xdr:rowOff>
                  </from>
                  <to>
                    <xdr:col>9</xdr:col>
                    <xdr:colOff>1343025</xdr:colOff>
                    <xdr:row>12</xdr:row>
                    <xdr:rowOff>47625</xdr:rowOff>
                  </to>
                </anchor>
              </controlPr>
            </control>
          </mc:Choice>
        </mc:AlternateContent>
        <mc:AlternateContent xmlns:mc="http://schemas.openxmlformats.org/markup-compatibility/2006">
          <mc:Choice Requires="x14">
            <control shapeId="41989" r:id="rId8" name="Button 5">
              <controlPr defaultSize="0" print="0" autoFill="0" autoPict="0" macro="[0]!Start_UserInfo">
                <anchor moveWithCells="1" sizeWithCells="1">
                  <from>
                    <xdr:col>9</xdr:col>
                    <xdr:colOff>85725</xdr:colOff>
                    <xdr:row>2</xdr:row>
                    <xdr:rowOff>114300</xdr:rowOff>
                  </from>
                  <to>
                    <xdr:col>9</xdr:col>
                    <xdr:colOff>1333500</xdr:colOff>
                    <xdr:row>6</xdr:row>
                    <xdr:rowOff>114300</xdr:rowOff>
                  </to>
                </anchor>
              </controlPr>
            </control>
          </mc:Choice>
        </mc:AlternateContent>
        <mc:AlternateContent xmlns:mc="http://schemas.openxmlformats.org/markup-compatibility/2006">
          <mc:Choice Requires="x14">
            <control shapeId="41990" r:id="rId9" name="Button 6">
              <controlPr defaultSize="0" print="0" autoFill="0" autoPict="0" macro="[0]!sendmail_sample">
                <anchor moveWithCells="1">
                  <from>
                    <xdr:col>9</xdr:col>
                    <xdr:colOff>85725</xdr:colOff>
                    <xdr:row>13</xdr:row>
                    <xdr:rowOff>0</xdr:rowOff>
                  </from>
                  <to>
                    <xdr:col>9</xdr:col>
                    <xdr:colOff>1333500</xdr:colOff>
                    <xdr:row>15</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F1:V134"/>
  <sheetViews>
    <sheetView zoomScale="85" zoomScaleNormal="85" workbookViewId="0">
      <selection activeCell="G32" sqref="G32"/>
    </sheetView>
  </sheetViews>
  <sheetFormatPr defaultColWidth="9" defaultRowHeight="13.5" outlineLevelCol="1" x14ac:dyDescent="0.15"/>
  <cols>
    <col min="1" max="5" width="2.125" customWidth="1"/>
    <col min="6" max="6" width="26.125" customWidth="1"/>
    <col min="7" max="7" width="72.125" customWidth="1"/>
    <col min="8" max="8" width="16.25" hidden="1" customWidth="1" outlineLevel="1"/>
    <col min="9" max="9" width="80.75" hidden="1" customWidth="1" outlineLevel="1"/>
    <col min="10" max="10" width="19" customWidth="1" collapsed="1"/>
    <col min="11" max="11" width="11" style="3" customWidth="1"/>
    <col min="12" max="12" width="7.5" style="3" customWidth="1"/>
    <col min="13" max="13" width="10.5" style="3" customWidth="1"/>
    <col min="14" max="14" width="7" style="3" customWidth="1"/>
    <col min="15" max="15" width="8" style="3" customWidth="1"/>
    <col min="16" max="16" width="13.625" style="3" customWidth="1"/>
    <col min="17" max="17" width="34.375" style="3" customWidth="1"/>
    <col min="18" max="20" width="13.625" style="3" customWidth="1"/>
    <col min="21" max="21" width="8.625" style="3" customWidth="1"/>
    <col min="22" max="22" width="9.375" customWidth="1"/>
  </cols>
  <sheetData>
    <row r="1" spans="6:22" x14ac:dyDescent="0.15">
      <c r="F1" s="15" t="s">
        <v>5027</v>
      </c>
      <c r="G1" s="9"/>
      <c r="H1" s="9"/>
      <c r="K1"/>
      <c r="L1"/>
      <c r="M1"/>
      <c r="N1"/>
      <c r="O1"/>
      <c r="P1"/>
      <c r="Q1"/>
      <c r="R1"/>
      <c r="S1"/>
      <c r="T1"/>
      <c r="U1"/>
    </row>
    <row r="2" spans="6:22" x14ac:dyDescent="0.15">
      <c r="G2" s="6" t="s">
        <v>0</v>
      </c>
      <c r="I2" s="25" t="s">
        <v>190</v>
      </c>
      <c r="J2" s="23"/>
      <c r="K2" s="19" t="s">
        <v>185</v>
      </c>
      <c r="L2" s="20" t="s">
        <v>76</v>
      </c>
      <c r="M2" s="19" t="s">
        <v>203</v>
      </c>
      <c r="N2" s="19" t="s">
        <v>175</v>
      </c>
      <c r="O2" s="19" t="s">
        <v>176</v>
      </c>
      <c r="P2" s="19" t="s">
        <v>177</v>
      </c>
      <c r="Q2" s="19" t="s">
        <v>178</v>
      </c>
      <c r="R2" s="20" t="s">
        <v>179</v>
      </c>
      <c r="S2" s="20" t="s">
        <v>180</v>
      </c>
      <c r="T2" s="20" t="s">
        <v>181</v>
      </c>
      <c r="U2" s="20" t="s">
        <v>182</v>
      </c>
      <c r="V2" s="20" t="s">
        <v>186</v>
      </c>
    </row>
    <row r="3" spans="6:22" x14ac:dyDescent="0.15">
      <c r="G3" s="17" t="s">
        <v>5050</v>
      </c>
      <c r="H3" t="s">
        <v>56</v>
      </c>
      <c r="I3" s="26" t="s">
        <v>7505</v>
      </c>
      <c r="J3" s="23" t="s">
        <v>189</v>
      </c>
      <c r="K3" s="21"/>
      <c r="L3" s="22"/>
      <c r="M3" s="21"/>
      <c r="N3" s="21"/>
      <c r="O3" s="21"/>
      <c r="P3" s="21"/>
      <c r="Q3" s="21"/>
      <c r="R3" s="22"/>
      <c r="S3" s="22"/>
      <c r="T3" s="22"/>
      <c r="U3" s="22"/>
      <c r="V3" s="22"/>
    </row>
    <row r="4" spans="6:22" x14ac:dyDescent="0.15">
      <c r="G4" s="6" t="s">
        <v>34</v>
      </c>
      <c r="I4" s="25" t="s">
        <v>191</v>
      </c>
      <c r="J4" s="23"/>
      <c r="K4" s="21"/>
      <c r="L4" s="22"/>
      <c r="M4" s="21"/>
      <c r="N4" s="21"/>
      <c r="O4" s="21"/>
      <c r="P4" s="21"/>
      <c r="Q4" s="21"/>
      <c r="R4" s="22"/>
      <c r="S4" s="22"/>
      <c r="T4" s="22"/>
      <c r="U4" s="22"/>
      <c r="V4" s="22"/>
    </row>
    <row r="5" spans="6:22" x14ac:dyDescent="0.15">
      <c r="G5" s="10" t="str">
        <f>IF(メインページ!G6 = "", メインページ!C6, メインページ!G6)</f>
        <v>C:\ハードウェア点検依頼\点検依頼</v>
      </c>
      <c r="I5" s="26" t="s">
        <v>5392</v>
      </c>
      <c r="J5" s="23"/>
      <c r="K5" s="21"/>
      <c r="L5" s="22"/>
      <c r="M5" s="21"/>
      <c r="N5" s="21"/>
      <c r="O5" s="21"/>
      <c r="P5" s="21"/>
      <c r="Q5" s="21"/>
      <c r="R5" s="22"/>
      <c r="S5" s="22"/>
      <c r="T5" s="22"/>
      <c r="U5" s="22"/>
      <c r="V5" s="22"/>
    </row>
    <row r="6" spans="6:22" x14ac:dyDescent="0.15">
      <c r="G6" s="2" t="s">
        <v>35</v>
      </c>
      <c r="I6" s="25" t="s">
        <v>192</v>
      </c>
      <c r="J6" s="23"/>
      <c r="K6" s="21"/>
      <c r="L6" s="22"/>
      <c r="M6" s="21"/>
      <c r="N6" s="21"/>
      <c r="O6" s="21"/>
      <c r="P6" s="21"/>
      <c r="Q6" s="21"/>
      <c r="R6" s="22"/>
      <c r="S6" s="22"/>
      <c r="T6" s="22"/>
      <c r="U6" s="22"/>
      <c r="V6" s="22"/>
    </row>
    <row r="7" spans="6:22" ht="13.5" customHeight="1" x14ac:dyDescent="0.15">
      <c r="G7" s="1" t="str">
        <f>SUBSTITUTE(G18,"/","") &amp; "_保守作業依頼書「 " &amp; G10 &amp; " 」 _東芝.xlsx"</f>
        <v>19000100_保守作業依頼書「 0 」 _東芝.xlsx</v>
      </c>
      <c r="I7" s="1" t="str">
        <f ca="1">"日程調整依頼("&amp;TEXT(INDIRECT("G18"),"YYYY/MM/DD")&amp;" "&amp;TEXT(INDIRECT("G20"),"hh:mm")&amp;"-"&amp;TEXT(INDIRECT("G21"),"hh:mm")&amp;") "&amp;G10&amp;" _東芝"</f>
        <v>日程調整依頼(1900/01/00 00:00-00:00) 0 _東芝</v>
      </c>
      <c r="J7" s="23" t="s">
        <v>189</v>
      </c>
      <c r="K7" s="21"/>
      <c r="L7" s="22"/>
      <c r="M7" s="21"/>
      <c r="N7" s="21"/>
      <c r="O7" s="21"/>
      <c r="P7" s="21"/>
      <c r="Q7" s="21"/>
      <c r="R7" s="22"/>
      <c r="S7" s="22"/>
      <c r="T7" s="22"/>
      <c r="U7" s="22"/>
      <c r="V7" s="22"/>
    </row>
    <row r="8" spans="6:22" x14ac:dyDescent="0.15">
      <c r="I8" s="1"/>
      <c r="J8" s="23"/>
      <c r="K8"/>
      <c r="L8"/>
      <c r="M8"/>
      <c r="N8"/>
      <c r="O8"/>
      <c r="P8"/>
      <c r="Q8"/>
      <c r="R8"/>
      <c r="S8"/>
      <c r="T8"/>
      <c r="U8"/>
    </row>
    <row r="9" spans="6:22" x14ac:dyDescent="0.15">
      <c r="F9" s="1"/>
      <c r="G9" s="7" t="s">
        <v>36</v>
      </c>
      <c r="H9" s="1"/>
      <c r="I9" s="25" t="s">
        <v>193</v>
      </c>
      <c r="J9" s="23"/>
      <c r="K9"/>
      <c r="L9"/>
      <c r="M9"/>
      <c r="N9"/>
      <c r="O9"/>
      <c r="P9"/>
      <c r="Q9"/>
      <c r="R9"/>
      <c r="S9"/>
      <c r="T9"/>
      <c r="U9"/>
    </row>
    <row r="10" spans="6:22" ht="13.5" customHeight="1" x14ac:dyDescent="0.15">
      <c r="F10" s="2" t="s">
        <v>38</v>
      </c>
      <c r="G10" s="35">
        <f>_xlfn.XLOOKUP("出荷先名 +工場名",貼付エリア!$D$6:$D$29,貼付エリア!$E$6:$E$29,"",0)</f>
        <v>0</v>
      </c>
      <c r="H10" s="2" t="s">
        <v>38</v>
      </c>
      <c r="I10" s="24" t="s">
        <v>219</v>
      </c>
      <c r="J10" t="s">
        <v>189</v>
      </c>
      <c r="K10"/>
      <c r="L10"/>
      <c r="M10"/>
      <c r="N10"/>
      <c r="O10"/>
      <c r="P10"/>
      <c r="Q10"/>
      <c r="R10"/>
      <c r="S10"/>
      <c r="T10"/>
      <c r="U10"/>
    </row>
    <row r="11" spans="6:22" ht="14.25" x14ac:dyDescent="0.15">
      <c r="F11" s="1"/>
      <c r="G11" s="35"/>
      <c r="H11" s="1"/>
      <c r="I11" s="25" t="s">
        <v>197</v>
      </c>
      <c r="J11" t="s">
        <v>189</v>
      </c>
      <c r="K11"/>
      <c r="L11"/>
      <c r="M11"/>
      <c r="N11"/>
      <c r="O11"/>
      <c r="P11"/>
      <c r="Q11"/>
      <c r="R11"/>
      <c r="S11"/>
      <c r="T11"/>
      <c r="U11"/>
    </row>
    <row r="12" spans="6:22" ht="14.25" x14ac:dyDescent="0.15">
      <c r="F12" s="2" t="s">
        <v>298</v>
      </c>
      <c r="G12" s="35">
        <f>_xlfn.XLOOKUP("住所",貼付エリア!$D$6:$D$29,貼付エリア!$E$6:$E$29,"",0)</f>
        <v>0</v>
      </c>
      <c r="H12" s="2" t="s">
        <v>39</v>
      </c>
      <c r="I12" s="1" t="str">
        <f>G5 &amp; "\" &amp; G7</f>
        <v>C:\ハードウェア点検依頼\点検依頼\19000100_保守作業依頼書「 0 」 _東芝.xlsx</v>
      </c>
      <c r="J12" t="s">
        <v>189</v>
      </c>
      <c r="K12"/>
      <c r="L12"/>
      <c r="M12"/>
      <c r="N12"/>
      <c r="O12"/>
      <c r="P12"/>
      <c r="Q12"/>
      <c r="R12"/>
      <c r="S12"/>
      <c r="T12"/>
      <c r="U12"/>
    </row>
    <row r="13" spans="6:22" ht="14.25" x14ac:dyDescent="0.15">
      <c r="F13" s="1"/>
      <c r="G13" s="35"/>
      <c r="H13" s="1"/>
      <c r="K13"/>
      <c r="L13"/>
      <c r="M13"/>
      <c r="N13"/>
      <c r="O13"/>
      <c r="P13"/>
      <c r="Q13"/>
      <c r="R13"/>
      <c r="S13"/>
      <c r="T13"/>
      <c r="U13"/>
    </row>
    <row r="14" spans="6:22" ht="14.25" x14ac:dyDescent="0.15">
      <c r="F14" s="2" t="s">
        <v>39</v>
      </c>
      <c r="G14" s="35">
        <f>_xlfn.XLOOKUP("取引先契約番号  ",貼付エリア!$D$6:$D$29,貼付エリア!$E$6:$E$29,"",0)</f>
        <v>0</v>
      </c>
      <c r="H14" s="2" t="s">
        <v>1</v>
      </c>
      <c r="K14"/>
      <c r="L14"/>
      <c r="M14"/>
      <c r="N14"/>
      <c r="O14"/>
      <c r="P14"/>
      <c r="Q14"/>
      <c r="R14"/>
      <c r="S14"/>
      <c r="T14"/>
      <c r="U14"/>
    </row>
    <row r="15" spans="6:22" ht="14.25" x14ac:dyDescent="0.15">
      <c r="F15" s="1"/>
      <c r="G15" s="35"/>
      <c r="H15" s="1"/>
      <c r="I15" s="24" t="s">
        <v>253</v>
      </c>
      <c r="K15"/>
      <c r="L15"/>
      <c r="M15"/>
      <c r="N15"/>
      <c r="O15"/>
      <c r="P15"/>
      <c r="Q15"/>
      <c r="R15"/>
      <c r="S15"/>
      <c r="T15"/>
      <c r="U15"/>
    </row>
    <row r="16" spans="6:22" ht="14.25" x14ac:dyDescent="0.15">
      <c r="F16" s="2" t="s">
        <v>1</v>
      </c>
      <c r="G16" s="35">
        <f>_xlfn.XLOOKUP("サポートID  ",貼付エリア!$D$6:$D$29,貼付エリア!$E$6:$E$29,"",0)</f>
        <v>0</v>
      </c>
      <c r="H16" s="1"/>
      <c r="I16" t="s">
        <v>254</v>
      </c>
      <c r="K16"/>
      <c r="L16"/>
      <c r="M16"/>
      <c r="N16"/>
      <c r="O16"/>
      <c r="P16"/>
      <c r="Q16"/>
      <c r="R16"/>
      <c r="S16"/>
      <c r="T16"/>
      <c r="U16"/>
    </row>
    <row r="17" spans="6:22" ht="14.25" x14ac:dyDescent="0.15">
      <c r="F17" s="1"/>
      <c r="G17" s="35"/>
      <c r="H17" s="1"/>
      <c r="I17" t="s">
        <v>7504</v>
      </c>
      <c r="K17"/>
      <c r="L17"/>
      <c r="M17"/>
      <c r="N17"/>
      <c r="O17"/>
      <c r="P17"/>
      <c r="Q17"/>
      <c r="R17"/>
      <c r="S17"/>
      <c r="T17"/>
      <c r="U17"/>
    </row>
    <row r="18" spans="6:22" x14ac:dyDescent="0.15">
      <c r="F18" s="2" t="s">
        <v>40</v>
      </c>
      <c r="G18" s="40" t="str">
        <f>LEFT(TEXT(_xlfn.XLOOKUP("希望開始日時*",貼付エリア!$D$6:$D$29,貼付エリア!$E$6:$E$29,"---",2,1),"yyyy/mm/dd hh:mm"),10)</f>
        <v>1900/01/00</v>
      </c>
      <c r="H18" s="2" t="s">
        <v>2</v>
      </c>
      <c r="K18"/>
      <c r="L18"/>
      <c r="M18"/>
      <c r="N18"/>
      <c r="O18"/>
      <c r="P18"/>
      <c r="Q18"/>
      <c r="R18"/>
      <c r="S18"/>
      <c r="T18"/>
      <c r="U18"/>
      <c r="V18" t="s">
        <v>189</v>
      </c>
    </row>
    <row r="19" spans="6:22" ht="14.25" x14ac:dyDescent="0.15">
      <c r="F19" s="1"/>
      <c r="G19" s="35"/>
      <c r="H19" s="2" t="s">
        <v>3</v>
      </c>
      <c r="K19"/>
      <c r="L19"/>
      <c r="M19"/>
      <c r="N19"/>
      <c r="O19"/>
      <c r="P19"/>
      <c r="Q19"/>
      <c r="R19"/>
      <c r="S19"/>
      <c r="T19"/>
      <c r="U19"/>
      <c r="V19" t="s">
        <v>189</v>
      </c>
    </row>
    <row r="20" spans="6:22" x14ac:dyDescent="0.15">
      <c r="F20" s="2" t="s">
        <v>41</v>
      </c>
      <c r="G20" s="40" t="str" cm="1">
        <f t="array" ref="G20">RIGHT(TEXT(_xlfn.XLOOKUP("希望開始日時*",貼付エリア!$D$6:$D$29,貼付エリア!$E6:$E$29,"---",2,1),"yyyy/mm/dd hh:mm"),5)</f>
        <v>00:00</v>
      </c>
      <c r="H20" s="2" t="s">
        <v>4</v>
      </c>
      <c r="K20"/>
      <c r="L20"/>
      <c r="M20"/>
      <c r="N20"/>
      <c r="O20"/>
      <c r="P20"/>
      <c r="Q20"/>
      <c r="R20"/>
      <c r="S20"/>
      <c r="T20"/>
      <c r="U20"/>
      <c r="V20" t="s">
        <v>189</v>
      </c>
    </row>
    <row r="21" spans="6:22" x14ac:dyDescent="0.15">
      <c r="F21" s="2" t="s">
        <v>42</v>
      </c>
      <c r="G21" s="40" t="str">
        <f>RIGHT(TEXT(_xlfn.XLOOKUP("希望終了日時*",貼付エリア!$D$6:$D$29,貼付エリア!$E$6:$E$29,"---",2,-1),"yyyy/mm/dd hh:mm"),5)</f>
        <v>00:00</v>
      </c>
      <c r="H21" s="2" t="s">
        <v>5</v>
      </c>
      <c r="K21"/>
      <c r="L21"/>
      <c r="M21"/>
      <c r="N21"/>
      <c r="O21"/>
      <c r="P21"/>
      <c r="Q21"/>
      <c r="R21"/>
      <c r="S21"/>
      <c r="T21"/>
      <c r="U21"/>
      <c r="V21" t="s">
        <v>189</v>
      </c>
    </row>
    <row r="22" spans="6:22" ht="14.25" x14ac:dyDescent="0.15">
      <c r="F22" s="1"/>
      <c r="G22" s="35"/>
      <c r="H22" s="1"/>
      <c r="K22"/>
      <c r="L22"/>
      <c r="M22"/>
      <c r="N22"/>
      <c r="O22"/>
      <c r="P22"/>
      <c r="Q22"/>
      <c r="R22"/>
      <c r="S22"/>
      <c r="T22"/>
      <c r="U22"/>
      <c r="V22" t="s">
        <v>189</v>
      </c>
    </row>
    <row r="23" spans="6:22" ht="14.25" x14ac:dyDescent="0.15">
      <c r="F23" s="2" t="s">
        <v>305</v>
      </c>
      <c r="G23" s="35">
        <f>_xlfn.XLOOKUP("店舗同行者／連絡先  ",貼付エリア!$D$6:$D$29,貼付エリア!$E$6:$E$29,"",0)</f>
        <v>0</v>
      </c>
      <c r="H23" s="2" t="s">
        <v>6</v>
      </c>
      <c r="K23"/>
      <c r="L23"/>
      <c r="M23"/>
      <c r="N23"/>
      <c r="O23"/>
      <c r="P23"/>
      <c r="Q23"/>
      <c r="R23"/>
      <c r="S23"/>
      <c r="T23"/>
      <c r="U23"/>
      <c r="V23" t="s">
        <v>56</v>
      </c>
    </row>
    <row r="24" spans="6:22" ht="14.25" x14ac:dyDescent="0.15">
      <c r="F24" s="2" t="s">
        <v>44</v>
      </c>
      <c r="G24" s="35"/>
      <c r="H24" s="2" t="s">
        <v>7</v>
      </c>
      <c r="K24"/>
      <c r="L24"/>
      <c r="M24"/>
      <c r="N24"/>
      <c r="O24"/>
      <c r="P24"/>
      <c r="Q24"/>
      <c r="R24"/>
      <c r="S24"/>
      <c r="T24"/>
      <c r="U24"/>
      <c r="V24" t="s">
        <v>56</v>
      </c>
    </row>
    <row r="25" spans="6:22" ht="14.25" x14ac:dyDescent="0.15">
      <c r="F25" s="1"/>
      <c r="G25" s="35"/>
      <c r="H25" s="2" t="s">
        <v>8</v>
      </c>
      <c r="K25"/>
      <c r="L25"/>
      <c r="M25"/>
      <c r="N25"/>
      <c r="O25"/>
      <c r="P25"/>
      <c r="Q25"/>
      <c r="R25"/>
      <c r="S25"/>
      <c r="T25"/>
      <c r="U25"/>
      <c r="V25" t="s">
        <v>56</v>
      </c>
    </row>
    <row r="26" spans="6:22" ht="14.25" x14ac:dyDescent="0.15">
      <c r="F26" s="6" t="s">
        <v>55</v>
      </c>
      <c r="G26" s="35"/>
      <c r="H26" s="2" t="s">
        <v>9</v>
      </c>
      <c r="K26"/>
      <c r="L26"/>
      <c r="M26"/>
      <c r="N26"/>
      <c r="O26"/>
      <c r="P26"/>
      <c r="Q26"/>
      <c r="R26"/>
      <c r="S26"/>
      <c r="T26"/>
      <c r="U26"/>
      <c r="V26" t="s">
        <v>56</v>
      </c>
    </row>
    <row r="27" spans="6:22" ht="14.25" x14ac:dyDescent="0.15">
      <c r="F27" s="1"/>
      <c r="G27" s="35"/>
      <c r="H27" s="1"/>
      <c r="K27"/>
      <c r="L27"/>
      <c r="M27"/>
      <c r="N27"/>
      <c r="O27"/>
      <c r="P27"/>
      <c r="Q27"/>
      <c r="R27"/>
      <c r="S27"/>
      <c r="T27"/>
      <c r="U27"/>
      <c r="V27" t="s">
        <v>56</v>
      </c>
    </row>
    <row r="28" spans="6:22" x14ac:dyDescent="0.15">
      <c r="F28" s="2" t="s">
        <v>45</v>
      </c>
      <c r="G28" s="40" t="str">
        <f>SUBSTITUTE(CONCATENATE(IF(G29=0,"",G29),IF(G30=0,"","　" &amp; G30),IF(G31=0,"","　" &amp; G31))," ","")</f>
        <v/>
      </c>
      <c r="H28" s="2" t="s">
        <v>10</v>
      </c>
      <c r="K28"/>
      <c r="L28"/>
      <c r="M28"/>
      <c r="N28"/>
      <c r="O28"/>
      <c r="P28"/>
      <c r="Q28"/>
      <c r="R28"/>
      <c r="S28"/>
      <c r="T28"/>
      <c r="U28"/>
      <c r="V28" t="s">
        <v>56</v>
      </c>
    </row>
    <row r="29" spans="6:22" x14ac:dyDescent="0.15">
      <c r="F29" s="2" t="s">
        <v>299</v>
      </c>
      <c r="G29">
        <f>_xlfn.XLOOKUP("連絡事項１",貼付エリア!$D$6:$D$29,貼付エリア!$E$6:$E$29,"",0)</f>
        <v>0</v>
      </c>
      <c r="H29" s="2" t="s">
        <v>11</v>
      </c>
      <c r="K29"/>
      <c r="L29"/>
      <c r="M29"/>
      <c r="N29"/>
      <c r="O29"/>
      <c r="P29"/>
      <c r="Q29"/>
      <c r="R29"/>
      <c r="S29"/>
      <c r="T29"/>
      <c r="U29"/>
      <c r="V29" t="s">
        <v>56</v>
      </c>
    </row>
    <row r="30" spans="6:22" x14ac:dyDescent="0.15">
      <c r="F30" s="2" t="s">
        <v>300</v>
      </c>
      <c r="G30" s="3">
        <f>_xlfn.XLOOKUP("連絡事項２",貼付エリア!$D$6:$D$29,貼付エリア!$E$6:$E$29,"",0)</f>
        <v>0</v>
      </c>
      <c r="H30" s="2" t="s">
        <v>12</v>
      </c>
      <c r="K30"/>
      <c r="L30"/>
      <c r="M30"/>
      <c r="N30"/>
      <c r="O30"/>
      <c r="P30"/>
      <c r="Q30"/>
      <c r="R30"/>
      <c r="S30"/>
      <c r="T30"/>
      <c r="U30"/>
      <c r="V30" t="s">
        <v>56</v>
      </c>
    </row>
    <row r="31" spans="6:22" x14ac:dyDescent="0.15">
      <c r="F31" s="2" t="s">
        <v>304</v>
      </c>
      <c r="G31">
        <f>_xlfn.XLOOKUP("連絡事項３",貼付エリア!$D$6:$D$29,貼付エリア!$E$6:$E$29,"",0)</f>
        <v>0</v>
      </c>
      <c r="H31" s="2" t="s">
        <v>13</v>
      </c>
      <c r="K31"/>
      <c r="L31"/>
      <c r="M31"/>
      <c r="N31"/>
      <c r="O31"/>
      <c r="P31"/>
      <c r="Q31"/>
      <c r="R31"/>
      <c r="S31"/>
      <c r="T31"/>
      <c r="U31"/>
      <c r="V31" t="s">
        <v>56</v>
      </c>
    </row>
    <row r="32" spans="6:22" ht="14.25" x14ac:dyDescent="0.15">
      <c r="F32" s="1"/>
      <c r="G32" s="35" t="s">
        <v>5024</v>
      </c>
      <c r="H32" s="1"/>
      <c r="K32"/>
      <c r="L32"/>
      <c r="M32"/>
      <c r="N32"/>
      <c r="O32"/>
      <c r="P32"/>
      <c r="Q32"/>
      <c r="R32"/>
      <c r="S32"/>
      <c r="T32"/>
      <c r="U32"/>
      <c r="V32" t="s">
        <v>56</v>
      </c>
    </row>
    <row r="33" spans="6:22" x14ac:dyDescent="0.15">
      <c r="F33" s="1"/>
      <c r="H33" s="2" t="s">
        <v>14</v>
      </c>
      <c r="K33"/>
      <c r="L33"/>
      <c r="M33"/>
      <c r="N33"/>
      <c r="O33"/>
      <c r="P33"/>
      <c r="Q33"/>
      <c r="R33"/>
      <c r="S33"/>
      <c r="T33"/>
      <c r="U33"/>
      <c r="V33" t="s">
        <v>56</v>
      </c>
    </row>
    <row r="34" spans="6:22" ht="14.25" x14ac:dyDescent="0.15">
      <c r="F34" s="2" t="s">
        <v>4944</v>
      </c>
      <c r="G34" s="35" t="str" cm="1">
        <f t="array" ref="G34">IF(貼付エリア!E10="東芝ITサービス",IFERROR(_xlfn.TEXTSPLIT(貼付エリア!E32,," / ",),""),"")</f>
        <v/>
      </c>
      <c r="H34" s="2" t="s">
        <v>15</v>
      </c>
      <c r="V34" t="s">
        <v>215</v>
      </c>
    </row>
    <row r="35" spans="6:22" ht="14.25" x14ac:dyDescent="0.15">
      <c r="F35" s="2" t="s">
        <v>4945</v>
      </c>
      <c r="G35" s="35"/>
      <c r="H35" s="2" t="s">
        <v>16</v>
      </c>
      <c r="V35" t="s">
        <v>215</v>
      </c>
    </row>
    <row r="36" spans="6:22" ht="14.25" x14ac:dyDescent="0.15">
      <c r="F36" s="2" t="s">
        <v>4946</v>
      </c>
      <c r="G36" s="35"/>
      <c r="H36" s="2" t="s">
        <v>17</v>
      </c>
      <c r="V36" t="s">
        <v>215</v>
      </c>
    </row>
    <row r="37" spans="6:22" ht="14.25" x14ac:dyDescent="0.15">
      <c r="F37" s="2" t="s">
        <v>4947</v>
      </c>
      <c r="G37" s="35"/>
      <c r="H37" s="1"/>
      <c r="V37" t="s">
        <v>215</v>
      </c>
    </row>
    <row r="38" spans="6:22" ht="14.25" x14ac:dyDescent="0.15">
      <c r="F38" s="1"/>
      <c r="G38" s="35"/>
      <c r="H38" s="2" t="s">
        <v>18</v>
      </c>
      <c r="V38" t="s">
        <v>215</v>
      </c>
    </row>
    <row r="39" spans="6:22" ht="14.25" x14ac:dyDescent="0.15">
      <c r="F39" s="2" t="s">
        <v>4948</v>
      </c>
      <c r="G39" s="35" t="str" cm="1">
        <f t="array" ref="G39">IF(貼付エリア!E10="東芝ITサービス",IFERROR(_xlfn.TEXTSPLIT(貼付エリア!E33,," / ",),""),"")</f>
        <v/>
      </c>
      <c r="H39" s="2" t="s">
        <v>19</v>
      </c>
      <c r="V39" t="s">
        <v>215</v>
      </c>
    </row>
    <row r="40" spans="6:22" ht="14.25" x14ac:dyDescent="0.15">
      <c r="F40" s="2" t="s">
        <v>4949</v>
      </c>
      <c r="G40" s="35"/>
      <c r="H40" s="2" t="s">
        <v>20</v>
      </c>
      <c r="V40" t="s">
        <v>215</v>
      </c>
    </row>
    <row r="41" spans="6:22" ht="14.25" x14ac:dyDescent="0.15">
      <c r="F41" s="2" t="s">
        <v>4950</v>
      </c>
      <c r="G41" s="35"/>
      <c r="H41" s="2" t="s">
        <v>21</v>
      </c>
      <c r="V41" t="s">
        <v>215</v>
      </c>
    </row>
    <row r="42" spans="6:22" ht="14.25" x14ac:dyDescent="0.15">
      <c r="F42" s="2" t="s">
        <v>4951</v>
      </c>
      <c r="G42" s="35"/>
      <c r="H42" s="1"/>
      <c r="V42" t="s">
        <v>215</v>
      </c>
    </row>
    <row r="43" spans="6:22" ht="14.25" x14ac:dyDescent="0.15">
      <c r="F43" s="1"/>
      <c r="G43" s="35"/>
      <c r="H43" s="2" t="s">
        <v>22</v>
      </c>
      <c r="V43" t="s">
        <v>215</v>
      </c>
    </row>
    <row r="44" spans="6:22" ht="14.25" x14ac:dyDescent="0.15">
      <c r="F44" s="2" t="s">
        <v>4952</v>
      </c>
      <c r="G44" s="35" t="str" cm="1">
        <f t="array" ref="G44">IF(貼付エリア!E10="東芝ITサービス",IFERROR(_xlfn.TEXTSPLIT(貼付エリア!E34,," / ",),""),"")</f>
        <v/>
      </c>
      <c r="H44" s="2" t="s">
        <v>23</v>
      </c>
      <c r="V44" t="s">
        <v>215</v>
      </c>
    </row>
    <row r="45" spans="6:22" ht="14.25" x14ac:dyDescent="0.15">
      <c r="F45" s="2" t="s">
        <v>4953</v>
      </c>
      <c r="G45" s="35"/>
      <c r="H45" s="2" t="s">
        <v>24</v>
      </c>
      <c r="M45" s="4"/>
      <c r="V45" t="s">
        <v>215</v>
      </c>
    </row>
    <row r="46" spans="6:22" ht="14.25" x14ac:dyDescent="0.15">
      <c r="F46" s="2" t="s">
        <v>4954</v>
      </c>
      <c r="G46" s="35"/>
      <c r="H46" s="2" t="s">
        <v>25</v>
      </c>
      <c r="V46" t="s">
        <v>215</v>
      </c>
    </row>
    <row r="47" spans="6:22" ht="14.25" x14ac:dyDescent="0.15">
      <c r="F47" s="2" t="s">
        <v>4955</v>
      </c>
      <c r="G47" s="35"/>
      <c r="H47" s="1"/>
      <c r="M47" s="5"/>
      <c r="V47" t="s">
        <v>215</v>
      </c>
    </row>
    <row r="48" spans="6:22" ht="14.25" x14ac:dyDescent="0.15">
      <c r="F48" s="1"/>
      <c r="G48" s="35"/>
      <c r="H48" s="2" t="s">
        <v>26</v>
      </c>
      <c r="M48" s="5"/>
      <c r="V48" t="s">
        <v>215</v>
      </c>
    </row>
    <row r="49" spans="6:22" ht="14.25" x14ac:dyDescent="0.15">
      <c r="F49" s="2" t="s">
        <v>5023</v>
      </c>
      <c r="G49" s="35" t="str" cm="1">
        <f t="array" ref="G49">IF(貼付エリア!E10="東芝ITサービス",IFERROR(_xlfn.TEXTSPLIT(貼付エリア!E35,," / ",),""),"")</f>
        <v/>
      </c>
      <c r="H49" s="2" t="s">
        <v>27</v>
      </c>
      <c r="V49" t="s">
        <v>215</v>
      </c>
    </row>
    <row r="50" spans="6:22" ht="14.25" x14ac:dyDescent="0.15">
      <c r="F50" s="2" t="s">
        <v>4956</v>
      </c>
      <c r="G50" s="35"/>
      <c r="H50" s="2" t="s">
        <v>28</v>
      </c>
      <c r="V50" t="s">
        <v>215</v>
      </c>
    </row>
    <row r="51" spans="6:22" ht="14.25" x14ac:dyDescent="0.15">
      <c r="F51" s="2" t="s">
        <v>4957</v>
      </c>
      <c r="G51" s="35"/>
      <c r="H51" s="2" t="s">
        <v>29</v>
      </c>
    </row>
    <row r="52" spans="6:22" ht="14.25" x14ac:dyDescent="0.15">
      <c r="F52" s="2" t="s">
        <v>4958</v>
      </c>
      <c r="G52" s="35"/>
      <c r="H52" s="1"/>
    </row>
    <row r="53" spans="6:22" ht="14.25" x14ac:dyDescent="0.15">
      <c r="F53" s="1"/>
      <c r="G53" s="35"/>
      <c r="H53" s="2" t="s">
        <v>30</v>
      </c>
    </row>
    <row r="54" spans="6:22" ht="14.25" x14ac:dyDescent="0.15">
      <c r="F54" s="2" t="s">
        <v>4959</v>
      </c>
      <c r="G54" s="35" t="str" cm="1">
        <f t="array" ref="G54">IF(貼付エリア!E10="東芝ITサービス",IFERROR(_xlfn.TEXTSPLIT(貼付エリア!E36,," / ",),""),"")</f>
        <v/>
      </c>
      <c r="H54" s="2" t="s">
        <v>31</v>
      </c>
    </row>
    <row r="55" spans="6:22" ht="14.25" x14ac:dyDescent="0.15">
      <c r="F55" s="2" t="s">
        <v>4960</v>
      </c>
      <c r="G55" s="35"/>
      <c r="H55" s="2" t="s">
        <v>32</v>
      </c>
    </row>
    <row r="56" spans="6:22" ht="14.25" x14ac:dyDescent="0.15">
      <c r="F56" s="2" t="s">
        <v>4961</v>
      </c>
      <c r="G56" s="35"/>
      <c r="H56" s="2" t="s">
        <v>33</v>
      </c>
    </row>
    <row r="57" spans="6:22" ht="14.25" x14ac:dyDescent="0.15">
      <c r="F57" s="2" t="s">
        <v>4962</v>
      </c>
      <c r="G57" s="35"/>
      <c r="H57" s="1"/>
    </row>
    <row r="58" spans="6:22" ht="14.25" x14ac:dyDescent="0.15">
      <c r="F58" s="1"/>
      <c r="G58" s="35"/>
      <c r="H58" s="2" t="s">
        <v>47</v>
      </c>
    </row>
    <row r="59" spans="6:22" ht="14.25" x14ac:dyDescent="0.15">
      <c r="F59" s="2" t="s">
        <v>4963</v>
      </c>
      <c r="G59" s="35" t="str" cm="1">
        <f t="array" ref="G59">IF(貼付エリア!E10="東芝ITサービス",IFERROR(_xlfn.TEXTSPLIT(貼付エリア!E37,," / ",),""),"")</f>
        <v/>
      </c>
      <c r="H59" s="2" t="s">
        <v>48</v>
      </c>
    </row>
    <row r="60" spans="6:22" ht="14.25" x14ac:dyDescent="0.15">
      <c r="F60" s="2" t="s">
        <v>4964</v>
      </c>
      <c r="G60" s="35"/>
      <c r="H60" s="2" t="s">
        <v>49</v>
      </c>
    </row>
    <row r="61" spans="6:22" ht="14.25" x14ac:dyDescent="0.15">
      <c r="F61" s="2" t="s">
        <v>4965</v>
      </c>
      <c r="G61" s="35"/>
      <c r="H61" s="2" t="s">
        <v>50</v>
      </c>
    </row>
    <row r="62" spans="6:22" ht="14.25" x14ac:dyDescent="0.15">
      <c r="F62" s="2" t="s">
        <v>4966</v>
      </c>
      <c r="G62" s="35"/>
      <c r="H62" s="1"/>
    </row>
    <row r="63" spans="6:22" ht="14.25" x14ac:dyDescent="0.15">
      <c r="F63" s="1"/>
      <c r="G63" s="35"/>
      <c r="H63" s="2" t="s">
        <v>51</v>
      </c>
    </row>
    <row r="64" spans="6:22" ht="14.25" x14ac:dyDescent="0.15">
      <c r="F64" s="2" t="s">
        <v>4967</v>
      </c>
      <c r="G64" s="35" t="str" cm="1">
        <f t="array" ref="G64">IF(貼付エリア!E10="東芝ITサービス",IFERROR(_xlfn.TEXTSPLIT(貼付エリア!E38,," / ",),""),"")</f>
        <v/>
      </c>
      <c r="H64" s="2" t="s">
        <v>52</v>
      </c>
    </row>
    <row r="65" spans="6:8" ht="14.25" x14ac:dyDescent="0.15">
      <c r="F65" s="2" t="s">
        <v>4968</v>
      </c>
      <c r="G65" s="35"/>
      <c r="H65" s="2" t="s">
        <v>53</v>
      </c>
    </row>
    <row r="66" spans="6:8" ht="14.25" x14ac:dyDescent="0.15">
      <c r="F66" s="2" t="s">
        <v>4969</v>
      </c>
      <c r="G66" s="35"/>
      <c r="H66" s="2" t="s">
        <v>54</v>
      </c>
    </row>
    <row r="67" spans="6:8" ht="14.25" x14ac:dyDescent="0.15">
      <c r="F67" s="2" t="s">
        <v>4970</v>
      </c>
      <c r="G67" s="35"/>
      <c r="H67" s="1"/>
    </row>
    <row r="68" spans="6:8" ht="14.25" x14ac:dyDescent="0.15">
      <c r="F68" s="1"/>
      <c r="G68" s="35"/>
      <c r="H68" s="1"/>
    </row>
    <row r="69" spans="6:8" ht="14.25" x14ac:dyDescent="0.15">
      <c r="F69" s="2" t="s">
        <v>4971</v>
      </c>
      <c r="G69" s="35" t="str" cm="1">
        <f t="array" ref="G69">IF(貼付エリア!E10="東芝ITサービス",IFERROR(_xlfn.TEXTSPLIT(貼付エリア!E39,," / ",),""),"")</f>
        <v/>
      </c>
      <c r="H69" s="2" t="s">
        <v>40</v>
      </c>
    </row>
    <row r="70" spans="6:8" ht="14.25" x14ac:dyDescent="0.15">
      <c r="F70" s="2" t="s">
        <v>4972</v>
      </c>
      <c r="G70" s="35"/>
      <c r="H70" s="1"/>
    </row>
    <row r="71" spans="6:8" ht="14.25" x14ac:dyDescent="0.15">
      <c r="F71" s="2" t="s">
        <v>4973</v>
      </c>
      <c r="G71" s="35"/>
      <c r="H71" s="2" t="s">
        <v>41</v>
      </c>
    </row>
    <row r="72" spans="6:8" ht="14.25" x14ac:dyDescent="0.15">
      <c r="F72" s="2" t="s">
        <v>4974</v>
      </c>
      <c r="G72" s="35"/>
      <c r="H72" s="2" t="s">
        <v>42</v>
      </c>
    </row>
    <row r="73" spans="6:8" ht="14.25" x14ac:dyDescent="0.15">
      <c r="F73" s="1"/>
      <c r="G73" s="35"/>
      <c r="H73" s="1"/>
    </row>
    <row r="74" spans="6:8" ht="14.25" x14ac:dyDescent="0.15">
      <c r="F74" s="2" t="s">
        <v>4975</v>
      </c>
      <c r="G74" s="35" t="str" cm="1">
        <f t="array" ref="G74">IF(貼付エリア!E10="東芝ITサービス",IFERROR(_xlfn.TEXTSPLIT(貼付エリア!E40,," / ",),""),"")</f>
        <v/>
      </c>
      <c r="H74" s="2" t="s">
        <v>43</v>
      </c>
    </row>
    <row r="75" spans="6:8" ht="14.25" x14ac:dyDescent="0.15">
      <c r="F75" s="2" t="s">
        <v>4976</v>
      </c>
      <c r="G75" s="35"/>
      <c r="H75" s="1"/>
    </row>
    <row r="76" spans="6:8" ht="14.25" x14ac:dyDescent="0.15">
      <c r="F76" s="2" t="s">
        <v>4977</v>
      </c>
      <c r="G76" s="35"/>
      <c r="H76" s="1"/>
    </row>
    <row r="77" spans="6:8" ht="14.25" x14ac:dyDescent="0.15">
      <c r="F77" s="2" t="s">
        <v>4978</v>
      </c>
      <c r="G77" s="35"/>
      <c r="H77" s="6" t="s">
        <v>55</v>
      </c>
    </row>
    <row r="78" spans="6:8" ht="14.25" x14ac:dyDescent="0.15">
      <c r="F78" s="1"/>
      <c r="G78" s="35"/>
      <c r="H78" s="1"/>
    </row>
    <row r="79" spans="6:8" ht="14.25" x14ac:dyDescent="0.15">
      <c r="F79" s="2" t="s">
        <v>4979</v>
      </c>
      <c r="G79" s="35" t="str" cm="1">
        <f t="array" ref="G79">IF(貼付エリア!E10="東芝ITサービス",IFERROR(_xlfn.TEXTSPLIT(貼付エリア!E41,," / ",),""),"")</f>
        <v/>
      </c>
      <c r="H79" s="2" t="s">
        <v>44</v>
      </c>
    </row>
    <row r="80" spans="6:8" ht="14.25" x14ac:dyDescent="0.15">
      <c r="F80" s="2" t="s">
        <v>4980</v>
      </c>
      <c r="G80" s="35"/>
      <c r="H80" s="1"/>
    </row>
    <row r="81" spans="6:8" ht="14.25" x14ac:dyDescent="0.15">
      <c r="F81" s="2" t="s">
        <v>4981</v>
      </c>
      <c r="G81" s="35"/>
      <c r="H81" s="2" t="s">
        <v>45</v>
      </c>
    </row>
    <row r="82" spans="6:8" ht="14.25" x14ac:dyDescent="0.15">
      <c r="F82" s="2" t="s">
        <v>4982</v>
      </c>
      <c r="G82" s="35"/>
      <c r="H82" s="1"/>
    </row>
    <row r="83" spans="6:8" x14ac:dyDescent="0.15">
      <c r="F83" s="1"/>
      <c r="G83" s="3"/>
      <c r="H83" s="1"/>
    </row>
    <row r="84" spans="6:8" x14ac:dyDescent="0.15">
      <c r="F84" s="2" t="s">
        <v>4983</v>
      </c>
      <c r="G84" s="3" t="str" cm="1">
        <f t="array" ref="G84">IF(貼付エリア!E10="東芝ITサービス",IFERROR(_xlfn.TEXTSPLIT(貼付エリア!E42,," / ",),""),"")</f>
        <v/>
      </c>
      <c r="H84" s="1"/>
    </row>
    <row r="85" spans="6:8" x14ac:dyDescent="0.15">
      <c r="F85" s="2" t="s">
        <v>4984</v>
      </c>
      <c r="G85" s="3"/>
      <c r="H85" s="1"/>
    </row>
    <row r="86" spans="6:8" x14ac:dyDescent="0.15">
      <c r="F86" s="2" t="s">
        <v>4985</v>
      </c>
      <c r="G86" s="3"/>
      <c r="H86" s="1"/>
    </row>
    <row r="87" spans="6:8" x14ac:dyDescent="0.15">
      <c r="F87" s="2" t="s">
        <v>4986</v>
      </c>
      <c r="G87" s="3"/>
      <c r="H87" s="1"/>
    </row>
    <row r="88" spans="6:8" x14ac:dyDescent="0.15">
      <c r="F88" s="1"/>
      <c r="G88" s="3"/>
      <c r="H88" s="1"/>
    </row>
    <row r="89" spans="6:8" x14ac:dyDescent="0.15">
      <c r="F89" s="2" t="s">
        <v>4987</v>
      </c>
      <c r="G89" s="3" t="str" cm="1">
        <f t="array" ref="G89">IF(貼付エリア!E10="東芝ITサービス",IFERROR(_xlfn.TEXTSPLIT(貼付エリア!E43,," / ",),""),"")</f>
        <v/>
      </c>
      <c r="H89" s="1"/>
    </row>
    <row r="90" spans="6:8" x14ac:dyDescent="0.15">
      <c r="F90" s="2" t="s">
        <v>4988</v>
      </c>
      <c r="G90" s="3"/>
      <c r="H90" s="1"/>
    </row>
    <row r="91" spans="6:8" x14ac:dyDescent="0.15">
      <c r="F91" s="2" t="s">
        <v>4989</v>
      </c>
      <c r="G91" s="3"/>
    </row>
    <row r="92" spans="6:8" x14ac:dyDescent="0.15">
      <c r="F92" s="2" t="s">
        <v>4990</v>
      </c>
      <c r="G92" s="3"/>
    </row>
    <row r="93" spans="6:8" x14ac:dyDescent="0.15">
      <c r="F93" s="1"/>
      <c r="G93" s="3"/>
    </row>
    <row r="94" spans="6:8" x14ac:dyDescent="0.15">
      <c r="F94" s="2" t="s">
        <v>4991</v>
      </c>
      <c r="G94" s="3" t="str" cm="1">
        <f t="array" ref="G94">IF(貼付エリア!E10="東芝ITサービス",IFERROR(_xlfn.TEXTSPLIT(貼付エリア!E44,," / ",),""),"")</f>
        <v/>
      </c>
    </row>
    <row r="95" spans="6:8" x14ac:dyDescent="0.15">
      <c r="F95" s="2" t="s">
        <v>4992</v>
      </c>
      <c r="G95" s="3"/>
    </row>
    <row r="96" spans="6:8" x14ac:dyDescent="0.15">
      <c r="F96" s="2" t="s">
        <v>4993</v>
      </c>
      <c r="G96" s="3"/>
    </row>
    <row r="97" spans="6:7" x14ac:dyDescent="0.15">
      <c r="F97" s="2" t="s">
        <v>4994</v>
      </c>
      <c r="G97" s="3"/>
    </row>
    <row r="98" spans="6:7" x14ac:dyDescent="0.15">
      <c r="F98" s="1"/>
      <c r="G98" s="3"/>
    </row>
    <row r="99" spans="6:7" x14ac:dyDescent="0.15">
      <c r="F99" s="2" t="s">
        <v>4995</v>
      </c>
      <c r="G99" s="3" t="str" cm="1">
        <f t="array" ref="G99">IF(貼付エリア!E10="東芝ITサービス",IFERROR(_xlfn.TEXTSPLIT(貼付エリア!E45,," / ",),""),"")</f>
        <v/>
      </c>
    </row>
    <row r="100" spans="6:7" x14ac:dyDescent="0.15">
      <c r="F100" s="2" t="s">
        <v>4996</v>
      </c>
      <c r="G100" s="3"/>
    </row>
    <row r="101" spans="6:7" x14ac:dyDescent="0.15">
      <c r="F101" s="2" t="s">
        <v>4997</v>
      </c>
      <c r="G101" s="3"/>
    </row>
    <row r="102" spans="6:7" x14ac:dyDescent="0.15">
      <c r="F102" s="2" t="s">
        <v>4998</v>
      </c>
      <c r="G102" s="3"/>
    </row>
    <row r="103" spans="6:7" x14ac:dyDescent="0.15">
      <c r="F103" s="1"/>
      <c r="G103" s="3"/>
    </row>
    <row r="104" spans="6:7" x14ac:dyDescent="0.15">
      <c r="F104" s="2" t="s">
        <v>4999</v>
      </c>
      <c r="G104" s="3" t="str" cm="1">
        <f t="array" ref="G104">IF(貼付エリア!E10="東芝ITサービス",IFERROR(_xlfn.TEXTSPLIT(貼付エリア!E46,," / ",),""),"")</f>
        <v/>
      </c>
    </row>
    <row r="105" spans="6:7" x14ac:dyDescent="0.15">
      <c r="F105" s="2" t="s">
        <v>5000</v>
      </c>
      <c r="G105" s="3"/>
    </row>
    <row r="106" spans="6:7" x14ac:dyDescent="0.15">
      <c r="F106" s="2" t="s">
        <v>5001</v>
      </c>
      <c r="G106" s="3"/>
    </row>
    <row r="107" spans="6:7" x14ac:dyDescent="0.15">
      <c r="F107" s="2" t="s">
        <v>5002</v>
      </c>
      <c r="G107" s="3"/>
    </row>
    <row r="108" spans="6:7" x14ac:dyDescent="0.15">
      <c r="F108" s="1"/>
      <c r="G108" s="3"/>
    </row>
    <row r="109" spans="6:7" x14ac:dyDescent="0.15">
      <c r="F109" s="2" t="s">
        <v>5003</v>
      </c>
      <c r="G109" s="3" t="str" cm="1">
        <f t="array" ref="G109">IF(貼付エリア!E10="東芝ITサービス",IFERROR(_xlfn.TEXTSPLIT(貼付エリア!E47,," / ",),""),"")</f>
        <v/>
      </c>
    </row>
    <row r="110" spans="6:7" x14ac:dyDescent="0.15">
      <c r="F110" s="2" t="s">
        <v>5004</v>
      </c>
      <c r="G110" s="3"/>
    </row>
    <row r="111" spans="6:7" x14ac:dyDescent="0.15">
      <c r="F111" s="2" t="s">
        <v>5005</v>
      </c>
      <c r="G111" s="3"/>
    </row>
    <row r="112" spans="6:7" x14ac:dyDescent="0.15">
      <c r="F112" s="2" t="s">
        <v>5006</v>
      </c>
      <c r="G112" s="3"/>
    </row>
    <row r="113" spans="6:7" x14ac:dyDescent="0.15">
      <c r="F113" s="1"/>
      <c r="G113" s="3"/>
    </row>
    <row r="114" spans="6:7" x14ac:dyDescent="0.15">
      <c r="F114" s="2" t="s">
        <v>5007</v>
      </c>
      <c r="G114" s="3" t="str" cm="1">
        <f t="array" ref="G114">IF(貼付エリア!E10="東芝ITサービス",IFERROR(_xlfn.TEXTSPLIT(貼付エリア!E48,," / ",),""),"")</f>
        <v/>
      </c>
    </row>
    <row r="115" spans="6:7" x14ac:dyDescent="0.15">
      <c r="F115" s="2" t="s">
        <v>5008</v>
      </c>
      <c r="G115" s="3"/>
    </row>
    <row r="116" spans="6:7" x14ac:dyDescent="0.15">
      <c r="F116" s="2" t="s">
        <v>5009</v>
      </c>
      <c r="G116" s="3"/>
    </row>
    <row r="117" spans="6:7" x14ac:dyDescent="0.15">
      <c r="F117" s="2" t="s">
        <v>5010</v>
      </c>
      <c r="G117" s="3"/>
    </row>
    <row r="118" spans="6:7" x14ac:dyDescent="0.15">
      <c r="F118" s="1"/>
      <c r="G118" s="3"/>
    </row>
    <row r="119" spans="6:7" x14ac:dyDescent="0.15">
      <c r="F119" s="2" t="s">
        <v>5011</v>
      </c>
      <c r="G119" s="3" t="str" cm="1">
        <f t="array" ref="G119">IF(貼付エリア!E10="東芝ITサービス",IFERROR(_xlfn.TEXTSPLIT(貼付エリア!E49,," / ",),""),"")</f>
        <v/>
      </c>
    </row>
    <row r="120" spans="6:7" x14ac:dyDescent="0.15">
      <c r="F120" s="2" t="s">
        <v>5012</v>
      </c>
      <c r="G120" s="3"/>
    </row>
    <row r="121" spans="6:7" x14ac:dyDescent="0.15">
      <c r="F121" s="2" t="s">
        <v>5013</v>
      </c>
      <c r="G121" s="3"/>
    </row>
    <row r="122" spans="6:7" x14ac:dyDescent="0.15">
      <c r="F122" s="2" t="s">
        <v>5014</v>
      </c>
      <c r="G122" s="3"/>
    </row>
    <row r="123" spans="6:7" x14ac:dyDescent="0.15">
      <c r="F123" s="1"/>
      <c r="G123" s="3"/>
    </row>
    <row r="124" spans="6:7" x14ac:dyDescent="0.15">
      <c r="F124" s="2" t="s">
        <v>5015</v>
      </c>
      <c r="G124" s="3" t="str" cm="1">
        <f t="array" ref="G124">IF(貼付エリア!E10="東芝ITサービス",IFERROR(_xlfn.TEXTSPLIT(貼付エリア!E50,," / ",),""),"")</f>
        <v/>
      </c>
    </row>
    <row r="125" spans="6:7" x14ac:dyDescent="0.15">
      <c r="F125" s="2" t="s">
        <v>5016</v>
      </c>
      <c r="G125" s="3"/>
    </row>
    <row r="126" spans="6:7" x14ac:dyDescent="0.15">
      <c r="F126" s="2" t="s">
        <v>5017</v>
      </c>
      <c r="G126" s="3"/>
    </row>
    <row r="127" spans="6:7" x14ac:dyDescent="0.15">
      <c r="F127" s="2" t="s">
        <v>5018</v>
      </c>
      <c r="G127" s="3"/>
    </row>
    <row r="128" spans="6:7" x14ac:dyDescent="0.15">
      <c r="F128" s="1"/>
      <c r="G128" s="3"/>
    </row>
    <row r="129" spans="6:7" x14ac:dyDescent="0.15">
      <c r="F129" s="2" t="s">
        <v>5019</v>
      </c>
      <c r="G129" s="3" t="str" cm="1">
        <f t="array" ref="G129">IF(貼付エリア!E10="東芝ITサービス",IFERROR(_xlfn.TEXTSPLIT(貼付エリア!E51,," / ",),""),"")</f>
        <v/>
      </c>
    </row>
    <row r="130" spans="6:7" x14ac:dyDescent="0.15">
      <c r="F130" s="2" t="s">
        <v>5020</v>
      </c>
      <c r="G130" s="3"/>
    </row>
    <row r="131" spans="6:7" x14ac:dyDescent="0.15">
      <c r="F131" s="2" t="s">
        <v>5021</v>
      </c>
      <c r="G131" s="3"/>
    </row>
    <row r="132" spans="6:7" x14ac:dyDescent="0.15">
      <c r="F132" s="2" t="s">
        <v>5022</v>
      </c>
      <c r="G132" s="3"/>
    </row>
    <row r="133" spans="6:7" x14ac:dyDescent="0.15">
      <c r="F133" s="1"/>
      <c r="G133" s="3"/>
    </row>
    <row r="134" spans="6:7" x14ac:dyDescent="0.15">
      <c r="G134" s="57" t="s">
        <v>46</v>
      </c>
    </row>
  </sheetData>
  <phoneticPr fontId="1"/>
  <hyperlinks>
    <hyperlink ref="I3" r:id="rId1" xr:uid="{5F1D9DFD-5CA1-4E2A-AC75-91EAB5BD8943}"/>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2">
              <controlPr defaultSize="0" print="0" autoFill="0" autoPict="0" macro="[0]!make_necbook_test_2">
                <anchor moveWithCells="1" sizeWithCells="1">
                  <from>
                    <xdr:col>9</xdr:col>
                    <xdr:colOff>104775</xdr:colOff>
                    <xdr:row>7</xdr:row>
                    <xdr:rowOff>152400</xdr:rowOff>
                  </from>
                  <to>
                    <xdr:col>9</xdr:col>
                    <xdr:colOff>1323975</xdr:colOff>
                    <xdr:row>12</xdr:row>
                    <xdr:rowOff>38100</xdr:rowOff>
                  </to>
                </anchor>
              </controlPr>
            </control>
          </mc:Choice>
        </mc:AlternateContent>
        <mc:AlternateContent xmlns:mc="http://schemas.openxmlformats.org/markup-compatibility/2006">
          <mc:Choice Requires="x14">
            <control shapeId="36866" r:id="rId5" name="Button 1">
              <controlPr defaultSize="0" print="0" autoFill="0" autoPict="0" macro="[0]!main_string_cut_L2">
                <anchor moveWithCells="1" sizeWithCells="1">
                  <from>
                    <xdr:col>0</xdr:col>
                    <xdr:colOff>85725</xdr:colOff>
                    <xdr:row>3</xdr:row>
                    <xdr:rowOff>9525</xdr:rowOff>
                  </from>
                  <to>
                    <xdr:col>5</xdr:col>
                    <xdr:colOff>542925</xdr:colOff>
                    <xdr:row>7</xdr:row>
                    <xdr:rowOff>9525</xdr:rowOff>
                  </to>
                </anchor>
              </controlPr>
            </control>
          </mc:Choice>
        </mc:AlternateContent>
        <mc:AlternateContent xmlns:mc="http://schemas.openxmlformats.org/markup-compatibility/2006">
          <mc:Choice Requires="x14">
            <control shapeId="36871" r:id="rId6" name="Button 7">
              <controlPr defaultSize="0" print="0" autoFill="0" autoPict="0" macro="[0]!Start_UserInfo">
                <anchor moveWithCells="1" sizeWithCells="1">
                  <from>
                    <xdr:col>9</xdr:col>
                    <xdr:colOff>85725</xdr:colOff>
                    <xdr:row>2</xdr:row>
                    <xdr:rowOff>114300</xdr:rowOff>
                  </from>
                  <to>
                    <xdr:col>9</xdr:col>
                    <xdr:colOff>1333500</xdr:colOff>
                    <xdr:row>6</xdr:row>
                    <xdr:rowOff>114300</xdr:rowOff>
                  </to>
                </anchor>
              </controlPr>
            </control>
          </mc:Choice>
        </mc:AlternateContent>
        <mc:AlternateContent xmlns:mc="http://schemas.openxmlformats.org/markup-compatibility/2006">
          <mc:Choice Requires="x14">
            <control shapeId="36872" r:id="rId7" name="Button 8">
              <controlPr defaultSize="0" print="0" autoFill="0" autoPict="0" macro="[0]!sendmail_sample">
                <anchor moveWithCells="1">
                  <from>
                    <xdr:col>9</xdr:col>
                    <xdr:colOff>95250</xdr:colOff>
                    <xdr:row>13</xdr:row>
                    <xdr:rowOff>0</xdr:rowOff>
                  </from>
                  <to>
                    <xdr:col>9</xdr:col>
                    <xdr:colOff>1333500</xdr:colOff>
                    <xdr:row>15</xdr:row>
                    <xdr:rowOff>171450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D80E9C-495F-46EB-ACD0-DBDF20D9CAF3}">
  <sheetPr codeName="Sheet14"/>
  <dimension ref="F1:V134"/>
  <sheetViews>
    <sheetView zoomScale="85" zoomScaleNormal="85" workbookViewId="0">
      <selection activeCell="G32" sqref="G32"/>
    </sheetView>
  </sheetViews>
  <sheetFormatPr defaultColWidth="9" defaultRowHeight="13.5" outlineLevelCol="1" x14ac:dyDescent="0.15"/>
  <cols>
    <col min="1" max="5" width="2.125" customWidth="1"/>
    <col min="6" max="6" width="26.125" customWidth="1"/>
    <col min="7" max="7" width="72.125" customWidth="1"/>
    <col min="8" max="8" width="9" hidden="1" customWidth="1" outlineLevel="1"/>
    <col min="9" max="9" width="118.25" hidden="1" customWidth="1" outlineLevel="1"/>
    <col min="10" max="10" width="24.125" customWidth="1" collapsed="1"/>
    <col min="11" max="11" width="11" style="3" customWidth="1"/>
    <col min="12" max="12" width="7.5" style="3" customWidth="1"/>
    <col min="13" max="13" width="10.5" style="3" customWidth="1"/>
    <col min="14" max="14" width="7" style="3" customWidth="1"/>
    <col min="15" max="15" width="8" style="3" customWidth="1"/>
    <col min="16" max="16" width="13.625" style="3" customWidth="1"/>
    <col min="17" max="17" width="25.75" style="3" customWidth="1"/>
    <col min="18" max="18" width="22.5" style="3" customWidth="1"/>
    <col min="19" max="20" width="13.625" style="3" customWidth="1"/>
    <col min="21" max="21" width="8.625" style="3" customWidth="1"/>
    <col min="22" max="22" width="9.375" customWidth="1"/>
  </cols>
  <sheetData>
    <row r="1" spans="6:22" x14ac:dyDescent="0.15">
      <c r="F1" s="15" t="s">
        <v>270</v>
      </c>
      <c r="K1"/>
      <c r="L1"/>
      <c r="M1"/>
      <c r="N1"/>
      <c r="O1"/>
      <c r="P1"/>
      <c r="Q1"/>
      <c r="R1"/>
      <c r="S1"/>
      <c r="T1"/>
      <c r="U1"/>
    </row>
    <row r="2" spans="6:22" x14ac:dyDescent="0.15">
      <c r="G2" s="6" t="s">
        <v>0</v>
      </c>
      <c r="H2" s="23"/>
      <c r="I2" s="25" t="s">
        <v>190</v>
      </c>
      <c r="K2" s="19" t="s">
        <v>185</v>
      </c>
      <c r="L2" s="20" t="s">
        <v>76</v>
      </c>
      <c r="M2" s="19" t="s">
        <v>203</v>
      </c>
      <c r="N2" s="19" t="s">
        <v>175</v>
      </c>
      <c r="O2" s="19" t="s">
        <v>176</v>
      </c>
      <c r="P2" s="19" t="s">
        <v>177</v>
      </c>
      <c r="Q2" s="19" t="s">
        <v>178</v>
      </c>
      <c r="R2" s="20" t="s">
        <v>179</v>
      </c>
      <c r="S2" s="20" t="s">
        <v>180</v>
      </c>
      <c r="T2" s="20" t="s">
        <v>181</v>
      </c>
      <c r="U2" s="20" t="s">
        <v>182</v>
      </c>
      <c r="V2" s="20" t="s">
        <v>186</v>
      </c>
    </row>
    <row r="3" spans="6:22" x14ac:dyDescent="0.15">
      <c r="G3" s="16" t="s">
        <v>5051</v>
      </c>
      <c r="H3" s="23" t="s">
        <v>56</v>
      </c>
      <c r="I3" s="26" t="s">
        <v>7497</v>
      </c>
      <c r="J3" t="s">
        <v>56</v>
      </c>
      <c r="K3" s="21"/>
      <c r="L3" s="22"/>
      <c r="M3" s="21"/>
      <c r="N3" s="21"/>
      <c r="O3" s="21"/>
      <c r="P3" s="21"/>
      <c r="Q3" s="21"/>
      <c r="R3" s="22"/>
      <c r="S3" s="22"/>
      <c r="T3" s="22"/>
      <c r="U3" s="22"/>
      <c r="V3" s="22"/>
    </row>
    <row r="4" spans="6:22" x14ac:dyDescent="0.15">
      <c r="G4" s="6" t="s">
        <v>34</v>
      </c>
      <c r="H4" s="23"/>
      <c r="I4" s="25" t="s">
        <v>191</v>
      </c>
      <c r="K4" s="21"/>
      <c r="L4" s="22"/>
      <c r="M4" s="21"/>
      <c r="N4" s="21"/>
      <c r="O4" s="21"/>
      <c r="P4" s="21"/>
      <c r="Q4" s="21"/>
      <c r="R4" s="22"/>
      <c r="S4" s="22"/>
      <c r="T4" s="22"/>
      <c r="U4" s="22"/>
      <c r="V4" s="22"/>
    </row>
    <row r="5" spans="6:22" x14ac:dyDescent="0.15">
      <c r="G5" s="10" t="str">
        <f>IF(メインページ!G6 = "", メインページ!C6, メインページ!G6)</f>
        <v>C:\ハードウェア点検依頼\点検依頼</v>
      </c>
      <c r="H5" s="23"/>
      <c r="I5" s="26" t="s">
        <v>7496</v>
      </c>
      <c r="J5" t="s">
        <v>56</v>
      </c>
      <c r="K5" s="21"/>
      <c r="L5" s="22"/>
      <c r="M5" s="21"/>
      <c r="N5" s="21"/>
      <c r="O5" s="21"/>
      <c r="P5" s="21"/>
      <c r="Q5" s="21"/>
      <c r="R5" s="22"/>
      <c r="S5" s="22"/>
      <c r="T5" s="22"/>
      <c r="U5" s="22"/>
      <c r="V5" s="22"/>
    </row>
    <row r="6" spans="6:22" x14ac:dyDescent="0.15">
      <c r="G6" s="2" t="s">
        <v>35</v>
      </c>
      <c r="H6" s="23"/>
      <c r="I6" s="25" t="s">
        <v>192</v>
      </c>
      <c r="K6" s="21"/>
      <c r="L6" s="22"/>
      <c r="M6" s="21"/>
      <c r="N6" s="21"/>
      <c r="O6" s="21"/>
      <c r="P6" s="21"/>
      <c r="Q6" s="21"/>
      <c r="R6" s="22"/>
      <c r="S6" s="22"/>
      <c r="T6" s="22"/>
      <c r="U6" s="22"/>
      <c r="V6" s="22"/>
    </row>
    <row r="7" spans="6:22" x14ac:dyDescent="0.15">
      <c r="G7" s="1" t="str">
        <f>SUBSTITUTE(G18,"/","") &amp; "_保守作業依頼書「 " &amp; G10 &amp; " 」 _サトー.xlsx"</f>
        <v>19000100_保守作業依頼書「 0 」 _サトー.xlsx</v>
      </c>
      <c r="H7" s="23"/>
      <c r="I7" s="1" t="str">
        <f ca="1">"日程調整依頼("&amp;TEXT(INDIRECT("G18"),"YYYY/MM/DD")&amp;" "&amp;TEXT(INDIRECT("G20"),"hh:mm")&amp;"-"&amp;TEXT(INDIRECT("G21"),"hh:mm")&amp;") "&amp;G10&amp;" _サトー"</f>
        <v>日程調整依頼(1900/01/00 00:00-00:00) 0 _サトー</v>
      </c>
      <c r="J7" t="s">
        <v>56</v>
      </c>
      <c r="K7" s="21"/>
      <c r="L7" s="22"/>
      <c r="M7" s="21"/>
      <c r="N7" s="21"/>
      <c r="O7" s="21"/>
      <c r="P7" s="21"/>
      <c r="Q7" s="21"/>
      <c r="R7" s="22"/>
      <c r="S7" s="22"/>
      <c r="T7" s="22"/>
      <c r="U7" s="22"/>
      <c r="V7" s="22"/>
    </row>
    <row r="8" spans="6:22" x14ac:dyDescent="0.15">
      <c r="H8" s="23"/>
      <c r="I8" s="1"/>
      <c r="K8" s="21"/>
      <c r="L8" s="22"/>
      <c r="M8" s="21"/>
      <c r="N8" s="21"/>
      <c r="O8" s="21"/>
      <c r="P8" s="21"/>
      <c r="Q8" s="21"/>
      <c r="R8" s="22"/>
      <c r="S8" s="22"/>
      <c r="T8" s="22"/>
      <c r="U8" s="22"/>
      <c r="V8" s="22"/>
    </row>
    <row r="9" spans="6:22" x14ac:dyDescent="0.15">
      <c r="F9" s="1"/>
      <c r="G9" s="7" t="s">
        <v>36</v>
      </c>
      <c r="H9" s="23"/>
      <c r="I9" s="25" t="s">
        <v>193</v>
      </c>
      <c r="K9" s="21"/>
      <c r="L9" s="22"/>
      <c r="M9" s="21"/>
      <c r="N9" s="21"/>
      <c r="O9" s="21"/>
      <c r="P9" s="21"/>
      <c r="Q9" s="21"/>
      <c r="R9" s="22"/>
      <c r="S9" s="22"/>
      <c r="T9" s="22"/>
      <c r="U9" s="22"/>
      <c r="V9" s="22"/>
    </row>
    <row r="10" spans="6:22" ht="13.5" customHeight="1" x14ac:dyDescent="0.15">
      <c r="F10" s="2" t="s">
        <v>38</v>
      </c>
      <c r="G10" s="35">
        <f>_xlfn.XLOOKUP("出荷先名 +工場名",貼付エリア!$D$6:$D$29,貼付エリア!$E$6:$E$29,"",0)</f>
        <v>0</v>
      </c>
      <c r="I10" s="24" t="s">
        <v>271</v>
      </c>
      <c r="K10" s="21"/>
      <c r="L10" s="22"/>
      <c r="M10" s="21"/>
      <c r="N10" s="21"/>
      <c r="O10" s="21"/>
      <c r="P10" s="21"/>
      <c r="Q10" s="21"/>
      <c r="R10" s="22"/>
      <c r="S10" s="22"/>
      <c r="T10" s="22"/>
      <c r="U10" s="22"/>
      <c r="V10" s="22"/>
    </row>
    <row r="11" spans="6:22" ht="14.25" x14ac:dyDescent="0.15">
      <c r="F11" s="1"/>
      <c r="G11" s="35"/>
      <c r="I11" s="25" t="s">
        <v>197</v>
      </c>
      <c r="K11" s="21"/>
      <c r="L11" s="22"/>
      <c r="M11" s="21"/>
      <c r="N11" s="21"/>
      <c r="O11" s="21"/>
      <c r="P11" s="21"/>
      <c r="Q11" s="21"/>
      <c r="R11" s="22"/>
      <c r="S11" s="22"/>
      <c r="T11" s="22"/>
      <c r="U11" s="22"/>
      <c r="V11" s="22"/>
    </row>
    <row r="12" spans="6:22" ht="14.25" x14ac:dyDescent="0.15">
      <c r="F12" s="2" t="s">
        <v>298</v>
      </c>
      <c r="G12" s="35">
        <f>_xlfn.XLOOKUP("住所",貼付エリア!$D$6:$D$29,貼付エリア!$E$6:$E$29,"",0)</f>
        <v>0</v>
      </c>
      <c r="I12" s="1" t="str">
        <f>G5 &amp; "\" &amp; G7</f>
        <v>C:\ハードウェア点検依頼\点検依頼\19000100_保守作業依頼書「 0 」 _サトー.xlsx</v>
      </c>
      <c r="J12" t="s">
        <v>56</v>
      </c>
      <c r="K12" s="21"/>
      <c r="L12" s="22"/>
      <c r="M12" s="21"/>
      <c r="N12" s="21"/>
      <c r="O12" s="21"/>
      <c r="P12" s="21"/>
      <c r="Q12" s="21"/>
      <c r="R12" s="22"/>
      <c r="S12" s="22"/>
      <c r="T12" s="22"/>
      <c r="U12" s="22"/>
      <c r="V12" s="22"/>
    </row>
    <row r="13" spans="6:22" ht="14.25" x14ac:dyDescent="0.15">
      <c r="F13" s="1"/>
      <c r="G13" s="35"/>
      <c r="K13" s="21"/>
      <c r="L13" s="22"/>
      <c r="M13" s="21"/>
      <c r="N13" s="21"/>
      <c r="O13" s="21"/>
      <c r="P13" s="21"/>
      <c r="Q13" s="21"/>
      <c r="R13" s="22"/>
      <c r="S13" s="22"/>
      <c r="T13" s="22"/>
      <c r="U13" s="22"/>
      <c r="V13" s="22"/>
    </row>
    <row r="14" spans="6:22" ht="14.25" x14ac:dyDescent="0.15">
      <c r="F14" s="2" t="s">
        <v>39</v>
      </c>
      <c r="G14" s="35">
        <f>_xlfn.XLOOKUP("取引先契約番号  ",貼付エリア!$D$6:$D$29,貼付エリア!$E$6:$E$29,"",0)</f>
        <v>0</v>
      </c>
      <c r="K14" s="21"/>
      <c r="L14" s="22"/>
      <c r="M14" s="21"/>
      <c r="N14" s="21"/>
      <c r="O14" s="21"/>
      <c r="P14" s="21"/>
      <c r="Q14" s="21"/>
      <c r="R14" s="22"/>
      <c r="S14" s="22"/>
      <c r="T14" s="22"/>
      <c r="U14" s="22"/>
      <c r="V14" s="22"/>
    </row>
    <row r="15" spans="6:22" ht="14.25" x14ac:dyDescent="0.15">
      <c r="F15" s="1"/>
      <c r="G15" s="35"/>
      <c r="I15" t="s">
        <v>279</v>
      </c>
      <c r="K15" s="21"/>
      <c r="L15" s="22"/>
      <c r="M15" s="21"/>
      <c r="N15" s="21"/>
      <c r="O15" s="21"/>
      <c r="P15" s="21"/>
      <c r="Q15" s="21"/>
      <c r="R15" s="22"/>
      <c r="S15" s="22"/>
      <c r="T15" s="22"/>
      <c r="U15" s="22"/>
      <c r="V15" s="22"/>
    </row>
    <row r="16" spans="6:22" ht="14.25" x14ac:dyDescent="0.15">
      <c r="F16" s="2" t="s">
        <v>1</v>
      </c>
      <c r="G16" s="35">
        <f>_xlfn.XLOOKUP("サポートID  ",貼付エリア!$D$6:$D$29,貼付エリア!$E$6:$E$29,"",0)</f>
        <v>0</v>
      </c>
      <c r="I16" t="s">
        <v>280</v>
      </c>
      <c r="K16" s="21"/>
      <c r="L16" s="22"/>
      <c r="M16" s="21"/>
      <c r="N16" s="21"/>
      <c r="O16" s="21"/>
      <c r="P16" s="21"/>
      <c r="Q16" s="21"/>
      <c r="R16" s="22"/>
      <c r="S16" s="22"/>
      <c r="T16" s="22"/>
      <c r="U16" s="22"/>
      <c r="V16" s="22"/>
    </row>
    <row r="17" spans="6:22" ht="14.25" x14ac:dyDescent="0.15">
      <c r="F17" s="1"/>
      <c r="G17" s="35"/>
      <c r="I17" t="s">
        <v>7499</v>
      </c>
      <c r="K17" s="21"/>
      <c r="L17" s="22"/>
      <c r="M17" s="21"/>
      <c r="N17" s="21"/>
      <c r="O17" s="21"/>
      <c r="P17" s="21"/>
      <c r="Q17" s="21"/>
      <c r="R17" s="22"/>
      <c r="S17" s="22"/>
      <c r="T17" s="22"/>
      <c r="U17" s="22"/>
      <c r="V17" s="22"/>
    </row>
    <row r="18" spans="6:22" ht="18.75" x14ac:dyDescent="0.15">
      <c r="F18" s="2" t="s">
        <v>40</v>
      </c>
      <c r="G18" s="40" t="str">
        <f>LEFT(TEXT(_xlfn.XLOOKUP("希望開始日時*",貼付エリア!$D$6:$D$29,貼付エリア!$E$6:$E$29,"---",2,1),"yyyy/mm/dd hh:mm"),10)</f>
        <v>1900/01/00</v>
      </c>
      <c r="J18" s="71" t="str" cm="1">
        <f t="array" ref="J18">IF(SUM(--ISNUMBER(SEARCH({"LR","PT","BF","M-","CL","CT","SG"}, G36)))&gt;0, "サトーで合ってる", "サトー違う")</f>
        <v>サトー違う</v>
      </c>
      <c r="K18" s="21"/>
      <c r="L18" s="22"/>
      <c r="M18" s="21"/>
      <c r="N18" s="21"/>
      <c r="O18" s="21"/>
      <c r="P18" s="21"/>
      <c r="Q18" s="21"/>
      <c r="R18" s="22"/>
      <c r="S18" s="22"/>
      <c r="T18" s="22"/>
      <c r="U18" s="22"/>
      <c r="V18" s="22"/>
    </row>
    <row r="19" spans="6:22" ht="14.25" x14ac:dyDescent="0.15">
      <c r="F19" s="1"/>
      <c r="G19" s="35"/>
      <c r="K19" s="21"/>
      <c r="L19" s="22"/>
      <c r="M19" s="21"/>
      <c r="N19" s="21"/>
      <c r="O19" s="21"/>
      <c r="P19" s="21"/>
      <c r="Q19" s="21"/>
      <c r="R19" s="22"/>
      <c r="S19" s="22"/>
      <c r="T19" s="22"/>
      <c r="U19" s="22"/>
      <c r="V19" s="22"/>
    </row>
    <row r="20" spans="6:22" x14ac:dyDescent="0.15">
      <c r="F20" s="2" t="s">
        <v>41</v>
      </c>
      <c r="G20" s="40" t="str" cm="1">
        <f t="array" ref="G20">RIGHT(TEXT(_xlfn.XLOOKUP("希望開始日時*",貼付エリア!$D$6:$D$29,貼付エリア!$E6:$E$29,"---",2,1),"yyyy/mm/dd hh:mm"),5)</f>
        <v>00:00</v>
      </c>
      <c r="K20" s="21"/>
      <c r="L20" s="22"/>
      <c r="M20" s="21"/>
      <c r="N20" s="21"/>
      <c r="O20" s="21"/>
      <c r="P20" s="21"/>
      <c r="Q20" s="21"/>
      <c r="R20" s="22"/>
      <c r="S20" s="22"/>
      <c r="T20" s="22"/>
      <c r="U20" s="22"/>
      <c r="V20" s="22"/>
    </row>
    <row r="21" spans="6:22" x14ac:dyDescent="0.15">
      <c r="F21" s="2" t="s">
        <v>42</v>
      </c>
      <c r="G21" s="40" t="str">
        <f>RIGHT(TEXT(_xlfn.XLOOKUP("希望終了日時*",貼付エリア!$D$6:$D$29,貼付エリア!$E$6:$E$29,"---",2,-1),"yyyy/mm/dd hh:mm"),5)</f>
        <v>00:00</v>
      </c>
      <c r="K21" s="21"/>
      <c r="L21" s="22"/>
      <c r="M21" s="21"/>
      <c r="N21" s="21"/>
      <c r="O21" s="21"/>
      <c r="P21" s="21"/>
      <c r="Q21" s="21"/>
      <c r="R21" s="22"/>
      <c r="S21" s="22"/>
      <c r="T21" s="22"/>
      <c r="U21" s="22"/>
      <c r="V21" s="22"/>
    </row>
    <row r="22" spans="6:22" ht="14.25" x14ac:dyDescent="0.15">
      <c r="F22" s="1"/>
      <c r="G22" s="35"/>
      <c r="K22" s="21"/>
      <c r="L22" s="22"/>
      <c r="M22" s="21"/>
      <c r="N22" s="21"/>
      <c r="O22" s="21"/>
      <c r="P22" s="21"/>
      <c r="Q22" s="21"/>
      <c r="R22" s="22"/>
      <c r="S22" s="22"/>
      <c r="T22" s="22"/>
      <c r="U22" s="22"/>
      <c r="V22" s="22"/>
    </row>
    <row r="23" spans="6:22" ht="14.25" x14ac:dyDescent="0.15">
      <c r="F23" s="2" t="s">
        <v>305</v>
      </c>
      <c r="G23" s="35">
        <f>_xlfn.XLOOKUP("店舗同行者／連絡先  ",貼付エリア!$D$6:$D$29,貼付エリア!$E$6:$E$29,"",0)</f>
        <v>0</v>
      </c>
      <c r="K23"/>
      <c r="L23"/>
      <c r="M23"/>
      <c r="N23"/>
      <c r="O23"/>
      <c r="P23"/>
      <c r="Q23"/>
      <c r="R23"/>
      <c r="S23"/>
      <c r="T23"/>
      <c r="U23"/>
    </row>
    <row r="24" spans="6:22" ht="14.25" x14ac:dyDescent="0.15">
      <c r="F24" s="2" t="s">
        <v>44</v>
      </c>
      <c r="G24" s="35"/>
      <c r="K24"/>
      <c r="L24"/>
      <c r="M24"/>
      <c r="N24"/>
      <c r="O24"/>
      <c r="P24"/>
      <c r="Q24"/>
      <c r="R24"/>
      <c r="S24"/>
      <c r="T24"/>
      <c r="U24"/>
    </row>
    <row r="25" spans="6:22" ht="14.25" x14ac:dyDescent="0.15">
      <c r="F25" s="1"/>
      <c r="G25" s="35"/>
      <c r="K25"/>
      <c r="L25"/>
      <c r="M25"/>
      <c r="N25"/>
      <c r="O25"/>
      <c r="P25"/>
      <c r="Q25"/>
      <c r="R25"/>
      <c r="S25"/>
      <c r="T25"/>
      <c r="U25"/>
    </row>
    <row r="26" spans="6:22" ht="14.25" x14ac:dyDescent="0.15">
      <c r="F26" s="6" t="s">
        <v>55</v>
      </c>
      <c r="G26" s="35"/>
      <c r="K26"/>
      <c r="L26"/>
      <c r="M26"/>
      <c r="N26"/>
      <c r="O26"/>
      <c r="P26"/>
      <c r="Q26"/>
      <c r="R26"/>
      <c r="S26"/>
      <c r="T26"/>
      <c r="U26"/>
    </row>
    <row r="27" spans="6:22" ht="14.25" x14ac:dyDescent="0.15">
      <c r="F27" s="1"/>
      <c r="G27" s="35"/>
      <c r="K27"/>
      <c r="L27"/>
      <c r="M27"/>
      <c r="N27"/>
      <c r="O27"/>
      <c r="P27"/>
      <c r="Q27"/>
      <c r="R27"/>
      <c r="S27"/>
      <c r="T27"/>
      <c r="U27"/>
    </row>
    <row r="28" spans="6:22" x14ac:dyDescent="0.15">
      <c r="F28" s="2" t="s">
        <v>45</v>
      </c>
      <c r="G28" s="40" t="str">
        <f>SUBSTITUTE(CONCATENATE(IF(G29=0,"",G29),IF(G30=0,"","　" &amp; G30),IF(G31=0,"","　" &amp; G31))," ","")</f>
        <v/>
      </c>
      <c r="K28"/>
      <c r="L28"/>
      <c r="M28"/>
      <c r="N28"/>
      <c r="O28"/>
      <c r="P28"/>
      <c r="Q28"/>
      <c r="R28"/>
      <c r="S28"/>
      <c r="T28"/>
      <c r="U28"/>
    </row>
    <row r="29" spans="6:22" x14ac:dyDescent="0.15">
      <c r="F29" s="2" t="s">
        <v>299</v>
      </c>
      <c r="G29">
        <f>_xlfn.XLOOKUP("連絡事項１",貼付エリア!$D$6:$D$29,貼付エリア!$E$6:$E$29,"",0)</f>
        <v>0</v>
      </c>
      <c r="K29"/>
      <c r="L29"/>
      <c r="M29"/>
      <c r="N29"/>
      <c r="O29"/>
      <c r="P29"/>
      <c r="Q29"/>
      <c r="R29"/>
      <c r="S29"/>
      <c r="T29"/>
      <c r="U29"/>
    </row>
    <row r="30" spans="6:22" x14ac:dyDescent="0.15">
      <c r="F30" s="2" t="s">
        <v>300</v>
      </c>
      <c r="G30" s="3">
        <f>_xlfn.XLOOKUP("連絡事項２",貼付エリア!$D$6:$D$29,貼付エリア!$E$6:$E$29,"",0)</f>
        <v>0</v>
      </c>
      <c r="K30"/>
      <c r="L30"/>
      <c r="M30"/>
      <c r="N30"/>
      <c r="O30"/>
      <c r="P30"/>
      <c r="Q30"/>
      <c r="R30"/>
      <c r="S30"/>
      <c r="T30"/>
      <c r="U30"/>
    </row>
    <row r="31" spans="6:22" x14ac:dyDescent="0.15">
      <c r="F31" s="2" t="s">
        <v>304</v>
      </c>
      <c r="G31">
        <f>_xlfn.XLOOKUP("連絡事項３",貼付エリア!$D$6:$D$29,貼付エリア!$E$6:$E$29,"",0)</f>
        <v>0</v>
      </c>
      <c r="K31"/>
      <c r="L31"/>
      <c r="M31"/>
      <c r="N31"/>
      <c r="O31"/>
      <c r="P31"/>
      <c r="Q31"/>
      <c r="R31"/>
      <c r="S31"/>
      <c r="T31"/>
      <c r="U31"/>
    </row>
    <row r="32" spans="6:22" ht="14.25" x14ac:dyDescent="0.15">
      <c r="F32" s="1"/>
      <c r="G32" s="35" t="s">
        <v>5024</v>
      </c>
      <c r="K32"/>
      <c r="L32"/>
      <c r="M32"/>
      <c r="N32"/>
      <c r="O32"/>
      <c r="P32"/>
      <c r="Q32"/>
      <c r="R32"/>
      <c r="S32"/>
      <c r="T32"/>
      <c r="U32"/>
    </row>
    <row r="33" spans="6:22" x14ac:dyDescent="0.15">
      <c r="F33" s="1"/>
      <c r="K33"/>
      <c r="L33"/>
      <c r="M33"/>
      <c r="N33"/>
      <c r="O33"/>
      <c r="P33"/>
      <c r="Q33"/>
      <c r="R33"/>
      <c r="S33"/>
      <c r="T33"/>
      <c r="U33"/>
    </row>
    <row r="34" spans="6:22" ht="14.25" x14ac:dyDescent="0.15">
      <c r="F34" s="2" t="s">
        <v>4944</v>
      </c>
      <c r="G34" s="35" t="str" cm="1">
        <f t="array" ref="G34">IF(貼付エリア!E10="サトー",IFERROR(_xlfn.TEXTSPLIT(貼付エリア!E32,," / ",),""),"")</f>
        <v/>
      </c>
      <c r="V34" t="s">
        <v>56</v>
      </c>
    </row>
    <row r="35" spans="6:22" ht="14.25" x14ac:dyDescent="0.15">
      <c r="F35" s="2" t="s">
        <v>4945</v>
      </c>
      <c r="G35" s="35"/>
      <c r="V35" t="s">
        <v>56</v>
      </c>
    </row>
    <row r="36" spans="6:22" ht="14.25" x14ac:dyDescent="0.15">
      <c r="F36" s="2" t="s">
        <v>4946</v>
      </c>
      <c r="G36" s="35"/>
      <c r="V36" t="s">
        <v>56</v>
      </c>
    </row>
    <row r="37" spans="6:22" ht="14.25" x14ac:dyDescent="0.15">
      <c r="F37" s="2" t="s">
        <v>4947</v>
      </c>
      <c r="G37" s="35"/>
      <c r="V37" t="s">
        <v>56</v>
      </c>
    </row>
    <row r="38" spans="6:22" ht="14.25" x14ac:dyDescent="0.15">
      <c r="F38" s="1"/>
      <c r="G38" s="35"/>
      <c r="V38" t="s">
        <v>56</v>
      </c>
    </row>
    <row r="39" spans="6:22" ht="14.25" x14ac:dyDescent="0.15">
      <c r="F39" s="2" t="s">
        <v>4948</v>
      </c>
      <c r="G39" s="35" t="str" cm="1">
        <f t="array" ref="G39">IF(貼付エリア!E10="サトー",IFERROR(_xlfn.TEXTSPLIT(貼付エリア!E33,," / ",),""),"")</f>
        <v/>
      </c>
      <c r="V39" t="s">
        <v>56</v>
      </c>
    </row>
    <row r="40" spans="6:22" ht="14.25" x14ac:dyDescent="0.15">
      <c r="F40" s="2" t="s">
        <v>4949</v>
      </c>
      <c r="G40" s="35"/>
      <c r="V40" t="s">
        <v>56</v>
      </c>
    </row>
    <row r="41" spans="6:22" ht="14.25" x14ac:dyDescent="0.15">
      <c r="F41" s="2" t="s">
        <v>4950</v>
      </c>
      <c r="G41" s="35"/>
      <c r="V41" t="s">
        <v>56</v>
      </c>
    </row>
    <row r="42" spans="6:22" ht="14.25" x14ac:dyDescent="0.15">
      <c r="F42" s="2" t="s">
        <v>4951</v>
      </c>
      <c r="G42" s="35"/>
      <c r="V42" t="s">
        <v>56</v>
      </c>
    </row>
    <row r="43" spans="6:22" ht="14.25" x14ac:dyDescent="0.15">
      <c r="F43" s="1"/>
      <c r="G43" s="35"/>
      <c r="V43" t="s">
        <v>56</v>
      </c>
    </row>
    <row r="44" spans="6:22" ht="14.25" x14ac:dyDescent="0.15">
      <c r="F44" s="2" t="s">
        <v>4952</v>
      </c>
      <c r="G44" s="35" t="str" cm="1">
        <f t="array" ref="G44">IF(貼付エリア!E10="サトー",IFERROR(_xlfn.TEXTSPLIT(貼付エリア!E34,," / ",),""),"")</f>
        <v/>
      </c>
      <c r="V44" t="s">
        <v>56</v>
      </c>
    </row>
    <row r="45" spans="6:22" ht="14.25" x14ac:dyDescent="0.15">
      <c r="F45" s="2" t="s">
        <v>4953</v>
      </c>
      <c r="G45" s="35"/>
      <c r="M45" s="4"/>
      <c r="V45" t="s">
        <v>56</v>
      </c>
    </row>
    <row r="46" spans="6:22" ht="14.25" x14ac:dyDescent="0.15">
      <c r="F46" s="2" t="s">
        <v>4954</v>
      </c>
      <c r="G46" s="35"/>
      <c r="V46" t="s">
        <v>56</v>
      </c>
    </row>
    <row r="47" spans="6:22" ht="14.25" x14ac:dyDescent="0.15">
      <c r="F47" s="2" t="s">
        <v>4955</v>
      </c>
      <c r="G47" s="35"/>
      <c r="M47" s="5"/>
      <c r="V47" t="s">
        <v>56</v>
      </c>
    </row>
    <row r="48" spans="6:22" ht="14.25" x14ac:dyDescent="0.15">
      <c r="F48" s="1"/>
      <c r="G48" s="35"/>
      <c r="M48" s="5"/>
      <c r="V48" t="s">
        <v>56</v>
      </c>
    </row>
    <row r="49" spans="6:22" ht="14.25" x14ac:dyDescent="0.15">
      <c r="F49" s="2" t="s">
        <v>5023</v>
      </c>
      <c r="G49" s="35" t="str" cm="1">
        <f t="array" ref="G49">IF(貼付エリア!E10="サトー",IFERROR(_xlfn.TEXTSPLIT(貼付エリア!E35,," / ",),""),"")</f>
        <v/>
      </c>
      <c r="V49" t="s">
        <v>56</v>
      </c>
    </row>
    <row r="50" spans="6:22" ht="14.25" x14ac:dyDescent="0.15">
      <c r="F50" s="2" t="s">
        <v>4956</v>
      </c>
      <c r="G50" s="35"/>
      <c r="V50" t="s">
        <v>56</v>
      </c>
    </row>
    <row r="51" spans="6:22" ht="14.25" x14ac:dyDescent="0.15">
      <c r="F51" s="2" t="s">
        <v>4957</v>
      </c>
      <c r="G51" s="35"/>
    </row>
    <row r="52" spans="6:22" ht="14.25" x14ac:dyDescent="0.15">
      <c r="F52" s="2" t="s">
        <v>4958</v>
      </c>
      <c r="G52" s="35"/>
    </row>
    <row r="53" spans="6:22" ht="14.25" x14ac:dyDescent="0.15">
      <c r="F53" s="1"/>
      <c r="G53" s="35"/>
    </row>
    <row r="54" spans="6:22" ht="14.25" x14ac:dyDescent="0.15">
      <c r="F54" s="2" t="s">
        <v>4959</v>
      </c>
      <c r="G54" s="35" t="str" cm="1">
        <f t="array" ref="G54">IF(貼付エリア!E10="サトー",IFERROR(_xlfn.TEXTSPLIT(貼付エリア!E36,," / ",),""),"")</f>
        <v/>
      </c>
    </row>
    <row r="55" spans="6:22" ht="14.25" x14ac:dyDescent="0.15">
      <c r="F55" s="2" t="s">
        <v>4960</v>
      </c>
      <c r="G55" s="35"/>
    </row>
    <row r="56" spans="6:22" ht="14.25" x14ac:dyDescent="0.15">
      <c r="F56" s="2" t="s">
        <v>4961</v>
      </c>
      <c r="G56" s="35"/>
    </row>
    <row r="57" spans="6:22" ht="14.25" x14ac:dyDescent="0.15">
      <c r="F57" s="2" t="s">
        <v>4962</v>
      </c>
      <c r="G57" s="35"/>
    </row>
    <row r="58" spans="6:22" ht="14.25" x14ac:dyDescent="0.15">
      <c r="F58" s="1"/>
      <c r="G58" s="35"/>
    </row>
    <row r="59" spans="6:22" ht="14.25" x14ac:dyDescent="0.15">
      <c r="F59" s="2" t="s">
        <v>4963</v>
      </c>
      <c r="G59" s="35" t="str" cm="1">
        <f t="array" ref="G59">IF(貼付エリア!E10="サトー",IFERROR(_xlfn.TEXTSPLIT(貼付エリア!E37,," / ",),""),"")</f>
        <v/>
      </c>
    </row>
    <row r="60" spans="6:22" ht="14.25" x14ac:dyDescent="0.15">
      <c r="F60" s="2" t="s">
        <v>4964</v>
      </c>
      <c r="G60" s="35"/>
    </row>
    <row r="61" spans="6:22" ht="14.25" x14ac:dyDescent="0.15">
      <c r="F61" s="2" t="s">
        <v>4965</v>
      </c>
      <c r="G61" s="35"/>
    </row>
    <row r="62" spans="6:22" ht="14.25" x14ac:dyDescent="0.15">
      <c r="F62" s="2" t="s">
        <v>4966</v>
      </c>
      <c r="G62" s="35"/>
    </row>
    <row r="63" spans="6:22" ht="14.25" x14ac:dyDescent="0.15">
      <c r="F63" s="1"/>
      <c r="G63" s="35"/>
    </row>
    <row r="64" spans="6:22" ht="14.25" x14ac:dyDescent="0.15">
      <c r="F64" s="2" t="s">
        <v>4967</v>
      </c>
      <c r="G64" s="35" t="str" cm="1">
        <f t="array" ref="G64">IF(貼付エリア!E10="サトー",IFERROR(_xlfn.TEXTSPLIT(貼付エリア!E38,," / ",),""),"")</f>
        <v/>
      </c>
    </row>
    <row r="65" spans="6:10" ht="14.25" x14ac:dyDescent="0.15">
      <c r="F65" s="2" t="s">
        <v>4968</v>
      </c>
      <c r="G65" s="35"/>
    </row>
    <row r="66" spans="6:10" ht="14.25" x14ac:dyDescent="0.15">
      <c r="F66" s="2" t="s">
        <v>4969</v>
      </c>
      <c r="G66" s="35"/>
    </row>
    <row r="67" spans="6:10" ht="14.25" x14ac:dyDescent="0.15">
      <c r="F67" s="2" t="s">
        <v>4970</v>
      </c>
      <c r="G67" s="35"/>
    </row>
    <row r="68" spans="6:10" ht="14.25" x14ac:dyDescent="0.15">
      <c r="F68" s="1"/>
      <c r="G68" s="35"/>
    </row>
    <row r="69" spans="6:10" ht="14.25" x14ac:dyDescent="0.15">
      <c r="F69" s="2" t="s">
        <v>4971</v>
      </c>
      <c r="G69" s="35" t="str" cm="1">
        <f t="array" ref="G69">IF(貼付エリア!E10="サトー",IFERROR(_xlfn.TEXTSPLIT(貼付エリア!E39,," / ",),""),"")</f>
        <v/>
      </c>
      <c r="J69" s="42"/>
    </row>
    <row r="70" spans="6:10" ht="14.25" x14ac:dyDescent="0.15">
      <c r="F70" s="2" t="s">
        <v>4972</v>
      </c>
      <c r="G70" s="35"/>
    </row>
    <row r="71" spans="6:10" ht="14.25" x14ac:dyDescent="0.15">
      <c r="F71" s="2" t="s">
        <v>4973</v>
      </c>
      <c r="G71" s="35"/>
    </row>
    <row r="72" spans="6:10" ht="14.25" x14ac:dyDescent="0.15">
      <c r="F72" s="2" t="s">
        <v>4974</v>
      </c>
      <c r="G72" s="35"/>
    </row>
    <row r="73" spans="6:10" ht="14.25" x14ac:dyDescent="0.15">
      <c r="F73" s="1"/>
      <c r="G73" s="35"/>
    </row>
    <row r="74" spans="6:10" ht="14.25" x14ac:dyDescent="0.15">
      <c r="F74" s="2" t="s">
        <v>4975</v>
      </c>
      <c r="G74" s="35" t="str" cm="1">
        <f t="array" ref="G74">IF(貼付エリア!E10="サトー",IFERROR(_xlfn.TEXTSPLIT(貼付エリア!E40,," / ",),""),"")</f>
        <v/>
      </c>
    </row>
    <row r="75" spans="6:10" ht="14.25" x14ac:dyDescent="0.15">
      <c r="F75" s="2" t="s">
        <v>4976</v>
      </c>
      <c r="G75" s="35"/>
    </row>
    <row r="76" spans="6:10" ht="14.25" x14ac:dyDescent="0.15">
      <c r="F76" s="2" t="s">
        <v>4977</v>
      </c>
      <c r="G76" s="35"/>
    </row>
    <row r="77" spans="6:10" ht="14.25" x14ac:dyDescent="0.15">
      <c r="F77" s="2" t="s">
        <v>4978</v>
      </c>
      <c r="G77" s="35"/>
    </row>
    <row r="78" spans="6:10" ht="14.25" x14ac:dyDescent="0.15">
      <c r="F78" s="1"/>
      <c r="G78" s="35"/>
    </row>
    <row r="79" spans="6:10" ht="14.25" x14ac:dyDescent="0.15">
      <c r="F79" s="2" t="s">
        <v>4979</v>
      </c>
      <c r="G79" s="35" t="str" cm="1">
        <f t="array" ref="G79">IF(貼付エリア!E10="サトー",IFERROR(_xlfn.TEXTSPLIT(貼付エリア!E41,," / ",),""),"")</f>
        <v/>
      </c>
    </row>
    <row r="80" spans="6:10" ht="14.25" x14ac:dyDescent="0.15">
      <c r="F80" s="2" t="s">
        <v>4980</v>
      </c>
      <c r="G80" s="35"/>
    </row>
    <row r="81" spans="6:7" ht="14.25" x14ac:dyDescent="0.15">
      <c r="F81" s="2" t="s">
        <v>4981</v>
      </c>
      <c r="G81" s="35"/>
    </row>
    <row r="82" spans="6:7" ht="14.25" x14ac:dyDescent="0.15">
      <c r="F82" s="2" t="s">
        <v>4982</v>
      </c>
      <c r="G82" s="35"/>
    </row>
    <row r="83" spans="6:7" x14ac:dyDescent="0.15">
      <c r="F83" s="1"/>
      <c r="G83" s="3"/>
    </row>
    <row r="84" spans="6:7" x14ac:dyDescent="0.15">
      <c r="F84" s="2" t="s">
        <v>4983</v>
      </c>
      <c r="G84" s="3" t="str" cm="1">
        <f t="array" ref="G84">IF(貼付エリア!E10="サトー",IFERROR(_xlfn.TEXTSPLIT(貼付エリア!E42,," / ",),""),"")</f>
        <v/>
      </c>
    </row>
    <row r="85" spans="6:7" x14ac:dyDescent="0.15">
      <c r="F85" s="2" t="s">
        <v>4984</v>
      </c>
      <c r="G85" s="3"/>
    </row>
    <row r="86" spans="6:7" x14ac:dyDescent="0.15">
      <c r="F86" s="2" t="s">
        <v>4985</v>
      </c>
      <c r="G86" s="3"/>
    </row>
    <row r="87" spans="6:7" x14ac:dyDescent="0.15">
      <c r="F87" s="2" t="s">
        <v>4986</v>
      </c>
      <c r="G87" s="3"/>
    </row>
    <row r="88" spans="6:7" x14ac:dyDescent="0.15">
      <c r="F88" s="1"/>
      <c r="G88" s="3"/>
    </row>
    <row r="89" spans="6:7" x14ac:dyDescent="0.15">
      <c r="F89" s="2" t="s">
        <v>4987</v>
      </c>
      <c r="G89" s="3" t="str" cm="1">
        <f t="array" ref="G89">IF(貼付エリア!E10="サトー",IFERROR(_xlfn.TEXTSPLIT(貼付エリア!E43,," / ",),""),"")</f>
        <v/>
      </c>
    </row>
    <row r="90" spans="6:7" x14ac:dyDescent="0.15">
      <c r="F90" s="2" t="s">
        <v>4988</v>
      </c>
      <c r="G90" s="3"/>
    </row>
    <row r="91" spans="6:7" x14ac:dyDescent="0.15">
      <c r="F91" s="2" t="s">
        <v>4989</v>
      </c>
      <c r="G91" s="3"/>
    </row>
    <row r="92" spans="6:7" x14ac:dyDescent="0.15">
      <c r="F92" s="2" t="s">
        <v>4990</v>
      </c>
      <c r="G92" s="3"/>
    </row>
    <row r="93" spans="6:7" x14ac:dyDescent="0.15">
      <c r="F93" s="1"/>
      <c r="G93" s="3"/>
    </row>
    <row r="94" spans="6:7" x14ac:dyDescent="0.15">
      <c r="F94" s="2" t="s">
        <v>4991</v>
      </c>
      <c r="G94" s="3" t="str" cm="1">
        <f t="array" ref="G94">IF(貼付エリア!E10="サトー",IFERROR(_xlfn.TEXTSPLIT(貼付エリア!E44,," / ",),""),"")</f>
        <v/>
      </c>
    </row>
    <row r="95" spans="6:7" x14ac:dyDescent="0.15">
      <c r="F95" s="2" t="s">
        <v>4992</v>
      </c>
      <c r="G95" s="3"/>
    </row>
    <row r="96" spans="6:7" x14ac:dyDescent="0.15">
      <c r="F96" s="2" t="s">
        <v>4993</v>
      </c>
      <c r="G96" s="3"/>
    </row>
    <row r="97" spans="6:7" x14ac:dyDescent="0.15">
      <c r="F97" s="2" t="s">
        <v>4994</v>
      </c>
      <c r="G97" s="3"/>
    </row>
    <row r="98" spans="6:7" x14ac:dyDescent="0.15">
      <c r="F98" s="1"/>
      <c r="G98" s="3"/>
    </row>
    <row r="99" spans="6:7" x14ac:dyDescent="0.15">
      <c r="F99" s="2" t="s">
        <v>4995</v>
      </c>
      <c r="G99" s="3" t="str" cm="1">
        <f t="array" ref="G99">IF(貼付エリア!E10="サトー",IFERROR(_xlfn.TEXTSPLIT(貼付エリア!E45,," / ",),""),"")</f>
        <v/>
      </c>
    </row>
    <row r="100" spans="6:7" x14ac:dyDescent="0.15">
      <c r="F100" s="2" t="s">
        <v>4996</v>
      </c>
      <c r="G100" s="3"/>
    </row>
    <row r="101" spans="6:7" x14ac:dyDescent="0.15">
      <c r="F101" s="2" t="s">
        <v>4997</v>
      </c>
      <c r="G101" s="3"/>
    </row>
    <row r="102" spans="6:7" x14ac:dyDescent="0.15">
      <c r="F102" s="2" t="s">
        <v>4998</v>
      </c>
      <c r="G102" s="3"/>
    </row>
    <row r="103" spans="6:7" x14ac:dyDescent="0.15">
      <c r="F103" s="1"/>
      <c r="G103" s="3"/>
    </row>
    <row r="104" spans="6:7" x14ac:dyDescent="0.15">
      <c r="F104" s="2" t="s">
        <v>4999</v>
      </c>
      <c r="G104" s="3" t="str" cm="1">
        <f t="array" ref="G104">IF(貼付エリア!E10="サトー",IFERROR(_xlfn.TEXTSPLIT(貼付エリア!E46,," / ",),""),"")</f>
        <v/>
      </c>
    </row>
    <row r="105" spans="6:7" x14ac:dyDescent="0.15">
      <c r="F105" s="2" t="s">
        <v>5000</v>
      </c>
      <c r="G105" s="3"/>
    </row>
    <row r="106" spans="6:7" x14ac:dyDescent="0.15">
      <c r="F106" s="2" t="s">
        <v>5001</v>
      </c>
      <c r="G106" s="3"/>
    </row>
    <row r="107" spans="6:7" x14ac:dyDescent="0.15">
      <c r="F107" s="2" t="s">
        <v>5002</v>
      </c>
      <c r="G107" s="3"/>
    </row>
    <row r="108" spans="6:7" x14ac:dyDescent="0.15">
      <c r="F108" s="1"/>
      <c r="G108" s="3"/>
    </row>
    <row r="109" spans="6:7" x14ac:dyDescent="0.15">
      <c r="F109" s="2" t="s">
        <v>5003</v>
      </c>
      <c r="G109" s="3" t="str" cm="1">
        <f t="array" ref="G109">IF(貼付エリア!E10="サトー",IFERROR(_xlfn.TEXTSPLIT(貼付エリア!E47,," / ",),""),"")</f>
        <v/>
      </c>
    </row>
    <row r="110" spans="6:7" x14ac:dyDescent="0.15">
      <c r="F110" s="2" t="s">
        <v>5004</v>
      </c>
      <c r="G110" s="3"/>
    </row>
    <row r="111" spans="6:7" x14ac:dyDescent="0.15">
      <c r="F111" s="2" t="s">
        <v>5005</v>
      </c>
      <c r="G111" s="3"/>
    </row>
    <row r="112" spans="6:7" x14ac:dyDescent="0.15">
      <c r="F112" s="2" t="s">
        <v>5006</v>
      </c>
      <c r="G112" s="3"/>
    </row>
    <row r="113" spans="6:7" x14ac:dyDescent="0.15">
      <c r="F113" s="1"/>
      <c r="G113" s="3"/>
    </row>
    <row r="114" spans="6:7" x14ac:dyDescent="0.15">
      <c r="F114" s="2" t="s">
        <v>5007</v>
      </c>
      <c r="G114" s="3" t="str" cm="1">
        <f t="array" ref="G114">IF(貼付エリア!E10="サトー",IFERROR(_xlfn.TEXTSPLIT(貼付エリア!E48,," / ",),""),"")</f>
        <v/>
      </c>
    </row>
    <row r="115" spans="6:7" x14ac:dyDescent="0.15">
      <c r="F115" s="2" t="s">
        <v>5008</v>
      </c>
      <c r="G115" s="3"/>
    </row>
    <row r="116" spans="6:7" x14ac:dyDescent="0.15">
      <c r="F116" s="2" t="s">
        <v>5009</v>
      </c>
      <c r="G116" s="3"/>
    </row>
    <row r="117" spans="6:7" x14ac:dyDescent="0.15">
      <c r="F117" s="2" t="s">
        <v>5010</v>
      </c>
      <c r="G117" s="3"/>
    </row>
    <row r="118" spans="6:7" x14ac:dyDescent="0.15">
      <c r="F118" s="1"/>
      <c r="G118" s="3"/>
    </row>
    <row r="119" spans="6:7" x14ac:dyDescent="0.15">
      <c r="F119" s="2" t="s">
        <v>5011</v>
      </c>
      <c r="G119" s="3" t="str" cm="1">
        <f t="array" ref="G119">IF(貼付エリア!E10="サトー",IFERROR(_xlfn.TEXTSPLIT(貼付エリア!E49,," / ",),""),"")</f>
        <v/>
      </c>
    </row>
    <row r="120" spans="6:7" x14ac:dyDescent="0.15">
      <c r="F120" s="2" t="s">
        <v>5012</v>
      </c>
      <c r="G120" s="3"/>
    </row>
    <row r="121" spans="6:7" x14ac:dyDescent="0.15">
      <c r="F121" s="2" t="s">
        <v>5013</v>
      </c>
      <c r="G121" s="3"/>
    </row>
    <row r="122" spans="6:7" x14ac:dyDescent="0.15">
      <c r="F122" s="2" t="s">
        <v>5014</v>
      </c>
      <c r="G122" s="3"/>
    </row>
    <row r="123" spans="6:7" x14ac:dyDescent="0.15">
      <c r="F123" s="1"/>
      <c r="G123" s="3"/>
    </row>
    <row r="124" spans="6:7" x14ac:dyDescent="0.15">
      <c r="F124" s="2" t="s">
        <v>5015</v>
      </c>
      <c r="G124" s="3" t="str" cm="1">
        <f t="array" ref="G124">IF(貼付エリア!E10="サトー",IFERROR(_xlfn.TEXTSPLIT(貼付エリア!E50,," / ",),""),"")</f>
        <v/>
      </c>
    </row>
    <row r="125" spans="6:7" x14ac:dyDescent="0.15">
      <c r="F125" s="2" t="s">
        <v>5016</v>
      </c>
      <c r="G125" s="3"/>
    </row>
    <row r="126" spans="6:7" x14ac:dyDescent="0.15">
      <c r="F126" s="2" t="s">
        <v>5017</v>
      </c>
      <c r="G126" s="3"/>
    </row>
    <row r="127" spans="6:7" x14ac:dyDescent="0.15">
      <c r="F127" s="2" t="s">
        <v>5018</v>
      </c>
      <c r="G127" s="3"/>
    </row>
    <row r="128" spans="6:7" x14ac:dyDescent="0.15">
      <c r="F128" s="1"/>
      <c r="G128" s="3"/>
    </row>
    <row r="129" spans="6:7" x14ac:dyDescent="0.15">
      <c r="F129" s="2" t="s">
        <v>5019</v>
      </c>
      <c r="G129" s="3" t="str" cm="1">
        <f t="array" ref="G129">IF(貼付エリア!E10="サトー",IFERROR(_xlfn.TEXTSPLIT(貼付エリア!E51,," / ",),""),"")</f>
        <v/>
      </c>
    </row>
    <row r="130" spans="6:7" x14ac:dyDescent="0.15">
      <c r="F130" s="2" t="s">
        <v>5020</v>
      </c>
      <c r="G130" s="3"/>
    </row>
    <row r="131" spans="6:7" x14ac:dyDescent="0.15">
      <c r="F131" s="2" t="s">
        <v>5021</v>
      </c>
      <c r="G131" s="3"/>
    </row>
    <row r="132" spans="6:7" x14ac:dyDescent="0.15">
      <c r="F132" s="2" t="s">
        <v>5022</v>
      </c>
      <c r="G132" s="3"/>
    </row>
    <row r="133" spans="6:7" x14ac:dyDescent="0.15">
      <c r="F133" s="1"/>
      <c r="G133" s="3"/>
    </row>
    <row r="134" spans="6:7" x14ac:dyDescent="0.15">
      <c r="G134" s="57" t="s">
        <v>46</v>
      </c>
    </row>
  </sheetData>
  <phoneticPr fontId="1"/>
  <hyperlinks>
    <hyperlink ref="I5" r:id="rId1" xr:uid="{678A8EFA-C1AA-4304-8BD6-12F5A0CF54F3}"/>
    <hyperlink ref="I3" r:id="rId2" xr:uid="{87F78CA5-7F47-4E9B-AFF4-85B5A00AF263}"/>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59393" r:id="rId6" name="Button 1">
              <controlPr defaultSize="0" print="0" autoFill="0" autoPict="0" macro="[0]!main_string_cut_L2">
                <anchor moveWithCells="1" sizeWithCells="1">
                  <from>
                    <xdr:col>0</xdr:col>
                    <xdr:colOff>95250</xdr:colOff>
                    <xdr:row>2</xdr:row>
                    <xdr:rowOff>152400</xdr:rowOff>
                  </from>
                  <to>
                    <xdr:col>5</xdr:col>
                    <xdr:colOff>533400</xdr:colOff>
                    <xdr:row>6</xdr:row>
                    <xdr:rowOff>152400</xdr:rowOff>
                  </to>
                </anchor>
              </controlPr>
            </control>
          </mc:Choice>
        </mc:AlternateContent>
        <mc:AlternateContent xmlns:mc="http://schemas.openxmlformats.org/markup-compatibility/2006">
          <mc:Choice Requires="x14">
            <control shapeId="59394" r:id="rId7" name="Button 2">
              <controlPr defaultSize="0" print="0" autoFill="0" autoPict="0" macro="[0]!make_necbook_test_2">
                <anchor moveWithCells="1" sizeWithCells="1">
                  <from>
                    <xdr:col>9</xdr:col>
                    <xdr:colOff>95250</xdr:colOff>
                    <xdr:row>7</xdr:row>
                    <xdr:rowOff>171450</xdr:rowOff>
                  </from>
                  <to>
                    <xdr:col>9</xdr:col>
                    <xdr:colOff>1343025</xdr:colOff>
                    <xdr:row>12</xdr:row>
                    <xdr:rowOff>47625</xdr:rowOff>
                  </to>
                </anchor>
              </controlPr>
            </control>
          </mc:Choice>
        </mc:AlternateContent>
        <mc:AlternateContent xmlns:mc="http://schemas.openxmlformats.org/markup-compatibility/2006">
          <mc:Choice Requires="x14">
            <control shapeId="59395" r:id="rId8" name="Button 3">
              <controlPr defaultSize="0" print="0" autoFill="0" autoPict="0" macro="[0]!Start_UserInfo">
                <anchor moveWithCells="1" sizeWithCells="1">
                  <from>
                    <xdr:col>9</xdr:col>
                    <xdr:colOff>85725</xdr:colOff>
                    <xdr:row>2</xdr:row>
                    <xdr:rowOff>114300</xdr:rowOff>
                  </from>
                  <to>
                    <xdr:col>9</xdr:col>
                    <xdr:colOff>1333500</xdr:colOff>
                    <xdr:row>6</xdr:row>
                    <xdr:rowOff>114300</xdr:rowOff>
                  </to>
                </anchor>
              </controlPr>
            </control>
          </mc:Choice>
        </mc:AlternateContent>
        <mc:AlternateContent xmlns:mc="http://schemas.openxmlformats.org/markup-compatibility/2006">
          <mc:Choice Requires="x14">
            <control shapeId="59396" r:id="rId9" name="Button 4">
              <controlPr defaultSize="0" print="0" autoFill="0" autoPict="0" macro="[0]!sendmail_sample">
                <anchor moveWithCells="1">
                  <from>
                    <xdr:col>9</xdr:col>
                    <xdr:colOff>76200</xdr:colOff>
                    <xdr:row>13</xdr:row>
                    <xdr:rowOff>0</xdr:rowOff>
                  </from>
                  <to>
                    <xdr:col>9</xdr:col>
                    <xdr:colOff>1343025</xdr:colOff>
                    <xdr:row>15</xdr:row>
                    <xdr:rowOff>171450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79A8B-5425-45FA-91C3-D10717AC7A18}">
  <sheetPr codeName="Sheet15"/>
  <dimension ref="F1:V134"/>
  <sheetViews>
    <sheetView topLeftCell="B1" zoomScale="85" zoomScaleNormal="85" workbookViewId="0">
      <selection activeCell="G32" sqref="G32"/>
    </sheetView>
  </sheetViews>
  <sheetFormatPr defaultColWidth="9" defaultRowHeight="13.5" outlineLevelCol="1" x14ac:dyDescent="0.15"/>
  <cols>
    <col min="1" max="5" width="2.125" customWidth="1"/>
    <col min="6" max="6" width="26.125" customWidth="1"/>
    <col min="7" max="7" width="72.125" customWidth="1"/>
    <col min="8" max="8" width="16.25" hidden="1" customWidth="1" outlineLevel="1"/>
    <col min="9" max="9" width="29" hidden="1" customWidth="1" outlineLevel="1"/>
    <col min="10" max="10" width="19" customWidth="1" collapsed="1"/>
    <col min="11" max="11" width="11" style="3" customWidth="1"/>
    <col min="12" max="12" width="7.5" style="3" customWidth="1"/>
    <col min="13" max="13" width="10.5" style="3" customWidth="1"/>
    <col min="14" max="14" width="7" style="3" customWidth="1"/>
    <col min="15" max="15" width="8" style="3" customWidth="1"/>
    <col min="16" max="20" width="13.625" style="3" customWidth="1"/>
    <col min="21" max="21" width="8.625" style="3" customWidth="1"/>
    <col min="22" max="22" width="9.375" customWidth="1"/>
  </cols>
  <sheetData>
    <row r="1" spans="6:22" x14ac:dyDescent="0.15">
      <c r="F1" s="15" t="s">
        <v>272</v>
      </c>
      <c r="G1" s="9"/>
      <c r="H1" s="9"/>
      <c r="V1" t="s">
        <v>56</v>
      </c>
    </row>
    <row r="2" spans="6:22" x14ac:dyDescent="0.15">
      <c r="G2" s="6" t="s">
        <v>0</v>
      </c>
      <c r="I2" s="25" t="s">
        <v>190</v>
      </c>
      <c r="J2" s="23"/>
      <c r="K2" s="19" t="s">
        <v>185</v>
      </c>
      <c r="L2" s="20" t="s">
        <v>76</v>
      </c>
      <c r="M2" s="19" t="s">
        <v>203</v>
      </c>
      <c r="N2" s="19" t="s">
        <v>175</v>
      </c>
      <c r="O2" s="19" t="s">
        <v>176</v>
      </c>
      <c r="P2" s="19" t="s">
        <v>177</v>
      </c>
      <c r="Q2" s="19" t="s">
        <v>178</v>
      </c>
      <c r="R2" s="20" t="s">
        <v>179</v>
      </c>
      <c r="S2" s="20" t="s">
        <v>180</v>
      </c>
      <c r="T2" s="20" t="s">
        <v>181</v>
      </c>
      <c r="U2" s="20" t="s">
        <v>182</v>
      </c>
      <c r="V2" s="20" t="s">
        <v>186</v>
      </c>
    </row>
    <row r="3" spans="6:22" x14ac:dyDescent="0.15">
      <c r="G3" s="17" t="s">
        <v>5052</v>
      </c>
      <c r="H3" t="s">
        <v>56</v>
      </c>
      <c r="I3" s="26" t="s">
        <v>273</v>
      </c>
      <c r="J3" s="23" t="s">
        <v>56</v>
      </c>
      <c r="K3" s="21"/>
      <c r="L3" s="22"/>
      <c r="M3" s="21"/>
      <c r="N3" s="21"/>
      <c r="O3" s="21"/>
      <c r="P3" s="21"/>
      <c r="Q3" s="21"/>
      <c r="R3" s="22"/>
      <c r="S3" s="22"/>
      <c r="T3" s="22"/>
      <c r="U3" s="22"/>
      <c r="V3" s="22"/>
    </row>
    <row r="4" spans="6:22" x14ac:dyDescent="0.15">
      <c r="G4" s="6" t="s">
        <v>34</v>
      </c>
      <c r="I4" s="25" t="s">
        <v>191</v>
      </c>
      <c r="J4" s="23"/>
      <c r="K4" s="21"/>
      <c r="L4" s="22"/>
      <c r="M4" s="21"/>
      <c r="N4" s="21"/>
      <c r="O4" s="21"/>
      <c r="P4" s="21"/>
      <c r="Q4" s="21"/>
      <c r="R4" s="22"/>
      <c r="S4" s="22"/>
      <c r="T4" s="22"/>
      <c r="U4" s="22"/>
      <c r="V4" s="22"/>
    </row>
    <row r="5" spans="6:22" x14ac:dyDescent="0.15">
      <c r="G5" s="10" t="str">
        <f>IF(メインページ!G6 = "", メインページ!C6, メインページ!G6)</f>
        <v>C:\ハードウェア点検依頼\点検依頼</v>
      </c>
      <c r="I5" s="26"/>
      <c r="J5" s="23"/>
      <c r="K5" s="21"/>
      <c r="L5" s="22"/>
      <c r="M5" s="21"/>
      <c r="N5" s="21"/>
      <c r="O5" s="21"/>
      <c r="P5" s="21"/>
      <c r="Q5" s="21"/>
      <c r="R5" s="22"/>
      <c r="S5" s="22"/>
      <c r="T5" s="22"/>
      <c r="U5" s="22"/>
      <c r="V5" s="22"/>
    </row>
    <row r="6" spans="6:22" x14ac:dyDescent="0.15">
      <c r="G6" s="2" t="s">
        <v>35</v>
      </c>
      <c r="I6" s="25" t="s">
        <v>192</v>
      </c>
      <c r="J6" s="23"/>
      <c r="K6" s="21"/>
      <c r="L6" s="22"/>
      <c r="M6" s="21"/>
      <c r="N6" s="21"/>
      <c r="O6" s="21"/>
      <c r="P6" s="21"/>
      <c r="Q6" s="21"/>
      <c r="R6" s="22"/>
      <c r="S6" s="22"/>
      <c r="T6" s="22"/>
      <c r="U6" s="22"/>
      <c r="V6" s="22"/>
    </row>
    <row r="7" spans="6:22" ht="13.5" customHeight="1" x14ac:dyDescent="0.15">
      <c r="G7" s="1" t="str">
        <f>SUBSTITUTE(G18,"/","") &amp; "_保守作業依頼書「 " &amp; G10 &amp; " 」 _イシダ.xlsx"</f>
        <v>19000100_保守作業依頼書「 0 」 _イシダ.xlsx</v>
      </c>
      <c r="I7" s="1" t="str">
        <f ca="1">"日程調整依頼("&amp;TEXT(INDIRECT("G18"),"YYYY/MM/DD")&amp;" "&amp;TEXT(INDIRECT("G20"),"hh:mm")&amp;"-"&amp;TEXT(INDIRECT("G21"),"hh:mm")&amp;") "&amp;G10&amp;" _イシダ"</f>
        <v>日程調整依頼(1900/01/00 00:00-00:00) 0 _イシダ</v>
      </c>
      <c r="J7" s="23" t="s">
        <v>56</v>
      </c>
      <c r="K7" s="21"/>
      <c r="L7" s="22"/>
      <c r="M7" s="21"/>
      <c r="N7" s="21"/>
      <c r="O7" s="21"/>
      <c r="P7" s="21"/>
      <c r="Q7" s="21"/>
      <c r="R7" s="22"/>
      <c r="S7" s="22"/>
      <c r="T7" s="22"/>
      <c r="U7" s="22"/>
      <c r="V7" s="22"/>
    </row>
    <row r="8" spans="6:22" x14ac:dyDescent="0.15">
      <c r="G8" s="41" t="s">
        <v>274</v>
      </c>
      <c r="I8" s="1"/>
      <c r="J8" s="23"/>
      <c r="K8" s="21"/>
      <c r="L8" s="22"/>
      <c r="M8" s="21"/>
      <c r="N8" s="21"/>
      <c r="O8" s="21"/>
      <c r="P8" s="21"/>
      <c r="Q8" s="21"/>
      <c r="R8" s="22"/>
      <c r="S8" s="22"/>
      <c r="T8" s="22"/>
      <c r="U8" s="22"/>
      <c r="V8" s="22"/>
    </row>
    <row r="9" spans="6:22" x14ac:dyDescent="0.15">
      <c r="F9" s="1"/>
      <c r="G9" s="7" t="s">
        <v>36</v>
      </c>
      <c r="H9" s="1"/>
      <c r="I9" s="25" t="s">
        <v>193</v>
      </c>
      <c r="J9" s="23"/>
      <c r="K9" s="21"/>
      <c r="L9" s="22"/>
      <c r="M9" s="21"/>
      <c r="N9" s="21"/>
      <c r="O9" s="21"/>
      <c r="P9" s="21"/>
      <c r="Q9" s="21"/>
      <c r="R9" s="22"/>
      <c r="S9" s="22"/>
      <c r="T9" s="22"/>
      <c r="U9" s="22"/>
      <c r="V9" s="22"/>
    </row>
    <row r="10" spans="6:22" ht="13.5" customHeight="1" x14ac:dyDescent="0.15">
      <c r="F10" s="2" t="s">
        <v>38</v>
      </c>
      <c r="G10" s="35">
        <f>_xlfn.XLOOKUP("出荷先名 +工場名",貼付エリア!$D$6:$D$29,貼付エリア!$E$6:$E$29,"",0)</f>
        <v>0</v>
      </c>
      <c r="H10" s="2" t="s">
        <v>38</v>
      </c>
      <c r="I10" s="24" t="s">
        <v>275</v>
      </c>
      <c r="J10" t="s">
        <v>56</v>
      </c>
      <c r="K10" s="21"/>
      <c r="L10" s="22"/>
      <c r="M10" s="21"/>
      <c r="N10" s="21"/>
      <c r="O10" s="21"/>
      <c r="P10" s="21"/>
      <c r="Q10" s="21"/>
      <c r="R10" s="22"/>
      <c r="S10" s="22"/>
      <c r="T10" s="22"/>
      <c r="U10" s="22"/>
      <c r="V10" s="22"/>
    </row>
    <row r="11" spans="6:22" ht="14.25" x14ac:dyDescent="0.15">
      <c r="F11" s="1"/>
      <c r="G11" s="35"/>
      <c r="H11" s="1"/>
      <c r="I11" s="25" t="s">
        <v>197</v>
      </c>
      <c r="J11" t="s">
        <v>56</v>
      </c>
      <c r="K11" s="21"/>
      <c r="L11" s="22"/>
      <c r="M11" s="21"/>
      <c r="N11" s="21"/>
      <c r="O11" s="21"/>
      <c r="P11" s="21"/>
      <c r="Q11" s="21"/>
      <c r="R11" s="22"/>
      <c r="S11" s="22"/>
      <c r="T11" s="22"/>
      <c r="U11" s="22"/>
      <c r="V11" s="22"/>
    </row>
    <row r="12" spans="6:22" ht="14.25" x14ac:dyDescent="0.15">
      <c r="F12" s="2" t="s">
        <v>298</v>
      </c>
      <c r="G12" s="35">
        <f>_xlfn.XLOOKUP("住所",貼付エリア!$D$6:$D$29,貼付エリア!$E$6:$E$29,"",0)</f>
        <v>0</v>
      </c>
      <c r="H12" s="2" t="s">
        <v>39</v>
      </c>
      <c r="I12" s="1" t="str">
        <f>G5 &amp; "\" &amp; G7</f>
        <v>C:\ハードウェア点検依頼\点検依頼\19000100_保守作業依頼書「 0 」 _イシダ.xlsx</v>
      </c>
      <c r="J12" t="s">
        <v>56</v>
      </c>
      <c r="K12" s="21"/>
      <c r="L12" s="22"/>
      <c r="M12" s="21"/>
      <c r="N12" s="21"/>
      <c r="O12" s="21"/>
      <c r="P12" s="21"/>
      <c r="Q12" s="21"/>
      <c r="R12" s="22"/>
      <c r="S12" s="22"/>
      <c r="T12" s="22"/>
      <c r="U12" s="22"/>
      <c r="V12" s="22"/>
    </row>
    <row r="13" spans="6:22" ht="14.25" x14ac:dyDescent="0.15">
      <c r="F13" s="1"/>
      <c r="G13" s="35"/>
      <c r="H13" s="1"/>
      <c r="K13"/>
      <c r="L13"/>
      <c r="M13"/>
      <c r="N13"/>
      <c r="O13"/>
      <c r="P13"/>
      <c r="Q13"/>
      <c r="R13"/>
      <c r="S13"/>
      <c r="T13"/>
      <c r="U13"/>
    </row>
    <row r="14" spans="6:22" ht="14.25" x14ac:dyDescent="0.15">
      <c r="F14" s="2" t="s">
        <v>39</v>
      </c>
      <c r="G14" s="35">
        <f>_xlfn.XLOOKUP("取引先契約番号  ",貼付エリア!$D$6:$D$29,貼付エリア!$E$6:$E$29,"",0)</f>
        <v>0</v>
      </c>
      <c r="H14" s="2" t="s">
        <v>1</v>
      </c>
      <c r="K14"/>
      <c r="L14"/>
      <c r="M14"/>
      <c r="N14"/>
      <c r="O14"/>
      <c r="P14"/>
      <c r="Q14"/>
      <c r="R14"/>
      <c r="S14"/>
      <c r="T14"/>
      <c r="U14"/>
    </row>
    <row r="15" spans="6:22" ht="14.25" x14ac:dyDescent="0.15">
      <c r="F15" s="1"/>
      <c r="G15" s="35"/>
      <c r="H15" s="1"/>
      <c r="I15" s="35" t="s">
        <v>281</v>
      </c>
      <c r="K15"/>
      <c r="L15"/>
      <c r="M15"/>
      <c r="N15"/>
      <c r="O15"/>
      <c r="P15"/>
      <c r="Q15"/>
      <c r="R15"/>
      <c r="S15"/>
      <c r="T15"/>
      <c r="U15"/>
    </row>
    <row r="16" spans="6:22" ht="14.25" x14ac:dyDescent="0.15">
      <c r="F16" s="2" t="s">
        <v>1</v>
      </c>
      <c r="G16" s="35">
        <f>_xlfn.XLOOKUP("サポートID  ",貼付エリア!$D$6:$D$29,貼付エリア!$E$6:$E$29,"",0)</f>
        <v>0</v>
      </c>
      <c r="H16" s="1"/>
      <c r="I16" s="35" t="s">
        <v>282</v>
      </c>
      <c r="K16"/>
      <c r="L16"/>
      <c r="M16"/>
      <c r="N16"/>
      <c r="O16"/>
      <c r="P16"/>
      <c r="Q16"/>
      <c r="R16"/>
      <c r="S16"/>
      <c r="T16"/>
      <c r="U16"/>
    </row>
    <row r="17" spans="6:22" ht="14.25" x14ac:dyDescent="0.15">
      <c r="F17" s="1"/>
      <c r="G17" s="35"/>
      <c r="H17" s="1"/>
      <c r="K17"/>
      <c r="L17"/>
      <c r="M17"/>
      <c r="N17"/>
      <c r="O17"/>
      <c r="P17"/>
      <c r="Q17"/>
      <c r="R17"/>
      <c r="S17"/>
      <c r="T17"/>
      <c r="U17"/>
    </row>
    <row r="18" spans="6:22" x14ac:dyDescent="0.15">
      <c r="F18" s="2" t="s">
        <v>40</v>
      </c>
      <c r="G18" s="40" t="str">
        <f>LEFT(TEXT(_xlfn.XLOOKUP("希望開始日時*",貼付エリア!$D$6:$D$29,貼付エリア!$E$6:$E$29,"---",2,1),"yyyy/mm/dd hh:mm"),10)</f>
        <v>1900/01/00</v>
      </c>
      <c r="H18" s="2" t="s">
        <v>2</v>
      </c>
      <c r="K18"/>
      <c r="L18"/>
      <c r="M18"/>
      <c r="N18"/>
      <c r="O18"/>
      <c r="P18"/>
      <c r="Q18"/>
      <c r="R18"/>
      <c r="S18"/>
      <c r="T18"/>
      <c r="U18"/>
    </row>
    <row r="19" spans="6:22" ht="14.25" x14ac:dyDescent="0.15">
      <c r="F19" s="1"/>
      <c r="G19" s="35"/>
      <c r="H19" s="2" t="s">
        <v>3</v>
      </c>
      <c r="K19"/>
      <c r="L19"/>
      <c r="M19"/>
      <c r="N19"/>
      <c r="O19"/>
      <c r="P19"/>
      <c r="Q19"/>
      <c r="R19"/>
      <c r="S19"/>
      <c r="T19"/>
      <c r="U19"/>
    </row>
    <row r="20" spans="6:22" x14ac:dyDescent="0.15">
      <c r="F20" s="2" t="s">
        <v>41</v>
      </c>
      <c r="G20" s="40" t="str" cm="1">
        <f t="array" ref="G20">RIGHT(TEXT(_xlfn.XLOOKUP("希望開始日時*",貼付エリア!$D$6:$D$29,貼付エリア!$E6:$E$29,"---",2,1),"yyyy/mm/dd hh:mm"),5)</f>
        <v>00:00</v>
      </c>
      <c r="H20" s="2" t="s">
        <v>4</v>
      </c>
      <c r="K20"/>
      <c r="L20"/>
      <c r="M20"/>
      <c r="N20"/>
      <c r="O20"/>
      <c r="P20"/>
      <c r="Q20"/>
      <c r="R20"/>
      <c r="S20"/>
      <c r="T20"/>
      <c r="U20"/>
    </row>
    <row r="21" spans="6:22" x14ac:dyDescent="0.15">
      <c r="F21" s="2" t="s">
        <v>42</v>
      </c>
      <c r="G21" s="40" t="str">
        <f>RIGHT(TEXT(_xlfn.XLOOKUP("希望終了日時*",貼付エリア!$D$6:$D$29,貼付エリア!$E$6:$E$29,"---",2,-1),"yyyy/mm/dd hh:mm"),5)</f>
        <v>00:00</v>
      </c>
      <c r="H21" s="2" t="s">
        <v>5</v>
      </c>
      <c r="K21"/>
      <c r="L21"/>
      <c r="M21"/>
      <c r="N21"/>
      <c r="O21"/>
      <c r="P21"/>
      <c r="Q21"/>
      <c r="R21"/>
      <c r="S21"/>
      <c r="T21"/>
      <c r="U21"/>
    </row>
    <row r="22" spans="6:22" ht="14.25" x14ac:dyDescent="0.15">
      <c r="F22" s="1"/>
      <c r="G22" s="35"/>
      <c r="H22" s="1"/>
      <c r="K22"/>
      <c r="L22"/>
      <c r="M22"/>
      <c r="N22"/>
      <c r="O22"/>
      <c r="P22"/>
      <c r="Q22"/>
      <c r="R22"/>
      <c r="S22"/>
      <c r="T22"/>
      <c r="U22"/>
    </row>
    <row r="23" spans="6:22" ht="14.25" x14ac:dyDescent="0.15">
      <c r="F23" s="2" t="s">
        <v>305</v>
      </c>
      <c r="G23" s="35">
        <f>_xlfn.XLOOKUP("店舗同行者／連絡先  ",貼付エリア!$D$6:$D$29,貼付エリア!$E$6:$E$29,"",0)</f>
        <v>0</v>
      </c>
      <c r="H23" s="2" t="s">
        <v>6</v>
      </c>
      <c r="K23"/>
      <c r="L23"/>
      <c r="M23"/>
      <c r="N23"/>
      <c r="O23"/>
      <c r="P23"/>
      <c r="Q23"/>
      <c r="R23"/>
      <c r="S23"/>
      <c r="T23"/>
      <c r="U23"/>
    </row>
    <row r="24" spans="6:22" ht="14.25" x14ac:dyDescent="0.15">
      <c r="F24" s="2" t="s">
        <v>44</v>
      </c>
      <c r="G24" s="35"/>
      <c r="H24" s="2" t="s">
        <v>7</v>
      </c>
      <c r="K24"/>
      <c r="L24"/>
      <c r="M24"/>
      <c r="N24"/>
      <c r="O24"/>
      <c r="P24"/>
      <c r="Q24"/>
      <c r="R24"/>
      <c r="S24"/>
      <c r="T24"/>
      <c r="U24"/>
    </row>
    <row r="25" spans="6:22" ht="14.25" x14ac:dyDescent="0.15">
      <c r="F25" s="1"/>
      <c r="G25" s="35"/>
      <c r="H25" s="2" t="s">
        <v>8</v>
      </c>
      <c r="K25"/>
      <c r="L25"/>
      <c r="M25"/>
      <c r="N25"/>
      <c r="O25"/>
      <c r="P25"/>
      <c r="Q25"/>
      <c r="R25"/>
      <c r="S25"/>
      <c r="T25"/>
      <c r="U25"/>
    </row>
    <row r="26" spans="6:22" ht="14.25" x14ac:dyDescent="0.15">
      <c r="F26" s="6" t="s">
        <v>55</v>
      </c>
      <c r="G26" s="35"/>
      <c r="H26" s="2" t="s">
        <v>9</v>
      </c>
      <c r="K26"/>
      <c r="L26"/>
      <c r="M26"/>
      <c r="N26"/>
      <c r="O26"/>
      <c r="P26"/>
      <c r="Q26"/>
      <c r="R26"/>
      <c r="S26"/>
      <c r="T26"/>
      <c r="U26"/>
    </row>
    <row r="27" spans="6:22" ht="14.25" x14ac:dyDescent="0.15">
      <c r="F27" s="1"/>
      <c r="G27" s="35"/>
      <c r="H27" s="1"/>
      <c r="K27"/>
      <c r="L27"/>
      <c r="M27"/>
      <c r="N27"/>
      <c r="O27"/>
      <c r="P27"/>
      <c r="Q27"/>
      <c r="R27"/>
      <c r="S27"/>
      <c r="T27"/>
      <c r="U27"/>
      <c r="V27" t="s">
        <v>56</v>
      </c>
    </row>
    <row r="28" spans="6:22" x14ac:dyDescent="0.15">
      <c r="F28" s="2" t="s">
        <v>45</v>
      </c>
      <c r="G28" s="40" t="str">
        <f>SUBSTITUTE(CONCATENATE(IF(G29=0,"",G29),IF(G30=0,"","　" &amp; G30),IF(G31=0,"","　" &amp; G31))," ","")</f>
        <v/>
      </c>
      <c r="H28" s="2" t="s">
        <v>10</v>
      </c>
      <c r="K28"/>
      <c r="L28"/>
      <c r="M28"/>
      <c r="N28"/>
      <c r="O28"/>
      <c r="P28"/>
      <c r="Q28"/>
      <c r="R28"/>
      <c r="S28"/>
      <c r="T28"/>
      <c r="U28"/>
      <c r="V28" t="s">
        <v>56</v>
      </c>
    </row>
    <row r="29" spans="6:22" x14ac:dyDescent="0.15">
      <c r="F29" s="2" t="s">
        <v>299</v>
      </c>
      <c r="G29">
        <f>_xlfn.XLOOKUP("連絡事項１",貼付エリア!$D$6:$D$29,貼付エリア!$E$6:$E$29,"",0)</f>
        <v>0</v>
      </c>
      <c r="H29" s="2" t="s">
        <v>11</v>
      </c>
      <c r="K29"/>
      <c r="L29"/>
      <c r="M29"/>
      <c r="N29"/>
      <c r="O29"/>
      <c r="P29"/>
      <c r="Q29"/>
      <c r="R29"/>
      <c r="S29"/>
      <c r="T29"/>
      <c r="U29"/>
      <c r="V29" t="s">
        <v>56</v>
      </c>
    </row>
    <row r="30" spans="6:22" x14ac:dyDescent="0.15">
      <c r="F30" s="2" t="s">
        <v>300</v>
      </c>
      <c r="G30" s="3">
        <f>_xlfn.XLOOKUP("連絡事項２",貼付エリア!$D$6:$D$29,貼付エリア!$E$6:$E$29,"",0)</f>
        <v>0</v>
      </c>
      <c r="H30" s="2" t="s">
        <v>12</v>
      </c>
      <c r="K30"/>
      <c r="L30"/>
      <c r="M30"/>
      <c r="N30"/>
      <c r="O30"/>
      <c r="P30"/>
      <c r="Q30"/>
      <c r="R30"/>
      <c r="S30"/>
      <c r="T30"/>
      <c r="U30"/>
      <c r="V30" t="s">
        <v>56</v>
      </c>
    </row>
    <row r="31" spans="6:22" x14ac:dyDescent="0.15">
      <c r="F31" s="2" t="s">
        <v>304</v>
      </c>
      <c r="G31">
        <f>_xlfn.XLOOKUP("連絡事項３",貼付エリア!$D$6:$D$29,貼付エリア!$E$6:$E$29,"",0)</f>
        <v>0</v>
      </c>
      <c r="H31" s="2" t="s">
        <v>13</v>
      </c>
      <c r="K31"/>
      <c r="L31"/>
      <c r="M31"/>
      <c r="N31"/>
      <c r="O31"/>
      <c r="P31"/>
      <c r="Q31"/>
      <c r="R31"/>
      <c r="S31"/>
      <c r="T31"/>
      <c r="U31"/>
      <c r="V31" t="s">
        <v>56</v>
      </c>
    </row>
    <row r="32" spans="6:22" ht="14.25" x14ac:dyDescent="0.15">
      <c r="F32" s="1"/>
      <c r="G32" s="35" t="s">
        <v>5024</v>
      </c>
      <c r="H32" s="1"/>
      <c r="K32"/>
      <c r="L32"/>
      <c r="M32"/>
      <c r="N32"/>
      <c r="O32"/>
      <c r="P32"/>
      <c r="Q32"/>
      <c r="R32"/>
      <c r="S32"/>
      <c r="T32"/>
      <c r="U32"/>
      <c r="V32" t="s">
        <v>56</v>
      </c>
    </row>
    <row r="33" spans="6:22" x14ac:dyDescent="0.15">
      <c r="F33" s="1"/>
      <c r="H33" s="2" t="s">
        <v>14</v>
      </c>
      <c r="K33"/>
      <c r="L33"/>
      <c r="M33"/>
      <c r="N33"/>
      <c r="O33"/>
      <c r="P33"/>
      <c r="Q33"/>
      <c r="R33"/>
      <c r="S33"/>
      <c r="T33"/>
      <c r="U33"/>
      <c r="V33" t="s">
        <v>56</v>
      </c>
    </row>
    <row r="34" spans="6:22" ht="14.25" x14ac:dyDescent="0.15">
      <c r="F34" s="2" t="s">
        <v>4944</v>
      </c>
      <c r="G34" s="35" t="str" cm="1">
        <f t="array" ref="G34">IF(貼付エリア!E10="イシダ",IFERROR(_xlfn.TEXTSPLIT(貼付エリア!E32,," / ",),""),"")</f>
        <v/>
      </c>
      <c r="H34" s="2" t="s">
        <v>15</v>
      </c>
      <c r="V34" t="s">
        <v>56</v>
      </c>
    </row>
    <row r="35" spans="6:22" ht="14.25" x14ac:dyDescent="0.15">
      <c r="F35" s="2" t="s">
        <v>4945</v>
      </c>
      <c r="G35" s="35"/>
      <c r="H35" s="2" t="s">
        <v>16</v>
      </c>
      <c r="V35" t="s">
        <v>56</v>
      </c>
    </row>
    <row r="36" spans="6:22" ht="14.25" x14ac:dyDescent="0.15">
      <c r="F36" s="2" t="s">
        <v>4946</v>
      </c>
      <c r="G36" s="35"/>
      <c r="H36" s="2" t="s">
        <v>17</v>
      </c>
      <c r="V36" t="s">
        <v>56</v>
      </c>
    </row>
    <row r="37" spans="6:22" ht="14.25" x14ac:dyDescent="0.15">
      <c r="F37" s="2" t="s">
        <v>4947</v>
      </c>
      <c r="G37" s="35"/>
      <c r="H37" s="1"/>
      <c r="V37" t="s">
        <v>56</v>
      </c>
    </row>
    <row r="38" spans="6:22" ht="14.25" x14ac:dyDescent="0.15">
      <c r="F38" s="1"/>
      <c r="G38" s="35"/>
      <c r="H38" s="2" t="s">
        <v>18</v>
      </c>
      <c r="V38" t="s">
        <v>56</v>
      </c>
    </row>
    <row r="39" spans="6:22" ht="14.25" x14ac:dyDescent="0.15">
      <c r="F39" s="2" t="s">
        <v>4948</v>
      </c>
      <c r="G39" s="35" t="str" cm="1">
        <f t="array" ref="G39">IF(貼付エリア!E10="イシダ",IFERROR(_xlfn.TEXTSPLIT(貼付エリア!E33,," / ",),""),"")</f>
        <v/>
      </c>
      <c r="H39" s="2" t="s">
        <v>19</v>
      </c>
      <c r="V39" t="s">
        <v>56</v>
      </c>
    </row>
    <row r="40" spans="6:22" ht="14.25" x14ac:dyDescent="0.15">
      <c r="F40" s="2" t="s">
        <v>4949</v>
      </c>
      <c r="G40" s="35"/>
      <c r="H40" s="2" t="s">
        <v>20</v>
      </c>
      <c r="V40" t="s">
        <v>56</v>
      </c>
    </row>
    <row r="41" spans="6:22" ht="14.25" x14ac:dyDescent="0.15">
      <c r="F41" s="2" t="s">
        <v>4950</v>
      </c>
      <c r="G41" s="35"/>
      <c r="H41" s="2" t="s">
        <v>21</v>
      </c>
      <c r="V41" t="s">
        <v>56</v>
      </c>
    </row>
    <row r="42" spans="6:22" ht="14.25" x14ac:dyDescent="0.15">
      <c r="F42" s="2" t="s">
        <v>4951</v>
      </c>
      <c r="G42" s="35"/>
      <c r="H42" s="1"/>
      <c r="V42" t="s">
        <v>56</v>
      </c>
    </row>
    <row r="43" spans="6:22" ht="14.25" x14ac:dyDescent="0.15">
      <c r="F43" s="1"/>
      <c r="G43" s="35"/>
      <c r="H43" s="2" t="s">
        <v>22</v>
      </c>
      <c r="V43" t="s">
        <v>56</v>
      </c>
    </row>
    <row r="44" spans="6:22" ht="14.25" x14ac:dyDescent="0.15">
      <c r="F44" s="2" t="s">
        <v>4952</v>
      </c>
      <c r="G44" s="35" t="str" cm="1">
        <f t="array" ref="G44">IF(貼付エリア!E10="イシダ",IFERROR(_xlfn.TEXTSPLIT(貼付エリア!E34,," / ",),""),"")</f>
        <v/>
      </c>
      <c r="H44" s="2" t="s">
        <v>23</v>
      </c>
      <c r="V44" t="s">
        <v>56</v>
      </c>
    </row>
    <row r="45" spans="6:22" ht="14.25" x14ac:dyDescent="0.15">
      <c r="F45" s="2" t="s">
        <v>4953</v>
      </c>
      <c r="G45" s="35"/>
      <c r="H45" s="2" t="s">
        <v>24</v>
      </c>
      <c r="M45" s="4"/>
      <c r="V45" t="s">
        <v>56</v>
      </c>
    </row>
    <row r="46" spans="6:22" ht="14.25" x14ac:dyDescent="0.15">
      <c r="F46" s="2" t="s">
        <v>4954</v>
      </c>
      <c r="G46" s="35"/>
      <c r="H46" s="2" t="s">
        <v>25</v>
      </c>
      <c r="V46" t="s">
        <v>56</v>
      </c>
    </row>
    <row r="47" spans="6:22" ht="14.25" x14ac:dyDescent="0.15">
      <c r="F47" s="2" t="s">
        <v>4955</v>
      </c>
      <c r="G47" s="35"/>
      <c r="H47" s="1"/>
      <c r="M47" s="5"/>
      <c r="V47" t="s">
        <v>56</v>
      </c>
    </row>
    <row r="48" spans="6:22" ht="14.25" x14ac:dyDescent="0.15">
      <c r="F48" s="1"/>
      <c r="G48" s="35"/>
      <c r="H48" s="2" t="s">
        <v>26</v>
      </c>
      <c r="M48" s="5"/>
      <c r="V48" t="s">
        <v>56</v>
      </c>
    </row>
    <row r="49" spans="6:22" ht="14.25" x14ac:dyDescent="0.15">
      <c r="F49" s="2" t="s">
        <v>5023</v>
      </c>
      <c r="G49" s="35" t="str" cm="1">
        <f t="array" ref="G49">IF(貼付エリア!E10="イシダ",IFERROR(_xlfn.TEXTSPLIT(貼付エリア!E35,," / ",),""),"")</f>
        <v/>
      </c>
      <c r="H49" s="2" t="s">
        <v>27</v>
      </c>
      <c r="V49" t="s">
        <v>56</v>
      </c>
    </row>
    <row r="50" spans="6:22" ht="14.25" x14ac:dyDescent="0.15">
      <c r="F50" s="2" t="s">
        <v>4956</v>
      </c>
      <c r="G50" s="35"/>
      <c r="H50" s="2" t="s">
        <v>28</v>
      </c>
      <c r="V50" t="s">
        <v>56</v>
      </c>
    </row>
    <row r="51" spans="6:22" ht="14.25" x14ac:dyDescent="0.15">
      <c r="F51" s="2" t="s">
        <v>4957</v>
      </c>
      <c r="G51" s="35"/>
      <c r="H51" s="2" t="s">
        <v>29</v>
      </c>
    </row>
    <row r="52" spans="6:22" ht="14.25" x14ac:dyDescent="0.15">
      <c r="F52" s="2" t="s">
        <v>4958</v>
      </c>
      <c r="G52" s="35"/>
      <c r="H52" s="1"/>
    </row>
    <row r="53" spans="6:22" ht="14.25" x14ac:dyDescent="0.15">
      <c r="F53" s="1"/>
      <c r="G53" s="35"/>
      <c r="H53" s="2" t="s">
        <v>30</v>
      </c>
    </row>
    <row r="54" spans="6:22" ht="14.25" x14ac:dyDescent="0.15">
      <c r="F54" s="2" t="s">
        <v>4959</v>
      </c>
      <c r="G54" s="35" t="str" cm="1">
        <f t="array" ref="G54">IF(貼付エリア!E10="イシダ",IFERROR(_xlfn.TEXTSPLIT(貼付エリア!E36,," / ",),""),"")</f>
        <v/>
      </c>
      <c r="H54" s="2" t="s">
        <v>31</v>
      </c>
    </row>
    <row r="55" spans="6:22" ht="14.25" x14ac:dyDescent="0.15">
      <c r="F55" s="2" t="s">
        <v>4960</v>
      </c>
      <c r="G55" s="35"/>
      <c r="H55" s="2" t="s">
        <v>32</v>
      </c>
    </row>
    <row r="56" spans="6:22" ht="14.25" x14ac:dyDescent="0.15">
      <c r="F56" s="2" t="s">
        <v>4961</v>
      </c>
      <c r="G56" s="35"/>
      <c r="H56" s="2" t="s">
        <v>33</v>
      </c>
    </row>
    <row r="57" spans="6:22" ht="14.25" x14ac:dyDescent="0.15">
      <c r="F57" s="2" t="s">
        <v>4962</v>
      </c>
      <c r="G57" s="35"/>
      <c r="H57" s="1"/>
    </row>
    <row r="58" spans="6:22" ht="14.25" x14ac:dyDescent="0.15">
      <c r="F58" s="1"/>
      <c r="G58" s="35"/>
      <c r="H58" s="2" t="s">
        <v>47</v>
      </c>
    </row>
    <row r="59" spans="6:22" ht="14.25" x14ac:dyDescent="0.15">
      <c r="F59" s="2" t="s">
        <v>4963</v>
      </c>
      <c r="G59" s="35" t="str" cm="1">
        <f t="array" ref="G59">IF(貼付エリア!E10="イシダ",IFERROR(_xlfn.TEXTSPLIT(貼付エリア!E37,," / ",),""),"")</f>
        <v/>
      </c>
      <c r="H59" s="2" t="s">
        <v>48</v>
      </c>
    </row>
    <row r="60" spans="6:22" ht="14.25" x14ac:dyDescent="0.15">
      <c r="F60" s="2" t="s">
        <v>4964</v>
      </c>
      <c r="G60" s="35"/>
      <c r="H60" s="2" t="s">
        <v>49</v>
      </c>
    </row>
    <row r="61" spans="6:22" ht="14.25" x14ac:dyDescent="0.15">
      <c r="F61" s="2" t="s">
        <v>4965</v>
      </c>
      <c r="G61" s="35"/>
      <c r="H61" s="2" t="s">
        <v>50</v>
      </c>
    </row>
    <row r="62" spans="6:22" ht="14.25" x14ac:dyDescent="0.15">
      <c r="F62" s="2" t="s">
        <v>4966</v>
      </c>
      <c r="G62" s="35"/>
      <c r="H62" s="1"/>
    </row>
    <row r="63" spans="6:22" ht="14.25" x14ac:dyDescent="0.15">
      <c r="F63" s="1"/>
      <c r="G63" s="35"/>
      <c r="H63" s="2" t="s">
        <v>51</v>
      </c>
    </row>
    <row r="64" spans="6:22" ht="14.25" x14ac:dyDescent="0.15">
      <c r="F64" s="2" t="s">
        <v>4967</v>
      </c>
      <c r="G64" s="35" t="str" cm="1">
        <f t="array" ref="G64">IF(貼付エリア!E10="イシダ",IFERROR(_xlfn.TEXTSPLIT(貼付エリア!E38,," / ",),""),"")</f>
        <v/>
      </c>
      <c r="H64" s="2" t="s">
        <v>52</v>
      </c>
    </row>
    <row r="65" spans="6:8" ht="14.25" x14ac:dyDescent="0.15">
      <c r="F65" s="2" t="s">
        <v>4968</v>
      </c>
      <c r="G65" s="35"/>
      <c r="H65" s="2" t="s">
        <v>53</v>
      </c>
    </row>
    <row r="66" spans="6:8" ht="14.25" x14ac:dyDescent="0.15">
      <c r="F66" s="2" t="s">
        <v>4969</v>
      </c>
      <c r="G66" s="35"/>
      <c r="H66" s="2" t="s">
        <v>54</v>
      </c>
    </row>
    <row r="67" spans="6:8" ht="14.25" x14ac:dyDescent="0.15">
      <c r="F67" s="2" t="s">
        <v>4970</v>
      </c>
      <c r="G67" s="35"/>
      <c r="H67" s="1"/>
    </row>
    <row r="68" spans="6:8" ht="14.25" x14ac:dyDescent="0.15">
      <c r="F68" s="1"/>
      <c r="G68" s="35"/>
      <c r="H68" s="1"/>
    </row>
    <row r="69" spans="6:8" ht="14.25" x14ac:dyDescent="0.15">
      <c r="F69" s="2" t="s">
        <v>4971</v>
      </c>
      <c r="G69" s="35" t="str" cm="1">
        <f t="array" ref="G69">IF(貼付エリア!E10="イシダ",IFERROR(_xlfn.TEXTSPLIT(貼付エリア!E39,," / ",),""),"")</f>
        <v/>
      </c>
      <c r="H69" s="2" t="s">
        <v>40</v>
      </c>
    </row>
    <row r="70" spans="6:8" ht="14.25" x14ac:dyDescent="0.15">
      <c r="F70" s="2" t="s">
        <v>4972</v>
      </c>
      <c r="G70" s="35"/>
      <c r="H70" s="1"/>
    </row>
    <row r="71" spans="6:8" ht="14.25" x14ac:dyDescent="0.15">
      <c r="F71" s="2" t="s">
        <v>4973</v>
      </c>
      <c r="G71" s="35"/>
      <c r="H71" s="2" t="s">
        <v>41</v>
      </c>
    </row>
    <row r="72" spans="6:8" ht="14.25" x14ac:dyDescent="0.15">
      <c r="F72" s="2" t="s">
        <v>4974</v>
      </c>
      <c r="G72" s="35"/>
      <c r="H72" s="2" t="s">
        <v>42</v>
      </c>
    </row>
    <row r="73" spans="6:8" ht="14.25" x14ac:dyDescent="0.15">
      <c r="F73" s="1"/>
      <c r="G73" s="35"/>
      <c r="H73" s="1"/>
    </row>
    <row r="74" spans="6:8" ht="14.25" x14ac:dyDescent="0.15">
      <c r="F74" s="2" t="s">
        <v>4975</v>
      </c>
      <c r="G74" s="35" t="str" cm="1">
        <f t="array" ref="G74">IF(貼付エリア!E10="イシダ",IFERROR(_xlfn.TEXTSPLIT(貼付エリア!E40,," / ",),""),"")</f>
        <v/>
      </c>
      <c r="H74" s="2" t="s">
        <v>43</v>
      </c>
    </row>
    <row r="75" spans="6:8" ht="14.25" x14ac:dyDescent="0.15">
      <c r="F75" s="2" t="s">
        <v>4976</v>
      </c>
      <c r="G75" s="35"/>
      <c r="H75" s="1"/>
    </row>
    <row r="76" spans="6:8" ht="14.25" x14ac:dyDescent="0.15">
      <c r="F76" s="2" t="s">
        <v>4977</v>
      </c>
      <c r="G76" s="35"/>
      <c r="H76" s="1"/>
    </row>
    <row r="77" spans="6:8" ht="14.25" x14ac:dyDescent="0.15">
      <c r="F77" s="2" t="s">
        <v>4978</v>
      </c>
      <c r="G77" s="35"/>
      <c r="H77" s="6" t="s">
        <v>55</v>
      </c>
    </row>
    <row r="78" spans="6:8" ht="14.25" x14ac:dyDescent="0.15">
      <c r="F78" s="1"/>
      <c r="G78" s="35"/>
      <c r="H78" s="1"/>
    </row>
    <row r="79" spans="6:8" ht="14.25" x14ac:dyDescent="0.15">
      <c r="F79" s="2" t="s">
        <v>4979</v>
      </c>
      <c r="G79" s="35" t="str" cm="1">
        <f t="array" ref="G79">IF(貼付エリア!E10="イシダ",IFERROR(_xlfn.TEXTSPLIT(貼付エリア!E41,," / ",),""),"")</f>
        <v/>
      </c>
      <c r="H79" s="2" t="s">
        <v>44</v>
      </c>
    </row>
    <row r="80" spans="6:8" ht="14.25" x14ac:dyDescent="0.15">
      <c r="F80" s="2" t="s">
        <v>4980</v>
      </c>
      <c r="G80" s="35"/>
      <c r="H80" s="1"/>
    </row>
    <row r="81" spans="6:8" ht="14.25" x14ac:dyDescent="0.15">
      <c r="F81" s="2" t="s">
        <v>4981</v>
      </c>
      <c r="G81" s="35"/>
      <c r="H81" s="2" t="s">
        <v>45</v>
      </c>
    </row>
    <row r="82" spans="6:8" ht="14.25" x14ac:dyDescent="0.15">
      <c r="F82" s="2" t="s">
        <v>4982</v>
      </c>
      <c r="G82" s="35"/>
      <c r="H82" s="1"/>
    </row>
    <row r="83" spans="6:8" x14ac:dyDescent="0.15">
      <c r="F83" s="1"/>
      <c r="G83" s="3"/>
      <c r="H83" s="1"/>
    </row>
    <row r="84" spans="6:8" x14ac:dyDescent="0.15">
      <c r="F84" s="2" t="s">
        <v>4983</v>
      </c>
      <c r="G84" s="3" t="str" cm="1">
        <f t="array" ref="G84">IF(貼付エリア!E10="イシダ",IFERROR(_xlfn.TEXTSPLIT(貼付エリア!E42,," / ",),""),"")</f>
        <v/>
      </c>
      <c r="H84" s="1"/>
    </row>
    <row r="85" spans="6:8" x14ac:dyDescent="0.15">
      <c r="F85" s="2" t="s">
        <v>4984</v>
      </c>
      <c r="G85" s="3"/>
      <c r="H85" s="1"/>
    </row>
    <row r="86" spans="6:8" x14ac:dyDescent="0.15">
      <c r="F86" s="2" t="s">
        <v>4985</v>
      </c>
      <c r="G86" s="3"/>
      <c r="H86" s="1"/>
    </row>
    <row r="87" spans="6:8" x14ac:dyDescent="0.15">
      <c r="F87" s="2" t="s">
        <v>4986</v>
      </c>
      <c r="G87" s="3"/>
      <c r="H87" s="1"/>
    </row>
    <row r="88" spans="6:8" x14ac:dyDescent="0.15">
      <c r="F88" s="1"/>
      <c r="G88" s="3"/>
      <c r="H88" s="1"/>
    </row>
    <row r="89" spans="6:8" x14ac:dyDescent="0.15">
      <c r="F89" s="2" t="s">
        <v>4987</v>
      </c>
      <c r="G89" s="3" t="str" cm="1">
        <f t="array" ref="G89">IF(貼付エリア!E10="イシダ",IFERROR(_xlfn.TEXTSPLIT(貼付エリア!E43,," / ",),""),"")</f>
        <v/>
      </c>
      <c r="H89" s="1"/>
    </row>
    <row r="90" spans="6:8" x14ac:dyDescent="0.15">
      <c r="F90" s="2" t="s">
        <v>4988</v>
      </c>
      <c r="G90" s="3"/>
      <c r="H90" s="1"/>
    </row>
    <row r="91" spans="6:8" x14ac:dyDescent="0.15">
      <c r="F91" s="2" t="s">
        <v>4989</v>
      </c>
      <c r="G91" s="3"/>
    </row>
    <row r="92" spans="6:8" x14ac:dyDescent="0.15">
      <c r="F92" s="2" t="s">
        <v>4990</v>
      </c>
      <c r="G92" s="3"/>
    </row>
    <row r="93" spans="6:8" x14ac:dyDescent="0.15">
      <c r="F93" s="1"/>
      <c r="G93" s="3"/>
    </row>
    <row r="94" spans="6:8" x14ac:dyDescent="0.15">
      <c r="F94" s="2" t="s">
        <v>4991</v>
      </c>
      <c r="G94" s="3" t="str" cm="1">
        <f t="array" ref="G94">IF(貼付エリア!E10="イシダ",IFERROR(_xlfn.TEXTSPLIT(貼付エリア!E44,," / ",),""),"")</f>
        <v/>
      </c>
    </row>
    <row r="95" spans="6:8" x14ac:dyDescent="0.15">
      <c r="F95" s="2" t="s">
        <v>4992</v>
      </c>
      <c r="G95" s="3"/>
    </row>
    <row r="96" spans="6:8" x14ac:dyDescent="0.15">
      <c r="F96" s="2" t="s">
        <v>4993</v>
      </c>
      <c r="G96" s="3"/>
    </row>
    <row r="97" spans="6:7" x14ac:dyDescent="0.15">
      <c r="F97" s="2" t="s">
        <v>4994</v>
      </c>
      <c r="G97" s="3"/>
    </row>
    <row r="98" spans="6:7" x14ac:dyDescent="0.15">
      <c r="F98" s="1"/>
      <c r="G98" s="3"/>
    </row>
    <row r="99" spans="6:7" x14ac:dyDescent="0.15">
      <c r="F99" s="2" t="s">
        <v>4995</v>
      </c>
      <c r="G99" s="3" t="str" cm="1">
        <f t="array" ref="G99">IF(貼付エリア!E10="イシダ",IFERROR(_xlfn.TEXTSPLIT(貼付エリア!E45,," / ",),""),"")</f>
        <v/>
      </c>
    </row>
    <row r="100" spans="6:7" x14ac:dyDescent="0.15">
      <c r="F100" s="2" t="s">
        <v>4996</v>
      </c>
      <c r="G100" s="3"/>
    </row>
    <row r="101" spans="6:7" x14ac:dyDescent="0.15">
      <c r="F101" s="2" t="s">
        <v>4997</v>
      </c>
      <c r="G101" s="3"/>
    </row>
    <row r="102" spans="6:7" x14ac:dyDescent="0.15">
      <c r="F102" s="2" t="s">
        <v>4998</v>
      </c>
      <c r="G102" s="3"/>
    </row>
    <row r="103" spans="6:7" x14ac:dyDescent="0.15">
      <c r="F103" s="1"/>
      <c r="G103" s="3"/>
    </row>
    <row r="104" spans="6:7" x14ac:dyDescent="0.15">
      <c r="F104" s="2" t="s">
        <v>4999</v>
      </c>
      <c r="G104" s="3" t="str" cm="1">
        <f t="array" ref="G104">IF(貼付エリア!E10="イシダ",IFERROR(_xlfn.TEXTSPLIT(貼付エリア!E46,," / ",),""),"")</f>
        <v/>
      </c>
    </row>
    <row r="105" spans="6:7" x14ac:dyDescent="0.15">
      <c r="F105" s="2" t="s">
        <v>5000</v>
      </c>
      <c r="G105" s="3"/>
    </row>
    <row r="106" spans="6:7" x14ac:dyDescent="0.15">
      <c r="F106" s="2" t="s">
        <v>5001</v>
      </c>
      <c r="G106" s="3"/>
    </row>
    <row r="107" spans="6:7" x14ac:dyDescent="0.15">
      <c r="F107" s="2" t="s">
        <v>5002</v>
      </c>
      <c r="G107" s="3"/>
    </row>
    <row r="108" spans="6:7" x14ac:dyDescent="0.15">
      <c r="F108" s="1"/>
      <c r="G108" s="3"/>
    </row>
    <row r="109" spans="6:7" x14ac:dyDescent="0.15">
      <c r="F109" s="2" t="s">
        <v>5003</v>
      </c>
      <c r="G109" s="3" t="str" cm="1">
        <f t="array" ref="G109">IF(貼付エリア!E10="イシダ",IFERROR(_xlfn.TEXTSPLIT(貼付エリア!E47,," / ",),""),"")</f>
        <v/>
      </c>
    </row>
    <row r="110" spans="6:7" x14ac:dyDescent="0.15">
      <c r="F110" s="2" t="s">
        <v>5004</v>
      </c>
      <c r="G110" s="3"/>
    </row>
    <row r="111" spans="6:7" x14ac:dyDescent="0.15">
      <c r="F111" s="2" t="s">
        <v>5005</v>
      </c>
      <c r="G111" s="3"/>
    </row>
    <row r="112" spans="6:7" x14ac:dyDescent="0.15">
      <c r="F112" s="2" t="s">
        <v>5006</v>
      </c>
      <c r="G112" s="3"/>
    </row>
    <row r="113" spans="6:7" x14ac:dyDescent="0.15">
      <c r="F113" s="1"/>
      <c r="G113" s="3"/>
    </row>
    <row r="114" spans="6:7" x14ac:dyDescent="0.15">
      <c r="F114" s="2" t="s">
        <v>5007</v>
      </c>
      <c r="G114" s="3" t="str" cm="1">
        <f t="array" ref="G114">IF(貼付エリア!E10="イシダ",IFERROR(_xlfn.TEXTSPLIT(貼付エリア!E48,," / ",),""),"")</f>
        <v/>
      </c>
    </row>
    <row r="115" spans="6:7" x14ac:dyDescent="0.15">
      <c r="F115" s="2" t="s">
        <v>5008</v>
      </c>
      <c r="G115" s="3"/>
    </row>
    <row r="116" spans="6:7" x14ac:dyDescent="0.15">
      <c r="F116" s="2" t="s">
        <v>5009</v>
      </c>
      <c r="G116" s="3"/>
    </row>
    <row r="117" spans="6:7" x14ac:dyDescent="0.15">
      <c r="F117" s="2" t="s">
        <v>5010</v>
      </c>
      <c r="G117" s="3"/>
    </row>
    <row r="118" spans="6:7" x14ac:dyDescent="0.15">
      <c r="F118" s="1"/>
      <c r="G118" s="3"/>
    </row>
    <row r="119" spans="6:7" x14ac:dyDescent="0.15">
      <c r="F119" s="2" t="s">
        <v>5011</v>
      </c>
      <c r="G119" s="3" t="str" cm="1">
        <f t="array" ref="G119">IF(貼付エリア!E10="イシダ",IFERROR(_xlfn.TEXTSPLIT(貼付エリア!E49,," / ",),""),"")</f>
        <v/>
      </c>
    </row>
    <row r="120" spans="6:7" x14ac:dyDescent="0.15">
      <c r="F120" s="2" t="s">
        <v>5012</v>
      </c>
      <c r="G120" s="3"/>
    </row>
    <row r="121" spans="6:7" x14ac:dyDescent="0.15">
      <c r="F121" s="2" t="s">
        <v>5013</v>
      </c>
      <c r="G121" s="3"/>
    </row>
    <row r="122" spans="6:7" x14ac:dyDescent="0.15">
      <c r="F122" s="2" t="s">
        <v>5014</v>
      </c>
      <c r="G122" s="3"/>
    </row>
    <row r="123" spans="6:7" x14ac:dyDescent="0.15">
      <c r="F123" s="1"/>
      <c r="G123" s="3"/>
    </row>
    <row r="124" spans="6:7" x14ac:dyDescent="0.15">
      <c r="F124" s="2" t="s">
        <v>5015</v>
      </c>
      <c r="G124" s="3" t="str" cm="1">
        <f t="array" ref="G124">IF(貼付エリア!E10="イシダ",IFERROR(_xlfn.TEXTSPLIT(貼付エリア!E50,," / ",),""),"")</f>
        <v/>
      </c>
    </row>
    <row r="125" spans="6:7" x14ac:dyDescent="0.15">
      <c r="F125" s="2" t="s">
        <v>5016</v>
      </c>
      <c r="G125" s="3"/>
    </row>
    <row r="126" spans="6:7" x14ac:dyDescent="0.15">
      <c r="F126" s="2" t="s">
        <v>5017</v>
      </c>
      <c r="G126" s="3"/>
    </row>
    <row r="127" spans="6:7" x14ac:dyDescent="0.15">
      <c r="F127" s="2" t="s">
        <v>5018</v>
      </c>
      <c r="G127" s="3"/>
    </row>
    <row r="128" spans="6:7" x14ac:dyDescent="0.15">
      <c r="F128" s="1"/>
      <c r="G128" s="3"/>
    </row>
    <row r="129" spans="6:7" x14ac:dyDescent="0.15">
      <c r="F129" s="2" t="s">
        <v>5019</v>
      </c>
      <c r="G129" s="3" t="str" cm="1">
        <f t="array" ref="G129">IF(貼付エリア!E10="イシダ",IFERROR(_xlfn.TEXTSPLIT(貼付エリア!E51,," / ",),""),"")</f>
        <v/>
      </c>
    </row>
    <row r="130" spans="6:7" x14ac:dyDescent="0.15">
      <c r="F130" s="2" t="s">
        <v>5020</v>
      </c>
      <c r="G130" s="3"/>
    </row>
    <row r="131" spans="6:7" x14ac:dyDescent="0.15">
      <c r="F131" s="2" t="s">
        <v>5021</v>
      </c>
      <c r="G131" s="3"/>
    </row>
    <row r="132" spans="6:7" x14ac:dyDescent="0.15">
      <c r="F132" s="2" t="s">
        <v>5022</v>
      </c>
      <c r="G132" s="3"/>
    </row>
    <row r="133" spans="6:7" x14ac:dyDescent="0.15">
      <c r="F133" s="1"/>
      <c r="G133" s="3"/>
    </row>
    <row r="134" spans="6:7" x14ac:dyDescent="0.15">
      <c r="G134" s="57" t="s">
        <v>46</v>
      </c>
    </row>
  </sheetData>
  <phoneticPr fontId="1"/>
  <hyperlinks>
    <hyperlink ref="I3" r:id="rId1" xr:uid="{A4EF22E6-EF1D-4130-9D15-7E1C5E46688A}"/>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0417" r:id="rId4" name="Button 2">
              <controlPr defaultSize="0" print="0" autoFill="0" autoPict="0" macro="[0]!make_necbook_test_2">
                <anchor moveWithCells="1" sizeWithCells="1">
                  <from>
                    <xdr:col>9</xdr:col>
                    <xdr:colOff>114300</xdr:colOff>
                    <xdr:row>7</xdr:row>
                    <xdr:rowOff>152400</xdr:rowOff>
                  </from>
                  <to>
                    <xdr:col>9</xdr:col>
                    <xdr:colOff>1333500</xdr:colOff>
                    <xdr:row>12</xdr:row>
                    <xdr:rowOff>38100</xdr:rowOff>
                  </to>
                </anchor>
              </controlPr>
            </control>
          </mc:Choice>
        </mc:AlternateContent>
        <mc:AlternateContent xmlns:mc="http://schemas.openxmlformats.org/markup-compatibility/2006">
          <mc:Choice Requires="x14">
            <control shapeId="60418" r:id="rId5" name="Button 1">
              <controlPr defaultSize="0" print="0" autoFill="0" autoPict="0" macro="[0]!main_string_cut_L2">
                <anchor moveWithCells="1" sizeWithCells="1">
                  <from>
                    <xdr:col>0</xdr:col>
                    <xdr:colOff>85725</xdr:colOff>
                    <xdr:row>3</xdr:row>
                    <xdr:rowOff>9525</xdr:rowOff>
                  </from>
                  <to>
                    <xdr:col>5</xdr:col>
                    <xdr:colOff>542925</xdr:colOff>
                    <xdr:row>7</xdr:row>
                    <xdr:rowOff>9525</xdr:rowOff>
                  </to>
                </anchor>
              </controlPr>
            </control>
          </mc:Choice>
        </mc:AlternateContent>
        <mc:AlternateContent xmlns:mc="http://schemas.openxmlformats.org/markup-compatibility/2006">
          <mc:Choice Requires="x14">
            <control shapeId="60419" r:id="rId6" name="Button 3">
              <controlPr defaultSize="0" print="0" autoFill="0" autoPict="0" macro="[0]!Start_UserInfo">
                <anchor moveWithCells="1" sizeWithCells="1">
                  <from>
                    <xdr:col>9</xdr:col>
                    <xdr:colOff>85725</xdr:colOff>
                    <xdr:row>2</xdr:row>
                    <xdr:rowOff>114300</xdr:rowOff>
                  </from>
                  <to>
                    <xdr:col>9</xdr:col>
                    <xdr:colOff>1333500</xdr:colOff>
                    <xdr:row>6</xdr:row>
                    <xdr:rowOff>114300</xdr:rowOff>
                  </to>
                </anchor>
              </controlPr>
            </control>
          </mc:Choice>
        </mc:AlternateContent>
        <mc:AlternateContent xmlns:mc="http://schemas.openxmlformats.org/markup-compatibility/2006">
          <mc:Choice Requires="x14">
            <control shapeId="60420" r:id="rId7" name="Button 4">
              <controlPr defaultSize="0" print="0" autoFill="0" autoPict="0" macro="[0]!sendmail_sample">
                <anchor moveWithCells="1">
                  <from>
                    <xdr:col>9</xdr:col>
                    <xdr:colOff>114300</xdr:colOff>
                    <xdr:row>12</xdr:row>
                    <xdr:rowOff>171450</xdr:rowOff>
                  </from>
                  <to>
                    <xdr:col>9</xdr:col>
                    <xdr:colOff>1333500</xdr:colOff>
                    <xdr:row>15</xdr:row>
                    <xdr:rowOff>161925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F1:V134"/>
  <sheetViews>
    <sheetView zoomScale="85" zoomScaleNormal="85" workbookViewId="0">
      <selection activeCell="G32" sqref="G32"/>
    </sheetView>
  </sheetViews>
  <sheetFormatPr defaultColWidth="9" defaultRowHeight="13.5" outlineLevelCol="1" x14ac:dyDescent="0.15"/>
  <cols>
    <col min="1" max="5" width="2.125" customWidth="1"/>
    <col min="6" max="6" width="26.125" customWidth="1"/>
    <col min="7" max="7" width="72.125" customWidth="1"/>
    <col min="8" max="8" width="16.25" hidden="1" customWidth="1" outlineLevel="1"/>
    <col min="9" max="9" width="112.5" hidden="1" customWidth="1" outlineLevel="1"/>
    <col min="10" max="10" width="19" customWidth="1" collapsed="1"/>
    <col min="11" max="11" width="11" style="3" customWidth="1"/>
    <col min="12" max="12" width="7.5" style="3" customWidth="1"/>
    <col min="13" max="13" width="10.5" style="3" customWidth="1"/>
    <col min="14" max="14" width="7" style="3" customWidth="1"/>
    <col min="15" max="15" width="8" style="3" customWidth="1"/>
    <col min="16" max="20" width="13.625" style="3" customWidth="1"/>
    <col min="21" max="21" width="8.625" style="3" customWidth="1"/>
    <col min="22" max="22" width="9.375" customWidth="1"/>
  </cols>
  <sheetData>
    <row r="1" spans="6:22" x14ac:dyDescent="0.15">
      <c r="F1" s="15" t="s">
        <v>67</v>
      </c>
      <c r="G1" s="9" t="s">
        <v>37</v>
      </c>
      <c r="H1" s="9"/>
      <c r="K1"/>
      <c r="L1"/>
      <c r="M1"/>
      <c r="N1"/>
      <c r="O1"/>
      <c r="P1"/>
      <c r="Q1"/>
      <c r="R1"/>
      <c r="S1"/>
      <c r="T1"/>
      <c r="U1"/>
    </row>
    <row r="2" spans="6:22" x14ac:dyDescent="0.15">
      <c r="G2" s="6" t="s">
        <v>0</v>
      </c>
      <c r="I2" s="25" t="s">
        <v>190</v>
      </c>
      <c r="J2" s="23"/>
      <c r="K2" s="19" t="s">
        <v>185</v>
      </c>
      <c r="L2" s="20" t="s">
        <v>76</v>
      </c>
      <c r="M2" s="19" t="s">
        <v>203</v>
      </c>
      <c r="N2" s="19" t="s">
        <v>175</v>
      </c>
      <c r="O2" s="19" t="s">
        <v>176</v>
      </c>
      <c r="P2" s="19" t="s">
        <v>177</v>
      </c>
      <c r="Q2" s="19" t="s">
        <v>178</v>
      </c>
      <c r="R2" s="20" t="s">
        <v>179</v>
      </c>
      <c r="S2" s="20" t="s">
        <v>180</v>
      </c>
      <c r="T2" s="20" t="s">
        <v>181</v>
      </c>
      <c r="U2" s="20" t="s">
        <v>182</v>
      </c>
      <c r="V2" s="20" t="s">
        <v>186</v>
      </c>
    </row>
    <row r="3" spans="6:22" x14ac:dyDescent="0.15">
      <c r="G3" s="17" t="s">
        <v>5053</v>
      </c>
      <c r="H3" t="s">
        <v>56</v>
      </c>
      <c r="I3" s="26" t="s">
        <v>260</v>
      </c>
      <c r="J3" s="23" t="s">
        <v>189</v>
      </c>
      <c r="K3" s="21"/>
      <c r="L3" s="22"/>
      <c r="M3" s="21"/>
      <c r="N3" s="21"/>
      <c r="O3" s="21"/>
      <c r="P3" s="21"/>
      <c r="Q3" s="21"/>
      <c r="R3" s="22"/>
      <c r="S3" s="22"/>
      <c r="T3" s="22"/>
      <c r="U3" s="22"/>
      <c r="V3" s="22"/>
    </row>
    <row r="4" spans="6:22" x14ac:dyDescent="0.15">
      <c r="G4" s="6" t="s">
        <v>34</v>
      </c>
      <c r="I4" s="25" t="s">
        <v>191</v>
      </c>
      <c r="J4" s="23"/>
      <c r="K4"/>
      <c r="L4"/>
      <c r="M4"/>
      <c r="N4"/>
      <c r="O4"/>
      <c r="P4"/>
      <c r="Q4"/>
      <c r="R4"/>
      <c r="S4"/>
      <c r="T4"/>
      <c r="U4"/>
    </row>
    <row r="5" spans="6:22" x14ac:dyDescent="0.15">
      <c r="G5" s="10" t="str">
        <f>IF(メインページ!G6 = "", メインページ!C6, メインページ!G6)</f>
        <v>C:\ハードウェア点検依頼\点検依頼</v>
      </c>
      <c r="I5" s="26" t="s">
        <v>263</v>
      </c>
      <c r="J5" s="23"/>
      <c r="K5"/>
      <c r="L5"/>
      <c r="M5"/>
      <c r="N5"/>
      <c r="O5"/>
      <c r="P5"/>
      <c r="Q5"/>
      <c r="R5"/>
      <c r="S5"/>
      <c r="T5"/>
      <c r="U5"/>
    </row>
    <row r="6" spans="6:22" x14ac:dyDescent="0.15">
      <c r="G6" s="2" t="s">
        <v>35</v>
      </c>
      <c r="I6" s="25" t="s">
        <v>192</v>
      </c>
      <c r="J6" s="23"/>
      <c r="K6"/>
      <c r="L6"/>
      <c r="M6"/>
      <c r="N6"/>
      <c r="O6"/>
      <c r="P6"/>
      <c r="Q6"/>
      <c r="R6"/>
      <c r="S6"/>
      <c r="T6"/>
      <c r="U6"/>
    </row>
    <row r="7" spans="6:22" ht="13.5" customHeight="1" x14ac:dyDescent="0.15">
      <c r="G7" s="1" t="str">
        <f>SUBSTITUTE(G18,"/","") &amp; "_保守作業依頼書「 " &amp; G10 &amp; " 」 _PFU.xlsx"</f>
        <v>19000100_保守作業依頼書「 0 」 _PFU.xlsx</v>
      </c>
      <c r="I7" s="1" t="str">
        <f ca="1">"日程調整依頼("&amp;TEXT(INDIRECT("G18"),"YYYY/MM/DD")&amp;" "&amp;TEXT(INDIRECT("G20"),"hh:mm")&amp;"-"&amp;TEXT(INDIRECT("G21"),"hh:mm")&amp;") "&amp;G10&amp;" _PFU"</f>
        <v>日程調整依頼(1900/01/00 00:00-00:00) 0 _PFU</v>
      </c>
      <c r="J7" s="23" t="s">
        <v>189</v>
      </c>
      <c r="K7"/>
      <c r="L7"/>
      <c r="M7"/>
      <c r="N7"/>
      <c r="O7"/>
      <c r="P7"/>
      <c r="Q7"/>
      <c r="R7"/>
      <c r="S7"/>
      <c r="T7"/>
      <c r="U7"/>
    </row>
    <row r="8" spans="6:22" x14ac:dyDescent="0.15">
      <c r="I8" s="1"/>
      <c r="J8" s="23"/>
      <c r="K8"/>
      <c r="L8"/>
      <c r="M8"/>
      <c r="N8"/>
      <c r="O8"/>
      <c r="P8"/>
      <c r="Q8"/>
      <c r="R8"/>
      <c r="S8"/>
      <c r="T8"/>
      <c r="U8"/>
    </row>
    <row r="9" spans="6:22" x14ac:dyDescent="0.15">
      <c r="F9" s="1"/>
      <c r="G9" s="7" t="s">
        <v>36</v>
      </c>
      <c r="H9" s="1"/>
      <c r="I9" s="25" t="s">
        <v>193</v>
      </c>
      <c r="J9" s="23"/>
      <c r="K9"/>
      <c r="L9"/>
      <c r="M9"/>
      <c r="N9"/>
      <c r="O9"/>
      <c r="P9"/>
      <c r="Q9"/>
      <c r="R9"/>
      <c r="S9"/>
      <c r="T9"/>
      <c r="U9"/>
    </row>
    <row r="10" spans="6:22" ht="13.5" customHeight="1" x14ac:dyDescent="0.15">
      <c r="F10" s="2" t="s">
        <v>38</v>
      </c>
      <c r="G10" s="35">
        <f>_xlfn.XLOOKUP("出荷先名 +工場名",貼付エリア!$D$6:$D$29,貼付エリア!$E$6:$E$29,"",0)</f>
        <v>0</v>
      </c>
      <c r="H10" s="2" t="s">
        <v>38</v>
      </c>
      <c r="I10" s="24" t="s">
        <v>200</v>
      </c>
      <c r="J10" t="s">
        <v>189</v>
      </c>
      <c r="K10"/>
      <c r="L10"/>
      <c r="M10"/>
      <c r="N10"/>
      <c r="O10"/>
      <c r="P10"/>
      <c r="Q10"/>
      <c r="R10"/>
      <c r="S10"/>
      <c r="T10"/>
      <c r="U10"/>
    </row>
    <row r="11" spans="6:22" ht="14.25" x14ac:dyDescent="0.15">
      <c r="F11" s="1"/>
      <c r="G11" s="35"/>
      <c r="H11" s="1"/>
      <c r="I11" s="25" t="s">
        <v>197</v>
      </c>
      <c r="J11" t="s">
        <v>189</v>
      </c>
      <c r="K11"/>
      <c r="L11"/>
      <c r="M11"/>
      <c r="N11"/>
      <c r="O11"/>
      <c r="P11"/>
      <c r="Q11"/>
      <c r="R11"/>
      <c r="S11"/>
      <c r="T11"/>
      <c r="U11"/>
    </row>
    <row r="12" spans="6:22" ht="14.25" x14ac:dyDescent="0.15">
      <c r="F12" s="2" t="s">
        <v>298</v>
      </c>
      <c r="G12" s="35">
        <f>_xlfn.XLOOKUP("住所",貼付エリア!$D$6:$D$29,貼付エリア!$E$6:$E$29,"",0)</f>
        <v>0</v>
      </c>
      <c r="H12" s="2" t="s">
        <v>217</v>
      </c>
      <c r="I12" s="1" t="str">
        <f>G5 &amp; "\" &amp; G7</f>
        <v>C:\ハードウェア点検依頼\点検依頼\19000100_保守作業依頼書「 0 」 _PFU.xlsx</v>
      </c>
      <c r="J12" t="s">
        <v>189</v>
      </c>
      <c r="K12"/>
      <c r="L12"/>
      <c r="M12"/>
      <c r="N12"/>
      <c r="O12"/>
      <c r="P12"/>
      <c r="Q12"/>
      <c r="R12"/>
      <c r="S12"/>
      <c r="T12"/>
      <c r="U12"/>
    </row>
    <row r="13" spans="6:22" ht="14.25" x14ac:dyDescent="0.15">
      <c r="F13" s="1"/>
      <c r="G13" s="35"/>
      <c r="H13" s="1"/>
      <c r="K13"/>
      <c r="L13"/>
      <c r="M13"/>
      <c r="N13"/>
      <c r="O13"/>
      <c r="P13"/>
      <c r="Q13"/>
      <c r="R13"/>
      <c r="S13"/>
      <c r="T13"/>
      <c r="U13"/>
    </row>
    <row r="14" spans="6:22" ht="14.25" x14ac:dyDescent="0.15">
      <c r="F14" s="2" t="s">
        <v>39</v>
      </c>
      <c r="G14" s="35">
        <f>_xlfn.XLOOKUP("取引先契約番号  ",貼付エリア!$D$6:$D$29,貼付エリア!$E$6:$E$29,"",0)</f>
        <v>0</v>
      </c>
      <c r="H14" s="2" t="s">
        <v>1</v>
      </c>
      <c r="K14"/>
      <c r="L14"/>
      <c r="M14"/>
      <c r="N14"/>
      <c r="O14"/>
      <c r="P14"/>
      <c r="Q14"/>
      <c r="R14"/>
      <c r="S14"/>
      <c r="T14"/>
      <c r="U14"/>
    </row>
    <row r="15" spans="6:22" ht="14.25" x14ac:dyDescent="0.15">
      <c r="F15" s="1"/>
      <c r="G15" s="35"/>
      <c r="H15" s="1"/>
      <c r="I15" s="24" t="s">
        <v>258</v>
      </c>
      <c r="K15"/>
      <c r="L15"/>
      <c r="M15"/>
      <c r="N15"/>
      <c r="O15"/>
      <c r="P15"/>
      <c r="Q15"/>
      <c r="R15"/>
      <c r="S15"/>
      <c r="T15"/>
      <c r="U15"/>
    </row>
    <row r="16" spans="6:22" ht="14.25" x14ac:dyDescent="0.15">
      <c r="F16" s="2" t="s">
        <v>1</v>
      </c>
      <c r="G16" s="35">
        <f>_xlfn.XLOOKUP("サポートID  ",貼付エリア!$D$6:$D$29,貼付エリア!$E$6:$E$29,"",0)</f>
        <v>0</v>
      </c>
      <c r="H16" s="1"/>
      <c r="I16" t="s">
        <v>259</v>
      </c>
      <c r="K16"/>
      <c r="L16"/>
      <c r="M16"/>
      <c r="N16"/>
      <c r="O16"/>
      <c r="P16"/>
      <c r="Q16"/>
      <c r="R16"/>
      <c r="S16"/>
      <c r="T16"/>
      <c r="U16"/>
    </row>
    <row r="17" spans="6:21" ht="14.25" x14ac:dyDescent="0.15">
      <c r="F17" s="1"/>
      <c r="G17" s="35"/>
      <c r="H17" s="1"/>
      <c r="I17" t="s">
        <v>276</v>
      </c>
      <c r="K17"/>
      <c r="L17"/>
      <c r="M17"/>
      <c r="N17"/>
      <c r="O17"/>
      <c r="P17"/>
      <c r="Q17"/>
      <c r="R17"/>
      <c r="S17"/>
      <c r="T17"/>
      <c r="U17"/>
    </row>
    <row r="18" spans="6:21" x14ac:dyDescent="0.15">
      <c r="F18" s="2" t="s">
        <v>40</v>
      </c>
      <c r="G18" s="40" t="str">
        <f>LEFT(TEXT(_xlfn.XLOOKUP("希望開始日時*",貼付エリア!$D$6:$D$29,貼付エリア!$E$6:$E$29,"---",2,1),"yyyy/mm/dd hh:mm"),10)</f>
        <v>1900/01/00</v>
      </c>
      <c r="H18" s="2" t="s">
        <v>2</v>
      </c>
      <c r="K18"/>
      <c r="L18"/>
      <c r="M18"/>
      <c r="N18"/>
      <c r="O18"/>
      <c r="P18"/>
      <c r="Q18"/>
      <c r="R18"/>
      <c r="S18"/>
      <c r="T18"/>
      <c r="U18"/>
    </row>
    <row r="19" spans="6:21" ht="14.25" x14ac:dyDescent="0.15">
      <c r="F19" s="1"/>
      <c r="G19" s="35"/>
      <c r="H19" s="2" t="s">
        <v>3</v>
      </c>
      <c r="K19"/>
      <c r="L19"/>
      <c r="M19"/>
      <c r="N19"/>
      <c r="O19"/>
      <c r="P19"/>
      <c r="Q19"/>
      <c r="R19"/>
      <c r="S19"/>
      <c r="T19"/>
      <c r="U19"/>
    </row>
    <row r="20" spans="6:21" x14ac:dyDescent="0.15">
      <c r="F20" s="2" t="s">
        <v>41</v>
      </c>
      <c r="G20" s="40" t="str" cm="1">
        <f t="array" ref="G20">RIGHT(TEXT(_xlfn.XLOOKUP("希望開始日時*",貼付エリア!$D$6:$D$29,貼付エリア!$E6:$E$29,"---",2,1),"yyyy/mm/dd hh:mm"),5)</f>
        <v>00:00</v>
      </c>
      <c r="H20" s="2" t="s">
        <v>4</v>
      </c>
      <c r="K20"/>
      <c r="L20"/>
      <c r="M20"/>
      <c r="N20"/>
      <c r="O20"/>
      <c r="P20"/>
      <c r="Q20"/>
      <c r="R20"/>
      <c r="S20"/>
      <c r="T20"/>
      <c r="U20"/>
    </row>
    <row r="21" spans="6:21" x14ac:dyDescent="0.15">
      <c r="F21" s="2" t="s">
        <v>42</v>
      </c>
      <c r="G21" s="40" t="str">
        <f>RIGHT(TEXT(_xlfn.XLOOKUP("希望終了日時*",貼付エリア!$D$6:$D$29,貼付エリア!$E$6:$E$29,"---",2,-1),"yyyy/mm/dd hh:mm"),5)</f>
        <v>00:00</v>
      </c>
      <c r="H21" s="2" t="s">
        <v>5</v>
      </c>
      <c r="K21"/>
      <c r="L21"/>
      <c r="M21"/>
      <c r="N21"/>
      <c r="O21"/>
      <c r="P21"/>
      <c r="Q21"/>
      <c r="R21"/>
      <c r="S21"/>
      <c r="T21"/>
      <c r="U21"/>
    </row>
    <row r="22" spans="6:21" ht="14.25" x14ac:dyDescent="0.15">
      <c r="F22" s="1"/>
      <c r="G22" s="35"/>
      <c r="H22" s="1"/>
      <c r="K22"/>
      <c r="L22"/>
      <c r="M22"/>
      <c r="N22"/>
      <c r="O22"/>
      <c r="P22"/>
      <c r="Q22"/>
      <c r="R22"/>
      <c r="S22"/>
      <c r="T22"/>
      <c r="U22"/>
    </row>
    <row r="23" spans="6:21" ht="14.25" x14ac:dyDescent="0.15">
      <c r="F23" s="2" t="s">
        <v>305</v>
      </c>
      <c r="G23" s="35">
        <f>_xlfn.XLOOKUP("店舗同行者／連絡先  ",貼付エリア!$D$6:$D$29,貼付エリア!$E$6:$E$29,"",0)</f>
        <v>0</v>
      </c>
      <c r="H23" s="2" t="s">
        <v>6</v>
      </c>
      <c r="K23"/>
      <c r="L23"/>
      <c r="M23"/>
      <c r="N23"/>
      <c r="O23"/>
      <c r="P23"/>
      <c r="Q23"/>
      <c r="R23"/>
      <c r="S23"/>
      <c r="T23"/>
      <c r="U23"/>
    </row>
    <row r="24" spans="6:21" ht="14.25" x14ac:dyDescent="0.15">
      <c r="F24" s="2" t="s">
        <v>44</v>
      </c>
      <c r="G24" s="35"/>
      <c r="H24" s="2" t="s">
        <v>7</v>
      </c>
      <c r="K24"/>
      <c r="L24"/>
      <c r="M24"/>
      <c r="N24"/>
      <c r="O24"/>
      <c r="P24"/>
      <c r="Q24"/>
      <c r="R24"/>
      <c r="S24"/>
      <c r="T24"/>
      <c r="U24"/>
    </row>
    <row r="25" spans="6:21" ht="14.25" x14ac:dyDescent="0.15">
      <c r="F25" s="1"/>
      <c r="G25" s="35"/>
      <c r="H25" s="2" t="s">
        <v>8</v>
      </c>
      <c r="K25"/>
      <c r="L25"/>
      <c r="M25"/>
      <c r="N25"/>
      <c r="O25"/>
      <c r="P25"/>
      <c r="Q25"/>
      <c r="R25"/>
      <c r="S25"/>
      <c r="T25"/>
      <c r="U25"/>
    </row>
    <row r="26" spans="6:21" ht="14.25" x14ac:dyDescent="0.15">
      <c r="F26" s="6" t="s">
        <v>55</v>
      </c>
      <c r="G26" s="35"/>
      <c r="H26" s="2" t="s">
        <v>9</v>
      </c>
      <c r="K26"/>
      <c r="L26"/>
      <c r="M26"/>
      <c r="N26"/>
      <c r="O26"/>
      <c r="P26"/>
      <c r="Q26"/>
      <c r="R26"/>
      <c r="S26"/>
      <c r="T26"/>
      <c r="U26"/>
    </row>
    <row r="27" spans="6:21" ht="14.25" x14ac:dyDescent="0.15">
      <c r="F27" s="1"/>
      <c r="G27" s="35"/>
      <c r="H27" s="1"/>
      <c r="K27"/>
      <c r="L27"/>
      <c r="M27"/>
      <c r="N27"/>
      <c r="O27"/>
      <c r="P27"/>
      <c r="Q27"/>
      <c r="R27"/>
      <c r="S27"/>
      <c r="T27"/>
      <c r="U27"/>
    </row>
    <row r="28" spans="6:21" x14ac:dyDescent="0.15">
      <c r="F28" s="2" t="s">
        <v>45</v>
      </c>
      <c r="G28" s="40" t="str">
        <f>SUBSTITUTE(CONCATENATE(IF(G29=0,"",G29),IF(G30=0,"","　" &amp; G30),IF(G31=0,"","　" &amp; G31))," ","")</f>
        <v/>
      </c>
      <c r="H28" s="2" t="s">
        <v>10</v>
      </c>
      <c r="K28"/>
      <c r="L28"/>
      <c r="M28"/>
      <c r="N28"/>
      <c r="O28"/>
      <c r="P28"/>
      <c r="Q28"/>
      <c r="R28"/>
      <c r="S28"/>
      <c r="T28"/>
      <c r="U28"/>
    </row>
    <row r="29" spans="6:21" x14ac:dyDescent="0.15">
      <c r="F29" s="2" t="s">
        <v>299</v>
      </c>
      <c r="G29">
        <f>_xlfn.XLOOKUP("連絡事項１",貼付エリア!$D$6:$D$29,貼付エリア!$E$6:$E$29,"",0)</f>
        <v>0</v>
      </c>
      <c r="H29" s="2" t="s">
        <v>11</v>
      </c>
      <c r="K29"/>
      <c r="L29"/>
      <c r="M29"/>
      <c r="N29"/>
      <c r="O29"/>
      <c r="P29"/>
      <c r="Q29"/>
      <c r="R29"/>
      <c r="S29"/>
      <c r="T29"/>
      <c r="U29"/>
    </row>
    <row r="30" spans="6:21" x14ac:dyDescent="0.15">
      <c r="F30" s="2" t="s">
        <v>300</v>
      </c>
      <c r="G30" s="3">
        <f>_xlfn.XLOOKUP("連絡事項２",貼付エリア!$D$6:$D$29,貼付エリア!$E$6:$E$29,"",0)</f>
        <v>0</v>
      </c>
      <c r="H30" s="2" t="s">
        <v>12</v>
      </c>
      <c r="K30"/>
      <c r="L30"/>
      <c r="M30"/>
      <c r="N30"/>
      <c r="O30"/>
      <c r="P30"/>
      <c r="Q30"/>
      <c r="R30"/>
      <c r="S30"/>
      <c r="T30"/>
      <c r="U30"/>
    </row>
    <row r="31" spans="6:21" x14ac:dyDescent="0.15">
      <c r="F31" s="2" t="s">
        <v>304</v>
      </c>
      <c r="G31">
        <f>_xlfn.XLOOKUP("連絡事項３",貼付エリア!$D$6:$D$29,貼付エリア!$E$6:$E$29,"",0)</f>
        <v>0</v>
      </c>
      <c r="H31" s="2" t="s">
        <v>13</v>
      </c>
      <c r="K31"/>
      <c r="L31"/>
      <c r="M31"/>
      <c r="N31"/>
      <c r="O31"/>
      <c r="P31"/>
      <c r="Q31"/>
      <c r="R31"/>
      <c r="S31"/>
      <c r="T31"/>
      <c r="U31"/>
    </row>
    <row r="32" spans="6:21" ht="14.25" x14ac:dyDescent="0.15">
      <c r="F32" s="1"/>
      <c r="G32" s="35" t="s">
        <v>5024</v>
      </c>
      <c r="H32" s="1"/>
      <c r="K32"/>
      <c r="L32"/>
      <c r="M32"/>
      <c r="N32"/>
      <c r="O32"/>
      <c r="P32"/>
      <c r="Q32"/>
      <c r="R32"/>
      <c r="S32"/>
      <c r="T32"/>
      <c r="U32"/>
    </row>
    <row r="33" spans="6:21" x14ac:dyDescent="0.15">
      <c r="F33" s="1"/>
      <c r="H33" s="2" t="s">
        <v>14</v>
      </c>
      <c r="K33"/>
      <c r="L33"/>
      <c r="M33"/>
      <c r="N33"/>
      <c r="O33"/>
      <c r="P33"/>
      <c r="Q33"/>
      <c r="R33"/>
      <c r="S33"/>
      <c r="T33"/>
      <c r="U33"/>
    </row>
    <row r="34" spans="6:21" ht="14.25" x14ac:dyDescent="0.15">
      <c r="F34" s="2" t="s">
        <v>4944</v>
      </c>
      <c r="G34" s="35" t="str" cm="1">
        <f t="array" ref="G34">IF(貼付エリア!E10="PFU",IFERROR(_xlfn.TEXTSPLIT(貼付エリア!E32,," / ",),""),"")</f>
        <v/>
      </c>
      <c r="H34" s="2" t="s">
        <v>15</v>
      </c>
      <c r="K34"/>
      <c r="L34"/>
      <c r="M34"/>
      <c r="N34"/>
      <c r="O34"/>
      <c r="P34"/>
      <c r="Q34"/>
      <c r="R34"/>
      <c r="S34"/>
      <c r="T34"/>
      <c r="U34"/>
    </row>
    <row r="35" spans="6:21" ht="14.25" x14ac:dyDescent="0.15">
      <c r="F35" s="2" t="s">
        <v>4945</v>
      </c>
      <c r="G35" s="35"/>
      <c r="H35" s="2" t="s">
        <v>16</v>
      </c>
      <c r="K35"/>
      <c r="L35"/>
      <c r="M35"/>
      <c r="N35"/>
      <c r="O35"/>
      <c r="P35"/>
      <c r="Q35"/>
      <c r="R35"/>
      <c r="S35"/>
      <c r="T35"/>
      <c r="U35"/>
    </row>
    <row r="36" spans="6:21" ht="14.25" x14ac:dyDescent="0.15">
      <c r="F36" s="2" t="s">
        <v>4946</v>
      </c>
      <c r="G36" s="35"/>
      <c r="H36" s="2" t="s">
        <v>17</v>
      </c>
      <c r="K36"/>
      <c r="L36"/>
      <c r="M36"/>
      <c r="N36"/>
      <c r="O36"/>
      <c r="P36"/>
      <c r="Q36"/>
      <c r="R36"/>
      <c r="S36"/>
      <c r="T36"/>
      <c r="U36"/>
    </row>
    <row r="37" spans="6:21" ht="14.25" x14ac:dyDescent="0.15">
      <c r="F37" s="2" t="s">
        <v>4947</v>
      </c>
      <c r="G37" s="35"/>
      <c r="H37" s="8"/>
      <c r="K37"/>
      <c r="L37"/>
      <c r="M37"/>
      <c r="N37"/>
      <c r="O37"/>
      <c r="P37"/>
      <c r="Q37"/>
      <c r="R37"/>
      <c r="S37"/>
      <c r="T37"/>
      <c r="U37"/>
    </row>
    <row r="38" spans="6:21" ht="14.25" x14ac:dyDescent="0.15">
      <c r="F38" s="1"/>
      <c r="G38" s="35"/>
      <c r="H38" s="2" t="s">
        <v>18</v>
      </c>
      <c r="K38"/>
      <c r="L38"/>
      <c r="M38"/>
      <c r="N38"/>
      <c r="O38"/>
      <c r="P38"/>
      <c r="Q38"/>
      <c r="R38"/>
      <c r="S38"/>
      <c r="T38"/>
      <c r="U38"/>
    </row>
    <row r="39" spans="6:21" ht="14.25" x14ac:dyDescent="0.15">
      <c r="F39" s="2" t="s">
        <v>4948</v>
      </c>
      <c r="G39" s="35" t="str" cm="1">
        <f t="array" ref="G39">IF(貼付エリア!E10="PFU",IFERROR(_xlfn.TEXTSPLIT(貼付エリア!E33,," / ",),""),"")</f>
        <v/>
      </c>
      <c r="H39" s="2" t="s">
        <v>19</v>
      </c>
      <c r="K39"/>
      <c r="L39"/>
      <c r="M39"/>
      <c r="N39"/>
      <c r="O39"/>
      <c r="P39"/>
      <c r="Q39"/>
      <c r="R39"/>
      <c r="S39"/>
      <c r="T39"/>
      <c r="U39"/>
    </row>
    <row r="40" spans="6:21" ht="14.25" x14ac:dyDescent="0.15">
      <c r="F40" s="2" t="s">
        <v>4949</v>
      </c>
      <c r="G40" s="35"/>
      <c r="H40" s="2" t="s">
        <v>20</v>
      </c>
      <c r="K40"/>
      <c r="L40"/>
      <c r="M40"/>
      <c r="N40"/>
      <c r="O40"/>
      <c r="P40"/>
      <c r="Q40"/>
      <c r="R40"/>
      <c r="S40"/>
      <c r="T40"/>
      <c r="U40"/>
    </row>
    <row r="41" spans="6:21" ht="14.25" x14ac:dyDescent="0.15">
      <c r="F41" s="2" t="s">
        <v>4950</v>
      </c>
      <c r="G41" s="35"/>
      <c r="H41" s="2" t="s">
        <v>21</v>
      </c>
      <c r="K41"/>
      <c r="L41"/>
      <c r="M41"/>
      <c r="N41"/>
      <c r="O41"/>
      <c r="P41"/>
      <c r="Q41"/>
      <c r="R41"/>
      <c r="S41"/>
      <c r="T41"/>
      <c r="U41"/>
    </row>
    <row r="42" spans="6:21" ht="14.25" x14ac:dyDescent="0.15">
      <c r="F42" s="2" t="s">
        <v>4951</v>
      </c>
      <c r="G42" s="35"/>
      <c r="H42" s="8"/>
      <c r="K42"/>
      <c r="L42"/>
      <c r="M42"/>
      <c r="N42"/>
      <c r="O42"/>
      <c r="P42"/>
      <c r="Q42"/>
      <c r="R42"/>
      <c r="S42"/>
      <c r="T42"/>
      <c r="U42"/>
    </row>
    <row r="43" spans="6:21" ht="14.25" x14ac:dyDescent="0.15">
      <c r="F43" s="1"/>
      <c r="G43" s="35"/>
      <c r="H43" s="2" t="s">
        <v>22</v>
      </c>
      <c r="K43"/>
      <c r="L43"/>
      <c r="M43"/>
      <c r="N43"/>
      <c r="O43"/>
      <c r="P43"/>
      <c r="Q43"/>
      <c r="R43"/>
      <c r="S43"/>
      <c r="T43"/>
      <c r="U43"/>
    </row>
    <row r="44" spans="6:21" ht="14.25" x14ac:dyDescent="0.15">
      <c r="F44" s="2" t="s">
        <v>4952</v>
      </c>
      <c r="G44" s="35" t="str" cm="1">
        <f t="array" ref="G44">IF(貼付エリア!E10="PFU",IFERROR(_xlfn.TEXTSPLIT(貼付エリア!E34,," / ",),""),"")</f>
        <v/>
      </c>
      <c r="H44" s="2" t="s">
        <v>23</v>
      </c>
      <c r="K44"/>
      <c r="L44"/>
      <c r="M44"/>
      <c r="N44"/>
      <c r="O44"/>
      <c r="P44"/>
      <c r="Q44"/>
      <c r="R44"/>
      <c r="S44"/>
      <c r="T44"/>
      <c r="U44"/>
    </row>
    <row r="45" spans="6:21" ht="14.25" x14ac:dyDescent="0.15">
      <c r="F45" s="2" t="s">
        <v>4953</v>
      </c>
      <c r="G45" s="35"/>
      <c r="H45" s="2" t="s">
        <v>24</v>
      </c>
      <c r="K45"/>
      <c r="L45"/>
      <c r="M45"/>
      <c r="N45"/>
      <c r="O45"/>
      <c r="P45"/>
      <c r="Q45"/>
      <c r="R45"/>
      <c r="S45"/>
      <c r="T45"/>
      <c r="U45"/>
    </row>
    <row r="46" spans="6:21" ht="14.25" x14ac:dyDescent="0.15">
      <c r="F46" s="2" t="s">
        <v>4954</v>
      </c>
      <c r="G46" s="35"/>
      <c r="H46" s="2" t="s">
        <v>25</v>
      </c>
      <c r="K46"/>
      <c r="L46"/>
      <c r="M46"/>
      <c r="N46"/>
      <c r="O46"/>
      <c r="P46"/>
      <c r="Q46"/>
      <c r="R46"/>
      <c r="S46"/>
      <c r="T46"/>
      <c r="U46"/>
    </row>
    <row r="47" spans="6:21" ht="14.25" x14ac:dyDescent="0.15">
      <c r="F47" s="2" t="s">
        <v>4955</v>
      </c>
      <c r="G47" s="35"/>
      <c r="H47" s="8"/>
      <c r="K47"/>
      <c r="L47"/>
      <c r="M47"/>
      <c r="N47"/>
      <c r="O47"/>
      <c r="P47"/>
      <c r="Q47"/>
      <c r="R47"/>
      <c r="S47"/>
      <c r="T47"/>
      <c r="U47"/>
    </row>
    <row r="48" spans="6:21" ht="14.25" x14ac:dyDescent="0.15">
      <c r="F48" s="1"/>
      <c r="G48" s="35"/>
      <c r="H48" s="2" t="s">
        <v>26</v>
      </c>
      <c r="K48"/>
      <c r="L48"/>
      <c r="M48"/>
      <c r="N48"/>
      <c r="O48"/>
      <c r="P48"/>
      <c r="Q48"/>
      <c r="R48"/>
      <c r="S48"/>
      <c r="T48"/>
      <c r="U48"/>
    </row>
    <row r="49" spans="6:21" ht="14.25" x14ac:dyDescent="0.15">
      <c r="F49" s="2" t="s">
        <v>5023</v>
      </c>
      <c r="G49" s="35" t="str" cm="1">
        <f t="array" ref="G49">IF(貼付エリア!E10="PFU",IFERROR(_xlfn.TEXTSPLIT(貼付エリア!E35,," / ",),""),"")</f>
        <v/>
      </c>
      <c r="H49" s="2" t="s">
        <v>27</v>
      </c>
      <c r="K49"/>
      <c r="L49"/>
      <c r="M49"/>
      <c r="N49"/>
      <c r="O49"/>
      <c r="P49"/>
      <c r="Q49"/>
      <c r="R49"/>
      <c r="S49"/>
      <c r="T49"/>
      <c r="U49"/>
    </row>
    <row r="50" spans="6:21" ht="14.25" x14ac:dyDescent="0.15">
      <c r="F50" s="2" t="s">
        <v>4956</v>
      </c>
      <c r="G50" s="35"/>
      <c r="H50" s="2" t="s">
        <v>28</v>
      </c>
      <c r="K50"/>
      <c r="L50"/>
      <c r="M50"/>
      <c r="N50"/>
      <c r="O50"/>
      <c r="P50"/>
      <c r="Q50"/>
      <c r="R50"/>
      <c r="S50"/>
      <c r="T50"/>
      <c r="U50"/>
    </row>
    <row r="51" spans="6:21" ht="14.25" x14ac:dyDescent="0.15">
      <c r="F51" s="2" t="s">
        <v>4957</v>
      </c>
      <c r="G51" s="35"/>
      <c r="H51" s="2" t="s">
        <v>29</v>
      </c>
      <c r="K51"/>
      <c r="L51"/>
      <c r="M51"/>
      <c r="N51"/>
      <c r="O51"/>
      <c r="P51"/>
      <c r="Q51"/>
      <c r="R51"/>
      <c r="S51"/>
      <c r="T51"/>
      <c r="U51"/>
    </row>
    <row r="52" spans="6:21" ht="14.25" x14ac:dyDescent="0.15">
      <c r="F52" s="2" t="s">
        <v>4958</v>
      </c>
      <c r="G52" s="35"/>
      <c r="H52" s="8"/>
      <c r="K52"/>
      <c r="L52"/>
      <c r="M52"/>
      <c r="N52"/>
      <c r="O52"/>
      <c r="P52"/>
      <c r="Q52"/>
      <c r="R52"/>
      <c r="S52"/>
      <c r="T52"/>
      <c r="U52"/>
    </row>
    <row r="53" spans="6:21" ht="14.25" x14ac:dyDescent="0.15">
      <c r="F53" s="1"/>
      <c r="G53" s="35"/>
      <c r="H53" s="2" t="s">
        <v>30</v>
      </c>
      <c r="K53"/>
      <c r="L53"/>
      <c r="M53"/>
      <c r="N53"/>
      <c r="O53"/>
      <c r="P53"/>
      <c r="Q53"/>
      <c r="R53"/>
      <c r="S53"/>
      <c r="T53"/>
      <c r="U53"/>
    </row>
    <row r="54" spans="6:21" ht="14.25" x14ac:dyDescent="0.15">
      <c r="F54" s="2" t="s">
        <v>4959</v>
      </c>
      <c r="G54" s="35" t="str" cm="1">
        <f t="array" ref="G54">IF(貼付エリア!E10="PFU",IFERROR(_xlfn.TEXTSPLIT(貼付エリア!E36,," / ",),""),"")</f>
        <v/>
      </c>
      <c r="H54" s="2" t="s">
        <v>31</v>
      </c>
      <c r="K54"/>
      <c r="L54"/>
      <c r="M54"/>
      <c r="N54"/>
      <c r="O54"/>
      <c r="P54"/>
      <c r="Q54"/>
      <c r="R54"/>
      <c r="S54"/>
      <c r="T54"/>
      <c r="U54"/>
    </row>
    <row r="55" spans="6:21" ht="14.25" x14ac:dyDescent="0.15">
      <c r="F55" s="2" t="s">
        <v>4960</v>
      </c>
      <c r="G55" s="35"/>
      <c r="H55" s="2" t="s">
        <v>32</v>
      </c>
      <c r="K55"/>
      <c r="L55"/>
      <c r="M55"/>
      <c r="N55"/>
      <c r="O55"/>
      <c r="P55"/>
      <c r="Q55"/>
      <c r="R55"/>
      <c r="S55"/>
      <c r="T55"/>
      <c r="U55"/>
    </row>
    <row r="56" spans="6:21" ht="14.25" x14ac:dyDescent="0.15">
      <c r="F56" s="2" t="s">
        <v>4961</v>
      </c>
      <c r="G56" s="35"/>
      <c r="H56" s="2" t="s">
        <v>33</v>
      </c>
      <c r="K56"/>
      <c r="L56"/>
      <c r="M56"/>
      <c r="N56"/>
      <c r="O56"/>
      <c r="P56"/>
      <c r="Q56"/>
      <c r="R56"/>
      <c r="S56"/>
      <c r="T56"/>
      <c r="U56"/>
    </row>
    <row r="57" spans="6:21" ht="14.25" x14ac:dyDescent="0.15">
      <c r="F57" s="2" t="s">
        <v>4962</v>
      </c>
      <c r="G57" s="35"/>
      <c r="H57" s="8"/>
      <c r="K57"/>
      <c r="L57"/>
      <c r="M57"/>
      <c r="N57"/>
      <c r="O57"/>
      <c r="P57"/>
      <c r="Q57"/>
      <c r="R57"/>
      <c r="S57"/>
      <c r="T57"/>
      <c r="U57"/>
    </row>
    <row r="58" spans="6:21" ht="14.25" x14ac:dyDescent="0.15">
      <c r="F58" s="1"/>
      <c r="G58" s="35"/>
      <c r="H58" s="2" t="s">
        <v>47</v>
      </c>
      <c r="K58"/>
      <c r="L58"/>
      <c r="M58"/>
      <c r="N58"/>
      <c r="O58"/>
      <c r="P58"/>
      <c r="Q58"/>
      <c r="R58"/>
      <c r="S58"/>
      <c r="T58"/>
      <c r="U58"/>
    </row>
    <row r="59" spans="6:21" ht="14.25" x14ac:dyDescent="0.15">
      <c r="F59" s="2" t="s">
        <v>4963</v>
      </c>
      <c r="G59" s="35" t="str" cm="1">
        <f t="array" ref="G59">IF(貼付エリア!E10="PFU",IFERROR(_xlfn.TEXTSPLIT(貼付エリア!E37,," / ",),""),"")</f>
        <v/>
      </c>
      <c r="H59" s="2" t="s">
        <v>48</v>
      </c>
      <c r="K59"/>
      <c r="L59"/>
      <c r="M59"/>
      <c r="N59"/>
      <c r="O59"/>
      <c r="P59"/>
      <c r="Q59"/>
      <c r="R59"/>
      <c r="S59"/>
      <c r="T59"/>
      <c r="U59"/>
    </row>
    <row r="60" spans="6:21" ht="14.25" x14ac:dyDescent="0.15">
      <c r="F60" s="2" t="s">
        <v>4964</v>
      </c>
      <c r="G60" s="35"/>
      <c r="H60" s="2" t="s">
        <v>49</v>
      </c>
      <c r="K60"/>
      <c r="L60"/>
      <c r="M60"/>
      <c r="N60"/>
      <c r="O60"/>
      <c r="P60"/>
      <c r="Q60"/>
      <c r="R60"/>
      <c r="S60"/>
      <c r="T60"/>
      <c r="U60"/>
    </row>
    <row r="61" spans="6:21" ht="14.25" x14ac:dyDescent="0.15">
      <c r="F61" s="2" t="s">
        <v>4965</v>
      </c>
      <c r="G61" s="35"/>
      <c r="H61" s="2" t="s">
        <v>50</v>
      </c>
      <c r="K61"/>
      <c r="L61"/>
      <c r="M61"/>
      <c r="N61"/>
      <c r="O61"/>
      <c r="P61"/>
      <c r="Q61"/>
      <c r="R61"/>
      <c r="S61"/>
      <c r="T61"/>
      <c r="U61"/>
    </row>
    <row r="62" spans="6:21" ht="14.25" x14ac:dyDescent="0.15">
      <c r="F62" s="2" t="s">
        <v>4966</v>
      </c>
      <c r="G62" s="35"/>
      <c r="H62" s="8"/>
      <c r="K62"/>
      <c r="L62"/>
      <c r="M62"/>
      <c r="N62"/>
      <c r="O62"/>
      <c r="P62"/>
      <c r="Q62"/>
      <c r="R62"/>
      <c r="S62"/>
      <c r="T62"/>
      <c r="U62"/>
    </row>
    <row r="63" spans="6:21" ht="14.25" x14ac:dyDescent="0.15">
      <c r="F63" s="1"/>
      <c r="G63" s="35"/>
      <c r="H63" s="2" t="s">
        <v>51</v>
      </c>
      <c r="K63"/>
      <c r="L63"/>
      <c r="M63"/>
      <c r="N63"/>
      <c r="O63"/>
      <c r="P63"/>
      <c r="Q63"/>
      <c r="R63"/>
      <c r="S63"/>
      <c r="T63"/>
      <c r="U63"/>
    </row>
    <row r="64" spans="6:21" ht="14.25" x14ac:dyDescent="0.15">
      <c r="F64" s="2" t="s">
        <v>4967</v>
      </c>
      <c r="G64" s="35" t="str" cm="1">
        <f t="array" ref="G64">IF(貼付エリア!E10="PFU",IFERROR(_xlfn.TEXTSPLIT(貼付エリア!E38,," / ",),""),"")</f>
        <v/>
      </c>
      <c r="H64" s="2" t="s">
        <v>52</v>
      </c>
      <c r="K64"/>
      <c r="L64"/>
      <c r="M64"/>
      <c r="N64"/>
      <c r="O64"/>
      <c r="P64"/>
      <c r="Q64"/>
      <c r="R64"/>
      <c r="S64"/>
      <c r="T64"/>
      <c r="U64"/>
    </row>
    <row r="65" spans="6:21" ht="14.25" x14ac:dyDescent="0.15">
      <c r="F65" s="2" t="s">
        <v>4968</v>
      </c>
      <c r="G65" s="35"/>
      <c r="H65" s="2" t="s">
        <v>53</v>
      </c>
      <c r="K65"/>
      <c r="L65"/>
      <c r="M65"/>
      <c r="N65"/>
      <c r="O65"/>
      <c r="P65"/>
      <c r="Q65"/>
      <c r="R65"/>
      <c r="S65"/>
      <c r="T65"/>
      <c r="U65"/>
    </row>
    <row r="66" spans="6:21" ht="14.25" x14ac:dyDescent="0.15">
      <c r="F66" s="2" t="s">
        <v>4969</v>
      </c>
      <c r="G66" s="35"/>
      <c r="H66" s="2" t="s">
        <v>54</v>
      </c>
      <c r="K66"/>
      <c r="L66"/>
      <c r="M66"/>
      <c r="N66"/>
      <c r="O66"/>
      <c r="P66"/>
      <c r="Q66"/>
      <c r="R66"/>
      <c r="S66"/>
      <c r="T66"/>
      <c r="U66"/>
    </row>
    <row r="67" spans="6:21" ht="14.25" x14ac:dyDescent="0.15">
      <c r="F67" s="2" t="s">
        <v>4970</v>
      </c>
      <c r="G67" s="35"/>
      <c r="H67" s="8"/>
      <c r="K67"/>
      <c r="L67"/>
      <c r="M67"/>
      <c r="N67"/>
      <c r="O67"/>
      <c r="P67"/>
      <c r="Q67"/>
      <c r="R67"/>
      <c r="S67"/>
      <c r="T67"/>
      <c r="U67"/>
    </row>
    <row r="68" spans="6:21" ht="14.25" x14ac:dyDescent="0.15">
      <c r="F68" s="1"/>
      <c r="G68" s="35"/>
      <c r="H68" s="8"/>
      <c r="K68"/>
      <c r="L68"/>
      <c r="M68"/>
      <c r="N68"/>
      <c r="O68"/>
      <c r="P68"/>
      <c r="Q68"/>
      <c r="R68"/>
      <c r="S68"/>
      <c r="T68"/>
      <c r="U68"/>
    </row>
    <row r="69" spans="6:21" ht="14.25" x14ac:dyDescent="0.15">
      <c r="F69" s="2" t="s">
        <v>4971</v>
      </c>
      <c r="G69" s="35" t="str" cm="1">
        <f t="array" ref="G69">IF(貼付エリア!E10="PFU",IFERROR(_xlfn.TEXTSPLIT(貼付エリア!E39,," / ",),""),"")</f>
        <v/>
      </c>
      <c r="H69" s="2" t="s">
        <v>218</v>
      </c>
      <c r="K69"/>
      <c r="L69"/>
      <c r="M69"/>
      <c r="N69"/>
      <c r="O69"/>
      <c r="P69"/>
      <c r="Q69"/>
      <c r="R69"/>
      <c r="S69"/>
      <c r="T69"/>
      <c r="U69"/>
    </row>
    <row r="70" spans="6:21" ht="14.25" x14ac:dyDescent="0.15">
      <c r="F70" s="2" t="s">
        <v>4972</v>
      </c>
      <c r="G70" s="35"/>
      <c r="H70" s="1"/>
      <c r="K70"/>
      <c r="L70"/>
      <c r="M70"/>
      <c r="N70"/>
      <c r="O70"/>
      <c r="P70"/>
      <c r="Q70"/>
      <c r="R70"/>
      <c r="S70"/>
      <c r="T70"/>
      <c r="U70"/>
    </row>
    <row r="71" spans="6:21" ht="14.25" x14ac:dyDescent="0.15">
      <c r="F71" s="2" t="s">
        <v>4973</v>
      </c>
      <c r="G71" s="35"/>
      <c r="H71" s="2" t="s">
        <v>41</v>
      </c>
      <c r="K71"/>
      <c r="L71"/>
      <c r="M71"/>
      <c r="N71"/>
      <c r="O71"/>
      <c r="P71"/>
      <c r="Q71"/>
      <c r="R71"/>
      <c r="S71"/>
      <c r="T71"/>
      <c r="U71"/>
    </row>
    <row r="72" spans="6:21" ht="14.25" x14ac:dyDescent="0.15">
      <c r="F72" s="2" t="s">
        <v>4974</v>
      </c>
      <c r="G72" s="35"/>
      <c r="H72" s="2" t="s">
        <v>42</v>
      </c>
      <c r="K72"/>
      <c r="L72"/>
      <c r="M72"/>
      <c r="N72"/>
      <c r="O72"/>
      <c r="P72"/>
      <c r="Q72"/>
      <c r="R72"/>
      <c r="S72"/>
      <c r="T72"/>
      <c r="U72"/>
    </row>
    <row r="73" spans="6:21" ht="14.25" x14ac:dyDescent="0.15">
      <c r="F73" s="1"/>
      <c r="G73" s="35"/>
      <c r="H73" s="1"/>
      <c r="K73"/>
      <c r="L73"/>
      <c r="M73"/>
      <c r="N73"/>
      <c r="O73"/>
      <c r="P73"/>
      <c r="Q73"/>
      <c r="R73"/>
      <c r="S73"/>
      <c r="T73"/>
      <c r="U73"/>
    </row>
    <row r="74" spans="6:21" ht="14.25" x14ac:dyDescent="0.15">
      <c r="F74" s="2" t="s">
        <v>4975</v>
      </c>
      <c r="G74" s="35" t="str" cm="1">
        <f t="array" ref="G74">IF(貼付エリア!E10="PFU",IFERROR(_xlfn.TEXTSPLIT(貼付エリア!E40,," / ",),""),"")</f>
        <v/>
      </c>
      <c r="H74" s="2" t="s">
        <v>43</v>
      </c>
      <c r="K74"/>
      <c r="L74"/>
      <c r="M74"/>
      <c r="N74"/>
      <c r="O74"/>
      <c r="P74"/>
      <c r="Q74"/>
      <c r="R74"/>
      <c r="S74"/>
      <c r="T74"/>
      <c r="U74"/>
    </row>
    <row r="75" spans="6:21" ht="14.25" x14ac:dyDescent="0.15">
      <c r="F75" s="2" t="s">
        <v>4976</v>
      </c>
      <c r="G75" s="35"/>
      <c r="H75" s="1"/>
      <c r="K75"/>
      <c r="L75"/>
      <c r="M75"/>
      <c r="N75"/>
      <c r="O75"/>
      <c r="P75"/>
      <c r="Q75"/>
      <c r="R75"/>
      <c r="S75"/>
      <c r="T75"/>
      <c r="U75"/>
    </row>
    <row r="76" spans="6:21" ht="14.25" x14ac:dyDescent="0.15">
      <c r="F76" s="2" t="s">
        <v>4977</v>
      </c>
      <c r="G76" s="35"/>
      <c r="H76" s="1"/>
      <c r="K76"/>
      <c r="L76"/>
      <c r="M76"/>
      <c r="N76"/>
      <c r="O76"/>
      <c r="P76"/>
      <c r="Q76"/>
      <c r="R76"/>
      <c r="S76"/>
      <c r="T76"/>
      <c r="U76"/>
    </row>
    <row r="77" spans="6:21" ht="14.25" x14ac:dyDescent="0.15">
      <c r="F77" s="2" t="s">
        <v>4978</v>
      </c>
      <c r="G77" s="35"/>
      <c r="H77" s="6" t="s">
        <v>55</v>
      </c>
      <c r="K77"/>
      <c r="L77"/>
      <c r="M77"/>
      <c r="N77"/>
      <c r="O77"/>
      <c r="P77"/>
      <c r="Q77"/>
      <c r="R77"/>
      <c r="S77"/>
      <c r="T77"/>
      <c r="U77"/>
    </row>
    <row r="78" spans="6:21" ht="14.25" x14ac:dyDescent="0.15">
      <c r="F78" s="1"/>
      <c r="G78" s="35"/>
      <c r="H78" s="1"/>
      <c r="K78"/>
      <c r="L78"/>
      <c r="M78"/>
      <c r="N78"/>
      <c r="O78"/>
      <c r="P78"/>
      <c r="Q78"/>
      <c r="R78"/>
      <c r="S78"/>
      <c r="T78"/>
      <c r="U78"/>
    </row>
    <row r="79" spans="6:21" ht="14.25" x14ac:dyDescent="0.15">
      <c r="F79" s="2" t="s">
        <v>4979</v>
      </c>
      <c r="G79" s="35" t="str" cm="1">
        <f t="array" ref="G79">IF(貼付エリア!E10="PFU",IFERROR(_xlfn.TEXTSPLIT(貼付エリア!E41,," / ",),""),"")</f>
        <v/>
      </c>
      <c r="H79" s="2" t="s">
        <v>44</v>
      </c>
      <c r="K79"/>
      <c r="L79"/>
      <c r="M79"/>
      <c r="N79"/>
      <c r="O79"/>
      <c r="P79"/>
      <c r="Q79"/>
      <c r="R79"/>
      <c r="S79"/>
      <c r="T79"/>
      <c r="U79"/>
    </row>
    <row r="80" spans="6:21" ht="14.25" x14ac:dyDescent="0.15">
      <c r="F80" s="2" t="s">
        <v>4980</v>
      </c>
      <c r="G80" s="35"/>
      <c r="H80" s="1"/>
      <c r="K80"/>
      <c r="L80"/>
      <c r="M80"/>
      <c r="N80"/>
      <c r="O80"/>
      <c r="P80"/>
      <c r="Q80"/>
      <c r="R80"/>
      <c r="S80"/>
      <c r="T80"/>
      <c r="U80"/>
    </row>
    <row r="81" spans="6:21" ht="14.25" x14ac:dyDescent="0.15">
      <c r="F81" s="2" t="s">
        <v>4981</v>
      </c>
      <c r="G81" s="35"/>
      <c r="H81" s="2" t="s">
        <v>45</v>
      </c>
      <c r="K81"/>
      <c r="L81"/>
      <c r="M81"/>
      <c r="N81"/>
      <c r="O81"/>
      <c r="P81"/>
      <c r="Q81"/>
      <c r="R81"/>
      <c r="S81"/>
      <c r="T81"/>
      <c r="U81"/>
    </row>
    <row r="82" spans="6:21" ht="14.25" x14ac:dyDescent="0.15">
      <c r="F82" s="2" t="s">
        <v>4982</v>
      </c>
      <c r="G82" s="35"/>
      <c r="H82" s="1"/>
      <c r="K82"/>
      <c r="L82"/>
      <c r="M82"/>
      <c r="N82"/>
      <c r="O82"/>
      <c r="P82"/>
      <c r="Q82"/>
      <c r="R82"/>
      <c r="S82"/>
      <c r="T82"/>
      <c r="U82"/>
    </row>
    <row r="83" spans="6:21" x14ac:dyDescent="0.15">
      <c r="F83" s="1"/>
      <c r="G83" s="3"/>
      <c r="H83" s="1"/>
      <c r="K83"/>
      <c r="L83"/>
      <c r="M83"/>
      <c r="N83"/>
      <c r="O83"/>
      <c r="P83"/>
      <c r="Q83"/>
      <c r="R83"/>
      <c r="S83"/>
      <c r="T83"/>
      <c r="U83"/>
    </row>
    <row r="84" spans="6:21" x14ac:dyDescent="0.15">
      <c r="F84" s="2" t="s">
        <v>4983</v>
      </c>
      <c r="G84" s="3" t="str" cm="1">
        <f t="array" ref="G84">IF(貼付エリア!E10="PFU",IFERROR(_xlfn.TEXTSPLIT(貼付エリア!E42,," / ",),""),"")</f>
        <v/>
      </c>
      <c r="H84" s="1"/>
      <c r="K84"/>
      <c r="L84"/>
      <c r="M84"/>
      <c r="N84"/>
      <c r="O84"/>
      <c r="P84"/>
      <c r="Q84"/>
      <c r="R84"/>
      <c r="S84"/>
      <c r="T84"/>
      <c r="U84"/>
    </row>
    <row r="85" spans="6:21" x14ac:dyDescent="0.15">
      <c r="F85" s="2" t="s">
        <v>4984</v>
      </c>
      <c r="G85" s="3"/>
      <c r="H85" s="1"/>
      <c r="K85"/>
      <c r="L85"/>
      <c r="M85"/>
      <c r="N85"/>
      <c r="O85"/>
      <c r="P85"/>
      <c r="Q85"/>
      <c r="R85"/>
      <c r="S85"/>
      <c r="T85"/>
      <c r="U85"/>
    </row>
    <row r="86" spans="6:21" x14ac:dyDescent="0.15">
      <c r="F86" s="2" t="s">
        <v>4985</v>
      </c>
      <c r="G86" s="3"/>
      <c r="H86" s="1"/>
      <c r="K86"/>
      <c r="L86"/>
      <c r="M86"/>
      <c r="N86"/>
      <c r="O86"/>
      <c r="P86"/>
      <c r="Q86"/>
      <c r="R86"/>
      <c r="S86"/>
      <c r="T86"/>
      <c r="U86"/>
    </row>
    <row r="87" spans="6:21" x14ac:dyDescent="0.15">
      <c r="F87" s="2" t="s">
        <v>4986</v>
      </c>
      <c r="G87" s="3"/>
      <c r="H87" s="1"/>
      <c r="K87"/>
      <c r="L87"/>
      <c r="M87"/>
      <c r="N87"/>
      <c r="O87"/>
      <c r="P87"/>
      <c r="Q87"/>
      <c r="R87"/>
      <c r="S87"/>
      <c r="T87"/>
      <c r="U87"/>
    </row>
    <row r="88" spans="6:21" x14ac:dyDescent="0.15">
      <c r="F88" s="1"/>
      <c r="G88" s="3"/>
      <c r="H88" s="1"/>
      <c r="K88"/>
      <c r="L88"/>
      <c r="M88"/>
      <c r="N88"/>
      <c r="O88"/>
      <c r="P88"/>
      <c r="Q88"/>
      <c r="R88"/>
      <c r="S88"/>
      <c r="T88"/>
      <c r="U88"/>
    </row>
    <row r="89" spans="6:21" x14ac:dyDescent="0.15">
      <c r="F89" s="2" t="s">
        <v>4987</v>
      </c>
      <c r="G89" s="3" t="str" cm="1">
        <f t="array" ref="G89">IF(貼付エリア!E10="PFU",IFERROR(_xlfn.TEXTSPLIT(貼付エリア!E43,," / ",),""),"")</f>
        <v/>
      </c>
      <c r="H89" s="1"/>
      <c r="K89"/>
      <c r="L89"/>
      <c r="M89"/>
      <c r="N89"/>
      <c r="O89"/>
      <c r="P89"/>
      <c r="Q89"/>
      <c r="R89"/>
      <c r="S89"/>
      <c r="T89"/>
      <c r="U89"/>
    </row>
    <row r="90" spans="6:21" x14ac:dyDescent="0.15">
      <c r="F90" s="2" t="s">
        <v>4988</v>
      </c>
      <c r="G90" s="3"/>
      <c r="H90" s="1"/>
      <c r="K90"/>
      <c r="L90"/>
      <c r="M90"/>
      <c r="N90"/>
      <c r="O90"/>
      <c r="P90"/>
      <c r="Q90"/>
      <c r="R90"/>
      <c r="S90"/>
      <c r="T90"/>
      <c r="U90"/>
    </row>
    <row r="91" spans="6:21" x14ac:dyDescent="0.15">
      <c r="F91" s="2" t="s">
        <v>4989</v>
      </c>
      <c r="G91" s="3"/>
    </row>
    <row r="92" spans="6:21" x14ac:dyDescent="0.15">
      <c r="F92" s="2" t="s">
        <v>4990</v>
      </c>
      <c r="G92" s="3"/>
    </row>
    <row r="93" spans="6:21" x14ac:dyDescent="0.15">
      <c r="F93" s="1"/>
      <c r="G93" s="3"/>
    </row>
    <row r="94" spans="6:21" x14ac:dyDescent="0.15">
      <c r="F94" s="2" t="s">
        <v>4991</v>
      </c>
      <c r="G94" s="3" t="str" cm="1">
        <f t="array" ref="G94">IF(貼付エリア!E10="PFU",IFERROR(_xlfn.TEXTSPLIT(貼付エリア!E44,," / ",),""),"")</f>
        <v/>
      </c>
    </row>
    <row r="95" spans="6:21" x14ac:dyDescent="0.15">
      <c r="F95" s="2" t="s">
        <v>4992</v>
      </c>
      <c r="G95" s="3"/>
    </row>
    <row r="96" spans="6:21" x14ac:dyDescent="0.15">
      <c r="F96" s="2" t="s">
        <v>4993</v>
      </c>
      <c r="G96" s="3"/>
    </row>
    <row r="97" spans="6:7" x14ac:dyDescent="0.15">
      <c r="F97" s="2" t="s">
        <v>4994</v>
      </c>
      <c r="G97" s="3"/>
    </row>
    <row r="98" spans="6:7" x14ac:dyDescent="0.15">
      <c r="F98" s="1"/>
      <c r="G98" s="3"/>
    </row>
    <row r="99" spans="6:7" x14ac:dyDescent="0.15">
      <c r="F99" s="2" t="s">
        <v>4995</v>
      </c>
      <c r="G99" s="3" t="str" cm="1">
        <f t="array" ref="G99">IF(貼付エリア!E10="PFU",IFERROR(_xlfn.TEXTSPLIT(貼付エリア!E45,," / ",),""),"")</f>
        <v/>
      </c>
    </row>
    <row r="100" spans="6:7" x14ac:dyDescent="0.15">
      <c r="F100" s="2" t="s">
        <v>4996</v>
      </c>
      <c r="G100" s="3"/>
    </row>
    <row r="101" spans="6:7" x14ac:dyDescent="0.15">
      <c r="F101" s="2" t="s">
        <v>4997</v>
      </c>
      <c r="G101" s="3"/>
    </row>
    <row r="102" spans="6:7" x14ac:dyDescent="0.15">
      <c r="F102" s="2" t="s">
        <v>4998</v>
      </c>
      <c r="G102" s="3"/>
    </row>
    <row r="103" spans="6:7" x14ac:dyDescent="0.15">
      <c r="F103" s="1"/>
      <c r="G103" s="3"/>
    </row>
    <row r="104" spans="6:7" x14ac:dyDescent="0.15">
      <c r="F104" s="2" t="s">
        <v>4999</v>
      </c>
      <c r="G104" s="3" t="str" cm="1">
        <f t="array" ref="G104">IF(貼付エリア!E10="PFU",IFERROR(_xlfn.TEXTSPLIT(貼付エリア!E46,," / ",),""),"")</f>
        <v/>
      </c>
    </row>
    <row r="105" spans="6:7" x14ac:dyDescent="0.15">
      <c r="F105" s="2" t="s">
        <v>5000</v>
      </c>
      <c r="G105" s="3"/>
    </row>
    <row r="106" spans="6:7" x14ac:dyDescent="0.15">
      <c r="F106" s="2" t="s">
        <v>5001</v>
      </c>
      <c r="G106" s="3"/>
    </row>
    <row r="107" spans="6:7" x14ac:dyDescent="0.15">
      <c r="F107" s="2" t="s">
        <v>5002</v>
      </c>
      <c r="G107" s="3"/>
    </row>
    <row r="108" spans="6:7" x14ac:dyDescent="0.15">
      <c r="F108" s="1"/>
      <c r="G108" s="3"/>
    </row>
    <row r="109" spans="6:7" x14ac:dyDescent="0.15">
      <c r="F109" s="2" t="s">
        <v>5003</v>
      </c>
      <c r="G109" s="3" t="str" cm="1">
        <f t="array" ref="G109">IF(貼付エリア!E10="PFU",IFERROR(_xlfn.TEXTSPLIT(貼付エリア!E47,," / ",),""),"")</f>
        <v/>
      </c>
    </row>
    <row r="110" spans="6:7" x14ac:dyDescent="0.15">
      <c r="F110" s="2" t="s">
        <v>5004</v>
      </c>
      <c r="G110" s="3"/>
    </row>
    <row r="111" spans="6:7" x14ac:dyDescent="0.15">
      <c r="F111" s="2" t="s">
        <v>5005</v>
      </c>
      <c r="G111" s="3"/>
    </row>
    <row r="112" spans="6:7" x14ac:dyDescent="0.15">
      <c r="F112" s="2" t="s">
        <v>5006</v>
      </c>
      <c r="G112" s="3"/>
    </row>
    <row r="113" spans="6:7" x14ac:dyDescent="0.15">
      <c r="F113" s="1"/>
      <c r="G113" s="3"/>
    </row>
    <row r="114" spans="6:7" x14ac:dyDescent="0.15">
      <c r="F114" s="2" t="s">
        <v>5007</v>
      </c>
      <c r="G114" s="3" t="str" cm="1">
        <f t="array" ref="G114">IF(貼付エリア!E10="PFU",IFERROR(_xlfn.TEXTSPLIT(貼付エリア!E48,," / ",),""),"")</f>
        <v/>
      </c>
    </row>
    <row r="115" spans="6:7" x14ac:dyDescent="0.15">
      <c r="F115" s="2" t="s">
        <v>5008</v>
      </c>
      <c r="G115" s="3"/>
    </row>
    <row r="116" spans="6:7" x14ac:dyDescent="0.15">
      <c r="F116" s="2" t="s">
        <v>5009</v>
      </c>
      <c r="G116" s="3"/>
    </row>
    <row r="117" spans="6:7" x14ac:dyDescent="0.15">
      <c r="F117" s="2" t="s">
        <v>5010</v>
      </c>
      <c r="G117" s="3"/>
    </row>
    <row r="118" spans="6:7" x14ac:dyDescent="0.15">
      <c r="F118" s="1"/>
      <c r="G118" s="3"/>
    </row>
    <row r="119" spans="6:7" x14ac:dyDescent="0.15">
      <c r="F119" s="2" t="s">
        <v>5011</v>
      </c>
      <c r="G119" s="3" t="str" cm="1">
        <f t="array" ref="G119">IF(貼付エリア!E10="PFU",IFERROR(_xlfn.TEXTSPLIT(貼付エリア!E49,," / ",),""),"")</f>
        <v/>
      </c>
    </row>
    <row r="120" spans="6:7" x14ac:dyDescent="0.15">
      <c r="F120" s="2" t="s">
        <v>5012</v>
      </c>
      <c r="G120" s="3"/>
    </row>
    <row r="121" spans="6:7" x14ac:dyDescent="0.15">
      <c r="F121" s="2" t="s">
        <v>5013</v>
      </c>
      <c r="G121" s="3"/>
    </row>
    <row r="122" spans="6:7" x14ac:dyDescent="0.15">
      <c r="F122" s="2" t="s">
        <v>5014</v>
      </c>
      <c r="G122" s="3"/>
    </row>
    <row r="123" spans="6:7" x14ac:dyDescent="0.15">
      <c r="F123" s="1"/>
      <c r="G123" s="3"/>
    </row>
    <row r="124" spans="6:7" x14ac:dyDescent="0.15">
      <c r="F124" s="2" t="s">
        <v>5015</v>
      </c>
      <c r="G124" s="3" t="str" cm="1">
        <f t="array" ref="G124">IF(貼付エリア!E10="PFU",IFERROR(_xlfn.TEXTSPLIT(貼付エリア!E50,," / ",),""),"")</f>
        <v/>
      </c>
    </row>
    <row r="125" spans="6:7" x14ac:dyDescent="0.15">
      <c r="F125" s="2" t="s">
        <v>5016</v>
      </c>
      <c r="G125" s="3"/>
    </row>
    <row r="126" spans="6:7" x14ac:dyDescent="0.15">
      <c r="F126" s="2" t="s">
        <v>5017</v>
      </c>
      <c r="G126" s="3"/>
    </row>
    <row r="127" spans="6:7" x14ac:dyDescent="0.15">
      <c r="F127" s="2" t="s">
        <v>5018</v>
      </c>
      <c r="G127" s="3"/>
    </row>
    <row r="128" spans="6:7" x14ac:dyDescent="0.15">
      <c r="F128" s="1"/>
      <c r="G128" s="3"/>
    </row>
    <row r="129" spans="6:7" x14ac:dyDescent="0.15">
      <c r="F129" s="2" t="s">
        <v>5019</v>
      </c>
      <c r="G129" s="3" t="str" cm="1">
        <f t="array" ref="G129">IF(貼付エリア!E10="PFU",IFERROR(_xlfn.TEXTSPLIT(貼付エリア!E51,," / ",),""),"")</f>
        <v/>
      </c>
    </row>
    <row r="130" spans="6:7" x14ac:dyDescent="0.15">
      <c r="F130" s="2" t="s">
        <v>5020</v>
      </c>
      <c r="G130" s="3"/>
    </row>
    <row r="131" spans="6:7" x14ac:dyDescent="0.15">
      <c r="F131" s="2" t="s">
        <v>5021</v>
      </c>
      <c r="G131" s="3"/>
    </row>
    <row r="132" spans="6:7" x14ac:dyDescent="0.15">
      <c r="F132" s="2" t="s">
        <v>5022</v>
      </c>
      <c r="G132" s="3"/>
    </row>
    <row r="133" spans="6:7" x14ac:dyDescent="0.15">
      <c r="F133" s="1"/>
      <c r="G133" s="3"/>
    </row>
    <row r="134" spans="6:7" x14ac:dyDescent="0.15">
      <c r="G134" s="57" t="s">
        <v>46</v>
      </c>
    </row>
  </sheetData>
  <phoneticPr fontId="1"/>
  <hyperlinks>
    <hyperlink ref="I5" r:id="rId1" display="nakano.pfu@jp.fujitsu.com" xr:uid="{00000000-0004-0000-0400-000000000000}"/>
    <hyperlink ref="I3" r:id="rId2" xr:uid="{9260F883-289C-49DA-AAD8-EF52D04EAF05}"/>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37889" r:id="rId5" name="Button 2">
              <controlPr defaultSize="0" print="0" autoFill="0" autoPict="0" macro="[0]!make_necbook_test_2">
                <anchor moveWithCells="1" sizeWithCells="1">
                  <from>
                    <xdr:col>9</xdr:col>
                    <xdr:colOff>104775</xdr:colOff>
                    <xdr:row>7</xdr:row>
                    <xdr:rowOff>152400</xdr:rowOff>
                  </from>
                  <to>
                    <xdr:col>9</xdr:col>
                    <xdr:colOff>1333500</xdr:colOff>
                    <xdr:row>12</xdr:row>
                    <xdr:rowOff>38100</xdr:rowOff>
                  </to>
                </anchor>
              </controlPr>
            </control>
          </mc:Choice>
        </mc:AlternateContent>
        <mc:AlternateContent xmlns:mc="http://schemas.openxmlformats.org/markup-compatibility/2006">
          <mc:Choice Requires="x14">
            <control shapeId="37890" r:id="rId6" name="Button 1">
              <controlPr defaultSize="0" print="0" autoFill="0" autoPict="0" macro="[0]!main_string_cut_L2">
                <anchor moveWithCells="1" sizeWithCells="1">
                  <from>
                    <xdr:col>0</xdr:col>
                    <xdr:colOff>85725</xdr:colOff>
                    <xdr:row>3</xdr:row>
                    <xdr:rowOff>9525</xdr:rowOff>
                  </from>
                  <to>
                    <xdr:col>5</xdr:col>
                    <xdr:colOff>542925</xdr:colOff>
                    <xdr:row>7</xdr:row>
                    <xdr:rowOff>9525</xdr:rowOff>
                  </to>
                </anchor>
              </controlPr>
            </control>
          </mc:Choice>
        </mc:AlternateContent>
        <mc:AlternateContent xmlns:mc="http://schemas.openxmlformats.org/markup-compatibility/2006">
          <mc:Choice Requires="x14">
            <control shapeId="37893" r:id="rId7" name="Button 5">
              <controlPr defaultSize="0" print="0" autoFill="0" autoPict="0" macro="[0]!Start_UserInfo">
                <anchor moveWithCells="1" sizeWithCells="1">
                  <from>
                    <xdr:col>9</xdr:col>
                    <xdr:colOff>85725</xdr:colOff>
                    <xdr:row>2</xdr:row>
                    <xdr:rowOff>114300</xdr:rowOff>
                  </from>
                  <to>
                    <xdr:col>9</xdr:col>
                    <xdr:colOff>1333500</xdr:colOff>
                    <xdr:row>6</xdr:row>
                    <xdr:rowOff>114300</xdr:rowOff>
                  </to>
                </anchor>
              </controlPr>
            </control>
          </mc:Choice>
        </mc:AlternateContent>
        <mc:AlternateContent xmlns:mc="http://schemas.openxmlformats.org/markup-compatibility/2006">
          <mc:Choice Requires="x14">
            <control shapeId="37894" r:id="rId8" name="Button 6">
              <controlPr defaultSize="0" print="0" autoFill="0" autoPict="0" macro="[0]!sendmail_sample">
                <anchor moveWithCells="1">
                  <from>
                    <xdr:col>9</xdr:col>
                    <xdr:colOff>114300</xdr:colOff>
                    <xdr:row>13</xdr:row>
                    <xdr:rowOff>0</xdr:rowOff>
                  </from>
                  <to>
                    <xdr:col>9</xdr:col>
                    <xdr:colOff>1333500</xdr:colOff>
                    <xdr:row>15</xdr:row>
                    <xdr:rowOff>171450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dimension ref="F1:V134"/>
  <sheetViews>
    <sheetView zoomScale="85" zoomScaleNormal="85" workbookViewId="0">
      <selection activeCell="G32" sqref="G32"/>
    </sheetView>
  </sheetViews>
  <sheetFormatPr defaultColWidth="9" defaultRowHeight="13.5" outlineLevelCol="1" x14ac:dyDescent="0.15"/>
  <cols>
    <col min="1" max="5" width="2.125" customWidth="1"/>
    <col min="6" max="6" width="26.125" customWidth="1"/>
    <col min="7" max="7" width="72.125" customWidth="1"/>
    <col min="8" max="8" width="16.25" hidden="1" customWidth="1" outlineLevel="1"/>
    <col min="9" max="9" width="34.25" hidden="1" customWidth="1" outlineLevel="1"/>
    <col min="10" max="10" width="19" customWidth="1" collapsed="1"/>
    <col min="11" max="11" width="11" style="3" customWidth="1"/>
    <col min="12" max="12" width="7.5" style="3" customWidth="1"/>
    <col min="13" max="13" width="10.5" style="3" customWidth="1"/>
    <col min="14" max="14" width="7" style="3" customWidth="1"/>
    <col min="15" max="15" width="8" style="3" customWidth="1"/>
    <col min="16" max="20" width="13.625" style="3" customWidth="1"/>
    <col min="21" max="21" width="8.625" style="3" customWidth="1"/>
    <col min="22" max="22" width="9.375" customWidth="1"/>
  </cols>
  <sheetData>
    <row r="1" spans="6:22" x14ac:dyDescent="0.15">
      <c r="F1" s="15" t="s">
        <v>5028</v>
      </c>
      <c r="G1" s="9"/>
      <c r="H1" s="9"/>
      <c r="V1" t="s">
        <v>215</v>
      </c>
    </row>
    <row r="2" spans="6:22" x14ac:dyDescent="0.15">
      <c r="G2" s="6" t="s">
        <v>0</v>
      </c>
      <c r="I2" s="25" t="s">
        <v>190</v>
      </c>
      <c r="J2" s="23"/>
      <c r="K2" s="19" t="s">
        <v>185</v>
      </c>
      <c r="L2" s="20" t="s">
        <v>76</v>
      </c>
      <c r="M2" s="19" t="s">
        <v>203</v>
      </c>
      <c r="N2" s="19" t="s">
        <v>175</v>
      </c>
      <c r="O2" s="19" t="s">
        <v>176</v>
      </c>
      <c r="P2" s="19" t="s">
        <v>177</v>
      </c>
      <c r="Q2" s="19" t="s">
        <v>178</v>
      </c>
      <c r="R2" s="20" t="s">
        <v>179</v>
      </c>
      <c r="S2" s="20" t="s">
        <v>180</v>
      </c>
      <c r="T2" s="20" t="s">
        <v>181</v>
      </c>
      <c r="U2" s="20" t="s">
        <v>182</v>
      </c>
      <c r="V2" s="20" t="s">
        <v>186</v>
      </c>
    </row>
    <row r="3" spans="6:22" x14ac:dyDescent="0.15">
      <c r="G3" s="17" t="s">
        <v>5054</v>
      </c>
      <c r="H3" t="s">
        <v>56</v>
      </c>
      <c r="I3" s="26"/>
      <c r="J3" s="23" t="s">
        <v>189</v>
      </c>
      <c r="K3" s="21"/>
      <c r="L3" s="22"/>
      <c r="M3" s="21"/>
      <c r="N3" s="21"/>
      <c r="O3" s="21"/>
      <c r="P3" s="21"/>
      <c r="Q3" s="21"/>
      <c r="R3" s="22"/>
      <c r="S3" s="22"/>
      <c r="T3" s="21"/>
      <c r="U3" s="22"/>
      <c r="V3" s="22"/>
    </row>
    <row r="4" spans="6:22" x14ac:dyDescent="0.15">
      <c r="G4" s="6" t="s">
        <v>34</v>
      </c>
      <c r="I4" s="25" t="s">
        <v>191</v>
      </c>
      <c r="J4" s="23"/>
      <c r="K4" s="21"/>
      <c r="L4" s="22"/>
      <c r="M4" s="21"/>
      <c r="N4" s="21"/>
      <c r="O4" s="21"/>
      <c r="P4" s="21"/>
      <c r="Q4" s="21"/>
      <c r="R4" s="22"/>
      <c r="S4" s="22"/>
      <c r="T4" s="21"/>
      <c r="U4" s="22"/>
      <c r="V4" s="22"/>
    </row>
    <row r="5" spans="6:22" x14ac:dyDescent="0.15">
      <c r="G5" s="10" t="str">
        <f>IF(メインページ!G6 = "", メインページ!C6, メインページ!G6)</f>
        <v>C:\ハードウェア点検依頼\点検依頼</v>
      </c>
      <c r="I5" s="26"/>
      <c r="J5" s="23"/>
      <c r="K5" s="21"/>
      <c r="L5" s="22"/>
      <c r="M5" s="21"/>
      <c r="N5" s="21"/>
      <c r="O5" s="21"/>
      <c r="P5" s="21"/>
      <c r="Q5" s="21"/>
      <c r="R5" s="22"/>
      <c r="S5" s="22"/>
      <c r="T5" s="21"/>
      <c r="U5" s="22"/>
      <c r="V5" s="22"/>
    </row>
    <row r="6" spans="6:22" x14ac:dyDescent="0.15">
      <c r="G6" s="2" t="s">
        <v>35</v>
      </c>
      <c r="I6" s="25" t="s">
        <v>192</v>
      </c>
      <c r="J6" s="23"/>
      <c r="K6" s="21"/>
      <c r="L6" s="22"/>
      <c r="M6" s="21"/>
      <c r="N6" s="21"/>
      <c r="O6" s="21"/>
      <c r="P6" s="21"/>
      <c r="Q6" s="21"/>
      <c r="R6" s="22"/>
      <c r="S6" s="22"/>
      <c r="T6" s="21"/>
      <c r="U6" s="22"/>
      <c r="V6" s="22"/>
    </row>
    <row r="7" spans="6:22" ht="13.5" customHeight="1" x14ac:dyDescent="0.15">
      <c r="G7" s="1" t="str">
        <f>SUBSTITUTE(G18,"/","") &amp; "_保守作業依頼書「 " &amp; G10 &amp; " 」 _IBM.xlsx"</f>
        <v>19000100_保守作業依頼書「 0 」 _IBM.xlsx</v>
      </c>
      <c r="I7" s="1" t="str">
        <f ca="1">"日程調整依頼依頼("&amp;TEXT(INDIRECT("G18"),"YYYY/MM/DD")&amp;" "&amp;TEXT(INDIRECT("G20"),"hh:mm")&amp;"-"&amp;TEXT(INDIRECT("G21"),"hh:mm")&amp;") "&amp;G10&amp;" _IBM"</f>
        <v>日程調整依頼依頼(1900/01/00 00:00-00:00) 0 _IBM</v>
      </c>
      <c r="J7" s="23" t="s">
        <v>189</v>
      </c>
      <c r="K7" s="21"/>
      <c r="L7" s="22"/>
      <c r="M7" s="21"/>
      <c r="N7" s="21"/>
      <c r="O7" s="21"/>
      <c r="P7" s="21"/>
      <c r="Q7" s="21"/>
      <c r="R7" s="22"/>
      <c r="S7" s="22"/>
      <c r="T7" s="21"/>
      <c r="U7" s="22"/>
      <c r="V7" s="22"/>
    </row>
    <row r="8" spans="6:22" x14ac:dyDescent="0.15">
      <c r="I8" s="1"/>
      <c r="J8" s="23"/>
      <c r="K8" s="21"/>
      <c r="L8" s="22"/>
      <c r="M8" s="21"/>
      <c r="N8" s="21"/>
      <c r="O8" s="21"/>
      <c r="P8" s="21"/>
      <c r="Q8" s="21"/>
      <c r="R8" s="22"/>
      <c r="S8" s="22"/>
      <c r="T8" s="21"/>
      <c r="U8" s="22"/>
      <c r="V8" s="22"/>
    </row>
    <row r="9" spans="6:22" x14ac:dyDescent="0.15">
      <c r="F9" s="1"/>
      <c r="G9" s="7" t="s">
        <v>36</v>
      </c>
      <c r="H9" s="1"/>
      <c r="I9" s="25" t="s">
        <v>193</v>
      </c>
      <c r="J9" s="23"/>
      <c r="K9" s="21"/>
      <c r="L9" s="22"/>
      <c r="M9" s="21"/>
      <c r="N9" s="21"/>
      <c r="O9" s="21"/>
      <c r="P9" s="21"/>
      <c r="Q9" s="21"/>
      <c r="R9" s="22"/>
      <c r="S9" s="22"/>
      <c r="T9" s="22"/>
      <c r="U9" s="22"/>
      <c r="V9" s="22"/>
    </row>
    <row r="10" spans="6:22" ht="13.5" customHeight="1" x14ac:dyDescent="0.15">
      <c r="F10" s="2" t="s">
        <v>38</v>
      </c>
      <c r="G10" s="35">
        <f>_xlfn.XLOOKUP("出荷先名 +工場名",貼付エリア!$D$6:$D$29,貼付エリア!$E$6:$E$29,"",0)</f>
        <v>0</v>
      </c>
      <c r="H10" s="2" t="s">
        <v>38</v>
      </c>
      <c r="I10" s="24" t="s">
        <v>201</v>
      </c>
      <c r="J10" t="s">
        <v>189</v>
      </c>
      <c r="K10"/>
      <c r="L10"/>
      <c r="M10"/>
      <c r="N10"/>
      <c r="O10"/>
      <c r="P10"/>
      <c r="Q10"/>
      <c r="R10"/>
      <c r="S10"/>
      <c r="T10"/>
      <c r="U10"/>
    </row>
    <row r="11" spans="6:22" ht="14.25" x14ac:dyDescent="0.15">
      <c r="F11" s="1"/>
      <c r="G11" s="35"/>
      <c r="H11" s="1"/>
      <c r="I11" s="25" t="s">
        <v>197</v>
      </c>
      <c r="J11" t="s">
        <v>189</v>
      </c>
      <c r="K11"/>
      <c r="L11"/>
      <c r="M11"/>
      <c r="N11"/>
      <c r="O11"/>
      <c r="P11"/>
      <c r="Q11"/>
      <c r="R11"/>
      <c r="S11"/>
      <c r="T11"/>
      <c r="U11"/>
      <c r="V11" t="s">
        <v>189</v>
      </c>
    </row>
    <row r="12" spans="6:22" ht="14.25" x14ac:dyDescent="0.15">
      <c r="F12" s="2" t="s">
        <v>298</v>
      </c>
      <c r="G12" s="35">
        <f>_xlfn.XLOOKUP("住所",貼付エリア!$D$6:$D$29,貼付エリア!$E$6:$E$29,"",0)</f>
        <v>0</v>
      </c>
      <c r="H12" s="2" t="s">
        <v>39</v>
      </c>
      <c r="I12" s="1" t="str">
        <f>G5 &amp; "\" &amp; G7</f>
        <v>C:\ハードウェア点検依頼\点検依頼\19000100_保守作業依頼書「 0 」 _IBM.xlsx</v>
      </c>
      <c r="J12" t="s">
        <v>189</v>
      </c>
      <c r="K12"/>
      <c r="L12"/>
      <c r="M12"/>
      <c r="N12"/>
      <c r="O12"/>
      <c r="P12"/>
      <c r="Q12"/>
      <c r="R12"/>
      <c r="S12"/>
      <c r="T12"/>
      <c r="U12"/>
      <c r="V12" t="s">
        <v>189</v>
      </c>
    </row>
    <row r="13" spans="6:22" ht="14.25" x14ac:dyDescent="0.15">
      <c r="F13" s="1"/>
      <c r="G13" s="35"/>
      <c r="H13" s="1"/>
      <c r="K13"/>
      <c r="L13"/>
      <c r="M13"/>
      <c r="N13"/>
      <c r="O13"/>
      <c r="P13"/>
      <c r="Q13"/>
      <c r="R13"/>
      <c r="S13"/>
      <c r="T13"/>
      <c r="U13"/>
      <c r="V13" t="s">
        <v>189</v>
      </c>
    </row>
    <row r="14" spans="6:22" ht="14.25" x14ac:dyDescent="0.15">
      <c r="F14" s="2" t="s">
        <v>39</v>
      </c>
      <c r="G14" s="35">
        <f>_xlfn.XLOOKUP("取引先契約番号  ",貼付エリア!$D$6:$D$29,貼付エリア!$E$6:$E$29,"",0)</f>
        <v>0</v>
      </c>
      <c r="H14" s="2" t="s">
        <v>1</v>
      </c>
      <c r="K14"/>
      <c r="L14"/>
      <c r="M14"/>
      <c r="N14"/>
      <c r="O14"/>
      <c r="P14"/>
      <c r="Q14"/>
      <c r="R14"/>
      <c r="S14"/>
      <c r="T14"/>
      <c r="U14"/>
      <c r="V14" t="s">
        <v>189</v>
      </c>
    </row>
    <row r="15" spans="6:22" ht="14.25" x14ac:dyDescent="0.15">
      <c r="F15" s="1"/>
      <c r="G15" s="35"/>
      <c r="H15" s="1"/>
      <c r="I15" s="24" t="s">
        <v>255</v>
      </c>
      <c r="K15"/>
      <c r="L15"/>
      <c r="M15"/>
      <c r="N15"/>
      <c r="O15"/>
      <c r="P15"/>
      <c r="Q15"/>
      <c r="R15"/>
      <c r="S15"/>
      <c r="T15"/>
      <c r="U15"/>
      <c r="V15" t="s">
        <v>189</v>
      </c>
    </row>
    <row r="16" spans="6:22" ht="14.25" x14ac:dyDescent="0.15">
      <c r="F16" s="2" t="s">
        <v>1</v>
      </c>
      <c r="G16" s="35">
        <f>_xlfn.XLOOKUP("サポートID  ",貼付エリア!$D$6:$D$29,貼付エリア!$E$6:$E$29,"",0)</f>
        <v>0</v>
      </c>
      <c r="H16" s="1"/>
      <c r="I16" t="s">
        <v>256</v>
      </c>
      <c r="K16"/>
      <c r="L16"/>
      <c r="M16"/>
      <c r="N16"/>
      <c r="O16"/>
      <c r="P16"/>
      <c r="Q16"/>
      <c r="R16"/>
      <c r="S16"/>
      <c r="T16"/>
      <c r="U16"/>
      <c r="V16" t="s">
        <v>189</v>
      </c>
    </row>
    <row r="17" spans="6:22" ht="14.25" x14ac:dyDescent="0.15">
      <c r="F17" s="1"/>
      <c r="G17" s="35"/>
      <c r="H17" s="1"/>
      <c r="K17"/>
      <c r="L17"/>
      <c r="M17"/>
      <c r="N17"/>
      <c r="O17"/>
      <c r="P17"/>
      <c r="Q17"/>
      <c r="R17"/>
      <c r="S17"/>
      <c r="T17"/>
      <c r="U17"/>
      <c r="V17" t="s">
        <v>189</v>
      </c>
    </row>
    <row r="18" spans="6:22" x14ac:dyDescent="0.15">
      <c r="F18" s="2" t="s">
        <v>40</v>
      </c>
      <c r="G18" s="40" t="str">
        <f>LEFT(TEXT(_xlfn.XLOOKUP("希望開始日時*",貼付エリア!$D$6:$D$29,貼付エリア!$E$6:$E$29,"---",2,1),"yyyy/mm/dd hh:mm"),10)</f>
        <v>1900/01/00</v>
      </c>
      <c r="H18" s="2" t="s">
        <v>2</v>
      </c>
      <c r="K18"/>
      <c r="L18"/>
      <c r="M18"/>
      <c r="N18"/>
      <c r="O18"/>
      <c r="P18"/>
      <c r="Q18"/>
      <c r="R18"/>
      <c r="S18"/>
      <c r="T18"/>
      <c r="U18"/>
      <c r="V18" t="s">
        <v>56</v>
      </c>
    </row>
    <row r="19" spans="6:22" ht="14.25" x14ac:dyDescent="0.15">
      <c r="F19" s="1"/>
      <c r="G19" s="35"/>
      <c r="H19" s="2" t="s">
        <v>3</v>
      </c>
      <c r="K19"/>
      <c r="L19"/>
      <c r="M19"/>
      <c r="N19"/>
      <c r="O19"/>
      <c r="P19"/>
      <c r="Q19"/>
      <c r="R19"/>
      <c r="S19"/>
      <c r="T19"/>
      <c r="U19"/>
      <c r="V19" t="s">
        <v>56</v>
      </c>
    </row>
    <row r="20" spans="6:22" x14ac:dyDescent="0.15">
      <c r="F20" s="2" t="s">
        <v>41</v>
      </c>
      <c r="G20" s="40" t="str" cm="1">
        <f t="array" ref="G20">RIGHT(TEXT(_xlfn.XLOOKUP("希望開始日時*",貼付エリア!$D$6:$D$29,貼付エリア!$E6:$E$29,"---",2,1),"yyyy/mm/dd hh:mm"),5)</f>
        <v>00:00</v>
      </c>
      <c r="H20" s="2" t="s">
        <v>4</v>
      </c>
      <c r="K20"/>
      <c r="L20"/>
      <c r="M20"/>
      <c r="N20"/>
      <c r="O20"/>
      <c r="P20"/>
      <c r="Q20"/>
      <c r="R20"/>
      <c r="S20"/>
      <c r="T20"/>
      <c r="U20"/>
      <c r="V20" t="s">
        <v>56</v>
      </c>
    </row>
    <row r="21" spans="6:22" x14ac:dyDescent="0.15">
      <c r="F21" s="2" t="s">
        <v>42</v>
      </c>
      <c r="G21" s="40" t="str">
        <f>RIGHT(TEXT(_xlfn.XLOOKUP("希望終了日時*",貼付エリア!$D$6:$D$29,貼付エリア!$E$6:$E$29,"---",2,-1),"yyyy/mm/dd hh:mm"),5)</f>
        <v>00:00</v>
      </c>
      <c r="H21" s="2" t="s">
        <v>5</v>
      </c>
      <c r="K21"/>
      <c r="L21"/>
      <c r="M21"/>
      <c r="N21"/>
      <c r="O21"/>
      <c r="P21"/>
      <c r="Q21"/>
      <c r="R21"/>
      <c r="S21"/>
      <c r="T21"/>
      <c r="U21"/>
      <c r="V21" t="s">
        <v>56</v>
      </c>
    </row>
    <row r="22" spans="6:22" ht="14.25" x14ac:dyDescent="0.15">
      <c r="F22" s="1"/>
      <c r="G22" s="35"/>
      <c r="H22" s="1"/>
      <c r="K22"/>
      <c r="L22"/>
      <c r="M22"/>
      <c r="N22"/>
      <c r="O22"/>
      <c r="P22"/>
      <c r="Q22"/>
      <c r="R22"/>
      <c r="S22"/>
      <c r="T22"/>
      <c r="U22"/>
      <c r="V22" t="s">
        <v>56</v>
      </c>
    </row>
    <row r="23" spans="6:22" ht="14.25" x14ac:dyDescent="0.15">
      <c r="F23" s="2" t="s">
        <v>305</v>
      </c>
      <c r="G23" s="35">
        <f>_xlfn.XLOOKUP("店舗同行者／連絡先  ",貼付エリア!$D$6:$D$29,貼付エリア!$E$6:$E$29,"",0)</f>
        <v>0</v>
      </c>
      <c r="H23" s="2" t="s">
        <v>6</v>
      </c>
      <c r="K23"/>
      <c r="L23"/>
      <c r="M23"/>
      <c r="N23"/>
      <c r="O23"/>
      <c r="P23"/>
      <c r="Q23"/>
      <c r="R23"/>
      <c r="S23"/>
      <c r="T23"/>
      <c r="U23"/>
      <c r="V23" t="s">
        <v>56</v>
      </c>
    </row>
    <row r="24" spans="6:22" ht="14.25" x14ac:dyDescent="0.15">
      <c r="F24" s="2" t="s">
        <v>44</v>
      </c>
      <c r="G24" s="35"/>
      <c r="H24" s="2" t="s">
        <v>7</v>
      </c>
      <c r="K24"/>
      <c r="L24"/>
      <c r="M24"/>
      <c r="N24"/>
      <c r="O24"/>
      <c r="P24"/>
      <c r="Q24"/>
      <c r="R24"/>
      <c r="S24"/>
      <c r="T24"/>
      <c r="U24"/>
      <c r="V24" t="s">
        <v>56</v>
      </c>
    </row>
    <row r="25" spans="6:22" ht="14.25" x14ac:dyDescent="0.15">
      <c r="F25" s="1"/>
      <c r="G25" s="35"/>
      <c r="H25" s="2" t="s">
        <v>8</v>
      </c>
      <c r="K25"/>
      <c r="L25"/>
      <c r="M25"/>
      <c r="N25"/>
      <c r="O25"/>
      <c r="P25"/>
      <c r="Q25"/>
      <c r="R25"/>
      <c r="S25"/>
      <c r="T25"/>
      <c r="U25"/>
      <c r="V25" t="s">
        <v>56</v>
      </c>
    </row>
    <row r="26" spans="6:22" ht="14.25" x14ac:dyDescent="0.15">
      <c r="F26" s="6" t="s">
        <v>55</v>
      </c>
      <c r="G26" s="35"/>
      <c r="H26" s="2" t="s">
        <v>9</v>
      </c>
      <c r="K26"/>
      <c r="L26"/>
      <c r="M26"/>
      <c r="N26"/>
      <c r="O26"/>
      <c r="P26"/>
      <c r="Q26"/>
      <c r="R26"/>
      <c r="S26"/>
      <c r="T26"/>
      <c r="U26"/>
      <c r="V26" t="s">
        <v>56</v>
      </c>
    </row>
    <row r="27" spans="6:22" ht="14.25" x14ac:dyDescent="0.15">
      <c r="F27" s="1"/>
      <c r="G27" s="35"/>
      <c r="H27" s="1"/>
      <c r="K27"/>
      <c r="L27"/>
      <c r="M27"/>
      <c r="N27"/>
      <c r="O27"/>
      <c r="P27"/>
      <c r="Q27"/>
      <c r="R27"/>
      <c r="S27"/>
      <c r="T27"/>
      <c r="U27"/>
      <c r="V27" t="s">
        <v>56</v>
      </c>
    </row>
    <row r="28" spans="6:22" x14ac:dyDescent="0.15">
      <c r="F28" s="2" t="s">
        <v>45</v>
      </c>
      <c r="G28" s="40" t="str">
        <f>SUBSTITUTE(CONCATENATE(IF(G29=0,"",G29),IF(G30=0,"","　" &amp; G30),IF(G31=0,"","　" &amp; G31))," ","")</f>
        <v/>
      </c>
      <c r="H28" s="2" t="s">
        <v>10</v>
      </c>
      <c r="K28"/>
      <c r="L28"/>
      <c r="M28"/>
      <c r="N28"/>
      <c r="O28"/>
      <c r="P28"/>
      <c r="Q28"/>
      <c r="R28"/>
      <c r="S28"/>
      <c r="T28"/>
      <c r="U28"/>
      <c r="V28" t="s">
        <v>56</v>
      </c>
    </row>
    <row r="29" spans="6:22" x14ac:dyDescent="0.15">
      <c r="F29" s="2" t="s">
        <v>299</v>
      </c>
      <c r="G29">
        <f>_xlfn.XLOOKUP("連絡事項１",貼付エリア!$D$6:$D$29,貼付エリア!$E$6:$E$29,"",0)</f>
        <v>0</v>
      </c>
      <c r="H29" s="2" t="s">
        <v>11</v>
      </c>
      <c r="K29"/>
      <c r="L29"/>
      <c r="M29"/>
      <c r="N29"/>
      <c r="O29"/>
      <c r="P29"/>
      <c r="Q29"/>
      <c r="R29"/>
      <c r="S29"/>
      <c r="T29"/>
      <c r="U29"/>
      <c r="V29" t="s">
        <v>56</v>
      </c>
    </row>
    <row r="30" spans="6:22" x14ac:dyDescent="0.15">
      <c r="F30" s="2" t="s">
        <v>300</v>
      </c>
      <c r="G30" s="3">
        <f>_xlfn.XLOOKUP("連絡事項２",貼付エリア!$D$6:$D$29,貼付エリア!$E$6:$E$29,"",0)</f>
        <v>0</v>
      </c>
      <c r="H30" s="2" t="s">
        <v>12</v>
      </c>
      <c r="K30"/>
      <c r="L30"/>
      <c r="M30"/>
      <c r="N30"/>
      <c r="O30"/>
      <c r="P30"/>
      <c r="Q30"/>
      <c r="R30"/>
      <c r="S30"/>
      <c r="T30"/>
      <c r="U30"/>
      <c r="V30" t="s">
        <v>56</v>
      </c>
    </row>
    <row r="31" spans="6:22" x14ac:dyDescent="0.15">
      <c r="F31" s="2" t="s">
        <v>304</v>
      </c>
      <c r="G31">
        <f>_xlfn.XLOOKUP("連絡事項３",貼付エリア!$D$6:$D$29,貼付エリア!$E$6:$E$29,"",0)</f>
        <v>0</v>
      </c>
      <c r="H31" s="2" t="s">
        <v>13</v>
      </c>
      <c r="K31"/>
      <c r="L31"/>
      <c r="M31"/>
      <c r="N31"/>
      <c r="O31"/>
      <c r="P31"/>
      <c r="Q31"/>
      <c r="R31"/>
      <c r="S31"/>
      <c r="T31"/>
      <c r="U31"/>
      <c r="V31" t="s">
        <v>56</v>
      </c>
    </row>
    <row r="32" spans="6:22" ht="14.25" x14ac:dyDescent="0.15">
      <c r="F32" s="1"/>
      <c r="G32" s="35" t="s">
        <v>5024</v>
      </c>
      <c r="H32" s="1"/>
      <c r="K32"/>
      <c r="L32"/>
      <c r="M32"/>
      <c r="N32"/>
      <c r="O32"/>
      <c r="P32"/>
      <c r="Q32"/>
      <c r="R32"/>
      <c r="S32"/>
      <c r="T32"/>
      <c r="U32"/>
      <c r="V32" t="s">
        <v>56</v>
      </c>
    </row>
    <row r="33" spans="6:22" x14ac:dyDescent="0.15">
      <c r="F33" s="1"/>
      <c r="H33" s="2" t="s">
        <v>14</v>
      </c>
      <c r="K33"/>
      <c r="L33"/>
      <c r="M33"/>
      <c r="N33"/>
      <c r="O33"/>
      <c r="P33"/>
      <c r="Q33"/>
      <c r="R33"/>
      <c r="S33"/>
      <c r="T33"/>
      <c r="U33"/>
      <c r="V33" t="s">
        <v>56</v>
      </c>
    </row>
    <row r="34" spans="6:22" ht="14.25" x14ac:dyDescent="0.15">
      <c r="F34" s="2" t="s">
        <v>4944</v>
      </c>
      <c r="G34" s="35" t="str" cm="1">
        <f t="array" ref="G34">IF(貼付エリア!E10="IBM他",IFERROR(_xlfn.TEXTSPLIT(貼付エリア!E32,," / ",),""),"")</f>
        <v/>
      </c>
      <c r="H34" s="2" t="s">
        <v>15</v>
      </c>
      <c r="V34" t="s">
        <v>56</v>
      </c>
    </row>
    <row r="35" spans="6:22" ht="14.25" x14ac:dyDescent="0.15">
      <c r="F35" s="2" t="s">
        <v>4945</v>
      </c>
      <c r="G35" s="35"/>
      <c r="H35" s="2" t="s">
        <v>16</v>
      </c>
      <c r="V35" t="s">
        <v>56</v>
      </c>
    </row>
    <row r="36" spans="6:22" ht="14.25" x14ac:dyDescent="0.15">
      <c r="F36" s="2" t="s">
        <v>4946</v>
      </c>
      <c r="G36" s="35"/>
      <c r="H36" s="2" t="s">
        <v>17</v>
      </c>
      <c r="V36" t="s">
        <v>56</v>
      </c>
    </row>
    <row r="37" spans="6:22" ht="14.25" x14ac:dyDescent="0.15">
      <c r="F37" s="2" t="s">
        <v>4947</v>
      </c>
      <c r="G37" s="35"/>
      <c r="H37" s="1"/>
      <c r="V37" t="s">
        <v>56</v>
      </c>
    </row>
    <row r="38" spans="6:22" ht="14.25" x14ac:dyDescent="0.15">
      <c r="F38" s="1"/>
      <c r="G38" s="35"/>
      <c r="H38" s="2" t="s">
        <v>18</v>
      </c>
      <c r="V38" t="s">
        <v>56</v>
      </c>
    </row>
    <row r="39" spans="6:22" ht="14.25" x14ac:dyDescent="0.15">
      <c r="F39" s="2" t="s">
        <v>4948</v>
      </c>
      <c r="G39" s="35" t="str" cm="1">
        <f t="array" ref="G39">IF(貼付エリア!E10="IBM他",IFERROR(_xlfn.TEXTSPLIT(貼付エリア!E33,," / ",),""),"")</f>
        <v/>
      </c>
      <c r="H39" s="2" t="s">
        <v>19</v>
      </c>
      <c r="V39" t="s">
        <v>56</v>
      </c>
    </row>
    <row r="40" spans="6:22" ht="14.25" x14ac:dyDescent="0.15">
      <c r="F40" s="2" t="s">
        <v>4949</v>
      </c>
      <c r="G40" s="35"/>
      <c r="H40" s="2" t="s">
        <v>20</v>
      </c>
      <c r="V40" t="s">
        <v>56</v>
      </c>
    </row>
    <row r="41" spans="6:22" ht="14.25" x14ac:dyDescent="0.15">
      <c r="F41" s="2" t="s">
        <v>4950</v>
      </c>
      <c r="G41" s="35"/>
      <c r="H41" s="2" t="s">
        <v>21</v>
      </c>
      <c r="V41" t="s">
        <v>56</v>
      </c>
    </row>
    <row r="42" spans="6:22" ht="14.25" x14ac:dyDescent="0.15">
      <c r="F42" s="2" t="s">
        <v>4951</v>
      </c>
      <c r="G42" s="35"/>
      <c r="H42" s="1"/>
      <c r="V42" t="s">
        <v>56</v>
      </c>
    </row>
    <row r="43" spans="6:22" ht="14.25" x14ac:dyDescent="0.15">
      <c r="F43" s="1"/>
      <c r="G43" s="35"/>
      <c r="H43" s="2" t="s">
        <v>22</v>
      </c>
      <c r="V43" t="s">
        <v>56</v>
      </c>
    </row>
    <row r="44" spans="6:22" ht="14.25" x14ac:dyDescent="0.15">
      <c r="F44" s="2" t="s">
        <v>4952</v>
      </c>
      <c r="G44" s="35" t="str" cm="1">
        <f t="array" ref="G44">IF(貼付エリア!E10="IBM他",IFERROR(_xlfn.TEXTSPLIT(貼付エリア!E34,," / ",),""),"")</f>
        <v/>
      </c>
      <c r="H44" s="2" t="s">
        <v>23</v>
      </c>
      <c r="V44" t="s">
        <v>56</v>
      </c>
    </row>
    <row r="45" spans="6:22" ht="14.25" x14ac:dyDescent="0.15">
      <c r="F45" s="2" t="s">
        <v>4953</v>
      </c>
      <c r="G45" s="35"/>
      <c r="H45" s="2" t="s">
        <v>24</v>
      </c>
      <c r="M45" s="4"/>
      <c r="V45" t="s">
        <v>56</v>
      </c>
    </row>
    <row r="46" spans="6:22" ht="14.25" x14ac:dyDescent="0.15">
      <c r="F46" s="2" t="s">
        <v>4954</v>
      </c>
      <c r="G46" s="35"/>
      <c r="H46" s="2" t="s">
        <v>25</v>
      </c>
      <c r="V46" t="s">
        <v>56</v>
      </c>
    </row>
    <row r="47" spans="6:22" ht="14.25" x14ac:dyDescent="0.15">
      <c r="F47" s="2" t="s">
        <v>4955</v>
      </c>
      <c r="G47" s="35"/>
      <c r="H47" s="1"/>
      <c r="M47" s="5"/>
      <c r="V47" t="s">
        <v>56</v>
      </c>
    </row>
    <row r="48" spans="6:22" ht="14.25" x14ac:dyDescent="0.15">
      <c r="F48" s="1"/>
      <c r="G48" s="35"/>
      <c r="H48" s="2" t="s">
        <v>26</v>
      </c>
      <c r="M48" s="5"/>
      <c r="V48" t="s">
        <v>56</v>
      </c>
    </row>
    <row r="49" spans="6:22" ht="14.25" x14ac:dyDescent="0.15">
      <c r="F49" s="2" t="s">
        <v>5023</v>
      </c>
      <c r="G49" s="35" t="str" cm="1">
        <f t="array" ref="G49">IF(貼付エリア!E10="IBM他",IFERROR(_xlfn.TEXTSPLIT(貼付エリア!E35,," / ",),""),"")</f>
        <v/>
      </c>
      <c r="H49" s="2" t="s">
        <v>27</v>
      </c>
      <c r="V49" t="s">
        <v>56</v>
      </c>
    </row>
    <row r="50" spans="6:22" ht="14.25" x14ac:dyDescent="0.15">
      <c r="F50" s="2" t="s">
        <v>4956</v>
      </c>
      <c r="G50" s="35"/>
      <c r="H50" s="2" t="s">
        <v>28</v>
      </c>
      <c r="V50" t="s">
        <v>56</v>
      </c>
    </row>
    <row r="51" spans="6:22" ht="14.25" x14ac:dyDescent="0.15">
      <c r="F51" s="2" t="s">
        <v>4957</v>
      </c>
      <c r="G51" s="35"/>
      <c r="H51" s="2" t="s">
        <v>29</v>
      </c>
    </row>
    <row r="52" spans="6:22" ht="14.25" x14ac:dyDescent="0.15">
      <c r="F52" s="2" t="s">
        <v>4958</v>
      </c>
      <c r="G52" s="35"/>
      <c r="H52" s="1"/>
    </row>
    <row r="53" spans="6:22" ht="14.25" x14ac:dyDescent="0.15">
      <c r="F53" s="1"/>
      <c r="G53" s="35"/>
      <c r="H53" s="2" t="s">
        <v>30</v>
      </c>
    </row>
    <row r="54" spans="6:22" ht="14.25" x14ac:dyDescent="0.15">
      <c r="F54" s="2" t="s">
        <v>4959</v>
      </c>
      <c r="G54" s="35" t="str" cm="1">
        <f t="array" ref="G54">IF(貼付エリア!E10="IBM他",IFERROR(_xlfn.TEXTSPLIT(貼付エリア!E36,," / ",),""),"")</f>
        <v/>
      </c>
      <c r="H54" s="2" t="s">
        <v>31</v>
      </c>
    </row>
    <row r="55" spans="6:22" ht="14.25" x14ac:dyDescent="0.15">
      <c r="F55" s="2" t="s">
        <v>4960</v>
      </c>
      <c r="G55" s="35"/>
      <c r="H55" s="2" t="s">
        <v>32</v>
      </c>
    </row>
    <row r="56" spans="6:22" ht="14.25" x14ac:dyDescent="0.15">
      <c r="F56" s="2" t="s">
        <v>4961</v>
      </c>
      <c r="G56" s="35"/>
      <c r="H56" s="2" t="s">
        <v>33</v>
      </c>
    </row>
    <row r="57" spans="6:22" ht="14.25" x14ac:dyDescent="0.15">
      <c r="F57" s="2" t="s">
        <v>4962</v>
      </c>
      <c r="G57" s="35"/>
      <c r="H57" s="1"/>
    </row>
    <row r="58" spans="6:22" ht="14.25" x14ac:dyDescent="0.15">
      <c r="F58" s="1"/>
      <c r="G58" s="35"/>
      <c r="H58" s="2" t="s">
        <v>47</v>
      </c>
    </row>
    <row r="59" spans="6:22" ht="14.25" x14ac:dyDescent="0.15">
      <c r="F59" s="2" t="s">
        <v>4963</v>
      </c>
      <c r="G59" s="35" t="str" cm="1">
        <f t="array" ref="G59">IF(貼付エリア!E10="IBM他",IFERROR(_xlfn.TEXTSPLIT(貼付エリア!E37,," / ",),""),"")</f>
        <v/>
      </c>
      <c r="H59" s="2" t="s">
        <v>48</v>
      </c>
    </row>
    <row r="60" spans="6:22" ht="14.25" x14ac:dyDescent="0.15">
      <c r="F60" s="2" t="s">
        <v>4964</v>
      </c>
      <c r="G60" s="35"/>
      <c r="H60" s="2" t="s">
        <v>49</v>
      </c>
    </row>
    <row r="61" spans="6:22" ht="14.25" x14ac:dyDescent="0.15">
      <c r="F61" s="2" t="s">
        <v>4965</v>
      </c>
      <c r="G61" s="35"/>
      <c r="H61" s="2" t="s">
        <v>50</v>
      </c>
    </row>
    <row r="62" spans="6:22" ht="14.25" x14ac:dyDescent="0.15">
      <c r="F62" s="2" t="s">
        <v>4966</v>
      </c>
      <c r="G62" s="35"/>
      <c r="H62" s="1"/>
    </row>
    <row r="63" spans="6:22" ht="14.25" x14ac:dyDescent="0.15">
      <c r="F63" s="1"/>
      <c r="G63" s="35"/>
      <c r="H63" s="2" t="s">
        <v>51</v>
      </c>
    </row>
    <row r="64" spans="6:22" ht="14.25" x14ac:dyDescent="0.15">
      <c r="F64" s="2" t="s">
        <v>4967</v>
      </c>
      <c r="G64" s="35" t="str" cm="1">
        <f t="array" ref="G64">IF(貼付エリア!E10="IBM他",IFERROR(_xlfn.TEXTSPLIT(貼付エリア!E38,," / ",),""),"")</f>
        <v/>
      </c>
      <c r="H64" s="2" t="s">
        <v>52</v>
      </c>
    </row>
    <row r="65" spans="6:8" ht="14.25" x14ac:dyDescent="0.15">
      <c r="F65" s="2" t="s">
        <v>4968</v>
      </c>
      <c r="G65" s="35"/>
      <c r="H65" s="2" t="s">
        <v>53</v>
      </c>
    </row>
    <row r="66" spans="6:8" ht="14.25" x14ac:dyDescent="0.15">
      <c r="F66" s="2" t="s">
        <v>4969</v>
      </c>
      <c r="G66" s="35"/>
      <c r="H66" s="2" t="s">
        <v>54</v>
      </c>
    </row>
    <row r="67" spans="6:8" ht="14.25" x14ac:dyDescent="0.15">
      <c r="F67" s="2" t="s">
        <v>4970</v>
      </c>
      <c r="G67" s="35"/>
      <c r="H67" s="1"/>
    </row>
    <row r="68" spans="6:8" ht="14.25" x14ac:dyDescent="0.15">
      <c r="F68" s="1"/>
      <c r="G68" s="35"/>
      <c r="H68" s="1"/>
    </row>
    <row r="69" spans="6:8" ht="14.25" x14ac:dyDescent="0.15">
      <c r="F69" s="2" t="s">
        <v>4971</v>
      </c>
      <c r="G69" s="35" t="str" cm="1">
        <f t="array" ref="G69">IF(貼付エリア!E10="IBM他",IFERROR(_xlfn.TEXTSPLIT(貼付エリア!E39,," / ",),""),"")</f>
        <v/>
      </c>
      <c r="H69" s="2" t="s">
        <v>40</v>
      </c>
    </row>
    <row r="70" spans="6:8" ht="14.25" x14ac:dyDescent="0.15">
      <c r="F70" s="2" t="s">
        <v>4972</v>
      </c>
      <c r="G70" s="35"/>
      <c r="H70" s="1"/>
    </row>
    <row r="71" spans="6:8" ht="14.25" x14ac:dyDescent="0.15">
      <c r="F71" s="2" t="s">
        <v>4973</v>
      </c>
      <c r="G71" s="35"/>
      <c r="H71" s="2" t="s">
        <v>41</v>
      </c>
    </row>
    <row r="72" spans="6:8" ht="14.25" x14ac:dyDescent="0.15">
      <c r="F72" s="2" t="s">
        <v>4974</v>
      </c>
      <c r="G72" s="35"/>
      <c r="H72" s="2" t="s">
        <v>42</v>
      </c>
    </row>
    <row r="73" spans="6:8" ht="14.25" x14ac:dyDescent="0.15">
      <c r="F73" s="1"/>
      <c r="G73" s="35"/>
      <c r="H73" s="1"/>
    </row>
    <row r="74" spans="6:8" ht="14.25" x14ac:dyDescent="0.15">
      <c r="F74" s="2" t="s">
        <v>4975</v>
      </c>
      <c r="G74" s="35" t="str" cm="1">
        <f t="array" ref="G74">IF(貼付エリア!E10="IBM他",IFERROR(_xlfn.TEXTSPLIT(貼付エリア!E40,," / ",),""),"")</f>
        <v/>
      </c>
      <c r="H74" s="2" t="s">
        <v>43</v>
      </c>
    </row>
    <row r="75" spans="6:8" ht="14.25" x14ac:dyDescent="0.15">
      <c r="F75" s="2" t="s">
        <v>4976</v>
      </c>
      <c r="G75" s="35"/>
      <c r="H75" s="1"/>
    </row>
    <row r="76" spans="6:8" ht="14.25" x14ac:dyDescent="0.15">
      <c r="F76" s="2" t="s">
        <v>4977</v>
      </c>
      <c r="G76" s="35"/>
      <c r="H76" s="1"/>
    </row>
    <row r="77" spans="6:8" ht="14.25" x14ac:dyDescent="0.15">
      <c r="F77" s="2" t="s">
        <v>4978</v>
      </c>
      <c r="G77" s="35"/>
      <c r="H77" s="6" t="s">
        <v>55</v>
      </c>
    </row>
    <row r="78" spans="6:8" ht="14.25" x14ac:dyDescent="0.15">
      <c r="F78" s="1"/>
      <c r="G78" s="35"/>
      <c r="H78" s="1"/>
    </row>
    <row r="79" spans="6:8" ht="14.25" x14ac:dyDescent="0.15">
      <c r="F79" s="2" t="s">
        <v>4979</v>
      </c>
      <c r="G79" s="35" t="str" cm="1">
        <f t="array" ref="G79">IF(貼付エリア!E10="IBM他",IFERROR(_xlfn.TEXTSPLIT(貼付エリア!E41,," / ",),""),"")</f>
        <v/>
      </c>
      <c r="H79" s="2" t="s">
        <v>44</v>
      </c>
    </row>
    <row r="80" spans="6:8" ht="14.25" x14ac:dyDescent="0.15">
      <c r="F80" s="2" t="s">
        <v>4980</v>
      </c>
      <c r="G80" s="35"/>
      <c r="H80" s="1"/>
    </row>
    <row r="81" spans="6:8" ht="14.25" x14ac:dyDescent="0.15">
      <c r="F81" s="2" t="s">
        <v>4981</v>
      </c>
      <c r="G81" s="35"/>
      <c r="H81" s="2" t="s">
        <v>45</v>
      </c>
    </row>
    <row r="82" spans="6:8" ht="14.25" x14ac:dyDescent="0.15">
      <c r="F82" s="2" t="s">
        <v>4982</v>
      </c>
      <c r="G82" s="35"/>
      <c r="H82" s="1"/>
    </row>
    <row r="83" spans="6:8" x14ac:dyDescent="0.15">
      <c r="F83" s="1"/>
      <c r="G83" s="3"/>
      <c r="H83" s="1"/>
    </row>
    <row r="84" spans="6:8" x14ac:dyDescent="0.15">
      <c r="F84" s="2" t="s">
        <v>4983</v>
      </c>
      <c r="G84" s="3" t="str" cm="1">
        <f t="array" ref="G84">IF(貼付エリア!E10="IBM他",IFERROR(_xlfn.TEXTSPLIT(貼付エリア!E42,," / ",),""),"")</f>
        <v/>
      </c>
      <c r="H84" s="1"/>
    </row>
    <row r="85" spans="6:8" x14ac:dyDescent="0.15">
      <c r="F85" s="2" t="s">
        <v>4984</v>
      </c>
      <c r="G85" s="3"/>
      <c r="H85" s="1"/>
    </row>
    <row r="86" spans="6:8" x14ac:dyDescent="0.15">
      <c r="F86" s="2" t="s">
        <v>4985</v>
      </c>
      <c r="G86" s="3"/>
      <c r="H86" s="1"/>
    </row>
    <row r="87" spans="6:8" x14ac:dyDescent="0.15">
      <c r="F87" s="2" t="s">
        <v>4986</v>
      </c>
      <c r="G87" s="3"/>
      <c r="H87" s="1"/>
    </row>
    <row r="88" spans="6:8" x14ac:dyDescent="0.15">
      <c r="F88" s="1"/>
      <c r="G88" s="3"/>
      <c r="H88" s="1"/>
    </row>
    <row r="89" spans="6:8" x14ac:dyDescent="0.15">
      <c r="F89" s="2" t="s">
        <v>4987</v>
      </c>
      <c r="G89" s="3" t="str" cm="1">
        <f t="array" ref="G89">IF(貼付エリア!E10="IBM他",IFERROR(_xlfn.TEXTSPLIT(貼付エリア!E43,," / ",),""),"")</f>
        <v/>
      </c>
      <c r="H89" s="1"/>
    </row>
    <row r="90" spans="6:8" x14ac:dyDescent="0.15">
      <c r="F90" s="2" t="s">
        <v>4988</v>
      </c>
      <c r="G90" s="3"/>
      <c r="H90" s="1"/>
    </row>
    <row r="91" spans="6:8" x14ac:dyDescent="0.15">
      <c r="F91" s="2" t="s">
        <v>4989</v>
      </c>
      <c r="G91" s="3"/>
    </row>
    <row r="92" spans="6:8" x14ac:dyDescent="0.15">
      <c r="F92" s="2" t="s">
        <v>4990</v>
      </c>
      <c r="G92" s="3"/>
    </row>
    <row r="93" spans="6:8" x14ac:dyDescent="0.15">
      <c r="F93" s="1"/>
      <c r="G93" s="3"/>
    </row>
    <row r="94" spans="6:8" x14ac:dyDescent="0.15">
      <c r="F94" s="2" t="s">
        <v>4991</v>
      </c>
      <c r="G94" s="3" t="str" cm="1">
        <f t="array" ref="G94">IF(貼付エリア!E10="IBM他",IFERROR(_xlfn.TEXTSPLIT(貼付エリア!E44,," / ",),""),"")</f>
        <v/>
      </c>
    </row>
    <row r="95" spans="6:8" x14ac:dyDescent="0.15">
      <c r="F95" s="2" t="s">
        <v>4992</v>
      </c>
      <c r="G95" s="3"/>
    </row>
    <row r="96" spans="6:8" x14ac:dyDescent="0.15">
      <c r="F96" s="2" t="s">
        <v>4993</v>
      </c>
      <c r="G96" s="3"/>
    </row>
    <row r="97" spans="6:7" x14ac:dyDescent="0.15">
      <c r="F97" s="2" t="s">
        <v>4994</v>
      </c>
      <c r="G97" s="3"/>
    </row>
    <row r="98" spans="6:7" x14ac:dyDescent="0.15">
      <c r="F98" s="1"/>
      <c r="G98" s="3"/>
    </row>
    <row r="99" spans="6:7" x14ac:dyDescent="0.15">
      <c r="F99" s="2" t="s">
        <v>4995</v>
      </c>
      <c r="G99" s="3" t="str" cm="1">
        <f t="array" ref="G99">IF(貼付エリア!E10="IBM他",IFERROR(_xlfn.TEXTSPLIT(貼付エリア!E45,," / ",),""),"")</f>
        <v/>
      </c>
    </row>
    <row r="100" spans="6:7" x14ac:dyDescent="0.15">
      <c r="F100" s="2" t="s">
        <v>4996</v>
      </c>
      <c r="G100" s="3"/>
    </row>
    <row r="101" spans="6:7" x14ac:dyDescent="0.15">
      <c r="F101" s="2" t="s">
        <v>4997</v>
      </c>
      <c r="G101" s="3"/>
    </row>
    <row r="102" spans="6:7" x14ac:dyDescent="0.15">
      <c r="F102" s="2" t="s">
        <v>4998</v>
      </c>
      <c r="G102" s="3"/>
    </row>
    <row r="103" spans="6:7" x14ac:dyDescent="0.15">
      <c r="F103" s="1"/>
      <c r="G103" s="3"/>
    </row>
    <row r="104" spans="6:7" x14ac:dyDescent="0.15">
      <c r="F104" s="2" t="s">
        <v>4999</v>
      </c>
      <c r="G104" s="3" t="str" cm="1">
        <f t="array" ref="G104">IF(貼付エリア!E10="IBM他",IFERROR(_xlfn.TEXTSPLIT(貼付エリア!E46,," / ",),""),"")</f>
        <v/>
      </c>
    </row>
    <row r="105" spans="6:7" x14ac:dyDescent="0.15">
      <c r="F105" s="2" t="s">
        <v>5000</v>
      </c>
      <c r="G105" s="3"/>
    </row>
    <row r="106" spans="6:7" x14ac:dyDescent="0.15">
      <c r="F106" s="2" t="s">
        <v>5001</v>
      </c>
      <c r="G106" s="3"/>
    </row>
    <row r="107" spans="6:7" x14ac:dyDescent="0.15">
      <c r="F107" s="2" t="s">
        <v>5002</v>
      </c>
      <c r="G107" s="3"/>
    </row>
    <row r="108" spans="6:7" x14ac:dyDescent="0.15">
      <c r="F108" s="1"/>
      <c r="G108" s="3"/>
    </row>
    <row r="109" spans="6:7" x14ac:dyDescent="0.15">
      <c r="F109" s="2" t="s">
        <v>5003</v>
      </c>
      <c r="G109" s="3" t="str" cm="1">
        <f t="array" ref="G109">IF(貼付エリア!E10="IBM他",IFERROR(_xlfn.TEXTSPLIT(貼付エリア!E47,," / ",),""),"")</f>
        <v/>
      </c>
    </row>
    <row r="110" spans="6:7" x14ac:dyDescent="0.15">
      <c r="F110" s="2" t="s">
        <v>5004</v>
      </c>
      <c r="G110" s="3"/>
    </row>
    <row r="111" spans="6:7" x14ac:dyDescent="0.15">
      <c r="F111" s="2" t="s">
        <v>5005</v>
      </c>
      <c r="G111" s="3"/>
    </row>
    <row r="112" spans="6:7" x14ac:dyDescent="0.15">
      <c r="F112" s="2" t="s">
        <v>5006</v>
      </c>
      <c r="G112" s="3"/>
    </row>
    <row r="113" spans="6:7" x14ac:dyDescent="0.15">
      <c r="F113" s="1"/>
      <c r="G113" s="3"/>
    </row>
    <row r="114" spans="6:7" x14ac:dyDescent="0.15">
      <c r="F114" s="2" t="s">
        <v>5007</v>
      </c>
      <c r="G114" s="3" t="str" cm="1">
        <f t="array" ref="G114">IF(貼付エリア!E10="IBM他",IFERROR(_xlfn.TEXTSPLIT(貼付エリア!E48,," / ",),""),"")</f>
        <v/>
      </c>
    </row>
    <row r="115" spans="6:7" x14ac:dyDescent="0.15">
      <c r="F115" s="2" t="s">
        <v>5008</v>
      </c>
      <c r="G115" s="3"/>
    </row>
    <row r="116" spans="6:7" x14ac:dyDescent="0.15">
      <c r="F116" s="2" t="s">
        <v>5009</v>
      </c>
      <c r="G116" s="3"/>
    </row>
    <row r="117" spans="6:7" x14ac:dyDescent="0.15">
      <c r="F117" s="2" t="s">
        <v>5010</v>
      </c>
      <c r="G117" s="3"/>
    </row>
    <row r="118" spans="6:7" x14ac:dyDescent="0.15">
      <c r="F118" s="1"/>
      <c r="G118" s="3"/>
    </row>
    <row r="119" spans="6:7" x14ac:dyDescent="0.15">
      <c r="F119" s="2" t="s">
        <v>5011</v>
      </c>
      <c r="G119" s="3" t="str" cm="1">
        <f t="array" ref="G119">IF(貼付エリア!E10="IBM他",IFERROR(_xlfn.TEXTSPLIT(貼付エリア!E49,," / ",),""),"")</f>
        <v/>
      </c>
    </row>
    <row r="120" spans="6:7" x14ac:dyDescent="0.15">
      <c r="F120" s="2" t="s">
        <v>5012</v>
      </c>
      <c r="G120" s="3"/>
    </row>
    <row r="121" spans="6:7" x14ac:dyDescent="0.15">
      <c r="F121" s="2" t="s">
        <v>5013</v>
      </c>
      <c r="G121" s="3"/>
    </row>
    <row r="122" spans="6:7" x14ac:dyDescent="0.15">
      <c r="F122" s="2" t="s">
        <v>5014</v>
      </c>
      <c r="G122" s="3"/>
    </row>
    <row r="123" spans="6:7" x14ac:dyDescent="0.15">
      <c r="F123" s="1"/>
      <c r="G123" s="3"/>
    </row>
    <row r="124" spans="6:7" x14ac:dyDescent="0.15">
      <c r="F124" s="2" t="s">
        <v>5015</v>
      </c>
      <c r="G124" s="3" t="str" cm="1">
        <f t="array" ref="G124">IF(貼付エリア!E10="IBM他",IFERROR(_xlfn.TEXTSPLIT(貼付エリア!E50,," / ",),""),"")</f>
        <v/>
      </c>
    </row>
    <row r="125" spans="6:7" x14ac:dyDescent="0.15">
      <c r="F125" s="2" t="s">
        <v>5016</v>
      </c>
      <c r="G125" s="3"/>
    </row>
    <row r="126" spans="6:7" x14ac:dyDescent="0.15">
      <c r="F126" s="2" t="s">
        <v>5017</v>
      </c>
      <c r="G126" s="3"/>
    </row>
    <row r="127" spans="6:7" x14ac:dyDescent="0.15">
      <c r="F127" s="2" t="s">
        <v>5018</v>
      </c>
      <c r="G127" s="3"/>
    </row>
    <row r="128" spans="6:7" x14ac:dyDescent="0.15">
      <c r="F128" s="1"/>
      <c r="G128" s="3"/>
    </row>
    <row r="129" spans="6:7" x14ac:dyDescent="0.15">
      <c r="F129" s="2" t="s">
        <v>5019</v>
      </c>
      <c r="G129" s="3" t="str" cm="1">
        <f t="array" ref="G129">IF(貼付エリア!E10="IBM他",IFERROR(_xlfn.TEXTSPLIT(貼付エリア!E51,," / ",),""),"")</f>
        <v/>
      </c>
    </row>
    <row r="130" spans="6:7" x14ac:dyDescent="0.15">
      <c r="F130" s="2" t="s">
        <v>5020</v>
      </c>
      <c r="G130" s="3"/>
    </row>
    <row r="131" spans="6:7" x14ac:dyDescent="0.15">
      <c r="F131" s="2" t="s">
        <v>5021</v>
      </c>
      <c r="G131" s="3"/>
    </row>
    <row r="132" spans="6:7" x14ac:dyDescent="0.15">
      <c r="F132" s="2" t="s">
        <v>5022</v>
      </c>
      <c r="G132" s="3"/>
    </row>
    <row r="133" spans="6:7" x14ac:dyDescent="0.15">
      <c r="F133" s="1"/>
      <c r="G133" s="3"/>
    </row>
    <row r="134" spans="6:7" x14ac:dyDescent="0.15">
      <c r="G134" s="57" t="s">
        <v>46</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2">
              <controlPr defaultSize="0" print="0" autoFill="0" autoPict="0" macro="[0]!make_necbook_test_2">
                <anchor moveWithCells="1" sizeWithCells="1">
                  <from>
                    <xdr:col>9</xdr:col>
                    <xdr:colOff>114300</xdr:colOff>
                    <xdr:row>7</xdr:row>
                    <xdr:rowOff>171450</xdr:rowOff>
                  </from>
                  <to>
                    <xdr:col>9</xdr:col>
                    <xdr:colOff>1323975</xdr:colOff>
                    <xdr:row>12</xdr:row>
                    <xdr:rowOff>47625</xdr:rowOff>
                  </to>
                </anchor>
              </controlPr>
            </control>
          </mc:Choice>
        </mc:AlternateContent>
        <mc:AlternateContent xmlns:mc="http://schemas.openxmlformats.org/markup-compatibility/2006">
          <mc:Choice Requires="x14">
            <control shapeId="38914" r:id="rId4" name="Button 1">
              <controlPr defaultSize="0" print="0" autoFill="0" autoPict="0" macro="[0]!main_string_cut_L2">
                <anchor moveWithCells="1" sizeWithCells="1">
                  <from>
                    <xdr:col>0</xdr:col>
                    <xdr:colOff>85725</xdr:colOff>
                    <xdr:row>3</xdr:row>
                    <xdr:rowOff>9525</xdr:rowOff>
                  </from>
                  <to>
                    <xdr:col>5</xdr:col>
                    <xdr:colOff>542925</xdr:colOff>
                    <xdr:row>7</xdr:row>
                    <xdr:rowOff>9525</xdr:rowOff>
                  </to>
                </anchor>
              </controlPr>
            </control>
          </mc:Choice>
        </mc:AlternateContent>
        <mc:AlternateContent xmlns:mc="http://schemas.openxmlformats.org/markup-compatibility/2006">
          <mc:Choice Requires="x14">
            <control shapeId="38917" r:id="rId5" name="Button 5">
              <controlPr defaultSize="0" print="0" autoFill="0" autoPict="0" macro="[0]!Start_UserInfo">
                <anchor moveWithCells="1" sizeWithCells="1">
                  <from>
                    <xdr:col>9</xdr:col>
                    <xdr:colOff>85725</xdr:colOff>
                    <xdr:row>2</xdr:row>
                    <xdr:rowOff>114300</xdr:rowOff>
                  </from>
                  <to>
                    <xdr:col>9</xdr:col>
                    <xdr:colOff>1333500</xdr:colOff>
                    <xdr:row>6</xdr:row>
                    <xdr:rowOff>114300</xdr:rowOff>
                  </to>
                </anchor>
              </controlPr>
            </control>
          </mc:Choice>
        </mc:AlternateContent>
        <mc:AlternateContent xmlns:mc="http://schemas.openxmlformats.org/markup-compatibility/2006">
          <mc:Choice Requires="x14">
            <control shapeId="38918" r:id="rId6" name="Button 6">
              <controlPr defaultSize="0" print="0" autoFill="0" autoPict="0" macro="[0]!sendmail_sample">
                <anchor moveWithCells="1">
                  <from>
                    <xdr:col>9</xdr:col>
                    <xdr:colOff>95250</xdr:colOff>
                    <xdr:row>13</xdr:row>
                    <xdr:rowOff>0</xdr:rowOff>
                  </from>
                  <to>
                    <xdr:col>9</xdr:col>
                    <xdr:colOff>1314450</xdr:colOff>
                    <xdr:row>15</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2:D16"/>
  <sheetViews>
    <sheetView topLeftCell="A28" workbookViewId="0">
      <selection activeCell="J47" sqref="J47"/>
    </sheetView>
  </sheetViews>
  <sheetFormatPr defaultRowHeight="13.5" x14ac:dyDescent="0.15"/>
  <sheetData>
    <row r="2" spans="2:4" x14ac:dyDescent="0.15">
      <c r="B2" t="s">
        <v>77</v>
      </c>
      <c r="C2" s="18" t="s">
        <v>306</v>
      </c>
    </row>
    <row r="3" spans="2:4" x14ac:dyDescent="0.15">
      <c r="B3" t="s">
        <v>88</v>
      </c>
      <c r="C3" t="s">
        <v>308</v>
      </c>
    </row>
    <row r="4" spans="2:4" x14ac:dyDescent="0.15">
      <c r="B4" t="s">
        <v>78</v>
      </c>
      <c r="C4" t="s">
        <v>307</v>
      </c>
    </row>
    <row r="5" spans="2:4" x14ac:dyDescent="0.15">
      <c r="B5" t="s">
        <v>79</v>
      </c>
    </row>
    <row r="6" spans="2:4" x14ac:dyDescent="0.15">
      <c r="B6" t="s">
        <v>80</v>
      </c>
    </row>
    <row r="7" spans="2:4" x14ac:dyDescent="0.15">
      <c r="B7" t="s">
        <v>81</v>
      </c>
    </row>
    <row r="8" spans="2:4" x14ac:dyDescent="0.15">
      <c r="B8" t="s">
        <v>82</v>
      </c>
    </row>
    <row r="9" spans="2:4" x14ac:dyDescent="0.15">
      <c r="B9" t="s">
        <v>83</v>
      </c>
    </row>
    <row r="10" spans="2:4" x14ac:dyDescent="0.15">
      <c r="B10" t="s">
        <v>84</v>
      </c>
    </row>
    <row r="11" spans="2:4" x14ac:dyDescent="0.15">
      <c r="B11" t="s">
        <v>85</v>
      </c>
    </row>
    <row r="12" spans="2:4" x14ac:dyDescent="0.15">
      <c r="B12" t="s">
        <v>86</v>
      </c>
    </row>
    <row r="13" spans="2:4" x14ac:dyDescent="0.15">
      <c r="B13" t="s">
        <v>87</v>
      </c>
    </row>
    <row r="16" spans="2:4" x14ac:dyDescent="0.15">
      <c r="C16" s="3"/>
      <c r="D16" s="3"/>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A131"/>
  <sheetViews>
    <sheetView topLeftCell="A100" workbookViewId="0">
      <selection activeCell="J47" sqref="J47"/>
    </sheetView>
  </sheetViews>
  <sheetFormatPr defaultRowHeight="13.5" x14ac:dyDescent="0.15"/>
  <sheetData>
    <row r="1" spans="1:1" x14ac:dyDescent="0.15">
      <c r="A1" t="s">
        <v>89</v>
      </c>
    </row>
    <row r="2" spans="1:1" x14ac:dyDescent="0.15">
      <c r="A2" t="s">
        <v>90</v>
      </c>
    </row>
    <row r="3" spans="1:1" x14ac:dyDescent="0.15">
      <c r="A3" t="s">
        <v>91</v>
      </c>
    </row>
    <row r="4" spans="1:1" x14ac:dyDescent="0.15">
      <c r="A4" t="s">
        <v>92</v>
      </c>
    </row>
    <row r="5" spans="1:1" x14ac:dyDescent="0.15">
      <c r="A5" t="s">
        <v>93</v>
      </c>
    </row>
    <row r="6" spans="1:1" x14ac:dyDescent="0.15">
      <c r="A6" t="s">
        <v>94</v>
      </c>
    </row>
    <row r="7" spans="1:1" x14ac:dyDescent="0.15">
      <c r="A7" t="s">
        <v>95</v>
      </c>
    </row>
    <row r="8" spans="1:1" x14ac:dyDescent="0.15">
      <c r="A8" t="s">
        <v>96</v>
      </c>
    </row>
    <row r="9" spans="1:1" x14ac:dyDescent="0.15">
      <c r="A9" t="s">
        <v>97</v>
      </c>
    </row>
    <row r="11" spans="1:1" x14ac:dyDescent="0.15">
      <c r="A11" t="s">
        <v>202</v>
      </c>
    </row>
    <row r="12" spans="1:1" x14ac:dyDescent="0.15">
      <c r="A12" t="s">
        <v>98</v>
      </c>
    </row>
    <row r="13" spans="1:1" x14ac:dyDescent="0.15">
      <c r="A13" t="s">
        <v>99</v>
      </c>
    </row>
    <row r="14" spans="1:1" x14ac:dyDescent="0.15">
      <c r="A14" t="s">
        <v>100</v>
      </c>
    </row>
    <row r="15" spans="1:1" x14ac:dyDescent="0.15">
      <c r="A15" t="s">
        <v>101</v>
      </c>
    </row>
    <row r="16" spans="1:1" x14ac:dyDescent="0.15">
      <c r="A16" t="s">
        <v>102</v>
      </c>
    </row>
    <row r="17" spans="1:1" x14ac:dyDescent="0.15">
      <c r="A17" t="s">
        <v>103</v>
      </c>
    </row>
    <row r="18" spans="1:1" x14ac:dyDescent="0.15">
      <c r="A18" t="s">
        <v>104</v>
      </c>
    </row>
    <row r="19" spans="1:1" x14ac:dyDescent="0.15">
      <c r="A19" t="s">
        <v>105</v>
      </c>
    </row>
    <row r="20" spans="1:1" x14ac:dyDescent="0.15">
      <c r="A20" t="s">
        <v>106</v>
      </c>
    </row>
    <row r="21" spans="1:1" x14ac:dyDescent="0.15">
      <c r="A21" t="s">
        <v>107</v>
      </c>
    </row>
    <row r="22" spans="1:1" x14ac:dyDescent="0.15">
      <c r="A22" t="s">
        <v>108</v>
      </c>
    </row>
    <row r="23" spans="1:1" x14ac:dyDescent="0.15">
      <c r="A23" t="s">
        <v>109</v>
      </c>
    </row>
    <row r="24" spans="1:1" x14ac:dyDescent="0.15">
      <c r="A24" t="s">
        <v>100</v>
      </c>
    </row>
    <row r="25" spans="1:1" x14ac:dyDescent="0.15">
      <c r="A25" t="s">
        <v>204</v>
      </c>
    </row>
    <row r="26" spans="1:1" x14ac:dyDescent="0.15">
      <c r="A26" t="s">
        <v>205</v>
      </c>
    </row>
    <row r="27" spans="1:1" x14ac:dyDescent="0.15">
      <c r="A27" t="s">
        <v>206</v>
      </c>
    </row>
    <row r="28" spans="1:1" x14ac:dyDescent="0.15">
      <c r="A28" t="s">
        <v>207</v>
      </c>
    </row>
    <row r="29" spans="1:1" x14ac:dyDescent="0.15">
      <c r="A29" t="s">
        <v>208</v>
      </c>
    </row>
    <row r="30" spans="1:1" x14ac:dyDescent="0.15">
      <c r="A30" t="s">
        <v>209</v>
      </c>
    </row>
    <row r="31" spans="1:1" x14ac:dyDescent="0.15">
      <c r="A31" t="s">
        <v>210</v>
      </c>
    </row>
    <row r="32" spans="1:1" x14ac:dyDescent="0.15">
      <c r="A32" t="s">
        <v>107</v>
      </c>
    </row>
    <row r="33" spans="1:1" x14ac:dyDescent="0.15">
      <c r="A33" t="s">
        <v>108</v>
      </c>
    </row>
    <row r="34" spans="1:1" x14ac:dyDescent="0.15">
      <c r="A34" t="s">
        <v>110</v>
      </c>
    </row>
    <row r="35" spans="1:1" x14ac:dyDescent="0.15">
      <c r="A35" t="s">
        <v>111</v>
      </c>
    </row>
    <row r="36" spans="1:1" x14ac:dyDescent="0.15">
      <c r="A36" t="s">
        <v>112</v>
      </c>
    </row>
    <row r="37" spans="1:1" x14ac:dyDescent="0.15">
      <c r="A37" t="s">
        <v>113</v>
      </c>
    </row>
    <row r="38" spans="1:1" x14ac:dyDescent="0.15">
      <c r="A38" t="s">
        <v>114</v>
      </c>
    </row>
    <row r="39" spans="1:1" x14ac:dyDescent="0.15">
      <c r="A39" t="s">
        <v>115</v>
      </c>
    </row>
    <row r="40" spans="1:1" x14ac:dyDescent="0.15">
      <c r="A40" t="s">
        <v>116</v>
      </c>
    </row>
    <row r="41" spans="1:1" x14ac:dyDescent="0.15">
      <c r="A41" t="s">
        <v>117</v>
      </c>
    </row>
    <row r="42" spans="1:1" x14ac:dyDescent="0.15">
      <c r="A42" t="s">
        <v>118</v>
      </c>
    </row>
    <row r="43" spans="1:1" x14ac:dyDescent="0.15">
      <c r="A43" t="s">
        <v>184</v>
      </c>
    </row>
    <row r="44" spans="1:1" x14ac:dyDescent="0.15">
      <c r="A44" t="s">
        <v>183</v>
      </c>
    </row>
    <row r="45" spans="1:1" x14ac:dyDescent="0.15">
      <c r="A45" t="s">
        <v>119</v>
      </c>
    </row>
    <row r="46" spans="1:1" x14ac:dyDescent="0.15">
      <c r="A46" t="s">
        <v>120</v>
      </c>
    </row>
    <row r="47" spans="1:1" x14ac:dyDescent="0.15">
      <c r="A47" t="s">
        <v>121</v>
      </c>
    </row>
    <row r="48" spans="1:1" x14ac:dyDescent="0.15">
      <c r="A48" t="s">
        <v>122</v>
      </c>
    </row>
    <row r="49" spans="1:1" x14ac:dyDescent="0.15">
      <c r="A49" t="s">
        <v>123</v>
      </c>
    </row>
    <row r="50" spans="1:1" x14ac:dyDescent="0.15">
      <c r="A50" t="s">
        <v>124</v>
      </c>
    </row>
    <row r="51" spans="1:1" x14ac:dyDescent="0.15">
      <c r="A51" t="s">
        <v>125</v>
      </c>
    </row>
    <row r="52" spans="1:1" x14ac:dyDescent="0.15">
      <c r="A52" t="s">
        <v>126</v>
      </c>
    </row>
    <row r="53" spans="1:1" x14ac:dyDescent="0.15">
      <c r="A53" t="s">
        <v>127</v>
      </c>
    </row>
    <row r="54" spans="1:1" x14ac:dyDescent="0.15">
      <c r="A54" t="s">
        <v>128</v>
      </c>
    </row>
    <row r="55" spans="1:1" x14ac:dyDescent="0.15">
      <c r="A55" t="s">
        <v>129</v>
      </c>
    </row>
    <row r="56" spans="1:1" x14ac:dyDescent="0.15">
      <c r="A56" t="s">
        <v>130</v>
      </c>
    </row>
    <row r="57" spans="1:1" x14ac:dyDescent="0.15">
      <c r="A57" t="s">
        <v>131</v>
      </c>
    </row>
    <row r="58" spans="1:1" x14ac:dyDescent="0.15">
      <c r="A58" t="s">
        <v>132</v>
      </c>
    </row>
    <row r="59" spans="1:1" x14ac:dyDescent="0.15">
      <c r="A59" t="s">
        <v>133</v>
      </c>
    </row>
    <row r="60" spans="1:1" x14ac:dyDescent="0.15">
      <c r="A60" t="s">
        <v>134</v>
      </c>
    </row>
    <row r="61" spans="1:1" x14ac:dyDescent="0.15">
      <c r="A61" t="s">
        <v>124</v>
      </c>
    </row>
    <row r="62" spans="1:1" x14ac:dyDescent="0.15">
      <c r="A62" t="s">
        <v>135</v>
      </c>
    </row>
    <row r="63" spans="1:1" x14ac:dyDescent="0.15">
      <c r="A63" t="s">
        <v>136</v>
      </c>
    </row>
    <row r="64" spans="1:1" x14ac:dyDescent="0.15">
      <c r="A64" t="s">
        <v>137</v>
      </c>
    </row>
    <row r="65" spans="1:1" x14ac:dyDescent="0.15">
      <c r="A65" t="s">
        <v>122</v>
      </c>
    </row>
    <row r="66" spans="1:1" x14ac:dyDescent="0.15">
      <c r="A66" t="s">
        <v>138</v>
      </c>
    </row>
    <row r="67" spans="1:1" x14ac:dyDescent="0.15">
      <c r="A67" t="s">
        <v>124</v>
      </c>
    </row>
    <row r="68" spans="1:1" x14ac:dyDescent="0.15">
      <c r="A68" t="s">
        <v>139</v>
      </c>
    </row>
    <row r="69" spans="1:1" x14ac:dyDescent="0.15">
      <c r="A69" t="s">
        <v>122</v>
      </c>
    </row>
    <row r="70" spans="1:1" x14ac:dyDescent="0.15">
      <c r="A70" t="s">
        <v>140</v>
      </c>
    </row>
    <row r="71" spans="1:1" x14ac:dyDescent="0.15">
      <c r="A71" t="s">
        <v>124</v>
      </c>
    </row>
    <row r="72" spans="1:1" x14ac:dyDescent="0.15">
      <c r="A72" t="s">
        <v>141</v>
      </c>
    </row>
    <row r="73" spans="1:1" x14ac:dyDescent="0.15">
      <c r="A73" t="s">
        <v>122</v>
      </c>
    </row>
    <row r="74" spans="1:1" x14ac:dyDescent="0.15">
      <c r="A74" t="s">
        <v>142</v>
      </c>
    </row>
    <row r="75" spans="1:1" x14ac:dyDescent="0.15">
      <c r="A75" t="s">
        <v>124</v>
      </c>
    </row>
    <row r="76" spans="1:1" x14ac:dyDescent="0.15">
      <c r="A76" t="s">
        <v>143</v>
      </c>
    </row>
    <row r="77" spans="1:1" x14ac:dyDescent="0.15">
      <c r="A77" t="s">
        <v>122</v>
      </c>
    </row>
    <row r="78" spans="1:1" x14ac:dyDescent="0.15">
      <c r="A78" t="s">
        <v>144</v>
      </c>
    </row>
    <row r="79" spans="1:1" x14ac:dyDescent="0.15">
      <c r="A79" t="s">
        <v>124</v>
      </c>
    </row>
    <row r="80" spans="1:1" x14ac:dyDescent="0.15">
      <c r="A80" t="s">
        <v>145</v>
      </c>
    </row>
    <row r="81" spans="1:1" x14ac:dyDescent="0.15">
      <c r="A81" t="s">
        <v>122</v>
      </c>
    </row>
    <row r="82" spans="1:1" x14ac:dyDescent="0.15">
      <c r="A82" t="s">
        <v>146</v>
      </c>
    </row>
    <row r="83" spans="1:1" x14ac:dyDescent="0.15">
      <c r="A83" t="s">
        <v>124</v>
      </c>
    </row>
    <row r="84" spans="1:1" x14ac:dyDescent="0.15">
      <c r="A84" t="s">
        <v>147</v>
      </c>
    </row>
    <row r="85" spans="1:1" x14ac:dyDescent="0.15">
      <c r="A85" t="s">
        <v>122</v>
      </c>
    </row>
    <row r="86" spans="1:1" x14ac:dyDescent="0.15">
      <c r="A86" t="s">
        <v>148</v>
      </c>
    </row>
    <row r="87" spans="1:1" x14ac:dyDescent="0.15">
      <c r="A87" t="s">
        <v>124</v>
      </c>
    </row>
    <row r="88" spans="1:1" x14ac:dyDescent="0.15">
      <c r="A88" t="s">
        <v>149</v>
      </c>
    </row>
    <row r="89" spans="1:1" x14ac:dyDescent="0.15">
      <c r="A89" t="s">
        <v>122</v>
      </c>
    </row>
    <row r="90" spans="1:1" x14ac:dyDescent="0.15">
      <c r="A90" t="s">
        <v>150</v>
      </c>
    </row>
    <row r="91" spans="1:1" x14ac:dyDescent="0.15">
      <c r="A91" t="s">
        <v>124</v>
      </c>
    </row>
    <row r="92" spans="1:1" x14ac:dyDescent="0.15">
      <c r="A92" t="s">
        <v>151</v>
      </c>
    </row>
    <row r="93" spans="1:1" x14ac:dyDescent="0.15">
      <c r="A93" t="s">
        <v>122</v>
      </c>
    </row>
    <row r="94" spans="1:1" x14ac:dyDescent="0.15">
      <c r="A94" t="s">
        <v>152</v>
      </c>
    </row>
    <row r="95" spans="1:1" x14ac:dyDescent="0.15">
      <c r="A95" t="s">
        <v>124</v>
      </c>
    </row>
    <row r="96" spans="1:1" x14ac:dyDescent="0.15">
      <c r="A96" t="s">
        <v>153</v>
      </c>
    </row>
    <row r="97" spans="1:1" x14ac:dyDescent="0.15">
      <c r="A97" t="s">
        <v>122</v>
      </c>
    </row>
    <row r="98" spans="1:1" x14ac:dyDescent="0.15">
      <c r="A98" t="s">
        <v>154</v>
      </c>
    </row>
    <row r="99" spans="1:1" x14ac:dyDescent="0.15">
      <c r="A99" t="s">
        <v>124</v>
      </c>
    </row>
    <row r="100" spans="1:1" x14ac:dyDescent="0.15">
      <c r="A100" t="s">
        <v>155</v>
      </c>
    </row>
    <row r="101" spans="1:1" x14ac:dyDescent="0.15">
      <c r="A101" t="s">
        <v>122</v>
      </c>
    </row>
    <row r="102" spans="1:1" x14ac:dyDescent="0.15">
      <c r="A102" t="s">
        <v>156</v>
      </c>
    </row>
    <row r="103" spans="1:1" x14ac:dyDescent="0.15">
      <c r="A103" t="s">
        <v>124</v>
      </c>
    </row>
    <row r="104" spans="1:1" x14ac:dyDescent="0.15">
      <c r="A104" t="s">
        <v>157</v>
      </c>
    </row>
    <row r="105" spans="1:1" x14ac:dyDescent="0.15">
      <c r="A105" t="s">
        <v>158</v>
      </c>
    </row>
    <row r="106" spans="1:1" x14ac:dyDescent="0.15">
      <c r="A106" t="s">
        <v>173</v>
      </c>
    </row>
    <row r="107" spans="1:1" x14ac:dyDescent="0.15">
      <c r="A107" t="str">
        <f>" TKA.KEIYAKU_NO = '"&amp;TMP_SQL!$C$4&amp;"'"</f>
        <v xml:space="preserve"> TKA.KEIYAKU_NO = '2022110902-221-1'</v>
      </c>
    </row>
    <row r="108" spans="1:1" x14ac:dyDescent="0.15">
      <c r="A108" t="str">
        <f>IF(ISBLANK(TMP_SQL!$C$5),"---"," OR TKA.KEIYAKU_NO = '"&amp;TMP_SQL!$C$5&amp;"'")</f>
        <v>---</v>
      </c>
    </row>
    <row r="109" spans="1:1" x14ac:dyDescent="0.15">
      <c r="A109" t="str">
        <f>IF(ISBLANK(TMP_SQL!$C$6),"---"," OR TKA.KEIYAKU_NO = '"&amp;TMP_SQL!$C$6&amp;"'")</f>
        <v>---</v>
      </c>
    </row>
    <row r="110" spans="1:1" x14ac:dyDescent="0.15">
      <c r="A110" t="str">
        <f>IF(ISBLANK(TMP_SQL!$C$7),"---"," OR TKA.KEIYAKU_NO = '"&amp;TMP_SQL!$C$7&amp;"'")</f>
        <v>---</v>
      </c>
    </row>
    <row r="111" spans="1:1" x14ac:dyDescent="0.15">
      <c r="A111" t="str">
        <f>IF(ISBLANK(TMP_SQL!$C$8),"---"," OR TKA.KEIYAKU_NO = '"&amp;TMP_SQL!$C$8&amp;"'")</f>
        <v>---</v>
      </c>
    </row>
    <row r="112" spans="1:1" x14ac:dyDescent="0.15">
      <c r="A112" t="str">
        <f>IF(ISBLANK(TMP_SQL!$C$9),"---"," OR TKA.KEIYAKU_NO = '"&amp;TMP_SQL!$C$9&amp;"'")</f>
        <v>---</v>
      </c>
    </row>
    <row r="113" spans="1:1" x14ac:dyDescent="0.15">
      <c r="A113" t="str">
        <f>IF(ISBLANK(TMP_SQL!$C$10),"---"," OR TKA.KEIYAKU_NO = '"&amp;TMP_SQL!$C$10&amp;"'")</f>
        <v>---</v>
      </c>
    </row>
    <row r="114" spans="1:1" x14ac:dyDescent="0.15">
      <c r="A114" t="str">
        <f>IF(ISBLANK(TMP_SQL!$C$11),"---"," OR TKA.KEIYAKU_NO = '"&amp;TMP_SQL!$C$11&amp;"'")</f>
        <v>---</v>
      </c>
    </row>
    <row r="115" spans="1:1" x14ac:dyDescent="0.15">
      <c r="A115" t="str">
        <f>IF(ISBLANK(TMP_SQL!$C$12),"---"," OR TKA.KEIYAKU_NO = '"&amp;TMP_SQL!$C$12&amp;"'")</f>
        <v>---</v>
      </c>
    </row>
    <row r="116" spans="1:1" x14ac:dyDescent="0.15">
      <c r="A116" t="str">
        <f>IF(ISBLANK(TMP_SQL!$C$13),"---"," OR TKA.KEIYAKU_NO = '"&amp;TMP_SQL!$C$13&amp;"'")</f>
        <v>---</v>
      </c>
    </row>
    <row r="117" spans="1:1" x14ac:dyDescent="0.15">
      <c r="A117" t="s">
        <v>174</v>
      </c>
    </row>
    <row r="118" spans="1:1" x14ac:dyDescent="0.15">
      <c r="A118" t="s">
        <v>159</v>
      </c>
    </row>
    <row r="119" spans="1:1" x14ac:dyDescent="0.15">
      <c r="A119" t="s">
        <v>160</v>
      </c>
    </row>
    <row r="120" spans="1:1" x14ac:dyDescent="0.15">
      <c r="A120" t="s">
        <v>161</v>
      </c>
    </row>
    <row r="121" spans="1:1" x14ac:dyDescent="0.15">
      <c r="A121" t="s">
        <v>162</v>
      </c>
    </row>
    <row r="122" spans="1:1" x14ac:dyDescent="0.15">
      <c r="A122" t="s">
        <v>163</v>
      </c>
    </row>
    <row r="123" spans="1:1" x14ac:dyDescent="0.15">
      <c r="A123" t="s">
        <v>164</v>
      </c>
    </row>
    <row r="124" spans="1:1" x14ac:dyDescent="0.15">
      <c r="A124" t="s">
        <v>165</v>
      </c>
    </row>
    <row r="125" spans="1:1" x14ac:dyDescent="0.15">
      <c r="A125" t="s">
        <v>166</v>
      </c>
    </row>
    <row r="126" spans="1:1" x14ac:dyDescent="0.15">
      <c r="A126" t="s">
        <v>167</v>
      </c>
    </row>
    <row r="127" spans="1:1" x14ac:dyDescent="0.15">
      <c r="A127" t="s">
        <v>168</v>
      </c>
    </row>
    <row r="128" spans="1:1" x14ac:dyDescent="0.15">
      <c r="A128" t="s">
        <v>169</v>
      </c>
    </row>
    <row r="129" spans="1:1" x14ac:dyDescent="0.15">
      <c r="A129" t="s">
        <v>170</v>
      </c>
    </row>
    <row r="130" spans="1:1" x14ac:dyDescent="0.15">
      <c r="A130" t="s">
        <v>171</v>
      </c>
    </row>
    <row r="131" spans="1:1" x14ac:dyDescent="0.15">
      <c r="A131" t="s">
        <v>172</v>
      </c>
    </row>
  </sheetData>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FA52C-789B-4354-AB60-3EE18DB9EF6B}">
  <sheetPr codeName="Sheet25"/>
  <dimension ref="A1:M29"/>
  <sheetViews>
    <sheetView zoomScale="80" zoomScaleNormal="80" workbookViewId="0">
      <selection activeCell="Q54" sqref="Q54"/>
    </sheetView>
  </sheetViews>
  <sheetFormatPr defaultColWidth="9" defaultRowHeight="11.25" x14ac:dyDescent="0.15"/>
  <cols>
    <col min="1" max="1" width="13.25" style="23" bestFit="1" customWidth="1"/>
    <col min="2" max="2" width="8.75" style="23" bestFit="1" customWidth="1"/>
    <col min="3" max="3" width="12.375" style="23" bestFit="1" customWidth="1"/>
    <col min="4" max="4" width="12" style="23" bestFit="1" customWidth="1"/>
    <col min="5" max="5" width="33.375" style="23" bestFit="1" customWidth="1"/>
    <col min="6" max="6" width="19.5" style="23" bestFit="1" customWidth="1"/>
    <col min="7" max="7" width="18" style="23" bestFit="1" customWidth="1"/>
    <col min="8" max="8" width="16.375" style="23" bestFit="1" customWidth="1"/>
    <col min="9" max="10" width="10.625" style="23" bestFit="1" customWidth="1"/>
    <col min="11" max="11" width="8.25" style="23" bestFit="1" customWidth="1"/>
    <col min="12" max="12" width="15" style="23" bestFit="1" customWidth="1"/>
    <col min="13" max="13" width="24.875" style="23" bestFit="1" customWidth="1"/>
    <col min="14" max="16384" width="9" style="23"/>
  </cols>
  <sheetData>
    <row r="1" spans="1:13" x14ac:dyDescent="0.15">
      <c r="A1" s="23" t="s">
        <v>185</v>
      </c>
      <c r="B1" s="29" t="s">
        <v>76</v>
      </c>
      <c r="C1" s="23" t="s">
        <v>203</v>
      </c>
      <c r="D1" s="23" t="s">
        <v>175</v>
      </c>
      <c r="E1" s="23" t="s">
        <v>176</v>
      </c>
      <c r="F1" s="23" t="s">
        <v>177</v>
      </c>
      <c r="G1" s="23" t="s">
        <v>178</v>
      </c>
      <c r="H1" s="29" t="s">
        <v>179</v>
      </c>
      <c r="I1" s="29" t="s">
        <v>180</v>
      </c>
      <c r="J1" s="29" t="s">
        <v>181</v>
      </c>
      <c r="K1" s="29" t="s">
        <v>182</v>
      </c>
      <c r="L1" s="29" t="s">
        <v>186</v>
      </c>
      <c r="M1" s="23" t="s">
        <v>266</v>
      </c>
    </row>
    <row r="2" spans="1:13" x14ac:dyDescent="0.15">
      <c r="B2" s="29"/>
      <c r="H2" s="29"/>
      <c r="I2" s="29"/>
      <c r="J2" s="29"/>
      <c r="K2" s="29"/>
      <c r="L2" s="29"/>
    </row>
    <row r="3" spans="1:13" x14ac:dyDescent="0.15">
      <c r="B3" s="29"/>
      <c r="H3" s="29"/>
      <c r="I3" s="29"/>
      <c r="J3" s="29"/>
      <c r="K3" s="29"/>
      <c r="L3" s="29"/>
    </row>
    <row r="4" spans="1:13" x14ac:dyDescent="0.15">
      <c r="B4" s="29"/>
      <c r="H4" s="29"/>
      <c r="I4" s="29"/>
      <c r="J4" s="29"/>
      <c r="K4" s="29"/>
      <c r="L4" s="29"/>
    </row>
    <row r="5" spans="1:13" x14ac:dyDescent="0.15">
      <c r="B5" s="29"/>
      <c r="H5" s="29"/>
      <c r="I5" s="29"/>
      <c r="J5" s="29"/>
      <c r="K5" s="29"/>
      <c r="L5" s="29"/>
    </row>
    <row r="6" spans="1:13" x14ac:dyDescent="0.15">
      <c r="B6" s="29"/>
      <c r="H6" s="29"/>
      <c r="I6" s="29"/>
      <c r="J6" s="29"/>
      <c r="K6" s="29"/>
      <c r="L6" s="29"/>
    </row>
    <row r="7" spans="1:13" x14ac:dyDescent="0.15">
      <c r="B7" s="29"/>
      <c r="H7" s="29"/>
      <c r="I7" s="29"/>
      <c r="J7" s="29"/>
      <c r="K7" s="29"/>
      <c r="L7" s="29"/>
    </row>
    <row r="8" spans="1:13" x14ac:dyDescent="0.15">
      <c r="B8" s="29"/>
      <c r="H8" s="29"/>
      <c r="I8" s="29"/>
      <c r="J8" s="29"/>
      <c r="K8" s="29"/>
      <c r="L8" s="29"/>
    </row>
    <row r="9" spans="1:13" x14ac:dyDescent="0.15">
      <c r="B9" s="29"/>
      <c r="H9" s="29"/>
      <c r="I9" s="29"/>
      <c r="J9" s="29"/>
      <c r="K9" s="29"/>
      <c r="L9" s="29"/>
    </row>
    <row r="10" spans="1:13" x14ac:dyDescent="0.15">
      <c r="B10" s="29"/>
      <c r="H10" s="29"/>
      <c r="I10" s="29"/>
      <c r="J10" s="29"/>
      <c r="K10" s="29"/>
      <c r="L10" s="29"/>
    </row>
    <row r="11" spans="1:13" x14ac:dyDescent="0.15">
      <c r="B11" s="29"/>
      <c r="H11" s="29"/>
      <c r="I11" s="29"/>
      <c r="J11" s="29"/>
      <c r="K11" s="29"/>
      <c r="L11" s="29"/>
    </row>
    <row r="12" spans="1:13" x14ac:dyDescent="0.15">
      <c r="B12" s="29"/>
      <c r="H12" s="29"/>
      <c r="I12" s="29"/>
      <c r="J12" s="29"/>
      <c r="K12" s="29"/>
      <c r="L12" s="29"/>
    </row>
    <row r="13" spans="1:13" x14ac:dyDescent="0.15">
      <c r="B13" s="29"/>
      <c r="H13" s="29"/>
      <c r="I13" s="29"/>
      <c r="J13" s="29"/>
      <c r="K13" s="29"/>
      <c r="L13" s="29"/>
    </row>
    <row r="14" spans="1:13" x14ac:dyDescent="0.15">
      <c r="B14" s="29"/>
      <c r="H14" s="29"/>
      <c r="I14" s="29"/>
      <c r="J14" s="29"/>
      <c r="K14" s="29"/>
      <c r="L14" s="29"/>
    </row>
    <row r="15" spans="1:13" x14ac:dyDescent="0.15">
      <c r="B15" s="29"/>
      <c r="H15" s="29"/>
      <c r="I15" s="29"/>
      <c r="J15" s="29"/>
      <c r="K15" s="29"/>
      <c r="L15" s="29"/>
    </row>
    <row r="16" spans="1:13" x14ac:dyDescent="0.15">
      <c r="B16" s="29"/>
      <c r="H16" s="29"/>
      <c r="I16" s="29"/>
      <c r="J16" s="29"/>
      <c r="K16" s="29"/>
      <c r="L16" s="29"/>
    </row>
    <row r="17" spans="2:12" x14ac:dyDescent="0.15">
      <c r="B17" s="29"/>
      <c r="H17" s="29"/>
      <c r="I17" s="29"/>
      <c r="J17" s="29"/>
      <c r="K17" s="29"/>
      <c r="L17" s="29"/>
    </row>
    <row r="18" spans="2:12" x14ac:dyDescent="0.15">
      <c r="B18" s="29"/>
      <c r="H18" s="29"/>
      <c r="I18" s="29"/>
      <c r="J18" s="29"/>
      <c r="K18" s="29"/>
      <c r="L18" s="29"/>
    </row>
    <row r="19" spans="2:12" x14ac:dyDescent="0.15">
      <c r="B19" s="29"/>
      <c r="H19" s="29"/>
      <c r="I19" s="29"/>
      <c r="J19" s="29"/>
      <c r="K19" s="29"/>
      <c r="L19" s="29"/>
    </row>
    <row r="20" spans="2:12" x14ac:dyDescent="0.15">
      <c r="B20" s="29"/>
      <c r="H20" s="29"/>
      <c r="I20" s="29"/>
      <c r="J20" s="29"/>
      <c r="K20" s="29"/>
      <c r="L20" s="29"/>
    </row>
    <row r="21" spans="2:12" x14ac:dyDescent="0.15">
      <c r="B21" s="29"/>
      <c r="H21" s="29"/>
      <c r="I21" s="29"/>
      <c r="J21" s="29"/>
      <c r="K21" s="29"/>
      <c r="L21" s="29"/>
    </row>
    <row r="22" spans="2:12" x14ac:dyDescent="0.15">
      <c r="B22" s="29"/>
      <c r="H22" s="29"/>
      <c r="I22" s="29"/>
      <c r="J22" s="29"/>
      <c r="K22" s="29"/>
      <c r="L22" s="29"/>
    </row>
    <row r="23" spans="2:12" x14ac:dyDescent="0.15">
      <c r="B23" s="29"/>
      <c r="H23" s="29"/>
      <c r="I23" s="29"/>
      <c r="J23" s="29"/>
      <c r="K23" s="29"/>
      <c r="L23" s="29"/>
    </row>
    <row r="24" spans="2:12" x14ac:dyDescent="0.15">
      <c r="B24" s="29"/>
      <c r="H24" s="29"/>
      <c r="I24" s="29"/>
      <c r="J24" s="29"/>
      <c r="K24" s="29"/>
      <c r="L24" s="29"/>
    </row>
    <row r="25" spans="2:12" x14ac:dyDescent="0.15">
      <c r="B25" s="29"/>
      <c r="H25" s="29"/>
      <c r="I25" s="29"/>
      <c r="J25" s="29"/>
      <c r="K25" s="29"/>
      <c r="L25" s="29"/>
    </row>
    <row r="26" spans="2:12" x14ac:dyDescent="0.15">
      <c r="B26" s="29"/>
      <c r="H26" s="29"/>
      <c r="I26" s="29"/>
      <c r="J26" s="29"/>
      <c r="K26" s="29"/>
      <c r="L26" s="29"/>
    </row>
    <row r="27" spans="2:12" x14ac:dyDescent="0.15">
      <c r="B27" s="29"/>
      <c r="H27" s="29"/>
      <c r="I27" s="29"/>
      <c r="J27" s="29"/>
      <c r="K27" s="29"/>
      <c r="L27" s="29"/>
    </row>
    <row r="28" spans="2:12" x14ac:dyDescent="0.15">
      <c r="B28" s="29"/>
      <c r="H28" s="29"/>
      <c r="I28" s="29"/>
      <c r="J28" s="29"/>
      <c r="K28" s="29"/>
      <c r="L28" s="29"/>
    </row>
    <row r="29" spans="2:12" x14ac:dyDescent="0.15">
      <c r="B29" s="29"/>
      <c r="H29" s="29"/>
      <c r="I29" s="29"/>
      <c r="J29" s="29"/>
      <c r="K29" s="29"/>
      <c r="L29" s="29"/>
    </row>
  </sheetData>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F7E45-02F6-422F-8FE7-EB2D401EB35C}">
  <sheetPr codeName="Sheet2"/>
  <dimension ref="A1:T2635"/>
  <sheetViews>
    <sheetView workbookViewId="0"/>
  </sheetViews>
  <sheetFormatPr defaultRowHeight="13.5" x14ac:dyDescent="0.15"/>
  <sheetData>
    <row r="1" spans="1:20" x14ac:dyDescent="0.15">
      <c r="A1" t="s">
        <v>331</v>
      </c>
      <c r="B1" t="s">
        <v>332</v>
      </c>
      <c r="C1" t="s">
        <v>333</v>
      </c>
      <c r="D1" t="s">
        <v>334</v>
      </c>
      <c r="E1" t="s">
        <v>335</v>
      </c>
      <c r="F1" t="s">
        <v>336</v>
      </c>
      <c r="G1" t="s">
        <v>337</v>
      </c>
      <c r="H1" t="s">
        <v>338</v>
      </c>
      <c r="I1" t="s">
        <v>76</v>
      </c>
      <c r="J1" t="s">
        <v>339</v>
      </c>
      <c r="K1" t="s">
        <v>340</v>
      </c>
      <c r="L1" t="s">
        <v>341</v>
      </c>
      <c r="M1" t="s">
        <v>342</v>
      </c>
      <c r="N1" t="s">
        <v>343</v>
      </c>
      <c r="O1" t="s">
        <v>344</v>
      </c>
      <c r="P1" t="s">
        <v>345</v>
      </c>
      <c r="Q1" t="s">
        <v>346</v>
      </c>
      <c r="R1" t="s">
        <v>347</v>
      </c>
      <c r="S1" t="s">
        <v>348</v>
      </c>
      <c r="T1" t="s">
        <v>349</v>
      </c>
    </row>
    <row r="2" spans="1:20" x14ac:dyDescent="0.15">
      <c r="A2" t="s">
        <v>6275</v>
      </c>
      <c r="B2" s="61">
        <v>46600</v>
      </c>
      <c r="D2" s="62">
        <v>46509.958333333336</v>
      </c>
      <c r="E2" t="s">
        <v>355</v>
      </c>
      <c r="F2" t="s">
        <v>364</v>
      </c>
      <c r="H2" t="s">
        <v>365</v>
      </c>
      <c r="I2">
        <v>1200763</v>
      </c>
      <c r="J2" t="s">
        <v>4151</v>
      </c>
      <c r="L2" t="s">
        <v>4152</v>
      </c>
      <c r="M2" s="62">
        <v>46510.208333333336</v>
      </c>
      <c r="N2" t="s">
        <v>4153</v>
      </c>
      <c r="O2" t="s">
        <v>4154</v>
      </c>
    </row>
    <row r="3" spans="1:20" ht="409.5" x14ac:dyDescent="0.15">
      <c r="A3" t="s">
        <v>2771</v>
      </c>
      <c r="B3" s="61">
        <v>46204</v>
      </c>
      <c r="D3" s="62">
        <v>46467.354166666664</v>
      </c>
      <c r="E3" t="s">
        <v>355</v>
      </c>
      <c r="F3" t="s">
        <v>385</v>
      </c>
      <c r="H3" t="s">
        <v>353</v>
      </c>
      <c r="I3">
        <v>2303567</v>
      </c>
      <c r="J3" t="s">
        <v>2782</v>
      </c>
      <c r="K3" t="s">
        <v>2783</v>
      </c>
      <c r="L3" t="s">
        <v>466</v>
      </c>
      <c r="M3" s="62">
        <v>46467.666666666664</v>
      </c>
      <c r="N3" t="s">
        <v>2784</v>
      </c>
      <c r="O3" t="s">
        <v>2785</v>
      </c>
      <c r="P3" t="s">
        <v>7344</v>
      </c>
      <c r="Q3" t="s">
        <v>2786</v>
      </c>
      <c r="R3" s="34" t="s">
        <v>2787</v>
      </c>
      <c r="S3" s="34" t="s">
        <v>2788</v>
      </c>
    </row>
    <row r="4" spans="1:20" ht="216" x14ac:dyDescent="0.15">
      <c r="A4" t="s">
        <v>1435</v>
      </c>
      <c r="B4" s="61">
        <v>46266</v>
      </c>
      <c r="D4" s="62">
        <v>46269.375</v>
      </c>
      <c r="E4" t="s">
        <v>355</v>
      </c>
      <c r="F4" t="s">
        <v>356</v>
      </c>
      <c r="H4" t="s">
        <v>365</v>
      </c>
      <c r="I4">
        <v>2501142</v>
      </c>
      <c r="J4" t="s">
        <v>1460</v>
      </c>
      <c r="K4" t="s">
        <v>1461</v>
      </c>
      <c r="L4" t="s">
        <v>1462</v>
      </c>
      <c r="M4" s="62">
        <v>46269.708333333336</v>
      </c>
      <c r="N4" t="s">
        <v>1463</v>
      </c>
      <c r="O4" t="s">
        <v>1464</v>
      </c>
      <c r="P4" t="s">
        <v>7513</v>
      </c>
      <c r="Q4" t="s">
        <v>7514</v>
      </c>
      <c r="R4" t="s">
        <v>362</v>
      </c>
      <c r="S4" s="34" t="s">
        <v>1465</v>
      </c>
    </row>
    <row r="5" spans="1:20" ht="409.5" x14ac:dyDescent="0.15">
      <c r="A5" t="s">
        <v>1435</v>
      </c>
      <c r="B5" s="61">
        <v>46266</v>
      </c>
      <c r="D5" s="62">
        <v>46269.375</v>
      </c>
      <c r="E5" t="s">
        <v>355</v>
      </c>
      <c r="F5" t="s">
        <v>356</v>
      </c>
      <c r="H5" t="s">
        <v>353</v>
      </c>
      <c r="I5">
        <v>2501142</v>
      </c>
      <c r="J5" t="s">
        <v>1460</v>
      </c>
      <c r="K5" t="s">
        <v>1461</v>
      </c>
      <c r="L5" t="s">
        <v>1462</v>
      </c>
      <c r="M5" s="62">
        <v>46269.708333333336</v>
      </c>
      <c r="N5" t="s">
        <v>1466</v>
      </c>
      <c r="O5" t="s">
        <v>1464</v>
      </c>
      <c r="P5" t="s">
        <v>7513</v>
      </c>
      <c r="Q5" t="s">
        <v>7514</v>
      </c>
      <c r="R5" t="s">
        <v>362</v>
      </c>
      <c r="S5" s="34" t="s">
        <v>1467</v>
      </c>
    </row>
    <row r="6" spans="1:20" ht="243" x14ac:dyDescent="0.15">
      <c r="A6" t="s">
        <v>3822</v>
      </c>
      <c r="B6" s="61">
        <v>46235</v>
      </c>
      <c r="D6" s="62">
        <v>46257.354166666664</v>
      </c>
      <c r="E6" t="s">
        <v>355</v>
      </c>
      <c r="F6" t="s">
        <v>356</v>
      </c>
      <c r="H6" t="s">
        <v>365</v>
      </c>
      <c r="I6">
        <v>1700425</v>
      </c>
      <c r="J6" t="s">
        <v>3830</v>
      </c>
      <c r="K6" t="s">
        <v>3831</v>
      </c>
      <c r="L6" t="s">
        <v>390</v>
      </c>
      <c r="M6" s="62">
        <v>46257.5</v>
      </c>
      <c r="N6" t="s">
        <v>3832</v>
      </c>
      <c r="O6" t="s">
        <v>3833</v>
      </c>
      <c r="P6" t="s">
        <v>7511</v>
      </c>
      <c r="Q6" t="s">
        <v>7512</v>
      </c>
      <c r="R6" t="s">
        <v>362</v>
      </c>
      <c r="S6" s="34" t="s">
        <v>3834</v>
      </c>
    </row>
    <row r="7" spans="1:20" ht="409.5" x14ac:dyDescent="0.15">
      <c r="A7" t="s">
        <v>1715</v>
      </c>
      <c r="B7" s="61">
        <v>46204</v>
      </c>
      <c r="D7" s="62">
        <v>46211.708333333336</v>
      </c>
      <c r="E7" t="s">
        <v>355</v>
      </c>
      <c r="F7" t="s">
        <v>356</v>
      </c>
      <c r="H7" t="s">
        <v>365</v>
      </c>
      <c r="I7">
        <v>1500690</v>
      </c>
      <c r="J7" t="s">
        <v>1726</v>
      </c>
      <c r="K7" t="s">
        <v>1727</v>
      </c>
      <c r="L7" t="s">
        <v>1728</v>
      </c>
      <c r="M7" s="62">
        <v>46211.916666666664</v>
      </c>
      <c r="N7" t="s">
        <v>1729</v>
      </c>
      <c r="O7" t="s">
        <v>1730</v>
      </c>
      <c r="P7" t="s">
        <v>5181</v>
      </c>
      <c r="Q7" s="34" t="s">
        <v>5182</v>
      </c>
      <c r="R7" t="s">
        <v>362</v>
      </c>
      <c r="S7" s="34" t="s">
        <v>1731</v>
      </c>
    </row>
    <row r="8" spans="1:20" ht="229.5" x14ac:dyDescent="0.15">
      <c r="A8" t="s">
        <v>2456</v>
      </c>
      <c r="B8" s="61">
        <v>47300</v>
      </c>
      <c r="D8" s="62">
        <v>46208.375</v>
      </c>
      <c r="E8" t="s">
        <v>355</v>
      </c>
      <c r="F8" t="s">
        <v>385</v>
      </c>
      <c r="G8" t="s">
        <v>7507</v>
      </c>
      <c r="H8" t="s">
        <v>365</v>
      </c>
      <c r="I8">
        <v>2202138</v>
      </c>
      <c r="J8" t="s">
        <v>2481</v>
      </c>
      <c r="K8" t="s">
        <v>2482</v>
      </c>
      <c r="L8" t="s">
        <v>2523</v>
      </c>
      <c r="M8" s="62">
        <v>46208.583333333336</v>
      </c>
      <c r="N8" t="s">
        <v>2524</v>
      </c>
      <c r="O8" t="s">
        <v>2485</v>
      </c>
      <c r="P8" t="s">
        <v>7508</v>
      </c>
      <c r="Q8" s="34" t="s">
        <v>7506</v>
      </c>
      <c r="R8" t="s">
        <v>395</v>
      </c>
      <c r="S8" s="34" t="s">
        <v>2525</v>
      </c>
      <c r="T8" t="s">
        <v>7507</v>
      </c>
    </row>
    <row r="9" spans="1:20" ht="409.5" x14ac:dyDescent="0.15">
      <c r="A9" t="s">
        <v>3432</v>
      </c>
      <c r="B9" s="61">
        <v>45992</v>
      </c>
      <c r="D9" s="62">
        <v>46187.375</v>
      </c>
      <c r="E9" t="s">
        <v>355</v>
      </c>
      <c r="F9" t="s">
        <v>385</v>
      </c>
      <c r="H9" t="s">
        <v>353</v>
      </c>
      <c r="I9">
        <v>2202430</v>
      </c>
      <c r="J9" t="s">
        <v>974</v>
      </c>
      <c r="K9" t="s">
        <v>7097</v>
      </c>
      <c r="L9" t="s">
        <v>7098</v>
      </c>
      <c r="M9" s="62">
        <v>46187.708333333336</v>
      </c>
      <c r="N9" t="s">
        <v>7473</v>
      </c>
      <c r="O9" t="s">
        <v>7099</v>
      </c>
      <c r="P9" s="34" t="s">
        <v>7474</v>
      </c>
      <c r="Q9" s="34" t="s">
        <v>7475</v>
      </c>
      <c r="R9" t="s">
        <v>386</v>
      </c>
      <c r="S9" s="34" t="s">
        <v>7476</v>
      </c>
    </row>
    <row r="10" spans="1:20" ht="409.5" x14ac:dyDescent="0.15">
      <c r="A10" t="s">
        <v>5612</v>
      </c>
      <c r="B10" s="61">
        <v>46143</v>
      </c>
      <c r="D10" s="62">
        <v>46186.354166666664</v>
      </c>
      <c r="E10" t="s">
        <v>355</v>
      </c>
      <c r="F10" t="s">
        <v>356</v>
      </c>
      <c r="H10" t="s">
        <v>353</v>
      </c>
      <c r="I10">
        <v>1001031</v>
      </c>
      <c r="J10" t="s">
        <v>743</v>
      </c>
      <c r="K10" t="s">
        <v>3541</v>
      </c>
      <c r="L10" t="s">
        <v>390</v>
      </c>
      <c r="M10" s="62">
        <v>46214.708333333336</v>
      </c>
      <c r="N10" t="s">
        <v>3542</v>
      </c>
      <c r="O10" t="s">
        <v>3543</v>
      </c>
      <c r="Q10" t="s">
        <v>7483</v>
      </c>
      <c r="R10" t="s">
        <v>362</v>
      </c>
      <c r="S10" s="34" t="s">
        <v>3544</v>
      </c>
    </row>
    <row r="11" spans="1:20" ht="243" x14ac:dyDescent="0.15">
      <c r="A11" t="s">
        <v>6766</v>
      </c>
      <c r="B11" s="61">
        <v>46174</v>
      </c>
      <c r="D11" s="62">
        <v>46185.708333333336</v>
      </c>
      <c r="E11" t="s">
        <v>355</v>
      </c>
      <c r="F11" t="s">
        <v>351</v>
      </c>
      <c r="G11" t="s">
        <v>352</v>
      </c>
      <c r="H11" t="s">
        <v>353</v>
      </c>
      <c r="I11">
        <v>4100326</v>
      </c>
      <c r="J11" t="s">
        <v>2851</v>
      </c>
      <c r="K11" t="s">
        <v>2852</v>
      </c>
      <c r="L11" t="s">
        <v>373</v>
      </c>
      <c r="M11" s="62">
        <v>46185.833333333336</v>
      </c>
      <c r="N11" t="s">
        <v>2853</v>
      </c>
      <c r="O11" t="s">
        <v>2854</v>
      </c>
      <c r="P11" t="s">
        <v>7515</v>
      </c>
      <c r="Q11" t="s">
        <v>7516</v>
      </c>
      <c r="R11" t="s">
        <v>3985</v>
      </c>
      <c r="S11" s="34" t="s">
        <v>2855</v>
      </c>
    </row>
    <row r="12" spans="1:20" ht="243" x14ac:dyDescent="0.15">
      <c r="A12" t="s">
        <v>1424</v>
      </c>
      <c r="B12" s="61">
        <v>46174</v>
      </c>
      <c r="D12" s="62">
        <v>46184.75</v>
      </c>
      <c r="E12" t="s">
        <v>355</v>
      </c>
      <c r="F12" t="s">
        <v>351</v>
      </c>
      <c r="H12" t="s">
        <v>3913</v>
      </c>
      <c r="I12">
        <v>1200354</v>
      </c>
      <c r="J12" t="s">
        <v>3016</v>
      </c>
      <c r="L12" t="s">
        <v>4394</v>
      </c>
      <c r="M12" s="62">
        <v>46184.958333333336</v>
      </c>
      <c r="N12" t="s">
        <v>5062</v>
      </c>
      <c r="O12" t="s">
        <v>4395</v>
      </c>
      <c r="P12" t="s">
        <v>7509</v>
      </c>
      <c r="Q12" t="s">
        <v>7510</v>
      </c>
      <c r="R12" t="s">
        <v>3992</v>
      </c>
      <c r="S12" s="34" t="s">
        <v>5151</v>
      </c>
    </row>
    <row r="13" spans="1:20" ht="229.5" x14ac:dyDescent="0.15">
      <c r="A13" t="s">
        <v>350</v>
      </c>
      <c r="B13" s="61">
        <v>46174</v>
      </c>
      <c r="E13" t="s">
        <v>355</v>
      </c>
      <c r="F13" t="s">
        <v>356</v>
      </c>
      <c r="G13" t="s">
        <v>354</v>
      </c>
      <c r="H13" t="s">
        <v>353</v>
      </c>
      <c r="I13">
        <v>800184</v>
      </c>
      <c r="J13" t="s">
        <v>357</v>
      </c>
      <c r="K13" t="s">
        <v>358</v>
      </c>
      <c r="L13" t="s">
        <v>359</v>
      </c>
      <c r="N13" t="s">
        <v>360</v>
      </c>
      <c r="O13" t="s">
        <v>361</v>
      </c>
      <c r="R13" t="s">
        <v>362</v>
      </c>
      <c r="S13" s="34" t="s">
        <v>363</v>
      </c>
    </row>
    <row r="14" spans="1:20" ht="409.5" x14ac:dyDescent="0.15">
      <c r="A14" t="s">
        <v>350</v>
      </c>
      <c r="B14" s="61">
        <v>46388</v>
      </c>
      <c r="E14" t="s">
        <v>355</v>
      </c>
      <c r="F14" t="s">
        <v>385</v>
      </c>
      <c r="G14" t="s">
        <v>354</v>
      </c>
      <c r="H14" t="s">
        <v>365</v>
      </c>
      <c r="I14">
        <v>800273</v>
      </c>
      <c r="J14" t="s">
        <v>366</v>
      </c>
      <c r="K14" t="s">
        <v>367</v>
      </c>
      <c r="L14" t="s">
        <v>368</v>
      </c>
      <c r="N14" t="s">
        <v>369</v>
      </c>
      <c r="O14" t="s">
        <v>370</v>
      </c>
      <c r="S14" s="34" t="s">
        <v>5093</v>
      </c>
    </row>
    <row r="15" spans="1:20" x14ac:dyDescent="0.15">
      <c r="A15" t="s">
        <v>350</v>
      </c>
      <c r="B15" s="61">
        <v>46508</v>
      </c>
      <c r="E15" t="s">
        <v>355</v>
      </c>
      <c r="F15" t="s">
        <v>364</v>
      </c>
      <c r="G15" t="s">
        <v>354</v>
      </c>
      <c r="H15" t="s">
        <v>353</v>
      </c>
      <c r="I15">
        <v>800406</v>
      </c>
      <c r="J15" t="s">
        <v>371</v>
      </c>
      <c r="K15" t="s">
        <v>372</v>
      </c>
      <c r="L15" t="s">
        <v>373</v>
      </c>
      <c r="N15" t="s">
        <v>374</v>
      </c>
      <c r="O15" t="s">
        <v>375</v>
      </c>
    </row>
    <row r="16" spans="1:20" x14ac:dyDescent="0.15">
      <c r="A16" t="s">
        <v>350</v>
      </c>
      <c r="B16" s="61">
        <v>46631</v>
      </c>
      <c r="E16" t="s">
        <v>355</v>
      </c>
      <c r="F16" t="s">
        <v>364</v>
      </c>
      <c r="G16" t="s">
        <v>354</v>
      </c>
      <c r="H16" t="s">
        <v>353</v>
      </c>
      <c r="I16">
        <v>801215</v>
      </c>
      <c r="J16" t="s">
        <v>376</v>
      </c>
      <c r="K16" t="s">
        <v>377</v>
      </c>
      <c r="L16" t="s">
        <v>378</v>
      </c>
      <c r="N16" t="s">
        <v>379</v>
      </c>
      <c r="O16" t="s">
        <v>380</v>
      </c>
    </row>
    <row r="17" spans="1:19" x14ac:dyDescent="0.15">
      <c r="A17" t="s">
        <v>350</v>
      </c>
      <c r="B17" s="61">
        <v>46966</v>
      </c>
      <c r="E17" t="s">
        <v>355</v>
      </c>
      <c r="F17" t="s">
        <v>356</v>
      </c>
      <c r="G17" t="s">
        <v>354</v>
      </c>
      <c r="H17" t="s">
        <v>353</v>
      </c>
      <c r="I17">
        <v>800895</v>
      </c>
      <c r="J17" t="s">
        <v>381</v>
      </c>
      <c r="K17" t="s">
        <v>377</v>
      </c>
      <c r="L17" t="s">
        <v>382</v>
      </c>
      <c r="N17" t="s">
        <v>383</v>
      </c>
      <c r="O17" t="s">
        <v>384</v>
      </c>
    </row>
    <row r="18" spans="1:19" ht="229.5" x14ac:dyDescent="0.15">
      <c r="A18" t="s">
        <v>350</v>
      </c>
      <c r="B18" s="61">
        <v>47635</v>
      </c>
      <c r="E18" t="s">
        <v>355</v>
      </c>
      <c r="F18" t="s">
        <v>385</v>
      </c>
      <c r="H18" t="s">
        <v>353</v>
      </c>
      <c r="I18">
        <v>800184</v>
      </c>
      <c r="J18" t="s">
        <v>357</v>
      </c>
      <c r="K18" t="s">
        <v>358</v>
      </c>
      <c r="L18" t="s">
        <v>359</v>
      </c>
      <c r="N18" t="s">
        <v>360</v>
      </c>
      <c r="O18" t="s">
        <v>361</v>
      </c>
      <c r="R18" t="s">
        <v>386</v>
      </c>
      <c r="S18" s="34" t="s">
        <v>363</v>
      </c>
    </row>
    <row r="19" spans="1:19" x14ac:dyDescent="0.15">
      <c r="A19" t="s">
        <v>350</v>
      </c>
      <c r="B19" s="61">
        <v>47969</v>
      </c>
      <c r="E19" t="s">
        <v>355</v>
      </c>
      <c r="F19" t="s">
        <v>364</v>
      </c>
      <c r="H19" t="s">
        <v>353</v>
      </c>
      <c r="I19">
        <v>800406</v>
      </c>
      <c r="J19" t="s">
        <v>371</v>
      </c>
      <c r="K19" t="s">
        <v>372</v>
      </c>
      <c r="L19" t="s">
        <v>373</v>
      </c>
      <c r="N19" t="s">
        <v>374</v>
      </c>
      <c r="O19" t="s">
        <v>375</v>
      </c>
    </row>
    <row r="20" spans="1:19" x14ac:dyDescent="0.15">
      <c r="A20" t="s">
        <v>350</v>
      </c>
      <c r="B20" s="61">
        <v>48092</v>
      </c>
      <c r="E20" t="s">
        <v>355</v>
      </c>
      <c r="F20" t="s">
        <v>364</v>
      </c>
      <c r="H20" t="s">
        <v>353</v>
      </c>
      <c r="I20">
        <v>801215</v>
      </c>
      <c r="J20" t="s">
        <v>376</v>
      </c>
      <c r="K20" t="s">
        <v>377</v>
      </c>
      <c r="L20" t="s">
        <v>378</v>
      </c>
      <c r="N20" t="s">
        <v>379</v>
      </c>
      <c r="O20" t="s">
        <v>380</v>
      </c>
    </row>
    <row r="21" spans="1:19" x14ac:dyDescent="0.15">
      <c r="A21" t="s">
        <v>350</v>
      </c>
      <c r="B21" s="61">
        <v>48427</v>
      </c>
      <c r="E21" t="s">
        <v>355</v>
      </c>
      <c r="F21" t="s">
        <v>385</v>
      </c>
      <c r="H21" t="s">
        <v>353</v>
      </c>
      <c r="I21">
        <v>800895</v>
      </c>
      <c r="J21" t="s">
        <v>381</v>
      </c>
      <c r="K21" t="s">
        <v>377</v>
      </c>
      <c r="L21" t="s">
        <v>382</v>
      </c>
      <c r="N21" t="s">
        <v>383</v>
      </c>
      <c r="O21" t="s">
        <v>384</v>
      </c>
    </row>
    <row r="22" spans="1:19" ht="256.5" x14ac:dyDescent="0.15">
      <c r="A22" t="s">
        <v>387</v>
      </c>
      <c r="B22" s="61">
        <v>46327</v>
      </c>
      <c r="E22" t="s">
        <v>355</v>
      </c>
      <c r="F22" t="s">
        <v>385</v>
      </c>
      <c r="H22" t="s">
        <v>353</v>
      </c>
      <c r="I22">
        <v>801375</v>
      </c>
      <c r="J22" t="s">
        <v>388</v>
      </c>
      <c r="K22" t="s">
        <v>389</v>
      </c>
      <c r="L22" t="s">
        <v>390</v>
      </c>
      <c r="N22" t="s">
        <v>391</v>
      </c>
      <c r="O22" t="s">
        <v>392</v>
      </c>
      <c r="R22" t="s">
        <v>386</v>
      </c>
      <c r="S22" s="34" t="s">
        <v>393</v>
      </c>
    </row>
    <row r="23" spans="1:19" ht="216" x14ac:dyDescent="0.15">
      <c r="A23" t="s">
        <v>387</v>
      </c>
      <c r="B23" s="61">
        <v>46357</v>
      </c>
      <c r="E23" t="s">
        <v>355</v>
      </c>
      <c r="F23" t="s">
        <v>385</v>
      </c>
      <c r="H23" t="s">
        <v>365</v>
      </c>
      <c r="I23">
        <v>801375</v>
      </c>
      <c r="J23" t="s">
        <v>388</v>
      </c>
      <c r="K23" t="s">
        <v>389</v>
      </c>
      <c r="L23" t="s">
        <v>390</v>
      </c>
      <c r="N23" t="s">
        <v>394</v>
      </c>
      <c r="O23" t="s">
        <v>392</v>
      </c>
      <c r="R23" t="s">
        <v>395</v>
      </c>
      <c r="S23" s="34" t="s">
        <v>396</v>
      </c>
    </row>
    <row r="24" spans="1:19" x14ac:dyDescent="0.15">
      <c r="A24" t="s">
        <v>387</v>
      </c>
      <c r="B24" s="61">
        <v>46419</v>
      </c>
      <c r="E24" t="s">
        <v>355</v>
      </c>
      <c r="F24" t="s">
        <v>364</v>
      </c>
      <c r="H24" t="s">
        <v>365</v>
      </c>
      <c r="I24">
        <v>801368</v>
      </c>
      <c r="J24" t="s">
        <v>397</v>
      </c>
      <c r="K24" t="s">
        <v>398</v>
      </c>
      <c r="L24" t="s">
        <v>399</v>
      </c>
      <c r="N24" t="s">
        <v>400</v>
      </c>
      <c r="O24" t="s">
        <v>401</v>
      </c>
    </row>
    <row r="25" spans="1:19" x14ac:dyDescent="0.15">
      <c r="A25" t="s">
        <v>387</v>
      </c>
      <c r="B25" s="61">
        <v>46722</v>
      </c>
      <c r="E25" t="s">
        <v>355</v>
      </c>
      <c r="F25" t="s">
        <v>364</v>
      </c>
      <c r="H25" t="s">
        <v>353</v>
      </c>
      <c r="I25">
        <v>801248</v>
      </c>
      <c r="J25" t="s">
        <v>402</v>
      </c>
      <c r="K25" t="s">
        <v>403</v>
      </c>
      <c r="L25" t="s">
        <v>404</v>
      </c>
      <c r="N25" t="s">
        <v>405</v>
      </c>
      <c r="O25" t="s">
        <v>406</v>
      </c>
    </row>
    <row r="26" spans="1:19" x14ac:dyDescent="0.15">
      <c r="A26" t="s">
        <v>387</v>
      </c>
      <c r="B26" s="61">
        <v>46722</v>
      </c>
      <c r="E26" t="s">
        <v>355</v>
      </c>
      <c r="F26" t="s">
        <v>364</v>
      </c>
      <c r="H26" t="s">
        <v>353</v>
      </c>
      <c r="I26">
        <v>801430</v>
      </c>
      <c r="J26" t="s">
        <v>407</v>
      </c>
      <c r="K26" t="s">
        <v>408</v>
      </c>
      <c r="L26" t="s">
        <v>409</v>
      </c>
      <c r="N26" t="s">
        <v>410</v>
      </c>
      <c r="O26" t="s">
        <v>411</v>
      </c>
    </row>
    <row r="27" spans="1:19" x14ac:dyDescent="0.15">
      <c r="A27" t="s">
        <v>387</v>
      </c>
      <c r="B27" s="61">
        <v>46722</v>
      </c>
      <c r="E27" t="s">
        <v>355</v>
      </c>
      <c r="F27" t="s">
        <v>364</v>
      </c>
      <c r="H27" t="s">
        <v>365</v>
      </c>
      <c r="I27">
        <v>800845</v>
      </c>
      <c r="J27" t="s">
        <v>412</v>
      </c>
      <c r="K27" t="s">
        <v>403</v>
      </c>
      <c r="L27" t="s">
        <v>413</v>
      </c>
      <c r="N27" t="s">
        <v>414</v>
      </c>
      <c r="O27" t="s">
        <v>415</v>
      </c>
    </row>
    <row r="28" spans="1:19" x14ac:dyDescent="0.15">
      <c r="A28" t="s">
        <v>387</v>
      </c>
      <c r="B28" s="61">
        <v>47392</v>
      </c>
      <c r="E28" t="s">
        <v>355</v>
      </c>
      <c r="F28" t="s">
        <v>385</v>
      </c>
      <c r="H28" t="s">
        <v>353</v>
      </c>
      <c r="I28">
        <v>801407</v>
      </c>
      <c r="J28" t="s">
        <v>416</v>
      </c>
      <c r="K28" t="s">
        <v>417</v>
      </c>
      <c r="L28" t="s">
        <v>418</v>
      </c>
      <c r="N28" t="s">
        <v>419</v>
      </c>
      <c r="O28" t="s">
        <v>420</v>
      </c>
      <c r="R28" t="s">
        <v>386</v>
      </c>
      <c r="S28" t="s">
        <v>421</v>
      </c>
    </row>
    <row r="29" spans="1:19" x14ac:dyDescent="0.15">
      <c r="A29" t="s">
        <v>387</v>
      </c>
      <c r="B29" s="61">
        <v>48183</v>
      </c>
      <c r="E29" t="s">
        <v>355</v>
      </c>
      <c r="F29" t="s">
        <v>364</v>
      </c>
      <c r="H29" t="s">
        <v>353</v>
      </c>
      <c r="I29">
        <v>801430</v>
      </c>
      <c r="J29" t="s">
        <v>407</v>
      </c>
      <c r="K29" t="s">
        <v>408</v>
      </c>
      <c r="L29" t="s">
        <v>409</v>
      </c>
      <c r="N29" t="s">
        <v>410</v>
      </c>
      <c r="O29" t="s">
        <v>411</v>
      </c>
    </row>
    <row r="30" spans="1:19" x14ac:dyDescent="0.15">
      <c r="A30" t="s">
        <v>387</v>
      </c>
      <c r="B30" s="61">
        <v>48183</v>
      </c>
      <c r="E30" t="s">
        <v>355</v>
      </c>
      <c r="F30" t="s">
        <v>364</v>
      </c>
      <c r="H30" t="s">
        <v>365</v>
      </c>
      <c r="I30">
        <v>800845</v>
      </c>
      <c r="J30" t="s">
        <v>412</v>
      </c>
      <c r="K30" t="s">
        <v>403</v>
      </c>
      <c r="L30" t="s">
        <v>413</v>
      </c>
      <c r="N30" t="s">
        <v>414</v>
      </c>
      <c r="O30" t="s">
        <v>415</v>
      </c>
    </row>
    <row r="31" spans="1:19" ht="409.5" x14ac:dyDescent="0.15">
      <c r="A31" t="s">
        <v>422</v>
      </c>
      <c r="B31" s="61">
        <v>46296</v>
      </c>
      <c r="E31" t="s">
        <v>355</v>
      </c>
      <c r="F31" t="s">
        <v>385</v>
      </c>
      <c r="H31" t="s">
        <v>353</v>
      </c>
      <c r="I31">
        <v>2702665</v>
      </c>
      <c r="J31" t="s">
        <v>427</v>
      </c>
      <c r="K31" t="s">
        <v>428</v>
      </c>
      <c r="L31" t="s">
        <v>429</v>
      </c>
      <c r="N31" t="s">
        <v>430</v>
      </c>
      <c r="O31" t="s">
        <v>431</v>
      </c>
      <c r="R31" t="s">
        <v>386</v>
      </c>
      <c r="S31" s="34" t="s">
        <v>432</v>
      </c>
    </row>
    <row r="32" spans="1:19" ht="216" x14ac:dyDescent="0.15">
      <c r="A32" t="s">
        <v>422</v>
      </c>
      <c r="B32" s="61">
        <v>46327</v>
      </c>
      <c r="E32" t="s">
        <v>355</v>
      </c>
      <c r="F32" t="s">
        <v>385</v>
      </c>
      <c r="H32" t="s">
        <v>365</v>
      </c>
      <c r="I32">
        <v>2702665</v>
      </c>
      <c r="J32" t="s">
        <v>427</v>
      </c>
      <c r="K32" t="s">
        <v>428</v>
      </c>
      <c r="L32" t="s">
        <v>429</v>
      </c>
      <c r="N32" t="s">
        <v>433</v>
      </c>
      <c r="O32" t="s">
        <v>431</v>
      </c>
      <c r="R32" t="s">
        <v>395</v>
      </c>
      <c r="S32" s="34" t="s">
        <v>434</v>
      </c>
    </row>
    <row r="33" spans="1:19" ht="378" x14ac:dyDescent="0.15">
      <c r="A33" t="s">
        <v>422</v>
      </c>
      <c r="B33" s="61">
        <v>46327</v>
      </c>
      <c r="E33" t="s">
        <v>355</v>
      </c>
      <c r="F33" t="s">
        <v>356</v>
      </c>
      <c r="H33" t="s">
        <v>353</v>
      </c>
      <c r="I33">
        <v>2700391</v>
      </c>
      <c r="J33" t="s">
        <v>435</v>
      </c>
      <c r="K33" t="s">
        <v>436</v>
      </c>
      <c r="L33" t="s">
        <v>390</v>
      </c>
      <c r="N33" t="s">
        <v>5094</v>
      </c>
      <c r="O33" t="s">
        <v>437</v>
      </c>
      <c r="R33" t="s">
        <v>362</v>
      </c>
      <c r="S33" s="34" t="s">
        <v>438</v>
      </c>
    </row>
    <row r="34" spans="1:19" x14ac:dyDescent="0.15">
      <c r="A34" t="s">
        <v>422</v>
      </c>
      <c r="B34" s="61">
        <v>46508</v>
      </c>
      <c r="E34" t="s">
        <v>355</v>
      </c>
      <c r="F34" t="s">
        <v>364</v>
      </c>
      <c r="H34" t="s">
        <v>353</v>
      </c>
      <c r="I34">
        <v>2701960</v>
      </c>
      <c r="J34" t="s">
        <v>439</v>
      </c>
      <c r="K34" t="s">
        <v>440</v>
      </c>
      <c r="L34" t="s">
        <v>390</v>
      </c>
      <c r="N34" t="s">
        <v>441</v>
      </c>
      <c r="O34" t="s">
        <v>442</v>
      </c>
    </row>
    <row r="35" spans="1:19" x14ac:dyDescent="0.15">
      <c r="A35" t="s">
        <v>422</v>
      </c>
      <c r="B35" s="61">
        <v>46508</v>
      </c>
      <c r="E35" t="s">
        <v>355</v>
      </c>
      <c r="F35" t="s">
        <v>364</v>
      </c>
      <c r="H35" t="s">
        <v>353</v>
      </c>
      <c r="I35">
        <v>2700597</v>
      </c>
      <c r="J35" t="s">
        <v>423</v>
      </c>
      <c r="K35" t="s">
        <v>424</v>
      </c>
      <c r="L35" t="s">
        <v>443</v>
      </c>
      <c r="N35" t="s">
        <v>444</v>
      </c>
      <c r="O35" t="s">
        <v>445</v>
      </c>
    </row>
    <row r="36" spans="1:19" x14ac:dyDescent="0.15">
      <c r="A36" t="s">
        <v>422</v>
      </c>
      <c r="B36" s="61">
        <v>46569</v>
      </c>
      <c r="E36" t="s">
        <v>355</v>
      </c>
      <c r="F36" t="s">
        <v>364</v>
      </c>
      <c r="H36" t="s">
        <v>353</v>
      </c>
      <c r="I36">
        <v>2702039</v>
      </c>
      <c r="J36" t="s">
        <v>446</v>
      </c>
      <c r="K36" t="s">
        <v>447</v>
      </c>
      <c r="L36" t="s">
        <v>390</v>
      </c>
      <c r="N36" t="s">
        <v>448</v>
      </c>
      <c r="O36" t="s">
        <v>449</v>
      </c>
    </row>
    <row r="37" spans="1:19" x14ac:dyDescent="0.15">
      <c r="A37" t="s">
        <v>422</v>
      </c>
      <c r="B37" s="61">
        <v>46692</v>
      </c>
      <c r="E37" t="s">
        <v>355</v>
      </c>
      <c r="F37" t="s">
        <v>364</v>
      </c>
      <c r="H37" t="s">
        <v>353</v>
      </c>
      <c r="I37">
        <v>2700091</v>
      </c>
      <c r="J37" t="s">
        <v>450</v>
      </c>
      <c r="K37" t="s">
        <v>451</v>
      </c>
      <c r="L37" t="s">
        <v>390</v>
      </c>
      <c r="N37" t="s">
        <v>452</v>
      </c>
      <c r="O37" t="s">
        <v>453</v>
      </c>
    </row>
    <row r="38" spans="1:19" x14ac:dyDescent="0.15">
      <c r="A38" t="s">
        <v>422</v>
      </c>
      <c r="B38" s="61">
        <v>46722</v>
      </c>
      <c r="E38" t="s">
        <v>355</v>
      </c>
      <c r="F38" t="s">
        <v>364</v>
      </c>
      <c r="H38" t="s">
        <v>353</v>
      </c>
      <c r="I38">
        <v>2700133</v>
      </c>
      <c r="J38" t="s">
        <v>454</v>
      </c>
      <c r="K38" t="s">
        <v>455</v>
      </c>
      <c r="L38" t="s">
        <v>390</v>
      </c>
      <c r="N38" t="s">
        <v>456</v>
      </c>
      <c r="O38" t="s">
        <v>457</v>
      </c>
    </row>
    <row r="39" spans="1:19" x14ac:dyDescent="0.15">
      <c r="A39" t="s">
        <v>422</v>
      </c>
      <c r="B39" s="61">
        <v>46905</v>
      </c>
      <c r="E39" t="s">
        <v>355</v>
      </c>
      <c r="F39" t="s">
        <v>364</v>
      </c>
      <c r="H39" t="s">
        <v>353</v>
      </c>
      <c r="I39">
        <v>2701239</v>
      </c>
      <c r="J39" t="s">
        <v>458</v>
      </c>
      <c r="L39" t="s">
        <v>390</v>
      </c>
      <c r="N39" t="s">
        <v>459</v>
      </c>
      <c r="O39" t="s">
        <v>460</v>
      </c>
    </row>
    <row r="40" spans="1:19" x14ac:dyDescent="0.15">
      <c r="A40" t="s">
        <v>422</v>
      </c>
      <c r="B40" s="61">
        <v>46966</v>
      </c>
      <c r="E40" t="s">
        <v>355</v>
      </c>
      <c r="F40" t="s">
        <v>364</v>
      </c>
      <c r="H40" t="s">
        <v>353</v>
      </c>
      <c r="I40">
        <v>2700904</v>
      </c>
      <c r="J40" t="s">
        <v>461</v>
      </c>
      <c r="L40" t="s">
        <v>390</v>
      </c>
      <c r="N40" t="s">
        <v>462</v>
      </c>
      <c r="O40" t="s">
        <v>463</v>
      </c>
    </row>
    <row r="41" spans="1:19" x14ac:dyDescent="0.15">
      <c r="A41" t="s">
        <v>422</v>
      </c>
      <c r="B41" s="61">
        <v>47027</v>
      </c>
      <c r="E41" t="s">
        <v>355</v>
      </c>
      <c r="F41" t="s">
        <v>364</v>
      </c>
      <c r="H41" t="s">
        <v>353</v>
      </c>
      <c r="I41">
        <v>2702728</v>
      </c>
      <c r="J41" t="s">
        <v>464</v>
      </c>
      <c r="K41" t="s">
        <v>465</v>
      </c>
      <c r="L41" t="s">
        <v>466</v>
      </c>
      <c r="N41" t="s">
        <v>467</v>
      </c>
      <c r="O41" t="s">
        <v>468</v>
      </c>
    </row>
    <row r="42" spans="1:19" x14ac:dyDescent="0.15">
      <c r="A42" t="s">
        <v>422</v>
      </c>
      <c r="B42" s="61">
        <v>47088</v>
      </c>
      <c r="E42" t="s">
        <v>355</v>
      </c>
      <c r="F42" t="s">
        <v>364</v>
      </c>
      <c r="H42" t="s">
        <v>353</v>
      </c>
      <c r="I42">
        <v>2700762</v>
      </c>
      <c r="J42" t="s">
        <v>423</v>
      </c>
      <c r="K42" t="s">
        <v>424</v>
      </c>
      <c r="L42" t="s">
        <v>425</v>
      </c>
      <c r="N42" t="s">
        <v>469</v>
      </c>
      <c r="O42" t="s">
        <v>426</v>
      </c>
    </row>
    <row r="43" spans="1:19" ht="243" x14ac:dyDescent="0.15">
      <c r="A43" t="s">
        <v>422</v>
      </c>
      <c r="B43" s="61">
        <v>47088</v>
      </c>
      <c r="E43" t="s">
        <v>355</v>
      </c>
      <c r="F43" t="s">
        <v>385</v>
      </c>
      <c r="H43" t="s">
        <v>353</v>
      </c>
      <c r="I43">
        <v>2702039</v>
      </c>
      <c r="J43" t="s">
        <v>446</v>
      </c>
      <c r="K43" t="s">
        <v>447</v>
      </c>
      <c r="L43" t="s">
        <v>390</v>
      </c>
      <c r="N43" t="s">
        <v>470</v>
      </c>
      <c r="O43" t="s">
        <v>449</v>
      </c>
      <c r="R43" t="s">
        <v>386</v>
      </c>
      <c r="S43" s="34" t="s">
        <v>471</v>
      </c>
    </row>
    <row r="44" spans="1:19" x14ac:dyDescent="0.15">
      <c r="A44" t="s">
        <v>422</v>
      </c>
      <c r="B44" s="61">
        <v>47088</v>
      </c>
      <c r="E44" t="s">
        <v>355</v>
      </c>
      <c r="F44" t="s">
        <v>364</v>
      </c>
      <c r="H44" t="s">
        <v>353</v>
      </c>
      <c r="I44">
        <v>2702144</v>
      </c>
      <c r="J44" t="s">
        <v>472</v>
      </c>
      <c r="L44" t="s">
        <v>473</v>
      </c>
      <c r="N44" t="s">
        <v>474</v>
      </c>
      <c r="O44" t="s">
        <v>475</v>
      </c>
    </row>
    <row r="45" spans="1:19" ht="409.5" x14ac:dyDescent="0.15">
      <c r="A45" t="s">
        <v>422</v>
      </c>
      <c r="B45" s="61">
        <v>47270</v>
      </c>
      <c r="E45" t="s">
        <v>355</v>
      </c>
      <c r="F45" t="s">
        <v>385</v>
      </c>
      <c r="H45" t="s">
        <v>353</v>
      </c>
      <c r="I45">
        <v>2700428</v>
      </c>
      <c r="J45" t="s">
        <v>476</v>
      </c>
      <c r="K45" t="s">
        <v>477</v>
      </c>
      <c r="L45" t="s">
        <v>390</v>
      </c>
      <c r="N45" t="s">
        <v>478</v>
      </c>
      <c r="O45" t="s">
        <v>479</v>
      </c>
      <c r="R45" t="s">
        <v>386</v>
      </c>
      <c r="S45" s="34" t="s">
        <v>480</v>
      </c>
    </row>
    <row r="46" spans="1:19" ht="409.5" x14ac:dyDescent="0.15">
      <c r="A46" t="s">
        <v>422</v>
      </c>
      <c r="B46" s="61">
        <v>47270</v>
      </c>
      <c r="E46" t="s">
        <v>355</v>
      </c>
      <c r="F46" t="s">
        <v>385</v>
      </c>
      <c r="H46" t="s">
        <v>353</v>
      </c>
      <c r="I46">
        <v>2702793</v>
      </c>
      <c r="J46" t="s">
        <v>481</v>
      </c>
      <c r="K46" t="s">
        <v>482</v>
      </c>
      <c r="L46" t="s">
        <v>483</v>
      </c>
      <c r="N46" t="s">
        <v>484</v>
      </c>
      <c r="O46" t="s">
        <v>485</v>
      </c>
      <c r="R46" t="s">
        <v>386</v>
      </c>
      <c r="S46" s="34" t="s">
        <v>486</v>
      </c>
    </row>
    <row r="47" spans="1:19" ht="243" x14ac:dyDescent="0.15">
      <c r="A47" t="s">
        <v>422</v>
      </c>
      <c r="B47" s="61">
        <v>47300</v>
      </c>
      <c r="E47" t="s">
        <v>355</v>
      </c>
      <c r="F47" t="s">
        <v>385</v>
      </c>
      <c r="H47" t="s">
        <v>365</v>
      </c>
      <c r="I47">
        <v>2700428</v>
      </c>
      <c r="J47" t="s">
        <v>476</v>
      </c>
      <c r="K47" t="s">
        <v>477</v>
      </c>
      <c r="L47" t="s">
        <v>390</v>
      </c>
      <c r="N47" t="s">
        <v>487</v>
      </c>
      <c r="O47" t="s">
        <v>479</v>
      </c>
      <c r="R47" t="s">
        <v>395</v>
      </c>
      <c r="S47" s="34" t="s">
        <v>488</v>
      </c>
    </row>
    <row r="48" spans="1:19" ht="409.5" x14ac:dyDescent="0.15">
      <c r="A48" t="s">
        <v>422</v>
      </c>
      <c r="B48" s="61">
        <v>47331</v>
      </c>
      <c r="E48" t="s">
        <v>355</v>
      </c>
      <c r="F48" t="s">
        <v>385</v>
      </c>
      <c r="H48" t="s">
        <v>353</v>
      </c>
      <c r="I48">
        <v>2702793</v>
      </c>
      <c r="J48" t="s">
        <v>481</v>
      </c>
      <c r="K48" t="s">
        <v>482</v>
      </c>
      <c r="L48" t="s">
        <v>483</v>
      </c>
      <c r="N48" t="s">
        <v>489</v>
      </c>
      <c r="O48" t="s">
        <v>485</v>
      </c>
      <c r="R48" t="s">
        <v>386</v>
      </c>
      <c r="S48" s="34" t="s">
        <v>490</v>
      </c>
    </row>
    <row r="49" spans="1:19" x14ac:dyDescent="0.15">
      <c r="A49" t="s">
        <v>422</v>
      </c>
      <c r="B49" s="61">
        <v>47392</v>
      </c>
      <c r="E49" t="s">
        <v>355</v>
      </c>
      <c r="F49" t="s">
        <v>364</v>
      </c>
      <c r="H49" t="s">
        <v>353</v>
      </c>
      <c r="I49">
        <v>2701960</v>
      </c>
      <c r="J49" t="s">
        <v>439</v>
      </c>
      <c r="K49" t="s">
        <v>440</v>
      </c>
      <c r="L49" t="s">
        <v>390</v>
      </c>
      <c r="N49" t="s">
        <v>491</v>
      </c>
      <c r="O49" t="s">
        <v>442</v>
      </c>
    </row>
    <row r="50" spans="1:19" x14ac:dyDescent="0.15">
      <c r="A50" t="s">
        <v>422</v>
      </c>
      <c r="B50" s="61">
        <v>47392</v>
      </c>
      <c r="E50" t="s">
        <v>355</v>
      </c>
      <c r="F50" t="s">
        <v>385</v>
      </c>
      <c r="H50" t="s">
        <v>353</v>
      </c>
      <c r="I50">
        <v>2702766</v>
      </c>
      <c r="J50" t="s">
        <v>481</v>
      </c>
      <c r="K50" t="s">
        <v>482</v>
      </c>
      <c r="L50" t="s">
        <v>492</v>
      </c>
      <c r="N50" t="s">
        <v>493</v>
      </c>
      <c r="O50" t="s">
        <v>494</v>
      </c>
      <c r="R50" t="s">
        <v>386</v>
      </c>
      <c r="S50" t="s">
        <v>495</v>
      </c>
    </row>
    <row r="51" spans="1:19" ht="391.5" x14ac:dyDescent="0.15">
      <c r="A51" t="s">
        <v>422</v>
      </c>
      <c r="B51" s="61">
        <v>47515</v>
      </c>
      <c r="E51" t="s">
        <v>355</v>
      </c>
      <c r="F51" t="s">
        <v>385</v>
      </c>
      <c r="H51" t="s">
        <v>365</v>
      </c>
      <c r="I51">
        <v>2702797</v>
      </c>
      <c r="J51" t="s">
        <v>427</v>
      </c>
      <c r="K51" t="s">
        <v>428</v>
      </c>
      <c r="L51" t="s">
        <v>496</v>
      </c>
      <c r="N51" t="s">
        <v>497</v>
      </c>
      <c r="O51" t="s">
        <v>498</v>
      </c>
      <c r="R51" t="s">
        <v>395</v>
      </c>
      <c r="S51" s="34" t="s">
        <v>499</v>
      </c>
    </row>
    <row r="52" spans="1:19" ht="378" x14ac:dyDescent="0.15">
      <c r="A52" t="s">
        <v>422</v>
      </c>
      <c r="B52" s="61">
        <v>47788</v>
      </c>
      <c r="E52" t="s">
        <v>355</v>
      </c>
      <c r="F52" t="s">
        <v>385</v>
      </c>
      <c r="H52" t="s">
        <v>353</v>
      </c>
      <c r="I52">
        <v>2700391</v>
      </c>
      <c r="J52" t="s">
        <v>435</v>
      </c>
      <c r="K52" t="s">
        <v>436</v>
      </c>
      <c r="L52" t="s">
        <v>390</v>
      </c>
      <c r="N52" t="s">
        <v>5094</v>
      </c>
      <c r="O52" t="s">
        <v>437</v>
      </c>
      <c r="R52" t="s">
        <v>386</v>
      </c>
      <c r="S52" s="34" t="s">
        <v>438</v>
      </c>
    </row>
    <row r="53" spans="1:19" ht="81" x14ac:dyDescent="0.15">
      <c r="A53" t="s">
        <v>422</v>
      </c>
      <c r="B53" s="61">
        <v>47969</v>
      </c>
      <c r="E53" t="s">
        <v>355</v>
      </c>
      <c r="F53" t="s">
        <v>364</v>
      </c>
      <c r="H53" t="s">
        <v>353</v>
      </c>
      <c r="I53">
        <v>2700597</v>
      </c>
      <c r="J53" t="s">
        <v>423</v>
      </c>
      <c r="K53" t="s">
        <v>424</v>
      </c>
      <c r="L53" t="s">
        <v>443</v>
      </c>
      <c r="N53" s="34" t="s">
        <v>500</v>
      </c>
      <c r="O53" t="s">
        <v>445</v>
      </c>
    </row>
    <row r="54" spans="1:19" x14ac:dyDescent="0.15">
      <c r="A54" t="s">
        <v>422</v>
      </c>
      <c r="B54" s="61">
        <v>48153</v>
      </c>
      <c r="E54" t="s">
        <v>355</v>
      </c>
      <c r="F54" t="s">
        <v>364</v>
      </c>
      <c r="H54" t="s">
        <v>353</v>
      </c>
      <c r="I54">
        <v>2700091</v>
      </c>
      <c r="J54" t="s">
        <v>450</v>
      </c>
      <c r="K54" t="s">
        <v>451</v>
      </c>
      <c r="L54" t="s">
        <v>390</v>
      </c>
      <c r="N54" t="s">
        <v>452</v>
      </c>
      <c r="O54" t="s">
        <v>453</v>
      </c>
    </row>
    <row r="55" spans="1:19" x14ac:dyDescent="0.15">
      <c r="A55" t="s">
        <v>422</v>
      </c>
      <c r="B55" s="61">
        <v>48183</v>
      </c>
      <c r="E55" t="s">
        <v>355</v>
      </c>
      <c r="F55" t="s">
        <v>364</v>
      </c>
      <c r="H55" t="s">
        <v>353</v>
      </c>
      <c r="I55">
        <v>2700133</v>
      </c>
      <c r="J55" t="s">
        <v>454</v>
      </c>
      <c r="K55" t="s">
        <v>455</v>
      </c>
      <c r="L55" t="s">
        <v>390</v>
      </c>
      <c r="N55" t="s">
        <v>456</v>
      </c>
      <c r="O55" t="s">
        <v>457</v>
      </c>
    </row>
    <row r="56" spans="1:19" x14ac:dyDescent="0.15">
      <c r="A56" t="s">
        <v>422</v>
      </c>
      <c r="B56" s="61">
        <v>48366</v>
      </c>
      <c r="E56" t="s">
        <v>355</v>
      </c>
      <c r="F56" t="s">
        <v>364</v>
      </c>
      <c r="H56" t="s">
        <v>353</v>
      </c>
      <c r="I56">
        <v>2701239</v>
      </c>
      <c r="J56" t="s">
        <v>458</v>
      </c>
      <c r="L56" t="s">
        <v>390</v>
      </c>
      <c r="N56" t="s">
        <v>459</v>
      </c>
      <c r="O56" t="s">
        <v>460</v>
      </c>
    </row>
    <row r="57" spans="1:19" x14ac:dyDescent="0.15">
      <c r="A57" t="s">
        <v>501</v>
      </c>
      <c r="B57" s="61">
        <v>46419</v>
      </c>
      <c r="E57" t="s">
        <v>355</v>
      </c>
      <c r="F57" t="s">
        <v>364</v>
      </c>
      <c r="H57" t="s">
        <v>353</v>
      </c>
      <c r="I57">
        <v>1402792</v>
      </c>
      <c r="J57" t="s">
        <v>503</v>
      </c>
      <c r="K57" t="s">
        <v>504</v>
      </c>
      <c r="L57" t="s">
        <v>505</v>
      </c>
      <c r="N57" t="s">
        <v>509</v>
      </c>
      <c r="O57" t="s">
        <v>507</v>
      </c>
    </row>
    <row r="58" spans="1:19" x14ac:dyDescent="0.15">
      <c r="A58" t="s">
        <v>501</v>
      </c>
      <c r="B58" s="61">
        <v>46447</v>
      </c>
      <c r="E58" t="s">
        <v>355</v>
      </c>
      <c r="F58" t="s">
        <v>364</v>
      </c>
      <c r="H58" t="s">
        <v>365</v>
      </c>
      <c r="I58">
        <v>1401492</v>
      </c>
      <c r="J58" t="s">
        <v>510</v>
      </c>
      <c r="K58" t="s">
        <v>511</v>
      </c>
      <c r="L58" t="s">
        <v>512</v>
      </c>
      <c r="N58" t="s">
        <v>513</v>
      </c>
      <c r="O58" t="s">
        <v>514</v>
      </c>
    </row>
    <row r="59" spans="1:19" ht="40.5" x14ac:dyDescent="0.15">
      <c r="A59" t="s">
        <v>515</v>
      </c>
      <c r="B59" s="61">
        <v>46447</v>
      </c>
      <c r="E59" t="s">
        <v>355</v>
      </c>
      <c r="F59" t="s">
        <v>364</v>
      </c>
      <c r="H59" t="s">
        <v>353</v>
      </c>
      <c r="I59">
        <v>1400781</v>
      </c>
      <c r="J59" t="s">
        <v>516</v>
      </c>
      <c r="K59" t="s">
        <v>517</v>
      </c>
      <c r="L59" t="s">
        <v>512</v>
      </c>
      <c r="N59" s="34" t="s">
        <v>518</v>
      </c>
      <c r="O59" t="s">
        <v>519</v>
      </c>
    </row>
    <row r="60" spans="1:19" x14ac:dyDescent="0.15">
      <c r="A60" t="s">
        <v>501</v>
      </c>
      <c r="B60" s="61">
        <v>46569</v>
      </c>
      <c r="E60" t="s">
        <v>355</v>
      </c>
      <c r="F60" t="s">
        <v>364</v>
      </c>
      <c r="H60" t="s">
        <v>310</v>
      </c>
      <c r="I60">
        <v>1402893</v>
      </c>
      <c r="J60" t="s">
        <v>503</v>
      </c>
      <c r="K60" t="s">
        <v>504</v>
      </c>
      <c r="L60" t="s">
        <v>520</v>
      </c>
      <c r="N60" t="s">
        <v>521</v>
      </c>
      <c r="O60" t="s">
        <v>522</v>
      </c>
    </row>
    <row r="61" spans="1:19" x14ac:dyDescent="0.15">
      <c r="A61" t="s">
        <v>501</v>
      </c>
      <c r="B61" s="61">
        <v>46631</v>
      </c>
      <c r="E61" t="s">
        <v>355</v>
      </c>
      <c r="F61" t="s">
        <v>364</v>
      </c>
      <c r="H61" t="s">
        <v>365</v>
      </c>
      <c r="I61">
        <v>1400113</v>
      </c>
      <c r="J61" t="s">
        <v>523</v>
      </c>
      <c r="K61" t="s">
        <v>504</v>
      </c>
      <c r="L61" t="s">
        <v>524</v>
      </c>
      <c r="N61" t="s">
        <v>525</v>
      </c>
      <c r="O61" t="s">
        <v>526</v>
      </c>
    </row>
    <row r="62" spans="1:19" x14ac:dyDescent="0.15">
      <c r="A62" t="s">
        <v>501</v>
      </c>
      <c r="B62" s="61">
        <v>46631</v>
      </c>
      <c r="E62" t="s">
        <v>355</v>
      </c>
      <c r="F62" t="s">
        <v>364</v>
      </c>
      <c r="H62" t="s">
        <v>353</v>
      </c>
      <c r="I62">
        <v>1400287</v>
      </c>
      <c r="J62" t="s">
        <v>527</v>
      </c>
      <c r="K62" t="s">
        <v>528</v>
      </c>
      <c r="L62" t="s">
        <v>502</v>
      </c>
      <c r="N62" t="s">
        <v>529</v>
      </c>
      <c r="O62" t="s">
        <v>530</v>
      </c>
    </row>
    <row r="63" spans="1:19" x14ac:dyDescent="0.15">
      <c r="A63" t="s">
        <v>501</v>
      </c>
      <c r="B63" s="61">
        <v>46753</v>
      </c>
      <c r="E63" t="s">
        <v>355</v>
      </c>
      <c r="F63" t="s">
        <v>364</v>
      </c>
      <c r="H63" t="s">
        <v>353</v>
      </c>
      <c r="I63">
        <v>1400282</v>
      </c>
      <c r="J63" t="s">
        <v>531</v>
      </c>
      <c r="K63" t="s">
        <v>532</v>
      </c>
      <c r="L63" t="s">
        <v>502</v>
      </c>
      <c r="N63" t="s">
        <v>533</v>
      </c>
      <c r="O63" t="s">
        <v>534</v>
      </c>
    </row>
    <row r="64" spans="1:19" x14ac:dyDescent="0.15">
      <c r="A64" t="s">
        <v>501</v>
      </c>
      <c r="B64" s="61">
        <v>46753</v>
      </c>
      <c r="E64" t="s">
        <v>355</v>
      </c>
      <c r="F64" t="s">
        <v>364</v>
      </c>
      <c r="H64" t="s">
        <v>365</v>
      </c>
      <c r="I64">
        <v>1402151</v>
      </c>
      <c r="J64" t="s">
        <v>535</v>
      </c>
      <c r="K64" t="s">
        <v>536</v>
      </c>
      <c r="L64" t="s">
        <v>512</v>
      </c>
      <c r="N64" t="s">
        <v>537</v>
      </c>
      <c r="O64" t="s">
        <v>538</v>
      </c>
    </row>
    <row r="65" spans="1:19" x14ac:dyDescent="0.15">
      <c r="A65" t="s">
        <v>501</v>
      </c>
      <c r="B65" s="61">
        <v>46753</v>
      </c>
      <c r="E65" t="s">
        <v>355</v>
      </c>
      <c r="F65" t="s">
        <v>364</v>
      </c>
      <c r="H65" t="s">
        <v>353</v>
      </c>
      <c r="I65">
        <v>1402192</v>
      </c>
      <c r="J65" t="s">
        <v>539</v>
      </c>
      <c r="K65" t="s">
        <v>540</v>
      </c>
      <c r="L65" t="s">
        <v>512</v>
      </c>
      <c r="N65" t="s">
        <v>541</v>
      </c>
      <c r="O65" t="s">
        <v>542</v>
      </c>
    </row>
    <row r="66" spans="1:19" ht="270" x14ac:dyDescent="0.15">
      <c r="A66" t="s">
        <v>501</v>
      </c>
      <c r="B66" s="61">
        <v>46935</v>
      </c>
      <c r="E66" t="s">
        <v>355</v>
      </c>
      <c r="F66" t="s">
        <v>543</v>
      </c>
      <c r="H66" t="s">
        <v>310</v>
      </c>
      <c r="I66">
        <v>1402792</v>
      </c>
      <c r="J66" t="s">
        <v>503</v>
      </c>
      <c r="K66" t="s">
        <v>504</v>
      </c>
      <c r="L66" t="s">
        <v>505</v>
      </c>
      <c r="N66" t="s">
        <v>544</v>
      </c>
      <c r="O66" t="s">
        <v>507</v>
      </c>
      <c r="R66" t="s">
        <v>545</v>
      </c>
      <c r="S66" s="34" t="s">
        <v>546</v>
      </c>
    </row>
    <row r="67" spans="1:19" x14ac:dyDescent="0.15">
      <c r="A67" t="s">
        <v>501</v>
      </c>
      <c r="B67" s="61">
        <v>47119</v>
      </c>
      <c r="E67" t="s">
        <v>355</v>
      </c>
      <c r="F67" t="s">
        <v>364</v>
      </c>
      <c r="H67" t="s">
        <v>353</v>
      </c>
      <c r="I67">
        <v>1400286</v>
      </c>
      <c r="J67" t="s">
        <v>547</v>
      </c>
      <c r="L67" t="s">
        <v>502</v>
      </c>
      <c r="N67" t="s">
        <v>548</v>
      </c>
      <c r="O67" t="s">
        <v>549</v>
      </c>
    </row>
    <row r="68" spans="1:19" ht="409.5" x14ac:dyDescent="0.15">
      <c r="A68" t="s">
        <v>501</v>
      </c>
      <c r="B68" s="61">
        <v>47362</v>
      </c>
      <c r="E68" t="s">
        <v>355</v>
      </c>
      <c r="F68" t="s">
        <v>385</v>
      </c>
      <c r="H68" t="s">
        <v>365</v>
      </c>
      <c r="I68">
        <v>1401490</v>
      </c>
      <c r="J68" t="s">
        <v>550</v>
      </c>
      <c r="K68" t="s">
        <v>551</v>
      </c>
      <c r="L68" t="s">
        <v>512</v>
      </c>
      <c r="N68" t="s">
        <v>552</v>
      </c>
      <c r="O68" t="s">
        <v>553</v>
      </c>
      <c r="R68" t="s">
        <v>554</v>
      </c>
      <c r="S68" s="34" t="s">
        <v>555</v>
      </c>
    </row>
    <row r="69" spans="1:19" ht="216" x14ac:dyDescent="0.15">
      <c r="A69" t="s">
        <v>501</v>
      </c>
      <c r="B69" s="61">
        <v>47362</v>
      </c>
      <c r="E69" t="s">
        <v>355</v>
      </c>
      <c r="F69" t="s">
        <v>385</v>
      </c>
      <c r="H69" t="s">
        <v>353</v>
      </c>
      <c r="I69">
        <v>1402792</v>
      </c>
      <c r="J69" t="s">
        <v>503</v>
      </c>
      <c r="K69" t="s">
        <v>504</v>
      </c>
      <c r="L69" t="s">
        <v>505</v>
      </c>
      <c r="N69" t="s">
        <v>506</v>
      </c>
      <c r="O69" t="s">
        <v>507</v>
      </c>
      <c r="R69" t="s">
        <v>556</v>
      </c>
      <c r="S69" s="34" t="s">
        <v>508</v>
      </c>
    </row>
    <row r="70" spans="1:19" ht="270" x14ac:dyDescent="0.15">
      <c r="A70" t="s">
        <v>501</v>
      </c>
      <c r="B70" s="61">
        <v>47362</v>
      </c>
      <c r="E70" t="s">
        <v>355</v>
      </c>
      <c r="F70" t="s">
        <v>385</v>
      </c>
      <c r="H70" t="s">
        <v>310</v>
      </c>
      <c r="I70">
        <v>1402792</v>
      </c>
      <c r="J70" t="s">
        <v>503</v>
      </c>
      <c r="K70" t="s">
        <v>504</v>
      </c>
      <c r="L70" t="s">
        <v>505</v>
      </c>
      <c r="N70" t="s">
        <v>544</v>
      </c>
      <c r="O70" t="s">
        <v>507</v>
      </c>
      <c r="R70" t="s">
        <v>554</v>
      </c>
      <c r="S70" s="34" t="s">
        <v>546</v>
      </c>
    </row>
    <row r="71" spans="1:19" ht="202.5" x14ac:dyDescent="0.15">
      <c r="A71" t="s">
        <v>515</v>
      </c>
      <c r="B71" s="61">
        <v>47392</v>
      </c>
      <c r="E71" t="s">
        <v>355</v>
      </c>
      <c r="F71" t="s">
        <v>385</v>
      </c>
      <c r="H71" t="s">
        <v>353</v>
      </c>
      <c r="I71">
        <v>1402846</v>
      </c>
      <c r="J71" t="s">
        <v>557</v>
      </c>
      <c r="K71" t="s">
        <v>517</v>
      </c>
      <c r="L71" t="s">
        <v>558</v>
      </c>
      <c r="N71" t="s">
        <v>559</v>
      </c>
      <c r="O71" t="s">
        <v>560</v>
      </c>
      <c r="R71" t="s">
        <v>386</v>
      </c>
      <c r="S71" s="34" t="s">
        <v>561</v>
      </c>
    </row>
    <row r="72" spans="1:19" ht="243" x14ac:dyDescent="0.15">
      <c r="A72" t="s">
        <v>501</v>
      </c>
      <c r="B72" s="61">
        <v>47515</v>
      </c>
      <c r="E72" t="s">
        <v>355</v>
      </c>
      <c r="F72" t="s">
        <v>385</v>
      </c>
      <c r="H72" t="s">
        <v>365</v>
      </c>
      <c r="I72">
        <v>1400286</v>
      </c>
      <c r="J72" t="s">
        <v>547</v>
      </c>
      <c r="L72" t="s">
        <v>502</v>
      </c>
      <c r="N72" t="s">
        <v>562</v>
      </c>
      <c r="O72" t="s">
        <v>549</v>
      </c>
      <c r="R72" t="s">
        <v>395</v>
      </c>
      <c r="S72" s="34" t="s">
        <v>563</v>
      </c>
    </row>
    <row r="73" spans="1:19" x14ac:dyDescent="0.15">
      <c r="A73" t="s">
        <v>501</v>
      </c>
      <c r="B73" s="61">
        <v>47665</v>
      </c>
      <c r="E73" t="s">
        <v>355</v>
      </c>
      <c r="F73" t="s">
        <v>364</v>
      </c>
      <c r="H73" t="s">
        <v>310</v>
      </c>
      <c r="I73">
        <v>1402893</v>
      </c>
      <c r="J73" t="s">
        <v>503</v>
      </c>
      <c r="K73" t="s">
        <v>504</v>
      </c>
      <c r="L73" t="s">
        <v>520</v>
      </c>
      <c r="N73" t="s">
        <v>521</v>
      </c>
      <c r="O73" t="s">
        <v>522</v>
      </c>
    </row>
    <row r="74" spans="1:19" x14ac:dyDescent="0.15">
      <c r="A74" t="s">
        <v>501</v>
      </c>
      <c r="B74" s="61">
        <v>47880</v>
      </c>
      <c r="E74" t="s">
        <v>355</v>
      </c>
      <c r="F74" t="s">
        <v>364</v>
      </c>
      <c r="H74" t="s">
        <v>353</v>
      </c>
      <c r="I74">
        <v>1402792</v>
      </c>
      <c r="J74" t="s">
        <v>503</v>
      </c>
      <c r="K74" t="s">
        <v>504</v>
      </c>
      <c r="L74" t="s">
        <v>505</v>
      </c>
      <c r="N74" t="s">
        <v>509</v>
      </c>
      <c r="O74" t="s">
        <v>507</v>
      </c>
    </row>
    <row r="75" spans="1:19" ht="40.5" x14ac:dyDescent="0.15">
      <c r="A75" t="s">
        <v>515</v>
      </c>
      <c r="B75" s="61">
        <v>47908</v>
      </c>
      <c r="E75" t="s">
        <v>355</v>
      </c>
      <c r="F75" t="s">
        <v>364</v>
      </c>
      <c r="H75" t="s">
        <v>353</v>
      </c>
      <c r="I75">
        <v>1400781</v>
      </c>
      <c r="J75" t="s">
        <v>516</v>
      </c>
      <c r="K75" t="s">
        <v>517</v>
      </c>
      <c r="L75" t="s">
        <v>512</v>
      </c>
      <c r="N75" s="34" t="s">
        <v>518</v>
      </c>
      <c r="O75" t="s">
        <v>519</v>
      </c>
    </row>
    <row r="76" spans="1:19" x14ac:dyDescent="0.15">
      <c r="A76" t="s">
        <v>501</v>
      </c>
      <c r="B76" s="61">
        <v>48030</v>
      </c>
      <c r="E76" t="s">
        <v>355</v>
      </c>
      <c r="F76" t="s">
        <v>364</v>
      </c>
      <c r="H76" t="s">
        <v>310</v>
      </c>
      <c r="I76">
        <v>1402893</v>
      </c>
      <c r="J76" t="s">
        <v>503</v>
      </c>
      <c r="K76" t="s">
        <v>504</v>
      </c>
      <c r="L76" t="s">
        <v>520</v>
      </c>
      <c r="N76" t="s">
        <v>521</v>
      </c>
      <c r="O76" t="s">
        <v>522</v>
      </c>
    </row>
    <row r="77" spans="1:19" x14ac:dyDescent="0.15">
      <c r="A77" t="s">
        <v>501</v>
      </c>
      <c r="B77" s="61">
        <v>48092</v>
      </c>
      <c r="E77" t="s">
        <v>355</v>
      </c>
      <c r="F77" t="s">
        <v>364</v>
      </c>
      <c r="H77" t="s">
        <v>353</v>
      </c>
      <c r="I77">
        <v>1400287</v>
      </c>
      <c r="J77" t="s">
        <v>527</v>
      </c>
      <c r="K77" t="s">
        <v>528</v>
      </c>
      <c r="L77" t="s">
        <v>502</v>
      </c>
      <c r="N77" t="s">
        <v>529</v>
      </c>
      <c r="O77" t="s">
        <v>530</v>
      </c>
    </row>
    <row r="78" spans="1:19" x14ac:dyDescent="0.15">
      <c r="A78" t="s">
        <v>501</v>
      </c>
      <c r="B78" s="61">
        <v>48214</v>
      </c>
      <c r="E78" t="s">
        <v>355</v>
      </c>
      <c r="F78" t="s">
        <v>364</v>
      </c>
      <c r="H78" t="s">
        <v>353</v>
      </c>
      <c r="I78">
        <v>1402192</v>
      </c>
      <c r="J78" t="s">
        <v>539</v>
      </c>
      <c r="K78" t="s">
        <v>540</v>
      </c>
      <c r="L78" t="s">
        <v>512</v>
      </c>
      <c r="N78" t="s">
        <v>541</v>
      </c>
      <c r="O78" t="s">
        <v>542</v>
      </c>
    </row>
    <row r="79" spans="1:19" ht="256.5" x14ac:dyDescent="0.15">
      <c r="A79" t="s">
        <v>564</v>
      </c>
      <c r="B79" s="61">
        <v>46174</v>
      </c>
      <c r="E79" t="s">
        <v>355</v>
      </c>
      <c r="F79" t="s">
        <v>385</v>
      </c>
      <c r="H79" t="s">
        <v>365</v>
      </c>
      <c r="I79">
        <v>1400389</v>
      </c>
      <c r="J79" t="s">
        <v>567</v>
      </c>
      <c r="L79" t="s">
        <v>568</v>
      </c>
      <c r="N79" t="s">
        <v>569</v>
      </c>
      <c r="O79" t="s">
        <v>570</v>
      </c>
      <c r="R79" t="s">
        <v>395</v>
      </c>
      <c r="S79" s="34" t="s">
        <v>571</v>
      </c>
    </row>
    <row r="80" spans="1:19" ht="351" x14ac:dyDescent="0.15">
      <c r="A80" t="s">
        <v>564</v>
      </c>
      <c r="B80" s="61">
        <v>46235</v>
      </c>
      <c r="E80" t="s">
        <v>355</v>
      </c>
      <c r="F80" t="s">
        <v>356</v>
      </c>
      <c r="H80" t="s">
        <v>353</v>
      </c>
      <c r="I80">
        <v>1401591</v>
      </c>
      <c r="J80" t="s">
        <v>572</v>
      </c>
      <c r="L80" t="s">
        <v>573</v>
      </c>
      <c r="N80" t="s">
        <v>574</v>
      </c>
      <c r="O80" t="s">
        <v>575</v>
      </c>
      <c r="R80" t="s">
        <v>362</v>
      </c>
      <c r="S80" s="34" t="s">
        <v>576</v>
      </c>
    </row>
    <row r="81" spans="1:19" ht="409.5" x14ac:dyDescent="0.15">
      <c r="A81" t="s">
        <v>564</v>
      </c>
      <c r="B81" s="61">
        <v>46357</v>
      </c>
      <c r="E81" t="s">
        <v>355</v>
      </c>
      <c r="F81" t="s">
        <v>356</v>
      </c>
      <c r="H81" t="s">
        <v>353</v>
      </c>
      <c r="I81">
        <v>1402414</v>
      </c>
      <c r="J81" t="s">
        <v>577</v>
      </c>
      <c r="L81" t="s">
        <v>578</v>
      </c>
      <c r="N81" t="s">
        <v>579</v>
      </c>
      <c r="O81" t="s">
        <v>580</v>
      </c>
      <c r="R81" t="s">
        <v>362</v>
      </c>
      <c r="S81" s="34" t="s">
        <v>581</v>
      </c>
    </row>
    <row r="82" spans="1:19" x14ac:dyDescent="0.15">
      <c r="A82" t="s">
        <v>501</v>
      </c>
      <c r="B82" s="61">
        <v>46508</v>
      </c>
      <c r="E82" t="s">
        <v>355</v>
      </c>
      <c r="F82" t="s">
        <v>364</v>
      </c>
      <c r="H82" t="s">
        <v>353</v>
      </c>
      <c r="I82">
        <v>1402768</v>
      </c>
      <c r="J82" t="s">
        <v>582</v>
      </c>
      <c r="K82" t="s">
        <v>583</v>
      </c>
      <c r="L82" t="s">
        <v>584</v>
      </c>
      <c r="N82" t="s">
        <v>585</v>
      </c>
      <c r="O82" t="s">
        <v>586</v>
      </c>
    </row>
    <row r="83" spans="1:19" x14ac:dyDescent="0.15">
      <c r="A83" t="s">
        <v>501</v>
      </c>
      <c r="B83" s="61">
        <v>46600</v>
      </c>
      <c r="E83" t="s">
        <v>355</v>
      </c>
      <c r="F83" t="s">
        <v>364</v>
      </c>
      <c r="H83" t="s">
        <v>365</v>
      </c>
      <c r="I83">
        <v>1400211</v>
      </c>
      <c r="J83" t="s">
        <v>587</v>
      </c>
      <c r="K83" t="s">
        <v>588</v>
      </c>
      <c r="L83" t="s">
        <v>512</v>
      </c>
      <c r="N83" t="s">
        <v>589</v>
      </c>
      <c r="O83" t="s">
        <v>590</v>
      </c>
    </row>
    <row r="84" spans="1:19" x14ac:dyDescent="0.15">
      <c r="A84" t="s">
        <v>564</v>
      </c>
      <c r="B84" s="61">
        <v>46661</v>
      </c>
      <c r="E84" t="s">
        <v>355</v>
      </c>
      <c r="F84" t="s">
        <v>364</v>
      </c>
      <c r="H84" t="s">
        <v>310</v>
      </c>
      <c r="I84">
        <v>1402450</v>
      </c>
      <c r="J84" t="s">
        <v>591</v>
      </c>
      <c r="K84" t="s">
        <v>592</v>
      </c>
      <c r="L84" t="s">
        <v>593</v>
      </c>
      <c r="N84" t="s">
        <v>594</v>
      </c>
      <c r="O84" t="s">
        <v>595</v>
      </c>
    </row>
    <row r="85" spans="1:19" x14ac:dyDescent="0.15">
      <c r="A85" t="s">
        <v>564</v>
      </c>
      <c r="B85" s="61">
        <v>46692</v>
      </c>
      <c r="E85" t="s">
        <v>355</v>
      </c>
      <c r="F85" t="s">
        <v>364</v>
      </c>
      <c r="H85" t="s">
        <v>310</v>
      </c>
      <c r="I85">
        <v>1401839</v>
      </c>
      <c r="J85" t="s">
        <v>596</v>
      </c>
      <c r="K85" t="s">
        <v>597</v>
      </c>
      <c r="L85" t="s">
        <v>502</v>
      </c>
      <c r="N85" t="s">
        <v>598</v>
      </c>
      <c r="O85" t="s">
        <v>599</v>
      </c>
    </row>
    <row r="86" spans="1:19" x14ac:dyDescent="0.15">
      <c r="A86" t="s">
        <v>564</v>
      </c>
      <c r="B86" s="61">
        <v>46692</v>
      </c>
      <c r="E86" t="s">
        <v>355</v>
      </c>
      <c r="F86" t="s">
        <v>364</v>
      </c>
      <c r="H86" t="s">
        <v>353</v>
      </c>
      <c r="I86">
        <v>1401567</v>
      </c>
      <c r="J86" t="s">
        <v>565</v>
      </c>
      <c r="K86" t="s">
        <v>566</v>
      </c>
      <c r="L86" t="s">
        <v>600</v>
      </c>
      <c r="N86" t="s">
        <v>601</v>
      </c>
      <c r="O86" t="s">
        <v>602</v>
      </c>
    </row>
    <row r="87" spans="1:19" x14ac:dyDescent="0.15">
      <c r="A87" t="s">
        <v>564</v>
      </c>
      <c r="B87" s="61">
        <v>46813</v>
      </c>
      <c r="E87" t="s">
        <v>355</v>
      </c>
      <c r="F87" t="s">
        <v>364</v>
      </c>
      <c r="H87" t="s">
        <v>353</v>
      </c>
      <c r="I87">
        <v>1401568</v>
      </c>
      <c r="J87" t="s">
        <v>603</v>
      </c>
      <c r="K87" t="s">
        <v>604</v>
      </c>
      <c r="L87" t="s">
        <v>605</v>
      </c>
      <c r="N87" t="s">
        <v>606</v>
      </c>
      <c r="O87" t="s">
        <v>607</v>
      </c>
    </row>
    <row r="88" spans="1:19" ht="409.5" x14ac:dyDescent="0.15">
      <c r="A88" t="s">
        <v>564</v>
      </c>
      <c r="B88" s="61">
        <v>46997</v>
      </c>
      <c r="E88" t="s">
        <v>355</v>
      </c>
      <c r="F88" t="s">
        <v>385</v>
      </c>
      <c r="H88" t="s">
        <v>353</v>
      </c>
      <c r="I88">
        <v>1402138</v>
      </c>
      <c r="J88" t="s">
        <v>608</v>
      </c>
      <c r="L88" t="s">
        <v>512</v>
      </c>
      <c r="N88" t="s">
        <v>609</v>
      </c>
      <c r="O88" t="s">
        <v>610</v>
      </c>
      <c r="R88" t="s">
        <v>386</v>
      </c>
      <c r="S88" s="34" t="s">
        <v>611</v>
      </c>
    </row>
    <row r="89" spans="1:19" x14ac:dyDescent="0.15">
      <c r="A89" t="s">
        <v>564</v>
      </c>
      <c r="B89" s="61">
        <v>47058</v>
      </c>
      <c r="E89" t="s">
        <v>355</v>
      </c>
      <c r="F89" t="s">
        <v>364</v>
      </c>
      <c r="H89" t="s">
        <v>310</v>
      </c>
      <c r="I89">
        <v>1401839</v>
      </c>
      <c r="J89" t="s">
        <v>596</v>
      </c>
      <c r="K89" t="s">
        <v>597</v>
      </c>
      <c r="L89" t="s">
        <v>502</v>
      </c>
      <c r="N89" t="s">
        <v>598</v>
      </c>
      <c r="O89" t="s">
        <v>599</v>
      </c>
    </row>
    <row r="90" spans="1:19" ht="243" x14ac:dyDescent="0.15">
      <c r="A90" t="s">
        <v>564</v>
      </c>
      <c r="B90" s="61">
        <v>47362</v>
      </c>
      <c r="E90" t="s">
        <v>355</v>
      </c>
      <c r="F90" t="s">
        <v>385</v>
      </c>
      <c r="H90" t="s">
        <v>365</v>
      </c>
      <c r="I90">
        <v>1401039</v>
      </c>
      <c r="J90" t="s">
        <v>612</v>
      </c>
      <c r="K90" t="s">
        <v>504</v>
      </c>
      <c r="L90" t="s">
        <v>613</v>
      </c>
      <c r="N90" t="s">
        <v>614</v>
      </c>
      <c r="O90" t="s">
        <v>615</v>
      </c>
      <c r="R90" t="s">
        <v>554</v>
      </c>
      <c r="S90" s="34" t="s">
        <v>616</v>
      </c>
    </row>
    <row r="91" spans="1:19" ht="351" x14ac:dyDescent="0.15">
      <c r="A91" t="s">
        <v>564</v>
      </c>
      <c r="B91" s="61">
        <v>47696</v>
      </c>
      <c r="E91" t="s">
        <v>355</v>
      </c>
      <c r="F91" t="s">
        <v>385</v>
      </c>
      <c r="H91" t="s">
        <v>353</v>
      </c>
      <c r="I91">
        <v>1401591</v>
      </c>
      <c r="J91" t="s">
        <v>572</v>
      </c>
      <c r="L91" t="s">
        <v>573</v>
      </c>
      <c r="N91" t="s">
        <v>574</v>
      </c>
      <c r="O91" t="s">
        <v>575</v>
      </c>
      <c r="R91" t="s">
        <v>386</v>
      </c>
      <c r="S91" s="34" t="s">
        <v>576</v>
      </c>
    </row>
    <row r="92" spans="1:19" x14ac:dyDescent="0.15">
      <c r="A92" t="s">
        <v>564</v>
      </c>
      <c r="B92" s="61">
        <v>47757</v>
      </c>
      <c r="E92" t="s">
        <v>355</v>
      </c>
      <c r="F92" t="s">
        <v>364</v>
      </c>
      <c r="H92" t="s">
        <v>310</v>
      </c>
      <c r="I92">
        <v>1402450</v>
      </c>
      <c r="J92" t="s">
        <v>591</v>
      </c>
      <c r="K92" t="s">
        <v>592</v>
      </c>
      <c r="L92" t="s">
        <v>593</v>
      </c>
      <c r="N92" t="s">
        <v>594</v>
      </c>
      <c r="O92" t="s">
        <v>595</v>
      </c>
    </row>
    <row r="93" spans="1:19" ht="409.5" x14ac:dyDescent="0.15">
      <c r="A93" t="s">
        <v>564</v>
      </c>
      <c r="B93" s="61">
        <v>47818</v>
      </c>
      <c r="E93" t="s">
        <v>355</v>
      </c>
      <c r="F93" t="s">
        <v>385</v>
      </c>
      <c r="H93" t="s">
        <v>353</v>
      </c>
      <c r="I93">
        <v>1402414</v>
      </c>
      <c r="J93" t="s">
        <v>577</v>
      </c>
      <c r="L93" t="s">
        <v>578</v>
      </c>
      <c r="N93" t="s">
        <v>579</v>
      </c>
      <c r="O93" t="s">
        <v>580</v>
      </c>
      <c r="R93" t="s">
        <v>386</v>
      </c>
      <c r="S93" s="34" t="s">
        <v>581</v>
      </c>
    </row>
    <row r="94" spans="1:19" x14ac:dyDescent="0.15">
      <c r="A94" t="s">
        <v>564</v>
      </c>
      <c r="B94" s="61">
        <v>48122</v>
      </c>
      <c r="E94" t="s">
        <v>355</v>
      </c>
      <c r="F94" t="s">
        <v>364</v>
      </c>
      <c r="H94" t="s">
        <v>310</v>
      </c>
      <c r="I94">
        <v>1402450</v>
      </c>
      <c r="J94" t="s">
        <v>591</v>
      </c>
      <c r="K94" t="s">
        <v>592</v>
      </c>
      <c r="L94" t="s">
        <v>593</v>
      </c>
      <c r="N94" t="s">
        <v>594</v>
      </c>
      <c r="O94" t="s">
        <v>595</v>
      </c>
    </row>
    <row r="95" spans="1:19" x14ac:dyDescent="0.15">
      <c r="A95" t="s">
        <v>564</v>
      </c>
      <c r="B95" s="61">
        <v>48153</v>
      </c>
      <c r="E95" t="s">
        <v>355</v>
      </c>
      <c r="F95" t="s">
        <v>364</v>
      </c>
      <c r="H95" t="s">
        <v>353</v>
      </c>
      <c r="I95">
        <v>1401567</v>
      </c>
      <c r="J95" t="s">
        <v>565</v>
      </c>
      <c r="K95" t="s">
        <v>566</v>
      </c>
      <c r="L95" t="s">
        <v>600</v>
      </c>
      <c r="N95" t="s">
        <v>601</v>
      </c>
      <c r="O95" t="s">
        <v>602</v>
      </c>
    </row>
    <row r="96" spans="1:19" x14ac:dyDescent="0.15">
      <c r="A96" t="s">
        <v>564</v>
      </c>
      <c r="B96" s="61">
        <v>48274</v>
      </c>
      <c r="E96" t="s">
        <v>355</v>
      </c>
      <c r="F96" t="s">
        <v>364</v>
      </c>
      <c r="H96" t="s">
        <v>353</v>
      </c>
      <c r="I96">
        <v>1401568</v>
      </c>
      <c r="J96" t="s">
        <v>603</v>
      </c>
      <c r="K96" t="s">
        <v>604</v>
      </c>
      <c r="L96" t="s">
        <v>605</v>
      </c>
      <c r="N96" t="s">
        <v>606</v>
      </c>
      <c r="O96" t="s">
        <v>607</v>
      </c>
    </row>
    <row r="97" spans="1:19" ht="243" x14ac:dyDescent="0.15">
      <c r="A97" t="s">
        <v>617</v>
      </c>
      <c r="B97" s="61">
        <v>46266</v>
      </c>
      <c r="E97" t="s">
        <v>355</v>
      </c>
      <c r="F97" t="s">
        <v>356</v>
      </c>
      <c r="H97" t="s">
        <v>365</v>
      </c>
      <c r="I97">
        <v>2302268</v>
      </c>
      <c r="J97" t="s">
        <v>624</v>
      </c>
      <c r="K97" t="s">
        <v>625</v>
      </c>
      <c r="L97" t="s">
        <v>626</v>
      </c>
      <c r="N97" t="s">
        <v>627</v>
      </c>
      <c r="O97" t="s">
        <v>628</v>
      </c>
      <c r="R97" t="s">
        <v>362</v>
      </c>
      <c r="S97" s="34" t="s">
        <v>629</v>
      </c>
    </row>
    <row r="98" spans="1:19" ht="409.5" x14ac:dyDescent="0.15">
      <c r="A98" t="s">
        <v>617</v>
      </c>
      <c r="B98" s="61">
        <v>46296</v>
      </c>
      <c r="E98" t="s">
        <v>355</v>
      </c>
      <c r="F98" t="s">
        <v>385</v>
      </c>
      <c r="H98" t="s">
        <v>353</v>
      </c>
      <c r="I98">
        <v>2302763</v>
      </c>
      <c r="J98" t="s">
        <v>630</v>
      </c>
      <c r="L98" t="s">
        <v>631</v>
      </c>
      <c r="N98" t="s">
        <v>632</v>
      </c>
      <c r="O98" t="s">
        <v>633</v>
      </c>
      <c r="R98" t="s">
        <v>386</v>
      </c>
      <c r="S98" s="34" t="s">
        <v>634</v>
      </c>
    </row>
    <row r="99" spans="1:19" ht="243" x14ac:dyDescent="0.15">
      <c r="A99" t="s">
        <v>617</v>
      </c>
      <c r="B99" s="61">
        <v>46327</v>
      </c>
      <c r="E99" t="s">
        <v>355</v>
      </c>
      <c r="F99" t="s">
        <v>385</v>
      </c>
      <c r="H99" t="s">
        <v>365</v>
      </c>
      <c r="I99">
        <v>2303549</v>
      </c>
      <c r="J99" t="s">
        <v>635</v>
      </c>
      <c r="K99" t="s">
        <v>636</v>
      </c>
      <c r="L99" t="s">
        <v>637</v>
      </c>
      <c r="N99" t="s">
        <v>638</v>
      </c>
      <c r="O99" t="s">
        <v>639</v>
      </c>
      <c r="R99" t="s">
        <v>395</v>
      </c>
      <c r="S99" s="34" t="s">
        <v>640</v>
      </c>
    </row>
    <row r="100" spans="1:19" ht="324" x14ac:dyDescent="0.15">
      <c r="A100" t="s">
        <v>617</v>
      </c>
      <c r="B100" s="61">
        <v>46388</v>
      </c>
      <c r="E100" t="s">
        <v>355</v>
      </c>
      <c r="F100" t="s">
        <v>385</v>
      </c>
      <c r="H100" t="s">
        <v>353</v>
      </c>
      <c r="I100">
        <v>2303262</v>
      </c>
      <c r="J100" t="s">
        <v>641</v>
      </c>
      <c r="K100" t="s">
        <v>642</v>
      </c>
      <c r="L100" t="s">
        <v>643</v>
      </c>
      <c r="N100" t="s">
        <v>644</v>
      </c>
      <c r="O100" t="s">
        <v>645</v>
      </c>
      <c r="R100" t="s">
        <v>386</v>
      </c>
      <c r="S100" s="34" t="s">
        <v>5095</v>
      </c>
    </row>
    <row r="101" spans="1:19" ht="409.5" x14ac:dyDescent="0.15">
      <c r="A101" t="s">
        <v>617</v>
      </c>
      <c r="B101" s="61">
        <v>46388</v>
      </c>
      <c r="E101" t="s">
        <v>355</v>
      </c>
      <c r="F101" t="s">
        <v>385</v>
      </c>
      <c r="H101" t="s">
        <v>365</v>
      </c>
      <c r="I101">
        <v>2303548</v>
      </c>
      <c r="J101" t="s">
        <v>635</v>
      </c>
      <c r="K101" t="s">
        <v>636</v>
      </c>
      <c r="L101" t="s">
        <v>646</v>
      </c>
      <c r="N101" t="s">
        <v>647</v>
      </c>
      <c r="O101" t="s">
        <v>648</v>
      </c>
      <c r="R101" t="s">
        <v>395</v>
      </c>
      <c r="S101" s="34" t="s">
        <v>3998</v>
      </c>
    </row>
    <row r="102" spans="1:19" ht="409.5" x14ac:dyDescent="0.15">
      <c r="A102" t="s">
        <v>617</v>
      </c>
      <c r="B102" s="61">
        <v>46388</v>
      </c>
      <c r="E102" t="s">
        <v>355</v>
      </c>
      <c r="F102" t="s">
        <v>385</v>
      </c>
      <c r="H102" t="s">
        <v>365</v>
      </c>
      <c r="I102">
        <v>2300496</v>
      </c>
      <c r="J102" t="s">
        <v>649</v>
      </c>
      <c r="K102" t="s">
        <v>650</v>
      </c>
      <c r="L102" t="s">
        <v>651</v>
      </c>
      <c r="N102" t="s">
        <v>652</v>
      </c>
      <c r="O102" t="s">
        <v>653</v>
      </c>
      <c r="S102" s="34" t="s">
        <v>5096</v>
      </c>
    </row>
    <row r="103" spans="1:19" x14ac:dyDescent="0.15">
      <c r="A103" t="s">
        <v>617</v>
      </c>
      <c r="B103" s="61">
        <v>46539</v>
      </c>
      <c r="E103" t="s">
        <v>355</v>
      </c>
      <c r="F103" t="s">
        <v>364</v>
      </c>
      <c r="H103" t="s">
        <v>353</v>
      </c>
      <c r="I103">
        <v>2302235</v>
      </c>
      <c r="J103" t="s">
        <v>654</v>
      </c>
      <c r="L103" t="s">
        <v>613</v>
      </c>
      <c r="N103" t="s">
        <v>655</v>
      </c>
      <c r="O103" t="s">
        <v>656</v>
      </c>
    </row>
    <row r="104" spans="1:19" x14ac:dyDescent="0.15">
      <c r="A104" t="s">
        <v>617</v>
      </c>
      <c r="B104" s="61">
        <v>46692</v>
      </c>
      <c r="E104" t="s">
        <v>355</v>
      </c>
      <c r="F104" t="s">
        <v>356</v>
      </c>
      <c r="H104" t="s">
        <v>353</v>
      </c>
      <c r="I104">
        <v>2303010</v>
      </c>
      <c r="J104" t="s">
        <v>657</v>
      </c>
      <c r="K104" t="s">
        <v>658</v>
      </c>
      <c r="L104" t="s">
        <v>659</v>
      </c>
      <c r="N104" t="s">
        <v>5097</v>
      </c>
      <c r="O104" t="s">
        <v>660</v>
      </c>
    </row>
    <row r="105" spans="1:19" x14ac:dyDescent="0.15">
      <c r="A105" t="s">
        <v>617</v>
      </c>
      <c r="B105" s="61">
        <v>46692</v>
      </c>
      <c r="E105" t="s">
        <v>355</v>
      </c>
      <c r="F105" t="s">
        <v>356</v>
      </c>
      <c r="H105" t="s">
        <v>353</v>
      </c>
      <c r="I105">
        <v>2300508</v>
      </c>
      <c r="J105" t="s">
        <v>657</v>
      </c>
      <c r="K105" t="s">
        <v>658</v>
      </c>
      <c r="L105" t="s">
        <v>661</v>
      </c>
      <c r="N105" t="s">
        <v>5098</v>
      </c>
      <c r="O105" t="s">
        <v>662</v>
      </c>
    </row>
    <row r="106" spans="1:19" x14ac:dyDescent="0.15">
      <c r="A106" t="s">
        <v>617</v>
      </c>
      <c r="B106" s="61">
        <v>46692</v>
      </c>
      <c r="E106" t="s">
        <v>355</v>
      </c>
      <c r="F106" t="s">
        <v>364</v>
      </c>
      <c r="H106" t="s">
        <v>353</v>
      </c>
      <c r="I106">
        <v>2303831</v>
      </c>
      <c r="J106" t="s">
        <v>663</v>
      </c>
      <c r="K106" t="s">
        <v>664</v>
      </c>
      <c r="L106" t="s">
        <v>665</v>
      </c>
      <c r="N106" t="s">
        <v>666</v>
      </c>
      <c r="O106" t="s">
        <v>667</v>
      </c>
    </row>
    <row r="107" spans="1:19" ht="409.5" x14ac:dyDescent="0.15">
      <c r="A107" t="s">
        <v>617</v>
      </c>
      <c r="B107" s="61">
        <v>46722</v>
      </c>
      <c r="E107" t="s">
        <v>355</v>
      </c>
      <c r="F107" t="s">
        <v>356</v>
      </c>
      <c r="H107" t="s">
        <v>353</v>
      </c>
      <c r="I107">
        <v>2302215</v>
      </c>
      <c r="J107" t="s">
        <v>668</v>
      </c>
      <c r="K107" t="s">
        <v>669</v>
      </c>
      <c r="L107" t="s">
        <v>670</v>
      </c>
      <c r="N107" t="s">
        <v>7351</v>
      </c>
      <c r="O107" t="s">
        <v>671</v>
      </c>
      <c r="S107" s="34" t="s">
        <v>5502</v>
      </c>
    </row>
    <row r="108" spans="1:19" x14ac:dyDescent="0.15">
      <c r="A108" t="s">
        <v>617</v>
      </c>
      <c r="B108" s="61">
        <v>46966</v>
      </c>
      <c r="E108" t="s">
        <v>355</v>
      </c>
      <c r="F108" t="s">
        <v>364</v>
      </c>
      <c r="H108" t="s">
        <v>353</v>
      </c>
      <c r="I108">
        <v>2303689</v>
      </c>
      <c r="J108" t="s">
        <v>672</v>
      </c>
      <c r="K108" t="s">
        <v>673</v>
      </c>
      <c r="L108" t="s">
        <v>674</v>
      </c>
      <c r="N108" t="s">
        <v>675</v>
      </c>
      <c r="O108" t="s">
        <v>676</v>
      </c>
    </row>
    <row r="109" spans="1:19" x14ac:dyDescent="0.15">
      <c r="A109" t="s">
        <v>617</v>
      </c>
      <c r="B109" s="61">
        <v>47027</v>
      </c>
      <c r="E109" t="s">
        <v>355</v>
      </c>
      <c r="F109" t="s">
        <v>364</v>
      </c>
      <c r="H109" t="s">
        <v>365</v>
      </c>
      <c r="I109">
        <v>2303719</v>
      </c>
      <c r="J109" t="s">
        <v>677</v>
      </c>
      <c r="K109" t="s">
        <v>678</v>
      </c>
      <c r="L109" t="s">
        <v>390</v>
      </c>
      <c r="N109" t="s">
        <v>679</v>
      </c>
      <c r="O109" t="s">
        <v>680</v>
      </c>
    </row>
    <row r="110" spans="1:19" ht="243" x14ac:dyDescent="0.15">
      <c r="A110" t="s">
        <v>617</v>
      </c>
      <c r="B110" s="61">
        <v>47300</v>
      </c>
      <c r="E110" t="s">
        <v>355</v>
      </c>
      <c r="F110" t="s">
        <v>385</v>
      </c>
      <c r="H110" t="s">
        <v>365</v>
      </c>
      <c r="I110">
        <v>2303759</v>
      </c>
      <c r="J110" t="s">
        <v>681</v>
      </c>
      <c r="L110" t="s">
        <v>413</v>
      </c>
      <c r="N110" t="s">
        <v>682</v>
      </c>
      <c r="O110" t="s">
        <v>683</v>
      </c>
      <c r="R110" t="s">
        <v>554</v>
      </c>
      <c r="S110" s="34" t="s">
        <v>684</v>
      </c>
    </row>
    <row r="111" spans="1:19" ht="409.5" x14ac:dyDescent="0.15">
      <c r="A111" t="s">
        <v>617</v>
      </c>
      <c r="B111" s="61">
        <v>47362</v>
      </c>
      <c r="E111" t="s">
        <v>355</v>
      </c>
      <c r="F111" t="s">
        <v>385</v>
      </c>
      <c r="H111" t="s">
        <v>365</v>
      </c>
      <c r="I111">
        <v>2300166</v>
      </c>
      <c r="J111" t="s">
        <v>618</v>
      </c>
      <c r="K111" t="s">
        <v>619</v>
      </c>
      <c r="L111" t="s">
        <v>620</v>
      </c>
      <c r="N111" t="s">
        <v>621</v>
      </c>
      <c r="O111" t="s">
        <v>622</v>
      </c>
      <c r="R111" t="s">
        <v>554</v>
      </c>
      <c r="S111" s="34" t="s">
        <v>623</v>
      </c>
    </row>
    <row r="112" spans="1:19" ht="243" x14ac:dyDescent="0.15">
      <c r="A112" t="s">
        <v>617</v>
      </c>
      <c r="B112" s="61">
        <v>47727</v>
      </c>
      <c r="E112" t="s">
        <v>355</v>
      </c>
      <c r="F112" t="s">
        <v>385</v>
      </c>
      <c r="H112" t="s">
        <v>365</v>
      </c>
      <c r="I112">
        <v>2302268</v>
      </c>
      <c r="J112" t="s">
        <v>624</v>
      </c>
      <c r="K112" t="s">
        <v>625</v>
      </c>
      <c r="L112" t="s">
        <v>626</v>
      </c>
      <c r="N112" t="s">
        <v>627</v>
      </c>
      <c r="O112" t="s">
        <v>628</v>
      </c>
      <c r="R112" t="s">
        <v>395</v>
      </c>
      <c r="S112" s="34" t="s">
        <v>629</v>
      </c>
    </row>
    <row r="113" spans="1:19" x14ac:dyDescent="0.15">
      <c r="A113" t="s">
        <v>617</v>
      </c>
      <c r="B113" s="61">
        <v>48000</v>
      </c>
      <c r="E113" t="s">
        <v>355</v>
      </c>
      <c r="F113" t="s">
        <v>364</v>
      </c>
      <c r="H113" t="s">
        <v>353</v>
      </c>
      <c r="I113">
        <v>2302235</v>
      </c>
      <c r="J113" t="s">
        <v>654</v>
      </c>
      <c r="L113" t="s">
        <v>613</v>
      </c>
      <c r="N113" t="s">
        <v>655</v>
      </c>
      <c r="O113" t="s">
        <v>656</v>
      </c>
    </row>
    <row r="114" spans="1:19" x14ac:dyDescent="0.15">
      <c r="A114" t="s">
        <v>617</v>
      </c>
      <c r="B114" s="61">
        <v>48153</v>
      </c>
      <c r="E114" t="s">
        <v>355</v>
      </c>
      <c r="F114" t="s">
        <v>385</v>
      </c>
      <c r="H114" t="s">
        <v>353</v>
      </c>
      <c r="I114">
        <v>2303010</v>
      </c>
      <c r="J114" t="s">
        <v>657</v>
      </c>
      <c r="K114" t="s">
        <v>658</v>
      </c>
      <c r="L114" t="s">
        <v>659</v>
      </c>
      <c r="N114" t="s">
        <v>5097</v>
      </c>
      <c r="O114" t="s">
        <v>660</v>
      </c>
    </row>
    <row r="115" spans="1:19" x14ac:dyDescent="0.15">
      <c r="A115" t="s">
        <v>617</v>
      </c>
      <c r="B115" s="61">
        <v>48153</v>
      </c>
      <c r="E115" t="s">
        <v>355</v>
      </c>
      <c r="F115" t="s">
        <v>385</v>
      </c>
      <c r="H115" t="s">
        <v>353</v>
      </c>
      <c r="I115">
        <v>2300508</v>
      </c>
      <c r="J115" t="s">
        <v>657</v>
      </c>
      <c r="K115" t="s">
        <v>658</v>
      </c>
      <c r="L115" t="s">
        <v>661</v>
      </c>
      <c r="N115" t="s">
        <v>5098</v>
      </c>
      <c r="O115" t="s">
        <v>662</v>
      </c>
    </row>
    <row r="116" spans="1:19" x14ac:dyDescent="0.15">
      <c r="A116" t="s">
        <v>617</v>
      </c>
      <c r="B116" s="61">
        <v>48153</v>
      </c>
      <c r="E116" t="s">
        <v>355</v>
      </c>
      <c r="F116" t="s">
        <v>364</v>
      </c>
      <c r="H116" t="s">
        <v>353</v>
      </c>
      <c r="I116">
        <v>2303831</v>
      </c>
      <c r="J116" t="s">
        <v>663</v>
      </c>
      <c r="K116" t="s">
        <v>664</v>
      </c>
      <c r="L116" t="s">
        <v>665</v>
      </c>
      <c r="N116" t="s">
        <v>666</v>
      </c>
      <c r="O116" t="s">
        <v>667</v>
      </c>
    </row>
    <row r="117" spans="1:19" ht="409.5" x14ac:dyDescent="0.15">
      <c r="A117" t="s">
        <v>617</v>
      </c>
      <c r="B117" s="61">
        <v>48183</v>
      </c>
      <c r="E117" t="s">
        <v>355</v>
      </c>
      <c r="F117" t="s">
        <v>385</v>
      </c>
      <c r="H117" t="s">
        <v>353</v>
      </c>
      <c r="I117">
        <v>2302215</v>
      </c>
      <c r="J117" t="s">
        <v>668</v>
      </c>
      <c r="K117" t="s">
        <v>669</v>
      </c>
      <c r="L117" t="s">
        <v>670</v>
      </c>
      <c r="N117" t="s">
        <v>7351</v>
      </c>
      <c r="O117" t="s">
        <v>671</v>
      </c>
      <c r="S117" s="34" t="s">
        <v>5502</v>
      </c>
    </row>
    <row r="118" spans="1:19" ht="216" x14ac:dyDescent="0.15">
      <c r="A118" t="s">
        <v>685</v>
      </c>
      <c r="B118" s="61">
        <v>46113</v>
      </c>
      <c r="E118" t="s">
        <v>355</v>
      </c>
      <c r="F118" t="s">
        <v>356</v>
      </c>
      <c r="H118" t="s">
        <v>353</v>
      </c>
      <c r="I118">
        <v>2101095</v>
      </c>
      <c r="J118" t="s">
        <v>687</v>
      </c>
      <c r="K118" t="s">
        <v>688</v>
      </c>
      <c r="L118" t="s">
        <v>689</v>
      </c>
      <c r="N118" t="s">
        <v>7352</v>
      </c>
      <c r="O118" t="s">
        <v>690</v>
      </c>
      <c r="R118" t="s">
        <v>362</v>
      </c>
      <c r="S118" s="34" t="s">
        <v>7353</v>
      </c>
    </row>
    <row r="119" spans="1:19" ht="364.5" x14ac:dyDescent="0.15">
      <c r="A119" t="s">
        <v>685</v>
      </c>
      <c r="B119" s="61">
        <v>46204</v>
      </c>
      <c r="E119" t="s">
        <v>355</v>
      </c>
      <c r="F119" t="s">
        <v>385</v>
      </c>
      <c r="H119" t="s">
        <v>353</v>
      </c>
      <c r="I119">
        <v>2100196</v>
      </c>
      <c r="J119" t="s">
        <v>691</v>
      </c>
      <c r="L119" t="s">
        <v>692</v>
      </c>
      <c r="N119" t="s">
        <v>693</v>
      </c>
      <c r="O119" t="s">
        <v>694</v>
      </c>
      <c r="R119" t="s">
        <v>386</v>
      </c>
      <c r="S119" s="34" t="s">
        <v>695</v>
      </c>
    </row>
    <row r="120" spans="1:19" ht="256.5" x14ac:dyDescent="0.15">
      <c r="A120" t="s">
        <v>685</v>
      </c>
      <c r="B120" s="61">
        <v>46357</v>
      </c>
      <c r="E120" t="s">
        <v>355</v>
      </c>
      <c r="F120" t="s">
        <v>356</v>
      </c>
      <c r="H120" t="s">
        <v>365</v>
      </c>
      <c r="I120">
        <v>2100800</v>
      </c>
      <c r="J120" t="s">
        <v>696</v>
      </c>
      <c r="K120" t="s">
        <v>697</v>
      </c>
      <c r="L120" t="s">
        <v>698</v>
      </c>
      <c r="N120" t="s">
        <v>699</v>
      </c>
      <c r="O120" t="s">
        <v>700</v>
      </c>
      <c r="R120" t="s">
        <v>362</v>
      </c>
      <c r="S120" s="34" t="s">
        <v>701</v>
      </c>
    </row>
    <row r="121" spans="1:19" ht="229.5" x14ac:dyDescent="0.15">
      <c r="A121" t="s">
        <v>685</v>
      </c>
      <c r="B121" s="61">
        <v>46357</v>
      </c>
      <c r="E121" t="s">
        <v>355</v>
      </c>
      <c r="F121" t="s">
        <v>356</v>
      </c>
      <c r="H121" t="s">
        <v>353</v>
      </c>
      <c r="I121">
        <v>2100960</v>
      </c>
      <c r="J121" t="s">
        <v>702</v>
      </c>
      <c r="K121" t="s">
        <v>703</v>
      </c>
      <c r="L121" t="s">
        <v>704</v>
      </c>
      <c r="N121" t="s">
        <v>705</v>
      </c>
      <c r="O121" t="s">
        <v>706</v>
      </c>
      <c r="R121" t="s">
        <v>362</v>
      </c>
      <c r="S121" s="34" t="s">
        <v>707</v>
      </c>
    </row>
    <row r="122" spans="1:19" ht="391.5" x14ac:dyDescent="0.15">
      <c r="A122" t="s">
        <v>685</v>
      </c>
      <c r="B122" s="61">
        <v>46357</v>
      </c>
      <c r="E122" t="s">
        <v>355</v>
      </c>
      <c r="F122" t="s">
        <v>356</v>
      </c>
      <c r="H122" t="s">
        <v>353</v>
      </c>
      <c r="I122">
        <v>2100697</v>
      </c>
      <c r="J122" t="s">
        <v>708</v>
      </c>
      <c r="K122" t="s">
        <v>709</v>
      </c>
      <c r="L122" t="s">
        <v>710</v>
      </c>
      <c r="N122" s="34" t="s">
        <v>711</v>
      </c>
      <c r="O122" t="s">
        <v>712</v>
      </c>
      <c r="R122" t="s">
        <v>362</v>
      </c>
      <c r="S122" s="34" t="s">
        <v>713</v>
      </c>
    </row>
    <row r="123" spans="1:19" ht="409.5" x14ac:dyDescent="0.15">
      <c r="A123" t="s">
        <v>685</v>
      </c>
      <c r="B123" s="61">
        <v>46357</v>
      </c>
      <c r="E123" t="s">
        <v>355</v>
      </c>
      <c r="F123" t="s">
        <v>356</v>
      </c>
      <c r="H123" t="s">
        <v>353</v>
      </c>
      <c r="I123">
        <v>2100697</v>
      </c>
      <c r="J123" t="s">
        <v>708</v>
      </c>
      <c r="K123" t="s">
        <v>709</v>
      </c>
      <c r="L123" t="s">
        <v>714</v>
      </c>
      <c r="N123" t="s">
        <v>715</v>
      </c>
      <c r="O123" t="s">
        <v>712</v>
      </c>
      <c r="R123" t="s">
        <v>362</v>
      </c>
      <c r="S123" s="34" t="s">
        <v>716</v>
      </c>
    </row>
    <row r="124" spans="1:19" ht="216" x14ac:dyDescent="0.15">
      <c r="A124" t="s">
        <v>685</v>
      </c>
      <c r="B124" s="61">
        <v>46388</v>
      </c>
      <c r="E124" t="s">
        <v>355</v>
      </c>
      <c r="F124" t="s">
        <v>356</v>
      </c>
      <c r="H124" t="s">
        <v>353</v>
      </c>
      <c r="I124">
        <v>2100957</v>
      </c>
      <c r="J124" t="s">
        <v>717</v>
      </c>
      <c r="L124" t="s">
        <v>718</v>
      </c>
      <c r="N124" t="s">
        <v>5099</v>
      </c>
      <c r="O124" t="s">
        <v>719</v>
      </c>
      <c r="R124" t="s">
        <v>362</v>
      </c>
      <c r="S124" s="34" t="s">
        <v>5100</v>
      </c>
    </row>
    <row r="125" spans="1:19" ht="256.5" x14ac:dyDescent="0.15">
      <c r="A125" t="s">
        <v>685</v>
      </c>
      <c r="B125" s="61">
        <v>46539</v>
      </c>
      <c r="E125" t="s">
        <v>355</v>
      </c>
      <c r="F125" t="s">
        <v>720</v>
      </c>
      <c r="H125" t="s">
        <v>353</v>
      </c>
      <c r="I125">
        <v>2100697</v>
      </c>
      <c r="J125" t="s">
        <v>708</v>
      </c>
      <c r="K125" t="s">
        <v>709</v>
      </c>
      <c r="L125" t="s">
        <v>721</v>
      </c>
      <c r="N125" t="s">
        <v>722</v>
      </c>
      <c r="O125" t="s">
        <v>712</v>
      </c>
      <c r="R125" t="s">
        <v>723</v>
      </c>
      <c r="S125" s="34" t="s">
        <v>724</v>
      </c>
    </row>
    <row r="126" spans="1:19" x14ac:dyDescent="0.15">
      <c r="A126" t="s">
        <v>685</v>
      </c>
      <c r="B126" s="61">
        <v>46539</v>
      </c>
      <c r="E126" t="s">
        <v>355</v>
      </c>
      <c r="F126" t="s">
        <v>364</v>
      </c>
      <c r="H126" t="s">
        <v>365</v>
      </c>
      <c r="I126">
        <v>2101045</v>
      </c>
      <c r="J126" t="s">
        <v>725</v>
      </c>
      <c r="L126" t="s">
        <v>726</v>
      </c>
      <c r="N126" t="s">
        <v>727</v>
      </c>
      <c r="O126" t="s">
        <v>728</v>
      </c>
    </row>
    <row r="127" spans="1:19" x14ac:dyDescent="0.15">
      <c r="A127" t="s">
        <v>685</v>
      </c>
      <c r="B127" s="61">
        <v>46569</v>
      </c>
      <c r="E127" t="s">
        <v>355</v>
      </c>
      <c r="F127" t="s">
        <v>364</v>
      </c>
      <c r="H127" t="s">
        <v>353</v>
      </c>
      <c r="I127">
        <v>2101045</v>
      </c>
      <c r="J127" t="s">
        <v>725</v>
      </c>
      <c r="L127" t="s">
        <v>726</v>
      </c>
      <c r="N127" t="s">
        <v>729</v>
      </c>
      <c r="O127" t="s">
        <v>728</v>
      </c>
    </row>
    <row r="128" spans="1:19" x14ac:dyDescent="0.15">
      <c r="A128" t="s">
        <v>685</v>
      </c>
      <c r="B128" s="61">
        <v>46661</v>
      </c>
      <c r="E128" t="s">
        <v>355</v>
      </c>
      <c r="F128" t="s">
        <v>364</v>
      </c>
      <c r="H128" t="s">
        <v>365</v>
      </c>
      <c r="I128">
        <v>2101059</v>
      </c>
      <c r="J128" t="s">
        <v>730</v>
      </c>
      <c r="K128" t="s">
        <v>731</v>
      </c>
      <c r="L128" t="s">
        <v>732</v>
      </c>
      <c r="N128" t="s">
        <v>733</v>
      </c>
      <c r="O128" t="s">
        <v>734</v>
      </c>
    </row>
    <row r="129" spans="1:19" x14ac:dyDescent="0.15">
      <c r="A129" t="s">
        <v>685</v>
      </c>
      <c r="B129" s="61">
        <v>46661</v>
      </c>
      <c r="E129" t="s">
        <v>355</v>
      </c>
      <c r="F129" t="s">
        <v>364</v>
      </c>
      <c r="H129" t="s">
        <v>365</v>
      </c>
      <c r="I129">
        <v>2100020</v>
      </c>
      <c r="J129" t="s">
        <v>735</v>
      </c>
      <c r="L129" t="s">
        <v>736</v>
      </c>
      <c r="N129" t="s">
        <v>737</v>
      </c>
      <c r="O129" t="s">
        <v>738</v>
      </c>
    </row>
    <row r="130" spans="1:19" x14ac:dyDescent="0.15">
      <c r="A130" t="s">
        <v>685</v>
      </c>
      <c r="B130" s="61">
        <v>46692</v>
      </c>
      <c r="E130" t="s">
        <v>355</v>
      </c>
      <c r="F130" t="s">
        <v>364</v>
      </c>
      <c r="H130" t="s">
        <v>353</v>
      </c>
      <c r="I130">
        <v>2101056</v>
      </c>
      <c r="J130" t="s">
        <v>739</v>
      </c>
      <c r="K130" t="s">
        <v>740</v>
      </c>
      <c r="L130" t="s">
        <v>466</v>
      </c>
      <c r="N130" t="s">
        <v>741</v>
      </c>
      <c r="O130" t="s">
        <v>742</v>
      </c>
    </row>
    <row r="131" spans="1:19" x14ac:dyDescent="0.15">
      <c r="A131" t="s">
        <v>685</v>
      </c>
      <c r="B131" s="61">
        <v>46784</v>
      </c>
      <c r="E131" t="s">
        <v>355</v>
      </c>
      <c r="F131" t="s">
        <v>364</v>
      </c>
      <c r="H131" t="s">
        <v>353</v>
      </c>
      <c r="I131">
        <v>2100354</v>
      </c>
      <c r="J131" t="s">
        <v>743</v>
      </c>
      <c r="K131" t="s">
        <v>744</v>
      </c>
      <c r="L131" t="s">
        <v>466</v>
      </c>
      <c r="N131" t="s">
        <v>745</v>
      </c>
      <c r="O131" t="s">
        <v>746</v>
      </c>
    </row>
    <row r="132" spans="1:19" x14ac:dyDescent="0.15">
      <c r="A132" t="s">
        <v>685</v>
      </c>
      <c r="B132" s="61">
        <v>46966</v>
      </c>
      <c r="E132" t="s">
        <v>355</v>
      </c>
      <c r="F132" t="s">
        <v>364</v>
      </c>
      <c r="H132" t="s">
        <v>353</v>
      </c>
      <c r="I132">
        <v>2100802</v>
      </c>
      <c r="J132" t="s">
        <v>747</v>
      </c>
      <c r="L132" t="s">
        <v>748</v>
      </c>
      <c r="N132" t="s">
        <v>749</v>
      </c>
      <c r="O132" t="s">
        <v>750</v>
      </c>
    </row>
    <row r="133" spans="1:19" ht="409.5" x14ac:dyDescent="0.15">
      <c r="A133" t="s">
        <v>685</v>
      </c>
      <c r="B133" s="61">
        <v>47088</v>
      </c>
      <c r="E133" t="s">
        <v>355</v>
      </c>
      <c r="F133" t="s">
        <v>543</v>
      </c>
      <c r="H133" t="s">
        <v>310</v>
      </c>
      <c r="I133">
        <v>2100627</v>
      </c>
      <c r="J133" t="s">
        <v>751</v>
      </c>
      <c r="K133" t="s">
        <v>752</v>
      </c>
      <c r="L133" t="s">
        <v>698</v>
      </c>
      <c r="N133" t="s">
        <v>753</v>
      </c>
      <c r="O133" t="s">
        <v>754</v>
      </c>
      <c r="R133" t="s">
        <v>755</v>
      </c>
      <c r="S133" s="34" t="s">
        <v>756</v>
      </c>
    </row>
    <row r="134" spans="1:19" ht="351" x14ac:dyDescent="0.15">
      <c r="A134" t="s">
        <v>685</v>
      </c>
      <c r="B134" s="61">
        <v>47209</v>
      </c>
      <c r="E134" t="s">
        <v>355</v>
      </c>
      <c r="F134" t="s">
        <v>385</v>
      </c>
      <c r="H134" t="s">
        <v>353</v>
      </c>
      <c r="I134">
        <v>2100414</v>
      </c>
      <c r="J134" t="s">
        <v>757</v>
      </c>
      <c r="K134" t="s">
        <v>758</v>
      </c>
      <c r="L134" t="s">
        <v>759</v>
      </c>
      <c r="N134" t="s">
        <v>760</v>
      </c>
      <c r="O134" t="s">
        <v>761</v>
      </c>
      <c r="R134" t="s">
        <v>386</v>
      </c>
      <c r="S134" s="34" t="s">
        <v>762</v>
      </c>
    </row>
    <row r="135" spans="1:19" ht="243" x14ac:dyDescent="0.15">
      <c r="A135" t="s">
        <v>685</v>
      </c>
      <c r="B135" s="61">
        <v>47392</v>
      </c>
      <c r="E135" t="s">
        <v>355</v>
      </c>
      <c r="F135" t="s">
        <v>385</v>
      </c>
      <c r="H135" t="s">
        <v>365</v>
      </c>
      <c r="I135">
        <v>2101079</v>
      </c>
      <c r="J135" t="s">
        <v>696</v>
      </c>
      <c r="K135" t="s">
        <v>763</v>
      </c>
      <c r="L135" t="s">
        <v>764</v>
      </c>
      <c r="N135" t="s">
        <v>765</v>
      </c>
      <c r="O135" t="s">
        <v>766</v>
      </c>
      <c r="R135" t="s">
        <v>395</v>
      </c>
      <c r="S135" s="34" t="s">
        <v>767</v>
      </c>
    </row>
    <row r="136" spans="1:19" ht="409.5" x14ac:dyDescent="0.15">
      <c r="A136" t="s">
        <v>685</v>
      </c>
      <c r="B136" s="61">
        <v>47453</v>
      </c>
      <c r="E136" t="s">
        <v>355</v>
      </c>
      <c r="F136" t="s">
        <v>385</v>
      </c>
      <c r="H136" t="s">
        <v>310</v>
      </c>
      <c r="I136">
        <v>2100627</v>
      </c>
      <c r="J136" t="s">
        <v>751</v>
      </c>
      <c r="K136" t="s">
        <v>752</v>
      </c>
      <c r="L136" t="s">
        <v>698</v>
      </c>
      <c r="N136" t="s">
        <v>753</v>
      </c>
      <c r="O136" t="s">
        <v>754</v>
      </c>
      <c r="R136" t="s">
        <v>395</v>
      </c>
      <c r="S136" s="34" t="s">
        <v>756</v>
      </c>
    </row>
    <row r="137" spans="1:19" ht="216" x14ac:dyDescent="0.15">
      <c r="A137" t="s">
        <v>685</v>
      </c>
      <c r="B137" s="61">
        <v>47574</v>
      </c>
      <c r="E137" t="s">
        <v>355</v>
      </c>
      <c r="F137" t="s">
        <v>385</v>
      </c>
      <c r="H137" t="s">
        <v>353</v>
      </c>
      <c r="I137">
        <v>2101095</v>
      </c>
      <c r="J137" t="s">
        <v>687</v>
      </c>
      <c r="K137" t="s">
        <v>688</v>
      </c>
      <c r="L137" t="s">
        <v>689</v>
      </c>
      <c r="N137" t="s">
        <v>7352</v>
      </c>
      <c r="O137" t="s">
        <v>690</v>
      </c>
      <c r="R137" s="34" t="s">
        <v>768</v>
      </c>
      <c r="S137" s="34" t="s">
        <v>7353</v>
      </c>
    </row>
    <row r="138" spans="1:19" ht="256.5" x14ac:dyDescent="0.15">
      <c r="A138" t="s">
        <v>685</v>
      </c>
      <c r="B138" s="61">
        <v>47818</v>
      </c>
      <c r="E138" t="s">
        <v>355</v>
      </c>
      <c r="F138" t="s">
        <v>385</v>
      </c>
      <c r="H138" t="s">
        <v>365</v>
      </c>
      <c r="I138">
        <v>2100800</v>
      </c>
      <c r="J138" t="s">
        <v>696</v>
      </c>
      <c r="K138" t="s">
        <v>697</v>
      </c>
      <c r="L138" t="s">
        <v>698</v>
      </c>
      <c r="N138" t="s">
        <v>699</v>
      </c>
      <c r="O138" t="s">
        <v>700</v>
      </c>
      <c r="R138" t="s">
        <v>395</v>
      </c>
      <c r="S138" s="34" t="s">
        <v>701</v>
      </c>
    </row>
    <row r="139" spans="1:19" ht="229.5" x14ac:dyDescent="0.15">
      <c r="A139" t="s">
        <v>685</v>
      </c>
      <c r="B139" s="61">
        <v>47818</v>
      </c>
      <c r="E139" t="s">
        <v>355</v>
      </c>
      <c r="F139" t="s">
        <v>385</v>
      </c>
      <c r="H139" t="s">
        <v>353</v>
      </c>
      <c r="I139">
        <v>2100960</v>
      </c>
      <c r="J139" t="s">
        <v>702</v>
      </c>
      <c r="K139" t="s">
        <v>703</v>
      </c>
      <c r="L139" t="s">
        <v>704</v>
      </c>
      <c r="N139" t="s">
        <v>705</v>
      </c>
      <c r="O139" t="s">
        <v>706</v>
      </c>
      <c r="R139" t="s">
        <v>386</v>
      </c>
      <c r="S139" s="34" t="s">
        <v>707</v>
      </c>
    </row>
    <row r="140" spans="1:19" ht="391.5" x14ac:dyDescent="0.15">
      <c r="A140" t="s">
        <v>685</v>
      </c>
      <c r="B140" s="61">
        <v>47818</v>
      </c>
      <c r="E140" t="s">
        <v>355</v>
      </c>
      <c r="F140" t="s">
        <v>385</v>
      </c>
      <c r="H140" t="s">
        <v>353</v>
      </c>
      <c r="I140">
        <v>2100697</v>
      </c>
      <c r="J140" t="s">
        <v>708</v>
      </c>
      <c r="K140" t="s">
        <v>709</v>
      </c>
      <c r="L140" t="s">
        <v>710</v>
      </c>
      <c r="N140" s="34" t="s">
        <v>711</v>
      </c>
      <c r="O140" t="s">
        <v>712</v>
      </c>
      <c r="R140" t="s">
        <v>386</v>
      </c>
      <c r="S140" s="34" t="s">
        <v>713</v>
      </c>
    </row>
    <row r="141" spans="1:19" ht="409.5" x14ac:dyDescent="0.15">
      <c r="A141" t="s">
        <v>685</v>
      </c>
      <c r="B141" s="61">
        <v>47818</v>
      </c>
      <c r="E141" t="s">
        <v>355</v>
      </c>
      <c r="F141" t="s">
        <v>385</v>
      </c>
      <c r="H141" t="s">
        <v>353</v>
      </c>
      <c r="I141">
        <v>2100697</v>
      </c>
      <c r="J141" t="s">
        <v>708</v>
      </c>
      <c r="K141" t="s">
        <v>709</v>
      </c>
      <c r="L141" t="s">
        <v>714</v>
      </c>
      <c r="N141" t="s">
        <v>715</v>
      </c>
      <c r="O141" t="s">
        <v>712</v>
      </c>
      <c r="R141" t="s">
        <v>386</v>
      </c>
      <c r="S141" s="34" t="s">
        <v>716</v>
      </c>
    </row>
    <row r="142" spans="1:19" x14ac:dyDescent="0.15">
      <c r="A142" t="s">
        <v>685</v>
      </c>
      <c r="B142" s="61">
        <v>47849</v>
      </c>
      <c r="E142" t="s">
        <v>355</v>
      </c>
      <c r="F142" t="s">
        <v>385</v>
      </c>
      <c r="H142" t="s">
        <v>353</v>
      </c>
      <c r="I142">
        <v>2100957</v>
      </c>
      <c r="J142" t="s">
        <v>717</v>
      </c>
      <c r="L142" t="s">
        <v>718</v>
      </c>
      <c r="N142" t="s">
        <v>5099</v>
      </c>
      <c r="O142" t="s">
        <v>719</v>
      </c>
      <c r="S142" t="s">
        <v>386</v>
      </c>
    </row>
    <row r="143" spans="1:19" x14ac:dyDescent="0.15">
      <c r="A143" t="s">
        <v>685</v>
      </c>
      <c r="B143" s="61">
        <v>48122</v>
      </c>
      <c r="E143" t="s">
        <v>355</v>
      </c>
      <c r="F143" t="s">
        <v>364</v>
      </c>
      <c r="H143" t="s">
        <v>365</v>
      </c>
      <c r="I143">
        <v>2100020</v>
      </c>
      <c r="J143" t="s">
        <v>735</v>
      </c>
      <c r="L143" t="s">
        <v>736</v>
      </c>
      <c r="N143" t="s">
        <v>737</v>
      </c>
      <c r="O143" t="s">
        <v>738</v>
      </c>
    </row>
    <row r="144" spans="1:19" x14ac:dyDescent="0.15">
      <c r="A144" t="s">
        <v>685</v>
      </c>
      <c r="B144" s="61">
        <v>48245</v>
      </c>
      <c r="E144" t="s">
        <v>355</v>
      </c>
      <c r="F144" t="s">
        <v>364</v>
      </c>
      <c r="H144" t="s">
        <v>353</v>
      </c>
      <c r="I144">
        <v>2100354</v>
      </c>
      <c r="J144" t="s">
        <v>743</v>
      </c>
      <c r="K144" t="s">
        <v>744</v>
      </c>
      <c r="L144" t="s">
        <v>466</v>
      </c>
      <c r="N144" t="s">
        <v>745</v>
      </c>
      <c r="O144" t="s">
        <v>746</v>
      </c>
    </row>
    <row r="145" spans="1:19" ht="364.5" x14ac:dyDescent="0.15">
      <c r="A145" t="s">
        <v>769</v>
      </c>
      <c r="B145" s="61">
        <v>46174</v>
      </c>
      <c r="E145" t="s">
        <v>355</v>
      </c>
      <c r="F145" t="s">
        <v>385</v>
      </c>
      <c r="H145" t="s">
        <v>353</v>
      </c>
      <c r="I145">
        <v>1100203</v>
      </c>
      <c r="J145" t="s">
        <v>461</v>
      </c>
      <c r="K145" t="s">
        <v>770</v>
      </c>
      <c r="L145" t="s">
        <v>771</v>
      </c>
      <c r="N145" t="s">
        <v>772</v>
      </c>
      <c r="O145" t="s">
        <v>773</v>
      </c>
      <c r="R145" t="s">
        <v>386</v>
      </c>
      <c r="S145" s="34" t="s">
        <v>774</v>
      </c>
    </row>
    <row r="146" spans="1:19" x14ac:dyDescent="0.15">
      <c r="A146" t="s">
        <v>769</v>
      </c>
      <c r="B146" s="61">
        <v>46600</v>
      </c>
      <c r="E146" t="s">
        <v>355</v>
      </c>
      <c r="F146" t="s">
        <v>364</v>
      </c>
      <c r="H146" t="s">
        <v>365</v>
      </c>
      <c r="I146">
        <v>1100220</v>
      </c>
      <c r="J146" t="s">
        <v>775</v>
      </c>
      <c r="K146" t="s">
        <v>776</v>
      </c>
      <c r="L146" t="s">
        <v>777</v>
      </c>
      <c r="N146" t="s">
        <v>778</v>
      </c>
      <c r="O146" t="s">
        <v>779</v>
      </c>
    </row>
    <row r="147" spans="1:19" x14ac:dyDescent="0.15">
      <c r="A147" t="s">
        <v>769</v>
      </c>
      <c r="B147" s="61">
        <v>46631</v>
      </c>
      <c r="E147" t="s">
        <v>355</v>
      </c>
      <c r="F147" t="s">
        <v>364</v>
      </c>
      <c r="H147" t="s">
        <v>353</v>
      </c>
      <c r="I147">
        <v>1100039</v>
      </c>
      <c r="J147" t="s">
        <v>780</v>
      </c>
      <c r="K147" t="s">
        <v>781</v>
      </c>
      <c r="L147" t="s">
        <v>390</v>
      </c>
      <c r="N147" t="s">
        <v>782</v>
      </c>
      <c r="O147" t="s">
        <v>783</v>
      </c>
      <c r="P147" t="s">
        <v>784</v>
      </c>
    </row>
    <row r="148" spans="1:19" ht="409.5" x14ac:dyDescent="0.15">
      <c r="A148" t="s">
        <v>769</v>
      </c>
      <c r="B148" s="61">
        <v>47119</v>
      </c>
      <c r="E148" t="s">
        <v>355</v>
      </c>
      <c r="F148" t="s">
        <v>385</v>
      </c>
      <c r="H148" t="s">
        <v>353</v>
      </c>
      <c r="I148">
        <v>1102447</v>
      </c>
      <c r="J148" t="s">
        <v>464</v>
      </c>
      <c r="K148" t="s">
        <v>785</v>
      </c>
      <c r="L148" t="s">
        <v>786</v>
      </c>
      <c r="N148" t="s">
        <v>787</v>
      </c>
      <c r="O148" t="s">
        <v>788</v>
      </c>
      <c r="R148" t="s">
        <v>386</v>
      </c>
      <c r="S148" s="34" t="s">
        <v>789</v>
      </c>
    </row>
    <row r="149" spans="1:19" ht="391.5" x14ac:dyDescent="0.15">
      <c r="A149" t="s">
        <v>769</v>
      </c>
      <c r="B149" s="61">
        <v>47331</v>
      </c>
      <c r="E149" t="s">
        <v>355</v>
      </c>
      <c r="F149" t="s">
        <v>385</v>
      </c>
      <c r="H149" t="s">
        <v>365</v>
      </c>
      <c r="I149">
        <v>1102486</v>
      </c>
      <c r="J149" t="s">
        <v>790</v>
      </c>
      <c r="K149" t="s">
        <v>776</v>
      </c>
      <c r="L149" t="s">
        <v>791</v>
      </c>
      <c r="N149" t="s">
        <v>792</v>
      </c>
      <c r="O149" t="s">
        <v>793</v>
      </c>
      <c r="S149" s="34" t="s">
        <v>794</v>
      </c>
    </row>
    <row r="150" spans="1:19" ht="409.5" x14ac:dyDescent="0.15">
      <c r="A150" t="s">
        <v>769</v>
      </c>
      <c r="B150" s="61">
        <v>47392</v>
      </c>
      <c r="E150" t="s">
        <v>355</v>
      </c>
      <c r="F150" t="s">
        <v>385</v>
      </c>
      <c r="H150" t="s">
        <v>353</v>
      </c>
      <c r="I150">
        <v>1102495</v>
      </c>
      <c r="J150" t="s">
        <v>795</v>
      </c>
      <c r="K150" t="s">
        <v>796</v>
      </c>
      <c r="L150" t="s">
        <v>413</v>
      </c>
      <c r="N150" t="s">
        <v>797</v>
      </c>
      <c r="O150" t="s">
        <v>798</v>
      </c>
      <c r="R150" s="34" t="s">
        <v>768</v>
      </c>
      <c r="S150" s="34" t="s">
        <v>799</v>
      </c>
    </row>
    <row r="151" spans="1:19" ht="409.5" x14ac:dyDescent="0.15">
      <c r="A151" t="s">
        <v>800</v>
      </c>
      <c r="B151" s="61">
        <v>46174</v>
      </c>
      <c r="E151" t="s">
        <v>355</v>
      </c>
      <c r="F151" t="s">
        <v>385</v>
      </c>
      <c r="H151" t="s">
        <v>365</v>
      </c>
      <c r="I151">
        <v>4500014</v>
      </c>
      <c r="J151" t="s">
        <v>801</v>
      </c>
      <c r="K151" t="s">
        <v>802</v>
      </c>
      <c r="L151" t="s">
        <v>803</v>
      </c>
      <c r="N151" t="s">
        <v>804</v>
      </c>
      <c r="O151" t="s">
        <v>805</v>
      </c>
      <c r="R151" t="s">
        <v>395</v>
      </c>
      <c r="S151" s="34" t="s">
        <v>806</v>
      </c>
    </row>
    <row r="152" spans="1:19" x14ac:dyDescent="0.15">
      <c r="A152" t="s">
        <v>800</v>
      </c>
      <c r="B152" s="61">
        <v>46600</v>
      </c>
      <c r="E152" t="s">
        <v>355</v>
      </c>
      <c r="F152" t="s">
        <v>364</v>
      </c>
      <c r="H152" t="s">
        <v>353</v>
      </c>
      <c r="I152">
        <v>4500043</v>
      </c>
      <c r="J152" t="s">
        <v>807</v>
      </c>
      <c r="K152" t="s">
        <v>808</v>
      </c>
      <c r="L152" t="s">
        <v>809</v>
      </c>
      <c r="N152" t="s">
        <v>810</v>
      </c>
      <c r="O152" t="s">
        <v>811</v>
      </c>
    </row>
    <row r="153" spans="1:19" x14ac:dyDescent="0.15">
      <c r="A153" t="s">
        <v>800</v>
      </c>
      <c r="B153" s="61">
        <v>46692</v>
      </c>
      <c r="E153" t="s">
        <v>355</v>
      </c>
      <c r="F153" t="s">
        <v>364</v>
      </c>
      <c r="H153" t="s">
        <v>365</v>
      </c>
      <c r="I153">
        <v>4500043</v>
      </c>
      <c r="J153" t="s">
        <v>807</v>
      </c>
      <c r="K153" t="s">
        <v>808</v>
      </c>
      <c r="L153" t="s">
        <v>809</v>
      </c>
      <c r="N153" t="s">
        <v>812</v>
      </c>
      <c r="O153" t="s">
        <v>811</v>
      </c>
    </row>
    <row r="154" spans="1:19" ht="351" x14ac:dyDescent="0.15">
      <c r="A154" t="s">
        <v>800</v>
      </c>
      <c r="B154" s="61">
        <v>47515</v>
      </c>
      <c r="E154" t="s">
        <v>355</v>
      </c>
      <c r="F154" t="s">
        <v>385</v>
      </c>
      <c r="H154" t="s">
        <v>353</v>
      </c>
      <c r="I154">
        <v>4500149</v>
      </c>
      <c r="J154" t="s">
        <v>813</v>
      </c>
      <c r="K154" t="s">
        <v>814</v>
      </c>
      <c r="L154" t="s">
        <v>815</v>
      </c>
      <c r="N154" t="s">
        <v>816</v>
      </c>
      <c r="O154" t="s">
        <v>817</v>
      </c>
      <c r="R154" s="34" t="s">
        <v>768</v>
      </c>
      <c r="S154" s="34" t="s">
        <v>818</v>
      </c>
    </row>
    <row r="155" spans="1:19" x14ac:dyDescent="0.15">
      <c r="A155" t="s">
        <v>800</v>
      </c>
      <c r="B155" s="61">
        <v>48061</v>
      </c>
      <c r="E155" t="s">
        <v>355</v>
      </c>
      <c r="F155" t="s">
        <v>364</v>
      </c>
      <c r="H155" t="s">
        <v>353</v>
      </c>
      <c r="I155">
        <v>4500043</v>
      </c>
      <c r="J155" t="s">
        <v>807</v>
      </c>
      <c r="K155" t="s">
        <v>808</v>
      </c>
      <c r="L155" t="s">
        <v>809</v>
      </c>
      <c r="N155" t="s">
        <v>810</v>
      </c>
      <c r="O155" t="s">
        <v>811</v>
      </c>
    </row>
    <row r="156" spans="1:19" x14ac:dyDescent="0.15">
      <c r="A156" t="s">
        <v>800</v>
      </c>
      <c r="B156" s="61">
        <v>48153</v>
      </c>
      <c r="E156" t="s">
        <v>355</v>
      </c>
      <c r="F156" t="s">
        <v>364</v>
      </c>
      <c r="H156" t="s">
        <v>365</v>
      </c>
      <c r="I156">
        <v>4500043</v>
      </c>
      <c r="J156" t="s">
        <v>807</v>
      </c>
      <c r="K156" t="s">
        <v>808</v>
      </c>
      <c r="L156" t="s">
        <v>809</v>
      </c>
      <c r="N156" t="s">
        <v>812</v>
      </c>
      <c r="O156" t="s">
        <v>811</v>
      </c>
    </row>
    <row r="157" spans="1:19" x14ac:dyDescent="0.15">
      <c r="A157" t="s">
        <v>819</v>
      </c>
      <c r="B157" s="61">
        <v>46753</v>
      </c>
      <c r="E157" t="s">
        <v>355</v>
      </c>
      <c r="F157" t="s">
        <v>364</v>
      </c>
      <c r="H157" t="s">
        <v>353</v>
      </c>
      <c r="I157">
        <v>4000496</v>
      </c>
      <c r="J157" t="s">
        <v>821</v>
      </c>
      <c r="K157" t="s">
        <v>822</v>
      </c>
      <c r="L157" t="s">
        <v>613</v>
      </c>
      <c r="N157" t="s">
        <v>823</v>
      </c>
      <c r="O157" t="s">
        <v>824</v>
      </c>
    </row>
    <row r="158" spans="1:19" ht="409.5" x14ac:dyDescent="0.15">
      <c r="A158" t="s">
        <v>819</v>
      </c>
      <c r="B158" s="61">
        <v>47178</v>
      </c>
      <c r="E158" t="s">
        <v>355</v>
      </c>
      <c r="F158" t="s">
        <v>385</v>
      </c>
      <c r="H158" t="s">
        <v>353</v>
      </c>
      <c r="I158">
        <v>4300153</v>
      </c>
      <c r="J158" t="s">
        <v>825</v>
      </c>
      <c r="K158" t="s">
        <v>826</v>
      </c>
      <c r="L158" t="s">
        <v>827</v>
      </c>
      <c r="N158" t="s">
        <v>828</v>
      </c>
      <c r="O158" t="s">
        <v>829</v>
      </c>
      <c r="R158" t="s">
        <v>386</v>
      </c>
      <c r="S158" s="34" t="s">
        <v>830</v>
      </c>
    </row>
    <row r="159" spans="1:19" ht="243" x14ac:dyDescent="0.15">
      <c r="A159" t="s">
        <v>819</v>
      </c>
      <c r="B159" s="61">
        <v>47209</v>
      </c>
      <c r="E159" t="s">
        <v>355</v>
      </c>
      <c r="F159" t="s">
        <v>385</v>
      </c>
      <c r="H159" t="s">
        <v>365</v>
      </c>
      <c r="I159">
        <v>4000947</v>
      </c>
      <c r="J159" t="s">
        <v>831</v>
      </c>
      <c r="K159" t="s">
        <v>832</v>
      </c>
      <c r="L159" t="s">
        <v>833</v>
      </c>
      <c r="N159" t="s">
        <v>834</v>
      </c>
      <c r="O159" t="s">
        <v>835</v>
      </c>
      <c r="R159" t="s">
        <v>395</v>
      </c>
      <c r="S159" s="34" t="s">
        <v>836</v>
      </c>
    </row>
    <row r="160" spans="1:19" ht="243" x14ac:dyDescent="0.15">
      <c r="A160" t="s">
        <v>837</v>
      </c>
      <c r="B160" s="61">
        <v>47058</v>
      </c>
      <c r="E160" t="s">
        <v>355</v>
      </c>
      <c r="F160" t="s">
        <v>356</v>
      </c>
      <c r="H160" t="s">
        <v>353</v>
      </c>
      <c r="I160">
        <v>1000162</v>
      </c>
      <c r="J160" t="s">
        <v>821</v>
      </c>
      <c r="K160" t="s">
        <v>838</v>
      </c>
      <c r="L160" t="s">
        <v>390</v>
      </c>
      <c r="N160" t="s">
        <v>839</v>
      </c>
      <c r="O160" t="s">
        <v>840</v>
      </c>
      <c r="R160" s="34" t="s">
        <v>841</v>
      </c>
      <c r="S160" s="34" t="s">
        <v>842</v>
      </c>
    </row>
    <row r="161" spans="1:19" ht="391.5" x14ac:dyDescent="0.15">
      <c r="A161" t="s">
        <v>837</v>
      </c>
      <c r="B161" s="61">
        <v>46174</v>
      </c>
      <c r="E161" t="s">
        <v>355</v>
      </c>
      <c r="F161" t="s">
        <v>356</v>
      </c>
      <c r="H161" t="s">
        <v>365</v>
      </c>
      <c r="I161">
        <v>1102513</v>
      </c>
      <c r="J161" t="s">
        <v>849</v>
      </c>
      <c r="K161" t="s">
        <v>850</v>
      </c>
      <c r="L161" t="s">
        <v>718</v>
      </c>
      <c r="N161" t="s">
        <v>855</v>
      </c>
      <c r="O161" t="s">
        <v>852</v>
      </c>
      <c r="R161" t="s">
        <v>362</v>
      </c>
      <c r="S161" s="34" t="s">
        <v>856</v>
      </c>
    </row>
    <row r="162" spans="1:19" ht="256.5" x14ac:dyDescent="0.15">
      <c r="A162" t="s">
        <v>837</v>
      </c>
      <c r="B162" s="61">
        <v>46296</v>
      </c>
      <c r="E162" t="s">
        <v>355</v>
      </c>
      <c r="F162" t="s">
        <v>720</v>
      </c>
      <c r="H162" t="s">
        <v>353</v>
      </c>
      <c r="I162">
        <v>1102044</v>
      </c>
      <c r="J162" t="s">
        <v>857</v>
      </c>
      <c r="K162" t="s">
        <v>858</v>
      </c>
      <c r="L162" t="s">
        <v>390</v>
      </c>
      <c r="N162" t="s">
        <v>859</v>
      </c>
      <c r="O162" t="s">
        <v>860</v>
      </c>
      <c r="R162" t="s">
        <v>723</v>
      </c>
      <c r="S162" s="34" t="s">
        <v>861</v>
      </c>
    </row>
    <row r="163" spans="1:19" x14ac:dyDescent="0.15">
      <c r="A163" t="s">
        <v>837</v>
      </c>
      <c r="B163" s="61">
        <v>46569</v>
      </c>
      <c r="E163" t="s">
        <v>355</v>
      </c>
      <c r="F163" t="s">
        <v>364</v>
      </c>
      <c r="H163" t="s">
        <v>365</v>
      </c>
      <c r="I163">
        <v>1001012</v>
      </c>
      <c r="J163" t="s">
        <v>862</v>
      </c>
      <c r="K163" t="s">
        <v>863</v>
      </c>
      <c r="L163" t="s">
        <v>864</v>
      </c>
      <c r="N163" t="s">
        <v>865</v>
      </c>
      <c r="O163" t="s">
        <v>866</v>
      </c>
    </row>
    <row r="164" spans="1:19" x14ac:dyDescent="0.15">
      <c r="A164" t="s">
        <v>837</v>
      </c>
      <c r="B164" s="61">
        <v>46631</v>
      </c>
      <c r="E164" t="s">
        <v>355</v>
      </c>
      <c r="F164" t="s">
        <v>364</v>
      </c>
      <c r="H164" t="s">
        <v>365</v>
      </c>
      <c r="I164">
        <v>1100025</v>
      </c>
      <c r="J164" t="s">
        <v>867</v>
      </c>
      <c r="L164" t="s">
        <v>868</v>
      </c>
      <c r="N164" t="s">
        <v>869</v>
      </c>
      <c r="O164" t="s">
        <v>870</v>
      </c>
    </row>
    <row r="165" spans="1:19" x14ac:dyDescent="0.15">
      <c r="A165" t="s">
        <v>837</v>
      </c>
      <c r="B165" s="61">
        <v>46692</v>
      </c>
      <c r="E165" t="s">
        <v>355</v>
      </c>
      <c r="F165" t="s">
        <v>364</v>
      </c>
      <c r="H165" t="s">
        <v>353</v>
      </c>
      <c r="I165">
        <v>1000162</v>
      </c>
      <c r="J165" t="s">
        <v>821</v>
      </c>
      <c r="K165" t="s">
        <v>838</v>
      </c>
      <c r="L165" t="s">
        <v>390</v>
      </c>
      <c r="N165" t="s">
        <v>839</v>
      </c>
      <c r="O165" t="s">
        <v>840</v>
      </c>
      <c r="P165" t="s">
        <v>871</v>
      </c>
    </row>
    <row r="166" spans="1:19" x14ac:dyDescent="0.15">
      <c r="A166" t="s">
        <v>837</v>
      </c>
      <c r="B166" s="61">
        <v>46935</v>
      </c>
      <c r="E166" t="s">
        <v>355</v>
      </c>
      <c r="F166" t="s">
        <v>364</v>
      </c>
      <c r="H166" t="s">
        <v>353</v>
      </c>
      <c r="I166">
        <v>1001012</v>
      </c>
      <c r="J166" t="s">
        <v>862</v>
      </c>
      <c r="K166" t="s">
        <v>863</v>
      </c>
      <c r="L166" t="s">
        <v>864</v>
      </c>
      <c r="N166" t="s">
        <v>872</v>
      </c>
      <c r="O166" t="s">
        <v>866</v>
      </c>
    </row>
    <row r="167" spans="1:19" x14ac:dyDescent="0.15">
      <c r="A167" t="s">
        <v>837</v>
      </c>
      <c r="B167" s="61">
        <v>46966</v>
      </c>
      <c r="E167" t="s">
        <v>355</v>
      </c>
      <c r="F167" t="s">
        <v>364</v>
      </c>
      <c r="H167" t="s">
        <v>353</v>
      </c>
      <c r="I167">
        <v>1000315</v>
      </c>
      <c r="J167" t="s">
        <v>873</v>
      </c>
      <c r="K167" t="s">
        <v>874</v>
      </c>
      <c r="L167" t="s">
        <v>875</v>
      </c>
      <c r="N167" t="s">
        <v>876</v>
      </c>
      <c r="O167" t="s">
        <v>877</v>
      </c>
    </row>
    <row r="168" spans="1:19" ht="216" x14ac:dyDescent="0.15">
      <c r="A168" t="s">
        <v>837</v>
      </c>
      <c r="B168" s="61">
        <v>47150</v>
      </c>
      <c r="E168" t="s">
        <v>355</v>
      </c>
      <c r="F168" t="s">
        <v>385</v>
      </c>
      <c r="H168" t="s">
        <v>365</v>
      </c>
      <c r="I168">
        <v>1001022</v>
      </c>
      <c r="J168" t="s">
        <v>878</v>
      </c>
      <c r="K168" t="s">
        <v>879</v>
      </c>
      <c r="L168" t="s">
        <v>880</v>
      </c>
      <c r="N168" t="s">
        <v>881</v>
      </c>
      <c r="O168" t="s">
        <v>882</v>
      </c>
      <c r="R168" t="s">
        <v>395</v>
      </c>
      <c r="S168" s="34" t="s">
        <v>883</v>
      </c>
    </row>
    <row r="169" spans="1:19" x14ac:dyDescent="0.15">
      <c r="A169" t="s">
        <v>837</v>
      </c>
      <c r="B169" s="61">
        <v>47178</v>
      </c>
      <c r="E169" t="s">
        <v>355</v>
      </c>
      <c r="F169" t="s">
        <v>364</v>
      </c>
      <c r="H169" t="s">
        <v>365</v>
      </c>
      <c r="I169">
        <v>1001021</v>
      </c>
      <c r="J169" t="s">
        <v>884</v>
      </c>
      <c r="K169" t="s">
        <v>885</v>
      </c>
      <c r="L169" t="s">
        <v>378</v>
      </c>
      <c r="N169" t="s">
        <v>886</v>
      </c>
      <c r="O169" t="s">
        <v>887</v>
      </c>
    </row>
    <row r="170" spans="1:19" ht="409.5" x14ac:dyDescent="0.15">
      <c r="A170" t="s">
        <v>837</v>
      </c>
      <c r="B170" s="61">
        <v>47178</v>
      </c>
      <c r="E170" t="s">
        <v>355</v>
      </c>
      <c r="F170" t="s">
        <v>385</v>
      </c>
      <c r="H170" t="s">
        <v>353</v>
      </c>
      <c r="I170">
        <v>1001022</v>
      </c>
      <c r="J170" t="s">
        <v>878</v>
      </c>
      <c r="K170" t="s">
        <v>879</v>
      </c>
      <c r="L170" t="s">
        <v>880</v>
      </c>
      <c r="N170" t="s">
        <v>888</v>
      </c>
      <c r="O170" t="s">
        <v>882</v>
      </c>
      <c r="R170" t="s">
        <v>386</v>
      </c>
      <c r="S170" s="34" t="s">
        <v>889</v>
      </c>
    </row>
    <row r="171" spans="1:19" ht="409.5" x14ac:dyDescent="0.15">
      <c r="A171" t="s">
        <v>5612</v>
      </c>
      <c r="B171" s="61">
        <v>47270</v>
      </c>
      <c r="E171" t="s">
        <v>355</v>
      </c>
      <c r="F171" t="s">
        <v>385</v>
      </c>
      <c r="H171" t="s">
        <v>365</v>
      </c>
      <c r="I171">
        <v>1001025</v>
      </c>
      <c r="J171" t="s">
        <v>890</v>
      </c>
      <c r="K171" t="s">
        <v>891</v>
      </c>
      <c r="L171" t="s">
        <v>892</v>
      </c>
      <c r="N171" t="s">
        <v>893</v>
      </c>
      <c r="O171" t="s">
        <v>894</v>
      </c>
      <c r="R171" t="s">
        <v>395</v>
      </c>
      <c r="S171" s="34" t="s">
        <v>895</v>
      </c>
    </row>
    <row r="172" spans="1:19" ht="243" x14ac:dyDescent="0.15">
      <c r="A172" t="s">
        <v>837</v>
      </c>
      <c r="B172" s="61">
        <v>47300</v>
      </c>
      <c r="E172" t="s">
        <v>355</v>
      </c>
      <c r="F172" t="s">
        <v>385</v>
      </c>
      <c r="H172" t="s">
        <v>365</v>
      </c>
      <c r="I172">
        <v>1100243</v>
      </c>
      <c r="J172" t="s">
        <v>896</v>
      </c>
      <c r="K172" t="s">
        <v>897</v>
      </c>
      <c r="L172" t="s">
        <v>378</v>
      </c>
      <c r="N172" t="s">
        <v>898</v>
      </c>
      <c r="O172" t="s">
        <v>899</v>
      </c>
      <c r="S172" s="34" t="s">
        <v>900</v>
      </c>
    </row>
    <row r="173" spans="1:19" ht="409.5" x14ac:dyDescent="0.15">
      <c r="A173" t="s">
        <v>837</v>
      </c>
      <c r="B173" s="61">
        <v>47423</v>
      </c>
      <c r="E173" t="s">
        <v>355</v>
      </c>
      <c r="F173" t="s">
        <v>385</v>
      </c>
      <c r="H173" t="s">
        <v>353</v>
      </c>
      <c r="I173">
        <v>1001026</v>
      </c>
      <c r="J173" t="s">
        <v>901</v>
      </c>
      <c r="K173" t="s">
        <v>902</v>
      </c>
      <c r="L173" t="s">
        <v>466</v>
      </c>
      <c r="N173" t="s">
        <v>903</v>
      </c>
      <c r="O173" t="s">
        <v>904</v>
      </c>
      <c r="S173" s="34" t="s">
        <v>905</v>
      </c>
    </row>
    <row r="174" spans="1:19" ht="405" x14ac:dyDescent="0.15">
      <c r="A174" t="s">
        <v>837</v>
      </c>
      <c r="B174" s="61">
        <v>47453</v>
      </c>
      <c r="E174" t="s">
        <v>355</v>
      </c>
      <c r="F174" t="s">
        <v>385</v>
      </c>
      <c r="H174" t="s">
        <v>353</v>
      </c>
      <c r="I174">
        <v>1000847</v>
      </c>
      <c r="J174" t="s">
        <v>906</v>
      </c>
      <c r="K174" t="s">
        <v>907</v>
      </c>
      <c r="L174" t="s">
        <v>908</v>
      </c>
      <c r="N174" t="s">
        <v>5101</v>
      </c>
      <c r="O174" t="s">
        <v>909</v>
      </c>
      <c r="R174" s="34" t="s">
        <v>768</v>
      </c>
      <c r="S174" s="34" t="s">
        <v>910</v>
      </c>
    </row>
    <row r="175" spans="1:19" ht="409.5" x14ac:dyDescent="0.15">
      <c r="A175" t="s">
        <v>837</v>
      </c>
      <c r="B175" s="61">
        <v>47574</v>
      </c>
      <c r="E175" t="s">
        <v>355</v>
      </c>
      <c r="F175" t="s">
        <v>385</v>
      </c>
      <c r="H175" t="s">
        <v>353</v>
      </c>
      <c r="I175">
        <v>1000847</v>
      </c>
      <c r="J175" t="s">
        <v>906</v>
      </c>
      <c r="K175" t="s">
        <v>907</v>
      </c>
      <c r="L175" t="s">
        <v>908</v>
      </c>
      <c r="N175" t="s">
        <v>911</v>
      </c>
      <c r="O175" t="s">
        <v>909</v>
      </c>
      <c r="R175" s="34" t="s">
        <v>912</v>
      </c>
      <c r="S175" s="34" t="s">
        <v>913</v>
      </c>
    </row>
    <row r="176" spans="1:19" ht="409.5" x14ac:dyDescent="0.15">
      <c r="A176" t="s">
        <v>837</v>
      </c>
      <c r="B176" s="61">
        <v>47604</v>
      </c>
      <c r="E176" t="s">
        <v>355</v>
      </c>
      <c r="F176" t="s">
        <v>385</v>
      </c>
      <c r="H176" t="s">
        <v>353</v>
      </c>
      <c r="I176">
        <v>1102513</v>
      </c>
      <c r="J176" t="s">
        <v>849</v>
      </c>
      <c r="K176" t="s">
        <v>850</v>
      </c>
      <c r="L176" t="s">
        <v>718</v>
      </c>
      <c r="N176" t="s">
        <v>851</v>
      </c>
      <c r="O176" t="s">
        <v>852</v>
      </c>
      <c r="R176" t="s">
        <v>386</v>
      </c>
      <c r="S176" s="34" t="s">
        <v>853</v>
      </c>
    </row>
    <row r="177" spans="1:19" ht="391.5" x14ac:dyDescent="0.15">
      <c r="A177" t="s">
        <v>837</v>
      </c>
      <c r="B177" s="61">
        <v>47635</v>
      </c>
      <c r="E177" t="s">
        <v>355</v>
      </c>
      <c r="F177" t="s">
        <v>385</v>
      </c>
      <c r="H177" t="s">
        <v>365</v>
      </c>
      <c r="I177">
        <v>1102513</v>
      </c>
      <c r="J177" t="s">
        <v>849</v>
      </c>
      <c r="K177" t="s">
        <v>850</v>
      </c>
      <c r="L177" t="s">
        <v>718</v>
      </c>
      <c r="N177" t="s">
        <v>855</v>
      </c>
      <c r="O177" t="s">
        <v>852</v>
      </c>
      <c r="R177" t="s">
        <v>395</v>
      </c>
      <c r="S177" s="34" t="s">
        <v>856</v>
      </c>
    </row>
    <row r="178" spans="1:19" x14ac:dyDescent="0.15">
      <c r="A178" t="s">
        <v>837</v>
      </c>
      <c r="B178" s="61">
        <v>48030</v>
      </c>
      <c r="E178" t="s">
        <v>355</v>
      </c>
      <c r="F178" t="s">
        <v>364</v>
      </c>
      <c r="H178" t="s">
        <v>365</v>
      </c>
      <c r="I178">
        <v>1001012</v>
      </c>
      <c r="J178" t="s">
        <v>862</v>
      </c>
      <c r="K178" t="s">
        <v>863</v>
      </c>
      <c r="L178" t="s">
        <v>864</v>
      </c>
      <c r="N178" t="s">
        <v>865</v>
      </c>
      <c r="O178" t="s">
        <v>866</v>
      </c>
    </row>
    <row r="179" spans="1:19" x14ac:dyDescent="0.15">
      <c r="A179" t="s">
        <v>837</v>
      </c>
      <c r="B179" s="61">
        <v>48092</v>
      </c>
      <c r="E179" t="s">
        <v>355</v>
      </c>
      <c r="F179" t="s">
        <v>364</v>
      </c>
      <c r="H179" t="s">
        <v>365</v>
      </c>
      <c r="I179">
        <v>1100025</v>
      </c>
      <c r="J179" t="s">
        <v>867</v>
      </c>
      <c r="L179" t="s">
        <v>868</v>
      </c>
      <c r="N179" t="s">
        <v>869</v>
      </c>
      <c r="O179" t="s">
        <v>870</v>
      </c>
    </row>
    <row r="180" spans="1:19" ht="229.5" x14ac:dyDescent="0.15">
      <c r="A180" t="s">
        <v>914</v>
      </c>
      <c r="B180" s="61">
        <v>46296</v>
      </c>
      <c r="E180" t="s">
        <v>355</v>
      </c>
      <c r="F180" t="s">
        <v>356</v>
      </c>
      <c r="H180" t="s">
        <v>353</v>
      </c>
      <c r="I180">
        <v>700689</v>
      </c>
      <c r="J180" t="s">
        <v>925</v>
      </c>
      <c r="K180" t="s">
        <v>926</v>
      </c>
      <c r="L180" t="s">
        <v>927</v>
      </c>
      <c r="N180" t="s">
        <v>928</v>
      </c>
      <c r="O180" t="s">
        <v>929</v>
      </c>
      <c r="R180" t="s">
        <v>362</v>
      </c>
      <c r="S180" s="34" t="s">
        <v>930</v>
      </c>
    </row>
    <row r="181" spans="1:19" ht="409.5" x14ac:dyDescent="0.15">
      <c r="A181" t="s">
        <v>914</v>
      </c>
      <c r="B181" s="61">
        <v>46357</v>
      </c>
      <c r="E181" t="s">
        <v>355</v>
      </c>
      <c r="F181" t="s">
        <v>385</v>
      </c>
      <c r="H181" t="s">
        <v>365</v>
      </c>
      <c r="I181">
        <v>700414</v>
      </c>
      <c r="J181" t="s">
        <v>931</v>
      </c>
      <c r="K181" t="s">
        <v>932</v>
      </c>
      <c r="L181" t="s">
        <v>373</v>
      </c>
      <c r="N181" t="s">
        <v>933</v>
      </c>
      <c r="O181" t="s">
        <v>934</v>
      </c>
      <c r="R181" t="s">
        <v>395</v>
      </c>
      <c r="S181" s="34" t="s">
        <v>935</v>
      </c>
    </row>
    <row r="182" spans="1:19" x14ac:dyDescent="0.15">
      <c r="A182" t="s">
        <v>914</v>
      </c>
      <c r="B182" s="61">
        <v>46569</v>
      </c>
      <c r="E182" t="s">
        <v>355</v>
      </c>
      <c r="F182" t="s">
        <v>364</v>
      </c>
      <c r="H182" t="s">
        <v>365</v>
      </c>
      <c r="I182">
        <v>700199</v>
      </c>
      <c r="J182" t="s">
        <v>917</v>
      </c>
      <c r="L182" t="s">
        <v>918</v>
      </c>
      <c r="N182" t="s">
        <v>919</v>
      </c>
      <c r="O182" t="s">
        <v>920</v>
      </c>
    </row>
    <row r="183" spans="1:19" x14ac:dyDescent="0.15">
      <c r="A183" t="s">
        <v>914</v>
      </c>
      <c r="B183" s="61">
        <v>46692</v>
      </c>
      <c r="E183" t="s">
        <v>355</v>
      </c>
      <c r="F183" t="s">
        <v>364</v>
      </c>
      <c r="H183" t="s">
        <v>353</v>
      </c>
      <c r="I183">
        <v>700007</v>
      </c>
      <c r="J183" t="s">
        <v>821</v>
      </c>
      <c r="K183" t="s">
        <v>936</v>
      </c>
      <c r="L183" t="s">
        <v>373</v>
      </c>
      <c r="N183" t="s">
        <v>937</v>
      </c>
      <c r="O183" t="s">
        <v>938</v>
      </c>
    </row>
    <row r="184" spans="1:19" x14ac:dyDescent="0.15">
      <c r="A184" t="s">
        <v>914</v>
      </c>
      <c r="B184" s="61">
        <v>46722</v>
      </c>
      <c r="E184" t="s">
        <v>355</v>
      </c>
      <c r="F184" t="s">
        <v>364</v>
      </c>
      <c r="H184" t="s">
        <v>365</v>
      </c>
      <c r="I184">
        <v>700330</v>
      </c>
      <c r="J184" t="s">
        <v>939</v>
      </c>
      <c r="K184" t="s">
        <v>940</v>
      </c>
      <c r="L184" t="s">
        <v>941</v>
      </c>
      <c r="N184" t="s">
        <v>942</v>
      </c>
      <c r="O184" t="s">
        <v>943</v>
      </c>
    </row>
    <row r="185" spans="1:19" x14ac:dyDescent="0.15">
      <c r="A185" t="s">
        <v>914</v>
      </c>
      <c r="B185" s="61">
        <v>46753</v>
      </c>
      <c r="E185" t="s">
        <v>355</v>
      </c>
      <c r="F185" t="s">
        <v>364</v>
      </c>
      <c r="H185" t="s">
        <v>353</v>
      </c>
      <c r="I185">
        <v>700345</v>
      </c>
      <c r="J185" t="s">
        <v>921</v>
      </c>
      <c r="K185" t="s">
        <v>915</v>
      </c>
      <c r="L185" t="s">
        <v>373</v>
      </c>
      <c r="N185" t="s">
        <v>944</v>
      </c>
      <c r="O185" t="s">
        <v>922</v>
      </c>
    </row>
    <row r="186" spans="1:19" x14ac:dyDescent="0.15">
      <c r="A186" t="s">
        <v>914</v>
      </c>
      <c r="B186" s="61">
        <v>46935</v>
      </c>
      <c r="E186" t="s">
        <v>355</v>
      </c>
      <c r="F186" t="s">
        <v>364</v>
      </c>
      <c r="H186" t="s">
        <v>365</v>
      </c>
      <c r="I186">
        <v>700112</v>
      </c>
      <c r="J186" t="s">
        <v>945</v>
      </c>
      <c r="K186" t="s">
        <v>946</v>
      </c>
      <c r="L186" t="s">
        <v>373</v>
      </c>
      <c r="N186" t="s">
        <v>947</v>
      </c>
      <c r="O186" t="s">
        <v>948</v>
      </c>
    </row>
    <row r="187" spans="1:19" x14ac:dyDescent="0.15">
      <c r="A187" t="s">
        <v>914</v>
      </c>
      <c r="B187" s="61">
        <v>47088</v>
      </c>
      <c r="E187" t="s">
        <v>355</v>
      </c>
      <c r="F187" t="s">
        <v>385</v>
      </c>
      <c r="H187" t="s">
        <v>353</v>
      </c>
      <c r="I187">
        <v>700576</v>
      </c>
      <c r="J187" t="s">
        <v>743</v>
      </c>
      <c r="K187" t="s">
        <v>949</v>
      </c>
      <c r="L187" t="s">
        <v>950</v>
      </c>
      <c r="N187" t="s">
        <v>951</v>
      </c>
      <c r="O187" t="s">
        <v>952</v>
      </c>
    </row>
    <row r="188" spans="1:19" x14ac:dyDescent="0.15">
      <c r="A188" t="s">
        <v>914</v>
      </c>
      <c r="B188" s="61">
        <v>47119</v>
      </c>
      <c r="E188" t="s">
        <v>355</v>
      </c>
      <c r="F188" t="s">
        <v>364</v>
      </c>
      <c r="H188" t="s">
        <v>365</v>
      </c>
      <c r="I188">
        <v>700680</v>
      </c>
      <c r="J188" t="s">
        <v>953</v>
      </c>
      <c r="K188" t="s">
        <v>954</v>
      </c>
      <c r="L188" t="s">
        <v>955</v>
      </c>
      <c r="N188" t="s">
        <v>956</v>
      </c>
      <c r="O188" t="s">
        <v>957</v>
      </c>
    </row>
    <row r="189" spans="1:19" ht="229.5" x14ac:dyDescent="0.15">
      <c r="A189" t="s">
        <v>914</v>
      </c>
      <c r="B189" s="61">
        <v>47757</v>
      </c>
      <c r="E189" t="s">
        <v>355</v>
      </c>
      <c r="F189" t="s">
        <v>385</v>
      </c>
      <c r="H189" t="s">
        <v>353</v>
      </c>
      <c r="I189">
        <v>700689</v>
      </c>
      <c r="J189" t="s">
        <v>925</v>
      </c>
      <c r="K189" t="s">
        <v>926</v>
      </c>
      <c r="L189" t="s">
        <v>927</v>
      </c>
      <c r="N189" t="s">
        <v>928</v>
      </c>
      <c r="O189" t="s">
        <v>929</v>
      </c>
      <c r="R189" t="s">
        <v>386</v>
      </c>
      <c r="S189" s="34" t="s">
        <v>930</v>
      </c>
    </row>
    <row r="190" spans="1:19" x14ac:dyDescent="0.15">
      <c r="A190" t="s">
        <v>914</v>
      </c>
      <c r="B190" s="61">
        <v>48214</v>
      </c>
      <c r="E190" t="s">
        <v>355</v>
      </c>
      <c r="F190" t="s">
        <v>364</v>
      </c>
      <c r="H190" t="s">
        <v>353</v>
      </c>
      <c r="I190">
        <v>700345</v>
      </c>
      <c r="J190" t="s">
        <v>921</v>
      </c>
      <c r="K190" t="s">
        <v>915</v>
      </c>
      <c r="L190" t="s">
        <v>373</v>
      </c>
      <c r="N190" t="s">
        <v>944</v>
      </c>
      <c r="O190" t="s">
        <v>922</v>
      </c>
    </row>
    <row r="191" spans="1:19" ht="409.5" x14ac:dyDescent="0.15">
      <c r="A191" t="s">
        <v>5394</v>
      </c>
      <c r="B191" s="61">
        <v>45778</v>
      </c>
      <c r="E191" t="s">
        <v>355</v>
      </c>
      <c r="F191" t="s">
        <v>356</v>
      </c>
      <c r="H191" t="s">
        <v>353</v>
      </c>
      <c r="I191">
        <v>1402836</v>
      </c>
      <c r="J191" t="s">
        <v>963</v>
      </c>
      <c r="K191" t="s">
        <v>964</v>
      </c>
      <c r="L191" t="s">
        <v>965</v>
      </c>
      <c r="N191" t="s">
        <v>966</v>
      </c>
      <c r="O191" t="s">
        <v>967</v>
      </c>
      <c r="R191" t="s">
        <v>362</v>
      </c>
      <c r="S191" s="34" t="s">
        <v>968</v>
      </c>
    </row>
    <row r="192" spans="1:19" ht="243" x14ac:dyDescent="0.15">
      <c r="A192" t="s">
        <v>5524</v>
      </c>
      <c r="B192" s="61">
        <v>46174</v>
      </c>
      <c r="E192" t="s">
        <v>355</v>
      </c>
      <c r="F192" t="s">
        <v>356</v>
      </c>
      <c r="H192" t="s">
        <v>365</v>
      </c>
      <c r="I192">
        <v>1402878</v>
      </c>
      <c r="J192" t="s">
        <v>979</v>
      </c>
      <c r="L192" t="s">
        <v>980</v>
      </c>
      <c r="N192" t="s">
        <v>981</v>
      </c>
      <c r="O192" t="s">
        <v>982</v>
      </c>
      <c r="R192" t="s">
        <v>362</v>
      </c>
      <c r="S192" s="34" t="s">
        <v>983</v>
      </c>
    </row>
    <row r="193" spans="1:19" ht="409.5" x14ac:dyDescent="0.15">
      <c r="A193" t="s">
        <v>5524</v>
      </c>
      <c r="B193" s="61">
        <v>46174</v>
      </c>
      <c r="E193" t="s">
        <v>355</v>
      </c>
      <c r="F193" t="s">
        <v>356</v>
      </c>
      <c r="H193" t="s">
        <v>353</v>
      </c>
      <c r="I193">
        <v>1402866</v>
      </c>
      <c r="J193" t="s">
        <v>974</v>
      </c>
      <c r="K193" t="s">
        <v>975</v>
      </c>
      <c r="L193" t="s">
        <v>466</v>
      </c>
      <c r="N193" t="s">
        <v>976</v>
      </c>
      <c r="O193" t="s">
        <v>977</v>
      </c>
      <c r="R193" t="s">
        <v>362</v>
      </c>
      <c r="S193" s="34" t="s">
        <v>978</v>
      </c>
    </row>
    <row r="194" spans="1:19" ht="409.5" x14ac:dyDescent="0.15">
      <c r="A194" t="s">
        <v>5394</v>
      </c>
      <c r="B194" s="61">
        <v>46204</v>
      </c>
      <c r="E194" t="s">
        <v>355</v>
      </c>
      <c r="F194" t="s">
        <v>356</v>
      </c>
      <c r="H194" t="s">
        <v>365</v>
      </c>
      <c r="I194">
        <v>1402879</v>
      </c>
      <c r="J194" t="s">
        <v>984</v>
      </c>
      <c r="K194" t="s">
        <v>985</v>
      </c>
      <c r="L194" t="s">
        <v>986</v>
      </c>
      <c r="N194" t="s">
        <v>987</v>
      </c>
      <c r="O194" t="s">
        <v>988</v>
      </c>
      <c r="R194" t="s">
        <v>362</v>
      </c>
      <c r="S194" s="34" t="s">
        <v>989</v>
      </c>
    </row>
    <row r="195" spans="1:19" ht="229.5" x14ac:dyDescent="0.15">
      <c r="A195" t="s">
        <v>5394</v>
      </c>
      <c r="B195" s="61">
        <v>46266</v>
      </c>
      <c r="E195" t="s">
        <v>355</v>
      </c>
      <c r="F195" t="s">
        <v>356</v>
      </c>
      <c r="H195" t="s">
        <v>353</v>
      </c>
      <c r="I195">
        <v>1402879</v>
      </c>
      <c r="J195" t="s">
        <v>984</v>
      </c>
      <c r="K195" t="s">
        <v>985</v>
      </c>
      <c r="L195" t="s">
        <v>986</v>
      </c>
      <c r="N195" t="s">
        <v>990</v>
      </c>
      <c r="O195" t="s">
        <v>988</v>
      </c>
      <c r="R195" t="s">
        <v>362</v>
      </c>
      <c r="S195" s="34" t="s">
        <v>991</v>
      </c>
    </row>
    <row r="196" spans="1:19" ht="243" x14ac:dyDescent="0.15">
      <c r="A196" t="s">
        <v>5524</v>
      </c>
      <c r="B196" s="61">
        <v>46327</v>
      </c>
      <c r="E196" t="s">
        <v>355</v>
      </c>
      <c r="F196" t="s">
        <v>356</v>
      </c>
      <c r="H196" t="s">
        <v>365</v>
      </c>
      <c r="I196">
        <v>1401859</v>
      </c>
      <c r="J196" t="s">
        <v>979</v>
      </c>
      <c r="L196" t="s">
        <v>373</v>
      </c>
      <c r="N196" t="s">
        <v>992</v>
      </c>
      <c r="O196" t="s">
        <v>993</v>
      </c>
      <c r="R196" t="s">
        <v>362</v>
      </c>
      <c r="S196" s="34" t="s">
        <v>994</v>
      </c>
    </row>
    <row r="197" spans="1:19" x14ac:dyDescent="0.15">
      <c r="A197" t="s">
        <v>5524</v>
      </c>
      <c r="B197" s="61">
        <v>46447</v>
      </c>
      <c r="E197" t="s">
        <v>355</v>
      </c>
      <c r="F197" t="s">
        <v>364</v>
      </c>
      <c r="H197" t="s">
        <v>365</v>
      </c>
      <c r="I197">
        <v>1402761</v>
      </c>
      <c r="J197" t="s">
        <v>995</v>
      </c>
      <c r="K197" t="s">
        <v>996</v>
      </c>
      <c r="L197" t="s">
        <v>997</v>
      </c>
      <c r="N197" t="s">
        <v>998</v>
      </c>
      <c r="O197" t="s">
        <v>999</v>
      </c>
    </row>
    <row r="198" spans="1:19" x14ac:dyDescent="0.15">
      <c r="A198" t="s">
        <v>5524</v>
      </c>
      <c r="B198" s="61">
        <v>46569</v>
      </c>
      <c r="E198" t="s">
        <v>355</v>
      </c>
      <c r="F198" t="s">
        <v>364</v>
      </c>
      <c r="H198" t="s">
        <v>365</v>
      </c>
      <c r="I198">
        <v>1400011</v>
      </c>
      <c r="J198" t="s">
        <v>1000</v>
      </c>
      <c r="L198" t="s">
        <v>1001</v>
      </c>
      <c r="N198" t="s">
        <v>1002</v>
      </c>
      <c r="O198" t="s">
        <v>1003</v>
      </c>
    </row>
    <row r="199" spans="1:19" x14ac:dyDescent="0.15">
      <c r="A199" t="s">
        <v>5394</v>
      </c>
      <c r="B199" s="61">
        <v>46813</v>
      </c>
      <c r="E199" t="s">
        <v>355</v>
      </c>
      <c r="F199" t="s">
        <v>364</v>
      </c>
      <c r="H199" t="s">
        <v>353</v>
      </c>
      <c r="I199">
        <v>1402795</v>
      </c>
      <c r="J199" t="s">
        <v>1004</v>
      </c>
      <c r="K199" t="s">
        <v>1005</v>
      </c>
      <c r="L199" t="s">
        <v>1006</v>
      </c>
      <c r="N199" t="s">
        <v>1007</v>
      </c>
      <c r="O199" t="s">
        <v>1008</v>
      </c>
    </row>
    <row r="200" spans="1:19" ht="229.5" x14ac:dyDescent="0.15">
      <c r="A200" t="s">
        <v>5394</v>
      </c>
      <c r="B200" s="61">
        <v>46905</v>
      </c>
      <c r="E200" t="s">
        <v>355</v>
      </c>
      <c r="F200" t="s">
        <v>385</v>
      </c>
      <c r="H200" t="s">
        <v>353</v>
      </c>
      <c r="I200">
        <v>1401437</v>
      </c>
      <c r="J200" t="s">
        <v>958</v>
      </c>
      <c r="K200" t="s">
        <v>959</v>
      </c>
      <c r="L200" t="s">
        <v>373</v>
      </c>
      <c r="N200" t="s">
        <v>960</v>
      </c>
      <c r="O200" t="s">
        <v>961</v>
      </c>
      <c r="R200" t="s">
        <v>386</v>
      </c>
      <c r="S200" s="34" t="s">
        <v>962</v>
      </c>
    </row>
    <row r="201" spans="1:19" x14ac:dyDescent="0.15">
      <c r="A201" t="s">
        <v>5524</v>
      </c>
      <c r="B201" s="61">
        <v>46966</v>
      </c>
      <c r="E201" t="s">
        <v>355</v>
      </c>
      <c r="F201" t="s">
        <v>364</v>
      </c>
      <c r="H201" t="s">
        <v>365</v>
      </c>
      <c r="I201">
        <v>1400845</v>
      </c>
      <c r="J201" t="s">
        <v>971</v>
      </c>
      <c r="K201" t="s">
        <v>972</v>
      </c>
      <c r="L201" t="s">
        <v>373</v>
      </c>
      <c r="N201" t="s">
        <v>1009</v>
      </c>
      <c r="O201" t="s">
        <v>973</v>
      </c>
    </row>
    <row r="202" spans="1:19" x14ac:dyDescent="0.15">
      <c r="A202" t="s">
        <v>5394</v>
      </c>
      <c r="B202" s="61">
        <v>47239</v>
      </c>
      <c r="E202" t="s">
        <v>355</v>
      </c>
      <c r="F202" t="s">
        <v>364</v>
      </c>
      <c r="H202" t="s">
        <v>353</v>
      </c>
      <c r="I202">
        <v>1402836</v>
      </c>
      <c r="J202" t="s">
        <v>963</v>
      </c>
      <c r="K202" t="s">
        <v>964</v>
      </c>
      <c r="L202" t="s">
        <v>965</v>
      </c>
      <c r="N202" t="s">
        <v>966</v>
      </c>
      <c r="O202" t="s">
        <v>967</v>
      </c>
    </row>
    <row r="203" spans="1:19" ht="409.5" x14ac:dyDescent="0.15">
      <c r="A203" t="s">
        <v>5524</v>
      </c>
      <c r="B203" s="61">
        <v>47331</v>
      </c>
      <c r="E203" t="s">
        <v>355</v>
      </c>
      <c r="F203" t="s">
        <v>385</v>
      </c>
      <c r="H203" t="s">
        <v>365</v>
      </c>
      <c r="I203">
        <v>1400845</v>
      </c>
      <c r="J203" t="s">
        <v>971</v>
      </c>
      <c r="K203" t="s">
        <v>972</v>
      </c>
      <c r="L203" t="s">
        <v>373</v>
      </c>
      <c r="N203" t="s">
        <v>1010</v>
      </c>
      <c r="O203" t="s">
        <v>973</v>
      </c>
      <c r="R203" t="s">
        <v>395</v>
      </c>
      <c r="S203" s="34" t="s">
        <v>1011</v>
      </c>
    </row>
    <row r="204" spans="1:19" ht="351" x14ac:dyDescent="0.15">
      <c r="A204" t="s">
        <v>5524</v>
      </c>
      <c r="B204" s="61">
        <v>47423</v>
      </c>
      <c r="E204" t="s">
        <v>355</v>
      </c>
      <c r="F204" t="s">
        <v>385</v>
      </c>
      <c r="H204" t="s">
        <v>353</v>
      </c>
      <c r="I204">
        <v>1300366</v>
      </c>
      <c r="J204" t="s">
        <v>1012</v>
      </c>
      <c r="K204" t="s">
        <v>1013</v>
      </c>
      <c r="L204" t="s">
        <v>1014</v>
      </c>
      <c r="N204" t="s">
        <v>1015</v>
      </c>
      <c r="O204" t="s">
        <v>1016</v>
      </c>
      <c r="R204" s="34" t="s">
        <v>768</v>
      </c>
      <c r="S204" s="34" t="s">
        <v>1017</v>
      </c>
    </row>
    <row r="205" spans="1:19" ht="243" x14ac:dyDescent="0.15">
      <c r="A205" t="s">
        <v>5524</v>
      </c>
      <c r="B205" s="61">
        <v>47635</v>
      </c>
      <c r="E205" t="s">
        <v>355</v>
      </c>
      <c r="F205" t="s">
        <v>385</v>
      </c>
      <c r="H205" t="s">
        <v>365</v>
      </c>
      <c r="I205">
        <v>1402878</v>
      </c>
      <c r="J205" t="s">
        <v>979</v>
      </c>
      <c r="L205" t="s">
        <v>980</v>
      </c>
      <c r="N205" t="s">
        <v>981</v>
      </c>
      <c r="O205" t="s">
        <v>982</v>
      </c>
      <c r="R205" t="s">
        <v>395</v>
      </c>
      <c r="S205" s="34" t="s">
        <v>983</v>
      </c>
    </row>
    <row r="206" spans="1:19" ht="409.5" x14ac:dyDescent="0.15">
      <c r="A206" t="s">
        <v>5524</v>
      </c>
      <c r="B206" s="61">
        <v>47635</v>
      </c>
      <c r="E206" t="s">
        <v>355</v>
      </c>
      <c r="F206" t="s">
        <v>385</v>
      </c>
      <c r="H206" t="s">
        <v>353</v>
      </c>
      <c r="I206">
        <v>1402866</v>
      </c>
      <c r="J206" t="s">
        <v>974</v>
      </c>
      <c r="K206" t="s">
        <v>975</v>
      </c>
      <c r="L206" t="s">
        <v>466</v>
      </c>
      <c r="N206" t="s">
        <v>976</v>
      </c>
      <c r="O206" t="s">
        <v>977</v>
      </c>
      <c r="R206" s="34" t="s">
        <v>768</v>
      </c>
      <c r="S206" s="34" t="s">
        <v>978</v>
      </c>
    </row>
    <row r="207" spans="1:19" ht="409.5" x14ac:dyDescent="0.15">
      <c r="A207" t="s">
        <v>5394</v>
      </c>
      <c r="B207" s="61">
        <v>47665</v>
      </c>
      <c r="E207" t="s">
        <v>355</v>
      </c>
      <c r="F207" t="s">
        <v>385</v>
      </c>
      <c r="H207" t="s">
        <v>365</v>
      </c>
      <c r="I207">
        <v>1402879</v>
      </c>
      <c r="J207" t="s">
        <v>984</v>
      </c>
      <c r="K207" t="s">
        <v>985</v>
      </c>
      <c r="L207" t="s">
        <v>986</v>
      </c>
      <c r="N207" t="s">
        <v>987</v>
      </c>
      <c r="O207" t="s">
        <v>988</v>
      </c>
      <c r="R207" t="s">
        <v>395</v>
      </c>
      <c r="S207" s="34" t="s">
        <v>989</v>
      </c>
    </row>
    <row r="208" spans="1:19" ht="229.5" x14ac:dyDescent="0.15">
      <c r="A208" t="s">
        <v>5394</v>
      </c>
      <c r="B208" s="61">
        <v>47727</v>
      </c>
      <c r="E208" t="s">
        <v>355</v>
      </c>
      <c r="F208" t="s">
        <v>385</v>
      </c>
      <c r="H208" t="s">
        <v>353</v>
      </c>
      <c r="I208">
        <v>1402879</v>
      </c>
      <c r="J208" t="s">
        <v>984</v>
      </c>
      <c r="K208" t="s">
        <v>985</v>
      </c>
      <c r="L208" t="s">
        <v>986</v>
      </c>
      <c r="N208" t="s">
        <v>990</v>
      </c>
      <c r="O208" t="s">
        <v>988</v>
      </c>
      <c r="R208" t="s">
        <v>386</v>
      </c>
      <c r="S208" s="34" t="s">
        <v>991</v>
      </c>
    </row>
    <row r="209" spans="1:19" ht="243" x14ac:dyDescent="0.15">
      <c r="A209" t="s">
        <v>5524</v>
      </c>
      <c r="B209" s="61">
        <v>47788</v>
      </c>
      <c r="E209" t="s">
        <v>355</v>
      </c>
      <c r="F209" t="s">
        <v>385</v>
      </c>
      <c r="H209" t="s">
        <v>365</v>
      </c>
      <c r="I209">
        <v>1401859</v>
      </c>
      <c r="J209" t="s">
        <v>979</v>
      </c>
      <c r="L209" t="s">
        <v>373</v>
      </c>
      <c r="N209" t="s">
        <v>992</v>
      </c>
      <c r="O209" t="s">
        <v>993</v>
      </c>
      <c r="R209" t="s">
        <v>395</v>
      </c>
      <c r="S209" s="34" t="s">
        <v>994</v>
      </c>
    </row>
    <row r="210" spans="1:19" ht="351" x14ac:dyDescent="0.15">
      <c r="A210" t="s">
        <v>3889</v>
      </c>
      <c r="B210" s="61">
        <v>46235</v>
      </c>
      <c r="E210" t="s">
        <v>355</v>
      </c>
      <c r="F210" t="s">
        <v>385</v>
      </c>
      <c r="H210" t="s">
        <v>353</v>
      </c>
      <c r="I210">
        <v>1102308</v>
      </c>
      <c r="J210" t="s">
        <v>1024</v>
      </c>
      <c r="K210" t="s">
        <v>1025</v>
      </c>
      <c r="L210" t="s">
        <v>833</v>
      </c>
      <c r="N210" t="s">
        <v>1032</v>
      </c>
      <c r="O210" t="s">
        <v>1026</v>
      </c>
      <c r="R210" t="s">
        <v>386</v>
      </c>
      <c r="S210" s="34" t="s">
        <v>1033</v>
      </c>
    </row>
    <row r="211" spans="1:19" ht="405" x14ac:dyDescent="0.15">
      <c r="A211" t="s">
        <v>2404</v>
      </c>
      <c r="B211" s="61">
        <v>46327</v>
      </c>
      <c r="E211" t="s">
        <v>355</v>
      </c>
      <c r="F211" t="s">
        <v>356</v>
      </c>
      <c r="H211" t="s">
        <v>365</v>
      </c>
      <c r="I211">
        <v>1100383</v>
      </c>
      <c r="J211" t="s">
        <v>1020</v>
      </c>
      <c r="K211" t="s">
        <v>1021</v>
      </c>
      <c r="L211" t="s">
        <v>390</v>
      </c>
      <c r="N211" t="s">
        <v>1034</v>
      </c>
      <c r="O211" t="s">
        <v>1022</v>
      </c>
      <c r="R211" t="s">
        <v>362</v>
      </c>
      <c r="S211" s="34" t="s">
        <v>1035</v>
      </c>
    </row>
    <row r="212" spans="1:19" ht="409.5" x14ac:dyDescent="0.15">
      <c r="A212" t="s">
        <v>5393</v>
      </c>
      <c r="B212" s="61">
        <v>46388</v>
      </c>
      <c r="E212" t="s">
        <v>355</v>
      </c>
      <c r="F212" t="s">
        <v>356</v>
      </c>
      <c r="H212" t="s">
        <v>365</v>
      </c>
      <c r="I212">
        <v>1200355</v>
      </c>
      <c r="J212" t="s">
        <v>1036</v>
      </c>
      <c r="K212" t="s">
        <v>1037</v>
      </c>
      <c r="L212" t="s">
        <v>390</v>
      </c>
      <c r="N212" t="s">
        <v>1038</v>
      </c>
      <c r="O212" t="s">
        <v>1039</v>
      </c>
      <c r="R212" t="s">
        <v>362</v>
      </c>
      <c r="S212" s="34" t="s">
        <v>5102</v>
      </c>
    </row>
    <row r="213" spans="1:19" ht="256.5" x14ac:dyDescent="0.15">
      <c r="A213" t="s">
        <v>2404</v>
      </c>
      <c r="B213" s="61">
        <v>47178</v>
      </c>
      <c r="E213" t="s">
        <v>355</v>
      </c>
      <c r="F213" t="s">
        <v>385</v>
      </c>
      <c r="H213" t="s">
        <v>353</v>
      </c>
      <c r="I213">
        <v>1101745</v>
      </c>
      <c r="J213" t="s">
        <v>1020</v>
      </c>
      <c r="K213" t="s">
        <v>1040</v>
      </c>
      <c r="L213" t="s">
        <v>390</v>
      </c>
      <c r="N213" t="s">
        <v>1041</v>
      </c>
      <c r="O213" t="s">
        <v>1042</v>
      </c>
      <c r="R213" t="s">
        <v>386</v>
      </c>
      <c r="S213" s="34" t="s">
        <v>1043</v>
      </c>
    </row>
    <row r="214" spans="1:19" ht="409.5" x14ac:dyDescent="0.15">
      <c r="A214" t="s">
        <v>3889</v>
      </c>
      <c r="B214" s="61">
        <v>47300</v>
      </c>
      <c r="E214" t="s">
        <v>355</v>
      </c>
      <c r="F214" t="s">
        <v>385</v>
      </c>
      <c r="H214" t="s">
        <v>353</v>
      </c>
      <c r="I214">
        <v>1102200</v>
      </c>
      <c r="J214" t="s">
        <v>1044</v>
      </c>
      <c r="K214" t="s">
        <v>1045</v>
      </c>
      <c r="L214" t="s">
        <v>1046</v>
      </c>
      <c r="N214" t="s">
        <v>1047</v>
      </c>
      <c r="O214" t="s">
        <v>1048</v>
      </c>
      <c r="R214" s="34" t="s">
        <v>768</v>
      </c>
      <c r="S214" s="34" t="s">
        <v>1049</v>
      </c>
    </row>
    <row r="215" spans="1:19" ht="409.5" x14ac:dyDescent="0.15">
      <c r="A215" t="s">
        <v>3889</v>
      </c>
      <c r="B215" s="61">
        <v>47331</v>
      </c>
      <c r="E215" t="s">
        <v>355</v>
      </c>
      <c r="F215" t="s">
        <v>364</v>
      </c>
      <c r="H215" t="s">
        <v>353</v>
      </c>
      <c r="I215">
        <v>1102200</v>
      </c>
      <c r="J215" t="s">
        <v>1044</v>
      </c>
      <c r="K215" t="s">
        <v>1045</v>
      </c>
      <c r="L215" t="s">
        <v>1046</v>
      </c>
      <c r="N215" t="s">
        <v>1050</v>
      </c>
      <c r="O215" t="s">
        <v>1048</v>
      </c>
      <c r="R215" t="s">
        <v>723</v>
      </c>
      <c r="S215" s="34" t="s">
        <v>1051</v>
      </c>
    </row>
    <row r="216" spans="1:19" ht="409.5" x14ac:dyDescent="0.15">
      <c r="A216" t="s">
        <v>3889</v>
      </c>
      <c r="B216" s="61">
        <v>47331</v>
      </c>
      <c r="E216" t="s">
        <v>355</v>
      </c>
      <c r="F216" t="s">
        <v>385</v>
      </c>
      <c r="H216" t="s">
        <v>353</v>
      </c>
      <c r="I216">
        <v>1101227</v>
      </c>
      <c r="J216" t="s">
        <v>1052</v>
      </c>
      <c r="K216" t="s">
        <v>1053</v>
      </c>
      <c r="L216" t="s">
        <v>390</v>
      </c>
      <c r="N216" t="s">
        <v>1054</v>
      </c>
      <c r="O216" t="s">
        <v>1055</v>
      </c>
      <c r="R216" s="34" t="s">
        <v>768</v>
      </c>
      <c r="S216" s="34" t="s">
        <v>1056</v>
      </c>
    </row>
    <row r="217" spans="1:19" ht="364.5" x14ac:dyDescent="0.15">
      <c r="A217" t="s">
        <v>2404</v>
      </c>
      <c r="B217" s="61">
        <v>47362</v>
      </c>
      <c r="E217" t="s">
        <v>355</v>
      </c>
      <c r="F217" t="s">
        <v>385</v>
      </c>
      <c r="H217" t="s">
        <v>353</v>
      </c>
      <c r="I217">
        <v>1102571</v>
      </c>
      <c r="J217" t="s">
        <v>1057</v>
      </c>
      <c r="K217" t="s">
        <v>1058</v>
      </c>
      <c r="L217" t="s">
        <v>390</v>
      </c>
      <c r="N217" t="s">
        <v>1059</v>
      </c>
      <c r="O217" t="s">
        <v>1060</v>
      </c>
      <c r="R217" s="34" t="s">
        <v>768</v>
      </c>
      <c r="S217" s="34" t="s">
        <v>1061</v>
      </c>
    </row>
    <row r="218" spans="1:19" ht="409.5" x14ac:dyDescent="0.15">
      <c r="A218" t="s">
        <v>2404</v>
      </c>
      <c r="B218" s="61">
        <v>47635</v>
      </c>
      <c r="E218" t="s">
        <v>355</v>
      </c>
      <c r="F218" t="s">
        <v>385</v>
      </c>
      <c r="H218" t="s">
        <v>353</v>
      </c>
      <c r="I218">
        <v>1100305</v>
      </c>
      <c r="J218" t="s">
        <v>1027</v>
      </c>
      <c r="K218" t="s">
        <v>1028</v>
      </c>
      <c r="L218" t="s">
        <v>390</v>
      </c>
      <c r="N218" t="s">
        <v>1029</v>
      </c>
      <c r="O218" t="s">
        <v>1030</v>
      </c>
      <c r="R218" s="34" t="s">
        <v>768</v>
      </c>
      <c r="S218" s="34" t="s">
        <v>1031</v>
      </c>
    </row>
    <row r="219" spans="1:19" ht="405" x14ac:dyDescent="0.15">
      <c r="A219" t="s">
        <v>2404</v>
      </c>
      <c r="B219" s="61">
        <v>47788</v>
      </c>
      <c r="E219" t="s">
        <v>355</v>
      </c>
      <c r="F219" t="s">
        <v>385</v>
      </c>
      <c r="H219" t="s">
        <v>365</v>
      </c>
      <c r="I219">
        <v>1100383</v>
      </c>
      <c r="J219" t="s">
        <v>1020</v>
      </c>
      <c r="K219" t="s">
        <v>1021</v>
      </c>
      <c r="L219" t="s">
        <v>390</v>
      </c>
      <c r="N219" t="s">
        <v>1034</v>
      </c>
      <c r="O219" t="s">
        <v>1022</v>
      </c>
      <c r="R219" t="s">
        <v>395</v>
      </c>
      <c r="S219" s="34" t="s">
        <v>1035</v>
      </c>
    </row>
    <row r="220" spans="1:19" ht="409.5" x14ac:dyDescent="0.15">
      <c r="A220" t="s">
        <v>5393</v>
      </c>
      <c r="B220" s="61">
        <v>47849</v>
      </c>
      <c r="E220" t="s">
        <v>355</v>
      </c>
      <c r="F220" t="s">
        <v>385</v>
      </c>
      <c r="H220" t="s">
        <v>365</v>
      </c>
      <c r="I220">
        <v>1200355</v>
      </c>
      <c r="J220" t="s">
        <v>1036</v>
      </c>
      <c r="K220" t="s">
        <v>1037</v>
      </c>
      <c r="L220" t="s">
        <v>390</v>
      </c>
      <c r="N220" t="s">
        <v>1038</v>
      </c>
      <c r="O220" t="s">
        <v>1039</v>
      </c>
      <c r="R220" t="s">
        <v>395</v>
      </c>
      <c r="S220" s="34" t="s">
        <v>5102</v>
      </c>
    </row>
    <row r="221" spans="1:19" x14ac:dyDescent="0.15">
      <c r="A221" t="s">
        <v>1062</v>
      </c>
      <c r="B221" s="61">
        <v>46753</v>
      </c>
      <c r="E221" t="s">
        <v>355</v>
      </c>
      <c r="F221" t="s">
        <v>364</v>
      </c>
      <c r="H221" t="s">
        <v>365</v>
      </c>
      <c r="I221">
        <v>3400140</v>
      </c>
      <c r="J221" t="s">
        <v>1067</v>
      </c>
      <c r="L221" t="s">
        <v>390</v>
      </c>
      <c r="N221" t="s">
        <v>1068</v>
      </c>
      <c r="O221" t="s">
        <v>1069</v>
      </c>
    </row>
    <row r="222" spans="1:19" x14ac:dyDescent="0.15">
      <c r="A222" t="s">
        <v>1062</v>
      </c>
      <c r="B222" s="61">
        <v>46844</v>
      </c>
      <c r="E222" t="s">
        <v>355</v>
      </c>
      <c r="F222" t="s">
        <v>364</v>
      </c>
      <c r="H222" t="s">
        <v>353</v>
      </c>
      <c r="I222">
        <v>3400466</v>
      </c>
      <c r="J222" t="s">
        <v>1070</v>
      </c>
      <c r="K222" t="s">
        <v>1071</v>
      </c>
      <c r="L222" t="s">
        <v>390</v>
      </c>
      <c r="N222" t="s">
        <v>1072</v>
      </c>
      <c r="O222" t="s">
        <v>1073</v>
      </c>
    </row>
    <row r="223" spans="1:19" ht="409.5" x14ac:dyDescent="0.15">
      <c r="A223" t="s">
        <v>1062</v>
      </c>
      <c r="B223" s="61">
        <v>46874</v>
      </c>
      <c r="E223" t="s">
        <v>355</v>
      </c>
      <c r="F223" t="s">
        <v>385</v>
      </c>
      <c r="H223" t="s">
        <v>353</v>
      </c>
      <c r="I223">
        <v>3400228</v>
      </c>
      <c r="J223" t="s">
        <v>1074</v>
      </c>
      <c r="K223" t="s">
        <v>1075</v>
      </c>
      <c r="L223" t="s">
        <v>1076</v>
      </c>
      <c r="N223" t="s">
        <v>1077</v>
      </c>
      <c r="O223" t="s">
        <v>1078</v>
      </c>
      <c r="R223" t="s">
        <v>386</v>
      </c>
      <c r="S223" s="34" t="s">
        <v>1079</v>
      </c>
    </row>
    <row r="224" spans="1:19" x14ac:dyDescent="0.15">
      <c r="A224" t="s">
        <v>1062</v>
      </c>
      <c r="B224" s="61">
        <v>46935</v>
      </c>
      <c r="E224" t="s">
        <v>355</v>
      </c>
      <c r="F224" t="s">
        <v>364</v>
      </c>
      <c r="H224" t="s">
        <v>353</v>
      </c>
      <c r="I224">
        <v>3400653</v>
      </c>
      <c r="J224" t="s">
        <v>1080</v>
      </c>
      <c r="L224" t="s">
        <v>390</v>
      </c>
      <c r="N224" t="s">
        <v>1081</v>
      </c>
      <c r="O224" t="s">
        <v>1082</v>
      </c>
    </row>
    <row r="225" spans="1:19" x14ac:dyDescent="0.15">
      <c r="A225" t="s">
        <v>1062</v>
      </c>
      <c r="B225" s="61">
        <v>46935</v>
      </c>
      <c r="E225" t="s">
        <v>355</v>
      </c>
      <c r="F225" t="s">
        <v>364</v>
      </c>
      <c r="H225" t="s">
        <v>365</v>
      </c>
      <c r="I225">
        <v>3400914</v>
      </c>
      <c r="J225" t="s">
        <v>1083</v>
      </c>
      <c r="L225" t="s">
        <v>1084</v>
      </c>
      <c r="N225" t="s">
        <v>1085</v>
      </c>
      <c r="O225" t="s">
        <v>1086</v>
      </c>
    </row>
    <row r="226" spans="1:19" x14ac:dyDescent="0.15">
      <c r="A226" t="s">
        <v>1062</v>
      </c>
      <c r="B226" s="61">
        <v>46966</v>
      </c>
      <c r="E226" t="s">
        <v>355</v>
      </c>
      <c r="F226" t="s">
        <v>364</v>
      </c>
      <c r="H226" t="s">
        <v>365</v>
      </c>
      <c r="I226">
        <v>3400914</v>
      </c>
      <c r="J226" t="s">
        <v>1083</v>
      </c>
      <c r="L226" t="s">
        <v>1084</v>
      </c>
      <c r="N226" t="s">
        <v>1088</v>
      </c>
      <c r="O226" t="s">
        <v>1086</v>
      </c>
    </row>
    <row r="227" spans="1:19" ht="409.5" x14ac:dyDescent="0.15">
      <c r="A227" t="s">
        <v>1062</v>
      </c>
      <c r="B227" s="61">
        <v>47178</v>
      </c>
      <c r="E227" t="s">
        <v>355</v>
      </c>
      <c r="F227" t="s">
        <v>385</v>
      </c>
      <c r="H227" t="s">
        <v>353</v>
      </c>
      <c r="I227">
        <v>3400096</v>
      </c>
      <c r="J227" t="s">
        <v>1089</v>
      </c>
      <c r="K227" t="s">
        <v>1090</v>
      </c>
      <c r="L227" t="s">
        <v>1091</v>
      </c>
      <c r="N227" t="s">
        <v>1092</v>
      </c>
      <c r="O227" t="s">
        <v>1093</v>
      </c>
      <c r="R227" t="s">
        <v>386</v>
      </c>
      <c r="S227" s="34" t="s">
        <v>1094</v>
      </c>
    </row>
    <row r="228" spans="1:19" ht="243" x14ac:dyDescent="0.15">
      <c r="A228" t="s">
        <v>1095</v>
      </c>
      <c r="B228" s="61">
        <v>46327</v>
      </c>
      <c r="E228" t="s">
        <v>355</v>
      </c>
      <c r="F228" t="s">
        <v>385</v>
      </c>
      <c r="H228" t="s">
        <v>365</v>
      </c>
      <c r="I228">
        <v>3700333</v>
      </c>
      <c r="J228" t="s">
        <v>1101</v>
      </c>
      <c r="K228" t="s">
        <v>1102</v>
      </c>
      <c r="L228" t="s">
        <v>390</v>
      </c>
      <c r="N228" t="s">
        <v>1103</v>
      </c>
      <c r="O228" t="s">
        <v>1104</v>
      </c>
      <c r="R228" s="34" t="s">
        <v>1105</v>
      </c>
      <c r="S228" s="34" t="s">
        <v>1106</v>
      </c>
    </row>
    <row r="229" spans="1:19" ht="229.5" x14ac:dyDescent="0.15">
      <c r="A229" t="s">
        <v>1095</v>
      </c>
      <c r="B229" s="61">
        <v>46478</v>
      </c>
      <c r="E229" t="s">
        <v>355</v>
      </c>
      <c r="F229" t="s">
        <v>356</v>
      </c>
      <c r="H229" t="s">
        <v>353</v>
      </c>
      <c r="I229">
        <v>3700039</v>
      </c>
      <c r="J229" t="s">
        <v>1107</v>
      </c>
      <c r="L229" t="s">
        <v>390</v>
      </c>
      <c r="N229" t="s">
        <v>1108</v>
      </c>
      <c r="O229" t="s">
        <v>1109</v>
      </c>
      <c r="R229" t="s">
        <v>1110</v>
      </c>
      <c r="S229" s="34" t="s">
        <v>1111</v>
      </c>
    </row>
    <row r="230" spans="1:19" x14ac:dyDescent="0.15">
      <c r="A230" t="s">
        <v>1095</v>
      </c>
      <c r="B230" s="61">
        <v>46600</v>
      </c>
      <c r="E230" t="s">
        <v>355</v>
      </c>
      <c r="F230" t="s">
        <v>364</v>
      </c>
      <c r="H230" t="s">
        <v>365</v>
      </c>
      <c r="I230">
        <v>3700344</v>
      </c>
      <c r="J230" t="s">
        <v>1112</v>
      </c>
      <c r="K230" t="s">
        <v>1113</v>
      </c>
      <c r="L230" t="s">
        <v>1114</v>
      </c>
      <c r="N230" t="s">
        <v>1115</v>
      </c>
      <c r="O230" t="s">
        <v>1116</v>
      </c>
    </row>
    <row r="231" spans="1:19" ht="409.5" x14ac:dyDescent="0.15">
      <c r="A231" t="s">
        <v>1095</v>
      </c>
      <c r="B231" s="61">
        <v>46631</v>
      </c>
      <c r="E231" t="s">
        <v>355</v>
      </c>
      <c r="F231" t="s">
        <v>720</v>
      </c>
      <c r="H231" t="s">
        <v>353</v>
      </c>
      <c r="I231">
        <v>3700313</v>
      </c>
      <c r="J231" t="s">
        <v>1117</v>
      </c>
      <c r="L231" t="s">
        <v>1118</v>
      </c>
      <c r="N231" t="s">
        <v>1119</v>
      </c>
      <c r="O231" t="s">
        <v>1120</v>
      </c>
      <c r="R231" t="s">
        <v>1121</v>
      </c>
      <c r="S231" s="34" t="s">
        <v>1122</v>
      </c>
    </row>
    <row r="232" spans="1:19" ht="409.5" x14ac:dyDescent="0.15">
      <c r="A232" t="s">
        <v>1095</v>
      </c>
      <c r="B232" s="61">
        <v>46966</v>
      </c>
      <c r="E232" t="s">
        <v>355</v>
      </c>
      <c r="F232" t="s">
        <v>385</v>
      </c>
      <c r="H232" t="s">
        <v>353</v>
      </c>
      <c r="I232">
        <v>3700150</v>
      </c>
      <c r="J232" t="s">
        <v>873</v>
      </c>
      <c r="K232" t="s">
        <v>1123</v>
      </c>
      <c r="L232" t="s">
        <v>1114</v>
      </c>
      <c r="N232" t="s">
        <v>1124</v>
      </c>
      <c r="O232" t="s">
        <v>1125</v>
      </c>
      <c r="R232" t="s">
        <v>1126</v>
      </c>
      <c r="S232" s="34" t="s">
        <v>1127</v>
      </c>
    </row>
    <row r="233" spans="1:19" x14ac:dyDescent="0.15">
      <c r="A233" t="s">
        <v>1095</v>
      </c>
      <c r="B233" s="61">
        <v>47058</v>
      </c>
      <c r="E233" t="s">
        <v>355</v>
      </c>
      <c r="F233" t="s">
        <v>364</v>
      </c>
      <c r="H233" t="s">
        <v>353</v>
      </c>
      <c r="I233">
        <v>3700372</v>
      </c>
      <c r="J233" t="s">
        <v>1128</v>
      </c>
      <c r="K233" t="s">
        <v>1129</v>
      </c>
      <c r="L233" t="s">
        <v>1130</v>
      </c>
      <c r="N233" t="s">
        <v>1131</v>
      </c>
      <c r="O233" t="s">
        <v>1132</v>
      </c>
    </row>
    <row r="234" spans="1:19" x14ac:dyDescent="0.15">
      <c r="A234" t="s">
        <v>1095</v>
      </c>
      <c r="B234" s="61">
        <v>47058</v>
      </c>
      <c r="E234" t="s">
        <v>355</v>
      </c>
      <c r="F234" t="s">
        <v>364</v>
      </c>
      <c r="H234" t="s">
        <v>353</v>
      </c>
      <c r="I234">
        <v>3700381</v>
      </c>
      <c r="J234" t="s">
        <v>1128</v>
      </c>
      <c r="K234" t="s">
        <v>1129</v>
      </c>
      <c r="L234" t="s">
        <v>1133</v>
      </c>
      <c r="N234" t="s">
        <v>1134</v>
      </c>
      <c r="O234" t="s">
        <v>1135</v>
      </c>
    </row>
    <row r="235" spans="1:19" ht="409.5" x14ac:dyDescent="0.15">
      <c r="A235" t="s">
        <v>1095</v>
      </c>
      <c r="B235" s="61">
        <v>47088</v>
      </c>
      <c r="E235" t="s">
        <v>355</v>
      </c>
      <c r="F235" t="s">
        <v>385</v>
      </c>
      <c r="H235" t="s">
        <v>353</v>
      </c>
      <c r="I235">
        <v>3700364</v>
      </c>
      <c r="J235" t="s">
        <v>1136</v>
      </c>
      <c r="K235" t="s">
        <v>1137</v>
      </c>
      <c r="L235" t="s">
        <v>1138</v>
      </c>
      <c r="N235" t="s">
        <v>1139</v>
      </c>
      <c r="O235" t="s">
        <v>1140</v>
      </c>
      <c r="R235" s="34" t="s">
        <v>1141</v>
      </c>
      <c r="S235" s="34" t="s">
        <v>1142</v>
      </c>
    </row>
    <row r="236" spans="1:19" ht="409.5" x14ac:dyDescent="0.15">
      <c r="A236" t="s">
        <v>1095</v>
      </c>
      <c r="B236" s="61">
        <v>47484</v>
      </c>
      <c r="E236" t="s">
        <v>355</v>
      </c>
      <c r="F236" t="s">
        <v>385</v>
      </c>
      <c r="H236" t="s">
        <v>353</v>
      </c>
      <c r="I236">
        <v>3700375</v>
      </c>
      <c r="J236" t="s">
        <v>1096</v>
      </c>
      <c r="L236" t="s">
        <v>1097</v>
      </c>
      <c r="N236" t="s">
        <v>1098</v>
      </c>
      <c r="O236" t="s">
        <v>1099</v>
      </c>
      <c r="R236" t="s">
        <v>1143</v>
      </c>
      <c r="S236" s="34" t="s">
        <v>1100</v>
      </c>
    </row>
    <row r="237" spans="1:19" ht="229.5" x14ac:dyDescent="0.15">
      <c r="A237" t="s">
        <v>1095</v>
      </c>
      <c r="B237" s="61">
        <v>47939</v>
      </c>
      <c r="E237" t="s">
        <v>355</v>
      </c>
      <c r="F237" t="s">
        <v>385</v>
      </c>
      <c r="H237" t="s">
        <v>353</v>
      </c>
      <c r="I237">
        <v>3700039</v>
      </c>
      <c r="J237" t="s">
        <v>1107</v>
      </c>
      <c r="L237" t="s">
        <v>390</v>
      </c>
      <c r="N237" t="s">
        <v>1108</v>
      </c>
      <c r="O237" t="s">
        <v>1109</v>
      </c>
      <c r="R237" t="s">
        <v>1144</v>
      </c>
      <c r="S237" s="34" t="s">
        <v>1111</v>
      </c>
    </row>
    <row r="238" spans="1:19" ht="391.5" x14ac:dyDescent="0.15">
      <c r="A238" t="s">
        <v>6546</v>
      </c>
      <c r="B238" s="61">
        <v>46327</v>
      </c>
      <c r="E238" t="s">
        <v>355</v>
      </c>
      <c r="F238" t="s">
        <v>356</v>
      </c>
      <c r="H238" t="s">
        <v>365</v>
      </c>
      <c r="I238">
        <v>100231</v>
      </c>
      <c r="J238" t="s">
        <v>1149</v>
      </c>
      <c r="L238" t="s">
        <v>1150</v>
      </c>
      <c r="N238" t="s">
        <v>1151</v>
      </c>
      <c r="O238" t="s">
        <v>1152</v>
      </c>
      <c r="R238" t="s">
        <v>362</v>
      </c>
      <c r="S238" s="34" t="s">
        <v>1153</v>
      </c>
    </row>
    <row r="239" spans="1:19" ht="409.5" x14ac:dyDescent="0.15">
      <c r="A239" t="s">
        <v>1145</v>
      </c>
      <c r="B239" s="61">
        <v>46357</v>
      </c>
      <c r="E239" t="s">
        <v>355</v>
      </c>
      <c r="F239" t="s">
        <v>356</v>
      </c>
      <c r="H239" t="s">
        <v>353</v>
      </c>
      <c r="I239">
        <v>100843</v>
      </c>
      <c r="J239" t="s">
        <v>516</v>
      </c>
      <c r="K239" t="s">
        <v>1154</v>
      </c>
      <c r="L239" t="s">
        <v>1155</v>
      </c>
      <c r="N239" t="s">
        <v>1156</v>
      </c>
      <c r="O239" t="s">
        <v>1157</v>
      </c>
      <c r="R239" t="s">
        <v>362</v>
      </c>
      <c r="S239" s="34" t="s">
        <v>1158</v>
      </c>
    </row>
    <row r="240" spans="1:19" ht="409.5" x14ac:dyDescent="0.15">
      <c r="A240" t="s">
        <v>1145</v>
      </c>
      <c r="B240" s="61">
        <v>46357</v>
      </c>
      <c r="E240" t="s">
        <v>355</v>
      </c>
      <c r="F240" t="s">
        <v>356</v>
      </c>
      <c r="H240" t="s">
        <v>365</v>
      </c>
      <c r="I240">
        <v>100115</v>
      </c>
      <c r="J240" t="s">
        <v>1159</v>
      </c>
      <c r="K240" t="s">
        <v>1160</v>
      </c>
      <c r="L240" t="s">
        <v>1161</v>
      </c>
      <c r="N240" t="s">
        <v>1162</v>
      </c>
      <c r="O240" t="s">
        <v>1163</v>
      </c>
      <c r="R240" t="s">
        <v>362</v>
      </c>
      <c r="S240" s="34" t="s">
        <v>1164</v>
      </c>
    </row>
    <row r="241" spans="1:19" x14ac:dyDescent="0.15">
      <c r="A241" t="s">
        <v>1145</v>
      </c>
      <c r="B241" s="61">
        <v>46419</v>
      </c>
      <c r="E241" t="s">
        <v>355</v>
      </c>
      <c r="F241" t="s">
        <v>364</v>
      </c>
      <c r="H241" t="s">
        <v>353</v>
      </c>
      <c r="I241">
        <v>100872</v>
      </c>
      <c r="J241" t="s">
        <v>1165</v>
      </c>
      <c r="K241" t="s">
        <v>1166</v>
      </c>
      <c r="L241" t="s">
        <v>1167</v>
      </c>
      <c r="N241" t="s">
        <v>1168</v>
      </c>
      <c r="O241" t="s">
        <v>1169</v>
      </c>
    </row>
    <row r="242" spans="1:19" x14ac:dyDescent="0.15">
      <c r="A242" t="s">
        <v>1145</v>
      </c>
      <c r="B242" s="61">
        <v>46447</v>
      </c>
      <c r="E242" t="s">
        <v>355</v>
      </c>
      <c r="F242" t="s">
        <v>364</v>
      </c>
      <c r="H242" t="s">
        <v>353</v>
      </c>
      <c r="I242">
        <v>100885</v>
      </c>
      <c r="J242" t="s">
        <v>1170</v>
      </c>
      <c r="L242" t="s">
        <v>1171</v>
      </c>
      <c r="N242" t="s">
        <v>1172</v>
      </c>
      <c r="O242" t="s">
        <v>1173</v>
      </c>
    </row>
    <row r="243" spans="1:19" x14ac:dyDescent="0.15">
      <c r="A243" t="s">
        <v>1145</v>
      </c>
      <c r="B243" s="61">
        <v>46478</v>
      </c>
      <c r="E243" t="s">
        <v>355</v>
      </c>
      <c r="F243" t="s">
        <v>364</v>
      </c>
      <c r="H243" t="s">
        <v>365</v>
      </c>
      <c r="I243">
        <v>100810</v>
      </c>
      <c r="J243" t="s">
        <v>1174</v>
      </c>
      <c r="K243" t="s">
        <v>1175</v>
      </c>
      <c r="L243" t="s">
        <v>1176</v>
      </c>
      <c r="N243" t="s">
        <v>1177</v>
      </c>
      <c r="O243" t="s">
        <v>1178</v>
      </c>
    </row>
    <row r="244" spans="1:19" x14ac:dyDescent="0.15">
      <c r="A244" t="s">
        <v>1145</v>
      </c>
      <c r="B244" s="61">
        <v>46539</v>
      </c>
      <c r="E244" t="s">
        <v>355</v>
      </c>
      <c r="F244" t="s">
        <v>364</v>
      </c>
      <c r="H244" t="s">
        <v>353</v>
      </c>
      <c r="I244">
        <v>100671</v>
      </c>
      <c r="J244" t="s">
        <v>1179</v>
      </c>
      <c r="L244" t="s">
        <v>1180</v>
      </c>
      <c r="N244" t="s">
        <v>1181</v>
      </c>
      <c r="O244" t="s">
        <v>1182</v>
      </c>
    </row>
    <row r="245" spans="1:19" x14ac:dyDescent="0.15">
      <c r="A245" t="s">
        <v>1145</v>
      </c>
      <c r="B245" s="61">
        <v>46569</v>
      </c>
      <c r="E245" t="s">
        <v>355</v>
      </c>
      <c r="F245" t="s">
        <v>364</v>
      </c>
      <c r="H245" t="s">
        <v>365</v>
      </c>
      <c r="I245">
        <v>100822</v>
      </c>
      <c r="J245" t="s">
        <v>1183</v>
      </c>
      <c r="K245" t="s">
        <v>1184</v>
      </c>
      <c r="L245" t="s">
        <v>1148</v>
      </c>
      <c r="N245" t="s">
        <v>1185</v>
      </c>
      <c r="O245" t="s">
        <v>1186</v>
      </c>
    </row>
    <row r="246" spans="1:19" ht="409.5" x14ac:dyDescent="0.15">
      <c r="A246" t="s">
        <v>1145</v>
      </c>
      <c r="B246" s="61">
        <v>46569</v>
      </c>
      <c r="E246" t="s">
        <v>355</v>
      </c>
      <c r="F246" t="s">
        <v>385</v>
      </c>
      <c r="H246" t="s">
        <v>365</v>
      </c>
      <c r="I246">
        <v>100115</v>
      </c>
      <c r="J246" t="s">
        <v>1159</v>
      </c>
      <c r="K246" t="s">
        <v>1160</v>
      </c>
      <c r="L246" t="s">
        <v>1161</v>
      </c>
      <c r="N246" t="s">
        <v>1187</v>
      </c>
      <c r="O246" t="s">
        <v>1163</v>
      </c>
      <c r="R246" t="s">
        <v>395</v>
      </c>
      <c r="S246" s="34" t="s">
        <v>1188</v>
      </c>
    </row>
    <row r="247" spans="1:19" x14ac:dyDescent="0.15">
      <c r="A247" t="s">
        <v>1145</v>
      </c>
      <c r="B247" s="61">
        <v>46600</v>
      </c>
      <c r="E247" t="s">
        <v>355</v>
      </c>
      <c r="F247" t="s">
        <v>364</v>
      </c>
      <c r="H247" t="s">
        <v>365</v>
      </c>
      <c r="I247">
        <v>100060</v>
      </c>
      <c r="J247" t="s">
        <v>1189</v>
      </c>
      <c r="K247" t="s">
        <v>1190</v>
      </c>
      <c r="L247" t="s">
        <v>1191</v>
      </c>
      <c r="N247" t="s">
        <v>1192</v>
      </c>
      <c r="O247" t="s">
        <v>1193</v>
      </c>
    </row>
    <row r="248" spans="1:19" ht="409.5" x14ac:dyDescent="0.15">
      <c r="A248" t="s">
        <v>1145</v>
      </c>
      <c r="B248" s="61">
        <v>46661</v>
      </c>
      <c r="E248" t="s">
        <v>355</v>
      </c>
      <c r="F248" t="s">
        <v>385</v>
      </c>
      <c r="H248" t="s">
        <v>353</v>
      </c>
      <c r="I248">
        <v>100826</v>
      </c>
      <c r="J248" t="s">
        <v>516</v>
      </c>
      <c r="K248" t="s">
        <v>1194</v>
      </c>
      <c r="L248" t="s">
        <v>1195</v>
      </c>
      <c r="N248" t="s">
        <v>1196</v>
      </c>
      <c r="O248" t="s">
        <v>1197</v>
      </c>
      <c r="R248" t="s">
        <v>386</v>
      </c>
      <c r="S248" s="34" t="s">
        <v>1198</v>
      </c>
    </row>
    <row r="249" spans="1:19" ht="243" x14ac:dyDescent="0.15">
      <c r="A249" t="s">
        <v>1145</v>
      </c>
      <c r="B249" s="61">
        <v>46753</v>
      </c>
      <c r="E249" t="s">
        <v>355</v>
      </c>
      <c r="F249" t="s">
        <v>385</v>
      </c>
      <c r="H249" t="s">
        <v>365</v>
      </c>
      <c r="I249">
        <v>100826</v>
      </c>
      <c r="J249" t="s">
        <v>516</v>
      </c>
      <c r="K249" t="s">
        <v>1194</v>
      </c>
      <c r="L249" t="s">
        <v>1195</v>
      </c>
      <c r="N249" t="s">
        <v>1199</v>
      </c>
      <c r="O249" t="s">
        <v>1197</v>
      </c>
      <c r="R249" t="s">
        <v>395</v>
      </c>
      <c r="S249" s="34" t="s">
        <v>1200</v>
      </c>
    </row>
    <row r="250" spans="1:19" x14ac:dyDescent="0.15">
      <c r="A250" t="s">
        <v>1145</v>
      </c>
      <c r="B250" s="61">
        <v>46784</v>
      </c>
      <c r="E250" t="s">
        <v>355</v>
      </c>
      <c r="F250" t="s">
        <v>364</v>
      </c>
      <c r="H250" t="s">
        <v>353</v>
      </c>
      <c r="I250">
        <v>100721</v>
      </c>
      <c r="J250" t="s">
        <v>1201</v>
      </c>
      <c r="L250" t="s">
        <v>833</v>
      </c>
      <c r="N250" t="s">
        <v>1202</v>
      </c>
      <c r="O250" t="s">
        <v>1203</v>
      </c>
    </row>
    <row r="251" spans="1:19" x14ac:dyDescent="0.15">
      <c r="A251" t="s">
        <v>1145</v>
      </c>
      <c r="B251" s="61">
        <v>46844</v>
      </c>
      <c r="E251" t="s">
        <v>355</v>
      </c>
      <c r="F251" t="s">
        <v>364</v>
      </c>
      <c r="H251" t="s">
        <v>353</v>
      </c>
      <c r="I251">
        <v>100024</v>
      </c>
      <c r="J251" t="s">
        <v>1204</v>
      </c>
      <c r="L251" t="s">
        <v>1205</v>
      </c>
      <c r="N251" t="s">
        <v>1206</v>
      </c>
      <c r="O251" t="s">
        <v>1207</v>
      </c>
    </row>
    <row r="252" spans="1:19" x14ac:dyDescent="0.15">
      <c r="A252" t="s">
        <v>1145</v>
      </c>
      <c r="B252" s="61">
        <v>46905</v>
      </c>
      <c r="E252" t="s">
        <v>355</v>
      </c>
      <c r="F252" t="s">
        <v>364</v>
      </c>
      <c r="H252" t="s">
        <v>353</v>
      </c>
      <c r="I252">
        <v>100331</v>
      </c>
      <c r="J252" t="s">
        <v>1208</v>
      </c>
      <c r="L252" t="s">
        <v>1209</v>
      </c>
      <c r="N252" t="s">
        <v>1210</v>
      </c>
      <c r="O252" t="s">
        <v>1211</v>
      </c>
    </row>
    <row r="253" spans="1:19" x14ac:dyDescent="0.15">
      <c r="A253" t="s">
        <v>1145</v>
      </c>
      <c r="B253" s="61">
        <v>46935</v>
      </c>
      <c r="E253" t="s">
        <v>355</v>
      </c>
      <c r="F253" t="s">
        <v>364</v>
      </c>
      <c r="H253" t="s">
        <v>353</v>
      </c>
      <c r="I253">
        <v>100002</v>
      </c>
      <c r="J253" t="s">
        <v>1212</v>
      </c>
      <c r="K253" t="s">
        <v>1213</v>
      </c>
      <c r="L253" t="s">
        <v>1214</v>
      </c>
      <c r="N253" t="s">
        <v>1215</v>
      </c>
      <c r="O253" t="s">
        <v>1216</v>
      </c>
    </row>
    <row r="254" spans="1:19" x14ac:dyDescent="0.15">
      <c r="A254" t="s">
        <v>1145</v>
      </c>
      <c r="B254" s="61">
        <v>47027</v>
      </c>
      <c r="E254" t="s">
        <v>355</v>
      </c>
      <c r="F254" t="s">
        <v>364</v>
      </c>
      <c r="H254" t="s">
        <v>353</v>
      </c>
      <c r="I254">
        <v>100315</v>
      </c>
      <c r="J254" t="s">
        <v>1217</v>
      </c>
      <c r="K254" t="s">
        <v>1218</v>
      </c>
      <c r="L254" t="s">
        <v>1219</v>
      </c>
      <c r="N254" t="s">
        <v>1220</v>
      </c>
      <c r="O254" t="s">
        <v>1221</v>
      </c>
    </row>
    <row r="255" spans="1:19" x14ac:dyDescent="0.15">
      <c r="A255" t="s">
        <v>1145</v>
      </c>
      <c r="B255" s="61">
        <v>47150</v>
      </c>
      <c r="E255" t="s">
        <v>355</v>
      </c>
      <c r="F255" t="s">
        <v>364</v>
      </c>
      <c r="H255" t="s">
        <v>353</v>
      </c>
      <c r="I255">
        <v>100864</v>
      </c>
      <c r="J255" t="s">
        <v>1212</v>
      </c>
      <c r="K255" t="s">
        <v>1213</v>
      </c>
      <c r="L255" t="s">
        <v>1222</v>
      </c>
      <c r="N255" t="s">
        <v>1223</v>
      </c>
      <c r="O255" t="s">
        <v>1224</v>
      </c>
    </row>
    <row r="256" spans="1:19" x14ac:dyDescent="0.15">
      <c r="A256" t="s">
        <v>6546</v>
      </c>
      <c r="B256" s="61">
        <v>47239</v>
      </c>
      <c r="E256" t="s">
        <v>355</v>
      </c>
      <c r="F256" t="s">
        <v>364</v>
      </c>
      <c r="H256" t="s">
        <v>353</v>
      </c>
      <c r="I256">
        <v>100596</v>
      </c>
      <c r="J256" t="s">
        <v>1225</v>
      </c>
      <c r="K256" t="s">
        <v>1147</v>
      </c>
      <c r="L256" t="s">
        <v>1191</v>
      </c>
      <c r="N256" t="s">
        <v>1226</v>
      </c>
      <c r="O256" t="s">
        <v>1227</v>
      </c>
    </row>
    <row r="257" spans="1:19" ht="391.5" x14ac:dyDescent="0.15">
      <c r="A257" t="s">
        <v>1145</v>
      </c>
      <c r="B257" s="61">
        <v>47453</v>
      </c>
      <c r="E257" t="s">
        <v>355</v>
      </c>
      <c r="F257" t="s">
        <v>385</v>
      </c>
      <c r="H257" t="s">
        <v>365</v>
      </c>
      <c r="I257">
        <v>100861</v>
      </c>
      <c r="J257" t="s">
        <v>1228</v>
      </c>
      <c r="K257" t="s">
        <v>1229</v>
      </c>
      <c r="L257" t="s">
        <v>1230</v>
      </c>
      <c r="N257" t="s">
        <v>1231</v>
      </c>
      <c r="O257" t="s">
        <v>1232</v>
      </c>
      <c r="R257" t="s">
        <v>395</v>
      </c>
      <c r="S257" s="34" t="s">
        <v>1233</v>
      </c>
    </row>
    <row r="258" spans="1:19" ht="391.5" x14ac:dyDescent="0.15">
      <c r="A258" t="s">
        <v>6546</v>
      </c>
      <c r="B258" s="61">
        <v>47788</v>
      </c>
      <c r="E258" t="s">
        <v>355</v>
      </c>
      <c r="F258" t="s">
        <v>385</v>
      </c>
      <c r="H258" t="s">
        <v>365</v>
      </c>
      <c r="I258">
        <v>100231</v>
      </c>
      <c r="J258" t="s">
        <v>1149</v>
      </c>
      <c r="L258" t="s">
        <v>1150</v>
      </c>
      <c r="N258" t="s">
        <v>1151</v>
      </c>
      <c r="O258" t="s">
        <v>1152</v>
      </c>
      <c r="R258" t="s">
        <v>395</v>
      </c>
      <c r="S258" s="34" t="s">
        <v>1153</v>
      </c>
    </row>
    <row r="259" spans="1:19" ht="409.5" x14ac:dyDescent="0.15">
      <c r="A259" t="s">
        <v>1145</v>
      </c>
      <c r="B259" s="61">
        <v>47818</v>
      </c>
      <c r="E259" t="s">
        <v>355</v>
      </c>
      <c r="F259" t="s">
        <v>385</v>
      </c>
      <c r="H259" t="s">
        <v>353</v>
      </c>
      <c r="I259">
        <v>100843</v>
      </c>
      <c r="J259" t="s">
        <v>516</v>
      </c>
      <c r="K259" t="s">
        <v>1154</v>
      </c>
      <c r="L259" t="s">
        <v>1155</v>
      </c>
      <c r="N259" t="s">
        <v>1156</v>
      </c>
      <c r="O259" t="s">
        <v>1157</v>
      </c>
      <c r="R259" t="s">
        <v>386</v>
      </c>
      <c r="S259" s="34" t="s">
        <v>1158</v>
      </c>
    </row>
    <row r="260" spans="1:19" ht="409.5" x14ac:dyDescent="0.15">
      <c r="A260" t="s">
        <v>1145</v>
      </c>
      <c r="B260" s="61">
        <v>47818</v>
      </c>
      <c r="E260" t="s">
        <v>355</v>
      </c>
      <c r="F260" t="s">
        <v>385</v>
      </c>
      <c r="H260" t="s">
        <v>365</v>
      </c>
      <c r="I260">
        <v>100115</v>
      </c>
      <c r="J260" t="s">
        <v>1159</v>
      </c>
      <c r="K260" t="s">
        <v>1160</v>
      </c>
      <c r="L260" t="s">
        <v>1161</v>
      </c>
      <c r="N260" t="s">
        <v>1162</v>
      </c>
      <c r="O260" t="s">
        <v>1163</v>
      </c>
      <c r="R260" t="s">
        <v>395</v>
      </c>
      <c r="S260" s="34" t="s">
        <v>1164</v>
      </c>
    </row>
    <row r="261" spans="1:19" x14ac:dyDescent="0.15">
      <c r="A261" t="s">
        <v>1145</v>
      </c>
      <c r="B261" s="61">
        <v>47880</v>
      </c>
      <c r="E261" t="s">
        <v>355</v>
      </c>
      <c r="F261" t="s">
        <v>364</v>
      </c>
      <c r="H261" t="s">
        <v>353</v>
      </c>
      <c r="I261">
        <v>100872</v>
      </c>
      <c r="J261" t="s">
        <v>1165</v>
      </c>
      <c r="K261" t="s">
        <v>1166</v>
      </c>
      <c r="L261" t="s">
        <v>1167</v>
      </c>
      <c r="N261" t="s">
        <v>1168</v>
      </c>
      <c r="O261" t="s">
        <v>1169</v>
      </c>
    </row>
    <row r="262" spans="1:19" x14ac:dyDescent="0.15">
      <c r="A262" t="s">
        <v>1145</v>
      </c>
      <c r="B262" s="61">
        <v>47908</v>
      </c>
      <c r="E262" t="s">
        <v>355</v>
      </c>
      <c r="F262" t="s">
        <v>364</v>
      </c>
      <c r="H262" t="s">
        <v>353</v>
      </c>
      <c r="I262">
        <v>100885</v>
      </c>
      <c r="J262" t="s">
        <v>1170</v>
      </c>
      <c r="L262" t="s">
        <v>1171</v>
      </c>
      <c r="N262" t="s">
        <v>1172</v>
      </c>
      <c r="O262" t="s">
        <v>1173</v>
      </c>
    </row>
    <row r="263" spans="1:19" x14ac:dyDescent="0.15">
      <c r="A263" t="s">
        <v>1145</v>
      </c>
      <c r="B263" s="61">
        <v>48061</v>
      </c>
      <c r="E263" t="s">
        <v>355</v>
      </c>
      <c r="F263" t="s">
        <v>364</v>
      </c>
      <c r="H263" t="s">
        <v>365</v>
      </c>
      <c r="I263">
        <v>100060</v>
      </c>
      <c r="J263" t="s">
        <v>1189</v>
      </c>
      <c r="K263" t="s">
        <v>1190</v>
      </c>
      <c r="L263" t="s">
        <v>1191</v>
      </c>
      <c r="N263" t="s">
        <v>1192</v>
      </c>
      <c r="O263" t="s">
        <v>1193</v>
      </c>
    </row>
    <row r="264" spans="1:19" ht="409.5" x14ac:dyDescent="0.15">
      <c r="A264" t="s">
        <v>1234</v>
      </c>
      <c r="B264" s="61">
        <v>46266</v>
      </c>
      <c r="E264" t="s">
        <v>355</v>
      </c>
      <c r="F264" t="s">
        <v>356</v>
      </c>
      <c r="H264" t="s">
        <v>353</v>
      </c>
      <c r="I264">
        <v>2400449</v>
      </c>
      <c r="J264" t="s">
        <v>1240</v>
      </c>
      <c r="K264" t="s">
        <v>1241</v>
      </c>
      <c r="L264" t="s">
        <v>1242</v>
      </c>
      <c r="N264" t="s">
        <v>1243</v>
      </c>
      <c r="O264" t="s">
        <v>1244</v>
      </c>
      <c r="R264" t="s">
        <v>362</v>
      </c>
      <c r="S264" s="34" t="s">
        <v>1245</v>
      </c>
    </row>
    <row r="265" spans="1:19" ht="405" x14ac:dyDescent="0.15">
      <c r="A265" t="s">
        <v>1234</v>
      </c>
      <c r="B265" s="61">
        <v>46327</v>
      </c>
      <c r="E265" t="s">
        <v>355</v>
      </c>
      <c r="F265" t="s">
        <v>385</v>
      </c>
      <c r="H265" t="s">
        <v>310</v>
      </c>
      <c r="I265">
        <v>2400067</v>
      </c>
      <c r="J265" t="s">
        <v>1246</v>
      </c>
      <c r="K265" t="s">
        <v>5183</v>
      </c>
      <c r="L265" t="s">
        <v>413</v>
      </c>
      <c r="N265" t="s">
        <v>1247</v>
      </c>
      <c r="O265" t="s">
        <v>1248</v>
      </c>
      <c r="P265" t="s">
        <v>5184</v>
      </c>
      <c r="Q265" t="s">
        <v>5185</v>
      </c>
      <c r="R265" s="34" t="s">
        <v>5186</v>
      </c>
      <c r="S265" s="34" t="s">
        <v>1249</v>
      </c>
    </row>
    <row r="266" spans="1:19" x14ac:dyDescent="0.15">
      <c r="A266" t="s">
        <v>1234</v>
      </c>
      <c r="B266" s="61">
        <v>46388</v>
      </c>
      <c r="E266" t="s">
        <v>355</v>
      </c>
      <c r="F266" t="s">
        <v>364</v>
      </c>
      <c r="H266" t="s">
        <v>353</v>
      </c>
      <c r="I266">
        <v>2401178</v>
      </c>
      <c r="J266" t="s">
        <v>1250</v>
      </c>
      <c r="K266" t="s">
        <v>1251</v>
      </c>
      <c r="L266" t="s">
        <v>718</v>
      </c>
      <c r="N266" t="s">
        <v>1252</v>
      </c>
      <c r="O266" t="s">
        <v>1253</v>
      </c>
    </row>
    <row r="267" spans="1:19" x14ac:dyDescent="0.15">
      <c r="A267" t="s">
        <v>1234</v>
      </c>
      <c r="B267" s="61">
        <v>46478</v>
      </c>
      <c r="E267" t="s">
        <v>355</v>
      </c>
      <c r="F267" t="s">
        <v>364</v>
      </c>
      <c r="H267" t="s">
        <v>353</v>
      </c>
      <c r="I267">
        <v>2401178</v>
      </c>
      <c r="J267" t="s">
        <v>1250</v>
      </c>
      <c r="K267" t="s">
        <v>1251</v>
      </c>
      <c r="L267" t="s">
        <v>718</v>
      </c>
      <c r="N267" t="s">
        <v>1254</v>
      </c>
      <c r="O267" t="s">
        <v>1253</v>
      </c>
    </row>
    <row r="268" spans="1:19" ht="40.5" x14ac:dyDescent="0.15">
      <c r="A268" t="s">
        <v>1234</v>
      </c>
      <c r="B268" s="61">
        <v>46539</v>
      </c>
      <c r="E268" t="s">
        <v>355</v>
      </c>
      <c r="F268" t="s">
        <v>364</v>
      </c>
      <c r="H268" t="s">
        <v>353</v>
      </c>
      <c r="I268">
        <v>2401238</v>
      </c>
      <c r="J268" t="s">
        <v>1255</v>
      </c>
      <c r="K268" t="s">
        <v>1256</v>
      </c>
      <c r="L268" t="s">
        <v>466</v>
      </c>
      <c r="N268" s="34" t="s">
        <v>1257</v>
      </c>
      <c r="O268" t="s">
        <v>1258</v>
      </c>
    </row>
    <row r="269" spans="1:19" x14ac:dyDescent="0.15">
      <c r="A269" t="s">
        <v>1234</v>
      </c>
      <c r="B269" s="61">
        <v>46692</v>
      </c>
      <c r="E269" t="s">
        <v>355</v>
      </c>
      <c r="F269" t="s">
        <v>364</v>
      </c>
      <c r="H269" t="s">
        <v>365</v>
      </c>
      <c r="I269">
        <v>2400137</v>
      </c>
      <c r="J269" t="s">
        <v>1259</v>
      </c>
      <c r="K269" t="s">
        <v>1260</v>
      </c>
      <c r="L269" t="s">
        <v>1261</v>
      </c>
      <c r="N269" t="s">
        <v>1262</v>
      </c>
      <c r="O269" t="s">
        <v>1263</v>
      </c>
    </row>
    <row r="270" spans="1:19" x14ac:dyDescent="0.15">
      <c r="A270" t="s">
        <v>1234</v>
      </c>
      <c r="B270" s="61">
        <v>46753</v>
      </c>
      <c r="E270" t="s">
        <v>355</v>
      </c>
      <c r="F270" t="s">
        <v>364</v>
      </c>
      <c r="H270" t="s">
        <v>365</v>
      </c>
      <c r="I270">
        <v>2401190</v>
      </c>
      <c r="J270" t="s">
        <v>1264</v>
      </c>
      <c r="K270" t="s">
        <v>1265</v>
      </c>
      <c r="L270" t="s">
        <v>1266</v>
      </c>
      <c r="N270" t="s">
        <v>1267</v>
      </c>
      <c r="O270" t="s">
        <v>1268</v>
      </c>
    </row>
    <row r="271" spans="1:19" x14ac:dyDescent="0.15">
      <c r="A271" t="s">
        <v>1234</v>
      </c>
      <c r="B271" s="61">
        <v>46813</v>
      </c>
      <c r="E271" t="s">
        <v>355</v>
      </c>
      <c r="F271" t="s">
        <v>364</v>
      </c>
      <c r="H271" t="s">
        <v>365</v>
      </c>
      <c r="I271">
        <v>2400761</v>
      </c>
      <c r="J271" t="s">
        <v>1269</v>
      </c>
      <c r="K271" t="s">
        <v>1270</v>
      </c>
      <c r="L271" t="s">
        <v>1271</v>
      </c>
      <c r="N271" t="s">
        <v>1272</v>
      </c>
      <c r="O271" t="s">
        <v>1273</v>
      </c>
    </row>
    <row r="272" spans="1:19" x14ac:dyDescent="0.15">
      <c r="A272" t="s">
        <v>1234</v>
      </c>
      <c r="B272" s="61">
        <v>46844</v>
      </c>
      <c r="E272" t="s">
        <v>355</v>
      </c>
      <c r="F272" t="s">
        <v>364</v>
      </c>
      <c r="H272" t="s">
        <v>353</v>
      </c>
      <c r="I272">
        <v>2401259</v>
      </c>
      <c r="J272" t="s">
        <v>1274</v>
      </c>
      <c r="K272" t="s">
        <v>1275</v>
      </c>
      <c r="L272" t="s">
        <v>1276</v>
      </c>
      <c r="N272" t="s">
        <v>1277</v>
      </c>
      <c r="O272" t="s">
        <v>1278</v>
      </c>
    </row>
    <row r="273" spans="1:19" x14ac:dyDescent="0.15">
      <c r="A273" t="s">
        <v>1234</v>
      </c>
      <c r="B273" s="61">
        <v>46874</v>
      </c>
      <c r="E273" t="s">
        <v>355</v>
      </c>
      <c r="F273" t="s">
        <v>364</v>
      </c>
      <c r="H273" t="s">
        <v>365</v>
      </c>
      <c r="I273">
        <v>2401224</v>
      </c>
      <c r="J273" t="s">
        <v>1279</v>
      </c>
      <c r="K273" t="s">
        <v>1280</v>
      </c>
      <c r="L273" t="s">
        <v>1281</v>
      </c>
      <c r="N273" t="s">
        <v>1282</v>
      </c>
      <c r="O273" t="s">
        <v>1283</v>
      </c>
    </row>
    <row r="274" spans="1:19" x14ac:dyDescent="0.15">
      <c r="A274" t="s">
        <v>1234</v>
      </c>
      <c r="B274" s="61">
        <v>47027</v>
      </c>
      <c r="E274" t="s">
        <v>355</v>
      </c>
      <c r="F274" t="s">
        <v>364</v>
      </c>
      <c r="H274" t="s">
        <v>365</v>
      </c>
      <c r="I274">
        <v>2303217</v>
      </c>
      <c r="J274" t="s">
        <v>1284</v>
      </c>
      <c r="K274" t="s">
        <v>1285</v>
      </c>
      <c r="L274" t="s">
        <v>1087</v>
      </c>
      <c r="N274" t="s">
        <v>1286</v>
      </c>
      <c r="O274" t="s">
        <v>1287</v>
      </c>
    </row>
    <row r="275" spans="1:19" x14ac:dyDescent="0.15">
      <c r="A275" t="s">
        <v>1234</v>
      </c>
      <c r="B275" s="61">
        <v>47150</v>
      </c>
      <c r="E275" t="s">
        <v>355</v>
      </c>
      <c r="F275" t="s">
        <v>364</v>
      </c>
      <c r="H275" t="s">
        <v>353</v>
      </c>
      <c r="I275">
        <v>2400814</v>
      </c>
      <c r="J275" t="s">
        <v>1288</v>
      </c>
      <c r="K275" t="s">
        <v>1265</v>
      </c>
      <c r="L275" t="s">
        <v>1289</v>
      </c>
      <c r="N275" t="s">
        <v>1290</v>
      </c>
      <c r="O275" t="s">
        <v>1291</v>
      </c>
    </row>
    <row r="276" spans="1:19" ht="243" x14ac:dyDescent="0.15">
      <c r="A276" t="s">
        <v>1234</v>
      </c>
      <c r="B276" s="61">
        <v>47362</v>
      </c>
      <c r="E276" t="s">
        <v>355</v>
      </c>
      <c r="F276" t="s">
        <v>385</v>
      </c>
      <c r="H276" t="s">
        <v>365</v>
      </c>
      <c r="I276">
        <v>2401231</v>
      </c>
      <c r="J276" t="s">
        <v>1292</v>
      </c>
      <c r="K276" t="s">
        <v>1265</v>
      </c>
      <c r="L276" t="s">
        <v>1293</v>
      </c>
      <c r="N276" t="s">
        <v>1294</v>
      </c>
      <c r="O276" t="s">
        <v>1295</v>
      </c>
      <c r="R276" t="s">
        <v>395</v>
      </c>
      <c r="S276" s="34" t="s">
        <v>1296</v>
      </c>
    </row>
    <row r="277" spans="1:19" ht="351" x14ac:dyDescent="0.15">
      <c r="A277" t="s">
        <v>1234</v>
      </c>
      <c r="B277" s="61">
        <v>47635</v>
      </c>
      <c r="E277" t="s">
        <v>355</v>
      </c>
      <c r="F277" t="s">
        <v>385</v>
      </c>
      <c r="H277" t="s">
        <v>353</v>
      </c>
      <c r="I277">
        <v>2400941</v>
      </c>
      <c r="J277" t="s">
        <v>1235</v>
      </c>
      <c r="L277" t="s">
        <v>1236</v>
      </c>
      <c r="N277" t="s">
        <v>1237</v>
      </c>
      <c r="O277" t="s">
        <v>1238</v>
      </c>
      <c r="R277" s="34" t="s">
        <v>768</v>
      </c>
      <c r="S277" s="34" t="s">
        <v>1239</v>
      </c>
    </row>
    <row r="278" spans="1:19" ht="409.5" x14ac:dyDescent="0.15">
      <c r="A278" t="s">
        <v>1234</v>
      </c>
      <c r="B278" s="61">
        <v>47727</v>
      </c>
      <c r="E278" t="s">
        <v>355</v>
      </c>
      <c r="F278" t="s">
        <v>385</v>
      </c>
      <c r="H278" t="s">
        <v>353</v>
      </c>
      <c r="I278">
        <v>2400449</v>
      </c>
      <c r="J278" t="s">
        <v>1240</v>
      </c>
      <c r="K278" t="s">
        <v>1241</v>
      </c>
      <c r="L278" t="s">
        <v>1242</v>
      </c>
      <c r="N278" t="s">
        <v>1243</v>
      </c>
      <c r="O278" t="s">
        <v>1244</v>
      </c>
      <c r="R278" t="s">
        <v>386</v>
      </c>
      <c r="S278" s="34" t="s">
        <v>1245</v>
      </c>
    </row>
    <row r="279" spans="1:19" ht="40.5" x14ac:dyDescent="0.15">
      <c r="A279" t="s">
        <v>1234</v>
      </c>
      <c r="B279" s="61">
        <v>48000</v>
      </c>
      <c r="E279" t="s">
        <v>355</v>
      </c>
      <c r="F279" t="s">
        <v>364</v>
      </c>
      <c r="H279" t="s">
        <v>353</v>
      </c>
      <c r="I279">
        <v>2401238</v>
      </c>
      <c r="J279" t="s">
        <v>1255</v>
      </c>
      <c r="K279" t="s">
        <v>1256</v>
      </c>
      <c r="L279" t="s">
        <v>466</v>
      </c>
      <c r="N279" s="34" t="s">
        <v>1257</v>
      </c>
      <c r="O279" t="s">
        <v>1258</v>
      </c>
    </row>
    <row r="280" spans="1:19" x14ac:dyDescent="0.15">
      <c r="A280" t="s">
        <v>1234</v>
      </c>
      <c r="B280" s="61">
        <v>48305</v>
      </c>
      <c r="E280" t="s">
        <v>355</v>
      </c>
      <c r="F280" t="s">
        <v>364</v>
      </c>
      <c r="H280" t="s">
        <v>353</v>
      </c>
      <c r="I280">
        <v>2401259</v>
      </c>
      <c r="J280" t="s">
        <v>1274</v>
      </c>
      <c r="K280" t="s">
        <v>1275</v>
      </c>
      <c r="L280" t="s">
        <v>1276</v>
      </c>
      <c r="N280" t="s">
        <v>1277</v>
      </c>
      <c r="O280" t="s">
        <v>1278</v>
      </c>
    </row>
    <row r="281" spans="1:19" ht="364.5" x14ac:dyDescent="0.15">
      <c r="A281" t="s">
        <v>1297</v>
      </c>
      <c r="B281" s="61">
        <v>46204</v>
      </c>
      <c r="E281" t="s">
        <v>355</v>
      </c>
      <c r="F281" t="s">
        <v>385</v>
      </c>
      <c r="H281" t="s">
        <v>353</v>
      </c>
      <c r="I281">
        <v>2400890</v>
      </c>
      <c r="J281" t="s">
        <v>1302</v>
      </c>
      <c r="K281" t="s">
        <v>1303</v>
      </c>
      <c r="L281" t="s">
        <v>1304</v>
      </c>
      <c r="N281" t="s">
        <v>1305</v>
      </c>
      <c r="O281" t="s">
        <v>1306</v>
      </c>
      <c r="R281" t="s">
        <v>386</v>
      </c>
      <c r="S281" s="34" t="s">
        <v>1307</v>
      </c>
    </row>
    <row r="282" spans="1:19" ht="409.5" x14ac:dyDescent="0.15">
      <c r="A282" t="s">
        <v>1297</v>
      </c>
      <c r="B282" s="61">
        <v>46235</v>
      </c>
      <c r="E282" t="s">
        <v>355</v>
      </c>
      <c r="F282" t="s">
        <v>356</v>
      </c>
      <c r="H282" t="s">
        <v>353</v>
      </c>
      <c r="I282">
        <v>2400143</v>
      </c>
      <c r="J282" t="s">
        <v>1308</v>
      </c>
      <c r="K282" t="s">
        <v>1309</v>
      </c>
      <c r="L282" t="s">
        <v>1310</v>
      </c>
      <c r="N282" t="s">
        <v>1311</v>
      </c>
      <c r="O282" t="s">
        <v>1312</v>
      </c>
      <c r="R282" t="s">
        <v>362</v>
      </c>
      <c r="S282" s="34" t="s">
        <v>1313</v>
      </c>
    </row>
    <row r="283" spans="1:19" ht="409.5" x14ac:dyDescent="0.15">
      <c r="A283" t="s">
        <v>1297</v>
      </c>
      <c r="B283" s="61">
        <v>46357</v>
      </c>
      <c r="E283" t="s">
        <v>355</v>
      </c>
      <c r="F283" t="s">
        <v>356</v>
      </c>
      <c r="H283" t="s">
        <v>365</v>
      </c>
      <c r="I283">
        <v>2400922</v>
      </c>
      <c r="J283" t="s">
        <v>1314</v>
      </c>
      <c r="K283" t="s">
        <v>1315</v>
      </c>
      <c r="L283" t="s">
        <v>1316</v>
      </c>
      <c r="N283" t="s">
        <v>1317</v>
      </c>
      <c r="O283" t="s">
        <v>1318</v>
      </c>
      <c r="R283" t="s">
        <v>362</v>
      </c>
      <c r="S283" s="34" t="s">
        <v>1319</v>
      </c>
    </row>
    <row r="284" spans="1:19" ht="270" x14ac:dyDescent="0.15">
      <c r="A284" t="s">
        <v>1297</v>
      </c>
      <c r="B284" s="61">
        <v>46357</v>
      </c>
      <c r="E284" t="s">
        <v>355</v>
      </c>
      <c r="F284" t="s">
        <v>356</v>
      </c>
      <c r="H284" t="s">
        <v>365</v>
      </c>
      <c r="I284">
        <v>2400922</v>
      </c>
      <c r="J284" t="s">
        <v>1314</v>
      </c>
      <c r="K284" t="s">
        <v>1315</v>
      </c>
      <c r="L284" t="s">
        <v>1320</v>
      </c>
      <c r="N284" t="s">
        <v>1321</v>
      </c>
      <c r="O284" t="s">
        <v>1318</v>
      </c>
      <c r="R284" t="s">
        <v>362</v>
      </c>
      <c r="S284" s="34" t="s">
        <v>1322</v>
      </c>
    </row>
    <row r="285" spans="1:19" x14ac:dyDescent="0.15">
      <c r="A285" t="s">
        <v>1297</v>
      </c>
      <c r="B285" s="61">
        <v>46419</v>
      </c>
      <c r="E285" t="s">
        <v>355</v>
      </c>
      <c r="F285" t="s">
        <v>364</v>
      </c>
      <c r="H285" t="s">
        <v>353</v>
      </c>
      <c r="I285">
        <v>2400016</v>
      </c>
      <c r="J285" t="s">
        <v>1323</v>
      </c>
      <c r="K285" t="s">
        <v>1324</v>
      </c>
      <c r="L285" t="s">
        <v>1325</v>
      </c>
      <c r="N285" t="s">
        <v>1326</v>
      </c>
      <c r="O285" t="s">
        <v>1327</v>
      </c>
    </row>
    <row r="286" spans="1:19" x14ac:dyDescent="0.15">
      <c r="A286" t="s">
        <v>1297</v>
      </c>
      <c r="B286" s="61">
        <v>46447</v>
      </c>
      <c r="E286" t="s">
        <v>355</v>
      </c>
      <c r="F286" t="s">
        <v>364</v>
      </c>
      <c r="G286" t="s">
        <v>1146</v>
      </c>
      <c r="H286" t="s">
        <v>310</v>
      </c>
      <c r="I286">
        <v>2400108</v>
      </c>
      <c r="J286" t="s">
        <v>1328</v>
      </c>
      <c r="K286" t="s">
        <v>1329</v>
      </c>
      <c r="L286" t="s">
        <v>1330</v>
      </c>
      <c r="N286" t="s">
        <v>1331</v>
      </c>
      <c r="O286" t="s">
        <v>1332</v>
      </c>
    </row>
    <row r="287" spans="1:19" x14ac:dyDescent="0.15">
      <c r="A287" t="s">
        <v>1297</v>
      </c>
      <c r="B287" s="61">
        <v>46600</v>
      </c>
      <c r="E287" t="s">
        <v>355</v>
      </c>
      <c r="F287" t="s">
        <v>364</v>
      </c>
      <c r="H287" t="s">
        <v>353</v>
      </c>
      <c r="I287">
        <v>2400318</v>
      </c>
      <c r="J287" t="s">
        <v>1333</v>
      </c>
      <c r="K287" t="s">
        <v>1334</v>
      </c>
      <c r="L287" t="s">
        <v>1335</v>
      </c>
      <c r="N287" t="s">
        <v>1336</v>
      </c>
      <c r="O287" t="s">
        <v>1337</v>
      </c>
    </row>
    <row r="288" spans="1:19" x14ac:dyDescent="0.15">
      <c r="A288" t="s">
        <v>1297</v>
      </c>
      <c r="B288" s="61">
        <v>46784</v>
      </c>
      <c r="E288" t="s">
        <v>355</v>
      </c>
      <c r="F288" t="s">
        <v>364</v>
      </c>
      <c r="H288" t="s">
        <v>353</v>
      </c>
      <c r="I288">
        <v>2400722</v>
      </c>
      <c r="J288" t="s">
        <v>1338</v>
      </c>
      <c r="K288" t="s">
        <v>1339</v>
      </c>
      <c r="L288" t="s">
        <v>1340</v>
      </c>
      <c r="N288" t="s">
        <v>1341</v>
      </c>
      <c r="O288" t="s">
        <v>1342</v>
      </c>
    </row>
    <row r="289" spans="1:19" x14ac:dyDescent="0.15">
      <c r="A289" t="s">
        <v>1297</v>
      </c>
      <c r="B289" s="61">
        <v>46813</v>
      </c>
      <c r="E289" t="s">
        <v>355</v>
      </c>
      <c r="F289" t="s">
        <v>364</v>
      </c>
      <c r="H289" t="s">
        <v>353</v>
      </c>
      <c r="I289">
        <v>2400408</v>
      </c>
      <c r="J289" t="s">
        <v>821</v>
      </c>
      <c r="K289" t="s">
        <v>1343</v>
      </c>
      <c r="L289" t="s">
        <v>1344</v>
      </c>
      <c r="N289" t="s">
        <v>1345</v>
      </c>
      <c r="O289" t="s">
        <v>1346</v>
      </c>
    </row>
    <row r="290" spans="1:19" ht="229.5" x14ac:dyDescent="0.15">
      <c r="A290" t="s">
        <v>1297</v>
      </c>
      <c r="B290" s="61">
        <v>47150</v>
      </c>
      <c r="E290" t="s">
        <v>355</v>
      </c>
      <c r="F290" t="s">
        <v>385</v>
      </c>
      <c r="H290" t="s">
        <v>353</v>
      </c>
      <c r="I290">
        <v>2400890</v>
      </c>
      <c r="J290" t="s">
        <v>1302</v>
      </c>
      <c r="K290" t="s">
        <v>1303</v>
      </c>
      <c r="L290" t="s">
        <v>1304</v>
      </c>
      <c r="N290" t="s">
        <v>1347</v>
      </c>
      <c r="O290" t="s">
        <v>1306</v>
      </c>
      <c r="S290" s="34" t="s">
        <v>1348</v>
      </c>
    </row>
    <row r="291" spans="1:19" ht="256.5" x14ac:dyDescent="0.15">
      <c r="A291" t="s">
        <v>1297</v>
      </c>
      <c r="B291" s="61">
        <v>47209</v>
      </c>
      <c r="E291" t="s">
        <v>355</v>
      </c>
      <c r="F291" t="s">
        <v>385</v>
      </c>
      <c r="H291" t="s">
        <v>353</v>
      </c>
      <c r="I291">
        <v>2400851</v>
      </c>
      <c r="J291" t="s">
        <v>1349</v>
      </c>
      <c r="K291" t="s">
        <v>1350</v>
      </c>
      <c r="L291" t="s">
        <v>413</v>
      </c>
      <c r="N291" t="s">
        <v>1351</v>
      </c>
      <c r="O291" t="s">
        <v>1352</v>
      </c>
      <c r="R291" t="s">
        <v>386</v>
      </c>
      <c r="S291" s="34" t="s">
        <v>1353</v>
      </c>
    </row>
    <row r="292" spans="1:19" x14ac:dyDescent="0.15">
      <c r="A292" t="s">
        <v>1297</v>
      </c>
      <c r="B292" s="61">
        <v>47543</v>
      </c>
      <c r="E292" t="s">
        <v>355</v>
      </c>
      <c r="F292" t="s">
        <v>364</v>
      </c>
      <c r="H292" t="s">
        <v>310</v>
      </c>
      <c r="I292">
        <v>2400108</v>
      </c>
      <c r="J292" t="s">
        <v>1328</v>
      </c>
      <c r="K292" t="s">
        <v>1329</v>
      </c>
      <c r="L292" t="s">
        <v>1330</v>
      </c>
      <c r="N292" t="s">
        <v>1331</v>
      </c>
      <c r="O292" t="s">
        <v>1332</v>
      </c>
    </row>
    <row r="293" spans="1:19" ht="409.5" x14ac:dyDescent="0.15">
      <c r="A293" t="s">
        <v>1297</v>
      </c>
      <c r="B293" s="61">
        <v>47696</v>
      </c>
      <c r="E293" t="s">
        <v>355</v>
      </c>
      <c r="F293" t="s">
        <v>385</v>
      </c>
      <c r="H293" t="s">
        <v>353</v>
      </c>
      <c r="I293">
        <v>2400143</v>
      </c>
      <c r="J293" t="s">
        <v>1308</v>
      </c>
      <c r="K293" t="s">
        <v>1309</v>
      </c>
      <c r="L293" t="s">
        <v>1310</v>
      </c>
      <c r="N293" t="s">
        <v>1311</v>
      </c>
      <c r="O293" t="s">
        <v>1312</v>
      </c>
      <c r="R293" t="s">
        <v>386</v>
      </c>
      <c r="S293" s="34" t="s">
        <v>1313</v>
      </c>
    </row>
    <row r="294" spans="1:19" ht="409.5" x14ac:dyDescent="0.15">
      <c r="A294" t="s">
        <v>1297</v>
      </c>
      <c r="B294" s="61">
        <v>47818</v>
      </c>
      <c r="E294" t="s">
        <v>355</v>
      </c>
      <c r="F294" t="s">
        <v>385</v>
      </c>
      <c r="H294" t="s">
        <v>365</v>
      </c>
      <c r="I294">
        <v>2400922</v>
      </c>
      <c r="J294" t="s">
        <v>1314</v>
      </c>
      <c r="K294" t="s">
        <v>1315</v>
      </c>
      <c r="L294" t="s">
        <v>1316</v>
      </c>
      <c r="N294" t="s">
        <v>1317</v>
      </c>
      <c r="O294" t="s">
        <v>1318</v>
      </c>
      <c r="R294" t="s">
        <v>395</v>
      </c>
      <c r="S294" s="34" t="s">
        <v>1319</v>
      </c>
    </row>
    <row r="295" spans="1:19" ht="270" x14ac:dyDescent="0.15">
      <c r="A295" t="s">
        <v>1297</v>
      </c>
      <c r="B295" s="61">
        <v>47818</v>
      </c>
      <c r="E295" t="s">
        <v>355</v>
      </c>
      <c r="F295" t="s">
        <v>385</v>
      </c>
      <c r="H295" t="s">
        <v>365</v>
      </c>
      <c r="I295">
        <v>2400922</v>
      </c>
      <c r="J295" t="s">
        <v>1314</v>
      </c>
      <c r="K295" t="s">
        <v>1315</v>
      </c>
      <c r="L295" t="s">
        <v>1320</v>
      </c>
      <c r="N295" t="s">
        <v>1321</v>
      </c>
      <c r="O295" t="s">
        <v>1318</v>
      </c>
      <c r="R295" t="s">
        <v>395</v>
      </c>
      <c r="S295" s="34" t="s">
        <v>1322</v>
      </c>
    </row>
    <row r="296" spans="1:19" x14ac:dyDescent="0.15">
      <c r="A296" t="s">
        <v>1297</v>
      </c>
      <c r="B296" s="61">
        <v>47908</v>
      </c>
      <c r="E296" t="s">
        <v>355</v>
      </c>
      <c r="F296" t="s">
        <v>364</v>
      </c>
      <c r="H296" t="s">
        <v>310</v>
      </c>
      <c r="I296">
        <v>2400108</v>
      </c>
      <c r="J296" t="s">
        <v>1328</v>
      </c>
      <c r="K296" t="s">
        <v>1329</v>
      </c>
      <c r="L296" t="s">
        <v>1330</v>
      </c>
      <c r="N296" t="s">
        <v>1331</v>
      </c>
      <c r="O296" t="s">
        <v>1332</v>
      </c>
    </row>
    <row r="297" spans="1:19" x14ac:dyDescent="0.15">
      <c r="A297" t="s">
        <v>1354</v>
      </c>
      <c r="B297" s="61">
        <v>46569</v>
      </c>
      <c r="E297" t="s">
        <v>355</v>
      </c>
      <c r="F297" t="s">
        <v>364</v>
      </c>
      <c r="H297" t="s">
        <v>353</v>
      </c>
      <c r="I297">
        <v>3200098</v>
      </c>
      <c r="J297" t="s">
        <v>1355</v>
      </c>
      <c r="L297" t="s">
        <v>1356</v>
      </c>
      <c r="N297" t="s">
        <v>1357</v>
      </c>
      <c r="O297" t="s">
        <v>1358</v>
      </c>
    </row>
    <row r="298" spans="1:19" x14ac:dyDescent="0.15">
      <c r="A298" t="s">
        <v>1354</v>
      </c>
      <c r="B298" s="61">
        <v>48030</v>
      </c>
      <c r="E298" t="s">
        <v>355</v>
      </c>
      <c r="F298" t="s">
        <v>364</v>
      </c>
      <c r="H298" t="s">
        <v>353</v>
      </c>
      <c r="I298">
        <v>3200098</v>
      </c>
      <c r="J298" t="s">
        <v>1355</v>
      </c>
      <c r="L298" t="s">
        <v>1356</v>
      </c>
      <c r="N298" t="s">
        <v>1357</v>
      </c>
      <c r="O298" t="s">
        <v>1358</v>
      </c>
    </row>
    <row r="299" spans="1:19" ht="243" x14ac:dyDescent="0.15">
      <c r="A299" t="s">
        <v>1359</v>
      </c>
      <c r="B299" s="61">
        <v>46204</v>
      </c>
      <c r="E299" t="s">
        <v>355</v>
      </c>
      <c r="F299" t="s">
        <v>356</v>
      </c>
      <c r="H299" t="s">
        <v>365</v>
      </c>
      <c r="I299">
        <v>3500290</v>
      </c>
      <c r="J299" t="s">
        <v>1366</v>
      </c>
      <c r="K299" t="s">
        <v>1609</v>
      </c>
      <c r="L299" t="s">
        <v>1367</v>
      </c>
      <c r="N299" t="s">
        <v>1368</v>
      </c>
      <c r="O299" t="s">
        <v>1369</v>
      </c>
      <c r="P299" s="34" t="s">
        <v>5384</v>
      </c>
      <c r="Q299" s="34" t="s">
        <v>5385</v>
      </c>
      <c r="R299" t="s">
        <v>362</v>
      </c>
      <c r="S299" s="34" t="s">
        <v>1370</v>
      </c>
    </row>
    <row r="300" spans="1:19" ht="229.5" x14ac:dyDescent="0.15">
      <c r="A300" t="s">
        <v>1359</v>
      </c>
      <c r="B300" s="61">
        <v>46266</v>
      </c>
      <c r="E300" t="s">
        <v>355</v>
      </c>
      <c r="F300" t="s">
        <v>356</v>
      </c>
      <c r="H300" t="s">
        <v>353</v>
      </c>
      <c r="I300">
        <v>3500053</v>
      </c>
      <c r="J300" t="s">
        <v>1371</v>
      </c>
      <c r="K300" t="s">
        <v>1372</v>
      </c>
      <c r="L300" t="s">
        <v>390</v>
      </c>
      <c r="N300" t="s">
        <v>1373</v>
      </c>
      <c r="O300" t="s">
        <v>1374</v>
      </c>
      <c r="R300" t="s">
        <v>362</v>
      </c>
      <c r="S300" s="34" t="s">
        <v>1375</v>
      </c>
    </row>
    <row r="301" spans="1:19" ht="409.5" x14ac:dyDescent="0.15">
      <c r="A301" t="s">
        <v>1359</v>
      </c>
      <c r="B301" s="61">
        <v>46327</v>
      </c>
      <c r="E301" t="s">
        <v>355</v>
      </c>
      <c r="F301" t="s">
        <v>385</v>
      </c>
      <c r="H301" t="s">
        <v>353</v>
      </c>
      <c r="I301">
        <v>3500331</v>
      </c>
      <c r="J301" t="s">
        <v>1376</v>
      </c>
      <c r="L301" t="s">
        <v>1377</v>
      </c>
      <c r="N301" t="s">
        <v>1378</v>
      </c>
      <c r="O301" t="s">
        <v>1379</v>
      </c>
      <c r="R301" t="s">
        <v>386</v>
      </c>
      <c r="S301" s="34" t="s">
        <v>1380</v>
      </c>
    </row>
    <row r="302" spans="1:19" x14ac:dyDescent="0.15">
      <c r="A302" t="s">
        <v>1359</v>
      </c>
      <c r="B302" s="61">
        <v>46447</v>
      </c>
      <c r="E302" t="s">
        <v>355</v>
      </c>
      <c r="F302" t="s">
        <v>364</v>
      </c>
      <c r="H302" t="s">
        <v>353</v>
      </c>
      <c r="I302">
        <v>3500012</v>
      </c>
      <c r="J302" t="s">
        <v>1381</v>
      </c>
      <c r="K302" t="s">
        <v>1382</v>
      </c>
      <c r="L302" t="s">
        <v>698</v>
      </c>
      <c r="N302" t="s">
        <v>1383</v>
      </c>
      <c r="O302" t="s">
        <v>1384</v>
      </c>
    </row>
    <row r="303" spans="1:19" ht="409.5" x14ac:dyDescent="0.15">
      <c r="A303" t="s">
        <v>1359</v>
      </c>
      <c r="B303" s="61">
        <v>46508</v>
      </c>
      <c r="E303" t="s">
        <v>355</v>
      </c>
      <c r="F303" t="s">
        <v>385</v>
      </c>
      <c r="H303" t="s">
        <v>365</v>
      </c>
      <c r="I303">
        <v>3500151</v>
      </c>
      <c r="J303" t="s">
        <v>1360</v>
      </c>
      <c r="K303" t="s">
        <v>1361</v>
      </c>
      <c r="L303" t="s">
        <v>1385</v>
      </c>
      <c r="N303" t="s">
        <v>1386</v>
      </c>
      <c r="O303" t="s">
        <v>1387</v>
      </c>
      <c r="R303" t="s">
        <v>395</v>
      </c>
      <c r="S303" s="34" t="s">
        <v>1388</v>
      </c>
    </row>
    <row r="304" spans="1:19" x14ac:dyDescent="0.15">
      <c r="A304" t="s">
        <v>1359</v>
      </c>
      <c r="B304" s="61">
        <v>46569</v>
      </c>
      <c r="E304" t="s">
        <v>355</v>
      </c>
      <c r="F304" t="s">
        <v>364</v>
      </c>
      <c r="H304" t="s">
        <v>365</v>
      </c>
      <c r="I304">
        <v>3500290</v>
      </c>
      <c r="J304" t="s">
        <v>1366</v>
      </c>
      <c r="L304" t="s">
        <v>1367</v>
      </c>
      <c r="N304" t="s">
        <v>1389</v>
      </c>
      <c r="O304" t="s">
        <v>1369</v>
      </c>
    </row>
    <row r="305" spans="1:19" ht="243" x14ac:dyDescent="0.15">
      <c r="A305" t="s">
        <v>1359</v>
      </c>
      <c r="B305" s="61">
        <v>47665</v>
      </c>
      <c r="E305" t="s">
        <v>355</v>
      </c>
      <c r="F305" t="s">
        <v>385</v>
      </c>
      <c r="H305" t="s">
        <v>365</v>
      </c>
      <c r="I305">
        <v>3500290</v>
      </c>
      <c r="J305" t="s">
        <v>1366</v>
      </c>
      <c r="L305" t="s">
        <v>1367</v>
      </c>
      <c r="N305" t="s">
        <v>1368</v>
      </c>
      <c r="O305" t="s">
        <v>1369</v>
      </c>
      <c r="R305" t="s">
        <v>395</v>
      </c>
      <c r="S305" s="34" t="s">
        <v>1370</v>
      </c>
    </row>
    <row r="306" spans="1:19" ht="229.5" x14ac:dyDescent="0.15">
      <c r="A306" t="s">
        <v>1359</v>
      </c>
      <c r="B306" s="61">
        <v>47727</v>
      </c>
      <c r="E306" t="s">
        <v>355</v>
      </c>
      <c r="F306" t="s">
        <v>385</v>
      </c>
      <c r="H306" t="s">
        <v>353</v>
      </c>
      <c r="I306">
        <v>3500053</v>
      </c>
      <c r="J306" t="s">
        <v>1371</v>
      </c>
      <c r="K306" t="s">
        <v>1372</v>
      </c>
      <c r="L306" t="s">
        <v>390</v>
      </c>
      <c r="N306" t="s">
        <v>1373</v>
      </c>
      <c r="O306" t="s">
        <v>1374</v>
      </c>
      <c r="R306" t="s">
        <v>386</v>
      </c>
      <c r="S306" s="34" t="s">
        <v>1375</v>
      </c>
    </row>
    <row r="307" spans="1:19" x14ac:dyDescent="0.15">
      <c r="A307" t="s">
        <v>1359</v>
      </c>
      <c r="B307" s="61">
        <v>47908</v>
      </c>
      <c r="E307" t="s">
        <v>355</v>
      </c>
      <c r="F307" t="s">
        <v>364</v>
      </c>
      <c r="H307" t="s">
        <v>353</v>
      </c>
      <c r="I307">
        <v>3500012</v>
      </c>
      <c r="J307" t="s">
        <v>1381</v>
      </c>
      <c r="K307" t="s">
        <v>1382</v>
      </c>
      <c r="L307" t="s">
        <v>698</v>
      </c>
      <c r="N307" t="s">
        <v>1383</v>
      </c>
      <c r="O307" t="s">
        <v>1384</v>
      </c>
    </row>
    <row r="308" spans="1:19" x14ac:dyDescent="0.15">
      <c r="A308" t="s">
        <v>1390</v>
      </c>
      <c r="B308" s="61">
        <v>46419</v>
      </c>
      <c r="E308" t="s">
        <v>355</v>
      </c>
      <c r="F308" t="s">
        <v>364</v>
      </c>
      <c r="H308" t="s">
        <v>353</v>
      </c>
      <c r="I308">
        <v>1900396</v>
      </c>
      <c r="J308" t="s">
        <v>1415</v>
      </c>
      <c r="K308" t="s">
        <v>1416</v>
      </c>
      <c r="L308" t="s">
        <v>1377</v>
      </c>
      <c r="N308" t="s">
        <v>1417</v>
      </c>
      <c r="O308" t="s">
        <v>1418</v>
      </c>
    </row>
    <row r="309" spans="1:19" x14ac:dyDescent="0.15">
      <c r="A309" t="s">
        <v>1390</v>
      </c>
      <c r="B309" s="61">
        <v>46508</v>
      </c>
      <c r="E309" t="s">
        <v>355</v>
      </c>
      <c r="F309" t="s">
        <v>364</v>
      </c>
      <c r="H309" t="s">
        <v>365</v>
      </c>
      <c r="I309">
        <v>1900242</v>
      </c>
      <c r="J309" t="s">
        <v>1419</v>
      </c>
      <c r="L309" t="s">
        <v>698</v>
      </c>
      <c r="N309" t="s">
        <v>1420</v>
      </c>
      <c r="O309" t="s">
        <v>1421</v>
      </c>
    </row>
    <row r="310" spans="1:19" ht="409.5" x14ac:dyDescent="0.15">
      <c r="A310" t="s">
        <v>1390</v>
      </c>
      <c r="B310" s="61">
        <v>47270</v>
      </c>
      <c r="E310" t="s">
        <v>355</v>
      </c>
      <c r="F310" t="s">
        <v>385</v>
      </c>
      <c r="H310" t="s">
        <v>365</v>
      </c>
      <c r="I310">
        <v>1900161</v>
      </c>
      <c r="J310" t="s">
        <v>1391</v>
      </c>
      <c r="K310" t="s">
        <v>1405</v>
      </c>
      <c r="L310" t="s">
        <v>1406</v>
      </c>
      <c r="N310" t="s">
        <v>1422</v>
      </c>
      <c r="O310" t="s">
        <v>1407</v>
      </c>
      <c r="S310" s="34" t="s">
        <v>1423</v>
      </c>
    </row>
    <row r="311" spans="1:19" ht="351" x14ac:dyDescent="0.15">
      <c r="A311" t="s">
        <v>1390</v>
      </c>
      <c r="B311" s="61">
        <v>47574</v>
      </c>
      <c r="E311" t="s">
        <v>355</v>
      </c>
      <c r="F311" t="s">
        <v>385</v>
      </c>
      <c r="H311" t="s">
        <v>353</v>
      </c>
      <c r="I311">
        <v>1900451</v>
      </c>
      <c r="J311" t="s">
        <v>1392</v>
      </c>
      <c r="K311" t="s">
        <v>1393</v>
      </c>
      <c r="L311" t="s">
        <v>1394</v>
      </c>
      <c r="N311" t="s">
        <v>1395</v>
      </c>
      <c r="O311" t="s">
        <v>1396</v>
      </c>
      <c r="R311" t="s">
        <v>386</v>
      </c>
      <c r="S311" s="34" t="s">
        <v>1397</v>
      </c>
    </row>
    <row r="312" spans="1:19" ht="256.5" x14ac:dyDescent="0.15">
      <c r="A312" t="s">
        <v>1390</v>
      </c>
      <c r="B312" s="61">
        <v>47604</v>
      </c>
      <c r="E312" t="s">
        <v>355</v>
      </c>
      <c r="F312" t="s">
        <v>385</v>
      </c>
      <c r="H312" t="s">
        <v>365</v>
      </c>
      <c r="I312">
        <v>1900451</v>
      </c>
      <c r="J312" t="s">
        <v>1392</v>
      </c>
      <c r="K312" t="s">
        <v>1393</v>
      </c>
      <c r="L312" t="s">
        <v>1394</v>
      </c>
      <c r="N312" t="s">
        <v>1398</v>
      </c>
      <c r="O312" t="s">
        <v>1396</v>
      </c>
      <c r="R312" t="s">
        <v>395</v>
      </c>
      <c r="S312" s="34" t="s">
        <v>1399</v>
      </c>
    </row>
    <row r="313" spans="1:19" ht="409.5" x14ac:dyDescent="0.15">
      <c r="A313" t="s">
        <v>1390</v>
      </c>
      <c r="B313" s="61">
        <v>47604</v>
      </c>
      <c r="E313" t="s">
        <v>355</v>
      </c>
      <c r="F313" t="s">
        <v>385</v>
      </c>
      <c r="H313" t="s">
        <v>353</v>
      </c>
      <c r="I313">
        <v>1900452</v>
      </c>
      <c r="J313" t="s">
        <v>1400</v>
      </c>
      <c r="K313" t="s">
        <v>1401</v>
      </c>
      <c r="L313" t="s">
        <v>718</v>
      </c>
      <c r="N313" t="s">
        <v>1402</v>
      </c>
      <c r="O313" t="s">
        <v>1403</v>
      </c>
      <c r="P313" t="s">
        <v>7502</v>
      </c>
      <c r="Q313" t="s">
        <v>7503</v>
      </c>
      <c r="R313" t="s">
        <v>386</v>
      </c>
      <c r="S313" s="34" t="s">
        <v>1404</v>
      </c>
    </row>
    <row r="314" spans="1:19" ht="243" x14ac:dyDescent="0.15">
      <c r="A314" t="s">
        <v>1390</v>
      </c>
      <c r="B314" s="61">
        <v>47635</v>
      </c>
      <c r="E314" t="s">
        <v>355</v>
      </c>
      <c r="F314" t="s">
        <v>385</v>
      </c>
      <c r="H314" t="s">
        <v>365</v>
      </c>
      <c r="I314">
        <v>1900453</v>
      </c>
      <c r="J314" t="s">
        <v>1409</v>
      </c>
      <c r="K314" t="s">
        <v>1410</v>
      </c>
      <c r="L314" t="s">
        <v>1411</v>
      </c>
      <c r="N314" t="s">
        <v>1412</v>
      </c>
      <c r="O314" t="s">
        <v>1413</v>
      </c>
      <c r="R314" t="s">
        <v>395</v>
      </c>
      <c r="S314" s="34" t="s">
        <v>1414</v>
      </c>
    </row>
    <row r="315" spans="1:19" x14ac:dyDescent="0.15">
      <c r="A315" t="s">
        <v>1390</v>
      </c>
      <c r="B315" s="61">
        <v>47969</v>
      </c>
      <c r="E315" t="s">
        <v>355</v>
      </c>
      <c r="F315" t="s">
        <v>364</v>
      </c>
      <c r="H315" t="s">
        <v>365</v>
      </c>
      <c r="I315">
        <v>1900242</v>
      </c>
      <c r="J315" t="s">
        <v>1419</v>
      </c>
      <c r="L315" t="s">
        <v>698</v>
      </c>
      <c r="N315" t="s">
        <v>1420</v>
      </c>
      <c r="O315" t="s">
        <v>1421</v>
      </c>
    </row>
    <row r="316" spans="1:19" x14ac:dyDescent="0.15">
      <c r="A316" t="s">
        <v>1424</v>
      </c>
      <c r="B316" s="61">
        <v>46813</v>
      </c>
      <c r="E316" t="s">
        <v>355</v>
      </c>
      <c r="F316" t="s">
        <v>364</v>
      </c>
      <c r="H316" t="s">
        <v>353</v>
      </c>
      <c r="I316">
        <v>1201611</v>
      </c>
      <c r="J316" t="s">
        <v>1431</v>
      </c>
      <c r="K316" t="s">
        <v>1432</v>
      </c>
      <c r="L316" t="s">
        <v>413</v>
      </c>
      <c r="N316" t="s">
        <v>1433</v>
      </c>
      <c r="O316" t="s">
        <v>1434</v>
      </c>
    </row>
    <row r="317" spans="1:19" ht="409.5" x14ac:dyDescent="0.15">
      <c r="A317" t="s">
        <v>1424</v>
      </c>
      <c r="B317" s="61">
        <v>47604</v>
      </c>
      <c r="E317" t="s">
        <v>355</v>
      </c>
      <c r="F317" t="s">
        <v>385</v>
      </c>
      <c r="H317" t="s">
        <v>353</v>
      </c>
      <c r="I317">
        <v>1201587</v>
      </c>
      <c r="J317" t="s">
        <v>1425</v>
      </c>
      <c r="K317" t="s">
        <v>1426</v>
      </c>
      <c r="L317" t="s">
        <v>1427</v>
      </c>
      <c r="N317" t="s">
        <v>1428</v>
      </c>
      <c r="O317" t="s">
        <v>1429</v>
      </c>
      <c r="R317" t="s">
        <v>386</v>
      </c>
      <c r="S317" s="34" t="s">
        <v>1430</v>
      </c>
    </row>
    <row r="318" spans="1:19" x14ac:dyDescent="0.15">
      <c r="A318" t="s">
        <v>1424</v>
      </c>
      <c r="B318" s="61">
        <v>48274</v>
      </c>
      <c r="E318" t="s">
        <v>355</v>
      </c>
      <c r="F318" t="s">
        <v>364</v>
      </c>
      <c r="H318" t="s">
        <v>353</v>
      </c>
      <c r="I318">
        <v>1201611</v>
      </c>
      <c r="J318" t="s">
        <v>1431</v>
      </c>
      <c r="K318" t="s">
        <v>1432</v>
      </c>
      <c r="L318" t="s">
        <v>413</v>
      </c>
      <c r="N318" t="s">
        <v>1433</v>
      </c>
      <c r="O318" t="s">
        <v>1434</v>
      </c>
    </row>
    <row r="319" spans="1:19" ht="243" x14ac:dyDescent="0.15">
      <c r="A319" t="s">
        <v>1435</v>
      </c>
      <c r="B319" s="61">
        <v>46235</v>
      </c>
      <c r="E319" t="s">
        <v>355</v>
      </c>
      <c r="F319" t="s">
        <v>385</v>
      </c>
      <c r="H319" t="s">
        <v>365</v>
      </c>
      <c r="I319">
        <v>2501033</v>
      </c>
      <c r="J319" t="s">
        <v>1439</v>
      </c>
      <c r="K319" t="s">
        <v>1440</v>
      </c>
      <c r="L319" t="s">
        <v>854</v>
      </c>
      <c r="N319" t="s">
        <v>1441</v>
      </c>
      <c r="O319" t="s">
        <v>1442</v>
      </c>
      <c r="R319" t="s">
        <v>395</v>
      </c>
      <c r="S319" s="34" t="s">
        <v>1443</v>
      </c>
    </row>
    <row r="320" spans="1:19" ht="409.5" x14ac:dyDescent="0.15">
      <c r="A320" t="s">
        <v>1435</v>
      </c>
      <c r="B320" s="61">
        <v>46235</v>
      </c>
      <c r="E320" t="s">
        <v>355</v>
      </c>
      <c r="F320" t="s">
        <v>356</v>
      </c>
      <c r="H320" t="s">
        <v>353</v>
      </c>
      <c r="I320">
        <v>2501141</v>
      </c>
      <c r="J320" t="s">
        <v>1449</v>
      </c>
      <c r="K320" t="s">
        <v>1450</v>
      </c>
      <c r="L320" t="s">
        <v>1451</v>
      </c>
      <c r="N320" t="s">
        <v>1452</v>
      </c>
      <c r="O320" t="s">
        <v>1453</v>
      </c>
      <c r="R320" t="s">
        <v>362</v>
      </c>
      <c r="S320" s="34" t="s">
        <v>1454</v>
      </c>
    </row>
    <row r="321" spans="1:19" ht="409.5" x14ac:dyDescent="0.15">
      <c r="A321" t="s">
        <v>1435</v>
      </c>
      <c r="B321" s="61">
        <v>46266</v>
      </c>
      <c r="E321" t="s">
        <v>355</v>
      </c>
      <c r="F321" t="s">
        <v>356</v>
      </c>
      <c r="H321" t="s">
        <v>353</v>
      </c>
      <c r="I321">
        <v>2500025</v>
      </c>
      <c r="J321" t="s">
        <v>376</v>
      </c>
      <c r="K321" t="s">
        <v>1455</v>
      </c>
      <c r="L321" t="s">
        <v>1456</v>
      </c>
      <c r="N321" t="s">
        <v>1457</v>
      </c>
      <c r="O321" t="s">
        <v>1458</v>
      </c>
      <c r="R321" t="s">
        <v>362</v>
      </c>
      <c r="S321" s="34" t="s">
        <v>1459</v>
      </c>
    </row>
    <row r="322" spans="1:19" ht="409.5" x14ac:dyDescent="0.15">
      <c r="A322" t="s">
        <v>1435</v>
      </c>
      <c r="B322" s="61">
        <v>46296</v>
      </c>
      <c r="E322" t="s">
        <v>355</v>
      </c>
      <c r="F322" t="s">
        <v>356</v>
      </c>
      <c r="H322" t="s">
        <v>353</v>
      </c>
      <c r="I322">
        <v>2501141</v>
      </c>
      <c r="J322" t="s">
        <v>1449</v>
      </c>
      <c r="K322" t="s">
        <v>1450</v>
      </c>
      <c r="L322" t="s">
        <v>1451</v>
      </c>
      <c r="N322" t="s">
        <v>1468</v>
      </c>
      <c r="O322" t="s">
        <v>1453</v>
      </c>
      <c r="R322" t="s">
        <v>362</v>
      </c>
      <c r="S322" s="34" t="s">
        <v>1469</v>
      </c>
    </row>
    <row r="323" spans="1:19" ht="409.5" x14ac:dyDescent="0.15">
      <c r="A323" t="s">
        <v>1435</v>
      </c>
      <c r="B323" s="61">
        <v>46357</v>
      </c>
      <c r="E323" t="s">
        <v>355</v>
      </c>
      <c r="F323" t="s">
        <v>385</v>
      </c>
      <c r="H323" t="s">
        <v>353</v>
      </c>
      <c r="I323">
        <v>2501068</v>
      </c>
      <c r="J323" t="s">
        <v>1470</v>
      </c>
      <c r="K323" t="s">
        <v>1445</v>
      </c>
      <c r="L323" t="s">
        <v>1471</v>
      </c>
      <c r="N323" t="s">
        <v>1472</v>
      </c>
      <c r="O323" t="s">
        <v>1473</v>
      </c>
      <c r="R323" s="34" t="s">
        <v>768</v>
      </c>
      <c r="S323" s="34" t="s">
        <v>1474</v>
      </c>
    </row>
    <row r="324" spans="1:19" ht="351" x14ac:dyDescent="0.15">
      <c r="A324" t="s">
        <v>1435</v>
      </c>
      <c r="B324" s="61">
        <v>46357</v>
      </c>
      <c r="E324" t="s">
        <v>355</v>
      </c>
      <c r="F324" t="s">
        <v>356</v>
      </c>
      <c r="H324" t="s">
        <v>353</v>
      </c>
      <c r="I324">
        <v>2500627</v>
      </c>
      <c r="J324" t="s">
        <v>1475</v>
      </c>
      <c r="K324" t="s">
        <v>1445</v>
      </c>
      <c r="L324" t="s">
        <v>1476</v>
      </c>
      <c r="N324" t="s">
        <v>1477</v>
      </c>
      <c r="O324" t="s">
        <v>1478</v>
      </c>
      <c r="R324" t="s">
        <v>362</v>
      </c>
      <c r="S324" s="34" t="s">
        <v>1479</v>
      </c>
    </row>
    <row r="325" spans="1:19" x14ac:dyDescent="0.15">
      <c r="A325" t="s">
        <v>1435</v>
      </c>
      <c r="B325" s="61">
        <v>46388</v>
      </c>
      <c r="E325" t="s">
        <v>355</v>
      </c>
      <c r="F325" t="s">
        <v>364</v>
      </c>
      <c r="H325" t="s">
        <v>365</v>
      </c>
      <c r="I325">
        <v>2501057</v>
      </c>
      <c r="J325" t="s">
        <v>1480</v>
      </c>
      <c r="K325" t="s">
        <v>1481</v>
      </c>
      <c r="L325" t="s">
        <v>1148</v>
      </c>
      <c r="N325" t="s">
        <v>1482</v>
      </c>
      <c r="O325" t="s">
        <v>1483</v>
      </c>
    </row>
    <row r="326" spans="1:19" x14ac:dyDescent="0.15">
      <c r="A326" t="s">
        <v>1435</v>
      </c>
      <c r="B326" s="61">
        <v>46388</v>
      </c>
      <c r="E326" t="s">
        <v>355</v>
      </c>
      <c r="F326" t="s">
        <v>364</v>
      </c>
      <c r="H326" t="s">
        <v>353</v>
      </c>
      <c r="I326">
        <v>2500792</v>
      </c>
      <c r="J326" t="s">
        <v>1484</v>
      </c>
      <c r="K326" t="s">
        <v>1485</v>
      </c>
      <c r="L326" t="s">
        <v>390</v>
      </c>
      <c r="N326" t="s">
        <v>1486</v>
      </c>
      <c r="O326" t="s">
        <v>1487</v>
      </c>
    </row>
    <row r="327" spans="1:19" x14ac:dyDescent="0.15">
      <c r="A327" t="s">
        <v>1435</v>
      </c>
      <c r="B327" s="61">
        <v>46539</v>
      </c>
      <c r="E327" t="s">
        <v>355</v>
      </c>
      <c r="F327" t="s">
        <v>364</v>
      </c>
      <c r="H327" t="s">
        <v>365</v>
      </c>
      <c r="I327">
        <v>2501076</v>
      </c>
      <c r="J327" t="s">
        <v>1488</v>
      </c>
      <c r="K327" t="s">
        <v>1489</v>
      </c>
      <c r="L327" t="s">
        <v>1490</v>
      </c>
      <c r="N327" t="s">
        <v>1491</v>
      </c>
      <c r="O327" t="s">
        <v>1492</v>
      </c>
    </row>
    <row r="328" spans="1:19" x14ac:dyDescent="0.15">
      <c r="A328" t="s">
        <v>1435</v>
      </c>
      <c r="B328" s="61">
        <v>46569</v>
      </c>
      <c r="E328" t="s">
        <v>355</v>
      </c>
      <c r="F328" t="s">
        <v>364</v>
      </c>
      <c r="H328" t="s">
        <v>365</v>
      </c>
      <c r="I328">
        <v>2501081</v>
      </c>
      <c r="J328" t="s">
        <v>1004</v>
      </c>
      <c r="K328" t="s">
        <v>1493</v>
      </c>
      <c r="L328" t="s">
        <v>1494</v>
      </c>
      <c r="N328" t="s">
        <v>1495</v>
      </c>
      <c r="O328" t="s">
        <v>1496</v>
      </c>
    </row>
    <row r="329" spans="1:19" x14ac:dyDescent="0.15">
      <c r="A329" t="s">
        <v>1435</v>
      </c>
      <c r="B329" s="61">
        <v>46661</v>
      </c>
      <c r="E329" t="s">
        <v>355</v>
      </c>
      <c r="F329" t="s">
        <v>364</v>
      </c>
      <c r="H329" t="s">
        <v>353</v>
      </c>
      <c r="I329">
        <v>2500779</v>
      </c>
      <c r="J329" t="s">
        <v>1497</v>
      </c>
      <c r="K329" t="s">
        <v>1498</v>
      </c>
      <c r="L329" t="s">
        <v>1499</v>
      </c>
      <c r="N329" t="s">
        <v>1500</v>
      </c>
      <c r="O329" t="s">
        <v>1501</v>
      </c>
    </row>
    <row r="330" spans="1:19" x14ac:dyDescent="0.15">
      <c r="A330" t="s">
        <v>1435</v>
      </c>
      <c r="B330" s="61">
        <v>46722</v>
      </c>
      <c r="E330" t="s">
        <v>355</v>
      </c>
      <c r="F330" t="s">
        <v>364</v>
      </c>
      <c r="H330" t="s">
        <v>365</v>
      </c>
      <c r="I330">
        <v>2500154</v>
      </c>
      <c r="J330" t="s">
        <v>1497</v>
      </c>
      <c r="K330" t="s">
        <v>1502</v>
      </c>
      <c r="L330" t="s">
        <v>1503</v>
      </c>
      <c r="N330" t="s">
        <v>1504</v>
      </c>
      <c r="O330" t="s">
        <v>1505</v>
      </c>
    </row>
    <row r="331" spans="1:19" x14ac:dyDescent="0.15">
      <c r="A331" t="s">
        <v>1435</v>
      </c>
      <c r="B331" s="61">
        <v>46753</v>
      </c>
      <c r="E331" t="s">
        <v>355</v>
      </c>
      <c r="F331" t="s">
        <v>364</v>
      </c>
      <c r="H331" t="s">
        <v>365</v>
      </c>
      <c r="I331">
        <v>2500154</v>
      </c>
      <c r="J331" t="s">
        <v>1497</v>
      </c>
      <c r="K331" t="s">
        <v>1502</v>
      </c>
      <c r="L331" t="s">
        <v>1503</v>
      </c>
      <c r="N331" t="s">
        <v>1506</v>
      </c>
      <c r="O331" t="s">
        <v>1505</v>
      </c>
    </row>
    <row r="332" spans="1:19" x14ac:dyDescent="0.15">
      <c r="A332" t="s">
        <v>1435</v>
      </c>
      <c r="B332" s="61">
        <v>46753</v>
      </c>
      <c r="E332" t="s">
        <v>355</v>
      </c>
      <c r="F332" t="s">
        <v>364</v>
      </c>
      <c r="H332" t="s">
        <v>353</v>
      </c>
      <c r="I332">
        <v>2501099</v>
      </c>
      <c r="J332" t="s">
        <v>1507</v>
      </c>
      <c r="K332" t="s">
        <v>1445</v>
      </c>
      <c r="L332" t="s">
        <v>1508</v>
      </c>
      <c r="N332" t="s">
        <v>1509</v>
      </c>
      <c r="O332" t="s">
        <v>1510</v>
      </c>
    </row>
    <row r="333" spans="1:19" x14ac:dyDescent="0.15">
      <c r="A333" t="s">
        <v>1435</v>
      </c>
      <c r="B333" s="61">
        <v>46874</v>
      </c>
      <c r="E333" t="s">
        <v>355</v>
      </c>
      <c r="F333" t="s">
        <v>364</v>
      </c>
      <c r="H333" t="s">
        <v>353</v>
      </c>
      <c r="I333">
        <v>2500295</v>
      </c>
      <c r="J333" t="s">
        <v>1511</v>
      </c>
      <c r="L333" t="s">
        <v>1512</v>
      </c>
      <c r="N333" t="s">
        <v>1513</v>
      </c>
      <c r="O333" t="s">
        <v>1514</v>
      </c>
    </row>
    <row r="334" spans="1:19" ht="409.5" x14ac:dyDescent="0.15">
      <c r="A334" t="s">
        <v>1435</v>
      </c>
      <c r="B334" s="61">
        <v>47027</v>
      </c>
      <c r="E334" t="s">
        <v>355</v>
      </c>
      <c r="F334" t="s">
        <v>385</v>
      </c>
      <c r="H334" t="s">
        <v>353</v>
      </c>
      <c r="I334">
        <v>2500025</v>
      </c>
      <c r="J334" t="s">
        <v>376</v>
      </c>
      <c r="K334" t="s">
        <v>1455</v>
      </c>
      <c r="L334" t="s">
        <v>1456</v>
      </c>
      <c r="N334" t="s">
        <v>1515</v>
      </c>
      <c r="O334" t="s">
        <v>1458</v>
      </c>
      <c r="R334" t="s">
        <v>386</v>
      </c>
      <c r="S334" s="34" t="s">
        <v>1516</v>
      </c>
    </row>
    <row r="335" spans="1:19" ht="409.5" x14ac:dyDescent="0.15">
      <c r="A335" t="s">
        <v>1435</v>
      </c>
      <c r="B335" s="61">
        <v>47362</v>
      </c>
      <c r="E335" t="s">
        <v>355</v>
      </c>
      <c r="F335" t="s">
        <v>385</v>
      </c>
      <c r="H335" t="s">
        <v>353</v>
      </c>
      <c r="I335">
        <v>2500372</v>
      </c>
      <c r="J335" t="s">
        <v>1497</v>
      </c>
      <c r="K335" t="s">
        <v>1498</v>
      </c>
      <c r="L335" t="s">
        <v>1517</v>
      </c>
      <c r="N335" t="s">
        <v>1518</v>
      </c>
      <c r="O335" t="s">
        <v>1519</v>
      </c>
      <c r="R335" s="34" t="s">
        <v>768</v>
      </c>
      <c r="S335" s="34" t="s">
        <v>1520</v>
      </c>
    </row>
    <row r="336" spans="1:19" ht="409.5" x14ac:dyDescent="0.15">
      <c r="A336" t="s">
        <v>1435</v>
      </c>
      <c r="B336" s="61">
        <v>47392</v>
      </c>
      <c r="E336" t="s">
        <v>355</v>
      </c>
      <c r="F336" t="s">
        <v>364</v>
      </c>
      <c r="H336" t="s">
        <v>353</v>
      </c>
      <c r="I336">
        <v>2501141</v>
      </c>
      <c r="J336" t="s">
        <v>1449</v>
      </c>
      <c r="K336" t="s">
        <v>1450</v>
      </c>
      <c r="L336" t="s">
        <v>1451</v>
      </c>
      <c r="N336" t="s">
        <v>1468</v>
      </c>
      <c r="O336" t="s">
        <v>1453</v>
      </c>
      <c r="R336" s="34" t="s">
        <v>1521</v>
      </c>
      <c r="S336" s="34" t="s">
        <v>1522</v>
      </c>
    </row>
    <row r="337" spans="1:19" ht="409.5" x14ac:dyDescent="0.15">
      <c r="A337" t="s">
        <v>1435</v>
      </c>
      <c r="B337" s="61">
        <v>47696</v>
      </c>
      <c r="E337" t="s">
        <v>355</v>
      </c>
      <c r="F337" t="s">
        <v>385</v>
      </c>
      <c r="H337" t="s">
        <v>365</v>
      </c>
      <c r="I337">
        <v>2500626</v>
      </c>
      <c r="J337" t="s">
        <v>1444</v>
      </c>
      <c r="K337" t="s">
        <v>1445</v>
      </c>
      <c r="L337" t="s">
        <v>390</v>
      </c>
      <c r="N337" t="s">
        <v>1446</v>
      </c>
      <c r="O337" t="s">
        <v>1447</v>
      </c>
      <c r="R337" t="s">
        <v>395</v>
      </c>
      <c r="S337" s="34" t="s">
        <v>1448</v>
      </c>
    </row>
    <row r="338" spans="1:19" ht="409.5" x14ac:dyDescent="0.15">
      <c r="A338" t="s">
        <v>1435</v>
      </c>
      <c r="B338" s="61">
        <v>47696</v>
      </c>
      <c r="E338" t="s">
        <v>355</v>
      </c>
      <c r="F338" t="s">
        <v>364</v>
      </c>
      <c r="H338" t="s">
        <v>353</v>
      </c>
      <c r="I338">
        <v>2501141</v>
      </c>
      <c r="J338" t="s">
        <v>1449</v>
      </c>
      <c r="K338" t="s">
        <v>1450</v>
      </c>
      <c r="L338" t="s">
        <v>1451</v>
      </c>
      <c r="N338" t="s">
        <v>1452</v>
      </c>
      <c r="O338" t="s">
        <v>1453</v>
      </c>
      <c r="R338" s="34" t="s">
        <v>768</v>
      </c>
      <c r="S338" s="34" t="s">
        <v>1454</v>
      </c>
    </row>
    <row r="339" spans="1:19" ht="409.5" x14ac:dyDescent="0.15">
      <c r="A339" t="s">
        <v>1435</v>
      </c>
      <c r="B339" s="61">
        <v>47727</v>
      </c>
      <c r="E339" t="s">
        <v>355</v>
      </c>
      <c r="F339" t="s">
        <v>385</v>
      </c>
      <c r="H339" t="s">
        <v>353</v>
      </c>
      <c r="I339">
        <v>2500025</v>
      </c>
      <c r="J339" t="s">
        <v>376</v>
      </c>
      <c r="K339" t="s">
        <v>1455</v>
      </c>
      <c r="L339" t="s">
        <v>1456</v>
      </c>
      <c r="N339" t="s">
        <v>1457</v>
      </c>
      <c r="O339" t="s">
        <v>1458</v>
      </c>
      <c r="R339" t="s">
        <v>386</v>
      </c>
      <c r="S339" s="34" t="s">
        <v>1523</v>
      </c>
    </row>
    <row r="340" spans="1:19" ht="216" x14ac:dyDescent="0.15">
      <c r="A340" t="s">
        <v>1435</v>
      </c>
      <c r="B340" s="61">
        <v>47727</v>
      </c>
      <c r="E340" t="s">
        <v>355</v>
      </c>
      <c r="F340" t="s">
        <v>385</v>
      </c>
      <c r="H340" t="s">
        <v>365</v>
      </c>
      <c r="I340">
        <v>2501142</v>
      </c>
      <c r="J340" t="s">
        <v>1460</v>
      </c>
      <c r="K340" t="s">
        <v>1461</v>
      </c>
      <c r="L340" t="s">
        <v>1462</v>
      </c>
      <c r="N340" t="s">
        <v>1463</v>
      </c>
      <c r="O340" t="s">
        <v>1464</v>
      </c>
      <c r="R340" t="s">
        <v>395</v>
      </c>
      <c r="S340" s="34" t="s">
        <v>1465</v>
      </c>
    </row>
    <row r="341" spans="1:19" ht="409.5" x14ac:dyDescent="0.15">
      <c r="A341" t="s">
        <v>1435</v>
      </c>
      <c r="B341" s="61">
        <v>47727</v>
      </c>
      <c r="E341" t="s">
        <v>355</v>
      </c>
      <c r="F341" t="s">
        <v>385</v>
      </c>
      <c r="H341" t="s">
        <v>353</v>
      </c>
      <c r="I341">
        <v>2501142</v>
      </c>
      <c r="J341" t="s">
        <v>1460</v>
      </c>
      <c r="K341" t="s">
        <v>1461</v>
      </c>
      <c r="L341" t="s">
        <v>1462</v>
      </c>
      <c r="N341" t="s">
        <v>1466</v>
      </c>
      <c r="O341" t="s">
        <v>1464</v>
      </c>
      <c r="R341" t="s">
        <v>386</v>
      </c>
      <c r="S341" s="34" t="s">
        <v>1467</v>
      </c>
    </row>
    <row r="342" spans="1:19" ht="409.5" x14ac:dyDescent="0.15">
      <c r="A342" t="s">
        <v>1435</v>
      </c>
      <c r="B342" s="61">
        <v>47757</v>
      </c>
      <c r="E342" t="s">
        <v>355</v>
      </c>
      <c r="F342" t="s">
        <v>385</v>
      </c>
      <c r="H342" t="s">
        <v>353</v>
      </c>
      <c r="I342">
        <v>2501141</v>
      </c>
      <c r="J342" t="s">
        <v>1449</v>
      </c>
      <c r="K342" t="s">
        <v>1450</v>
      </c>
      <c r="L342" t="s">
        <v>1451</v>
      </c>
      <c r="N342" t="s">
        <v>1468</v>
      </c>
      <c r="O342" t="s">
        <v>1453</v>
      </c>
      <c r="R342" s="34" t="s">
        <v>768</v>
      </c>
      <c r="S342" s="34" t="s">
        <v>1469</v>
      </c>
    </row>
    <row r="343" spans="1:19" ht="351" x14ac:dyDescent="0.15">
      <c r="A343" t="s">
        <v>1435</v>
      </c>
      <c r="B343" s="61">
        <v>47818</v>
      </c>
      <c r="E343" t="s">
        <v>355</v>
      </c>
      <c r="F343" t="s">
        <v>385</v>
      </c>
      <c r="H343" t="s">
        <v>353</v>
      </c>
      <c r="I343">
        <v>2500627</v>
      </c>
      <c r="J343" t="s">
        <v>1475</v>
      </c>
      <c r="K343" t="s">
        <v>1445</v>
      </c>
      <c r="L343" t="s">
        <v>1476</v>
      </c>
      <c r="N343" t="s">
        <v>1477</v>
      </c>
      <c r="O343" t="s">
        <v>1478</v>
      </c>
      <c r="R343" t="s">
        <v>386</v>
      </c>
      <c r="S343" s="34" t="s">
        <v>1479</v>
      </c>
    </row>
    <row r="344" spans="1:19" x14ac:dyDescent="0.15">
      <c r="A344" t="s">
        <v>1435</v>
      </c>
      <c r="B344" s="61">
        <v>47849</v>
      </c>
      <c r="E344" t="s">
        <v>355</v>
      </c>
      <c r="F344" t="s">
        <v>364</v>
      </c>
      <c r="H344" t="s">
        <v>353</v>
      </c>
      <c r="I344">
        <v>2500792</v>
      </c>
      <c r="J344" t="s">
        <v>1484</v>
      </c>
      <c r="K344" t="s">
        <v>1485</v>
      </c>
      <c r="L344" t="s">
        <v>390</v>
      </c>
      <c r="N344" t="s">
        <v>1486</v>
      </c>
      <c r="O344" t="s">
        <v>1487</v>
      </c>
    </row>
    <row r="345" spans="1:19" x14ac:dyDescent="0.15">
      <c r="A345" t="s">
        <v>1435</v>
      </c>
      <c r="B345" s="61">
        <v>48122</v>
      </c>
      <c r="E345" t="s">
        <v>355</v>
      </c>
      <c r="F345" t="s">
        <v>364</v>
      </c>
      <c r="H345" t="s">
        <v>353</v>
      </c>
      <c r="I345">
        <v>2500779</v>
      </c>
      <c r="J345" t="s">
        <v>1497</v>
      </c>
      <c r="K345" t="s">
        <v>1498</v>
      </c>
      <c r="L345" t="s">
        <v>1499</v>
      </c>
      <c r="N345" t="s">
        <v>1500</v>
      </c>
      <c r="O345" t="s">
        <v>1501</v>
      </c>
    </row>
    <row r="346" spans="1:19" ht="243" x14ac:dyDescent="0.15">
      <c r="A346" t="s">
        <v>1524</v>
      </c>
      <c r="B346" s="61">
        <v>46327</v>
      </c>
      <c r="E346" t="s">
        <v>355</v>
      </c>
      <c r="F346" t="s">
        <v>385</v>
      </c>
      <c r="H346" t="s">
        <v>365</v>
      </c>
      <c r="I346">
        <v>2501051</v>
      </c>
      <c r="J346" t="s">
        <v>1525</v>
      </c>
      <c r="K346" t="s">
        <v>1445</v>
      </c>
      <c r="L346" t="s">
        <v>1526</v>
      </c>
      <c r="N346" t="s">
        <v>1527</v>
      </c>
      <c r="O346" t="s">
        <v>1528</v>
      </c>
      <c r="R346" t="s">
        <v>395</v>
      </c>
      <c r="S346" s="34" t="s">
        <v>1529</v>
      </c>
    </row>
    <row r="347" spans="1:19" x14ac:dyDescent="0.15">
      <c r="A347" t="s">
        <v>1524</v>
      </c>
      <c r="B347" s="61">
        <v>46388</v>
      </c>
      <c r="E347" t="s">
        <v>355</v>
      </c>
      <c r="F347" t="s">
        <v>364</v>
      </c>
      <c r="H347" t="s">
        <v>365</v>
      </c>
      <c r="I347">
        <v>2500058</v>
      </c>
      <c r="J347" t="s">
        <v>1530</v>
      </c>
      <c r="K347" t="s">
        <v>1531</v>
      </c>
      <c r="L347" t="s">
        <v>390</v>
      </c>
      <c r="N347" t="s">
        <v>1532</v>
      </c>
      <c r="O347" t="s">
        <v>1533</v>
      </c>
    </row>
    <row r="348" spans="1:19" x14ac:dyDescent="0.15">
      <c r="A348" t="s">
        <v>1524</v>
      </c>
      <c r="B348" s="61">
        <v>46447</v>
      </c>
      <c r="E348" t="s">
        <v>355</v>
      </c>
      <c r="F348" t="s">
        <v>364</v>
      </c>
      <c r="H348" t="s">
        <v>365</v>
      </c>
      <c r="I348">
        <v>2500720</v>
      </c>
      <c r="J348" t="s">
        <v>1534</v>
      </c>
      <c r="L348" t="s">
        <v>373</v>
      </c>
      <c r="N348" t="s">
        <v>1535</v>
      </c>
      <c r="O348" t="s">
        <v>1536</v>
      </c>
    </row>
    <row r="349" spans="1:19" x14ac:dyDescent="0.15">
      <c r="A349" t="s">
        <v>1524</v>
      </c>
      <c r="B349" s="61">
        <v>46478</v>
      </c>
      <c r="E349" t="s">
        <v>355</v>
      </c>
      <c r="F349" t="s">
        <v>364</v>
      </c>
      <c r="H349" t="s">
        <v>365</v>
      </c>
      <c r="I349">
        <v>2501152</v>
      </c>
      <c r="J349" t="s">
        <v>1537</v>
      </c>
      <c r="K349" t="s">
        <v>1538</v>
      </c>
      <c r="L349" t="s">
        <v>1539</v>
      </c>
      <c r="N349" t="s">
        <v>1540</v>
      </c>
      <c r="O349" t="s">
        <v>1541</v>
      </c>
    </row>
    <row r="350" spans="1:19" ht="409.5" x14ac:dyDescent="0.15">
      <c r="A350" t="s">
        <v>1524</v>
      </c>
      <c r="B350" s="61">
        <v>46569</v>
      </c>
      <c r="E350" t="s">
        <v>355</v>
      </c>
      <c r="F350" t="s">
        <v>385</v>
      </c>
      <c r="H350" t="s">
        <v>365</v>
      </c>
      <c r="I350">
        <v>2500770</v>
      </c>
      <c r="J350" t="s">
        <v>1537</v>
      </c>
      <c r="K350" t="s">
        <v>1542</v>
      </c>
      <c r="L350" t="s">
        <v>1543</v>
      </c>
      <c r="N350" t="s">
        <v>1544</v>
      </c>
      <c r="O350" t="s">
        <v>1545</v>
      </c>
      <c r="R350" t="s">
        <v>395</v>
      </c>
      <c r="S350" s="34" t="s">
        <v>1546</v>
      </c>
    </row>
    <row r="351" spans="1:19" x14ac:dyDescent="0.15">
      <c r="A351" t="s">
        <v>1524</v>
      </c>
      <c r="B351" s="61">
        <v>46569</v>
      </c>
      <c r="E351" t="s">
        <v>355</v>
      </c>
      <c r="F351" t="s">
        <v>364</v>
      </c>
      <c r="H351" t="s">
        <v>365</v>
      </c>
      <c r="I351">
        <v>2500817</v>
      </c>
      <c r="J351" t="s">
        <v>1547</v>
      </c>
      <c r="L351" t="s">
        <v>1548</v>
      </c>
      <c r="N351" t="s">
        <v>1549</v>
      </c>
      <c r="O351" t="s">
        <v>1550</v>
      </c>
    </row>
    <row r="352" spans="1:19" x14ac:dyDescent="0.15">
      <c r="A352" t="s">
        <v>1524</v>
      </c>
      <c r="B352" s="61">
        <v>46692</v>
      </c>
      <c r="E352" t="s">
        <v>355</v>
      </c>
      <c r="F352" t="s">
        <v>364</v>
      </c>
      <c r="H352" t="s">
        <v>353</v>
      </c>
      <c r="I352">
        <v>2500212</v>
      </c>
      <c r="J352" t="s">
        <v>1302</v>
      </c>
      <c r="K352" t="s">
        <v>1551</v>
      </c>
      <c r="L352" t="s">
        <v>1552</v>
      </c>
      <c r="N352" t="s">
        <v>1553</v>
      </c>
      <c r="O352" t="s">
        <v>1554</v>
      </c>
    </row>
    <row r="353" spans="1:19" x14ac:dyDescent="0.15">
      <c r="A353" t="s">
        <v>1524</v>
      </c>
      <c r="B353" s="61">
        <v>46784</v>
      </c>
      <c r="E353" t="s">
        <v>355</v>
      </c>
      <c r="F353" t="s">
        <v>364</v>
      </c>
      <c r="H353" t="s">
        <v>365</v>
      </c>
      <c r="I353">
        <v>2501098</v>
      </c>
      <c r="J353" t="s">
        <v>1480</v>
      </c>
      <c r="K353" t="s">
        <v>1555</v>
      </c>
      <c r="L353" t="s">
        <v>413</v>
      </c>
      <c r="N353" t="s">
        <v>1556</v>
      </c>
      <c r="O353" t="s">
        <v>1557</v>
      </c>
    </row>
    <row r="354" spans="1:19" x14ac:dyDescent="0.15">
      <c r="A354" t="s">
        <v>1524</v>
      </c>
      <c r="B354" s="61">
        <v>46813</v>
      </c>
      <c r="E354" t="s">
        <v>355</v>
      </c>
      <c r="F354" t="s">
        <v>364</v>
      </c>
      <c r="H354" t="s">
        <v>353</v>
      </c>
      <c r="I354">
        <v>2500866</v>
      </c>
      <c r="J354" t="s">
        <v>1460</v>
      </c>
      <c r="K354" t="s">
        <v>1558</v>
      </c>
      <c r="L354" t="s">
        <v>1559</v>
      </c>
      <c r="N354" t="s">
        <v>1560</v>
      </c>
      <c r="O354" t="s">
        <v>1561</v>
      </c>
    </row>
    <row r="355" spans="1:19" x14ac:dyDescent="0.15">
      <c r="A355" t="s">
        <v>1524</v>
      </c>
      <c r="B355" s="61">
        <v>46935</v>
      </c>
      <c r="E355" t="s">
        <v>355</v>
      </c>
      <c r="F355" t="s">
        <v>364</v>
      </c>
      <c r="H355" t="s">
        <v>353</v>
      </c>
      <c r="I355">
        <v>2500745</v>
      </c>
      <c r="J355" t="s">
        <v>1562</v>
      </c>
      <c r="K355" t="s">
        <v>1563</v>
      </c>
      <c r="L355" t="s">
        <v>390</v>
      </c>
      <c r="N355" t="s">
        <v>1564</v>
      </c>
      <c r="O355" t="s">
        <v>1565</v>
      </c>
    </row>
    <row r="356" spans="1:19" x14ac:dyDescent="0.15">
      <c r="A356" t="s">
        <v>1524</v>
      </c>
      <c r="B356" s="61">
        <v>46997</v>
      </c>
      <c r="E356" t="s">
        <v>355</v>
      </c>
      <c r="F356" t="s">
        <v>364</v>
      </c>
      <c r="H356" t="s">
        <v>365</v>
      </c>
      <c r="I356">
        <v>2501111</v>
      </c>
      <c r="J356" t="s">
        <v>1460</v>
      </c>
      <c r="K356" t="s">
        <v>1558</v>
      </c>
      <c r="L356" t="s">
        <v>1566</v>
      </c>
      <c r="N356" t="s">
        <v>1567</v>
      </c>
      <c r="O356" t="s">
        <v>1568</v>
      </c>
    </row>
    <row r="357" spans="1:19" x14ac:dyDescent="0.15">
      <c r="A357" t="s">
        <v>1524</v>
      </c>
      <c r="B357" s="61">
        <v>46997</v>
      </c>
      <c r="E357" t="s">
        <v>355</v>
      </c>
      <c r="F357" t="s">
        <v>364</v>
      </c>
      <c r="H357" t="s">
        <v>353</v>
      </c>
      <c r="I357">
        <v>2501111</v>
      </c>
      <c r="J357" t="s">
        <v>1460</v>
      </c>
      <c r="K357" t="s">
        <v>1558</v>
      </c>
      <c r="L357" t="s">
        <v>1566</v>
      </c>
      <c r="N357" t="s">
        <v>1569</v>
      </c>
      <c r="O357" t="s">
        <v>1568</v>
      </c>
    </row>
    <row r="358" spans="1:19" x14ac:dyDescent="0.15">
      <c r="A358" t="s">
        <v>1524</v>
      </c>
      <c r="B358" s="61">
        <v>46997</v>
      </c>
      <c r="E358" t="s">
        <v>355</v>
      </c>
      <c r="F358" t="s">
        <v>364</v>
      </c>
      <c r="H358" t="s">
        <v>365</v>
      </c>
      <c r="I358">
        <v>2500254</v>
      </c>
      <c r="J358" t="s">
        <v>1570</v>
      </c>
      <c r="K358" t="s">
        <v>1571</v>
      </c>
      <c r="L358" t="s">
        <v>390</v>
      </c>
      <c r="N358" t="s">
        <v>1572</v>
      </c>
      <c r="O358" t="s">
        <v>1573</v>
      </c>
    </row>
    <row r="359" spans="1:19" x14ac:dyDescent="0.15">
      <c r="A359" t="s">
        <v>1524</v>
      </c>
      <c r="B359" s="61">
        <v>47027</v>
      </c>
      <c r="E359" t="s">
        <v>355</v>
      </c>
      <c r="F359" t="s">
        <v>720</v>
      </c>
      <c r="H359" t="s">
        <v>353</v>
      </c>
      <c r="I359">
        <v>2500017</v>
      </c>
      <c r="J359" t="s">
        <v>1574</v>
      </c>
      <c r="K359" t="s">
        <v>1551</v>
      </c>
      <c r="L359" t="s">
        <v>1575</v>
      </c>
      <c r="N359" t="s">
        <v>1576</v>
      </c>
      <c r="O359" t="s">
        <v>1577</v>
      </c>
    </row>
    <row r="360" spans="1:19" x14ac:dyDescent="0.15">
      <c r="A360" t="s">
        <v>1524</v>
      </c>
      <c r="B360" s="61">
        <v>47027</v>
      </c>
      <c r="E360" t="s">
        <v>355</v>
      </c>
      <c r="F360" t="s">
        <v>364</v>
      </c>
      <c r="H360" t="s">
        <v>353</v>
      </c>
      <c r="I360">
        <v>2500737</v>
      </c>
      <c r="J360" t="s">
        <v>1578</v>
      </c>
      <c r="K360" t="s">
        <v>1579</v>
      </c>
      <c r="L360" t="s">
        <v>390</v>
      </c>
      <c r="N360" t="s">
        <v>1580</v>
      </c>
      <c r="O360" t="s">
        <v>1581</v>
      </c>
    </row>
    <row r="361" spans="1:19" x14ac:dyDescent="0.15">
      <c r="A361" t="s">
        <v>1524</v>
      </c>
      <c r="B361" s="61">
        <v>47119</v>
      </c>
      <c r="E361" t="s">
        <v>355</v>
      </c>
      <c r="F361" t="s">
        <v>364</v>
      </c>
      <c r="H361" t="s">
        <v>353</v>
      </c>
      <c r="I361">
        <v>2501122</v>
      </c>
      <c r="J361" t="s">
        <v>1582</v>
      </c>
      <c r="K361" t="s">
        <v>1583</v>
      </c>
      <c r="L361" t="s">
        <v>1584</v>
      </c>
      <c r="N361" t="s">
        <v>1585</v>
      </c>
      <c r="O361" t="s">
        <v>1586</v>
      </c>
    </row>
    <row r="362" spans="1:19" x14ac:dyDescent="0.15">
      <c r="A362" t="s">
        <v>1524</v>
      </c>
      <c r="B362" s="61">
        <v>47119</v>
      </c>
      <c r="E362" t="s">
        <v>355</v>
      </c>
      <c r="F362" t="s">
        <v>364</v>
      </c>
      <c r="H362" t="s">
        <v>365</v>
      </c>
      <c r="I362">
        <v>2500747</v>
      </c>
      <c r="J362" t="s">
        <v>1587</v>
      </c>
      <c r="K362" t="s">
        <v>1551</v>
      </c>
      <c r="L362" t="s">
        <v>1588</v>
      </c>
      <c r="N362" t="s">
        <v>1589</v>
      </c>
      <c r="O362" t="s">
        <v>1590</v>
      </c>
    </row>
    <row r="363" spans="1:19" ht="409.5" x14ac:dyDescent="0.15">
      <c r="A363" t="s">
        <v>1524</v>
      </c>
      <c r="B363" s="61">
        <v>47453</v>
      </c>
      <c r="E363" t="s">
        <v>355</v>
      </c>
      <c r="F363" t="s">
        <v>385</v>
      </c>
      <c r="H363" t="s">
        <v>365</v>
      </c>
      <c r="I363">
        <v>2500770</v>
      </c>
      <c r="J363" t="s">
        <v>1537</v>
      </c>
      <c r="K363" t="s">
        <v>1542</v>
      </c>
      <c r="L363" t="s">
        <v>1543</v>
      </c>
      <c r="N363" t="s">
        <v>1591</v>
      </c>
      <c r="O363" t="s">
        <v>1545</v>
      </c>
      <c r="R363" t="s">
        <v>395</v>
      </c>
      <c r="S363" s="34" t="s">
        <v>1592</v>
      </c>
    </row>
    <row r="364" spans="1:19" x14ac:dyDescent="0.15">
      <c r="A364" t="s">
        <v>1524</v>
      </c>
      <c r="B364" s="61">
        <v>47939</v>
      </c>
      <c r="E364" t="s">
        <v>355</v>
      </c>
      <c r="F364" t="s">
        <v>364</v>
      </c>
      <c r="H364" t="s">
        <v>365</v>
      </c>
      <c r="I364">
        <v>2501152</v>
      </c>
      <c r="J364" t="s">
        <v>1537</v>
      </c>
      <c r="K364" t="s">
        <v>1538</v>
      </c>
      <c r="L364" t="s">
        <v>1539</v>
      </c>
      <c r="N364" t="s">
        <v>1540</v>
      </c>
      <c r="O364" t="s">
        <v>1541</v>
      </c>
    </row>
    <row r="365" spans="1:19" ht="202.5" x14ac:dyDescent="0.15">
      <c r="A365" t="s">
        <v>1095</v>
      </c>
      <c r="B365" s="61">
        <v>46113</v>
      </c>
      <c r="E365" t="s">
        <v>355</v>
      </c>
      <c r="F365" t="s">
        <v>385</v>
      </c>
      <c r="H365" t="s">
        <v>353</v>
      </c>
      <c r="I365">
        <v>3900094</v>
      </c>
      <c r="J365" t="s">
        <v>1065</v>
      </c>
      <c r="K365" t="s">
        <v>1596</v>
      </c>
      <c r="L365" t="s">
        <v>1066</v>
      </c>
      <c r="N365" t="s">
        <v>1597</v>
      </c>
      <c r="O365" t="s">
        <v>1598</v>
      </c>
      <c r="P365" t="s">
        <v>5189</v>
      </c>
      <c r="Q365" t="s">
        <v>5190</v>
      </c>
      <c r="R365" t="s">
        <v>386</v>
      </c>
      <c r="S365" s="34" t="s">
        <v>1599</v>
      </c>
    </row>
    <row r="366" spans="1:19" ht="337.5" x14ac:dyDescent="0.15">
      <c r="A366" t="s">
        <v>1095</v>
      </c>
      <c r="B366" s="61">
        <v>46174</v>
      </c>
      <c r="E366" t="s">
        <v>355</v>
      </c>
      <c r="F366" t="s">
        <v>385</v>
      </c>
      <c r="H366" t="s">
        <v>353</v>
      </c>
      <c r="I366">
        <v>3900022</v>
      </c>
      <c r="J366" t="s">
        <v>1065</v>
      </c>
      <c r="K366" t="s">
        <v>1600</v>
      </c>
      <c r="L366" t="s">
        <v>1114</v>
      </c>
      <c r="N366" t="s">
        <v>1601</v>
      </c>
      <c r="O366" t="s">
        <v>1602</v>
      </c>
      <c r="P366" t="s">
        <v>5191</v>
      </c>
      <c r="Q366" t="s">
        <v>5190</v>
      </c>
      <c r="R366" t="s">
        <v>386</v>
      </c>
      <c r="S366" s="34" t="s">
        <v>1603</v>
      </c>
    </row>
    <row r="367" spans="1:19" x14ac:dyDescent="0.15">
      <c r="A367" t="s">
        <v>1593</v>
      </c>
      <c r="B367" s="61">
        <v>46844</v>
      </c>
      <c r="E367" t="s">
        <v>355</v>
      </c>
      <c r="F367" t="s">
        <v>364</v>
      </c>
      <c r="H367" t="s">
        <v>353</v>
      </c>
      <c r="I367">
        <v>3800025</v>
      </c>
      <c r="J367" t="s">
        <v>1604</v>
      </c>
      <c r="L367" t="s">
        <v>1605</v>
      </c>
      <c r="N367" t="s">
        <v>1606</v>
      </c>
      <c r="O367" t="s">
        <v>1607</v>
      </c>
    </row>
    <row r="368" spans="1:19" ht="243" x14ac:dyDescent="0.15">
      <c r="A368" t="s">
        <v>1095</v>
      </c>
      <c r="B368" s="61">
        <v>47119</v>
      </c>
      <c r="E368" t="s">
        <v>355</v>
      </c>
      <c r="F368" t="s">
        <v>385</v>
      </c>
      <c r="H368" t="s">
        <v>365</v>
      </c>
      <c r="I368">
        <v>3900106</v>
      </c>
      <c r="J368" t="s">
        <v>1608</v>
      </c>
      <c r="K368" t="s">
        <v>1609</v>
      </c>
      <c r="L368" t="s">
        <v>1610</v>
      </c>
      <c r="N368" t="s">
        <v>1611</v>
      </c>
      <c r="O368" t="s">
        <v>1612</v>
      </c>
      <c r="S368" s="34" t="s">
        <v>1613</v>
      </c>
    </row>
    <row r="369" spans="1:19" ht="409.5" x14ac:dyDescent="0.15">
      <c r="A369" t="s">
        <v>1614</v>
      </c>
      <c r="B369" s="61">
        <v>46204</v>
      </c>
      <c r="E369" t="s">
        <v>355</v>
      </c>
      <c r="F369" t="s">
        <v>356</v>
      </c>
      <c r="H369" t="s">
        <v>353</v>
      </c>
      <c r="I369">
        <v>2000954</v>
      </c>
      <c r="J369" t="s">
        <v>1615</v>
      </c>
      <c r="K369" t="s">
        <v>1251</v>
      </c>
      <c r="L369" t="s">
        <v>1616</v>
      </c>
      <c r="N369" t="s">
        <v>1617</v>
      </c>
      <c r="O369" t="s">
        <v>1618</v>
      </c>
      <c r="R369" t="s">
        <v>362</v>
      </c>
      <c r="S369" s="34" t="s">
        <v>1619</v>
      </c>
    </row>
    <row r="370" spans="1:19" ht="409.5" x14ac:dyDescent="0.15">
      <c r="A370" t="s">
        <v>1614</v>
      </c>
      <c r="B370" s="61">
        <v>46327</v>
      </c>
      <c r="E370" t="s">
        <v>355</v>
      </c>
      <c r="F370" t="s">
        <v>385</v>
      </c>
      <c r="H370" t="s">
        <v>353</v>
      </c>
      <c r="I370">
        <v>2000773</v>
      </c>
      <c r="J370" t="s">
        <v>1620</v>
      </c>
      <c r="K370" t="s">
        <v>1621</v>
      </c>
      <c r="L370" t="s">
        <v>1087</v>
      </c>
      <c r="N370" t="s">
        <v>1622</v>
      </c>
      <c r="O370" t="s">
        <v>1623</v>
      </c>
      <c r="R370" t="s">
        <v>386</v>
      </c>
      <c r="S370" s="34" t="s">
        <v>1624</v>
      </c>
    </row>
    <row r="371" spans="1:19" ht="243" x14ac:dyDescent="0.15">
      <c r="A371" t="s">
        <v>1614</v>
      </c>
      <c r="B371" s="61">
        <v>46357</v>
      </c>
      <c r="E371" t="s">
        <v>355</v>
      </c>
      <c r="F371" t="s">
        <v>385</v>
      </c>
      <c r="H371" t="s">
        <v>365</v>
      </c>
      <c r="I371">
        <v>2000900</v>
      </c>
      <c r="J371" t="s">
        <v>1625</v>
      </c>
      <c r="K371" t="s">
        <v>1626</v>
      </c>
      <c r="L371" t="s">
        <v>390</v>
      </c>
      <c r="N371" t="s">
        <v>1627</v>
      </c>
      <c r="O371" t="s">
        <v>1628</v>
      </c>
      <c r="R371" t="s">
        <v>395</v>
      </c>
      <c r="S371" s="34" t="s">
        <v>1629</v>
      </c>
    </row>
    <row r="372" spans="1:19" x14ac:dyDescent="0.15">
      <c r="A372" t="s">
        <v>1614</v>
      </c>
      <c r="B372" s="61">
        <v>46447</v>
      </c>
      <c r="E372" t="s">
        <v>355</v>
      </c>
      <c r="F372" t="s">
        <v>364</v>
      </c>
      <c r="H372" t="s">
        <v>353</v>
      </c>
      <c r="I372">
        <v>2000905</v>
      </c>
      <c r="J372" t="s">
        <v>1570</v>
      </c>
      <c r="K372" t="s">
        <v>1630</v>
      </c>
      <c r="L372" t="s">
        <v>1631</v>
      </c>
      <c r="N372" t="s">
        <v>1632</v>
      </c>
      <c r="O372" t="s">
        <v>1633</v>
      </c>
    </row>
    <row r="373" spans="1:19" x14ac:dyDescent="0.15">
      <c r="A373" t="s">
        <v>1614</v>
      </c>
      <c r="B373" s="61">
        <v>46539</v>
      </c>
      <c r="E373" t="s">
        <v>355</v>
      </c>
      <c r="F373" t="s">
        <v>364</v>
      </c>
      <c r="H373" t="s">
        <v>365</v>
      </c>
      <c r="I373">
        <v>2000239</v>
      </c>
      <c r="J373" t="s">
        <v>1634</v>
      </c>
      <c r="K373" t="s">
        <v>1635</v>
      </c>
      <c r="L373" t="s">
        <v>378</v>
      </c>
      <c r="N373" t="s">
        <v>1636</v>
      </c>
      <c r="O373" t="s">
        <v>1637</v>
      </c>
    </row>
    <row r="374" spans="1:19" x14ac:dyDescent="0.15">
      <c r="A374" t="s">
        <v>1614</v>
      </c>
      <c r="B374" s="61">
        <v>46569</v>
      </c>
      <c r="E374" t="s">
        <v>355</v>
      </c>
      <c r="F374" t="s">
        <v>364</v>
      </c>
      <c r="H374" t="s">
        <v>353</v>
      </c>
      <c r="I374">
        <v>2000907</v>
      </c>
      <c r="J374" t="s">
        <v>1638</v>
      </c>
      <c r="L374" t="s">
        <v>1639</v>
      </c>
      <c r="N374" t="s">
        <v>1640</v>
      </c>
      <c r="O374" t="s">
        <v>1641</v>
      </c>
    </row>
    <row r="375" spans="1:19" ht="216" x14ac:dyDescent="0.15">
      <c r="A375" t="s">
        <v>1614</v>
      </c>
      <c r="B375" s="61">
        <v>46600</v>
      </c>
      <c r="E375" t="s">
        <v>355</v>
      </c>
      <c r="F375" t="s">
        <v>385</v>
      </c>
      <c r="H375" t="s">
        <v>353</v>
      </c>
      <c r="I375">
        <v>2000773</v>
      </c>
      <c r="J375" t="s">
        <v>1620</v>
      </c>
      <c r="K375" t="s">
        <v>1621</v>
      </c>
      <c r="L375" t="s">
        <v>1087</v>
      </c>
      <c r="N375" t="s">
        <v>1642</v>
      </c>
      <c r="O375" t="s">
        <v>1623</v>
      </c>
      <c r="R375" t="s">
        <v>386</v>
      </c>
      <c r="S375" s="34" t="s">
        <v>1643</v>
      </c>
    </row>
    <row r="376" spans="1:19" x14ac:dyDescent="0.15">
      <c r="A376" t="s">
        <v>1614</v>
      </c>
      <c r="B376" s="61">
        <v>46661</v>
      </c>
      <c r="E376" t="s">
        <v>355</v>
      </c>
      <c r="F376" t="s">
        <v>364</v>
      </c>
      <c r="H376" t="s">
        <v>353</v>
      </c>
      <c r="I376">
        <v>2000960</v>
      </c>
      <c r="J376" t="s">
        <v>1644</v>
      </c>
      <c r="K376" t="s">
        <v>1645</v>
      </c>
      <c r="L376" t="s">
        <v>413</v>
      </c>
      <c r="N376" t="s">
        <v>1646</v>
      </c>
      <c r="O376" t="s">
        <v>1647</v>
      </c>
    </row>
    <row r="377" spans="1:19" x14ac:dyDescent="0.15">
      <c r="A377" t="s">
        <v>1614</v>
      </c>
      <c r="B377" s="61">
        <v>46722</v>
      </c>
      <c r="E377" t="s">
        <v>355</v>
      </c>
      <c r="F377" t="s">
        <v>364</v>
      </c>
      <c r="H377" t="s">
        <v>353</v>
      </c>
      <c r="I377">
        <v>2000700</v>
      </c>
      <c r="J377" t="s">
        <v>1648</v>
      </c>
      <c r="L377" t="s">
        <v>1276</v>
      </c>
      <c r="N377" t="s">
        <v>1649</v>
      </c>
      <c r="O377" t="s">
        <v>1650</v>
      </c>
    </row>
    <row r="378" spans="1:19" x14ac:dyDescent="0.15">
      <c r="A378" t="s">
        <v>1614</v>
      </c>
      <c r="B378" s="61">
        <v>46753</v>
      </c>
      <c r="E378" t="s">
        <v>355</v>
      </c>
      <c r="F378" t="s">
        <v>364</v>
      </c>
      <c r="H378" t="s">
        <v>365</v>
      </c>
      <c r="I378">
        <v>2000107</v>
      </c>
      <c r="J378" t="s">
        <v>1651</v>
      </c>
      <c r="L378" t="s">
        <v>1652</v>
      </c>
      <c r="N378" t="s">
        <v>1653</v>
      </c>
      <c r="O378" t="s">
        <v>1654</v>
      </c>
    </row>
    <row r="379" spans="1:19" x14ac:dyDescent="0.15">
      <c r="A379" t="s">
        <v>1614</v>
      </c>
      <c r="B379" s="61">
        <v>46813</v>
      </c>
      <c r="E379" t="s">
        <v>355</v>
      </c>
      <c r="F379" t="s">
        <v>364</v>
      </c>
      <c r="H379" t="s">
        <v>365</v>
      </c>
      <c r="I379">
        <v>2000291</v>
      </c>
      <c r="J379" t="s">
        <v>1655</v>
      </c>
      <c r="K379" t="s">
        <v>1656</v>
      </c>
      <c r="L379" t="s">
        <v>1657</v>
      </c>
      <c r="N379" t="s">
        <v>1658</v>
      </c>
      <c r="O379" t="s">
        <v>1659</v>
      </c>
    </row>
    <row r="380" spans="1:19" x14ac:dyDescent="0.15">
      <c r="A380" t="s">
        <v>1614</v>
      </c>
      <c r="B380" s="61">
        <v>46844</v>
      </c>
      <c r="E380" t="s">
        <v>355</v>
      </c>
      <c r="F380" t="s">
        <v>364</v>
      </c>
      <c r="H380" t="s">
        <v>365</v>
      </c>
      <c r="I380">
        <v>2000677</v>
      </c>
      <c r="J380" t="s">
        <v>1660</v>
      </c>
      <c r="K380" t="s">
        <v>1661</v>
      </c>
      <c r="L380" t="s">
        <v>698</v>
      </c>
      <c r="N380" t="s">
        <v>1662</v>
      </c>
      <c r="O380" t="s">
        <v>1663</v>
      </c>
    </row>
    <row r="381" spans="1:19" x14ac:dyDescent="0.15">
      <c r="A381" t="s">
        <v>1614</v>
      </c>
      <c r="B381" s="61">
        <v>46874</v>
      </c>
      <c r="E381" t="s">
        <v>355</v>
      </c>
      <c r="F381" t="s">
        <v>364</v>
      </c>
      <c r="H381" t="s">
        <v>353</v>
      </c>
      <c r="I381">
        <v>2000670</v>
      </c>
      <c r="J381" t="s">
        <v>1664</v>
      </c>
      <c r="K381" t="s">
        <v>1251</v>
      </c>
      <c r="L381" t="s">
        <v>1665</v>
      </c>
      <c r="N381" t="s">
        <v>1666</v>
      </c>
      <c r="O381" t="s">
        <v>1667</v>
      </c>
    </row>
    <row r="382" spans="1:19" x14ac:dyDescent="0.15">
      <c r="A382" t="s">
        <v>1614</v>
      </c>
      <c r="B382" s="61">
        <v>46935</v>
      </c>
      <c r="E382" t="s">
        <v>355</v>
      </c>
      <c r="F382" t="s">
        <v>364</v>
      </c>
      <c r="H382" t="s">
        <v>353</v>
      </c>
      <c r="I382">
        <v>2000443</v>
      </c>
      <c r="J382" t="s">
        <v>1668</v>
      </c>
      <c r="L382" t="s">
        <v>1669</v>
      </c>
      <c r="N382" t="s">
        <v>1670</v>
      </c>
      <c r="O382" t="s">
        <v>1671</v>
      </c>
    </row>
    <row r="383" spans="1:19" x14ac:dyDescent="0.15">
      <c r="A383" t="s">
        <v>1614</v>
      </c>
      <c r="B383" s="61">
        <v>46966</v>
      </c>
      <c r="E383" t="s">
        <v>355</v>
      </c>
      <c r="F383" t="s">
        <v>364</v>
      </c>
      <c r="H383" t="s">
        <v>353</v>
      </c>
      <c r="I383">
        <v>2000842</v>
      </c>
      <c r="J383" t="s">
        <v>1672</v>
      </c>
      <c r="L383" t="s">
        <v>1673</v>
      </c>
      <c r="N383" t="s">
        <v>1674</v>
      </c>
      <c r="O383" t="s">
        <v>1675</v>
      </c>
    </row>
    <row r="384" spans="1:19" ht="409.5" x14ac:dyDescent="0.15">
      <c r="A384" t="s">
        <v>1614</v>
      </c>
      <c r="B384" s="61">
        <v>46966</v>
      </c>
      <c r="E384" t="s">
        <v>355</v>
      </c>
      <c r="F384" t="s">
        <v>385</v>
      </c>
      <c r="H384" t="s">
        <v>353</v>
      </c>
      <c r="I384">
        <v>2000230</v>
      </c>
      <c r="J384" t="s">
        <v>873</v>
      </c>
      <c r="K384" t="s">
        <v>1676</v>
      </c>
      <c r="L384" t="s">
        <v>1087</v>
      </c>
      <c r="N384" t="s">
        <v>1677</v>
      </c>
      <c r="O384" t="s">
        <v>1678</v>
      </c>
      <c r="R384" t="s">
        <v>386</v>
      </c>
      <c r="S384" s="34" t="s">
        <v>1679</v>
      </c>
    </row>
    <row r="385" spans="1:19" x14ac:dyDescent="0.15">
      <c r="A385" t="s">
        <v>1614</v>
      </c>
      <c r="B385" s="61">
        <v>46997</v>
      </c>
      <c r="E385" t="s">
        <v>355</v>
      </c>
      <c r="F385" t="s">
        <v>364</v>
      </c>
      <c r="H385" t="s">
        <v>353</v>
      </c>
      <c r="I385">
        <v>2000245</v>
      </c>
      <c r="J385" t="s">
        <v>1680</v>
      </c>
      <c r="K385" t="s">
        <v>1681</v>
      </c>
      <c r="L385" t="s">
        <v>1682</v>
      </c>
      <c r="N385" t="s">
        <v>1683</v>
      </c>
      <c r="O385" t="s">
        <v>1684</v>
      </c>
    </row>
    <row r="386" spans="1:19" x14ac:dyDescent="0.15">
      <c r="A386" t="s">
        <v>1614</v>
      </c>
      <c r="B386" s="61">
        <v>47058</v>
      </c>
      <c r="E386" t="s">
        <v>355</v>
      </c>
      <c r="F386" t="s">
        <v>364</v>
      </c>
      <c r="H386" t="s">
        <v>353</v>
      </c>
      <c r="I386">
        <v>2000035</v>
      </c>
      <c r="J386" t="s">
        <v>1685</v>
      </c>
      <c r="K386" t="s">
        <v>1686</v>
      </c>
      <c r="L386" t="s">
        <v>1687</v>
      </c>
      <c r="N386" t="s">
        <v>1688</v>
      </c>
      <c r="O386" t="s">
        <v>1689</v>
      </c>
    </row>
    <row r="387" spans="1:19" ht="409.5" x14ac:dyDescent="0.15">
      <c r="A387" t="s">
        <v>1614</v>
      </c>
      <c r="B387" s="61">
        <v>47119</v>
      </c>
      <c r="E387" t="s">
        <v>355</v>
      </c>
      <c r="F387" t="s">
        <v>385</v>
      </c>
      <c r="H387" t="s">
        <v>365</v>
      </c>
      <c r="I387">
        <v>2000099</v>
      </c>
      <c r="J387" t="s">
        <v>1690</v>
      </c>
      <c r="K387" t="s">
        <v>1691</v>
      </c>
      <c r="L387" t="s">
        <v>854</v>
      </c>
      <c r="N387" t="s">
        <v>1692</v>
      </c>
      <c r="O387" t="s">
        <v>1693</v>
      </c>
      <c r="R387" t="s">
        <v>395</v>
      </c>
      <c r="S387" s="34" t="s">
        <v>1694</v>
      </c>
    </row>
    <row r="388" spans="1:19" ht="229.5" x14ac:dyDescent="0.15">
      <c r="A388" t="s">
        <v>1614</v>
      </c>
      <c r="B388" s="61">
        <v>47150</v>
      </c>
      <c r="E388" t="s">
        <v>355</v>
      </c>
      <c r="F388" t="s">
        <v>385</v>
      </c>
      <c r="H388" t="s">
        <v>353</v>
      </c>
      <c r="I388">
        <v>2000795</v>
      </c>
      <c r="J388" t="s">
        <v>1695</v>
      </c>
      <c r="K388" t="s">
        <v>1696</v>
      </c>
      <c r="L388" t="s">
        <v>390</v>
      </c>
      <c r="N388" t="s">
        <v>1697</v>
      </c>
      <c r="O388" t="s">
        <v>1698</v>
      </c>
      <c r="R388" t="s">
        <v>386</v>
      </c>
      <c r="S388" s="34" t="s">
        <v>1699</v>
      </c>
    </row>
    <row r="389" spans="1:19" ht="351" x14ac:dyDescent="0.15">
      <c r="A389" t="s">
        <v>1614</v>
      </c>
      <c r="B389" s="61">
        <v>47150</v>
      </c>
      <c r="E389" t="s">
        <v>355</v>
      </c>
      <c r="F389" t="s">
        <v>385</v>
      </c>
      <c r="H389" t="s">
        <v>353</v>
      </c>
      <c r="I389">
        <v>2000710</v>
      </c>
      <c r="J389" t="s">
        <v>1695</v>
      </c>
      <c r="K389" t="s">
        <v>1700</v>
      </c>
      <c r="L389" t="s">
        <v>1701</v>
      </c>
      <c r="N389" t="s">
        <v>1702</v>
      </c>
      <c r="O389" t="s">
        <v>1703</v>
      </c>
      <c r="R389" t="s">
        <v>386</v>
      </c>
      <c r="S389" s="34" t="s">
        <v>1704</v>
      </c>
    </row>
    <row r="390" spans="1:19" ht="391.5" x14ac:dyDescent="0.15">
      <c r="A390" t="s">
        <v>1614</v>
      </c>
      <c r="B390" s="61">
        <v>47392</v>
      </c>
      <c r="E390" t="s">
        <v>355</v>
      </c>
      <c r="F390" t="s">
        <v>385</v>
      </c>
      <c r="H390" t="s">
        <v>365</v>
      </c>
      <c r="I390">
        <v>2000948</v>
      </c>
      <c r="J390" t="s">
        <v>1705</v>
      </c>
      <c r="K390" t="s">
        <v>1706</v>
      </c>
      <c r="L390" t="s">
        <v>1148</v>
      </c>
      <c r="N390" t="s">
        <v>1707</v>
      </c>
      <c r="O390" t="s">
        <v>1708</v>
      </c>
      <c r="R390" t="s">
        <v>395</v>
      </c>
      <c r="S390" s="34" t="s">
        <v>1709</v>
      </c>
    </row>
    <row r="391" spans="1:19" ht="409.5" x14ac:dyDescent="0.15">
      <c r="A391" t="s">
        <v>1614</v>
      </c>
      <c r="B391" s="61">
        <v>47423</v>
      </c>
      <c r="E391" t="s">
        <v>355</v>
      </c>
      <c r="F391" t="s">
        <v>385</v>
      </c>
      <c r="H391" t="s">
        <v>365</v>
      </c>
      <c r="I391">
        <v>2000946</v>
      </c>
      <c r="J391" t="s">
        <v>1710</v>
      </c>
      <c r="K391" t="s">
        <v>1711</v>
      </c>
      <c r="L391" t="s">
        <v>373</v>
      </c>
      <c r="N391" t="s">
        <v>1712</v>
      </c>
      <c r="O391" t="s">
        <v>1713</v>
      </c>
      <c r="R391" t="s">
        <v>395</v>
      </c>
      <c r="S391" s="34" t="s">
        <v>1714</v>
      </c>
    </row>
    <row r="392" spans="1:19" ht="409.5" x14ac:dyDescent="0.15">
      <c r="A392" t="s">
        <v>1614</v>
      </c>
      <c r="B392" s="61">
        <v>47665</v>
      </c>
      <c r="E392" t="s">
        <v>355</v>
      </c>
      <c r="F392" t="s">
        <v>385</v>
      </c>
      <c r="H392" t="s">
        <v>353</v>
      </c>
      <c r="I392">
        <v>2000954</v>
      </c>
      <c r="J392" t="s">
        <v>1615</v>
      </c>
      <c r="K392" t="s">
        <v>1251</v>
      </c>
      <c r="L392" t="s">
        <v>1616</v>
      </c>
      <c r="N392" t="s">
        <v>1617</v>
      </c>
      <c r="O392" t="s">
        <v>1618</v>
      </c>
      <c r="R392" t="s">
        <v>386</v>
      </c>
      <c r="S392" s="34" t="s">
        <v>1619</v>
      </c>
    </row>
    <row r="393" spans="1:19" x14ac:dyDescent="0.15">
      <c r="A393" t="s">
        <v>1614</v>
      </c>
      <c r="B393" s="61">
        <v>48122</v>
      </c>
      <c r="E393" t="s">
        <v>355</v>
      </c>
      <c r="F393" t="s">
        <v>364</v>
      </c>
      <c r="H393" t="s">
        <v>353</v>
      </c>
      <c r="I393">
        <v>2000960</v>
      </c>
      <c r="J393" t="s">
        <v>1644</v>
      </c>
      <c r="K393" t="s">
        <v>1645</v>
      </c>
      <c r="L393" t="s">
        <v>413</v>
      </c>
      <c r="N393" t="s">
        <v>1646</v>
      </c>
      <c r="O393" t="s">
        <v>1647</v>
      </c>
    </row>
    <row r="394" spans="1:19" ht="256.5" x14ac:dyDescent="0.15">
      <c r="A394" t="s">
        <v>1715</v>
      </c>
      <c r="B394" s="61">
        <v>45901</v>
      </c>
      <c r="E394" t="s">
        <v>355</v>
      </c>
      <c r="F394" t="s">
        <v>351</v>
      </c>
      <c r="G394" t="s">
        <v>352</v>
      </c>
      <c r="H394" t="s">
        <v>5779</v>
      </c>
      <c r="I394">
        <v>1500731</v>
      </c>
      <c r="J394" t="s">
        <v>1063</v>
      </c>
      <c r="K394" t="s">
        <v>6179</v>
      </c>
      <c r="L394" t="s">
        <v>1114</v>
      </c>
      <c r="N394" t="s">
        <v>6180</v>
      </c>
      <c r="O394" t="s">
        <v>6181</v>
      </c>
      <c r="Q394" t="s">
        <v>7481</v>
      </c>
      <c r="S394" s="34" t="s">
        <v>7482</v>
      </c>
    </row>
    <row r="395" spans="1:19" ht="216" x14ac:dyDescent="0.15">
      <c r="A395" t="s">
        <v>1715</v>
      </c>
      <c r="B395" s="61">
        <v>46235</v>
      </c>
      <c r="E395" t="s">
        <v>355</v>
      </c>
      <c r="F395" t="s">
        <v>356</v>
      </c>
      <c r="H395" t="s">
        <v>365</v>
      </c>
      <c r="I395">
        <v>1500728</v>
      </c>
      <c r="J395" t="s">
        <v>1733</v>
      </c>
      <c r="K395" t="s">
        <v>1734</v>
      </c>
      <c r="L395" t="s">
        <v>1718</v>
      </c>
      <c r="N395" t="s">
        <v>1735</v>
      </c>
      <c r="O395" t="s">
        <v>1736</v>
      </c>
      <c r="R395" t="s">
        <v>362</v>
      </c>
      <c r="S395" s="34" t="s">
        <v>1737</v>
      </c>
    </row>
    <row r="396" spans="1:19" ht="409.5" x14ac:dyDescent="0.15">
      <c r="A396" t="s">
        <v>1715</v>
      </c>
      <c r="B396" s="61">
        <v>46235</v>
      </c>
      <c r="E396" t="s">
        <v>355</v>
      </c>
      <c r="F396" t="s">
        <v>356</v>
      </c>
      <c r="H396" t="s">
        <v>353</v>
      </c>
      <c r="I396">
        <v>1500728</v>
      </c>
      <c r="J396" t="s">
        <v>1733</v>
      </c>
      <c r="K396" t="s">
        <v>1734</v>
      </c>
      <c r="L396" t="s">
        <v>1718</v>
      </c>
      <c r="N396" t="s">
        <v>1738</v>
      </c>
      <c r="O396" t="s">
        <v>1736</v>
      </c>
      <c r="R396" t="s">
        <v>362</v>
      </c>
      <c r="S396" s="34" t="s">
        <v>1739</v>
      </c>
    </row>
    <row r="397" spans="1:19" ht="243" x14ac:dyDescent="0.15">
      <c r="A397" t="s">
        <v>1715</v>
      </c>
      <c r="B397" s="61">
        <v>46266</v>
      </c>
      <c r="E397" t="s">
        <v>355</v>
      </c>
      <c r="F397" t="s">
        <v>385</v>
      </c>
      <c r="H397" t="s">
        <v>353</v>
      </c>
      <c r="I397">
        <v>1500204</v>
      </c>
      <c r="J397" t="s">
        <v>1740</v>
      </c>
      <c r="K397" t="s">
        <v>1741</v>
      </c>
      <c r="L397" t="s">
        <v>390</v>
      </c>
      <c r="N397" t="s">
        <v>1742</v>
      </c>
      <c r="O397" t="s">
        <v>1743</v>
      </c>
      <c r="R397" t="s">
        <v>386</v>
      </c>
      <c r="S397" s="34" t="s">
        <v>1744</v>
      </c>
    </row>
    <row r="398" spans="1:19" ht="409.5" x14ac:dyDescent="0.15">
      <c r="A398" t="s">
        <v>1715</v>
      </c>
      <c r="B398" s="61">
        <v>46296</v>
      </c>
      <c r="E398" t="s">
        <v>355</v>
      </c>
      <c r="F398" t="s">
        <v>356</v>
      </c>
      <c r="H398" t="s">
        <v>353</v>
      </c>
      <c r="I398">
        <v>600201</v>
      </c>
      <c r="J398" t="s">
        <v>1745</v>
      </c>
      <c r="K398" t="s">
        <v>1746</v>
      </c>
      <c r="L398" t="s">
        <v>854</v>
      </c>
      <c r="N398" t="s">
        <v>1747</v>
      </c>
      <c r="O398" t="s">
        <v>1748</v>
      </c>
      <c r="R398" t="s">
        <v>362</v>
      </c>
      <c r="S398" s="34" t="s">
        <v>1749</v>
      </c>
    </row>
    <row r="399" spans="1:19" ht="391.5" x14ac:dyDescent="0.15">
      <c r="A399" t="s">
        <v>1715</v>
      </c>
      <c r="B399" s="61">
        <v>46327</v>
      </c>
      <c r="E399" t="s">
        <v>355</v>
      </c>
      <c r="F399" t="s">
        <v>385</v>
      </c>
      <c r="H399" t="s">
        <v>365</v>
      </c>
      <c r="I399">
        <v>1500733</v>
      </c>
      <c r="J399" t="s">
        <v>1750</v>
      </c>
      <c r="K399" t="s">
        <v>1751</v>
      </c>
      <c r="L399" t="s">
        <v>390</v>
      </c>
      <c r="N399" t="s">
        <v>1752</v>
      </c>
      <c r="O399" t="s">
        <v>1753</v>
      </c>
      <c r="R399" t="s">
        <v>395</v>
      </c>
      <c r="S399" s="34" t="s">
        <v>1754</v>
      </c>
    </row>
    <row r="400" spans="1:19" x14ac:dyDescent="0.15">
      <c r="A400" t="s">
        <v>1715</v>
      </c>
      <c r="B400" s="61">
        <v>46419</v>
      </c>
      <c r="E400" t="s">
        <v>355</v>
      </c>
      <c r="F400" t="s">
        <v>364</v>
      </c>
      <c r="H400" t="s">
        <v>365</v>
      </c>
      <c r="I400">
        <v>1500846</v>
      </c>
      <c r="J400" t="s">
        <v>1755</v>
      </c>
      <c r="K400" t="s">
        <v>1756</v>
      </c>
      <c r="L400" t="s">
        <v>413</v>
      </c>
      <c r="N400" t="s">
        <v>1757</v>
      </c>
      <c r="O400" t="s">
        <v>1758</v>
      </c>
    </row>
    <row r="401" spans="1:19" x14ac:dyDescent="0.15">
      <c r="A401" t="s">
        <v>1715</v>
      </c>
      <c r="B401" s="61">
        <v>46447</v>
      </c>
      <c r="E401" t="s">
        <v>355</v>
      </c>
      <c r="F401" t="s">
        <v>364</v>
      </c>
      <c r="H401" t="s">
        <v>353</v>
      </c>
      <c r="I401">
        <v>1500578</v>
      </c>
      <c r="J401" t="s">
        <v>1759</v>
      </c>
      <c r="L401" t="s">
        <v>698</v>
      </c>
      <c r="N401" t="s">
        <v>1760</v>
      </c>
      <c r="O401" t="s">
        <v>1761</v>
      </c>
    </row>
    <row r="402" spans="1:19" x14ac:dyDescent="0.15">
      <c r="A402" t="s">
        <v>1715</v>
      </c>
      <c r="B402" s="61">
        <v>46478</v>
      </c>
      <c r="E402" t="s">
        <v>355</v>
      </c>
      <c r="F402" t="s">
        <v>364</v>
      </c>
      <c r="H402" t="s">
        <v>365</v>
      </c>
      <c r="I402">
        <v>1500848</v>
      </c>
      <c r="J402" t="s">
        <v>1762</v>
      </c>
      <c r="L402" t="s">
        <v>413</v>
      </c>
      <c r="N402" t="s">
        <v>1763</v>
      </c>
      <c r="O402" t="s">
        <v>1764</v>
      </c>
    </row>
    <row r="403" spans="1:19" x14ac:dyDescent="0.15">
      <c r="A403" t="s">
        <v>1715</v>
      </c>
      <c r="B403" s="61">
        <v>46508</v>
      </c>
      <c r="E403" t="s">
        <v>355</v>
      </c>
      <c r="F403" t="s">
        <v>364</v>
      </c>
      <c r="H403" t="s">
        <v>353</v>
      </c>
      <c r="I403">
        <v>1500205</v>
      </c>
      <c r="J403" t="s">
        <v>1765</v>
      </c>
      <c r="L403" t="s">
        <v>390</v>
      </c>
      <c r="N403" t="s">
        <v>1766</v>
      </c>
      <c r="O403" t="s">
        <v>1767</v>
      </c>
    </row>
    <row r="404" spans="1:19" ht="283.5" x14ac:dyDescent="0.15">
      <c r="A404" t="s">
        <v>1715</v>
      </c>
      <c r="B404" s="61">
        <v>46508</v>
      </c>
      <c r="E404" t="s">
        <v>355</v>
      </c>
      <c r="F404" t="s">
        <v>385</v>
      </c>
      <c r="H404" t="s">
        <v>310</v>
      </c>
      <c r="I404">
        <v>1500692</v>
      </c>
      <c r="J404" t="s">
        <v>1721</v>
      </c>
      <c r="K404" t="s">
        <v>1722</v>
      </c>
      <c r="L404" t="s">
        <v>1723</v>
      </c>
      <c r="N404" t="s">
        <v>395</v>
      </c>
      <c r="O404" t="s">
        <v>1724</v>
      </c>
      <c r="S404" s="34" t="s">
        <v>1725</v>
      </c>
    </row>
    <row r="405" spans="1:19" x14ac:dyDescent="0.15">
      <c r="A405" t="s">
        <v>1715</v>
      </c>
      <c r="B405" s="61">
        <v>46661</v>
      </c>
      <c r="E405" t="s">
        <v>355</v>
      </c>
      <c r="F405" t="s">
        <v>364</v>
      </c>
      <c r="H405" t="s">
        <v>353</v>
      </c>
      <c r="I405">
        <v>1500822</v>
      </c>
      <c r="J405" t="s">
        <v>1768</v>
      </c>
      <c r="K405" t="s">
        <v>1769</v>
      </c>
      <c r="L405" t="s">
        <v>390</v>
      </c>
      <c r="N405" t="s">
        <v>1770</v>
      </c>
      <c r="O405" t="s">
        <v>1771</v>
      </c>
    </row>
    <row r="406" spans="1:19" ht="243" x14ac:dyDescent="0.15">
      <c r="A406" t="s">
        <v>1715</v>
      </c>
      <c r="B406" s="61">
        <v>46692</v>
      </c>
      <c r="E406" t="s">
        <v>355</v>
      </c>
      <c r="F406" t="s">
        <v>385</v>
      </c>
      <c r="H406" t="s">
        <v>365</v>
      </c>
      <c r="I406">
        <v>600197</v>
      </c>
      <c r="J406" t="s">
        <v>1745</v>
      </c>
      <c r="K406" t="s">
        <v>1746</v>
      </c>
      <c r="L406" t="s">
        <v>1772</v>
      </c>
      <c r="N406" t="s">
        <v>1773</v>
      </c>
      <c r="O406" t="s">
        <v>1774</v>
      </c>
      <c r="R406" t="s">
        <v>395</v>
      </c>
      <c r="S406" s="34" t="s">
        <v>1775</v>
      </c>
    </row>
    <row r="407" spans="1:19" x14ac:dyDescent="0.15">
      <c r="A407" t="s">
        <v>1715</v>
      </c>
      <c r="B407" s="61">
        <v>46844</v>
      </c>
      <c r="E407" t="s">
        <v>355</v>
      </c>
      <c r="F407" t="s">
        <v>364</v>
      </c>
      <c r="H407" t="s">
        <v>365</v>
      </c>
      <c r="I407">
        <v>1500828</v>
      </c>
      <c r="J407" t="s">
        <v>1732</v>
      </c>
      <c r="L407" t="s">
        <v>1776</v>
      </c>
      <c r="N407" t="s">
        <v>1777</v>
      </c>
      <c r="O407" t="s">
        <v>1778</v>
      </c>
    </row>
    <row r="408" spans="1:19" x14ac:dyDescent="0.15">
      <c r="A408" t="s">
        <v>1715</v>
      </c>
      <c r="B408" s="61">
        <v>46905</v>
      </c>
      <c r="E408" t="s">
        <v>355</v>
      </c>
      <c r="F408" t="s">
        <v>364</v>
      </c>
      <c r="H408" t="s">
        <v>365</v>
      </c>
      <c r="I408">
        <v>1500628</v>
      </c>
      <c r="J408" t="s">
        <v>1732</v>
      </c>
      <c r="L408" t="s">
        <v>698</v>
      </c>
      <c r="N408" t="s">
        <v>1779</v>
      </c>
      <c r="O408" t="s">
        <v>1780</v>
      </c>
    </row>
    <row r="409" spans="1:19" x14ac:dyDescent="0.15">
      <c r="A409" t="s">
        <v>1715</v>
      </c>
      <c r="B409" s="61">
        <v>46966</v>
      </c>
      <c r="E409" t="s">
        <v>355</v>
      </c>
      <c r="F409" t="s">
        <v>364</v>
      </c>
      <c r="H409" t="s">
        <v>353</v>
      </c>
      <c r="I409">
        <v>1500044</v>
      </c>
      <c r="J409" t="s">
        <v>1781</v>
      </c>
      <c r="L409" t="s">
        <v>512</v>
      </c>
      <c r="N409" t="s">
        <v>1782</v>
      </c>
      <c r="O409" t="s">
        <v>1783</v>
      </c>
    </row>
    <row r="410" spans="1:19" x14ac:dyDescent="0.15">
      <c r="A410" t="s">
        <v>1715</v>
      </c>
      <c r="B410" s="61">
        <v>46966</v>
      </c>
      <c r="E410" t="s">
        <v>355</v>
      </c>
      <c r="F410" t="s">
        <v>364</v>
      </c>
      <c r="H410" t="s">
        <v>353</v>
      </c>
      <c r="I410">
        <v>1500647</v>
      </c>
      <c r="J410" t="s">
        <v>1781</v>
      </c>
      <c r="L410" t="s">
        <v>1769</v>
      </c>
      <c r="N410" t="s">
        <v>1784</v>
      </c>
      <c r="O410" t="s">
        <v>1785</v>
      </c>
    </row>
    <row r="411" spans="1:19" ht="216" x14ac:dyDescent="0.15">
      <c r="A411" t="s">
        <v>1715</v>
      </c>
      <c r="B411" s="61">
        <v>47088</v>
      </c>
      <c r="E411" t="s">
        <v>355</v>
      </c>
      <c r="F411" t="s">
        <v>385</v>
      </c>
      <c r="H411" t="s">
        <v>365</v>
      </c>
      <c r="I411">
        <v>1500733</v>
      </c>
      <c r="J411" t="s">
        <v>1750</v>
      </c>
      <c r="K411" t="s">
        <v>1751</v>
      </c>
      <c r="L411" t="s">
        <v>390</v>
      </c>
      <c r="N411" t="s">
        <v>1786</v>
      </c>
      <c r="O411" t="s">
        <v>1753</v>
      </c>
      <c r="R411" t="s">
        <v>395</v>
      </c>
      <c r="S411" s="34" t="s">
        <v>1787</v>
      </c>
    </row>
    <row r="412" spans="1:19" ht="229.5" x14ac:dyDescent="0.15">
      <c r="A412" t="s">
        <v>1715</v>
      </c>
      <c r="B412" s="61">
        <v>47331</v>
      </c>
      <c r="E412" t="s">
        <v>355</v>
      </c>
      <c r="F412" t="s">
        <v>385</v>
      </c>
      <c r="H412" t="s">
        <v>365</v>
      </c>
      <c r="I412">
        <v>600024</v>
      </c>
      <c r="J412" t="s">
        <v>1745</v>
      </c>
      <c r="K412" t="s">
        <v>1746</v>
      </c>
      <c r="L412" t="s">
        <v>373</v>
      </c>
      <c r="N412" t="s">
        <v>1788</v>
      </c>
      <c r="O412" t="s">
        <v>1789</v>
      </c>
      <c r="R412" t="s">
        <v>395</v>
      </c>
      <c r="S412" s="34" t="s">
        <v>1790</v>
      </c>
    </row>
    <row r="413" spans="1:19" ht="409.5" x14ac:dyDescent="0.15">
      <c r="A413" t="s">
        <v>1715</v>
      </c>
      <c r="B413" s="61">
        <v>47331</v>
      </c>
      <c r="E413" t="s">
        <v>355</v>
      </c>
      <c r="F413" t="s">
        <v>385</v>
      </c>
      <c r="H413" t="s">
        <v>353</v>
      </c>
      <c r="I413">
        <v>1500581</v>
      </c>
      <c r="J413" t="s">
        <v>1791</v>
      </c>
      <c r="K413" t="s">
        <v>1792</v>
      </c>
      <c r="L413" t="s">
        <v>1793</v>
      </c>
      <c r="N413" t="s">
        <v>1794</v>
      </c>
      <c r="O413" t="s">
        <v>1795</v>
      </c>
      <c r="R413" s="34" t="s">
        <v>768</v>
      </c>
      <c r="S413" s="34" t="s">
        <v>1796</v>
      </c>
    </row>
    <row r="414" spans="1:19" ht="409.5" x14ac:dyDescent="0.15">
      <c r="A414" t="s">
        <v>1715</v>
      </c>
      <c r="B414" s="61">
        <v>47665</v>
      </c>
      <c r="E414" t="s">
        <v>355</v>
      </c>
      <c r="F414" t="s">
        <v>385</v>
      </c>
      <c r="H414" t="s">
        <v>365</v>
      </c>
      <c r="I414">
        <v>1500690</v>
      </c>
      <c r="J414" t="s">
        <v>1726</v>
      </c>
      <c r="K414" t="s">
        <v>1727</v>
      </c>
      <c r="L414" t="s">
        <v>1728</v>
      </c>
      <c r="N414" t="s">
        <v>1729</v>
      </c>
      <c r="O414" t="s">
        <v>1730</v>
      </c>
      <c r="R414" t="s">
        <v>395</v>
      </c>
      <c r="S414" s="34" t="s">
        <v>1731</v>
      </c>
    </row>
    <row r="415" spans="1:19" ht="216" x14ac:dyDescent="0.15">
      <c r="A415" t="s">
        <v>1715</v>
      </c>
      <c r="B415" s="61">
        <v>47696</v>
      </c>
      <c r="E415" t="s">
        <v>355</v>
      </c>
      <c r="F415" t="s">
        <v>385</v>
      </c>
      <c r="H415" t="s">
        <v>365</v>
      </c>
      <c r="I415">
        <v>1500728</v>
      </c>
      <c r="J415" t="s">
        <v>1733</v>
      </c>
      <c r="K415" t="s">
        <v>1734</v>
      </c>
      <c r="L415" t="s">
        <v>1718</v>
      </c>
      <c r="N415" t="s">
        <v>1735</v>
      </c>
      <c r="O415" t="s">
        <v>1736</v>
      </c>
      <c r="R415" t="s">
        <v>395</v>
      </c>
      <c r="S415" s="34" t="s">
        <v>1737</v>
      </c>
    </row>
    <row r="416" spans="1:19" ht="409.5" x14ac:dyDescent="0.15">
      <c r="A416" t="s">
        <v>1715</v>
      </c>
      <c r="B416" s="61">
        <v>47696</v>
      </c>
      <c r="E416" t="s">
        <v>355</v>
      </c>
      <c r="F416" t="s">
        <v>385</v>
      </c>
      <c r="H416" t="s">
        <v>353</v>
      </c>
      <c r="I416">
        <v>1500728</v>
      </c>
      <c r="J416" t="s">
        <v>1733</v>
      </c>
      <c r="K416" t="s">
        <v>1734</v>
      </c>
      <c r="L416" t="s">
        <v>1718</v>
      </c>
      <c r="N416" t="s">
        <v>1738</v>
      </c>
      <c r="O416" t="s">
        <v>1736</v>
      </c>
      <c r="R416" t="s">
        <v>386</v>
      </c>
      <c r="S416" s="34" t="s">
        <v>1739</v>
      </c>
    </row>
    <row r="417" spans="1:19" ht="409.5" x14ac:dyDescent="0.15">
      <c r="A417" t="s">
        <v>1715</v>
      </c>
      <c r="B417" s="61">
        <v>47757</v>
      </c>
      <c r="E417" t="s">
        <v>355</v>
      </c>
      <c r="F417" t="s">
        <v>385</v>
      </c>
      <c r="H417" t="s">
        <v>353</v>
      </c>
      <c r="I417">
        <v>600201</v>
      </c>
      <c r="J417" t="s">
        <v>1745</v>
      </c>
      <c r="K417" t="s">
        <v>1746</v>
      </c>
      <c r="L417" t="s">
        <v>854</v>
      </c>
      <c r="N417" t="s">
        <v>1747</v>
      </c>
      <c r="O417" t="s">
        <v>1748</v>
      </c>
      <c r="R417" t="s">
        <v>386</v>
      </c>
      <c r="S417" s="34" t="s">
        <v>1749</v>
      </c>
    </row>
    <row r="418" spans="1:19" x14ac:dyDescent="0.15">
      <c r="A418" t="s">
        <v>1715</v>
      </c>
      <c r="B418" s="61">
        <v>47880</v>
      </c>
      <c r="E418" t="s">
        <v>355</v>
      </c>
      <c r="F418" t="s">
        <v>364</v>
      </c>
      <c r="H418" t="s">
        <v>365</v>
      </c>
      <c r="I418">
        <v>1500846</v>
      </c>
      <c r="J418" t="s">
        <v>1755</v>
      </c>
      <c r="K418" t="s">
        <v>1756</v>
      </c>
      <c r="L418" t="s">
        <v>413</v>
      </c>
      <c r="N418" t="s">
        <v>1757</v>
      </c>
      <c r="O418" t="s">
        <v>1758</v>
      </c>
    </row>
    <row r="419" spans="1:19" x14ac:dyDescent="0.15">
      <c r="A419" t="s">
        <v>1715</v>
      </c>
      <c r="B419" s="61">
        <v>47939</v>
      </c>
      <c r="E419" t="s">
        <v>355</v>
      </c>
      <c r="F419" t="s">
        <v>364</v>
      </c>
      <c r="H419" t="s">
        <v>365</v>
      </c>
      <c r="I419">
        <v>1500848</v>
      </c>
      <c r="J419" t="s">
        <v>1762</v>
      </c>
      <c r="L419" t="s">
        <v>413</v>
      </c>
      <c r="N419" t="s">
        <v>1763</v>
      </c>
      <c r="O419" t="s">
        <v>1764</v>
      </c>
    </row>
    <row r="420" spans="1:19" x14ac:dyDescent="0.15">
      <c r="A420" t="s">
        <v>1797</v>
      </c>
      <c r="B420" s="61">
        <v>46600</v>
      </c>
      <c r="E420" t="s">
        <v>355</v>
      </c>
      <c r="F420" t="s">
        <v>356</v>
      </c>
      <c r="H420" t="s">
        <v>353</v>
      </c>
      <c r="I420">
        <v>2800843</v>
      </c>
      <c r="J420" t="s">
        <v>1803</v>
      </c>
      <c r="L420" t="s">
        <v>1804</v>
      </c>
      <c r="N420" t="s">
        <v>1805</v>
      </c>
      <c r="O420" t="s">
        <v>1806</v>
      </c>
    </row>
    <row r="421" spans="1:19" x14ac:dyDescent="0.15">
      <c r="A421" t="s">
        <v>1797</v>
      </c>
      <c r="B421" s="61">
        <v>46905</v>
      </c>
      <c r="E421" t="s">
        <v>355</v>
      </c>
      <c r="F421" t="s">
        <v>364</v>
      </c>
      <c r="H421" t="s">
        <v>353</v>
      </c>
      <c r="I421">
        <v>2800720</v>
      </c>
      <c r="J421" t="s">
        <v>1807</v>
      </c>
      <c r="K421" t="s">
        <v>1808</v>
      </c>
      <c r="L421" t="s">
        <v>1809</v>
      </c>
      <c r="N421" t="s">
        <v>1810</v>
      </c>
      <c r="O421" t="s">
        <v>1811</v>
      </c>
    </row>
    <row r="422" spans="1:19" ht="351" x14ac:dyDescent="0.15">
      <c r="A422" t="s">
        <v>1797</v>
      </c>
      <c r="B422" s="61">
        <v>47392</v>
      </c>
      <c r="E422" t="s">
        <v>355</v>
      </c>
      <c r="F422" t="s">
        <v>385</v>
      </c>
      <c r="H422" t="s">
        <v>353</v>
      </c>
      <c r="I422">
        <v>2800021</v>
      </c>
      <c r="J422" t="s">
        <v>1812</v>
      </c>
      <c r="K422" t="s">
        <v>1813</v>
      </c>
      <c r="L422" t="s">
        <v>413</v>
      </c>
      <c r="N422" t="s">
        <v>1814</v>
      </c>
      <c r="O422" t="s">
        <v>1815</v>
      </c>
      <c r="R422" s="34" t="s">
        <v>768</v>
      </c>
      <c r="S422" s="34" t="s">
        <v>1816</v>
      </c>
    </row>
    <row r="423" spans="1:19" ht="409.5" x14ac:dyDescent="0.15">
      <c r="A423" t="s">
        <v>1797</v>
      </c>
      <c r="B423" s="61">
        <v>47515</v>
      </c>
      <c r="E423" t="s">
        <v>355</v>
      </c>
      <c r="F423" t="s">
        <v>385</v>
      </c>
      <c r="H423" t="s">
        <v>353</v>
      </c>
      <c r="I423">
        <v>2801283</v>
      </c>
      <c r="J423" t="s">
        <v>1212</v>
      </c>
      <c r="K423" t="s">
        <v>1798</v>
      </c>
      <c r="L423" t="s">
        <v>1799</v>
      </c>
      <c r="N423" t="s">
        <v>1800</v>
      </c>
      <c r="O423" t="s">
        <v>1801</v>
      </c>
      <c r="R423" s="34" t="s">
        <v>768</v>
      </c>
      <c r="S423" s="34" t="s">
        <v>1802</v>
      </c>
    </row>
    <row r="424" spans="1:19" x14ac:dyDescent="0.15">
      <c r="A424" t="s">
        <v>1797</v>
      </c>
      <c r="B424" s="61">
        <v>48061</v>
      </c>
      <c r="E424" t="s">
        <v>355</v>
      </c>
      <c r="F424" t="s">
        <v>385</v>
      </c>
      <c r="H424" t="s">
        <v>353</v>
      </c>
      <c r="I424">
        <v>2800843</v>
      </c>
      <c r="J424" t="s">
        <v>1803</v>
      </c>
      <c r="L424" t="s">
        <v>1804</v>
      </c>
      <c r="N424" t="s">
        <v>1805</v>
      </c>
      <c r="O424" t="s">
        <v>1806</v>
      </c>
    </row>
    <row r="425" spans="1:19" ht="409.5" x14ac:dyDescent="0.15">
      <c r="A425" t="s">
        <v>1817</v>
      </c>
      <c r="B425" s="61">
        <v>46784</v>
      </c>
      <c r="E425" t="s">
        <v>355</v>
      </c>
      <c r="F425" t="s">
        <v>385</v>
      </c>
      <c r="H425" t="s">
        <v>365</v>
      </c>
      <c r="I425">
        <v>2802024</v>
      </c>
      <c r="J425" t="s">
        <v>1818</v>
      </c>
      <c r="K425" t="s">
        <v>1819</v>
      </c>
      <c r="L425" t="s">
        <v>1820</v>
      </c>
      <c r="N425" t="s">
        <v>1821</v>
      </c>
      <c r="O425" t="s">
        <v>1822</v>
      </c>
      <c r="R425" s="34" t="s">
        <v>1823</v>
      </c>
      <c r="S425" s="34" t="s">
        <v>1824</v>
      </c>
    </row>
    <row r="426" spans="1:19" ht="229.5" x14ac:dyDescent="0.15">
      <c r="A426" t="s">
        <v>1817</v>
      </c>
      <c r="B426" s="61">
        <v>45901</v>
      </c>
      <c r="E426" t="s">
        <v>355</v>
      </c>
      <c r="F426" t="s">
        <v>351</v>
      </c>
      <c r="G426" t="s">
        <v>354</v>
      </c>
      <c r="H426" t="s">
        <v>353</v>
      </c>
      <c r="I426">
        <v>2800240</v>
      </c>
      <c r="J426" t="s">
        <v>1825</v>
      </c>
      <c r="K426" t="s">
        <v>1826</v>
      </c>
      <c r="L426" t="s">
        <v>1827</v>
      </c>
      <c r="N426" t="s">
        <v>1828</v>
      </c>
      <c r="O426" t="s">
        <v>1829</v>
      </c>
      <c r="S426" s="34" t="s">
        <v>1830</v>
      </c>
    </row>
    <row r="427" spans="1:19" x14ac:dyDescent="0.15">
      <c r="A427" t="s">
        <v>1817</v>
      </c>
      <c r="B427" s="61">
        <v>46388</v>
      </c>
      <c r="E427" t="s">
        <v>355</v>
      </c>
      <c r="F427" t="s">
        <v>364</v>
      </c>
      <c r="H427" t="s">
        <v>365</v>
      </c>
      <c r="I427">
        <v>2800113</v>
      </c>
      <c r="J427" t="s">
        <v>1831</v>
      </c>
      <c r="L427" t="s">
        <v>390</v>
      </c>
      <c r="N427" t="s">
        <v>1832</v>
      </c>
      <c r="O427" t="s">
        <v>1833</v>
      </c>
    </row>
    <row r="428" spans="1:19" x14ac:dyDescent="0.15">
      <c r="A428" t="s">
        <v>1817</v>
      </c>
      <c r="B428" s="61">
        <v>46753</v>
      </c>
      <c r="E428" t="s">
        <v>355</v>
      </c>
      <c r="F428" t="s">
        <v>364</v>
      </c>
      <c r="H428" t="s">
        <v>353</v>
      </c>
      <c r="I428">
        <v>2800240</v>
      </c>
      <c r="J428" t="s">
        <v>1825</v>
      </c>
      <c r="K428" t="s">
        <v>1826</v>
      </c>
      <c r="L428" t="s">
        <v>1827</v>
      </c>
      <c r="N428" t="s">
        <v>1828</v>
      </c>
      <c r="O428" t="s">
        <v>1829</v>
      </c>
    </row>
    <row r="429" spans="1:19" x14ac:dyDescent="0.15">
      <c r="A429" t="s">
        <v>1817</v>
      </c>
      <c r="B429" s="61">
        <v>47178</v>
      </c>
      <c r="E429" t="s">
        <v>355</v>
      </c>
      <c r="F429" t="s">
        <v>364</v>
      </c>
      <c r="H429" t="s">
        <v>353</v>
      </c>
      <c r="I429">
        <v>2802310</v>
      </c>
      <c r="J429" t="s">
        <v>1212</v>
      </c>
      <c r="K429" t="s">
        <v>1834</v>
      </c>
      <c r="L429" t="s">
        <v>1835</v>
      </c>
      <c r="N429" t="s">
        <v>1836</v>
      </c>
      <c r="O429" t="s">
        <v>1837</v>
      </c>
    </row>
    <row r="430" spans="1:19" ht="216" x14ac:dyDescent="0.15">
      <c r="A430" t="s">
        <v>1817</v>
      </c>
      <c r="B430" s="61">
        <v>47331</v>
      </c>
      <c r="E430" t="s">
        <v>355</v>
      </c>
      <c r="F430" t="s">
        <v>385</v>
      </c>
      <c r="H430" t="s">
        <v>353</v>
      </c>
      <c r="I430">
        <v>2800354</v>
      </c>
      <c r="J430" t="s">
        <v>1012</v>
      </c>
      <c r="K430" t="s">
        <v>1838</v>
      </c>
      <c r="L430" t="s">
        <v>413</v>
      </c>
      <c r="N430" t="s">
        <v>1839</v>
      </c>
      <c r="O430" t="s">
        <v>1840</v>
      </c>
      <c r="R430" s="34" t="s">
        <v>768</v>
      </c>
      <c r="S430" s="34" t="s">
        <v>1841</v>
      </c>
    </row>
    <row r="431" spans="1:19" x14ac:dyDescent="0.15">
      <c r="A431" t="s">
        <v>1817</v>
      </c>
      <c r="B431" s="61">
        <v>47849</v>
      </c>
      <c r="E431" t="s">
        <v>355</v>
      </c>
      <c r="F431" t="s">
        <v>364</v>
      </c>
      <c r="H431" t="s">
        <v>365</v>
      </c>
      <c r="I431">
        <v>2800113</v>
      </c>
      <c r="J431" t="s">
        <v>1831</v>
      </c>
      <c r="L431" t="s">
        <v>390</v>
      </c>
      <c r="N431" t="s">
        <v>1832</v>
      </c>
      <c r="O431" t="s">
        <v>1833</v>
      </c>
    </row>
    <row r="432" spans="1:19" x14ac:dyDescent="0.15">
      <c r="A432" t="s">
        <v>1817</v>
      </c>
      <c r="B432" s="61">
        <v>48214</v>
      </c>
      <c r="E432" t="s">
        <v>355</v>
      </c>
      <c r="F432" t="s">
        <v>364</v>
      </c>
      <c r="H432" t="s">
        <v>353</v>
      </c>
      <c r="I432">
        <v>2800240</v>
      </c>
      <c r="J432" t="s">
        <v>1825</v>
      </c>
      <c r="K432" t="s">
        <v>1826</v>
      </c>
      <c r="L432" t="s">
        <v>1827</v>
      </c>
      <c r="N432" t="s">
        <v>1828</v>
      </c>
      <c r="O432" t="s">
        <v>1829</v>
      </c>
    </row>
    <row r="433" spans="1:19" ht="409.5" x14ac:dyDescent="0.15">
      <c r="A433" t="s">
        <v>1842</v>
      </c>
      <c r="B433" s="61">
        <v>45870</v>
      </c>
      <c r="E433" t="s">
        <v>355</v>
      </c>
      <c r="F433" t="s">
        <v>356</v>
      </c>
      <c r="G433" t="s">
        <v>354</v>
      </c>
      <c r="H433" t="s">
        <v>353</v>
      </c>
      <c r="I433">
        <v>2802322</v>
      </c>
      <c r="J433" t="s">
        <v>1851</v>
      </c>
      <c r="K433" t="s">
        <v>1844</v>
      </c>
      <c r="L433" t="s">
        <v>1856</v>
      </c>
      <c r="N433" t="s">
        <v>1857</v>
      </c>
      <c r="O433" t="s">
        <v>1858</v>
      </c>
      <c r="P433" t="s">
        <v>4934</v>
      </c>
      <c r="Q433" t="s">
        <v>4935</v>
      </c>
      <c r="R433" t="s">
        <v>362</v>
      </c>
      <c r="S433" s="34" t="s">
        <v>1859</v>
      </c>
    </row>
    <row r="434" spans="1:19" ht="256.5" x14ac:dyDescent="0.15">
      <c r="A434" t="s">
        <v>1842</v>
      </c>
      <c r="B434" s="61">
        <v>46266</v>
      </c>
      <c r="E434" t="s">
        <v>355</v>
      </c>
      <c r="F434" t="s">
        <v>385</v>
      </c>
      <c r="H434" t="s">
        <v>353</v>
      </c>
      <c r="I434">
        <v>2802164</v>
      </c>
      <c r="J434" t="s">
        <v>1843</v>
      </c>
      <c r="K434" t="s">
        <v>1844</v>
      </c>
      <c r="L434" t="s">
        <v>1845</v>
      </c>
      <c r="N434" t="s">
        <v>1846</v>
      </c>
      <c r="O434" t="s">
        <v>1847</v>
      </c>
      <c r="R434" t="s">
        <v>386</v>
      </c>
      <c r="S434" s="34" t="s">
        <v>1848</v>
      </c>
    </row>
    <row r="435" spans="1:19" ht="216" x14ac:dyDescent="0.15">
      <c r="A435" t="s">
        <v>1842</v>
      </c>
      <c r="B435" s="61">
        <v>46296</v>
      </c>
      <c r="E435" t="s">
        <v>355</v>
      </c>
      <c r="F435" t="s">
        <v>385</v>
      </c>
      <c r="H435" t="s">
        <v>365</v>
      </c>
      <c r="I435">
        <v>2802164</v>
      </c>
      <c r="J435" t="s">
        <v>1843</v>
      </c>
      <c r="K435" t="s">
        <v>1844</v>
      </c>
      <c r="L435" t="s">
        <v>1845</v>
      </c>
      <c r="N435" t="s">
        <v>1849</v>
      </c>
      <c r="O435" t="s">
        <v>1847</v>
      </c>
      <c r="R435" t="s">
        <v>395</v>
      </c>
      <c r="S435" s="34" t="s">
        <v>1850</v>
      </c>
    </row>
    <row r="436" spans="1:19" ht="409.5" x14ac:dyDescent="0.15">
      <c r="A436" t="s">
        <v>1842</v>
      </c>
      <c r="B436" s="61">
        <v>47300</v>
      </c>
      <c r="E436" t="s">
        <v>355</v>
      </c>
      <c r="F436" t="s">
        <v>385</v>
      </c>
      <c r="H436" t="s">
        <v>353</v>
      </c>
      <c r="I436">
        <v>2801376</v>
      </c>
      <c r="J436" t="s">
        <v>1851</v>
      </c>
      <c r="K436" t="s">
        <v>1844</v>
      </c>
      <c r="L436" t="s">
        <v>1852</v>
      </c>
      <c r="N436" t="s">
        <v>1853</v>
      </c>
      <c r="O436" t="s">
        <v>1854</v>
      </c>
      <c r="R436" s="34" t="s">
        <v>768</v>
      </c>
      <c r="S436" s="34" t="s">
        <v>1855</v>
      </c>
    </row>
    <row r="437" spans="1:19" ht="409.5" x14ac:dyDescent="0.15">
      <c r="A437" t="s">
        <v>1842</v>
      </c>
      <c r="B437" s="61">
        <v>47331</v>
      </c>
      <c r="E437" t="s">
        <v>355</v>
      </c>
      <c r="F437" t="s">
        <v>385</v>
      </c>
      <c r="H437" t="s">
        <v>353</v>
      </c>
      <c r="I437">
        <v>2802322</v>
      </c>
      <c r="J437" t="s">
        <v>1851</v>
      </c>
      <c r="K437" t="s">
        <v>1844</v>
      </c>
      <c r="L437" t="s">
        <v>1856</v>
      </c>
      <c r="N437" t="s">
        <v>1857</v>
      </c>
      <c r="O437" t="s">
        <v>1858</v>
      </c>
      <c r="R437" t="s">
        <v>386</v>
      </c>
      <c r="S437" s="34" t="s">
        <v>1859</v>
      </c>
    </row>
    <row r="438" spans="1:19" ht="391.5" x14ac:dyDescent="0.15">
      <c r="A438" t="s">
        <v>1860</v>
      </c>
      <c r="B438" s="61">
        <v>46357</v>
      </c>
      <c r="E438" t="s">
        <v>355</v>
      </c>
      <c r="F438" t="s">
        <v>385</v>
      </c>
      <c r="H438" t="s">
        <v>365</v>
      </c>
      <c r="I438">
        <v>800966</v>
      </c>
      <c r="J438" t="s">
        <v>1861</v>
      </c>
      <c r="L438" t="s">
        <v>698</v>
      </c>
      <c r="N438" t="s">
        <v>1862</v>
      </c>
      <c r="O438" t="s">
        <v>1863</v>
      </c>
      <c r="P438" t="s">
        <v>1864</v>
      </c>
      <c r="Q438" t="s">
        <v>1865</v>
      </c>
      <c r="R438" s="34" t="s">
        <v>1866</v>
      </c>
      <c r="S438" s="34" t="s">
        <v>1867</v>
      </c>
    </row>
    <row r="439" spans="1:19" ht="243" x14ac:dyDescent="0.15">
      <c r="A439" t="s">
        <v>1860</v>
      </c>
      <c r="B439" s="61">
        <v>45170</v>
      </c>
      <c r="E439" t="s">
        <v>355</v>
      </c>
      <c r="F439" t="s">
        <v>969</v>
      </c>
      <c r="H439" t="s">
        <v>970</v>
      </c>
      <c r="I439">
        <v>800465</v>
      </c>
      <c r="J439" t="s">
        <v>775</v>
      </c>
      <c r="K439" t="s">
        <v>1868</v>
      </c>
      <c r="L439" t="s">
        <v>1869</v>
      </c>
      <c r="N439" t="s">
        <v>1870</v>
      </c>
      <c r="O439" t="s">
        <v>1871</v>
      </c>
      <c r="R439" s="34" t="s">
        <v>1872</v>
      </c>
      <c r="S439" s="34" t="s">
        <v>1873</v>
      </c>
    </row>
    <row r="440" spans="1:19" ht="351" x14ac:dyDescent="0.15">
      <c r="A440" t="s">
        <v>1860</v>
      </c>
      <c r="B440" s="61">
        <v>46235</v>
      </c>
      <c r="E440" t="s">
        <v>355</v>
      </c>
      <c r="F440" t="s">
        <v>356</v>
      </c>
      <c r="H440" t="s">
        <v>353</v>
      </c>
      <c r="I440">
        <v>801417</v>
      </c>
      <c r="J440" t="s">
        <v>1881</v>
      </c>
      <c r="K440" t="s">
        <v>1882</v>
      </c>
      <c r="L440" t="s">
        <v>1883</v>
      </c>
      <c r="N440" t="s">
        <v>1884</v>
      </c>
      <c r="O440" t="s">
        <v>1885</v>
      </c>
      <c r="R440" t="s">
        <v>362</v>
      </c>
      <c r="S440" s="34" t="s">
        <v>1886</v>
      </c>
    </row>
    <row r="441" spans="1:19" ht="409.5" x14ac:dyDescent="0.15">
      <c r="A441" t="s">
        <v>1860</v>
      </c>
      <c r="B441" s="61">
        <v>46266</v>
      </c>
      <c r="E441" t="s">
        <v>355</v>
      </c>
      <c r="F441" t="s">
        <v>385</v>
      </c>
      <c r="H441" t="s">
        <v>365</v>
      </c>
      <c r="I441">
        <v>800465</v>
      </c>
      <c r="J441" t="s">
        <v>775</v>
      </c>
      <c r="K441" t="s">
        <v>1868</v>
      </c>
      <c r="L441" t="s">
        <v>1869</v>
      </c>
      <c r="N441" t="s">
        <v>1887</v>
      </c>
      <c r="O441" t="s">
        <v>1871</v>
      </c>
      <c r="R441" t="s">
        <v>395</v>
      </c>
      <c r="S441" s="34" t="s">
        <v>1888</v>
      </c>
    </row>
    <row r="442" spans="1:19" ht="409.5" x14ac:dyDescent="0.15">
      <c r="A442" t="s">
        <v>1860</v>
      </c>
      <c r="B442" s="61">
        <v>46296</v>
      </c>
      <c r="E442" t="s">
        <v>355</v>
      </c>
      <c r="F442" t="s">
        <v>385</v>
      </c>
      <c r="H442" t="s">
        <v>310</v>
      </c>
      <c r="I442">
        <v>800392</v>
      </c>
      <c r="J442" t="s">
        <v>1889</v>
      </c>
      <c r="K442" t="s">
        <v>403</v>
      </c>
      <c r="L442" t="s">
        <v>512</v>
      </c>
      <c r="N442" t="s">
        <v>1890</v>
      </c>
      <c r="O442" t="s">
        <v>1891</v>
      </c>
      <c r="R442" t="s">
        <v>395</v>
      </c>
      <c r="S442" s="34" t="s">
        <v>1892</v>
      </c>
    </row>
    <row r="443" spans="1:19" x14ac:dyDescent="0.15">
      <c r="A443" t="s">
        <v>1860</v>
      </c>
      <c r="B443" s="61">
        <v>46388</v>
      </c>
      <c r="E443" t="s">
        <v>355</v>
      </c>
      <c r="F443" t="s">
        <v>364</v>
      </c>
      <c r="H443" t="s">
        <v>365</v>
      </c>
      <c r="I443">
        <v>801063</v>
      </c>
      <c r="J443" t="s">
        <v>1893</v>
      </c>
      <c r="K443" t="s">
        <v>403</v>
      </c>
      <c r="L443" t="s">
        <v>1894</v>
      </c>
      <c r="N443" t="s">
        <v>1895</v>
      </c>
      <c r="O443" t="s">
        <v>1896</v>
      </c>
    </row>
    <row r="444" spans="1:19" x14ac:dyDescent="0.15">
      <c r="A444" t="s">
        <v>1860</v>
      </c>
      <c r="B444" s="61">
        <v>46692</v>
      </c>
      <c r="E444" t="s">
        <v>355</v>
      </c>
      <c r="F444" t="s">
        <v>364</v>
      </c>
      <c r="H444" t="s">
        <v>353</v>
      </c>
      <c r="I444">
        <v>800813</v>
      </c>
      <c r="J444" t="s">
        <v>1897</v>
      </c>
      <c r="L444" t="s">
        <v>698</v>
      </c>
      <c r="N444" t="s">
        <v>1898</v>
      </c>
      <c r="O444" t="s">
        <v>1899</v>
      </c>
    </row>
    <row r="445" spans="1:19" x14ac:dyDescent="0.15">
      <c r="A445" t="s">
        <v>1860</v>
      </c>
      <c r="B445" s="61">
        <v>46997</v>
      </c>
      <c r="E445" t="s">
        <v>355</v>
      </c>
      <c r="F445" t="s">
        <v>364</v>
      </c>
      <c r="H445" t="s">
        <v>365</v>
      </c>
      <c r="I445">
        <v>801410</v>
      </c>
      <c r="J445" t="s">
        <v>1900</v>
      </c>
      <c r="K445" t="s">
        <v>1901</v>
      </c>
      <c r="L445" t="s">
        <v>1902</v>
      </c>
      <c r="N445" t="s">
        <v>1903</v>
      </c>
      <c r="O445" t="s">
        <v>1904</v>
      </c>
    </row>
    <row r="446" spans="1:19" x14ac:dyDescent="0.15">
      <c r="A446" t="s">
        <v>1860</v>
      </c>
      <c r="B446" s="61">
        <v>47027</v>
      </c>
      <c r="E446" t="s">
        <v>355</v>
      </c>
      <c r="F446" t="s">
        <v>364</v>
      </c>
      <c r="H446" t="s">
        <v>365</v>
      </c>
      <c r="I446">
        <v>801410</v>
      </c>
      <c r="J446" t="s">
        <v>1900</v>
      </c>
      <c r="K446" t="s">
        <v>1901</v>
      </c>
      <c r="L446" t="s">
        <v>1902</v>
      </c>
      <c r="N446" t="s">
        <v>1905</v>
      </c>
      <c r="O446" t="s">
        <v>1904</v>
      </c>
    </row>
    <row r="447" spans="1:19" x14ac:dyDescent="0.15">
      <c r="A447" t="s">
        <v>1860</v>
      </c>
      <c r="B447" s="61">
        <v>47058</v>
      </c>
      <c r="E447" t="s">
        <v>355</v>
      </c>
      <c r="F447" t="s">
        <v>364</v>
      </c>
      <c r="H447" t="s">
        <v>365</v>
      </c>
      <c r="I447">
        <v>801411</v>
      </c>
      <c r="J447" t="s">
        <v>1900</v>
      </c>
      <c r="K447" t="s">
        <v>1901</v>
      </c>
      <c r="L447" t="s">
        <v>1906</v>
      </c>
      <c r="N447" t="s">
        <v>1907</v>
      </c>
      <c r="O447" t="s">
        <v>1908</v>
      </c>
    </row>
    <row r="448" spans="1:19" ht="243" x14ac:dyDescent="0.15">
      <c r="A448" t="s">
        <v>1860</v>
      </c>
      <c r="B448" s="61">
        <v>47362</v>
      </c>
      <c r="E448" t="s">
        <v>355</v>
      </c>
      <c r="F448" t="s">
        <v>385</v>
      </c>
      <c r="H448" t="s">
        <v>353</v>
      </c>
      <c r="I448">
        <v>800415</v>
      </c>
      <c r="J448" t="s">
        <v>1909</v>
      </c>
      <c r="K448" t="s">
        <v>403</v>
      </c>
      <c r="L448" t="s">
        <v>1910</v>
      </c>
      <c r="N448" t="s">
        <v>1911</v>
      </c>
      <c r="O448" t="s">
        <v>1912</v>
      </c>
      <c r="R448" s="34" t="s">
        <v>768</v>
      </c>
      <c r="S448" s="34" t="s">
        <v>1913</v>
      </c>
    </row>
    <row r="449" spans="1:19" ht="351" x14ac:dyDescent="0.15">
      <c r="A449" t="s">
        <v>1860</v>
      </c>
      <c r="B449" s="61">
        <v>47696</v>
      </c>
      <c r="E449" t="s">
        <v>355</v>
      </c>
      <c r="F449" t="s">
        <v>385</v>
      </c>
      <c r="H449" t="s">
        <v>353</v>
      </c>
      <c r="I449">
        <v>801417</v>
      </c>
      <c r="J449" t="s">
        <v>1881</v>
      </c>
      <c r="K449" t="s">
        <v>1882</v>
      </c>
      <c r="L449" t="s">
        <v>1883</v>
      </c>
      <c r="N449" t="s">
        <v>1884</v>
      </c>
      <c r="O449" t="s">
        <v>1885</v>
      </c>
      <c r="R449" t="s">
        <v>386</v>
      </c>
      <c r="S449" s="34" t="s">
        <v>1886</v>
      </c>
    </row>
    <row r="450" spans="1:19" ht="391.5" x14ac:dyDescent="0.15">
      <c r="A450" t="s">
        <v>6252</v>
      </c>
      <c r="B450" s="61">
        <v>46204</v>
      </c>
      <c r="E450" t="s">
        <v>355</v>
      </c>
      <c r="F450" t="s">
        <v>356</v>
      </c>
      <c r="H450" t="s">
        <v>353</v>
      </c>
      <c r="I450">
        <v>3300044</v>
      </c>
      <c r="J450" t="s">
        <v>1920</v>
      </c>
      <c r="K450" t="s">
        <v>1921</v>
      </c>
      <c r="L450" t="s">
        <v>413</v>
      </c>
      <c r="N450" t="s">
        <v>4000</v>
      </c>
      <c r="O450" t="s">
        <v>1922</v>
      </c>
      <c r="R450" t="s">
        <v>362</v>
      </c>
      <c r="S450" s="34" t="s">
        <v>1923</v>
      </c>
    </row>
    <row r="451" spans="1:19" ht="391.5" x14ac:dyDescent="0.15">
      <c r="A451" t="s">
        <v>6252</v>
      </c>
      <c r="B451" s="61">
        <v>46296</v>
      </c>
      <c r="E451" t="s">
        <v>355</v>
      </c>
      <c r="F451" t="s">
        <v>385</v>
      </c>
      <c r="H451" t="s">
        <v>365</v>
      </c>
      <c r="I451">
        <v>3300695</v>
      </c>
      <c r="J451" t="s">
        <v>743</v>
      </c>
      <c r="K451" t="s">
        <v>1928</v>
      </c>
      <c r="L451" t="s">
        <v>1929</v>
      </c>
      <c r="N451" t="s">
        <v>1930</v>
      </c>
      <c r="O451" t="s">
        <v>1931</v>
      </c>
      <c r="R451" t="s">
        <v>395</v>
      </c>
      <c r="S451" s="34" t="s">
        <v>1932</v>
      </c>
    </row>
    <row r="452" spans="1:19" ht="409.5" x14ac:dyDescent="0.15">
      <c r="A452" t="s">
        <v>6263</v>
      </c>
      <c r="B452" s="61">
        <v>46327</v>
      </c>
      <c r="E452" t="s">
        <v>355</v>
      </c>
      <c r="F452" t="s">
        <v>385</v>
      </c>
      <c r="H452" t="s">
        <v>353</v>
      </c>
      <c r="I452">
        <v>3300475</v>
      </c>
      <c r="J452" t="s">
        <v>743</v>
      </c>
      <c r="K452" t="s">
        <v>1933</v>
      </c>
      <c r="L452" t="s">
        <v>1934</v>
      </c>
      <c r="N452" t="s">
        <v>1935</v>
      </c>
      <c r="O452" t="s">
        <v>1936</v>
      </c>
      <c r="R452" t="s">
        <v>386</v>
      </c>
      <c r="S452" s="34" t="s">
        <v>1937</v>
      </c>
    </row>
    <row r="453" spans="1:19" ht="409.5" x14ac:dyDescent="0.15">
      <c r="A453" t="s">
        <v>6263</v>
      </c>
      <c r="B453" s="61">
        <v>46357</v>
      </c>
      <c r="E453" t="s">
        <v>355</v>
      </c>
      <c r="F453" t="s">
        <v>385</v>
      </c>
      <c r="H453" t="s">
        <v>353</v>
      </c>
      <c r="I453">
        <v>3300100</v>
      </c>
      <c r="J453" t="s">
        <v>641</v>
      </c>
      <c r="K453" t="s">
        <v>1938</v>
      </c>
      <c r="L453" t="s">
        <v>1939</v>
      </c>
      <c r="N453" t="s">
        <v>1940</v>
      </c>
      <c r="O453" t="s">
        <v>1941</v>
      </c>
      <c r="R453" t="s">
        <v>386</v>
      </c>
      <c r="S453" s="34" t="s">
        <v>1942</v>
      </c>
    </row>
    <row r="454" spans="1:19" ht="409.5" x14ac:dyDescent="0.15">
      <c r="A454" t="s">
        <v>6263</v>
      </c>
      <c r="B454" s="61">
        <v>46357</v>
      </c>
      <c r="E454" t="s">
        <v>355</v>
      </c>
      <c r="F454" t="s">
        <v>356</v>
      </c>
      <c r="H454" t="s">
        <v>353</v>
      </c>
      <c r="I454">
        <v>3300033</v>
      </c>
      <c r="J454" t="s">
        <v>1924</v>
      </c>
      <c r="K454" t="s">
        <v>1925</v>
      </c>
      <c r="L454" t="s">
        <v>1926</v>
      </c>
      <c r="N454" t="s">
        <v>7354</v>
      </c>
      <c r="O454" t="s">
        <v>1927</v>
      </c>
      <c r="R454" t="s">
        <v>362</v>
      </c>
      <c r="S454" s="34" t="s">
        <v>7355</v>
      </c>
    </row>
    <row r="455" spans="1:19" x14ac:dyDescent="0.15">
      <c r="A455" t="s">
        <v>6263</v>
      </c>
      <c r="B455" s="61">
        <v>46447</v>
      </c>
      <c r="E455" t="s">
        <v>355</v>
      </c>
      <c r="F455" t="s">
        <v>364</v>
      </c>
      <c r="H455" t="s">
        <v>353</v>
      </c>
      <c r="I455">
        <v>3300403</v>
      </c>
      <c r="J455" t="s">
        <v>1943</v>
      </c>
      <c r="K455" t="s">
        <v>1944</v>
      </c>
      <c r="L455" t="s">
        <v>698</v>
      </c>
      <c r="N455" t="s">
        <v>1945</v>
      </c>
      <c r="O455" t="s">
        <v>1946</v>
      </c>
    </row>
    <row r="456" spans="1:19" x14ac:dyDescent="0.15">
      <c r="A456" t="s">
        <v>6263</v>
      </c>
      <c r="B456" s="61">
        <v>46508</v>
      </c>
      <c r="E456" t="s">
        <v>355</v>
      </c>
      <c r="F456" t="s">
        <v>364</v>
      </c>
      <c r="H456" t="s">
        <v>353</v>
      </c>
      <c r="I456">
        <v>3300320</v>
      </c>
      <c r="J456" t="s">
        <v>1065</v>
      </c>
      <c r="K456" t="s">
        <v>1947</v>
      </c>
      <c r="L456" t="s">
        <v>1114</v>
      </c>
      <c r="N456" t="s">
        <v>1948</v>
      </c>
      <c r="O456" t="s">
        <v>1949</v>
      </c>
    </row>
    <row r="457" spans="1:19" x14ac:dyDescent="0.15">
      <c r="A457" t="s">
        <v>6263</v>
      </c>
      <c r="B457" s="61">
        <v>46569</v>
      </c>
      <c r="E457" t="s">
        <v>355</v>
      </c>
      <c r="F457" t="s">
        <v>364</v>
      </c>
      <c r="H457" t="s">
        <v>353</v>
      </c>
      <c r="I457">
        <v>3300578</v>
      </c>
      <c r="J457" t="s">
        <v>1943</v>
      </c>
      <c r="K457" t="s">
        <v>1944</v>
      </c>
      <c r="L457" t="s">
        <v>413</v>
      </c>
      <c r="N457" t="s">
        <v>1950</v>
      </c>
      <c r="O457" t="s">
        <v>1951</v>
      </c>
    </row>
    <row r="458" spans="1:19" ht="391.5" x14ac:dyDescent="0.15">
      <c r="A458" t="s">
        <v>6263</v>
      </c>
      <c r="B458" s="61">
        <v>46813</v>
      </c>
      <c r="E458" t="s">
        <v>355</v>
      </c>
      <c r="F458" t="s">
        <v>385</v>
      </c>
      <c r="H458" t="s">
        <v>365</v>
      </c>
      <c r="I458">
        <v>3300231</v>
      </c>
      <c r="J458" t="s">
        <v>708</v>
      </c>
      <c r="K458" t="s">
        <v>1952</v>
      </c>
      <c r="L458" t="s">
        <v>1385</v>
      </c>
      <c r="N458" t="s">
        <v>1953</v>
      </c>
      <c r="O458" t="s">
        <v>1954</v>
      </c>
      <c r="R458" t="s">
        <v>395</v>
      </c>
      <c r="S458" s="34" t="s">
        <v>1955</v>
      </c>
    </row>
    <row r="459" spans="1:19" ht="409.5" x14ac:dyDescent="0.15">
      <c r="A459" t="s">
        <v>6252</v>
      </c>
      <c r="B459" s="61">
        <v>47574</v>
      </c>
      <c r="E459" t="s">
        <v>355</v>
      </c>
      <c r="F459" t="s">
        <v>385</v>
      </c>
      <c r="H459" t="s">
        <v>353</v>
      </c>
      <c r="I459">
        <v>3300745</v>
      </c>
      <c r="J459" t="s">
        <v>672</v>
      </c>
      <c r="K459" t="s">
        <v>1915</v>
      </c>
      <c r="L459" t="s">
        <v>1916</v>
      </c>
      <c r="N459" t="s">
        <v>1917</v>
      </c>
      <c r="O459" t="s">
        <v>1918</v>
      </c>
      <c r="R459" t="s">
        <v>386</v>
      </c>
      <c r="S459" s="34" t="s">
        <v>1919</v>
      </c>
    </row>
    <row r="460" spans="1:19" ht="391.5" x14ac:dyDescent="0.15">
      <c r="A460" t="s">
        <v>6252</v>
      </c>
      <c r="B460" s="61">
        <v>47665</v>
      </c>
      <c r="E460" t="s">
        <v>355</v>
      </c>
      <c r="F460" t="s">
        <v>385</v>
      </c>
      <c r="H460" t="s">
        <v>353</v>
      </c>
      <c r="I460">
        <v>3300044</v>
      </c>
      <c r="J460" t="s">
        <v>1920</v>
      </c>
      <c r="K460" t="s">
        <v>1921</v>
      </c>
      <c r="L460" t="s">
        <v>413</v>
      </c>
      <c r="N460" t="s">
        <v>4000</v>
      </c>
      <c r="O460" t="s">
        <v>1922</v>
      </c>
      <c r="R460" s="34" t="s">
        <v>768</v>
      </c>
      <c r="S460" s="34" t="s">
        <v>1923</v>
      </c>
    </row>
    <row r="461" spans="1:19" ht="409.5" x14ac:dyDescent="0.15">
      <c r="A461" t="s">
        <v>6263</v>
      </c>
      <c r="B461" s="61">
        <v>47818</v>
      </c>
      <c r="E461" t="s">
        <v>355</v>
      </c>
      <c r="F461" t="s">
        <v>385</v>
      </c>
      <c r="H461" t="s">
        <v>353</v>
      </c>
      <c r="I461">
        <v>3300033</v>
      </c>
      <c r="J461" t="s">
        <v>1924</v>
      </c>
      <c r="K461" t="s">
        <v>1925</v>
      </c>
      <c r="L461" t="s">
        <v>1926</v>
      </c>
      <c r="N461" t="s">
        <v>7354</v>
      </c>
      <c r="O461" t="s">
        <v>1927</v>
      </c>
      <c r="R461" t="s">
        <v>386</v>
      </c>
      <c r="S461" s="34" t="s">
        <v>7355</v>
      </c>
    </row>
    <row r="462" spans="1:19" x14ac:dyDescent="0.15">
      <c r="A462" t="s">
        <v>6275</v>
      </c>
      <c r="B462" s="61">
        <v>46388</v>
      </c>
      <c r="E462" t="s">
        <v>355</v>
      </c>
      <c r="F462" t="s">
        <v>364</v>
      </c>
      <c r="H462" t="s">
        <v>353</v>
      </c>
      <c r="I462">
        <v>801359</v>
      </c>
      <c r="J462" t="s">
        <v>1966</v>
      </c>
      <c r="K462" t="s">
        <v>1967</v>
      </c>
      <c r="L462" t="s">
        <v>1968</v>
      </c>
      <c r="N462" t="s">
        <v>1969</v>
      </c>
      <c r="O462" t="s">
        <v>1970</v>
      </c>
    </row>
    <row r="463" spans="1:19" x14ac:dyDescent="0.15">
      <c r="A463" t="s">
        <v>6275</v>
      </c>
      <c r="B463" s="61">
        <v>46692</v>
      </c>
      <c r="E463" t="s">
        <v>355</v>
      </c>
      <c r="F463" t="s">
        <v>364</v>
      </c>
      <c r="H463" t="s">
        <v>365</v>
      </c>
      <c r="I463">
        <v>1200099</v>
      </c>
      <c r="J463" t="s">
        <v>1971</v>
      </c>
      <c r="K463" t="s">
        <v>1956</v>
      </c>
      <c r="L463" t="s">
        <v>1972</v>
      </c>
      <c r="N463" t="s">
        <v>1973</v>
      </c>
      <c r="O463" t="s">
        <v>1974</v>
      </c>
    </row>
    <row r="464" spans="1:19" x14ac:dyDescent="0.15">
      <c r="A464" t="s">
        <v>6275</v>
      </c>
      <c r="B464" s="61">
        <v>46753</v>
      </c>
      <c r="E464" t="s">
        <v>355</v>
      </c>
      <c r="F464" t="s">
        <v>364</v>
      </c>
      <c r="H464" t="s">
        <v>353</v>
      </c>
      <c r="I464">
        <v>1200550</v>
      </c>
      <c r="J464" t="s">
        <v>1975</v>
      </c>
      <c r="K464" t="s">
        <v>1976</v>
      </c>
      <c r="L464" t="s">
        <v>1977</v>
      </c>
      <c r="N464" t="s">
        <v>1978</v>
      </c>
      <c r="O464" t="s">
        <v>1979</v>
      </c>
    </row>
    <row r="465" spans="1:19" x14ac:dyDescent="0.15">
      <c r="A465" t="s">
        <v>6275</v>
      </c>
      <c r="B465" s="61">
        <v>46905</v>
      </c>
      <c r="E465" t="s">
        <v>355</v>
      </c>
      <c r="F465" t="s">
        <v>364</v>
      </c>
      <c r="H465" t="s">
        <v>353</v>
      </c>
      <c r="I465">
        <v>801281</v>
      </c>
      <c r="J465" t="s">
        <v>1980</v>
      </c>
      <c r="L465" t="s">
        <v>1981</v>
      </c>
      <c r="N465" t="s">
        <v>1982</v>
      </c>
      <c r="O465" t="s">
        <v>1983</v>
      </c>
    </row>
    <row r="466" spans="1:19" x14ac:dyDescent="0.15">
      <c r="A466" t="s">
        <v>6275</v>
      </c>
      <c r="B466" s="61">
        <v>47058</v>
      </c>
      <c r="E466" t="s">
        <v>355</v>
      </c>
      <c r="F466" t="s">
        <v>364</v>
      </c>
      <c r="H466" t="s">
        <v>353</v>
      </c>
      <c r="I466">
        <v>1201320</v>
      </c>
      <c r="J466" t="s">
        <v>1984</v>
      </c>
      <c r="K466" t="s">
        <v>1985</v>
      </c>
      <c r="L466" t="s">
        <v>413</v>
      </c>
      <c r="N466" t="s">
        <v>1986</v>
      </c>
      <c r="O466" t="s">
        <v>1987</v>
      </c>
    </row>
    <row r="467" spans="1:19" ht="409.5" x14ac:dyDescent="0.15">
      <c r="A467" t="s">
        <v>6275</v>
      </c>
      <c r="B467" s="61">
        <v>47119</v>
      </c>
      <c r="E467" t="s">
        <v>355</v>
      </c>
      <c r="F467" t="s">
        <v>385</v>
      </c>
      <c r="H467" t="s">
        <v>365</v>
      </c>
      <c r="I467">
        <v>800885</v>
      </c>
      <c r="J467" t="s">
        <v>1988</v>
      </c>
      <c r="K467" t="s">
        <v>1967</v>
      </c>
      <c r="L467" t="s">
        <v>1989</v>
      </c>
      <c r="N467" t="s">
        <v>1990</v>
      </c>
      <c r="O467" t="s">
        <v>1991</v>
      </c>
      <c r="R467" t="s">
        <v>395</v>
      </c>
      <c r="S467" s="34" t="s">
        <v>1992</v>
      </c>
    </row>
    <row r="468" spans="1:19" ht="409.5" x14ac:dyDescent="0.15">
      <c r="A468" t="s">
        <v>6275</v>
      </c>
      <c r="B468" s="61">
        <v>47574</v>
      </c>
      <c r="E468" t="s">
        <v>355</v>
      </c>
      <c r="F468" t="s">
        <v>385</v>
      </c>
      <c r="H468" t="s">
        <v>353</v>
      </c>
      <c r="I468">
        <v>1201469</v>
      </c>
      <c r="J468" t="s">
        <v>1360</v>
      </c>
      <c r="K468" t="s">
        <v>1956</v>
      </c>
      <c r="L468" t="s">
        <v>1958</v>
      </c>
      <c r="N468" t="s">
        <v>1959</v>
      </c>
      <c r="O468" t="s">
        <v>1960</v>
      </c>
      <c r="R468" t="s">
        <v>386</v>
      </c>
      <c r="S468" s="34" t="s">
        <v>1961</v>
      </c>
    </row>
    <row r="469" spans="1:19" ht="409.5" x14ac:dyDescent="0.15">
      <c r="A469" t="s">
        <v>6275</v>
      </c>
      <c r="B469" s="61">
        <v>47574</v>
      </c>
      <c r="E469" t="s">
        <v>355</v>
      </c>
      <c r="F469" t="s">
        <v>385</v>
      </c>
      <c r="H469" t="s">
        <v>353</v>
      </c>
      <c r="I469">
        <v>1200263</v>
      </c>
      <c r="J469" t="s">
        <v>1360</v>
      </c>
      <c r="K469" t="s">
        <v>1956</v>
      </c>
      <c r="L469" t="s">
        <v>1962</v>
      </c>
      <c r="N469" t="s">
        <v>1963</v>
      </c>
      <c r="O469" t="s">
        <v>1964</v>
      </c>
      <c r="R469" t="s">
        <v>386</v>
      </c>
      <c r="S469" s="34" t="s">
        <v>1965</v>
      </c>
    </row>
    <row r="470" spans="1:19" x14ac:dyDescent="0.15">
      <c r="A470" t="s">
        <v>6275</v>
      </c>
      <c r="B470" s="61">
        <v>48214</v>
      </c>
      <c r="E470" t="s">
        <v>355</v>
      </c>
      <c r="F470" t="s">
        <v>364</v>
      </c>
      <c r="H470" t="s">
        <v>353</v>
      </c>
      <c r="I470">
        <v>1200550</v>
      </c>
      <c r="J470" t="s">
        <v>1975</v>
      </c>
      <c r="K470" t="s">
        <v>1976</v>
      </c>
      <c r="L470" t="s">
        <v>1977</v>
      </c>
      <c r="N470" t="s">
        <v>1978</v>
      </c>
      <c r="O470" t="s">
        <v>1979</v>
      </c>
    </row>
    <row r="471" spans="1:19" ht="409.5" x14ac:dyDescent="0.15">
      <c r="A471" t="s">
        <v>1993</v>
      </c>
      <c r="B471" s="61">
        <v>44805</v>
      </c>
      <c r="E471" t="s">
        <v>355</v>
      </c>
      <c r="F471" t="s">
        <v>385</v>
      </c>
      <c r="H471" t="s">
        <v>365</v>
      </c>
      <c r="I471">
        <v>300038</v>
      </c>
      <c r="J471" t="s">
        <v>1994</v>
      </c>
      <c r="L471" t="s">
        <v>692</v>
      </c>
      <c r="N471" t="s">
        <v>1995</v>
      </c>
      <c r="O471" t="s">
        <v>1996</v>
      </c>
      <c r="R471" t="s">
        <v>395</v>
      </c>
      <c r="S471" s="34" t="s">
        <v>1997</v>
      </c>
    </row>
    <row r="472" spans="1:19" ht="243" x14ac:dyDescent="0.15">
      <c r="A472" t="s">
        <v>1993</v>
      </c>
      <c r="B472" s="61">
        <v>45992</v>
      </c>
      <c r="E472" t="s">
        <v>355</v>
      </c>
      <c r="F472" t="s">
        <v>385</v>
      </c>
      <c r="H472" t="s">
        <v>365</v>
      </c>
      <c r="I472">
        <v>200079</v>
      </c>
      <c r="J472" t="s">
        <v>4018</v>
      </c>
      <c r="L472" t="s">
        <v>413</v>
      </c>
      <c r="N472" t="s">
        <v>4019</v>
      </c>
      <c r="O472" t="s">
        <v>4020</v>
      </c>
      <c r="P472" t="s">
        <v>4936</v>
      </c>
      <c r="Q472" s="34" t="s">
        <v>4937</v>
      </c>
      <c r="R472" t="s">
        <v>395</v>
      </c>
      <c r="S472" s="34" t="s">
        <v>4021</v>
      </c>
    </row>
    <row r="473" spans="1:19" ht="409.5" x14ac:dyDescent="0.15">
      <c r="A473" t="s">
        <v>1993</v>
      </c>
      <c r="B473" s="61">
        <v>45992</v>
      </c>
      <c r="E473" t="s">
        <v>355</v>
      </c>
      <c r="F473" t="s">
        <v>351</v>
      </c>
      <c r="G473" t="s">
        <v>354</v>
      </c>
      <c r="H473" t="s">
        <v>365</v>
      </c>
      <c r="I473">
        <v>500128</v>
      </c>
      <c r="J473" t="s">
        <v>1998</v>
      </c>
      <c r="K473" t="s">
        <v>1999</v>
      </c>
      <c r="L473" t="s">
        <v>698</v>
      </c>
      <c r="N473" t="s">
        <v>2000</v>
      </c>
      <c r="O473" t="s">
        <v>2001</v>
      </c>
      <c r="R473" s="34" t="s">
        <v>2002</v>
      </c>
      <c r="S473" s="34" t="s">
        <v>2003</v>
      </c>
    </row>
    <row r="474" spans="1:19" ht="243" x14ac:dyDescent="0.15">
      <c r="A474" t="s">
        <v>1993</v>
      </c>
      <c r="B474" s="61">
        <v>46174</v>
      </c>
      <c r="E474" t="s">
        <v>355</v>
      </c>
      <c r="F474" t="s">
        <v>356</v>
      </c>
      <c r="H474" t="s">
        <v>365</v>
      </c>
      <c r="I474">
        <v>200092</v>
      </c>
      <c r="J474" t="s">
        <v>2004</v>
      </c>
      <c r="K474" t="s">
        <v>2005</v>
      </c>
      <c r="L474" t="s">
        <v>413</v>
      </c>
      <c r="N474" t="s">
        <v>2006</v>
      </c>
      <c r="O474" t="s">
        <v>2007</v>
      </c>
      <c r="R474" t="s">
        <v>362</v>
      </c>
      <c r="S474" s="34" t="s">
        <v>2008</v>
      </c>
    </row>
    <row r="475" spans="1:19" x14ac:dyDescent="0.15">
      <c r="A475" t="s">
        <v>1993</v>
      </c>
      <c r="B475" s="61">
        <v>46508</v>
      </c>
      <c r="E475" t="s">
        <v>355</v>
      </c>
      <c r="F475" t="s">
        <v>364</v>
      </c>
      <c r="H475" t="s">
        <v>365</v>
      </c>
      <c r="I475">
        <v>500128</v>
      </c>
      <c r="J475" t="s">
        <v>2009</v>
      </c>
      <c r="K475" t="s">
        <v>1999</v>
      </c>
      <c r="L475" t="s">
        <v>698</v>
      </c>
      <c r="N475" t="s">
        <v>2000</v>
      </c>
      <c r="O475" t="s">
        <v>2001</v>
      </c>
    </row>
    <row r="476" spans="1:19" x14ac:dyDescent="0.15">
      <c r="A476" t="s">
        <v>1993</v>
      </c>
      <c r="B476" s="61">
        <v>46631</v>
      </c>
      <c r="E476" t="s">
        <v>355</v>
      </c>
      <c r="F476" t="s">
        <v>364</v>
      </c>
      <c r="H476" t="s">
        <v>353</v>
      </c>
      <c r="I476">
        <v>500111</v>
      </c>
      <c r="J476" t="s">
        <v>1298</v>
      </c>
      <c r="K476" t="s">
        <v>2010</v>
      </c>
      <c r="L476" t="s">
        <v>2011</v>
      </c>
      <c r="N476" t="s">
        <v>2012</v>
      </c>
      <c r="O476" t="s">
        <v>2013</v>
      </c>
    </row>
    <row r="477" spans="1:19" x14ac:dyDescent="0.15">
      <c r="A477" t="s">
        <v>1993</v>
      </c>
      <c r="B477" s="61">
        <v>46692</v>
      </c>
      <c r="E477" t="s">
        <v>355</v>
      </c>
      <c r="F477" t="s">
        <v>364</v>
      </c>
      <c r="H477" t="s">
        <v>353</v>
      </c>
      <c r="I477">
        <v>300180</v>
      </c>
      <c r="J477" t="s">
        <v>821</v>
      </c>
      <c r="K477" t="s">
        <v>2014</v>
      </c>
      <c r="L477" t="s">
        <v>2015</v>
      </c>
      <c r="N477" t="s">
        <v>2016</v>
      </c>
      <c r="O477" t="s">
        <v>2017</v>
      </c>
    </row>
    <row r="478" spans="1:19" x14ac:dyDescent="0.15">
      <c r="A478" t="s">
        <v>1993</v>
      </c>
      <c r="B478" s="61">
        <v>46753</v>
      </c>
      <c r="E478" t="s">
        <v>355</v>
      </c>
      <c r="F478" t="s">
        <v>364</v>
      </c>
      <c r="H478" t="s">
        <v>365</v>
      </c>
      <c r="I478">
        <v>300240</v>
      </c>
      <c r="J478" t="s">
        <v>1264</v>
      </c>
      <c r="K478" t="s">
        <v>2018</v>
      </c>
      <c r="L478" t="s">
        <v>373</v>
      </c>
      <c r="N478" t="s">
        <v>2019</v>
      </c>
      <c r="O478" t="s">
        <v>2020</v>
      </c>
    </row>
    <row r="479" spans="1:19" ht="243" x14ac:dyDescent="0.15">
      <c r="A479" t="s">
        <v>1993</v>
      </c>
      <c r="B479" s="61">
        <v>47423</v>
      </c>
      <c r="E479" t="s">
        <v>355</v>
      </c>
      <c r="F479" t="s">
        <v>385</v>
      </c>
      <c r="H479" t="s">
        <v>365</v>
      </c>
      <c r="I479">
        <v>500001</v>
      </c>
      <c r="J479" t="s">
        <v>2021</v>
      </c>
      <c r="K479" t="s">
        <v>2022</v>
      </c>
      <c r="L479" t="s">
        <v>2023</v>
      </c>
      <c r="N479" t="s">
        <v>2024</v>
      </c>
      <c r="O479" t="s">
        <v>2025</v>
      </c>
      <c r="R479" t="s">
        <v>395</v>
      </c>
      <c r="S479" s="34" t="s">
        <v>2026</v>
      </c>
    </row>
    <row r="480" spans="1:19" ht="243" x14ac:dyDescent="0.15">
      <c r="A480" t="s">
        <v>1993</v>
      </c>
      <c r="B480" s="61">
        <v>47635</v>
      </c>
      <c r="E480" t="s">
        <v>355</v>
      </c>
      <c r="F480" t="s">
        <v>385</v>
      </c>
      <c r="H480" t="s">
        <v>365</v>
      </c>
      <c r="I480">
        <v>200092</v>
      </c>
      <c r="J480" t="s">
        <v>2004</v>
      </c>
      <c r="K480" t="s">
        <v>2005</v>
      </c>
      <c r="L480" t="s">
        <v>413</v>
      </c>
      <c r="N480" t="s">
        <v>2006</v>
      </c>
      <c r="O480" t="s">
        <v>2007</v>
      </c>
      <c r="R480" t="s">
        <v>395</v>
      </c>
      <c r="S480" s="34" t="s">
        <v>2008</v>
      </c>
    </row>
    <row r="481" spans="1:19" ht="409.5" x14ac:dyDescent="0.15">
      <c r="A481" t="s">
        <v>2027</v>
      </c>
      <c r="B481" s="61">
        <v>43344</v>
      </c>
      <c r="E481" t="s">
        <v>355</v>
      </c>
      <c r="F481" t="s">
        <v>356</v>
      </c>
      <c r="H481" t="s">
        <v>365</v>
      </c>
      <c r="I481">
        <v>2801533</v>
      </c>
      <c r="J481" t="s">
        <v>2028</v>
      </c>
      <c r="K481" t="s">
        <v>2029</v>
      </c>
      <c r="L481" t="s">
        <v>698</v>
      </c>
      <c r="N481" t="s">
        <v>2030</v>
      </c>
      <c r="O481" t="s">
        <v>2031</v>
      </c>
      <c r="R481" t="s">
        <v>362</v>
      </c>
      <c r="S481" s="34" t="s">
        <v>2032</v>
      </c>
    </row>
    <row r="482" spans="1:19" ht="409.5" x14ac:dyDescent="0.15">
      <c r="A482" t="s">
        <v>2027</v>
      </c>
      <c r="B482" s="61">
        <v>44805</v>
      </c>
      <c r="E482" t="s">
        <v>355</v>
      </c>
      <c r="F482" t="s">
        <v>385</v>
      </c>
      <c r="H482" t="s">
        <v>365</v>
      </c>
      <c r="I482">
        <v>2801533</v>
      </c>
      <c r="J482" t="s">
        <v>2028</v>
      </c>
      <c r="K482" t="s">
        <v>2029</v>
      </c>
      <c r="L482" t="s">
        <v>833</v>
      </c>
      <c r="N482" t="s">
        <v>2030</v>
      </c>
      <c r="O482" t="s">
        <v>2031</v>
      </c>
      <c r="R482" t="s">
        <v>395</v>
      </c>
      <c r="S482" s="34" t="s">
        <v>2032</v>
      </c>
    </row>
    <row r="483" spans="1:19" ht="409.5" x14ac:dyDescent="0.15">
      <c r="A483" t="s">
        <v>2027</v>
      </c>
      <c r="B483" s="61">
        <v>45962</v>
      </c>
      <c r="E483" t="s">
        <v>355</v>
      </c>
      <c r="F483" t="s">
        <v>351</v>
      </c>
      <c r="G483" t="s">
        <v>352</v>
      </c>
      <c r="H483" t="s">
        <v>365</v>
      </c>
      <c r="I483">
        <v>2801533</v>
      </c>
      <c r="J483" t="s">
        <v>2028</v>
      </c>
      <c r="K483" t="s">
        <v>2029</v>
      </c>
      <c r="L483" t="s">
        <v>833</v>
      </c>
      <c r="N483" t="s">
        <v>2038</v>
      </c>
      <c r="O483" t="s">
        <v>2031</v>
      </c>
      <c r="S483" s="34" t="s">
        <v>2039</v>
      </c>
    </row>
    <row r="484" spans="1:19" x14ac:dyDescent="0.15">
      <c r="A484" t="s">
        <v>2027</v>
      </c>
      <c r="B484" s="61">
        <v>46508</v>
      </c>
      <c r="E484" t="s">
        <v>355</v>
      </c>
      <c r="F484" t="s">
        <v>364</v>
      </c>
      <c r="H484" t="s">
        <v>365</v>
      </c>
      <c r="I484">
        <v>2801057</v>
      </c>
      <c r="J484" t="s">
        <v>2033</v>
      </c>
      <c r="K484" t="s">
        <v>1813</v>
      </c>
      <c r="L484" t="s">
        <v>2034</v>
      </c>
      <c r="N484" t="s">
        <v>2035</v>
      </c>
      <c r="O484" t="s">
        <v>2036</v>
      </c>
    </row>
    <row r="485" spans="1:19" x14ac:dyDescent="0.15">
      <c r="A485" t="s">
        <v>2027</v>
      </c>
      <c r="B485" s="61">
        <v>46539</v>
      </c>
      <c r="E485" t="s">
        <v>355</v>
      </c>
      <c r="F485" t="s">
        <v>364</v>
      </c>
      <c r="H485" t="s">
        <v>353</v>
      </c>
      <c r="I485">
        <v>2802381</v>
      </c>
      <c r="J485" t="s">
        <v>2040</v>
      </c>
      <c r="K485" t="s">
        <v>1350</v>
      </c>
      <c r="L485" t="s">
        <v>2041</v>
      </c>
      <c r="N485" t="s">
        <v>2042</v>
      </c>
      <c r="O485" t="s">
        <v>2043</v>
      </c>
    </row>
    <row r="486" spans="1:19" x14ac:dyDescent="0.15">
      <c r="A486" t="s">
        <v>2027</v>
      </c>
      <c r="B486" s="61">
        <v>46539</v>
      </c>
      <c r="E486" t="s">
        <v>355</v>
      </c>
      <c r="F486" t="s">
        <v>364</v>
      </c>
      <c r="H486" t="s">
        <v>310</v>
      </c>
      <c r="I486">
        <v>2800300</v>
      </c>
      <c r="J486" t="s">
        <v>2044</v>
      </c>
      <c r="K486" t="s">
        <v>2045</v>
      </c>
      <c r="L486" t="s">
        <v>833</v>
      </c>
      <c r="N486" t="s">
        <v>2046</v>
      </c>
      <c r="O486" t="s">
        <v>2047</v>
      </c>
    </row>
    <row r="487" spans="1:19" x14ac:dyDescent="0.15">
      <c r="A487" t="s">
        <v>2027</v>
      </c>
      <c r="B487" s="61">
        <v>46539</v>
      </c>
      <c r="E487" t="s">
        <v>355</v>
      </c>
      <c r="F487" t="s">
        <v>364</v>
      </c>
      <c r="H487" t="s">
        <v>310</v>
      </c>
      <c r="I487">
        <v>2800300</v>
      </c>
      <c r="J487" t="s">
        <v>2044</v>
      </c>
      <c r="K487" t="s">
        <v>2045</v>
      </c>
      <c r="L487" t="s">
        <v>833</v>
      </c>
      <c r="N487" t="s">
        <v>2048</v>
      </c>
      <c r="O487" t="s">
        <v>2047</v>
      </c>
    </row>
    <row r="488" spans="1:19" x14ac:dyDescent="0.15">
      <c r="A488" t="s">
        <v>2027</v>
      </c>
      <c r="B488" s="61">
        <v>46569</v>
      </c>
      <c r="E488" t="s">
        <v>355</v>
      </c>
      <c r="F488" t="s">
        <v>364</v>
      </c>
      <c r="H488" t="s">
        <v>365</v>
      </c>
      <c r="I488">
        <v>2802245</v>
      </c>
      <c r="J488" t="s">
        <v>2049</v>
      </c>
      <c r="K488" t="s">
        <v>2050</v>
      </c>
      <c r="L488" t="s">
        <v>2051</v>
      </c>
      <c r="N488" t="s">
        <v>2052</v>
      </c>
      <c r="O488" t="s">
        <v>2053</v>
      </c>
    </row>
    <row r="489" spans="1:19" ht="229.5" x14ac:dyDescent="0.15">
      <c r="A489" t="s">
        <v>2027</v>
      </c>
      <c r="B489" s="61">
        <v>46784</v>
      </c>
      <c r="E489" t="s">
        <v>355</v>
      </c>
      <c r="F489" t="s">
        <v>385</v>
      </c>
      <c r="H489" t="s">
        <v>353</v>
      </c>
      <c r="I489">
        <v>2802263</v>
      </c>
      <c r="J489" t="s">
        <v>2054</v>
      </c>
      <c r="L489" t="s">
        <v>390</v>
      </c>
      <c r="N489" t="s">
        <v>2055</v>
      </c>
      <c r="O489" t="s">
        <v>2056</v>
      </c>
      <c r="R489" t="s">
        <v>2057</v>
      </c>
      <c r="S489" s="34" t="s">
        <v>2058</v>
      </c>
    </row>
    <row r="490" spans="1:19" x14ac:dyDescent="0.15">
      <c r="A490" t="s">
        <v>2027</v>
      </c>
      <c r="B490" s="61">
        <v>46844</v>
      </c>
      <c r="E490" t="s">
        <v>355</v>
      </c>
      <c r="F490" t="s">
        <v>364</v>
      </c>
      <c r="H490" t="s">
        <v>365</v>
      </c>
      <c r="I490">
        <v>2801845</v>
      </c>
      <c r="J490" t="s">
        <v>2059</v>
      </c>
      <c r="K490" t="s">
        <v>2060</v>
      </c>
      <c r="L490" t="s">
        <v>2061</v>
      </c>
      <c r="N490" t="s">
        <v>2062</v>
      </c>
      <c r="O490" t="s">
        <v>2063</v>
      </c>
    </row>
    <row r="491" spans="1:19" x14ac:dyDescent="0.15">
      <c r="A491" t="s">
        <v>2027</v>
      </c>
      <c r="B491" s="61">
        <v>47119</v>
      </c>
      <c r="E491" t="s">
        <v>355</v>
      </c>
      <c r="F491" t="s">
        <v>364</v>
      </c>
      <c r="H491" t="s">
        <v>353</v>
      </c>
      <c r="I491">
        <v>2800634</v>
      </c>
      <c r="J491" t="s">
        <v>2064</v>
      </c>
      <c r="L491" t="s">
        <v>833</v>
      </c>
      <c r="N491" t="s">
        <v>2065</v>
      </c>
      <c r="O491" t="s">
        <v>2066</v>
      </c>
    </row>
    <row r="492" spans="1:19" x14ac:dyDescent="0.15">
      <c r="A492" t="s">
        <v>2027</v>
      </c>
      <c r="B492" s="61">
        <v>47635</v>
      </c>
      <c r="E492" t="s">
        <v>355</v>
      </c>
      <c r="F492" t="s">
        <v>364</v>
      </c>
      <c r="H492" t="s">
        <v>310</v>
      </c>
      <c r="I492">
        <v>2800300</v>
      </c>
      <c r="J492" t="s">
        <v>2044</v>
      </c>
      <c r="K492" t="s">
        <v>2045</v>
      </c>
      <c r="L492" t="s">
        <v>833</v>
      </c>
      <c r="N492" t="s">
        <v>2046</v>
      </c>
      <c r="O492" t="s">
        <v>2047</v>
      </c>
    </row>
    <row r="493" spans="1:19" x14ac:dyDescent="0.15">
      <c r="A493" t="s">
        <v>2027</v>
      </c>
      <c r="B493" s="61">
        <v>47635</v>
      </c>
      <c r="E493" t="s">
        <v>355</v>
      </c>
      <c r="F493" t="s">
        <v>364</v>
      </c>
      <c r="H493" t="s">
        <v>310</v>
      </c>
      <c r="I493">
        <v>2800300</v>
      </c>
      <c r="J493" t="s">
        <v>2044</v>
      </c>
      <c r="K493" t="s">
        <v>2045</v>
      </c>
      <c r="L493" t="s">
        <v>833</v>
      </c>
      <c r="N493" t="s">
        <v>2048</v>
      </c>
      <c r="O493" t="s">
        <v>2047</v>
      </c>
    </row>
    <row r="494" spans="1:19" x14ac:dyDescent="0.15">
      <c r="A494" t="s">
        <v>2027</v>
      </c>
      <c r="B494" s="61">
        <v>47969</v>
      </c>
      <c r="E494" t="s">
        <v>355</v>
      </c>
      <c r="F494" t="s">
        <v>364</v>
      </c>
      <c r="H494" t="s">
        <v>365</v>
      </c>
      <c r="I494">
        <v>2801057</v>
      </c>
      <c r="J494" t="s">
        <v>2033</v>
      </c>
      <c r="K494" t="s">
        <v>1813</v>
      </c>
      <c r="L494" t="s">
        <v>2034</v>
      </c>
      <c r="N494" t="s">
        <v>2035</v>
      </c>
      <c r="O494" t="s">
        <v>2036</v>
      </c>
    </row>
    <row r="495" spans="1:19" x14ac:dyDescent="0.15">
      <c r="A495" t="s">
        <v>2027</v>
      </c>
      <c r="B495" s="61">
        <v>48000</v>
      </c>
      <c r="E495" t="s">
        <v>355</v>
      </c>
      <c r="F495" t="s">
        <v>364</v>
      </c>
      <c r="H495" t="s">
        <v>353</v>
      </c>
      <c r="I495">
        <v>2802381</v>
      </c>
      <c r="J495" t="s">
        <v>2040</v>
      </c>
      <c r="K495" t="s">
        <v>1350</v>
      </c>
      <c r="L495" t="s">
        <v>2041</v>
      </c>
      <c r="N495" t="s">
        <v>2042</v>
      </c>
      <c r="O495" t="s">
        <v>2043</v>
      </c>
    </row>
    <row r="496" spans="1:19" x14ac:dyDescent="0.15">
      <c r="A496" t="s">
        <v>2027</v>
      </c>
      <c r="B496" s="61">
        <v>48000</v>
      </c>
      <c r="E496" t="s">
        <v>355</v>
      </c>
      <c r="F496" t="s">
        <v>364</v>
      </c>
      <c r="H496" t="s">
        <v>310</v>
      </c>
      <c r="I496">
        <v>2800300</v>
      </c>
      <c r="J496" t="s">
        <v>2044</v>
      </c>
      <c r="K496" t="s">
        <v>2045</v>
      </c>
      <c r="L496" t="s">
        <v>833</v>
      </c>
      <c r="N496" t="s">
        <v>2046</v>
      </c>
      <c r="O496" t="s">
        <v>2047</v>
      </c>
    </row>
    <row r="497" spans="1:19" x14ac:dyDescent="0.15">
      <c r="A497" t="s">
        <v>2027</v>
      </c>
      <c r="B497" s="61">
        <v>48000</v>
      </c>
      <c r="E497" t="s">
        <v>355</v>
      </c>
      <c r="F497" t="s">
        <v>364</v>
      </c>
      <c r="H497" t="s">
        <v>310</v>
      </c>
      <c r="I497">
        <v>2800300</v>
      </c>
      <c r="J497" t="s">
        <v>2044</v>
      </c>
      <c r="K497" t="s">
        <v>2045</v>
      </c>
      <c r="L497" t="s">
        <v>833</v>
      </c>
      <c r="N497" t="s">
        <v>2048</v>
      </c>
      <c r="O497" t="s">
        <v>2047</v>
      </c>
    </row>
    <row r="498" spans="1:19" ht="270" x14ac:dyDescent="0.15">
      <c r="A498" t="s">
        <v>2067</v>
      </c>
      <c r="B498" s="61">
        <v>46082</v>
      </c>
      <c r="E498" t="s">
        <v>355</v>
      </c>
      <c r="F498" t="s">
        <v>385</v>
      </c>
      <c r="H498" t="s">
        <v>353</v>
      </c>
      <c r="I498">
        <v>2200413</v>
      </c>
      <c r="J498" t="s">
        <v>5029</v>
      </c>
      <c r="L498" t="s">
        <v>718</v>
      </c>
      <c r="N498" t="s">
        <v>5030</v>
      </c>
      <c r="O498" t="s">
        <v>5031</v>
      </c>
      <c r="Q498" s="34" t="s">
        <v>5200</v>
      </c>
      <c r="R498" s="34" t="s">
        <v>768</v>
      </c>
      <c r="S498" s="34" t="s">
        <v>5032</v>
      </c>
    </row>
    <row r="499" spans="1:19" ht="229.5" x14ac:dyDescent="0.15">
      <c r="A499" t="s">
        <v>2067</v>
      </c>
      <c r="B499" s="61">
        <v>46357</v>
      </c>
      <c r="E499" t="s">
        <v>355</v>
      </c>
      <c r="F499" t="s">
        <v>356</v>
      </c>
      <c r="H499" t="s">
        <v>353</v>
      </c>
      <c r="I499">
        <v>2202532</v>
      </c>
      <c r="J499" t="s">
        <v>2068</v>
      </c>
      <c r="L499" t="s">
        <v>390</v>
      </c>
      <c r="N499" t="s">
        <v>2069</v>
      </c>
      <c r="O499" t="s">
        <v>2070</v>
      </c>
      <c r="R499" t="s">
        <v>362</v>
      </c>
      <c r="S499" s="34" t="s">
        <v>2071</v>
      </c>
    </row>
    <row r="500" spans="1:19" x14ac:dyDescent="0.15">
      <c r="A500" t="s">
        <v>2067</v>
      </c>
      <c r="B500" s="61">
        <v>46419</v>
      </c>
      <c r="E500" t="s">
        <v>355</v>
      </c>
      <c r="F500" t="s">
        <v>364</v>
      </c>
      <c r="H500" t="s">
        <v>365</v>
      </c>
      <c r="I500">
        <v>2200347</v>
      </c>
      <c r="J500" t="s">
        <v>2072</v>
      </c>
      <c r="L500" t="s">
        <v>2073</v>
      </c>
      <c r="N500" t="s">
        <v>2074</v>
      </c>
      <c r="O500" t="s">
        <v>2075</v>
      </c>
    </row>
    <row r="501" spans="1:19" x14ac:dyDescent="0.15">
      <c r="A501" t="s">
        <v>2067</v>
      </c>
      <c r="B501" s="61">
        <v>46419</v>
      </c>
      <c r="E501" t="s">
        <v>355</v>
      </c>
      <c r="F501" t="s">
        <v>364</v>
      </c>
      <c r="H501" t="s">
        <v>365</v>
      </c>
      <c r="I501">
        <v>2200347</v>
      </c>
      <c r="J501" t="s">
        <v>2072</v>
      </c>
      <c r="L501" t="s">
        <v>2076</v>
      </c>
      <c r="N501" t="s">
        <v>2077</v>
      </c>
      <c r="O501" t="s">
        <v>2075</v>
      </c>
    </row>
    <row r="502" spans="1:19" x14ac:dyDescent="0.15">
      <c r="A502" t="s">
        <v>2067</v>
      </c>
      <c r="B502" s="61">
        <v>46508</v>
      </c>
      <c r="E502" t="s">
        <v>355</v>
      </c>
      <c r="F502" t="s">
        <v>356</v>
      </c>
      <c r="H502" t="s">
        <v>353</v>
      </c>
      <c r="I502">
        <v>2200420</v>
      </c>
      <c r="J502" t="s">
        <v>2078</v>
      </c>
      <c r="L502" t="s">
        <v>390</v>
      </c>
      <c r="N502" t="s">
        <v>5103</v>
      </c>
      <c r="O502" t="s">
        <v>2079</v>
      </c>
    </row>
    <row r="503" spans="1:19" x14ac:dyDescent="0.15">
      <c r="A503" t="s">
        <v>2067</v>
      </c>
      <c r="B503" s="61">
        <v>46753</v>
      </c>
      <c r="E503" t="s">
        <v>355</v>
      </c>
      <c r="F503" t="s">
        <v>364</v>
      </c>
      <c r="H503" t="s">
        <v>365</v>
      </c>
      <c r="I503">
        <v>2202432</v>
      </c>
      <c r="J503" t="s">
        <v>2080</v>
      </c>
      <c r="K503" t="s">
        <v>2081</v>
      </c>
      <c r="L503" t="s">
        <v>2082</v>
      </c>
      <c r="N503" t="s">
        <v>2083</v>
      </c>
      <c r="O503" t="s">
        <v>2084</v>
      </c>
    </row>
    <row r="504" spans="1:19" x14ac:dyDescent="0.15">
      <c r="A504" t="s">
        <v>2067</v>
      </c>
      <c r="B504" s="61">
        <v>47027</v>
      </c>
      <c r="E504" t="s">
        <v>355</v>
      </c>
      <c r="F504" t="s">
        <v>364</v>
      </c>
      <c r="H504" t="s">
        <v>353</v>
      </c>
      <c r="I504">
        <v>2200310</v>
      </c>
      <c r="J504" t="s">
        <v>2085</v>
      </c>
      <c r="K504" t="s">
        <v>2086</v>
      </c>
      <c r="L504" t="s">
        <v>2087</v>
      </c>
      <c r="N504" t="s">
        <v>2088</v>
      </c>
      <c r="O504" t="s">
        <v>2089</v>
      </c>
    </row>
    <row r="505" spans="1:19" ht="409.5" x14ac:dyDescent="0.15">
      <c r="A505" t="s">
        <v>2067</v>
      </c>
      <c r="B505" s="61">
        <v>47453</v>
      </c>
      <c r="E505" t="s">
        <v>355</v>
      </c>
      <c r="F505" t="s">
        <v>385</v>
      </c>
      <c r="H505" t="s">
        <v>365</v>
      </c>
      <c r="I505">
        <v>2202544</v>
      </c>
      <c r="J505" t="s">
        <v>2090</v>
      </c>
      <c r="K505" t="s">
        <v>2091</v>
      </c>
      <c r="L505" t="s">
        <v>2092</v>
      </c>
      <c r="N505" t="s">
        <v>2093</v>
      </c>
      <c r="O505" t="s">
        <v>2094</v>
      </c>
      <c r="R505" t="s">
        <v>395</v>
      </c>
      <c r="S505" s="34" t="s">
        <v>2095</v>
      </c>
    </row>
    <row r="506" spans="1:19" ht="229.5" x14ac:dyDescent="0.15">
      <c r="A506" t="s">
        <v>2067</v>
      </c>
      <c r="B506" s="61">
        <v>47818</v>
      </c>
      <c r="E506" t="s">
        <v>355</v>
      </c>
      <c r="F506" t="s">
        <v>385</v>
      </c>
      <c r="H506" t="s">
        <v>353</v>
      </c>
      <c r="I506">
        <v>2202532</v>
      </c>
      <c r="J506" t="s">
        <v>2068</v>
      </c>
      <c r="L506" t="s">
        <v>390</v>
      </c>
      <c r="N506" t="s">
        <v>2069</v>
      </c>
      <c r="O506" t="s">
        <v>2070</v>
      </c>
      <c r="R506" t="s">
        <v>386</v>
      </c>
      <c r="S506" s="34" t="s">
        <v>2071</v>
      </c>
    </row>
    <row r="507" spans="1:19" x14ac:dyDescent="0.15">
      <c r="A507" t="s">
        <v>2067</v>
      </c>
      <c r="B507" s="61">
        <v>47969</v>
      </c>
      <c r="E507" t="s">
        <v>355</v>
      </c>
      <c r="F507" t="s">
        <v>385</v>
      </c>
      <c r="H507" t="s">
        <v>353</v>
      </c>
      <c r="I507">
        <v>2200420</v>
      </c>
      <c r="J507" t="s">
        <v>2078</v>
      </c>
      <c r="L507" t="s">
        <v>390</v>
      </c>
      <c r="N507" t="s">
        <v>5103</v>
      </c>
      <c r="O507" t="s">
        <v>2079</v>
      </c>
    </row>
    <row r="508" spans="1:19" ht="364.5" x14ac:dyDescent="0.15">
      <c r="A508" t="s">
        <v>2096</v>
      </c>
      <c r="B508" s="61">
        <v>46113</v>
      </c>
      <c r="E508" t="s">
        <v>355</v>
      </c>
      <c r="F508" t="s">
        <v>385</v>
      </c>
      <c r="H508" t="s">
        <v>353</v>
      </c>
      <c r="I508">
        <v>400033</v>
      </c>
      <c r="J508" t="s">
        <v>1720</v>
      </c>
      <c r="K508" t="s">
        <v>2102</v>
      </c>
      <c r="L508" t="s">
        <v>390</v>
      </c>
      <c r="N508" t="s">
        <v>2103</v>
      </c>
      <c r="O508" t="s">
        <v>2104</v>
      </c>
      <c r="R508" t="s">
        <v>386</v>
      </c>
      <c r="S508" s="34" t="s">
        <v>2105</v>
      </c>
    </row>
    <row r="509" spans="1:19" ht="256.5" x14ac:dyDescent="0.15">
      <c r="A509" t="s">
        <v>2096</v>
      </c>
      <c r="B509" s="61">
        <v>46266</v>
      </c>
      <c r="E509" t="s">
        <v>355</v>
      </c>
      <c r="F509" t="s">
        <v>385</v>
      </c>
      <c r="H509" t="s">
        <v>310</v>
      </c>
      <c r="I509">
        <v>400331</v>
      </c>
      <c r="J509" t="s">
        <v>2106</v>
      </c>
      <c r="K509" t="s">
        <v>2107</v>
      </c>
      <c r="L509" t="s">
        <v>1176</v>
      </c>
      <c r="N509" t="s">
        <v>2108</v>
      </c>
      <c r="O509" t="s">
        <v>2109</v>
      </c>
      <c r="R509" t="s">
        <v>395</v>
      </c>
      <c r="S509" s="34" t="s">
        <v>2110</v>
      </c>
    </row>
    <row r="510" spans="1:19" ht="229.5" x14ac:dyDescent="0.15">
      <c r="A510" t="s">
        <v>2096</v>
      </c>
      <c r="B510" s="61">
        <v>46327</v>
      </c>
      <c r="E510" t="s">
        <v>355</v>
      </c>
      <c r="F510" t="s">
        <v>356</v>
      </c>
      <c r="H510" t="s">
        <v>353</v>
      </c>
      <c r="I510">
        <v>400521</v>
      </c>
      <c r="J510" t="s">
        <v>2111</v>
      </c>
      <c r="K510" t="s">
        <v>2112</v>
      </c>
      <c r="L510" t="s">
        <v>718</v>
      </c>
      <c r="N510" s="34" t="s">
        <v>2113</v>
      </c>
      <c r="O510" t="s">
        <v>2114</v>
      </c>
      <c r="R510" t="s">
        <v>362</v>
      </c>
      <c r="S510" s="34" t="s">
        <v>2115</v>
      </c>
    </row>
    <row r="511" spans="1:19" ht="409.5" x14ac:dyDescent="0.15">
      <c r="A511" t="s">
        <v>2096</v>
      </c>
      <c r="B511" s="61">
        <v>46327</v>
      </c>
      <c r="E511" t="s">
        <v>355</v>
      </c>
      <c r="F511" t="s">
        <v>356</v>
      </c>
      <c r="H511" t="s">
        <v>353</v>
      </c>
      <c r="I511">
        <v>400385</v>
      </c>
      <c r="J511" t="s">
        <v>2116</v>
      </c>
      <c r="K511" t="s">
        <v>1251</v>
      </c>
      <c r="L511" t="s">
        <v>2117</v>
      </c>
      <c r="N511" t="s">
        <v>2118</v>
      </c>
      <c r="O511" t="s">
        <v>2119</v>
      </c>
      <c r="R511" t="s">
        <v>362</v>
      </c>
      <c r="S511" s="34" t="s">
        <v>2120</v>
      </c>
    </row>
    <row r="512" spans="1:19" ht="409.5" x14ac:dyDescent="0.15">
      <c r="A512" t="s">
        <v>2096</v>
      </c>
      <c r="B512" s="61">
        <v>46327</v>
      </c>
      <c r="E512" t="s">
        <v>355</v>
      </c>
      <c r="F512" t="s">
        <v>356</v>
      </c>
      <c r="H512" t="s">
        <v>353</v>
      </c>
      <c r="I512">
        <v>400385</v>
      </c>
      <c r="J512" t="s">
        <v>2116</v>
      </c>
      <c r="K512" t="s">
        <v>1251</v>
      </c>
      <c r="L512" t="s">
        <v>2121</v>
      </c>
      <c r="N512" t="s">
        <v>2122</v>
      </c>
      <c r="O512" t="s">
        <v>2119</v>
      </c>
      <c r="R512" t="s">
        <v>362</v>
      </c>
      <c r="S512" s="34" t="s">
        <v>2123</v>
      </c>
    </row>
    <row r="513" spans="1:19" ht="243" x14ac:dyDescent="0.15">
      <c r="A513" t="s">
        <v>2096</v>
      </c>
      <c r="B513" s="61">
        <v>46357</v>
      </c>
      <c r="E513" t="s">
        <v>355</v>
      </c>
      <c r="F513" t="s">
        <v>385</v>
      </c>
      <c r="H513" t="s">
        <v>353</v>
      </c>
      <c r="I513">
        <v>600192</v>
      </c>
      <c r="J513" t="s">
        <v>2124</v>
      </c>
      <c r="K513" t="s">
        <v>2125</v>
      </c>
      <c r="L513" t="s">
        <v>1087</v>
      </c>
      <c r="N513" t="s">
        <v>2126</v>
      </c>
      <c r="O513" t="s">
        <v>2127</v>
      </c>
      <c r="R513" s="34" t="s">
        <v>768</v>
      </c>
      <c r="S513" s="34" t="s">
        <v>2128</v>
      </c>
    </row>
    <row r="514" spans="1:19" x14ac:dyDescent="0.15">
      <c r="A514" t="s">
        <v>2096</v>
      </c>
      <c r="B514" s="61">
        <v>46447</v>
      </c>
      <c r="E514" t="s">
        <v>355</v>
      </c>
      <c r="F514" t="s">
        <v>364</v>
      </c>
      <c r="H514" t="s">
        <v>353</v>
      </c>
      <c r="I514">
        <v>400352</v>
      </c>
      <c r="J514" t="s">
        <v>2129</v>
      </c>
      <c r="K514" t="s">
        <v>2130</v>
      </c>
      <c r="L514" t="s">
        <v>2131</v>
      </c>
      <c r="N514" t="s">
        <v>2132</v>
      </c>
      <c r="O514" t="s">
        <v>2133</v>
      </c>
    </row>
    <row r="515" spans="1:19" x14ac:dyDescent="0.15">
      <c r="A515" t="s">
        <v>2096</v>
      </c>
      <c r="B515" s="61">
        <v>46508</v>
      </c>
      <c r="E515" t="s">
        <v>355</v>
      </c>
      <c r="F515" t="s">
        <v>385</v>
      </c>
      <c r="H515" t="s">
        <v>353</v>
      </c>
      <c r="I515">
        <v>600160</v>
      </c>
      <c r="J515" t="s">
        <v>2134</v>
      </c>
      <c r="K515" t="s">
        <v>2135</v>
      </c>
      <c r="L515" t="s">
        <v>390</v>
      </c>
      <c r="N515" t="s">
        <v>2136</v>
      </c>
      <c r="O515" t="s">
        <v>2137</v>
      </c>
    </row>
    <row r="516" spans="1:19" x14ac:dyDescent="0.15">
      <c r="A516" t="s">
        <v>2096</v>
      </c>
      <c r="B516" s="61">
        <v>46661</v>
      </c>
      <c r="E516" t="s">
        <v>355</v>
      </c>
      <c r="F516" t="s">
        <v>385</v>
      </c>
      <c r="H516" t="s">
        <v>365</v>
      </c>
      <c r="I516">
        <v>500002</v>
      </c>
      <c r="J516" t="s">
        <v>2138</v>
      </c>
      <c r="K516" t="s">
        <v>2139</v>
      </c>
      <c r="L516" t="s">
        <v>390</v>
      </c>
      <c r="N516" t="s">
        <v>2140</v>
      </c>
      <c r="O516" t="s">
        <v>2141</v>
      </c>
    </row>
    <row r="517" spans="1:19" x14ac:dyDescent="0.15">
      <c r="A517" t="s">
        <v>2096</v>
      </c>
      <c r="B517" s="61">
        <v>46874</v>
      </c>
      <c r="E517" t="s">
        <v>355</v>
      </c>
      <c r="F517" t="s">
        <v>385</v>
      </c>
      <c r="H517" t="s">
        <v>353</v>
      </c>
      <c r="I517">
        <v>400492</v>
      </c>
      <c r="J517" t="s">
        <v>2142</v>
      </c>
      <c r="K517" t="s">
        <v>2143</v>
      </c>
      <c r="L517" t="s">
        <v>1148</v>
      </c>
      <c r="N517" t="s">
        <v>2144</v>
      </c>
      <c r="O517" t="s">
        <v>2145</v>
      </c>
    </row>
    <row r="518" spans="1:19" x14ac:dyDescent="0.15">
      <c r="A518" t="s">
        <v>2096</v>
      </c>
      <c r="B518" s="61">
        <v>46935</v>
      </c>
      <c r="E518" t="s">
        <v>355</v>
      </c>
      <c r="F518" t="s">
        <v>364</v>
      </c>
      <c r="H518" t="s">
        <v>353</v>
      </c>
      <c r="I518">
        <v>600175</v>
      </c>
      <c r="J518" t="s">
        <v>2146</v>
      </c>
      <c r="L518" t="s">
        <v>718</v>
      </c>
      <c r="N518" t="s">
        <v>2147</v>
      </c>
      <c r="O518" t="s">
        <v>2148</v>
      </c>
    </row>
    <row r="519" spans="1:19" x14ac:dyDescent="0.15">
      <c r="A519" t="s">
        <v>2096</v>
      </c>
      <c r="B519" s="61">
        <v>46935</v>
      </c>
      <c r="E519" t="s">
        <v>355</v>
      </c>
      <c r="F519" t="s">
        <v>364</v>
      </c>
      <c r="H519" t="s">
        <v>353</v>
      </c>
      <c r="I519">
        <v>400506</v>
      </c>
      <c r="J519" t="s">
        <v>2149</v>
      </c>
      <c r="K519" t="s">
        <v>1542</v>
      </c>
      <c r="L519" t="s">
        <v>390</v>
      </c>
      <c r="N519" t="s">
        <v>2150</v>
      </c>
      <c r="O519" t="s">
        <v>2151</v>
      </c>
    </row>
    <row r="520" spans="1:19" ht="337.5" x14ac:dyDescent="0.15">
      <c r="A520" t="s">
        <v>2096</v>
      </c>
      <c r="B520" s="61">
        <v>47362</v>
      </c>
      <c r="E520" t="s">
        <v>355</v>
      </c>
      <c r="F520" t="s">
        <v>385</v>
      </c>
      <c r="H520" t="s">
        <v>353</v>
      </c>
      <c r="I520">
        <v>400260</v>
      </c>
      <c r="J520" t="s">
        <v>371</v>
      </c>
      <c r="K520" t="s">
        <v>2097</v>
      </c>
      <c r="L520" t="s">
        <v>1340</v>
      </c>
      <c r="N520" t="s">
        <v>2100</v>
      </c>
      <c r="O520" t="s">
        <v>2099</v>
      </c>
      <c r="R520" s="34" t="s">
        <v>768</v>
      </c>
      <c r="S520" s="34" t="s">
        <v>2101</v>
      </c>
    </row>
    <row r="521" spans="1:19" ht="229.5" x14ac:dyDescent="0.15">
      <c r="A521" t="s">
        <v>2096</v>
      </c>
      <c r="B521" s="61">
        <v>47788</v>
      </c>
      <c r="E521" t="s">
        <v>355</v>
      </c>
      <c r="F521" t="s">
        <v>385</v>
      </c>
      <c r="H521" t="s">
        <v>353</v>
      </c>
      <c r="I521">
        <v>400521</v>
      </c>
      <c r="J521" t="s">
        <v>2111</v>
      </c>
      <c r="K521" t="s">
        <v>2112</v>
      </c>
      <c r="L521" t="s">
        <v>718</v>
      </c>
      <c r="N521" s="34" t="s">
        <v>2113</v>
      </c>
      <c r="O521" t="s">
        <v>2114</v>
      </c>
      <c r="R521" t="s">
        <v>386</v>
      </c>
      <c r="S521" s="34" t="s">
        <v>2115</v>
      </c>
    </row>
    <row r="522" spans="1:19" ht="409.5" x14ac:dyDescent="0.15">
      <c r="A522" t="s">
        <v>2096</v>
      </c>
      <c r="B522" s="61">
        <v>47788</v>
      </c>
      <c r="E522" t="s">
        <v>355</v>
      </c>
      <c r="F522" t="s">
        <v>385</v>
      </c>
      <c r="H522" t="s">
        <v>353</v>
      </c>
      <c r="I522">
        <v>400385</v>
      </c>
      <c r="J522" t="s">
        <v>2116</v>
      </c>
      <c r="K522" t="s">
        <v>1251</v>
      </c>
      <c r="L522" t="s">
        <v>2117</v>
      </c>
      <c r="N522" t="s">
        <v>2118</v>
      </c>
      <c r="O522" t="s">
        <v>2119</v>
      </c>
      <c r="R522" t="s">
        <v>386</v>
      </c>
      <c r="S522" s="34" t="s">
        <v>2120</v>
      </c>
    </row>
    <row r="523" spans="1:19" ht="409.5" x14ac:dyDescent="0.15">
      <c r="A523" t="s">
        <v>2096</v>
      </c>
      <c r="B523" s="61">
        <v>47788</v>
      </c>
      <c r="E523" t="s">
        <v>355</v>
      </c>
      <c r="F523" t="s">
        <v>385</v>
      </c>
      <c r="H523" t="s">
        <v>353</v>
      </c>
      <c r="I523">
        <v>400385</v>
      </c>
      <c r="J523" t="s">
        <v>2116</v>
      </c>
      <c r="K523" t="s">
        <v>1251</v>
      </c>
      <c r="L523" t="s">
        <v>2121</v>
      </c>
      <c r="N523" t="s">
        <v>2122</v>
      </c>
      <c r="O523" t="s">
        <v>2119</v>
      </c>
      <c r="R523" t="s">
        <v>386</v>
      </c>
      <c r="S523" s="34" t="s">
        <v>2123</v>
      </c>
    </row>
    <row r="524" spans="1:19" ht="409.5" x14ac:dyDescent="0.15">
      <c r="A524" t="s">
        <v>2160</v>
      </c>
      <c r="B524" s="61">
        <v>46174</v>
      </c>
      <c r="E524" t="s">
        <v>355</v>
      </c>
      <c r="F524" t="s">
        <v>385</v>
      </c>
      <c r="H524" t="s">
        <v>353</v>
      </c>
      <c r="I524">
        <v>1200117</v>
      </c>
      <c r="J524" t="s">
        <v>2154</v>
      </c>
      <c r="K524" t="s">
        <v>2155</v>
      </c>
      <c r="L524" t="s">
        <v>2156</v>
      </c>
      <c r="N524" t="s">
        <v>2157</v>
      </c>
      <c r="O524" t="s">
        <v>2158</v>
      </c>
      <c r="P524" s="34" t="s">
        <v>5386</v>
      </c>
      <c r="R524" s="34" t="s">
        <v>768</v>
      </c>
      <c r="S524" s="34" t="s">
        <v>2159</v>
      </c>
    </row>
    <row r="525" spans="1:19" ht="243" x14ac:dyDescent="0.15">
      <c r="A525" t="s">
        <v>2160</v>
      </c>
      <c r="B525" s="61">
        <v>46266</v>
      </c>
      <c r="E525" t="s">
        <v>355</v>
      </c>
      <c r="F525" t="s">
        <v>385</v>
      </c>
      <c r="H525" t="s">
        <v>365</v>
      </c>
      <c r="I525">
        <v>1201464</v>
      </c>
      <c r="J525" t="s">
        <v>2161</v>
      </c>
      <c r="K525" t="s">
        <v>2162</v>
      </c>
      <c r="L525" t="s">
        <v>718</v>
      </c>
      <c r="N525" t="s">
        <v>2163</v>
      </c>
      <c r="O525" t="s">
        <v>2164</v>
      </c>
      <c r="R525" t="s">
        <v>395</v>
      </c>
      <c r="S525" s="34" t="s">
        <v>2165</v>
      </c>
    </row>
    <row r="526" spans="1:19" ht="216" x14ac:dyDescent="0.15">
      <c r="A526" t="s">
        <v>2152</v>
      </c>
      <c r="B526" s="61">
        <v>46266</v>
      </c>
      <c r="E526" t="s">
        <v>355</v>
      </c>
      <c r="F526" t="s">
        <v>356</v>
      </c>
      <c r="H526" t="s">
        <v>353</v>
      </c>
      <c r="I526">
        <v>1200777</v>
      </c>
      <c r="J526" t="s">
        <v>2166</v>
      </c>
      <c r="K526" t="s">
        <v>2167</v>
      </c>
      <c r="L526" t="s">
        <v>2168</v>
      </c>
      <c r="N526" t="s">
        <v>2169</v>
      </c>
      <c r="O526" t="s">
        <v>2170</v>
      </c>
      <c r="R526" t="s">
        <v>362</v>
      </c>
      <c r="S526" s="34" t="s">
        <v>2171</v>
      </c>
    </row>
    <row r="527" spans="1:19" ht="409.5" x14ac:dyDescent="0.15">
      <c r="A527" t="s">
        <v>2160</v>
      </c>
      <c r="B527" s="61">
        <v>46296</v>
      </c>
      <c r="E527" t="s">
        <v>355</v>
      </c>
      <c r="F527" t="s">
        <v>385</v>
      </c>
      <c r="H527" t="s">
        <v>353</v>
      </c>
      <c r="I527">
        <v>1201464</v>
      </c>
      <c r="J527" t="s">
        <v>2161</v>
      </c>
      <c r="K527" t="s">
        <v>2162</v>
      </c>
      <c r="L527" t="s">
        <v>718</v>
      </c>
      <c r="N527" t="s">
        <v>2172</v>
      </c>
      <c r="O527" t="s">
        <v>2164</v>
      </c>
      <c r="R527" t="s">
        <v>386</v>
      </c>
      <c r="S527" s="34" t="s">
        <v>2173</v>
      </c>
    </row>
    <row r="528" spans="1:19" ht="310.5" x14ac:dyDescent="0.15">
      <c r="A528" t="s">
        <v>2152</v>
      </c>
      <c r="B528" s="61">
        <v>46357</v>
      </c>
      <c r="E528" t="s">
        <v>355</v>
      </c>
      <c r="F528" t="s">
        <v>385</v>
      </c>
      <c r="H528" t="s">
        <v>353</v>
      </c>
      <c r="I528">
        <v>1200916</v>
      </c>
      <c r="J528" t="s">
        <v>2174</v>
      </c>
      <c r="K528" t="s">
        <v>2175</v>
      </c>
      <c r="L528" t="s">
        <v>2176</v>
      </c>
      <c r="N528" t="s">
        <v>2177</v>
      </c>
      <c r="O528" t="s">
        <v>2178</v>
      </c>
      <c r="R528" s="34" t="s">
        <v>768</v>
      </c>
      <c r="S528" s="34" t="s">
        <v>2179</v>
      </c>
    </row>
    <row r="529" spans="1:19" x14ac:dyDescent="0.15">
      <c r="A529" t="s">
        <v>2152</v>
      </c>
      <c r="B529" s="61">
        <v>46447</v>
      </c>
      <c r="E529" t="s">
        <v>355</v>
      </c>
      <c r="F529" t="s">
        <v>356</v>
      </c>
      <c r="H529" t="s">
        <v>353</v>
      </c>
      <c r="I529">
        <v>1200777</v>
      </c>
      <c r="J529" t="s">
        <v>2166</v>
      </c>
      <c r="K529" t="s">
        <v>2167</v>
      </c>
      <c r="L529" t="s">
        <v>2168</v>
      </c>
      <c r="N529" t="s">
        <v>2180</v>
      </c>
      <c r="O529" t="s">
        <v>2170</v>
      </c>
    </row>
    <row r="530" spans="1:19" x14ac:dyDescent="0.15">
      <c r="A530" t="s">
        <v>2152</v>
      </c>
      <c r="B530" s="61">
        <v>46508</v>
      </c>
      <c r="E530" t="s">
        <v>355</v>
      </c>
      <c r="F530" t="s">
        <v>364</v>
      </c>
      <c r="H530" t="s">
        <v>353</v>
      </c>
      <c r="I530">
        <v>1200120</v>
      </c>
      <c r="J530" t="s">
        <v>531</v>
      </c>
      <c r="K530" t="s">
        <v>2155</v>
      </c>
      <c r="L530" t="s">
        <v>2181</v>
      </c>
      <c r="N530" t="s">
        <v>2182</v>
      </c>
      <c r="O530" t="s">
        <v>2183</v>
      </c>
    </row>
    <row r="531" spans="1:19" x14ac:dyDescent="0.15">
      <c r="A531" t="s">
        <v>2152</v>
      </c>
      <c r="B531" s="61">
        <v>46539</v>
      </c>
      <c r="E531" t="s">
        <v>355</v>
      </c>
      <c r="F531" t="s">
        <v>364</v>
      </c>
      <c r="H531" t="s">
        <v>310</v>
      </c>
      <c r="I531">
        <v>1201079</v>
      </c>
      <c r="J531" t="s">
        <v>2184</v>
      </c>
      <c r="K531" t="s">
        <v>2185</v>
      </c>
      <c r="L531" t="s">
        <v>2186</v>
      </c>
      <c r="N531" t="s">
        <v>2187</v>
      </c>
      <c r="O531" t="s">
        <v>2188</v>
      </c>
    </row>
    <row r="532" spans="1:19" x14ac:dyDescent="0.15">
      <c r="A532" t="s">
        <v>2152</v>
      </c>
      <c r="B532" s="61">
        <v>46753</v>
      </c>
      <c r="E532" t="s">
        <v>355</v>
      </c>
      <c r="F532" t="s">
        <v>364</v>
      </c>
      <c r="H532" t="s">
        <v>365</v>
      </c>
      <c r="I532">
        <v>1200104</v>
      </c>
      <c r="J532" t="s">
        <v>2189</v>
      </c>
      <c r="K532" t="s">
        <v>2190</v>
      </c>
      <c r="L532" t="s">
        <v>413</v>
      </c>
      <c r="N532" t="s">
        <v>2191</v>
      </c>
      <c r="O532" t="s">
        <v>2192</v>
      </c>
    </row>
    <row r="533" spans="1:19" x14ac:dyDescent="0.15">
      <c r="A533" t="s">
        <v>2152</v>
      </c>
      <c r="B533" s="61">
        <v>46844</v>
      </c>
      <c r="E533" t="s">
        <v>355</v>
      </c>
      <c r="F533" t="s">
        <v>364</v>
      </c>
      <c r="H533" t="s">
        <v>365</v>
      </c>
      <c r="I533">
        <v>1201505</v>
      </c>
      <c r="J533" t="s">
        <v>2193</v>
      </c>
      <c r="K533" t="s">
        <v>2194</v>
      </c>
      <c r="L533" t="s">
        <v>2195</v>
      </c>
      <c r="N533" t="s">
        <v>2196</v>
      </c>
      <c r="O533" t="s">
        <v>2197</v>
      </c>
    </row>
    <row r="534" spans="1:19" x14ac:dyDescent="0.15">
      <c r="A534" t="s">
        <v>2152</v>
      </c>
      <c r="B534" s="61">
        <v>46874</v>
      </c>
      <c r="E534" t="s">
        <v>355</v>
      </c>
      <c r="F534" t="s">
        <v>364</v>
      </c>
      <c r="H534" t="s">
        <v>353</v>
      </c>
      <c r="I534">
        <v>1201227</v>
      </c>
      <c r="J534" t="s">
        <v>2198</v>
      </c>
      <c r="K534" t="s">
        <v>2155</v>
      </c>
      <c r="L534" t="s">
        <v>2199</v>
      </c>
      <c r="N534" t="s">
        <v>2200</v>
      </c>
      <c r="O534" t="s">
        <v>2201</v>
      </c>
    </row>
    <row r="535" spans="1:19" x14ac:dyDescent="0.15">
      <c r="A535" t="s">
        <v>2152</v>
      </c>
      <c r="B535" s="61">
        <v>46874</v>
      </c>
      <c r="E535" t="s">
        <v>355</v>
      </c>
      <c r="F535" t="s">
        <v>364</v>
      </c>
      <c r="H535" t="s">
        <v>353</v>
      </c>
      <c r="I535">
        <v>1201512</v>
      </c>
      <c r="J535" t="s">
        <v>2202</v>
      </c>
      <c r="L535" t="s">
        <v>2203</v>
      </c>
      <c r="N535" t="s">
        <v>2204</v>
      </c>
      <c r="O535" t="s">
        <v>2205</v>
      </c>
    </row>
    <row r="536" spans="1:19" x14ac:dyDescent="0.15">
      <c r="A536" t="s">
        <v>2152</v>
      </c>
      <c r="B536" s="61">
        <v>46905</v>
      </c>
      <c r="E536" t="s">
        <v>355</v>
      </c>
      <c r="F536" t="s">
        <v>364</v>
      </c>
      <c r="H536" t="s">
        <v>310</v>
      </c>
      <c r="I536">
        <v>1201079</v>
      </c>
      <c r="J536" t="s">
        <v>2184</v>
      </c>
      <c r="K536" t="s">
        <v>2185</v>
      </c>
      <c r="L536" t="s">
        <v>2186</v>
      </c>
      <c r="N536" t="s">
        <v>2187</v>
      </c>
      <c r="O536" t="s">
        <v>2188</v>
      </c>
    </row>
    <row r="537" spans="1:19" x14ac:dyDescent="0.15">
      <c r="A537" t="s">
        <v>2152</v>
      </c>
      <c r="B537" s="61">
        <v>46966</v>
      </c>
      <c r="E537" t="s">
        <v>355</v>
      </c>
      <c r="F537" t="s">
        <v>364</v>
      </c>
      <c r="H537" t="s">
        <v>353</v>
      </c>
      <c r="I537">
        <v>1201032</v>
      </c>
      <c r="J537" t="s">
        <v>2206</v>
      </c>
      <c r="K537" t="s">
        <v>2207</v>
      </c>
      <c r="L537" t="s">
        <v>2208</v>
      </c>
      <c r="N537" t="s">
        <v>2209</v>
      </c>
      <c r="O537" t="s">
        <v>2210</v>
      </c>
    </row>
    <row r="538" spans="1:19" x14ac:dyDescent="0.15">
      <c r="A538" t="s">
        <v>2152</v>
      </c>
      <c r="B538" s="61">
        <v>47058</v>
      </c>
      <c r="E538" t="s">
        <v>355</v>
      </c>
      <c r="F538" t="s">
        <v>364</v>
      </c>
      <c r="H538" t="s">
        <v>365</v>
      </c>
      <c r="I538">
        <v>1200043</v>
      </c>
      <c r="J538" t="s">
        <v>2211</v>
      </c>
      <c r="K538" t="s">
        <v>2212</v>
      </c>
      <c r="L538" t="s">
        <v>2181</v>
      </c>
      <c r="N538" t="s">
        <v>2213</v>
      </c>
      <c r="O538" t="s">
        <v>2214</v>
      </c>
    </row>
    <row r="539" spans="1:19" ht="409.5" x14ac:dyDescent="0.15">
      <c r="A539" t="s">
        <v>2152</v>
      </c>
      <c r="B539" s="61">
        <v>47209</v>
      </c>
      <c r="E539" t="s">
        <v>355</v>
      </c>
      <c r="F539" t="s">
        <v>385</v>
      </c>
      <c r="H539" t="s">
        <v>353</v>
      </c>
      <c r="I539">
        <v>1201548</v>
      </c>
      <c r="J539" t="s">
        <v>2215</v>
      </c>
      <c r="K539" t="s">
        <v>2216</v>
      </c>
      <c r="L539" t="s">
        <v>2217</v>
      </c>
      <c r="N539" t="s">
        <v>2218</v>
      </c>
      <c r="O539" t="s">
        <v>2219</v>
      </c>
      <c r="R539" t="s">
        <v>386</v>
      </c>
      <c r="S539" s="34" t="s">
        <v>2220</v>
      </c>
    </row>
    <row r="540" spans="1:19" ht="409.5" x14ac:dyDescent="0.15">
      <c r="A540" t="s">
        <v>2152</v>
      </c>
      <c r="B540" s="61">
        <v>47331</v>
      </c>
      <c r="E540" t="s">
        <v>355</v>
      </c>
      <c r="F540" t="s">
        <v>385</v>
      </c>
      <c r="H540" t="s">
        <v>365</v>
      </c>
      <c r="I540">
        <v>1200264</v>
      </c>
      <c r="J540" t="s">
        <v>2221</v>
      </c>
      <c r="K540" t="s">
        <v>2222</v>
      </c>
      <c r="L540" t="s">
        <v>2223</v>
      </c>
      <c r="N540" t="s">
        <v>2224</v>
      </c>
      <c r="O540" t="s">
        <v>2225</v>
      </c>
      <c r="R540" t="s">
        <v>395</v>
      </c>
      <c r="S540" s="34" t="s">
        <v>2226</v>
      </c>
    </row>
    <row r="541" spans="1:19" ht="216" x14ac:dyDescent="0.15">
      <c r="A541" t="s">
        <v>2152</v>
      </c>
      <c r="B541" s="61">
        <v>47727</v>
      </c>
      <c r="E541" t="s">
        <v>355</v>
      </c>
      <c r="F541" t="s">
        <v>385</v>
      </c>
      <c r="H541" t="s">
        <v>353</v>
      </c>
      <c r="I541">
        <v>1200777</v>
      </c>
      <c r="J541" t="s">
        <v>2166</v>
      </c>
      <c r="K541" t="s">
        <v>2167</v>
      </c>
      <c r="L541" t="s">
        <v>2168</v>
      </c>
      <c r="N541" t="s">
        <v>2169</v>
      </c>
      <c r="O541" t="s">
        <v>2170</v>
      </c>
      <c r="R541" t="s">
        <v>386</v>
      </c>
      <c r="S541" s="34" t="s">
        <v>2171</v>
      </c>
    </row>
    <row r="542" spans="1:19" x14ac:dyDescent="0.15">
      <c r="A542" t="s">
        <v>2152</v>
      </c>
      <c r="B542" s="61">
        <v>47908</v>
      </c>
      <c r="E542" t="s">
        <v>355</v>
      </c>
      <c r="F542" t="s">
        <v>385</v>
      </c>
      <c r="H542" t="s">
        <v>353</v>
      </c>
      <c r="I542">
        <v>1200777</v>
      </c>
      <c r="J542" t="s">
        <v>2166</v>
      </c>
      <c r="K542" t="s">
        <v>2167</v>
      </c>
      <c r="L542" t="s">
        <v>2168</v>
      </c>
      <c r="N542" t="s">
        <v>2180</v>
      </c>
      <c r="O542" t="s">
        <v>2170</v>
      </c>
    </row>
    <row r="543" spans="1:19" ht="409.5" x14ac:dyDescent="0.15">
      <c r="A543" t="s">
        <v>6275</v>
      </c>
      <c r="B543" s="61">
        <v>46174</v>
      </c>
      <c r="E543" t="s">
        <v>355</v>
      </c>
      <c r="F543" t="s">
        <v>385</v>
      </c>
      <c r="H543" t="s">
        <v>310</v>
      </c>
      <c r="I543">
        <v>1201038</v>
      </c>
      <c r="J543" t="s">
        <v>2227</v>
      </c>
      <c r="K543" t="s">
        <v>2228</v>
      </c>
      <c r="L543" t="s">
        <v>2223</v>
      </c>
      <c r="N543" t="s">
        <v>2229</v>
      </c>
      <c r="O543" t="s">
        <v>2230</v>
      </c>
      <c r="S543" s="34" t="s">
        <v>2231</v>
      </c>
    </row>
    <row r="544" spans="1:19" ht="409.5" x14ac:dyDescent="0.15">
      <c r="A544" t="s">
        <v>2160</v>
      </c>
      <c r="B544" s="61">
        <v>46204</v>
      </c>
      <c r="E544" t="s">
        <v>355</v>
      </c>
      <c r="F544" t="s">
        <v>356</v>
      </c>
      <c r="H544" t="s">
        <v>353</v>
      </c>
      <c r="I544">
        <v>1201580</v>
      </c>
      <c r="J544" t="s">
        <v>371</v>
      </c>
      <c r="K544" t="s">
        <v>2232</v>
      </c>
      <c r="L544" t="s">
        <v>2233</v>
      </c>
      <c r="N544" t="s">
        <v>2234</v>
      </c>
      <c r="O544" t="s">
        <v>2235</v>
      </c>
      <c r="R544" t="s">
        <v>362</v>
      </c>
      <c r="S544" s="34" t="s">
        <v>2236</v>
      </c>
    </row>
    <row r="545" spans="1:19" ht="216" x14ac:dyDescent="0.15">
      <c r="A545" t="s">
        <v>2160</v>
      </c>
      <c r="B545" s="61">
        <v>46235</v>
      </c>
      <c r="E545" t="s">
        <v>355</v>
      </c>
      <c r="F545" t="s">
        <v>356</v>
      </c>
      <c r="H545" t="s">
        <v>353</v>
      </c>
      <c r="I545">
        <v>1201590</v>
      </c>
      <c r="J545" t="s">
        <v>2237</v>
      </c>
      <c r="K545" t="s">
        <v>2238</v>
      </c>
      <c r="L545" t="s">
        <v>390</v>
      </c>
      <c r="N545" t="s">
        <v>2239</v>
      </c>
      <c r="O545" t="s">
        <v>2240</v>
      </c>
      <c r="R545" t="s">
        <v>362</v>
      </c>
      <c r="S545" s="34" t="s">
        <v>2241</v>
      </c>
    </row>
    <row r="546" spans="1:19" ht="202.5" x14ac:dyDescent="0.15">
      <c r="A546" t="s">
        <v>2160</v>
      </c>
      <c r="B546" s="61">
        <v>46266</v>
      </c>
      <c r="E546" t="s">
        <v>355</v>
      </c>
      <c r="F546" t="s">
        <v>356</v>
      </c>
      <c r="H546" t="s">
        <v>353</v>
      </c>
      <c r="I546">
        <v>1201588</v>
      </c>
      <c r="J546" t="s">
        <v>2242</v>
      </c>
      <c r="K546" t="s">
        <v>2243</v>
      </c>
      <c r="L546" t="s">
        <v>2244</v>
      </c>
      <c r="N546" t="s">
        <v>2245</v>
      </c>
      <c r="O546" t="s">
        <v>2246</v>
      </c>
      <c r="R546" t="s">
        <v>362</v>
      </c>
      <c r="S546" s="34" t="s">
        <v>2247</v>
      </c>
    </row>
    <row r="547" spans="1:19" ht="202.5" x14ac:dyDescent="0.15">
      <c r="A547" t="s">
        <v>2160</v>
      </c>
      <c r="B547" s="61">
        <v>46296</v>
      </c>
      <c r="E547" t="s">
        <v>355</v>
      </c>
      <c r="F547" t="s">
        <v>356</v>
      </c>
      <c r="H547" t="s">
        <v>353</v>
      </c>
      <c r="I547">
        <v>1201580</v>
      </c>
      <c r="J547" t="s">
        <v>371</v>
      </c>
      <c r="K547" t="s">
        <v>2232</v>
      </c>
      <c r="L547" t="s">
        <v>2233</v>
      </c>
      <c r="N547" t="s">
        <v>2248</v>
      </c>
      <c r="O547" t="s">
        <v>2235</v>
      </c>
      <c r="R547" t="s">
        <v>362</v>
      </c>
      <c r="S547" s="34" t="s">
        <v>2249</v>
      </c>
    </row>
    <row r="548" spans="1:19" x14ac:dyDescent="0.15">
      <c r="A548" t="s">
        <v>2160</v>
      </c>
      <c r="B548" s="61">
        <v>46419</v>
      </c>
      <c r="E548" t="s">
        <v>355</v>
      </c>
      <c r="F548" t="s">
        <v>364</v>
      </c>
      <c r="H548" t="s">
        <v>353</v>
      </c>
      <c r="I548">
        <v>1201485</v>
      </c>
      <c r="J548" t="s">
        <v>2250</v>
      </c>
      <c r="K548" t="s">
        <v>2251</v>
      </c>
      <c r="L548" t="s">
        <v>2252</v>
      </c>
      <c r="N548" t="s">
        <v>2253</v>
      </c>
      <c r="O548" t="s">
        <v>2254</v>
      </c>
    </row>
    <row r="549" spans="1:19" ht="409.5" x14ac:dyDescent="0.15">
      <c r="A549" t="s">
        <v>2160</v>
      </c>
      <c r="B549" s="61">
        <v>47665</v>
      </c>
      <c r="E549" t="s">
        <v>355</v>
      </c>
      <c r="F549" t="s">
        <v>385</v>
      </c>
      <c r="H549" t="s">
        <v>353</v>
      </c>
      <c r="I549">
        <v>1201580</v>
      </c>
      <c r="J549" t="s">
        <v>371</v>
      </c>
      <c r="K549" t="s">
        <v>2232</v>
      </c>
      <c r="L549" t="s">
        <v>2233</v>
      </c>
      <c r="N549" t="s">
        <v>2234</v>
      </c>
      <c r="O549" t="s">
        <v>2235</v>
      </c>
      <c r="R549" t="s">
        <v>386</v>
      </c>
      <c r="S549" s="34" t="s">
        <v>2236</v>
      </c>
    </row>
    <row r="550" spans="1:19" ht="216" x14ac:dyDescent="0.15">
      <c r="A550" t="s">
        <v>2160</v>
      </c>
      <c r="B550" s="61">
        <v>47696</v>
      </c>
      <c r="E550" t="s">
        <v>355</v>
      </c>
      <c r="F550" t="s">
        <v>385</v>
      </c>
      <c r="H550" t="s">
        <v>353</v>
      </c>
      <c r="I550">
        <v>1201590</v>
      </c>
      <c r="J550" t="s">
        <v>2237</v>
      </c>
      <c r="K550" t="s">
        <v>2238</v>
      </c>
      <c r="L550" t="s">
        <v>390</v>
      </c>
      <c r="N550" t="s">
        <v>2239</v>
      </c>
      <c r="O550" t="s">
        <v>2240</v>
      </c>
      <c r="R550" t="s">
        <v>386</v>
      </c>
      <c r="S550" s="34" t="s">
        <v>2241</v>
      </c>
    </row>
    <row r="551" spans="1:19" ht="202.5" x14ac:dyDescent="0.15">
      <c r="A551" t="s">
        <v>2160</v>
      </c>
      <c r="B551" s="61">
        <v>47727</v>
      </c>
      <c r="E551" t="s">
        <v>355</v>
      </c>
      <c r="F551" t="s">
        <v>385</v>
      </c>
      <c r="H551" t="s">
        <v>353</v>
      </c>
      <c r="I551">
        <v>1201588</v>
      </c>
      <c r="J551" t="s">
        <v>2242</v>
      </c>
      <c r="K551" t="s">
        <v>2243</v>
      </c>
      <c r="L551" t="s">
        <v>2244</v>
      </c>
      <c r="N551" t="s">
        <v>2245</v>
      </c>
      <c r="O551" t="s">
        <v>2246</v>
      </c>
      <c r="R551" t="s">
        <v>386</v>
      </c>
      <c r="S551" s="34" t="s">
        <v>2247</v>
      </c>
    </row>
    <row r="552" spans="1:19" ht="202.5" x14ac:dyDescent="0.15">
      <c r="A552" t="s">
        <v>2160</v>
      </c>
      <c r="B552" s="61">
        <v>47757</v>
      </c>
      <c r="E552" t="s">
        <v>355</v>
      </c>
      <c r="F552" t="s">
        <v>385</v>
      </c>
      <c r="H552" t="s">
        <v>353</v>
      </c>
      <c r="I552">
        <v>1201580</v>
      </c>
      <c r="J552" t="s">
        <v>371</v>
      </c>
      <c r="K552" t="s">
        <v>2232</v>
      </c>
      <c r="L552" t="s">
        <v>2233</v>
      </c>
      <c r="N552" t="s">
        <v>2248</v>
      </c>
      <c r="O552" t="s">
        <v>2235</v>
      </c>
      <c r="R552" t="s">
        <v>386</v>
      </c>
      <c r="S552" s="34" t="s">
        <v>2249</v>
      </c>
    </row>
    <row r="553" spans="1:19" ht="405" x14ac:dyDescent="0.15">
      <c r="A553" t="s">
        <v>2255</v>
      </c>
      <c r="B553" s="61">
        <v>45992</v>
      </c>
      <c r="E553" t="s">
        <v>355</v>
      </c>
      <c r="F553" t="s">
        <v>351</v>
      </c>
      <c r="G553" t="s">
        <v>352</v>
      </c>
      <c r="H553" t="s">
        <v>353</v>
      </c>
      <c r="I553">
        <v>1100700</v>
      </c>
      <c r="J553" t="s">
        <v>2259</v>
      </c>
      <c r="K553" t="s">
        <v>2260</v>
      </c>
      <c r="L553" t="s">
        <v>854</v>
      </c>
      <c r="N553" t="s">
        <v>2261</v>
      </c>
      <c r="O553" t="s">
        <v>2262</v>
      </c>
      <c r="S553" s="34" t="s">
        <v>2263</v>
      </c>
    </row>
    <row r="554" spans="1:19" ht="243" x14ac:dyDescent="0.15">
      <c r="A554" t="s">
        <v>2255</v>
      </c>
      <c r="B554" s="61">
        <v>45992</v>
      </c>
      <c r="E554" t="s">
        <v>355</v>
      </c>
      <c r="F554" t="s">
        <v>351</v>
      </c>
      <c r="G554" t="s">
        <v>354</v>
      </c>
      <c r="H554" t="s">
        <v>365</v>
      </c>
      <c r="I554">
        <v>1102548</v>
      </c>
      <c r="J554" t="s">
        <v>2267</v>
      </c>
      <c r="K554" t="s">
        <v>2268</v>
      </c>
      <c r="L554" t="s">
        <v>2269</v>
      </c>
      <c r="N554" t="s">
        <v>2270</v>
      </c>
      <c r="O554" t="s">
        <v>2271</v>
      </c>
      <c r="S554" s="34" t="s">
        <v>2272</v>
      </c>
    </row>
    <row r="555" spans="1:19" ht="243" x14ac:dyDescent="0.15">
      <c r="A555" t="s">
        <v>2255</v>
      </c>
      <c r="B555" s="61">
        <v>46143</v>
      </c>
      <c r="E555" t="s">
        <v>355</v>
      </c>
      <c r="F555" t="s">
        <v>356</v>
      </c>
      <c r="H555" t="s">
        <v>365</v>
      </c>
      <c r="I555">
        <v>1102548</v>
      </c>
      <c r="J555" t="s">
        <v>2267</v>
      </c>
      <c r="K555" t="s">
        <v>2268</v>
      </c>
      <c r="L555" t="s">
        <v>2269</v>
      </c>
      <c r="N555" t="s">
        <v>2270</v>
      </c>
      <c r="O555" t="s">
        <v>2271</v>
      </c>
      <c r="R555" t="s">
        <v>362</v>
      </c>
      <c r="S555" s="34" t="s">
        <v>2272</v>
      </c>
    </row>
    <row r="556" spans="1:19" ht="351" x14ac:dyDescent="0.15">
      <c r="A556" t="s">
        <v>2255</v>
      </c>
      <c r="B556" s="61">
        <v>46235</v>
      </c>
      <c r="E556" t="s">
        <v>355</v>
      </c>
      <c r="F556" t="s">
        <v>356</v>
      </c>
      <c r="H556" t="s">
        <v>353</v>
      </c>
      <c r="I556">
        <v>1101207</v>
      </c>
      <c r="J556" t="s">
        <v>2273</v>
      </c>
      <c r="K556" t="s">
        <v>2274</v>
      </c>
      <c r="L556" t="s">
        <v>390</v>
      </c>
      <c r="N556" t="s">
        <v>2275</v>
      </c>
      <c r="O556" t="s">
        <v>2276</v>
      </c>
      <c r="R556" t="s">
        <v>362</v>
      </c>
      <c r="S556" s="34" t="s">
        <v>2277</v>
      </c>
    </row>
    <row r="557" spans="1:19" x14ac:dyDescent="0.15">
      <c r="A557" t="s">
        <v>2255</v>
      </c>
      <c r="B557" s="61">
        <v>46478</v>
      </c>
      <c r="E557" t="s">
        <v>355</v>
      </c>
      <c r="F557" t="s">
        <v>356</v>
      </c>
      <c r="H557" t="s">
        <v>353</v>
      </c>
      <c r="I557">
        <v>1101362</v>
      </c>
      <c r="J557" t="s">
        <v>2278</v>
      </c>
      <c r="L557" t="s">
        <v>2279</v>
      </c>
      <c r="N557" t="s">
        <v>5035</v>
      </c>
      <c r="O557" t="s">
        <v>2280</v>
      </c>
    </row>
    <row r="558" spans="1:19" x14ac:dyDescent="0.15">
      <c r="A558" t="s">
        <v>2255</v>
      </c>
      <c r="B558" s="61">
        <v>46508</v>
      </c>
      <c r="E558" t="s">
        <v>355</v>
      </c>
      <c r="F558" t="s">
        <v>364</v>
      </c>
      <c r="H558" t="s">
        <v>353</v>
      </c>
      <c r="I558">
        <v>1102405</v>
      </c>
      <c r="J558" t="s">
        <v>2281</v>
      </c>
      <c r="K558" t="s">
        <v>2282</v>
      </c>
      <c r="L558" t="s">
        <v>692</v>
      </c>
      <c r="N558" t="s">
        <v>2283</v>
      </c>
      <c r="O558" t="s">
        <v>2284</v>
      </c>
    </row>
    <row r="559" spans="1:19" x14ac:dyDescent="0.15">
      <c r="A559" t="s">
        <v>2255</v>
      </c>
      <c r="B559" s="61">
        <v>46600</v>
      </c>
      <c r="E559" t="s">
        <v>355</v>
      </c>
      <c r="F559" t="s">
        <v>356</v>
      </c>
      <c r="H559" t="s">
        <v>353</v>
      </c>
      <c r="I559">
        <v>1101596</v>
      </c>
      <c r="J559" t="s">
        <v>2285</v>
      </c>
      <c r="K559" t="s">
        <v>2286</v>
      </c>
      <c r="L559" t="s">
        <v>2287</v>
      </c>
      <c r="N559" t="s">
        <v>5104</v>
      </c>
      <c r="O559" t="s">
        <v>2288</v>
      </c>
    </row>
    <row r="560" spans="1:19" x14ac:dyDescent="0.15">
      <c r="A560" t="s">
        <v>2255</v>
      </c>
      <c r="B560" s="61">
        <v>46600</v>
      </c>
      <c r="E560" t="s">
        <v>355</v>
      </c>
      <c r="F560" t="s">
        <v>364</v>
      </c>
      <c r="H560" t="s">
        <v>353</v>
      </c>
      <c r="I560">
        <v>1100224</v>
      </c>
      <c r="J560" t="s">
        <v>2289</v>
      </c>
      <c r="K560" t="s">
        <v>2290</v>
      </c>
      <c r="L560" t="s">
        <v>390</v>
      </c>
      <c r="N560" t="s">
        <v>2291</v>
      </c>
      <c r="O560" t="s">
        <v>2292</v>
      </c>
    </row>
    <row r="561" spans="1:19" x14ac:dyDescent="0.15">
      <c r="A561" t="s">
        <v>2255</v>
      </c>
      <c r="B561" s="61">
        <v>46661</v>
      </c>
      <c r="E561" t="s">
        <v>355</v>
      </c>
      <c r="F561" t="s">
        <v>364</v>
      </c>
      <c r="H561" t="s">
        <v>353</v>
      </c>
      <c r="I561">
        <v>1102407</v>
      </c>
      <c r="J561" t="s">
        <v>2293</v>
      </c>
      <c r="K561" t="s">
        <v>1251</v>
      </c>
      <c r="L561" t="s">
        <v>2294</v>
      </c>
      <c r="N561" t="s">
        <v>2295</v>
      </c>
      <c r="O561" t="s">
        <v>2296</v>
      </c>
    </row>
    <row r="562" spans="1:19" x14ac:dyDescent="0.15">
      <c r="A562" t="s">
        <v>2255</v>
      </c>
      <c r="B562" s="61">
        <v>46661</v>
      </c>
      <c r="E562" t="s">
        <v>355</v>
      </c>
      <c r="F562" t="s">
        <v>364</v>
      </c>
      <c r="H562" t="s">
        <v>365</v>
      </c>
      <c r="I562">
        <v>1102397</v>
      </c>
      <c r="J562" t="s">
        <v>2297</v>
      </c>
      <c r="K562" t="s">
        <v>2298</v>
      </c>
      <c r="L562" t="s">
        <v>2299</v>
      </c>
      <c r="N562" t="s">
        <v>2300</v>
      </c>
      <c r="O562" t="s">
        <v>2301</v>
      </c>
    </row>
    <row r="563" spans="1:19" x14ac:dyDescent="0.15">
      <c r="A563" t="s">
        <v>2255</v>
      </c>
      <c r="B563" s="61">
        <v>46692</v>
      </c>
      <c r="E563" t="s">
        <v>355</v>
      </c>
      <c r="F563" t="s">
        <v>364</v>
      </c>
      <c r="H563" t="s">
        <v>365</v>
      </c>
      <c r="I563">
        <v>1102410</v>
      </c>
      <c r="J563" t="s">
        <v>2264</v>
      </c>
      <c r="L563" t="s">
        <v>854</v>
      </c>
      <c r="N563" t="s">
        <v>2265</v>
      </c>
      <c r="O563" t="s">
        <v>2266</v>
      </c>
    </row>
    <row r="564" spans="1:19" x14ac:dyDescent="0.15">
      <c r="A564" t="s">
        <v>2255</v>
      </c>
      <c r="B564" s="61">
        <v>46753</v>
      </c>
      <c r="E564" t="s">
        <v>355</v>
      </c>
      <c r="F564" t="s">
        <v>364</v>
      </c>
      <c r="H564" t="s">
        <v>353</v>
      </c>
      <c r="I564">
        <v>1101840</v>
      </c>
      <c r="J564" t="s">
        <v>2302</v>
      </c>
      <c r="K564" t="s">
        <v>2303</v>
      </c>
      <c r="L564" t="s">
        <v>2304</v>
      </c>
      <c r="N564" t="s">
        <v>2305</v>
      </c>
      <c r="O564" t="s">
        <v>2306</v>
      </c>
    </row>
    <row r="565" spans="1:19" x14ac:dyDescent="0.15">
      <c r="A565" t="s">
        <v>2255</v>
      </c>
      <c r="B565" s="61">
        <v>46753</v>
      </c>
      <c r="E565" t="s">
        <v>355</v>
      </c>
      <c r="F565" t="s">
        <v>364</v>
      </c>
      <c r="H565" t="s">
        <v>353</v>
      </c>
      <c r="I565">
        <v>1100023</v>
      </c>
      <c r="J565" t="s">
        <v>2256</v>
      </c>
      <c r="L565" t="s">
        <v>390</v>
      </c>
      <c r="N565" t="s">
        <v>2257</v>
      </c>
      <c r="O565" t="s">
        <v>2258</v>
      </c>
    </row>
    <row r="566" spans="1:19" x14ac:dyDescent="0.15">
      <c r="A566" t="s">
        <v>2255</v>
      </c>
      <c r="B566" s="61">
        <v>46844</v>
      </c>
      <c r="E566" t="s">
        <v>355</v>
      </c>
      <c r="F566" t="s">
        <v>364</v>
      </c>
      <c r="H566" t="s">
        <v>353</v>
      </c>
      <c r="I566">
        <v>1102565</v>
      </c>
      <c r="J566" t="s">
        <v>1255</v>
      </c>
      <c r="K566" t="s">
        <v>2307</v>
      </c>
      <c r="L566" t="s">
        <v>2308</v>
      </c>
      <c r="N566" t="s">
        <v>2309</v>
      </c>
      <c r="O566" t="s">
        <v>2310</v>
      </c>
    </row>
    <row r="567" spans="1:19" x14ac:dyDescent="0.15">
      <c r="A567" t="s">
        <v>2255</v>
      </c>
      <c r="B567" s="61">
        <v>46966</v>
      </c>
      <c r="E567" t="s">
        <v>355</v>
      </c>
      <c r="F567" t="s">
        <v>364</v>
      </c>
      <c r="H567" t="s">
        <v>353</v>
      </c>
      <c r="I567">
        <v>1101615</v>
      </c>
      <c r="J567" t="s">
        <v>516</v>
      </c>
      <c r="K567" t="s">
        <v>897</v>
      </c>
      <c r="L567" t="s">
        <v>2311</v>
      </c>
      <c r="N567" t="s">
        <v>2312</v>
      </c>
      <c r="O567" t="s">
        <v>2313</v>
      </c>
    </row>
    <row r="568" spans="1:19" x14ac:dyDescent="0.15">
      <c r="A568" t="s">
        <v>2255</v>
      </c>
      <c r="B568" s="61">
        <v>46966</v>
      </c>
      <c r="E568" t="s">
        <v>355</v>
      </c>
      <c r="F568" t="s">
        <v>364</v>
      </c>
      <c r="H568" t="s">
        <v>365</v>
      </c>
      <c r="I568">
        <v>1102206</v>
      </c>
      <c r="J568" t="s">
        <v>2314</v>
      </c>
      <c r="L568" t="s">
        <v>390</v>
      </c>
      <c r="N568" t="s">
        <v>2315</v>
      </c>
      <c r="O568" t="s">
        <v>2316</v>
      </c>
    </row>
    <row r="569" spans="1:19" ht="409.5" x14ac:dyDescent="0.15">
      <c r="A569" t="s">
        <v>2255</v>
      </c>
      <c r="B569" s="61">
        <v>47239</v>
      </c>
      <c r="E569" t="s">
        <v>355</v>
      </c>
      <c r="F569" t="s">
        <v>385</v>
      </c>
      <c r="H569" t="s">
        <v>353</v>
      </c>
      <c r="I569">
        <v>1102476</v>
      </c>
      <c r="J569" t="s">
        <v>2317</v>
      </c>
      <c r="K569" t="s">
        <v>2274</v>
      </c>
      <c r="L569" t="s">
        <v>2318</v>
      </c>
      <c r="N569" t="s">
        <v>2319</v>
      </c>
      <c r="O569" t="s">
        <v>2320</v>
      </c>
      <c r="S569" s="34" t="s">
        <v>2321</v>
      </c>
    </row>
    <row r="570" spans="1:19" ht="378" x14ac:dyDescent="0.15">
      <c r="A570" t="s">
        <v>2255</v>
      </c>
      <c r="B570" s="61">
        <v>47300</v>
      </c>
      <c r="E570" t="s">
        <v>355</v>
      </c>
      <c r="F570" t="s">
        <v>385</v>
      </c>
      <c r="H570" t="s">
        <v>353</v>
      </c>
      <c r="I570">
        <v>1101698</v>
      </c>
      <c r="J570" t="s">
        <v>2322</v>
      </c>
      <c r="K570" t="s">
        <v>2323</v>
      </c>
      <c r="L570" t="s">
        <v>2324</v>
      </c>
      <c r="N570" t="s">
        <v>2325</v>
      </c>
      <c r="O570" t="s">
        <v>2326</v>
      </c>
      <c r="R570" t="s">
        <v>386</v>
      </c>
      <c r="S570" s="34" t="s">
        <v>2327</v>
      </c>
    </row>
    <row r="571" spans="1:19" ht="243" x14ac:dyDescent="0.15">
      <c r="A571" t="s">
        <v>2255</v>
      </c>
      <c r="B571" s="61">
        <v>47604</v>
      </c>
      <c r="E571" t="s">
        <v>355</v>
      </c>
      <c r="F571" t="s">
        <v>385</v>
      </c>
      <c r="H571" t="s">
        <v>365</v>
      </c>
      <c r="I571">
        <v>1102548</v>
      </c>
      <c r="J571" t="s">
        <v>2267</v>
      </c>
      <c r="K571" t="s">
        <v>2268</v>
      </c>
      <c r="L571" t="s">
        <v>2269</v>
      </c>
      <c r="N571" t="s">
        <v>2270</v>
      </c>
      <c r="O571" t="s">
        <v>2271</v>
      </c>
      <c r="R571" t="s">
        <v>395</v>
      </c>
      <c r="S571" s="34" t="s">
        <v>2272</v>
      </c>
    </row>
    <row r="572" spans="1:19" ht="351" x14ac:dyDescent="0.15">
      <c r="A572" t="s">
        <v>2255</v>
      </c>
      <c r="B572" s="61">
        <v>47696</v>
      </c>
      <c r="E572" t="s">
        <v>355</v>
      </c>
      <c r="F572" t="s">
        <v>385</v>
      </c>
      <c r="H572" t="s">
        <v>353</v>
      </c>
      <c r="I572">
        <v>1101207</v>
      </c>
      <c r="J572" t="s">
        <v>2273</v>
      </c>
      <c r="K572" t="s">
        <v>2274</v>
      </c>
      <c r="L572" t="s">
        <v>390</v>
      </c>
      <c r="N572" t="s">
        <v>2275</v>
      </c>
      <c r="O572" t="s">
        <v>2276</v>
      </c>
      <c r="R572" t="s">
        <v>386</v>
      </c>
      <c r="S572" s="34" t="s">
        <v>2277</v>
      </c>
    </row>
    <row r="573" spans="1:19" x14ac:dyDescent="0.15">
      <c r="A573" t="s">
        <v>2255</v>
      </c>
      <c r="B573" s="61">
        <v>47939</v>
      </c>
      <c r="E573" t="s">
        <v>355</v>
      </c>
      <c r="F573" t="s">
        <v>385</v>
      </c>
      <c r="H573" t="s">
        <v>353</v>
      </c>
      <c r="I573">
        <v>1101362</v>
      </c>
      <c r="J573" t="s">
        <v>2278</v>
      </c>
      <c r="L573" t="s">
        <v>2279</v>
      </c>
      <c r="N573" t="s">
        <v>5035</v>
      </c>
      <c r="O573" t="s">
        <v>2280</v>
      </c>
    </row>
    <row r="574" spans="1:19" x14ac:dyDescent="0.15">
      <c r="A574" t="s">
        <v>2255</v>
      </c>
      <c r="B574" s="61">
        <v>48061</v>
      </c>
      <c r="E574" t="s">
        <v>355</v>
      </c>
      <c r="F574" t="s">
        <v>385</v>
      </c>
      <c r="H574" t="s">
        <v>353</v>
      </c>
      <c r="I574">
        <v>1101596</v>
      </c>
      <c r="J574" t="s">
        <v>2285</v>
      </c>
      <c r="K574" t="s">
        <v>2286</v>
      </c>
      <c r="L574" t="s">
        <v>2287</v>
      </c>
      <c r="N574" t="s">
        <v>5104</v>
      </c>
      <c r="O574" t="s">
        <v>2288</v>
      </c>
    </row>
    <row r="575" spans="1:19" x14ac:dyDescent="0.15">
      <c r="A575" t="s">
        <v>2255</v>
      </c>
      <c r="B575" s="61">
        <v>48061</v>
      </c>
      <c r="E575" t="s">
        <v>355</v>
      </c>
      <c r="F575" t="s">
        <v>364</v>
      </c>
      <c r="H575" t="s">
        <v>353</v>
      </c>
      <c r="I575">
        <v>1100224</v>
      </c>
      <c r="J575" t="s">
        <v>2289</v>
      </c>
      <c r="K575" t="s">
        <v>2290</v>
      </c>
      <c r="L575" t="s">
        <v>390</v>
      </c>
      <c r="N575" t="s">
        <v>2291</v>
      </c>
      <c r="O575" t="s">
        <v>2292</v>
      </c>
    </row>
    <row r="576" spans="1:19" x14ac:dyDescent="0.15">
      <c r="A576" t="s">
        <v>2255</v>
      </c>
      <c r="B576" s="61">
        <v>48214</v>
      </c>
      <c r="E576" t="s">
        <v>355</v>
      </c>
      <c r="F576" t="s">
        <v>364</v>
      </c>
      <c r="H576" t="s">
        <v>353</v>
      </c>
      <c r="I576">
        <v>1101840</v>
      </c>
      <c r="J576" t="s">
        <v>2302</v>
      </c>
      <c r="K576" t="s">
        <v>2303</v>
      </c>
      <c r="L576" t="s">
        <v>2304</v>
      </c>
      <c r="N576" t="s">
        <v>2305</v>
      </c>
      <c r="O576" t="s">
        <v>2306</v>
      </c>
    </row>
    <row r="577" spans="1:19" x14ac:dyDescent="0.15">
      <c r="A577" t="s">
        <v>2255</v>
      </c>
      <c r="B577" s="61">
        <v>48214</v>
      </c>
      <c r="E577" t="s">
        <v>355</v>
      </c>
      <c r="F577" t="s">
        <v>364</v>
      </c>
      <c r="H577" t="s">
        <v>353</v>
      </c>
      <c r="I577">
        <v>1100023</v>
      </c>
      <c r="J577" t="s">
        <v>2256</v>
      </c>
      <c r="L577" t="s">
        <v>390</v>
      </c>
      <c r="N577" t="s">
        <v>2257</v>
      </c>
      <c r="O577" t="s">
        <v>2258</v>
      </c>
    </row>
    <row r="578" spans="1:19" x14ac:dyDescent="0.15">
      <c r="A578" t="s">
        <v>2255</v>
      </c>
      <c r="B578" s="61">
        <v>48305</v>
      </c>
      <c r="E578" t="s">
        <v>355</v>
      </c>
      <c r="F578" t="s">
        <v>364</v>
      </c>
      <c r="H578" t="s">
        <v>353</v>
      </c>
      <c r="I578">
        <v>1102565</v>
      </c>
      <c r="J578" t="s">
        <v>1255</v>
      </c>
      <c r="K578" t="s">
        <v>2307</v>
      </c>
      <c r="L578" t="s">
        <v>2308</v>
      </c>
      <c r="N578" t="s">
        <v>2309</v>
      </c>
      <c r="O578" t="s">
        <v>2310</v>
      </c>
    </row>
    <row r="579" spans="1:19" x14ac:dyDescent="0.15">
      <c r="A579" t="s">
        <v>2255</v>
      </c>
      <c r="B579" s="61">
        <v>48427</v>
      </c>
      <c r="E579" t="s">
        <v>355</v>
      </c>
      <c r="F579" t="s">
        <v>364</v>
      </c>
      <c r="H579" t="s">
        <v>365</v>
      </c>
      <c r="I579">
        <v>1102206</v>
      </c>
      <c r="J579" t="s">
        <v>2314</v>
      </c>
      <c r="L579" t="s">
        <v>390</v>
      </c>
      <c r="N579" t="s">
        <v>2315</v>
      </c>
      <c r="O579" t="s">
        <v>2316</v>
      </c>
    </row>
    <row r="580" spans="1:19" ht="243" x14ac:dyDescent="0.15">
      <c r="A580" t="s">
        <v>2328</v>
      </c>
      <c r="B580" s="61">
        <v>46204</v>
      </c>
      <c r="E580" t="s">
        <v>355</v>
      </c>
      <c r="F580" t="s">
        <v>385</v>
      </c>
      <c r="H580" t="s">
        <v>365</v>
      </c>
      <c r="I580">
        <v>1301342</v>
      </c>
      <c r="J580" t="s">
        <v>2329</v>
      </c>
      <c r="L580" t="s">
        <v>2330</v>
      </c>
      <c r="N580" t="s">
        <v>2331</v>
      </c>
      <c r="O580" t="s">
        <v>2332</v>
      </c>
      <c r="R580" t="s">
        <v>395</v>
      </c>
      <c r="S580" s="34" t="s">
        <v>2333</v>
      </c>
    </row>
    <row r="581" spans="1:19" x14ac:dyDescent="0.15">
      <c r="A581" t="s">
        <v>5524</v>
      </c>
      <c r="B581" s="61">
        <v>46447</v>
      </c>
      <c r="E581" t="s">
        <v>355</v>
      </c>
      <c r="F581" t="s">
        <v>364</v>
      </c>
      <c r="H581" t="s">
        <v>365</v>
      </c>
      <c r="I581">
        <v>1400233</v>
      </c>
      <c r="J581" t="s">
        <v>2334</v>
      </c>
      <c r="K581" t="s">
        <v>2335</v>
      </c>
      <c r="L581" t="s">
        <v>2336</v>
      </c>
      <c r="N581" t="s">
        <v>2337</v>
      </c>
      <c r="O581" t="s">
        <v>2338</v>
      </c>
    </row>
    <row r="582" spans="1:19" x14ac:dyDescent="0.15">
      <c r="A582" t="s">
        <v>2328</v>
      </c>
      <c r="B582" s="61">
        <v>46539</v>
      </c>
      <c r="E582" t="s">
        <v>355</v>
      </c>
      <c r="F582" t="s">
        <v>364</v>
      </c>
      <c r="H582" t="s">
        <v>365</v>
      </c>
      <c r="I582">
        <v>1401912</v>
      </c>
      <c r="J582" t="s">
        <v>2339</v>
      </c>
      <c r="K582" t="s">
        <v>2340</v>
      </c>
      <c r="L582" t="s">
        <v>2341</v>
      </c>
      <c r="N582" t="s">
        <v>2342</v>
      </c>
      <c r="O582" t="s">
        <v>2343</v>
      </c>
    </row>
    <row r="583" spans="1:19" x14ac:dyDescent="0.15">
      <c r="A583" t="s">
        <v>2328</v>
      </c>
      <c r="B583" s="61">
        <v>46539</v>
      </c>
      <c r="E583" t="s">
        <v>355</v>
      </c>
      <c r="F583" t="s">
        <v>364</v>
      </c>
      <c r="H583" t="s">
        <v>353</v>
      </c>
      <c r="I583">
        <v>1401905</v>
      </c>
      <c r="J583" t="s">
        <v>2344</v>
      </c>
      <c r="K583" t="s">
        <v>2345</v>
      </c>
      <c r="L583" t="s">
        <v>2346</v>
      </c>
      <c r="N583" t="s">
        <v>2347</v>
      </c>
      <c r="O583" t="s">
        <v>2348</v>
      </c>
    </row>
    <row r="584" spans="1:19" x14ac:dyDescent="0.15">
      <c r="A584" t="s">
        <v>2328</v>
      </c>
      <c r="B584" s="61">
        <v>46692</v>
      </c>
      <c r="E584" t="s">
        <v>355</v>
      </c>
      <c r="F584" t="s">
        <v>364</v>
      </c>
      <c r="H584" t="s">
        <v>353</v>
      </c>
      <c r="I584">
        <v>1401121</v>
      </c>
      <c r="J584" t="s">
        <v>2349</v>
      </c>
      <c r="L584" t="s">
        <v>2350</v>
      </c>
      <c r="N584" t="s">
        <v>2351</v>
      </c>
      <c r="O584" t="s">
        <v>2352</v>
      </c>
    </row>
    <row r="585" spans="1:19" x14ac:dyDescent="0.15">
      <c r="A585" t="s">
        <v>5524</v>
      </c>
      <c r="B585" s="61">
        <v>46874</v>
      </c>
      <c r="E585" t="s">
        <v>355</v>
      </c>
      <c r="F585" t="s">
        <v>364</v>
      </c>
      <c r="H585" t="s">
        <v>365</v>
      </c>
      <c r="I585">
        <v>1400662</v>
      </c>
      <c r="J585" t="s">
        <v>2353</v>
      </c>
      <c r="K585" t="s">
        <v>2354</v>
      </c>
      <c r="L585" t="s">
        <v>2355</v>
      </c>
      <c r="N585" t="s">
        <v>2356</v>
      </c>
      <c r="O585" t="s">
        <v>2357</v>
      </c>
    </row>
    <row r="586" spans="1:19" x14ac:dyDescent="0.15">
      <c r="A586" t="s">
        <v>5524</v>
      </c>
      <c r="B586" s="61">
        <v>46935</v>
      </c>
      <c r="E586" t="s">
        <v>355</v>
      </c>
      <c r="F586" t="s">
        <v>364</v>
      </c>
      <c r="H586" t="s">
        <v>353</v>
      </c>
      <c r="I586">
        <v>1402345</v>
      </c>
      <c r="J586" t="s">
        <v>1212</v>
      </c>
      <c r="K586" t="s">
        <v>2358</v>
      </c>
      <c r="L586" t="s">
        <v>2359</v>
      </c>
      <c r="N586" t="s">
        <v>2360</v>
      </c>
      <c r="O586" t="s">
        <v>2361</v>
      </c>
    </row>
    <row r="587" spans="1:19" x14ac:dyDescent="0.15">
      <c r="A587" t="s">
        <v>2328</v>
      </c>
      <c r="B587" s="61">
        <v>46966</v>
      </c>
      <c r="E587" t="s">
        <v>355</v>
      </c>
      <c r="F587" t="s">
        <v>364</v>
      </c>
      <c r="H587" t="s">
        <v>353</v>
      </c>
      <c r="I587">
        <v>1401905</v>
      </c>
      <c r="J587" t="s">
        <v>2344</v>
      </c>
      <c r="K587" t="s">
        <v>2345</v>
      </c>
      <c r="L587" t="s">
        <v>2346</v>
      </c>
      <c r="N587" t="s">
        <v>2362</v>
      </c>
      <c r="O587" t="s">
        <v>2348</v>
      </c>
    </row>
    <row r="588" spans="1:19" x14ac:dyDescent="0.15">
      <c r="A588" t="s">
        <v>5524</v>
      </c>
      <c r="B588" s="61">
        <v>47027</v>
      </c>
      <c r="E588" t="s">
        <v>355</v>
      </c>
      <c r="F588" t="s">
        <v>364</v>
      </c>
      <c r="H588" t="s">
        <v>353</v>
      </c>
      <c r="I588">
        <v>1401939</v>
      </c>
      <c r="J588" t="s">
        <v>2363</v>
      </c>
      <c r="K588" t="s">
        <v>2364</v>
      </c>
      <c r="L588" t="s">
        <v>2359</v>
      </c>
      <c r="N588" t="s">
        <v>2365</v>
      </c>
      <c r="O588" t="s">
        <v>2366</v>
      </c>
    </row>
    <row r="589" spans="1:19" x14ac:dyDescent="0.15">
      <c r="A589" t="s">
        <v>2328</v>
      </c>
      <c r="B589" s="61">
        <v>47150</v>
      </c>
      <c r="E589" t="s">
        <v>355</v>
      </c>
      <c r="F589" t="s">
        <v>364</v>
      </c>
      <c r="H589" t="s">
        <v>353</v>
      </c>
      <c r="I589">
        <v>1401841</v>
      </c>
      <c r="J589" t="s">
        <v>2367</v>
      </c>
      <c r="K589" t="s">
        <v>2368</v>
      </c>
      <c r="L589" t="s">
        <v>2369</v>
      </c>
      <c r="N589" t="s">
        <v>2370</v>
      </c>
      <c r="O589" t="s">
        <v>2371</v>
      </c>
    </row>
    <row r="590" spans="1:19" ht="409.5" x14ac:dyDescent="0.15">
      <c r="A590" t="s">
        <v>5524</v>
      </c>
      <c r="B590" s="61">
        <v>47209</v>
      </c>
      <c r="E590" t="s">
        <v>355</v>
      </c>
      <c r="F590" t="s">
        <v>385</v>
      </c>
      <c r="H590" t="s">
        <v>353</v>
      </c>
      <c r="I590">
        <v>1402843</v>
      </c>
      <c r="J590" t="s">
        <v>2372</v>
      </c>
      <c r="K590" t="s">
        <v>1769</v>
      </c>
      <c r="L590" t="s">
        <v>2373</v>
      </c>
      <c r="N590" t="s">
        <v>2374</v>
      </c>
      <c r="O590" t="s">
        <v>2375</v>
      </c>
      <c r="R590" t="s">
        <v>386</v>
      </c>
      <c r="S590" s="34" t="s">
        <v>2376</v>
      </c>
    </row>
    <row r="591" spans="1:19" x14ac:dyDescent="0.15">
      <c r="A591" t="s">
        <v>2328</v>
      </c>
      <c r="B591" s="61">
        <v>48000</v>
      </c>
      <c r="E591" t="s">
        <v>355</v>
      </c>
      <c r="F591" t="s">
        <v>364</v>
      </c>
      <c r="H591" t="s">
        <v>365</v>
      </c>
      <c r="I591">
        <v>1401912</v>
      </c>
      <c r="J591" t="s">
        <v>2339</v>
      </c>
      <c r="K591" t="s">
        <v>2340</v>
      </c>
      <c r="L591" t="s">
        <v>2341</v>
      </c>
      <c r="N591" t="s">
        <v>2342</v>
      </c>
      <c r="O591" t="s">
        <v>2343</v>
      </c>
    </row>
    <row r="592" spans="1:19" x14ac:dyDescent="0.15">
      <c r="A592" t="s">
        <v>2328</v>
      </c>
      <c r="B592" s="61">
        <v>48000</v>
      </c>
      <c r="E592" t="s">
        <v>355</v>
      </c>
      <c r="F592" t="s">
        <v>364</v>
      </c>
      <c r="H592" t="s">
        <v>353</v>
      </c>
      <c r="I592">
        <v>1401905</v>
      </c>
      <c r="J592" t="s">
        <v>2344</v>
      </c>
      <c r="K592" t="s">
        <v>2345</v>
      </c>
      <c r="L592" t="s">
        <v>2346</v>
      </c>
      <c r="N592" t="s">
        <v>2347</v>
      </c>
      <c r="O592" t="s">
        <v>2348</v>
      </c>
    </row>
    <row r="593" spans="1:19" x14ac:dyDescent="0.15">
      <c r="A593" t="s">
        <v>5524</v>
      </c>
      <c r="B593" s="61">
        <v>48335</v>
      </c>
      <c r="E593" t="s">
        <v>355</v>
      </c>
      <c r="F593" t="s">
        <v>364</v>
      </c>
      <c r="H593" t="s">
        <v>365</v>
      </c>
      <c r="I593">
        <v>1400662</v>
      </c>
      <c r="J593" t="s">
        <v>2353</v>
      </c>
      <c r="K593" t="s">
        <v>2354</v>
      </c>
      <c r="L593" t="s">
        <v>2355</v>
      </c>
      <c r="N593" t="s">
        <v>2356</v>
      </c>
      <c r="O593" t="s">
        <v>2357</v>
      </c>
    </row>
    <row r="594" spans="1:19" x14ac:dyDescent="0.15">
      <c r="A594" t="s">
        <v>5524</v>
      </c>
      <c r="B594" s="61">
        <v>48396</v>
      </c>
      <c r="E594" t="s">
        <v>355</v>
      </c>
      <c r="F594" t="s">
        <v>364</v>
      </c>
      <c r="H594" t="s">
        <v>353</v>
      </c>
      <c r="I594">
        <v>1402345</v>
      </c>
      <c r="J594" t="s">
        <v>1212</v>
      </c>
      <c r="K594" t="s">
        <v>2358</v>
      </c>
      <c r="L594" t="s">
        <v>2359</v>
      </c>
      <c r="N594" t="s">
        <v>2360</v>
      </c>
      <c r="O594" t="s">
        <v>2361</v>
      </c>
    </row>
    <row r="595" spans="1:19" ht="409.5" x14ac:dyDescent="0.15">
      <c r="A595" t="s">
        <v>2377</v>
      </c>
      <c r="B595" s="61">
        <v>46113</v>
      </c>
      <c r="E595" t="s">
        <v>355</v>
      </c>
      <c r="F595" t="s">
        <v>385</v>
      </c>
      <c r="H595" t="s">
        <v>365</v>
      </c>
      <c r="I595">
        <v>1101172</v>
      </c>
      <c r="J595" t="s">
        <v>2378</v>
      </c>
      <c r="L595" t="s">
        <v>1230</v>
      </c>
      <c r="N595" t="s">
        <v>2379</v>
      </c>
      <c r="O595" t="s">
        <v>2380</v>
      </c>
      <c r="R595" t="s">
        <v>395</v>
      </c>
      <c r="S595" s="34" t="s">
        <v>2381</v>
      </c>
    </row>
    <row r="596" spans="1:19" ht="229.5" x14ac:dyDescent="0.15">
      <c r="A596" t="s">
        <v>2377</v>
      </c>
      <c r="B596" s="61">
        <v>46204</v>
      </c>
      <c r="E596" t="s">
        <v>355</v>
      </c>
      <c r="F596" t="s">
        <v>356</v>
      </c>
      <c r="H596" t="s">
        <v>353</v>
      </c>
      <c r="I596">
        <v>1102508</v>
      </c>
      <c r="J596" t="s">
        <v>2382</v>
      </c>
      <c r="K596" t="s">
        <v>2383</v>
      </c>
      <c r="L596" t="s">
        <v>2384</v>
      </c>
      <c r="N596" t="s">
        <v>2385</v>
      </c>
      <c r="O596" t="s">
        <v>2386</v>
      </c>
      <c r="R596" t="s">
        <v>362</v>
      </c>
      <c r="S596" s="34" t="s">
        <v>2387</v>
      </c>
    </row>
    <row r="597" spans="1:19" ht="409.5" x14ac:dyDescent="0.15">
      <c r="A597" t="s">
        <v>2377</v>
      </c>
      <c r="B597" s="61">
        <v>46235</v>
      </c>
      <c r="E597" t="s">
        <v>355</v>
      </c>
      <c r="F597" t="s">
        <v>356</v>
      </c>
      <c r="H597" t="s">
        <v>353</v>
      </c>
      <c r="I597">
        <v>1102506</v>
      </c>
      <c r="J597" t="s">
        <v>2129</v>
      </c>
      <c r="K597" t="s">
        <v>2388</v>
      </c>
      <c r="L597" t="s">
        <v>833</v>
      </c>
      <c r="N597" t="s">
        <v>2389</v>
      </c>
      <c r="O597" t="s">
        <v>2390</v>
      </c>
      <c r="R597" t="s">
        <v>362</v>
      </c>
      <c r="S597" s="34" t="s">
        <v>2391</v>
      </c>
    </row>
    <row r="598" spans="1:19" x14ac:dyDescent="0.15">
      <c r="A598" t="s">
        <v>2377</v>
      </c>
      <c r="B598" s="61">
        <v>46569</v>
      </c>
      <c r="E598" t="s">
        <v>355</v>
      </c>
      <c r="F598" t="s">
        <v>364</v>
      </c>
      <c r="H598" t="s">
        <v>353</v>
      </c>
      <c r="I598">
        <v>1102153</v>
      </c>
      <c r="J598" t="s">
        <v>2392</v>
      </c>
      <c r="K598" t="s">
        <v>2393</v>
      </c>
      <c r="L598" t="s">
        <v>413</v>
      </c>
      <c r="N598" t="s">
        <v>2394</v>
      </c>
      <c r="O598" t="s">
        <v>2395</v>
      </c>
    </row>
    <row r="599" spans="1:19" x14ac:dyDescent="0.15">
      <c r="A599" t="s">
        <v>2377</v>
      </c>
      <c r="B599" s="61">
        <v>46600</v>
      </c>
      <c r="E599" t="s">
        <v>355</v>
      </c>
      <c r="F599" t="s">
        <v>356</v>
      </c>
      <c r="H599" t="s">
        <v>353</v>
      </c>
      <c r="I599">
        <v>1102153</v>
      </c>
      <c r="J599" t="s">
        <v>2392</v>
      </c>
      <c r="K599" t="s">
        <v>2393</v>
      </c>
      <c r="L599" t="s">
        <v>413</v>
      </c>
      <c r="N599" t="s">
        <v>5105</v>
      </c>
      <c r="O599" t="s">
        <v>2395</v>
      </c>
    </row>
    <row r="600" spans="1:19" x14ac:dyDescent="0.15">
      <c r="A600" t="s">
        <v>2377</v>
      </c>
      <c r="B600" s="61">
        <v>46844</v>
      </c>
      <c r="E600" t="s">
        <v>355</v>
      </c>
      <c r="F600" t="s">
        <v>364</v>
      </c>
      <c r="H600" t="s">
        <v>353</v>
      </c>
      <c r="I600">
        <v>1102177</v>
      </c>
      <c r="J600" t="s">
        <v>2396</v>
      </c>
      <c r="K600" t="s">
        <v>2397</v>
      </c>
      <c r="L600" t="s">
        <v>390</v>
      </c>
      <c r="N600" t="s">
        <v>2398</v>
      </c>
      <c r="O600" t="s">
        <v>2399</v>
      </c>
    </row>
    <row r="601" spans="1:19" x14ac:dyDescent="0.15">
      <c r="A601" t="s">
        <v>2377</v>
      </c>
      <c r="B601" s="61">
        <v>46935</v>
      </c>
      <c r="E601" t="s">
        <v>355</v>
      </c>
      <c r="F601" t="s">
        <v>364</v>
      </c>
      <c r="H601" t="s">
        <v>365</v>
      </c>
      <c r="I601">
        <v>1101329</v>
      </c>
      <c r="J601" t="s">
        <v>2400</v>
      </c>
      <c r="K601" t="s">
        <v>2401</v>
      </c>
      <c r="L601" t="s">
        <v>2041</v>
      </c>
      <c r="N601" t="s">
        <v>2402</v>
      </c>
      <c r="O601" t="s">
        <v>2403</v>
      </c>
    </row>
    <row r="602" spans="1:19" ht="229.5" x14ac:dyDescent="0.15">
      <c r="A602" t="s">
        <v>2377</v>
      </c>
      <c r="B602" s="61">
        <v>47665</v>
      </c>
      <c r="E602" t="s">
        <v>355</v>
      </c>
      <c r="F602" t="s">
        <v>385</v>
      </c>
      <c r="H602" t="s">
        <v>353</v>
      </c>
      <c r="I602">
        <v>1102508</v>
      </c>
      <c r="J602" t="s">
        <v>2382</v>
      </c>
      <c r="K602" t="s">
        <v>2383</v>
      </c>
      <c r="L602" t="s">
        <v>2384</v>
      </c>
      <c r="N602" t="s">
        <v>2385</v>
      </c>
      <c r="O602" t="s">
        <v>2386</v>
      </c>
      <c r="R602" t="s">
        <v>386</v>
      </c>
      <c r="S602" s="34" t="s">
        <v>2387</v>
      </c>
    </row>
    <row r="603" spans="1:19" ht="409.5" x14ac:dyDescent="0.15">
      <c r="A603" t="s">
        <v>2377</v>
      </c>
      <c r="B603" s="61">
        <v>47696</v>
      </c>
      <c r="E603" t="s">
        <v>355</v>
      </c>
      <c r="F603" t="s">
        <v>385</v>
      </c>
      <c r="H603" t="s">
        <v>353</v>
      </c>
      <c r="I603">
        <v>1102506</v>
      </c>
      <c r="J603" t="s">
        <v>2129</v>
      </c>
      <c r="K603" t="s">
        <v>2388</v>
      </c>
      <c r="L603" t="s">
        <v>833</v>
      </c>
      <c r="N603" t="s">
        <v>2389</v>
      </c>
      <c r="O603" t="s">
        <v>2390</v>
      </c>
      <c r="R603" t="s">
        <v>386</v>
      </c>
      <c r="S603" s="34" t="s">
        <v>2391</v>
      </c>
    </row>
    <row r="604" spans="1:19" x14ac:dyDescent="0.15">
      <c r="A604" t="s">
        <v>2377</v>
      </c>
      <c r="B604" s="61">
        <v>48061</v>
      </c>
      <c r="E604" t="s">
        <v>355</v>
      </c>
      <c r="F604" t="s">
        <v>385</v>
      </c>
      <c r="H604" t="s">
        <v>353</v>
      </c>
      <c r="I604">
        <v>1102153</v>
      </c>
      <c r="J604" t="s">
        <v>2392</v>
      </c>
      <c r="K604" t="s">
        <v>2393</v>
      </c>
      <c r="L604" t="s">
        <v>413</v>
      </c>
      <c r="N604" t="s">
        <v>5105</v>
      </c>
      <c r="O604" t="s">
        <v>2395</v>
      </c>
    </row>
    <row r="605" spans="1:19" ht="409.5" x14ac:dyDescent="0.15">
      <c r="A605" t="s">
        <v>2404</v>
      </c>
      <c r="B605" s="61">
        <v>45931</v>
      </c>
      <c r="E605" t="s">
        <v>355</v>
      </c>
      <c r="F605" t="s">
        <v>356</v>
      </c>
      <c r="H605" t="s">
        <v>353</v>
      </c>
      <c r="I605">
        <v>1201171</v>
      </c>
      <c r="J605" t="s">
        <v>2408</v>
      </c>
      <c r="K605" t="s">
        <v>2409</v>
      </c>
      <c r="L605" t="s">
        <v>390</v>
      </c>
      <c r="N605" t="s">
        <v>2410</v>
      </c>
      <c r="O605" t="s">
        <v>2411</v>
      </c>
      <c r="R605" t="s">
        <v>362</v>
      </c>
      <c r="S605" s="34" t="s">
        <v>2412</v>
      </c>
    </row>
    <row r="606" spans="1:19" ht="364.5" x14ac:dyDescent="0.15">
      <c r="A606" t="s">
        <v>2404</v>
      </c>
      <c r="B606" s="61">
        <v>46327</v>
      </c>
      <c r="E606" t="s">
        <v>355</v>
      </c>
      <c r="F606" t="s">
        <v>385</v>
      </c>
      <c r="H606" t="s">
        <v>365</v>
      </c>
      <c r="I606">
        <v>1102324</v>
      </c>
      <c r="J606" t="s">
        <v>2417</v>
      </c>
      <c r="L606" t="s">
        <v>2418</v>
      </c>
      <c r="N606" t="s">
        <v>2419</v>
      </c>
      <c r="O606" t="s">
        <v>2420</v>
      </c>
      <c r="R606" t="s">
        <v>395</v>
      </c>
      <c r="S606" s="34" t="s">
        <v>2421</v>
      </c>
    </row>
    <row r="607" spans="1:19" ht="229.5" x14ac:dyDescent="0.15">
      <c r="A607" t="s">
        <v>2404</v>
      </c>
      <c r="B607" s="61">
        <v>46357</v>
      </c>
      <c r="E607" t="s">
        <v>355</v>
      </c>
      <c r="F607" t="s">
        <v>356</v>
      </c>
      <c r="H607" t="s">
        <v>353</v>
      </c>
      <c r="I607">
        <v>1101483</v>
      </c>
      <c r="J607" t="s">
        <v>2413</v>
      </c>
      <c r="K607" t="s">
        <v>2153</v>
      </c>
      <c r="L607" t="s">
        <v>390</v>
      </c>
      <c r="N607" t="s">
        <v>2414</v>
      </c>
      <c r="O607" t="s">
        <v>2415</v>
      </c>
      <c r="R607" t="s">
        <v>362</v>
      </c>
      <c r="S607" s="34" t="s">
        <v>2416</v>
      </c>
    </row>
    <row r="608" spans="1:19" x14ac:dyDescent="0.15">
      <c r="A608" t="s">
        <v>2404</v>
      </c>
      <c r="B608" s="61">
        <v>46388</v>
      </c>
      <c r="E608" t="s">
        <v>355</v>
      </c>
      <c r="F608" t="s">
        <v>364</v>
      </c>
      <c r="H608" t="s">
        <v>353</v>
      </c>
      <c r="I608">
        <v>1102324</v>
      </c>
      <c r="J608" t="s">
        <v>2417</v>
      </c>
      <c r="L608" t="s">
        <v>2418</v>
      </c>
      <c r="N608" t="s">
        <v>2422</v>
      </c>
      <c r="O608" t="s">
        <v>2420</v>
      </c>
    </row>
    <row r="609" spans="1:19" x14ac:dyDescent="0.15">
      <c r="A609" t="s">
        <v>2404</v>
      </c>
      <c r="B609" s="61">
        <v>46419</v>
      </c>
      <c r="E609" t="s">
        <v>355</v>
      </c>
      <c r="F609" t="s">
        <v>364</v>
      </c>
      <c r="H609" t="s">
        <v>353</v>
      </c>
      <c r="I609">
        <v>1200483</v>
      </c>
      <c r="J609" t="s">
        <v>2423</v>
      </c>
      <c r="K609" t="s">
        <v>2260</v>
      </c>
      <c r="L609" t="s">
        <v>390</v>
      </c>
      <c r="N609" t="s">
        <v>2424</v>
      </c>
      <c r="O609" t="s">
        <v>2425</v>
      </c>
    </row>
    <row r="610" spans="1:19" x14ac:dyDescent="0.15">
      <c r="A610" t="s">
        <v>2404</v>
      </c>
      <c r="B610" s="61">
        <v>46478</v>
      </c>
      <c r="E610" t="s">
        <v>355</v>
      </c>
      <c r="F610" t="s">
        <v>364</v>
      </c>
      <c r="H610" t="s">
        <v>353</v>
      </c>
      <c r="I610">
        <v>1102152</v>
      </c>
      <c r="J610" t="s">
        <v>2426</v>
      </c>
      <c r="K610" t="s">
        <v>2427</v>
      </c>
      <c r="L610" t="s">
        <v>2428</v>
      </c>
      <c r="N610" t="s">
        <v>2429</v>
      </c>
      <c r="O610" t="s">
        <v>2430</v>
      </c>
    </row>
    <row r="611" spans="1:19" x14ac:dyDescent="0.15">
      <c r="A611" t="s">
        <v>2404</v>
      </c>
      <c r="B611" s="61">
        <v>46569</v>
      </c>
      <c r="E611" t="s">
        <v>355</v>
      </c>
      <c r="F611" t="s">
        <v>364</v>
      </c>
      <c r="H611" t="s">
        <v>365</v>
      </c>
      <c r="I611">
        <v>1101357</v>
      </c>
      <c r="J611" t="s">
        <v>1924</v>
      </c>
      <c r="K611" t="s">
        <v>2431</v>
      </c>
      <c r="L611" t="s">
        <v>390</v>
      </c>
      <c r="N611" t="s">
        <v>2432</v>
      </c>
      <c r="O611" t="s">
        <v>2433</v>
      </c>
    </row>
    <row r="612" spans="1:19" ht="409.5" x14ac:dyDescent="0.15">
      <c r="A612" t="s">
        <v>2404</v>
      </c>
      <c r="B612" s="61">
        <v>46966</v>
      </c>
      <c r="E612" t="s">
        <v>355</v>
      </c>
      <c r="F612" t="s">
        <v>385</v>
      </c>
      <c r="H612" t="s">
        <v>353</v>
      </c>
      <c r="I612">
        <v>1201171</v>
      </c>
      <c r="J612" t="s">
        <v>2408</v>
      </c>
      <c r="K612" t="s">
        <v>2409</v>
      </c>
      <c r="L612" t="s">
        <v>390</v>
      </c>
      <c r="N612" t="s">
        <v>4941</v>
      </c>
      <c r="O612" t="s">
        <v>2411</v>
      </c>
      <c r="S612" s="34" t="s">
        <v>4933</v>
      </c>
    </row>
    <row r="613" spans="1:19" ht="409.5" x14ac:dyDescent="0.15">
      <c r="A613" t="s">
        <v>2404</v>
      </c>
      <c r="B613" s="61">
        <v>47392</v>
      </c>
      <c r="E613" t="s">
        <v>355</v>
      </c>
      <c r="F613" t="s">
        <v>385</v>
      </c>
      <c r="H613" t="s">
        <v>353</v>
      </c>
      <c r="I613">
        <v>1201171</v>
      </c>
      <c r="J613" t="s">
        <v>2408</v>
      </c>
      <c r="K613" t="s">
        <v>2409</v>
      </c>
      <c r="L613" t="s">
        <v>390</v>
      </c>
      <c r="N613" t="s">
        <v>2410</v>
      </c>
      <c r="O613" t="s">
        <v>2411</v>
      </c>
      <c r="R613" s="34" t="s">
        <v>768</v>
      </c>
      <c r="S613" s="34" t="s">
        <v>2412</v>
      </c>
    </row>
    <row r="614" spans="1:19" ht="229.5" x14ac:dyDescent="0.15">
      <c r="A614" t="s">
        <v>2404</v>
      </c>
      <c r="B614" s="61">
        <v>47818</v>
      </c>
      <c r="E614" t="s">
        <v>355</v>
      </c>
      <c r="F614" t="s">
        <v>385</v>
      </c>
      <c r="H614" t="s">
        <v>353</v>
      </c>
      <c r="I614">
        <v>1101483</v>
      </c>
      <c r="J614" t="s">
        <v>2413</v>
      </c>
      <c r="K614" t="s">
        <v>2153</v>
      </c>
      <c r="L614" t="s">
        <v>390</v>
      </c>
      <c r="N614" t="s">
        <v>2414</v>
      </c>
      <c r="O614" t="s">
        <v>2415</v>
      </c>
      <c r="R614" s="34" t="s">
        <v>768</v>
      </c>
      <c r="S614" s="34" t="s">
        <v>2416</v>
      </c>
    </row>
    <row r="615" spans="1:19" x14ac:dyDescent="0.15">
      <c r="A615" t="s">
        <v>2404</v>
      </c>
      <c r="B615" s="61">
        <v>48030</v>
      </c>
      <c r="E615" t="s">
        <v>355</v>
      </c>
      <c r="F615" t="s">
        <v>364</v>
      </c>
      <c r="H615" t="s">
        <v>365</v>
      </c>
      <c r="I615">
        <v>1101357</v>
      </c>
      <c r="J615" t="s">
        <v>1924</v>
      </c>
      <c r="K615" t="s">
        <v>2431</v>
      </c>
      <c r="L615" t="s">
        <v>390</v>
      </c>
      <c r="N615" t="s">
        <v>2432</v>
      </c>
      <c r="O615" t="s">
        <v>2433</v>
      </c>
    </row>
    <row r="616" spans="1:19" x14ac:dyDescent="0.15">
      <c r="A616" t="s">
        <v>2434</v>
      </c>
      <c r="B616" s="61">
        <v>46569</v>
      </c>
      <c r="E616" t="s">
        <v>355</v>
      </c>
      <c r="F616" t="s">
        <v>364</v>
      </c>
      <c r="H616" t="s">
        <v>365</v>
      </c>
      <c r="I616">
        <v>1301802</v>
      </c>
      <c r="J616" t="s">
        <v>751</v>
      </c>
      <c r="K616" t="s">
        <v>2153</v>
      </c>
      <c r="L616" t="s">
        <v>2181</v>
      </c>
      <c r="N616" t="s">
        <v>2435</v>
      </c>
      <c r="O616" t="s">
        <v>2436</v>
      </c>
    </row>
    <row r="617" spans="1:19" x14ac:dyDescent="0.15">
      <c r="A617" t="s">
        <v>2434</v>
      </c>
      <c r="B617" s="61">
        <v>46661</v>
      </c>
      <c r="E617" t="s">
        <v>355</v>
      </c>
      <c r="F617" t="s">
        <v>364</v>
      </c>
      <c r="H617" t="s">
        <v>365</v>
      </c>
      <c r="I617">
        <v>1301802</v>
      </c>
      <c r="J617" t="s">
        <v>751</v>
      </c>
      <c r="K617" t="s">
        <v>2153</v>
      </c>
      <c r="L617" t="s">
        <v>2181</v>
      </c>
      <c r="N617" t="s">
        <v>2437</v>
      </c>
      <c r="O617" t="s">
        <v>2436</v>
      </c>
    </row>
    <row r="618" spans="1:19" x14ac:dyDescent="0.15">
      <c r="A618" t="s">
        <v>2434</v>
      </c>
      <c r="B618" s="61">
        <v>46692</v>
      </c>
      <c r="E618" t="s">
        <v>355</v>
      </c>
      <c r="F618" t="s">
        <v>364</v>
      </c>
      <c r="H618" t="s">
        <v>353</v>
      </c>
      <c r="I618">
        <v>1301170</v>
      </c>
      <c r="J618" t="s">
        <v>2438</v>
      </c>
      <c r="L618" t="s">
        <v>2439</v>
      </c>
      <c r="N618" t="s">
        <v>2440</v>
      </c>
      <c r="O618" t="s">
        <v>2441</v>
      </c>
    </row>
    <row r="619" spans="1:19" x14ac:dyDescent="0.15">
      <c r="A619" t="s">
        <v>2434</v>
      </c>
      <c r="B619" s="61">
        <v>46784</v>
      </c>
      <c r="E619" t="s">
        <v>355</v>
      </c>
      <c r="F619" t="s">
        <v>364</v>
      </c>
      <c r="H619" t="s">
        <v>353</v>
      </c>
      <c r="I619">
        <v>1301835</v>
      </c>
      <c r="J619" t="s">
        <v>2442</v>
      </c>
      <c r="K619" t="s">
        <v>2443</v>
      </c>
      <c r="L619" t="s">
        <v>2444</v>
      </c>
      <c r="N619" t="s">
        <v>2445</v>
      </c>
      <c r="O619" t="s">
        <v>2446</v>
      </c>
    </row>
    <row r="620" spans="1:19" x14ac:dyDescent="0.15">
      <c r="A620" t="s">
        <v>2434</v>
      </c>
      <c r="B620" s="61">
        <v>46784</v>
      </c>
      <c r="E620" t="s">
        <v>355</v>
      </c>
      <c r="F620" t="s">
        <v>364</v>
      </c>
      <c r="H620" t="s">
        <v>353</v>
      </c>
      <c r="I620">
        <v>1300230</v>
      </c>
      <c r="J620" t="s">
        <v>2447</v>
      </c>
      <c r="L620" t="s">
        <v>2448</v>
      </c>
      <c r="N620" t="s">
        <v>2449</v>
      </c>
      <c r="O620" t="s">
        <v>2450</v>
      </c>
    </row>
    <row r="621" spans="1:19" x14ac:dyDescent="0.15">
      <c r="A621" t="s">
        <v>2434</v>
      </c>
      <c r="B621" s="61">
        <v>46997</v>
      </c>
      <c r="E621" t="s">
        <v>355</v>
      </c>
      <c r="F621" t="s">
        <v>364</v>
      </c>
      <c r="H621" t="s">
        <v>353</v>
      </c>
      <c r="I621">
        <v>1301669</v>
      </c>
      <c r="J621" t="s">
        <v>2451</v>
      </c>
      <c r="K621" t="s">
        <v>2452</v>
      </c>
      <c r="L621" t="s">
        <v>2453</v>
      </c>
      <c r="N621" t="s">
        <v>2454</v>
      </c>
      <c r="O621" t="s">
        <v>2455</v>
      </c>
    </row>
    <row r="622" spans="1:19" x14ac:dyDescent="0.15">
      <c r="A622" t="s">
        <v>2434</v>
      </c>
      <c r="B622" s="61">
        <v>48030</v>
      </c>
      <c r="E622" t="s">
        <v>355</v>
      </c>
      <c r="F622" t="s">
        <v>364</v>
      </c>
      <c r="H622" t="s">
        <v>365</v>
      </c>
      <c r="I622">
        <v>1301802</v>
      </c>
      <c r="J622" t="s">
        <v>751</v>
      </c>
      <c r="K622" t="s">
        <v>2153</v>
      </c>
      <c r="L622" t="s">
        <v>2181</v>
      </c>
      <c r="N622" t="s">
        <v>2435</v>
      </c>
      <c r="O622" t="s">
        <v>2436</v>
      </c>
    </row>
    <row r="623" spans="1:19" x14ac:dyDescent="0.15">
      <c r="A623" t="s">
        <v>2434</v>
      </c>
      <c r="B623" s="61">
        <v>48122</v>
      </c>
      <c r="E623" t="s">
        <v>355</v>
      </c>
      <c r="F623" t="s">
        <v>364</v>
      </c>
      <c r="H623" t="s">
        <v>365</v>
      </c>
      <c r="I623">
        <v>1301802</v>
      </c>
      <c r="J623" t="s">
        <v>751</v>
      </c>
      <c r="K623" t="s">
        <v>2153</v>
      </c>
      <c r="L623" t="s">
        <v>2181</v>
      </c>
      <c r="N623" t="s">
        <v>2437</v>
      </c>
      <c r="O623" t="s">
        <v>2436</v>
      </c>
    </row>
    <row r="624" spans="1:19" x14ac:dyDescent="0.15">
      <c r="A624" t="s">
        <v>2434</v>
      </c>
      <c r="B624" s="61">
        <v>48153</v>
      </c>
      <c r="E624" t="s">
        <v>355</v>
      </c>
      <c r="F624" t="s">
        <v>364</v>
      </c>
      <c r="H624" t="s">
        <v>353</v>
      </c>
      <c r="I624">
        <v>1301170</v>
      </c>
      <c r="J624" t="s">
        <v>2438</v>
      </c>
      <c r="L624" t="s">
        <v>2439</v>
      </c>
      <c r="N624" t="s">
        <v>2440</v>
      </c>
      <c r="O624" t="s">
        <v>2441</v>
      </c>
    </row>
    <row r="625" spans="1:19" x14ac:dyDescent="0.15">
      <c r="A625" t="s">
        <v>2434</v>
      </c>
      <c r="B625" s="61">
        <v>48245</v>
      </c>
      <c r="E625" t="s">
        <v>355</v>
      </c>
      <c r="F625" t="s">
        <v>364</v>
      </c>
      <c r="H625" t="s">
        <v>353</v>
      </c>
      <c r="I625">
        <v>1300230</v>
      </c>
      <c r="J625" t="s">
        <v>2447</v>
      </c>
      <c r="L625" t="s">
        <v>2448</v>
      </c>
      <c r="N625" t="s">
        <v>2449</v>
      </c>
      <c r="O625" t="s">
        <v>2450</v>
      </c>
    </row>
    <row r="626" spans="1:19" ht="243" x14ac:dyDescent="0.15">
      <c r="A626" t="s">
        <v>2456</v>
      </c>
      <c r="B626" s="61">
        <v>46204</v>
      </c>
      <c r="E626" t="s">
        <v>355</v>
      </c>
      <c r="F626" t="s">
        <v>385</v>
      </c>
      <c r="H626" t="s">
        <v>365</v>
      </c>
      <c r="I626">
        <v>2201487</v>
      </c>
      <c r="J626" t="s">
        <v>2461</v>
      </c>
      <c r="L626" t="s">
        <v>698</v>
      </c>
      <c r="N626" t="s">
        <v>2462</v>
      </c>
      <c r="O626" t="s">
        <v>2463</v>
      </c>
      <c r="R626" t="s">
        <v>395</v>
      </c>
      <c r="S626" s="34" t="s">
        <v>2464</v>
      </c>
    </row>
    <row r="627" spans="1:19" ht="243" x14ac:dyDescent="0.15">
      <c r="A627" t="s">
        <v>2456</v>
      </c>
      <c r="B627" s="61">
        <v>46327</v>
      </c>
      <c r="E627" t="s">
        <v>355</v>
      </c>
      <c r="F627" t="s">
        <v>385</v>
      </c>
      <c r="H627" t="s">
        <v>353</v>
      </c>
      <c r="I627">
        <v>2201220</v>
      </c>
      <c r="J627" t="s">
        <v>2465</v>
      </c>
      <c r="L627" t="s">
        <v>2466</v>
      </c>
      <c r="N627" t="s">
        <v>2467</v>
      </c>
      <c r="O627" t="s">
        <v>2468</v>
      </c>
      <c r="R627" t="s">
        <v>386</v>
      </c>
      <c r="S627" s="34" t="s">
        <v>2469</v>
      </c>
    </row>
    <row r="628" spans="1:19" x14ac:dyDescent="0.15">
      <c r="A628" t="s">
        <v>2456</v>
      </c>
      <c r="B628" s="61">
        <v>46478</v>
      </c>
      <c r="E628" t="s">
        <v>355</v>
      </c>
      <c r="F628" t="s">
        <v>364</v>
      </c>
      <c r="H628" t="s">
        <v>353</v>
      </c>
      <c r="I628">
        <v>2200812</v>
      </c>
      <c r="J628" t="s">
        <v>2470</v>
      </c>
      <c r="K628" t="s">
        <v>2290</v>
      </c>
      <c r="L628" t="s">
        <v>965</v>
      </c>
      <c r="N628" t="s">
        <v>2471</v>
      </c>
      <c r="O628" t="s">
        <v>2472</v>
      </c>
    </row>
    <row r="629" spans="1:19" x14ac:dyDescent="0.15">
      <c r="A629" t="s">
        <v>2456</v>
      </c>
      <c r="B629" s="61">
        <v>46508</v>
      </c>
      <c r="E629" t="s">
        <v>355</v>
      </c>
      <c r="F629" t="s">
        <v>364</v>
      </c>
      <c r="H629" t="s">
        <v>353</v>
      </c>
      <c r="I629">
        <v>2201807</v>
      </c>
      <c r="J629" t="s">
        <v>2473</v>
      </c>
      <c r="K629" t="s">
        <v>7498</v>
      </c>
      <c r="L629" t="s">
        <v>413</v>
      </c>
      <c r="N629" t="s">
        <v>2474</v>
      </c>
      <c r="O629" t="s">
        <v>2475</v>
      </c>
    </row>
    <row r="630" spans="1:19" x14ac:dyDescent="0.15">
      <c r="A630" t="s">
        <v>2456</v>
      </c>
      <c r="B630" s="61">
        <v>46539</v>
      </c>
      <c r="E630" t="s">
        <v>355</v>
      </c>
      <c r="F630" t="s">
        <v>364</v>
      </c>
      <c r="H630" t="s">
        <v>353</v>
      </c>
      <c r="I630">
        <v>2201356</v>
      </c>
      <c r="J630" t="s">
        <v>2476</v>
      </c>
      <c r="L630" t="s">
        <v>2477</v>
      </c>
      <c r="N630" t="s">
        <v>2478</v>
      </c>
      <c r="O630" t="s">
        <v>2479</v>
      </c>
    </row>
    <row r="631" spans="1:19" x14ac:dyDescent="0.15">
      <c r="A631" t="s">
        <v>2456</v>
      </c>
      <c r="B631" s="61">
        <v>46569</v>
      </c>
      <c r="E631" t="s">
        <v>355</v>
      </c>
      <c r="F631" t="s">
        <v>2480</v>
      </c>
      <c r="H631" t="s">
        <v>365</v>
      </c>
      <c r="I631">
        <v>2202138</v>
      </c>
      <c r="J631" t="s">
        <v>2481</v>
      </c>
      <c r="K631" t="s">
        <v>2482</v>
      </c>
      <c r="L631" t="s">
        <v>2483</v>
      </c>
      <c r="N631" t="s">
        <v>2484</v>
      </c>
      <c r="O631" t="s">
        <v>2485</v>
      </c>
    </row>
    <row r="632" spans="1:19" ht="409.5" x14ac:dyDescent="0.15">
      <c r="A632" t="s">
        <v>2456</v>
      </c>
      <c r="B632" s="61">
        <v>46569</v>
      </c>
      <c r="E632" t="s">
        <v>355</v>
      </c>
      <c r="F632" t="s">
        <v>356</v>
      </c>
      <c r="H632" t="s">
        <v>353</v>
      </c>
      <c r="I632">
        <v>2201720</v>
      </c>
      <c r="J632" t="s">
        <v>2486</v>
      </c>
      <c r="K632" t="s">
        <v>2487</v>
      </c>
      <c r="L632" t="s">
        <v>2488</v>
      </c>
      <c r="N632" t="s">
        <v>2489</v>
      </c>
      <c r="O632" t="s">
        <v>2490</v>
      </c>
      <c r="R632" t="s">
        <v>362</v>
      </c>
      <c r="S632" s="34" t="s">
        <v>2491</v>
      </c>
    </row>
    <row r="633" spans="1:19" x14ac:dyDescent="0.15">
      <c r="A633" t="s">
        <v>2456</v>
      </c>
      <c r="B633" s="61">
        <v>46631</v>
      </c>
      <c r="E633" t="s">
        <v>355</v>
      </c>
      <c r="F633" t="s">
        <v>364</v>
      </c>
      <c r="H633" t="s">
        <v>365</v>
      </c>
      <c r="I633">
        <v>2200739</v>
      </c>
      <c r="J633" t="s">
        <v>775</v>
      </c>
      <c r="K633" t="s">
        <v>2492</v>
      </c>
      <c r="L633" t="s">
        <v>2493</v>
      </c>
      <c r="N633" t="s">
        <v>2494</v>
      </c>
      <c r="O633" t="s">
        <v>2495</v>
      </c>
    </row>
    <row r="634" spans="1:19" x14ac:dyDescent="0.15">
      <c r="A634" t="s">
        <v>2456</v>
      </c>
      <c r="B634" s="61">
        <v>46753</v>
      </c>
      <c r="E634" t="s">
        <v>355</v>
      </c>
      <c r="F634" t="s">
        <v>364</v>
      </c>
      <c r="H634" t="s">
        <v>353</v>
      </c>
      <c r="I634">
        <v>2200356</v>
      </c>
      <c r="J634" t="s">
        <v>2496</v>
      </c>
      <c r="K634" t="s">
        <v>2497</v>
      </c>
      <c r="L634" t="s">
        <v>2181</v>
      </c>
      <c r="N634" t="s">
        <v>2498</v>
      </c>
      <c r="O634" t="s">
        <v>2499</v>
      </c>
    </row>
    <row r="635" spans="1:19" x14ac:dyDescent="0.15">
      <c r="A635" t="s">
        <v>2456</v>
      </c>
      <c r="B635" s="61">
        <v>46813</v>
      </c>
      <c r="E635" t="s">
        <v>355</v>
      </c>
      <c r="F635" t="s">
        <v>364</v>
      </c>
      <c r="H635" t="s">
        <v>365</v>
      </c>
      <c r="I635">
        <v>2200293</v>
      </c>
      <c r="J635" t="s">
        <v>2500</v>
      </c>
      <c r="K635" t="s">
        <v>2492</v>
      </c>
      <c r="L635" t="s">
        <v>413</v>
      </c>
      <c r="N635" t="s">
        <v>2501</v>
      </c>
      <c r="O635" t="s">
        <v>2502</v>
      </c>
    </row>
    <row r="636" spans="1:19" x14ac:dyDescent="0.15">
      <c r="A636" t="s">
        <v>2456</v>
      </c>
      <c r="B636" s="61">
        <v>46813</v>
      </c>
      <c r="E636" t="s">
        <v>355</v>
      </c>
      <c r="F636" t="s">
        <v>364</v>
      </c>
      <c r="H636" t="s">
        <v>353</v>
      </c>
      <c r="I636">
        <v>2201813</v>
      </c>
      <c r="J636" t="s">
        <v>2503</v>
      </c>
      <c r="K636" t="s">
        <v>2504</v>
      </c>
      <c r="L636" t="s">
        <v>698</v>
      </c>
      <c r="N636" t="s">
        <v>2505</v>
      </c>
      <c r="O636" t="s">
        <v>2506</v>
      </c>
    </row>
    <row r="637" spans="1:19" x14ac:dyDescent="0.15">
      <c r="A637" t="s">
        <v>2456</v>
      </c>
      <c r="B637" s="61">
        <v>46966</v>
      </c>
      <c r="E637" t="s">
        <v>355</v>
      </c>
      <c r="F637" t="s">
        <v>364</v>
      </c>
      <c r="H637" t="s">
        <v>353</v>
      </c>
      <c r="I637">
        <v>2201953</v>
      </c>
      <c r="J637" t="s">
        <v>873</v>
      </c>
      <c r="K637" t="s">
        <v>2507</v>
      </c>
      <c r="L637" t="s">
        <v>2508</v>
      </c>
      <c r="N637" t="s">
        <v>2509</v>
      </c>
      <c r="O637" t="s">
        <v>2510</v>
      </c>
    </row>
    <row r="638" spans="1:19" ht="409.5" x14ac:dyDescent="0.15">
      <c r="A638" t="s">
        <v>2456</v>
      </c>
      <c r="B638" s="61">
        <v>47058</v>
      </c>
      <c r="E638" t="s">
        <v>355</v>
      </c>
      <c r="F638" t="s">
        <v>385</v>
      </c>
      <c r="H638" t="s">
        <v>353</v>
      </c>
      <c r="I638">
        <v>2202500</v>
      </c>
      <c r="J638" t="s">
        <v>2486</v>
      </c>
      <c r="K638" t="s">
        <v>2487</v>
      </c>
      <c r="L638" t="s">
        <v>2511</v>
      </c>
      <c r="N638" t="s">
        <v>2512</v>
      </c>
      <c r="O638" t="s">
        <v>2513</v>
      </c>
      <c r="S638" s="34" t="s">
        <v>2514</v>
      </c>
    </row>
    <row r="639" spans="1:19" x14ac:dyDescent="0.15">
      <c r="A639" t="s">
        <v>2456</v>
      </c>
      <c r="B639" s="61">
        <v>47088</v>
      </c>
      <c r="E639" t="s">
        <v>355</v>
      </c>
      <c r="F639" t="s">
        <v>364</v>
      </c>
      <c r="H639" t="s">
        <v>365</v>
      </c>
      <c r="I639">
        <v>2201771</v>
      </c>
      <c r="J639" t="s">
        <v>2515</v>
      </c>
      <c r="L639" t="s">
        <v>390</v>
      </c>
      <c r="N639" t="s">
        <v>2516</v>
      </c>
      <c r="O639" t="s">
        <v>2517</v>
      </c>
    </row>
    <row r="640" spans="1:19" ht="229.5" x14ac:dyDescent="0.15">
      <c r="A640" t="s">
        <v>2456</v>
      </c>
      <c r="B640" s="61">
        <v>47300</v>
      </c>
      <c r="E640" t="s">
        <v>355</v>
      </c>
      <c r="F640" t="s">
        <v>385</v>
      </c>
      <c r="H640" t="s">
        <v>353</v>
      </c>
      <c r="I640">
        <v>2200158</v>
      </c>
      <c r="J640" t="s">
        <v>2518</v>
      </c>
      <c r="K640" t="s">
        <v>2519</v>
      </c>
      <c r="L640" t="s">
        <v>413</v>
      </c>
      <c r="N640" t="s">
        <v>2520</v>
      </c>
      <c r="O640" t="s">
        <v>2521</v>
      </c>
      <c r="R640" s="34" t="s">
        <v>768</v>
      </c>
      <c r="S640" s="34" t="s">
        <v>2522</v>
      </c>
    </row>
    <row r="641" spans="1:19" ht="378" x14ac:dyDescent="0.15">
      <c r="A641" t="s">
        <v>2456</v>
      </c>
      <c r="B641" s="61">
        <v>47423</v>
      </c>
      <c r="E641" t="s">
        <v>355</v>
      </c>
      <c r="F641" t="s">
        <v>385</v>
      </c>
      <c r="H641" t="s">
        <v>353</v>
      </c>
      <c r="I641">
        <v>2202574</v>
      </c>
      <c r="J641" t="s">
        <v>2461</v>
      </c>
      <c r="L641" t="s">
        <v>698</v>
      </c>
      <c r="N641" t="s">
        <v>2526</v>
      </c>
      <c r="O641" t="s">
        <v>2527</v>
      </c>
      <c r="R641" t="s">
        <v>386</v>
      </c>
      <c r="S641" s="34" t="s">
        <v>2528</v>
      </c>
    </row>
    <row r="642" spans="1:19" ht="409.5" x14ac:dyDescent="0.15">
      <c r="A642" t="s">
        <v>2456</v>
      </c>
      <c r="B642" s="61">
        <v>47423</v>
      </c>
      <c r="E642" t="s">
        <v>355</v>
      </c>
      <c r="F642" t="s">
        <v>385</v>
      </c>
      <c r="H642" t="s">
        <v>353</v>
      </c>
      <c r="I642">
        <v>2200267</v>
      </c>
      <c r="J642" t="s">
        <v>2529</v>
      </c>
      <c r="L642" t="s">
        <v>390</v>
      </c>
      <c r="N642" t="s">
        <v>2530</v>
      </c>
      <c r="O642" t="s">
        <v>2531</v>
      </c>
      <c r="R642" t="s">
        <v>386</v>
      </c>
      <c r="S642" s="34" t="s">
        <v>2532</v>
      </c>
    </row>
    <row r="643" spans="1:19" x14ac:dyDescent="0.15">
      <c r="A643" t="s">
        <v>2456</v>
      </c>
      <c r="B643" s="61">
        <v>48000</v>
      </c>
      <c r="E643" t="s">
        <v>355</v>
      </c>
      <c r="F643" t="s">
        <v>364</v>
      </c>
      <c r="H643" t="s">
        <v>353</v>
      </c>
      <c r="I643">
        <v>2201356</v>
      </c>
      <c r="J643" t="s">
        <v>2476</v>
      </c>
      <c r="L643" t="s">
        <v>2477</v>
      </c>
      <c r="N643" t="s">
        <v>2478</v>
      </c>
      <c r="O643" t="s">
        <v>2479</v>
      </c>
    </row>
    <row r="644" spans="1:19" ht="409.5" x14ac:dyDescent="0.15">
      <c r="A644" t="s">
        <v>2456</v>
      </c>
      <c r="B644" s="61">
        <v>48030</v>
      </c>
      <c r="E644" t="s">
        <v>355</v>
      </c>
      <c r="F644" t="s">
        <v>385</v>
      </c>
      <c r="H644" t="s">
        <v>353</v>
      </c>
      <c r="I644">
        <v>2201720</v>
      </c>
      <c r="J644" t="s">
        <v>2486</v>
      </c>
      <c r="K644" t="s">
        <v>2487</v>
      </c>
      <c r="L644" t="s">
        <v>2533</v>
      </c>
      <c r="N644" t="s">
        <v>2489</v>
      </c>
      <c r="O644" t="s">
        <v>2490</v>
      </c>
      <c r="R644" t="s">
        <v>386</v>
      </c>
      <c r="S644" s="34" t="s">
        <v>2491</v>
      </c>
    </row>
    <row r="645" spans="1:19" x14ac:dyDescent="0.15">
      <c r="A645" t="s">
        <v>2456</v>
      </c>
      <c r="B645" s="61">
        <v>48214</v>
      </c>
      <c r="E645" t="s">
        <v>355</v>
      </c>
      <c r="F645" t="s">
        <v>364</v>
      </c>
      <c r="H645" t="s">
        <v>353</v>
      </c>
      <c r="I645">
        <v>2200356</v>
      </c>
      <c r="J645" t="s">
        <v>2496</v>
      </c>
      <c r="K645" t="s">
        <v>2497</v>
      </c>
      <c r="L645" t="s">
        <v>2181</v>
      </c>
      <c r="N645" t="s">
        <v>2498</v>
      </c>
      <c r="O645" t="s">
        <v>2499</v>
      </c>
    </row>
    <row r="646" spans="1:19" x14ac:dyDescent="0.15">
      <c r="A646" t="s">
        <v>2456</v>
      </c>
      <c r="B646" s="61">
        <v>48274</v>
      </c>
      <c r="E646" t="s">
        <v>355</v>
      </c>
      <c r="F646" t="s">
        <v>364</v>
      </c>
      <c r="H646" t="s">
        <v>353</v>
      </c>
      <c r="I646">
        <v>2201813</v>
      </c>
      <c r="J646" t="s">
        <v>2503</v>
      </c>
      <c r="K646" t="s">
        <v>2504</v>
      </c>
      <c r="L646" t="s">
        <v>698</v>
      </c>
      <c r="N646" t="s">
        <v>2505</v>
      </c>
      <c r="O646" t="s">
        <v>2506</v>
      </c>
    </row>
    <row r="647" spans="1:19" ht="409.5" x14ac:dyDescent="0.15">
      <c r="A647" t="s">
        <v>2534</v>
      </c>
      <c r="B647" s="61">
        <v>46235</v>
      </c>
      <c r="E647" t="s">
        <v>355</v>
      </c>
      <c r="F647" t="s">
        <v>356</v>
      </c>
      <c r="H647" t="s">
        <v>353</v>
      </c>
      <c r="I647">
        <v>2801536</v>
      </c>
      <c r="J647" t="s">
        <v>2545</v>
      </c>
      <c r="L647" t="s">
        <v>413</v>
      </c>
      <c r="N647" t="s">
        <v>2546</v>
      </c>
      <c r="O647" t="s">
        <v>2547</v>
      </c>
      <c r="R647" t="s">
        <v>362</v>
      </c>
      <c r="S647" s="34" t="s">
        <v>2548</v>
      </c>
    </row>
    <row r="648" spans="1:19" ht="216" x14ac:dyDescent="0.15">
      <c r="A648" t="s">
        <v>2534</v>
      </c>
      <c r="B648" s="61">
        <v>46266</v>
      </c>
      <c r="E648" t="s">
        <v>355</v>
      </c>
      <c r="F648" t="s">
        <v>969</v>
      </c>
      <c r="H648" t="s">
        <v>309</v>
      </c>
      <c r="I648">
        <v>2701670</v>
      </c>
      <c r="J648" t="s">
        <v>2549</v>
      </c>
      <c r="K648" t="s">
        <v>436</v>
      </c>
      <c r="L648" t="s">
        <v>2550</v>
      </c>
      <c r="N648" t="s">
        <v>2551</v>
      </c>
      <c r="O648" t="s">
        <v>2552</v>
      </c>
      <c r="R648" t="s">
        <v>2553</v>
      </c>
      <c r="S648" s="34" t="s">
        <v>2554</v>
      </c>
    </row>
    <row r="649" spans="1:19" x14ac:dyDescent="0.15">
      <c r="A649" t="s">
        <v>2534</v>
      </c>
      <c r="B649" s="61">
        <v>46447</v>
      </c>
      <c r="E649" t="s">
        <v>355</v>
      </c>
      <c r="F649" t="s">
        <v>364</v>
      </c>
      <c r="H649" t="s">
        <v>353</v>
      </c>
      <c r="I649">
        <v>2801277</v>
      </c>
      <c r="J649" t="s">
        <v>2555</v>
      </c>
      <c r="K649" t="s">
        <v>2556</v>
      </c>
      <c r="L649" t="s">
        <v>2557</v>
      </c>
      <c r="N649" t="s">
        <v>5033</v>
      </c>
      <c r="O649" t="s">
        <v>2558</v>
      </c>
      <c r="P649" t="s">
        <v>7458</v>
      </c>
      <c r="Q649" t="s">
        <v>7459</v>
      </c>
    </row>
    <row r="650" spans="1:19" x14ac:dyDescent="0.15">
      <c r="A650" t="s">
        <v>2534</v>
      </c>
      <c r="B650" s="61">
        <v>46478</v>
      </c>
      <c r="E650" t="s">
        <v>355</v>
      </c>
      <c r="F650" t="s">
        <v>364</v>
      </c>
      <c r="H650" t="s">
        <v>365</v>
      </c>
      <c r="I650">
        <v>2801555</v>
      </c>
      <c r="J650" t="s">
        <v>2559</v>
      </c>
      <c r="K650" t="s">
        <v>2560</v>
      </c>
      <c r="L650" t="s">
        <v>413</v>
      </c>
      <c r="N650" t="s">
        <v>2561</v>
      </c>
      <c r="O650" t="s">
        <v>2562</v>
      </c>
    </row>
    <row r="651" spans="1:19" x14ac:dyDescent="0.15">
      <c r="A651" t="s">
        <v>2534</v>
      </c>
      <c r="B651" s="61">
        <v>46508</v>
      </c>
      <c r="E651" t="s">
        <v>355</v>
      </c>
      <c r="F651" t="s">
        <v>364</v>
      </c>
      <c r="H651" t="s">
        <v>365</v>
      </c>
      <c r="I651">
        <v>2802250</v>
      </c>
      <c r="J651" t="s">
        <v>2563</v>
      </c>
      <c r="K651" t="s">
        <v>2564</v>
      </c>
      <c r="L651" t="s">
        <v>2565</v>
      </c>
      <c r="N651" t="s">
        <v>2566</v>
      </c>
      <c r="O651" t="s">
        <v>2567</v>
      </c>
    </row>
    <row r="652" spans="1:19" x14ac:dyDescent="0.15">
      <c r="A652" t="s">
        <v>2534</v>
      </c>
      <c r="B652" s="61">
        <v>46508</v>
      </c>
      <c r="E652" t="s">
        <v>355</v>
      </c>
      <c r="F652" t="s">
        <v>364</v>
      </c>
      <c r="H652" t="s">
        <v>353</v>
      </c>
      <c r="I652">
        <v>2802250</v>
      </c>
      <c r="J652" t="s">
        <v>2563</v>
      </c>
      <c r="K652" t="s">
        <v>2564</v>
      </c>
      <c r="L652" t="s">
        <v>2565</v>
      </c>
      <c r="N652" t="s">
        <v>2568</v>
      </c>
      <c r="O652" t="s">
        <v>2567</v>
      </c>
    </row>
    <row r="653" spans="1:19" ht="216" x14ac:dyDescent="0.15">
      <c r="A653" t="s">
        <v>2534</v>
      </c>
      <c r="B653" s="61">
        <v>46539</v>
      </c>
      <c r="E653" t="s">
        <v>355</v>
      </c>
      <c r="F653" t="s">
        <v>356</v>
      </c>
      <c r="H653" t="s">
        <v>353</v>
      </c>
      <c r="I653">
        <v>2802399</v>
      </c>
      <c r="J653" t="s">
        <v>2549</v>
      </c>
      <c r="K653" t="s">
        <v>2569</v>
      </c>
      <c r="L653" t="s">
        <v>2570</v>
      </c>
      <c r="N653" t="s">
        <v>2571</v>
      </c>
      <c r="O653" t="s">
        <v>2572</v>
      </c>
      <c r="R653" t="s">
        <v>362</v>
      </c>
      <c r="S653" s="34" t="s">
        <v>2573</v>
      </c>
    </row>
    <row r="654" spans="1:19" x14ac:dyDescent="0.15">
      <c r="A654" t="s">
        <v>2534</v>
      </c>
      <c r="B654" s="61">
        <v>46569</v>
      </c>
      <c r="E654" t="s">
        <v>355</v>
      </c>
      <c r="F654" t="s">
        <v>364</v>
      </c>
      <c r="H654" t="s">
        <v>309</v>
      </c>
      <c r="I654">
        <v>2801536</v>
      </c>
      <c r="J654" t="s">
        <v>2545</v>
      </c>
      <c r="L654" t="s">
        <v>413</v>
      </c>
      <c r="N654" t="s">
        <v>2574</v>
      </c>
      <c r="O654" t="s">
        <v>2547</v>
      </c>
    </row>
    <row r="655" spans="1:19" x14ac:dyDescent="0.15">
      <c r="A655" t="s">
        <v>2534</v>
      </c>
      <c r="B655" s="61">
        <v>46600</v>
      </c>
      <c r="E655" t="s">
        <v>355</v>
      </c>
      <c r="F655" t="s">
        <v>364</v>
      </c>
      <c r="H655" t="s">
        <v>353</v>
      </c>
      <c r="I655">
        <v>2800115</v>
      </c>
      <c r="J655" t="s">
        <v>2545</v>
      </c>
      <c r="K655" t="s">
        <v>2575</v>
      </c>
      <c r="L655" t="s">
        <v>413</v>
      </c>
      <c r="N655" t="s">
        <v>2576</v>
      </c>
      <c r="O655" t="s">
        <v>2577</v>
      </c>
    </row>
    <row r="656" spans="1:19" x14ac:dyDescent="0.15">
      <c r="A656" t="s">
        <v>2534</v>
      </c>
      <c r="B656" s="61">
        <v>46692</v>
      </c>
      <c r="E656" t="s">
        <v>355</v>
      </c>
      <c r="F656" t="s">
        <v>364</v>
      </c>
      <c r="H656" t="s">
        <v>365</v>
      </c>
      <c r="I656">
        <v>2802244</v>
      </c>
      <c r="J656" t="s">
        <v>2578</v>
      </c>
      <c r="K656" t="s">
        <v>2579</v>
      </c>
      <c r="L656" t="s">
        <v>771</v>
      </c>
      <c r="N656" t="s">
        <v>2580</v>
      </c>
      <c r="O656" t="s">
        <v>2581</v>
      </c>
    </row>
    <row r="657" spans="1:19" x14ac:dyDescent="0.15">
      <c r="A657" t="s">
        <v>2534</v>
      </c>
      <c r="B657" s="61">
        <v>46753</v>
      </c>
      <c r="E657" t="s">
        <v>355</v>
      </c>
      <c r="F657" t="s">
        <v>364</v>
      </c>
      <c r="H657" t="s">
        <v>353</v>
      </c>
      <c r="I657">
        <v>2701670</v>
      </c>
      <c r="J657" t="s">
        <v>2549</v>
      </c>
      <c r="K657" t="s">
        <v>436</v>
      </c>
      <c r="L657" t="s">
        <v>2550</v>
      </c>
      <c r="N657" t="s">
        <v>2582</v>
      </c>
      <c r="O657" t="s">
        <v>2552</v>
      </c>
    </row>
    <row r="658" spans="1:19" x14ac:dyDescent="0.15">
      <c r="A658" t="s">
        <v>2534</v>
      </c>
      <c r="B658" s="61">
        <v>46935</v>
      </c>
      <c r="E658" t="s">
        <v>355</v>
      </c>
      <c r="F658" t="s">
        <v>364</v>
      </c>
      <c r="H658" t="s">
        <v>353</v>
      </c>
      <c r="I658">
        <v>2701229</v>
      </c>
      <c r="J658" t="s">
        <v>873</v>
      </c>
      <c r="K658" t="s">
        <v>2583</v>
      </c>
      <c r="L658" t="s">
        <v>2584</v>
      </c>
      <c r="N658" t="s">
        <v>2585</v>
      </c>
      <c r="O658" t="s">
        <v>2586</v>
      </c>
    </row>
    <row r="659" spans="1:19" ht="378" x14ac:dyDescent="0.15">
      <c r="A659" t="s">
        <v>2534</v>
      </c>
      <c r="B659" s="61">
        <v>47239</v>
      </c>
      <c r="E659" t="s">
        <v>355</v>
      </c>
      <c r="F659" t="s">
        <v>385</v>
      </c>
      <c r="H659" t="s">
        <v>353</v>
      </c>
      <c r="I659">
        <v>2702747</v>
      </c>
      <c r="J659" t="s">
        <v>464</v>
      </c>
      <c r="K659" t="s">
        <v>2587</v>
      </c>
      <c r="L659" t="s">
        <v>2588</v>
      </c>
      <c r="N659" t="s">
        <v>2589</v>
      </c>
      <c r="O659" t="s">
        <v>2590</v>
      </c>
      <c r="S659" s="34" t="s">
        <v>2591</v>
      </c>
    </row>
    <row r="660" spans="1:19" ht="216" x14ac:dyDescent="0.15">
      <c r="A660" t="s">
        <v>2534</v>
      </c>
      <c r="B660" s="61">
        <v>47331</v>
      </c>
      <c r="E660" t="s">
        <v>355</v>
      </c>
      <c r="F660" t="s">
        <v>385</v>
      </c>
      <c r="H660" t="s">
        <v>365</v>
      </c>
      <c r="I660">
        <v>2802343</v>
      </c>
      <c r="J660" t="s">
        <v>2592</v>
      </c>
      <c r="K660" t="s">
        <v>2593</v>
      </c>
      <c r="L660" t="s">
        <v>2459</v>
      </c>
      <c r="N660" t="s">
        <v>2594</v>
      </c>
      <c r="O660" t="s">
        <v>2595</v>
      </c>
      <c r="R660" t="s">
        <v>395</v>
      </c>
      <c r="S660" s="34" t="s">
        <v>2596</v>
      </c>
    </row>
    <row r="661" spans="1:19" ht="229.5" x14ac:dyDescent="0.15">
      <c r="A661" t="s">
        <v>2534</v>
      </c>
      <c r="B661" s="61">
        <v>47392</v>
      </c>
      <c r="E661" t="s">
        <v>355</v>
      </c>
      <c r="F661" t="s">
        <v>385</v>
      </c>
      <c r="H661" t="s">
        <v>353</v>
      </c>
      <c r="I661">
        <v>2802352</v>
      </c>
      <c r="J661" t="s">
        <v>2535</v>
      </c>
      <c r="K661" t="s">
        <v>2536</v>
      </c>
      <c r="L661" t="s">
        <v>833</v>
      </c>
      <c r="N661" t="s">
        <v>2537</v>
      </c>
      <c r="O661" t="s">
        <v>2538</v>
      </c>
      <c r="R661" s="34" t="s">
        <v>768</v>
      </c>
      <c r="S661" s="34" t="s">
        <v>2539</v>
      </c>
    </row>
    <row r="662" spans="1:19" ht="243" x14ac:dyDescent="0.15">
      <c r="A662" t="s">
        <v>2534</v>
      </c>
      <c r="B662" s="61">
        <v>47515</v>
      </c>
      <c r="E662" t="s">
        <v>355</v>
      </c>
      <c r="F662" t="s">
        <v>385</v>
      </c>
      <c r="H662" t="s">
        <v>365</v>
      </c>
      <c r="I662">
        <v>2802360</v>
      </c>
      <c r="J662" t="s">
        <v>2540</v>
      </c>
      <c r="L662" t="s">
        <v>2541</v>
      </c>
      <c r="N662" t="s">
        <v>2542</v>
      </c>
      <c r="O662" t="s">
        <v>2543</v>
      </c>
      <c r="R662" t="s">
        <v>395</v>
      </c>
      <c r="S662" s="34" t="s">
        <v>2544</v>
      </c>
    </row>
    <row r="663" spans="1:19" ht="409.5" x14ac:dyDescent="0.15">
      <c r="A663" t="s">
        <v>2534</v>
      </c>
      <c r="B663" s="61">
        <v>47696</v>
      </c>
      <c r="E663" t="s">
        <v>355</v>
      </c>
      <c r="F663" t="s">
        <v>385</v>
      </c>
      <c r="H663" t="s">
        <v>353</v>
      </c>
      <c r="I663">
        <v>2801536</v>
      </c>
      <c r="J663" t="s">
        <v>2545</v>
      </c>
      <c r="L663" t="s">
        <v>413</v>
      </c>
      <c r="N663" t="s">
        <v>2546</v>
      </c>
      <c r="O663" t="s">
        <v>2547</v>
      </c>
      <c r="R663" t="s">
        <v>386</v>
      </c>
      <c r="S663" s="34" t="s">
        <v>2548</v>
      </c>
    </row>
    <row r="664" spans="1:19" x14ac:dyDescent="0.15">
      <c r="A664" t="s">
        <v>2534</v>
      </c>
      <c r="B664" s="61">
        <v>47908</v>
      </c>
      <c r="E664" t="s">
        <v>355</v>
      </c>
      <c r="F664" t="s">
        <v>364</v>
      </c>
      <c r="H664" t="s">
        <v>353</v>
      </c>
      <c r="I664">
        <v>2801277</v>
      </c>
      <c r="J664" t="s">
        <v>2555</v>
      </c>
      <c r="K664" t="s">
        <v>2556</v>
      </c>
      <c r="L664" t="s">
        <v>2557</v>
      </c>
      <c r="N664" t="s">
        <v>5033</v>
      </c>
      <c r="O664" t="s">
        <v>2558</v>
      </c>
    </row>
    <row r="665" spans="1:19" ht="216" x14ac:dyDescent="0.15">
      <c r="A665" t="s">
        <v>2534</v>
      </c>
      <c r="B665" s="61">
        <v>48000</v>
      </c>
      <c r="E665" t="s">
        <v>355</v>
      </c>
      <c r="F665" t="s">
        <v>385</v>
      </c>
      <c r="H665" t="s">
        <v>353</v>
      </c>
      <c r="I665">
        <v>2802399</v>
      </c>
      <c r="J665" t="s">
        <v>2549</v>
      </c>
      <c r="K665" t="s">
        <v>2569</v>
      </c>
      <c r="L665" t="s">
        <v>2570</v>
      </c>
      <c r="N665" t="s">
        <v>2571</v>
      </c>
      <c r="O665" t="s">
        <v>2572</v>
      </c>
      <c r="R665" t="s">
        <v>386</v>
      </c>
      <c r="S665" s="34" t="s">
        <v>2573</v>
      </c>
    </row>
    <row r="666" spans="1:19" x14ac:dyDescent="0.15">
      <c r="A666" t="s">
        <v>2534</v>
      </c>
      <c r="B666" s="61">
        <v>48214</v>
      </c>
      <c r="E666" t="s">
        <v>355</v>
      </c>
      <c r="F666" t="s">
        <v>364</v>
      </c>
      <c r="H666" t="s">
        <v>353</v>
      </c>
      <c r="I666">
        <v>2701670</v>
      </c>
      <c r="J666" t="s">
        <v>2549</v>
      </c>
      <c r="K666" t="s">
        <v>436</v>
      </c>
      <c r="L666" t="s">
        <v>2550</v>
      </c>
      <c r="N666" t="s">
        <v>2582</v>
      </c>
      <c r="O666" t="s">
        <v>2552</v>
      </c>
    </row>
    <row r="667" spans="1:19" ht="364.5" x14ac:dyDescent="0.15">
      <c r="A667" t="s">
        <v>2597</v>
      </c>
      <c r="B667" s="61">
        <v>46235</v>
      </c>
      <c r="E667" t="s">
        <v>355</v>
      </c>
      <c r="F667" t="s">
        <v>385</v>
      </c>
      <c r="H667" t="s">
        <v>353</v>
      </c>
      <c r="I667">
        <v>2702606</v>
      </c>
      <c r="J667" t="s">
        <v>2598</v>
      </c>
      <c r="K667" t="s">
        <v>2599</v>
      </c>
      <c r="L667" t="s">
        <v>1769</v>
      </c>
      <c r="N667" t="s">
        <v>2600</v>
      </c>
      <c r="O667" t="s">
        <v>2601</v>
      </c>
      <c r="R667" t="s">
        <v>386</v>
      </c>
      <c r="S667" s="34" t="s">
        <v>2602</v>
      </c>
    </row>
    <row r="668" spans="1:19" x14ac:dyDescent="0.15">
      <c r="A668" t="s">
        <v>2597</v>
      </c>
      <c r="B668" s="61">
        <v>46447</v>
      </c>
      <c r="E668" t="s">
        <v>355</v>
      </c>
      <c r="F668" t="s">
        <v>364</v>
      </c>
      <c r="H668" t="s">
        <v>365</v>
      </c>
      <c r="I668">
        <v>2702630</v>
      </c>
      <c r="J668" t="s">
        <v>2603</v>
      </c>
      <c r="K668" t="s">
        <v>2604</v>
      </c>
      <c r="L668" t="s">
        <v>2605</v>
      </c>
      <c r="N668" t="s">
        <v>2606</v>
      </c>
      <c r="O668" t="s">
        <v>2607</v>
      </c>
    </row>
    <row r="669" spans="1:19" x14ac:dyDescent="0.15">
      <c r="A669" t="s">
        <v>2597</v>
      </c>
      <c r="B669" s="61">
        <v>46539</v>
      </c>
      <c r="E669" t="s">
        <v>355</v>
      </c>
      <c r="F669" t="s">
        <v>364</v>
      </c>
      <c r="H669" t="s">
        <v>353</v>
      </c>
      <c r="I669">
        <v>2701640</v>
      </c>
      <c r="J669" t="s">
        <v>2608</v>
      </c>
      <c r="K669" t="s">
        <v>2609</v>
      </c>
      <c r="L669" t="s">
        <v>2610</v>
      </c>
      <c r="N669" t="s">
        <v>2611</v>
      </c>
      <c r="O669" t="s">
        <v>2612</v>
      </c>
    </row>
    <row r="670" spans="1:19" x14ac:dyDescent="0.15">
      <c r="A670" t="s">
        <v>2597</v>
      </c>
      <c r="B670" s="61">
        <v>46631</v>
      </c>
      <c r="E670" t="s">
        <v>355</v>
      </c>
      <c r="F670" t="s">
        <v>364</v>
      </c>
      <c r="H670" t="s">
        <v>353</v>
      </c>
      <c r="I670">
        <v>2700083</v>
      </c>
      <c r="J670" t="s">
        <v>2613</v>
      </c>
      <c r="K670" t="s">
        <v>532</v>
      </c>
      <c r="L670" t="s">
        <v>413</v>
      </c>
      <c r="N670" t="s">
        <v>2614</v>
      </c>
      <c r="O670" t="s">
        <v>2615</v>
      </c>
    </row>
    <row r="671" spans="1:19" x14ac:dyDescent="0.15">
      <c r="A671" t="s">
        <v>2597</v>
      </c>
      <c r="B671" s="61">
        <v>46661</v>
      </c>
      <c r="E671" t="s">
        <v>355</v>
      </c>
      <c r="F671" t="s">
        <v>364</v>
      </c>
      <c r="H671" t="s">
        <v>365</v>
      </c>
      <c r="I671">
        <v>2702539</v>
      </c>
      <c r="J671" t="s">
        <v>2616</v>
      </c>
      <c r="L671" t="s">
        <v>2617</v>
      </c>
      <c r="N671" t="s">
        <v>2618</v>
      </c>
      <c r="O671" t="s">
        <v>2619</v>
      </c>
    </row>
    <row r="672" spans="1:19" x14ac:dyDescent="0.15">
      <c r="A672" t="s">
        <v>2597</v>
      </c>
      <c r="B672" s="61">
        <v>46661</v>
      </c>
      <c r="E672" t="s">
        <v>355</v>
      </c>
      <c r="F672" t="s">
        <v>356</v>
      </c>
      <c r="H672" t="s">
        <v>353</v>
      </c>
      <c r="I672">
        <v>2700314</v>
      </c>
      <c r="J672" t="s">
        <v>2620</v>
      </c>
      <c r="K672" t="s">
        <v>2621</v>
      </c>
      <c r="L672" t="s">
        <v>833</v>
      </c>
      <c r="N672" t="s">
        <v>2622</v>
      </c>
      <c r="O672" t="s">
        <v>2623</v>
      </c>
    </row>
    <row r="673" spans="1:19" x14ac:dyDescent="0.15">
      <c r="A673" t="s">
        <v>2597</v>
      </c>
      <c r="B673" s="61">
        <v>46722</v>
      </c>
      <c r="E673" t="s">
        <v>355</v>
      </c>
      <c r="F673" t="s">
        <v>364</v>
      </c>
      <c r="H673" t="s">
        <v>353</v>
      </c>
      <c r="I673">
        <v>2702221</v>
      </c>
      <c r="J673" t="s">
        <v>2624</v>
      </c>
      <c r="L673" t="s">
        <v>413</v>
      </c>
      <c r="N673" t="s">
        <v>2625</v>
      </c>
      <c r="O673" t="s">
        <v>2626</v>
      </c>
    </row>
    <row r="674" spans="1:19" x14ac:dyDescent="0.15">
      <c r="A674" t="s">
        <v>2597</v>
      </c>
      <c r="B674" s="61">
        <v>46722</v>
      </c>
      <c r="E674" t="s">
        <v>355</v>
      </c>
      <c r="F674" t="s">
        <v>364</v>
      </c>
      <c r="H674" t="s">
        <v>365</v>
      </c>
      <c r="I674">
        <v>2701035</v>
      </c>
      <c r="J674" t="s">
        <v>2627</v>
      </c>
      <c r="L674" t="s">
        <v>2628</v>
      </c>
      <c r="N674" t="s">
        <v>2629</v>
      </c>
      <c r="O674" t="s">
        <v>2630</v>
      </c>
    </row>
    <row r="675" spans="1:19" x14ac:dyDescent="0.15">
      <c r="A675" t="s">
        <v>2597</v>
      </c>
      <c r="B675" s="61">
        <v>46753</v>
      </c>
      <c r="E675" t="s">
        <v>355</v>
      </c>
      <c r="F675" t="s">
        <v>364</v>
      </c>
      <c r="H675" t="s">
        <v>353</v>
      </c>
      <c r="I675">
        <v>2702644</v>
      </c>
      <c r="J675" t="s">
        <v>2631</v>
      </c>
      <c r="K675" t="s">
        <v>2632</v>
      </c>
      <c r="L675" t="s">
        <v>2633</v>
      </c>
      <c r="N675" t="s">
        <v>2634</v>
      </c>
      <c r="O675" t="s">
        <v>2635</v>
      </c>
    </row>
    <row r="676" spans="1:19" x14ac:dyDescent="0.15">
      <c r="A676" t="s">
        <v>2597</v>
      </c>
      <c r="B676" s="61">
        <v>46753</v>
      </c>
      <c r="E676" t="s">
        <v>355</v>
      </c>
      <c r="F676" t="s">
        <v>364</v>
      </c>
      <c r="H676" t="s">
        <v>353</v>
      </c>
      <c r="I676">
        <v>2700940</v>
      </c>
      <c r="J676" t="s">
        <v>2636</v>
      </c>
      <c r="L676" t="s">
        <v>2637</v>
      </c>
      <c r="N676" t="s">
        <v>2638</v>
      </c>
      <c r="O676" t="s">
        <v>2639</v>
      </c>
      <c r="P676" t="s">
        <v>2640</v>
      </c>
      <c r="Q676" t="s">
        <v>2641</v>
      </c>
    </row>
    <row r="677" spans="1:19" x14ac:dyDescent="0.15">
      <c r="A677" t="s">
        <v>2597</v>
      </c>
      <c r="B677" s="61">
        <v>46844</v>
      </c>
      <c r="E677" t="s">
        <v>355</v>
      </c>
      <c r="F677" t="s">
        <v>364</v>
      </c>
      <c r="H677" t="s">
        <v>353</v>
      </c>
      <c r="I677">
        <v>2700073</v>
      </c>
      <c r="J677" t="s">
        <v>2642</v>
      </c>
      <c r="K677" t="s">
        <v>2643</v>
      </c>
      <c r="L677" t="s">
        <v>413</v>
      </c>
      <c r="N677" t="s">
        <v>2644</v>
      </c>
      <c r="O677" t="s">
        <v>2645</v>
      </c>
    </row>
    <row r="678" spans="1:19" x14ac:dyDescent="0.15">
      <c r="A678" t="s">
        <v>2597</v>
      </c>
      <c r="B678" s="61">
        <v>46844</v>
      </c>
      <c r="E678" t="s">
        <v>355</v>
      </c>
      <c r="F678" t="s">
        <v>364</v>
      </c>
      <c r="H678" t="s">
        <v>365</v>
      </c>
      <c r="I678">
        <v>2702653</v>
      </c>
      <c r="J678" t="s">
        <v>2646</v>
      </c>
      <c r="K678" t="s">
        <v>2647</v>
      </c>
      <c r="L678" t="s">
        <v>2648</v>
      </c>
      <c r="N678" t="s">
        <v>2649</v>
      </c>
      <c r="O678" t="s">
        <v>2650</v>
      </c>
    </row>
    <row r="679" spans="1:19" x14ac:dyDescent="0.15">
      <c r="A679" t="s">
        <v>2597</v>
      </c>
      <c r="B679" s="61">
        <v>46844</v>
      </c>
      <c r="E679" t="s">
        <v>355</v>
      </c>
      <c r="F679" t="s">
        <v>364</v>
      </c>
      <c r="H679" t="s">
        <v>365</v>
      </c>
      <c r="I679">
        <v>2702722</v>
      </c>
      <c r="J679" t="s">
        <v>2651</v>
      </c>
      <c r="L679" t="s">
        <v>2652</v>
      </c>
      <c r="N679" t="s">
        <v>2653</v>
      </c>
      <c r="O679" t="s">
        <v>2654</v>
      </c>
    </row>
    <row r="680" spans="1:19" x14ac:dyDescent="0.15">
      <c r="A680" t="s">
        <v>2597</v>
      </c>
      <c r="B680" s="61">
        <v>46905</v>
      </c>
      <c r="E680" t="s">
        <v>355</v>
      </c>
      <c r="F680" t="s">
        <v>364</v>
      </c>
      <c r="H680" t="s">
        <v>365</v>
      </c>
      <c r="I680">
        <v>2702722</v>
      </c>
      <c r="J680" t="s">
        <v>2651</v>
      </c>
      <c r="L680" t="s">
        <v>2652</v>
      </c>
      <c r="N680" t="s">
        <v>2655</v>
      </c>
      <c r="O680" t="s">
        <v>2654</v>
      </c>
    </row>
    <row r="681" spans="1:19" x14ac:dyDescent="0.15">
      <c r="A681" t="s">
        <v>2597</v>
      </c>
      <c r="B681" s="61">
        <v>46935</v>
      </c>
      <c r="E681" t="s">
        <v>355</v>
      </c>
      <c r="F681" t="s">
        <v>364</v>
      </c>
      <c r="H681" t="s">
        <v>353</v>
      </c>
      <c r="I681">
        <v>2702022</v>
      </c>
      <c r="J681" t="s">
        <v>2656</v>
      </c>
      <c r="K681" t="s">
        <v>2657</v>
      </c>
      <c r="L681" t="s">
        <v>2658</v>
      </c>
      <c r="N681" t="s">
        <v>2659</v>
      </c>
      <c r="O681" t="s">
        <v>2660</v>
      </c>
    </row>
    <row r="682" spans="1:19" x14ac:dyDescent="0.15">
      <c r="A682" t="s">
        <v>2597</v>
      </c>
      <c r="B682" s="61">
        <v>46935</v>
      </c>
      <c r="E682" t="s">
        <v>355</v>
      </c>
      <c r="F682" t="s">
        <v>364</v>
      </c>
      <c r="H682" t="s">
        <v>365</v>
      </c>
      <c r="I682">
        <v>2702722</v>
      </c>
      <c r="J682" t="s">
        <v>2651</v>
      </c>
      <c r="L682" t="s">
        <v>2652</v>
      </c>
      <c r="N682" t="s">
        <v>2661</v>
      </c>
      <c r="O682" t="s">
        <v>2654</v>
      </c>
    </row>
    <row r="683" spans="1:19" x14ac:dyDescent="0.15">
      <c r="A683" t="s">
        <v>2597</v>
      </c>
      <c r="B683" s="61">
        <v>46997</v>
      </c>
      <c r="E683" t="s">
        <v>355</v>
      </c>
      <c r="F683" t="s">
        <v>364</v>
      </c>
      <c r="H683" t="s">
        <v>353</v>
      </c>
      <c r="I683">
        <v>2702732</v>
      </c>
      <c r="J683" t="s">
        <v>2662</v>
      </c>
      <c r="L683" t="s">
        <v>2663</v>
      </c>
      <c r="N683" t="s">
        <v>2664</v>
      </c>
      <c r="O683" t="s">
        <v>2665</v>
      </c>
    </row>
    <row r="684" spans="1:19" x14ac:dyDescent="0.15">
      <c r="A684" t="s">
        <v>2597</v>
      </c>
      <c r="B684" s="61">
        <v>47058</v>
      </c>
      <c r="E684" t="s">
        <v>355</v>
      </c>
      <c r="F684" t="s">
        <v>364</v>
      </c>
      <c r="H684" t="s">
        <v>365</v>
      </c>
      <c r="I684">
        <v>2701251</v>
      </c>
      <c r="J684" t="s">
        <v>1716</v>
      </c>
      <c r="K684" t="s">
        <v>2666</v>
      </c>
      <c r="L684" t="s">
        <v>413</v>
      </c>
      <c r="N684" t="s">
        <v>2667</v>
      </c>
      <c r="O684" t="s">
        <v>2668</v>
      </c>
    </row>
    <row r="685" spans="1:19" x14ac:dyDescent="0.15">
      <c r="A685" t="s">
        <v>2597</v>
      </c>
      <c r="B685" s="61">
        <v>47119</v>
      </c>
      <c r="E685" t="s">
        <v>355</v>
      </c>
      <c r="F685" t="s">
        <v>364</v>
      </c>
      <c r="H685" t="s">
        <v>365</v>
      </c>
      <c r="I685">
        <v>2700438</v>
      </c>
      <c r="J685" t="s">
        <v>2669</v>
      </c>
      <c r="L685" t="s">
        <v>2670</v>
      </c>
      <c r="N685" t="s">
        <v>2671</v>
      </c>
      <c r="O685" t="s">
        <v>2672</v>
      </c>
    </row>
    <row r="686" spans="1:19" x14ac:dyDescent="0.15">
      <c r="A686" t="s">
        <v>2597</v>
      </c>
      <c r="B686" s="61">
        <v>47119</v>
      </c>
      <c r="E686" t="s">
        <v>355</v>
      </c>
      <c r="F686" t="s">
        <v>364</v>
      </c>
      <c r="H686" t="s">
        <v>365</v>
      </c>
      <c r="I686">
        <v>2702789</v>
      </c>
      <c r="J686" t="s">
        <v>2673</v>
      </c>
      <c r="K686" t="s">
        <v>2674</v>
      </c>
      <c r="L686" t="s">
        <v>2675</v>
      </c>
      <c r="N686" t="s">
        <v>2676</v>
      </c>
      <c r="O686" t="s">
        <v>2677</v>
      </c>
    </row>
    <row r="687" spans="1:19" x14ac:dyDescent="0.15">
      <c r="A687" t="s">
        <v>2597</v>
      </c>
      <c r="B687" s="61">
        <v>47150</v>
      </c>
      <c r="E687" t="s">
        <v>355</v>
      </c>
      <c r="F687" t="s">
        <v>364</v>
      </c>
      <c r="H687" t="s">
        <v>353</v>
      </c>
      <c r="I687">
        <v>2702789</v>
      </c>
      <c r="J687" t="s">
        <v>2673</v>
      </c>
      <c r="K687" t="s">
        <v>2674</v>
      </c>
      <c r="L687" t="s">
        <v>2675</v>
      </c>
      <c r="N687" t="s">
        <v>2678</v>
      </c>
      <c r="O687" t="s">
        <v>2677</v>
      </c>
    </row>
    <row r="688" spans="1:19" ht="229.5" x14ac:dyDescent="0.15">
      <c r="A688" t="s">
        <v>2597</v>
      </c>
      <c r="B688" s="61">
        <v>47178</v>
      </c>
      <c r="E688" t="s">
        <v>355</v>
      </c>
      <c r="F688" t="s">
        <v>385</v>
      </c>
      <c r="H688" t="s">
        <v>353</v>
      </c>
      <c r="I688">
        <v>2701594</v>
      </c>
      <c r="J688" t="s">
        <v>2679</v>
      </c>
      <c r="K688" t="s">
        <v>428</v>
      </c>
      <c r="L688" t="s">
        <v>413</v>
      </c>
      <c r="N688" t="s">
        <v>2680</v>
      </c>
      <c r="O688" t="s">
        <v>2681</v>
      </c>
      <c r="R688" t="s">
        <v>386</v>
      </c>
      <c r="S688" s="34" t="s">
        <v>2682</v>
      </c>
    </row>
    <row r="689" spans="1:19" ht="229.5" x14ac:dyDescent="0.15">
      <c r="A689" t="s">
        <v>2597</v>
      </c>
      <c r="B689" s="61">
        <v>47239</v>
      </c>
      <c r="E689" t="s">
        <v>355</v>
      </c>
      <c r="F689" t="s">
        <v>385</v>
      </c>
      <c r="H689" t="s">
        <v>353</v>
      </c>
      <c r="I689">
        <v>2702753</v>
      </c>
      <c r="J689" t="s">
        <v>2683</v>
      </c>
      <c r="K689" t="s">
        <v>2684</v>
      </c>
      <c r="L689" t="s">
        <v>390</v>
      </c>
      <c r="N689" t="s">
        <v>2685</v>
      </c>
      <c r="O689" t="s">
        <v>2686</v>
      </c>
      <c r="S689" s="34" t="s">
        <v>2687</v>
      </c>
    </row>
    <row r="690" spans="1:19" ht="229.5" x14ac:dyDescent="0.15">
      <c r="A690" t="s">
        <v>2597</v>
      </c>
      <c r="B690" s="61">
        <v>47392</v>
      </c>
      <c r="E690" t="s">
        <v>355</v>
      </c>
      <c r="F690" t="s">
        <v>385</v>
      </c>
      <c r="H690" t="s">
        <v>353</v>
      </c>
      <c r="I690">
        <v>2700767</v>
      </c>
      <c r="J690" t="s">
        <v>2688</v>
      </c>
      <c r="K690" t="s">
        <v>2689</v>
      </c>
      <c r="L690" t="s">
        <v>413</v>
      </c>
      <c r="N690" t="s">
        <v>2690</v>
      </c>
      <c r="O690" t="s">
        <v>2691</v>
      </c>
      <c r="R690" s="34" t="s">
        <v>768</v>
      </c>
      <c r="S690" s="34" t="s">
        <v>2692</v>
      </c>
    </row>
    <row r="691" spans="1:19" x14ac:dyDescent="0.15">
      <c r="A691" t="s">
        <v>2597</v>
      </c>
      <c r="B691" s="61">
        <v>48122</v>
      </c>
      <c r="E691" t="s">
        <v>355</v>
      </c>
      <c r="F691" t="s">
        <v>385</v>
      </c>
      <c r="H691" t="s">
        <v>353</v>
      </c>
      <c r="I691">
        <v>2700314</v>
      </c>
      <c r="J691" t="s">
        <v>2620</v>
      </c>
      <c r="K691" t="s">
        <v>2621</v>
      </c>
      <c r="L691" t="s">
        <v>833</v>
      </c>
      <c r="N691" t="s">
        <v>2622</v>
      </c>
      <c r="O691" t="s">
        <v>2623</v>
      </c>
    </row>
    <row r="692" spans="1:19" x14ac:dyDescent="0.15">
      <c r="A692" t="s">
        <v>2597</v>
      </c>
      <c r="B692" s="61">
        <v>48183</v>
      </c>
      <c r="E692" t="s">
        <v>355</v>
      </c>
      <c r="F692" t="s">
        <v>364</v>
      </c>
      <c r="H692" t="s">
        <v>353</v>
      </c>
      <c r="I692">
        <v>2702221</v>
      </c>
      <c r="J692" t="s">
        <v>2624</v>
      </c>
      <c r="L692" t="s">
        <v>413</v>
      </c>
      <c r="N692" t="s">
        <v>2625</v>
      </c>
      <c r="O692" t="s">
        <v>2626</v>
      </c>
    </row>
    <row r="693" spans="1:19" x14ac:dyDescent="0.15">
      <c r="A693" t="s">
        <v>2597</v>
      </c>
      <c r="B693" s="61">
        <v>48214</v>
      </c>
      <c r="E693" t="s">
        <v>355</v>
      </c>
      <c r="F693" t="s">
        <v>364</v>
      </c>
      <c r="H693" t="s">
        <v>353</v>
      </c>
      <c r="I693">
        <v>2700940</v>
      </c>
      <c r="J693" t="s">
        <v>2636</v>
      </c>
      <c r="L693" t="s">
        <v>2637</v>
      </c>
      <c r="N693" t="s">
        <v>2638</v>
      </c>
      <c r="O693" t="s">
        <v>2639</v>
      </c>
    </row>
    <row r="694" spans="1:19" ht="243" x14ac:dyDescent="0.15">
      <c r="A694" t="s">
        <v>2693</v>
      </c>
      <c r="B694" s="61">
        <v>46204</v>
      </c>
      <c r="E694" t="s">
        <v>355</v>
      </c>
      <c r="F694" t="s">
        <v>356</v>
      </c>
      <c r="H694" t="s">
        <v>365</v>
      </c>
      <c r="I694">
        <v>2300146</v>
      </c>
      <c r="J694" t="s">
        <v>2706</v>
      </c>
      <c r="K694" t="s">
        <v>1251</v>
      </c>
      <c r="L694" t="s">
        <v>390</v>
      </c>
      <c r="N694" t="s">
        <v>2707</v>
      </c>
      <c r="O694" t="s">
        <v>2708</v>
      </c>
      <c r="R694" s="34" t="s">
        <v>2709</v>
      </c>
      <c r="S694" s="34" t="s">
        <v>2710</v>
      </c>
    </row>
    <row r="695" spans="1:19" ht="409.5" x14ac:dyDescent="0.15">
      <c r="A695" t="s">
        <v>2693</v>
      </c>
      <c r="B695" s="61">
        <v>46235</v>
      </c>
      <c r="E695" t="s">
        <v>355</v>
      </c>
      <c r="F695" t="s">
        <v>356</v>
      </c>
      <c r="H695" t="s">
        <v>353</v>
      </c>
      <c r="I695">
        <v>2303781</v>
      </c>
      <c r="J695" t="s">
        <v>2694</v>
      </c>
      <c r="K695" t="s">
        <v>2715</v>
      </c>
      <c r="L695" t="s">
        <v>718</v>
      </c>
      <c r="N695" t="s">
        <v>5163</v>
      </c>
      <c r="O695" t="s">
        <v>2716</v>
      </c>
      <c r="R695" t="s">
        <v>362</v>
      </c>
      <c r="S695" s="34" t="s">
        <v>2717</v>
      </c>
    </row>
    <row r="696" spans="1:19" x14ac:dyDescent="0.15">
      <c r="A696" t="s">
        <v>2693</v>
      </c>
      <c r="B696" s="61">
        <v>46447</v>
      </c>
      <c r="E696" t="s">
        <v>355</v>
      </c>
      <c r="F696" t="s">
        <v>364</v>
      </c>
      <c r="H696" t="s">
        <v>365</v>
      </c>
      <c r="I696">
        <v>2303431</v>
      </c>
      <c r="J696" t="s">
        <v>2718</v>
      </c>
      <c r="K696" t="s">
        <v>2719</v>
      </c>
      <c r="L696" t="s">
        <v>390</v>
      </c>
      <c r="N696" t="s">
        <v>2720</v>
      </c>
      <c r="O696" t="s">
        <v>2721</v>
      </c>
    </row>
    <row r="697" spans="1:19" x14ac:dyDescent="0.15">
      <c r="A697" t="s">
        <v>2693</v>
      </c>
      <c r="B697" s="61">
        <v>46478</v>
      </c>
      <c r="E697" t="s">
        <v>355</v>
      </c>
      <c r="F697" t="s">
        <v>364</v>
      </c>
      <c r="H697" t="s">
        <v>353</v>
      </c>
      <c r="I697">
        <v>2300035</v>
      </c>
      <c r="J697" t="s">
        <v>2040</v>
      </c>
      <c r="K697" t="s">
        <v>2722</v>
      </c>
      <c r="L697" t="s">
        <v>2723</v>
      </c>
      <c r="N697" t="s">
        <v>2724</v>
      </c>
      <c r="O697" t="s">
        <v>2725</v>
      </c>
    </row>
    <row r="698" spans="1:19" x14ac:dyDescent="0.15">
      <c r="A698" t="s">
        <v>2693</v>
      </c>
      <c r="B698" s="61">
        <v>46478</v>
      </c>
      <c r="E698" t="s">
        <v>355</v>
      </c>
      <c r="F698" t="s">
        <v>364</v>
      </c>
      <c r="H698" t="s">
        <v>353</v>
      </c>
      <c r="I698">
        <v>2303812</v>
      </c>
      <c r="J698" t="s">
        <v>2726</v>
      </c>
      <c r="K698" t="s">
        <v>2727</v>
      </c>
      <c r="L698" t="s">
        <v>1006</v>
      </c>
      <c r="N698" t="s">
        <v>2728</v>
      </c>
      <c r="O698" t="s">
        <v>2729</v>
      </c>
    </row>
    <row r="699" spans="1:19" x14ac:dyDescent="0.15">
      <c r="A699" t="s">
        <v>2693</v>
      </c>
      <c r="B699" s="61">
        <v>46600</v>
      </c>
      <c r="E699" t="s">
        <v>355</v>
      </c>
      <c r="F699" t="s">
        <v>364</v>
      </c>
      <c r="H699" t="s">
        <v>365</v>
      </c>
      <c r="I699">
        <v>2303613</v>
      </c>
      <c r="J699" t="s">
        <v>2730</v>
      </c>
      <c r="K699" t="s">
        <v>2731</v>
      </c>
      <c r="L699" t="s">
        <v>2732</v>
      </c>
      <c r="N699" t="s">
        <v>2733</v>
      </c>
      <c r="O699" t="s">
        <v>2734</v>
      </c>
    </row>
    <row r="700" spans="1:19" x14ac:dyDescent="0.15">
      <c r="A700" t="s">
        <v>2693</v>
      </c>
      <c r="B700" s="61">
        <v>46600</v>
      </c>
      <c r="E700" t="s">
        <v>355</v>
      </c>
      <c r="F700" t="s">
        <v>356</v>
      </c>
      <c r="H700" t="s">
        <v>353</v>
      </c>
      <c r="I700">
        <v>2301207</v>
      </c>
      <c r="J700" t="s">
        <v>2735</v>
      </c>
      <c r="K700" t="s">
        <v>2736</v>
      </c>
      <c r="L700" t="s">
        <v>2737</v>
      </c>
      <c r="N700" t="s">
        <v>2738</v>
      </c>
      <c r="O700" t="s">
        <v>2739</v>
      </c>
    </row>
    <row r="701" spans="1:19" x14ac:dyDescent="0.15">
      <c r="A701" t="s">
        <v>2693</v>
      </c>
      <c r="B701" s="61">
        <v>46631</v>
      </c>
      <c r="E701" t="s">
        <v>355</v>
      </c>
      <c r="F701" t="s">
        <v>364</v>
      </c>
      <c r="H701" t="s">
        <v>365</v>
      </c>
      <c r="I701">
        <v>2303619</v>
      </c>
      <c r="J701" t="s">
        <v>2740</v>
      </c>
      <c r="L701" t="s">
        <v>1957</v>
      </c>
      <c r="N701" t="s">
        <v>2741</v>
      </c>
      <c r="O701" t="s">
        <v>2742</v>
      </c>
    </row>
    <row r="702" spans="1:19" x14ac:dyDescent="0.15">
      <c r="A702" t="s">
        <v>2693</v>
      </c>
      <c r="B702" s="61">
        <v>46661</v>
      </c>
      <c r="E702" t="s">
        <v>355</v>
      </c>
      <c r="F702" t="s">
        <v>356</v>
      </c>
      <c r="H702" t="s">
        <v>353</v>
      </c>
      <c r="I702">
        <v>2301034</v>
      </c>
      <c r="J702" t="s">
        <v>2743</v>
      </c>
      <c r="L702" t="s">
        <v>390</v>
      </c>
      <c r="N702" t="s">
        <v>5106</v>
      </c>
      <c r="O702" t="s">
        <v>2744</v>
      </c>
    </row>
    <row r="703" spans="1:19" x14ac:dyDescent="0.15">
      <c r="A703" t="s">
        <v>2771</v>
      </c>
      <c r="B703" s="61">
        <v>46661</v>
      </c>
      <c r="E703" t="s">
        <v>355</v>
      </c>
      <c r="F703" t="s">
        <v>356</v>
      </c>
      <c r="H703" t="s">
        <v>353</v>
      </c>
      <c r="I703">
        <v>2302327</v>
      </c>
      <c r="J703" t="s">
        <v>2745</v>
      </c>
      <c r="L703" t="s">
        <v>2746</v>
      </c>
      <c r="N703" t="s">
        <v>2747</v>
      </c>
      <c r="O703" t="s">
        <v>2748</v>
      </c>
    </row>
    <row r="704" spans="1:19" x14ac:dyDescent="0.15">
      <c r="A704" t="s">
        <v>2693</v>
      </c>
      <c r="B704" s="61">
        <v>46753</v>
      </c>
      <c r="E704" t="s">
        <v>355</v>
      </c>
      <c r="F704" t="s">
        <v>364</v>
      </c>
      <c r="H704" t="s">
        <v>353</v>
      </c>
      <c r="I704">
        <v>2300699</v>
      </c>
      <c r="J704" t="s">
        <v>2702</v>
      </c>
      <c r="K704" t="s">
        <v>2703</v>
      </c>
      <c r="L704" t="s">
        <v>390</v>
      </c>
      <c r="N704" t="s">
        <v>2704</v>
      </c>
      <c r="O704" t="s">
        <v>2705</v>
      </c>
    </row>
    <row r="705" spans="1:19" x14ac:dyDescent="0.15">
      <c r="A705" t="s">
        <v>2693</v>
      </c>
      <c r="B705" s="61">
        <v>46784</v>
      </c>
      <c r="E705" t="s">
        <v>355</v>
      </c>
      <c r="F705" t="s">
        <v>364</v>
      </c>
      <c r="H705" t="s">
        <v>365</v>
      </c>
      <c r="I705">
        <v>2300562</v>
      </c>
      <c r="J705" t="s">
        <v>2749</v>
      </c>
      <c r="K705" t="s">
        <v>2750</v>
      </c>
      <c r="L705" t="s">
        <v>2751</v>
      </c>
      <c r="N705" t="s">
        <v>2752</v>
      </c>
      <c r="O705" t="s">
        <v>2753</v>
      </c>
    </row>
    <row r="706" spans="1:19" x14ac:dyDescent="0.15">
      <c r="A706" t="s">
        <v>2693</v>
      </c>
      <c r="B706" s="61">
        <v>46874</v>
      </c>
      <c r="E706" t="s">
        <v>355</v>
      </c>
      <c r="F706" t="s">
        <v>364</v>
      </c>
      <c r="H706" t="s">
        <v>353</v>
      </c>
      <c r="I706">
        <v>2303254</v>
      </c>
      <c r="J706" t="s">
        <v>2754</v>
      </c>
      <c r="K706" t="s">
        <v>2755</v>
      </c>
      <c r="L706" t="s">
        <v>2756</v>
      </c>
      <c r="N706" t="s">
        <v>2757</v>
      </c>
      <c r="O706" t="s">
        <v>2758</v>
      </c>
    </row>
    <row r="707" spans="1:19" x14ac:dyDescent="0.15">
      <c r="A707" t="s">
        <v>2693</v>
      </c>
      <c r="B707" s="61">
        <v>46874</v>
      </c>
      <c r="E707" t="s">
        <v>355</v>
      </c>
      <c r="F707" t="s">
        <v>364</v>
      </c>
      <c r="H707" t="s">
        <v>353</v>
      </c>
      <c r="I707">
        <v>2303834</v>
      </c>
      <c r="J707" t="s">
        <v>974</v>
      </c>
      <c r="K707" t="s">
        <v>2759</v>
      </c>
      <c r="L707" t="s">
        <v>2760</v>
      </c>
      <c r="N707" t="s">
        <v>2761</v>
      </c>
      <c r="O707" t="s">
        <v>2762</v>
      </c>
    </row>
    <row r="708" spans="1:19" x14ac:dyDescent="0.15">
      <c r="A708" t="s">
        <v>2693</v>
      </c>
      <c r="B708" s="61">
        <v>46935</v>
      </c>
      <c r="E708" t="s">
        <v>355</v>
      </c>
      <c r="F708" t="s">
        <v>364</v>
      </c>
      <c r="H708" t="s">
        <v>353</v>
      </c>
      <c r="I708">
        <v>2303711</v>
      </c>
      <c r="J708" t="s">
        <v>2735</v>
      </c>
      <c r="K708" t="s">
        <v>2763</v>
      </c>
      <c r="L708" t="s">
        <v>2764</v>
      </c>
      <c r="N708" t="s">
        <v>2765</v>
      </c>
      <c r="O708" t="s">
        <v>2766</v>
      </c>
    </row>
    <row r="709" spans="1:19" ht="409.5" x14ac:dyDescent="0.15">
      <c r="A709" t="s">
        <v>2693</v>
      </c>
      <c r="B709" s="61">
        <v>47088</v>
      </c>
      <c r="E709" t="s">
        <v>355</v>
      </c>
      <c r="F709" t="s">
        <v>385</v>
      </c>
      <c r="H709" t="s">
        <v>353</v>
      </c>
      <c r="I709">
        <v>2301075</v>
      </c>
      <c r="J709" t="s">
        <v>2694</v>
      </c>
      <c r="K709" t="s">
        <v>2695</v>
      </c>
      <c r="L709" t="s">
        <v>2696</v>
      </c>
      <c r="N709" t="s">
        <v>2697</v>
      </c>
      <c r="O709" t="s">
        <v>2698</v>
      </c>
      <c r="R709" t="s">
        <v>386</v>
      </c>
      <c r="S709" s="34" t="s">
        <v>2699</v>
      </c>
    </row>
    <row r="710" spans="1:19" x14ac:dyDescent="0.15">
      <c r="A710" t="s">
        <v>2693</v>
      </c>
      <c r="B710" s="61">
        <v>47119</v>
      </c>
      <c r="E710" t="s">
        <v>355</v>
      </c>
      <c r="F710" t="s">
        <v>364</v>
      </c>
      <c r="H710" t="s">
        <v>353</v>
      </c>
      <c r="I710">
        <v>2300523</v>
      </c>
      <c r="J710" t="s">
        <v>2767</v>
      </c>
      <c r="K710" t="s">
        <v>2768</v>
      </c>
      <c r="L710" t="s">
        <v>390</v>
      </c>
      <c r="N710" t="s">
        <v>2769</v>
      </c>
      <c r="O710" t="s">
        <v>2770</v>
      </c>
    </row>
    <row r="711" spans="1:19" ht="243" x14ac:dyDescent="0.15">
      <c r="A711" t="s">
        <v>2693</v>
      </c>
      <c r="B711" s="61">
        <v>47484</v>
      </c>
      <c r="E711" t="s">
        <v>355</v>
      </c>
      <c r="F711" t="s">
        <v>385</v>
      </c>
      <c r="H711" t="s">
        <v>365</v>
      </c>
      <c r="I711">
        <v>2300146</v>
      </c>
      <c r="J711" t="s">
        <v>2706</v>
      </c>
      <c r="K711" t="s">
        <v>1251</v>
      </c>
      <c r="L711" t="s">
        <v>390</v>
      </c>
      <c r="N711" t="s">
        <v>2707</v>
      </c>
      <c r="O711" t="s">
        <v>2708</v>
      </c>
      <c r="R711" t="s">
        <v>395</v>
      </c>
      <c r="S711" s="34" t="s">
        <v>2710</v>
      </c>
    </row>
    <row r="712" spans="1:19" ht="409.5" x14ac:dyDescent="0.15">
      <c r="A712" t="s">
        <v>2693</v>
      </c>
      <c r="B712" s="61">
        <v>47696</v>
      </c>
      <c r="E712" t="s">
        <v>355</v>
      </c>
      <c r="F712" t="s">
        <v>385</v>
      </c>
      <c r="H712" t="s">
        <v>353</v>
      </c>
      <c r="I712">
        <v>2303781</v>
      </c>
      <c r="J712" t="s">
        <v>2694</v>
      </c>
      <c r="K712" t="s">
        <v>2715</v>
      </c>
      <c r="L712" t="s">
        <v>718</v>
      </c>
      <c r="N712" t="s">
        <v>5163</v>
      </c>
      <c r="O712" t="s">
        <v>2716</v>
      </c>
      <c r="R712" t="s">
        <v>386</v>
      </c>
      <c r="S712" s="34" t="s">
        <v>2717</v>
      </c>
    </row>
    <row r="713" spans="1:19" x14ac:dyDescent="0.15">
      <c r="A713" t="s">
        <v>2693</v>
      </c>
      <c r="B713" s="61">
        <v>47939</v>
      </c>
      <c r="E713" t="s">
        <v>355</v>
      </c>
      <c r="F713" t="s">
        <v>364</v>
      </c>
      <c r="H713" t="s">
        <v>353</v>
      </c>
      <c r="I713">
        <v>2303812</v>
      </c>
      <c r="J713" t="s">
        <v>2726</v>
      </c>
      <c r="K713" t="s">
        <v>2727</v>
      </c>
      <c r="L713" t="s">
        <v>1006</v>
      </c>
      <c r="N713" t="s">
        <v>2728</v>
      </c>
      <c r="O713" t="s">
        <v>2729</v>
      </c>
    </row>
    <row r="714" spans="1:19" x14ac:dyDescent="0.15">
      <c r="A714" t="s">
        <v>2693</v>
      </c>
      <c r="B714" s="61">
        <v>48061</v>
      </c>
      <c r="E714" t="s">
        <v>355</v>
      </c>
      <c r="F714" t="s">
        <v>385</v>
      </c>
      <c r="H714" t="s">
        <v>353</v>
      </c>
      <c r="I714">
        <v>2301207</v>
      </c>
      <c r="J714" t="s">
        <v>2735</v>
      </c>
      <c r="K714" t="s">
        <v>2736</v>
      </c>
      <c r="L714" t="s">
        <v>2737</v>
      </c>
      <c r="N714" t="s">
        <v>2738</v>
      </c>
      <c r="O714" t="s">
        <v>2739</v>
      </c>
    </row>
    <row r="715" spans="1:19" x14ac:dyDescent="0.15">
      <c r="A715" t="s">
        <v>2693</v>
      </c>
      <c r="B715" s="61">
        <v>48122</v>
      </c>
      <c r="E715" t="s">
        <v>355</v>
      </c>
      <c r="F715" t="s">
        <v>385</v>
      </c>
      <c r="H715" t="s">
        <v>353</v>
      </c>
      <c r="I715">
        <v>2301034</v>
      </c>
      <c r="J715" t="s">
        <v>2743</v>
      </c>
      <c r="L715" t="s">
        <v>390</v>
      </c>
      <c r="N715" t="s">
        <v>5106</v>
      </c>
      <c r="O715" t="s">
        <v>2744</v>
      </c>
    </row>
    <row r="716" spans="1:19" x14ac:dyDescent="0.15">
      <c r="A716" t="s">
        <v>2771</v>
      </c>
      <c r="B716" s="61">
        <v>48122</v>
      </c>
      <c r="E716" t="s">
        <v>355</v>
      </c>
      <c r="F716" t="s">
        <v>385</v>
      </c>
      <c r="H716" t="s">
        <v>353</v>
      </c>
      <c r="I716">
        <v>2302327</v>
      </c>
      <c r="J716" t="s">
        <v>2745</v>
      </c>
      <c r="L716" t="s">
        <v>2746</v>
      </c>
      <c r="N716" t="s">
        <v>2747</v>
      </c>
      <c r="O716" t="s">
        <v>2748</v>
      </c>
    </row>
    <row r="717" spans="1:19" x14ac:dyDescent="0.15">
      <c r="A717" t="s">
        <v>2693</v>
      </c>
      <c r="B717" s="61">
        <v>48214</v>
      </c>
      <c r="E717" t="s">
        <v>355</v>
      </c>
      <c r="F717" t="s">
        <v>364</v>
      </c>
      <c r="H717" t="s">
        <v>353</v>
      </c>
      <c r="I717">
        <v>2300699</v>
      </c>
      <c r="J717" t="s">
        <v>2702</v>
      </c>
      <c r="K717" t="s">
        <v>2703</v>
      </c>
      <c r="L717" t="s">
        <v>390</v>
      </c>
      <c r="N717" t="s">
        <v>2704</v>
      </c>
      <c r="O717" t="s">
        <v>2705</v>
      </c>
    </row>
    <row r="718" spans="1:19" x14ac:dyDescent="0.15">
      <c r="A718" t="s">
        <v>2693</v>
      </c>
      <c r="B718" s="61">
        <v>48335</v>
      </c>
      <c r="E718" t="s">
        <v>355</v>
      </c>
      <c r="F718" t="s">
        <v>364</v>
      </c>
      <c r="H718" t="s">
        <v>353</v>
      </c>
      <c r="I718">
        <v>2303834</v>
      </c>
      <c r="J718" t="s">
        <v>974</v>
      </c>
      <c r="K718" t="s">
        <v>2759</v>
      </c>
      <c r="L718" t="s">
        <v>2760</v>
      </c>
      <c r="N718" t="s">
        <v>2761</v>
      </c>
      <c r="O718" t="s">
        <v>2762</v>
      </c>
    </row>
    <row r="719" spans="1:19" x14ac:dyDescent="0.15">
      <c r="A719" t="s">
        <v>2771</v>
      </c>
      <c r="B719" s="61">
        <v>46478</v>
      </c>
      <c r="E719" t="s">
        <v>355</v>
      </c>
      <c r="F719" t="s">
        <v>364</v>
      </c>
      <c r="H719" t="s">
        <v>365</v>
      </c>
      <c r="I719">
        <v>2302658</v>
      </c>
      <c r="J719" t="s">
        <v>2789</v>
      </c>
      <c r="K719" t="s">
        <v>2790</v>
      </c>
      <c r="L719" t="s">
        <v>698</v>
      </c>
      <c r="N719" t="s">
        <v>2791</v>
      </c>
      <c r="O719" t="s">
        <v>2792</v>
      </c>
    </row>
    <row r="720" spans="1:19" x14ac:dyDescent="0.15">
      <c r="A720" t="s">
        <v>2771</v>
      </c>
      <c r="B720" s="61">
        <v>46692</v>
      </c>
      <c r="E720" t="s">
        <v>355</v>
      </c>
      <c r="F720" t="s">
        <v>364</v>
      </c>
      <c r="H720" t="s">
        <v>353</v>
      </c>
      <c r="I720">
        <v>2100310</v>
      </c>
      <c r="J720" t="s">
        <v>1212</v>
      </c>
      <c r="K720" t="s">
        <v>2793</v>
      </c>
      <c r="L720" t="s">
        <v>965</v>
      </c>
      <c r="N720" t="s">
        <v>2794</v>
      </c>
      <c r="O720" t="s">
        <v>2795</v>
      </c>
    </row>
    <row r="721" spans="1:19" x14ac:dyDescent="0.15">
      <c r="A721" t="s">
        <v>2771</v>
      </c>
      <c r="B721" s="61">
        <v>46753</v>
      </c>
      <c r="E721" t="s">
        <v>355</v>
      </c>
      <c r="F721" t="s">
        <v>364</v>
      </c>
      <c r="H721" t="s">
        <v>353</v>
      </c>
      <c r="I721">
        <v>2101064</v>
      </c>
      <c r="J721" t="s">
        <v>2796</v>
      </c>
      <c r="K721" t="s">
        <v>2797</v>
      </c>
      <c r="L721" t="s">
        <v>2798</v>
      </c>
      <c r="N721" t="s">
        <v>2799</v>
      </c>
      <c r="O721" t="s">
        <v>2800</v>
      </c>
    </row>
    <row r="722" spans="1:19" x14ac:dyDescent="0.15">
      <c r="A722" t="s">
        <v>2771</v>
      </c>
      <c r="B722" s="61">
        <v>46753</v>
      </c>
      <c r="E722" t="s">
        <v>355</v>
      </c>
      <c r="F722" t="s">
        <v>364</v>
      </c>
      <c r="H722" t="s">
        <v>365</v>
      </c>
      <c r="I722">
        <v>2100039</v>
      </c>
      <c r="J722" t="s">
        <v>2801</v>
      </c>
      <c r="K722" t="s">
        <v>2802</v>
      </c>
      <c r="L722" t="s">
        <v>2803</v>
      </c>
      <c r="N722" t="s">
        <v>2804</v>
      </c>
      <c r="O722" t="s">
        <v>2805</v>
      </c>
    </row>
    <row r="723" spans="1:19" x14ac:dyDescent="0.15">
      <c r="A723" t="s">
        <v>2771</v>
      </c>
      <c r="B723" s="61">
        <v>46813</v>
      </c>
      <c r="E723" t="s">
        <v>355</v>
      </c>
      <c r="F723" t="s">
        <v>364</v>
      </c>
      <c r="H723" t="s">
        <v>353</v>
      </c>
      <c r="I723">
        <v>2303567</v>
      </c>
      <c r="J723" t="s">
        <v>2782</v>
      </c>
      <c r="K723" t="s">
        <v>2783</v>
      </c>
      <c r="L723" t="s">
        <v>466</v>
      </c>
      <c r="N723" t="s">
        <v>2806</v>
      </c>
      <c r="O723" t="s">
        <v>2785</v>
      </c>
    </row>
    <row r="724" spans="1:19" x14ac:dyDescent="0.15">
      <c r="A724" t="s">
        <v>2771</v>
      </c>
      <c r="B724" s="61">
        <v>47088</v>
      </c>
      <c r="E724" t="s">
        <v>355</v>
      </c>
      <c r="F724" t="s">
        <v>364</v>
      </c>
      <c r="H724" t="s">
        <v>353</v>
      </c>
      <c r="I724">
        <v>2302732</v>
      </c>
      <c r="J724" t="s">
        <v>516</v>
      </c>
      <c r="K724" t="s">
        <v>744</v>
      </c>
      <c r="L724" t="s">
        <v>698</v>
      </c>
      <c r="N724" t="s">
        <v>2807</v>
      </c>
      <c r="O724" t="s">
        <v>2808</v>
      </c>
    </row>
    <row r="725" spans="1:19" ht="409.5" x14ac:dyDescent="0.15">
      <c r="A725" t="s">
        <v>2771</v>
      </c>
      <c r="B725" s="61">
        <v>47209</v>
      </c>
      <c r="E725" t="s">
        <v>355</v>
      </c>
      <c r="F725" t="s">
        <v>385</v>
      </c>
      <c r="H725" t="s">
        <v>353</v>
      </c>
      <c r="I725">
        <v>2302770</v>
      </c>
      <c r="J725" t="s">
        <v>2809</v>
      </c>
      <c r="L725" t="s">
        <v>1934</v>
      </c>
      <c r="N725" t="s">
        <v>2810</v>
      </c>
      <c r="O725" t="s">
        <v>2811</v>
      </c>
      <c r="R725" t="s">
        <v>386</v>
      </c>
      <c r="S725" s="34" t="s">
        <v>2812</v>
      </c>
    </row>
    <row r="726" spans="1:19" ht="391.5" x14ac:dyDescent="0.15">
      <c r="A726" t="s">
        <v>2771</v>
      </c>
      <c r="B726" s="61">
        <v>47604</v>
      </c>
      <c r="E726" t="s">
        <v>355</v>
      </c>
      <c r="F726" t="s">
        <v>385</v>
      </c>
      <c r="H726" t="s">
        <v>365</v>
      </c>
      <c r="I726">
        <v>2303791</v>
      </c>
      <c r="J726" t="s">
        <v>2772</v>
      </c>
      <c r="K726" t="s">
        <v>2773</v>
      </c>
      <c r="L726" t="s">
        <v>2774</v>
      </c>
      <c r="N726" t="s">
        <v>2775</v>
      </c>
      <c r="O726" t="s">
        <v>2776</v>
      </c>
      <c r="R726" t="s">
        <v>395</v>
      </c>
      <c r="S726" s="34" t="s">
        <v>2777</v>
      </c>
    </row>
    <row r="727" spans="1:19" ht="391.5" x14ac:dyDescent="0.15">
      <c r="A727" t="s">
        <v>2771</v>
      </c>
      <c r="B727" s="61">
        <v>47604</v>
      </c>
      <c r="E727" t="s">
        <v>355</v>
      </c>
      <c r="F727" t="s">
        <v>385</v>
      </c>
      <c r="H727" t="s">
        <v>365</v>
      </c>
      <c r="I727">
        <v>2303788</v>
      </c>
      <c r="J727" t="s">
        <v>2772</v>
      </c>
      <c r="K727" t="s">
        <v>2773</v>
      </c>
      <c r="L727" t="s">
        <v>2778</v>
      </c>
      <c r="N727" t="s">
        <v>2779</v>
      </c>
      <c r="O727" t="s">
        <v>2780</v>
      </c>
      <c r="R727" t="s">
        <v>395</v>
      </c>
      <c r="S727" s="34" t="s">
        <v>2781</v>
      </c>
    </row>
    <row r="728" spans="1:19" x14ac:dyDescent="0.15">
      <c r="A728" t="s">
        <v>2771</v>
      </c>
      <c r="B728" s="61">
        <v>48214</v>
      </c>
      <c r="E728" t="s">
        <v>355</v>
      </c>
      <c r="F728" t="s">
        <v>364</v>
      </c>
      <c r="H728" t="s">
        <v>365</v>
      </c>
      <c r="I728">
        <v>2100039</v>
      </c>
      <c r="J728" t="s">
        <v>2801</v>
      </c>
      <c r="K728" t="s">
        <v>2802</v>
      </c>
      <c r="L728" t="s">
        <v>2803</v>
      </c>
      <c r="N728" t="s">
        <v>2804</v>
      </c>
      <c r="O728" t="s">
        <v>2805</v>
      </c>
    </row>
    <row r="729" spans="1:19" ht="256.5" x14ac:dyDescent="0.15">
      <c r="A729" t="s">
        <v>2813</v>
      </c>
      <c r="B729" s="61">
        <v>46266</v>
      </c>
      <c r="E729" t="s">
        <v>355</v>
      </c>
      <c r="F729" t="s">
        <v>543</v>
      </c>
      <c r="H729" t="s">
        <v>310</v>
      </c>
      <c r="I729">
        <v>2300536</v>
      </c>
      <c r="J729" t="s">
        <v>2817</v>
      </c>
      <c r="K729" t="s">
        <v>2818</v>
      </c>
      <c r="L729" t="s">
        <v>378</v>
      </c>
      <c r="N729" t="s">
        <v>2819</v>
      </c>
      <c r="O729" t="s">
        <v>2820</v>
      </c>
      <c r="R729" t="s">
        <v>545</v>
      </c>
      <c r="S729" s="34" t="s">
        <v>2821</v>
      </c>
    </row>
    <row r="730" spans="1:19" ht="270" x14ac:dyDescent="0.15">
      <c r="A730" t="s">
        <v>2813</v>
      </c>
      <c r="B730" s="61">
        <v>46357</v>
      </c>
      <c r="E730" t="s">
        <v>355</v>
      </c>
      <c r="F730" t="s">
        <v>543</v>
      </c>
      <c r="H730" t="s">
        <v>310</v>
      </c>
      <c r="I730">
        <v>2303643</v>
      </c>
      <c r="J730" t="s">
        <v>2814</v>
      </c>
      <c r="K730" t="s">
        <v>2815</v>
      </c>
      <c r="L730" t="s">
        <v>1176</v>
      </c>
      <c r="N730" t="s">
        <v>2824</v>
      </c>
      <c r="O730" t="s">
        <v>2816</v>
      </c>
      <c r="R730" t="s">
        <v>755</v>
      </c>
      <c r="S730" s="34" t="s">
        <v>2825</v>
      </c>
    </row>
    <row r="731" spans="1:19" ht="409.5" x14ac:dyDescent="0.15">
      <c r="A731" t="s">
        <v>2813</v>
      </c>
      <c r="B731" s="61">
        <v>46357</v>
      </c>
      <c r="E731" t="s">
        <v>355</v>
      </c>
      <c r="F731" t="s">
        <v>356</v>
      </c>
      <c r="H731" t="s">
        <v>353</v>
      </c>
      <c r="I731">
        <v>2302127</v>
      </c>
      <c r="J731" t="s">
        <v>2166</v>
      </c>
      <c r="K731" t="s">
        <v>669</v>
      </c>
      <c r="L731" t="s">
        <v>2826</v>
      </c>
      <c r="N731" t="s">
        <v>2827</v>
      </c>
      <c r="O731" t="s">
        <v>2828</v>
      </c>
      <c r="R731" t="s">
        <v>362</v>
      </c>
      <c r="S731" s="34" t="s">
        <v>2829</v>
      </c>
    </row>
    <row r="732" spans="1:19" x14ac:dyDescent="0.15">
      <c r="A732" t="s">
        <v>2813</v>
      </c>
      <c r="B732" s="61">
        <v>46539</v>
      </c>
      <c r="E732" t="s">
        <v>355</v>
      </c>
      <c r="F732" t="s">
        <v>356</v>
      </c>
      <c r="H732" t="s">
        <v>353</v>
      </c>
      <c r="I732">
        <v>2301254</v>
      </c>
      <c r="J732" t="s">
        <v>654</v>
      </c>
      <c r="K732" t="s">
        <v>2830</v>
      </c>
      <c r="L732" t="s">
        <v>2831</v>
      </c>
      <c r="N732" t="s">
        <v>2832</v>
      </c>
      <c r="O732" t="s">
        <v>2833</v>
      </c>
    </row>
    <row r="733" spans="1:19" ht="256.5" x14ac:dyDescent="0.15">
      <c r="A733" t="s">
        <v>2813</v>
      </c>
      <c r="B733" s="61">
        <v>46631</v>
      </c>
      <c r="E733" t="s">
        <v>355</v>
      </c>
      <c r="F733" t="s">
        <v>385</v>
      </c>
      <c r="H733" t="s">
        <v>310</v>
      </c>
      <c r="I733">
        <v>2300536</v>
      </c>
      <c r="J733" t="s">
        <v>2817</v>
      </c>
      <c r="K733" t="s">
        <v>2818</v>
      </c>
      <c r="L733" t="s">
        <v>378</v>
      </c>
      <c r="N733" t="s">
        <v>2819</v>
      </c>
      <c r="O733" t="s">
        <v>2820</v>
      </c>
      <c r="R733" t="s">
        <v>395</v>
      </c>
      <c r="S733" s="34" t="s">
        <v>2821</v>
      </c>
    </row>
    <row r="734" spans="1:19" x14ac:dyDescent="0.15">
      <c r="A734" t="s">
        <v>2813</v>
      </c>
      <c r="B734" s="61">
        <v>46692</v>
      </c>
      <c r="E734" t="s">
        <v>355</v>
      </c>
      <c r="F734" t="s">
        <v>364</v>
      </c>
      <c r="H734" t="s">
        <v>365</v>
      </c>
      <c r="I734">
        <v>2303293</v>
      </c>
      <c r="J734" t="s">
        <v>2481</v>
      </c>
      <c r="K734" t="s">
        <v>2834</v>
      </c>
      <c r="L734" t="s">
        <v>413</v>
      </c>
      <c r="N734" t="s">
        <v>2835</v>
      </c>
      <c r="O734" t="s">
        <v>2836</v>
      </c>
    </row>
    <row r="735" spans="1:19" x14ac:dyDescent="0.15">
      <c r="A735" t="s">
        <v>2813</v>
      </c>
      <c r="B735" s="61">
        <v>46692</v>
      </c>
      <c r="E735" t="s">
        <v>355</v>
      </c>
      <c r="F735" t="s">
        <v>364</v>
      </c>
      <c r="H735" t="s">
        <v>353</v>
      </c>
      <c r="I735">
        <v>2302378</v>
      </c>
      <c r="J735" t="s">
        <v>2837</v>
      </c>
      <c r="K735" t="s">
        <v>2838</v>
      </c>
      <c r="L735" t="s">
        <v>413</v>
      </c>
      <c r="N735" t="s">
        <v>2839</v>
      </c>
      <c r="O735" t="s">
        <v>2840</v>
      </c>
    </row>
    <row r="736" spans="1:19" ht="270" x14ac:dyDescent="0.15">
      <c r="A736" t="s">
        <v>2813</v>
      </c>
      <c r="B736" s="61">
        <v>46722</v>
      </c>
      <c r="E736" t="s">
        <v>355</v>
      </c>
      <c r="F736" t="s">
        <v>385</v>
      </c>
      <c r="H736" t="s">
        <v>310</v>
      </c>
      <c r="I736">
        <v>2303643</v>
      </c>
      <c r="J736" t="s">
        <v>2814</v>
      </c>
      <c r="K736" t="s">
        <v>2815</v>
      </c>
      <c r="L736" t="s">
        <v>1176</v>
      </c>
      <c r="N736" t="s">
        <v>2824</v>
      </c>
      <c r="O736" t="s">
        <v>2816</v>
      </c>
      <c r="R736" t="s">
        <v>395</v>
      </c>
      <c r="S736" s="34" t="s">
        <v>2825</v>
      </c>
    </row>
    <row r="737" spans="1:19" x14ac:dyDescent="0.15">
      <c r="A737" t="s">
        <v>2813</v>
      </c>
      <c r="B737" s="61">
        <v>46722</v>
      </c>
      <c r="E737" t="s">
        <v>355</v>
      </c>
      <c r="F737" t="s">
        <v>364</v>
      </c>
      <c r="H737" t="s">
        <v>353</v>
      </c>
      <c r="I737">
        <v>2300556</v>
      </c>
      <c r="J737" t="s">
        <v>2841</v>
      </c>
      <c r="L737" t="s">
        <v>502</v>
      </c>
      <c r="N737" t="s">
        <v>2842</v>
      </c>
      <c r="O737" t="s">
        <v>2843</v>
      </c>
    </row>
    <row r="738" spans="1:19" x14ac:dyDescent="0.15">
      <c r="A738" t="s">
        <v>2813</v>
      </c>
      <c r="B738" s="61">
        <v>46844</v>
      </c>
      <c r="E738" t="s">
        <v>355</v>
      </c>
      <c r="F738" t="s">
        <v>364</v>
      </c>
      <c r="H738" t="s">
        <v>365</v>
      </c>
      <c r="I738">
        <v>2303593</v>
      </c>
      <c r="J738" t="s">
        <v>2822</v>
      </c>
      <c r="K738" t="s">
        <v>2823</v>
      </c>
      <c r="L738" t="s">
        <v>2844</v>
      </c>
      <c r="N738" t="s">
        <v>2845</v>
      </c>
      <c r="O738" t="s">
        <v>2846</v>
      </c>
    </row>
    <row r="739" spans="1:19" ht="409.5" x14ac:dyDescent="0.15">
      <c r="A739" t="s">
        <v>2813</v>
      </c>
      <c r="B739" s="61">
        <v>47818</v>
      </c>
      <c r="E739" t="s">
        <v>355</v>
      </c>
      <c r="F739" t="s">
        <v>385</v>
      </c>
      <c r="H739" t="s">
        <v>353</v>
      </c>
      <c r="I739">
        <v>2302127</v>
      </c>
      <c r="J739" t="s">
        <v>2166</v>
      </c>
      <c r="K739" t="s">
        <v>669</v>
      </c>
      <c r="L739" t="s">
        <v>2826</v>
      </c>
      <c r="N739" t="s">
        <v>2827</v>
      </c>
      <c r="O739" t="s">
        <v>2828</v>
      </c>
      <c r="R739" t="s">
        <v>386</v>
      </c>
      <c r="S739" s="34" t="s">
        <v>2829</v>
      </c>
    </row>
    <row r="740" spans="1:19" x14ac:dyDescent="0.15">
      <c r="A740" t="s">
        <v>2813</v>
      </c>
      <c r="B740" s="61">
        <v>48000</v>
      </c>
      <c r="E740" t="s">
        <v>355</v>
      </c>
      <c r="F740" t="s">
        <v>385</v>
      </c>
      <c r="H740" t="s">
        <v>353</v>
      </c>
      <c r="I740">
        <v>2301254</v>
      </c>
      <c r="J740" t="s">
        <v>654</v>
      </c>
      <c r="K740" t="s">
        <v>2830</v>
      </c>
      <c r="L740" t="s">
        <v>2831</v>
      </c>
      <c r="N740" t="s">
        <v>2832</v>
      </c>
      <c r="O740" t="s">
        <v>2833</v>
      </c>
    </row>
    <row r="741" spans="1:19" x14ac:dyDescent="0.15">
      <c r="A741" t="s">
        <v>2813</v>
      </c>
      <c r="B741" s="61">
        <v>48153</v>
      </c>
      <c r="E741" t="s">
        <v>355</v>
      </c>
      <c r="F741" t="s">
        <v>364</v>
      </c>
      <c r="H741" t="s">
        <v>353</v>
      </c>
      <c r="I741">
        <v>2302378</v>
      </c>
      <c r="J741" t="s">
        <v>2837</v>
      </c>
      <c r="K741" t="s">
        <v>2838</v>
      </c>
      <c r="L741" t="s">
        <v>413</v>
      </c>
      <c r="N741" t="s">
        <v>2839</v>
      </c>
      <c r="O741" t="s">
        <v>2840</v>
      </c>
    </row>
    <row r="742" spans="1:19" x14ac:dyDescent="0.15">
      <c r="A742" t="s">
        <v>2813</v>
      </c>
      <c r="B742" s="61">
        <v>48183</v>
      </c>
      <c r="E742" t="s">
        <v>355</v>
      </c>
      <c r="F742" t="s">
        <v>364</v>
      </c>
      <c r="H742" t="s">
        <v>353</v>
      </c>
      <c r="I742">
        <v>2300556</v>
      </c>
      <c r="J742" t="s">
        <v>2841</v>
      </c>
      <c r="L742" t="s">
        <v>502</v>
      </c>
      <c r="N742" t="s">
        <v>2842</v>
      </c>
      <c r="O742" t="s">
        <v>2843</v>
      </c>
    </row>
    <row r="743" spans="1:19" ht="409.5" x14ac:dyDescent="0.15">
      <c r="A743" t="s">
        <v>6766</v>
      </c>
      <c r="B743" s="61">
        <v>44044</v>
      </c>
      <c r="E743" t="s">
        <v>355</v>
      </c>
      <c r="F743" t="s">
        <v>356</v>
      </c>
      <c r="H743" t="s">
        <v>365</v>
      </c>
      <c r="I743">
        <v>4000088</v>
      </c>
      <c r="J743" t="s">
        <v>2631</v>
      </c>
      <c r="K743" t="s">
        <v>2847</v>
      </c>
      <c r="L743" t="s">
        <v>1769</v>
      </c>
      <c r="N743" t="s">
        <v>2848</v>
      </c>
      <c r="O743" t="s">
        <v>2849</v>
      </c>
      <c r="R743" t="s">
        <v>362</v>
      </c>
      <c r="S743" s="34" t="s">
        <v>2850</v>
      </c>
    </row>
    <row r="744" spans="1:19" ht="243" x14ac:dyDescent="0.15">
      <c r="A744" t="s">
        <v>6766</v>
      </c>
      <c r="B744" s="61">
        <v>47058</v>
      </c>
      <c r="E744" t="s">
        <v>355</v>
      </c>
      <c r="F744" t="s">
        <v>356</v>
      </c>
      <c r="H744" t="s">
        <v>353</v>
      </c>
      <c r="I744">
        <v>4100326</v>
      </c>
      <c r="J744" t="s">
        <v>2851</v>
      </c>
      <c r="K744" t="s">
        <v>2852</v>
      </c>
      <c r="L744" t="s">
        <v>373</v>
      </c>
      <c r="N744" t="s">
        <v>2853</v>
      </c>
      <c r="O744" t="s">
        <v>2854</v>
      </c>
      <c r="R744" t="s">
        <v>362</v>
      </c>
      <c r="S744" s="34" t="s">
        <v>2855</v>
      </c>
    </row>
    <row r="745" spans="1:19" ht="409.5" x14ac:dyDescent="0.15">
      <c r="A745" t="s">
        <v>6766</v>
      </c>
      <c r="B745" s="61">
        <v>46997</v>
      </c>
      <c r="E745" t="s">
        <v>355</v>
      </c>
      <c r="F745" t="s">
        <v>356</v>
      </c>
      <c r="H745" t="s">
        <v>353</v>
      </c>
      <c r="I745">
        <v>4100210</v>
      </c>
      <c r="J745" t="s">
        <v>2281</v>
      </c>
      <c r="K745" t="s">
        <v>2856</v>
      </c>
      <c r="L745" t="s">
        <v>390</v>
      </c>
      <c r="N745" t="s">
        <v>2857</v>
      </c>
      <c r="O745" t="s">
        <v>2858</v>
      </c>
      <c r="R745" s="34" t="s">
        <v>2859</v>
      </c>
      <c r="S745" s="34" t="s">
        <v>5187</v>
      </c>
    </row>
    <row r="746" spans="1:19" ht="409.5" x14ac:dyDescent="0.15">
      <c r="A746" t="s">
        <v>6766</v>
      </c>
      <c r="B746" s="61">
        <v>45505</v>
      </c>
      <c r="E746" t="s">
        <v>355</v>
      </c>
      <c r="F746" t="s">
        <v>385</v>
      </c>
      <c r="H746" t="s">
        <v>365</v>
      </c>
      <c r="I746">
        <v>4000088</v>
      </c>
      <c r="J746" t="s">
        <v>2631</v>
      </c>
      <c r="K746" t="s">
        <v>2847</v>
      </c>
      <c r="L746" t="s">
        <v>1769</v>
      </c>
      <c r="N746" t="s">
        <v>2848</v>
      </c>
      <c r="O746" t="s">
        <v>2849</v>
      </c>
      <c r="R746" t="s">
        <v>395</v>
      </c>
      <c r="S746" s="34" t="s">
        <v>2850</v>
      </c>
    </row>
    <row r="747" spans="1:19" ht="270" x14ac:dyDescent="0.15">
      <c r="A747" t="s">
        <v>6766</v>
      </c>
      <c r="B747" s="61">
        <v>45839</v>
      </c>
      <c r="E747" t="s">
        <v>355</v>
      </c>
      <c r="F747" t="s">
        <v>351</v>
      </c>
      <c r="G747" t="s">
        <v>354</v>
      </c>
      <c r="H747" t="s">
        <v>686</v>
      </c>
      <c r="I747">
        <v>4000698</v>
      </c>
      <c r="J747" t="s">
        <v>2864</v>
      </c>
      <c r="L747" t="s">
        <v>2865</v>
      </c>
      <c r="N747">
        <v>2165307</v>
      </c>
      <c r="O747" t="s">
        <v>2866</v>
      </c>
      <c r="P747" t="s">
        <v>2867</v>
      </c>
      <c r="Q747" t="s">
        <v>2868</v>
      </c>
      <c r="R747" s="34" t="s">
        <v>2869</v>
      </c>
      <c r="S747" s="34" t="s">
        <v>2870</v>
      </c>
    </row>
    <row r="748" spans="1:19" ht="243" x14ac:dyDescent="0.15">
      <c r="A748" t="s">
        <v>6766</v>
      </c>
      <c r="B748" s="61">
        <v>45962</v>
      </c>
      <c r="E748" t="s">
        <v>355</v>
      </c>
      <c r="F748" t="s">
        <v>351</v>
      </c>
      <c r="G748" t="s">
        <v>352</v>
      </c>
      <c r="H748" t="s">
        <v>365</v>
      </c>
      <c r="I748">
        <v>4100257</v>
      </c>
      <c r="J748" t="s">
        <v>775</v>
      </c>
      <c r="K748" t="s">
        <v>2871</v>
      </c>
      <c r="L748" t="s">
        <v>2872</v>
      </c>
      <c r="N748" t="s">
        <v>2873</v>
      </c>
      <c r="O748" t="s">
        <v>2874</v>
      </c>
      <c r="S748" s="34" t="s">
        <v>2875</v>
      </c>
    </row>
    <row r="749" spans="1:19" ht="256.5" x14ac:dyDescent="0.15">
      <c r="A749" t="s">
        <v>6766</v>
      </c>
      <c r="B749" s="61">
        <v>45992</v>
      </c>
      <c r="E749" t="s">
        <v>355</v>
      </c>
      <c r="F749" t="s">
        <v>351</v>
      </c>
      <c r="G749" t="s">
        <v>352</v>
      </c>
      <c r="H749" t="s">
        <v>365</v>
      </c>
      <c r="I749">
        <v>4100047</v>
      </c>
      <c r="J749" t="s">
        <v>775</v>
      </c>
      <c r="K749" t="s">
        <v>2876</v>
      </c>
      <c r="L749" t="s">
        <v>2872</v>
      </c>
      <c r="N749" t="s">
        <v>2877</v>
      </c>
      <c r="O749" t="s">
        <v>2878</v>
      </c>
      <c r="S749" s="34" t="s">
        <v>2879</v>
      </c>
    </row>
    <row r="750" spans="1:19" ht="243" x14ac:dyDescent="0.15">
      <c r="A750" t="s">
        <v>6766</v>
      </c>
      <c r="B750" s="61">
        <v>46174</v>
      </c>
      <c r="E750" t="s">
        <v>355</v>
      </c>
      <c r="F750" t="s">
        <v>385</v>
      </c>
      <c r="H750" t="s">
        <v>365</v>
      </c>
      <c r="I750">
        <v>4100216</v>
      </c>
      <c r="J750" t="s">
        <v>2880</v>
      </c>
      <c r="K750" t="s">
        <v>2881</v>
      </c>
      <c r="L750" t="s">
        <v>698</v>
      </c>
      <c r="N750" t="s">
        <v>2882</v>
      </c>
      <c r="O750" t="s">
        <v>2883</v>
      </c>
      <c r="R750" t="s">
        <v>395</v>
      </c>
      <c r="S750" s="34" t="s">
        <v>2884</v>
      </c>
    </row>
    <row r="751" spans="1:19" ht="243" x14ac:dyDescent="0.15">
      <c r="A751" t="s">
        <v>6766</v>
      </c>
      <c r="B751" s="61">
        <v>46235</v>
      </c>
      <c r="E751" t="s">
        <v>355</v>
      </c>
      <c r="F751" t="s">
        <v>385</v>
      </c>
      <c r="H751" t="s">
        <v>365</v>
      </c>
      <c r="I751">
        <v>4100257</v>
      </c>
      <c r="J751" t="s">
        <v>775</v>
      </c>
      <c r="K751" t="s">
        <v>2871</v>
      </c>
      <c r="L751" t="s">
        <v>2885</v>
      </c>
      <c r="N751" t="s">
        <v>2873</v>
      </c>
      <c r="O751" t="s">
        <v>2874</v>
      </c>
      <c r="R751" t="s">
        <v>395</v>
      </c>
      <c r="S751" s="34" t="s">
        <v>2875</v>
      </c>
    </row>
    <row r="752" spans="1:19" ht="256.5" x14ac:dyDescent="0.15">
      <c r="A752" t="s">
        <v>6766</v>
      </c>
      <c r="B752" s="61">
        <v>46235</v>
      </c>
      <c r="E752" t="s">
        <v>355</v>
      </c>
      <c r="F752" t="s">
        <v>385</v>
      </c>
      <c r="H752" t="s">
        <v>365</v>
      </c>
      <c r="I752">
        <v>4100047</v>
      </c>
      <c r="J752" t="s">
        <v>775</v>
      </c>
      <c r="K752" t="s">
        <v>2876</v>
      </c>
      <c r="L752" t="s">
        <v>2872</v>
      </c>
      <c r="N752" t="s">
        <v>2877</v>
      </c>
      <c r="O752" t="s">
        <v>2878</v>
      </c>
      <c r="R752" t="s">
        <v>395</v>
      </c>
      <c r="S752" s="34" t="s">
        <v>2879</v>
      </c>
    </row>
    <row r="753" spans="1:19" ht="409.5" x14ac:dyDescent="0.15">
      <c r="A753" t="s">
        <v>6766</v>
      </c>
      <c r="B753" s="61">
        <v>46235</v>
      </c>
      <c r="E753" t="s">
        <v>355</v>
      </c>
      <c r="F753" t="s">
        <v>969</v>
      </c>
      <c r="H753" t="s">
        <v>365</v>
      </c>
      <c r="I753">
        <v>4100089</v>
      </c>
      <c r="J753" t="s">
        <v>2886</v>
      </c>
      <c r="K753" t="s">
        <v>2887</v>
      </c>
      <c r="L753" t="s">
        <v>1769</v>
      </c>
      <c r="N753" t="s">
        <v>2888</v>
      </c>
      <c r="O753" t="s">
        <v>2889</v>
      </c>
      <c r="R753" s="34" t="s">
        <v>1408</v>
      </c>
      <c r="S753" s="34" t="s">
        <v>2890</v>
      </c>
    </row>
    <row r="754" spans="1:19" ht="409.5" x14ac:dyDescent="0.15">
      <c r="A754" t="s">
        <v>6766</v>
      </c>
      <c r="B754" s="61">
        <v>46266</v>
      </c>
      <c r="E754" t="s">
        <v>355</v>
      </c>
      <c r="F754" t="s">
        <v>385</v>
      </c>
      <c r="H754" t="s">
        <v>353</v>
      </c>
      <c r="I754">
        <v>4000004</v>
      </c>
      <c r="J754" t="s">
        <v>2860</v>
      </c>
      <c r="K754" t="s">
        <v>2861</v>
      </c>
      <c r="L754" t="s">
        <v>2862</v>
      </c>
      <c r="N754" t="s">
        <v>2891</v>
      </c>
      <c r="O754" t="s">
        <v>2863</v>
      </c>
      <c r="R754" t="s">
        <v>386</v>
      </c>
      <c r="S754" s="34" t="s">
        <v>2892</v>
      </c>
    </row>
    <row r="755" spans="1:19" ht="364.5" x14ac:dyDescent="0.15">
      <c r="A755" t="s">
        <v>6796</v>
      </c>
      <c r="B755" s="61">
        <v>46266</v>
      </c>
      <c r="E755" t="s">
        <v>355</v>
      </c>
      <c r="F755" t="s">
        <v>356</v>
      </c>
      <c r="H755" t="s">
        <v>353</v>
      </c>
      <c r="I755">
        <v>4200034</v>
      </c>
      <c r="J755" t="s">
        <v>2893</v>
      </c>
      <c r="K755" t="s">
        <v>2894</v>
      </c>
      <c r="L755" t="s">
        <v>2778</v>
      </c>
      <c r="N755" t="s">
        <v>2895</v>
      </c>
      <c r="O755" t="s">
        <v>2896</v>
      </c>
      <c r="R755" t="s">
        <v>362</v>
      </c>
      <c r="S755" s="34" t="s">
        <v>2897</v>
      </c>
    </row>
    <row r="756" spans="1:19" ht="409.5" x14ac:dyDescent="0.15">
      <c r="A756" t="s">
        <v>6766</v>
      </c>
      <c r="B756" s="61">
        <v>46327</v>
      </c>
      <c r="E756" t="s">
        <v>355</v>
      </c>
      <c r="F756" t="s">
        <v>356</v>
      </c>
      <c r="H756" t="s">
        <v>365</v>
      </c>
      <c r="I756">
        <v>4000382</v>
      </c>
      <c r="J756" t="s">
        <v>1063</v>
      </c>
      <c r="K756" t="s">
        <v>2898</v>
      </c>
      <c r="L756" t="s">
        <v>2899</v>
      </c>
      <c r="N756" t="s">
        <v>2900</v>
      </c>
      <c r="O756" t="s">
        <v>2901</v>
      </c>
      <c r="R756" t="s">
        <v>362</v>
      </c>
      <c r="S756" s="34" t="s">
        <v>2902</v>
      </c>
    </row>
    <row r="757" spans="1:19" ht="229.5" x14ac:dyDescent="0.15">
      <c r="A757" t="s">
        <v>6796</v>
      </c>
      <c r="B757" s="61">
        <v>46327</v>
      </c>
      <c r="E757" t="s">
        <v>355</v>
      </c>
      <c r="F757" t="s">
        <v>356</v>
      </c>
      <c r="H757" t="s">
        <v>353</v>
      </c>
      <c r="I757">
        <v>4200064</v>
      </c>
      <c r="J757" t="s">
        <v>2893</v>
      </c>
      <c r="K757" t="s">
        <v>2903</v>
      </c>
      <c r="L757" t="s">
        <v>2778</v>
      </c>
      <c r="N757" t="s">
        <v>2904</v>
      </c>
      <c r="O757" t="s">
        <v>2905</v>
      </c>
      <c r="R757" t="s">
        <v>362</v>
      </c>
      <c r="S757" s="34" t="s">
        <v>2906</v>
      </c>
    </row>
    <row r="758" spans="1:19" ht="409.5" x14ac:dyDescent="0.15">
      <c r="A758" t="s">
        <v>6766</v>
      </c>
      <c r="B758" s="61">
        <v>46419</v>
      </c>
      <c r="E758" t="s">
        <v>355</v>
      </c>
      <c r="F758" t="s">
        <v>356</v>
      </c>
      <c r="H758" t="s">
        <v>353</v>
      </c>
      <c r="I758">
        <v>4100089</v>
      </c>
      <c r="J758" t="s">
        <v>2886</v>
      </c>
      <c r="K758" t="s">
        <v>2887</v>
      </c>
      <c r="L758" t="s">
        <v>1769</v>
      </c>
      <c r="N758" t="s">
        <v>2907</v>
      </c>
      <c r="O758" t="s">
        <v>2889</v>
      </c>
      <c r="R758" s="34" t="s">
        <v>2908</v>
      </c>
      <c r="S758" s="34" t="s">
        <v>2909</v>
      </c>
    </row>
    <row r="759" spans="1:19" x14ac:dyDescent="0.15">
      <c r="A759" t="s">
        <v>6766</v>
      </c>
      <c r="B759" s="61">
        <v>46447</v>
      </c>
      <c r="E759" t="s">
        <v>355</v>
      </c>
      <c r="F759" t="s">
        <v>364</v>
      </c>
      <c r="H759" t="s">
        <v>353</v>
      </c>
      <c r="I759">
        <v>4400152</v>
      </c>
      <c r="J759" t="s">
        <v>2910</v>
      </c>
      <c r="K759" t="s">
        <v>2911</v>
      </c>
      <c r="L759" t="s">
        <v>2912</v>
      </c>
      <c r="N759" t="s">
        <v>2913</v>
      </c>
      <c r="O759" t="s">
        <v>2914</v>
      </c>
    </row>
    <row r="760" spans="1:19" x14ac:dyDescent="0.15">
      <c r="A760" t="s">
        <v>6766</v>
      </c>
      <c r="B760" s="61">
        <v>46478</v>
      </c>
      <c r="E760" t="s">
        <v>355</v>
      </c>
      <c r="F760" t="s">
        <v>364</v>
      </c>
      <c r="H760" t="s">
        <v>353</v>
      </c>
      <c r="I760">
        <v>4000964</v>
      </c>
      <c r="J760" t="s">
        <v>2915</v>
      </c>
      <c r="K760" t="s">
        <v>2916</v>
      </c>
      <c r="L760" t="s">
        <v>466</v>
      </c>
      <c r="N760" t="s">
        <v>2917</v>
      </c>
      <c r="O760" t="s">
        <v>2918</v>
      </c>
    </row>
    <row r="761" spans="1:19" ht="405" x14ac:dyDescent="0.15">
      <c r="A761" t="s">
        <v>6796</v>
      </c>
      <c r="B761" s="61">
        <v>46600</v>
      </c>
      <c r="E761" t="s">
        <v>355</v>
      </c>
      <c r="F761" t="s">
        <v>356</v>
      </c>
      <c r="H761" t="s">
        <v>353</v>
      </c>
      <c r="I761">
        <v>4100117</v>
      </c>
      <c r="J761" t="s">
        <v>2919</v>
      </c>
      <c r="L761" t="s">
        <v>1118</v>
      </c>
      <c r="N761" t="s">
        <v>2920</v>
      </c>
      <c r="O761" t="s">
        <v>2921</v>
      </c>
      <c r="R761" t="s">
        <v>362</v>
      </c>
      <c r="S761" s="34" t="s">
        <v>2922</v>
      </c>
    </row>
    <row r="762" spans="1:19" x14ac:dyDescent="0.15">
      <c r="A762" t="s">
        <v>6796</v>
      </c>
      <c r="B762" s="61">
        <v>46631</v>
      </c>
      <c r="E762" t="s">
        <v>355</v>
      </c>
      <c r="F762" t="s">
        <v>364</v>
      </c>
      <c r="H762" t="s">
        <v>365</v>
      </c>
      <c r="I762">
        <v>4100365</v>
      </c>
      <c r="J762" t="s">
        <v>995</v>
      </c>
      <c r="K762" t="s">
        <v>1656</v>
      </c>
      <c r="L762" t="s">
        <v>2923</v>
      </c>
      <c r="N762" t="s">
        <v>2924</v>
      </c>
      <c r="O762" t="s">
        <v>2925</v>
      </c>
    </row>
    <row r="763" spans="1:19" x14ac:dyDescent="0.15">
      <c r="A763" t="s">
        <v>6766</v>
      </c>
      <c r="B763" s="61">
        <v>46661</v>
      </c>
      <c r="E763" t="s">
        <v>355</v>
      </c>
      <c r="F763" t="s">
        <v>364</v>
      </c>
      <c r="H763" t="s">
        <v>353</v>
      </c>
      <c r="I763">
        <v>4000299</v>
      </c>
      <c r="J763" t="s">
        <v>2926</v>
      </c>
      <c r="L763" t="s">
        <v>2927</v>
      </c>
      <c r="N763" t="s">
        <v>2928</v>
      </c>
      <c r="O763" t="s">
        <v>2929</v>
      </c>
    </row>
    <row r="764" spans="1:19" ht="409.5" x14ac:dyDescent="0.15">
      <c r="A764" t="s">
        <v>6796</v>
      </c>
      <c r="B764" s="61">
        <v>47119</v>
      </c>
      <c r="E764" t="s">
        <v>355</v>
      </c>
      <c r="F764" t="s">
        <v>385</v>
      </c>
      <c r="H764" t="s">
        <v>365</v>
      </c>
      <c r="I764">
        <v>4200087</v>
      </c>
      <c r="J764" t="s">
        <v>2930</v>
      </c>
      <c r="K764" t="s">
        <v>2931</v>
      </c>
      <c r="L764" t="s">
        <v>2932</v>
      </c>
      <c r="N764" t="s">
        <v>2933</v>
      </c>
      <c r="O764" t="s">
        <v>2934</v>
      </c>
      <c r="R764" t="s">
        <v>395</v>
      </c>
      <c r="S764" s="34" t="s">
        <v>2935</v>
      </c>
    </row>
    <row r="765" spans="1:19" ht="409.5" x14ac:dyDescent="0.15">
      <c r="A765" t="s">
        <v>6796</v>
      </c>
      <c r="B765" s="61">
        <v>47119</v>
      </c>
      <c r="E765" t="s">
        <v>355</v>
      </c>
      <c r="F765" t="s">
        <v>385</v>
      </c>
      <c r="H765" t="s">
        <v>365</v>
      </c>
      <c r="I765">
        <v>4200085</v>
      </c>
      <c r="J765" t="s">
        <v>2930</v>
      </c>
      <c r="K765" t="s">
        <v>2931</v>
      </c>
      <c r="L765" t="s">
        <v>2936</v>
      </c>
      <c r="N765" t="s">
        <v>2937</v>
      </c>
      <c r="O765" t="s">
        <v>2938</v>
      </c>
      <c r="R765" t="s">
        <v>395</v>
      </c>
      <c r="S765" s="34" t="s">
        <v>2939</v>
      </c>
    </row>
    <row r="766" spans="1:19" ht="409.5" x14ac:dyDescent="0.15">
      <c r="A766" t="s">
        <v>6766</v>
      </c>
      <c r="B766" s="61">
        <v>47150</v>
      </c>
      <c r="E766" t="s">
        <v>355</v>
      </c>
      <c r="F766" t="s">
        <v>385</v>
      </c>
      <c r="H766" t="s">
        <v>353</v>
      </c>
      <c r="I766">
        <v>4000936</v>
      </c>
      <c r="J766" t="s">
        <v>2940</v>
      </c>
      <c r="K766" t="s">
        <v>2941</v>
      </c>
      <c r="L766" t="s">
        <v>2942</v>
      </c>
      <c r="N766" t="s">
        <v>2943</v>
      </c>
      <c r="O766" t="s">
        <v>2944</v>
      </c>
      <c r="S766" s="34" t="s">
        <v>2945</v>
      </c>
    </row>
    <row r="767" spans="1:19" ht="409.5" x14ac:dyDescent="0.15">
      <c r="A767" t="s">
        <v>6766</v>
      </c>
      <c r="B767" s="61">
        <v>47239</v>
      </c>
      <c r="E767" t="s">
        <v>355</v>
      </c>
      <c r="F767" t="s">
        <v>364</v>
      </c>
      <c r="H767" t="s">
        <v>353</v>
      </c>
      <c r="I767">
        <v>4000527</v>
      </c>
      <c r="J767" t="s">
        <v>2946</v>
      </c>
      <c r="K767" t="s">
        <v>2947</v>
      </c>
      <c r="L767" t="s">
        <v>390</v>
      </c>
      <c r="N767" t="s">
        <v>2948</v>
      </c>
      <c r="O767" t="s">
        <v>2949</v>
      </c>
      <c r="P767" t="s">
        <v>7469</v>
      </c>
      <c r="Q767" t="s">
        <v>7470</v>
      </c>
      <c r="R767" t="s">
        <v>723</v>
      </c>
      <c r="S767" s="34" t="s">
        <v>2950</v>
      </c>
    </row>
    <row r="768" spans="1:19" ht="229.5" x14ac:dyDescent="0.15">
      <c r="A768" t="s">
        <v>6766</v>
      </c>
      <c r="B768" s="61">
        <v>47392</v>
      </c>
      <c r="E768" t="s">
        <v>355</v>
      </c>
      <c r="F768" t="s">
        <v>385</v>
      </c>
      <c r="H768" t="s">
        <v>353</v>
      </c>
      <c r="I768">
        <v>4000543</v>
      </c>
      <c r="J768" t="s">
        <v>2951</v>
      </c>
      <c r="L768" t="s">
        <v>698</v>
      </c>
      <c r="N768" t="s">
        <v>2952</v>
      </c>
      <c r="O768" t="s">
        <v>2953</v>
      </c>
      <c r="R768" s="34" t="s">
        <v>768</v>
      </c>
      <c r="S768" s="34" t="s">
        <v>2954</v>
      </c>
    </row>
    <row r="769" spans="1:19" ht="364.5" x14ac:dyDescent="0.15">
      <c r="A769" t="s">
        <v>6796</v>
      </c>
      <c r="B769" s="61">
        <v>47727</v>
      </c>
      <c r="E769" t="s">
        <v>355</v>
      </c>
      <c r="F769" t="s">
        <v>385</v>
      </c>
      <c r="H769" t="s">
        <v>353</v>
      </c>
      <c r="I769">
        <v>4200034</v>
      </c>
      <c r="J769" t="s">
        <v>2893</v>
      </c>
      <c r="K769" t="s">
        <v>2894</v>
      </c>
      <c r="L769" t="s">
        <v>2778</v>
      </c>
      <c r="N769" t="s">
        <v>2895</v>
      </c>
      <c r="O769" t="s">
        <v>2896</v>
      </c>
      <c r="R769" t="s">
        <v>386</v>
      </c>
      <c r="S769" s="34" t="s">
        <v>2897</v>
      </c>
    </row>
    <row r="770" spans="1:19" ht="409.5" x14ac:dyDescent="0.15">
      <c r="A770" t="s">
        <v>6766</v>
      </c>
      <c r="B770" s="61">
        <v>47788</v>
      </c>
      <c r="E770" t="s">
        <v>355</v>
      </c>
      <c r="F770" t="s">
        <v>385</v>
      </c>
      <c r="H770" t="s">
        <v>365</v>
      </c>
      <c r="I770">
        <v>4000382</v>
      </c>
      <c r="J770" t="s">
        <v>1063</v>
      </c>
      <c r="K770" t="s">
        <v>2898</v>
      </c>
      <c r="L770" t="s">
        <v>2899</v>
      </c>
      <c r="N770" t="s">
        <v>2900</v>
      </c>
      <c r="O770" t="s">
        <v>2901</v>
      </c>
      <c r="R770" t="s">
        <v>395</v>
      </c>
      <c r="S770" s="34" t="s">
        <v>2902</v>
      </c>
    </row>
    <row r="771" spans="1:19" ht="229.5" x14ac:dyDescent="0.15">
      <c r="A771" t="s">
        <v>6796</v>
      </c>
      <c r="B771" s="61">
        <v>47788</v>
      </c>
      <c r="E771" t="s">
        <v>355</v>
      </c>
      <c r="F771" t="s">
        <v>385</v>
      </c>
      <c r="H771" t="s">
        <v>353</v>
      </c>
      <c r="I771">
        <v>4200064</v>
      </c>
      <c r="J771" t="s">
        <v>2893</v>
      </c>
      <c r="K771" t="s">
        <v>2903</v>
      </c>
      <c r="L771" t="s">
        <v>2778</v>
      </c>
      <c r="N771" t="s">
        <v>2904</v>
      </c>
      <c r="O771" t="s">
        <v>2905</v>
      </c>
      <c r="R771" t="s">
        <v>386</v>
      </c>
      <c r="S771" s="34" t="s">
        <v>2906</v>
      </c>
    </row>
    <row r="772" spans="1:19" ht="409.5" x14ac:dyDescent="0.15">
      <c r="A772" t="s">
        <v>6766</v>
      </c>
      <c r="B772" s="61">
        <v>47880</v>
      </c>
      <c r="E772" t="s">
        <v>355</v>
      </c>
      <c r="F772" t="s">
        <v>385</v>
      </c>
      <c r="H772" t="s">
        <v>353</v>
      </c>
      <c r="I772">
        <v>4100089</v>
      </c>
      <c r="J772" t="s">
        <v>2886</v>
      </c>
      <c r="K772" t="s">
        <v>2887</v>
      </c>
      <c r="L772" t="s">
        <v>1769</v>
      </c>
      <c r="N772" t="s">
        <v>2907</v>
      </c>
      <c r="O772" t="s">
        <v>2889</v>
      </c>
      <c r="R772" s="34" t="s">
        <v>2955</v>
      </c>
      <c r="S772" s="34" t="s">
        <v>2909</v>
      </c>
    </row>
    <row r="773" spans="1:19" x14ac:dyDescent="0.15">
      <c r="A773" t="s">
        <v>6766</v>
      </c>
      <c r="B773" s="61">
        <v>47939</v>
      </c>
      <c r="E773" t="s">
        <v>355</v>
      </c>
      <c r="F773" t="s">
        <v>364</v>
      </c>
      <c r="H773" t="s">
        <v>353</v>
      </c>
      <c r="I773">
        <v>4000964</v>
      </c>
      <c r="J773" t="s">
        <v>2915</v>
      </c>
      <c r="K773" t="s">
        <v>2916</v>
      </c>
      <c r="L773" t="s">
        <v>466</v>
      </c>
      <c r="N773" t="s">
        <v>2917</v>
      </c>
      <c r="O773" t="s">
        <v>2918</v>
      </c>
    </row>
    <row r="774" spans="1:19" ht="405" x14ac:dyDescent="0.15">
      <c r="A774" t="s">
        <v>6796</v>
      </c>
      <c r="B774" s="61">
        <v>48061</v>
      </c>
      <c r="E774" t="s">
        <v>355</v>
      </c>
      <c r="F774" t="s">
        <v>385</v>
      </c>
      <c r="H774" t="s">
        <v>353</v>
      </c>
      <c r="I774">
        <v>4100117</v>
      </c>
      <c r="J774" t="s">
        <v>2919</v>
      </c>
      <c r="L774" t="s">
        <v>1118</v>
      </c>
      <c r="N774" t="s">
        <v>2920</v>
      </c>
      <c r="O774" t="s">
        <v>2921</v>
      </c>
      <c r="R774" t="s">
        <v>386</v>
      </c>
      <c r="S774" s="34" t="s">
        <v>2922</v>
      </c>
    </row>
    <row r="775" spans="1:19" x14ac:dyDescent="0.15">
      <c r="A775" t="s">
        <v>6766</v>
      </c>
      <c r="B775" s="61">
        <v>48122</v>
      </c>
      <c r="E775" t="s">
        <v>355</v>
      </c>
      <c r="F775" t="s">
        <v>364</v>
      </c>
      <c r="H775" t="s">
        <v>353</v>
      </c>
      <c r="I775">
        <v>4000299</v>
      </c>
      <c r="J775" t="s">
        <v>2926</v>
      </c>
      <c r="L775" t="s">
        <v>2927</v>
      </c>
      <c r="N775" t="s">
        <v>2928</v>
      </c>
      <c r="O775" t="s">
        <v>2929</v>
      </c>
    </row>
    <row r="776" spans="1:19" ht="243" x14ac:dyDescent="0.15">
      <c r="A776" t="s">
        <v>2956</v>
      </c>
      <c r="B776" s="61">
        <v>46296</v>
      </c>
      <c r="E776" t="s">
        <v>355</v>
      </c>
      <c r="F776" t="s">
        <v>385</v>
      </c>
      <c r="H776" t="s">
        <v>365</v>
      </c>
      <c r="I776">
        <v>3300093</v>
      </c>
      <c r="J776" t="s">
        <v>2963</v>
      </c>
      <c r="K776" t="s">
        <v>2964</v>
      </c>
      <c r="L776" t="s">
        <v>1957</v>
      </c>
      <c r="N776" t="s">
        <v>2965</v>
      </c>
      <c r="O776" t="s">
        <v>2966</v>
      </c>
      <c r="R776" t="s">
        <v>395</v>
      </c>
      <c r="S776" s="34" t="s">
        <v>2967</v>
      </c>
    </row>
    <row r="777" spans="1:19" x14ac:dyDescent="0.15">
      <c r="A777" t="s">
        <v>2956</v>
      </c>
      <c r="B777" s="61">
        <v>46447</v>
      </c>
      <c r="E777" t="s">
        <v>355</v>
      </c>
      <c r="F777" t="s">
        <v>364</v>
      </c>
      <c r="H777" t="s">
        <v>365</v>
      </c>
      <c r="I777">
        <v>3300446</v>
      </c>
      <c r="J777" t="s">
        <v>2968</v>
      </c>
      <c r="K777" t="s">
        <v>2969</v>
      </c>
      <c r="L777" t="s">
        <v>698</v>
      </c>
      <c r="N777" t="s">
        <v>2970</v>
      </c>
      <c r="O777" t="s">
        <v>2971</v>
      </c>
    </row>
    <row r="778" spans="1:19" x14ac:dyDescent="0.15">
      <c r="A778" t="s">
        <v>1354</v>
      </c>
      <c r="B778" s="61">
        <v>46478</v>
      </c>
      <c r="E778" t="s">
        <v>355</v>
      </c>
      <c r="F778" t="s">
        <v>364</v>
      </c>
      <c r="H778" t="s">
        <v>353</v>
      </c>
      <c r="I778">
        <v>3100079</v>
      </c>
      <c r="J778" t="s">
        <v>1065</v>
      </c>
      <c r="K778" t="s">
        <v>2972</v>
      </c>
      <c r="L778" t="s">
        <v>2973</v>
      </c>
      <c r="N778" t="s">
        <v>2974</v>
      </c>
      <c r="O778" t="s">
        <v>2975</v>
      </c>
    </row>
    <row r="779" spans="1:19" x14ac:dyDescent="0.15">
      <c r="A779" t="s">
        <v>2956</v>
      </c>
      <c r="B779" s="61">
        <v>46508</v>
      </c>
      <c r="E779" t="s">
        <v>355</v>
      </c>
      <c r="F779" t="s">
        <v>364</v>
      </c>
      <c r="H779" t="s">
        <v>365</v>
      </c>
      <c r="I779">
        <v>3300186</v>
      </c>
      <c r="J779" t="s">
        <v>2822</v>
      </c>
      <c r="K779" t="s">
        <v>1914</v>
      </c>
      <c r="L779" t="s">
        <v>2976</v>
      </c>
      <c r="N779" t="s">
        <v>2977</v>
      </c>
      <c r="O779" t="s">
        <v>2978</v>
      </c>
    </row>
    <row r="780" spans="1:19" x14ac:dyDescent="0.15">
      <c r="A780" t="s">
        <v>2956</v>
      </c>
      <c r="B780" s="61">
        <v>46631</v>
      </c>
      <c r="E780" t="s">
        <v>355</v>
      </c>
      <c r="F780" t="s">
        <v>364</v>
      </c>
      <c r="H780" t="s">
        <v>353</v>
      </c>
      <c r="I780">
        <v>3300365</v>
      </c>
      <c r="J780" t="s">
        <v>2822</v>
      </c>
      <c r="K780" t="s">
        <v>1914</v>
      </c>
      <c r="L780" t="s">
        <v>2979</v>
      </c>
      <c r="N780" t="s">
        <v>2980</v>
      </c>
      <c r="O780" t="s">
        <v>2981</v>
      </c>
    </row>
    <row r="781" spans="1:19" x14ac:dyDescent="0.15">
      <c r="A781" t="s">
        <v>2956</v>
      </c>
      <c r="B781" s="61">
        <v>46692</v>
      </c>
      <c r="E781" t="s">
        <v>355</v>
      </c>
      <c r="F781" t="s">
        <v>364</v>
      </c>
      <c r="H781" t="s">
        <v>365</v>
      </c>
      <c r="I781">
        <v>3300186</v>
      </c>
      <c r="J781" t="s">
        <v>2822</v>
      </c>
      <c r="K781" t="s">
        <v>1914</v>
      </c>
      <c r="L781" t="s">
        <v>2976</v>
      </c>
      <c r="N781" t="s">
        <v>2982</v>
      </c>
      <c r="O781" t="s">
        <v>2978</v>
      </c>
    </row>
    <row r="782" spans="1:19" x14ac:dyDescent="0.15">
      <c r="A782" t="s">
        <v>2956</v>
      </c>
      <c r="B782" s="61">
        <v>46753</v>
      </c>
      <c r="E782" t="s">
        <v>355</v>
      </c>
      <c r="F782" t="s">
        <v>364</v>
      </c>
      <c r="H782" t="s">
        <v>353</v>
      </c>
      <c r="I782">
        <v>3300075</v>
      </c>
      <c r="J782" t="s">
        <v>2983</v>
      </c>
      <c r="K782" t="s">
        <v>1251</v>
      </c>
      <c r="L782" t="s">
        <v>1957</v>
      </c>
      <c r="N782" t="s">
        <v>2984</v>
      </c>
      <c r="O782" t="s">
        <v>2985</v>
      </c>
    </row>
    <row r="783" spans="1:19" x14ac:dyDescent="0.15">
      <c r="A783" t="s">
        <v>2956</v>
      </c>
      <c r="B783" s="61">
        <v>47058</v>
      </c>
      <c r="E783" t="s">
        <v>355</v>
      </c>
      <c r="F783" t="s">
        <v>364</v>
      </c>
      <c r="H783" t="s">
        <v>353</v>
      </c>
      <c r="I783">
        <v>3300631</v>
      </c>
      <c r="J783" t="s">
        <v>2134</v>
      </c>
      <c r="K783" t="s">
        <v>1071</v>
      </c>
      <c r="L783" t="s">
        <v>2986</v>
      </c>
      <c r="N783" t="s">
        <v>2987</v>
      </c>
      <c r="O783" t="s">
        <v>2988</v>
      </c>
    </row>
    <row r="784" spans="1:19" x14ac:dyDescent="0.15">
      <c r="A784" t="s">
        <v>2956</v>
      </c>
      <c r="B784" s="61">
        <v>47150</v>
      </c>
      <c r="E784" t="s">
        <v>355</v>
      </c>
      <c r="F784" t="s">
        <v>364</v>
      </c>
      <c r="H784" t="s">
        <v>353</v>
      </c>
      <c r="I784">
        <v>3300409</v>
      </c>
      <c r="J784" t="s">
        <v>2989</v>
      </c>
      <c r="K784" t="s">
        <v>1914</v>
      </c>
      <c r="L784" t="s">
        <v>2990</v>
      </c>
      <c r="N784" t="s">
        <v>2991</v>
      </c>
      <c r="O784" t="s">
        <v>2992</v>
      </c>
    </row>
    <row r="785" spans="1:19" ht="229.5" x14ac:dyDescent="0.15">
      <c r="A785" t="s">
        <v>2956</v>
      </c>
      <c r="B785" s="61">
        <v>47543</v>
      </c>
      <c r="E785" t="s">
        <v>355</v>
      </c>
      <c r="F785" t="s">
        <v>385</v>
      </c>
      <c r="H785" t="s">
        <v>353</v>
      </c>
      <c r="I785">
        <v>3300287</v>
      </c>
      <c r="J785" t="s">
        <v>2957</v>
      </c>
      <c r="K785" t="s">
        <v>2958</v>
      </c>
      <c r="L785" t="s">
        <v>2959</v>
      </c>
      <c r="N785" t="s">
        <v>2960</v>
      </c>
      <c r="O785" t="s">
        <v>2961</v>
      </c>
      <c r="R785" s="34" t="s">
        <v>768</v>
      </c>
      <c r="S785" s="34" t="s">
        <v>2962</v>
      </c>
    </row>
    <row r="786" spans="1:19" x14ac:dyDescent="0.15">
      <c r="A786" t="s">
        <v>2956</v>
      </c>
      <c r="B786" s="61">
        <v>47969</v>
      </c>
      <c r="E786" t="s">
        <v>355</v>
      </c>
      <c r="F786" t="s">
        <v>364</v>
      </c>
      <c r="H786" t="s">
        <v>365</v>
      </c>
      <c r="I786">
        <v>3300186</v>
      </c>
      <c r="J786" t="s">
        <v>2822</v>
      </c>
      <c r="K786" t="s">
        <v>1914</v>
      </c>
      <c r="L786" t="s">
        <v>2976</v>
      </c>
      <c r="N786" t="s">
        <v>2977</v>
      </c>
      <c r="O786" t="s">
        <v>2978</v>
      </c>
    </row>
    <row r="787" spans="1:19" x14ac:dyDescent="0.15">
      <c r="A787" t="s">
        <v>2956</v>
      </c>
      <c r="B787" s="61">
        <v>48153</v>
      </c>
      <c r="E787" t="s">
        <v>355</v>
      </c>
      <c r="F787" t="s">
        <v>364</v>
      </c>
      <c r="H787" t="s">
        <v>365</v>
      </c>
      <c r="I787">
        <v>3300186</v>
      </c>
      <c r="J787" t="s">
        <v>2822</v>
      </c>
      <c r="K787" t="s">
        <v>1914</v>
      </c>
      <c r="L787" t="s">
        <v>2976</v>
      </c>
      <c r="N787" t="s">
        <v>2982</v>
      </c>
      <c r="O787" t="s">
        <v>2978</v>
      </c>
    </row>
    <row r="788" spans="1:19" x14ac:dyDescent="0.15">
      <c r="A788" t="s">
        <v>2956</v>
      </c>
      <c r="B788" s="61">
        <v>48214</v>
      </c>
      <c r="E788" t="s">
        <v>355</v>
      </c>
      <c r="F788" t="s">
        <v>364</v>
      </c>
      <c r="H788" t="s">
        <v>353</v>
      </c>
      <c r="I788">
        <v>3300075</v>
      </c>
      <c r="J788" t="s">
        <v>2983</v>
      </c>
      <c r="K788" t="s">
        <v>1251</v>
      </c>
      <c r="L788" t="s">
        <v>1957</v>
      </c>
      <c r="N788" t="s">
        <v>2984</v>
      </c>
      <c r="O788" t="s">
        <v>2985</v>
      </c>
    </row>
    <row r="789" spans="1:19" ht="409.5" x14ac:dyDescent="0.15">
      <c r="A789" t="s">
        <v>2993</v>
      </c>
      <c r="B789" s="61">
        <v>46235</v>
      </c>
      <c r="E789" t="s">
        <v>355</v>
      </c>
      <c r="F789" t="s">
        <v>969</v>
      </c>
      <c r="H789" t="s">
        <v>970</v>
      </c>
      <c r="I789">
        <v>1300209</v>
      </c>
      <c r="J789" t="s">
        <v>3009</v>
      </c>
      <c r="K789" t="s">
        <v>3010</v>
      </c>
      <c r="L789" t="s">
        <v>3011</v>
      </c>
      <c r="N789" t="s">
        <v>3012</v>
      </c>
      <c r="O789" t="s">
        <v>3013</v>
      </c>
      <c r="R789" s="34" t="s">
        <v>3014</v>
      </c>
      <c r="S789" s="34" t="s">
        <v>3015</v>
      </c>
    </row>
    <row r="790" spans="1:19" ht="409.5" x14ac:dyDescent="0.15">
      <c r="A790" t="s">
        <v>2993</v>
      </c>
      <c r="B790" s="61">
        <v>46753</v>
      </c>
      <c r="E790" t="s">
        <v>355</v>
      </c>
      <c r="F790" t="s">
        <v>385</v>
      </c>
      <c r="H790" t="s">
        <v>365</v>
      </c>
      <c r="I790">
        <v>1301673</v>
      </c>
      <c r="J790" t="s">
        <v>2994</v>
      </c>
      <c r="K790" t="s">
        <v>2995</v>
      </c>
      <c r="L790" t="s">
        <v>2998</v>
      </c>
      <c r="N790" t="s">
        <v>2999</v>
      </c>
      <c r="O790" t="s">
        <v>2997</v>
      </c>
      <c r="R790" t="s">
        <v>395</v>
      </c>
      <c r="S790" s="34" t="s">
        <v>3000</v>
      </c>
    </row>
    <row r="791" spans="1:19" ht="409.5" x14ac:dyDescent="0.15">
      <c r="A791" t="s">
        <v>1424</v>
      </c>
      <c r="B791" s="61">
        <v>47119</v>
      </c>
      <c r="E791" t="s">
        <v>355</v>
      </c>
      <c r="F791" t="s">
        <v>385</v>
      </c>
      <c r="H791" t="s">
        <v>353</v>
      </c>
      <c r="I791">
        <v>1201546</v>
      </c>
      <c r="J791" t="s">
        <v>3016</v>
      </c>
      <c r="K791" t="s">
        <v>3017</v>
      </c>
      <c r="L791" t="s">
        <v>3018</v>
      </c>
      <c r="N791" t="s">
        <v>3019</v>
      </c>
      <c r="O791" t="s">
        <v>3020</v>
      </c>
      <c r="R791" t="s">
        <v>386</v>
      </c>
      <c r="S791" s="34" t="s">
        <v>5148</v>
      </c>
    </row>
    <row r="792" spans="1:19" x14ac:dyDescent="0.15">
      <c r="A792" t="s">
        <v>2993</v>
      </c>
      <c r="B792" s="61">
        <v>47150</v>
      </c>
      <c r="E792" t="s">
        <v>355</v>
      </c>
      <c r="F792" t="s">
        <v>364</v>
      </c>
      <c r="H792" t="s">
        <v>365</v>
      </c>
      <c r="I792">
        <v>1300144</v>
      </c>
      <c r="J792" t="s">
        <v>3005</v>
      </c>
      <c r="K792" t="s">
        <v>3006</v>
      </c>
      <c r="L792" t="s">
        <v>3007</v>
      </c>
      <c r="N792" t="s">
        <v>3021</v>
      </c>
      <c r="O792" t="s">
        <v>3008</v>
      </c>
    </row>
    <row r="793" spans="1:19" ht="216" x14ac:dyDescent="0.15">
      <c r="A793" t="s">
        <v>2993</v>
      </c>
      <c r="B793" s="61">
        <v>47300</v>
      </c>
      <c r="E793" t="s">
        <v>355</v>
      </c>
      <c r="F793" t="s">
        <v>385</v>
      </c>
      <c r="H793" t="s">
        <v>353</v>
      </c>
      <c r="I793">
        <v>1300209</v>
      </c>
      <c r="J793" t="s">
        <v>3009</v>
      </c>
      <c r="K793" t="s">
        <v>3010</v>
      </c>
      <c r="L793" t="s">
        <v>3011</v>
      </c>
      <c r="N793" t="s">
        <v>3022</v>
      </c>
      <c r="O793" t="s">
        <v>3013</v>
      </c>
      <c r="R793" s="34" t="s">
        <v>768</v>
      </c>
      <c r="S793" s="34" t="s">
        <v>3023</v>
      </c>
    </row>
    <row r="794" spans="1:19" x14ac:dyDescent="0.15">
      <c r="A794" t="s">
        <v>3024</v>
      </c>
      <c r="B794" s="61">
        <v>46600</v>
      </c>
      <c r="E794" t="s">
        <v>355</v>
      </c>
      <c r="F794" t="s">
        <v>364</v>
      </c>
      <c r="H794" t="s">
        <v>365</v>
      </c>
      <c r="I794">
        <v>1301371</v>
      </c>
      <c r="J794" t="s">
        <v>3025</v>
      </c>
      <c r="L794" t="s">
        <v>820</v>
      </c>
      <c r="N794" t="s">
        <v>3026</v>
      </c>
      <c r="O794" t="s">
        <v>3027</v>
      </c>
    </row>
    <row r="795" spans="1:19" ht="270" x14ac:dyDescent="0.15">
      <c r="A795" t="s">
        <v>3024</v>
      </c>
      <c r="B795" s="61">
        <v>46966</v>
      </c>
      <c r="E795" t="s">
        <v>355</v>
      </c>
      <c r="F795" t="s">
        <v>543</v>
      </c>
      <c r="H795" t="s">
        <v>310</v>
      </c>
      <c r="I795">
        <v>1301260</v>
      </c>
      <c r="J795" t="s">
        <v>3028</v>
      </c>
      <c r="K795" t="s">
        <v>3029</v>
      </c>
      <c r="L795" t="s">
        <v>3030</v>
      </c>
      <c r="N795" t="s">
        <v>3031</v>
      </c>
      <c r="O795" t="s">
        <v>3032</v>
      </c>
      <c r="R795" t="s">
        <v>545</v>
      </c>
      <c r="S795" s="34" t="s">
        <v>3033</v>
      </c>
    </row>
    <row r="796" spans="1:19" ht="229.5" x14ac:dyDescent="0.15">
      <c r="A796" t="s">
        <v>3024</v>
      </c>
      <c r="B796" s="61">
        <v>47331</v>
      </c>
      <c r="E796" t="s">
        <v>355</v>
      </c>
      <c r="F796" t="s">
        <v>385</v>
      </c>
      <c r="H796" t="s">
        <v>353</v>
      </c>
      <c r="I796">
        <v>1200885</v>
      </c>
      <c r="J796" t="s">
        <v>3034</v>
      </c>
      <c r="K796" t="s">
        <v>3035</v>
      </c>
      <c r="L796" t="s">
        <v>3036</v>
      </c>
      <c r="N796" t="s">
        <v>3037</v>
      </c>
      <c r="O796" t="s">
        <v>3038</v>
      </c>
      <c r="R796" t="s">
        <v>386</v>
      </c>
      <c r="S796" s="34" t="s">
        <v>3039</v>
      </c>
    </row>
    <row r="797" spans="1:19" ht="270" x14ac:dyDescent="0.15">
      <c r="A797" t="s">
        <v>3024</v>
      </c>
      <c r="B797" s="61">
        <v>47331</v>
      </c>
      <c r="E797" t="s">
        <v>355</v>
      </c>
      <c r="F797" t="s">
        <v>385</v>
      </c>
      <c r="H797" t="s">
        <v>310</v>
      </c>
      <c r="I797">
        <v>1301260</v>
      </c>
      <c r="J797" t="s">
        <v>3028</v>
      </c>
      <c r="K797" t="s">
        <v>3029</v>
      </c>
      <c r="L797" t="s">
        <v>3030</v>
      </c>
      <c r="N797" t="s">
        <v>3031</v>
      </c>
      <c r="O797" t="s">
        <v>3032</v>
      </c>
      <c r="R797" t="s">
        <v>395</v>
      </c>
      <c r="S797" s="34" t="s">
        <v>3033</v>
      </c>
    </row>
    <row r="798" spans="1:19" x14ac:dyDescent="0.15">
      <c r="A798" t="s">
        <v>3040</v>
      </c>
      <c r="B798" s="61">
        <v>46447</v>
      </c>
      <c r="E798" t="s">
        <v>355</v>
      </c>
      <c r="F798" t="s">
        <v>364</v>
      </c>
      <c r="H798" t="s">
        <v>353</v>
      </c>
      <c r="I798">
        <v>3600177</v>
      </c>
      <c r="J798" t="s">
        <v>3041</v>
      </c>
      <c r="K798" t="s">
        <v>3042</v>
      </c>
      <c r="L798" t="s">
        <v>466</v>
      </c>
      <c r="N798" t="s">
        <v>3043</v>
      </c>
      <c r="O798" t="s">
        <v>3044</v>
      </c>
    </row>
    <row r="799" spans="1:19" x14ac:dyDescent="0.15">
      <c r="A799" t="s">
        <v>3040</v>
      </c>
      <c r="B799" s="61">
        <v>46508</v>
      </c>
      <c r="E799" t="s">
        <v>355</v>
      </c>
      <c r="F799" t="s">
        <v>364</v>
      </c>
      <c r="H799" t="s">
        <v>353</v>
      </c>
      <c r="I799">
        <v>3600059</v>
      </c>
      <c r="J799" t="s">
        <v>3045</v>
      </c>
      <c r="L799" t="s">
        <v>3046</v>
      </c>
      <c r="N799" t="s">
        <v>3047</v>
      </c>
      <c r="O799" t="s">
        <v>3048</v>
      </c>
    </row>
    <row r="800" spans="1:19" ht="409.5" x14ac:dyDescent="0.15">
      <c r="A800" t="s">
        <v>3040</v>
      </c>
      <c r="B800" s="61">
        <v>47300</v>
      </c>
      <c r="E800" t="s">
        <v>355</v>
      </c>
      <c r="F800" t="s">
        <v>385</v>
      </c>
      <c r="H800" t="s">
        <v>353</v>
      </c>
      <c r="I800">
        <v>3600177</v>
      </c>
      <c r="J800" t="s">
        <v>3041</v>
      </c>
      <c r="K800" t="s">
        <v>3042</v>
      </c>
      <c r="L800" t="s">
        <v>466</v>
      </c>
      <c r="N800" t="s">
        <v>3049</v>
      </c>
      <c r="O800" t="s">
        <v>3044</v>
      </c>
      <c r="R800" s="34" t="s">
        <v>768</v>
      </c>
      <c r="S800" s="34" t="s">
        <v>3050</v>
      </c>
    </row>
    <row r="801" spans="1:19" x14ac:dyDescent="0.15">
      <c r="A801" t="s">
        <v>3040</v>
      </c>
      <c r="B801" s="61">
        <v>47908</v>
      </c>
      <c r="E801" t="s">
        <v>355</v>
      </c>
      <c r="F801" t="s">
        <v>364</v>
      </c>
      <c r="H801" t="s">
        <v>353</v>
      </c>
      <c r="I801">
        <v>3600177</v>
      </c>
      <c r="J801" t="s">
        <v>3041</v>
      </c>
      <c r="K801" t="s">
        <v>3042</v>
      </c>
      <c r="L801" t="s">
        <v>466</v>
      </c>
      <c r="N801" t="s">
        <v>3043</v>
      </c>
      <c r="O801" t="s">
        <v>3044</v>
      </c>
    </row>
    <row r="802" spans="1:19" x14ac:dyDescent="0.15">
      <c r="A802" t="s">
        <v>3040</v>
      </c>
      <c r="B802" s="61">
        <v>47969</v>
      </c>
      <c r="E802" t="s">
        <v>355</v>
      </c>
      <c r="F802" t="s">
        <v>364</v>
      </c>
      <c r="H802" t="s">
        <v>353</v>
      </c>
      <c r="I802">
        <v>3600059</v>
      </c>
      <c r="J802" t="s">
        <v>3045</v>
      </c>
      <c r="L802" t="s">
        <v>3046</v>
      </c>
      <c r="N802" t="s">
        <v>3047</v>
      </c>
      <c r="O802" t="s">
        <v>3048</v>
      </c>
    </row>
    <row r="803" spans="1:19" ht="409.5" x14ac:dyDescent="0.15">
      <c r="A803" t="s">
        <v>3051</v>
      </c>
      <c r="B803" s="61">
        <v>46327</v>
      </c>
      <c r="E803" t="s">
        <v>355</v>
      </c>
      <c r="F803" t="s">
        <v>356</v>
      </c>
      <c r="H803" t="s">
        <v>365</v>
      </c>
      <c r="I803">
        <v>801404</v>
      </c>
      <c r="J803" t="s">
        <v>3053</v>
      </c>
      <c r="K803" t="s">
        <v>403</v>
      </c>
      <c r="L803" t="s">
        <v>2041</v>
      </c>
      <c r="N803" t="s">
        <v>3054</v>
      </c>
      <c r="O803" t="s">
        <v>3055</v>
      </c>
      <c r="R803" t="s">
        <v>362</v>
      </c>
      <c r="S803" s="34" t="s">
        <v>3056</v>
      </c>
    </row>
    <row r="804" spans="1:19" x14ac:dyDescent="0.15">
      <c r="A804" t="s">
        <v>3051</v>
      </c>
      <c r="B804" s="61">
        <v>46478</v>
      </c>
      <c r="E804" t="s">
        <v>355</v>
      </c>
      <c r="F804" t="s">
        <v>364</v>
      </c>
      <c r="H804" t="s">
        <v>353</v>
      </c>
      <c r="I804">
        <v>900127</v>
      </c>
      <c r="J804" t="s">
        <v>3057</v>
      </c>
      <c r="K804" t="s">
        <v>3058</v>
      </c>
      <c r="L804" t="s">
        <v>3059</v>
      </c>
      <c r="N804" t="s">
        <v>3060</v>
      </c>
      <c r="O804" t="s">
        <v>3061</v>
      </c>
    </row>
    <row r="805" spans="1:19" x14ac:dyDescent="0.15">
      <c r="A805" t="s">
        <v>3051</v>
      </c>
      <c r="B805" s="61">
        <v>46569</v>
      </c>
      <c r="E805" t="s">
        <v>355</v>
      </c>
      <c r="F805" t="s">
        <v>364</v>
      </c>
      <c r="H805" t="s">
        <v>365</v>
      </c>
      <c r="I805">
        <v>800108</v>
      </c>
      <c r="J805" t="s">
        <v>3062</v>
      </c>
      <c r="K805" t="s">
        <v>3063</v>
      </c>
      <c r="L805" t="s">
        <v>3064</v>
      </c>
      <c r="N805" t="s">
        <v>3065</v>
      </c>
      <c r="O805" t="s">
        <v>3066</v>
      </c>
    </row>
    <row r="806" spans="1:19" x14ac:dyDescent="0.15">
      <c r="A806" t="s">
        <v>3051</v>
      </c>
      <c r="B806" s="61">
        <v>46600</v>
      </c>
      <c r="E806" t="s">
        <v>355</v>
      </c>
      <c r="F806" t="s">
        <v>364</v>
      </c>
      <c r="H806" t="s">
        <v>365</v>
      </c>
      <c r="I806">
        <v>900126</v>
      </c>
      <c r="J806" t="s">
        <v>3057</v>
      </c>
      <c r="K806" t="s">
        <v>3058</v>
      </c>
      <c r="L806" t="s">
        <v>3067</v>
      </c>
      <c r="N806" t="s">
        <v>3068</v>
      </c>
      <c r="O806" t="s">
        <v>3069</v>
      </c>
    </row>
    <row r="807" spans="1:19" x14ac:dyDescent="0.15">
      <c r="A807" t="s">
        <v>3051</v>
      </c>
      <c r="B807" s="61">
        <v>46600</v>
      </c>
      <c r="E807" t="s">
        <v>355</v>
      </c>
      <c r="F807" t="s">
        <v>364</v>
      </c>
      <c r="H807" t="s">
        <v>365</v>
      </c>
      <c r="I807">
        <v>900799</v>
      </c>
      <c r="J807" t="s">
        <v>3070</v>
      </c>
      <c r="K807" t="s">
        <v>3071</v>
      </c>
      <c r="L807" t="s">
        <v>390</v>
      </c>
      <c r="N807" t="s">
        <v>3072</v>
      </c>
      <c r="O807" t="s">
        <v>3073</v>
      </c>
    </row>
    <row r="808" spans="1:19" x14ac:dyDescent="0.15">
      <c r="A808" t="s">
        <v>3051</v>
      </c>
      <c r="B808" s="61">
        <v>46844</v>
      </c>
      <c r="E808" t="s">
        <v>355</v>
      </c>
      <c r="F808" t="s">
        <v>364</v>
      </c>
      <c r="H808" t="s">
        <v>353</v>
      </c>
      <c r="I808">
        <v>900127</v>
      </c>
      <c r="J808" t="s">
        <v>3057</v>
      </c>
      <c r="K808" t="s">
        <v>3058</v>
      </c>
      <c r="L808" t="s">
        <v>3059</v>
      </c>
      <c r="N808" t="s">
        <v>3074</v>
      </c>
      <c r="O808" t="s">
        <v>3061</v>
      </c>
    </row>
    <row r="809" spans="1:19" x14ac:dyDescent="0.15">
      <c r="A809" t="s">
        <v>3051</v>
      </c>
      <c r="B809" s="61">
        <v>46844</v>
      </c>
      <c r="E809" t="s">
        <v>355</v>
      </c>
      <c r="F809" t="s">
        <v>364</v>
      </c>
      <c r="H809" t="s">
        <v>365</v>
      </c>
      <c r="I809">
        <v>900969</v>
      </c>
      <c r="J809" t="s">
        <v>1525</v>
      </c>
      <c r="K809" t="s">
        <v>3052</v>
      </c>
      <c r="L809" t="s">
        <v>3075</v>
      </c>
      <c r="N809" t="s">
        <v>3076</v>
      </c>
      <c r="O809" t="s">
        <v>3077</v>
      </c>
    </row>
    <row r="810" spans="1:19" x14ac:dyDescent="0.15">
      <c r="A810" t="s">
        <v>3051</v>
      </c>
      <c r="B810" s="61">
        <v>46935</v>
      </c>
      <c r="E810" t="s">
        <v>355</v>
      </c>
      <c r="F810" t="s">
        <v>364</v>
      </c>
      <c r="H810" t="s">
        <v>365</v>
      </c>
      <c r="I810">
        <v>900126</v>
      </c>
      <c r="J810" t="s">
        <v>3057</v>
      </c>
      <c r="K810" t="s">
        <v>3058</v>
      </c>
      <c r="L810" t="s">
        <v>3067</v>
      </c>
      <c r="N810" t="s">
        <v>3078</v>
      </c>
      <c r="O810" t="s">
        <v>3069</v>
      </c>
    </row>
    <row r="811" spans="1:19" ht="351" x14ac:dyDescent="0.15">
      <c r="A811" t="s">
        <v>3051</v>
      </c>
      <c r="B811" s="61">
        <v>47362</v>
      </c>
      <c r="E811" t="s">
        <v>355</v>
      </c>
      <c r="F811" t="s">
        <v>385</v>
      </c>
      <c r="H811" t="s">
        <v>353</v>
      </c>
      <c r="I811">
        <v>900977</v>
      </c>
      <c r="J811" t="s">
        <v>3079</v>
      </c>
      <c r="K811" t="s">
        <v>3080</v>
      </c>
      <c r="L811" t="s">
        <v>3081</v>
      </c>
      <c r="N811" t="s">
        <v>3082</v>
      </c>
      <c r="O811" t="s">
        <v>3083</v>
      </c>
      <c r="R811" s="34" t="s">
        <v>768</v>
      </c>
      <c r="S811" s="34" t="s">
        <v>3084</v>
      </c>
    </row>
    <row r="812" spans="1:19" ht="409.5" x14ac:dyDescent="0.15">
      <c r="A812" t="s">
        <v>3051</v>
      </c>
      <c r="B812" s="61">
        <v>47392</v>
      </c>
      <c r="E812" t="s">
        <v>355</v>
      </c>
      <c r="F812" t="s">
        <v>385</v>
      </c>
      <c r="H812" t="s">
        <v>365</v>
      </c>
      <c r="I812">
        <v>801404</v>
      </c>
      <c r="J812" t="s">
        <v>3053</v>
      </c>
      <c r="K812" t="s">
        <v>403</v>
      </c>
      <c r="L812" t="s">
        <v>2041</v>
      </c>
      <c r="N812" t="s">
        <v>3085</v>
      </c>
      <c r="O812" t="s">
        <v>3055</v>
      </c>
      <c r="R812" t="s">
        <v>395</v>
      </c>
      <c r="S812" s="34" t="s">
        <v>3086</v>
      </c>
    </row>
    <row r="813" spans="1:19" ht="364.5" x14ac:dyDescent="0.15">
      <c r="A813" t="s">
        <v>3051</v>
      </c>
      <c r="B813" s="61">
        <v>47515</v>
      </c>
      <c r="E813" t="s">
        <v>355</v>
      </c>
      <c r="F813" t="s">
        <v>385</v>
      </c>
      <c r="H813" t="s">
        <v>353</v>
      </c>
      <c r="I813">
        <v>900126</v>
      </c>
      <c r="J813" t="s">
        <v>3057</v>
      </c>
      <c r="K813" t="s">
        <v>3058</v>
      </c>
      <c r="L813" t="s">
        <v>3067</v>
      </c>
      <c r="N813" t="s">
        <v>3087</v>
      </c>
      <c r="O813" t="s">
        <v>3069</v>
      </c>
      <c r="R813" s="34" t="s">
        <v>768</v>
      </c>
      <c r="S813" s="34" t="s">
        <v>3088</v>
      </c>
    </row>
    <row r="814" spans="1:19" ht="409.5" x14ac:dyDescent="0.15">
      <c r="A814" t="s">
        <v>3051</v>
      </c>
      <c r="B814" s="61">
        <v>47788</v>
      </c>
      <c r="E814" t="s">
        <v>355</v>
      </c>
      <c r="F814" t="s">
        <v>385</v>
      </c>
      <c r="H814" t="s">
        <v>365</v>
      </c>
      <c r="I814">
        <v>801404</v>
      </c>
      <c r="J814" t="s">
        <v>3053</v>
      </c>
      <c r="K814" t="s">
        <v>403</v>
      </c>
      <c r="L814" t="s">
        <v>2041</v>
      </c>
      <c r="N814" t="s">
        <v>3054</v>
      </c>
      <c r="O814" t="s">
        <v>3055</v>
      </c>
      <c r="R814" t="s">
        <v>395</v>
      </c>
      <c r="S814" s="34" t="s">
        <v>3056</v>
      </c>
    </row>
    <row r="815" spans="1:19" x14ac:dyDescent="0.15">
      <c r="A815" t="s">
        <v>3051</v>
      </c>
      <c r="B815" s="61">
        <v>47939</v>
      </c>
      <c r="E815" t="s">
        <v>355</v>
      </c>
      <c r="F815" t="s">
        <v>364</v>
      </c>
      <c r="H815" t="s">
        <v>353</v>
      </c>
      <c r="I815">
        <v>900127</v>
      </c>
      <c r="J815" t="s">
        <v>3057</v>
      </c>
      <c r="K815" t="s">
        <v>3058</v>
      </c>
      <c r="L815" t="s">
        <v>3059</v>
      </c>
      <c r="N815" t="s">
        <v>3060</v>
      </c>
      <c r="O815" t="s">
        <v>3061</v>
      </c>
    </row>
    <row r="816" spans="1:19" x14ac:dyDescent="0.15">
      <c r="A816" t="s">
        <v>3051</v>
      </c>
      <c r="B816" s="61">
        <v>48030</v>
      </c>
      <c r="E816" t="s">
        <v>355</v>
      </c>
      <c r="F816" t="s">
        <v>364</v>
      </c>
      <c r="H816" t="s">
        <v>365</v>
      </c>
      <c r="I816">
        <v>800108</v>
      </c>
      <c r="J816" t="s">
        <v>3062</v>
      </c>
      <c r="K816" t="s">
        <v>3063</v>
      </c>
      <c r="L816" t="s">
        <v>3064</v>
      </c>
      <c r="N816" t="s">
        <v>3065</v>
      </c>
      <c r="O816" t="s">
        <v>3066</v>
      </c>
    </row>
    <row r="817" spans="1:19" x14ac:dyDescent="0.15">
      <c r="A817" t="s">
        <v>3051</v>
      </c>
      <c r="B817" s="61">
        <v>48061</v>
      </c>
      <c r="E817" t="s">
        <v>355</v>
      </c>
      <c r="F817" t="s">
        <v>364</v>
      </c>
      <c r="H817" t="s">
        <v>365</v>
      </c>
      <c r="I817">
        <v>900799</v>
      </c>
      <c r="J817" t="s">
        <v>3070</v>
      </c>
      <c r="K817" t="s">
        <v>3071</v>
      </c>
      <c r="L817" t="s">
        <v>390</v>
      </c>
      <c r="N817" t="s">
        <v>3072</v>
      </c>
      <c r="O817" t="s">
        <v>3073</v>
      </c>
    </row>
    <row r="818" spans="1:19" ht="243" x14ac:dyDescent="0.15">
      <c r="A818" t="s">
        <v>3089</v>
      </c>
      <c r="B818" s="61">
        <v>46174</v>
      </c>
      <c r="E818" t="s">
        <v>355</v>
      </c>
      <c r="F818" t="s">
        <v>356</v>
      </c>
      <c r="H818" t="s">
        <v>365</v>
      </c>
      <c r="I818">
        <v>900984</v>
      </c>
      <c r="J818" t="s">
        <v>3094</v>
      </c>
      <c r="L818" t="s">
        <v>1148</v>
      </c>
      <c r="N818" t="s">
        <v>3095</v>
      </c>
      <c r="O818" t="s">
        <v>3096</v>
      </c>
      <c r="R818" t="s">
        <v>362</v>
      </c>
      <c r="S818" s="34" t="s">
        <v>3097</v>
      </c>
    </row>
    <row r="819" spans="1:19" ht="409.5" x14ac:dyDescent="0.15">
      <c r="A819" t="s">
        <v>3089</v>
      </c>
      <c r="B819" s="61">
        <v>46204</v>
      </c>
      <c r="E819" t="s">
        <v>355</v>
      </c>
      <c r="F819" t="s">
        <v>385</v>
      </c>
      <c r="H819" t="s">
        <v>365</v>
      </c>
      <c r="I819">
        <v>900129</v>
      </c>
      <c r="J819" t="s">
        <v>3102</v>
      </c>
      <c r="K819" t="s">
        <v>3103</v>
      </c>
      <c r="L819" t="s">
        <v>3104</v>
      </c>
      <c r="N819" t="s">
        <v>3105</v>
      </c>
      <c r="O819" t="s">
        <v>3106</v>
      </c>
      <c r="R819" t="s">
        <v>395</v>
      </c>
      <c r="S819" s="34" t="s">
        <v>3107</v>
      </c>
    </row>
    <row r="820" spans="1:19" ht="409.5" x14ac:dyDescent="0.15">
      <c r="A820" t="s">
        <v>3089</v>
      </c>
      <c r="B820" s="61">
        <v>46327</v>
      </c>
      <c r="E820" t="s">
        <v>355</v>
      </c>
      <c r="F820" t="s">
        <v>356</v>
      </c>
      <c r="H820" t="s">
        <v>353</v>
      </c>
      <c r="I820">
        <v>900989</v>
      </c>
      <c r="J820" t="s">
        <v>3098</v>
      </c>
      <c r="K820" t="s">
        <v>3092</v>
      </c>
      <c r="L820" t="s">
        <v>3099</v>
      </c>
      <c r="N820" s="34" t="s">
        <v>7479</v>
      </c>
      <c r="O820" t="s">
        <v>3101</v>
      </c>
      <c r="R820" s="34" t="s">
        <v>3108</v>
      </c>
      <c r="S820" s="34" t="s">
        <v>7480</v>
      </c>
    </row>
    <row r="821" spans="1:19" x14ac:dyDescent="0.15">
      <c r="A821" t="s">
        <v>3089</v>
      </c>
      <c r="B821" s="61">
        <v>46388</v>
      </c>
      <c r="E821" t="s">
        <v>355</v>
      </c>
      <c r="F821" t="s">
        <v>364</v>
      </c>
      <c r="H821" t="s">
        <v>365</v>
      </c>
      <c r="I821">
        <v>900491</v>
      </c>
      <c r="J821" t="s">
        <v>3109</v>
      </c>
      <c r="K821" t="s">
        <v>3090</v>
      </c>
      <c r="L821" t="s">
        <v>820</v>
      </c>
      <c r="N821" t="s">
        <v>3110</v>
      </c>
      <c r="O821" t="s">
        <v>3111</v>
      </c>
    </row>
    <row r="822" spans="1:19" x14ac:dyDescent="0.15">
      <c r="A822" t="s">
        <v>3089</v>
      </c>
      <c r="B822" s="61">
        <v>46419</v>
      </c>
      <c r="E822" t="s">
        <v>355</v>
      </c>
      <c r="F822" t="s">
        <v>356</v>
      </c>
      <c r="H822" t="s">
        <v>353</v>
      </c>
      <c r="I822">
        <v>900118</v>
      </c>
      <c r="J822" t="s">
        <v>435</v>
      </c>
      <c r="K822" t="s">
        <v>2260</v>
      </c>
      <c r="L822" t="s">
        <v>3112</v>
      </c>
      <c r="N822" t="s">
        <v>5059</v>
      </c>
      <c r="O822" t="s">
        <v>3113</v>
      </c>
    </row>
    <row r="823" spans="1:19" ht="409.5" x14ac:dyDescent="0.15">
      <c r="A823" t="s">
        <v>3089</v>
      </c>
      <c r="B823" s="61">
        <v>46478</v>
      </c>
      <c r="E823" t="s">
        <v>355</v>
      </c>
      <c r="F823" t="s">
        <v>356</v>
      </c>
      <c r="H823" t="s">
        <v>353</v>
      </c>
      <c r="I823">
        <v>900989</v>
      </c>
      <c r="J823" t="s">
        <v>3098</v>
      </c>
      <c r="K823" t="s">
        <v>3092</v>
      </c>
      <c r="L823" t="s">
        <v>3099</v>
      </c>
      <c r="N823" s="34" t="s">
        <v>3100</v>
      </c>
      <c r="O823" t="s">
        <v>3101</v>
      </c>
      <c r="R823" t="s">
        <v>362</v>
      </c>
      <c r="S823" s="34" t="s">
        <v>7477</v>
      </c>
    </row>
    <row r="824" spans="1:19" x14ac:dyDescent="0.15">
      <c r="A824" t="s">
        <v>3089</v>
      </c>
      <c r="B824" s="61">
        <v>46539</v>
      </c>
      <c r="E824" t="s">
        <v>355</v>
      </c>
      <c r="F824" t="s">
        <v>385</v>
      </c>
      <c r="H824" t="s">
        <v>365</v>
      </c>
      <c r="I824">
        <v>900953</v>
      </c>
      <c r="J824" t="s">
        <v>3114</v>
      </c>
      <c r="K824" t="s">
        <v>3115</v>
      </c>
      <c r="L824" t="s">
        <v>390</v>
      </c>
      <c r="N824" t="s">
        <v>3116</v>
      </c>
      <c r="O824" t="s">
        <v>3117</v>
      </c>
    </row>
    <row r="825" spans="1:19" x14ac:dyDescent="0.15">
      <c r="A825" t="s">
        <v>3089</v>
      </c>
      <c r="B825" s="61">
        <v>46631</v>
      </c>
      <c r="E825" t="s">
        <v>355</v>
      </c>
      <c r="F825" t="s">
        <v>364</v>
      </c>
      <c r="H825" t="s">
        <v>353</v>
      </c>
      <c r="I825">
        <v>900689</v>
      </c>
      <c r="J825" t="s">
        <v>3118</v>
      </c>
      <c r="K825" t="s">
        <v>3119</v>
      </c>
      <c r="L825" t="s">
        <v>390</v>
      </c>
      <c r="N825" t="s">
        <v>3120</v>
      </c>
      <c r="O825" t="s">
        <v>3121</v>
      </c>
    </row>
    <row r="826" spans="1:19" x14ac:dyDescent="0.15">
      <c r="A826" t="s">
        <v>3089</v>
      </c>
      <c r="B826" s="61">
        <v>46722</v>
      </c>
      <c r="E826" t="s">
        <v>355</v>
      </c>
      <c r="F826" t="s">
        <v>364</v>
      </c>
      <c r="H826" t="s">
        <v>365</v>
      </c>
      <c r="I826">
        <v>901012</v>
      </c>
      <c r="J826" t="s">
        <v>3122</v>
      </c>
      <c r="K826" t="s">
        <v>3090</v>
      </c>
      <c r="L826" t="s">
        <v>390</v>
      </c>
      <c r="N826" t="s">
        <v>3123</v>
      </c>
      <c r="O826" t="s">
        <v>3124</v>
      </c>
    </row>
    <row r="827" spans="1:19" x14ac:dyDescent="0.15">
      <c r="A827" t="s">
        <v>3089</v>
      </c>
      <c r="B827" s="61">
        <v>46722</v>
      </c>
      <c r="E827" t="s">
        <v>355</v>
      </c>
      <c r="F827" t="s">
        <v>364</v>
      </c>
      <c r="H827" t="s">
        <v>353</v>
      </c>
      <c r="I827">
        <v>900533</v>
      </c>
      <c r="J827" t="s">
        <v>3125</v>
      </c>
      <c r="K827" t="s">
        <v>3126</v>
      </c>
      <c r="L827" t="s">
        <v>1968</v>
      </c>
      <c r="N827" t="s">
        <v>3127</v>
      </c>
      <c r="O827" t="s">
        <v>3128</v>
      </c>
    </row>
    <row r="828" spans="1:19" x14ac:dyDescent="0.15">
      <c r="A828" t="s">
        <v>3089</v>
      </c>
      <c r="B828" s="61">
        <v>46966</v>
      </c>
      <c r="E828" t="s">
        <v>355</v>
      </c>
      <c r="F828" t="s">
        <v>364</v>
      </c>
      <c r="H828" t="s">
        <v>353</v>
      </c>
      <c r="I828">
        <v>900260</v>
      </c>
      <c r="J828" t="s">
        <v>873</v>
      </c>
      <c r="K828" t="s">
        <v>3129</v>
      </c>
      <c r="L828" t="s">
        <v>3130</v>
      </c>
      <c r="N828" t="s">
        <v>3131</v>
      </c>
      <c r="O828" t="s">
        <v>3132</v>
      </c>
    </row>
    <row r="829" spans="1:19" x14ac:dyDescent="0.15">
      <c r="A829" t="s">
        <v>3089</v>
      </c>
      <c r="B829" s="61">
        <v>46966</v>
      </c>
      <c r="E829" t="s">
        <v>355</v>
      </c>
      <c r="F829" t="s">
        <v>364</v>
      </c>
      <c r="H829" t="s">
        <v>353</v>
      </c>
      <c r="I829">
        <v>1102458</v>
      </c>
      <c r="J829" t="s">
        <v>2037</v>
      </c>
      <c r="K829" t="s">
        <v>3103</v>
      </c>
      <c r="L829" t="s">
        <v>3133</v>
      </c>
      <c r="N829" t="s">
        <v>3134</v>
      </c>
      <c r="O829" t="s">
        <v>3135</v>
      </c>
    </row>
    <row r="830" spans="1:19" x14ac:dyDescent="0.15">
      <c r="A830" t="s">
        <v>3089</v>
      </c>
      <c r="B830" s="61">
        <v>46997</v>
      </c>
      <c r="E830" t="s">
        <v>355</v>
      </c>
      <c r="F830" t="s">
        <v>364</v>
      </c>
      <c r="H830" t="s">
        <v>365</v>
      </c>
      <c r="I830">
        <v>1102458</v>
      </c>
      <c r="J830" t="s">
        <v>2037</v>
      </c>
      <c r="K830" t="s">
        <v>3103</v>
      </c>
      <c r="L830" t="s">
        <v>3133</v>
      </c>
      <c r="N830" t="s">
        <v>3136</v>
      </c>
      <c r="O830" t="s">
        <v>3135</v>
      </c>
    </row>
    <row r="831" spans="1:19" x14ac:dyDescent="0.15">
      <c r="A831" t="s">
        <v>3089</v>
      </c>
      <c r="B831" s="61">
        <v>47058</v>
      </c>
      <c r="E831" t="s">
        <v>355</v>
      </c>
      <c r="F831" t="s">
        <v>364</v>
      </c>
      <c r="H831" t="s">
        <v>353</v>
      </c>
      <c r="I831">
        <v>900854</v>
      </c>
      <c r="J831" t="s">
        <v>3091</v>
      </c>
      <c r="K831" t="s">
        <v>3092</v>
      </c>
      <c r="L831" t="s">
        <v>3137</v>
      </c>
      <c r="N831" t="s">
        <v>3138</v>
      </c>
      <c r="O831" t="s">
        <v>3093</v>
      </c>
    </row>
    <row r="832" spans="1:19" x14ac:dyDescent="0.15">
      <c r="A832" t="s">
        <v>3089</v>
      </c>
      <c r="B832" s="61">
        <v>47088</v>
      </c>
      <c r="E832" t="s">
        <v>355</v>
      </c>
      <c r="F832" t="s">
        <v>364</v>
      </c>
      <c r="H832" t="s">
        <v>365</v>
      </c>
      <c r="I832">
        <v>900476</v>
      </c>
      <c r="J832" t="s">
        <v>3139</v>
      </c>
      <c r="K832" t="s">
        <v>3140</v>
      </c>
      <c r="L832" t="s">
        <v>698</v>
      </c>
      <c r="N832" t="s">
        <v>3141</v>
      </c>
      <c r="O832" t="s">
        <v>3142</v>
      </c>
    </row>
    <row r="833" spans="1:19" ht="409.5" x14ac:dyDescent="0.15">
      <c r="A833" t="s">
        <v>3089</v>
      </c>
      <c r="B833" s="61">
        <v>47178</v>
      </c>
      <c r="E833" t="s">
        <v>355</v>
      </c>
      <c r="F833" t="s">
        <v>385</v>
      </c>
      <c r="H833" t="s">
        <v>353</v>
      </c>
      <c r="I833">
        <v>900689</v>
      </c>
      <c r="J833" t="s">
        <v>3118</v>
      </c>
      <c r="K833" t="s">
        <v>3119</v>
      </c>
      <c r="L833" t="s">
        <v>390</v>
      </c>
      <c r="N833" t="s">
        <v>3143</v>
      </c>
      <c r="O833" t="s">
        <v>3121</v>
      </c>
      <c r="R833" t="s">
        <v>386</v>
      </c>
      <c r="S833" s="34" t="s">
        <v>3144</v>
      </c>
    </row>
    <row r="834" spans="1:19" ht="409.5" x14ac:dyDescent="0.15">
      <c r="A834" t="s">
        <v>3089</v>
      </c>
      <c r="B834" s="61">
        <v>47209</v>
      </c>
      <c r="E834" t="s">
        <v>355</v>
      </c>
      <c r="F834" t="s">
        <v>385</v>
      </c>
      <c r="H834" t="s">
        <v>365</v>
      </c>
      <c r="I834">
        <v>900784</v>
      </c>
      <c r="J834" t="s">
        <v>3145</v>
      </c>
      <c r="K834" t="s">
        <v>3146</v>
      </c>
      <c r="L834" t="s">
        <v>3147</v>
      </c>
      <c r="N834" t="s">
        <v>3148</v>
      </c>
      <c r="O834" t="s">
        <v>3149</v>
      </c>
      <c r="R834" t="s">
        <v>395</v>
      </c>
      <c r="S834" s="34" t="s">
        <v>3150</v>
      </c>
    </row>
    <row r="835" spans="1:19" ht="409.5" x14ac:dyDescent="0.15">
      <c r="A835" t="s">
        <v>3089</v>
      </c>
      <c r="B835" s="61">
        <v>47270</v>
      </c>
      <c r="E835" t="s">
        <v>355</v>
      </c>
      <c r="F835" t="s">
        <v>385</v>
      </c>
      <c r="H835" t="s">
        <v>365</v>
      </c>
      <c r="I835">
        <v>900784</v>
      </c>
      <c r="J835" t="s">
        <v>3145</v>
      </c>
      <c r="K835" t="s">
        <v>3146</v>
      </c>
      <c r="L835" t="s">
        <v>3151</v>
      </c>
      <c r="N835" t="s">
        <v>3152</v>
      </c>
      <c r="O835" t="s">
        <v>3149</v>
      </c>
      <c r="S835" s="34" t="s">
        <v>3153</v>
      </c>
    </row>
    <row r="836" spans="1:19" ht="229.5" x14ac:dyDescent="0.15">
      <c r="A836" t="s">
        <v>3089</v>
      </c>
      <c r="B836" s="61">
        <v>47392</v>
      </c>
      <c r="E836" t="s">
        <v>355</v>
      </c>
      <c r="F836" t="s">
        <v>385</v>
      </c>
      <c r="H836" t="s">
        <v>353</v>
      </c>
      <c r="I836">
        <v>900980</v>
      </c>
      <c r="J836" t="s">
        <v>2683</v>
      </c>
      <c r="K836" t="s">
        <v>3154</v>
      </c>
      <c r="L836" t="s">
        <v>3155</v>
      </c>
      <c r="N836" t="s">
        <v>3156</v>
      </c>
      <c r="O836" t="s">
        <v>3157</v>
      </c>
      <c r="R836" s="34" t="s">
        <v>768</v>
      </c>
      <c r="S836" s="34" t="s">
        <v>3158</v>
      </c>
    </row>
    <row r="837" spans="1:19" ht="270" x14ac:dyDescent="0.15">
      <c r="A837" t="s">
        <v>3089</v>
      </c>
      <c r="B837" s="61">
        <v>47543</v>
      </c>
      <c r="E837" t="s">
        <v>355</v>
      </c>
      <c r="F837" t="s">
        <v>385</v>
      </c>
      <c r="H837" t="s">
        <v>365</v>
      </c>
      <c r="I837">
        <v>900682</v>
      </c>
      <c r="J837" t="s">
        <v>3159</v>
      </c>
      <c r="L837" t="s">
        <v>390</v>
      </c>
      <c r="N837" t="s">
        <v>3160</v>
      </c>
      <c r="O837" t="s">
        <v>3161</v>
      </c>
      <c r="R837" t="s">
        <v>395</v>
      </c>
      <c r="S837" s="34" t="s">
        <v>3162</v>
      </c>
    </row>
    <row r="838" spans="1:19" ht="243" x14ac:dyDescent="0.15">
      <c r="A838" t="s">
        <v>3089</v>
      </c>
      <c r="B838" s="61">
        <v>47604</v>
      </c>
      <c r="E838" t="s">
        <v>355</v>
      </c>
      <c r="F838" t="s">
        <v>385</v>
      </c>
      <c r="H838" t="s">
        <v>365</v>
      </c>
      <c r="I838">
        <v>900984</v>
      </c>
      <c r="J838" t="s">
        <v>3094</v>
      </c>
      <c r="L838" t="s">
        <v>1148</v>
      </c>
      <c r="N838" t="s">
        <v>3095</v>
      </c>
      <c r="O838" t="s">
        <v>3096</v>
      </c>
      <c r="R838" t="s">
        <v>395</v>
      </c>
      <c r="S838" s="34" t="s">
        <v>3097</v>
      </c>
    </row>
    <row r="839" spans="1:19" ht="409.5" x14ac:dyDescent="0.15">
      <c r="A839" t="s">
        <v>3089</v>
      </c>
      <c r="B839" s="61">
        <v>47788</v>
      </c>
      <c r="E839" t="s">
        <v>355</v>
      </c>
      <c r="F839" t="s">
        <v>385</v>
      </c>
      <c r="H839" t="s">
        <v>353</v>
      </c>
      <c r="I839">
        <v>900989</v>
      </c>
      <c r="J839" t="s">
        <v>3098</v>
      </c>
      <c r="K839" t="s">
        <v>3092</v>
      </c>
      <c r="L839" t="s">
        <v>3099</v>
      </c>
      <c r="N839" s="34" t="s">
        <v>7479</v>
      </c>
      <c r="O839" t="s">
        <v>3101</v>
      </c>
      <c r="R839" t="s">
        <v>386</v>
      </c>
      <c r="S839" s="34" t="s">
        <v>7480</v>
      </c>
    </row>
    <row r="840" spans="1:19" x14ac:dyDescent="0.15">
      <c r="A840" t="s">
        <v>3089</v>
      </c>
      <c r="B840" s="61">
        <v>47849</v>
      </c>
      <c r="E840" t="s">
        <v>355</v>
      </c>
      <c r="F840" t="s">
        <v>364</v>
      </c>
      <c r="H840" t="s">
        <v>365</v>
      </c>
      <c r="I840">
        <v>900491</v>
      </c>
      <c r="J840" t="s">
        <v>3109</v>
      </c>
      <c r="K840" t="s">
        <v>3090</v>
      </c>
      <c r="L840" t="s">
        <v>820</v>
      </c>
      <c r="N840" t="s">
        <v>3110</v>
      </c>
      <c r="O840" t="s">
        <v>3111</v>
      </c>
    </row>
    <row r="841" spans="1:19" x14ac:dyDescent="0.15">
      <c r="A841" t="s">
        <v>3089</v>
      </c>
      <c r="B841" s="61">
        <v>47880</v>
      </c>
      <c r="E841" t="s">
        <v>355</v>
      </c>
      <c r="F841" t="s">
        <v>385</v>
      </c>
      <c r="H841" t="s">
        <v>353</v>
      </c>
      <c r="I841">
        <v>900118</v>
      </c>
      <c r="J841" t="s">
        <v>435</v>
      </c>
      <c r="K841" t="s">
        <v>2260</v>
      </c>
      <c r="L841" t="s">
        <v>3112</v>
      </c>
      <c r="N841" t="s">
        <v>5059</v>
      </c>
      <c r="O841" t="s">
        <v>3113</v>
      </c>
    </row>
    <row r="842" spans="1:19" ht="409.5" x14ac:dyDescent="0.15">
      <c r="A842" t="s">
        <v>3089</v>
      </c>
      <c r="B842" s="61">
        <v>47939</v>
      </c>
      <c r="E842" t="s">
        <v>355</v>
      </c>
      <c r="F842" t="s">
        <v>356</v>
      </c>
      <c r="H842" t="s">
        <v>353</v>
      </c>
      <c r="I842">
        <v>900989</v>
      </c>
      <c r="J842" t="s">
        <v>3098</v>
      </c>
      <c r="K842" t="s">
        <v>3092</v>
      </c>
      <c r="L842" t="s">
        <v>3099</v>
      </c>
      <c r="N842" t="s">
        <v>7478</v>
      </c>
      <c r="O842" t="s">
        <v>3101</v>
      </c>
      <c r="R842" t="s">
        <v>386</v>
      </c>
      <c r="S842" s="34" t="s">
        <v>7477</v>
      </c>
    </row>
    <row r="843" spans="1:19" x14ac:dyDescent="0.15">
      <c r="A843" t="s">
        <v>3089</v>
      </c>
      <c r="B843" s="61">
        <v>48092</v>
      </c>
      <c r="E843" t="s">
        <v>355</v>
      </c>
      <c r="F843" t="s">
        <v>364</v>
      </c>
      <c r="H843" t="s">
        <v>353</v>
      </c>
      <c r="I843">
        <v>900689</v>
      </c>
      <c r="J843" t="s">
        <v>3118</v>
      </c>
      <c r="K843" t="s">
        <v>3119</v>
      </c>
      <c r="L843" t="s">
        <v>390</v>
      </c>
      <c r="N843" t="s">
        <v>3120</v>
      </c>
      <c r="O843" t="s">
        <v>3121</v>
      </c>
    </row>
    <row r="844" spans="1:19" x14ac:dyDescent="0.15">
      <c r="A844" t="s">
        <v>3089</v>
      </c>
      <c r="B844" s="61">
        <v>48183</v>
      </c>
      <c r="E844" t="s">
        <v>355</v>
      </c>
      <c r="F844" t="s">
        <v>364</v>
      </c>
      <c r="H844" t="s">
        <v>365</v>
      </c>
      <c r="I844">
        <v>901012</v>
      </c>
      <c r="J844" t="s">
        <v>3122</v>
      </c>
      <c r="K844" t="s">
        <v>3090</v>
      </c>
      <c r="L844" t="s">
        <v>390</v>
      </c>
      <c r="N844" t="s">
        <v>3123</v>
      </c>
      <c r="O844" t="s">
        <v>3124</v>
      </c>
    </row>
    <row r="845" spans="1:19" x14ac:dyDescent="0.15">
      <c r="A845" t="s">
        <v>3089</v>
      </c>
      <c r="B845" s="61">
        <v>48183</v>
      </c>
      <c r="E845" t="s">
        <v>355</v>
      </c>
      <c r="F845" t="s">
        <v>364</v>
      </c>
      <c r="H845" t="s">
        <v>353</v>
      </c>
      <c r="I845">
        <v>900533</v>
      </c>
      <c r="J845" t="s">
        <v>3125</v>
      </c>
      <c r="K845" t="s">
        <v>3126</v>
      </c>
      <c r="L845" t="s">
        <v>1968</v>
      </c>
      <c r="N845" t="s">
        <v>3127</v>
      </c>
      <c r="O845" t="s">
        <v>3128</v>
      </c>
    </row>
    <row r="846" spans="1:19" x14ac:dyDescent="0.15">
      <c r="A846" t="s">
        <v>3163</v>
      </c>
      <c r="B846" s="61">
        <v>46753</v>
      </c>
      <c r="E846" t="s">
        <v>355</v>
      </c>
      <c r="F846" t="s">
        <v>364</v>
      </c>
      <c r="H846" t="s">
        <v>353</v>
      </c>
      <c r="I846">
        <v>2900300</v>
      </c>
      <c r="J846" t="s">
        <v>3164</v>
      </c>
      <c r="L846" t="s">
        <v>3165</v>
      </c>
      <c r="N846" t="s">
        <v>3166</v>
      </c>
      <c r="O846" t="s">
        <v>3167</v>
      </c>
    </row>
    <row r="847" spans="1:19" x14ac:dyDescent="0.15">
      <c r="A847" t="s">
        <v>3163</v>
      </c>
      <c r="B847" s="61">
        <v>48214</v>
      </c>
      <c r="E847" t="s">
        <v>355</v>
      </c>
      <c r="F847" t="s">
        <v>364</v>
      </c>
      <c r="H847" t="s">
        <v>353</v>
      </c>
      <c r="I847">
        <v>2900300</v>
      </c>
      <c r="J847" t="s">
        <v>3164</v>
      </c>
      <c r="L847" t="s">
        <v>3165</v>
      </c>
      <c r="N847" t="s">
        <v>3166</v>
      </c>
      <c r="O847" t="s">
        <v>3167</v>
      </c>
    </row>
    <row r="848" spans="1:19" ht="391.5" x14ac:dyDescent="0.15">
      <c r="A848" t="s">
        <v>3168</v>
      </c>
      <c r="B848" s="61">
        <v>46327</v>
      </c>
      <c r="E848" t="s">
        <v>355</v>
      </c>
      <c r="F848" t="s">
        <v>385</v>
      </c>
      <c r="H848" t="s">
        <v>365</v>
      </c>
      <c r="I848">
        <v>4600138</v>
      </c>
      <c r="J848" t="s">
        <v>3169</v>
      </c>
      <c r="L848" t="s">
        <v>698</v>
      </c>
      <c r="N848" t="s">
        <v>3170</v>
      </c>
      <c r="O848" t="s">
        <v>3171</v>
      </c>
      <c r="R848" t="s">
        <v>395</v>
      </c>
      <c r="S848" s="34" t="s">
        <v>3172</v>
      </c>
    </row>
    <row r="849" spans="1:19" ht="351" x14ac:dyDescent="0.15">
      <c r="A849" t="s">
        <v>3168</v>
      </c>
      <c r="B849" s="61">
        <v>47362</v>
      </c>
      <c r="E849" t="s">
        <v>355</v>
      </c>
      <c r="F849" t="s">
        <v>385</v>
      </c>
      <c r="H849" t="s">
        <v>353</v>
      </c>
      <c r="I849">
        <v>4700100</v>
      </c>
      <c r="J849" t="s">
        <v>663</v>
      </c>
      <c r="K849" t="s">
        <v>3173</v>
      </c>
      <c r="L849" t="s">
        <v>404</v>
      </c>
      <c r="N849" t="s">
        <v>3174</v>
      </c>
      <c r="O849" t="s">
        <v>3175</v>
      </c>
      <c r="R849" s="34" t="s">
        <v>768</v>
      </c>
      <c r="S849" s="34" t="s">
        <v>3176</v>
      </c>
    </row>
    <row r="850" spans="1:19" ht="409.5" x14ac:dyDescent="0.15">
      <c r="A850" t="s">
        <v>3177</v>
      </c>
      <c r="B850" s="61">
        <v>46388</v>
      </c>
      <c r="E850" t="s">
        <v>355</v>
      </c>
      <c r="F850" t="s">
        <v>356</v>
      </c>
      <c r="H850" t="s">
        <v>353</v>
      </c>
      <c r="I850">
        <v>2702291</v>
      </c>
      <c r="J850" t="s">
        <v>3178</v>
      </c>
      <c r="K850" t="s">
        <v>3179</v>
      </c>
      <c r="L850" t="s">
        <v>390</v>
      </c>
      <c r="N850" t="s">
        <v>3180</v>
      </c>
      <c r="O850" t="s">
        <v>3181</v>
      </c>
      <c r="P850" t="s">
        <v>3182</v>
      </c>
      <c r="Q850" t="s">
        <v>3183</v>
      </c>
      <c r="R850" t="s">
        <v>3184</v>
      </c>
      <c r="S850" s="34" t="s">
        <v>3185</v>
      </c>
    </row>
    <row r="851" spans="1:19" ht="409.5" x14ac:dyDescent="0.15">
      <c r="A851" t="s">
        <v>3177</v>
      </c>
      <c r="B851" s="61">
        <v>46661</v>
      </c>
      <c r="E851" t="s">
        <v>355</v>
      </c>
      <c r="F851" t="s">
        <v>385</v>
      </c>
      <c r="H851" t="s">
        <v>353</v>
      </c>
      <c r="I851">
        <v>2702291</v>
      </c>
      <c r="J851" t="s">
        <v>3178</v>
      </c>
      <c r="K851" t="s">
        <v>3179</v>
      </c>
      <c r="L851" t="s">
        <v>390</v>
      </c>
      <c r="N851" t="s">
        <v>3180</v>
      </c>
      <c r="O851" t="s">
        <v>3181</v>
      </c>
      <c r="S851" s="34" t="s">
        <v>3186</v>
      </c>
    </row>
    <row r="852" spans="1:19" x14ac:dyDescent="0.15">
      <c r="A852" t="s">
        <v>3177</v>
      </c>
      <c r="B852" s="61">
        <v>46508</v>
      </c>
      <c r="E852" t="s">
        <v>355</v>
      </c>
      <c r="F852" t="s">
        <v>364</v>
      </c>
      <c r="H852" t="s">
        <v>353</v>
      </c>
      <c r="I852">
        <v>2700569</v>
      </c>
      <c r="J852" t="s">
        <v>3187</v>
      </c>
      <c r="K852" t="s">
        <v>436</v>
      </c>
      <c r="L852" t="s">
        <v>833</v>
      </c>
      <c r="N852" t="s">
        <v>3188</v>
      </c>
      <c r="O852" t="s">
        <v>3189</v>
      </c>
    </row>
    <row r="853" spans="1:19" x14ac:dyDescent="0.15">
      <c r="A853" t="s">
        <v>3177</v>
      </c>
      <c r="B853" s="61">
        <v>46508</v>
      </c>
      <c r="E853" t="s">
        <v>355</v>
      </c>
      <c r="F853" t="s">
        <v>364</v>
      </c>
      <c r="H853" t="s">
        <v>353</v>
      </c>
      <c r="I853">
        <v>3000042</v>
      </c>
      <c r="J853" t="s">
        <v>3190</v>
      </c>
      <c r="K853" t="s">
        <v>3191</v>
      </c>
      <c r="L853" t="s">
        <v>833</v>
      </c>
      <c r="N853" t="s">
        <v>3192</v>
      </c>
      <c r="O853" t="s">
        <v>3193</v>
      </c>
    </row>
    <row r="854" spans="1:19" x14ac:dyDescent="0.15">
      <c r="A854" t="s">
        <v>3177</v>
      </c>
      <c r="B854" s="61">
        <v>46539</v>
      </c>
      <c r="E854" t="s">
        <v>355</v>
      </c>
      <c r="F854" t="s">
        <v>364</v>
      </c>
      <c r="H854" t="s">
        <v>353</v>
      </c>
      <c r="I854">
        <v>2702654</v>
      </c>
      <c r="J854" t="s">
        <v>582</v>
      </c>
      <c r="K854" t="s">
        <v>3194</v>
      </c>
      <c r="L854" t="s">
        <v>3195</v>
      </c>
      <c r="N854" t="s">
        <v>3196</v>
      </c>
      <c r="O854" t="s">
        <v>3197</v>
      </c>
    </row>
    <row r="855" spans="1:19" x14ac:dyDescent="0.15">
      <c r="A855" t="s">
        <v>3177</v>
      </c>
      <c r="B855" s="61">
        <v>46569</v>
      </c>
      <c r="E855" t="s">
        <v>355</v>
      </c>
      <c r="F855" t="s">
        <v>364</v>
      </c>
      <c r="H855" t="s">
        <v>365</v>
      </c>
      <c r="I855">
        <v>3000187</v>
      </c>
      <c r="J855" t="s">
        <v>3190</v>
      </c>
      <c r="K855" t="s">
        <v>3198</v>
      </c>
      <c r="L855" t="s">
        <v>3199</v>
      </c>
      <c r="N855" t="s">
        <v>3200</v>
      </c>
      <c r="O855" t="s">
        <v>3201</v>
      </c>
    </row>
    <row r="856" spans="1:19" x14ac:dyDescent="0.15">
      <c r="A856" t="s">
        <v>3177</v>
      </c>
      <c r="B856" s="61">
        <v>46569</v>
      </c>
      <c r="E856" t="s">
        <v>355</v>
      </c>
      <c r="F856" t="s">
        <v>364</v>
      </c>
      <c r="H856" t="s">
        <v>353</v>
      </c>
      <c r="I856">
        <v>3000187</v>
      </c>
      <c r="J856" t="s">
        <v>3190</v>
      </c>
      <c r="K856" t="s">
        <v>3198</v>
      </c>
      <c r="L856" t="s">
        <v>3199</v>
      </c>
      <c r="N856" t="s">
        <v>3202</v>
      </c>
      <c r="O856" t="s">
        <v>3201</v>
      </c>
    </row>
    <row r="857" spans="1:19" x14ac:dyDescent="0.15">
      <c r="A857" t="s">
        <v>3177</v>
      </c>
      <c r="B857" s="61">
        <v>46661</v>
      </c>
      <c r="E857" t="s">
        <v>355</v>
      </c>
      <c r="F857" t="s">
        <v>364</v>
      </c>
      <c r="H857" t="s">
        <v>353</v>
      </c>
      <c r="I857">
        <v>2702655</v>
      </c>
      <c r="J857" t="s">
        <v>3203</v>
      </c>
      <c r="K857" t="s">
        <v>1542</v>
      </c>
      <c r="L857" t="s">
        <v>3204</v>
      </c>
      <c r="N857" t="s">
        <v>3205</v>
      </c>
      <c r="O857" t="s">
        <v>3206</v>
      </c>
    </row>
    <row r="858" spans="1:19" x14ac:dyDescent="0.15">
      <c r="A858" t="s">
        <v>3177</v>
      </c>
      <c r="B858" s="61">
        <v>46692</v>
      </c>
      <c r="E858" t="s">
        <v>355</v>
      </c>
      <c r="F858" t="s">
        <v>364</v>
      </c>
      <c r="H858" t="s">
        <v>365</v>
      </c>
      <c r="I858">
        <v>2702655</v>
      </c>
      <c r="J858" t="s">
        <v>3203</v>
      </c>
      <c r="K858" t="s">
        <v>1542</v>
      </c>
      <c r="L858" t="s">
        <v>3204</v>
      </c>
      <c r="N858" t="s">
        <v>3207</v>
      </c>
      <c r="O858" t="s">
        <v>3206</v>
      </c>
    </row>
    <row r="859" spans="1:19" ht="229.5" x14ac:dyDescent="0.15">
      <c r="A859" t="s">
        <v>3177</v>
      </c>
      <c r="B859" s="61">
        <v>46753</v>
      </c>
      <c r="E859" t="s">
        <v>355</v>
      </c>
      <c r="F859" t="s">
        <v>385</v>
      </c>
      <c r="H859" t="s">
        <v>353</v>
      </c>
      <c r="I859">
        <v>2702053</v>
      </c>
      <c r="J859" t="s">
        <v>427</v>
      </c>
      <c r="K859" t="s">
        <v>1350</v>
      </c>
      <c r="L859" t="s">
        <v>698</v>
      </c>
      <c r="N859" t="s">
        <v>3208</v>
      </c>
      <c r="O859" t="s">
        <v>3209</v>
      </c>
      <c r="R859" t="s">
        <v>386</v>
      </c>
      <c r="S859" s="34" t="s">
        <v>3210</v>
      </c>
    </row>
    <row r="860" spans="1:19" x14ac:dyDescent="0.15">
      <c r="A860" t="s">
        <v>3177</v>
      </c>
      <c r="B860" s="61">
        <v>46813</v>
      </c>
      <c r="E860" t="s">
        <v>355</v>
      </c>
      <c r="F860" t="s">
        <v>364</v>
      </c>
      <c r="H860" t="s">
        <v>353</v>
      </c>
      <c r="I860">
        <v>2702634</v>
      </c>
      <c r="J860" t="s">
        <v>3211</v>
      </c>
      <c r="K860" t="s">
        <v>3212</v>
      </c>
      <c r="L860" t="s">
        <v>390</v>
      </c>
      <c r="N860" t="s">
        <v>3213</v>
      </c>
      <c r="O860" t="s">
        <v>3214</v>
      </c>
    </row>
    <row r="861" spans="1:19" x14ac:dyDescent="0.15">
      <c r="A861" t="s">
        <v>3177</v>
      </c>
      <c r="B861" s="61">
        <v>46997</v>
      </c>
      <c r="E861" t="s">
        <v>355</v>
      </c>
      <c r="F861" t="s">
        <v>364</v>
      </c>
      <c r="H861" t="s">
        <v>365</v>
      </c>
      <c r="I861">
        <v>2702701</v>
      </c>
      <c r="J861" t="s">
        <v>3215</v>
      </c>
      <c r="K861" t="s">
        <v>3216</v>
      </c>
      <c r="L861" t="s">
        <v>3217</v>
      </c>
      <c r="N861" t="s">
        <v>3218</v>
      </c>
      <c r="O861" t="s">
        <v>3219</v>
      </c>
    </row>
    <row r="862" spans="1:19" x14ac:dyDescent="0.15">
      <c r="A862" t="s">
        <v>3177</v>
      </c>
      <c r="B862" s="61">
        <v>47027</v>
      </c>
      <c r="E862" t="s">
        <v>355</v>
      </c>
      <c r="F862" t="s">
        <v>364</v>
      </c>
      <c r="H862" t="s">
        <v>353</v>
      </c>
      <c r="I862">
        <v>2702736</v>
      </c>
      <c r="J862" t="s">
        <v>3220</v>
      </c>
      <c r="L862" t="s">
        <v>3221</v>
      </c>
      <c r="N862" t="s">
        <v>3222</v>
      </c>
      <c r="O862" t="s">
        <v>3223</v>
      </c>
    </row>
    <row r="863" spans="1:19" ht="243" x14ac:dyDescent="0.15">
      <c r="A863" t="s">
        <v>3177</v>
      </c>
      <c r="B863" s="61">
        <v>47088</v>
      </c>
      <c r="E863" t="s">
        <v>355</v>
      </c>
      <c r="F863" t="s">
        <v>385</v>
      </c>
      <c r="H863" t="s">
        <v>365</v>
      </c>
      <c r="I863">
        <v>2702736</v>
      </c>
      <c r="J863" t="s">
        <v>3220</v>
      </c>
      <c r="L863" t="s">
        <v>3221</v>
      </c>
      <c r="N863" t="s">
        <v>3224</v>
      </c>
      <c r="O863" t="s">
        <v>3223</v>
      </c>
      <c r="R863" t="s">
        <v>395</v>
      </c>
      <c r="S863" s="34" t="s">
        <v>3225</v>
      </c>
    </row>
    <row r="864" spans="1:19" ht="229.5" x14ac:dyDescent="0.15">
      <c r="A864" t="s">
        <v>3226</v>
      </c>
      <c r="B864" s="61">
        <v>46235</v>
      </c>
      <c r="E864" t="s">
        <v>355</v>
      </c>
      <c r="F864" t="s">
        <v>356</v>
      </c>
      <c r="H864" t="s">
        <v>353</v>
      </c>
      <c r="I864">
        <v>2303786</v>
      </c>
      <c r="J864" t="s">
        <v>3227</v>
      </c>
      <c r="L864" t="s">
        <v>2778</v>
      </c>
      <c r="N864" t="s">
        <v>3228</v>
      </c>
      <c r="O864" t="s">
        <v>3229</v>
      </c>
      <c r="R864" t="s">
        <v>362</v>
      </c>
      <c r="S864" s="34" t="s">
        <v>3230</v>
      </c>
    </row>
    <row r="865" spans="1:19" ht="243" x14ac:dyDescent="0.15">
      <c r="A865" t="s">
        <v>3226</v>
      </c>
      <c r="B865" s="61">
        <v>46357</v>
      </c>
      <c r="E865" t="s">
        <v>355</v>
      </c>
      <c r="F865" t="s">
        <v>720</v>
      </c>
      <c r="H865" t="s">
        <v>353</v>
      </c>
      <c r="I865">
        <v>2303697</v>
      </c>
      <c r="J865" t="s">
        <v>3231</v>
      </c>
      <c r="K865" t="s">
        <v>2719</v>
      </c>
      <c r="L865" t="s">
        <v>3217</v>
      </c>
      <c r="N865" t="s">
        <v>3232</v>
      </c>
      <c r="O865" t="s">
        <v>3233</v>
      </c>
      <c r="R865" t="s">
        <v>723</v>
      </c>
      <c r="S865" s="34" t="s">
        <v>3234</v>
      </c>
    </row>
    <row r="866" spans="1:19" x14ac:dyDescent="0.15">
      <c r="A866" t="s">
        <v>3226</v>
      </c>
      <c r="B866" s="61">
        <v>46508</v>
      </c>
      <c r="E866" t="s">
        <v>355</v>
      </c>
      <c r="F866" t="s">
        <v>364</v>
      </c>
      <c r="H866" t="s">
        <v>365</v>
      </c>
      <c r="I866">
        <v>2300571</v>
      </c>
      <c r="J866" t="s">
        <v>2481</v>
      </c>
      <c r="K866" t="s">
        <v>3235</v>
      </c>
      <c r="L866" t="s">
        <v>3236</v>
      </c>
      <c r="N866" t="s">
        <v>3237</v>
      </c>
      <c r="O866" t="s">
        <v>3238</v>
      </c>
    </row>
    <row r="867" spans="1:19" x14ac:dyDescent="0.15">
      <c r="A867" t="s">
        <v>3226</v>
      </c>
      <c r="B867" s="61">
        <v>46966</v>
      </c>
      <c r="E867" t="s">
        <v>355</v>
      </c>
      <c r="F867" t="s">
        <v>364</v>
      </c>
      <c r="H867" t="s">
        <v>353</v>
      </c>
      <c r="I867">
        <v>2300564</v>
      </c>
      <c r="J867" t="s">
        <v>2817</v>
      </c>
      <c r="K867" t="s">
        <v>3239</v>
      </c>
      <c r="L867" t="s">
        <v>1957</v>
      </c>
      <c r="N867" t="s">
        <v>3240</v>
      </c>
      <c r="O867" t="s">
        <v>3241</v>
      </c>
    </row>
    <row r="868" spans="1:19" x14ac:dyDescent="0.15">
      <c r="A868" t="s">
        <v>3226</v>
      </c>
      <c r="B868" s="61">
        <v>47027</v>
      </c>
      <c r="E868" t="s">
        <v>355</v>
      </c>
      <c r="F868" t="s">
        <v>364</v>
      </c>
      <c r="H868" t="s">
        <v>365</v>
      </c>
      <c r="I868">
        <v>2303694</v>
      </c>
      <c r="J868" t="s">
        <v>3242</v>
      </c>
      <c r="K868" t="s">
        <v>3243</v>
      </c>
      <c r="L868" t="s">
        <v>1769</v>
      </c>
      <c r="N868" t="s">
        <v>3244</v>
      </c>
      <c r="O868" t="s">
        <v>3245</v>
      </c>
    </row>
    <row r="869" spans="1:19" ht="229.5" x14ac:dyDescent="0.15">
      <c r="A869" t="s">
        <v>3226</v>
      </c>
      <c r="B869" s="61">
        <v>47300</v>
      </c>
      <c r="E869" t="s">
        <v>355</v>
      </c>
      <c r="F869" t="s">
        <v>385</v>
      </c>
      <c r="H869" t="s">
        <v>353</v>
      </c>
      <c r="I869">
        <v>2301037</v>
      </c>
      <c r="J869" t="s">
        <v>3246</v>
      </c>
      <c r="K869" t="s">
        <v>3247</v>
      </c>
      <c r="L869" t="s">
        <v>3248</v>
      </c>
      <c r="N869" t="s">
        <v>3249</v>
      </c>
      <c r="O869" t="s">
        <v>3250</v>
      </c>
      <c r="R869" s="34" t="s">
        <v>768</v>
      </c>
      <c r="S869" s="34" t="s">
        <v>3251</v>
      </c>
    </row>
    <row r="870" spans="1:19" ht="229.5" x14ac:dyDescent="0.15">
      <c r="A870" t="s">
        <v>3226</v>
      </c>
      <c r="B870" s="61">
        <v>47696</v>
      </c>
      <c r="E870" t="s">
        <v>355</v>
      </c>
      <c r="F870" t="s">
        <v>385</v>
      </c>
      <c r="H870" t="s">
        <v>353</v>
      </c>
      <c r="I870">
        <v>2303786</v>
      </c>
      <c r="J870" t="s">
        <v>3227</v>
      </c>
      <c r="L870" t="s">
        <v>2778</v>
      </c>
      <c r="N870" t="s">
        <v>3228</v>
      </c>
      <c r="O870" t="s">
        <v>3229</v>
      </c>
      <c r="R870" t="s">
        <v>386</v>
      </c>
      <c r="S870" s="34" t="s">
        <v>3230</v>
      </c>
    </row>
    <row r="871" spans="1:19" x14ac:dyDescent="0.15">
      <c r="A871" t="s">
        <v>3226</v>
      </c>
      <c r="B871" s="61">
        <v>47969</v>
      </c>
      <c r="E871" t="s">
        <v>355</v>
      </c>
      <c r="F871" t="s">
        <v>364</v>
      </c>
      <c r="H871" t="s">
        <v>365</v>
      </c>
      <c r="I871">
        <v>2300571</v>
      </c>
      <c r="J871" t="s">
        <v>2481</v>
      </c>
      <c r="K871" t="s">
        <v>3235</v>
      </c>
      <c r="L871" t="s">
        <v>3236</v>
      </c>
      <c r="N871" t="s">
        <v>3237</v>
      </c>
      <c r="O871" t="s">
        <v>3238</v>
      </c>
    </row>
    <row r="872" spans="1:19" ht="391.5" x14ac:dyDescent="0.15">
      <c r="A872" t="s">
        <v>3252</v>
      </c>
      <c r="B872" s="61">
        <v>46143</v>
      </c>
      <c r="E872" t="s">
        <v>355</v>
      </c>
      <c r="F872" t="s">
        <v>356</v>
      </c>
      <c r="H872" t="s">
        <v>365</v>
      </c>
      <c r="I872">
        <v>2303818</v>
      </c>
      <c r="J872" t="s">
        <v>3254</v>
      </c>
      <c r="K872" t="s">
        <v>3255</v>
      </c>
      <c r="L872" t="s">
        <v>413</v>
      </c>
      <c r="N872" t="s">
        <v>3256</v>
      </c>
      <c r="O872" t="s">
        <v>3257</v>
      </c>
      <c r="R872" t="s">
        <v>362</v>
      </c>
      <c r="S872" s="34" t="s">
        <v>3258</v>
      </c>
    </row>
    <row r="873" spans="1:19" x14ac:dyDescent="0.15">
      <c r="A873" t="s">
        <v>3252</v>
      </c>
      <c r="B873" s="61">
        <v>46478</v>
      </c>
      <c r="E873" t="s">
        <v>355</v>
      </c>
      <c r="F873" t="s">
        <v>364</v>
      </c>
      <c r="H873" t="s">
        <v>365</v>
      </c>
      <c r="I873">
        <v>2303651</v>
      </c>
      <c r="J873" t="s">
        <v>3259</v>
      </c>
      <c r="K873" t="s">
        <v>1251</v>
      </c>
      <c r="L873" t="s">
        <v>413</v>
      </c>
      <c r="N873" t="s">
        <v>3260</v>
      </c>
      <c r="O873" t="s">
        <v>3261</v>
      </c>
    </row>
    <row r="874" spans="1:19" x14ac:dyDescent="0.15">
      <c r="A874" t="s">
        <v>3252</v>
      </c>
      <c r="B874" s="61">
        <v>46508</v>
      </c>
      <c r="E874" t="s">
        <v>355</v>
      </c>
      <c r="F874" t="s">
        <v>364</v>
      </c>
      <c r="H874" t="s">
        <v>365</v>
      </c>
      <c r="I874">
        <v>2303651</v>
      </c>
      <c r="J874" t="s">
        <v>3259</v>
      </c>
      <c r="K874" t="s">
        <v>1251</v>
      </c>
      <c r="L874" t="s">
        <v>413</v>
      </c>
      <c r="N874" t="s">
        <v>3262</v>
      </c>
      <c r="O874" t="s">
        <v>3261</v>
      </c>
    </row>
    <row r="875" spans="1:19" ht="243" x14ac:dyDescent="0.15">
      <c r="A875" t="s">
        <v>3252</v>
      </c>
      <c r="B875" s="61">
        <v>46631</v>
      </c>
      <c r="E875" t="s">
        <v>355</v>
      </c>
      <c r="F875" t="s">
        <v>385</v>
      </c>
      <c r="H875" t="s">
        <v>365</v>
      </c>
      <c r="I875">
        <v>2303628</v>
      </c>
      <c r="J875" t="s">
        <v>3254</v>
      </c>
      <c r="K875" t="s">
        <v>3255</v>
      </c>
      <c r="L875" t="s">
        <v>3263</v>
      </c>
      <c r="N875" t="s">
        <v>3264</v>
      </c>
      <c r="O875" t="s">
        <v>3265</v>
      </c>
      <c r="R875" t="s">
        <v>395</v>
      </c>
      <c r="S875" s="34" t="s">
        <v>3266</v>
      </c>
    </row>
    <row r="876" spans="1:19" x14ac:dyDescent="0.15">
      <c r="A876" t="s">
        <v>3252</v>
      </c>
      <c r="B876" s="61">
        <v>46661</v>
      </c>
      <c r="E876" t="s">
        <v>355</v>
      </c>
      <c r="F876" t="s">
        <v>364</v>
      </c>
      <c r="H876" t="s">
        <v>353</v>
      </c>
      <c r="I876">
        <v>2300535</v>
      </c>
      <c r="J876" t="s">
        <v>531</v>
      </c>
      <c r="K876" t="s">
        <v>3267</v>
      </c>
      <c r="L876" t="s">
        <v>3268</v>
      </c>
      <c r="N876" t="s">
        <v>3269</v>
      </c>
      <c r="O876" t="s">
        <v>3270</v>
      </c>
    </row>
    <row r="877" spans="1:19" ht="229.5" x14ac:dyDescent="0.15">
      <c r="A877" t="s">
        <v>3252</v>
      </c>
      <c r="B877" s="61">
        <v>47239</v>
      </c>
      <c r="E877" t="s">
        <v>355</v>
      </c>
      <c r="F877" t="s">
        <v>385</v>
      </c>
      <c r="H877" t="s">
        <v>353</v>
      </c>
      <c r="I877">
        <v>2302797</v>
      </c>
      <c r="J877" t="s">
        <v>3271</v>
      </c>
      <c r="K877" t="s">
        <v>3272</v>
      </c>
      <c r="L877" t="s">
        <v>3273</v>
      </c>
      <c r="N877" t="s">
        <v>3274</v>
      </c>
      <c r="O877" t="s">
        <v>3275</v>
      </c>
      <c r="S877" s="34" t="s">
        <v>3276</v>
      </c>
    </row>
    <row r="878" spans="1:19" ht="243" x14ac:dyDescent="0.15">
      <c r="A878" t="s">
        <v>3252</v>
      </c>
      <c r="B878" s="61">
        <v>47362</v>
      </c>
      <c r="E878" t="s">
        <v>355</v>
      </c>
      <c r="F878" t="s">
        <v>385</v>
      </c>
      <c r="H878" t="s">
        <v>365</v>
      </c>
      <c r="I878">
        <v>2303764</v>
      </c>
      <c r="J878" t="s">
        <v>618</v>
      </c>
      <c r="K878" t="s">
        <v>3277</v>
      </c>
      <c r="L878" t="s">
        <v>3278</v>
      </c>
      <c r="N878" t="s">
        <v>3279</v>
      </c>
      <c r="O878" t="s">
        <v>3280</v>
      </c>
      <c r="R878" t="s">
        <v>395</v>
      </c>
      <c r="S878" s="34" t="s">
        <v>3281</v>
      </c>
    </row>
    <row r="879" spans="1:19" ht="391.5" x14ac:dyDescent="0.15">
      <c r="A879" t="s">
        <v>3252</v>
      </c>
      <c r="B879" s="61">
        <v>47604</v>
      </c>
      <c r="E879" t="s">
        <v>355</v>
      </c>
      <c r="F879" t="s">
        <v>385</v>
      </c>
      <c r="H879" t="s">
        <v>365</v>
      </c>
      <c r="I879">
        <v>2303818</v>
      </c>
      <c r="J879" t="s">
        <v>3254</v>
      </c>
      <c r="K879" t="s">
        <v>3255</v>
      </c>
      <c r="L879" t="s">
        <v>413</v>
      </c>
      <c r="N879" t="s">
        <v>3256</v>
      </c>
      <c r="O879" t="s">
        <v>3257</v>
      </c>
      <c r="R879" t="s">
        <v>395</v>
      </c>
      <c r="S879" s="34" t="s">
        <v>3258</v>
      </c>
    </row>
    <row r="880" spans="1:19" x14ac:dyDescent="0.15">
      <c r="A880" t="s">
        <v>3282</v>
      </c>
      <c r="B880" s="61">
        <v>46447</v>
      </c>
      <c r="E880" t="s">
        <v>355</v>
      </c>
      <c r="F880" t="s">
        <v>364</v>
      </c>
      <c r="H880" t="s">
        <v>353</v>
      </c>
      <c r="I880">
        <v>3400355</v>
      </c>
      <c r="J880" t="s">
        <v>2044</v>
      </c>
      <c r="K880" t="s">
        <v>3284</v>
      </c>
      <c r="L880" t="s">
        <v>1276</v>
      </c>
      <c r="N880" t="s">
        <v>3285</v>
      </c>
      <c r="O880" t="s">
        <v>3286</v>
      </c>
    </row>
    <row r="881" spans="1:19" x14ac:dyDescent="0.15">
      <c r="A881" t="s">
        <v>3282</v>
      </c>
      <c r="B881" s="61">
        <v>46569</v>
      </c>
      <c r="E881" t="s">
        <v>355</v>
      </c>
      <c r="F881" t="s">
        <v>364</v>
      </c>
      <c r="H881" t="s">
        <v>353</v>
      </c>
      <c r="I881">
        <v>3400787</v>
      </c>
      <c r="J881" t="s">
        <v>743</v>
      </c>
      <c r="K881" t="s">
        <v>3283</v>
      </c>
      <c r="L881" t="s">
        <v>413</v>
      </c>
      <c r="N881" t="s">
        <v>3287</v>
      </c>
      <c r="O881" t="s">
        <v>3288</v>
      </c>
    </row>
    <row r="882" spans="1:19" x14ac:dyDescent="0.15">
      <c r="A882" t="s">
        <v>3282</v>
      </c>
      <c r="B882" s="61">
        <v>46722</v>
      </c>
      <c r="E882" t="s">
        <v>355</v>
      </c>
      <c r="F882" t="s">
        <v>364</v>
      </c>
      <c r="H882" t="s">
        <v>353</v>
      </c>
      <c r="I882">
        <v>3400249</v>
      </c>
      <c r="J882" t="s">
        <v>3289</v>
      </c>
      <c r="L882" t="s">
        <v>3290</v>
      </c>
      <c r="N882" t="s">
        <v>3291</v>
      </c>
      <c r="O882" t="s">
        <v>3292</v>
      </c>
    </row>
    <row r="883" spans="1:19" x14ac:dyDescent="0.15">
      <c r="A883" t="s">
        <v>3282</v>
      </c>
      <c r="B883" s="61">
        <v>47058</v>
      </c>
      <c r="E883" t="s">
        <v>355</v>
      </c>
      <c r="F883" t="s">
        <v>364</v>
      </c>
      <c r="H883" t="s">
        <v>353</v>
      </c>
      <c r="I883">
        <v>3400916</v>
      </c>
      <c r="J883" t="s">
        <v>775</v>
      </c>
      <c r="K883" t="s">
        <v>3293</v>
      </c>
      <c r="L883" t="s">
        <v>3294</v>
      </c>
      <c r="N883" t="s">
        <v>3295</v>
      </c>
      <c r="O883" t="s">
        <v>3296</v>
      </c>
    </row>
    <row r="884" spans="1:19" x14ac:dyDescent="0.15">
      <c r="A884" t="s">
        <v>3282</v>
      </c>
      <c r="B884" s="61">
        <v>48030</v>
      </c>
      <c r="E884" t="s">
        <v>355</v>
      </c>
      <c r="F884" t="s">
        <v>364</v>
      </c>
      <c r="H884" t="s">
        <v>353</v>
      </c>
      <c r="I884">
        <v>3400787</v>
      </c>
      <c r="J884" t="s">
        <v>743</v>
      </c>
      <c r="K884" t="s">
        <v>3283</v>
      </c>
      <c r="L884" t="s">
        <v>413</v>
      </c>
      <c r="N884" t="s">
        <v>3287</v>
      </c>
      <c r="O884" t="s">
        <v>3288</v>
      </c>
    </row>
    <row r="885" spans="1:19" x14ac:dyDescent="0.15">
      <c r="A885" t="s">
        <v>3297</v>
      </c>
      <c r="B885" s="61">
        <v>46388</v>
      </c>
      <c r="E885" t="s">
        <v>355</v>
      </c>
      <c r="F885" t="s">
        <v>364</v>
      </c>
      <c r="H885" t="s">
        <v>353</v>
      </c>
      <c r="I885">
        <v>2802382</v>
      </c>
      <c r="J885" t="s">
        <v>3298</v>
      </c>
      <c r="K885" t="s">
        <v>3299</v>
      </c>
      <c r="L885" t="s">
        <v>3300</v>
      </c>
      <c r="N885" t="s">
        <v>3301</v>
      </c>
      <c r="O885" t="s">
        <v>3302</v>
      </c>
    </row>
    <row r="886" spans="1:19" x14ac:dyDescent="0.15">
      <c r="A886" t="s">
        <v>3297</v>
      </c>
      <c r="B886" s="61">
        <v>46419</v>
      </c>
      <c r="E886" t="s">
        <v>355</v>
      </c>
      <c r="F886" t="s">
        <v>364</v>
      </c>
      <c r="H886" t="s">
        <v>365</v>
      </c>
      <c r="I886">
        <v>2802382</v>
      </c>
      <c r="J886" t="s">
        <v>3298</v>
      </c>
      <c r="K886" t="s">
        <v>3299</v>
      </c>
      <c r="L886" t="s">
        <v>3300</v>
      </c>
      <c r="N886" t="s">
        <v>3303</v>
      </c>
      <c r="O886" t="s">
        <v>3302</v>
      </c>
    </row>
    <row r="887" spans="1:19" x14ac:dyDescent="0.15">
      <c r="A887" t="s">
        <v>3297</v>
      </c>
      <c r="B887" s="61">
        <v>46539</v>
      </c>
      <c r="E887" t="s">
        <v>355</v>
      </c>
      <c r="F887" t="s">
        <v>364</v>
      </c>
      <c r="H887" t="s">
        <v>365</v>
      </c>
      <c r="I887">
        <v>2800440</v>
      </c>
      <c r="J887" t="s">
        <v>3304</v>
      </c>
      <c r="K887" t="s">
        <v>3305</v>
      </c>
      <c r="L887" t="s">
        <v>833</v>
      </c>
      <c r="N887" t="s">
        <v>3306</v>
      </c>
      <c r="O887" t="s">
        <v>3307</v>
      </c>
    </row>
    <row r="888" spans="1:19" x14ac:dyDescent="0.15">
      <c r="A888" t="s">
        <v>3297</v>
      </c>
      <c r="B888" s="61">
        <v>46692</v>
      </c>
      <c r="E888" t="s">
        <v>355</v>
      </c>
      <c r="F888" t="s">
        <v>364</v>
      </c>
      <c r="H888" t="s">
        <v>353</v>
      </c>
      <c r="I888">
        <v>2801233</v>
      </c>
      <c r="J888" t="s">
        <v>3308</v>
      </c>
      <c r="K888" t="s">
        <v>3309</v>
      </c>
      <c r="L888" t="s">
        <v>3310</v>
      </c>
      <c r="N888" t="s">
        <v>3311</v>
      </c>
      <c r="O888" t="s">
        <v>3312</v>
      </c>
    </row>
    <row r="889" spans="1:19" x14ac:dyDescent="0.15">
      <c r="A889" t="s">
        <v>3297</v>
      </c>
      <c r="B889" s="61">
        <v>46692</v>
      </c>
      <c r="E889" t="s">
        <v>355</v>
      </c>
      <c r="F889" t="s">
        <v>364</v>
      </c>
      <c r="H889" t="s">
        <v>353</v>
      </c>
      <c r="I889">
        <v>2801805</v>
      </c>
      <c r="J889" t="s">
        <v>3308</v>
      </c>
      <c r="K889" t="s">
        <v>3309</v>
      </c>
      <c r="L889" t="s">
        <v>3313</v>
      </c>
      <c r="N889" t="s">
        <v>3314</v>
      </c>
      <c r="O889" t="s">
        <v>3315</v>
      </c>
    </row>
    <row r="890" spans="1:19" x14ac:dyDescent="0.15">
      <c r="A890" t="s">
        <v>3297</v>
      </c>
      <c r="B890" s="61">
        <v>46784</v>
      </c>
      <c r="E890" t="s">
        <v>355</v>
      </c>
      <c r="F890" t="s">
        <v>364</v>
      </c>
      <c r="H890" t="s">
        <v>353</v>
      </c>
      <c r="I890">
        <v>2801597</v>
      </c>
      <c r="J890" t="s">
        <v>587</v>
      </c>
      <c r="K890" t="s">
        <v>3316</v>
      </c>
      <c r="L890" t="s">
        <v>3317</v>
      </c>
      <c r="N890" t="s">
        <v>3318</v>
      </c>
      <c r="O890" t="s">
        <v>3319</v>
      </c>
    </row>
    <row r="891" spans="1:19" x14ac:dyDescent="0.15">
      <c r="A891" t="s">
        <v>3297</v>
      </c>
      <c r="B891" s="61">
        <v>46935</v>
      </c>
      <c r="E891" t="s">
        <v>355</v>
      </c>
      <c r="F891" t="s">
        <v>364</v>
      </c>
      <c r="H891" t="s">
        <v>353</v>
      </c>
      <c r="I891">
        <v>2800298</v>
      </c>
      <c r="J891" t="s">
        <v>3320</v>
      </c>
      <c r="K891" t="s">
        <v>3321</v>
      </c>
      <c r="L891" t="s">
        <v>2181</v>
      </c>
      <c r="N891" t="s">
        <v>3322</v>
      </c>
      <c r="O891" t="s">
        <v>3323</v>
      </c>
    </row>
    <row r="892" spans="1:19" x14ac:dyDescent="0.15">
      <c r="A892" t="s">
        <v>3297</v>
      </c>
      <c r="B892" s="61">
        <v>46966</v>
      </c>
      <c r="E892" t="s">
        <v>355</v>
      </c>
      <c r="F892" t="s">
        <v>364</v>
      </c>
      <c r="H892" t="s">
        <v>353</v>
      </c>
      <c r="I892">
        <v>2802251</v>
      </c>
      <c r="J892" t="s">
        <v>587</v>
      </c>
      <c r="K892" t="s">
        <v>3316</v>
      </c>
      <c r="L892" t="s">
        <v>3324</v>
      </c>
      <c r="N892" t="s">
        <v>3325</v>
      </c>
      <c r="O892" t="s">
        <v>3326</v>
      </c>
    </row>
    <row r="893" spans="1:19" ht="229.5" x14ac:dyDescent="0.15">
      <c r="A893" t="s">
        <v>3297</v>
      </c>
      <c r="B893" s="61">
        <v>47088</v>
      </c>
      <c r="E893" t="s">
        <v>355</v>
      </c>
      <c r="F893" t="s">
        <v>385</v>
      </c>
      <c r="H893" t="s">
        <v>353</v>
      </c>
      <c r="I893">
        <v>2801761</v>
      </c>
      <c r="J893" t="s">
        <v>3327</v>
      </c>
      <c r="K893" t="s">
        <v>1769</v>
      </c>
      <c r="L893" t="s">
        <v>854</v>
      </c>
      <c r="N893" t="s">
        <v>3328</v>
      </c>
      <c r="O893" t="s">
        <v>3329</v>
      </c>
      <c r="R893" t="s">
        <v>386</v>
      </c>
      <c r="S893" s="34" t="s">
        <v>3330</v>
      </c>
    </row>
    <row r="894" spans="1:19" ht="409.5" x14ac:dyDescent="0.15">
      <c r="A894" t="s">
        <v>3297</v>
      </c>
      <c r="B894" s="61">
        <v>47300</v>
      </c>
      <c r="E894" t="s">
        <v>355</v>
      </c>
      <c r="F894" t="s">
        <v>385</v>
      </c>
      <c r="H894" t="s">
        <v>353</v>
      </c>
      <c r="I894">
        <v>2802309</v>
      </c>
      <c r="J894" t="s">
        <v>587</v>
      </c>
      <c r="K894" t="s">
        <v>3316</v>
      </c>
      <c r="L894" t="s">
        <v>3331</v>
      </c>
      <c r="N894" t="s">
        <v>3332</v>
      </c>
      <c r="O894" t="s">
        <v>3333</v>
      </c>
      <c r="R894" s="34" t="s">
        <v>768</v>
      </c>
      <c r="S894" s="34" t="s">
        <v>3334</v>
      </c>
    </row>
    <row r="895" spans="1:19" ht="351" x14ac:dyDescent="0.15">
      <c r="A895" t="s">
        <v>3297</v>
      </c>
      <c r="B895" s="61">
        <v>47453</v>
      </c>
      <c r="E895" t="s">
        <v>355</v>
      </c>
      <c r="F895" t="s">
        <v>385</v>
      </c>
      <c r="H895" t="s">
        <v>353</v>
      </c>
      <c r="I895">
        <v>2801822</v>
      </c>
      <c r="J895" t="s">
        <v>3308</v>
      </c>
      <c r="K895" t="s">
        <v>3309</v>
      </c>
      <c r="L895" t="s">
        <v>3335</v>
      </c>
      <c r="N895" t="s">
        <v>3336</v>
      </c>
      <c r="O895" t="s">
        <v>3337</v>
      </c>
      <c r="R895" s="34" t="s">
        <v>768</v>
      </c>
      <c r="S895" s="34" t="s">
        <v>3338</v>
      </c>
    </row>
    <row r="896" spans="1:19" ht="409.5" x14ac:dyDescent="0.15">
      <c r="A896" t="s">
        <v>3297</v>
      </c>
      <c r="B896" s="61">
        <v>47484</v>
      </c>
      <c r="E896" t="s">
        <v>355</v>
      </c>
      <c r="F896" t="s">
        <v>385</v>
      </c>
      <c r="H896" t="s">
        <v>353</v>
      </c>
      <c r="I896">
        <v>2801650</v>
      </c>
      <c r="J896" t="s">
        <v>587</v>
      </c>
      <c r="K896" t="s">
        <v>3316</v>
      </c>
      <c r="L896" t="s">
        <v>3339</v>
      </c>
      <c r="N896" t="s">
        <v>3340</v>
      </c>
      <c r="O896" t="s">
        <v>3341</v>
      </c>
      <c r="R896" s="34" t="s">
        <v>768</v>
      </c>
      <c r="S896" s="34" t="s">
        <v>3342</v>
      </c>
    </row>
    <row r="897" spans="1:19" ht="229.5" x14ac:dyDescent="0.15">
      <c r="A897" t="s">
        <v>3297</v>
      </c>
      <c r="B897" s="61">
        <v>47543</v>
      </c>
      <c r="E897" t="s">
        <v>355</v>
      </c>
      <c r="F897" t="s">
        <v>385</v>
      </c>
      <c r="H897" t="s">
        <v>353</v>
      </c>
      <c r="I897">
        <v>2802354</v>
      </c>
      <c r="J897" t="s">
        <v>3343</v>
      </c>
      <c r="K897" t="s">
        <v>3344</v>
      </c>
      <c r="L897" t="s">
        <v>3345</v>
      </c>
      <c r="N897" t="s">
        <v>3346</v>
      </c>
      <c r="O897" t="s">
        <v>3347</v>
      </c>
      <c r="R897" s="34" t="s">
        <v>768</v>
      </c>
      <c r="S897" s="34" t="s">
        <v>3348</v>
      </c>
    </row>
    <row r="898" spans="1:19" x14ac:dyDescent="0.15">
      <c r="A898" t="s">
        <v>3297</v>
      </c>
      <c r="B898" s="61">
        <v>47849</v>
      </c>
      <c r="E898" t="s">
        <v>355</v>
      </c>
      <c r="F898" t="s">
        <v>364</v>
      </c>
      <c r="H898" t="s">
        <v>353</v>
      </c>
      <c r="I898">
        <v>2802382</v>
      </c>
      <c r="J898" t="s">
        <v>3298</v>
      </c>
      <c r="K898" t="s">
        <v>3299</v>
      </c>
      <c r="L898" t="s">
        <v>3300</v>
      </c>
      <c r="N898" t="s">
        <v>3301</v>
      </c>
      <c r="O898" t="s">
        <v>3302</v>
      </c>
    </row>
    <row r="899" spans="1:19" x14ac:dyDescent="0.15">
      <c r="A899" t="s">
        <v>3297</v>
      </c>
      <c r="B899" s="61">
        <v>47880</v>
      </c>
      <c r="E899" t="s">
        <v>355</v>
      </c>
      <c r="F899" t="s">
        <v>364</v>
      </c>
      <c r="H899" t="s">
        <v>365</v>
      </c>
      <c r="I899">
        <v>2802382</v>
      </c>
      <c r="J899" t="s">
        <v>3298</v>
      </c>
      <c r="K899" t="s">
        <v>3299</v>
      </c>
      <c r="L899" t="s">
        <v>3300</v>
      </c>
      <c r="N899" t="s">
        <v>3303</v>
      </c>
      <c r="O899" t="s">
        <v>3302</v>
      </c>
    </row>
    <row r="900" spans="1:19" x14ac:dyDescent="0.15">
      <c r="A900" t="s">
        <v>3297</v>
      </c>
      <c r="B900" s="61">
        <v>48245</v>
      </c>
      <c r="E900" t="s">
        <v>355</v>
      </c>
      <c r="F900" t="s">
        <v>364</v>
      </c>
      <c r="H900" t="s">
        <v>353</v>
      </c>
      <c r="I900">
        <v>2801597</v>
      </c>
      <c r="J900" t="s">
        <v>587</v>
      </c>
      <c r="K900" t="s">
        <v>3316</v>
      </c>
      <c r="L900" t="s">
        <v>3317</v>
      </c>
      <c r="N900" t="s">
        <v>3318</v>
      </c>
      <c r="O900" t="s">
        <v>3319</v>
      </c>
    </row>
    <row r="901" spans="1:19" ht="409.5" x14ac:dyDescent="0.15">
      <c r="A901" t="s">
        <v>3349</v>
      </c>
      <c r="B901" s="61">
        <v>46174</v>
      </c>
      <c r="E901" t="s">
        <v>355</v>
      </c>
      <c r="F901" t="s">
        <v>356</v>
      </c>
      <c r="H901" t="s">
        <v>353</v>
      </c>
      <c r="I901">
        <v>1600669</v>
      </c>
      <c r="J901" t="s">
        <v>3364</v>
      </c>
      <c r="L901" t="s">
        <v>3365</v>
      </c>
      <c r="N901" t="s">
        <v>3366</v>
      </c>
      <c r="O901" t="s">
        <v>3367</v>
      </c>
      <c r="R901" t="s">
        <v>362</v>
      </c>
      <c r="S901" s="34" t="s">
        <v>3368</v>
      </c>
    </row>
    <row r="902" spans="1:19" ht="409.5" x14ac:dyDescent="0.15">
      <c r="A902" t="s">
        <v>3349</v>
      </c>
      <c r="B902" s="61">
        <v>46204</v>
      </c>
      <c r="E902" t="s">
        <v>355</v>
      </c>
      <c r="F902" t="s">
        <v>385</v>
      </c>
      <c r="H902" t="s">
        <v>365</v>
      </c>
      <c r="I902">
        <v>1600483</v>
      </c>
      <c r="J902" t="s">
        <v>3369</v>
      </c>
      <c r="K902" t="s">
        <v>3370</v>
      </c>
      <c r="L902" t="s">
        <v>413</v>
      </c>
      <c r="N902" t="s">
        <v>3371</v>
      </c>
      <c r="O902" t="s">
        <v>3372</v>
      </c>
      <c r="R902" t="s">
        <v>395</v>
      </c>
      <c r="S902" s="34" t="s">
        <v>3373</v>
      </c>
    </row>
    <row r="903" spans="1:19" ht="229.5" x14ac:dyDescent="0.15">
      <c r="A903" t="s">
        <v>3349</v>
      </c>
      <c r="B903" s="61">
        <v>46204</v>
      </c>
      <c r="E903" t="s">
        <v>355</v>
      </c>
      <c r="F903" t="s">
        <v>356</v>
      </c>
      <c r="H903" t="s">
        <v>353</v>
      </c>
      <c r="I903">
        <v>1600687</v>
      </c>
      <c r="J903" t="s">
        <v>3374</v>
      </c>
      <c r="L903" t="s">
        <v>413</v>
      </c>
      <c r="N903" t="s">
        <v>5107</v>
      </c>
      <c r="O903" t="s">
        <v>3375</v>
      </c>
      <c r="R903" t="s">
        <v>362</v>
      </c>
      <c r="S903" s="34" t="s">
        <v>3376</v>
      </c>
    </row>
    <row r="904" spans="1:19" ht="270" x14ac:dyDescent="0.15">
      <c r="A904" t="s">
        <v>3349</v>
      </c>
      <c r="B904" s="61">
        <v>46235</v>
      </c>
      <c r="E904" t="s">
        <v>355</v>
      </c>
      <c r="F904" t="s">
        <v>356</v>
      </c>
      <c r="H904" t="s">
        <v>365</v>
      </c>
      <c r="I904">
        <v>1600669</v>
      </c>
      <c r="J904" t="s">
        <v>3364</v>
      </c>
      <c r="L904" t="s">
        <v>3365</v>
      </c>
      <c r="N904" t="s">
        <v>3377</v>
      </c>
      <c r="O904" t="s">
        <v>3367</v>
      </c>
      <c r="R904" t="s">
        <v>362</v>
      </c>
      <c r="S904" s="34" t="s">
        <v>3378</v>
      </c>
    </row>
    <row r="905" spans="1:19" ht="243" x14ac:dyDescent="0.15">
      <c r="A905" t="s">
        <v>3349</v>
      </c>
      <c r="B905" s="61">
        <v>46296</v>
      </c>
      <c r="E905" t="s">
        <v>355</v>
      </c>
      <c r="F905" t="s">
        <v>385</v>
      </c>
      <c r="H905" t="s">
        <v>365</v>
      </c>
      <c r="I905">
        <v>1600601</v>
      </c>
      <c r="J905" t="s">
        <v>2481</v>
      </c>
      <c r="K905" t="s">
        <v>3379</v>
      </c>
      <c r="L905" t="s">
        <v>3380</v>
      </c>
      <c r="N905" t="s">
        <v>3381</v>
      </c>
      <c r="O905" t="s">
        <v>3382</v>
      </c>
      <c r="R905" t="s">
        <v>395</v>
      </c>
      <c r="S905" s="34" t="s">
        <v>3383</v>
      </c>
    </row>
    <row r="906" spans="1:19" ht="409.5" x14ac:dyDescent="0.15">
      <c r="A906" t="s">
        <v>3349</v>
      </c>
      <c r="B906" s="61">
        <v>46296</v>
      </c>
      <c r="E906" t="s">
        <v>355</v>
      </c>
      <c r="F906" t="s">
        <v>385</v>
      </c>
      <c r="H906" t="s">
        <v>353</v>
      </c>
      <c r="I906">
        <v>1600601</v>
      </c>
      <c r="J906" t="s">
        <v>2481</v>
      </c>
      <c r="K906" t="s">
        <v>3379</v>
      </c>
      <c r="L906" t="s">
        <v>3380</v>
      </c>
      <c r="N906" t="s">
        <v>3384</v>
      </c>
      <c r="O906" t="s">
        <v>3382</v>
      </c>
      <c r="R906" t="s">
        <v>386</v>
      </c>
      <c r="S906" s="34" t="s">
        <v>3385</v>
      </c>
    </row>
    <row r="907" spans="1:19" ht="243" x14ac:dyDescent="0.15">
      <c r="A907" t="s">
        <v>3349</v>
      </c>
      <c r="B907" s="61">
        <v>46327</v>
      </c>
      <c r="E907" t="s">
        <v>355</v>
      </c>
      <c r="F907" t="s">
        <v>385</v>
      </c>
      <c r="H907" t="s">
        <v>353</v>
      </c>
      <c r="I907">
        <v>1600004</v>
      </c>
      <c r="J907" t="s">
        <v>3386</v>
      </c>
      <c r="L907" t="s">
        <v>413</v>
      </c>
      <c r="N907" t="s">
        <v>3387</v>
      </c>
      <c r="O907" t="s">
        <v>3388</v>
      </c>
      <c r="R907" t="s">
        <v>386</v>
      </c>
      <c r="S907" s="34" t="s">
        <v>3389</v>
      </c>
    </row>
    <row r="908" spans="1:19" ht="216" x14ac:dyDescent="0.15">
      <c r="A908" t="s">
        <v>3349</v>
      </c>
      <c r="B908" s="61">
        <v>46327</v>
      </c>
      <c r="E908" t="s">
        <v>355</v>
      </c>
      <c r="F908" t="s">
        <v>385</v>
      </c>
      <c r="H908" t="s">
        <v>365</v>
      </c>
      <c r="I908">
        <v>1600628</v>
      </c>
      <c r="J908" t="s">
        <v>3350</v>
      </c>
      <c r="K908" t="s">
        <v>3351</v>
      </c>
      <c r="L908" t="s">
        <v>3390</v>
      </c>
      <c r="N908" t="s">
        <v>3391</v>
      </c>
      <c r="O908" t="s">
        <v>3392</v>
      </c>
      <c r="R908" t="s">
        <v>395</v>
      </c>
      <c r="S908" s="34" t="s">
        <v>3393</v>
      </c>
    </row>
    <row r="909" spans="1:19" ht="409.5" x14ac:dyDescent="0.15">
      <c r="A909" t="s">
        <v>3349</v>
      </c>
      <c r="B909" s="61">
        <v>46357</v>
      </c>
      <c r="E909" t="s">
        <v>355</v>
      </c>
      <c r="F909" t="s">
        <v>385</v>
      </c>
      <c r="H909" t="s">
        <v>353</v>
      </c>
      <c r="I909">
        <v>1600336</v>
      </c>
      <c r="J909" t="s">
        <v>3394</v>
      </c>
      <c r="K909" t="s">
        <v>3395</v>
      </c>
      <c r="L909" t="s">
        <v>1289</v>
      </c>
      <c r="N909" t="s">
        <v>3396</v>
      </c>
      <c r="O909" t="s">
        <v>3397</v>
      </c>
      <c r="R909" s="34" t="s">
        <v>768</v>
      </c>
      <c r="S909" s="34" t="s">
        <v>3398</v>
      </c>
    </row>
    <row r="910" spans="1:19" x14ac:dyDescent="0.15">
      <c r="A910" t="s">
        <v>3349</v>
      </c>
      <c r="B910" s="61">
        <v>46388</v>
      </c>
      <c r="E910" t="s">
        <v>355</v>
      </c>
      <c r="F910" t="s">
        <v>385</v>
      </c>
      <c r="H910" t="s">
        <v>353</v>
      </c>
      <c r="I910">
        <v>1600628</v>
      </c>
      <c r="J910" t="s">
        <v>3350</v>
      </c>
      <c r="K910" t="s">
        <v>3351</v>
      </c>
      <c r="L910" t="s">
        <v>3390</v>
      </c>
      <c r="N910" t="s">
        <v>3399</v>
      </c>
      <c r="O910" t="s">
        <v>3392</v>
      </c>
    </row>
    <row r="911" spans="1:19" ht="229.5" x14ac:dyDescent="0.15">
      <c r="A911" t="s">
        <v>3349</v>
      </c>
      <c r="B911" s="61">
        <v>46539</v>
      </c>
      <c r="E911" t="s">
        <v>355</v>
      </c>
      <c r="F911" t="s">
        <v>385</v>
      </c>
      <c r="H911" t="s">
        <v>365</v>
      </c>
      <c r="I911">
        <v>1600668</v>
      </c>
      <c r="J911" t="s">
        <v>3350</v>
      </c>
      <c r="K911" t="s">
        <v>3351</v>
      </c>
      <c r="L911" t="s">
        <v>3400</v>
      </c>
      <c r="N911" t="s">
        <v>3401</v>
      </c>
      <c r="O911" t="s">
        <v>3402</v>
      </c>
      <c r="R911" t="s">
        <v>395</v>
      </c>
      <c r="S911" s="34" t="s">
        <v>3403</v>
      </c>
    </row>
    <row r="912" spans="1:19" ht="216" x14ac:dyDescent="0.15">
      <c r="A912" t="s">
        <v>3349</v>
      </c>
      <c r="B912" s="61">
        <v>46600</v>
      </c>
      <c r="E912" t="s">
        <v>355</v>
      </c>
      <c r="F912" t="s">
        <v>385</v>
      </c>
      <c r="H912" t="s">
        <v>353</v>
      </c>
      <c r="I912">
        <v>1600668</v>
      </c>
      <c r="J912" t="s">
        <v>3350</v>
      </c>
      <c r="K912" t="s">
        <v>3351</v>
      </c>
      <c r="L912" t="s">
        <v>3400</v>
      </c>
      <c r="N912" t="s">
        <v>3404</v>
      </c>
      <c r="O912" t="s">
        <v>3402</v>
      </c>
      <c r="R912" t="s">
        <v>386</v>
      </c>
      <c r="S912" s="34" t="s">
        <v>3405</v>
      </c>
    </row>
    <row r="913" spans="1:19" ht="409.5" x14ac:dyDescent="0.15">
      <c r="A913" t="s">
        <v>3349</v>
      </c>
      <c r="B913" s="61">
        <v>46600</v>
      </c>
      <c r="E913" t="s">
        <v>355</v>
      </c>
      <c r="F913" t="s">
        <v>356</v>
      </c>
      <c r="H913" t="s">
        <v>353</v>
      </c>
      <c r="I913">
        <v>1600689</v>
      </c>
      <c r="J913" t="s">
        <v>1444</v>
      </c>
      <c r="K913" t="s">
        <v>3406</v>
      </c>
      <c r="L913" t="s">
        <v>413</v>
      </c>
      <c r="N913" t="s">
        <v>3407</v>
      </c>
      <c r="O913" t="s">
        <v>3408</v>
      </c>
      <c r="R913" t="s">
        <v>362</v>
      </c>
      <c r="S913" s="34" t="s">
        <v>3409</v>
      </c>
    </row>
    <row r="914" spans="1:19" ht="229.5" x14ac:dyDescent="0.15">
      <c r="A914" t="s">
        <v>3349</v>
      </c>
      <c r="B914" s="61">
        <v>46631</v>
      </c>
      <c r="E914" t="s">
        <v>355</v>
      </c>
      <c r="F914" t="s">
        <v>385</v>
      </c>
      <c r="H914" t="s">
        <v>365</v>
      </c>
      <c r="I914">
        <v>1600668</v>
      </c>
      <c r="J914" t="s">
        <v>3350</v>
      </c>
      <c r="K914" t="s">
        <v>3351</v>
      </c>
      <c r="L914" t="s">
        <v>3410</v>
      </c>
      <c r="N914" t="s">
        <v>3411</v>
      </c>
      <c r="O914" t="s">
        <v>3402</v>
      </c>
      <c r="R914" t="s">
        <v>395</v>
      </c>
      <c r="S914" s="34" t="s">
        <v>3412</v>
      </c>
    </row>
    <row r="915" spans="1:19" ht="229.5" x14ac:dyDescent="0.15">
      <c r="A915" t="s">
        <v>3349</v>
      </c>
      <c r="B915" s="61">
        <v>46661</v>
      </c>
      <c r="E915" t="s">
        <v>355</v>
      </c>
      <c r="F915" t="s">
        <v>385</v>
      </c>
      <c r="H915" t="s">
        <v>353</v>
      </c>
      <c r="I915">
        <v>1600668</v>
      </c>
      <c r="J915" t="s">
        <v>3350</v>
      </c>
      <c r="K915" t="s">
        <v>3351</v>
      </c>
      <c r="L915" t="s">
        <v>3413</v>
      </c>
      <c r="N915" t="s">
        <v>3414</v>
      </c>
      <c r="O915" t="s">
        <v>3402</v>
      </c>
      <c r="R915" t="s">
        <v>386</v>
      </c>
      <c r="S915" s="34" t="s">
        <v>3415</v>
      </c>
    </row>
    <row r="916" spans="1:19" x14ac:dyDescent="0.15">
      <c r="A916" t="s">
        <v>3349</v>
      </c>
      <c r="B916" s="61">
        <v>46692</v>
      </c>
      <c r="E916" t="s">
        <v>355</v>
      </c>
      <c r="F916" t="s">
        <v>364</v>
      </c>
      <c r="H916" t="s">
        <v>353</v>
      </c>
      <c r="I916">
        <v>1600694</v>
      </c>
      <c r="J916" t="s">
        <v>3416</v>
      </c>
      <c r="L916" t="s">
        <v>3417</v>
      </c>
      <c r="N916" t="s">
        <v>3418</v>
      </c>
      <c r="O916" t="s">
        <v>3419</v>
      </c>
    </row>
    <row r="917" spans="1:19" x14ac:dyDescent="0.15">
      <c r="A917" t="s">
        <v>3349</v>
      </c>
      <c r="B917" s="61">
        <v>46784</v>
      </c>
      <c r="E917" t="s">
        <v>355</v>
      </c>
      <c r="F917" t="s">
        <v>364</v>
      </c>
      <c r="H917" t="s">
        <v>353</v>
      </c>
      <c r="I917">
        <v>1600418</v>
      </c>
      <c r="J917" t="s">
        <v>3420</v>
      </c>
      <c r="L917" t="s">
        <v>698</v>
      </c>
      <c r="N917" t="s">
        <v>3421</v>
      </c>
      <c r="O917" t="s">
        <v>3422</v>
      </c>
    </row>
    <row r="918" spans="1:19" x14ac:dyDescent="0.15">
      <c r="A918" t="s">
        <v>3349</v>
      </c>
      <c r="B918" s="61">
        <v>46784</v>
      </c>
      <c r="E918" t="s">
        <v>355</v>
      </c>
      <c r="F918" t="s">
        <v>364</v>
      </c>
      <c r="H918" t="s">
        <v>353</v>
      </c>
      <c r="I918">
        <v>1600693</v>
      </c>
      <c r="J918" t="s">
        <v>3423</v>
      </c>
      <c r="L918" t="s">
        <v>413</v>
      </c>
      <c r="N918" t="s">
        <v>3424</v>
      </c>
      <c r="O918" t="s">
        <v>3425</v>
      </c>
    </row>
    <row r="919" spans="1:19" ht="243" x14ac:dyDescent="0.15">
      <c r="A919" t="s">
        <v>3349</v>
      </c>
      <c r="B919" s="61">
        <v>46935</v>
      </c>
      <c r="E919" t="s">
        <v>355</v>
      </c>
      <c r="F919" t="s">
        <v>385</v>
      </c>
      <c r="H919" t="s">
        <v>365</v>
      </c>
      <c r="I919">
        <v>1600659</v>
      </c>
      <c r="J919" t="s">
        <v>3426</v>
      </c>
      <c r="K919" t="s">
        <v>3427</v>
      </c>
      <c r="L919" t="s">
        <v>3428</v>
      </c>
      <c r="N919" t="s">
        <v>3429</v>
      </c>
      <c r="O919" t="s">
        <v>3430</v>
      </c>
      <c r="R919" t="s">
        <v>395</v>
      </c>
      <c r="S919" s="34" t="s">
        <v>3431</v>
      </c>
    </row>
    <row r="920" spans="1:19" ht="229.5" x14ac:dyDescent="0.15">
      <c r="A920" t="s">
        <v>3349</v>
      </c>
      <c r="B920" s="61">
        <v>47515</v>
      </c>
      <c r="E920" t="s">
        <v>355</v>
      </c>
      <c r="F920" t="s">
        <v>385</v>
      </c>
      <c r="H920" t="s">
        <v>353</v>
      </c>
      <c r="I920">
        <v>1600681</v>
      </c>
      <c r="J920" t="s">
        <v>3354</v>
      </c>
      <c r="K920" t="s">
        <v>3355</v>
      </c>
      <c r="L920" t="s">
        <v>3356</v>
      </c>
      <c r="N920" t="s">
        <v>3357</v>
      </c>
      <c r="O920" t="s">
        <v>3358</v>
      </c>
      <c r="R920" s="34" t="s">
        <v>768</v>
      </c>
      <c r="S920" s="34" t="s">
        <v>3359</v>
      </c>
    </row>
    <row r="921" spans="1:19" ht="409.5" x14ac:dyDescent="0.15">
      <c r="A921" t="s">
        <v>3349</v>
      </c>
      <c r="B921" s="61">
        <v>47604</v>
      </c>
      <c r="E921" t="s">
        <v>355</v>
      </c>
      <c r="F921" t="s">
        <v>385</v>
      </c>
      <c r="H921" t="s">
        <v>353</v>
      </c>
      <c r="I921">
        <v>1600669</v>
      </c>
      <c r="J921" t="s">
        <v>3364</v>
      </c>
      <c r="L921" t="s">
        <v>3365</v>
      </c>
      <c r="N921" t="s">
        <v>3366</v>
      </c>
      <c r="O921" t="s">
        <v>3367</v>
      </c>
      <c r="R921" t="s">
        <v>386</v>
      </c>
      <c r="S921" s="34" t="s">
        <v>3368</v>
      </c>
    </row>
    <row r="922" spans="1:19" ht="229.5" x14ac:dyDescent="0.15">
      <c r="A922" t="s">
        <v>3349</v>
      </c>
      <c r="B922" s="61">
        <v>47665</v>
      </c>
      <c r="E922" t="s">
        <v>355</v>
      </c>
      <c r="F922" t="s">
        <v>385</v>
      </c>
      <c r="H922" t="s">
        <v>353</v>
      </c>
      <c r="I922">
        <v>1600687</v>
      </c>
      <c r="J922" t="s">
        <v>3374</v>
      </c>
      <c r="L922" t="s">
        <v>413</v>
      </c>
      <c r="N922" t="s">
        <v>5107</v>
      </c>
      <c r="O922" t="s">
        <v>3375</v>
      </c>
      <c r="R922" t="s">
        <v>386</v>
      </c>
      <c r="S922" s="34" t="s">
        <v>3376</v>
      </c>
    </row>
    <row r="923" spans="1:19" ht="270" x14ac:dyDescent="0.15">
      <c r="A923" t="s">
        <v>3349</v>
      </c>
      <c r="B923" s="61">
        <v>47696</v>
      </c>
      <c r="E923" t="s">
        <v>355</v>
      </c>
      <c r="F923" t="s">
        <v>385</v>
      </c>
      <c r="H923" t="s">
        <v>365</v>
      </c>
      <c r="I923">
        <v>1600669</v>
      </c>
      <c r="J923" t="s">
        <v>3364</v>
      </c>
      <c r="L923" t="s">
        <v>3365</v>
      </c>
      <c r="N923" t="s">
        <v>3377</v>
      </c>
      <c r="O923" t="s">
        <v>3367</v>
      </c>
      <c r="R923" t="s">
        <v>395</v>
      </c>
      <c r="S923" s="34" t="s">
        <v>3378</v>
      </c>
    </row>
    <row r="924" spans="1:19" ht="409.5" x14ac:dyDescent="0.15">
      <c r="A924" t="s">
        <v>3349</v>
      </c>
      <c r="B924" s="61">
        <v>48061</v>
      </c>
      <c r="E924" t="s">
        <v>355</v>
      </c>
      <c r="F924" t="s">
        <v>385</v>
      </c>
      <c r="H924" t="s">
        <v>353</v>
      </c>
      <c r="I924">
        <v>1600689</v>
      </c>
      <c r="J924" t="s">
        <v>1444</v>
      </c>
      <c r="K924" t="s">
        <v>3406</v>
      </c>
      <c r="L924" t="s">
        <v>413</v>
      </c>
      <c r="N924" t="s">
        <v>3407</v>
      </c>
      <c r="O924" t="s">
        <v>3408</v>
      </c>
      <c r="R924" t="s">
        <v>386</v>
      </c>
      <c r="S924" s="34" t="s">
        <v>3409</v>
      </c>
    </row>
    <row r="925" spans="1:19" x14ac:dyDescent="0.15">
      <c r="A925" t="s">
        <v>3349</v>
      </c>
      <c r="B925" s="61">
        <v>48153</v>
      </c>
      <c r="E925" t="s">
        <v>355</v>
      </c>
      <c r="F925" t="s">
        <v>364</v>
      </c>
      <c r="H925" t="s">
        <v>353</v>
      </c>
      <c r="I925">
        <v>1600694</v>
      </c>
      <c r="J925" t="s">
        <v>3416</v>
      </c>
      <c r="L925" t="s">
        <v>3417</v>
      </c>
      <c r="N925" t="s">
        <v>3418</v>
      </c>
      <c r="O925" t="s">
        <v>3419</v>
      </c>
    </row>
    <row r="926" spans="1:19" x14ac:dyDescent="0.15">
      <c r="A926" t="s">
        <v>3349</v>
      </c>
      <c r="B926" s="61">
        <v>48245</v>
      </c>
      <c r="E926" t="s">
        <v>355</v>
      </c>
      <c r="F926" t="s">
        <v>364</v>
      </c>
      <c r="H926" t="s">
        <v>353</v>
      </c>
      <c r="I926">
        <v>1600693</v>
      </c>
      <c r="J926" t="s">
        <v>3423</v>
      </c>
      <c r="L926" t="s">
        <v>413</v>
      </c>
      <c r="N926" t="s">
        <v>3424</v>
      </c>
      <c r="O926" t="s">
        <v>3425</v>
      </c>
    </row>
    <row r="927" spans="1:19" ht="409.5" x14ac:dyDescent="0.15">
      <c r="A927" t="s">
        <v>3432</v>
      </c>
      <c r="B927" s="61">
        <v>47150</v>
      </c>
      <c r="E927" t="s">
        <v>355</v>
      </c>
      <c r="F927" t="s">
        <v>385</v>
      </c>
      <c r="H927" t="s">
        <v>365</v>
      </c>
      <c r="I927">
        <v>2200685</v>
      </c>
      <c r="J927" t="s">
        <v>1391</v>
      </c>
      <c r="K927" t="s">
        <v>3433</v>
      </c>
      <c r="L927" t="s">
        <v>3434</v>
      </c>
      <c r="N927" t="s">
        <v>5381</v>
      </c>
      <c r="O927" t="s">
        <v>3435</v>
      </c>
      <c r="R927" t="s">
        <v>362</v>
      </c>
      <c r="S927" s="34" t="s">
        <v>5382</v>
      </c>
    </row>
    <row r="928" spans="1:19" ht="364.5" x14ac:dyDescent="0.15">
      <c r="A928" t="s">
        <v>3432</v>
      </c>
      <c r="B928" s="61">
        <v>44958</v>
      </c>
      <c r="E928" t="s">
        <v>355</v>
      </c>
      <c r="F928" t="s">
        <v>969</v>
      </c>
      <c r="H928" t="s">
        <v>970</v>
      </c>
      <c r="I928">
        <v>2200685</v>
      </c>
      <c r="J928" t="s">
        <v>1391</v>
      </c>
      <c r="K928" t="s">
        <v>3433</v>
      </c>
      <c r="L928" t="s">
        <v>3434</v>
      </c>
      <c r="N928" t="s">
        <v>3436</v>
      </c>
      <c r="O928" t="s">
        <v>3435</v>
      </c>
      <c r="R928" s="34" t="s">
        <v>1872</v>
      </c>
      <c r="S928" s="34" t="s">
        <v>3437</v>
      </c>
    </row>
    <row r="929" spans="1:19" ht="409.5" x14ac:dyDescent="0.15">
      <c r="A929" t="s">
        <v>3432</v>
      </c>
      <c r="B929" s="61">
        <v>45717</v>
      </c>
      <c r="E929" t="s">
        <v>355</v>
      </c>
      <c r="F929" t="s">
        <v>385</v>
      </c>
      <c r="H929" t="s">
        <v>365</v>
      </c>
      <c r="I929">
        <v>2202562</v>
      </c>
      <c r="J929" t="s">
        <v>1391</v>
      </c>
      <c r="K929" t="s">
        <v>3438</v>
      </c>
      <c r="L929" t="s">
        <v>3217</v>
      </c>
      <c r="N929" t="s">
        <v>3439</v>
      </c>
      <c r="O929" t="s">
        <v>3440</v>
      </c>
      <c r="R929" t="s">
        <v>395</v>
      </c>
      <c r="S929" s="34" t="s">
        <v>3441</v>
      </c>
    </row>
    <row r="930" spans="1:19" ht="409.5" x14ac:dyDescent="0.15">
      <c r="A930" t="s">
        <v>3432</v>
      </c>
      <c r="B930" s="61">
        <v>46204</v>
      </c>
      <c r="E930" t="s">
        <v>355</v>
      </c>
      <c r="F930" t="s">
        <v>385</v>
      </c>
      <c r="H930" t="s">
        <v>353</v>
      </c>
      <c r="I930">
        <v>2200589</v>
      </c>
      <c r="J930" t="s">
        <v>3442</v>
      </c>
      <c r="K930" t="s">
        <v>1769</v>
      </c>
      <c r="L930" t="s">
        <v>3443</v>
      </c>
      <c r="N930" t="s">
        <v>3444</v>
      </c>
      <c r="O930" t="s">
        <v>3445</v>
      </c>
      <c r="R930" t="s">
        <v>386</v>
      </c>
      <c r="S930" s="34" t="s">
        <v>3446</v>
      </c>
    </row>
    <row r="931" spans="1:19" ht="409.5" x14ac:dyDescent="0.15">
      <c r="A931" t="s">
        <v>3432</v>
      </c>
      <c r="B931" s="61">
        <v>46235</v>
      </c>
      <c r="E931" t="s">
        <v>355</v>
      </c>
      <c r="F931" t="s">
        <v>356</v>
      </c>
      <c r="H931" t="s">
        <v>353</v>
      </c>
      <c r="I931">
        <v>2202563</v>
      </c>
      <c r="J931" t="s">
        <v>1391</v>
      </c>
      <c r="K931" t="s">
        <v>3433</v>
      </c>
      <c r="L931" t="s">
        <v>3447</v>
      </c>
      <c r="N931" t="s">
        <v>3448</v>
      </c>
      <c r="O931" t="s">
        <v>3449</v>
      </c>
      <c r="R931" t="s">
        <v>362</v>
      </c>
      <c r="S931" s="34" t="s">
        <v>3450</v>
      </c>
    </row>
    <row r="932" spans="1:19" x14ac:dyDescent="0.15">
      <c r="A932" t="s">
        <v>3432</v>
      </c>
      <c r="B932" s="61">
        <v>46388</v>
      </c>
      <c r="E932" t="s">
        <v>355</v>
      </c>
      <c r="F932" t="s">
        <v>364</v>
      </c>
      <c r="H932" t="s">
        <v>365</v>
      </c>
      <c r="I932">
        <v>2200685</v>
      </c>
      <c r="J932" t="s">
        <v>1391</v>
      </c>
      <c r="K932" t="s">
        <v>3433</v>
      </c>
      <c r="L932" t="s">
        <v>3434</v>
      </c>
      <c r="N932" t="s">
        <v>3451</v>
      </c>
      <c r="O932" t="s">
        <v>3435</v>
      </c>
    </row>
    <row r="933" spans="1:19" x14ac:dyDescent="0.15">
      <c r="A933" t="s">
        <v>3432</v>
      </c>
      <c r="B933" s="61">
        <v>46419</v>
      </c>
      <c r="E933" t="s">
        <v>355</v>
      </c>
      <c r="F933" t="s">
        <v>364</v>
      </c>
      <c r="H933" t="s">
        <v>353</v>
      </c>
      <c r="I933">
        <v>2202395</v>
      </c>
      <c r="J933" t="s">
        <v>3452</v>
      </c>
      <c r="L933" t="s">
        <v>2082</v>
      </c>
      <c r="N933" t="s">
        <v>3453</v>
      </c>
      <c r="O933" t="s">
        <v>3454</v>
      </c>
    </row>
    <row r="934" spans="1:19" x14ac:dyDescent="0.15">
      <c r="A934" t="s">
        <v>3432</v>
      </c>
      <c r="B934" s="61">
        <v>46419</v>
      </c>
      <c r="E934" t="s">
        <v>355</v>
      </c>
      <c r="F934" t="s">
        <v>364</v>
      </c>
      <c r="H934" t="s">
        <v>365</v>
      </c>
      <c r="I934">
        <v>2202395</v>
      </c>
      <c r="J934" t="s">
        <v>3452</v>
      </c>
      <c r="L934" t="s">
        <v>2082</v>
      </c>
      <c r="N934" t="s">
        <v>3455</v>
      </c>
      <c r="O934" t="s">
        <v>3454</v>
      </c>
    </row>
    <row r="935" spans="1:19" x14ac:dyDescent="0.15">
      <c r="A935" t="s">
        <v>3432</v>
      </c>
      <c r="B935" s="61">
        <v>46508</v>
      </c>
      <c r="E935" t="s">
        <v>355</v>
      </c>
      <c r="F935" t="s">
        <v>364</v>
      </c>
      <c r="H935" t="s">
        <v>365</v>
      </c>
      <c r="I935">
        <v>2201034</v>
      </c>
      <c r="J935" t="s">
        <v>3456</v>
      </c>
      <c r="L935" t="s">
        <v>3457</v>
      </c>
      <c r="N935" t="s">
        <v>3458</v>
      </c>
      <c r="O935" t="s">
        <v>3459</v>
      </c>
    </row>
    <row r="936" spans="1:19" x14ac:dyDescent="0.15">
      <c r="A936" t="s">
        <v>3432</v>
      </c>
      <c r="B936" s="61">
        <v>46631</v>
      </c>
      <c r="E936" t="s">
        <v>355</v>
      </c>
      <c r="F936" t="s">
        <v>364</v>
      </c>
      <c r="H936" t="s">
        <v>365</v>
      </c>
      <c r="I936">
        <v>2200274</v>
      </c>
      <c r="J936" t="s">
        <v>1391</v>
      </c>
      <c r="K936" t="s">
        <v>3460</v>
      </c>
      <c r="L936" t="s">
        <v>413</v>
      </c>
      <c r="N936" t="s">
        <v>3461</v>
      </c>
      <c r="O936" t="s">
        <v>3462</v>
      </c>
    </row>
    <row r="937" spans="1:19" x14ac:dyDescent="0.15">
      <c r="A937" t="s">
        <v>3432</v>
      </c>
      <c r="B937" s="61">
        <v>47027</v>
      </c>
      <c r="E937" t="s">
        <v>355</v>
      </c>
      <c r="F937" t="s">
        <v>364</v>
      </c>
      <c r="H937" t="s">
        <v>353</v>
      </c>
      <c r="I937">
        <v>2202543</v>
      </c>
      <c r="J937" t="s">
        <v>3463</v>
      </c>
      <c r="L937" t="s">
        <v>3464</v>
      </c>
      <c r="N937" t="s">
        <v>3465</v>
      </c>
      <c r="O937" t="s">
        <v>3466</v>
      </c>
    </row>
    <row r="938" spans="1:19" ht="256.5" x14ac:dyDescent="0.15">
      <c r="A938" t="s">
        <v>3432</v>
      </c>
      <c r="B938" s="61">
        <v>47270</v>
      </c>
      <c r="E938" t="s">
        <v>355</v>
      </c>
      <c r="F938" t="s">
        <v>385</v>
      </c>
      <c r="H938" t="s">
        <v>365</v>
      </c>
      <c r="I938">
        <v>2202187</v>
      </c>
      <c r="J938" t="s">
        <v>3467</v>
      </c>
      <c r="K938" t="s">
        <v>3468</v>
      </c>
      <c r="L938" t="s">
        <v>390</v>
      </c>
      <c r="N938" t="s">
        <v>3469</v>
      </c>
      <c r="O938" t="s">
        <v>3470</v>
      </c>
      <c r="S938" s="34" t="s">
        <v>3471</v>
      </c>
    </row>
    <row r="939" spans="1:19" ht="409.5" x14ac:dyDescent="0.15">
      <c r="A939" t="s">
        <v>3432</v>
      </c>
      <c r="B939" s="61">
        <v>47696</v>
      </c>
      <c r="E939" t="s">
        <v>355</v>
      </c>
      <c r="F939" t="s">
        <v>385</v>
      </c>
      <c r="H939" t="s">
        <v>353</v>
      </c>
      <c r="I939">
        <v>2202563</v>
      </c>
      <c r="J939" t="s">
        <v>1391</v>
      </c>
      <c r="K939" t="s">
        <v>3433</v>
      </c>
      <c r="L939" t="s">
        <v>3447</v>
      </c>
      <c r="N939" t="s">
        <v>3448</v>
      </c>
      <c r="O939" t="s">
        <v>3449</v>
      </c>
      <c r="R939" t="s">
        <v>386</v>
      </c>
      <c r="S939" s="34" t="s">
        <v>3450</v>
      </c>
    </row>
    <row r="940" spans="1:19" x14ac:dyDescent="0.15">
      <c r="A940" t="s">
        <v>3432</v>
      </c>
      <c r="B940" s="61">
        <v>47849</v>
      </c>
      <c r="E940" t="s">
        <v>355</v>
      </c>
      <c r="F940" t="s">
        <v>364</v>
      </c>
      <c r="H940" t="s">
        <v>365</v>
      </c>
      <c r="I940">
        <v>2200685</v>
      </c>
      <c r="J940" t="s">
        <v>1391</v>
      </c>
      <c r="K940" t="s">
        <v>3433</v>
      </c>
      <c r="L940" t="s">
        <v>3434</v>
      </c>
      <c r="N940" t="s">
        <v>3451</v>
      </c>
      <c r="O940" t="s">
        <v>3435</v>
      </c>
    </row>
    <row r="941" spans="1:19" x14ac:dyDescent="0.15">
      <c r="A941" t="s">
        <v>3432</v>
      </c>
      <c r="B941" s="61">
        <v>47969</v>
      </c>
      <c r="E941" t="s">
        <v>355</v>
      </c>
      <c r="F941" t="s">
        <v>364</v>
      </c>
      <c r="H941" t="s">
        <v>365</v>
      </c>
      <c r="I941">
        <v>2201034</v>
      </c>
      <c r="J941" t="s">
        <v>3456</v>
      </c>
      <c r="L941" t="s">
        <v>3457</v>
      </c>
      <c r="N941" t="s">
        <v>3458</v>
      </c>
      <c r="O941" t="s">
        <v>3459</v>
      </c>
    </row>
    <row r="942" spans="1:19" x14ac:dyDescent="0.15">
      <c r="A942" t="s">
        <v>3432</v>
      </c>
      <c r="B942" s="61">
        <v>48092</v>
      </c>
      <c r="E942" t="s">
        <v>355</v>
      </c>
      <c r="F942" t="s">
        <v>364</v>
      </c>
      <c r="H942" t="s">
        <v>365</v>
      </c>
      <c r="I942">
        <v>2200274</v>
      </c>
      <c r="J942" t="s">
        <v>1391</v>
      </c>
      <c r="K942" t="s">
        <v>3460</v>
      </c>
      <c r="L942" t="s">
        <v>413</v>
      </c>
      <c r="N942" t="s">
        <v>3461</v>
      </c>
      <c r="O942" t="s">
        <v>3462</v>
      </c>
    </row>
    <row r="943" spans="1:19" ht="409.5" x14ac:dyDescent="0.15">
      <c r="A943" t="s">
        <v>3472</v>
      </c>
      <c r="B943" s="61">
        <v>46204</v>
      </c>
      <c r="E943" t="s">
        <v>355</v>
      </c>
      <c r="F943" t="s">
        <v>385</v>
      </c>
      <c r="H943" t="s">
        <v>353</v>
      </c>
      <c r="I943">
        <v>4000138</v>
      </c>
      <c r="J943" t="s">
        <v>2044</v>
      </c>
      <c r="K943" t="s">
        <v>3473</v>
      </c>
      <c r="L943" t="s">
        <v>3474</v>
      </c>
      <c r="N943" t="s">
        <v>3475</v>
      </c>
      <c r="O943" t="s">
        <v>3476</v>
      </c>
      <c r="R943" t="s">
        <v>386</v>
      </c>
      <c r="S943" s="34" t="s">
        <v>3477</v>
      </c>
    </row>
    <row r="944" spans="1:19" x14ac:dyDescent="0.15">
      <c r="A944" t="s">
        <v>3472</v>
      </c>
      <c r="B944" s="61">
        <v>46753</v>
      </c>
      <c r="E944" t="s">
        <v>355</v>
      </c>
      <c r="F944" t="s">
        <v>364</v>
      </c>
      <c r="H944" t="s">
        <v>353</v>
      </c>
      <c r="I944">
        <v>4000982</v>
      </c>
      <c r="J944" t="s">
        <v>974</v>
      </c>
      <c r="K944" t="s">
        <v>3479</v>
      </c>
      <c r="L944" t="s">
        <v>2041</v>
      </c>
      <c r="N944" t="s">
        <v>3480</v>
      </c>
      <c r="O944" t="s">
        <v>3481</v>
      </c>
    </row>
    <row r="945" spans="1:19" x14ac:dyDescent="0.15">
      <c r="A945" t="s">
        <v>3472</v>
      </c>
      <c r="B945" s="61">
        <v>46753</v>
      </c>
      <c r="E945" t="s">
        <v>355</v>
      </c>
      <c r="F945" t="s">
        <v>364</v>
      </c>
      <c r="H945" t="s">
        <v>353</v>
      </c>
      <c r="I945">
        <v>4000982</v>
      </c>
      <c r="J945" t="s">
        <v>974</v>
      </c>
      <c r="K945" t="s">
        <v>3479</v>
      </c>
      <c r="L945" t="s">
        <v>2041</v>
      </c>
      <c r="N945" t="s">
        <v>3482</v>
      </c>
      <c r="O945" t="s">
        <v>3481</v>
      </c>
    </row>
    <row r="946" spans="1:19" x14ac:dyDescent="0.15">
      <c r="A946" t="s">
        <v>3472</v>
      </c>
      <c r="B946" s="61">
        <v>48214</v>
      </c>
      <c r="E946" t="s">
        <v>355</v>
      </c>
      <c r="F946" t="s">
        <v>364</v>
      </c>
      <c r="H946" t="s">
        <v>353</v>
      </c>
      <c r="I946">
        <v>4000982</v>
      </c>
      <c r="J946" t="s">
        <v>974</v>
      </c>
      <c r="K946" t="s">
        <v>3479</v>
      </c>
      <c r="L946" t="s">
        <v>2041</v>
      </c>
      <c r="N946" t="s">
        <v>3482</v>
      </c>
      <c r="O946" t="s">
        <v>3481</v>
      </c>
    </row>
    <row r="947" spans="1:19" x14ac:dyDescent="0.15">
      <c r="A947" t="s">
        <v>3472</v>
      </c>
      <c r="B947" s="61">
        <v>48274</v>
      </c>
      <c r="E947" t="s">
        <v>355</v>
      </c>
      <c r="F947" t="s">
        <v>364</v>
      </c>
      <c r="H947" t="s">
        <v>353</v>
      </c>
      <c r="I947">
        <v>4000982</v>
      </c>
      <c r="J947" t="s">
        <v>974</v>
      </c>
      <c r="K947" t="s">
        <v>3479</v>
      </c>
      <c r="L947" t="s">
        <v>2041</v>
      </c>
      <c r="N947" t="s">
        <v>3480</v>
      </c>
      <c r="O947" t="s">
        <v>3481</v>
      </c>
    </row>
    <row r="948" spans="1:19" ht="229.5" x14ac:dyDescent="0.15">
      <c r="A948" t="s">
        <v>3483</v>
      </c>
      <c r="B948" s="61">
        <v>46296</v>
      </c>
      <c r="E948" t="s">
        <v>355</v>
      </c>
      <c r="F948" t="s">
        <v>356</v>
      </c>
      <c r="H948" t="s">
        <v>353</v>
      </c>
      <c r="I948">
        <v>2301093</v>
      </c>
      <c r="J948" t="s">
        <v>3484</v>
      </c>
      <c r="K948" t="s">
        <v>3485</v>
      </c>
      <c r="L948" t="s">
        <v>3486</v>
      </c>
      <c r="N948" t="s">
        <v>3487</v>
      </c>
      <c r="O948" t="s">
        <v>3488</v>
      </c>
      <c r="R948" t="s">
        <v>362</v>
      </c>
      <c r="S948" s="34" t="s">
        <v>3489</v>
      </c>
    </row>
    <row r="949" spans="1:19" x14ac:dyDescent="0.15">
      <c r="A949" t="s">
        <v>3483</v>
      </c>
      <c r="B949" s="61">
        <v>46661</v>
      </c>
      <c r="E949" t="s">
        <v>355</v>
      </c>
      <c r="F949" t="s">
        <v>364</v>
      </c>
      <c r="H949" t="s">
        <v>353</v>
      </c>
      <c r="I949">
        <v>2300735</v>
      </c>
      <c r="J949" t="s">
        <v>3490</v>
      </c>
      <c r="K949" t="s">
        <v>3491</v>
      </c>
      <c r="L949" t="s">
        <v>3492</v>
      </c>
      <c r="N949" t="s">
        <v>3493</v>
      </c>
      <c r="O949" t="s">
        <v>3494</v>
      </c>
    </row>
    <row r="950" spans="1:19" x14ac:dyDescent="0.15">
      <c r="A950" t="s">
        <v>3483</v>
      </c>
      <c r="B950" s="61">
        <v>46722</v>
      </c>
      <c r="E950" t="s">
        <v>355</v>
      </c>
      <c r="F950" t="s">
        <v>364</v>
      </c>
      <c r="H950" t="s">
        <v>353</v>
      </c>
      <c r="I950">
        <v>2303216</v>
      </c>
      <c r="J950" t="s">
        <v>3495</v>
      </c>
      <c r="K950" t="s">
        <v>3496</v>
      </c>
      <c r="L950" t="s">
        <v>3497</v>
      </c>
      <c r="N950" t="s">
        <v>3498</v>
      </c>
      <c r="O950" t="s">
        <v>3499</v>
      </c>
    </row>
    <row r="951" spans="1:19" x14ac:dyDescent="0.15">
      <c r="A951" t="s">
        <v>3483</v>
      </c>
      <c r="B951" s="61">
        <v>46844</v>
      </c>
      <c r="E951" t="s">
        <v>355</v>
      </c>
      <c r="F951" t="s">
        <v>364</v>
      </c>
      <c r="H951" t="s">
        <v>353</v>
      </c>
      <c r="I951">
        <v>2300154</v>
      </c>
      <c r="J951" t="s">
        <v>3500</v>
      </c>
      <c r="L951" t="s">
        <v>3501</v>
      </c>
      <c r="N951" t="s">
        <v>3502</v>
      </c>
      <c r="O951" t="s">
        <v>3503</v>
      </c>
    </row>
    <row r="952" spans="1:19" x14ac:dyDescent="0.15">
      <c r="A952" t="s">
        <v>3483</v>
      </c>
      <c r="B952" s="61">
        <v>46935</v>
      </c>
      <c r="E952" t="s">
        <v>355</v>
      </c>
      <c r="F952" t="s">
        <v>364</v>
      </c>
      <c r="H952" t="s">
        <v>353</v>
      </c>
      <c r="I952">
        <v>2302486</v>
      </c>
      <c r="J952" t="s">
        <v>3504</v>
      </c>
      <c r="L952" t="s">
        <v>413</v>
      </c>
      <c r="N952" t="s">
        <v>3505</v>
      </c>
      <c r="O952" t="s">
        <v>3506</v>
      </c>
    </row>
    <row r="953" spans="1:19" ht="378" x14ac:dyDescent="0.15">
      <c r="A953" t="s">
        <v>3483</v>
      </c>
      <c r="B953" s="61">
        <v>46997</v>
      </c>
      <c r="E953" t="s">
        <v>355</v>
      </c>
      <c r="F953" t="s">
        <v>385</v>
      </c>
      <c r="H953" t="s">
        <v>353</v>
      </c>
      <c r="I953">
        <v>2302326</v>
      </c>
      <c r="J953" t="s">
        <v>3507</v>
      </c>
      <c r="K953" t="s">
        <v>3508</v>
      </c>
      <c r="L953" t="s">
        <v>2628</v>
      </c>
      <c r="N953" t="s">
        <v>3509</v>
      </c>
      <c r="O953" t="s">
        <v>3510</v>
      </c>
      <c r="R953" t="s">
        <v>386</v>
      </c>
      <c r="S953" s="34" t="s">
        <v>3511</v>
      </c>
    </row>
    <row r="954" spans="1:19" x14ac:dyDescent="0.15">
      <c r="A954" t="s">
        <v>3483</v>
      </c>
      <c r="B954" s="61">
        <v>47058</v>
      </c>
      <c r="E954" t="s">
        <v>355</v>
      </c>
      <c r="F954" t="s">
        <v>364</v>
      </c>
      <c r="H954" t="s">
        <v>353</v>
      </c>
      <c r="I954">
        <v>2302344</v>
      </c>
      <c r="J954" t="s">
        <v>1578</v>
      </c>
      <c r="K954" t="s">
        <v>3512</v>
      </c>
      <c r="L954" t="s">
        <v>3513</v>
      </c>
      <c r="N954" t="s">
        <v>3514</v>
      </c>
      <c r="O954" t="s">
        <v>3515</v>
      </c>
    </row>
    <row r="955" spans="1:19" ht="229.5" x14ac:dyDescent="0.15">
      <c r="A955" t="s">
        <v>3483</v>
      </c>
      <c r="B955" s="61">
        <v>47058</v>
      </c>
      <c r="E955" t="s">
        <v>355</v>
      </c>
      <c r="F955" t="s">
        <v>385</v>
      </c>
      <c r="H955" t="s">
        <v>353</v>
      </c>
      <c r="I955">
        <v>2303771</v>
      </c>
      <c r="J955" t="s">
        <v>3516</v>
      </c>
      <c r="K955" t="s">
        <v>3517</v>
      </c>
      <c r="L955" t="s">
        <v>3518</v>
      </c>
      <c r="N955" t="s">
        <v>3519</v>
      </c>
      <c r="O955" t="s">
        <v>3520</v>
      </c>
      <c r="R955" t="s">
        <v>386</v>
      </c>
      <c r="S955" s="34" t="s">
        <v>3521</v>
      </c>
    </row>
    <row r="956" spans="1:19" ht="409.5" x14ac:dyDescent="0.15">
      <c r="A956" t="s">
        <v>3483</v>
      </c>
      <c r="B956" s="61">
        <v>47058</v>
      </c>
      <c r="E956" t="s">
        <v>355</v>
      </c>
      <c r="F956" t="s">
        <v>385</v>
      </c>
      <c r="H956" t="s">
        <v>365</v>
      </c>
      <c r="I956">
        <v>2303748</v>
      </c>
      <c r="J956" t="s">
        <v>3522</v>
      </c>
      <c r="K956" t="s">
        <v>1251</v>
      </c>
      <c r="L956" t="s">
        <v>390</v>
      </c>
      <c r="N956" t="s">
        <v>3523</v>
      </c>
      <c r="O956" t="s">
        <v>3524</v>
      </c>
      <c r="R956" t="s">
        <v>395</v>
      </c>
      <c r="S956" s="34" t="s">
        <v>3525</v>
      </c>
    </row>
    <row r="957" spans="1:19" ht="409.5" x14ac:dyDescent="0.15">
      <c r="A957" t="s">
        <v>3483</v>
      </c>
      <c r="B957" s="61">
        <v>47239</v>
      </c>
      <c r="E957" t="s">
        <v>355</v>
      </c>
      <c r="F957" t="s">
        <v>385</v>
      </c>
      <c r="H957" t="s">
        <v>353</v>
      </c>
      <c r="I957">
        <v>2201035</v>
      </c>
      <c r="J957" t="s">
        <v>3526</v>
      </c>
      <c r="L957" t="s">
        <v>3527</v>
      </c>
      <c r="N957" t="s">
        <v>3528</v>
      </c>
      <c r="O957" t="s">
        <v>3529</v>
      </c>
      <c r="S957" s="34" t="s">
        <v>3530</v>
      </c>
    </row>
    <row r="958" spans="1:19" ht="229.5" x14ac:dyDescent="0.15">
      <c r="A958" t="s">
        <v>3483</v>
      </c>
      <c r="B958" s="61">
        <v>47757</v>
      </c>
      <c r="E958" t="s">
        <v>355</v>
      </c>
      <c r="F958" t="s">
        <v>385</v>
      </c>
      <c r="H958" t="s">
        <v>353</v>
      </c>
      <c r="I958">
        <v>2301093</v>
      </c>
      <c r="J958" t="s">
        <v>3484</v>
      </c>
      <c r="K958" t="s">
        <v>3485</v>
      </c>
      <c r="L958" t="s">
        <v>3486</v>
      </c>
      <c r="N958" t="s">
        <v>3487</v>
      </c>
      <c r="O958" t="s">
        <v>3488</v>
      </c>
      <c r="R958" t="s">
        <v>386</v>
      </c>
      <c r="S958" s="34" t="s">
        <v>3489</v>
      </c>
    </row>
    <row r="959" spans="1:19" ht="243" x14ac:dyDescent="0.15">
      <c r="A959" t="s">
        <v>5612</v>
      </c>
      <c r="B959" s="61">
        <v>46174</v>
      </c>
      <c r="E959" t="s">
        <v>355</v>
      </c>
      <c r="F959" t="s">
        <v>356</v>
      </c>
      <c r="H959" t="s">
        <v>365</v>
      </c>
      <c r="I959">
        <v>1102194</v>
      </c>
      <c r="J959" t="s">
        <v>3531</v>
      </c>
      <c r="K959" t="s">
        <v>3532</v>
      </c>
      <c r="L959" t="s">
        <v>390</v>
      </c>
      <c r="N959" t="s">
        <v>3533</v>
      </c>
      <c r="O959" t="s">
        <v>3534</v>
      </c>
      <c r="R959" t="s">
        <v>362</v>
      </c>
      <c r="S959" s="34" t="s">
        <v>3545</v>
      </c>
    </row>
    <row r="960" spans="1:19" ht="229.5" x14ac:dyDescent="0.15">
      <c r="A960" t="s">
        <v>5612</v>
      </c>
      <c r="B960" s="61">
        <v>46357</v>
      </c>
      <c r="E960" t="s">
        <v>355</v>
      </c>
      <c r="F960" t="s">
        <v>356</v>
      </c>
      <c r="H960" t="s">
        <v>353</v>
      </c>
      <c r="I960">
        <v>1101330</v>
      </c>
      <c r="J960" t="s">
        <v>3546</v>
      </c>
      <c r="K960" t="s">
        <v>3547</v>
      </c>
      <c r="L960" t="s">
        <v>698</v>
      </c>
      <c r="N960" t="s">
        <v>3548</v>
      </c>
      <c r="O960" t="s">
        <v>3549</v>
      </c>
      <c r="R960" t="s">
        <v>362</v>
      </c>
      <c r="S960" s="34" t="s">
        <v>3550</v>
      </c>
    </row>
    <row r="961" spans="1:19" ht="243" x14ac:dyDescent="0.15">
      <c r="A961" t="s">
        <v>5612</v>
      </c>
      <c r="B961" s="61">
        <v>46357</v>
      </c>
      <c r="E961" t="s">
        <v>355</v>
      </c>
      <c r="F961" t="s">
        <v>356</v>
      </c>
      <c r="H961" t="s">
        <v>365</v>
      </c>
      <c r="I961">
        <v>900530</v>
      </c>
      <c r="J961" t="s">
        <v>3551</v>
      </c>
      <c r="L961" t="s">
        <v>698</v>
      </c>
      <c r="N961" t="s">
        <v>3552</v>
      </c>
      <c r="O961" t="s">
        <v>3553</v>
      </c>
      <c r="R961" t="s">
        <v>362</v>
      </c>
      <c r="S961" s="34" t="s">
        <v>3554</v>
      </c>
    </row>
    <row r="962" spans="1:19" x14ac:dyDescent="0.15">
      <c r="A962" t="s">
        <v>5612</v>
      </c>
      <c r="B962" s="61">
        <v>46388</v>
      </c>
      <c r="E962" t="s">
        <v>355</v>
      </c>
      <c r="F962" t="s">
        <v>364</v>
      </c>
      <c r="H962" t="s">
        <v>353</v>
      </c>
      <c r="I962">
        <v>900060</v>
      </c>
      <c r="J962" t="s">
        <v>1720</v>
      </c>
      <c r="K962" t="s">
        <v>3555</v>
      </c>
      <c r="L962" t="s">
        <v>378</v>
      </c>
      <c r="N962" t="s">
        <v>3556</v>
      </c>
      <c r="O962" t="s">
        <v>3557</v>
      </c>
    </row>
    <row r="963" spans="1:19" x14ac:dyDescent="0.15">
      <c r="A963" t="s">
        <v>5612</v>
      </c>
      <c r="B963" s="61">
        <v>46447</v>
      </c>
      <c r="E963" t="s">
        <v>355</v>
      </c>
      <c r="F963" t="s">
        <v>364</v>
      </c>
      <c r="H963" t="s">
        <v>365</v>
      </c>
      <c r="I963">
        <v>1100566</v>
      </c>
      <c r="J963" t="s">
        <v>279</v>
      </c>
      <c r="K963" t="s">
        <v>3538</v>
      </c>
      <c r="L963" t="s">
        <v>413</v>
      </c>
      <c r="N963" t="s">
        <v>3539</v>
      </c>
      <c r="O963" t="s">
        <v>3540</v>
      </c>
    </row>
    <row r="964" spans="1:19" x14ac:dyDescent="0.15">
      <c r="A964" t="s">
        <v>5612</v>
      </c>
      <c r="B964" s="61">
        <v>46447</v>
      </c>
      <c r="E964" t="s">
        <v>355</v>
      </c>
      <c r="F964" t="s">
        <v>364</v>
      </c>
      <c r="H964" t="s">
        <v>365</v>
      </c>
      <c r="I964">
        <v>1100579</v>
      </c>
      <c r="J964" t="s">
        <v>3558</v>
      </c>
      <c r="K964" t="s">
        <v>3559</v>
      </c>
      <c r="L964" t="s">
        <v>1394</v>
      </c>
      <c r="N964" t="s">
        <v>3560</v>
      </c>
      <c r="O964" t="s">
        <v>3561</v>
      </c>
    </row>
    <row r="965" spans="1:19" x14ac:dyDescent="0.15">
      <c r="A965" t="s">
        <v>5612</v>
      </c>
      <c r="B965" s="61">
        <v>46569</v>
      </c>
      <c r="E965" t="s">
        <v>355</v>
      </c>
      <c r="F965" t="s">
        <v>364</v>
      </c>
      <c r="H965" t="s">
        <v>365</v>
      </c>
      <c r="I965">
        <v>1101430</v>
      </c>
      <c r="J965" t="s">
        <v>3562</v>
      </c>
      <c r="K965" t="s">
        <v>3563</v>
      </c>
      <c r="L965" t="s">
        <v>3564</v>
      </c>
      <c r="N965" t="s">
        <v>3565</v>
      </c>
      <c r="O965" t="s">
        <v>3566</v>
      </c>
    </row>
    <row r="966" spans="1:19" ht="391.5" x14ac:dyDescent="0.15">
      <c r="A966" t="s">
        <v>5612</v>
      </c>
      <c r="B966" s="61">
        <v>46722</v>
      </c>
      <c r="E966" t="s">
        <v>355</v>
      </c>
      <c r="F966" t="s">
        <v>385</v>
      </c>
      <c r="H966" t="s">
        <v>365</v>
      </c>
      <c r="I966">
        <v>1100045</v>
      </c>
      <c r="J966" t="s">
        <v>3567</v>
      </c>
      <c r="L966" t="s">
        <v>3568</v>
      </c>
      <c r="N966" t="s">
        <v>3569</v>
      </c>
      <c r="O966" t="s">
        <v>3570</v>
      </c>
      <c r="R966" t="s">
        <v>395</v>
      </c>
      <c r="S966" s="34" t="s">
        <v>3571</v>
      </c>
    </row>
    <row r="967" spans="1:19" ht="216" x14ac:dyDescent="0.15">
      <c r="A967" t="s">
        <v>5612</v>
      </c>
      <c r="B967" s="61">
        <v>46753</v>
      </c>
      <c r="E967" t="s">
        <v>355</v>
      </c>
      <c r="F967" t="s">
        <v>385</v>
      </c>
      <c r="H967" t="s">
        <v>353</v>
      </c>
      <c r="I967">
        <v>1100045</v>
      </c>
      <c r="J967" t="s">
        <v>3567</v>
      </c>
      <c r="L967" t="s">
        <v>3568</v>
      </c>
      <c r="N967" t="s">
        <v>3572</v>
      </c>
      <c r="O967" t="s">
        <v>3570</v>
      </c>
      <c r="R967" t="s">
        <v>386</v>
      </c>
      <c r="S967" s="34" t="s">
        <v>3573</v>
      </c>
    </row>
    <row r="968" spans="1:19" x14ac:dyDescent="0.15">
      <c r="A968" t="s">
        <v>5612</v>
      </c>
      <c r="B968" s="61">
        <v>47119</v>
      </c>
      <c r="E968" t="s">
        <v>355</v>
      </c>
      <c r="F968" t="s">
        <v>364</v>
      </c>
      <c r="H968" t="s">
        <v>365</v>
      </c>
      <c r="I968">
        <v>1102470</v>
      </c>
      <c r="J968" t="s">
        <v>3574</v>
      </c>
      <c r="K968" t="s">
        <v>3575</v>
      </c>
      <c r="L968" t="s">
        <v>3576</v>
      </c>
      <c r="N968" t="s">
        <v>3577</v>
      </c>
      <c r="O968" t="s">
        <v>3578</v>
      </c>
    </row>
    <row r="969" spans="1:19" ht="409.5" x14ac:dyDescent="0.15">
      <c r="A969" t="s">
        <v>5612</v>
      </c>
      <c r="B969" s="61">
        <v>47178</v>
      </c>
      <c r="E969" t="s">
        <v>355</v>
      </c>
      <c r="F969" t="s">
        <v>385</v>
      </c>
      <c r="H969" t="s">
        <v>353</v>
      </c>
      <c r="I969">
        <v>1102423</v>
      </c>
      <c r="J969" t="s">
        <v>672</v>
      </c>
      <c r="K969" t="s">
        <v>3532</v>
      </c>
      <c r="L969" t="s">
        <v>413</v>
      </c>
      <c r="N969" t="s">
        <v>3579</v>
      </c>
      <c r="O969" t="s">
        <v>3580</v>
      </c>
      <c r="R969" t="s">
        <v>386</v>
      </c>
      <c r="S969" s="34" t="s">
        <v>3581</v>
      </c>
    </row>
    <row r="970" spans="1:19" ht="409.5" x14ac:dyDescent="0.15">
      <c r="A970" t="s">
        <v>5612</v>
      </c>
      <c r="B970" s="61">
        <v>47300</v>
      </c>
      <c r="E970" t="s">
        <v>355</v>
      </c>
      <c r="F970" t="s">
        <v>385</v>
      </c>
      <c r="H970" t="s">
        <v>353</v>
      </c>
      <c r="I970">
        <v>1100235</v>
      </c>
      <c r="J970" t="s">
        <v>3582</v>
      </c>
      <c r="K970" t="s">
        <v>897</v>
      </c>
      <c r="L970" t="s">
        <v>3583</v>
      </c>
      <c r="N970" t="s">
        <v>3584</v>
      </c>
      <c r="O970" t="s">
        <v>3585</v>
      </c>
      <c r="R970" s="34" t="s">
        <v>768</v>
      </c>
      <c r="S970" s="34" t="s">
        <v>3586</v>
      </c>
    </row>
    <row r="971" spans="1:19" ht="409.5" x14ac:dyDescent="0.15">
      <c r="A971" t="s">
        <v>5612</v>
      </c>
      <c r="B971" s="61">
        <v>47604</v>
      </c>
      <c r="E971" t="s">
        <v>355</v>
      </c>
      <c r="F971" t="s">
        <v>385</v>
      </c>
      <c r="H971" t="s">
        <v>353</v>
      </c>
      <c r="I971">
        <v>1001031</v>
      </c>
      <c r="J971" t="s">
        <v>743</v>
      </c>
      <c r="K971" t="s">
        <v>3541</v>
      </c>
      <c r="L971" t="s">
        <v>390</v>
      </c>
      <c r="N971" t="s">
        <v>3542</v>
      </c>
      <c r="O971" t="s">
        <v>3543</v>
      </c>
      <c r="R971" t="s">
        <v>386</v>
      </c>
      <c r="S971" s="34" t="s">
        <v>3544</v>
      </c>
    </row>
    <row r="972" spans="1:19" ht="243" x14ac:dyDescent="0.15">
      <c r="A972" t="s">
        <v>5612</v>
      </c>
      <c r="B972" s="61">
        <v>47635</v>
      </c>
      <c r="E972" t="s">
        <v>355</v>
      </c>
      <c r="F972" t="s">
        <v>385</v>
      </c>
      <c r="H972" t="s">
        <v>365</v>
      </c>
      <c r="I972">
        <v>1102194</v>
      </c>
      <c r="J972" t="s">
        <v>3531</v>
      </c>
      <c r="K972" t="s">
        <v>3532</v>
      </c>
      <c r="L972" t="s">
        <v>390</v>
      </c>
      <c r="N972" t="s">
        <v>3533</v>
      </c>
      <c r="O972" t="s">
        <v>3534</v>
      </c>
      <c r="R972" t="s">
        <v>395</v>
      </c>
      <c r="S972" s="34" t="s">
        <v>3545</v>
      </c>
    </row>
    <row r="973" spans="1:19" ht="229.5" x14ac:dyDescent="0.15">
      <c r="A973" t="s">
        <v>5612</v>
      </c>
      <c r="B973" s="61">
        <v>47818</v>
      </c>
      <c r="E973" t="s">
        <v>355</v>
      </c>
      <c r="F973" t="s">
        <v>385</v>
      </c>
      <c r="H973" t="s">
        <v>353</v>
      </c>
      <c r="I973">
        <v>1101330</v>
      </c>
      <c r="J973" t="s">
        <v>3546</v>
      </c>
      <c r="K973" t="s">
        <v>3547</v>
      </c>
      <c r="L973" t="s">
        <v>698</v>
      </c>
      <c r="N973" t="s">
        <v>3548</v>
      </c>
      <c r="O973" t="s">
        <v>3549</v>
      </c>
      <c r="R973" s="34" t="s">
        <v>768</v>
      </c>
      <c r="S973" s="34" t="s">
        <v>3550</v>
      </c>
    </row>
    <row r="974" spans="1:19" ht="243" x14ac:dyDescent="0.15">
      <c r="A974" t="s">
        <v>5612</v>
      </c>
      <c r="B974" s="61">
        <v>47818</v>
      </c>
      <c r="E974" t="s">
        <v>355</v>
      </c>
      <c r="F974" t="s">
        <v>385</v>
      </c>
      <c r="H974" t="s">
        <v>365</v>
      </c>
      <c r="I974">
        <v>900530</v>
      </c>
      <c r="J974" t="s">
        <v>3551</v>
      </c>
      <c r="L974" t="s">
        <v>698</v>
      </c>
      <c r="N974" t="s">
        <v>3552</v>
      </c>
      <c r="O974" t="s">
        <v>3553</v>
      </c>
      <c r="R974" t="s">
        <v>395</v>
      </c>
      <c r="S974" s="34" t="s">
        <v>3554</v>
      </c>
    </row>
    <row r="975" spans="1:19" x14ac:dyDescent="0.15">
      <c r="A975" t="s">
        <v>5612</v>
      </c>
      <c r="B975" s="61">
        <v>47908</v>
      </c>
      <c r="E975" t="s">
        <v>355</v>
      </c>
      <c r="F975" t="s">
        <v>364</v>
      </c>
      <c r="H975" t="s">
        <v>365</v>
      </c>
      <c r="I975">
        <v>1100579</v>
      </c>
      <c r="J975" t="s">
        <v>3558</v>
      </c>
      <c r="K975" t="s">
        <v>3559</v>
      </c>
      <c r="L975" t="s">
        <v>1394</v>
      </c>
      <c r="N975" t="s">
        <v>3560</v>
      </c>
      <c r="O975" t="s">
        <v>3561</v>
      </c>
    </row>
    <row r="976" spans="1:19" x14ac:dyDescent="0.15">
      <c r="A976" t="s">
        <v>5831</v>
      </c>
      <c r="B976" s="61">
        <v>46935</v>
      </c>
      <c r="E976" t="s">
        <v>355</v>
      </c>
      <c r="F976" t="s">
        <v>364</v>
      </c>
      <c r="H976" t="s">
        <v>353</v>
      </c>
      <c r="I976">
        <v>1102404</v>
      </c>
      <c r="J976" t="s">
        <v>1851</v>
      </c>
      <c r="K976" t="s">
        <v>897</v>
      </c>
      <c r="L976" t="s">
        <v>3587</v>
      </c>
      <c r="N976" t="s">
        <v>3588</v>
      </c>
      <c r="O976" t="s">
        <v>3589</v>
      </c>
    </row>
    <row r="977" spans="1:19" ht="409.5" x14ac:dyDescent="0.15">
      <c r="A977" t="s">
        <v>5845</v>
      </c>
      <c r="B977" s="61">
        <v>46174</v>
      </c>
      <c r="E977" t="s">
        <v>355</v>
      </c>
      <c r="F977" t="s">
        <v>356</v>
      </c>
      <c r="H977" t="s">
        <v>353</v>
      </c>
      <c r="I977">
        <v>1000454</v>
      </c>
      <c r="J977" t="s">
        <v>3531</v>
      </c>
      <c r="K977" t="s">
        <v>3590</v>
      </c>
      <c r="L977" t="s">
        <v>3591</v>
      </c>
      <c r="N977" t="s">
        <v>3592</v>
      </c>
      <c r="O977" t="s">
        <v>3593</v>
      </c>
      <c r="R977" t="s">
        <v>362</v>
      </c>
      <c r="S977" s="34" t="s">
        <v>3594</v>
      </c>
    </row>
    <row r="978" spans="1:19" ht="409.5" x14ac:dyDescent="0.15">
      <c r="A978" t="s">
        <v>5845</v>
      </c>
      <c r="B978" s="61">
        <v>46235</v>
      </c>
      <c r="E978" t="s">
        <v>355</v>
      </c>
      <c r="F978" t="s">
        <v>356</v>
      </c>
      <c r="H978" t="s">
        <v>353</v>
      </c>
      <c r="I978">
        <v>1000454</v>
      </c>
      <c r="J978" t="s">
        <v>3531</v>
      </c>
      <c r="K978" t="s">
        <v>3590</v>
      </c>
      <c r="L978" t="s">
        <v>3595</v>
      </c>
      <c r="N978" t="s">
        <v>3596</v>
      </c>
      <c r="O978" t="s">
        <v>3593</v>
      </c>
      <c r="R978" t="s">
        <v>362</v>
      </c>
      <c r="S978" s="34" t="s">
        <v>3597</v>
      </c>
    </row>
    <row r="979" spans="1:19" x14ac:dyDescent="0.15">
      <c r="A979" t="s">
        <v>5845</v>
      </c>
      <c r="B979" s="61">
        <v>46419</v>
      </c>
      <c r="E979" t="s">
        <v>355</v>
      </c>
      <c r="F979" t="s">
        <v>364</v>
      </c>
      <c r="H979" t="s">
        <v>365</v>
      </c>
      <c r="I979">
        <v>1000993</v>
      </c>
      <c r="J979" t="s">
        <v>3598</v>
      </c>
      <c r="K979" t="s">
        <v>891</v>
      </c>
      <c r="L979" t="s">
        <v>3599</v>
      </c>
      <c r="N979" t="s">
        <v>3600</v>
      </c>
      <c r="O979" t="s">
        <v>3601</v>
      </c>
    </row>
    <row r="980" spans="1:19" x14ac:dyDescent="0.15">
      <c r="A980" t="s">
        <v>5845</v>
      </c>
      <c r="B980" s="61">
        <v>46419</v>
      </c>
      <c r="E980" t="s">
        <v>355</v>
      </c>
      <c r="F980" t="s">
        <v>364</v>
      </c>
      <c r="H980" t="s">
        <v>365</v>
      </c>
      <c r="I980">
        <v>1101272</v>
      </c>
      <c r="J980" t="s">
        <v>2033</v>
      </c>
      <c r="K980" t="s">
        <v>897</v>
      </c>
      <c r="L980" t="s">
        <v>3602</v>
      </c>
      <c r="N980" t="s">
        <v>3603</v>
      </c>
      <c r="O980" t="s">
        <v>3604</v>
      </c>
    </row>
    <row r="981" spans="1:19" x14ac:dyDescent="0.15">
      <c r="A981" t="s">
        <v>5845</v>
      </c>
      <c r="B981" s="61">
        <v>46478</v>
      </c>
      <c r="E981" t="s">
        <v>355</v>
      </c>
      <c r="F981" t="s">
        <v>364</v>
      </c>
      <c r="H981" t="s">
        <v>353</v>
      </c>
      <c r="I981">
        <v>1000993</v>
      </c>
      <c r="J981" t="s">
        <v>3598</v>
      </c>
      <c r="K981" t="s">
        <v>891</v>
      </c>
      <c r="L981" t="s">
        <v>3599</v>
      </c>
      <c r="N981" t="s">
        <v>3605</v>
      </c>
      <c r="O981" t="s">
        <v>3601</v>
      </c>
    </row>
    <row r="982" spans="1:19" x14ac:dyDescent="0.15">
      <c r="A982" t="s">
        <v>5845</v>
      </c>
      <c r="B982" s="61">
        <v>46753</v>
      </c>
      <c r="E982" t="s">
        <v>355</v>
      </c>
      <c r="F982" t="s">
        <v>364</v>
      </c>
      <c r="H982" t="s">
        <v>365</v>
      </c>
      <c r="I982">
        <v>1001002</v>
      </c>
      <c r="J982" t="s">
        <v>3598</v>
      </c>
      <c r="K982" t="s">
        <v>891</v>
      </c>
      <c r="L982" t="s">
        <v>3606</v>
      </c>
      <c r="N982" t="s">
        <v>3607</v>
      </c>
      <c r="O982" t="s">
        <v>3608</v>
      </c>
    </row>
    <row r="983" spans="1:19" x14ac:dyDescent="0.15">
      <c r="A983" t="s">
        <v>5845</v>
      </c>
      <c r="B983" s="61">
        <v>46784</v>
      </c>
      <c r="E983" t="s">
        <v>355</v>
      </c>
      <c r="F983" t="s">
        <v>364</v>
      </c>
      <c r="H983" t="s">
        <v>365</v>
      </c>
      <c r="I983">
        <v>1102452</v>
      </c>
      <c r="J983" t="s">
        <v>3609</v>
      </c>
      <c r="K983" t="s">
        <v>3610</v>
      </c>
      <c r="L983" t="s">
        <v>3611</v>
      </c>
      <c r="N983" t="s">
        <v>3612</v>
      </c>
      <c r="O983" t="s">
        <v>3613</v>
      </c>
    </row>
    <row r="984" spans="1:19" x14ac:dyDescent="0.15">
      <c r="A984" t="s">
        <v>5845</v>
      </c>
      <c r="B984" s="61">
        <v>46874</v>
      </c>
      <c r="E984" t="s">
        <v>355</v>
      </c>
      <c r="F984" t="s">
        <v>364</v>
      </c>
      <c r="H984" t="s">
        <v>365</v>
      </c>
      <c r="I984">
        <v>1102437</v>
      </c>
      <c r="J984" t="s">
        <v>3609</v>
      </c>
      <c r="K984" t="s">
        <v>3610</v>
      </c>
      <c r="L984" t="s">
        <v>2082</v>
      </c>
      <c r="N984" t="s">
        <v>3614</v>
      </c>
      <c r="O984" t="s">
        <v>3615</v>
      </c>
    </row>
    <row r="985" spans="1:19" x14ac:dyDescent="0.15">
      <c r="A985" t="s">
        <v>5845</v>
      </c>
      <c r="B985" s="61">
        <v>46905</v>
      </c>
      <c r="E985" t="s">
        <v>355</v>
      </c>
      <c r="F985" t="s">
        <v>364</v>
      </c>
      <c r="H985" t="s">
        <v>365</v>
      </c>
      <c r="I985">
        <v>1102437</v>
      </c>
      <c r="J985" t="s">
        <v>3609</v>
      </c>
      <c r="K985" t="s">
        <v>3610</v>
      </c>
      <c r="L985" t="s">
        <v>2082</v>
      </c>
      <c r="N985" t="s">
        <v>3616</v>
      </c>
      <c r="O985" t="s">
        <v>3615</v>
      </c>
    </row>
    <row r="986" spans="1:19" ht="409.5" x14ac:dyDescent="0.15">
      <c r="A986" t="s">
        <v>5845</v>
      </c>
      <c r="B986" s="61">
        <v>47635</v>
      </c>
      <c r="E986" t="s">
        <v>355</v>
      </c>
      <c r="F986" t="s">
        <v>385</v>
      </c>
      <c r="H986" t="s">
        <v>353</v>
      </c>
      <c r="I986">
        <v>1000454</v>
      </c>
      <c r="J986" t="s">
        <v>3531</v>
      </c>
      <c r="K986" t="s">
        <v>3590</v>
      </c>
      <c r="L986" t="s">
        <v>3591</v>
      </c>
      <c r="N986" t="s">
        <v>3592</v>
      </c>
      <c r="O986" t="s">
        <v>3593</v>
      </c>
      <c r="R986" s="34" t="s">
        <v>768</v>
      </c>
      <c r="S986" s="34" t="s">
        <v>3594</v>
      </c>
    </row>
    <row r="987" spans="1:19" ht="409.5" x14ac:dyDescent="0.15">
      <c r="A987" t="s">
        <v>5845</v>
      </c>
      <c r="B987" s="61">
        <v>47696</v>
      </c>
      <c r="E987" t="s">
        <v>355</v>
      </c>
      <c r="F987" t="s">
        <v>385</v>
      </c>
      <c r="H987" t="s">
        <v>353</v>
      </c>
      <c r="I987">
        <v>1000454</v>
      </c>
      <c r="J987" t="s">
        <v>3531</v>
      </c>
      <c r="K987" t="s">
        <v>3590</v>
      </c>
      <c r="L987" t="s">
        <v>3595</v>
      </c>
      <c r="N987" t="s">
        <v>3596</v>
      </c>
      <c r="O987" t="s">
        <v>3593</v>
      </c>
      <c r="R987" s="34" t="s">
        <v>768</v>
      </c>
      <c r="S987" s="34" t="s">
        <v>3597</v>
      </c>
    </row>
    <row r="988" spans="1:19" x14ac:dyDescent="0.15">
      <c r="A988" t="s">
        <v>5845</v>
      </c>
      <c r="B988" s="61">
        <v>47880</v>
      </c>
      <c r="E988" t="s">
        <v>355</v>
      </c>
      <c r="F988" t="s">
        <v>364</v>
      </c>
      <c r="H988" t="s">
        <v>365</v>
      </c>
      <c r="I988">
        <v>1101272</v>
      </c>
      <c r="J988" t="s">
        <v>2033</v>
      </c>
      <c r="K988" t="s">
        <v>897</v>
      </c>
      <c r="L988" t="s">
        <v>3602</v>
      </c>
      <c r="N988" t="s">
        <v>3603</v>
      </c>
      <c r="O988" t="s">
        <v>3604</v>
      </c>
    </row>
    <row r="989" spans="1:19" ht="256.5" x14ac:dyDescent="0.15">
      <c r="A989" t="s">
        <v>3617</v>
      </c>
      <c r="B989" s="61">
        <v>46235</v>
      </c>
      <c r="E989" t="s">
        <v>355</v>
      </c>
      <c r="F989" t="s">
        <v>385</v>
      </c>
      <c r="H989" t="s">
        <v>310</v>
      </c>
      <c r="I989">
        <v>4000861</v>
      </c>
      <c r="J989" t="s">
        <v>1264</v>
      </c>
      <c r="K989" t="s">
        <v>3623</v>
      </c>
      <c r="L989" t="s">
        <v>3624</v>
      </c>
      <c r="N989" t="s">
        <v>3625</v>
      </c>
      <c r="O989" t="s">
        <v>3626</v>
      </c>
      <c r="R989" t="s">
        <v>395</v>
      </c>
      <c r="S989" s="34" t="s">
        <v>3627</v>
      </c>
    </row>
    <row r="990" spans="1:19" ht="243" x14ac:dyDescent="0.15">
      <c r="A990" t="s">
        <v>3617</v>
      </c>
      <c r="B990" s="61">
        <v>46296</v>
      </c>
      <c r="E990" t="s">
        <v>355</v>
      </c>
      <c r="F990" t="s">
        <v>385</v>
      </c>
      <c r="H990" t="s">
        <v>353</v>
      </c>
      <c r="I990">
        <v>4000073</v>
      </c>
      <c r="J990" t="s">
        <v>3628</v>
      </c>
      <c r="K990" t="s">
        <v>3629</v>
      </c>
      <c r="L990" t="s">
        <v>3630</v>
      </c>
      <c r="N990" t="s">
        <v>3631</v>
      </c>
      <c r="O990" t="s">
        <v>3632</v>
      </c>
      <c r="R990" t="s">
        <v>386</v>
      </c>
      <c r="S990" s="34" t="s">
        <v>3633</v>
      </c>
    </row>
    <row r="991" spans="1:19" ht="409.5" x14ac:dyDescent="0.15">
      <c r="A991" t="s">
        <v>3617</v>
      </c>
      <c r="B991" s="61">
        <v>46296</v>
      </c>
      <c r="E991" t="s">
        <v>355</v>
      </c>
      <c r="F991" t="s">
        <v>385</v>
      </c>
      <c r="H991" t="s">
        <v>365</v>
      </c>
      <c r="I991">
        <v>4000838</v>
      </c>
      <c r="J991" t="s">
        <v>3634</v>
      </c>
      <c r="K991" t="s">
        <v>3635</v>
      </c>
      <c r="L991" t="s">
        <v>3636</v>
      </c>
      <c r="N991" t="s">
        <v>3637</v>
      </c>
      <c r="O991" t="s">
        <v>3638</v>
      </c>
      <c r="R991" t="s">
        <v>395</v>
      </c>
      <c r="S991" s="34" t="s">
        <v>3639</v>
      </c>
    </row>
    <row r="992" spans="1:19" ht="391.5" x14ac:dyDescent="0.15">
      <c r="A992" t="s">
        <v>3617</v>
      </c>
      <c r="B992" s="61">
        <v>46296</v>
      </c>
      <c r="E992" t="s">
        <v>355</v>
      </c>
      <c r="F992" t="s">
        <v>356</v>
      </c>
      <c r="H992" t="s">
        <v>365</v>
      </c>
      <c r="I992">
        <v>4000324</v>
      </c>
      <c r="J992" t="s">
        <v>371</v>
      </c>
      <c r="K992" t="s">
        <v>3640</v>
      </c>
      <c r="L992" t="s">
        <v>3641</v>
      </c>
      <c r="N992" t="s">
        <v>3642</v>
      </c>
      <c r="O992" t="s">
        <v>3643</v>
      </c>
      <c r="R992" t="s">
        <v>362</v>
      </c>
      <c r="S992" s="34" t="s">
        <v>3644</v>
      </c>
    </row>
    <row r="993" spans="1:19" ht="364.5" x14ac:dyDescent="0.15">
      <c r="A993" t="s">
        <v>3617</v>
      </c>
      <c r="B993" s="61">
        <v>46327</v>
      </c>
      <c r="E993" t="s">
        <v>355</v>
      </c>
      <c r="F993" t="s">
        <v>385</v>
      </c>
      <c r="H993" t="s">
        <v>353</v>
      </c>
      <c r="I993">
        <v>4000838</v>
      </c>
      <c r="J993" t="s">
        <v>3634</v>
      </c>
      <c r="K993" t="s">
        <v>3635</v>
      </c>
      <c r="L993" t="s">
        <v>3636</v>
      </c>
      <c r="N993" t="s">
        <v>3645</v>
      </c>
      <c r="O993" t="s">
        <v>3638</v>
      </c>
      <c r="R993" t="s">
        <v>386</v>
      </c>
      <c r="S993" s="34" t="s">
        <v>3646</v>
      </c>
    </row>
    <row r="994" spans="1:19" ht="243" x14ac:dyDescent="0.15">
      <c r="A994" t="s">
        <v>3617</v>
      </c>
      <c r="B994" s="61">
        <v>46357</v>
      </c>
      <c r="E994" t="s">
        <v>355</v>
      </c>
      <c r="F994" t="s">
        <v>356</v>
      </c>
      <c r="H994" t="s">
        <v>365</v>
      </c>
      <c r="I994">
        <v>4000324</v>
      </c>
      <c r="J994" t="s">
        <v>371</v>
      </c>
      <c r="K994" t="s">
        <v>3640</v>
      </c>
      <c r="L994" t="s">
        <v>3641</v>
      </c>
      <c r="N994" t="s">
        <v>3647</v>
      </c>
      <c r="O994" t="s">
        <v>3643</v>
      </c>
      <c r="R994" t="s">
        <v>362</v>
      </c>
      <c r="S994" s="34" t="s">
        <v>3648</v>
      </c>
    </row>
    <row r="995" spans="1:19" ht="409.5" x14ac:dyDescent="0.15">
      <c r="A995" t="s">
        <v>3617</v>
      </c>
      <c r="B995" s="61">
        <v>46357</v>
      </c>
      <c r="E995" t="s">
        <v>355</v>
      </c>
      <c r="F995" t="s">
        <v>356</v>
      </c>
      <c r="H995" t="s">
        <v>353</v>
      </c>
      <c r="I995">
        <v>4000958</v>
      </c>
      <c r="J995" t="s">
        <v>3649</v>
      </c>
      <c r="K995" t="s">
        <v>3650</v>
      </c>
      <c r="L995" t="s">
        <v>2082</v>
      </c>
      <c r="N995" t="s">
        <v>3651</v>
      </c>
      <c r="O995" t="s">
        <v>3652</v>
      </c>
      <c r="R995" t="s">
        <v>362</v>
      </c>
      <c r="S995" s="34" t="s">
        <v>3653</v>
      </c>
    </row>
    <row r="996" spans="1:19" x14ac:dyDescent="0.15">
      <c r="A996" t="s">
        <v>3617</v>
      </c>
      <c r="B996" s="61">
        <v>46447</v>
      </c>
      <c r="E996" t="s">
        <v>355</v>
      </c>
      <c r="F996" t="s">
        <v>364</v>
      </c>
      <c r="H996" t="s">
        <v>353</v>
      </c>
      <c r="I996">
        <v>4000117</v>
      </c>
      <c r="J996" t="s">
        <v>3654</v>
      </c>
      <c r="K996" t="s">
        <v>3655</v>
      </c>
      <c r="L996" t="s">
        <v>3656</v>
      </c>
      <c r="N996" t="s">
        <v>3657</v>
      </c>
      <c r="O996" t="s">
        <v>3658</v>
      </c>
    </row>
    <row r="997" spans="1:19" x14ac:dyDescent="0.15">
      <c r="A997" t="s">
        <v>3617</v>
      </c>
      <c r="B997" s="61">
        <v>46478</v>
      </c>
      <c r="E997" t="s">
        <v>355</v>
      </c>
      <c r="F997" t="s">
        <v>364</v>
      </c>
      <c r="H997" t="s">
        <v>365</v>
      </c>
      <c r="I997">
        <v>4000885</v>
      </c>
      <c r="J997" t="s">
        <v>3659</v>
      </c>
      <c r="K997" t="s">
        <v>2861</v>
      </c>
      <c r="L997" t="s">
        <v>3660</v>
      </c>
      <c r="N997" t="s">
        <v>3661</v>
      </c>
      <c r="O997" t="s">
        <v>3662</v>
      </c>
    </row>
    <row r="998" spans="1:19" x14ac:dyDescent="0.15">
      <c r="A998" t="s">
        <v>3617</v>
      </c>
      <c r="B998" s="61">
        <v>46508</v>
      </c>
      <c r="E998" t="s">
        <v>355</v>
      </c>
      <c r="F998" t="s">
        <v>364</v>
      </c>
      <c r="H998" t="s">
        <v>365</v>
      </c>
      <c r="I998">
        <v>4000885</v>
      </c>
      <c r="J998" t="s">
        <v>3659</v>
      </c>
      <c r="K998" t="s">
        <v>2861</v>
      </c>
      <c r="L998" t="s">
        <v>3660</v>
      </c>
      <c r="N998" t="s">
        <v>3663</v>
      </c>
      <c r="O998" t="s">
        <v>3662</v>
      </c>
    </row>
    <row r="999" spans="1:19" ht="283.5" x14ac:dyDescent="0.15">
      <c r="A999" t="s">
        <v>3617</v>
      </c>
      <c r="B999" s="61">
        <v>46631</v>
      </c>
      <c r="E999" t="s">
        <v>355</v>
      </c>
      <c r="F999" t="s">
        <v>385</v>
      </c>
      <c r="H999" t="s">
        <v>365</v>
      </c>
      <c r="I999">
        <v>4000838</v>
      </c>
      <c r="J999" t="s">
        <v>3634</v>
      </c>
      <c r="K999" t="s">
        <v>3635</v>
      </c>
      <c r="L999" t="s">
        <v>3636</v>
      </c>
      <c r="N999" t="s">
        <v>3664</v>
      </c>
      <c r="O999" t="s">
        <v>3638</v>
      </c>
      <c r="R999" t="s">
        <v>395</v>
      </c>
      <c r="S999" s="34" t="s">
        <v>3665</v>
      </c>
    </row>
    <row r="1000" spans="1:19" ht="243" x14ac:dyDescent="0.15">
      <c r="A1000" t="s">
        <v>3617</v>
      </c>
      <c r="B1000" s="61">
        <v>46631</v>
      </c>
      <c r="E1000" t="s">
        <v>355</v>
      </c>
      <c r="F1000" t="s">
        <v>385</v>
      </c>
      <c r="H1000" t="s">
        <v>353</v>
      </c>
      <c r="I1000">
        <v>4000073</v>
      </c>
      <c r="J1000" t="s">
        <v>3628</v>
      </c>
      <c r="K1000" t="s">
        <v>3629</v>
      </c>
      <c r="L1000" t="s">
        <v>3630</v>
      </c>
      <c r="N1000" t="s">
        <v>3666</v>
      </c>
      <c r="O1000" t="s">
        <v>3632</v>
      </c>
      <c r="R1000" t="s">
        <v>386</v>
      </c>
      <c r="S1000" s="34" t="s">
        <v>3667</v>
      </c>
    </row>
    <row r="1001" spans="1:19" x14ac:dyDescent="0.15">
      <c r="A1001" t="s">
        <v>3617</v>
      </c>
      <c r="B1001" s="61">
        <v>46661</v>
      </c>
      <c r="E1001" t="s">
        <v>355</v>
      </c>
      <c r="F1001" t="s">
        <v>364</v>
      </c>
      <c r="H1001" t="s">
        <v>365</v>
      </c>
      <c r="I1001">
        <v>3500323</v>
      </c>
      <c r="J1001" t="s">
        <v>3668</v>
      </c>
      <c r="L1001" t="s">
        <v>3669</v>
      </c>
      <c r="N1001" t="s">
        <v>3670</v>
      </c>
      <c r="O1001" t="s">
        <v>3671</v>
      </c>
    </row>
    <row r="1002" spans="1:19" ht="243" x14ac:dyDescent="0.15">
      <c r="A1002" t="s">
        <v>3617</v>
      </c>
      <c r="B1002" s="61">
        <v>46692</v>
      </c>
      <c r="E1002" t="s">
        <v>355</v>
      </c>
      <c r="F1002" t="s">
        <v>385</v>
      </c>
      <c r="H1002" t="s">
        <v>353</v>
      </c>
      <c r="I1002">
        <v>4000722</v>
      </c>
      <c r="J1002" t="s">
        <v>3628</v>
      </c>
      <c r="K1002" t="s">
        <v>3629</v>
      </c>
      <c r="L1002" t="s">
        <v>3672</v>
      </c>
      <c r="N1002" t="s">
        <v>3673</v>
      </c>
      <c r="O1002" t="s">
        <v>3674</v>
      </c>
      <c r="R1002" t="s">
        <v>386</v>
      </c>
      <c r="S1002" s="34" t="s">
        <v>3675</v>
      </c>
    </row>
    <row r="1003" spans="1:19" ht="229.5" x14ac:dyDescent="0.15">
      <c r="A1003" t="s">
        <v>3617</v>
      </c>
      <c r="B1003" s="61">
        <v>46874</v>
      </c>
      <c r="E1003" t="s">
        <v>355</v>
      </c>
      <c r="F1003" t="s">
        <v>356</v>
      </c>
      <c r="H1003" t="s">
        <v>353</v>
      </c>
      <c r="I1003">
        <v>4000722</v>
      </c>
      <c r="J1003" t="s">
        <v>3628</v>
      </c>
      <c r="K1003" t="s">
        <v>3629</v>
      </c>
      <c r="L1003" t="s">
        <v>3672</v>
      </c>
      <c r="N1003" t="s">
        <v>3679</v>
      </c>
      <c r="O1003" t="s">
        <v>3674</v>
      </c>
      <c r="R1003" t="s">
        <v>362</v>
      </c>
      <c r="S1003" s="34" t="s">
        <v>3680</v>
      </c>
    </row>
    <row r="1004" spans="1:19" x14ac:dyDescent="0.15">
      <c r="A1004" t="s">
        <v>3617</v>
      </c>
      <c r="B1004" s="61">
        <v>47484</v>
      </c>
      <c r="E1004" t="s">
        <v>355</v>
      </c>
      <c r="F1004" t="s">
        <v>364</v>
      </c>
      <c r="H1004" t="s">
        <v>353</v>
      </c>
      <c r="I1004">
        <v>3500215</v>
      </c>
      <c r="J1004" t="s">
        <v>3681</v>
      </c>
      <c r="L1004" t="s">
        <v>748</v>
      </c>
      <c r="N1004" t="s">
        <v>3682</v>
      </c>
      <c r="O1004" t="s">
        <v>3683</v>
      </c>
    </row>
    <row r="1005" spans="1:19" ht="229.5" x14ac:dyDescent="0.15">
      <c r="A1005" t="s">
        <v>3617</v>
      </c>
      <c r="B1005" s="61">
        <v>47574</v>
      </c>
      <c r="E1005" t="s">
        <v>355</v>
      </c>
      <c r="F1005" t="s">
        <v>385</v>
      </c>
      <c r="H1005" t="s">
        <v>353</v>
      </c>
      <c r="I1005">
        <v>4000029</v>
      </c>
      <c r="J1005" t="s">
        <v>1497</v>
      </c>
      <c r="K1005" t="s">
        <v>3618</v>
      </c>
      <c r="L1005" t="s">
        <v>3619</v>
      </c>
      <c r="N1005" t="s">
        <v>3620</v>
      </c>
      <c r="O1005" t="s">
        <v>3621</v>
      </c>
      <c r="R1005" t="s">
        <v>386</v>
      </c>
      <c r="S1005" s="34" t="s">
        <v>3622</v>
      </c>
    </row>
    <row r="1006" spans="1:19" ht="391.5" x14ac:dyDescent="0.15">
      <c r="A1006" t="s">
        <v>3617</v>
      </c>
      <c r="B1006" s="61">
        <v>47757</v>
      </c>
      <c r="E1006" t="s">
        <v>355</v>
      </c>
      <c r="F1006" t="s">
        <v>385</v>
      </c>
      <c r="H1006" t="s">
        <v>365</v>
      </c>
      <c r="I1006">
        <v>4000324</v>
      </c>
      <c r="J1006" t="s">
        <v>371</v>
      </c>
      <c r="K1006" t="s">
        <v>3640</v>
      </c>
      <c r="L1006" t="s">
        <v>3641</v>
      </c>
      <c r="N1006" t="s">
        <v>3642</v>
      </c>
      <c r="O1006" t="s">
        <v>3643</v>
      </c>
      <c r="R1006" t="s">
        <v>395</v>
      </c>
      <c r="S1006" s="34" t="s">
        <v>3644</v>
      </c>
    </row>
    <row r="1007" spans="1:19" ht="243" x14ac:dyDescent="0.15">
      <c r="A1007" t="s">
        <v>3617</v>
      </c>
      <c r="B1007" s="61">
        <v>47818</v>
      </c>
      <c r="E1007" t="s">
        <v>355</v>
      </c>
      <c r="F1007" t="s">
        <v>385</v>
      </c>
      <c r="H1007" t="s">
        <v>365</v>
      </c>
      <c r="I1007">
        <v>4000324</v>
      </c>
      <c r="J1007" t="s">
        <v>371</v>
      </c>
      <c r="K1007" t="s">
        <v>3640</v>
      </c>
      <c r="L1007" t="s">
        <v>3641</v>
      </c>
      <c r="N1007" t="s">
        <v>3647</v>
      </c>
      <c r="O1007" t="s">
        <v>3643</v>
      </c>
      <c r="R1007" t="s">
        <v>395</v>
      </c>
      <c r="S1007" s="34" t="s">
        <v>3648</v>
      </c>
    </row>
    <row r="1008" spans="1:19" ht="409.5" x14ac:dyDescent="0.15">
      <c r="A1008" t="s">
        <v>3617</v>
      </c>
      <c r="B1008" s="61">
        <v>47818</v>
      </c>
      <c r="E1008" t="s">
        <v>355</v>
      </c>
      <c r="F1008" t="s">
        <v>385</v>
      </c>
      <c r="H1008" t="s">
        <v>353</v>
      </c>
      <c r="I1008">
        <v>4000958</v>
      </c>
      <c r="J1008" t="s">
        <v>3649</v>
      </c>
      <c r="K1008" t="s">
        <v>3650</v>
      </c>
      <c r="L1008" t="s">
        <v>2082</v>
      </c>
      <c r="N1008" t="s">
        <v>3651</v>
      </c>
      <c r="O1008" t="s">
        <v>3652</v>
      </c>
      <c r="R1008" s="34" t="s">
        <v>768</v>
      </c>
      <c r="S1008" s="34" t="s">
        <v>3653</v>
      </c>
    </row>
    <row r="1009" spans="1:19" x14ac:dyDescent="0.15">
      <c r="A1009" t="s">
        <v>3617</v>
      </c>
      <c r="B1009" s="61">
        <v>47908</v>
      </c>
      <c r="E1009" t="s">
        <v>355</v>
      </c>
      <c r="F1009" t="s">
        <v>364</v>
      </c>
      <c r="H1009" t="s">
        <v>353</v>
      </c>
      <c r="I1009">
        <v>4000117</v>
      </c>
      <c r="J1009" t="s">
        <v>3654</v>
      </c>
      <c r="K1009" t="s">
        <v>3655</v>
      </c>
      <c r="L1009" t="s">
        <v>3656</v>
      </c>
      <c r="N1009" t="s">
        <v>3657</v>
      </c>
      <c r="O1009" t="s">
        <v>3658</v>
      </c>
    </row>
    <row r="1010" spans="1:19" ht="229.5" x14ac:dyDescent="0.15">
      <c r="A1010" t="s">
        <v>3617</v>
      </c>
      <c r="B1010" s="61">
        <v>48335</v>
      </c>
      <c r="E1010" t="s">
        <v>355</v>
      </c>
      <c r="F1010" t="s">
        <v>385</v>
      </c>
      <c r="H1010" t="s">
        <v>353</v>
      </c>
      <c r="I1010">
        <v>4000722</v>
      </c>
      <c r="J1010" t="s">
        <v>3628</v>
      </c>
      <c r="K1010" t="s">
        <v>3629</v>
      </c>
      <c r="L1010" t="s">
        <v>3672</v>
      </c>
      <c r="N1010" t="s">
        <v>3679</v>
      </c>
      <c r="O1010" t="s">
        <v>3674</v>
      </c>
      <c r="R1010" t="s">
        <v>386</v>
      </c>
      <c r="S1010" s="34" t="s">
        <v>3680</v>
      </c>
    </row>
    <row r="1011" spans="1:19" x14ac:dyDescent="0.15">
      <c r="A1011" t="s">
        <v>3684</v>
      </c>
      <c r="B1011" s="61">
        <v>46478</v>
      </c>
      <c r="E1011" t="s">
        <v>355</v>
      </c>
      <c r="F1011" t="s">
        <v>364</v>
      </c>
      <c r="H1011" t="s">
        <v>365</v>
      </c>
      <c r="I1011">
        <v>2702746</v>
      </c>
      <c r="J1011" t="s">
        <v>3686</v>
      </c>
      <c r="K1011" t="s">
        <v>3687</v>
      </c>
      <c r="L1011" t="s">
        <v>3688</v>
      </c>
      <c r="N1011" t="s">
        <v>3689</v>
      </c>
      <c r="O1011" t="s">
        <v>3690</v>
      </c>
    </row>
    <row r="1012" spans="1:19" x14ac:dyDescent="0.15">
      <c r="A1012" t="s">
        <v>3684</v>
      </c>
      <c r="B1012" s="61">
        <v>46631</v>
      </c>
      <c r="E1012" t="s">
        <v>355</v>
      </c>
      <c r="F1012" t="s">
        <v>364</v>
      </c>
      <c r="H1012" t="s">
        <v>353</v>
      </c>
      <c r="I1012">
        <v>2701496</v>
      </c>
      <c r="J1012" t="s">
        <v>3691</v>
      </c>
      <c r="K1012" t="s">
        <v>3692</v>
      </c>
      <c r="L1012" t="s">
        <v>413</v>
      </c>
      <c r="N1012" t="s">
        <v>3693</v>
      </c>
      <c r="O1012" t="s">
        <v>3694</v>
      </c>
    </row>
    <row r="1013" spans="1:19" x14ac:dyDescent="0.15">
      <c r="A1013" t="s">
        <v>3684</v>
      </c>
      <c r="B1013" s="61">
        <v>46753</v>
      </c>
      <c r="E1013" t="s">
        <v>355</v>
      </c>
      <c r="F1013" t="s">
        <v>364</v>
      </c>
      <c r="H1013" t="s">
        <v>353</v>
      </c>
      <c r="I1013">
        <v>2701704</v>
      </c>
      <c r="J1013" t="s">
        <v>3695</v>
      </c>
      <c r="K1013" t="s">
        <v>3696</v>
      </c>
      <c r="L1013" t="s">
        <v>698</v>
      </c>
      <c r="N1013" t="s">
        <v>3697</v>
      </c>
      <c r="O1013" t="s">
        <v>3698</v>
      </c>
    </row>
    <row r="1014" spans="1:19" x14ac:dyDescent="0.15">
      <c r="A1014" t="s">
        <v>3684</v>
      </c>
      <c r="B1014" s="61">
        <v>46784</v>
      </c>
      <c r="E1014" t="s">
        <v>355</v>
      </c>
      <c r="F1014" t="s">
        <v>364</v>
      </c>
      <c r="H1014" t="s">
        <v>353</v>
      </c>
      <c r="I1014">
        <v>2702410</v>
      </c>
      <c r="J1014" t="s">
        <v>974</v>
      </c>
      <c r="K1014" t="s">
        <v>3699</v>
      </c>
      <c r="L1014" t="s">
        <v>3700</v>
      </c>
      <c r="N1014" t="s">
        <v>3701</v>
      </c>
      <c r="O1014" t="s">
        <v>3702</v>
      </c>
    </row>
    <row r="1015" spans="1:19" x14ac:dyDescent="0.15">
      <c r="A1015" t="s">
        <v>3684</v>
      </c>
      <c r="B1015" s="61">
        <v>46813</v>
      </c>
      <c r="E1015" t="s">
        <v>355</v>
      </c>
      <c r="F1015" t="s">
        <v>364</v>
      </c>
      <c r="H1015" t="s">
        <v>353</v>
      </c>
      <c r="I1015">
        <v>2700027</v>
      </c>
      <c r="J1015" t="s">
        <v>3703</v>
      </c>
      <c r="K1015" t="s">
        <v>428</v>
      </c>
      <c r="L1015" t="s">
        <v>413</v>
      </c>
      <c r="N1015" t="s">
        <v>3704</v>
      </c>
      <c r="O1015" t="s">
        <v>3705</v>
      </c>
    </row>
    <row r="1016" spans="1:19" x14ac:dyDescent="0.15">
      <c r="A1016" t="s">
        <v>3684</v>
      </c>
      <c r="B1016" s="61">
        <v>46935</v>
      </c>
      <c r="E1016" t="s">
        <v>355</v>
      </c>
      <c r="F1016" t="s">
        <v>364</v>
      </c>
      <c r="H1016" t="s">
        <v>365</v>
      </c>
      <c r="I1016">
        <v>2702712</v>
      </c>
      <c r="J1016" t="s">
        <v>3706</v>
      </c>
      <c r="L1016" t="s">
        <v>1276</v>
      </c>
      <c r="N1016" t="s">
        <v>3707</v>
      </c>
      <c r="O1016" t="s">
        <v>3708</v>
      </c>
    </row>
    <row r="1017" spans="1:19" x14ac:dyDescent="0.15">
      <c r="A1017" t="s">
        <v>3684</v>
      </c>
      <c r="B1017" s="61">
        <v>46997</v>
      </c>
      <c r="E1017" t="s">
        <v>355</v>
      </c>
      <c r="F1017" t="s">
        <v>364</v>
      </c>
      <c r="H1017" t="s">
        <v>365</v>
      </c>
      <c r="I1017">
        <v>2702355</v>
      </c>
      <c r="J1017" t="s">
        <v>3685</v>
      </c>
      <c r="K1017" t="s">
        <v>3709</v>
      </c>
      <c r="L1017" t="s">
        <v>413</v>
      </c>
      <c r="N1017" t="s">
        <v>3710</v>
      </c>
      <c r="O1017" t="s">
        <v>3711</v>
      </c>
    </row>
    <row r="1018" spans="1:19" x14ac:dyDescent="0.15">
      <c r="A1018" t="s">
        <v>3684</v>
      </c>
      <c r="B1018" s="61">
        <v>47027</v>
      </c>
      <c r="E1018" t="s">
        <v>355</v>
      </c>
      <c r="F1018" t="s">
        <v>364</v>
      </c>
      <c r="H1018" t="s">
        <v>353</v>
      </c>
      <c r="I1018">
        <v>2702723</v>
      </c>
      <c r="J1018" t="s">
        <v>3712</v>
      </c>
      <c r="K1018" t="s">
        <v>440</v>
      </c>
      <c r="L1018" t="s">
        <v>466</v>
      </c>
      <c r="N1018" t="s">
        <v>3713</v>
      </c>
      <c r="O1018" t="s">
        <v>3714</v>
      </c>
    </row>
    <row r="1019" spans="1:19" x14ac:dyDescent="0.15">
      <c r="A1019" t="s">
        <v>3684</v>
      </c>
      <c r="B1019" s="61">
        <v>47178</v>
      </c>
      <c r="E1019" t="s">
        <v>355</v>
      </c>
      <c r="F1019" t="s">
        <v>364</v>
      </c>
      <c r="H1019" t="s">
        <v>353</v>
      </c>
      <c r="I1019">
        <v>2702754</v>
      </c>
      <c r="J1019" t="s">
        <v>780</v>
      </c>
      <c r="K1019" t="s">
        <v>3715</v>
      </c>
      <c r="L1019" t="s">
        <v>3716</v>
      </c>
      <c r="N1019" t="s">
        <v>3717</v>
      </c>
      <c r="O1019" t="s">
        <v>3718</v>
      </c>
    </row>
    <row r="1020" spans="1:19" x14ac:dyDescent="0.15">
      <c r="A1020" t="s">
        <v>3684</v>
      </c>
      <c r="B1020" s="61">
        <v>47178</v>
      </c>
      <c r="E1020" t="s">
        <v>355</v>
      </c>
      <c r="F1020" t="s">
        <v>364</v>
      </c>
      <c r="H1020" t="s">
        <v>365</v>
      </c>
      <c r="I1020">
        <v>2702339</v>
      </c>
      <c r="J1020" t="s">
        <v>3719</v>
      </c>
      <c r="L1020" t="s">
        <v>413</v>
      </c>
      <c r="N1020" t="s">
        <v>3720</v>
      </c>
      <c r="O1020" t="s">
        <v>3721</v>
      </c>
    </row>
    <row r="1021" spans="1:19" ht="216" x14ac:dyDescent="0.15">
      <c r="A1021" t="s">
        <v>3684</v>
      </c>
      <c r="B1021" s="61">
        <v>47331</v>
      </c>
      <c r="E1021" t="s">
        <v>355</v>
      </c>
      <c r="F1021" t="s">
        <v>385</v>
      </c>
      <c r="H1021" t="s">
        <v>353</v>
      </c>
      <c r="I1021">
        <v>2702101</v>
      </c>
      <c r="J1021" t="s">
        <v>3722</v>
      </c>
      <c r="L1021" t="s">
        <v>413</v>
      </c>
      <c r="N1021" t="s">
        <v>3723</v>
      </c>
      <c r="O1021" t="s">
        <v>3724</v>
      </c>
      <c r="R1021" s="34" t="s">
        <v>768</v>
      </c>
      <c r="S1021" s="34" t="s">
        <v>3725</v>
      </c>
    </row>
    <row r="1022" spans="1:19" ht="409.5" x14ac:dyDescent="0.15">
      <c r="A1022" t="s">
        <v>3684</v>
      </c>
      <c r="B1022" s="61">
        <v>47453</v>
      </c>
      <c r="E1022" t="s">
        <v>355</v>
      </c>
      <c r="F1022" t="s">
        <v>385</v>
      </c>
      <c r="H1022" t="s">
        <v>353</v>
      </c>
      <c r="I1022">
        <v>2700758</v>
      </c>
      <c r="J1022" t="s">
        <v>3726</v>
      </c>
      <c r="K1022" t="s">
        <v>2290</v>
      </c>
      <c r="L1022" t="s">
        <v>3727</v>
      </c>
      <c r="N1022" t="s">
        <v>3728</v>
      </c>
      <c r="O1022" t="s">
        <v>3729</v>
      </c>
      <c r="R1022" s="34" t="s">
        <v>768</v>
      </c>
      <c r="S1022" s="34" t="s">
        <v>3730</v>
      </c>
    </row>
    <row r="1023" spans="1:19" x14ac:dyDescent="0.15">
      <c r="A1023" t="s">
        <v>3684</v>
      </c>
      <c r="B1023" s="61">
        <v>48092</v>
      </c>
      <c r="E1023" t="s">
        <v>355</v>
      </c>
      <c r="F1023" t="s">
        <v>364</v>
      </c>
      <c r="H1023" t="s">
        <v>353</v>
      </c>
      <c r="I1023">
        <v>2701496</v>
      </c>
      <c r="J1023" t="s">
        <v>3691</v>
      </c>
      <c r="K1023" t="s">
        <v>3692</v>
      </c>
      <c r="L1023" t="s">
        <v>413</v>
      </c>
      <c r="N1023" t="s">
        <v>3693</v>
      </c>
      <c r="O1023" t="s">
        <v>3694</v>
      </c>
    </row>
    <row r="1024" spans="1:19" x14ac:dyDescent="0.15">
      <c r="A1024" t="s">
        <v>3684</v>
      </c>
      <c r="B1024" s="61">
        <v>48214</v>
      </c>
      <c r="E1024" t="s">
        <v>355</v>
      </c>
      <c r="F1024" t="s">
        <v>364</v>
      </c>
      <c r="H1024" t="s">
        <v>353</v>
      </c>
      <c r="I1024">
        <v>2701704</v>
      </c>
      <c r="J1024" t="s">
        <v>3695</v>
      </c>
      <c r="K1024" t="s">
        <v>3696</v>
      </c>
      <c r="L1024" t="s">
        <v>698</v>
      </c>
      <c r="N1024" t="s">
        <v>3697</v>
      </c>
      <c r="O1024" t="s">
        <v>3698</v>
      </c>
    </row>
    <row r="1025" spans="1:19" x14ac:dyDescent="0.15">
      <c r="A1025" t="s">
        <v>3684</v>
      </c>
      <c r="B1025" s="61">
        <v>48274</v>
      </c>
      <c r="E1025" t="s">
        <v>355</v>
      </c>
      <c r="F1025" t="s">
        <v>364</v>
      </c>
      <c r="H1025" t="s">
        <v>353</v>
      </c>
      <c r="I1025">
        <v>2700027</v>
      </c>
      <c r="J1025" t="s">
        <v>3703</v>
      </c>
      <c r="K1025" t="s">
        <v>428</v>
      </c>
      <c r="L1025" t="s">
        <v>413</v>
      </c>
      <c r="N1025" t="s">
        <v>3704</v>
      </c>
      <c r="O1025" t="s">
        <v>3705</v>
      </c>
    </row>
    <row r="1026" spans="1:19" ht="409.5" x14ac:dyDescent="0.15">
      <c r="A1026" t="s">
        <v>3731</v>
      </c>
      <c r="B1026" s="61">
        <v>46235</v>
      </c>
      <c r="E1026" t="s">
        <v>355</v>
      </c>
      <c r="F1026" t="s">
        <v>385</v>
      </c>
      <c r="H1026" t="s">
        <v>353</v>
      </c>
      <c r="I1026">
        <v>2600363</v>
      </c>
      <c r="J1026" t="s">
        <v>3187</v>
      </c>
      <c r="K1026" t="s">
        <v>3732</v>
      </c>
      <c r="L1026" t="s">
        <v>1114</v>
      </c>
      <c r="N1026" t="s">
        <v>3733</v>
      </c>
      <c r="O1026" t="s">
        <v>3734</v>
      </c>
      <c r="R1026" t="s">
        <v>386</v>
      </c>
      <c r="S1026" s="34" t="s">
        <v>3735</v>
      </c>
    </row>
    <row r="1027" spans="1:19" ht="229.5" x14ac:dyDescent="0.15">
      <c r="A1027" t="s">
        <v>3163</v>
      </c>
      <c r="B1027" s="61">
        <v>46266</v>
      </c>
      <c r="E1027" t="s">
        <v>355</v>
      </c>
      <c r="F1027" t="s">
        <v>356</v>
      </c>
      <c r="H1027" t="s">
        <v>353</v>
      </c>
      <c r="I1027">
        <v>2600213</v>
      </c>
      <c r="J1027" t="s">
        <v>3736</v>
      </c>
      <c r="K1027" t="s">
        <v>3737</v>
      </c>
      <c r="L1027" t="s">
        <v>3738</v>
      </c>
      <c r="N1027" t="s">
        <v>3739</v>
      </c>
      <c r="O1027" t="s">
        <v>3740</v>
      </c>
      <c r="R1027" t="s">
        <v>362</v>
      </c>
      <c r="S1027" s="34" t="s">
        <v>3741</v>
      </c>
    </row>
    <row r="1028" spans="1:19" ht="351" x14ac:dyDescent="0.15">
      <c r="A1028" t="s">
        <v>3731</v>
      </c>
      <c r="B1028" s="61">
        <v>46296</v>
      </c>
      <c r="E1028" t="s">
        <v>355</v>
      </c>
      <c r="F1028" t="s">
        <v>356</v>
      </c>
      <c r="H1028" t="s">
        <v>353</v>
      </c>
      <c r="I1028">
        <v>2701769</v>
      </c>
      <c r="J1028" t="s">
        <v>3742</v>
      </c>
      <c r="K1028" t="s">
        <v>428</v>
      </c>
      <c r="L1028" t="s">
        <v>3743</v>
      </c>
      <c r="N1028" t="s">
        <v>3744</v>
      </c>
      <c r="O1028" t="s">
        <v>3745</v>
      </c>
      <c r="R1028" t="s">
        <v>362</v>
      </c>
      <c r="S1028" s="34" t="s">
        <v>3746</v>
      </c>
    </row>
    <row r="1029" spans="1:19" x14ac:dyDescent="0.15">
      <c r="A1029" t="s">
        <v>3731</v>
      </c>
      <c r="B1029" s="61">
        <v>46388</v>
      </c>
      <c r="E1029" t="s">
        <v>355</v>
      </c>
      <c r="F1029" t="s">
        <v>364</v>
      </c>
      <c r="H1029" t="s">
        <v>310</v>
      </c>
      <c r="I1029">
        <v>2600293</v>
      </c>
      <c r="J1029" t="s">
        <v>2423</v>
      </c>
      <c r="K1029" t="s">
        <v>3747</v>
      </c>
      <c r="L1029" t="s">
        <v>3748</v>
      </c>
      <c r="N1029" t="s">
        <v>3749</v>
      </c>
      <c r="O1029" t="s">
        <v>3750</v>
      </c>
    </row>
    <row r="1030" spans="1:19" x14ac:dyDescent="0.15">
      <c r="A1030" t="s">
        <v>3731</v>
      </c>
      <c r="B1030" s="61">
        <v>46388</v>
      </c>
      <c r="E1030" t="s">
        <v>355</v>
      </c>
      <c r="F1030" t="s">
        <v>364</v>
      </c>
      <c r="H1030" t="s">
        <v>353</v>
      </c>
      <c r="I1030">
        <v>2600058</v>
      </c>
      <c r="J1030" t="s">
        <v>3751</v>
      </c>
      <c r="L1030" t="s">
        <v>390</v>
      </c>
      <c r="N1030" t="s">
        <v>3752</v>
      </c>
      <c r="O1030" t="s">
        <v>3753</v>
      </c>
    </row>
    <row r="1031" spans="1:19" x14ac:dyDescent="0.15">
      <c r="A1031" t="s">
        <v>3731</v>
      </c>
      <c r="B1031" s="61">
        <v>46692</v>
      </c>
      <c r="E1031" t="s">
        <v>355</v>
      </c>
      <c r="F1031" t="s">
        <v>364</v>
      </c>
      <c r="H1031" t="s">
        <v>365</v>
      </c>
      <c r="I1031">
        <v>2600152</v>
      </c>
      <c r="J1031" t="s">
        <v>2174</v>
      </c>
      <c r="K1031" t="s">
        <v>3754</v>
      </c>
      <c r="L1031" t="s">
        <v>390</v>
      </c>
      <c r="N1031" t="s">
        <v>3755</v>
      </c>
      <c r="O1031" t="s">
        <v>3756</v>
      </c>
    </row>
    <row r="1032" spans="1:19" x14ac:dyDescent="0.15">
      <c r="A1032" t="s">
        <v>3731</v>
      </c>
      <c r="B1032" s="61">
        <v>46692</v>
      </c>
      <c r="E1032" t="s">
        <v>355</v>
      </c>
      <c r="F1032" t="s">
        <v>364</v>
      </c>
      <c r="H1032" t="s">
        <v>365</v>
      </c>
      <c r="I1032">
        <v>2702704</v>
      </c>
      <c r="J1032" t="s">
        <v>3757</v>
      </c>
      <c r="K1032" t="s">
        <v>3758</v>
      </c>
      <c r="L1032" t="s">
        <v>3759</v>
      </c>
      <c r="N1032" t="s">
        <v>3760</v>
      </c>
      <c r="O1032" t="s">
        <v>3761</v>
      </c>
    </row>
    <row r="1033" spans="1:19" x14ac:dyDescent="0.15">
      <c r="A1033" t="s">
        <v>3731</v>
      </c>
      <c r="B1033" s="61">
        <v>46722</v>
      </c>
      <c r="E1033" t="s">
        <v>355</v>
      </c>
      <c r="F1033" t="s">
        <v>364</v>
      </c>
      <c r="H1033" t="s">
        <v>353</v>
      </c>
      <c r="I1033">
        <v>2600492</v>
      </c>
      <c r="J1033" t="s">
        <v>3762</v>
      </c>
      <c r="K1033" t="s">
        <v>3763</v>
      </c>
      <c r="L1033" t="s">
        <v>3464</v>
      </c>
      <c r="N1033" t="s">
        <v>3764</v>
      </c>
      <c r="O1033" t="s">
        <v>3765</v>
      </c>
    </row>
    <row r="1034" spans="1:19" x14ac:dyDescent="0.15">
      <c r="A1034" t="s">
        <v>3731</v>
      </c>
      <c r="B1034" s="61">
        <v>46753</v>
      </c>
      <c r="E1034" t="s">
        <v>355</v>
      </c>
      <c r="F1034" t="s">
        <v>364</v>
      </c>
      <c r="H1034" t="s">
        <v>365</v>
      </c>
      <c r="I1034">
        <v>2600496</v>
      </c>
      <c r="J1034" t="s">
        <v>3766</v>
      </c>
      <c r="K1034" t="s">
        <v>1071</v>
      </c>
      <c r="L1034" t="s">
        <v>390</v>
      </c>
      <c r="N1034" t="s">
        <v>3767</v>
      </c>
      <c r="O1034" t="s">
        <v>3768</v>
      </c>
    </row>
    <row r="1035" spans="1:19" x14ac:dyDescent="0.15">
      <c r="A1035" t="s">
        <v>3731</v>
      </c>
      <c r="B1035" s="61">
        <v>46753</v>
      </c>
      <c r="E1035" t="s">
        <v>355</v>
      </c>
      <c r="F1035" t="s">
        <v>364</v>
      </c>
      <c r="H1035" t="s">
        <v>310</v>
      </c>
      <c r="I1035">
        <v>2600293</v>
      </c>
      <c r="J1035" t="s">
        <v>2423</v>
      </c>
      <c r="K1035" t="s">
        <v>3747</v>
      </c>
      <c r="L1035" t="s">
        <v>3748</v>
      </c>
      <c r="N1035" t="s">
        <v>3749</v>
      </c>
      <c r="O1035" t="s">
        <v>3750</v>
      </c>
    </row>
    <row r="1036" spans="1:19" x14ac:dyDescent="0.15">
      <c r="A1036" t="s">
        <v>3731</v>
      </c>
      <c r="B1036" s="61">
        <v>46753</v>
      </c>
      <c r="E1036" t="s">
        <v>355</v>
      </c>
      <c r="F1036" t="s">
        <v>364</v>
      </c>
      <c r="H1036" t="s">
        <v>365</v>
      </c>
      <c r="I1036">
        <v>2702691</v>
      </c>
      <c r="J1036" t="s">
        <v>3769</v>
      </c>
      <c r="K1036" t="s">
        <v>1251</v>
      </c>
      <c r="L1036" t="s">
        <v>390</v>
      </c>
      <c r="N1036" t="s">
        <v>3770</v>
      </c>
      <c r="O1036" t="s">
        <v>3771</v>
      </c>
    </row>
    <row r="1037" spans="1:19" x14ac:dyDescent="0.15">
      <c r="A1037" t="s">
        <v>3731</v>
      </c>
      <c r="B1037" s="61">
        <v>46784</v>
      </c>
      <c r="E1037" t="s">
        <v>355</v>
      </c>
      <c r="F1037" t="s">
        <v>364</v>
      </c>
      <c r="H1037" t="s">
        <v>353</v>
      </c>
      <c r="I1037">
        <v>2700222</v>
      </c>
      <c r="J1037" t="s">
        <v>3772</v>
      </c>
      <c r="K1037" t="s">
        <v>428</v>
      </c>
      <c r="L1037" t="s">
        <v>390</v>
      </c>
      <c r="N1037" t="s">
        <v>3773</v>
      </c>
      <c r="O1037" t="s">
        <v>3774</v>
      </c>
    </row>
    <row r="1038" spans="1:19" x14ac:dyDescent="0.15">
      <c r="A1038" t="s">
        <v>3731</v>
      </c>
      <c r="B1038" s="61">
        <v>46844</v>
      </c>
      <c r="E1038" t="s">
        <v>355</v>
      </c>
      <c r="F1038" t="s">
        <v>364</v>
      </c>
      <c r="H1038" t="s">
        <v>353</v>
      </c>
      <c r="I1038">
        <v>2600491</v>
      </c>
      <c r="J1038" t="s">
        <v>3775</v>
      </c>
      <c r="K1038" t="s">
        <v>3776</v>
      </c>
      <c r="L1038" t="s">
        <v>1148</v>
      </c>
      <c r="N1038" t="s">
        <v>3777</v>
      </c>
      <c r="O1038" t="s">
        <v>3778</v>
      </c>
    </row>
    <row r="1039" spans="1:19" x14ac:dyDescent="0.15">
      <c r="A1039" t="s">
        <v>3731</v>
      </c>
      <c r="B1039" s="61">
        <v>46905</v>
      </c>
      <c r="E1039" t="s">
        <v>355</v>
      </c>
      <c r="F1039" t="s">
        <v>364</v>
      </c>
      <c r="H1039" t="s">
        <v>365</v>
      </c>
      <c r="I1039">
        <v>2600503</v>
      </c>
      <c r="J1039" t="s">
        <v>3779</v>
      </c>
      <c r="L1039" t="s">
        <v>1148</v>
      </c>
      <c r="N1039" t="s">
        <v>3780</v>
      </c>
      <c r="O1039" t="s">
        <v>3781</v>
      </c>
    </row>
    <row r="1040" spans="1:19" x14ac:dyDescent="0.15">
      <c r="A1040" t="s">
        <v>3731</v>
      </c>
      <c r="B1040" s="61">
        <v>46935</v>
      </c>
      <c r="E1040" t="s">
        <v>355</v>
      </c>
      <c r="F1040" t="s">
        <v>364</v>
      </c>
      <c r="H1040" t="s">
        <v>353</v>
      </c>
      <c r="I1040">
        <v>2600441</v>
      </c>
      <c r="J1040" t="s">
        <v>873</v>
      </c>
      <c r="K1040" t="s">
        <v>3782</v>
      </c>
      <c r="L1040" t="s">
        <v>3783</v>
      </c>
      <c r="N1040" t="s">
        <v>3784</v>
      </c>
      <c r="O1040" t="s">
        <v>3785</v>
      </c>
    </row>
    <row r="1041" spans="1:19" x14ac:dyDescent="0.15">
      <c r="A1041" t="s">
        <v>3731</v>
      </c>
      <c r="B1041" s="61">
        <v>46966</v>
      </c>
      <c r="E1041" t="s">
        <v>355</v>
      </c>
      <c r="F1041" t="s">
        <v>364</v>
      </c>
      <c r="H1041" t="s">
        <v>353</v>
      </c>
      <c r="I1041">
        <v>2701730</v>
      </c>
      <c r="J1041" t="s">
        <v>2718</v>
      </c>
      <c r="K1041" t="s">
        <v>3786</v>
      </c>
      <c r="L1041" t="s">
        <v>3787</v>
      </c>
      <c r="N1041" t="s">
        <v>3788</v>
      </c>
      <c r="O1041" t="s">
        <v>3789</v>
      </c>
    </row>
    <row r="1042" spans="1:19" x14ac:dyDescent="0.15">
      <c r="A1042" t="s">
        <v>3731</v>
      </c>
      <c r="B1042" s="61">
        <v>46966</v>
      </c>
      <c r="E1042" t="s">
        <v>355</v>
      </c>
      <c r="F1042" t="s">
        <v>364</v>
      </c>
      <c r="H1042" t="s">
        <v>353</v>
      </c>
      <c r="I1042">
        <v>2701870</v>
      </c>
      <c r="J1042" t="s">
        <v>2718</v>
      </c>
      <c r="K1042" t="s">
        <v>3786</v>
      </c>
      <c r="L1042" t="s">
        <v>3790</v>
      </c>
      <c r="N1042" t="s">
        <v>3791</v>
      </c>
      <c r="O1042" t="s">
        <v>3792</v>
      </c>
    </row>
    <row r="1043" spans="1:19" x14ac:dyDescent="0.15">
      <c r="A1043" t="s">
        <v>3731</v>
      </c>
      <c r="B1043" s="61">
        <v>47027</v>
      </c>
      <c r="E1043" t="s">
        <v>355</v>
      </c>
      <c r="F1043" t="s">
        <v>364</v>
      </c>
      <c r="H1043" t="s">
        <v>353</v>
      </c>
      <c r="I1043">
        <v>2600440</v>
      </c>
      <c r="J1043" t="s">
        <v>3762</v>
      </c>
      <c r="K1043" t="s">
        <v>3793</v>
      </c>
      <c r="L1043" t="s">
        <v>390</v>
      </c>
      <c r="N1043" t="s">
        <v>3794</v>
      </c>
      <c r="O1043" t="s">
        <v>3795</v>
      </c>
    </row>
    <row r="1044" spans="1:19" ht="243" x14ac:dyDescent="0.15">
      <c r="A1044" t="s">
        <v>3731</v>
      </c>
      <c r="B1044" s="61">
        <v>47027</v>
      </c>
      <c r="E1044" t="s">
        <v>355</v>
      </c>
      <c r="F1044" t="s">
        <v>385</v>
      </c>
      <c r="H1044" t="s">
        <v>365</v>
      </c>
      <c r="I1044">
        <v>2702001</v>
      </c>
      <c r="J1044" t="s">
        <v>3757</v>
      </c>
      <c r="K1044" t="s">
        <v>3758</v>
      </c>
      <c r="L1044" t="s">
        <v>3796</v>
      </c>
      <c r="N1044" t="s">
        <v>3797</v>
      </c>
      <c r="O1044" t="s">
        <v>3798</v>
      </c>
      <c r="R1044" t="s">
        <v>395</v>
      </c>
      <c r="S1044" s="34" t="s">
        <v>3799</v>
      </c>
    </row>
    <row r="1045" spans="1:19" ht="297" x14ac:dyDescent="0.15">
      <c r="A1045" t="s">
        <v>3731</v>
      </c>
      <c r="B1045" s="61">
        <v>47027</v>
      </c>
      <c r="E1045" t="s">
        <v>355</v>
      </c>
      <c r="F1045" t="s">
        <v>385</v>
      </c>
      <c r="H1045" t="s">
        <v>353</v>
      </c>
      <c r="I1045">
        <v>2701155</v>
      </c>
      <c r="J1045" t="s">
        <v>582</v>
      </c>
      <c r="K1045" t="s">
        <v>3800</v>
      </c>
      <c r="L1045" t="s">
        <v>3253</v>
      </c>
      <c r="N1045" t="s">
        <v>3801</v>
      </c>
      <c r="O1045" t="s">
        <v>3802</v>
      </c>
      <c r="R1045" t="s">
        <v>386</v>
      </c>
      <c r="S1045" s="34" t="s">
        <v>3803</v>
      </c>
    </row>
    <row r="1046" spans="1:19" x14ac:dyDescent="0.15">
      <c r="A1046" t="s">
        <v>3731</v>
      </c>
      <c r="B1046" s="61">
        <v>47058</v>
      </c>
      <c r="E1046" t="s">
        <v>355</v>
      </c>
      <c r="F1046" t="s">
        <v>364</v>
      </c>
      <c r="H1046" t="s">
        <v>353</v>
      </c>
      <c r="I1046">
        <v>2600341</v>
      </c>
      <c r="J1046" t="s">
        <v>3804</v>
      </c>
      <c r="K1046" t="s">
        <v>3805</v>
      </c>
      <c r="L1046" t="s">
        <v>3806</v>
      </c>
      <c r="N1046" t="s">
        <v>3807</v>
      </c>
      <c r="O1046" t="s">
        <v>3808</v>
      </c>
    </row>
    <row r="1047" spans="1:19" ht="409.5" x14ac:dyDescent="0.15">
      <c r="A1047" t="s">
        <v>3731</v>
      </c>
      <c r="B1047" s="61">
        <v>47270</v>
      </c>
      <c r="E1047" t="s">
        <v>355</v>
      </c>
      <c r="F1047" t="s">
        <v>364</v>
      </c>
      <c r="H1047" t="s">
        <v>353</v>
      </c>
      <c r="I1047">
        <v>2600339</v>
      </c>
      <c r="J1047" t="s">
        <v>402</v>
      </c>
      <c r="K1047" t="s">
        <v>3809</v>
      </c>
      <c r="L1047" t="s">
        <v>390</v>
      </c>
      <c r="N1047" t="s">
        <v>3810</v>
      </c>
      <c r="O1047" t="s">
        <v>3811</v>
      </c>
      <c r="R1047" t="s">
        <v>723</v>
      </c>
      <c r="S1047" s="34" t="s">
        <v>3812</v>
      </c>
    </row>
    <row r="1048" spans="1:19" ht="351" x14ac:dyDescent="0.15">
      <c r="A1048" t="s">
        <v>3731</v>
      </c>
      <c r="B1048" s="61">
        <v>47392</v>
      </c>
      <c r="E1048" t="s">
        <v>355</v>
      </c>
      <c r="F1048" t="s">
        <v>385</v>
      </c>
      <c r="H1048" t="s">
        <v>353</v>
      </c>
      <c r="I1048">
        <v>2702771</v>
      </c>
      <c r="J1048" t="s">
        <v>2718</v>
      </c>
      <c r="K1048" t="s">
        <v>3786</v>
      </c>
      <c r="L1048" t="s">
        <v>3813</v>
      </c>
      <c r="N1048" t="s">
        <v>3814</v>
      </c>
      <c r="O1048" t="s">
        <v>3815</v>
      </c>
      <c r="R1048" s="34" t="s">
        <v>768</v>
      </c>
      <c r="S1048" s="34" t="s">
        <v>3816</v>
      </c>
    </row>
    <row r="1049" spans="1:19" ht="409.5" x14ac:dyDescent="0.15">
      <c r="A1049" t="s">
        <v>3731</v>
      </c>
      <c r="B1049" s="61">
        <v>47574</v>
      </c>
      <c r="E1049" t="s">
        <v>355</v>
      </c>
      <c r="F1049" t="s">
        <v>385</v>
      </c>
      <c r="H1049" t="s">
        <v>365</v>
      </c>
      <c r="I1049">
        <v>2600060</v>
      </c>
      <c r="J1049" t="s">
        <v>3817</v>
      </c>
      <c r="K1049" t="s">
        <v>3818</v>
      </c>
      <c r="L1049" t="s">
        <v>390</v>
      </c>
      <c r="N1049" t="s">
        <v>3819</v>
      </c>
      <c r="O1049" t="s">
        <v>3820</v>
      </c>
      <c r="R1049" t="s">
        <v>395</v>
      </c>
      <c r="S1049" s="34" t="s">
        <v>3821</v>
      </c>
    </row>
    <row r="1050" spans="1:19" ht="229.5" x14ac:dyDescent="0.15">
      <c r="A1050" t="s">
        <v>3163</v>
      </c>
      <c r="B1050" s="61">
        <v>47727</v>
      </c>
      <c r="E1050" t="s">
        <v>355</v>
      </c>
      <c r="F1050" t="s">
        <v>385</v>
      </c>
      <c r="H1050" t="s">
        <v>353</v>
      </c>
      <c r="I1050">
        <v>2600213</v>
      </c>
      <c r="J1050" t="s">
        <v>3736</v>
      </c>
      <c r="K1050" t="s">
        <v>3737</v>
      </c>
      <c r="L1050" t="s">
        <v>3738</v>
      </c>
      <c r="N1050" t="s">
        <v>3739</v>
      </c>
      <c r="O1050" t="s">
        <v>3740</v>
      </c>
      <c r="R1050" t="s">
        <v>386</v>
      </c>
      <c r="S1050" s="34" t="s">
        <v>3741</v>
      </c>
    </row>
    <row r="1051" spans="1:19" ht="351" x14ac:dyDescent="0.15">
      <c r="A1051" t="s">
        <v>3731</v>
      </c>
      <c r="B1051" s="61">
        <v>47757</v>
      </c>
      <c r="E1051" t="s">
        <v>355</v>
      </c>
      <c r="F1051" t="s">
        <v>385</v>
      </c>
      <c r="H1051" t="s">
        <v>353</v>
      </c>
      <c r="I1051">
        <v>2701769</v>
      </c>
      <c r="J1051" t="s">
        <v>3742</v>
      </c>
      <c r="K1051" t="s">
        <v>428</v>
      </c>
      <c r="L1051" t="s">
        <v>3743</v>
      </c>
      <c r="N1051" t="s">
        <v>3744</v>
      </c>
      <c r="O1051" t="s">
        <v>3745</v>
      </c>
      <c r="R1051" t="s">
        <v>386</v>
      </c>
      <c r="S1051" s="34" t="s">
        <v>3746</v>
      </c>
    </row>
    <row r="1052" spans="1:19" x14ac:dyDescent="0.15">
      <c r="A1052" t="s">
        <v>3731</v>
      </c>
      <c r="B1052" s="61">
        <v>47849</v>
      </c>
      <c r="E1052" t="s">
        <v>355</v>
      </c>
      <c r="F1052" t="s">
        <v>364</v>
      </c>
      <c r="H1052" t="s">
        <v>353</v>
      </c>
      <c r="I1052">
        <v>2600058</v>
      </c>
      <c r="J1052" t="s">
        <v>3751</v>
      </c>
      <c r="L1052" t="s">
        <v>390</v>
      </c>
      <c r="N1052" t="s">
        <v>3752</v>
      </c>
      <c r="O1052" t="s">
        <v>3753</v>
      </c>
    </row>
    <row r="1053" spans="1:19" ht="351" x14ac:dyDescent="0.15">
      <c r="A1053" t="s">
        <v>3822</v>
      </c>
      <c r="B1053" s="61">
        <v>46235</v>
      </c>
      <c r="E1053" t="s">
        <v>355</v>
      </c>
      <c r="F1053" t="s">
        <v>356</v>
      </c>
      <c r="H1053" t="s">
        <v>353</v>
      </c>
      <c r="I1053">
        <v>1800097</v>
      </c>
      <c r="J1053" t="s">
        <v>1655</v>
      </c>
      <c r="K1053" t="s">
        <v>3835</v>
      </c>
      <c r="L1053" t="s">
        <v>390</v>
      </c>
      <c r="N1053" t="s">
        <v>3836</v>
      </c>
      <c r="O1053" t="s">
        <v>3837</v>
      </c>
      <c r="R1053" t="s">
        <v>362</v>
      </c>
      <c r="S1053" s="34" t="s">
        <v>3838</v>
      </c>
    </row>
    <row r="1054" spans="1:19" ht="391.5" x14ac:dyDescent="0.15">
      <c r="A1054" t="s">
        <v>3822</v>
      </c>
      <c r="B1054" s="61">
        <v>46266</v>
      </c>
      <c r="E1054" t="s">
        <v>355</v>
      </c>
      <c r="F1054" t="s">
        <v>356</v>
      </c>
      <c r="H1054" t="s">
        <v>365</v>
      </c>
      <c r="I1054">
        <v>1700473</v>
      </c>
      <c r="J1054" t="s">
        <v>3839</v>
      </c>
      <c r="K1054" t="s">
        <v>1023</v>
      </c>
      <c r="L1054" t="s">
        <v>3840</v>
      </c>
      <c r="N1054" t="s">
        <v>3841</v>
      </c>
      <c r="O1054" t="s">
        <v>3842</v>
      </c>
      <c r="R1054" t="s">
        <v>362</v>
      </c>
      <c r="S1054" s="34" t="s">
        <v>3843</v>
      </c>
    </row>
    <row r="1055" spans="1:19" ht="256.5" x14ac:dyDescent="0.15">
      <c r="A1055" t="s">
        <v>3822</v>
      </c>
      <c r="B1055" s="61">
        <v>46296</v>
      </c>
      <c r="E1055" t="s">
        <v>355</v>
      </c>
      <c r="F1055" t="s">
        <v>385</v>
      </c>
      <c r="H1055" t="s">
        <v>365</v>
      </c>
      <c r="I1055">
        <v>1800198</v>
      </c>
      <c r="J1055" t="s">
        <v>3844</v>
      </c>
      <c r="K1055" t="s">
        <v>3845</v>
      </c>
      <c r="L1055" t="s">
        <v>390</v>
      </c>
      <c r="N1055" t="s">
        <v>3846</v>
      </c>
      <c r="O1055" t="s">
        <v>3847</v>
      </c>
      <c r="R1055" t="s">
        <v>3848</v>
      </c>
      <c r="S1055" s="34" t="s">
        <v>3849</v>
      </c>
    </row>
    <row r="1056" spans="1:19" x14ac:dyDescent="0.15">
      <c r="A1056" t="s">
        <v>3822</v>
      </c>
      <c r="B1056" s="61">
        <v>46388</v>
      </c>
      <c r="E1056" t="s">
        <v>355</v>
      </c>
      <c r="F1056" t="s">
        <v>364</v>
      </c>
      <c r="H1056" t="s">
        <v>353</v>
      </c>
      <c r="I1056">
        <v>1800266</v>
      </c>
      <c r="J1056" t="s">
        <v>2730</v>
      </c>
      <c r="K1056" t="s">
        <v>3850</v>
      </c>
      <c r="L1056" t="s">
        <v>3851</v>
      </c>
      <c r="N1056" t="s">
        <v>3852</v>
      </c>
      <c r="O1056" t="s">
        <v>3853</v>
      </c>
    </row>
    <row r="1057" spans="1:19" x14ac:dyDescent="0.15">
      <c r="A1057" t="s">
        <v>3822</v>
      </c>
      <c r="B1057" s="61">
        <v>46539</v>
      </c>
      <c r="E1057" t="s">
        <v>355</v>
      </c>
      <c r="F1057" t="s">
        <v>364</v>
      </c>
      <c r="H1057" t="s">
        <v>365</v>
      </c>
      <c r="I1057">
        <v>1800313</v>
      </c>
      <c r="J1057" t="s">
        <v>2730</v>
      </c>
      <c r="K1057" t="s">
        <v>3850</v>
      </c>
      <c r="L1057" t="s">
        <v>3854</v>
      </c>
      <c r="N1057" t="s">
        <v>3855</v>
      </c>
      <c r="O1057" t="s">
        <v>3856</v>
      </c>
    </row>
    <row r="1058" spans="1:19" x14ac:dyDescent="0.15">
      <c r="A1058" t="s">
        <v>3822</v>
      </c>
      <c r="B1058" s="61">
        <v>46569</v>
      </c>
      <c r="E1058" t="s">
        <v>355</v>
      </c>
      <c r="F1058" t="s">
        <v>364</v>
      </c>
      <c r="H1058" t="s">
        <v>353</v>
      </c>
      <c r="I1058">
        <v>1700063</v>
      </c>
      <c r="J1058" t="s">
        <v>3857</v>
      </c>
      <c r="L1058" t="s">
        <v>390</v>
      </c>
      <c r="N1058" t="s">
        <v>3858</v>
      </c>
      <c r="O1058" t="s">
        <v>3859</v>
      </c>
    </row>
    <row r="1059" spans="1:19" ht="256.5" x14ac:dyDescent="0.15">
      <c r="A1059" t="s">
        <v>3822</v>
      </c>
      <c r="B1059" s="61">
        <v>46631</v>
      </c>
      <c r="E1059" t="s">
        <v>355</v>
      </c>
      <c r="F1059" t="s">
        <v>385</v>
      </c>
      <c r="H1059" t="s">
        <v>365</v>
      </c>
      <c r="I1059">
        <v>1800198</v>
      </c>
      <c r="J1059" t="s">
        <v>3844</v>
      </c>
      <c r="K1059" t="s">
        <v>3845</v>
      </c>
      <c r="L1059" t="s">
        <v>3860</v>
      </c>
      <c r="N1059" t="s">
        <v>3861</v>
      </c>
      <c r="O1059" t="s">
        <v>3847</v>
      </c>
      <c r="R1059" t="s">
        <v>395</v>
      </c>
      <c r="S1059" s="34" t="s">
        <v>3862</v>
      </c>
    </row>
    <row r="1060" spans="1:19" x14ac:dyDescent="0.15">
      <c r="A1060" t="s">
        <v>3822</v>
      </c>
      <c r="B1060" s="61">
        <v>46631</v>
      </c>
      <c r="E1060" t="s">
        <v>355</v>
      </c>
      <c r="F1060" t="s">
        <v>364</v>
      </c>
      <c r="H1060" t="s">
        <v>365</v>
      </c>
      <c r="I1060">
        <v>1700456</v>
      </c>
      <c r="J1060" t="s">
        <v>3863</v>
      </c>
      <c r="L1060" t="s">
        <v>3864</v>
      </c>
      <c r="N1060" t="s">
        <v>3865</v>
      </c>
      <c r="O1060" t="s">
        <v>3866</v>
      </c>
    </row>
    <row r="1061" spans="1:19" x14ac:dyDescent="0.15">
      <c r="A1061" t="s">
        <v>3822</v>
      </c>
      <c r="B1061" s="61">
        <v>46631</v>
      </c>
      <c r="E1061" t="s">
        <v>355</v>
      </c>
      <c r="F1061" t="s">
        <v>364</v>
      </c>
      <c r="H1061" t="s">
        <v>353</v>
      </c>
      <c r="I1061">
        <v>1800035</v>
      </c>
      <c r="J1061" t="s">
        <v>1690</v>
      </c>
      <c r="L1061" t="s">
        <v>3867</v>
      </c>
      <c r="N1061" t="s">
        <v>3868</v>
      </c>
      <c r="O1061" t="s">
        <v>3869</v>
      </c>
    </row>
    <row r="1062" spans="1:19" x14ac:dyDescent="0.15">
      <c r="A1062" t="s">
        <v>3822</v>
      </c>
      <c r="B1062" s="61">
        <v>46661</v>
      </c>
      <c r="E1062" t="s">
        <v>355</v>
      </c>
      <c r="F1062" t="s">
        <v>364</v>
      </c>
      <c r="H1062" t="s">
        <v>365</v>
      </c>
      <c r="I1062">
        <v>1700304</v>
      </c>
      <c r="J1062" t="s">
        <v>3870</v>
      </c>
      <c r="L1062" t="s">
        <v>1605</v>
      </c>
      <c r="N1062" t="s">
        <v>3871</v>
      </c>
      <c r="O1062" t="s">
        <v>3872</v>
      </c>
    </row>
    <row r="1063" spans="1:19" x14ac:dyDescent="0.15">
      <c r="A1063" t="s">
        <v>3822</v>
      </c>
      <c r="B1063" s="61">
        <v>46813</v>
      </c>
      <c r="E1063" t="s">
        <v>355</v>
      </c>
      <c r="F1063" t="s">
        <v>364</v>
      </c>
      <c r="H1063" t="s">
        <v>365</v>
      </c>
      <c r="I1063">
        <v>1700457</v>
      </c>
      <c r="J1063" t="s">
        <v>3873</v>
      </c>
      <c r="L1063" t="s">
        <v>390</v>
      </c>
      <c r="N1063" t="s">
        <v>3874</v>
      </c>
      <c r="O1063" t="s">
        <v>3875</v>
      </c>
    </row>
    <row r="1064" spans="1:19" x14ac:dyDescent="0.15">
      <c r="A1064" t="s">
        <v>3822</v>
      </c>
      <c r="B1064" s="61">
        <v>46997</v>
      </c>
      <c r="E1064" t="s">
        <v>355</v>
      </c>
      <c r="F1064" t="s">
        <v>364</v>
      </c>
      <c r="H1064" t="s">
        <v>353</v>
      </c>
      <c r="I1064">
        <v>1800202</v>
      </c>
      <c r="J1064" t="s">
        <v>2730</v>
      </c>
      <c r="K1064" t="s">
        <v>3850</v>
      </c>
      <c r="L1064" t="s">
        <v>3876</v>
      </c>
      <c r="N1064" t="s">
        <v>3877</v>
      </c>
      <c r="O1064" t="s">
        <v>3878</v>
      </c>
    </row>
    <row r="1065" spans="1:19" x14ac:dyDescent="0.15">
      <c r="A1065" t="s">
        <v>3822</v>
      </c>
      <c r="B1065" s="61">
        <v>47209</v>
      </c>
      <c r="E1065" t="s">
        <v>355</v>
      </c>
      <c r="F1065" t="s">
        <v>364</v>
      </c>
      <c r="H1065" t="s">
        <v>365</v>
      </c>
      <c r="I1065">
        <v>1700465</v>
      </c>
      <c r="J1065" t="s">
        <v>3879</v>
      </c>
      <c r="K1065" t="s">
        <v>3880</v>
      </c>
      <c r="L1065" t="s">
        <v>1276</v>
      </c>
      <c r="N1065" t="s">
        <v>3881</v>
      </c>
      <c r="O1065" t="s">
        <v>3882</v>
      </c>
    </row>
    <row r="1066" spans="1:19" ht="409.5" x14ac:dyDescent="0.15">
      <c r="A1066" t="s">
        <v>3822</v>
      </c>
      <c r="B1066" s="61">
        <v>47362</v>
      </c>
      <c r="E1066" t="s">
        <v>355</v>
      </c>
      <c r="F1066" t="s">
        <v>385</v>
      </c>
      <c r="H1066" t="s">
        <v>353</v>
      </c>
      <c r="I1066">
        <v>1800318</v>
      </c>
      <c r="J1066" t="s">
        <v>3883</v>
      </c>
      <c r="K1066" t="s">
        <v>3884</v>
      </c>
      <c r="L1066" t="s">
        <v>3885</v>
      </c>
      <c r="N1066" t="s">
        <v>3886</v>
      </c>
      <c r="O1066" t="s">
        <v>3887</v>
      </c>
      <c r="R1066" s="34" t="s">
        <v>768</v>
      </c>
      <c r="S1066" s="34" t="s">
        <v>3888</v>
      </c>
    </row>
    <row r="1067" spans="1:19" ht="216" x14ac:dyDescent="0.15">
      <c r="A1067" t="s">
        <v>3822</v>
      </c>
      <c r="B1067" s="61">
        <v>47665</v>
      </c>
      <c r="E1067" t="s">
        <v>355</v>
      </c>
      <c r="F1067" t="s">
        <v>385</v>
      </c>
      <c r="H1067" t="s">
        <v>365</v>
      </c>
      <c r="I1067">
        <v>1700246</v>
      </c>
      <c r="J1067" t="s">
        <v>3825</v>
      </c>
      <c r="K1067" t="s">
        <v>3826</v>
      </c>
      <c r="L1067" t="s">
        <v>3195</v>
      </c>
      <c r="N1067" t="s">
        <v>3827</v>
      </c>
      <c r="O1067" t="s">
        <v>3828</v>
      </c>
      <c r="R1067" t="s">
        <v>395</v>
      </c>
      <c r="S1067" s="34" t="s">
        <v>3829</v>
      </c>
    </row>
    <row r="1068" spans="1:19" ht="243" x14ac:dyDescent="0.15">
      <c r="A1068" t="s">
        <v>3822</v>
      </c>
      <c r="B1068" s="61">
        <v>47696</v>
      </c>
      <c r="E1068" t="s">
        <v>355</v>
      </c>
      <c r="F1068" t="s">
        <v>385</v>
      </c>
      <c r="H1068" t="s">
        <v>365</v>
      </c>
      <c r="I1068">
        <v>1700425</v>
      </c>
      <c r="J1068" t="s">
        <v>3830</v>
      </c>
      <c r="K1068" t="s">
        <v>3831</v>
      </c>
      <c r="L1068" t="s">
        <v>390</v>
      </c>
      <c r="N1068" t="s">
        <v>3832</v>
      </c>
      <c r="O1068" t="s">
        <v>3833</v>
      </c>
      <c r="R1068" t="s">
        <v>395</v>
      </c>
      <c r="S1068" s="34" t="s">
        <v>3834</v>
      </c>
    </row>
    <row r="1069" spans="1:19" ht="351" x14ac:dyDescent="0.15">
      <c r="A1069" t="s">
        <v>3822</v>
      </c>
      <c r="B1069" s="61">
        <v>47696</v>
      </c>
      <c r="E1069" t="s">
        <v>355</v>
      </c>
      <c r="F1069" t="s">
        <v>385</v>
      </c>
      <c r="H1069" t="s">
        <v>353</v>
      </c>
      <c r="I1069">
        <v>1800097</v>
      </c>
      <c r="J1069" t="s">
        <v>1655</v>
      </c>
      <c r="K1069" t="s">
        <v>3835</v>
      </c>
      <c r="L1069" t="s">
        <v>390</v>
      </c>
      <c r="N1069" t="s">
        <v>3836</v>
      </c>
      <c r="O1069" t="s">
        <v>3837</v>
      </c>
      <c r="R1069" s="34" t="s">
        <v>768</v>
      </c>
      <c r="S1069" s="34" t="s">
        <v>3838</v>
      </c>
    </row>
    <row r="1070" spans="1:19" ht="391.5" x14ac:dyDescent="0.15">
      <c r="A1070" t="s">
        <v>3822</v>
      </c>
      <c r="B1070" s="61">
        <v>47727</v>
      </c>
      <c r="E1070" t="s">
        <v>355</v>
      </c>
      <c r="F1070" t="s">
        <v>385</v>
      </c>
      <c r="H1070" t="s">
        <v>365</v>
      </c>
      <c r="I1070">
        <v>1700473</v>
      </c>
      <c r="J1070" t="s">
        <v>3839</v>
      </c>
      <c r="K1070" t="s">
        <v>1023</v>
      </c>
      <c r="L1070" t="s">
        <v>3840</v>
      </c>
      <c r="N1070" t="s">
        <v>3841</v>
      </c>
      <c r="O1070" t="s">
        <v>3842</v>
      </c>
      <c r="R1070" t="s">
        <v>395</v>
      </c>
      <c r="S1070" s="34" t="s">
        <v>3843</v>
      </c>
    </row>
    <row r="1071" spans="1:19" x14ac:dyDescent="0.15">
      <c r="A1071" t="s">
        <v>3822</v>
      </c>
      <c r="B1071" s="61">
        <v>48092</v>
      </c>
      <c r="E1071" t="s">
        <v>355</v>
      </c>
      <c r="F1071" t="s">
        <v>364</v>
      </c>
      <c r="H1071" t="s">
        <v>353</v>
      </c>
      <c r="I1071">
        <v>1800035</v>
      </c>
      <c r="J1071" t="s">
        <v>1690</v>
      </c>
      <c r="L1071" t="s">
        <v>3867</v>
      </c>
      <c r="N1071" t="s">
        <v>3868</v>
      </c>
      <c r="O1071" t="s">
        <v>3869</v>
      </c>
    </row>
    <row r="1072" spans="1:19" x14ac:dyDescent="0.15">
      <c r="A1072" t="s">
        <v>5393</v>
      </c>
      <c r="B1072" s="61">
        <v>46447</v>
      </c>
      <c r="E1072" t="s">
        <v>355</v>
      </c>
      <c r="F1072" t="s">
        <v>364</v>
      </c>
      <c r="H1072" t="s">
        <v>353</v>
      </c>
      <c r="I1072">
        <v>1201359</v>
      </c>
      <c r="J1072" t="s">
        <v>3890</v>
      </c>
      <c r="K1072" t="s">
        <v>3891</v>
      </c>
      <c r="L1072" t="s">
        <v>3892</v>
      </c>
      <c r="N1072" t="s">
        <v>3893</v>
      </c>
      <c r="O1072" t="s">
        <v>3894</v>
      </c>
    </row>
    <row r="1073" spans="1:19" ht="409.5" x14ac:dyDescent="0.15">
      <c r="A1073" t="s">
        <v>5393</v>
      </c>
      <c r="B1073" s="61">
        <v>46174</v>
      </c>
      <c r="E1073" t="s">
        <v>355</v>
      </c>
      <c r="F1073" t="s">
        <v>385</v>
      </c>
      <c r="H1073" t="s">
        <v>365</v>
      </c>
      <c r="I1073">
        <v>1201456</v>
      </c>
      <c r="J1073" t="s">
        <v>3890</v>
      </c>
      <c r="K1073" t="s">
        <v>3896</v>
      </c>
      <c r="L1073" t="s">
        <v>3897</v>
      </c>
      <c r="N1073" t="s">
        <v>3898</v>
      </c>
      <c r="O1073" t="s">
        <v>3899</v>
      </c>
      <c r="R1073" t="s">
        <v>395</v>
      </c>
      <c r="S1073" s="34" t="s">
        <v>3900</v>
      </c>
    </row>
    <row r="1074" spans="1:19" ht="256.5" x14ac:dyDescent="0.15">
      <c r="A1074" t="s">
        <v>5393</v>
      </c>
      <c r="B1074" s="61">
        <v>46327</v>
      </c>
      <c r="E1074" t="s">
        <v>355</v>
      </c>
      <c r="F1074" t="s">
        <v>385</v>
      </c>
      <c r="H1074" t="s">
        <v>310</v>
      </c>
      <c r="I1074">
        <v>1201461</v>
      </c>
      <c r="J1074" t="s">
        <v>3901</v>
      </c>
      <c r="L1074" t="s">
        <v>390</v>
      </c>
      <c r="N1074" t="s">
        <v>3902</v>
      </c>
      <c r="O1074" t="s">
        <v>3903</v>
      </c>
      <c r="R1074" t="s">
        <v>395</v>
      </c>
      <c r="S1074" s="34" t="s">
        <v>3904</v>
      </c>
    </row>
    <row r="1075" spans="1:19" x14ac:dyDescent="0.15">
      <c r="A1075" t="s">
        <v>5393</v>
      </c>
      <c r="B1075" s="61">
        <v>46692</v>
      </c>
      <c r="E1075" t="s">
        <v>355</v>
      </c>
      <c r="F1075" t="s">
        <v>364</v>
      </c>
      <c r="H1075" t="s">
        <v>353</v>
      </c>
      <c r="I1075">
        <v>1201180</v>
      </c>
      <c r="J1075" t="s">
        <v>974</v>
      </c>
      <c r="K1075" t="s">
        <v>3905</v>
      </c>
      <c r="L1075" t="s">
        <v>390</v>
      </c>
      <c r="N1075" t="s">
        <v>3906</v>
      </c>
      <c r="O1075" t="s">
        <v>3907</v>
      </c>
    </row>
    <row r="1076" spans="1:19" ht="310.5" x14ac:dyDescent="0.15">
      <c r="A1076" t="s">
        <v>3895</v>
      </c>
      <c r="B1076" s="61">
        <v>47331</v>
      </c>
      <c r="E1076" t="s">
        <v>355</v>
      </c>
      <c r="F1076" t="s">
        <v>385</v>
      </c>
      <c r="H1076" t="s">
        <v>353</v>
      </c>
      <c r="I1076">
        <v>1201556</v>
      </c>
      <c r="J1076" t="s">
        <v>3908</v>
      </c>
      <c r="K1076" t="s">
        <v>3909</v>
      </c>
      <c r="L1076" t="s">
        <v>1087</v>
      </c>
      <c r="N1076" t="s">
        <v>3910</v>
      </c>
      <c r="O1076" t="s">
        <v>3911</v>
      </c>
      <c r="R1076" s="34" t="s">
        <v>768</v>
      </c>
      <c r="S1076" s="34" t="s">
        <v>3912</v>
      </c>
    </row>
    <row r="1077" spans="1:19" ht="409.5" x14ac:dyDescent="0.15">
      <c r="A1077" t="s">
        <v>819</v>
      </c>
      <c r="B1077" s="61">
        <v>46023</v>
      </c>
      <c r="E1077" t="s">
        <v>355</v>
      </c>
      <c r="F1077" t="s">
        <v>351</v>
      </c>
      <c r="G1077" t="s">
        <v>352</v>
      </c>
      <c r="H1077" t="s">
        <v>353</v>
      </c>
      <c r="I1077">
        <v>4000496</v>
      </c>
      <c r="J1077" t="s">
        <v>821</v>
      </c>
      <c r="K1077" t="s">
        <v>822</v>
      </c>
      <c r="L1077" t="s">
        <v>613</v>
      </c>
      <c r="N1077" t="s">
        <v>823</v>
      </c>
      <c r="O1077" t="s">
        <v>824</v>
      </c>
      <c r="Q1077" t="s">
        <v>5034</v>
      </c>
      <c r="S1077" s="34" t="s">
        <v>3921</v>
      </c>
    </row>
    <row r="1078" spans="1:19" ht="297" x14ac:dyDescent="0.15">
      <c r="A1078" t="s">
        <v>1390</v>
      </c>
      <c r="B1078" s="61">
        <v>46569</v>
      </c>
      <c r="E1078" t="s">
        <v>355</v>
      </c>
      <c r="F1078" t="s">
        <v>385</v>
      </c>
      <c r="H1078" t="s">
        <v>365</v>
      </c>
      <c r="I1078">
        <v>1900433</v>
      </c>
      <c r="J1078" t="s">
        <v>1851</v>
      </c>
      <c r="K1078" t="s">
        <v>3925</v>
      </c>
      <c r="L1078" t="s">
        <v>3926</v>
      </c>
      <c r="N1078" t="s">
        <v>3927</v>
      </c>
      <c r="O1078" t="s">
        <v>3928</v>
      </c>
      <c r="R1078" t="s">
        <v>395</v>
      </c>
      <c r="S1078" s="34" t="s">
        <v>3929</v>
      </c>
    </row>
    <row r="1079" spans="1:19" ht="216" x14ac:dyDescent="0.15">
      <c r="A1079" t="s">
        <v>5524</v>
      </c>
      <c r="B1079" s="61">
        <v>46935</v>
      </c>
      <c r="E1079" t="s">
        <v>355</v>
      </c>
      <c r="F1079" t="s">
        <v>356</v>
      </c>
      <c r="H1079" t="s">
        <v>365</v>
      </c>
      <c r="I1079">
        <v>1401359</v>
      </c>
      <c r="J1079" t="s">
        <v>3922</v>
      </c>
      <c r="K1079" t="s">
        <v>3923</v>
      </c>
      <c r="L1079" t="s">
        <v>373</v>
      </c>
      <c r="N1079" t="s">
        <v>3930</v>
      </c>
      <c r="O1079" t="s">
        <v>3924</v>
      </c>
      <c r="R1079" t="s">
        <v>362</v>
      </c>
      <c r="S1079" s="34" t="s">
        <v>3931</v>
      </c>
    </row>
    <row r="1080" spans="1:19" ht="202.5" x14ac:dyDescent="0.15">
      <c r="A1080" t="s">
        <v>5524</v>
      </c>
      <c r="B1080" s="61">
        <v>48396</v>
      </c>
      <c r="E1080" t="s">
        <v>355</v>
      </c>
      <c r="F1080" t="s">
        <v>385</v>
      </c>
      <c r="H1080" t="s">
        <v>365</v>
      </c>
      <c r="I1080">
        <v>1401359</v>
      </c>
      <c r="J1080" t="s">
        <v>3922</v>
      </c>
      <c r="K1080" t="s">
        <v>3923</v>
      </c>
      <c r="L1080" t="s">
        <v>373</v>
      </c>
      <c r="N1080" t="s">
        <v>3930</v>
      </c>
      <c r="O1080" t="s">
        <v>3924</v>
      </c>
      <c r="R1080" t="s">
        <v>395</v>
      </c>
      <c r="S1080" s="34" t="s">
        <v>3932</v>
      </c>
    </row>
    <row r="1081" spans="1:19" ht="409.5" x14ac:dyDescent="0.15">
      <c r="A1081" t="s">
        <v>2597</v>
      </c>
      <c r="B1081" s="61">
        <v>46388</v>
      </c>
      <c r="E1081" t="s">
        <v>355</v>
      </c>
      <c r="F1081" t="s">
        <v>356</v>
      </c>
      <c r="H1081" t="s">
        <v>353</v>
      </c>
      <c r="I1081">
        <v>2702866</v>
      </c>
      <c r="J1081" t="s">
        <v>3933</v>
      </c>
      <c r="K1081" t="s">
        <v>3934</v>
      </c>
      <c r="L1081" t="s">
        <v>718</v>
      </c>
      <c r="N1081" t="s">
        <v>3935</v>
      </c>
      <c r="O1081" t="s">
        <v>3936</v>
      </c>
      <c r="R1081" t="s">
        <v>362</v>
      </c>
      <c r="S1081" s="34" t="s">
        <v>3937</v>
      </c>
    </row>
    <row r="1082" spans="1:19" ht="409.5" x14ac:dyDescent="0.15">
      <c r="A1082" t="s">
        <v>2597</v>
      </c>
      <c r="B1082" s="61">
        <v>48030</v>
      </c>
      <c r="E1082" t="s">
        <v>355</v>
      </c>
      <c r="F1082" t="s">
        <v>385</v>
      </c>
      <c r="H1082" t="s">
        <v>353</v>
      </c>
      <c r="I1082">
        <v>2702866</v>
      </c>
      <c r="J1082" t="s">
        <v>3933</v>
      </c>
      <c r="K1082" t="s">
        <v>3934</v>
      </c>
      <c r="L1082" t="s">
        <v>718</v>
      </c>
      <c r="N1082" t="s">
        <v>3935</v>
      </c>
      <c r="O1082" t="s">
        <v>3936</v>
      </c>
      <c r="R1082" t="s">
        <v>386</v>
      </c>
      <c r="S1082" s="34" t="s">
        <v>3937</v>
      </c>
    </row>
    <row r="1083" spans="1:19" ht="364.5" x14ac:dyDescent="0.15">
      <c r="A1083" t="s">
        <v>5524</v>
      </c>
      <c r="B1083" s="61">
        <v>46569</v>
      </c>
      <c r="E1083" t="s">
        <v>355</v>
      </c>
      <c r="F1083" t="s">
        <v>356</v>
      </c>
      <c r="H1083" t="s">
        <v>353</v>
      </c>
      <c r="I1083">
        <v>1400845</v>
      </c>
      <c r="J1083" t="s">
        <v>971</v>
      </c>
      <c r="K1083" t="s">
        <v>972</v>
      </c>
      <c r="L1083" t="s">
        <v>373</v>
      </c>
      <c r="N1083" t="s">
        <v>3938</v>
      </c>
      <c r="O1083" t="s">
        <v>973</v>
      </c>
      <c r="R1083" t="s">
        <v>362</v>
      </c>
      <c r="S1083" s="34" t="s">
        <v>3939</v>
      </c>
    </row>
    <row r="1084" spans="1:19" ht="364.5" x14ac:dyDescent="0.15">
      <c r="A1084" t="s">
        <v>5524</v>
      </c>
      <c r="B1084" s="61">
        <v>48030</v>
      </c>
      <c r="E1084" t="s">
        <v>355</v>
      </c>
      <c r="F1084" t="s">
        <v>385</v>
      </c>
      <c r="H1084" t="s">
        <v>353</v>
      </c>
      <c r="I1084">
        <v>1400845</v>
      </c>
      <c r="J1084" t="s">
        <v>971</v>
      </c>
      <c r="K1084" t="s">
        <v>972</v>
      </c>
      <c r="L1084" t="s">
        <v>373</v>
      </c>
      <c r="N1084" t="s">
        <v>3938</v>
      </c>
      <c r="O1084" t="s">
        <v>973</v>
      </c>
      <c r="R1084" t="s">
        <v>386</v>
      </c>
      <c r="S1084" s="34" t="s">
        <v>3939</v>
      </c>
    </row>
    <row r="1085" spans="1:19" ht="229.5" x14ac:dyDescent="0.15">
      <c r="A1085" t="s">
        <v>1297</v>
      </c>
      <c r="B1085" s="61">
        <v>46661</v>
      </c>
      <c r="E1085" t="s">
        <v>355</v>
      </c>
      <c r="F1085" t="s">
        <v>356</v>
      </c>
      <c r="H1085" t="s">
        <v>353</v>
      </c>
      <c r="I1085">
        <v>2401248</v>
      </c>
      <c r="J1085" t="s">
        <v>3940</v>
      </c>
      <c r="K1085" t="s">
        <v>1542</v>
      </c>
      <c r="L1085" t="s">
        <v>2082</v>
      </c>
      <c r="N1085" t="s">
        <v>3941</v>
      </c>
      <c r="O1085" t="s">
        <v>3942</v>
      </c>
      <c r="R1085" t="s">
        <v>362</v>
      </c>
      <c r="S1085" s="34" t="s">
        <v>3943</v>
      </c>
    </row>
    <row r="1086" spans="1:19" ht="229.5" x14ac:dyDescent="0.15">
      <c r="A1086" t="s">
        <v>1297</v>
      </c>
      <c r="B1086" s="61">
        <v>48122</v>
      </c>
      <c r="E1086" t="s">
        <v>355</v>
      </c>
      <c r="F1086" t="s">
        <v>385</v>
      </c>
      <c r="H1086" t="s">
        <v>353</v>
      </c>
      <c r="I1086">
        <v>2401248</v>
      </c>
      <c r="J1086" t="s">
        <v>3940</v>
      </c>
      <c r="K1086" t="s">
        <v>1542</v>
      </c>
      <c r="L1086" t="s">
        <v>2082</v>
      </c>
      <c r="N1086" t="s">
        <v>3941</v>
      </c>
      <c r="O1086" t="s">
        <v>3942</v>
      </c>
      <c r="R1086" t="s">
        <v>386</v>
      </c>
      <c r="S1086" s="34" t="s">
        <v>3943</v>
      </c>
    </row>
    <row r="1087" spans="1:19" ht="409.5" x14ac:dyDescent="0.15">
      <c r="A1087" t="s">
        <v>3051</v>
      </c>
      <c r="B1087" s="61">
        <v>46631</v>
      </c>
      <c r="E1087" t="s">
        <v>355</v>
      </c>
      <c r="F1087" t="s">
        <v>356</v>
      </c>
      <c r="H1087" t="s">
        <v>353</v>
      </c>
      <c r="I1087">
        <v>900995</v>
      </c>
      <c r="J1087" t="s">
        <v>3944</v>
      </c>
      <c r="K1087" t="s">
        <v>3052</v>
      </c>
      <c r="L1087" t="s">
        <v>413</v>
      </c>
      <c r="N1087" t="s">
        <v>3945</v>
      </c>
      <c r="O1087" t="s">
        <v>3946</v>
      </c>
      <c r="R1087" t="s">
        <v>362</v>
      </c>
      <c r="S1087" s="34" t="s">
        <v>3947</v>
      </c>
    </row>
    <row r="1088" spans="1:19" ht="409.5" x14ac:dyDescent="0.15">
      <c r="A1088" t="s">
        <v>3051</v>
      </c>
      <c r="B1088" s="61">
        <v>48092</v>
      </c>
      <c r="E1088" t="s">
        <v>355</v>
      </c>
      <c r="F1088" t="s">
        <v>385</v>
      </c>
      <c r="H1088" t="s">
        <v>353</v>
      </c>
      <c r="I1088">
        <v>900995</v>
      </c>
      <c r="J1088" t="s">
        <v>3944</v>
      </c>
      <c r="K1088" t="s">
        <v>3052</v>
      </c>
      <c r="L1088" t="s">
        <v>413</v>
      </c>
      <c r="N1088" t="s">
        <v>3945</v>
      </c>
      <c r="O1088" t="s">
        <v>3946</v>
      </c>
      <c r="R1088" t="s">
        <v>386</v>
      </c>
      <c r="S1088" s="34" t="s">
        <v>3947</v>
      </c>
    </row>
    <row r="1089" spans="1:19" ht="409.5" x14ac:dyDescent="0.15">
      <c r="A1089" t="s">
        <v>387</v>
      </c>
      <c r="B1089" s="61">
        <v>46935</v>
      </c>
      <c r="E1089" t="s">
        <v>355</v>
      </c>
      <c r="F1089" t="s">
        <v>356</v>
      </c>
      <c r="H1089" t="s">
        <v>353</v>
      </c>
      <c r="I1089">
        <v>800962</v>
      </c>
      <c r="J1089" t="s">
        <v>1851</v>
      </c>
      <c r="K1089" t="s">
        <v>403</v>
      </c>
      <c r="L1089" t="s">
        <v>368</v>
      </c>
      <c r="N1089" t="s">
        <v>3948</v>
      </c>
      <c r="O1089" t="s">
        <v>3949</v>
      </c>
      <c r="R1089" t="s">
        <v>362</v>
      </c>
      <c r="S1089" s="34" t="s">
        <v>3950</v>
      </c>
    </row>
    <row r="1090" spans="1:19" ht="409.5" x14ac:dyDescent="0.15">
      <c r="A1090" t="s">
        <v>387</v>
      </c>
      <c r="B1090" s="61">
        <v>48396</v>
      </c>
      <c r="E1090" t="s">
        <v>355</v>
      </c>
      <c r="F1090" t="s">
        <v>385</v>
      </c>
      <c r="H1090" t="s">
        <v>353</v>
      </c>
      <c r="I1090">
        <v>800962</v>
      </c>
      <c r="J1090" t="s">
        <v>1851</v>
      </c>
      <c r="K1090" t="s">
        <v>403</v>
      </c>
      <c r="L1090" t="s">
        <v>368</v>
      </c>
      <c r="N1090" t="s">
        <v>3948</v>
      </c>
      <c r="O1090" t="s">
        <v>3949</v>
      </c>
      <c r="R1090" t="s">
        <v>386</v>
      </c>
      <c r="S1090" s="34" t="s">
        <v>3950</v>
      </c>
    </row>
    <row r="1091" spans="1:19" ht="256.5" x14ac:dyDescent="0.15">
      <c r="A1091" t="s">
        <v>2027</v>
      </c>
      <c r="B1091" s="61">
        <v>46054</v>
      </c>
      <c r="E1091" t="s">
        <v>355</v>
      </c>
      <c r="F1091" t="s">
        <v>351</v>
      </c>
      <c r="G1091" t="s">
        <v>352</v>
      </c>
      <c r="H1091" t="s">
        <v>353</v>
      </c>
      <c r="I1091">
        <v>2801491</v>
      </c>
      <c r="J1091" t="s">
        <v>3742</v>
      </c>
      <c r="K1091" t="s">
        <v>3959</v>
      </c>
      <c r="L1091" t="s">
        <v>390</v>
      </c>
      <c r="N1091" t="s">
        <v>3960</v>
      </c>
      <c r="O1091" t="s">
        <v>3961</v>
      </c>
      <c r="S1091" s="34" t="s">
        <v>3962</v>
      </c>
    </row>
    <row r="1092" spans="1:19" ht="409.5" x14ac:dyDescent="0.15">
      <c r="A1092" t="s">
        <v>1234</v>
      </c>
      <c r="B1092" s="61">
        <v>46631</v>
      </c>
      <c r="E1092" t="s">
        <v>355</v>
      </c>
      <c r="F1092" t="s">
        <v>356</v>
      </c>
      <c r="H1092" t="s">
        <v>353</v>
      </c>
      <c r="I1092">
        <v>2401254</v>
      </c>
      <c r="J1092" t="s">
        <v>1250</v>
      </c>
      <c r="K1092" t="s">
        <v>1256</v>
      </c>
      <c r="L1092" t="s">
        <v>1276</v>
      </c>
      <c r="N1092" t="s">
        <v>3963</v>
      </c>
      <c r="O1092" t="s">
        <v>3964</v>
      </c>
      <c r="R1092" t="s">
        <v>362</v>
      </c>
      <c r="S1092" s="34" t="s">
        <v>3965</v>
      </c>
    </row>
    <row r="1093" spans="1:19" ht="409.5" x14ac:dyDescent="0.15">
      <c r="A1093" t="s">
        <v>1234</v>
      </c>
      <c r="B1093" s="61">
        <v>48092</v>
      </c>
      <c r="E1093" t="s">
        <v>355</v>
      </c>
      <c r="F1093" t="s">
        <v>385</v>
      </c>
      <c r="H1093" t="s">
        <v>353</v>
      </c>
      <c r="I1093">
        <v>2401254</v>
      </c>
      <c r="J1093" t="s">
        <v>1250</v>
      </c>
      <c r="K1093" t="s">
        <v>1256</v>
      </c>
      <c r="L1093" t="s">
        <v>1276</v>
      </c>
      <c r="N1093" t="s">
        <v>3963</v>
      </c>
      <c r="O1093" t="s">
        <v>3964</v>
      </c>
      <c r="R1093" t="s">
        <v>386</v>
      </c>
      <c r="S1093" s="34" t="s">
        <v>3965</v>
      </c>
    </row>
    <row r="1094" spans="1:19" ht="409.5" x14ac:dyDescent="0.15">
      <c r="A1094" t="s">
        <v>2534</v>
      </c>
      <c r="B1094" s="61">
        <v>46844</v>
      </c>
      <c r="E1094" t="s">
        <v>355</v>
      </c>
      <c r="F1094" t="s">
        <v>356</v>
      </c>
      <c r="H1094" t="s">
        <v>353</v>
      </c>
      <c r="I1094">
        <v>2800046</v>
      </c>
      <c r="J1094" t="s">
        <v>2555</v>
      </c>
      <c r="K1094" t="s">
        <v>2556</v>
      </c>
      <c r="L1094" t="s">
        <v>3966</v>
      </c>
      <c r="N1094" t="s">
        <v>3967</v>
      </c>
      <c r="O1094" t="s">
        <v>3968</v>
      </c>
      <c r="R1094" t="s">
        <v>362</v>
      </c>
      <c r="S1094" s="34" t="s">
        <v>3969</v>
      </c>
    </row>
    <row r="1095" spans="1:19" ht="409.5" x14ac:dyDescent="0.15">
      <c r="A1095" t="s">
        <v>2534</v>
      </c>
      <c r="B1095" s="61">
        <v>48305</v>
      </c>
      <c r="E1095" t="s">
        <v>355</v>
      </c>
      <c r="F1095" t="s">
        <v>385</v>
      </c>
      <c r="H1095" t="s">
        <v>353</v>
      </c>
      <c r="I1095">
        <v>2800046</v>
      </c>
      <c r="J1095" t="s">
        <v>2555</v>
      </c>
      <c r="K1095" t="s">
        <v>2556</v>
      </c>
      <c r="L1095" t="s">
        <v>3966</v>
      </c>
      <c r="N1095" t="s">
        <v>3967</v>
      </c>
      <c r="O1095" t="s">
        <v>3968</v>
      </c>
      <c r="R1095" t="s">
        <v>386</v>
      </c>
      <c r="S1095" s="34" t="s">
        <v>3969</v>
      </c>
    </row>
    <row r="1096" spans="1:19" ht="409.5" x14ac:dyDescent="0.15">
      <c r="A1096" t="s">
        <v>3168</v>
      </c>
      <c r="B1096" s="61">
        <v>46813</v>
      </c>
      <c r="E1096" t="s">
        <v>355</v>
      </c>
      <c r="F1096" t="s">
        <v>356</v>
      </c>
      <c r="H1096" t="s">
        <v>353</v>
      </c>
      <c r="I1096">
        <v>4600214</v>
      </c>
      <c r="J1096" t="s">
        <v>2915</v>
      </c>
      <c r="K1096" t="s">
        <v>1251</v>
      </c>
      <c r="L1096" t="s">
        <v>3700</v>
      </c>
      <c r="N1096" t="s">
        <v>3970</v>
      </c>
      <c r="O1096" t="s">
        <v>3971</v>
      </c>
      <c r="R1096" t="s">
        <v>362</v>
      </c>
      <c r="S1096" s="34" t="s">
        <v>3972</v>
      </c>
    </row>
    <row r="1097" spans="1:19" ht="409.5" x14ac:dyDescent="0.15">
      <c r="A1097" t="s">
        <v>3168</v>
      </c>
      <c r="B1097" s="61">
        <v>48274</v>
      </c>
      <c r="E1097" t="s">
        <v>355</v>
      </c>
      <c r="F1097" t="s">
        <v>385</v>
      </c>
      <c r="H1097" t="s">
        <v>353</v>
      </c>
      <c r="I1097">
        <v>4600214</v>
      </c>
      <c r="J1097" t="s">
        <v>2915</v>
      </c>
      <c r="K1097" t="s">
        <v>1251</v>
      </c>
      <c r="L1097" t="s">
        <v>3700</v>
      </c>
      <c r="N1097" t="s">
        <v>3970</v>
      </c>
      <c r="O1097" t="s">
        <v>3971</v>
      </c>
      <c r="R1097" t="s">
        <v>386</v>
      </c>
      <c r="S1097" s="34" t="s">
        <v>3972</v>
      </c>
    </row>
    <row r="1098" spans="1:19" ht="364.5" x14ac:dyDescent="0.15">
      <c r="A1098" t="s">
        <v>1234</v>
      </c>
      <c r="B1098" s="61">
        <v>46631</v>
      </c>
      <c r="E1098" t="s">
        <v>355</v>
      </c>
      <c r="F1098" t="s">
        <v>356</v>
      </c>
      <c r="H1098" t="s">
        <v>353</v>
      </c>
      <c r="I1098">
        <v>2401255</v>
      </c>
      <c r="J1098" t="s">
        <v>1250</v>
      </c>
      <c r="K1098" t="s">
        <v>1256</v>
      </c>
      <c r="L1098" t="s">
        <v>1006</v>
      </c>
      <c r="N1098" t="s">
        <v>3973</v>
      </c>
      <c r="O1098" t="s">
        <v>3974</v>
      </c>
      <c r="R1098" t="s">
        <v>362</v>
      </c>
      <c r="S1098" s="34" t="s">
        <v>3975</v>
      </c>
    </row>
    <row r="1099" spans="1:19" ht="364.5" x14ac:dyDescent="0.15">
      <c r="A1099" t="s">
        <v>1234</v>
      </c>
      <c r="B1099" s="61">
        <v>48092</v>
      </c>
      <c r="E1099" t="s">
        <v>355</v>
      </c>
      <c r="F1099" t="s">
        <v>385</v>
      </c>
      <c r="H1099" t="s">
        <v>353</v>
      </c>
      <c r="I1099">
        <v>2401255</v>
      </c>
      <c r="J1099" t="s">
        <v>1250</v>
      </c>
      <c r="K1099" t="s">
        <v>1256</v>
      </c>
      <c r="L1099" t="s">
        <v>1006</v>
      </c>
      <c r="N1099" t="s">
        <v>3973</v>
      </c>
      <c r="O1099" t="s">
        <v>3974</v>
      </c>
      <c r="R1099" t="s">
        <v>386</v>
      </c>
      <c r="S1099" s="34" t="s">
        <v>3975</v>
      </c>
    </row>
    <row r="1100" spans="1:19" ht="378" x14ac:dyDescent="0.15">
      <c r="A1100" t="s">
        <v>2027</v>
      </c>
      <c r="B1100" s="61">
        <v>46569</v>
      </c>
      <c r="E1100" t="s">
        <v>355</v>
      </c>
      <c r="F1100" t="s">
        <v>356</v>
      </c>
      <c r="H1100" t="s">
        <v>353</v>
      </c>
      <c r="I1100">
        <v>2802398</v>
      </c>
      <c r="J1100" t="s">
        <v>2598</v>
      </c>
      <c r="K1100" t="s">
        <v>3976</v>
      </c>
      <c r="L1100" t="s">
        <v>413</v>
      </c>
      <c r="N1100" t="s">
        <v>3977</v>
      </c>
      <c r="O1100" t="s">
        <v>3978</v>
      </c>
      <c r="R1100" t="s">
        <v>362</v>
      </c>
      <c r="S1100" s="34" t="s">
        <v>3979</v>
      </c>
    </row>
    <row r="1101" spans="1:19" ht="378" x14ac:dyDescent="0.15">
      <c r="A1101" t="s">
        <v>2027</v>
      </c>
      <c r="B1101" s="61">
        <v>48030</v>
      </c>
      <c r="E1101" t="s">
        <v>355</v>
      </c>
      <c r="F1101" t="s">
        <v>385</v>
      </c>
      <c r="H1101" t="s">
        <v>353</v>
      </c>
      <c r="I1101">
        <v>2802398</v>
      </c>
      <c r="J1101" t="s">
        <v>2598</v>
      </c>
      <c r="K1101" t="s">
        <v>3976</v>
      </c>
      <c r="L1101" t="s">
        <v>413</v>
      </c>
      <c r="N1101" t="s">
        <v>3977</v>
      </c>
      <c r="O1101" t="s">
        <v>3978</v>
      </c>
      <c r="R1101" t="s">
        <v>386</v>
      </c>
      <c r="S1101" s="34" t="s">
        <v>3979</v>
      </c>
    </row>
    <row r="1102" spans="1:19" ht="243" x14ac:dyDescent="0.15">
      <c r="A1102" t="s">
        <v>1524</v>
      </c>
      <c r="B1102" s="61">
        <v>46844</v>
      </c>
      <c r="E1102" t="s">
        <v>355</v>
      </c>
      <c r="F1102" t="s">
        <v>356</v>
      </c>
      <c r="H1102" t="s">
        <v>310</v>
      </c>
      <c r="I1102">
        <v>2501149</v>
      </c>
      <c r="J1102" t="s">
        <v>3980</v>
      </c>
      <c r="L1102" t="s">
        <v>3981</v>
      </c>
      <c r="N1102" t="s">
        <v>3982</v>
      </c>
      <c r="O1102" t="s">
        <v>3983</v>
      </c>
      <c r="R1102" t="s">
        <v>362</v>
      </c>
      <c r="S1102" s="34" t="s">
        <v>3984</v>
      </c>
    </row>
    <row r="1103" spans="1:19" ht="243" x14ac:dyDescent="0.15">
      <c r="A1103" t="s">
        <v>1524</v>
      </c>
      <c r="B1103" s="61">
        <v>47939</v>
      </c>
      <c r="E1103" t="s">
        <v>355</v>
      </c>
      <c r="F1103" t="s">
        <v>543</v>
      </c>
      <c r="H1103" t="s">
        <v>310</v>
      </c>
      <c r="I1103">
        <v>2501149</v>
      </c>
      <c r="J1103" t="s">
        <v>3980</v>
      </c>
      <c r="L1103" t="s">
        <v>3981</v>
      </c>
      <c r="N1103" t="s">
        <v>3982</v>
      </c>
      <c r="O1103" t="s">
        <v>3983</v>
      </c>
      <c r="R1103" t="s">
        <v>755</v>
      </c>
      <c r="S1103" s="34" t="s">
        <v>3984</v>
      </c>
    </row>
    <row r="1104" spans="1:19" ht="243" x14ac:dyDescent="0.15">
      <c r="A1104" t="s">
        <v>1524</v>
      </c>
      <c r="B1104" s="61">
        <v>48305</v>
      </c>
      <c r="E1104" t="s">
        <v>355</v>
      </c>
      <c r="F1104" t="s">
        <v>385</v>
      </c>
      <c r="H1104" t="s">
        <v>310</v>
      </c>
      <c r="I1104">
        <v>2501149</v>
      </c>
      <c r="J1104" t="s">
        <v>3980</v>
      </c>
      <c r="L1104" t="s">
        <v>3981</v>
      </c>
      <c r="N1104" t="s">
        <v>3982</v>
      </c>
      <c r="O1104" t="s">
        <v>3983</v>
      </c>
      <c r="R1104" t="s">
        <v>395</v>
      </c>
      <c r="S1104" s="34" t="s">
        <v>3984</v>
      </c>
    </row>
    <row r="1105" spans="1:19" ht="409.5" x14ac:dyDescent="0.15">
      <c r="A1105" t="s">
        <v>1993</v>
      </c>
      <c r="B1105" s="61">
        <v>46082</v>
      </c>
      <c r="E1105" t="s">
        <v>355</v>
      </c>
      <c r="F1105" t="s">
        <v>351</v>
      </c>
      <c r="G1105" t="s">
        <v>5193</v>
      </c>
      <c r="H1105" t="s">
        <v>365</v>
      </c>
      <c r="I1105">
        <v>300038</v>
      </c>
      <c r="J1105" t="s">
        <v>1994</v>
      </c>
      <c r="K1105" t="s">
        <v>2018</v>
      </c>
      <c r="L1105" t="s">
        <v>692</v>
      </c>
      <c r="N1105" t="s">
        <v>1995</v>
      </c>
      <c r="O1105" t="s">
        <v>1996</v>
      </c>
      <c r="P1105" t="s">
        <v>5194</v>
      </c>
      <c r="Q1105" t="s">
        <v>5195</v>
      </c>
      <c r="R1105" t="s">
        <v>3985</v>
      </c>
      <c r="S1105" s="34" t="s">
        <v>1997</v>
      </c>
    </row>
    <row r="1106" spans="1:19" ht="270" x14ac:dyDescent="0.15">
      <c r="A1106" t="s">
        <v>2067</v>
      </c>
      <c r="B1106" s="61">
        <v>46082</v>
      </c>
      <c r="C1106" s="40">
        <v>46130</v>
      </c>
      <c r="E1106" t="s">
        <v>355</v>
      </c>
      <c r="F1106" t="s">
        <v>351</v>
      </c>
      <c r="G1106" t="s">
        <v>5193</v>
      </c>
      <c r="H1106" t="s">
        <v>353</v>
      </c>
      <c r="I1106">
        <v>2200413</v>
      </c>
      <c r="J1106" t="s">
        <v>5029</v>
      </c>
      <c r="L1106" t="s">
        <v>718</v>
      </c>
      <c r="N1106" t="s">
        <v>5030</v>
      </c>
      <c r="O1106" t="s">
        <v>5031</v>
      </c>
      <c r="Q1106" s="34" t="s">
        <v>5200</v>
      </c>
      <c r="R1106" t="s">
        <v>3985</v>
      </c>
      <c r="S1106" s="34" t="s">
        <v>5032</v>
      </c>
    </row>
    <row r="1107" spans="1:19" ht="229.5" x14ac:dyDescent="0.15">
      <c r="A1107" t="s">
        <v>2597</v>
      </c>
      <c r="B1107" s="61">
        <v>46082</v>
      </c>
      <c r="E1107" t="s">
        <v>355</v>
      </c>
      <c r="F1107" t="s">
        <v>351</v>
      </c>
      <c r="H1107" t="s">
        <v>353</v>
      </c>
      <c r="I1107">
        <v>2700767</v>
      </c>
      <c r="J1107" t="s">
        <v>2688</v>
      </c>
      <c r="K1107" t="s">
        <v>2689</v>
      </c>
      <c r="L1107" t="s">
        <v>413</v>
      </c>
      <c r="N1107" t="s">
        <v>2690</v>
      </c>
      <c r="O1107" t="s">
        <v>2691</v>
      </c>
      <c r="R1107" t="s">
        <v>3986</v>
      </c>
      <c r="S1107" s="34" t="s">
        <v>2692</v>
      </c>
    </row>
    <row r="1108" spans="1:19" ht="405" x14ac:dyDescent="0.15">
      <c r="A1108" t="s">
        <v>6796</v>
      </c>
      <c r="B1108" s="61">
        <v>46082</v>
      </c>
      <c r="E1108" t="s">
        <v>355</v>
      </c>
      <c r="F1108" t="s">
        <v>351</v>
      </c>
      <c r="H1108" t="s">
        <v>353</v>
      </c>
      <c r="I1108">
        <v>4100117</v>
      </c>
      <c r="J1108" t="s">
        <v>2919</v>
      </c>
      <c r="L1108" t="s">
        <v>1118</v>
      </c>
      <c r="N1108" t="s">
        <v>2920</v>
      </c>
      <c r="O1108" t="s">
        <v>2921</v>
      </c>
      <c r="P1108" s="34" t="s">
        <v>5149</v>
      </c>
      <c r="Q1108" t="s">
        <v>5150</v>
      </c>
      <c r="R1108" t="s">
        <v>3986</v>
      </c>
      <c r="S1108" s="34" t="s">
        <v>2922</v>
      </c>
    </row>
    <row r="1109" spans="1:19" ht="283.5" x14ac:dyDescent="0.15">
      <c r="A1109" t="s">
        <v>3472</v>
      </c>
      <c r="B1109" s="61">
        <v>46539</v>
      </c>
      <c r="E1109" t="s">
        <v>355</v>
      </c>
      <c r="F1109" t="s">
        <v>2480</v>
      </c>
      <c r="H1109" t="s">
        <v>365</v>
      </c>
      <c r="I1109">
        <v>4000873</v>
      </c>
      <c r="J1109" t="s">
        <v>4001</v>
      </c>
      <c r="K1109" t="s">
        <v>4002</v>
      </c>
      <c r="L1109" t="s">
        <v>4003</v>
      </c>
      <c r="N1109" s="34" t="s">
        <v>4004</v>
      </c>
      <c r="O1109" t="s">
        <v>4005</v>
      </c>
      <c r="R1109" s="34" t="s">
        <v>4006</v>
      </c>
      <c r="S1109" s="34" t="s">
        <v>4007</v>
      </c>
    </row>
    <row r="1110" spans="1:19" ht="409.5" x14ac:dyDescent="0.15">
      <c r="A1110" t="s">
        <v>5394</v>
      </c>
      <c r="B1110" s="61">
        <v>46113</v>
      </c>
      <c r="E1110" t="s">
        <v>355</v>
      </c>
      <c r="F1110" t="s">
        <v>351</v>
      </c>
      <c r="H1110" t="s">
        <v>686</v>
      </c>
      <c r="I1110">
        <v>1402368</v>
      </c>
      <c r="J1110" t="s">
        <v>974</v>
      </c>
      <c r="K1110" t="s">
        <v>4038</v>
      </c>
      <c r="L1110" t="s">
        <v>4039</v>
      </c>
      <c r="N1110" t="s">
        <v>4040</v>
      </c>
      <c r="O1110" t="s">
        <v>4041</v>
      </c>
      <c r="R1110" s="34" t="s">
        <v>4042</v>
      </c>
      <c r="S1110" s="34" t="s">
        <v>4043</v>
      </c>
    </row>
    <row r="1111" spans="1:19" ht="409.5" x14ac:dyDescent="0.15">
      <c r="A1111" t="s">
        <v>5394</v>
      </c>
      <c r="B1111" s="61">
        <v>46113</v>
      </c>
      <c r="E1111" t="s">
        <v>355</v>
      </c>
      <c r="F1111" t="s">
        <v>351</v>
      </c>
      <c r="H1111" t="s">
        <v>686</v>
      </c>
      <c r="I1111">
        <v>1402836</v>
      </c>
      <c r="J1111" t="s">
        <v>963</v>
      </c>
      <c r="K1111" t="s">
        <v>964</v>
      </c>
      <c r="L1111" t="s">
        <v>965</v>
      </c>
      <c r="N1111">
        <v>2131449</v>
      </c>
      <c r="O1111" t="s">
        <v>967</v>
      </c>
      <c r="S1111" s="34" t="s">
        <v>4044</v>
      </c>
    </row>
    <row r="1112" spans="1:19" ht="409.5" x14ac:dyDescent="0.15">
      <c r="A1112" t="s">
        <v>4047</v>
      </c>
      <c r="B1112" s="61">
        <v>46266</v>
      </c>
      <c r="E1112" t="s">
        <v>355</v>
      </c>
      <c r="F1112" t="s">
        <v>351</v>
      </c>
      <c r="H1112" t="s">
        <v>686</v>
      </c>
      <c r="I1112">
        <v>2702685</v>
      </c>
      <c r="J1112" t="s">
        <v>4037</v>
      </c>
      <c r="K1112" t="s">
        <v>4048</v>
      </c>
      <c r="L1112" t="s">
        <v>466</v>
      </c>
      <c r="N1112">
        <v>2163514</v>
      </c>
      <c r="O1112" t="s">
        <v>4049</v>
      </c>
      <c r="R1112" t="s">
        <v>4050</v>
      </c>
      <c r="S1112" s="34" t="s">
        <v>4051</v>
      </c>
    </row>
    <row r="1113" spans="1:19" ht="351" x14ac:dyDescent="0.15">
      <c r="A1113" t="s">
        <v>3297</v>
      </c>
      <c r="B1113" s="61">
        <v>46113</v>
      </c>
      <c r="E1113" t="s">
        <v>355</v>
      </c>
      <c r="F1113" t="s">
        <v>351</v>
      </c>
      <c r="H1113" t="s">
        <v>353</v>
      </c>
      <c r="I1113">
        <v>2800298</v>
      </c>
      <c r="J1113" t="s">
        <v>3320</v>
      </c>
      <c r="K1113" t="s">
        <v>3321</v>
      </c>
      <c r="L1113" t="s">
        <v>2181</v>
      </c>
      <c r="N1113" t="s">
        <v>4055</v>
      </c>
      <c r="O1113" t="s">
        <v>3323</v>
      </c>
      <c r="R1113" t="s">
        <v>3987</v>
      </c>
      <c r="S1113" s="34" t="s">
        <v>4056</v>
      </c>
    </row>
    <row r="1114" spans="1:19" ht="229.5" x14ac:dyDescent="0.15">
      <c r="A1114" t="s">
        <v>1359</v>
      </c>
      <c r="B1114" s="61">
        <v>46113</v>
      </c>
      <c r="E1114" t="s">
        <v>355</v>
      </c>
      <c r="F1114" t="s">
        <v>351</v>
      </c>
      <c r="H1114" t="s">
        <v>353</v>
      </c>
      <c r="I1114">
        <v>3500053</v>
      </c>
      <c r="J1114" t="s">
        <v>1371</v>
      </c>
      <c r="K1114" t="s">
        <v>1372</v>
      </c>
      <c r="L1114" t="s">
        <v>390</v>
      </c>
      <c r="N1114" t="s">
        <v>1373</v>
      </c>
      <c r="O1114" t="s">
        <v>1374</v>
      </c>
      <c r="R1114" t="s">
        <v>3986</v>
      </c>
      <c r="S1114" s="34" t="s">
        <v>1375</v>
      </c>
    </row>
    <row r="1115" spans="1:19" ht="409.5" x14ac:dyDescent="0.15">
      <c r="A1115" t="s">
        <v>6796</v>
      </c>
      <c r="B1115" s="61">
        <v>46113</v>
      </c>
      <c r="E1115" t="s">
        <v>355</v>
      </c>
      <c r="F1115" t="s">
        <v>351</v>
      </c>
      <c r="H1115" t="s">
        <v>365</v>
      </c>
      <c r="I1115">
        <v>4200085</v>
      </c>
      <c r="J1115" t="s">
        <v>2930</v>
      </c>
      <c r="K1115" t="s">
        <v>2931</v>
      </c>
      <c r="L1115" t="s">
        <v>2936</v>
      </c>
      <c r="N1115" t="s">
        <v>2937</v>
      </c>
      <c r="O1115" t="s">
        <v>2938</v>
      </c>
      <c r="R1115" t="s">
        <v>3985</v>
      </c>
      <c r="S1115" s="34" t="s">
        <v>2939</v>
      </c>
    </row>
    <row r="1116" spans="1:19" ht="409.5" x14ac:dyDescent="0.15">
      <c r="A1116" t="s">
        <v>6796</v>
      </c>
      <c r="B1116" s="61">
        <v>46113</v>
      </c>
      <c r="E1116" t="s">
        <v>355</v>
      </c>
      <c r="F1116" t="s">
        <v>351</v>
      </c>
      <c r="H1116" t="s">
        <v>365</v>
      </c>
      <c r="I1116">
        <v>4200087</v>
      </c>
      <c r="J1116" t="s">
        <v>2930</v>
      </c>
      <c r="K1116" t="s">
        <v>2931</v>
      </c>
      <c r="L1116" t="s">
        <v>2932</v>
      </c>
      <c r="N1116" t="s">
        <v>2933</v>
      </c>
      <c r="O1116" t="s">
        <v>2934</v>
      </c>
      <c r="R1116" t="s">
        <v>3985</v>
      </c>
      <c r="S1116" s="34" t="s">
        <v>2935</v>
      </c>
    </row>
    <row r="1117" spans="1:19" ht="243" x14ac:dyDescent="0.15">
      <c r="A1117" t="s">
        <v>1062</v>
      </c>
      <c r="B1117" s="61">
        <v>46113</v>
      </c>
      <c r="E1117" t="s">
        <v>355</v>
      </c>
      <c r="F1117" t="s">
        <v>351</v>
      </c>
      <c r="H1117" t="s">
        <v>353</v>
      </c>
      <c r="I1117">
        <v>3400822</v>
      </c>
      <c r="J1117" t="s">
        <v>3994</v>
      </c>
      <c r="K1117" t="s">
        <v>4057</v>
      </c>
      <c r="L1117" t="s">
        <v>466</v>
      </c>
      <c r="N1117" t="s">
        <v>4059</v>
      </c>
      <c r="O1117" t="s">
        <v>4058</v>
      </c>
      <c r="R1117" t="s">
        <v>3987</v>
      </c>
      <c r="S1117" s="34" t="s">
        <v>4060</v>
      </c>
    </row>
    <row r="1118" spans="1:19" x14ac:dyDescent="0.15">
      <c r="A1118" t="s">
        <v>3051</v>
      </c>
      <c r="B1118" s="61">
        <v>46600</v>
      </c>
      <c r="E1118" t="s">
        <v>355</v>
      </c>
      <c r="F1118" t="s">
        <v>356</v>
      </c>
      <c r="H1118" t="s">
        <v>353</v>
      </c>
      <c r="I1118">
        <v>800528</v>
      </c>
      <c r="J1118" t="s">
        <v>2281</v>
      </c>
      <c r="K1118" t="s">
        <v>3988</v>
      </c>
      <c r="L1118" t="s">
        <v>3989</v>
      </c>
      <c r="N1118" t="s">
        <v>3990</v>
      </c>
      <c r="O1118" t="s">
        <v>3991</v>
      </c>
      <c r="R1118" t="s">
        <v>362</v>
      </c>
    </row>
    <row r="1119" spans="1:19" x14ac:dyDescent="0.15">
      <c r="A1119" t="s">
        <v>3051</v>
      </c>
      <c r="B1119" s="61">
        <v>48061</v>
      </c>
      <c r="E1119" t="s">
        <v>355</v>
      </c>
      <c r="F1119" t="s">
        <v>385</v>
      </c>
      <c r="H1119" t="s">
        <v>353</v>
      </c>
      <c r="I1119">
        <v>800528</v>
      </c>
      <c r="J1119" t="s">
        <v>2281</v>
      </c>
      <c r="K1119" t="s">
        <v>3988</v>
      </c>
      <c r="L1119" t="s">
        <v>3989</v>
      </c>
      <c r="N1119" t="s">
        <v>3990</v>
      </c>
      <c r="O1119" t="s">
        <v>3991</v>
      </c>
      <c r="R1119" t="s">
        <v>386</v>
      </c>
    </row>
    <row r="1120" spans="1:19" ht="364.5" x14ac:dyDescent="0.15">
      <c r="A1120" t="s">
        <v>1297</v>
      </c>
      <c r="B1120" s="61">
        <v>46784</v>
      </c>
      <c r="E1120" t="s">
        <v>355</v>
      </c>
      <c r="F1120" t="s">
        <v>356</v>
      </c>
      <c r="H1120" t="s">
        <v>353</v>
      </c>
      <c r="I1120">
        <v>2400519</v>
      </c>
      <c r="J1120" t="s">
        <v>4061</v>
      </c>
      <c r="K1120" t="s">
        <v>4062</v>
      </c>
      <c r="L1120" t="s">
        <v>4063</v>
      </c>
      <c r="N1120" t="s">
        <v>4064</v>
      </c>
      <c r="O1120" t="s">
        <v>4065</v>
      </c>
      <c r="R1120" t="s">
        <v>362</v>
      </c>
      <c r="S1120" s="34" t="s">
        <v>7356</v>
      </c>
    </row>
    <row r="1121" spans="1:19" ht="364.5" x14ac:dyDescent="0.15">
      <c r="A1121" t="s">
        <v>1297</v>
      </c>
      <c r="B1121" s="61">
        <v>48245</v>
      </c>
      <c r="E1121" t="s">
        <v>355</v>
      </c>
      <c r="F1121" t="s">
        <v>385</v>
      </c>
      <c r="H1121" t="s">
        <v>353</v>
      </c>
      <c r="I1121">
        <v>2400519</v>
      </c>
      <c r="J1121" t="s">
        <v>4061</v>
      </c>
      <c r="K1121" t="s">
        <v>4062</v>
      </c>
      <c r="L1121" t="s">
        <v>4063</v>
      </c>
      <c r="N1121" t="s">
        <v>4064</v>
      </c>
      <c r="O1121" t="s">
        <v>4065</v>
      </c>
      <c r="R1121" t="s">
        <v>386</v>
      </c>
      <c r="S1121" s="34" t="s">
        <v>7356</v>
      </c>
    </row>
    <row r="1122" spans="1:19" x14ac:dyDescent="0.15">
      <c r="A1122" t="s">
        <v>2693</v>
      </c>
      <c r="B1122" s="61">
        <v>46966</v>
      </c>
      <c r="E1122" t="s">
        <v>355</v>
      </c>
      <c r="F1122" t="s">
        <v>356</v>
      </c>
      <c r="H1122" t="s">
        <v>353</v>
      </c>
      <c r="I1122">
        <v>2302999</v>
      </c>
      <c r="J1122" t="s">
        <v>2711</v>
      </c>
      <c r="K1122" t="s">
        <v>2712</v>
      </c>
      <c r="L1122" t="s">
        <v>2713</v>
      </c>
      <c r="N1122" t="s">
        <v>4066</v>
      </c>
      <c r="O1122" t="s">
        <v>2714</v>
      </c>
      <c r="R1122" t="s">
        <v>362</v>
      </c>
    </row>
    <row r="1123" spans="1:19" x14ac:dyDescent="0.15">
      <c r="A1123" t="s">
        <v>2693</v>
      </c>
      <c r="B1123" s="61">
        <v>48427</v>
      </c>
      <c r="E1123" t="s">
        <v>355</v>
      </c>
      <c r="F1123" t="s">
        <v>385</v>
      </c>
      <c r="H1123" t="s">
        <v>353</v>
      </c>
      <c r="I1123">
        <v>2302999</v>
      </c>
      <c r="J1123" t="s">
        <v>2711</v>
      </c>
      <c r="K1123" t="s">
        <v>2712</v>
      </c>
      <c r="L1123" t="s">
        <v>2713</v>
      </c>
      <c r="N1123" t="s">
        <v>4066</v>
      </c>
      <c r="O1123" t="s">
        <v>2714</v>
      </c>
      <c r="R1123" t="s">
        <v>386</v>
      </c>
    </row>
    <row r="1124" spans="1:19" x14ac:dyDescent="0.15">
      <c r="A1124" t="s">
        <v>5612</v>
      </c>
      <c r="B1124" s="61">
        <v>46905</v>
      </c>
      <c r="E1124" t="s">
        <v>355</v>
      </c>
      <c r="F1124" t="s">
        <v>356</v>
      </c>
      <c r="H1124" t="s">
        <v>353</v>
      </c>
      <c r="I1124">
        <v>1001036</v>
      </c>
      <c r="J1124" t="s">
        <v>743</v>
      </c>
      <c r="K1124" t="s">
        <v>3541</v>
      </c>
      <c r="L1124" t="s">
        <v>4067</v>
      </c>
      <c r="N1124" t="s">
        <v>4068</v>
      </c>
      <c r="O1124" t="s">
        <v>4069</v>
      </c>
      <c r="R1124" t="s">
        <v>362</v>
      </c>
    </row>
    <row r="1125" spans="1:19" x14ac:dyDescent="0.15">
      <c r="A1125" t="s">
        <v>5612</v>
      </c>
      <c r="B1125" s="61">
        <v>48366</v>
      </c>
      <c r="E1125" t="s">
        <v>355</v>
      </c>
      <c r="F1125" t="s">
        <v>385</v>
      </c>
      <c r="H1125" t="s">
        <v>353</v>
      </c>
      <c r="I1125">
        <v>1001036</v>
      </c>
      <c r="J1125" t="s">
        <v>743</v>
      </c>
      <c r="K1125" t="s">
        <v>3541</v>
      </c>
      <c r="L1125" t="s">
        <v>4067</v>
      </c>
      <c r="N1125" t="s">
        <v>4068</v>
      </c>
      <c r="O1125" t="s">
        <v>4069</v>
      </c>
      <c r="R1125" t="s">
        <v>386</v>
      </c>
    </row>
    <row r="1126" spans="1:19" x14ac:dyDescent="0.15">
      <c r="A1126" t="s">
        <v>350</v>
      </c>
      <c r="B1126" s="61">
        <v>47027</v>
      </c>
      <c r="E1126" t="s">
        <v>355</v>
      </c>
      <c r="F1126" t="s">
        <v>356</v>
      </c>
      <c r="H1126" t="s">
        <v>353</v>
      </c>
      <c r="I1126">
        <v>801386</v>
      </c>
      <c r="J1126" t="s">
        <v>4070</v>
      </c>
      <c r="K1126" t="s">
        <v>377</v>
      </c>
      <c r="L1126" t="s">
        <v>833</v>
      </c>
      <c r="N1126" t="s">
        <v>4071</v>
      </c>
      <c r="R1126" t="s">
        <v>362</v>
      </c>
    </row>
    <row r="1127" spans="1:19" x14ac:dyDescent="0.15">
      <c r="A1127" t="s">
        <v>350</v>
      </c>
      <c r="B1127" s="61">
        <v>48488</v>
      </c>
      <c r="E1127" t="s">
        <v>355</v>
      </c>
      <c r="F1127" t="s">
        <v>385</v>
      </c>
      <c r="H1127" t="s">
        <v>353</v>
      </c>
      <c r="I1127">
        <v>801386</v>
      </c>
      <c r="J1127" t="s">
        <v>4070</v>
      </c>
      <c r="K1127" t="s">
        <v>377</v>
      </c>
      <c r="L1127" t="s">
        <v>833</v>
      </c>
      <c r="N1127" t="s">
        <v>4071</v>
      </c>
      <c r="R1127" t="s">
        <v>386</v>
      </c>
    </row>
    <row r="1128" spans="1:19" x14ac:dyDescent="0.15">
      <c r="A1128" t="s">
        <v>2255</v>
      </c>
      <c r="B1128" s="61">
        <v>46539</v>
      </c>
      <c r="E1128" t="s">
        <v>355</v>
      </c>
      <c r="F1128" t="s">
        <v>356</v>
      </c>
      <c r="H1128" t="s">
        <v>353</v>
      </c>
      <c r="I1128">
        <v>1102559</v>
      </c>
      <c r="J1128" t="s">
        <v>4072</v>
      </c>
      <c r="K1128" t="s">
        <v>897</v>
      </c>
      <c r="L1128" t="s">
        <v>413</v>
      </c>
      <c r="N1128" t="s">
        <v>4073</v>
      </c>
      <c r="O1128" t="s">
        <v>4074</v>
      </c>
      <c r="R1128" t="s">
        <v>362</v>
      </c>
    </row>
    <row r="1129" spans="1:19" x14ac:dyDescent="0.15">
      <c r="A1129" t="s">
        <v>2255</v>
      </c>
      <c r="B1129" s="61">
        <v>48000</v>
      </c>
      <c r="E1129" t="s">
        <v>355</v>
      </c>
      <c r="F1129" t="s">
        <v>385</v>
      </c>
      <c r="H1129" t="s">
        <v>353</v>
      </c>
      <c r="I1129">
        <v>1102559</v>
      </c>
      <c r="J1129" t="s">
        <v>4072</v>
      </c>
      <c r="K1129" t="s">
        <v>897</v>
      </c>
      <c r="L1129" t="s">
        <v>413</v>
      </c>
      <c r="N1129" t="s">
        <v>4073</v>
      </c>
      <c r="O1129" t="s">
        <v>4074</v>
      </c>
      <c r="R1129" t="s">
        <v>386</v>
      </c>
    </row>
    <row r="1130" spans="1:19" x14ac:dyDescent="0.15">
      <c r="A1130" t="s">
        <v>3349</v>
      </c>
      <c r="B1130" s="61">
        <v>46874</v>
      </c>
      <c r="E1130" t="s">
        <v>355</v>
      </c>
      <c r="F1130" t="s">
        <v>356</v>
      </c>
      <c r="H1130" t="s">
        <v>353</v>
      </c>
      <c r="I1130">
        <v>1600669</v>
      </c>
      <c r="J1130" t="s">
        <v>3364</v>
      </c>
      <c r="L1130" t="s">
        <v>3365</v>
      </c>
      <c r="N1130" t="s">
        <v>4075</v>
      </c>
      <c r="O1130" t="s">
        <v>3367</v>
      </c>
      <c r="R1130" t="s">
        <v>362</v>
      </c>
    </row>
    <row r="1131" spans="1:19" x14ac:dyDescent="0.15">
      <c r="A1131" t="s">
        <v>3349</v>
      </c>
      <c r="B1131" s="61">
        <v>48335</v>
      </c>
      <c r="E1131" t="s">
        <v>355</v>
      </c>
      <c r="F1131" t="s">
        <v>385</v>
      </c>
      <c r="H1131" t="s">
        <v>353</v>
      </c>
      <c r="I1131">
        <v>1600669</v>
      </c>
      <c r="J1131" t="s">
        <v>3364</v>
      </c>
      <c r="L1131" t="s">
        <v>3365</v>
      </c>
      <c r="N1131" t="s">
        <v>4075</v>
      </c>
      <c r="O1131" t="s">
        <v>3367</v>
      </c>
      <c r="R1131" t="s">
        <v>386</v>
      </c>
    </row>
    <row r="1132" spans="1:19" x14ac:dyDescent="0.15">
      <c r="A1132" t="s">
        <v>422</v>
      </c>
      <c r="B1132" s="61">
        <v>46905</v>
      </c>
      <c r="E1132" t="s">
        <v>355</v>
      </c>
      <c r="F1132" t="s">
        <v>356</v>
      </c>
      <c r="H1132" t="s">
        <v>353</v>
      </c>
      <c r="I1132">
        <v>2701867</v>
      </c>
      <c r="J1132" t="s">
        <v>427</v>
      </c>
      <c r="K1132" t="s">
        <v>428</v>
      </c>
      <c r="L1132" t="s">
        <v>4076</v>
      </c>
      <c r="N1132" t="s">
        <v>4077</v>
      </c>
      <c r="O1132" t="s">
        <v>4078</v>
      </c>
      <c r="R1132" t="s">
        <v>362</v>
      </c>
    </row>
    <row r="1133" spans="1:19" x14ac:dyDescent="0.15">
      <c r="A1133" t="s">
        <v>422</v>
      </c>
      <c r="B1133" s="61">
        <v>48366</v>
      </c>
      <c r="E1133" t="s">
        <v>355</v>
      </c>
      <c r="F1133" t="s">
        <v>385</v>
      </c>
      <c r="H1133" t="s">
        <v>353</v>
      </c>
      <c r="I1133">
        <v>2701867</v>
      </c>
      <c r="J1133" t="s">
        <v>427</v>
      </c>
      <c r="K1133" t="s">
        <v>428</v>
      </c>
      <c r="L1133" t="s">
        <v>4076</v>
      </c>
      <c r="N1133" t="s">
        <v>4077</v>
      </c>
      <c r="O1133" t="s">
        <v>4078</v>
      </c>
      <c r="R1133" t="s">
        <v>386</v>
      </c>
    </row>
    <row r="1134" spans="1:19" x14ac:dyDescent="0.15">
      <c r="A1134" t="s">
        <v>819</v>
      </c>
      <c r="B1134" s="61">
        <v>46722</v>
      </c>
      <c r="E1134" t="s">
        <v>355</v>
      </c>
      <c r="F1134" t="s">
        <v>356</v>
      </c>
      <c r="H1134" t="s">
        <v>353</v>
      </c>
      <c r="I1134">
        <v>4300087</v>
      </c>
      <c r="J1134" t="s">
        <v>4079</v>
      </c>
      <c r="K1134" t="s">
        <v>4080</v>
      </c>
      <c r="L1134" t="s">
        <v>4081</v>
      </c>
      <c r="N1134" t="s">
        <v>4082</v>
      </c>
      <c r="O1134" t="s">
        <v>4083</v>
      </c>
      <c r="R1134" t="s">
        <v>362</v>
      </c>
    </row>
    <row r="1135" spans="1:19" x14ac:dyDescent="0.15">
      <c r="A1135" t="s">
        <v>819</v>
      </c>
      <c r="B1135" s="61">
        <v>48183</v>
      </c>
      <c r="E1135" t="s">
        <v>355</v>
      </c>
      <c r="F1135" t="s">
        <v>385</v>
      </c>
      <c r="H1135" t="s">
        <v>353</v>
      </c>
      <c r="I1135">
        <v>4300087</v>
      </c>
      <c r="J1135" t="s">
        <v>4079</v>
      </c>
      <c r="K1135" t="s">
        <v>4080</v>
      </c>
      <c r="L1135" t="s">
        <v>4081</v>
      </c>
      <c r="N1135" t="s">
        <v>4082</v>
      </c>
      <c r="O1135" t="s">
        <v>4083</v>
      </c>
      <c r="R1135" t="s">
        <v>386</v>
      </c>
    </row>
    <row r="1136" spans="1:19" x14ac:dyDescent="0.15">
      <c r="A1136" t="s">
        <v>914</v>
      </c>
      <c r="B1136" s="61">
        <v>46966</v>
      </c>
      <c r="E1136" t="s">
        <v>355</v>
      </c>
      <c r="F1136" t="s">
        <v>356</v>
      </c>
      <c r="H1136" t="s">
        <v>353</v>
      </c>
      <c r="I1136">
        <v>700699</v>
      </c>
      <c r="J1136" t="s">
        <v>923</v>
      </c>
      <c r="K1136" t="s">
        <v>4084</v>
      </c>
      <c r="L1136" t="s">
        <v>413</v>
      </c>
      <c r="N1136" t="s">
        <v>4085</v>
      </c>
      <c r="O1136" t="s">
        <v>4086</v>
      </c>
      <c r="R1136" t="s">
        <v>362</v>
      </c>
    </row>
    <row r="1137" spans="1:19" x14ac:dyDescent="0.15">
      <c r="A1137" t="s">
        <v>914</v>
      </c>
      <c r="B1137" s="61">
        <v>48427</v>
      </c>
      <c r="E1137" t="s">
        <v>355</v>
      </c>
      <c r="F1137" t="s">
        <v>385</v>
      </c>
      <c r="H1137" t="s">
        <v>353</v>
      </c>
      <c r="I1137">
        <v>700699</v>
      </c>
      <c r="J1137" t="s">
        <v>923</v>
      </c>
      <c r="K1137" t="s">
        <v>4084</v>
      </c>
      <c r="L1137" t="s">
        <v>413</v>
      </c>
      <c r="N1137" t="s">
        <v>4085</v>
      </c>
      <c r="O1137" t="s">
        <v>4086</v>
      </c>
      <c r="R1137" t="s">
        <v>386</v>
      </c>
    </row>
    <row r="1138" spans="1:19" x14ac:dyDescent="0.15">
      <c r="A1138" t="s">
        <v>2993</v>
      </c>
      <c r="B1138" s="61">
        <v>46569</v>
      </c>
      <c r="E1138" t="s">
        <v>355</v>
      </c>
      <c r="F1138" t="s">
        <v>356</v>
      </c>
      <c r="H1138" t="s">
        <v>353</v>
      </c>
      <c r="I1138">
        <v>1300634</v>
      </c>
      <c r="J1138" t="s">
        <v>4087</v>
      </c>
      <c r="L1138" t="s">
        <v>4088</v>
      </c>
      <c r="N1138" t="s">
        <v>4089</v>
      </c>
      <c r="O1138" t="s">
        <v>4090</v>
      </c>
      <c r="R1138" t="s">
        <v>362</v>
      </c>
    </row>
    <row r="1139" spans="1:19" x14ac:dyDescent="0.15">
      <c r="A1139" t="s">
        <v>2993</v>
      </c>
      <c r="B1139" s="61">
        <v>48030</v>
      </c>
      <c r="E1139" t="s">
        <v>355</v>
      </c>
      <c r="F1139" t="s">
        <v>385</v>
      </c>
      <c r="H1139" t="s">
        <v>353</v>
      </c>
      <c r="I1139">
        <v>1300634</v>
      </c>
      <c r="J1139" t="s">
        <v>4087</v>
      </c>
      <c r="L1139" t="s">
        <v>4088</v>
      </c>
      <c r="N1139" t="s">
        <v>4089</v>
      </c>
      <c r="O1139" t="s">
        <v>4090</v>
      </c>
      <c r="R1139" t="s">
        <v>386</v>
      </c>
    </row>
    <row r="1140" spans="1:19" ht="216" x14ac:dyDescent="0.15">
      <c r="A1140" t="s">
        <v>2993</v>
      </c>
      <c r="B1140" s="61">
        <v>46266</v>
      </c>
      <c r="E1140" t="s">
        <v>355</v>
      </c>
      <c r="F1140" t="s">
        <v>356</v>
      </c>
      <c r="H1140" t="s">
        <v>353</v>
      </c>
      <c r="I1140">
        <v>1300146</v>
      </c>
      <c r="J1140" t="s">
        <v>2817</v>
      </c>
      <c r="K1140" t="s">
        <v>4091</v>
      </c>
      <c r="L1140" t="s">
        <v>390</v>
      </c>
      <c r="N1140" t="s">
        <v>4092</v>
      </c>
      <c r="O1140" t="s">
        <v>4093</v>
      </c>
      <c r="R1140" t="s">
        <v>362</v>
      </c>
      <c r="S1140" s="34" t="s">
        <v>4094</v>
      </c>
    </row>
    <row r="1141" spans="1:19" ht="216" x14ac:dyDescent="0.15">
      <c r="A1141" t="s">
        <v>2993</v>
      </c>
      <c r="B1141" s="61">
        <v>47727</v>
      </c>
      <c r="E1141" t="s">
        <v>355</v>
      </c>
      <c r="F1141" t="s">
        <v>385</v>
      </c>
      <c r="H1141" t="s">
        <v>353</v>
      </c>
      <c r="I1141">
        <v>1300146</v>
      </c>
      <c r="J1141" t="s">
        <v>2817</v>
      </c>
      <c r="K1141" t="s">
        <v>4091</v>
      </c>
      <c r="L1141" t="s">
        <v>390</v>
      </c>
      <c r="N1141" t="s">
        <v>4092</v>
      </c>
      <c r="O1141" t="s">
        <v>4093</v>
      </c>
      <c r="R1141" t="s">
        <v>386</v>
      </c>
      <c r="S1141" s="34" t="s">
        <v>4094</v>
      </c>
    </row>
    <row r="1142" spans="1:19" x14ac:dyDescent="0.15">
      <c r="A1142" t="s">
        <v>617</v>
      </c>
      <c r="B1142" s="61">
        <v>46966</v>
      </c>
      <c r="E1142" t="s">
        <v>355</v>
      </c>
      <c r="F1142" t="s">
        <v>356</v>
      </c>
      <c r="H1142" t="s">
        <v>353</v>
      </c>
      <c r="I1142">
        <v>2300485</v>
      </c>
      <c r="J1142" t="s">
        <v>4095</v>
      </c>
      <c r="K1142" t="s">
        <v>3255</v>
      </c>
      <c r="L1142" t="s">
        <v>4096</v>
      </c>
      <c r="N1142" t="s">
        <v>4097</v>
      </c>
      <c r="O1142" t="s">
        <v>4098</v>
      </c>
      <c r="R1142" t="s">
        <v>362</v>
      </c>
    </row>
    <row r="1143" spans="1:19" x14ac:dyDescent="0.15">
      <c r="A1143" t="s">
        <v>617</v>
      </c>
      <c r="B1143" s="61">
        <v>48427</v>
      </c>
      <c r="E1143" t="s">
        <v>355</v>
      </c>
      <c r="F1143" t="s">
        <v>385</v>
      </c>
      <c r="H1143" t="s">
        <v>353</v>
      </c>
      <c r="I1143">
        <v>2300485</v>
      </c>
      <c r="J1143" t="s">
        <v>4095</v>
      </c>
      <c r="K1143" t="s">
        <v>3255</v>
      </c>
      <c r="L1143" t="s">
        <v>4096</v>
      </c>
      <c r="N1143" t="s">
        <v>4097</v>
      </c>
      <c r="O1143" t="s">
        <v>4098</v>
      </c>
      <c r="R1143" t="s">
        <v>386</v>
      </c>
    </row>
    <row r="1144" spans="1:19" x14ac:dyDescent="0.15">
      <c r="A1144" t="s">
        <v>2456</v>
      </c>
      <c r="B1144" s="61">
        <v>46813</v>
      </c>
      <c r="E1144" t="s">
        <v>355</v>
      </c>
      <c r="F1144" t="s">
        <v>356</v>
      </c>
      <c r="H1144" t="s">
        <v>353</v>
      </c>
      <c r="I1144">
        <v>2201563</v>
      </c>
      <c r="J1144" t="s">
        <v>2476</v>
      </c>
      <c r="L1144" t="s">
        <v>4099</v>
      </c>
      <c r="N1144" t="s">
        <v>4100</v>
      </c>
      <c r="O1144" t="s">
        <v>4101</v>
      </c>
      <c r="R1144" t="s">
        <v>362</v>
      </c>
    </row>
    <row r="1145" spans="1:19" x14ac:dyDescent="0.15">
      <c r="A1145" t="s">
        <v>2456</v>
      </c>
      <c r="B1145" s="61">
        <v>48274</v>
      </c>
      <c r="E1145" t="s">
        <v>355</v>
      </c>
      <c r="F1145" t="s">
        <v>385</v>
      </c>
      <c r="H1145" t="s">
        <v>353</v>
      </c>
      <c r="I1145">
        <v>2201563</v>
      </c>
      <c r="J1145" t="s">
        <v>2476</v>
      </c>
      <c r="L1145" t="s">
        <v>4099</v>
      </c>
      <c r="N1145" t="s">
        <v>4100</v>
      </c>
      <c r="O1145" t="s">
        <v>4101</v>
      </c>
      <c r="R1145" t="s">
        <v>386</v>
      </c>
    </row>
    <row r="1146" spans="1:19" x14ac:dyDescent="0.15">
      <c r="A1146" t="s">
        <v>2693</v>
      </c>
      <c r="B1146" s="61">
        <v>46935</v>
      </c>
      <c r="E1146" t="s">
        <v>355</v>
      </c>
      <c r="F1146" t="s">
        <v>356</v>
      </c>
      <c r="H1146" t="s">
        <v>353</v>
      </c>
      <c r="I1146">
        <v>2302557</v>
      </c>
      <c r="J1146" t="s">
        <v>4102</v>
      </c>
      <c r="L1146" t="s">
        <v>390</v>
      </c>
      <c r="N1146" t="s">
        <v>4103</v>
      </c>
      <c r="O1146" t="s">
        <v>4104</v>
      </c>
      <c r="R1146" t="s">
        <v>362</v>
      </c>
    </row>
    <row r="1147" spans="1:19" x14ac:dyDescent="0.15">
      <c r="A1147" t="s">
        <v>2693</v>
      </c>
      <c r="B1147" s="61">
        <v>48396</v>
      </c>
      <c r="E1147" t="s">
        <v>355</v>
      </c>
      <c r="F1147" t="s">
        <v>385</v>
      </c>
      <c r="H1147" t="s">
        <v>353</v>
      </c>
      <c r="I1147">
        <v>2302557</v>
      </c>
      <c r="J1147" t="s">
        <v>4102</v>
      </c>
      <c r="L1147" t="s">
        <v>390</v>
      </c>
      <c r="N1147" t="s">
        <v>4103</v>
      </c>
      <c r="O1147" t="s">
        <v>4104</v>
      </c>
      <c r="R1147" t="s">
        <v>386</v>
      </c>
    </row>
    <row r="1148" spans="1:19" x14ac:dyDescent="0.15">
      <c r="A1148" t="s">
        <v>6275</v>
      </c>
      <c r="B1148" s="61">
        <v>46784</v>
      </c>
      <c r="E1148" t="s">
        <v>355</v>
      </c>
      <c r="F1148" t="s">
        <v>356</v>
      </c>
      <c r="H1148" t="s">
        <v>353</v>
      </c>
      <c r="I1148">
        <v>1200505</v>
      </c>
      <c r="J1148" t="s">
        <v>4105</v>
      </c>
      <c r="K1148" t="s">
        <v>4106</v>
      </c>
      <c r="L1148" t="s">
        <v>4107</v>
      </c>
      <c r="N1148" t="s">
        <v>4108</v>
      </c>
      <c r="O1148" t="s">
        <v>4109</v>
      </c>
      <c r="R1148" t="s">
        <v>362</v>
      </c>
    </row>
    <row r="1149" spans="1:19" x14ac:dyDescent="0.15">
      <c r="A1149" t="s">
        <v>6275</v>
      </c>
      <c r="B1149" s="61">
        <v>48245</v>
      </c>
      <c r="E1149" t="s">
        <v>355</v>
      </c>
      <c r="F1149" t="s">
        <v>385</v>
      </c>
      <c r="H1149" t="s">
        <v>353</v>
      </c>
      <c r="I1149">
        <v>1200505</v>
      </c>
      <c r="J1149" t="s">
        <v>4105</v>
      </c>
      <c r="K1149" t="s">
        <v>4106</v>
      </c>
      <c r="L1149" t="s">
        <v>4107</v>
      </c>
      <c r="N1149" t="s">
        <v>4108</v>
      </c>
      <c r="O1149" t="s">
        <v>4109</v>
      </c>
      <c r="R1149" t="s">
        <v>386</v>
      </c>
    </row>
    <row r="1150" spans="1:19" x14ac:dyDescent="0.15">
      <c r="A1150" t="s">
        <v>2534</v>
      </c>
      <c r="B1150" s="61">
        <v>46661</v>
      </c>
      <c r="E1150" t="s">
        <v>355</v>
      </c>
      <c r="F1150" t="s">
        <v>356</v>
      </c>
      <c r="H1150" t="s">
        <v>353</v>
      </c>
      <c r="I1150">
        <v>2700410</v>
      </c>
      <c r="J1150" t="s">
        <v>4110</v>
      </c>
      <c r="K1150" t="s">
        <v>428</v>
      </c>
      <c r="L1150" t="s">
        <v>413</v>
      </c>
      <c r="N1150" t="s">
        <v>4111</v>
      </c>
      <c r="O1150" t="s">
        <v>4112</v>
      </c>
      <c r="R1150" t="s">
        <v>4113</v>
      </c>
    </row>
    <row r="1151" spans="1:19" x14ac:dyDescent="0.15">
      <c r="A1151" t="s">
        <v>2534</v>
      </c>
      <c r="B1151" s="61">
        <v>48122</v>
      </c>
      <c r="E1151" t="s">
        <v>355</v>
      </c>
      <c r="F1151" t="s">
        <v>385</v>
      </c>
      <c r="H1151" t="s">
        <v>353</v>
      </c>
      <c r="I1151">
        <v>2700410</v>
      </c>
      <c r="J1151" t="s">
        <v>4110</v>
      </c>
      <c r="K1151" t="s">
        <v>428</v>
      </c>
      <c r="L1151" t="s">
        <v>413</v>
      </c>
      <c r="N1151" t="s">
        <v>4111</v>
      </c>
      <c r="O1151" t="s">
        <v>4112</v>
      </c>
      <c r="R1151" t="s">
        <v>4114</v>
      </c>
    </row>
    <row r="1152" spans="1:19" x14ac:dyDescent="0.15">
      <c r="A1152" t="s">
        <v>2534</v>
      </c>
      <c r="B1152" s="61">
        <v>46661</v>
      </c>
      <c r="E1152" t="s">
        <v>355</v>
      </c>
      <c r="F1152" t="s">
        <v>356</v>
      </c>
      <c r="H1152" t="s">
        <v>353</v>
      </c>
      <c r="I1152">
        <v>2700410</v>
      </c>
      <c r="J1152" t="s">
        <v>4110</v>
      </c>
      <c r="K1152" t="s">
        <v>428</v>
      </c>
      <c r="L1152" t="s">
        <v>413</v>
      </c>
      <c r="N1152" t="s">
        <v>4115</v>
      </c>
      <c r="O1152" t="s">
        <v>4112</v>
      </c>
      <c r="R1152" t="s">
        <v>4116</v>
      </c>
    </row>
    <row r="1153" spans="1:19" x14ac:dyDescent="0.15">
      <c r="A1153" t="s">
        <v>2534</v>
      </c>
      <c r="B1153" s="61">
        <v>48122</v>
      </c>
      <c r="E1153" t="s">
        <v>355</v>
      </c>
      <c r="F1153" t="s">
        <v>385</v>
      </c>
      <c r="H1153" t="s">
        <v>353</v>
      </c>
      <c r="I1153">
        <v>2700410</v>
      </c>
      <c r="J1153" t="s">
        <v>4110</v>
      </c>
      <c r="K1153" t="s">
        <v>428</v>
      </c>
      <c r="L1153" t="s">
        <v>413</v>
      </c>
      <c r="N1153" t="s">
        <v>4115</v>
      </c>
      <c r="O1153" t="s">
        <v>4112</v>
      </c>
      <c r="R1153" t="s">
        <v>4117</v>
      </c>
    </row>
    <row r="1154" spans="1:19" x14ac:dyDescent="0.15">
      <c r="A1154" t="s">
        <v>5612</v>
      </c>
      <c r="B1154" s="61">
        <v>46935</v>
      </c>
      <c r="E1154" t="s">
        <v>355</v>
      </c>
      <c r="F1154" t="s">
        <v>356</v>
      </c>
      <c r="H1154" t="s">
        <v>353</v>
      </c>
      <c r="I1154">
        <v>1000624</v>
      </c>
      <c r="J1154" t="s">
        <v>4118</v>
      </c>
      <c r="K1154" t="s">
        <v>4119</v>
      </c>
      <c r="L1154" t="s">
        <v>1064</v>
      </c>
      <c r="N1154" t="s">
        <v>4120</v>
      </c>
      <c r="O1154" t="s">
        <v>4121</v>
      </c>
      <c r="R1154" t="s">
        <v>362</v>
      </c>
    </row>
    <row r="1155" spans="1:19" x14ac:dyDescent="0.15">
      <c r="A1155" t="s">
        <v>5612</v>
      </c>
      <c r="B1155" s="61">
        <v>48396</v>
      </c>
      <c r="E1155" t="s">
        <v>355</v>
      </c>
      <c r="F1155" t="s">
        <v>385</v>
      </c>
      <c r="H1155" t="s">
        <v>353</v>
      </c>
      <c r="I1155">
        <v>1000624</v>
      </c>
      <c r="J1155" t="s">
        <v>4118</v>
      </c>
      <c r="K1155" t="s">
        <v>4119</v>
      </c>
      <c r="L1155" t="s">
        <v>1064</v>
      </c>
      <c r="N1155" t="s">
        <v>4120</v>
      </c>
      <c r="O1155" t="s">
        <v>4121</v>
      </c>
      <c r="R1155" t="s">
        <v>386</v>
      </c>
    </row>
    <row r="1156" spans="1:19" ht="409.5" x14ac:dyDescent="0.15">
      <c r="A1156" t="s">
        <v>5393</v>
      </c>
      <c r="B1156" s="61">
        <v>46508</v>
      </c>
      <c r="E1156" t="s">
        <v>355</v>
      </c>
      <c r="F1156" t="s">
        <v>2480</v>
      </c>
      <c r="H1156" t="s">
        <v>365</v>
      </c>
      <c r="I1156">
        <v>1201456</v>
      </c>
      <c r="J1156" t="s">
        <v>3890</v>
      </c>
      <c r="K1156" t="s">
        <v>3896</v>
      </c>
      <c r="L1156" t="s">
        <v>3897</v>
      </c>
      <c r="N1156" s="34" t="s">
        <v>4122</v>
      </c>
      <c r="O1156" t="s">
        <v>3899</v>
      </c>
      <c r="R1156" s="34" t="s">
        <v>4123</v>
      </c>
      <c r="S1156" s="34" t="s">
        <v>4124</v>
      </c>
    </row>
    <row r="1157" spans="1:19" ht="202.5" x14ac:dyDescent="0.15">
      <c r="A1157" t="s">
        <v>819</v>
      </c>
      <c r="B1157" s="61">
        <v>45931</v>
      </c>
      <c r="E1157" t="s">
        <v>355</v>
      </c>
      <c r="F1157" t="s">
        <v>351</v>
      </c>
      <c r="G1157" t="s">
        <v>354</v>
      </c>
      <c r="H1157" t="s">
        <v>353</v>
      </c>
      <c r="I1157">
        <v>4300209</v>
      </c>
      <c r="J1157" t="s">
        <v>481</v>
      </c>
      <c r="K1157" t="s">
        <v>4126</v>
      </c>
      <c r="L1157" t="s">
        <v>4127</v>
      </c>
      <c r="N1157" t="s">
        <v>4128</v>
      </c>
      <c r="O1157" t="s">
        <v>4129</v>
      </c>
      <c r="R1157" t="s">
        <v>3986</v>
      </c>
      <c r="S1157" s="34" t="s">
        <v>4130</v>
      </c>
    </row>
    <row r="1158" spans="1:19" ht="409.5" x14ac:dyDescent="0.15">
      <c r="A1158" t="s">
        <v>2377</v>
      </c>
      <c r="B1158" s="61">
        <v>46143</v>
      </c>
      <c r="E1158" t="s">
        <v>355</v>
      </c>
      <c r="F1158" t="s">
        <v>351</v>
      </c>
      <c r="H1158" t="s">
        <v>686</v>
      </c>
      <c r="I1158">
        <v>1101329</v>
      </c>
      <c r="J1158" t="s">
        <v>2400</v>
      </c>
      <c r="K1158" t="s">
        <v>2401</v>
      </c>
      <c r="L1158" t="s">
        <v>2041</v>
      </c>
      <c r="N1158">
        <v>2120666</v>
      </c>
      <c r="O1158" t="s">
        <v>2403</v>
      </c>
      <c r="S1158" s="34" t="s">
        <v>4143</v>
      </c>
    </row>
    <row r="1159" spans="1:19" ht="409.5" x14ac:dyDescent="0.15">
      <c r="A1159" t="s">
        <v>5845</v>
      </c>
      <c r="B1159" s="61">
        <v>46143</v>
      </c>
      <c r="E1159" t="s">
        <v>355</v>
      </c>
      <c r="F1159" t="s">
        <v>351</v>
      </c>
      <c r="G1159" t="s">
        <v>4131</v>
      </c>
      <c r="H1159" t="s">
        <v>365</v>
      </c>
      <c r="I1159">
        <v>1102195</v>
      </c>
      <c r="J1159" t="s">
        <v>2044</v>
      </c>
      <c r="K1159" t="s">
        <v>4144</v>
      </c>
      <c r="L1159" t="s">
        <v>4145</v>
      </c>
      <c r="N1159" t="s">
        <v>4146</v>
      </c>
      <c r="O1159" t="s">
        <v>4147</v>
      </c>
      <c r="R1159" s="34" t="s">
        <v>4148</v>
      </c>
      <c r="S1159" s="34" t="s">
        <v>4149</v>
      </c>
    </row>
    <row r="1160" spans="1:19" ht="409.5" x14ac:dyDescent="0.15">
      <c r="A1160" t="s">
        <v>3895</v>
      </c>
      <c r="B1160" s="61">
        <v>46143</v>
      </c>
      <c r="E1160" t="s">
        <v>355</v>
      </c>
      <c r="F1160" t="s">
        <v>351</v>
      </c>
      <c r="H1160" t="s">
        <v>686</v>
      </c>
      <c r="I1160">
        <v>1201594</v>
      </c>
      <c r="J1160" t="s">
        <v>4155</v>
      </c>
      <c r="K1160" t="s">
        <v>4156</v>
      </c>
      <c r="L1160" t="s">
        <v>466</v>
      </c>
      <c r="N1160">
        <v>2166327</v>
      </c>
      <c r="O1160" t="s">
        <v>4157</v>
      </c>
      <c r="S1160" s="34" t="s">
        <v>4158</v>
      </c>
    </row>
    <row r="1161" spans="1:19" ht="243" x14ac:dyDescent="0.15">
      <c r="A1161" t="s">
        <v>5524</v>
      </c>
      <c r="B1161" s="61">
        <v>46143</v>
      </c>
      <c r="E1161" t="s">
        <v>355</v>
      </c>
      <c r="F1161" t="s">
        <v>351</v>
      </c>
      <c r="G1161" t="s">
        <v>4131</v>
      </c>
      <c r="H1161" t="s">
        <v>365</v>
      </c>
      <c r="I1161">
        <v>1401859</v>
      </c>
      <c r="J1161" t="s">
        <v>979</v>
      </c>
      <c r="L1161" t="s">
        <v>373</v>
      </c>
      <c r="N1161" t="s">
        <v>992</v>
      </c>
      <c r="O1161" t="s">
        <v>993</v>
      </c>
      <c r="R1161" t="s">
        <v>3987</v>
      </c>
      <c r="S1161" s="34" t="s">
        <v>994</v>
      </c>
    </row>
    <row r="1162" spans="1:19" ht="243" x14ac:dyDescent="0.15">
      <c r="A1162" t="s">
        <v>5524</v>
      </c>
      <c r="B1162" s="61">
        <v>46143</v>
      </c>
      <c r="E1162" t="s">
        <v>355</v>
      </c>
      <c r="F1162" t="s">
        <v>351</v>
      </c>
      <c r="G1162" t="s">
        <v>4131</v>
      </c>
      <c r="H1162" t="s">
        <v>365</v>
      </c>
      <c r="I1162">
        <v>1402878</v>
      </c>
      <c r="J1162" t="s">
        <v>979</v>
      </c>
      <c r="L1162" t="s">
        <v>980</v>
      </c>
      <c r="N1162" t="s">
        <v>981</v>
      </c>
      <c r="O1162" t="s">
        <v>982</v>
      </c>
      <c r="R1162" t="s">
        <v>3987</v>
      </c>
      <c r="S1162" s="34" t="s">
        <v>983</v>
      </c>
    </row>
    <row r="1163" spans="1:19" ht="409.5" x14ac:dyDescent="0.15">
      <c r="A1163" t="s">
        <v>3177</v>
      </c>
      <c r="B1163" s="61">
        <v>46143</v>
      </c>
      <c r="E1163" t="s">
        <v>355</v>
      </c>
      <c r="F1163" t="s">
        <v>351</v>
      </c>
      <c r="H1163" t="s">
        <v>686</v>
      </c>
      <c r="I1163">
        <v>2702291</v>
      </c>
      <c r="J1163" t="s">
        <v>3178</v>
      </c>
      <c r="K1163" t="s">
        <v>3179</v>
      </c>
      <c r="L1163" t="s">
        <v>4159</v>
      </c>
      <c r="N1163" t="s">
        <v>4160</v>
      </c>
      <c r="O1163" t="s">
        <v>3181</v>
      </c>
      <c r="S1163" s="34" t="s">
        <v>4161</v>
      </c>
    </row>
    <row r="1164" spans="1:19" ht="409.5" x14ac:dyDescent="0.15">
      <c r="A1164" t="s">
        <v>3168</v>
      </c>
      <c r="B1164" s="61">
        <v>46143</v>
      </c>
      <c r="E1164" t="s">
        <v>355</v>
      </c>
      <c r="F1164" t="s">
        <v>351</v>
      </c>
      <c r="G1164" t="s">
        <v>4131</v>
      </c>
      <c r="H1164" t="s">
        <v>353</v>
      </c>
      <c r="I1164">
        <v>4600214</v>
      </c>
      <c r="J1164" t="s">
        <v>2915</v>
      </c>
      <c r="K1164" t="s">
        <v>1251</v>
      </c>
      <c r="L1164" t="s">
        <v>3700</v>
      </c>
      <c r="N1164" t="s">
        <v>4164</v>
      </c>
      <c r="O1164" t="s">
        <v>3971</v>
      </c>
      <c r="S1164" s="34" t="s">
        <v>4165</v>
      </c>
    </row>
    <row r="1165" spans="1:19" x14ac:dyDescent="0.15">
      <c r="A1165" t="s">
        <v>1062</v>
      </c>
      <c r="B1165" s="61">
        <v>46844</v>
      </c>
      <c r="E1165" t="s">
        <v>355</v>
      </c>
      <c r="F1165" t="s">
        <v>356</v>
      </c>
      <c r="H1165" t="s">
        <v>353</v>
      </c>
      <c r="I1165">
        <v>3400789</v>
      </c>
      <c r="J1165" t="s">
        <v>481</v>
      </c>
      <c r="K1165" t="s">
        <v>4166</v>
      </c>
      <c r="L1165" t="s">
        <v>4127</v>
      </c>
      <c r="N1165" t="s">
        <v>4167</v>
      </c>
      <c r="O1165" t="s">
        <v>4168</v>
      </c>
      <c r="R1165" t="s">
        <v>362</v>
      </c>
    </row>
    <row r="1166" spans="1:19" x14ac:dyDescent="0.15">
      <c r="A1166" t="s">
        <v>1062</v>
      </c>
      <c r="B1166" s="61">
        <v>48305</v>
      </c>
      <c r="E1166" t="s">
        <v>355</v>
      </c>
      <c r="F1166" t="s">
        <v>385</v>
      </c>
      <c r="H1166" t="s">
        <v>353</v>
      </c>
      <c r="I1166">
        <v>3400789</v>
      </c>
      <c r="J1166" t="s">
        <v>481</v>
      </c>
      <c r="K1166" t="s">
        <v>4166</v>
      </c>
      <c r="L1166" t="s">
        <v>4127</v>
      </c>
      <c r="N1166" t="s">
        <v>4167</v>
      </c>
      <c r="O1166" t="s">
        <v>4168</v>
      </c>
      <c r="R1166" t="s">
        <v>386</v>
      </c>
    </row>
    <row r="1167" spans="1:19" x14ac:dyDescent="0.15">
      <c r="A1167" t="s">
        <v>819</v>
      </c>
      <c r="B1167" s="61">
        <v>46844</v>
      </c>
      <c r="E1167" t="s">
        <v>355</v>
      </c>
      <c r="F1167" t="s">
        <v>356</v>
      </c>
      <c r="H1167" t="s">
        <v>353</v>
      </c>
      <c r="I1167">
        <v>4300209</v>
      </c>
      <c r="J1167" t="s">
        <v>481</v>
      </c>
      <c r="K1167" t="s">
        <v>4126</v>
      </c>
      <c r="L1167" t="s">
        <v>4127</v>
      </c>
      <c r="N1167" t="s">
        <v>4128</v>
      </c>
      <c r="O1167" t="s">
        <v>4129</v>
      </c>
      <c r="R1167" t="s">
        <v>362</v>
      </c>
    </row>
    <row r="1168" spans="1:19" x14ac:dyDescent="0.15">
      <c r="A1168" t="s">
        <v>819</v>
      </c>
      <c r="B1168" s="61">
        <v>48305</v>
      </c>
      <c r="E1168" t="s">
        <v>355</v>
      </c>
      <c r="F1168" t="s">
        <v>385</v>
      </c>
      <c r="H1168" t="s">
        <v>353</v>
      </c>
      <c r="I1168">
        <v>4300209</v>
      </c>
      <c r="J1168" t="s">
        <v>481</v>
      </c>
      <c r="K1168" t="s">
        <v>4126</v>
      </c>
      <c r="L1168" t="s">
        <v>4127</v>
      </c>
      <c r="N1168" t="s">
        <v>4128</v>
      </c>
      <c r="O1168" t="s">
        <v>4129</v>
      </c>
      <c r="R1168" t="s">
        <v>386</v>
      </c>
    </row>
    <row r="1169" spans="1:18" x14ac:dyDescent="0.15">
      <c r="A1169" t="s">
        <v>3895</v>
      </c>
      <c r="B1169" s="61">
        <v>46844</v>
      </c>
      <c r="E1169" t="s">
        <v>355</v>
      </c>
      <c r="F1169" t="s">
        <v>356</v>
      </c>
      <c r="H1169" t="s">
        <v>353</v>
      </c>
      <c r="I1169">
        <v>1102100</v>
      </c>
      <c r="J1169" t="s">
        <v>481</v>
      </c>
      <c r="K1169" t="s">
        <v>1021</v>
      </c>
      <c r="L1169" t="s">
        <v>4127</v>
      </c>
      <c r="N1169" t="s">
        <v>4169</v>
      </c>
      <c r="O1169" t="s">
        <v>4170</v>
      </c>
      <c r="R1169" t="s">
        <v>362</v>
      </c>
    </row>
    <row r="1170" spans="1:18" x14ac:dyDescent="0.15">
      <c r="A1170" t="s">
        <v>3895</v>
      </c>
      <c r="B1170" s="61">
        <v>48305</v>
      </c>
      <c r="E1170" t="s">
        <v>355</v>
      </c>
      <c r="F1170" t="s">
        <v>385</v>
      </c>
      <c r="H1170" t="s">
        <v>353</v>
      </c>
      <c r="I1170">
        <v>1102100</v>
      </c>
      <c r="J1170" t="s">
        <v>481</v>
      </c>
      <c r="K1170" t="s">
        <v>1021</v>
      </c>
      <c r="L1170" t="s">
        <v>4127</v>
      </c>
      <c r="N1170" t="s">
        <v>4169</v>
      </c>
      <c r="O1170" t="s">
        <v>4170</v>
      </c>
      <c r="R1170" t="s">
        <v>386</v>
      </c>
    </row>
    <row r="1171" spans="1:18" x14ac:dyDescent="0.15">
      <c r="A1171" t="s">
        <v>5524</v>
      </c>
      <c r="B1171" s="61">
        <v>46844</v>
      </c>
      <c r="E1171" t="s">
        <v>355</v>
      </c>
      <c r="F1171" t="s">
        <v>356</v>
      </c>
      <c r="H1171" t="s">
        <v>353</v>
      </c>
      <c r="I1171">
        <v>1402261</v>
      </c>
      <c r="J1171" t="s">
        <v>481</v>
      </c>
      <c r="K1171" t="s">
        <v>4171</v>
      </c>
      <c r="L1171" t="s">
        <v>4127</v>
      </c>
      <c r="N1171" t="s">
        <v>4172</v>
      </c>
      <c r="O1171" t="s">
        <v>4173</v>
      </c>
      <c r="R1171" t="s">
        <v>362</v>
      </c>
    </row>
    <row r="1172" spans="1:18" x14ac:dyDescent="0.15">
      <c r="A1172" t="s">
        <v>5524</v>
      </c>
      <c r="B1172" s="61">
        <v>48305</v>
      </c>
      <c r="E1172" t="s">
        <v>355</v>
      </c>
      <c r="F1172" t="s">
        <v>385</v>
      </c>
      <c r="H1172" t="s">
        <v>353</v>
      </c>
      <c r="I1172">
        <v>1402261</v>
      </c>
      <c r="J1172" t="s">
        <v>481</v>
      </c>
      <c r="K1172" t="s">
        <v>4171</v>
      </c>
      <c r="L1172" t="s">
        <v>4127</v>
      </c>
      <c r="N1172" t="s">
        <v>4172</v>
      </c>
      <c r="O1172" t="s">
        <v>4173</v>
      </c>
      <c r="R1172" t="s">
        <v>386</v>
      </c>
    </row>
    <row r="1173" spans="1:18" x14ac:dyDescent="0.15">
      <c r="A1173" t="s">
        <v>2160</v>
      </c>
      <c r="B1173" s="61">
        <v>46844</v>
      </c>
      <c r="E1173" t="s">
        <v>355</v>
      </c>
      <c r="F1173" t="s">
        <v>356</v>
      </c>
      <c r="H1173" t="s">
        <v>353</v>
      </c>
      <c r="I1173">
        <v>1201672</v>
      </c>
      <c r="J1173" t="s">
        <v>481</v>
      </c>
      <c r="K1173" t="s">
        <v>4174</v>
      </c>
      <c r="L1173" t="s">
        <v>4127</v>
      </c>
      <c r="N1173" t="s">
        <v>4175</v>
      </c>
      <c r="O1173" t="s">
        <v>4176</v>
      </c>
      <c r="R1173" t="s">
        <v>362</v>
      </c>
    </row>
    <row r="1174" spans="1:18" x14ac:dyDescent="0.15">
      <c r="A1174" t="s">
        <v>2160</v>
      </c>
      <c r="B1174" s="61">
        <v>48305</v>
      </c>
      <c r="E1174" t="s">
        <v>355</v>
      </c>
      <c r="F1174" t="s">
        <v>385</v>
      </c>
      <c r="H1174" t="s">
        <v>353</v>
      </c>
      <c r="I1174">
        <v>1201672</v>
      </c>
      <c r="J1174" t="s">
        <v>481</v>
      </c>
      <c r="K1174" t="s">
        <v>4174</v>
      </c>
      <c r="L1174" t="s">
        <v>4127</v>
      </c>
      <c r="N1174" t="s">
        <v>4175</v>
      </c>
      <c r="O1174" t="s">
        <v>4176</v>
      </c>
      <c r="R1174" t="s">
        <v>386</v>
      </c>
    </row>
    <row r="1175" spans="1:18" x14ac:dyDescent="0.15">
      <c r="A1175" t="s">
        <v>3822</v>
      </c>
      <c r="B1175" s="61">
        <v>46844</v>
      </c>
      <c r="E1175" t="s">
        <v>355</v>
      </c>
      <c r="F1175" t="s">
        <v>356</v>
      </c>
      <c r="H1175" t="s">
        <v>353</v>
      </c>
      <c r="I1175">
        <v>1700398</v>
      </c>
      <c r="J1175" t="s">
        <v>481</v>
      </c>
      <c r="K1175" t="s">
        <v>4177</v>
      </c>
      <c r="L1175" t="s">
        <v>4127</v>
      </c>
      <c r="N1175" t="s">
        <v>4178</v>
      </c>
      <c r="O1175" t="s">
        <v>4179</v>
      </c>
      <c r="R1175" t="s">
        <v>362</v>
      </c>
    </row>
    <row r="1176" spans="1:18" x14ac:dyDescent="0.15">
      <c r="A1176" t="s">
        <v>3822</v>
      </c>
      <c r="B1176" s="61">
        <v>48305</v>
      </c>
      <c r="E1176" t="s">
        <v>355</v>
      </c>
      <c r="F1176" t="s">
        <v>385</v>
      </c>
      <c r="H1176" t="s">
        <v>353</v>
      </c>
      <c r="I1176">
        <v>1700398</v>
      </c>
      <c r="J1176" t="s">
        <v>481</v>
      </c>
      <c r="K1176" t="s">
        <v>4177</v>
      </c>
      <c r="L1176" t="s">
        <v>4127</v>
      </c>
      <c r="N1176" t="s">
        <v>4178</v>
      </c>
      <c r="O1176" t="s">
        <v>4179</v>
      </c>
      <c r="R1176" t="s">
        <v>386</v>
      </c>
    </row>
    <row r="1177" spans="1:18" x14ac:dyDescent="0.15">
      <c r="A1177" t="s">
        <v>2693</v>
      </c>
      <c r="B1177" s="61">
        <v>46844</v>
      </c>
      <c r="E1177" t="s">
        <v>355</v>
      </c>
      <c r="F1177" t="s">
        <v>356</v>
      </c>
      <c r="H1177" t="s">
        <v>353</v>
      </c>
      <c r="I1177">
        <v>2303132</v>
      </c>
      <c r="J1177" t="s">
        <v>481</v>
      </c>
      <c r="K1177" t="s">
        <v>4180</v>
      </c>
      <c r="L1177" t="s">
        <v>4127</v>
      </c>
      <c r="N1177" t="s">
        <v>4181</v>
      </c>
      <c r="O1177" t="s">
        <v>4182</v>
      </c>
      <c r="R1177" t="s">
        <v>362</v>
      </c>
    </row>
    <row r="1178" spans="1:18" x14ac:dyDescent="0.15">
      <c r="A1178" t="s">
        <v>2693</v>
      </c>
      <c r="B1178" s="61">
        <v>48305</v>
      </c>
      <c r="E1178" t="s">
        <v>355</v>
      </c>
      <c r="F1178" t="s">
        <v>385</v>
      </c>
      <c r="H1178" t="s">
        <v>353</v>
      </c>
      <c r="I1178">
        <v>2303132</v>
      </c>
      <c r="J1178" t="s">
        <v>481</v>
      </c>
      <c r="K1178" t="s">
        <v>4180</v>
      </c>
      <c r="L1178" t="s">
        <v>4127</v>
      </c>
      <c r="N1178" t="s">
        <v>4181</v>
      </c>
      <c r="O1178" t="s">
        <v>4182</v>
      </c>
      <c r="R1178" t="s">
        <v>386</v>
      </c>
    </row>
    <row r="1179" spans="1:18" x14ac:dyDescent="0.15">
      <c r="A1179" t="s">
        <v>3731</v>
      </c>
      <c r="B1179" s="61">
        <v>46569</v>
      </c>
      <c r="E1179" t="s">
        <v>355</v>
      </c>
      <c r="F1179" t="s">
        <v>356</v>
      </c>
      <c r="H1179" t="s">
        <v>353</v>
      </c>
      <c r="I1179">
        <v>2600293</v>
      </c>
      <c r="J1179" t="s">
        <v>2423</v>
      </c>
      <c r="K1179" t="s">
        <v>3747</v>
      </c>
      <c r="L1179" t="s">
        <v>3748</v>
      </c>
      <c r="N1179" t="s">
        <v>4183</v>
      </c>
      <c r="O1179" t="s">
        <v>3750</v>
      </c>
      <c r="R1179" t="s">
        <v>4184</v>
      </c>
    </row>
    <row r="1180" spans="1:18" x14ac:dyDescent="0.15">
      <c r="A1180" t="s">
        <v>3731</v>
      </c>
      <c r="B1180" s="61">
        <v>48030</v>
      </c>
      <c r="E1180" t="s">
        <v>355</v>
      </c>
      <c r="F1180" t="s">
        <v>385</v>
      </c>
      <c r="H1180" t="s">
        <v>353</v>
      </c>
      <c r="I1180">
        <v>2600293</v>
      </c>
      <c r="J1180" t="s">
        <v>2423</v>
      </c>
      <c r="K1180" t="s">
        <v>3747</v>
      </c>
      <c r="L1180" t="s">
        <v>3748</v>
      </c>
      <c r="N1180" t="s">
        <v>4183</v>
      </c>
      <c r="O1180" t="s">
        <v>3750</v>
      </c>
      <c r="R1180" t="s">
        <v>4185</v>
      </c>
    </row>
    <row r="1181" spans="1:18" x14ac:dyDescent="0.15">
      <c r="A1181" t="s">
        <v>3731</v>
      </c>
      <c r="B1181" s="61">
        <v>46569</v>
      </c>
      <c r="E1181" t="s">
        <v>355</v>
      </c>
      <c r="F1181" t="s">
        <v>356</v>
      </c>
      <c r="H1181" t="s">
        <v>353</v>
      </c>
      <c r="I1181">
        <v>2600293</v>
      </c>
      <c r="J1181" t="s">
        <v>2423</v>
      </c>
      <c r="K1181" t="s">
        <v>3747</v>
      </c>
      <c r="L1181" t="s">
        <v>3748</v>
      </c>
      <c r="N1181" t="s">
        <v>4186</v>
      </c>
      <c r="O1181" t="s">
        <v>3750</v>
      </c>
      <c r="R1181" t="s">
        <v>4187</v>
      </c>
    </row>
    <row r="1182" spans="1:18" x14ac:dyDescent="0.15">
      <c r="A1182" t="s">
        <v>3731</v>
      </c>
      <c r="B1182" s="61">
        <v>48030</v>
      </c>
      <c r="E1182" t="s">
        <v>355</v>
      </c>
      <c r="F1182" t="s">
        <v>385</v>
      </c>
      <c r="H1182" t="s">
        <v>353</v>
      </c>
      <c r="I1182">
        <v>2600293</v>
      </c>
      <c r="J1182" t="s">
        <v>2423</v>
      </c>
      <c r="K1182" t="s">
        <v>3747</v>
      </c>
      <c r="L1182" t="s">
        <v>3748</v>
      </c>
      <c r="N1182" t="s">
        <v>4186</v>
      </c>
      <c r="O1182" t="s">
        <v>3750</v>
      </c>
      <c r="R1182" t="s">
        <v>4188</v>
      </c>
    </row>
    <row r="1183" spans="1:18" x14ac:dyDescent="0.15">
      <c r="A1183" t="s">
        <v>1614</v>
      </c>
      <c r="B1183" s="61">
        <v>46508</v>
      </c>
      <c r="E1183" t="s">
        <v>355</v>
      </c>
      <c r="F1183" t="s">
        <v>356</v>
      </c>
      <c r="H1183" t="s">
        <v>353</v>
      </c>
      <c r="I1183">
        <v>2000959</v>
      </c>
      <c r="J1183" t="s">
        <v>1664</v>
      </c>
      <c r="K1183" t="s">
        <v>4189</v>
      </c>
      <c r="L1183" t="s">
        <v>390</v>
      </c>
      <c r="N1183" t="s">
        <v>4190</v>
      </c>
      <c r="O1183" t="s">
        <v>4191</v>
      </c>
      <c r="R1183" t="s">
        <v>362</v>
      </c>
    </row>
    <row r="1184" spans="1:18" x14ac:dyDescent="0.15">
      <c r="A1184" t="s">
        <v>1614</v>
      </c>
      <c r="B1184" s="61">
        <v>47969</v>
      </c>
      <c r="E1184" t="s">
        <v>355</v>
      </c>
      <c r="F1184" t="s">
        <v>385</v>
      </c>
      <c r="H1184" t="s">
        <v>353</v>
      </c>
      <c r="I1184">
        <v>2000959</v>
      </c>
      <c r="J1184" t="s">
        <v>1664</v>
      </c>
      <c r="K1184" t="s">
        <v>4189</v>
      </c>
      <c r="L1184" t="s">
        <v>390</v>
      </c>
      <c r="N1184" t="s">
        <v>4190</v>
      </c>
      <c r="O1184" t="s">
        <v>4191</v>
      </c>
      <c r="R1184" t="s">
        <v>386</v>
      </c>
    </row>
    <row r="1185" spans="1:18" x14ac:dyDescent="0.15">
      <c r="A1185" t="s">
        <v>3472</v>
      </c>
      <c r="B1185" s="61">
        <v>46874</v>
      </c>
      <c r="E1185" t="s">
        <v>355</v>
      </c>
      <c r="F1185" t="s">
        <v>356</v>
      </c>
      <c r="H1185" t="s">
        <v>353</v>
      </c>
      <c r="I1185">
        <v>4000756</v>
      </c>
      <c r="J1185" t="s">
        <v>4132</v>
      </c>
      <c r="K1185" t="s">
        <v>1542</v>
      </c>
      <c r="L1185" t="s">
        <v>4133</v>
      </c>
      <c r="N1185" t="s">
        <v>4134</v>
      </c>
      <c r="O1185" t="s">
        <v>4135</v>
      </c>
      <c r="R1185" t="s">
        <v>362</v>
      </c>
    </row>
    <row r="1186" spans="1:18" x14ac:dyDescent="0.15">
      <c r="A1186" t="s">
        <v>3472</v>
      </c>
      <c r="B1186" s="61">
        <v>48335</v>
      </c>
      <c r="E1186" t="s">
        <v>355</v>
      </c>
      <c r="F1186" t="s">
        <v>385</v>
      </c>
      <c r="H1186" t="s">
        <v>353</v>
      </c>
      <c r="I1186">
        <v>4000756</v>
      </c>
      <c r="J1186" t="s">
        <v>4132</v>
      </c>
      <c r="K1186" t="s">
        <v>1542</v>
      </c>
      <c r="L1186" t="s">
        <v>4133</v>
      </c>
      <c r="N1186" t="s">
        <v>4134</v>
      </c>
      <c r="O1186" t="s">
        <v>4135</v>
      </c>
      <c r="R1186" t="s">
        <v>386</v>
      </c>
    </row>
    <row r="1187" spans="1:18" x14ac:dyDescent="0.15">
      <c r="A1187" t="s">
        <v>1797</v>
      </c>
      <c r="B1187" s="61">
        <v>46966</v>
      </c>
      <c r="E1187" t="s">
        <v>355</v>
      </c>
      <c r="F1187" t="s">
        <v>356</v>
      </c>
      <c r="H1187" t="s">
        <v>353</v>
      </c>
      <c r="I1187">
        <v>2801386</v>
      </c>
      <c r="J1187" t="s">
        <v>4192</v>
      </c>
      <c r="L1187" t="s">
        <v>4193</v>
      </c>
      <c r="N1187" t="s">
        <v>4194</v>
      </c>
      <c r="O1187" t="s">
        <v>4195</v>
      </c>
      <c r="R1187" t="s">
        <v>362</v>
      </c>
    </row>
    <row r="1188" spans="1:18" x14ac:dyDescent="0.15">
      <c r="A1188" t="s">
        <v>1797</v>
      </c>
      <c r="B1188" s="61">
        <v>48427</v>
      </c>
      <c r="E1188" t="s">
        <v>355</v>
      </c>
      <c r="F1188" t="s">
        <v>385</v>
      </c>
      <c r="H1188" t="s">
        <v>353</v>
      </c>
      <c r="I1188">
        <v>2801386</v>
      </c>
      <c r="J1188" t="s">
        <v>4192</v>
      </c>
      <c r="L1188" t="s">
        <v>4193</v>
      </c>
      <c r="N1188" t="s">
        <v>4194</v>
      </c>
      <c r="O1188" t="s">
        <v>4195</v>
      </c>
      <c r="R1188" t="s">
        <v>386</v>
      </c>
    </row>
    <row r="1189" spans="1:18" x14ac:dyDescent="0.15">
      <c r="A1189" t="s">
        <v>3617</v>
      </c>
      <c r="B1189" s="61">
        <v>46569</v>
      </c>
      <c r="E1189" t="s">
        <v>355</v>
      </c>
      <c r="F1189" t="s">
        <v>356</v>
      </c>
      <c r="H1189" t="s">
        <v>353</v>
      </c>
      <c r="I1189">
        <v>4000966</v>
      </c>
      <c r="J1189" t="s">
        <v>1497</v>
      </c>
      <c r="K1189" t="s">
        <v>4196</v>
      </c>
      <c r="L1189" t="s">
        <v>4197</v>
      </c>
      <c r="N1189" t="s">
        <v>4198</v>
      </c>
      <c r="O1189" t="s">
        <v>4199</v>
      </c>
      <c r="R1189" t="s">
        <v>362</v>
      </c>
    </row>
    <row r="1190" spans="1:18" x14ac:dyDescent="0.15">
      <c r="A1190" t="s">
        <v>3617</v>
      </c>
      <c r="B1190" s="61">
        <v>48030</v>
      </c>
      <c r="E1190" t="s">
        <v>355</v>
      </c>
      <c r="F1190" t="s">
        <v>385</v>
      </c>
      <c r="H1190" t="s">
        <v>353</v>
      </c>
      <c r="I1190">
        <v>4000966</v>
      </c>
      <c r="J1190" t="s">
        <v>1497</v>
      </c>
      <c r="K1190" t="s">
        <v>4196</v>
      </c>
      <c r="L1190" t="s">
        <v>4197</v>
      </c>
      <c r="N1190" t="s">
        <v>4198</v>
      </c>
      <c r="O1190" t="s">
        <v>4199</v>
      </c>
      <c r="R1190" t="s">
        <v>386</v>
      </c>
    </row>
    <row r="1191" spans="1:18" x14ac:dyDescent="0.15">
      <c r="A1191" t="s">
        <v>3472</v>
      </c>
      <c r="B1191" s="61">
        <v>46569</v>
      </c>
      <c r="E1191" t="s">
        <v>355</v>
      </c>
      <c r="F1191" t="s">
        <v>356</v>
      </c>
      <c r="H1191" t="s">
        <v>353</v>
      </c>
      <c r="I1191">
        <v>4000409</v>
      </c>
      <c r="J1191" t="s">
        <v>2250</v>
      </c>
      <c r="K1191" t="s">
        <v>3919</v>
      </c>
      <c r="L1191" t="s">
        <v>584</v>
      </c>
      <c r="N1191" t="s">
        <v>4125</v>
      </c>
      <c r="O1191" t="s">
        <v>3920</v>
      </c>
      <c r="R1191" t="s">
        <v>362</v>
      </c>
    </row>
    <row r="1192" spans="1:18" x14ac:dyDescent="0.15">
      <c r="A1192" t="s">
        <v>3472</v>
      </c>
      <c r="B1192" s="61">
        <v>48030</v>
      </c>
      <c r="E1192" t="s">
        <v>355</v>
      </c>
      <c r="F1192" t="s">
        <v>385</v>
      </c>
      <c r="H1192" t="s">
        <v>353</v>
      </c>
      <c r="I1192">
        <v>4000409</v>
      </c>
      <c r="J1192" t="s">
        <v>2250</v>
      </c>
      <c r="K1192" t="s">
        <v>3919</v>
      </c>
      <c r="L1192" t="s">
        <v>584</v>
      </c>
      <c r="N1192" t="s">
        <v>4125</v>
      </c>
      <c r="O1192" t="s">
        <v>3920</v>
      </c>
      <c r="R1192" t="s">
        <v>386</v>
      </c>
    </row>
    <row r="1193" spans="1:18" x14ac:dyDescent="0.15">
      <c r="A1193" t="s">
        <v>1435</v>
      </c>
      <c r="B1193" s="61">
        <v>47088</v>
      </c>
      <c r="E1193" t="s">
        <v>355</v>
      </c>
      <c r="F1193" t="s">
        <v>356</v>
      </c>
      <c r="H1193" t="s">
        <v>353</v>
      </c>
      <c r="I1193">
        <v>2500504</v>
      </c>
      <c r="J1193" t="s">
        <v>1436</v>
      </c>
      <c r="K1193" t="s">
        <v>1437</v>
      </c>
      <c r="L1193" t="s">
        <v>390</v>
      </c>
      <c r="N1193" t="s">
        <v>4200</v>
      </c>
      <c r="O1193" t="s">
        <v>1438</v>
      </c>
      <c r="R1193" t="s">
        <v>362</v>
      </c>
    </row>
    <row r="1194" spans="1:18" x14ac:dyDescent="0.15">
      <c r="A1194" t="s">
        <v>1435</v>
      </c>
      <c r="B1194" s="61">
        <v>48549</v>
      </c>
      <c r="E1194" t="s">
        <v>355</v>
      </c>
      <c r="F1194" t="s">
        <v>385</v>
      </c>
      <c r="H1194" t="s">
        <v>353</v>
      </c>
      <c r="I1194">
        <v>2500504</v>
      </c>
      <c r="J1194" t="s">
        <v>1436</v>
      </c>
      <c r="K1194" t="s">
        <v>1437</v>
      </c>
      <c r="L1194" t="s">
        <v>390</v>
      </c>
      <c r="N1194" t="s">
        <v>4200</v>
      </c>
      <c r="O1194" t="s">
        <v>1438</v>
      </c>
      <c r="R1194" t="s">
        <v>386</v>
      </c>
    </row>
    <row r="1195" spans="1:18" x14ac:dyDescent="0.15">
      <c r="A1195" t="s">
        <v>3024</v>
      </c>
      <c r="B1195" s="61">
        <v>46508</v>
      </c>
      <c r="E1195" t="s">
        <v>355</v>
      </c>
      <c r="F1195" t="s">
        <v>356</v>
      </c>
      <c r="H1195" t="s">
        <v>353</v>
      </c>
      <c r="I1195">
        <v>1201226</v>
      </c>
      <c r="J1195" t="s">
        <v>4201</v>
      </c>
      <c r="K1195" t="s">
        <v>2153</v>
      </c>
      <c r="L1195" t="s">
        <v>2199</v>
      </c>
      <c r="N1195" t="s">
        <v>4202</v>
      </c>
      <c r="O1195" t="s">
        <v>4203</v>
      </c>
      <c r="R1195" t="s">
        <v>362</v>
      </c>
    </row>
    <row r="1196" spans="1:18" x14ac:dyDescent="0.15">
      <c r="A1196" t="s">
        <v>3024</v>
      </c>
      <c r="B1196" s="61">
        <v>47969</v>
      </c>
      <c r="E1196" t="s">
        <v>355</v>
      </c>
      <c r="F1196" t="s">
        <v>385</v>
      </c>
      <c r="H1196" t="s">
        <v>353</v>
      </c>
      <c r="I1196">
        <v>1201226</v>
      </c>
      <c r="J1196" t="s">
        <v>4201</v>
      </c>
      <c r="K1196" t="s">
        <v>2153</v>
      </c>
      <c r="L1196" t="s">
        <v>2199</v>
      </c>
      <c r="N1196" t="s">
        <v>4202</v>
      </c>
      <c r="O1196" t="s">
        <v>4203</v>
      </c>
      <c r="R1196" t="s">
        <v>386</v>
      </c>
    </row>
    <row r="1197" spans="1:18" x14ac:dyDescent="0.15">
      <c r="A1197" t="s">
        <v>837</v>
      </c>
      <c r="B1197" s="61">
        <v>46753</v>
      </c>
      <c r="E1197" t="s">
        <v>355</v>
      </c>
      <c r="F1197" t="s">
        <v>356</v>
      </c>
      <c r="H1197" t="s">
        <v>353</v>
      </c>
      <c r="I1197">
        <v>1000762</v>
      </c>
      <c r="J1197" t="s">
        <v>4204</v>
      </c>
      <c r="K1197" t="s">
        <v>4205</v>
      </c>
      <c r="L1197" t="s">
        <v>2186</v>
      </c>
      <c r="N1197" t="s">
        <v>4206</v>
      </c>
      <c r="O1197" t="s">
        <v>4207</v>
      </c>
      <c r="R1197" t="s">
        <v>4113</v>
      </c>
    </row>
    <row r="1198" spans="1:18" x14ac:dyDescent="0.15">
      <c r="A1198" t="s">
        <v>837</v>
      </c>
      <c r="B1198" s="61">
        <v>48214</v>
      </c>
      <c r="E1198" t="s">
        <v>355</v>
      </c>
      <c r="F1198" t="s">
        <v>385</v>
      </c>
      <c r="H1198" t="s">
        <v>353</v>
      </c>
      <c r="I1198">
        <v>1000762</v>
      </c>
      <c r="J1198" t="s">
        <v>4204</v>
      </c>
      <c r="K1198" t="s">
        <v>4205</v>
      </c>
      <c r="L1198" t="s">
        <v>2186</v>
      </c>
      <c r="N1198" t="s">
        <v>4206</v>
      </c>
      <c r="O1198" t="s">
        <v>4207</v>
      </c>
      <c r="R1198" t="s">
        <v>4114</v>
      </c>
    </row>
    <row r="1199" spans="1:18" x14ac:dyDescent="0.15">
      <c r="A1199" t="s">
        <v>5612</v>
      </c>
      <c r="B1199" s="61">
        <v>46874</v>
      </c>
      <c r="E1199" t="s">
        <v>355</v>
      </c>
      <c r="F1199" t="s">
        <v>356</v>
      </c>
      <c r="H1199" t="s">
        <v>353</v>
      </c>
      <c r="I1199">
        <v>1100722</v>
      </c>
      <c r="J1199" t="s">
        <v>4136</v>
      </c>
      <c r="L1199" t="s">
        <v>4208</v>
      </c>
      <c r="N1199" t="s">
        <v>4209</v>
      </c>
      <c r="O1199" t="s">
        <v>4210</v>
      </c>
      <c r="R1199" t="s">
        <v>4211</v>
      </c>
    </row>
    <row r="1200" spans="1:18" x14ac:dyDescent="0.15">
      <c r="A1200" t="s">
        <v>5612</v>
      </c>
      <c r="B1200" s="61">
        <v>48335</v>
      </c>
      <c r="E1200" t="s">
        <v>355</v>
      </c>
      <c r="F1200" t="s">
        <v>385</v>
      </c>
      <c r="H1200" t="s">
        <v>353</v>
      </c>
      <c r="I1200">
        <v>1100722</v>
      </c>
      <c r="J1200" t="s">
        <v>4136</v>
      </c>
      <c r="L1200" t="s">
        <v>4208</v>
      </c>
      <c r="N1200" t="s">
        <v>4209</v>
      </c>
      <c r="O1200" t="s">
        <v>4210</v>
      </c>
      <c r="R1200" t="s">
        <v>4212</v>
      </c>
    </row>
    <row r="1201" spans="1:19" x14ac:dyDescent="0.15">
      <c r="A1201" t="s">
        <v>5612</v>
      </c>
      <c r="B1201" s="61">
        <v>46722</v>
      </c>
      <c r="E1201" t="s">
        <v>355</v>
      </c>
      <c r="F1201" t="s">
        <v>356</v>
      </c>
      <c r="H1201" t="s">
        <v>353</v>
      </c>
      <c r="I1201">
        <v>1100722</v>
      </c>
      <c r="J1201" t="s">
        <v>4136</v>
      </c>
      <c r="L1201" t="s">
        <v>4208</v>
      </c>
      <c r="N1201" t="s">
        <v>4209</v>
      </c>
      <c r="O1201" t="s">
        <v>4210</v>
      </c>
      <c r="R1201" t="s">
        <v>4213</v>
      </c>
    </row>
    <row r="1202" spans="1:19" x14ac:dyDescent="0.15">
      <c r="A1202" t="s">
        <v>5612</v>
      </c>
      <c r="B1202" s="61">
        <v>48183</v>
      </c>
      <c r="E1202" t="s">
        <v>355</v>
      </c>
      <c r="F1202" t="s">
        <v>385</v>
      </c>
      <c r="H1202" t="s">
        <v>353</v>
      </c>
      <c r="I1202">
        <v>1100722</v>
      </c>
      <c r="J1202" t="s">
        <v>4136</v>
      </c>
      <c r="L1202" t="s">
        <v>4208</v>
      </c>
      <c r="N1202" t="s">
        <v>4209</v>
      </c>
      <c r="O1202" t="s">
        <v>4210</v>
      </c>
      <c r="R1202" t="s">
        <v>4214</v>
      </c>
    </row>
    <row r="1203" spans="1:19" ht="243" x14ac:dyDescent="0.15">
      <c r="A1203" t="s">
        <v>2096</v>
      </c>
      <c r="B1203" s="61">
        <v>46874</v>
      </c>
      <c r="E1203" t="s">
        <v>355</v>
      </c>
      <c r="F1203" t="s">
        <v>356</v>
      </c>
      <c r="H1203" t="s">
        <v>353</v>
      </c>
      <c r="I1203">
        <v>600160</v>
      </c>
      <c r="J1203" t="s">
        <v>2134</v>
      </c>
      <c r="K1203" t="s">
        <v>2135</v>
      </c>
      <c r="L1203" t="s">
        <v>390</v>
      </c>
      <c r="N1203" t="s">
        <v>4215</v>
      </c>
      <c r="O1203" t="s">
        <v>2137</v>
      </c>
      <c r="R1203" t="s">
        <v>362</v>
      </c>
      <c r="S1203" s="34" t="s">
        <v>4216</v>
      </c>
    </row>
    <row r="1204" spans="1:19" ht="243" x14ac:dyDescent="0.15">
      <c r="A1204" t="s">
        <v>2096</v>
      </c>
      <c r="B1204" s="61">
        <v>48335</v>
      </c>
      <c r="E1204" t="s">
        <v>355</v>
      </c>
      <c r="F1204" t="s">
        <v>385</v>
      </c>
      <c r="H1204" t="s">
        <v>353</v>
      </c>
      <c r="I1204">
        <v>600160</v>
      </c>
      <c r="J1204" t="s">
        <v>2134</v>
      </c>
      <c r="K1204" t="s">
        <v>2135</v>
      </c>
      <c r="L1204" t="s">
        <v>390</v>
      </c>
      <c r="N1204" t="s">
        <v>4215</v>
      </c>
      <c r="O1204" t="s">
        <v>2137</v>
      </c>
      <c r="R1204" t="s">
        <v>386</v>
      </c>
      <c r="S1204" s="34" t="s">
        <v>4216</v>
      </c>
    </row>
    <row r="1205" spans="1:19" ht="391.5" x14ac:dyDescent="0.15">
      <c r="A1205" t="s">
        <v>2096</v>
      </c>
      <c r="B1205" s="61">
        <v>46357</v>
      </c>
      <c r="E1205" t="s">
        <v>355</v>
      </c>
      <c r="F1205" t="s">
        <v>356</v>
      </c>
      <c r="H1205" t="s">
        <v>353</v>
      </c>
      <c r="I1205">
        <v>600160</v>
      </c>
      <c r="J1205" t="s">
        <v>2134</v>
      </c>
      <c r="K1205" t="s">
        <v>2135</v>
      </c>
      <c r="L1205" t="s">
        <v>390</v>
      </c>
      <c r="N1205" t="s">
        <v>4215</v>
      </c>
      <c r="O1205" t="s">
        <v>2137</v>
      </c>
      <c r="R1205" t="s">
        <v>362</v>
      </c>
      <c r="S1205" s="34" t="s">
        <v>4217</v>
      </c>
    </row>
    <row r="1206" spans="1:19" ht="391.5" x14ac:dyDescent="0.15">
      <c r="A1206" t="s">
        <v>2096</v>
      </c>
      <c r="B1206" s="61">
        <v>47818</v>
      </c>
      <c r="E1206" t="s">
        <v>355</v>
      </c>
      <c r="F1206" t="s">
        <v>385</v>
      </c>
      <c r="H1206" t="s">
        <v>353</v>
      </c>
      <c r="I1206">
        <v>600160</v>
      </c>
      <c r="J1206" t="s">
        <v>2134</v>
      </c>
      <c r="K1206" t="s">
        <v>2135</v>
      </c>
      <c r="L1206" t="s">
        <v>390</v>
      </c>
      <c r="N1206" t="s">
        <v>4215</v>
      </c>
      <c r="O1206" t="s">
        <v>2137</v>
      </c>
      <c r="R1206" t="s">
        <v>386</v>
      </c>
      <c r="S1206" s="34" t="s">
        <v>4217</v>
      </c>
    </row>
    <row r="1207" spans="1:19" ht="409.5" x14ac:dyDescent="0.15">
      <c r="A1207" t="s">
        <v>2096</v>
      </c>
      <c r="B1207" s="61">
        <v>46508</v>
      </c>
      <c r="E1207" t="s">
        <v>355</v>
      </c>
      <c r="F1207" t="s">
        <v>356</v>
      </c>
      <c r="H1207" t="s">
        <v>353</v>
      </c>
      <c r="I1207">
        <v>600160</v>
      </c>
      <c r="J1207" t="s">
        <v>2134</v>
      </c>
      <c r="K1207" t="s">
        <v>2135</v>
      </c>
      <c r="L1207" t="s">
        <v>390</v>
      </c>
      <c r="N1207" t="s">
        <v>4215</v>
      </c>
      <c r="O1207" t="s">
        <v>2137</v>
      </c>
      <c r="R1207" t="s">
        <v>4218</v>
      </c>
      <c r="S1207" s="34" t="s">
        <v>4219</v>
      </c>
    </row>
    <row r="1208" spans="1:19" ht="409.5" x14ac:dyDescent="0.15">
      <c r="A1208" t="s">
        <v>2096</v>
      </c>
      <c r="B1208" s="61">
        <v>47969</v>
      </c>
      <c r="E1208" t="s">
        <v>355</v>
      </c>
      <c r="F1208" t="s">
        <v>385</v>
      </c>
      <c r="H1208" t="s">
        <v>353</v>
      </c>
      <c r="I1208">
        <v>600160</v>
      </c>
      <c r="J1208" t="s">
        <v>2134</v>
      </c>
      <c r="K1208" t="s">
        <v>2135</v>
      </c>
      <c r="L1208" t="s">
        <v>390</v>
      </c>
      <c r="N1208" t="s">
        <v>4215</v>
      </c>
      <c r="O1208" t="s">
        <v>2137</v>
      </c>
      <c r="R1208" t="s">
        <v>4220</v>
      </c>
      <c r="S1208" s="34" t="s">
        <v>4219</v>
      </c>
    </row>
    <row r="1209" spans="1:19" x14ac:dyDescent="0.15">
      <c r="A1209" t="s">
        <v>837</v>
      </c>
      <c r="B1209" s="61">
        <v>47088</v>
      </c>
      <c r="E1209" t="s">
        <v>355</v>
      </c>
      <c r="F1209" t="s">
        <v>356</v>
      </c>
      <c r="H1209" t="s">
        <v>4221</v>
      </c>
      <c r="I1209">
        <v>1000221</v>
      </c>
      <c r="J1209" t="s">
        <v>847</v>
      </c>
      <c r="L1209" t="s">
        <v>4222</v>
      </c>
      <c r="N1209" t="s">
        <v>4223</v>
      </c>
      <c r="O1209" t="s">
        <v>848</v>
      </c>
      <c r="R1209" t="s">
        <v>4224</v>
      </c>
      <c r="S1209" t="s">
        <v>4225</v>
      </c>
    </row>
    <row r="1210" spans="1:19" x14ac:dyDescent="0.15">
      <c r="A1210" t="s">
        <v>837</v>
      </c>
      <c r="B1210" s="61">
        <v>47818</v>
      </c>
      <c r="E1210" t="s">
        <v>355</v>
      </c>
      <c r="F1210" t="s">
        <v>4226</v>
      </c>
      <c r="H1210" t="s">
        <v>4221</v>
      </c>
      <c r="I1210">
        <v>1000221</v>
      </c>
      <c r="J1210" t="s">
        <v>847</v>
      </c>
      <c r="L1210" t="s">
        <v>4222</v>
      </c>
      <c r="N1210" t="s">
        <v>4223</v>
      </c>
      <c r="O1210" t="s">
        <v>848</v>
      </c>
      <c r="R1210" t="s">
        <v>4227</v>
      </c>
      <c r="S1210" t="s">
        <v>4225</v>
      </c>
    </row>
    <row r="1211" spans="1:19" x14ac:dyDescent="0.15">
      <c r="A1211" t="s">
        <v>837</v>
      </c>
      <c r="B1211" s="61">
        <v>48549</v>
      </c>
      <c r="E1211" t="s">
        <v>355</v>
      </c>
      <c r="F1211" t="s">
        <v>385</v>
      </c>
      <c r="H1211" t="s">
        <v>4221</v>
      </c>
      <c r="I1211">
        <v>1000221</v>
      </c>
      <c r="J1211" t="s">
        <v>847</v>
      </c>
      <c r="L1211" t="s">
        <v>4222</v>
      </c>
      <c r="N1211" t="s">
        <v>4223</v>
      </c>
      <c r="O1211" t="s">
        <v>848</v>
      </c>
      <c r="R1211" t="s">
        <v>4228</v>
      </c>
      <c r="S1211" t="s">
        <v>4225</v>
      </c>
    </row>
    <row r="1212" spans="1:19" ht="409.5" x14ac:dyDescent="0.15">
      <c r="A1212" t="s">
        <v>3177</v>
      </c>
      <c r="B1212" s="61">
        <v>46296</v>
      </c>
      <c r="E1212" t="s">
        <v>355</v>
      </c>
      <c r="F1212" t="s">
        <v>356</v>
      </c>
      <c r="H1212" t="s">
        <v>310</v>
      </c>
      <c r="I1212">
        <v>2702855</v>
      </c>
      <c r="J1212" t="s">
        <v>1004</v>
      </c>
      <c r="K1212" t="s">
        <v>4229</v>
      </c>
      <c r="L1212" t="s">
        <v>4230</v>
      </c>
      <c r="N1212" t="s">
        <v>4231</v>
      </c>
      <c r="O1212" t="s">
        <v>4232</v>
      </c>
      <c r="R1212" t="s">
        <v>362</v>
      </c>
      <c r="S1212" s="34" t="s">
        <v>4233</v>
      </c>
    </row>
    <row r="1213" spans="1:19" ht="409.5" x14ac:dyDescent="0.15">
      <c r="A1213" t="s">
        <v>3177</v>
      </c>
      <c r="B1213" s="61">
        <v>47392</v>
      </c>
      <c r="E1213" t="s">
        <v>355</v>
      </c>
      <c r="F1213" t="s">
        <v>543</v>
      </c>
      <c r="H1213" t="s">
        <v>310</v>
      </c>
      <c r="I1213">
        <v>2702855</v>
      </c>
      <c r="J1213" t="s">
        <v>1004</v>
      </c>
      <c r="K1213" t="s">
        <v>4229</v>
      </c>
      <c r="L1213" t="s">
        <v>4230</v>
      </c>
      <c r="N1213" t="s">
        <v>4231</v>
      </c>
      <c r="O1213" t="s">
        <v>4232</v>
      </c>
      <c r="R1213" t="s">
        <v>755</v>
      </c>
      <c r="S1213" s="34" t="s">
        <v>4233</v>
      </c>
    </row>
    <row r="1214" spans="1:19" ht="409.5" x14ac:dyDescent="0.15">
      <c r="A1214" t="s">
        <v>3177</v>
      </c>
      <c r="B1214" s="61">
        <v>47757</v>
      </c>
      <c r="E1214" t="s">
        <v>355</v>
      </c>
      <c r="F1214" t="s">
        <v>385</v>
      </c>
      <c r="H1214" t="s">
        <v>310</v>
      </c>
      <c r="I1214">
        <v>2702855</v>
      </c>
      <c r="J1214" t="s">
        <v>1004</v>
      </c>
      <c r="K1214" t="s">
        <v>4229</v>
      </c>
      <c r="L1214" t="s">
        <v>4230</v>
      </c>
      <c r="N1214" t="s">
        <v>4231</v>
      </c>
      <c r="O1214" t="s">
        <v>4232</v>
      </c>
      <c r="R1214" t="s">
        <v>395</v>
      </c>
      <c r="S1214" s="34" t="s">
        <v>4233</v>
      </c>
    </row>
    <row r="1215" spans="1:19" x14ac:dyDescent="0.15">
      <c r="A1215" t="s">
        <v>6275</v>
      </c>
      <c r="B1215" s="61">
        <v>46539</v>
      </c>
      <c r="E1215" t="s">
        <v>355</v>
      </c>
      <c r="F1215" t="s">
        <v>356</v>
      </c>
      <c r="H1215" t="s">
        <v>365</v>
      </c>
      <c r="I1215">
        <v>1201606</v>
      </c>
      <c r="J1215" t="s">
        <v>4234</v>
      </c>
      <c r="K1215" t="s">
        <v>4235</v>
      </c>
      <c r="L1215" t="s">
        <v>466</v>
      </c>
      <c r="N1215" t="s">
        <v>4236</v>
      </c>
      <c r="O1215" t="s">
        <v>4237</v>
      </c>
      <c r="R1215" t="s">
        <v>362</v>
      </c>
    </row>
    <row r="1216" spans="1:19" x14ac:dyDescent="0.15">
      <c r="A1216" t="s">
        <v>6275</v>
      </c>
      <c r="B1216" s="61">
        <v>48000</v>
      </c>
      <c r="E1216" t="s">
        <v>355</v>
      </c>
      <c r="F1216" t="s">
        <v>385</v>
      </c>
      <c r="H1216" t="s">
        <v>365</v>
      </c>
      <c r="I1216">
        <v>1201606</v>
      </c>
      <c r="J1216" t="s">
        <v>4234</v>
      </c>
      <c r="K1216" t="s">
        <v>4235</v>
      </c>
      <c r="L1216" t="s">
        <v>466</v>
      </c>
      <c r="N1216" t="s">
        <v>4236</v>
      </c>
      <c r="O1216" t="s">
        <v>4237</v>
      </c>
      <c r="R1216" t="s">
        <v>395</v>
      </c>
    </row>
    <row r="1217" spans="1:19" x14ac:dyDescent="0.15">
      <c r="A1217" t="s">
        <v>3349</v>
      </c>
      <c r="B1217" s="61">
        <v>46600</v>
      </c>
      <c r="E1217" t="s">
        <v>355</v>
      </c>
      <c r="F1217" t="s">
        <v>356</v>
      </c>
      <c r="H1217" t="s">
        <v>365</v>
      </c>
      <c r="I1217">
        <v>1600691</v>
      </c>
      <c r="J1217" t="s">
        <v>3350</v>
      </c>
      <c r="K1217" t="s">
        <v>3351</v>
      </c>
      <c r="L1217" t="s">
        <v>4238</v>
      </c>
      <c r="N1217" t="s">
        <v>4239</v>
      </c>
      <c r="O1217" t="s">
        <v>4240</v>
      </c>
      <c r="R1217" t="s">
        <v>362</v>
      </c>
    </row>
    <row r="1218" spans="1:19" x14ac:dyDescent="0.15">
      <c r="A1218" t="s">
        <v>3349</v>
      </c>
      <c r="B1218" s="61">
        <v>48061</v>
      </c>
      <c r="E1218" t="s">
        <v>355</v>
      </c>
      <c r="F1218" t="s">
        <v>385</v>
      </c>
      <c r="H1218" t="s">
        <v>365</v>
      </c>
      <c r="I1218">
        <v>1600691</v>
      </c>
      <c r="J1218" t="s">
        <v>3350</v>
      </c>
      <c r="K1218" t="s">
        <v>3351</v>
      </c>
      <c r="L1218" t="s">
        <v>4238</v>
      </c>
      <c r="N1218" t="s">
        <v>4239</v>
      </c>
      <c r="O1218" t="s">
        <v>4240</v>
      </c>
      <c r="R1218" t="s">
        <v>395</v>
      </c>
    </row>
    <row r="1219" spans="1:19" x14ac:dyDescent="0.15">
      <c r="A1219" t="s">
        <v>2152</v>
      </c>
      <c r="B1219" s="61">
        <v>46753</v>
      </c>
      <c r="E1219" t="s">
        <v>355</v>
      </c>
      <c r="F1219" t="s">
        <v>356</v>
      </c>
      <c r="H1219" t="s">
        <v>365</v>
      </c>
      <c r="I1219">
        <v>1201616</v>
      </c>
      <c r="J1219" t="s">
        <v>4241</v>
      </c>
      <c r="L1219" t="s">
        <v>4242</v>
      </c>
      <c r="N1219" t="s">
        <v>4243</v>
      </c>
      <c r="O1219" t="s">
        <v>4244</v>
      </c>
      <c r="R1219" t="s">
        <v>362</v>
      </c>
    </row>
    <row r="1220" spans="1:19" x14ac:dyDescent="0.15">
      <c r="A1220" t="s">
        <v>2152</v>
      </c>
      <c r="B1220" s="61">
        <v>48214</v>
      </c>
      <c r="E1220" t="s">
        <v>355</v>
      </c>
      <c r="F1220" t="s">
        <v>385</v>
      </c>
      <c r="H1220" t="s">
        <v>365</v>
      </c>
      <c r="I1220">
        <v>1201616</v>
      </c>
      <c r="J1220" t="s">
        <v>4241</v>
      </c>
      <c r="L1220" t="s">
        <v>4242</v>
      </c>
      <c r="N1220" t="s">
        <v>4243</v>
      </c>
      <c r="O1220" t="s">
        <v>4244</v>
      </c>
      <c r="R1220" t="s">
        <v>395</v>
      </c>
    </row>
    <row r="1221" spans="1:19" x14ac:dyDescent="0.15">
      <c r="A1221" t="s">
        <v>3349</v>
      </c>
      <c r="B1221" s="61">
        <v>46784</v>
      </c>
      <c r="E1221" t="s">
        <v>355</v>
      </c>
      <c r="F1221" t="s">
        <v>356</v>
      </c>
      <c r="H1221" t="s">
        <v>365</v>
      </c>
      <c r="I1221">
        <v>1600622</v>
      </c>
      <c r="J1221" t="s">
        <v>3350</v>
      </c>
      <c r="K1221" t="s">
        <v>3351</v>
      </c>
      <c r="L1221" t="s">
        <v>3352</v>
      </c>
      <c r="N1221" t="s">
        <v>4245</v>
      </c>
      <c r="O1221" t="s">
        <v>3353</v>
      </c>
      <c r="R1221" t="s">
        <v>362</v>
      </c>
    </row>
    <row r="1222" spans="1:19" x14ac:dyDescent="0.15">
      <c r="A1222" t="s">
        <v>3349</v>
      </c>
      <c r="B1222" s="61">
        <v>48245</v>
      </c>
      <c r="E1222" t="s">
        <v>355</v>
      </c>
      <c r="F1222" t="s">
        <v>385</v>
      </c>
      <c r="H1222" t="s">
        <v>365</v>
      </c>
      <c r="I1222">
        <v>1600622</v>
      </c>
      <c r="J1222" t="s">
        <v>3350</v>
      </c>
      <c r="K1222" t="s">
        <v>3351</v>
      </c>
      <c r="L1222" t="s">
        <v>3352</v>
      </c>
      <c r="N1222" t="s">
        <v>4245</v>
      </c>
      <c r="O1222" t="s">
        <v>3353</v>
      </c>
      <c r="R1222" t="s">
        <v>395</v>
      </c>
    </row>
    <row r="1223" spans="1:19" ht="409.5" x14ac:dyDescent="0.15">
      <c r="A1223" t="s">
        <v>6766</v>
      </c>
      <c r="B1223" s="61">
        <v>46113</v>
      </c>
      <c r="E1223" t="s">
        <v>355</v>
      </c>
      <c r="F1223" t="s">
        <v>356</v>
      </c>
      <c r="H1223" t="s">
        <v>365</v>
      </c>
      <c r="I1223">
        <v>4000940</v>
      </c>
      <c r="J1223" t="s">
        <v>4246</v>
      </c>
      <c r="K1223" t="s">
        <v>3635</v>
      </c>
      <c r="L1223" t="s">
        <v>466</v>
      </c>
      <c r="N1223" t="s">
        <v>4247</v>
      </c>
      <c r="O1223" t="s">
        <v>4248</v>
      </c>
      <c r="P1223" t="s">
        <v>7471</v>
      </c>
      <c r="Q1223" t="s">
        <v>7472</v>
      </c>
      <c r="R1223" t="s">
        <v>362</v>
      </c>
      <c r="S1223" s="34" t="s">
        <v>4249</v>
      </c>
    </row>
    <row r="1224" spans="1:19" ht="409.5" x14ac:dyDescent="0.15">
      <c r="A1224" t="s">
        <v>6766</v>
      </c>
      <c r="B1224" s="61">
        <v>47574</v>
      </c>
      <c r="E1224" t="s">
        <v>355</v>
      </c>
      <c r="F1224" t="s">
        <v>385</v>
      </c>
      <c r="H1224" t="s">
        <v>365</v>
      </c>
      <c r="I1224">
        <v>4000940</v>
      </c>
      <c r="J1224" t="s">
        <v>4246</v>
      </c>
      <c r="K1224" t="s">
        <v>3635</v>
      </c>
      <c r="L1224" t="s">
        <v>466</v>
      </c>
      <c r="N1224" t="s">
        <v>4247</v>
      </c>
      <c r="O1224" t="s">
        <v>4248</v>
      </c>
      <c r="R1224" t="s">
        <v>395</v>
      </c>
      <c r="S1224" s="34" t="s">
        <v>4249</v>
      </c>
    </row>
    <row r="1225" spans="1:19" x14ac:dyDescent="0.15">
      <c r="A1225" t="s">
        <v>2096</v>
      </c>
      <c r="B1225" s="61">
        <v>46997</v>
      </c>
      <c r="E1225" t="s">
        <v>355</v>
      </c>
      <c r="F1225" t="s">
        <v>356</v>
      </c>
      <c r="H1225" t="s">
        <v>365</v>
      </c>
      <c r="I1225">
        <v>400408</v>
      </c>
      <c r="J1225" t="s">
        <v>4250</v>
      </c>
      <c r="K1225" t="s">
        <v>1542</v>
      </c>
      <c r="L1225" t="s">
        <v>1176</v>
      </c>
      <c r="N1225" t="s">
        <v>4251</v>
      </c>
      <c r="O1225" t="s">
        <v>4252</v>
      </c>
      <c r="R1225" t="s">
        <v>362</v>
      </c>
    </row>
    <row r="1226" spans="1:19" x14ac:dyDescent="0.15">
      <c r="A1226" t="s">
        <v>2096</v>
      </c>
      <c r="B1226" s="61">
        <v>48458</v>
      </c>
      <c r="E1226" t="s">
        <v>355</v>
      </c>
      <c r="F1226" t="s">
        <v>385</v>
      </c>
      <c r="H1226" t="s">
        <v>365</v>
      </c>
      <c r="I1226">
        <v>400408</v>
      </c>
      <c r="J1226" t="s">
        <v>4250</v>
      </c>
      <c r="K1226" t="s">
        <v>1542</v>
      </c>
      <c r="L1226" t="s">
        <v>1176</v>
      </c>
      <c r="N1226" t="s">
        <v>4251</v>
      </c>
      <c r="O1226" t="s">
        <v>4252</v>
      </c>
      <c r="R1226" t="s">
        <v>395</v>
      </c>
    </row>
    <row r="1227" spans="1:19" x14ac:dyDescent="0.15">
      <c r="A1227" t="s">
        <v>422</v>
      </c>
      <c r="B1227" s="61">
        <v>47027</v>
      </c>
      <c r="E1227" t="s">
        <v>355</v>
      </c>
      <c r="F1227" t="s">
        <v>356</v>
      </c>
      <c r="H1227" t="s">
        <v>365</v>
      </c>
      <c r="I1227">
        <v>2702767</v>
      </c>
      <c r="J1227" t="s">
        <v>423</v>
      </c>
      <c r="K1227" t="s">
        <v>424</v>
      </c>
      <c r="L1227" t="s">
        <v>4253</v>
      </c>
      <c r="N1227" t="s">
        <v>4254</v>
      </c>
      <c r="O1227" t="s">
        <v>4255</v>
      </c>
      <c r="R1227" t="s">
        <v>4256</v>
      </c>
    </row>
    <row r="1228" spans="1:19" x14ac:dyDescent="0.15">
      <c r="A1228" t="s">
        <v>422</v>
      </c>
      <c r="B1228" s="61">
        <v>48488</v>
      </c>
      <c r="E1228" t="s">
        <v>355</v>
      </c>
      <c r="F1228" t="s">
        <v>385</v>
      </c>
      <c r="H1228" t="s">
        <v>365</v>
      </c>
      <c r="I1228">
        <v>2702767</v>
      </c>
      <c r="J1228" t="s">
        <v>423</v>
      </c>
      <c r="K1228" t="s">
        <v>424</v>
      </c>
      <c r="L1228" t="s">
        <v>4253</v>
      </c>
      <c r="N1228" t="s">
        <v>4254</v>
      </c>
      <c r="O1228" t="s">
        <v>4255</v>
      </c>
      <c r="R1228" t="s">
        <v>4257</v>
      </c>
    </row>
    <row r="1229" spans="1:19" x14ac:dyDescent="0.15">
      <c r="A1229" t="s">
        <v>422</v>
      </c>
      <c r="B1229" s="61">
        <v>47027</v>
      </c>
      <c r="E1229" t="s">
        <v>355</v>
      </c>
      <c r="F1229" t="s">
        <v>356</v>
      </c>
      <c r="H1229" t="s">
        <v>365</v>
      </c>
      <c r="I1229">
        <v>2702767</v>
      </c>
      <c r="J1229" t="s">
        <v>423</v>
      </c>
      <c r="K1229" t="s">
        <v>424</v>
      </c>
      <c r="L1229" t="s">
        <v>4253</v>
      </c>
      <c r="N1229" t="s">
        <v>4258</v>
      </c>
      <c r="O1229" t="s">
        <v>4255</v>
      </c>
      <c r="R1229" t="s">
        <v>4259</v>
      </c>
    </row>
    <row r="1230" spans="1:19" x14ac:dyDescent="0.15">
      <c r="A1230" t="s">
        <v>422</v>
      </c>
      <c r="B1230" s="61">
        <v>48488</v>
      </c>
      <c r="E1230" t="s">
        <v>355</v>
      </c>
      <c r="F1230" t="s">
        <v>385</v>
      </c>
      <c r="H1230" t="s">
        <v>365</v>
      </c>
      <c r="I1230">
        <v>2702767</v>
      </c>
      <c r="J1230" t="s">
        <v>423</v>
      </c>
      <c r="K1230" t="s">
        <v>424</v>
      </c>
      <c r="L1230" t="s">
        <v>4253</v>
      </c>
      <c r="N1230" t="s">
        <v>4258</v>
      </c>
      <c r="O1230" t="s">
        <v>4255</v>
      </c>
      <c r="R1230" t="s">
        <v>4260</v>
      </c>
    </row>
    <row r="1231" spans="1:19" x14ac:dyDescent="0.15">
      <c r="A1231" t="s">
        <v>1817</v>
      </c>
      <c r="B1231" s="61">
        <v>46661</v>
      </c>
      <c r="E1231" t="s">
        <v>355</v>
      </c>
      <c r="F1231" t="s">
        <v>356</v>
      </c>
      <c r="H1231" t="s">
        <v>365</v>
      </c>
      <c r="I1231">
        <v>2801073</v>
      </c>
      <c r="J1231" t="s">
        <v>4261</v>
      </c>
      <c r="K1231" t="s">
        <v>4262</v>
      </c>
      <c r="L1231" t="s">
        <v>4263</v>
      </c>
      <c r="N1231" t="s">
        <v>4264</v>
      </c>
      <c r="O1231" t="s">
        <v>4265</v>
      </c>
      <c r="R1231" t="s">
        <v>362</v>
      </c>
    </row>
    <row r="1232" spans="1:19" x14ac:dyDescent="0.15">
      <c r="A1232" t="s">
        <v>1817</v>
      </c>
      <c r="B1232" s="61">
        <v>48122</v>
      </c>
      <c r="E1232" t="s">
        <v>355</v>
      </c>
      <c r="F1232" t="s">
        <v>385</v>
      </c>
      <c r="H1232" t="s">
        <v>365</v>
      </c>
      <c r="I1232">
        <v>2801073</v>
      </c>
      <c r="J1232" t="s">
        <v>4261</v>
      </c>
      <c r="K1232" t="s">
        <v>4262</v>
      </c>
      <c r="L1232" t="s">
        <v>4263</v>
      </c>
      <c r="N1232" t="s">
        <v>4264</v>
      </c>
      <c r="O1232" t="s">
        <v>4265</v>
      </c>
      <c r="R1232" t="s">
        <v>395</v>
      </c>
    </row>
    <row r="1233" spans="1:19" x14ac:dyDescent="0.15">
      <c r="A1233" t="s">
        <v>914</v>
      </c>
      <c r="B1233" s="61">
        <v>46692</v>
      </c>
      <c r="E1233" t="s">
        <v>355</v>
      </c>
      <c r="F1233" t="s">
        <v>356</v>
      </c>
      <c r="H1233" t="s">
        <v>365</v>
      </c>
      <c r="I1233">
        <v>700414</v>
      </c>
      <c r="J1233" t="s">
        <v>931</v>
      </c>
      <c r="K1233" t="s">
        <v>932</v>
      </c>
      <c r="L1233" t="s">
        <v>373</v>
      </c>
      <c r="N1233" t="s">
        <v>4266</v>
      </c>
      <c r="O1233" t="s">
        <v>934</v>
      </c>
      <c r="R1233" t="s">
        <v>362</v>
      </c>
    </row>
    <row r="1234" spans="1:19" x14ac:dyDescent="0.15">
      <c r="A1234" t="s">
        <v>914</v>
      </c>
      <c r="B1234" s="61">
        <v>48153</v>
      </c>
      <c r="E1234" t="s">
        <v>355</v>
      </c>
      <c r="F1234" t="s">
        <v>385</v>
      </c>
      <c r="H1234" t="s">
        <v>365</v>
      </c>
      <c r="I1234">
        <v>700414</v>
      </c>
      <c r="J1234" t="s">
        <v>931</v>
      </c>
      <c r="K1234" t="s">
        <v>932</v>
      </c>
      <c r="L1234" t="s">
        <v>373</v>
      </c>
      <c r="N1234" t="s">
        <v>4266</v>
      </c>
      <c r="O1234" t="s">
        <v>934</v>
      </c>
      <c r="R1234" t="s">
        <v>395</v>
      </c>
    </row>
    <row r="1235" spans="1:19" x14ac:dyDescent="0.15">
      <c r="A1235" t="s">
        <v>1860</v>
      </c>
      <c r="B1235" s="61">
        <v>46874</v>
      </c>
      <c r="E1235" t="s">
        <v>355</v>
      </c>
      <c r="F1235" t="s">
        <v>356</v>
      </c>
      <c r="H1235" t="s">
        <v>365</v>
      </c>
      <c r="I1235">
        <v>801205</v>
      </c>
      <c r="J1235" t="s">
        <v>1900</v>
      </c>
      <c r="L1235" t="s">
        <v>4267</v>
      </c>
      <c r="N1235" t="s">
        <v>4268</v>
      </c>
      <c r="O1235" t="s">
        <v>4269</v>
      </c>
      <c r="R1235" t="s">
        <v>4270</v>
      </c>
    </row>
    <row r="1236" spans="1:19" x14ac:dyDescent="0.15">
      <c r="A1236" t="s">
        <v>1860</v>
      </c>
      <c r="B1236" s="61">
        <v>48335</v>
      </c>
      <c r="E1236" t="s">
        <v>355</v>
      </c>
      <c r="F1236" t="s">
        <v>385</v>
      </c>
      <c r="H1236" t="s">
        <v>365</v>
      </c>
      <c r="I1236">
        <v>801205</v>
      </c>
      <c r="J1236" t="s">
        <v>1900</v>
      </c>
      <c r="L1236" t="s">
        <v>4267</v>
      </c>
      <c r="N1236" t="s">
        <v>4268</v>
      </c>
      <c r="O1236" t="s">
        <v>4269</v>
      </c>
      <c r="R1236" t="s">
        <v>4271</v>
      </c>
    </row>
    <row r="1237" spans="1:19" x14ac:dyDescent="0.15">
      <c r="A1237" t="s">
        <v>1860</v>
      </c>
      <c r="B1237" s="61">
        <v>47058</v>
      </c>
      <c r="E1237" t="s">
        <v>355</v>
      </c>
      <c r="F1237" t="s">
        <v>356</v>
      </c>
      <c r="H1237" t="s">
        <v>365</v>
      </c>
      <c r="I1237">
        <v>801205</v>
      </c>
      <c r="J1237" t="s">
        <v>1900</v>
      </c>
      <c r="L1237" t="s">
        <v>4267</v>
      </c>
      <c r="N1237" t="s">
        <v>4272</v>
      </c>
      <c r="O1237" t="s">
        <v>4269</v>
      </c>
      <c r="R1237" t="s">
        <v>4273</v>
      </c>
    </row>
    <row r="1238" spans="1:19" x14ac:dyDescent="0.15">
      <c r="A1238" t="s">
        <v>1860</v>
      </c>
      <c r="B1238" s="61">
        <v>48519</v>
      </c>
      <c r="E1238" t="s">
        <v>355</v>
      </c>
      <c r="F1238" t="s">
        <v>385</v>
      </c>
      <c r="H1238" t="s">
        <v>365</v>
      </c>
      <c r="I1238">
        <v>801205</v>
      </c>
      <c r="J1238" t="s">
        <v>1900</v>
      </c>
      <c r="L1238" t="s">
        <v>4267</v>
      </c>
      <c r="N1238" t="s">
        <v>4272</v>
      </c>
      <c r="O1238" t="s">
        <v>4269</v>
      </c>
      <c r="R1238" t="s">
        <v>4274</v>
      </c>
    </row>
    <row r="1239" spans="1:19" x14ac:dyDescent="0.15">
      <c r="A1239" t="s">
        <v>1860</v>
      </c>
      <c r="B1239" s="61">
        <v>46874</v>
      </c>
      <c r="E1239" t="s">
        <v>355</v>
      </c>
      <c r="F1239" t="s">
        <v>356</v>
      </c>
      <c r="H1239" t="s">
        <v>365</v>
      </c>
      <c r="I1239">
        <v>801205</v>
      </c>
      <c r="J1239" t="s">
        <v>1900</v>
      </c>
      <c r="L1239" t="s">
        <v>4267</v>
      </c>
      <c r="N1239" t="s">
        <v>4275</v>
      </c>
      <c r="O1239" t="s">
        <v>4269</v>
      </c>
      <c r="R1239" t="s">
        <v>4273</v>
      </c>
    </row>
    <row r="1240" spans="1:19" x14ac:dyDescent="0.15">
      <c r="A1240" t="s">
        <v>1860</v>
      </c>
      <c r="B1240" s="61">
        <v>48335</v>
      </c>
      <c r="E1240" t="s">
        <v>355</v>
      </c>
      <c r="F1240" t="s">
        <v>385</v>
      </c>
      <c r="H1240" t="s">
        <v>365</v>
      </c>
      <c r="I1240">
        <v>801205</v>
      </c>
      <c r="J1240" t="s">
        <v>1900</v>
      </c>
      <c r="L1240" t="s">
        <v>4267</v>
      </c>
      <c r="N1240" t="s">
        <v>4275</v>
      </c>
      <c r="O1240" t="s">
        <v>4269</v>
      </c>
      <c r="R1240" t="s">
        <v>4274</v>
      </c>
    </row>
    <row r="1241" spans="1:19" ht="243" x14ac:dyDescent="0.15">
      <c r="A1241" t="s">
        <v>5612</v>
      </c>
      <c r="B1241" s="61">
        <v>46357</v>
      </c>
      <c r="E1241" t="s">
        <v>355</v>
      </c>
      <c r="F1241" t="s">
        <v>356</v>
      </c>
      <c r="H1241" t="s">
        <v>365</v>
      </c>
      <c r="I1241">
        <v>1101259</v>
      </c>
      <c r="J1241" t="s">
        <v>3914</v>
      </c>
      <c r="K1241" t="s">
        <v>3915</v>
      </c>
      <c r="L1241" t="s">
        <v>390</v>
      </c>
      <c r="N1241" t="s">
        <v>4008</v>
      </c>
      <c r="O1241" t="s">
        <v>3916</v>
      </c>
      <c r="R1241" t="s">
        <v>362</v>
      </c>
      <c r="S1241" s="34" t="s">
        <v>4009</v>
      </c>
    </row>
    <row r="1242" spans="1:19" ht="243" x14ac:dyDescent="0.15">
      <c r="A1242" t="s">
        <v>5612</v>
      </c>
      <c r="B1242" s="61">
        <v>47818</v>
      </c>
      <c r="E1242" t="s">
        <v>355</v>
      </c>
      <c r="F1242" t="s">
        <v>385</v>
      </c>
      <c r="H1242" t="s">
        <v>365</v>
      </c>
      <c r="I1242">
        <v>1101259</v>
      </c>
      <c r="J1242" t="s">
        <v>3914</v>
      </c>
      <c r="K1242" t="s">
        <v>3915</v>
      </c>
      <c r="L1242" t="s">
        <v>390</v>
      </c>
      <c r="N1242" t="s">
        <v>4008</v>
      </c>
      <c r="O1242" t="s">
        <v>3916</v>
      </c>
      <c r="R1242" t="s">
        <v>395</v>
      </c>
      <c r="S1242" s="34" t="s">
        <v>4009</v>
      </c>
    </row>
    <row r="1243" spans="1:19" x14ac:dyDescent="0.15">
      <c r="A1243" t="s">
        <v>2067</v>
      </c>
      <c r="B1243" s="61">
        <v>47058</v>
      </c>
      <c r="E1243" t="s">
        <v>355</v>
      </c>
      <c r="F1243" t="s">
        <v>356</v>
      </c>
      <c r="H1243" t="s">
        <v>353</v>
      </c>
      <c r="I1243">
        <v>2202581</v>
      </c>
      <c r="J1243" t="s">
        <v>4276</v>
      </c>
      <c r="K1243" t="s">
        <v>4277</v>
      </c>
      <c r="L1243" t="s">
        <v>4278</v>
      </c>
      <c r="N1243" t="s">
        <v>4279</v>
      </c>
      <c r="O1243" t="s">
        <v>4280</v>
      </c>
      <c r="R1243" t="s">
        <v>362</v>
      </c>
    </row>
    <row r="1244" spans="1:19" x14ac:dyDescent="0.15">
      <c r="A1244" t="s">
        <v>2067</v>
      </c>
      <c r="B1244" s="61">
        <v>48519</v>
      </c>
      <c r="E1244" t="s">
        <v>355</v>
      </c>
      <c r="F1244" t="s">
        <v>385</v>
      </c>
      <c r="H1244" t="s">
        <v>353</v>
      </c>
      <c r="I1244">
        <v>2202581</v>
      </c>
      <c r="J1244" t="s">
        <v>4276</v>
      </c>
      <c r="K1244" t="s">
        <v>4277</v>
      </c>
      <c r="L1244" t="s">
        <v>4278</v>
      </c>
      <c r="N1244" t="s">
        <v>4279</v>
      </c>
      <c r="O1244" t="s">
        <v>4280</v>
      </c>
      <c r="R1244" t="s">
        <v>386</v>
      </c>
    </row>
    <row r="1245" spans="1:19" x14ac:dyDescent="0.15">
      <c r="A1245" t="s">
        <v>6263</v>
      </c>
      <c r="B1245" s="61">
        <v>46997</v>
      </c>
      <c r="E1245" t="s">
        <v>355</v>
      </c>
      <c r="F1245" t="s">
        <v>356</v>
      </c>
      <c r="H1245" t="s">
        <v>353</v>
      </c>
      <c r="I1245">
        <v>3300762</v>
      </c>
      <c r="J1245" t="s">
        <v>531</v>
      </c>
      <c r="K1245" t="s">
        <v>4281</v>
      </c>
      <c r="L1245" t="s">
        <v>4282</v>
      </c>
      <c r="N1245" t="s">
        <v>4283</v>
      </c>
      <c r="O1245" t="s">
        <v>4284</v>
      </c>
      <c r="R1245" t="s">
        <v>362</v>
      </c>
    </row>
    <row r="1246" spans="1:19" x14ac:dyDescent="0.15">
      <c r="A1246" t="s">
        <v>6263</v>
      </c>
      <c r="B1246" s="61">
        <v>48458</v>
      </c>
      <c r="E1246" t="s">
        <v>355</v>
      </c>
      <c r="F1246" t="s">
        <v>385</v>
      </c>
      <c r="H1246" t="s">
        <v>353</v>
      </c>
      <c r="I1246">
        <v>3300762</v>
      </c>
      <c r="J1246" t="s">
        <v>531</v>
      </c>
      <c r="K1246" t="s">
        <v>4281</v>
      </c>
      <c r="L1246" t="s">
        <v>4282</v>
      </c>
      <c r="N1246" t="s">
        <v>4283</v>
      </c>
      <c r="O1246" t="s">
        <v>4284</v>
      </c>
      <c r="R1246" t="s">
        <v>386</v>
      </c>
    </row>
    <row r="1247" spans="1:19" x14ac:dyDescent="0.15">
      <c r="A1247" t="s">
        <v>2597</v>
      </c>
      <c r="B1247" s="61">
        <v>46935</v>
      </c>
      <c r="E1247" t="s">
        <v>355</v>
      </c>
      <c r="F1247" t="s">
        <v>356</v>
      </c>
      <c r="H1247" t="s">
        <v>353</v>
      </c>
      <c r="I1247">
        <v>2701893</v>
      </c>
      <c r="J1247" t="s">
        <v>2688</v>
      </c>
      <c r="K1247" t="s">
        <v>4285</v>
      </c>
      <c r="L1247" t="s">
        <v>413</v>
      </c>
      <c r="N1247" t="s">
        <v>4286</v>
      </c>
      <c r="O1247" t="s">
        <v>4287</v>
      </c>
      <c r="R1247" t="s">
        <v>362</v>
      </c>
    </row>
    <row r="1248" spans="1:19" x14ac:dyDescent="0.15">
      <c r="A1248" t="s">
        <v>2597</v>
      </c>
      <c r="B1248" s="61">
        <v>48396</v>
      </c>
      <c r="E1248" t="s">
        <v>355</v>
      </c>
      <c r="F1248" t="s">
        <v>385</v>
      </c>
      <c r="H1248" t="s">
        <v>353</v>
      </c>
      <c r="I1248">
        <v>2701893</v>
      </c>
      <c r="J1248" t="s">
        <v>2688</v>
      </c>
      <c r="K1248" t="s">
        <v>4285</v>
      </c>
      <c r="L1248" t="s">
        <v>413</v>
      </c>
      <c r="N1248" t="s">
        <v>4286</v>
      </c>
      <c r="O1248" t="s">
        <v>4287</v>
      </c>
      <c r="R1248" t="s">
        <v>386</v>
      </c>
    </row>
    <row r="1249" spans="1:19" x14ac:dyDescent="0.15">
      <c r="A1249" t="s">
        <v>2152</v>
      </c>
      <c r="B1249" s="61">
        <v>46661</v>
      </c>
      <c r="E1249" t="s">
        <v>355</v>
      </c>
      <c r="F1249" t="s">
        <v>356</v>
      </c>
      <c r="H1249" t="s">
        <v>353</v>
      </c>
      <c r="I1249">
        <v>1200914</v>
      </c>
      <c r="J1249" t="s">
        <v>454</v>
      </c>
      <c r="K1249" t="s">
        <v>4288</v>
      </c>
      <c r="L1249" t="s">
        <v>4289</v>
      </c>
      <c r="N1249" t="s">
        <v>4290</v>
      </c>
      <c r="O1249" t="s">
        <v>4291</v>
      </c>
      <c r="R1249" t="s">
        <v>362</v>
      </c>
    </row>
    <row r="1250" spans="1:19" x14ac:dyDescent="0.15">
      <c r="A1250" t="s">
        <v>2152</v>
      </c>
      <c r="B1250" s="61">
        <v>48122</v>
      </c>
      <c r="E1250" t="s">
        <v>355</v>
      </c>
      <c r="F1250" t="s">
        <v>385</v>
      </c>
      <c r="H1250" t="s">
        <v>353</v>
      </c>
      <c r="I1250">
        <v>1200914</v>
      </c>
      <c r="J1250" t="s">
        <v>454</v>
      </c>
      <c r="K1250" t="s">
        <v>4288</v>
      </c>
      <c r="L1250" t="s">
        <v>4289</v>
      </c>
      <c r="N1250" t="s">
        <v>4290</v>
      </c>
      <c r="O1250" t="s">
        <v>4291</v>
      </c>
      <c r="R1250" t="s">
        <v>386</v>
      </c>
    </row>
    <row r="1251" spans="1:19" x14ac:dyDescent="0.15">
      <c r="A1251" t="s">
        <v>2693</v>
      </c>
      <c r="B1251" s="61">
        <v>46905</v>
      </c>
      <c r="E1251" t="s">
        <v>355</v>
      </c>
      <c r="F1251" t="s">
        <v>356</v>
      </c>
      <c r="H1251" t="s">
        <v>353</v>
      </c>
      <c r="I1251">
        <v>2302301</v>
      </c>
      <c r="J1251" t="s">
        <v>4292</v>
      </c>
      <c r="K1251" t="s">
        <v>4293</v>
      </c>
      <c r="L1251" t="s">
        <v>4294</v>
      </c>
      <c r="N1251" t="s">
        <v>4295</v>
      </c>
      <c r="O1251" t="s">
        <v>4296</v>
      </c>
      <c r="R1251" t="s">
        <v>362</v>
      </c>
    </row>
    <row r="1252" spans="1:19" x14ac:dyDescent="0.15">
      <c r="A1252" t="s">
        <v>2693</v>
      </c>
      <c r="B1252" s="61">
        <v>48366</v>
      </c>
      <c r="E1252" t="s">
        <v>355</v>
      </c>
      <c r="F1252" t="s">
        <v>385</v>
      </c>
      <c r="H1252" t="s">
        <v>353</v>
      </c>
      <c r="I1252">
        <v>2302301</v>
      </c>
      <c r="J1252" t="s">
        <v>4292</v>
      </c>
      <c r="K1252" t="s">
        <v>4293</v>
      </c>
      <c r="L1252" t="s">
        <v>4294</v>
      </c>
      <c r="N1252" t="s">
        <v>4295</v>
      </c>
      <c r="O1252" t="s">
        <v>4296</v>
      </c>
      <c r="R1252" t="s">
        <v>386</v>
      </c>
    </row>
    <row r="1253" spans="1:19" x14ac:dyDescent="0.15">
      <c r="A1253" t="s">
        <v>3024</v>
      </c>
      <c r="B1253" s="61">
        <v>46692</v>
      </c>
      <c r="E1253" t="s">
        <v>355</v>
      </c>
      <c r="F1253" t="s">
        <v>356</v>
      </c>
      <c r="H1253" t="s">
        <v>353</v>
      </c>
      <c r="I1253">
        <v>1200857</v>
      </c>
      <c r="J1253" t="s">
        <v>4297</v>
      </c>
      <c r="K1253" t="s">
        <v>4298</v>
      </c>
      <c r="L1253" t="s">
        <v>4299</v>
      </c>
      <c r="N1253" t="s">
        <v>4300</v>
      </c>
      <c r="O1253" t="s">
        <v>4301</v>
      </c>
      <c r="R1253" t="s">
        <v>362</v>
      </c>
    </row>
    <row r="1254" spans="1:19" x14ac:dyDescent="0.15">
      <c r="A1254" t="s">
        <v>3024</v>
      </c>
      <c r="B1254" s="61">
        <v>48153</v>
      </c>
      <c r="E1254" t="s">
        <v>355</v>
      </c>
      <c r="F1254" t="s">
        <v>385</v>
      </c>
      <c r="H1254" t="s">
        <v>353</v>
      </c>
      <c r="I1254">
        <v>1200857</v>
      </c>
      <c r="J1254" t="s">
        <v>4297</v>
      </c>
      <c r="K1254" t="s">
        <v>4298</v>
      </c>
      <c r="L1254" t="s">
        <v>4299</v>
      </c>
      <c r="N1254" t="s">
        <v>4300</v>
      </c>
      <c r="O1254" t="s">
        <v>4301</v>
      </c>
      <c r="R1254" t="s">
        <v>386</v>
      </c>
    </row>
    <row r="1255" spans="1:19" x14ac:dyDescent="0.15">
      <c r="A1255" t="s">
        <v>3822</v>
      </c>
      <c r="B1255" s="61">
        <v>46844</v>
      </c>
      <c r="E1255" t="s">
        <v>355</v>
      </c>
      <c r="F1255" t="s">
        <v>356</v>
      </c>
      <c r="H1255" t="s">
        <v>353</v>
      </c>
      <c r="I1255">
        <v>1800329</v>
      </c>
      <c r="J1255" t="s">
        <v>4302</v>
      </c>
      <c r="K1255" t="s">
        <v>3918</v>
      </c>
      <c r="L1255" t="s">
        <v>413</v>
      </c>
      <c r="N1255" t="s">
        <v>4303</v>
      </c>
      <c r="O1255" t="s">
        <v>4304</v>
      </c>
      <c r="R1255" t="s">
        <v>362</v>
      </c>
    </row>
    <row r="1256" spans="1:19" x14ac:dyDescent="0.15">
      <c r="A1256" t="s">
        <v>3822</v>
      </c>
      <c r="B1256" s="61">
        <v>48305</v>
      </c>
      <c r="E1256" t="s">
        <v>355</v>
      </c>
      <c r="F1256" t="s">
        <v>385</v>
      </c>
      <c r="H1256" t="s">
        <v>353</v>
      </c>
      <c r="I1256">
        <v>1800329</v>
      </c>
      <c r="J1256" t="s">
        <v>4302</v>
      </c>
      <c r="K1256" t="s">
        <v>3918</v>
      </c>
      <c r="L1256" t="s">
        <v>413</v>
      </c>
      <c r="N1256" t="s">
        <v>4303</v>
      </c>
      <c r="O1256" t="s">
        <v>4304</v>
      </c>
      <c r="R1256" t="s">
        <v>386</v>
      </c>
    </row>
    <row r="1257" spans="1:19" x14ac:dyDescent="0.15">
      <c r="A1257" t="s">
        <v>2434</v>
      </c>
      <c r="B1257" s="61">
        <v>46997</v>
      </c>
      <c r="E1257" t="s">
        <v>355</v>
      </c>
      <c r="F1257" t="s">
        <v>356</v>
      </c>
      <c r="H1257" t="s">
        <v>353</v>
      </c>
      <c r="I1257">
        <v>1301879</v>
      </c>
      <c r="J1257" t="s">
        <v>4305</v>
      </c>
      <c r="K1257" t="s">
        <v>4306</v>
      </c>
      <c r="L1257" t="s">
        <v>2617</v>
      </c>
      <c r="N1257" t="s">
        <v>4307</v>
      </c>
      <c r="O1257" t="s">
        <v>4308</v>
      </c>
      <c r="R1257" t="s">
        <v>362</v>
      </c>
    </row>
    <row r="1258" spans="1:19" x14ac:dyDescent="0.15">
      <c r="A1258" t="s">
        <v>2434</v>
      </c>
      <c r="B1258" s="61">
        <v>48458</v>
      </c>
      <c r="E1258" t="s">
        <v>355</v>
      </c>
      <c r="F1258" t="s">
        <v>385</v>
      </c>
      <c r="H1258" t="s">
        <v>353</v>
      </c>
      <c r="I1258">
        <v>1301879</v>
      </c>
      <c r="J1258" t="s">
        <v>4305</v>
      </c>
      <c r="K1258" t="s">
        <v>4306</v>
      </c>
      <c r="L1258" t="s">
        <v>2617</v>
      </c>
      <c r="N1258" t="s">
        <v>4307</v>
      </c>
      <c r="O1258" t="s">
        <v>4308</v>
      </c>
      <c r="R1258" t="s">
        <v>386</v>
      </c>
    </row>
    <row r="1259" spans="1:19" x14ac:dyDescent="0.15">
      <c r="A1259" t="s">
        <v>1354</v>
      </c>
      <c r="B1259" s="61">
        <v>46692</v>
      </c>
      <c r="E1259" t="s">
        <v>355</v>
      </c>
      <c r="F1259" t="s">
        <v>356</v>
      </c>
      <c r="H1259" t="s">
        <v>353</v>
      </c>
      <c r="I1259">
        <v>3100141</v>
      </c>
      <c r="J1259" t="s">
        <v>4309</v>
      </c>
      <c r="K1259" t="s">
        <v>4310</v>
      </c>
      <c r="L1259" t="s">
        <v>390</v>
      </c>
      <c r="N1259" t="s">
        <v>4311</v>
      </c>
      <c r="O1259" t="s">
        <v>4312</v>
      </c>
      <c r="R1259" t="s">
        <v>362</v>
      </c>
    </row>
    <row r="1260" spans="1:19" x14ac:dyDescent="0.15">
      <c r="A1260" t="s">
        <v>1354</v>
      </c>
      <c r="B1260" s="61">
        <v>48153</v>
      </c>
      <c r="E1260" t="s">
        <v>355</v>
      </c>
      <c r="F1260" t="s">
        <v>385</v>
      </c>
      <c r="H1260" t="s">
        <v>353</v>
      </c>
      <c r="I1260">
        <v>3100141</v>
      </c>
      <c r="J1260" t="s">
        <v>4309</v>
      </c>
      <c r="K1260" t="s">
        <v>4310</v>
      </c>
      <c r="L1260" t="s">
        <v>390</v>
      </c>
      <c r="N1260" t="s">
        <v>4311</v>
      </c>
      <c r="O1260" t="s">
        <v>4312</v>
      </c>
      <c r="R1260" t="s">
        <v>386</v>
      </c>
    </row>
    <row r="1261" spans="1:19" ht="229.5" x14ac:dyDescent="0.15">
      <c r="A1261" t="s">
        <v>3822</v>
      </c>
      <c r="B1261" s="61">
        <v>46174</v>
      </c>
      <c r="E1261" t="s">
        <v>355</v>
      </c>
      <c r="F1261" t="s">
        <v>351</v>
      </c>
      <c r="G1261" t="s">
        <v>354</v>
      </c>
      <c r="H1261" t="s">
        <v>353</v>
      </c>
      <c r="I1261">
        <v>1800329</v>
      </c>
      <c r="J1261" t="s">
        <v>4302</v>
      </c>
      <c r="K1261" t="s">
        <v>3918</v>
      </c>
      <c r="L1261" t="s">
        <v>413</v>
      </c>
      <c r="N1261" t="s">
        <v>5164</v>
      </c>
      <c r="O1261" t="s">
        <v>4304</v>
      </c>
      <c r="R1261" s="34" t="s">
        <v>5065</v>
      </c>
      <c r="S1261" s="34" t="s">
        <v>4319</v>
      </c>
    </row>
    <row r="1262" spans="1:19" ht="243" x14ac:dyDescent="0.15">
      <c r="A1262" t="s">
        <v>685</v>
      </c>
      <c r="B1262" s="61">
        <v>46143</v>
      </c>
      <c r="E1262" t="s">
        <v>355</v>
      </c>
      <c r="F1262" t="s">
        <v>351</v>
      </c>
      <c r="G1262" t="s">
        <v>352</v>
      </c>
      <c r="H1262" t="s">
        <v>365</v>
      </c>
      <c r="I1262">
        <v>2100954</v>
      </c>
      <c r="J1262" t="s">
        <v>4321</v>
      </c>
      <c r="K1262" t="s">
        <v>4322</v>
      </c>
      <c r="L1262" t="s">
        <v>4323</v>
      </c>
      <c r="N1262" t="s">
        <v>4324</v>
      </c>
      <c r="O1262" t="s">
        <v>4325</v>
      </c>
      <c r="R1262" t="s">
        <v>3985</v>
      </c>
      <c r="S1262" s="34" t="s">
        <v>4326</v>
      </c>
    </row>
    <row r="1263" spans="1:19" ht="409.5" x14ac:dyDescent="0.15">
      <c r="A1263" t="s">
        <v>3432</v>
      </c>
      <c r="B1263" s="61">
        <v>46143</v>
      </c>
      <c r="E1263" t="s">
        <v>355</v>
      </c>
      <c r="F1263" t="s">
        <v>351</v>
      </c>
      <c r="H1263" t="s">
        <v>365</v>
      </c>
      <c r="I1263">
        <v>2200274</v>
      </c>
      <c r="J1263" t="s">
        <v>1391</v>
      </c>
      <c r="K1263" t="s">
        <v>3460</v>
      </c>
      <c r="L1263" t="s">
        <v>413</v>
      </c>
      <c r="N1263" t="s">
        <v>4327</v>
      </c>
      <c r="O1263" t="s">
        <v>3462</v>
      </c>
      <c r="R1263" t="s">
        <v>3992</v>
      </c>
      <c r="S1263" s="34" t="s">
        <v>4328</v>
      </c>
    </row>
    <row r="1264" spans="1:19" ht="409.5" x14ac:dyDescent="0.15">
      <c r="A1264" t="s">
        <v>3432</v>
      </c>
      <c r="B1264" s="61">
        <v>46143</v>
      </c>
      <c r="E1264" t="s">
        <v>355</v>
      </c>
      <c r="F1264" t="s">
        <v>351</v>
      </c>
      <c r="H1264" t="s">
        <v>365</v>
      </c>
      <c r="I1264">
        <v>2200685</v>
      </c>
      <c r="J1264" t="s">
        <v>1391</v>
      </c>
      <c r="K1264" t="s">
        <v>3433</v>
      </c>
      <c r="L1264" t="s">
        <v>3434</v>
      </c>
      <c r="N1264" t="s">
        <v>4329</v>
      </c>
      <c r="O1264" t="s">
        <v>3435</v>
      </c>
      <c r="R1264" t="s">
        <v>4330</v>
      </c>
      <c r="S1264" s="34" t="s">
        <v>4331</v>
      </c>
    </row>
    <row r="1265" spans="1:19" ht="310.5" x14ac:dyDescent="0.15">
      <c r="A1265" t="s">
        <v>3432</v>
      </c>
      <c r="B1265" s="61">
        <v>46143</v>
      </c>
      <c r="E1265" t="s">
        <v>355</v>
      </c>
      <c r="F1265" t="s">
        <v>351</v>
      </c>
      <c r="H1265" t="s">
        <v>353</v>
      </c>
      <c r="I1265">
        <v>2200685</v>
      </c>
      <c r="J1265" t="s">
        <v>1391</v>
      </c>
      <c r="K1265" t="s">
        <v>3433</v>
      </c>
      <c r="L1265" t="s">
        <v>3434</v>
      </c>
      <c r="N1265" t="s">
        <v>4332</v>
      </c>
      <c r="O1265" t="s">
        <v>3435</v>
      </c>
      <c r="R1265" t="s">
        <v>4330</v>
      </c>
      <c r="S1265" s="34" t="s">
        <v>4333</v>
      </c>
    </row>
    <row r="1266" spans="1:19" ht="409.5" x14ac:dyDescent="0.15">
      <c r="A1266" t="s">
        <v>3177</v>
      </c>
      <c r="B1266" s="61">
        <v>46143</v>
      </c>
      <c r="E1266" t="s">
        <v>355</v>
      </c>
      <c r="F1266" t="s">
        <v>351</v>
      </c>
      <c r="H1266" t="s">
        <v>686</v>
      </c>
      <c r="I1266">
        <v>2701290</v>
      </c>
      <c r="J1266" t="s">
        <v>3178</v>
      </c>
      <c r="K1266" t="s">
        <v>4334</v>
      </c>
      <c r="L1266" t="s">
        <v>4335</v>
      </c>
      <c r="N1266">
        <v>2051030</v>
      </c>
      <c r="O1266" t="s">
        <v>4336</v>
      </c>
      <c r="S1266" s="34" t="s">
        <v>4337</v>
      </c>
    </row>
    <row r="1267" spans="1:19" ht="409.5" x14ac:dyDescent="0.15">
      <c r="A1267" t="s">
        <v>3177</v>
      </c>
      <c r="B1267" s="61">
        <v>46143</v>
      </c>
      <c r="E1267" t="s">
        <v>355</v>
      </c>
      <c r="F1267" t="s">
        <v>351</v>
      </c>
      <c r="H1267" t="s">
        <v>353</v>
      </c>
      <c r="I1267">
        <v>2702291</v>
      </c>
      <c r="J1267" t="s">
        <v>3178</v>
      </c>
      <c r="K1267" t="s">
        <v>3179</v>
      </c>
      <c r="L1267" t="s">
        <v>390</v>
      </c>
      <c r="N1267" t="s">
        <v>3180</v>
      </c>
      <c r="O1267" t="s">
        <v>3181</v>
      </c>
      <c r="R1267" t="s">
        <v>4338</v>
      </c>
      <c r="S1267" s="34" t="s">
        <v>4339</v>
      </c>
    </row>
    <row r="1268" spans="1:19" ht="409.5" x14ac:dyDescent="0.15">
      <c r="A1268" t="s">
        <v>1797</v>
      </c>
      <c r="B1268" s="61">
        <v>46143</v>
      </c>
      <c r="E1268" t="s">
        <v>355</v>
      </c>
      <c r="F1268" t="s">
        <v>351</v>
      </c>
      <c r="H1268" t="s">
        <v>353</v>
      </c>
      <c r="I1268">
        <v>2800021</v>
      </c>
      <c r="J1268" t="s">
        <v>1812</v>
      </c>
      <c r="K1268" t="s">
        <v>1813</v>
      </c>
      <c r="L1268" t="s">
        <v>413</v>
      </c>
      <c r="N1268" t="s">
        <v>1814</v>
      </c>
      <c r="O1268" t="s">
        <v>1815</v>
      </c>
      <c r="R1268" t="s">
        <v>3987</v>
      </c>
      <c r="S1268" s="34" t="s">
        <v>4340</v>
      </c>
    </row>
    <row r="1269" spans="1:19" ht="409.5" x14ac:dyDescent="0.15">
      <c r="A1269" t="s">
        <v>2027</v>
      </c>
      <c r="B1269" s="61">
        <v>46143</v>
      </c>
      <c r="E1269" t="s">
        <v>355</v>
      </c>
      <c r="F1269" t="s">
        <v>351</v>
      </c>
      <c r="H1269" t="s">
        <v>686</v>
      </c>
      <c r="I1269">
        <v>2802381</v>
      </c>
      <c r="J1269" t="s">
        <v>2040</v>
      </c>
      <c r="K1269" t="s">
        <v>1350</v>
      </c>
      <c r="L1269" t="s">
        <v>2041</v>
      </c>
      <c r="N1269">
        <v>2158366</v>
      </c>
      <c r="O1269" t="s">
        <v>2043</v>
      </c>
      <c r="S1269" s="34" t="s">
        <v>4343</v>
      </c>
    </row>
    <row r="1270" spans="1:19" ht="243" x14ac:dyDescent="0.15">
      <c r="A1270" t="s">
        <v>2956</v>
      </c>
      <c r="B1270" s="61">
        <v>46143</v>
      </c>
      <c r="E1270" t="s">
        <v>355</v>
      </c>
      <c r="F1270" t="s">
        <v>351</v>
      </c>
      <c r="H1270" t="s">
        <v>365</v>
      </c>
      <c r="I1270">
        <v>3300093</v>
      </c>
      <c r="J1270" t="s">
        <v>2963</v>
      </c>
      <c r="K1270" t="s">
        <v>2964</v>
      </c>
      <c r="L1270" t="s">
        <v>1957</v>
      </c>
      <c r="N1270" t="s">
        <v>2965</v>
      </c>
      <c r="O1270" t="s">
        <v>2966</v>
      </c>
      <c r="R1270" t="s">
        <v>3986</v>
      </c>
      <c r="S1270" s="34" t="s">
        <v>2967</v>
      </c>
    </row>
    <row r="1271" spans="1:19" ht="409.5" x14ac:dyDescent="0.15">
      <c r="A1271" t="s">
        <v>6546</v>
      </c>
      <c r="B1271" s="61">
        <v>46174</v>
      </c>
      <c r="E1271" t="s">
        <v>355</v>
      </c>
      <c r="F1271" t="s">
        <v>351</v>
      </c>
      <c r="H1271" t="s">
        <v>309</v>
      </c>
      <c r="I1271">
        <v>100635</v>
      </c>
      <c r="J1271" t="s">
        <v>4344</v>
      </c>
      <c r="K1271" t="s">
        <v>4345</v>
      </c>
      <c r="L1271" t="s">
        <v>4346</v>
      </c>
      <c r="N1271" t="s">
        <v>4942</v>
      </c>
      <c r="O1271" t="s">
        <v>4347</v>
      </c>
      <c r="R1271" t="s">
        <v>3992</v>
      </c>
      <c r="S1271" s="34" t="s">
        <v>4943</v>
      </c>
    </row>
    <row r="1272" spans="1:19" ht="243" x14ac:dyDescent="0.15">
      <c r="A1272" t="s">
        <v>1145</v>
      </c>
      <c r="B1272" s="61">
        <v>46174</v>
      </c>
      <c r="E1272" t="s">
        <v>355</v>
      </c>
      <c r="F1272" t="s">
        <v>351</v>
      </c>
      <c r="G1272" t="s">
        <v>352</v>
      </c>
      <c r="H1272" t="s">
        <v>353</v>
      </c>
      <c r="I1272">
        <v>100671</v>
      </c>
      <c r="J1272" t="s">
        <v>1179</v>
      </c>
      <c r="L1272" t="s">
        <v>1180</v>
      </c>
      <c r="N1272" t="s">
        <v>1181</v>
      </c>
      <c r="O1272" t="s">
        <v>1182</v>
      </c>
      <c r="R1272" t="s">
        <v>3985</v>
      </c>
      <c r="S1272" s="34" t="s">
        <v>4348</v>
      </c>
    </row>
    <row r="1273" spans="1:19" ht="229.5" x14ac:dyDescent="0.15">
      <c r="A1273" t="s">
        <v>1993</v>
      </c>
      <c r="B1273" s="61">
        <v>46174</v>
      </c>
      <c r="E1273" t="s">
        <v>355</v>
      </c>
      <c r="F1273" t="s">
        <v>351</v>
      </c>
      <c r="H1273" t="s">
        <v>309</v>
      </c>
      <c r="I1273">
        <v>300201</v>
      </c>
      <c r="J1273" t="s">
        <v>1212</v>
      </c>
      <c r="K1273" t="s">
        <v>4349</v>
      </c>
      <c r="L1273" t="s">
        <v>1340</v>
      </c>
      <c r="N1273" t="s">
        <v>4350</v>
      </c>
      <c r="O1273" t="s">
        <v>4351</v>
      </c>
      <c r="R1273" s="34" t="s">
        <v>4352</v>
      </c>
      <c r="S1273" s="34" t="s">
        <v>4353</v>
      </c>
    </row>
    <row r="1274" spans="1:19" ht="364.5" x14ac:dyDescent="0.15">
      <c r="A1274" t="s">
        <v>2096</v>
      </c>
      <c r="B1274" s="61">
        <v>46174</v>
      </c>
      <c r="E1274" t="s">
        <v>355</v>
      </c>
      <c r="F1274" t="s">
        <v>351</v>
      </c>
      <c r="G1274" t="s">
        <v>352</v>
      </c>
      <c r="H1274" t="s">
        <v>353</v>
      </c>
      <c r="I1274">
        <v>400033</v>
      </c>
      <c r="J1274" t="s">
        <v>1720</v>
      </c>
      <c r="K1274" t="s">
        <v>2102</v>
      </c>
      <c r="L1274" t="s">
        <v>390</v>
      </c>
      <c r="N1274" t="s">
        <v>4354</v>
      </c>
      <c r="O1274" t="s">
        <v>2104</v>
      </c>
      <c r="R1274" t="s">
        <v>3985</v>
      </c>
      <c r="S1274" s="34" t="s">
        <v>2105</v>
      </c>
    </row>
    <row r="1275" spans="1:19" ht="409.5" x14ac:dyDescent="0.15">
      <c r="A1275" t="s">
        <v>914</v>
      </c>
      <c r="B1275" s="61">
        <v>46174</v>
      </c>
      <c r="E1275" t="s">
        <v>355</v>
      </c>
      <c r="F1275" t="s">
        <v>351</v>
      </c>
      <c r="H1275" t="s">
        <v>365</v>
      </c>
      <c r="I1275">
        <v>700414</v>
      </c>
      <c r="J1275" t="s">
        <v>931</v>
      </c>
      <c r="K1275" t="s">
        <v>932</v>
      </c>
      <c r="L1275" t="s">
        <v>373</v>
      </c>
      <c r="N1275" t="s">
        <v>4355</v>
      </c>
      <c r="O1275" t="s">
        <v>934</v>
      </c>
      <c r="R1275" t="s">
        <v>3987</v>
      </c>
      <c r="S1275" s="34" t="s">
        <v>4356</v>
      </c>
    </row>
    <row r="1276" spans="1:19" ht="229.5" x14ac:dyDescent="0.15">
      <c r="A1276" t="s">
        <v>914</v>
      </c>
      <c r="B1276" s="61">
        <v>46174</v>
      </c>
      <c r="E1276" t="s">
        <v>355</v>
      </c>
      <c r="F1276" t="s">
        <v>351</v>
      </c>
      <c r="H1276" t="s">
        <v>353</v>
      </c>
      <c r="I1276">
        <v>700576</v>
      </c>
      <c r="J1276" t="s">
        <v>743</v>
      </c>
      <c r="K1276" t="s">
        <v>949</v>
      </c>
      <c r="L1276" t="s">
        <v>950</v>
      </c>
      <c r="N1276" t="s">
        <v>951</v>
      </c>
      <c r="O1276" t="s">
        <v>952</v>
      </c>
      <c r="R1276" t="s">
        <v>3986</v>
      </c>
      <c r="S1276" s="34" t="s">
        <v>4357</v>
      </c>
    </row>
    <row r="1277" spans="1:19" ht="391.5" x14ac:dyDescent="0.15">
      <c r="A1277" t="s">
        <v>914</v>
      </c>
      <c r="B1277" s="61">
        <v>46174</v>
      </c>
      <c r="E1277" t="s">
        <v>355</v>
      </c>
      <c r="F1277" t="s">
        <v>351</v>
      </c>
      <c r="G1277" t="s">
        <v>352</v>
      </c>
      <c r="H1277" t="s">
        <v>365</v>
      </c>
      <c r="I1277">
        <v>700577</v>
      </c>
      <c r="J1277" t="s">
        <v>4358</v>
      </c>
      <c r="K1277" t="s">
        <v>4359</v>
      </c>
      <c r="L1277" t="s">
        <v>4360</v>
      </c>
      <c r="N1277" t="s">
        <v>4361</v>
      </c>
      <c r="O1277" t="s">
        <v>4362</v>
      </c>
      <c r="R1277" t="s">
        <v>3985</v>
      </c>
      <c r="S1277" s="34" t="s">
        <v>4363</v>
      </c>
    </row>
    <row r="1278" spans="1:19" ht="409.5" x14ac:dyDescent="0.15">
      <c r="A1278" t="s">
        <v>914</v>
      </c>
      <c r="B1278" s="61">
        <v>46174</v>
      </c>
      <c r="E1278" t="s">
        <v>355</v>
      </c>
      <c r="F1278" t="s">
        <v>351</v>
      </c>
      <c r="H1278" t="s">
        <v>353</v>
      </c>
      <c r="I1278">
        <v>700689</v>
      </c>
      <c r="J1278" t="s">
        <v>925</v>
      </c>
      <c r="K1278" t="s">
        <v>926</v>
      </c>
      <c r="L1278" t="s">
        <v>927</v>
      </c>
      <c r="N1278" t="s">
        <v>4364</v>
      </c>
      <c r="O1278" t="s">
        <v>929</v>
      </c>
      <c r="R1278" t="s">
        <v>3987</v>
      </c>
      <c r="S1278" s="34" t="s">
        <v>4365</v>
      </c>
    </row>
    <row r="1279" spans="1:19" ht="409.5" x14ac:dyDescent="0.15">
      <c r="A1279" t="s">
        <v>350</v>
      </c>
      <c r="B1279" s="61">
        <v>46174</v>
      </c>
      <c r="E1279" t="s">
        <v>355</v>
      </c>
      <c r="F1279" t="s">
        <v>351</v>
      </c>
      <c r="H1279" t="s">
        <v>353</v>
      </c>
      <c r="I1279">
        <v>800184</v>
      </c>
      <c r="J1279" t="s">
        <v>357</v>
      </c>
      <c r="K1279" t="s">
        <v>358</v>
      </c>
      <c r="L1279" t="s">
        <v>359</v>
      </c>
      <c r="N1279" t="s">
        <v>5060</v>
      </c>
      <c r="O1279" t="s">
        <v>361</v>
      </c>
      <c r="R1279" t="s">
        <v>3987</v>
      </c>
      <c r="S1279" s="34" t="s">
        <v>5061</v>
      </c>
    </row>
    <row r="1280" spans="1:19" ht="216" x14ac:dyDescent="0.15">
      <c r="A1280" t="s">
        <v>350</v>
      </c>
      <c r="B1280" s="61">
        <v>46174</v>
      </c>
      <c r="E1280" t="s">
        <v>355</v>
      </c>
      <c r="F1280" t="s">
        <v>351</v>
      </c>
      <c r="H1280" t="s">
        <v>353</v>
      </c>
      <c r="I1280">
        <v>800915</v>
      </c>
      <c r="J1280" t="s">
        <v>4024</v>
      </c>
      <c r="K1280" t="s">
        <v>403</v>
      </c>
      <c r="L1280" t="s">
        <v>820</v>
      </c>
      <c r="N1280" t="s">
        <v>4367</v>
      </c>
      <c r="O1280" t="s">
        <v>4368</v>
      </c>
      <c r="R1280" t="s">
        <v>3987</v>
      </c>
      <c r="S1280" s="34" t="s">
        <v>4369</v>
      </c>
    </row>
    <row r="1281" spans="1:19" ht="409.5" x14ac:dyDescent="0.15">
      <c r="A1281" t="s">
        <v>6275</v>
      </c>
      <c r="B1281" s="61">
        <v>46174</v>
      </c>
      <c r="E1281" t="s">
        <v>355</v>
      </c>
      <c r="F1281" t="s">
        <v>351</v>
      </c>
      <c r="G1281" t="s">
        <v>352</v>
      </c>
      <c r="H1281" t="s">
        <v>353</v>
      </c>
      <c r="I1281">
        <v>801281</v>
      </c>
      <c r="J1281" t="s">
        <v>1980</v>
      </c>
      <c r="L1281" t="s">
        <v>1981</v>
      </c>
      <c r="N1281" t="s">
        <v>1982</v>
      </c>
      <c r="O1281" t="s">
        <v>1983</v>
      </c>
      <c r="R1281" t="s">
        <v>3985</v>
      </c>
      <c r="S1281" s="34" t="s">
        <v>4370</v>
      </c>
    </row>
    <row r="1282" spans="1:19" ht="243" x14ac:dyDescent="0.15">
      <c r="A1282" t="s">
        <v>350</v>
      </c>
      <c r="B1282" s="61">
        <v>46174</v>
      </c>
      <c r="E1282" t="s">
        <v>355</v>
      </c>
      <c r="F1282" t="s">
        <v>351</v>
      </c>
      <c r="H1282" t="s">
        <v>353</v>
      </c>
      <c r="I1282">
        <v>801386</v>
      </c>
      <c r="J1282" t="s">
        <v>381</v>
      </c>
      <c r="K1282" t="s">
        <v>377</v>
      </c>
      <c r="L1282" t="s">
        <v>833</v>
      </c>
      <c r="N1282" t="s">
        <v>4071</v>
      </c>
      <c r="O1282" t="s">
        <v>4371</v>
      </c>
      <c r="R1282" t="s">
        <v>3986</v>
      </c>
      <c r="S1282" s="34" t="s">
        <v>4372</v>
      </c>
    </row>
    <row r="1283" spans="1:19" ht="409.5" x14ac:dyDescent="0.15">
      <c r="A1283" t="s">
        <v>3051</v>
      </c>
      <c r="B1283" s="61">
        <v>46174</v>
      </c>
      <c r="E1283" t="s">
        <v>355</v>
      </c>
      <c r="F1283" t="s">
        <v>351</v>
      </c>
      <c r="H1283" t="s">
        <v>309</v>
      </c>
      <c r="I1283">
        <v>900041</v>
      </c>
      <c r="J1283" t="s">
        <v>4373</v>
      </c>
      <c r="K1283" t="s">
        <v>4374</v>
      </c>
      <c r="L1283" t="s">
        <v>4375</v>
      </c>
      <c r="N1283" t="s">
        <v>4376</v>
      </c>
      <c r="O1283" t="s">
        <v>4377</v>
      </c>
      <c r="R1283" t="s">
        <v>3992</v>
      </c>
      <c r="S1283" s="34" t="s">
        <v>5201</v>
      </c>
    </row>
    <row r="1284" spans="1:19" ht="409.5" x14ac:dyDescent="0.15">
      <c r="A1284" t="s">
        <v>5612</v>
      </c>
      <c r="B1284" s="61">
        <v>46174</v>
      </c>
      <c r="E1284" t="s">
        <v>355</v>
      </c>
      <c r="F1284" t="s">
        <v>351</v>
      </c>
      <c r="G1284" t="s">
        <v>352</v>
      </c>
      <c r="H1284" t="s">
        <v>353</v>
      </c>
      <c r="I1284">
        <v>900060</v>
      </c>
      <c r="J1284" t="s">
        <v>1720</v>
      </c>
      <c r="K1284" t="s">
        <v>3555</v>
      </c>
      <c r="L1284" t="s">
        <v>378</v>
      </c>
      <c r="N1284" t="s">
        <v>4378</v>
      </c>
      <c r="O1284" t="s">
        <v>3557</v>
      </c>
      <c r="R1284" t="s">
        <v>3985</v>
      </c>
      <c r="S1284" s="34" t="s">
        <v>5202</v>
      </c>
    </row>
    <row r="1285" spans="1:19" ht="409.5" x14ac:dyDescent="0.15">
      <c r="A1285" t="s">
        <v>3089</v>
      </c>
      <c r="B1285" s="61">
        <v>46174</v>
      </c>
      <c r="E1285" t="s">
        <v>355</v>
      </c>
      <c r="F1285" t="s">
        <v>351</v>
      </c>
      <c r="H1285" t="s">
        <v>353</v>
      </c>
      <c r="I1285">
        <v>900689</v>
      </c>
      <c r="J1285" t="s">
        <v>3118</v>
      </c>
      <c r="K1285" t="s">
        <v>3119</v>
      </c>
      <c r="L1285" t="s">
        <v>390</v>
      </c>
      <c r="N1285" t="s">
        <v>4379</v>
      </c>
      <c r="O1285" t="s">
        <v>3121</v>
      </c>
      <c r="R1285" t="s">
        <v>3987</v>
      </c>
      <c r="S1285" s="34" t="s">
        <v>5203</v>
      </c>
    </row>
    <row r="1286" spans="1:19" ht="243" x14ac:dyDescent="0.15">
      <c r="A1286" t="s">
        <v>3089</v>
      </c>
      <c r="B1286" s="61">
        <v>46174</v>
      </c>
      <c r="E1286" t="s">
        <v>355</v>
      </c>
      <c r="F1286" t="s">
        <v>351</v>
      </c>
      <c r="H1286" t="s">
        <v>365</v>
      </c>
      <c r="I1286">
        <v>900984</v>
      </c>
      <c r="J1286" t="s">
        <v>3094</v>
      </c>
      <c r="L1286" t="s">
        <v>1148</v>
      </c>
      <c r="N1286" t="s">
        <v>3095</v>
      </c>
      <c r="O1286" t="s">
        <v>3096</v>
      </c>
      <c r="R1286" t="s">
        <v>3987</v>
      </c>
      <c r="S1286" s="34" t="s">
        <v>3097</v>
      </c>
    </row>
    <row r="1287" spans="1:19" ht="409.5" x14ac:dyDescent="0.15">
      <c r="A1287" t="s">
        <v>837</v>
      </c>
      <c r="B1287" s="61">
        <v>46174</v>
      </c>
      <c r="E1287" t="s">
        <v>355</v>
      </c>
      <c r="F1287" t="s">
        <v>351</v>
      </c>
      <c r="H1287" t="s">
        <v>686</v>
      </c>
      <c r="I1287">
        <v>1000919</v>
      </c>
      <c r="J1287" t="s">
        <v>843</v>
      </c>
      <c r="K1287" t="s">
        <v>844</v>
      </c>
      <c r="L1287" t="s">
        <v>845</v>
      </c>
      <c r="N1287">
        <v>2094660</v>
      </c>
      <c r="O1287" t="s">
        <v>846</v>
      </c>
      <c r="S1287" s="34" t="s">
        <v>3993</v>
      </c>
    </row>
    <row r="1288" spans="1:19" ht="409.5" x14ac:dyDescent="0.15">
      <c r="A1288" t="s">
        <v>5612</v>
      </c>
      <c r="B1288" s="61">
        <v>46174</v>
      </c>
      <c r="E1288" t="s">
        <v>355</v>
      </c>
      <c r="F1288" t="s">
        <v>351</v>
      </c>
      <c r="H1288" t="s">
        <v>353</v>
      </c>
      <c r="I1288">
        <v>1001031</v>
      </c>
      <c r="J1288" t="s">
        <v>743</v>
      </c>
      <c r="K1288" t="s">
        <v>3541</v>
      </c>
      <c r="L1288" t="s">
        <v>390</v>
      </c>
      <c r="N1288" t="s">
        <v>5066</v>
      </c>
      <c r="O1288" t="s">
        <v>3543</v>
      </c>
      <c r="R1288" t="s">
        <v>4318</v>
      </c>
      <c r="S1288" s="34" t="s">
        <v>5204</v>
      </c>
    </row>
    <row r="1289" spans="1:19" ht="409.5" x14ac:dyDescent="0.15">
      <c r="A1289" t="s">
        <v>5612</v>
      </c>
      <c r="B1289" s="61">
        <v>46174</v>
      </c>
      <c r="E1289" t="s">
        <v>355</v>
      </c>
      <c r="F1289" t="s">
        <v>351</v>
      </c>
      <c r="H1289" t="s">
        <v>686</v>
      </c>
      <c r="I1289">
        <v>1001031</v>
      </c>
      <c r="J1289" t="s">
        <v>743</v>
      </c>
      <c r="K1289" t="s">
        <v>3541</v>
      </c>
      <c r="L1289" t="s">
        <v>390</v>
      </c>
      <c r="N1289">
        <v>2152526</v>
      </c>
      <c r="O1289" t="s">
        <v>3543</v>
      </c>
      <c r="S1289" s="34" t="s">
        <v>5205</v>
      </c>
    </row>
    <row r="1290" spans="1:19" ht="351" x14ac:dyDescent="0.15">
      <c r="A1290" t="s">
        <v>2255</v>
      </c>
      <c r="B1290" s="61">
        <v>46174</v>
      </c>
      <c r="E1290" t="s">
        <v>355</v>
      </c>
      <c r="F1290" t="s">
        <v>351</v>
      </c>
      <c r="G1290" t="s">
        <v>352</v>
      </c>
      <c r="H1290" t="s">
        <v>353</v>
      </c>
      <c r="I1290">
        <v>1101207</v>
      </c>
      <c r="J1290" t="s">
        <v>2273</v>
      </c>
      <c r="K1290" t="s">
        <v>2274</v>
      </c>
      <c r="L1290" t="s">
        <v>390</v>
      </c>
      <c r="N1290" t="s">
        <v>2275</v>
      </c>
      <c r="O1290" t="s">
        <v>2276</v>
      </c>
      <c r="R1290" t="s">
        <v>3985</v>
      </c>
      <c r="S1290" s="34" t="s">
        <v>2277</v>
      </c>
    </row>
    <row r="1291" spans="1:19" ht="216" x14ac:dyDescent="0.15">
      <c r="A1291" t="s">
        <v>2255</v>
      </c>
      <c r="B1291" s="61">
        <v>46174</v>
      </c>
      <c r="E1291" t="s">
        <v>355</v>
      </c>
      <c r="F1291" t="s">
        <v>351</v>
      </c>
      <c r="H1291" t="s">
        <v>686</v>
      </c>
      <c r="I1291">
        <v>1101207</v>
      </c>
      <c r="J1291" t="s">
        <v>2273</v>
      </c>
      <c r="K1291" t="s">
        <v>2274</v>
      </c>
      <c r="L1291" t="s">
        <v>390</v>
      </c>
      <c r="N1291">
        <v>2139871</v>
      </c>
      <c r="O1291" t="s">
        <v>2276</v>
      </c>
      <c r="S1291" s="34" t="s">
        <v>5206</v>
      </c>
    </row>
    <row r="1292" spans="1:19" ht="409.5" x14ac:dyDescent="0.15">
      <c r="A1292" t="s">
        <v>2404</v>
      </c>
      <c r="B1292" s="61">
        <v>46174</v>
      </c>
      <c r="E1292" t="s">
        <v>355</v>
      </c>
      <c r="F1292" t="s">
        <v>351</v>
      </c>
      <c r="G1292" t="s">
        <v>352</v>
      </c>
      <c r="H1292" t="s">
        <v>365</v>
      </c>
      <c r="I1292">
        <v>1102101</v>
      </c>
      <c r="J1292" t="s">
        <v>2417</v>
      </c>
      <c r="L1292" t="s">
        <v>4380</v>
      </c>
      <c r="N1292" t="s">
        <v>4381</v>
      </c>
      <c r="O1292" t="s">
        <v>4382</v>
      </c>
      <c r="R1292" t="s">
        <v>3985</v>
      </c>
      <c r="S1292" s="34" t="s">
        <v>5207</v>
      </c>
    </row>
    <row r="1293" spans="1:19" ht="391.5" x14ac:dyDescent="0.15">
      <c r="A1293" t="s">
        <v>2404</v>
      </c>
      <c r="B1293" s="61">
        <v>46174</v>
      </c>
      <c r="E1293" t="s">
        <v>355</v>
      </c>
      <c r="F1293" t="s">
        <v>351</v>
      </c>
      <c r="H1293" t="s">
        <v>686</v>
      </c>
      <c r="I1293">
        <v>1102101</v>
      </c>
      <c r="J1293" t="s">
        <v>2417</v>
      </c>
      <c r="L1293" t="s">
        <v>4380</v>
      </c>
      <c r="N1293">
        <v>2152662</v>
      </c>
      <c r="O1293" t="s">
        <v>4382</v>
      </c>
      <c r="S1293" s="34" t="s">
        <v>5208</v>
      </c>
    </row>
    <row r="1294" spans="1:19" ht="256.5" x14ac:dyDescent="0.15">
      <c r="A1294" t="s">
        <v>5845</v>
      </c>
      <c r="B1294" s="61">
        <v>46174</v>
      </c>
      <c r="E1294" t="s">
        <v>355</v>
      </c>
      <c r="F1294" t="s">
        <v>351</v>
      </c>
      <c r="H1294" t="s">
        <v>353</v>
      </c>
      <c r="I1294">
        <v>1102205</v>
      </c>
      <c r="J1294" t="s">
        <v>4383</v>
      </c>
      <c r="K1294" t="s">
        <v>4384</v>
      </c>
      <c r="L1294" t="s">
        <v>4385</v>
      </c>
      <c r="N1294" t="s">
        <v>4386</v>
      </c>
      <c r="O1294" t="s">
        <v>4387</v>
      </c>
      <c r="R1294" t="s">
        <v>4012</v>
      </c>
      <c r="S1294" s="34" t="s">
        <v>5209</v>
      </c>
    </row>
    <row r="1295" spans="1:19" ht="378" x14ac:dyDescent="0.15">
      <c r="A1295" t="s">
        <v>5612</v>
      </c>
      <c r="B1295" s="61">
        <v>46174</v>
      </c>
      <c r="E1295" t="s">
        <v>355</v>
      </c>
      <c r="F1295" t="s">
        <v>351</v>
      </c>
      <c r="H1295" t="s">
        <v>353</v>
      </c>
      <c r="I1295">
        <v>1102263</v>
      </c>
      <c r="J1295" t="s">
        <v>3478</v>
      </c>
      <c r="K1295" t="s">
        <v>4388</v>
      </c>
      <c r="L1295" t="s">
        <v>413</v>
      </c>
      <c r="N1295" t="s">
        <v>4389</v>
      </c>
      <c r="O1295" t="s">
        <v>4390</v>
      </c>
      <c r="R1295" t="s">
        <v>3987</v>
      </c>
      <c r="S1295" s="34" t="s">
        <v>5210</v>
      </c>
    </row>
    <row r="1296" spans="1:19" ht="202.5" x14ac:dyDescent="0.15">
      <c r="A1296" t="s">
        <v>2404</v>
      </c>
      <c r="B1296" s="61">
        <v>46174</v>
      </c>
      <c r="E1296" t="s">
        <v>355</v>
      </c>
      <c r="F1296" t="s">
        <v>351</v>
      </c>
      <c r="H1296" t="s">
        <v>686</v>
      </c>
      <c r="I1296">
        <v>1102324</v>
      </c>
      <c r="J1296" t="s">
        <v>2417</v>
      </c>
      <c r="L1296" t="s">
        <v>2418</v>
      </c>
      <c r="N1296">
        <v>2119850</v>
      </c>
      <c r="O1296" t="s">
        <v>2420</v>
      </c>
      <c r="S1296" s="34" t="s">
        <v>5211</v>
      </c>
    </row>
    <row r="1297" spans="1:19" ht="229.5" x14ac:dyDescent="0.15">
      <c r="A1297" t="s">
        <v>2255</v>
      </c>
      <c r="B1297" s="61">
        <v>46174</v>
      </c>
      <c r="E1297" t="s">
        <v>355</v>
      </c>
      <c r="F1297" t="s">
        <v>351</v>
      </c>
      <c r="H1297" t="s">
        <v>686</v>
      </c>
      <c r="I1297">
        <v>1102405</v>
      </c>
      <c r="J1297" t="s">
        <v>2281</v>
      </c>
      <c r="K1297" t="s">
        <v>2282</v>
      </c>
      <c r="L1297" t="s">
        <v>692</v>
      </c>
      <c r="N1297">
        <v>2108751</v>
      </c>
      <c r="O1297" t="s">
        <v>2284</v>
      </c>
      <c r="S1297" s="34" t="s">
        <v>5212</v>
      </c>
    </row>
    <row r="1298" spans="1:19" ht="229.5" x14ac:dyDescent="0.15">
      <c r="A1298" t="s">
        <v>2255</v>
      </c>
      <c r="B1298" s="61">
        <v>46174</v>
      </c>
      <c r="E1298" t="s">
        <v>355</v>
      </c>
      <c r="F1298" t="s">
        <v>351</v>
      </c>
      <c r="H1298" t="s">
        <v>353</v>
      </c>
      <c r="I1298">
        <v>1102407</v>
      </c>
      <c r="J1298" t="s">
        <v>2293</v>
      </c>
      <c r="K1298" t="s">
        <v>1251</v>
      </c>
      <c r="L1298" t="s">
        <v>2294</v>
      </c>
      <c r="N1298" t="s">
        <v>2295</v>
      </c>
      <c r="O1298" t="s">
        <v>2296</v>
      </c>
      <c r="R1298" t="s">
        <v>3987</v>
      </c>
      <c r="S1298" s="34" t="s">
        <v>5213</v>
      </c>
    </row>
    <row r="1299" spans="1:19" ht="409.5" x14ac:dyDescent="0.15">
      <c r="A1299" t="s">
        <v>769</v>
      </c>
      <c r="B1299" s="61">
        <v>46174</v>
      </c>
      <c r="E1299" t="s">
        <v>355</v>
      </c>
      <c r="F1299" t="s">
        <v>351</v>
      </c>
      <c r="H1299" t="s">
        <v>353</v>
      </c>
      <c r="I1299">
        <v>1102447</v>
      </c>
      <c r="J1299" t="s">
        <v>464</v>
      </c>
      <c r="K1299" t="s">
        <v>785</v>
      </c>
      <c r="L1299" t="s">
        <v>786</v>
      </c>
      <c r="N1299" t="s">
        <v>5067</v>
      </c>
      <c r="O1299" t="s">
        <v>788</v>
      </c>
      <c r="R1299" t="s">
        <v>3987</v>
      </c>
      <c r="S1299" s="34" t="s">
        <v>5068</v>
      </c>
    </row>
    <row r="1300" spans="1:19" ht="391.5" x14ac:dyDescent="0.15">
      <c r="A1300" t="s">
        <v>5612</v>
      </c>
      <c r="B1300" s="61">
        <v>46174</v>
      </c>
      <c r="E1300" t="s">
        <v>355</v>
      </c>
      <c r="F1300" t="s">
        <v>351</v>
      </c>
      <c r="H1300" t="s">
        <v>365</v>
      </c>
      <c r="I1300">
        <v>1102470</v>
      </c>
      <c r="J1300" t="s">
        <v>3574</v>
      </c>
      <c r="K1300" t="s">
        <v>3575</v>
      </c>
      <c r="L1300" t="s">
        <v>3576</v>
      </c>
      <c r="N1300" t="s">
        <v>3577</v>
      </c>
      <c r="O1300" t="s">
        <v>3578</v>
      </c>
      <c r="R1300" t="s">
        <v>3987</v>
      </c>
      <c r="S1300" s="34" t="s">
        <v>5214</v>
      </c>
    </row>
    <row r="1301" spans="1:19" ht="409.5" x14ac:dyDescent="0.15">
      <c r="A1301" t="s">
        <v>2255</v>
      </c>
      <c r="B1301" s="61">
        <v>46174</v>
      </c>
      <c r="E1301" t="s">
        <v>355</v>
      </c>
      <c r="F1301" t="s">
        <v>351</v>
      </c>
      <c r="H1301" t="s">
        <v>353</v>
      </c>
      <c r="I1301">
        <v>1102565</v>
      </c>
      <c r="J1301" t="s">
        <v>1255</v>
      </c>
      <c r="K1301" t="s">
        <v>2307</v>
      </c>
      <c r="L1301" t="s">
        <v>4391</v>
      </c>
      <c r="N1301" t="s">
        <v>2309</v>
      </c>
      <c r="O1301" t="s">
        <v>2310</v>
      </c>
      <c r="R1301" t="s">
        <v>4392</v>
      </c>
      <c r="S1301" s="34" t="s">
        <v>5215</v>
      </c>
    </row>
    <row r="1302" spans="1:19" ht="409.5" x14ac:dyDescent="0.15">
      <c r="A1302" t="s">
        <v>2255</v>
      </c>
      <c r="B1302" s="61">
        <v>46174</v>
      </c>
      <c r="E1302" t="s">
        <v>355</v>
      </c>
      <c r="F1302" t="s">
        <v>351</v>
      </c>
      <c r="H1302" t="s">
        <v>686</v>
      </c>
      <c r="I1302">
        <v>1102565</v>
      </c>
      <c r="J1302" t="s">
        <v>1255</v>
      </c>
      <c r="K1302" t="s">
        <v>2307</v>
      </c>
      <c r="L1302" t="s">
        <v>4391</v>
      </c>
      <c r="N1302">
        <v>2166110</v>
      </c>
      <c r="O1302" t="s">
        <v>2310</v>
      </c>
      <c r="S1302" s="34" t="s">
        <v>5216</v>
      </c>
    </row>
    <row r="1303" spans="1:19" ht="409.5" x14ac:dyDescent="0.15">
      <c r="A1303" t="s">
        <v>2404</v>
      </c>
      <c r="B1303" s="61">
        <v>46174</v>
      </c>
      <c r="E1303" t="s">
        <v>355</v>
      </c>
      <c r="F1303" t="s">
        <v>351</v>
      </c>
      <c r="H1303" t="s">
        <v>353</v>
      </c>
      <c r="I1303">
        <v>1102571</v>
      </c>
      <c r="J1303" t="s">
        <v>1057</v>
      </c>
      <c r="K1303" t="s">
        <v>1058</v>
      </c>
      <c r="L1303" t="s">
        <v>390</v>
      </c>
      <c r="N1303" t="s">
        <v>4393</v>
      </c>
      <c r="O1303" t="s">
        <v>1060</v>
      </c>
      <c r="R1303" t="s">
        <v>3987</v>
      </c>
      <c r="S1303" s="34" t="s">
        <v>5217</v>
      </c>
    </row>
    <row r="1304" spans="1:19" ht="409.5" x14ac:dyDescent="0.15">
      <c r="A1304" t="s">
        <v>2152</v>
      </c>
      <c r="B1304" s="61">
        <v>46174</v>
      </c>
      <c r="E1304" t="s">
        <v>355</v>
      </c>
      <c r="F1304" t="s">
        <v>351</v>
      </c>
      <c r="H1304" t="s">
        <v>365</v>
      </c>
      <c r="I1304">
        <v>1200104</v>
      </c>
      <c r="J1304" t="s">
        <v>2189</v>
      </c>
      <c r="K1304" t="s">
        <v>2190</v>
      </c>
      <c r="L1304" t="s">
        <v>413</v>
      </c>
      <c r="N1304" t="s">
        <v>2191</v>
      </c>
      <c r="O1304" t="s">
        <v>2192</v>
      </c>
      <c r="R1304" t="s">
        <v>3986</v>
      </c>
      <c r="S1304" s="34" t="s">
        <v>5218</v>
      </c>
    </row>
    <row r="1305" spans="1:19" ht="409.5" x14ac:dyDescent="0.15">
      <c r="A1305" t="s">
        <v>2152</v>
      </c>
      <c r="B1305" s="61">
        <v>46174</v>
      </c>
      <c r="E1305" t="s">
        <v>355</v>
      </c>
      <c r="F1305" t="s">
        <v>351</v>
      </c>
      <c r="H1305" t="s">
        <v>686</v>
      </c>
      <c r="I1305">
        <v>1200104</v>
      </c>
      <c r="J1305" t="s">
        <v>2189</v>
      </c>
      <c r="K1305" t="s">
        <v>2190</v>
      </c>
      <c r="L1305" t="s">
        <v>413</v>
      </c>
      <c r="N1305">
        <v>2110321</v>
      </c>
      <c r="O1305" t="s">
        <v>2192</v>
      </c>
      <c r="S1305" s="34" t="s">
        <v>5219</v>
      </c>
    </row>
    <row r="1306" spans="1:19" ht="243" x14ac:dyDescent="0.15">
      <c r="A1306" t="s">
        <v>2160</v>
      </c>
      <c r="B1306" s="61">
        <v>46174</v>
      </c>
      <c r="E1306" t="s">
        <v>355</v>
      </c>
      <c r="F1306" t="s">
        <v>351</v>
      </c>
      <c r="G1306" t="s">
        <v>352</v>
      </c>
      <c r="H1306" t="s">
        <v>310</v>
      </c>
      <c r="I1306">
        <v>1200911</v>
      </c>
      <c r="J1306" t="s">
        <v>1988</v>
      </c>
      <c r="K1306" t="s">
        <v>2155</v>
      </c>
      <c r="L1306" t="s">
        <v>2195</v>
      </c>
      <c r="N1306" t="s">
        <v>4396</v>
      </c>
      <c r="O1306" t="s">
        <v>4397</v>
      </c>
      <c r="R1306" t="s">
        <v>3985</v>
      </c>
      <c r="S1306" s="34" t="s">
        <v>5220</v>
      </c>
    </row>
    <row r="1307" spans="1:19" ht="409.5" x14ac:dyDescent="0.15">
      <c r="A1307" t="s">
        <v>6275</v>
      </c>
      <c r="B1307" s="61">
        <v>46174</v>
      </c>
      <c r="E1307" t="s">
        <v>355</v>
      </c>
      <c r="F1307" t="s">
        <v>351</v>
      </c>
      <c r="G1307" t="s">
        <v>352</v>
      </c>
      <c r="H1307" t="s">
        <v>310</v>
      </c>
      <c r="I1307">
        <v>1201038</v>
      </c>
      <c r="J1307" t="s">
        <v>2227</v>
      </c>
      <c r="K1307" t="s">
        <v>2228</v>
      </c>
      <c r="L1307" t="s">
        <v>2223</v>
      </c>
      <c r="N1307" t="s">
        <v>4398</v>
      </c>
      <c r="O1307" t="s">
        <v>2230</v>
      </c>
      <c r="R1307" t="s">
        <v>3985</v>
      </c>
      <c r="S1307" s="34" t="s">
        <v>2231</v>
      </c>
    </row>
    <row r="1308" spans="1:19" ht="243" x14ac:dyDescent="0.15">
      <c r="A1308" t="s">
        <v>2152</v>
      </c>
      <c r="B1308" s="61">
        <v>46174</v>
      </c>
      <c r="E1308" t="s">
        <v>355</v>
      </c>
      <c r="F1308" t="s">
        <v>351</v>
      </c>
      <c r="H1308" t="s">
        <v>310</v>
      </c>
      <c r="I1308">
        <v>1201079</v>
      </c>
      <c r="J1308" t="s">
        <v>2184</v>
      </c>
      <c r="K1308" t="s">
        <v>2185</v>
      </c>
      <c r="L1308" t="s">
        <v>2186</v>
      </c>
      <c r="N1308" t="s">
        <v>2187</v>
      </c>
      <c r="O1308" t="s">
        <v>2188</v>
      </c>
      <c r="R1308" t="s">
        <v>3986</v>
      </c>
      <c r="S1308" s="34" t="s">
        <v>5221</v>
      </c>
    </row>
    <row r="1309" spans="1:19" ht="409.5" x14ac:dyDescent="0.15">
      <c r="A1309" t="s">
        <v>5393</v>
      </c>
      <c r="B1309" s="61">
        <v>46174</v>
      </c>
      <c r="E1309" t="s">
        <v>355</v>
      </c>
      <c r="F1309" t="s">
        <v>351</v>
      </c>
      <c r="H1309" t="s">
        <v>686</v>
      </c>
      <c r="I1309">
        <v>1201180</v>
      </c>
      <c r="J1309" t="s">
        <v>974</v>
      </c>
      <c r="K1309" t="s">
        <v>3905</v>
      </c>
      <c r="L1309" t="s">
        <v>390</v>
      </c>
      <c r="N1309">
        <v>2150082</v>
      </c>
      <c r="O1309" t="s">
        <v>3907</v>
      </c>
      <c r="S1309" s="34" t="s">
        <v>5222</v>
      </c>
    </row>
    <row r="1310" spans="1:19" ht="409.5" x14ac:dyDescent="0.15">
      <c r="A1310" t="s">
        <v>2152</v>
      </c>
      <c r="B1310" s="61">
        <v>46174</v>
      </c>
      <c r="E1310" t="s">
        <v>355</v>
      </c>
      <c r="F1310" t="s">
        <v>351</v>
      </c>
      <c r="H1310" t="s">
        <v>353</v>
      </c>
      <c r="I1310">
        <v>1201512</v>
      </c>
      <c r="J1310" t="s">
        <v>2202</v>
      </c>
      <c r="L1310" t="s">
        <v>2203</v>
      </c>
      <c r="N1310" t="s">
        <v>4399</v>
      </c>
      <c r="O1310" t="s">
        <v>2205</v>
      </c>
      <c r="R1310" t="s">
        <v>3987</v>
      </c>
      <c r="S1310" s="34" t="s">
        <v>5223</v>
      </c>
    </row>
    <row r="1311" spans="1:19" ht="351" x14ac:dyDescent="0.15">
      <c r="A1311" t="s">
        <v>5524</v>
      </c>
      <c r="B1311" s="61">
        <v>46174</v>
      </c>
      <c r="E1311" t="s">
        <v>355</v>
      </c>
      <c r="F1311" t="s">
        <v>351</v>
      </c>
      <c r="H1311" t="s">
        <v>353</v>
      </c>
      <c r="I1311">
        <v>1300366</v>
      </c>
      <c r="J1311" t="s">
        <v>1012</v>
      </c>
      <c r="K1311" t="s">
        <v>1013</v>
      </c>
      <c r="L1311" t="s">
        <v>1014</v>
      </c>
      <c r="N1311" t="s">
        <v>1015</v>
      </c>
      <c r="O1311" t="s">
        <v>1016</v>
      </c>
      <c r="R1311" t="s">
        <v>3992</v>
      </c>
      <c r="S1311" s="34" t="s">
        <v>1017</v>
      </c>
    </row>
    <row r="1312" spans="1:19" ht="391.5" x14ac:dyDescent="0.15">
      <c r="A1312" t="s">
        <v>5524</v>
      </c>
      <c r="B1312" s="61">
        <v>46174</v>
      </c>
      <c r="E1312" t="s">
        <v>355</v>
      </c>
      <c r="F1312" t="s">
        <v>351</v>
      </c>
      <c r="H1312" t="s">
        <v>365</v>
      </c>
      <c r="I1312">
        <v>1300366</v>
      </c>
      <c r="J1312" t="s">
        <v>1012</v>
      </c>
      <c r="K1312" t="s">
        <v>1013</v>
      </c>
      <c r="L1312" t="s">
        <v>1014</v>
      </c>
      <c r="N1312" t="s">
        <v>4400</v>
      </c>
      <c r="O1312" t="s">
        <v>1016</v>
      </c>
      <c r="R1312" t="s">
        <v>3992</v>
      </c>
      <c r="S1312" s="34" t="s">
        <v>5196</v>
      </c>
    </row>
    <row r="1313" spans="1:19" ht="409.5" x14ac:dyDescent="0.15">
      <c r="A1313" t="s">
        <v>3024</v>
      </c>
      <c r="B1313" s="61">
        <v>46174</v>
      </c>
      <c r="E1313" t="s">
        <v>355</v>
      </c>
      <c r="F1313" t="s">
        <v>351</v>
      </c>
      <c r="H1313" t="s">
        <v>365</v>
      </c>
      <c r="I1313">
        <v>1301371</v>
      </c>
      <c r="J1313" t="s">
        <v>3025</v>
      </c>
      <c r="L1313" t="s">
        <v>820</v>
      </c>
      <c r="N1313" t="s">
        <v>3026</v>
      </c>
      <c r="O1313" t="s">
        <v>3027</v>
      </c>
      <c r="R1313" t="s">
        <v>3986</v>
      </c>
      <c r="S1313" s="34" t="s">
        <v>5224</v>
      </c>
    </row>
    <row r="1314" spans="1:19" ht="409.5" x14ac:dyDescent="0.15">
      <c r="A1314" t="s">
        <v>2434</v>
      </c>
      <c r="B1314" s="61">
        <v>46174</v>
      </c>
      <c r="E1314" t="s">
        <v>355</v>
      </c>
      <c r="F1314" t="s">
        <v>351</v>
      </c>
      <c r="H1314" t="s">
        <v>3996</v>
      </c>
      <c r="I1314">
        <v>1301459</v>
      </c>
      <c r="J1314" t="s">
        <v>2407</v>
      </c>
      <c r="K1314" t="s">
        <v>4401</v>
      </c>
      <c r="L1314" t="s">
        <v>2041</v>
      </c>
      <c r="N1314">
        <v>7363</v>
      </c>
      <c r="O1314" t="s">
        <v>4402</v>
      </c>
      <c r="S1314" s="34" t="s">
        <v>5225</v>
      </c>
    </row>
    <row r="1315" spans="1:19" ht="229.5" x14ac:dyDescent="0.15">
      <c r="A1315" t="s">
        <v>501</v>
      </c>
      <c r="B1315" s="61">
        <v>46174</v>
      </c>
      <c r="E1315" t="s">
        <v>355</v>
      </c>
      <c r="F1315" t="s">
        <v>351</v>
      </c>
      <c r="H1315" t="s">
        <v>353</v>
      </c>
      <c r="I1315">
        <v>1400286</v>
      </c>
      <c r="J1315" t="s">
        <v>547</v>
      </c>
      <c r="L1315" t="s">
        <v>502</v>
      </c>
      <c r="N1315" t="s">
        <v>548</v>
      </c>
      <c r="O1315" t="s">
        <v>549</v>
      </c>
      <c r="R1315" t="s">
        <v>3986</v>
      </c>
      <c r="S1315" s="34" t="s">
        <v>4404</v>
      </c>
    </row>
    <row r="1316" spans="1:19" ht="243" x14ac:dyDescent="0.15">
      <c r="A1316" t="s">
        <v>501</v>
      </c>
      <c r="B1316" s="61">
        <v>46174</v>
      </c>
      <c r="E1316" t="s">
        <v>355</v>
      </c>
      <c r="F1316" t="s">
        <v>351</v>
      </c>
      <c r="H1316" t="s">
        <v>365</v>
      </c>
      <c r="I1316">
        <v>1400286</v>
      </c>
      <c r="J1316" t="s">
        <v>547</v>
      </c>
      <c r="L1316" t="s">
        <v>502</v>
      </c>
      <c r="N1316" t="s">
        <v>562</v>
      </c>
      <c r="O1316" t="s">
        <v>549</v>
      </c>
      <c r="R1316" t="s">
        <v>3986</v>
      </c>
      <c r="S1316" s="34" t="s">
        <v>563</v>
      </c>
    </row>
    <row r="1317" spans="1:19" ht="409.5" x14ac:dyDescent="0.15">
      <c r="A1317" t="s">
        <v>5394</v>
      </c>
      <c r="B1317" s="61">
        <v>46174</v>
      </c>
      <c r="E1317" t="s">
        <v>355</v>
      </c>
      <c r="F1317" t="s">
        <v>351</v>
      </c>
      <c r="H1317" t="s">
        <v>353</v>
      </c>
      <c r="I1317">
        <v>1402795</v>
      </c>
      <c r="J1317" t="s">
        <v>1004</v>
      </c>
      <c r="K1317" t="s">
        <v>1005</v>
      </c>
      <c r="L1317" t="s">
        <v>1006</v>
      </c>
      <c r="N1317" t="s">
        <v>4405</v>
      </c>
      <c r="O1317" t="s">
        <v>1008</v>
      </c>
      <c r="R1317" t="s">
        <v>3987</v>
      </c>
      <c r="S1317" s="34" t="s">
        <v>5197</v>
      </c>
    </row>
    <row r="1318" spans="1:19" ht="409.5" x14ac:dyDescent="0.15">
      <c r="A1318" t="s">
        <v>5394</v>
      </c>
      <c r="B1318" s="61">
        <v>46174</v>
      </c>
      <c r="E1318" t="s">
        <v>355</v>
      </c>
      <c r="F1318" t="s">
        <v>351</v>
      </c>
      <c r="H1318" t="s">
        <v>311</v>
      </c>
      <c r="I1318">
        <v>1402795</v>
      </c>
      <c r="J1318" t="s">
        <v>1004</v>
      </c>
      <c r="K1318" t="s">
        <v>1005</v>
      </c>
      <c r="L1318" t="s">
        <v>1006</v>
      </c>
      <c r="N1318" t="s">
        <v>4406</v>
      </c>
      <c r="O1318" t="s">
        <v>1008</v>
      </c>
      <c r="S1318" s="34" t="s">
        <v>5198</v>
      </c>
    </row>
    <row r="1319" spans="1:19" ht="409.5" x14ac:dyDescent="0.15">
      <c r="A1319" t="s">
        <v>564</v>
      </c>
      <c r="B1319" s="61">
        <v>46174</v>
      </c>
      <c r="E1319" t="s">
        <v>355</v>
      </c>
      <c r="F1319" t="s">
        <v>351</v>
      </c>
      <c r="H1319" t="s">
        <v>353</v>
      </c>
      <c r="I1319">
        <v>1402848</v>
      </c>
      <c r="J1319" t="s">
        <v>4407</v>
      </c>
      <c r="K1319" t="s">
        <v>4408</v>
      </c>
      <c r="L1319" t="s">
        <v>466</v>
      </c>
      <c r="N1319" t="s">
        <v>7357</v>
      </c>
      <c r="O1319" t="s">
        <v>4409</v>
      </c>
      <c r="R1319" t="s">
        <v>4012</v>
      </c>
      <c r="S1319" s="34" t="s">
        <v>7358</v>
      </c>
    </row>
    <row r="1320" spans="1:19" ht="405" x14ac:dyDescent="0.15">
      <c r="A1320" t="s">
        <v>1715</v>
      </c>
      <c r="B1320" s="61">
        <v>46174</v>
      </c>
      <c r="E1320" t="s">
        <v>355</v>
      </c>
      <c r="F1320" t="s">
        <v>351</v>
      </c>
      <c r="H1320" t="s">
        <v>365</v>
      </c>
      <c r="I1320">
        <v>1500628</v>
      </c>
      <c r="J1320" t="s">
        <v>1732</v>
      </c>
      <c r="L1320" t="s">
        <v>698</v>
      </c>
      <c r="N1320" t="s">
        <v>1779</v>
      </c>
      <c r="O1320" t="s">
        <v>1780</v>
      </c>
      <c r="R1320" t="s">
        <v>3986</v>
      </c>
      <c r="S1320" s="34" t="s">
        <v>5226</v>
      </c>
    </row>
    <row r="1321" spans="1:19" ht="409.5" x14ac:dyDescent="0.15">
      <c r="A1321" t="s">
        <v>1715</v>
      </c>
      <c r="B1321" s="61">
        <v>46174</v>
      </c>
      <c r="E1321" t="s">
        <v>355</v>
      </c>
      <c r="F1321" t="s">
        <v>351</v>
      </c>
      <c r="H1321" t="s">
        <v>686</v>
      </c>
      <c r="I1321">
        <v>1500748</v>
      </c>
      <c r="J1321" t="s">
        <v>1716</v>
      </c>
      <c r="K1321" t="s">
        <v>1717</v>
      </c>
      <c r="L1321" t="s">
        <v>1718</v>
      </c>
      <c r="N1321">
        <v>2174444</v>
      </c>
      <c r="O1321" t="s">
        <v>1719</v>
      </c>
      <c r="S1321" s="34" t="s">
        <v>4410</v>
      </c>
    </row>
    <row r="1322" spans="1:19" ht="391.5" x14ac:dyDescent="0.15">
      <c r="A1322" t="s">
        <v>1715</v>
      </c>
      <c r="B1322" s="61">
        <v>46174</v>
      </c>
      <c r="E1322" t="s">
        <v>355</v>
      </c>
      <c r="F1322" t="s">
        <v>351</v>
      </c>
      <c r="G1322" t="s">
        <v>352</v>
      </c>
      <c r="H1322" t="s">
        <v>365</v>
      </c>
      <c r="I1322">
        <v>1500770</v>
      </c>
      <c r="J1322" t="s">
        <v>1732</v>
      </c>
      <c r="L1322" t="s">
        <v>4411</v>
      </c>
      <c r="N1322" t="s">
        <v>4412</v>
      </c>
      <c r="O1322" t="s">
        <v>4413</v>
      </c>
      <c r="R1322" t="s">
        <v>3985</v>
      </c>
      <c r="S1322" s="34" t="s">
        <v>5227</v>
      </c>
    </row>
    <row r="1323" spans="1:19" ht="409.5" x14ac:dyDescent="0.15">
      <c r="A1323" t="s">
        <v>1715</v>
      </c>
      <c r="B1323" s="61">
        <v>46174</v>
      </c>
      <c r="E1323" t="s">
        <v>355</v>
      </c>
      <c r="F1323" t="s">
        <v>351</v>
      </c>
      <c r="H1323" t="s">
        <v>686</v>
      </c>
      <c r="I1323">
        <v>1500776</v>
      </c>
      <c r="J1323" t="s">
        <v>1052</v>
      </c>
      <c r="K1323" t="s">
        <v>4414</v>
      </c>
      <c r="L1323" t="s">
        <v>4415</v>
      </c>
      <c r="N1323">
        <v>2062293</v>
      </c>
      <c r="O1323" t="s">
        <v>4416</v>
      </c>
      <c r="S1323" s="34" t="s">
        <v>5228</v>
      </c>
    </row>
    <row r="1324" spans="1:19" ht="391.5" x14ac:dyDescent="0.15">
      <c r="A1324" t="s">
        <v>1715</v>
      </c>
      <c r="B1324" s="61">
        <v>46174</v>
      </c>
      <c r="E1324" t="s">
        <v>355</v>
      </c>
      <c r="F1324" t="s">
        <v>351</v>
      </c>
      <c r="H1324" t="s">
        <v>365</v>
      </c>
      <c r="I1324">
        <v>1500828</v>
      </c>
      <c r="J1324" t="s">
        <v>1732</v>
      </c>
      <c r="L1324" t="s">
        <v>1776</v>
      </c>
      <c r="N1324" t="s">
        <v>1777</v>
      </c>
      <c r="O1324" t="s">
        <v>1778</v>
      </c>
      <c r="R1324" t="s">
        <v>3986</v>
      </c>
      <c r="S1324" s="34" t="s">
        <v>5229</v>
      </c>
    </row>
    <row r="1325" spans="1:19" ht="409.5" x14ac:dyDescent="0.15">
      <c r="A1325" t="s">
        <v>1715</v>
      </c>
      <c r="B1325" s="61">
        <v>46174</v>
      </c>
      <c r="E1325" t="s">
        <v>355</v>
      </c>
      <c r="F1325" t="s">
        <v>351</v>
      </c>
      <c r="H1325" t="s">
        <v>353</v>
      </c>
      <c r="I1325">
        <v>1500845</v>
      </c>
      <c r="J1325" t="s">
        <v>1768</v>
      </c>
      <c r="K1325" t="s">
        <v>4417</v>
      </c>
      <c r="L1325" t="s">
        <v>4418</v>
      </c>
      <c r="N1325" t="s">
        <v>4419</v>
      </c>
      <c r="O1325" t="s">
        <v>4420</v>
      </c>
      <c r="R1325" t="s">
        <v>3987</v>
      </c>
      <c r="S1325" s="34" t="s">
        <v>5230</v>
      </c>
    </row>
    <row r="1326" spans="1:19" ht="243" x14ac:dyDescent="0.15">
      <c r="A1326" t="s">
        <v>1715</v>
      </c>
      <c r="B1326" s="61">
        <v>46174</v>
      </c>
      <c r="E1326" t="s">
        <v>355</v>
      </c>
      <c r="F1326" t="s">
        <v>351</v>
      </c>
      <c r="H1326" t="s">
        <v>365</v>
      </c>
      <c r="I1326">
        <v>1500848</v>
      </c>
      <c r="J1326" t="s">
        <v>1762</v>
      </c>
      <c r="L1326" t="s">
        <v>413</v>
      </c>
      <c r="N1326" t="s">
        <v>1763</v>
      </c>
      <c r="O1326" t="s">
        <v>1764</v>
      </c>
      <c r="R1326" t="s">
        <v>3987</v>
      </c>
      <c r="S1326" s="34" t="s">
        <v>5231</v>
      </c>
    </row>
    <row r="1327" spans="1:19" ht="409.5" x14ac:dyDescent="0.15">
      <c r="A1327" t="s">
        <v>3349</v>
      </c>
      <c r="B1327" s="61">
        <v>46174</v>
      </c>
      <c r="E1327" t="s">
        <v>355</v>
      </c>
      <c r="F1327" t="s">
        <v>351</v>
      </c>
      <c r="H1327" t="s">
        <v>686</v>
      </c>
      <c r="I1327">
        <v>1600601</v>
      </c>
      <c r="J1327" t="s">
        <v>2481</v>
      </c>
      <c r="K1327" t="s">
        <v>3379</v>
      </c>
      <c r="L1327" t="s">
        <v>3380</v>
      </c>
      <c r="N1327">
        <v>2092815</v>
      </c>
      <c r="O1327" t="s">
        <v>3382</v>
      </c>
      <c r="S1327" s="34" t="s">
        <v>5232</v>
      </c>
    </row>
    <row r="1328" spans="1:19" ht="256.5" x14ac:dyDescent="0.15">
      <c r="A1328" t="s">
        <v>3822</v>
      </c>
      <c r="B1328" s="61">
        <v>46174</v>
      </c>
      <c r="E1328" t="s">
        <v>355</v>
      </c>
      <c r="F1328" t="s">
        <v>351</v>
      </c>
      <c r="G1328" t="s">
        <v>352</v>
      </c>
      <c r="H1328" t="s">
        <v>310</v>
      </c>
      <c r="I1328">
        <v>1800175</v>
      </c>
      <c r="J1328" t="s">
        <v>4421</v>
      </c>
      <c r="K1328" t="s">
        <v>3918</v>
      </c>
      <c r="L1328" t="s">
        <v>390</v>
      </c>
      <c r="N1328" t="s">
        <v>4422</v>
      </c>
      <c r="O1328" t="s">
        <v>4423</v>
      </c>
      <c r="R1328" t="s">
        <v>4424</v>
      </c>
      <c r="S1328" s="34" t="s">
        <v>5233</v>
      </c>
    </row>
    <row r="1329" spans="1:19" ht="409.5" x14ac:dyDescent="0.15">
      <c r="A1329" t="s">
        <v>1614</v>
      </c>
      <c r="B1329" s="61">
        <v>46174</v>
      </c>
      <c r="E1329" t="s">
        <v>355</v>
      </c>
      <c r="F1329" t="s">
        <v>351</v>
      </c>
      <c r="H1329" t="s">
        <v>353</v>
      </c>
      <c r="I1329">
        <v>2000773</v>
      </c>
      <c r="J1329" t="s">
        <v>1620</v>
      </c>
      <c r="K1329" t="s">
        <v>1621</v>
      </c>
      <c r="L1329" t="s">
        <v>1087</v>
      </c>
      <c r="N1329" t="s">
        <v>4425</v>
      </c>
      <c r="O1329" t="s">
        <v>1623</v>
      </c>
      <c r="R1329" t="s">
        <v>3987</v>
      </c>
      <c r="S1329" s="34" t="s">
        <v>5234</v>
      </c>
    </row>
    <row r="1330" spans="1:19" ht="409.5" x14ac:dyDescent="0.15">
      <c r="A1330" t="s">
        <v>685</v>
      </c>
      <c r="B1330" s="61">
        <v>46174</v>
      </c>
      <c r="E1330" t="s">
        <v>355</v>
      </c>
      <c r="F1330" t="s">
        <v>351</v>
      </c>
      <c r="H1330" t="s">
        <v>353</v>
      </c>
      <c r="I1330">
        <v>2100697</v>
      </c>
      <c r="J1330" t="s">
        <v>708</v>
      </c>
      <c r="K1330" t="s">
        <v>709</v>
      </c>
      <c r="L1330" t="s">
        <v>721</v>
      </c>
      <c r="N1330" t="s">
        <v>4426</v>
      </c>
      <c r="O1330" t="s">
        <v>712</v>
      </c>
      <c r="R1330" t="s">
        <v>4427</v>
      </c>
      <c r="S1330" s="34" t="s">
        <v>716</v>
      </c>
    </row>
    <row r="1331" spans="1:19" ht="202.5" x14ac:dyDescent="0.15">
      <c r="A1331" t="s">
        <v>685</v>
      </c>
      <c r="B1331" s="61">
        <v>46174</v>
      </c>
      <c r="E1331" t="s">
        <v>355</v>
      </c>
      <c r="F1331" t="s">
        <v>351</v>
      </c>
      <c r="H1331" t="s">
        <v>686</v>
      </c>
      <c r="I1331">
        <v>2100697</v>
      </c>
      <c r="J1331" t="s">
        <v>708</v>
      </c>
      <c r="K1331" t="s">
        <v>709</v>
      </c>
      <c r="L1331" t="s">
        <v>721</v>
      </c>
      <c r="N1331">
        <v>2161673</v>
      </c>
      <c r="O1331" t="s">
        <v>712</v>
      </c>
      <c r="S1331" s="34" t="s">
        <v>4428</v>
      </c>
    </row>
    <row r="1332" spans="1:19" ht="243" x14ac:dyDescent="0.15">
      <c r="A1332" t="s">
        <v>2456</v>
      </c>
      <c r="B1332" s="61">
        <v>46174</v>
      </c>
      <c r="E1332" t="s">
        <v>355</v>
      </c>
      <c r="F1332" t="s">
        <v>351</v>
      </c>
      <c r="G1332" t="s">
        <v>352</v>
      </c>
      <c r="H1332" t="s">
        <v>365</v>
      </c>
      <c r="I1332">
        <v>2200693</v>
      </c>
      <c r="J1332" t="s">
        <v>4431</v>
      </c>
      <c r="L1332" t="s">
        <v>4432</v>
      </c>
      <c r="N1332" t="s">
        <v>4433</v>
      </c>
      <c r="O1332" t="s">
        <v>4434</v>
      </c>
      <c r="R1332" t="s">
        <v>3985</v>
      </c>
      <c r="S1332" s="34" t="s">
        <v>5235</v>
      </c>
    </row>
    <row r="1333" spans="1:19" ht="405" x14ac:dyDescent="0.15">
      <c r="A1333" t="s">
        <v>2456</v>
      </c>
      <c r="B1333" s="61">
        <v>46174</v>
      </c>
      <c r="E1333" t="s">
        <v>355</v>
      </c>
      <c r="F1333" t="s">
        <v>351</v>
      </c>
      <c r="G1333" t="s">
        <v>352</v>
      </c>
      <c r="H1333" t="s">
        <v>353</v>
      </c>
      <c r="I1333">
        <v>2201704</v>
      </c>
      <c r="J1333" t="s">
        <v>2129</v>
      </c>
      <c r="K1333" t="s">
        <v>4435</v>
      </c>
      <c r="L1333" t="s">
        <v>1114</v>
      </c>
      <c r="N1333" t="s">
        <v>4436</v>
      </c>
      <c r="O1333" t="s">
        <v>4437</v>
      </c>
      <c r="R1333" t="s">
        <v>3985</v>
      </c>
      <c r="S1333" s="34" t="s">
        <v>5236</v>
      </c>
    </row>
    <row r="1334" spans="1:19" ht="409.5" x14ac:dyDescent="0.15">
      <c r="A1334" t="s">
        <v>3432</v>
      </c>
      <c r="B1334" s="61">
        <v>46174</v>
      </c>
      <c r="E1334" t="s">
        <v>355</v>
      </c>
      <c r="F1334" t="s">
        <v>351</v>
      </c>
      <c r="H1334" t="s">
        <v>365</v>
      </c>
      <c r="I1334">
        <v>2202562</v>
      </c>
      <c r="J1334" t="s">
        <v>1391</v>
      </c>
      <c r="K1334" t="s">
        <v>3433</v>
      </c>
      <c r="L1334" t="s">
        <v>3217</v>
      </c>
      <c r="N1334" t="s">
        <v>4438</v>
      </c>
      <c r="O1334" t="s">
        <v>3440</v>
      </c>
      <c r="R1334" t="s">
        <v>4330</v>
      </c>
      <c r="S1334" s="34" t="s">
        <v>5237</v>
      </c>
    </row>
    <row r="1335" spans="1:19" ht="409.5" x14ac:dyDescent="0.15">
      <c r="A1335" t="s">
        <v>2693</v>
      </c>
      <c r="B1335" s="61">
        <v>46174</v>
      </c>
      <c r="E1335" t="s">
        <v>355</v>
      </c>
      <c r="F1335" t="s">
        <v>351</v>
      </c>
      <c r="H1335" t="s">
        <v>353</v>
      </c>
      <c r="I1335">
        <v>2301075</v>
      </c>
      <c r="J1335" t="s">
        <v>2694</v>
      </c>
      <c r="K1335" t="s">
        <v>2695</v>
      </c>
      <c r="L1335" t="s">
        <v>2696</v>
      </c>
      <c r="N1335" t="s">
        <v>5165</v>
      </c>
      <c r="O1335" t="s">
        <v>2698</v>
      </c>
      <c r="R1335" t="s">
        <v>3987</v>
      </c>
      <c r="S1335" s="34" t="s">
        <v>5166</v>
      </c>
    </row>
    <row r="1336" spans="1:19" ht="409.5" x14ac:dyDescent="0.15">
      <c r="A1336" t="s">
        <v>2693</v>
      </c>
      <c r="B1336" s="61">
        <v>46174</v>
      </c>
      <c r="E1336" t="s">
        <v>355</v>
      </c>
      <c r="F1336" t="s">
        <v>351</v>
      </c>
      <c r="H1336" t="s">
        <v>686</v>
      </c>
      <c r="I1336">
        <v>2301075</v>
      </c>
      <c r="J1336" t="s">
        <v>2694</v>
      </c>
      <c r="K1336" t="s">
        <v>2695</v>
      </c>
      <c r="L1336" t="s">
        <v>2696</v>
      </c>
      <c r="N1336" t="s">
        <v>4439</v>
      </c>
      <c r="O1336" t="s">
        <v>2698</v>
      </c>
      <c r="R1336" s="34" t="s">
        <v>7467</v>
      </c>
      <c r="S1336" s="34" t="s">
        <v>7468</v>
      </c>
    </row>
    <row r="1337" spans="1:19" ht="409.5" x14ac:dyDescent="0.15">
      <c r="A1337" t="s">
        <v>3483</v>
      </c>
      <c r="B1337" s="61">
        <v>46174</v>
      </c>
      <c r="E1337" t="s">
        <v>355</v>
      </c>
      <c r="F1337" t="s">
        <v>351</v>
      </c>
      <c r="H1337" t="s">
        <v>309</v>
      </c>
      <c r="I1337">
        <v>2301706</v>
      </c>
      <c r="J1337" t="s">
        <v>4440</v>
      </c>
      <c r="K1337" t="s">
        <v>4441</v>
      </c>
      <c r="L1337" t="s">
        <v>4442</v>
      </c>
      <c r="N1337" t="s">
        <v>4443</v>
      </c>
      <c r="O1337" t="s">
        <v>4444</v>
      </c>
      <c r="R1337" t="s">
        <v>3992</v>
      </c>
      <c r="S1337" s="34" t="s">
        <v>5238</v>
      </c>
    </row>
    <row r="1338" spans="1:19" ht="229.5" x14ac:dyDescent="0.15">
      <c r="A1338" t="s">
        <v>3483</v>
      </c>
      <c r="B1338" s="61">
        <v>46174</v>
      </c>
      <c r="E1338" t="s">
        <v>355</v>
      </c>
      <c r="F1338" t="s">
        <v>351</v>
      </c>
      <c r="H1338" t="s">
        <v>353</v>
      </c>
      <c r="I1338">
        <v>2302344</v>
      </c>
      <c r="J1338" t="s">
        <v>1578</v>
      </c>
      <c r="K1338" t="s">
        <v>3512</v>
      </c>
      <c r="L1338" t="s">
        <v>3513</v>
      </c>
      <c r="N1338" t="s">
        <v>3514</v>
      </c>
      <c r="O1338" t="s">
        <v>3515</v>
      </c>
      <c r="R1338" t="s">
        <v>3987</v>
      </c>
      <c r="S1338" s="34" t="s">
        <v>5239</v>
      </c>
    </row>
    <row r="1339" spans="1:19" ht="229.5" x14ac:dyDescent="0.15">
      <c r="A1339" t="s">
        <v>2813</v>
      </c>
      <c r="B1339" s="61">
        <v>46174</v>
      </c>
      <c r="E1339" t="s">
        <v>355</v>
      </c>
      <c r="F1339" t="s">
        <v>351</v>
      </c>
      <c r="H1339" t="s">
        <v>353</v>
      </c>
      <c r="I1339">
        <v>2303094</v>
      </c>
      <c r="J1339" t="s">
        <v>4155</v>
      </c>
      <c r="K1339" t="s">
        <v>4445</v>
      </c>
      <c r="L1339" t="s">
        <v>4446</v>
      </c>
      <c r="N1339" t="s">
        <v>4447</v>
      </c>
      <c r="O1339" t="s">
        <v>4448</v>
      </c>
      <c r="R1339" t="s">
        <v>4012</v>
      </c>
      <c r="S1339" s="34" t="s">
        <v>5240</v>
      </c>
    </row>
    <row r="1340" spans="1:19" ht="409.5" x14ac:dyDescent="0.15">
      <c r="A1340" t="s">
        <v>2813</v>
      </c>
      <c r="B1340" s="61">
        <v>46174</v>
      </c>
      <c r="E1340" t="s">
        <v>355</v>
      </c>
      <c r="F1340" t="s">
        <v>351</v>
      </c>
      <c r="H1340" t="s">
        <v>686</v>
      </c>
      <c r="I1340">
        <v>2303094</v>
      </c>
      <c r="J1340" t="s">
        <v>4155</v>
      </c>
      <c r="K1340" t="s">
        <v>4445</v>
      </c>
      <c r="L1340" t="s">
        <v>4446</v>
      </c>
      <c r="N1340">
        <v>2116689</v>
      </c>
      <c r="O1340" t="s">
        <v>4448</v>
      </c>
      <c r="S1340" s="34" t="s">
        <v>5241</v>
      </c>
    </row>
    <row r="1341" spans="1:19" ht="409.5" x14ac:dyDescent="0.15">
      <c r="A1341" t="s">
        <v>1234</v>
      </c>
      <c r="B1341" s="61">
        <v>46174</v>
      </c>
      <c r="E1341" t="s">
        <v>355</v>
      </c>
      <c r="F1341" t="s">
        <v>351</v>
      </c>
      <c r="H1341" t="s">
        <v>686</v>
      </c>
      <c r="I1341">
        <v>2303217</v>
      </c>
      <c r="J1341" t="s">
        <v>1284</v>
      </c>
      <c r="K1341" t="s">
        <v>1285</v>
      </c>
      <c r="L1341" t="s">
        <v>1087</v>
      </c>
      <c r="N1341" t="s">
        <v>4449</v>
      </c>
      <c r="O1341" t="s">
        <v>1287</v>
      </c>
      <c r="S1341" s="34" t="s">
        <v>5242</v>
      </c>
    </row>
    <row r="1342" spans="1:19" ht="409.5" x14ac:dyDescent="0.15">
      <c r="A1342" t="s">
        <v>3252</v>
      </c>
      <c r="B1342" s="61">
        <v>46174</v>
      </c>
      <c r="E1342" t="s">
        <v>355</v>
      </c>
      <c r="F1342" t="s">
        <v>351</v>
      </c>
      <c r="H1342" t="s">
        <v>353</v>
      </c>
      <c r="I1342">
        <v>2303265</v>
      </c>
      <c r="J1342" t="s">
        <v>2129</v>
      </c>
      <c r="K1342" t="s">
        <v>4450</v>
      </c>
      <c r="L1342" t="s">
        <v>4029</v>
      </c>
      <c r="N1342" t="s">
        <v>4451</v>
      </c>
      <c r="O1342" t="s">
        <v>4452</v>
      </c>
      <c r="R1342" t="s">
        <v>4012</v>
      </c>
      <c r="S1342" s="34" t="s">
        <v>5243</v>
      </c>
    </row>
    <row r="1343" spans="1:19" ht="391.5" x14ac:dyDescent="0.15">
      <c r="A1343" t="s">
        <v>617</v>
      </c>
      <c r="B1343" s="61">
        <v>46174</v>
      </c>
      <c r="E1343" t="s">
        <v>355</v>
      </c>
      <c r="F1343" t="s">
        <v>351</v>
      </c>
      <c r="G1343" t="s">
        <v>352</v>
      </c>
      <c r="H1343" t="s">
        <v>365</v>
      </c>
      <c r="I1343">
        <v>2303286</v>
      </c>
      <c r="J1343" t="s">
        <v>635</v>
      </c>
      <c r="K1343" t="s">
        <v>636</v>
      </c>
      <c r="L1343" t="s">
        <v>4453</v>
      </c>
      <c r="N1343" t="s">
        <v>4454</v>
      </c>
      <c r="O1343" t="s">
        <v>4455</v>
      </c>
      <c r="R1343" t="s">
        <v>3985</v>
      </c>
      <c r="S1343" s="34" t="s">
        <v>4456</v>
      </c>
    </row>
    <row r="1344" spans="1:19" ht="409.5" x14ac:dyDescent="0.15">
      <c r="A1344" t="s">
        <v>3252</v>
      </c>
      <c r="B1344" s="61">
        <v>46174</v>
      </c>
      <c r="E1344" t="s">
        <v>355</v>
      </c>
      <c r="F1344" t="s">
        <v>351</v>
      </c>
      <c r="H1344" t="s">
        <v>365</v>
      </c>
      <c r="I1344">
        <v>2303651</v>
      </c>
      <c r="J1344" t="s">
        <v>3259</v>
      </c>
      <c r="K1344" t="s">
        <v>1251</v>
      </c>
      <c r="L1344" t="s">
        <v>413</v>
      </c>
      <c r="N1344" t="s">
        <v>4457</v>
      </c>
      <c r="O1344" t="s">
        <v>3261</v>
      </c>
      <c r="R1344" t="s">
        <v>3987</v>
      </c>
      <c r="S1344" s="34" t="s">
        <v>5244</v>
      </c>
    </row>
    <row r="1345" spans="1:19" ht="243" x14ac:dyDescent="0.15">
      <c r="A1345" t="s">
        <v>1435</v>
      </c>
      <c r="B1345" s="61">
        <v>46174</v>
      </c>
      <c r="E1345" t="s">
        <v>355</v>
      </c>
      <c r="F1345" t="s">
        <v>351</v>
      </c>
      <c r="G1345" t="s">
        <v>352</v>
      </c>
      <c r="H1345" t="s">
        <v>365</v>
      </c>
      <c r="I1345">
        <v>2501033</v>
      </c>
      <c r="J1345" t="s">
        <v>1439</v>
      </c>
      <c r="K1345" t="s">
        <v>1440</v>
      </c>
      <c r="L1345" t="s">
        <v>854</v>
      </c>
      <c r="N1345" t="s">
        <v>1441</v>
      </c>
      <c r="O1345" t="s">
        <v>1442</v>
      </c>
      <c r="R1345" t="s">
        <v>3985</v>
      </c>
      <c r="S1345" s="34" t="s">
        <v>1443</v>
      </c>
    </row>
    <row r="1346" spans="1:19" ht="409.5" x14ac:dyDescent="0.15">
      <c r="A1346" t="s">
        <v>422</v>
      </c>
      <c r="B1346" s="61">
        <v>46174</v>
      </c>
      <c r="E1346" t="s">
        <v>355</v>
      </c>
      <c r="F1346" t="s">
        <v>351</v>
      </c>
      <c r="H1346" t="s">
        <v>353</v>
      </c>
      <c r="I1346">
        <v>2701239</v>
      </c>
      <c r="J1346" t="s">
        <v>458</v>
      </c>
      <c r="L1346" t="s">
        <v>390</v>
      </c>
      <c r="N1346" t="s">
        <v>459</v>
      </c>
      <c r="O1346" t="s">
        <v>460</v>
      </c>
      <c r="R1346" t="s">
        <v>3987</v>
      </c>
      <c r="S1346" s="34" t="s">
        <v>4462</v>
      </c>
    </row>
    <row r="1347" spans="1:19" ht="256.5" x14ac:dyDescent="0.15">
      <c r="A1347" t="s">
        <v>2597</v>
      </c>
      <c r="B1347" s="61">
        <v>46174</v>
      </c>
      <c r="E1347" t="s">
        <v>355</v>
      </c>
      <c r="F1347" t="s">
        <v>351</v>
      </c>
      <c r="G1347" t="s">
        <v>352</v>
      </c>
      <c r="H1347" t="s">
        <v>353</v>
      </c>
      <c r="I1347">
        <v>2702437</v>
      </c>
      <c r="J1347" t="s">
        <v>4463</v>
      </c>
      <c r="K1347" t="s">
        <v>4464</v>
      </c>
      <c r="L1347" t="s">
        <v>4465</v>
      </c>
      <c r="N1347" t="s">
        <v>4466</v>
      </c>
      <c r="O1347" t="s">
        <v>4467</v>
      </c>
      <c r="R1347" t="s">
        <v>3985</v>
      </c>
      <c r="S1347" s="34" t="s">
        <v>5245</v>
      </c>
    </row>
    <row r="1348" spans="1:19" ht="202.5" x14ac:dyDescent="0.15">
      <c r="A1348" t="s">
        <v>3684</v>
      </c>
      <c r="B1348" s="61">
        <v>46174</v>
      </c>
      <c r="E1348" t="s">
        <v>355</v>
      </c>
      <c r="F1348" t="s">
        <v>351</v>
      </c>
      <c r="H1348" t="s">
        <v>353</v>
      </c>
      <c r="I1348">
        <v>2702596</v>
      </c>
      <c r="J1348" t="s">
        <v>4468</v>
      </c>
      <c r="K1348" t="s">
        <v>4469</v>
      </c>
      <c r="L1348" t="s">
        <v>4470</v>
      </c>
      <c r="N1348" t="s">
        <v>4471</v>
      </c>
      <c r="O1348" t="s">
        <v>4472</v>
      </c>
      <c r="R1348" t="s">
        <v>3987</v>
      </c>
      <c r="S1348" s="34" t="s">
        <v>5246</v>
      </c>
    </row>
    <row r="1349" spans="1:19" ht="409.5" x14ac:dyDescent="0.15">
      <c r="A1349" t="s">
        <v>422</v>
      </c>
      <c r="B1349" s="61">
        <v>46174</v>
      </c>
      <c r="E1349" t="s">
        <v>355</v>
      </c>
      <c r="F1349" t="s">
        <v>351</v>
      </c>
      <c r="H1349" t="s">
        <v>353</v>
      </c>
      <c r="I1349">
        <v>2702728</v>
      </c>
      <c r="J1349" t="s">
        <v>464</v>
      </c>
      <c r="K1349" t="s">
        <v>4473</v>
      </c>
      <c r="L1349" t="s">
        <v>466</v>
      </c>
      <c r="N1349" t="s">
        <v>4474</v>
      </c>
      <c r="O1349" t="s">
        <v>468</v>
      </c>
      <c r="R1349" t="s">
        <v>3987</v>
      </c>
      <c r="S1349" s="34" t="s">
        <v>4475</v>
      </c>
    </row>
    <row r="1350" spans="1:19" ht="409.5" x14ac:dyDescent="0.15">
      <c r="A1350" t="s">
        <v>2534</v>
      </c>
      <c r="B1350" s="61">
        <v>46174</v>
      </c>
      <c r="E1350" t="s">
        <v>355</v>
      </c>
      <c r="F1350" t="s">
        <v>351</v>
      </c>
      <c r="H1350" t="s">
        <v>353</v>
      </c>
      <c r="I1350">
        <v>2800046</v>
      </c>
      <c r="J1350" t="s">
        <v>2555</v>
      </c>
      <c r="K1350" t="s">
        <v>2556</v>
      </c>
      <c r="L1350" t="s">
        <v>3966</v>
      </c>
      <c r="N1350" t="s">
        <v>4476</v>
      </c>
      <c r="O1350" t="s">
        <v>3968</v>
      </c>
      <c r="R1350" t="s">
        <v>3987</v>
      </c>
      <c r="S1350" s="34" t="s">
        <v>5247</v>
      </c>
    </row>
    <row r="1351" spans="1:19" ht="229.5" x14ac:dyDescent="0.15">
      <c r="A1351" t="s">
        <v>3297</v>
      </c>
      <c r="B1351" s="61">
        <v>46174</v>
      </c>
      <c r="E1351" t="s">
        <v>355</v>
      </c>
      <c r="F1351" t="s">
        <v>351</v>
      </c>
      <c r="H1351" t="s">
        <v>353</v>
      </c>
      <c r="I1351">
        <v>2801761</v>
      </c>
      <c r="J1351" t="s">
        <v>3327</v>
      </c>
      <c r="K1351" t="s">
        <v>1769</v>
      </c>
      <c r="L1351" t="s">
        <v>854</v>
      </c>
      <c r="N1351" t="s">
        <v>3328</v>
      </c>
      <c r="O1351" t="s">
        <v>3329</v>
      </c>
      <c r="R1351" t="s">
        <v>3987</v>
      </c>
      <c r="S1351" s="34" t="s">
        <v>3330</v>
      </c>
    </row>
    <row r="1352" spans="1:19" ht="364.5" x14ac:dyDescent="0.15">
      <c r="A1352" t="s">
        <v>3297</v>
      </c>
      <c r="B1352" s="61">
        <v>46174</v>
      </c>
      <c r="E1352" t="s">
        <v>355</v>
      </c>
      <c r="F1352" t="s">
        <v>351</v>
      </c>
      <c r="H1352" t="s">
        <v>353</v>
      </c>
      <c r="I1352">
        <v>2802382</v>
      </c>
      <c r="J1352" t="s">
        <v>3298</v>
      </c>
      <c r="K1352" t="s">
        <v>3299</v>
      </c>
      <c r="L1352" t="s">
        <v>3300</v>
      </c>
      <c r="N1352" t="s">
        <v>3301</v>
      </c>
      <c r="O1352" t="s">
        <v>3302</v>
      </c>
      <c r="R1352" t="s">
        <v>3987</v>
      </c>
      <c r="S1352" s="34" t="s">
        <v>5248</v>
      </c>
    </row>
    <row r="1353" spans="1:19" ht="256.5" x14ac:dyDescent="0.15">
      <c r="A1353" t="s">
        <v>3297</v>
      </c>
      <c r="B1353" s="61">
        <v>46174</v>
      </c>
      <c r="E1353" t="s">
        <v>355</v>
      </c>
      <c r="F1353" t="s">
        <v>351</v>
      </c>
      <c r="H1353" t="s">
        <v>365</v>
      </c>
      <c r="I1353">
        <v>2802382</v>
      </c>
      <c r="J1353" t="s">
        <v>3298</v>
      </c>
      <c r="K1353" t="s">
        <v>3299</v>
      </c>
      <c r="L1353" t="s">
        <v>3300</v>
      </c>
      <c r="N1353" t="s">
        <v>3303</v>
      </c>
      <c r="O1353" t="s">
        <v>3302</v>
      </c>
      <c r="R1353" t="s">
        <v>3987</v>
      </c>
      <c r="S1353" s="34" t="s">
        <v>5249</v>
      </c>
    </row>
    <row r="1354" spans="1:19" ht="270" x14ac:dyDescent="0.15">
      <c r="A1354" t="s">
        <v>1354</v>
      </c>
      <c r="B1354" s="61">
        <v>46174</v>
      </c>
      <c r="E1354" t="s">
        <v>355</v>
      </c>
      <c r="F1354" t="s">
        <v>351</v>
      </c>
      <c r="G1354" t="s">
        <v>352</v>
      </c>
      <c r="H1354" t="s">
        <v>353</v>
      </c>
      <c r="I1354">
        <v>3100122</v>
      </c>
      <c r="J1354" t="s">
        <v>4477</v>
      </c>
      <c r="L1354" t="s">
        <v>4478</v>
      </c>
      <c r="N1354" t="s">
        <v>4479</v>
      </c>
      <c r="O1354" t="s">
        <v>4480</v>
      </c>
      <c r="R1354" t="s">
        <v>3985</v>
      </c>
      <c r="S1354" s="34" t="s">
        <v>5250</v>
      </c>
    </row>
    <row r="1355" spans="1:19" ht="409.5" x14ac:dyDescent="0.15">
      <c r="A1355" t="s">
        <v>6263</v>
      </c>
      <c r="B1355" s="61">
        <v>46174</v>
      </c>
      <c r="E1355" t="s">
        <v>355</v>
      </c>
      <c r="F1355" t="s">
        <v>351</v>
      </c>
      <c r="H1355" t="s">
        <v>353</v>
      </c>
      <c r="I1355">
        <v>3300320</v>
      </c>
      <c r="J1355" t="s">
        <v>1065</v>
      </c>
      <c r="K1355" t="s">
        <v>1947</v>
      </c>
      <c r="L1355" t="s">
        <v>1114</v>
      </c>
      <c r="N1355" t="s">
        <v>1948</v>
      </c>
      <c r="O1355" t="s">
        <v>1949</v>
      </c>
      <c r="R1355" t="s">
        <v>3987</v>
      </c>
      <c r="S1355" s="34" t="s">
        <v>5251</v>
      </c>
    </row>
    <row r="1356" spans="1:19" ht="229.5" x14ac:dyDescent="0.15">
      <c r="A1356" t="s">
        <v>1095</v>
      </c>
      <c r="B1356" s="61">
        <v>46174</v>
      </c>
      <c r="E1356" t="s">
        <v>355</v>
      </c>
      <c r="F1356" t="s">
        <v>351</v>
      </c>
      <c r="H1356" t="s">
        <v>353</v>
      </c>
      <c r="I1356">
        <v>3700096</v>
      </c>
      <c r="J1356" t="s">
        <v>4481</v>
      </c>
      <c r="K1356" t="s">
        <v>1542</v>
      </c>
      <c r="L1356" t="s">
        <v>390</v>
      </c>
      <c r="N1356" t="s">
        <v>4482</v>
      </c>
      <c r="O1356" t="s">
        <v>4483</v>
      </c>
      <c r="R1356" t="s">
        <v>3986</v>
      </c>
      <c r="S1356" s="34" t="s">
        <v>5252</v>
      </c>
    </row>
    <row r="1357" spans="1:19" ht="409.5" x14ac:dyDescent="0.15">
      <c r="A1357" t="s">
        <v>1095</v>
      </c>
      <c r="B1357" s="61">
        <v>46174</v>
      </c>
      <c r="E1357" t="s">
        <v>355</v>
      </c>
      <c r="F1357" t="s">
        <v>351</v>
      </c>
      <c r="G1357" t="s">
        <v>352</v>
      </c>
      <c r="H1357" t="s">
        <v>353</v>
      </c>
      <c r="I1357">
        <v>3700313</v>
      </c>
      <c r="J1357" t="s">
        <v>1117</v>
      </c>
      <c r="L1357" t="s">
        <v>1118</v>
      </c>
      <c r="N1357" t="s">
        <v>4484</v>
      </c>
      <c r="O1357" t="s">
        <v>1120</v>
      </c>
      <c r="R1357" t="s">
        <v>3985</v>
      </c>
      <c r="S1357" s="34" t="s">
        <v>1122</v>
      </c>
    </row>
    <row r="1358" spans="1:19" ht="409.5" x14ac:dyDescent="0.15">
      <c r="A1358" t="s">
        <v>3177</v>
      </c>
      <c r="B1358" s="61">
        <v>46143</v>
      </c>
      <c r="E1358" t="s">
        <v>355</v>
      </c>
      <c r="F1358" t="s">
        <v>351</v>
      </c>
      <c r="H1358" t="s">
        <v>686</v>
      </c>
      <c r="I1358">
        <v>2702291</v>
      </c>
      <c r="J1358" t="s">
        <v>3178</v>
      </c>
      <c r="K1358" t="s">
        <v>3179</v>
      </c>
      <c r="L1358" t="s">
        <v>4485</v>
      </c>
      <c r="N1358">
        <v>2089908</v>
      </c>
      <c r="O1358" t="s">
        <v>3181</v>
      </c>
      <c r="S1358" s="34" t="s">
        <v>4486</v>
      </c>
    </row>
    <row r="1359" spans="1:19" ht="409.5" x14ac:dyDescent="0.15">
      <c r="A1359" t="s">
        <v>1095</v>
      </c>
      <c r="B1359" s="61">
        <v>46174</v>
      </c>
      <c r="E1359" t="s">
        <v>355</v>
      </c>
      <c r="F1359" t="s">
        <v>351</v>
      </c>
      <c r="H1359" t="s">
        <v>353</v>
      </c>
      <c r="I1359">
        <v>3700364</v>
      </c>
      <c r="J1359" t="s">
        <v>1136</v>
      </c>
      <c r="K1359" t="s">
        <v>1137</v>
      </c>
      <c r="L1359" t="s">
        <v>4487</v>
      </c>
      <c r="N1359" t="s">
        <v>5069</v>
      </c>
      <c r="O1359" t="s">
        <v>1140</v>
      </c>
      <c r="R1359" t="s">
        <v>4488</v>
      </c>
      <c r="S1359" s="34" t="s">
        <v>5253</v>
      </c>
    </row>
    <row r="1360" spans="1:19" ht="409.5" x14ac:dyDescent="0.15">
      <c r="A1360" t="s">
        <v>1095</v>
      </c>
      <c r="B1360" s="61">
        <v>46174</v>
      </c>
      <c r="E1360" t="s">
        <v>355</v>
      </c>
      <c r="F1360" t="s">
        <v>351</v>
      </c>
      <c r="H1360" t="s">
        <v>353</v>
      </c>
      <c r="I1360">
        <v>3700364</v>
      </c>
      <c r="J1360" t="s">
        <v>1136</v>
      </c>
      <c r="K1360" t="s">
        <v>1137</v>
      </c>
      <c r="L1360" t="s">
        <v>4489</v>
      </c>
      <c r="N1360" t="s">
        <v>5070</v>
      </c>
      <c r="O1360" t="s">
        <v>1140</v>
      </c>
      <c r="R1360" t="s">
        <v>4490</v>
      </c>
      <c r="S1360" s="34" t="s">
        <v>5254</v>
      </c>
    </row>
    <row r="1361" spans="1:19" ht="243" x14ac:dyDescent="0.15">
      <c r="A1361" t="s">
        <v>1593</v>
      </c>
      <c r="B1361" s="61">
        <v>46174</v>
      </c>
      <c r="E1361" t="s">
        <v>355</v>
      </c>
      <c r="F1361" t="s">
        <v>351</v>
      </c>
      <c r="H1361" t="s">
        <v>353</v>
      </c>
      <c r="I1361">
        <v>3800196</v>
      </c>
      <c r="J1361" t="s">
        <v>4491</v>
      </c>
      <c r="K1361" t="s">
        <v>4492</v>
      </c>
      <c r="L1361" t="s">
        <v>390</v>
      </c>
      <c r="N1361" t="s">
        <v>4493</v>
      </c>
      <c r="O1361" t="s">
        <v>4494</v>
      </c>
      <c r="R1361" t="s">
        <v>4317</v>
      </c>
      <c r="S1361" s="34" t="s">
        <v>5255</v>
      </c>
    </row>
    <row r="1362" spans="1:19" ht="409.5" x14ac:dyDescent="0.15">
      <c r="A1362" t="s">
        <v>3617</v>
      </c>
      <c r="B1362" s="61">
        <v>46174</v>
      </c>
      <c r="E1362" t="s">
        <v>355</v>
      </c>
      <c r="F1362" t="s">
        <v>351</v>
      </c>
      <c r="G1362" t="s">
        <v>352</v>
      </c>
      <c r="H1362" t="s">
        <v>353</v>
      </c>
      <c r="I1362">
        <v>4000034</v>
      </c>
      <c r="J1362" t="s">
        <v>4495</v>
      </c>
      <c r="L1362" t="s">
        <v>4496</v>
      </c>
      <c r="N1362" t="s">
        <v>4497</v>
      </c>
      <c r="O1362" t="s">
        <v>4498</v>
      </c>
      <c r="R1362" t="s">
        <v>4499</v>
      </c>
      <c r="S1362" s="34" t="s">
        <v>5256</v>
      </c>
    </row>
    <row r="1363" spans="1:19" ht="409.5" x14ac:dyDescent="0.15">
      <c r="A1363" t="s">
        <v>3472</v>
      </c>
      <c r="B1363" s="61">
        <v>46174</v>
      </c>
      <c r="E1363" t="s">
        <v>355</v>
      </c>
      <c r="F1363" t="s">
        <v>351</v>
      </c>
      <c r="H1363" t="s">
        <v>686</v>
      </c>
      <c r="I1363">
        <v>4000138</v>
      </c>
      <c r="J1363" t="s">
        <v>2044</v>
      </c>
      <c r="K1363" t="s">
        <v>3473</v>
      </c>
      <c r="L1363" t="s">
        <v>3474</v>
      </c>
      <c r="N1363">
        <v>2145306</v>
      </c>
      <c r="O1363" t="s">
        <v>3476</v>
      </c>
      <c r="S1363" s="34" t="s">
        <v>5257</v>
      </c>
    </row>
    <row r="1364" spans="1:19" ht="409.5" x14ac:dyDescent="0.15">
      <c r="A1364" t="s">
        <v>3472</v>
      </c>
      <c r="B1364" s="61">
        <v>46174</v>
      </c>
      <c r="E1364" t="s">
        <v>355</v>
      </c>
      <c r="F1364" t="s">
        <v>351</v>
      </c>
      <c r="H1364" t="s">
        <v>353</v>
      </c>
      <c r="I1364">
        <v>4000138</v>
      </c>
      <c r="J1364" t="s">
        <v>2044</v>
      </c>
      <c r="K1364" t="s">
        <v>3473</v>
      </c>
      <c r="L1364" t="s">
        <v>3474</v>
      </c>
      <c r="N1364" t="s">
        <v>4500</v>
      </c>
      <c r="O1364" t="s">
        <v>3476</v>
      </c>
      <c r="R1364" t="s">
        <v>4501</v>
      </c>
      <c r="S1364" s="34" t="s">
        <v>5258</v>
      </c>
    </row>
    <row r="1365" spans="1:19" ht="409.5" x14ac:dyDescent="0.15">
      <c r="A1365" t="s">
        <v>3472</v>
      </c>
      <c r="B1365" s="61">
        <v>46174</v>
      </c>
      <c r="E1365" t="s">
        <v>355</v>
      </c>
      <c r="F1365" t="s">
        <v>351</v>
      </c>
      <c r="H1365" t="s">
        <v>365</v>
      </c>
      <c r="I1365">
        <v>4000873</v>
      </c>
      <c r="J1365" t="s">
        <v>4001</v>
      </c>
      <c r="K1365" t="s">
        <v>4002</v>
      </c>
      <c r="L1365" t="s">
        <v>4003</v>
      </c>
      <c r="N1365" t="s">
        <v>4502</v>
      </c>
      <c r="O1365" t="s">
        <v>4005</v>
      </c>
      <c r="R1365" t="s">
        <v>4318</v>
      </c>
      <c r="S1365" s="34" t="s">
        <v>5259</v>
      </c>
    </row>
    <row r="1366" spans="1:19" ht="409.5" x14ac:dyDescent="0.15">
      <c r="A1366" t="s">
        <v>3472</v>
      </c>
      <c r="B1366" s="61">
        <v>46174</v>
      </c>
      <c r="E1366" t="s">
        <v>355</v>
      </c>
      <c r="F1366" t="s">
        <v>351</v>
      </c>
      <c r="H1366" t="s">
        <v>686</v>
      </c>
      <c r="I1366">
        <v>4000873</v>
      </c>
      <c r="J1366" t="s">
        <v>4001</v>
      </c>
      <c r="K1366" t="s">
        <v>4002</v>
      </c>
      <c r="L1366" t="s">
        <v>4003</v>
      </c>
      <c r="N1366">
        <v>2102115</v>
      </c>
      <c r="O1366" t="s">
        <v>4005</v>
      </c>
      <c r="S1366" s="34" t="s">
        <v>5260</v>
      </c>
    </row>
    <row r="1367" spans="1:19" ht="409.5" x14ac:dyDescent="0.15">
      <c r="A1367" t="s">
        <v>800</v>
      </c>
      <c r="B1367" s="61">
        <v>46174</v>
      </c>
      <c r="E1367" t="s">
        <v>355</v>
      </c>
      <c r="F1367" t="s">
        <v>351</v>
      </c>
      <c r="H1367" t="s">
        <v>686</v>
      </c>
      <c r="I1367">
        <v>4500152</v>
      </c>
      <c r="J1367" t="s">
        <v>4503</v>
      </c>
      <c r="L1367" t="s">
        <v>4504</v>
      </c>
      <c r="N1367">
        <v>2162830</v>
      </c>
      <c r="O1367" t="s">
        <v>4505</v>
      </c>
      <c r="S1367" s="34" t="s">
        <v>4506</v>
      </c>
    </row>
    <row r="1368" spans="1:19" ht="364.5" x14ac:dyDescent="0.15">
      <c r="A1368" t="s">
        <v>1234</v>
      </c>
      <c r="B1368" s="61">
        <v>46143</v>
      </c>
      <c r="E1368" t="s">
        <v>355</v>
      </c>
      <c r="F1368" t="s">
        <v>351</v>
      </c>
      <c r="G1368" t="s">
        <v>354</v>
      </c>
      <c r="H1368" t="s">
        <v>353</v>
      </c>
      <c r="I1368">
        <v>2400673</v>
      </c>
      <c r="J1368" t="s">
        <v>376</v>
      </c>
      <c r="K1368" t="s">
        <v>4516</v>
      </c>
      <c r="L1368" t="s">
        <v>4517</v>
      </c>
      <c r="N1368" t="s">
        <v>4518</v>
      </c>
      <c r="O1368" t="s">
        <v>4519</v>
      </c>
      <c r="R1368" t="s">
        <v>3986</v>
      </c>
      <c r="S1368" s="34" t="s">
        <v>4520</v>
      </c>
    </row>
    <row r="1369" spans="1:19" ht="229.5" x14ac:dyDescent="0.15">
      <c r="A1369" t="s">
        <v>2067</v>
      </c>
      <c r="B1369" s="61">
        <v>46174</v>
      </c>
      <c r="E1369" t="s">
        <v>355</v>
      </c>
      <c r="F1369" t="s">
        <v>351</v>
      </c>
      <c r="G1369" t="s">
        <v>354</v>
      </c>
      <c r="H1369" t="s">
        <v>353</v>
      </c>
      <c r="I1369">
        <v>2200358</v>
      </c>
      <c r="J1369" t="s">
        <v>1909</v>
      </c>
      <c r="K1369" t="s">
        <v>4521</v>
      </c>
      <c r="L1369" t="s">
        <v>4522</v>
      </c>
      <c r="N1369" t="s">
        <v>4523</v>
      </c>
      <c r="O1369" t="s">
        <v>4524</v>
      </c>
      <c r="R1369" t="s">
        <v>3987</v>
      </c>
      <c r="S1369" s="34" t="s">
        <v>5261</v>
      </c>
    </row>
    <row r="1370" spans="1:19" ht="364.5" x14ac:dyDescent="0.15">
      <c r="A1370" t="s">
        <v>2534</v>
      </c>
      <c r="B1370" s="61">
        <v>46174</v>
      </c>
      <c r="E1370" t="s">
        <v>355</v>
      </c>
      <c r="F1370" t="s">
        <v>351</v>
      </c>
      <c r="G1370" t="s">
        <v>354</v>
      </c>
      <c r="H1370" t="s">
        <v>353</v>
      </c>
      <c r="I1370">
        <v>2800837</v>
      </c>
      <c r="J1370" t="s">
        <v>4525</v>
      </c>
      <c r="L1370" t="s">
        <v>413</v>
      </c>
      <c r="N1370" t="s">
        <v>4526</v>
      </c>
      <c r="O1370" t="s">
        <v>4527</v>
      </c>
      <c r="R1370" t="s">
        <v>3986</v>
      </c>
      <c r="S1370" s="34" t="s">
        <v>5262</v>
      </c>
    </row>
    <row r="1371" spans="1:19" ht="229.5" x14ac:dyDescent="0.15">
      <c r="A1371" t="s">
        <v>1145</v>
      </c>
      <c r="B1371" s="61">
        <v>46204</v>
      </c>
      <c r="E1371" t="s">
        <v>355</v>
      </c>
      <c r="F1371" t="s">
        <v>351</v>
      </c>
      <c r="G1371" t="s">
        <v>354</v>
      </c>
      <c r="H1371" t="s">
        <v>353</v>
      </c>
      <c r="I1371">
        <v>100315</v>
      </c>
      <c r="J1371" t="s">
        <v>1217</v>
      </c>
      <c r="K1371" t="s">
        <v>1218</v>
      </c>
      <c r="L1371" t="s">
        <v>1219</v>
      </c>
      <c r="N1371" t="s">
        <v>1220</v>
      </c>
      <c r="O1371" t="s">
        <v>1221</v>
      </c>
      <c r="R1371" t="s">
        <v>3987</v>
      </c>
      <c r="S1371" s="34" t="s">
        <v>5263</v>
      </c>
    </row>
    <row r="1372" spans="1:19" ht="243" x14ac:dyDescent="0.15">
      <c r="A1372" t="s">
        <v>1145</v>
      </c>
      <c r="B1372" s="61">
        <v>46204</v>
      </c>
      <c r="E1372" t="s">
        <v>355</v>
      </c>
      <c r="F1372" t="s">
        <v>351</v>
      </c>
      <c r="G1372" t="s">
        <v>352</v>
      </c>
      <c r="H1372" t="s">
        <v>365</v>
      </c>
      <c r="I1372">
        <v>100510</v>
      </c>
      <c r="J1372" t="s">
        <v>4528</v>
      </c>
      <c r="K1372" t="s">
        <v>4529</v>
      </c>
      <c r="L1372" t="s">
        <v>4530</v>
      </c>
      <c r="N1372" t="s">
        <v>4531</v>
      </c>
      <c r="O1372" t="s">
        <v>4532</v>
      </c>
      <c r="R1372" t="s">
        <v>3985</v>
      </c>
      <c r="S1372" s="34" t="s">
        <v>5264</v>
      </c>
    </row>
    <row r="1373" spans="1:19" ht="409.5" x14ac:dyDescent="0.15">
      <c r="A1373" t="s">
        <v>1145</v>
      </c>
      <c r="B1373" s="61">
        <v>46204</v>
      </c>
      <c r="E1373" t="s">
        <v>355</v>
      </c>
      <c r="F1373" t="s">
        <v>351</v>
      </c>
      <c r="G1373" t="s">
        <v>354</v>
      </c>
      <c r="H1373" t="s">
        <v>353</v>
      </c>
      <c r="I1373">
        <v>100885</v>
      </c>
      <c r="J1373" t="s">
        <v>1170</v>
      </c>
      <c r="L1373" t="s">
        <v>1171</v>
      </c>
      <c r="N1373" t="s">
        <v>4533</v>
      </c>
      <c r="O1373" t="s">
        <v>1173</v>
      </c>
      <c r="R1373" t="s">
        <v>3987</v>
      </c>
      <c r="S1373" s="34" t="s">
        <v>5265</v>
      </c>
    </row>
    <row r="1374" spans="1:19" ht="189" x14ac:dyDescent="0.15">
      <c r="A1374" t="s">
        <v>1993</v>
      </c>
      <c r="B1374" s="61">
        <v>46204</v>
      </c>
      <c r="E1374" t="s">
        <v>355</v>
      </c>
      <c r="F1374" t="s">
        <v>351</v>
      </c>
      <c r="G1374" t="s">
        <v>354</v>
      </c>
      <c r="H1374" t="s">
        <v>686</v>
      </c>
      <c r="I1374">
        <v>200073</v>
      </c>
      <c r="J1374" t="s">
        <v>4013</v>
      </c>
      <c r="K1374" t="s">
        <v>4014</v>
      </c>
      <c r="L1374" t="s">
        <v>4015</v>
      </c>
      <c r="N1374">
        <v>2097339</v>
      </c>
      <c r="O1374" t="s">
        <v>4016</v>
      </c>
      <c r="R1374" t="s">
        <v>4534</v>
      </c>
      <c r="S1374" s="34" t="s">
        <v>4017</v>
      </c>
    </row>
    <row r="1375" spans="1:19" ht="243" x14ac:dyDescent="0.15">
      <c r="A1375" t="s">
        <v>1993</v>
      </c>
      <c r="B1375" s="61">
        <v>46204</v>
      </c>
      <c r="E1375" t="s">
        <v>355</v>
      </c>
      <c r="F1375" t="s">
        <v>351</v>
      </c>
      <c r="G1375" t="s">
        <v>354</v>
      </c>
      <c r="H1375" t="s">
        <v>365</v>
      </c>
      <c r="I1375">
        <v>300240</v>
      </c>
      <c r="J1375" t="s">
        <v>1264</v>
      </c>
      <c r="K1375" t="s">
        <v>2018</v>
      </c>
      <c r="L1375" t="s">
        <v>373</v>
      </c>
      <c r="N1375" t="s">
        <v>2019</v>
      </c>
      <c r="O1375" t="s">
        <v>2020</v>
      </c>
      <c r="R1375" t="s">
        <v>3987</v>
      </c>
      <c r="S1375" s="34" t="s">
        <v>5266</v>
      </c>
    </row>
    <row r="1376" spans="1:19" ht="409.5" x14ac:dyDescent="0.15">
      <c r="A1376" t="s">
        <v>2096</v>
      </c>
      <c r="B1376" s="61">
        <v>46204</v>
      </c>
      <c r="E1376" t="s">
        <v>355</v>
      </c>
      <c r="F1376" t="s">
        <v>351</v>
      </c>
      <c r="G1376" t="s">
        <v>354</v>
      </c>
      <c r="H1376" t="s">
        <v>3996</v>
      </c>
      <c r="I1376">
        <v>400260</v>
      </c>
      <c r="J1376" t="s">
        <v>371</v>
      </c>
      <c r="K1376" t="s">
        <v>2097</v>
      </c>
      <c r="L1376" t="s">
        <v>1340</v>
      </c>
      <c r="N1376" t="s">
        <v>4535</v>
      </c>
      <c r="O1376" t="s">
        <v>2099</v>
      </c>
      <c r="R1376" t="s">
        <v>4012</v>
      </c>
      <c r="S1376" s="34" t="s">
        <v>5267</v>
      </c>
    </row>
    <row r="1377" spans="1:19" ht="409.5" x14ac:dyDescent="0.15">
      <c r="A1377" t="s">
        <v>2096</v>
      </c>
      <c r="B1377" s="61">
        <v>46204</v>
      </c>
      <c r="E1377" t="s">
        <v>355</v>
      </c>
      <c r="F1377" t="s">
        <v>351</v>
      </c>
      <c r="G1377" t="s">
        <v>354</v>
      </c>
      <c r="H1377" t="s">
        <v>686</v>
      </c>
      <c r="I1377">
        <v>400443</v>
      </c>
      <c r="J1377" t="s">
        <v>3954</v>
      </c>
      <c r="K1377" t="s">
        <v>4022</v>
      </c>
      <c r="L1377" t="s">
        <v>1087</v>
      </c>
      <c r="N1377">
        <v>2178416</v>
      </c>
      <c r="O1377" t="s">
        <v>4023</v>
      </c>
      <c r="R1377" t="s">
        <v>3987</v>
      </c>
      <c r="S1377" s="34" t="s">
        <v>5268</v>
      </c>
    </row>
    <row r="1378" spans="1:19" ht="229.5" x14ac:dyDescent="0.15">
      <c r="A1378" t="s">
        <v>2096</v>
      </c>
      <c r="B1378" s="61">
        <v>46204</v>
      </c>
      <c r="E1378" t="s">
        <v>355</v>
      </c>
      <c r="F1378" t="s">
        <v>351</v>
      </c>
      <c r="G1378" t="s">
        <v>354</v>
      </c>
      <c r="H1378" t="s">
        <v>353</v>
      </c>
      <c r="I1378">
        <v>400506</v>
      </c>
      <c r="J1378" t="s">
        <v>2149</v>
      </c>
      <c r="K1378" t="s">
        <v>1542</v>
      </c>
      <c r="L1378" t="s">
        <v>390</v>
      </c>
      <c r="N1378" t="s">
        <v>2150</v>
      </c>
      <c r="O1378" t="s">
        <v>2151</v>
      </c>
      <c r="R1378" t="s">
        <v>3987</v>
      </c>
      <c r="S1378" s="34" t="s">
        <v>5269</v>
      </c>
    </row>
    <row r="1379" spans="1:19" ht="243" x14ac:dyDescent="0.15">
      <c r="A1379" t="s">
        <v>2096</v>
      </c>
      <c r="B1379" s="61">
        <v>46204</v>
      </c>
      <c r="E1379" t="s">
        <v>355</v>
      </c>
      <c r="F1379" t="s">
        <v>351</v>
      </c>
      <c r="G1379" t="s">
        <v>352</v>
      </c>
      <c r="H1379" t="s">
        <v>353</v>
      </c>
      <c r="I1379">
        <v>600175</v>
      </c>
      <c r="J1379" t="s">
        <v>2146</v>
      </c>
      <c r="L1379" t="s">
        <v>718</v>
      </c>
      <c r="N1379" t="s">
        <v>2147</v>
      </c>
      <c r="O1379" t="s">
        <v>2148</v>
      </c>
      <c r="R1379" t="s">
        <v>3985</v>
      </c>
      <c r="S1379" s="34" t="s">
        <v>5270</v>
      </c>
    </row>
    <row r="1380" spans="1:19" ht="409.5" x14ac:dyDescent="0.15">
      <c r="A1380" t="s">
        <v>914</v>
      </c>
      <c r="B1380" s="61">
        <v>46204</v>
      </c>
      <c r="E1380" t="s">
        <v>355</v>
      </c>
      <c r="F1380" t="s">
        <v>351</v>
      </c>
      <c r="G1380" t="s">
        <v>354</v>
      </c>
      <c r="H1380" t="s">
        <v>353</v>
      </c>
      <c r="I1380">
        <v>700499</v>
      </c>
      <c r="J1380" t="s">
        <v>923</v>
      </c>
      <c r="L1380" t="s">
        <v>916</v>
      </c>
      <c r="N1380" t="s">
        <v>4536</v>
      </c>
      <c r="O1380" t="s">
        <v>924</v>
      </c>
      <c r="R1380" t="s">
        <v>3987</v>
      </c>
      <c r="S1380" s="34" t="s">
        <v>5192</v>
      </c>
    </row>
    <row r="1381" spans="1:19" ht="175.5" x14ac:dyDescent="0.15">
      <c r="A1381" t="s">
        <v>914</v>
      </c>
      <c r="B1381" s="61">
        <v>46204</v>
      </c>
      <c r="E1381" t="s">
        <v>355</v>
      </c>
      <c r="F1381" t="s">
        <v>351</v>
      </c>
      <c r="G1381" t="s">
        <v>354</v>
      </c>
      <c r="H1381" t="s">
        <v>353</v>
      </c>
      <c r="I1381">
        <v>700551</v>
      </c>
      <c r="J1381" t="s">
        <v>4537</v>
      </c>
      <c r="K1381" t="s">
        <v>4538</v>
      </c>
      <c r="L1381" t="s">
        <v>4539</v>
      </c>
      <c r="N1381" t="s">
        <v>4540</v>
      </c>
      <c r="O1381" t="s">
        <v>4541</v>
      </c>
      <c r="R1381" t="s">
        <v>3987</v>
      </c>
      <c r="S1381" s="34" t="s">
        <v>5271</v>
      </c>
    </row>
    <row r="1382" spans="1:19" ht="216" x14ac:dyDescent="0.15">
      <c r="A1382" t="s">
        <v>914</v>
      </c>
      <c r="B1382" s="61">
        <v>46204</v>
      </c>
      <c r="E1382" t="s">
        <v>355</v>
      </c>
      <c r="F1382" t="s">
        <v>351</v>
      </c>
      <c r="G1382" t="s">
        <v>354</v>
      </c>
      <c r="H1382" t="s">
        <v>686</v>
      </c>
      <c r="I1382">
        <v>700577</v>
      </c>
      <c r="J1382" t="s">
        <v>4358</v>
      </c>
      <c r="K1382" t="s">
        <v>4359</v>
      </c>
      <c r="L1382" t="s">
        <v>4360</v>
      </c>
      <c r="N1382">
        <v>2119848</v>
      </c>
      <c r="O1382" t="s">
        <v>4362</v>
      </c>
      <c r="R1382" t="s">
        <v>3985</v>
      </c>
      <c r="S1382" s="34" t="s">
        <v>5272</v>
      </c>
    </row>
    <row r="1383" spans="1:19" ht="409.5" x14ac:dyDescent="0.15">
      <c r="A1383" t="s">
        <v>3051</v>
      </c>
      <c r="B1383" s="61">
        <v>46204</v>
      </c>
      <c r="E1383" t="s">
        <v>355</v>
      </c>
      <c r="F1383" t="s">
        <v>351</v>
      </c>
      <c r="G1383" t="s">
        <v>352</v>
      </c>
      <c r="H1383" t="s">
        <v>365</v>
      </c>
      <c r="I1383">
        <v>800478</v>
      </c>
      <c r="J1383" t="s">
        <v>3582</v>
      </c>
      <c r="K1383" t="s">
        <v>4542</v>
      </c>
      <c r="L1383" t="s">
        <v>4543</v>
      </c>
      <c r="N1383" t="s">
        <v>4544</v>
      </c>
      <c r="O1383" t="s">
        <v>4545</v>
      </c>
      <c r="R1383" t="s">
        <v>3985</v>
      </c>
      <c r="S1383" s="34" t="s">
        <v>5273</v>
      </c>
    </row>
    <row r="1384" spans="1:19" ht="391.5" x14ac:dyDescent="0.15">
      <c r="A1384" t="s">
        <v>1860</v>
      </c>
      <c r="B1384" s="61">
        <v>46204</v>
      </c>
      <c r="E1384" t="s">
        <v>355</v>
      </c>
      <c r="F1384" t="s">
        <v>351</v>
      </c>
      <c r="G1384" t="s">
        <v>352</v>
      </c>
      <c r="H1384" t="s">
        <v>365</v>
      </c>
      <c r="I1384">
        <v>800966</v>
      </c>
      <c r="J1384" t="s">
        <v>1861</v>
      </c>
      <c r="L1384" t="s">
        <v>698</v>
      </c>
      <c r="N1384" t="s">
        <v>1862</v>
      </c>
      <c r="O1384" t="s">
        <v>1863</v>
      </c>
      <c r="R1384" t="s">
        <v>3985</v>
      </c>
      <c r="S1384" s="34" t="s">
        <v>1867</v>
      </c>
    </row>
    <row r="1385" spans="1:19" ht="409.5" x14ac:dyDescent="0.15">
      <c r="A1385" t="s">
        <v>3089</v>
      </c>
      <c r="B1385" s="61">
        <v>46204</v>
      </c>
      <c r="E1385" t="s">
        <v>355</v>
      </c>
      <c r="F1385" t="s">
        <v>351</v>
      </c>
      <c r="G1385" t="s">
        <v>354</v>
      </c>
      <c r="H1385" t="s">
        <v>365</v>
      </c>
      <c r="I1385">
        <v>900784</v>
      </c>
      <c r="J1385" t="s">
        <v>3145</v>
      </c>
      <c r="K1385" t="s">
        <v>3146</v>
      </c>
      <c r="L1385" t="s">
        <v>4546</v>
      </c>
      <c r="N1385" t="s">
        <v>3148</v>
      </c>
      <c r="O1385" t="s">
        <v>3149</v>
      </c>
      <c r="R1385" t="s">
        <v>3986</v>
      </c>
      <c r="S1385" s="34" t="s">
        <v>3150</v>
      </c>
    </row>
    <row r="1386" spans="1:19" ht="256.5" x14ac:dyDescent="0.15">
      <c r="A1386" t="s">
        <v>837</v>
      </c>
      <c r="B1386" s="61">
        <v>46204</v>
      </c>
      <c r="E1386" t="s">
        <v>355</v>
      </c>
      <c r="F1386" t="s">
        <v>351</v>
      </c>
      <c r="G1386" t="s">
        <v>354</v>
      </c>
      <c r="H1386" t="s">
        <v>4221</v>
      </c>
      <c r="I1386">
        <v>1000221</v>
      </c>
      <c r="J1386" t="s">
        <v>847</v>
      </c>
      <c r="L1386" t="s">
        <v>4222</v>
      </c>
      <c r="N1386" t="s">
        <v>4223</v>
      </c>
      <c r="O1386" t="s">
        <v>848</v>
      </c>
      <c r="R1386" t="s">
        <v>4318</v>
      </c>
      <c r="S1386" s="34" t="s">
        <v>5274</v>
      </c>
    </row>
    <row r="1387" spans="1:19" ht="229.5" x14ac:dyDescent="0.15">
      <c r="A1387" t="s">
        <v>837</v>
      </c>
      <c r="B1387" s="61">
        <v>46204</v>
      </c>
      <c r="E1387" t="s">
        <v>355</v>
      </c>
      <c r="F1387" t="s">
        <v>351</v>
      </c>
      <c r="G1387" t="s">
        <v>354</v>
      </c>
      <c r="H1387" t="s">
        <v>353</v>
      </c>
      <c r="I1387">
        <v>1000762</v>
      </c>
      <c r="J1387" t="s">
        <v>4204</v>
      </c>
      <c r="K1387" t="s">
        <v>4205</v>
      </c>
      <c r="L1387" t="s">
        <v>2186</v>
      </c>
      <c r="N1387" t="s">
        <v>4206</v>
      </c>
      <c r="O1387" t="s">
        <v>4207</v>
      </c>
      <c r="R1387" t="s">
        <v>3987</v>
      </c>
      <c r="S1387" s="34" t="s">
        <v>5275</v>
      </c>
    </row>
    <row r="1388" spans="1:19" ht="243" x14ac:dyDescent="0.15">
      <c r="A1388" t="s">
        <v>837</v>
      </c>
      <c r="B1388" s="61">
        <v>46204</v>
      </c>
      <c r="E1388" t="s">
        <v>355</v>
      </c>
      <c r="F1388" t="s">
        <v>351</v>
      </c>
      <c r="G1388" t="s">
        <v>354</v>
      </c>
      <c r="H1388" t="s">
        <v>365</v>
      </c>
      <c r="I1388">
        <v>1100025</v>
      </c>
      <c r="J1388" t="s">
        <v>867</v>
      </c>
      <c r="L1388" t="s">
        <v>868</v>
      </c>
      <c r="N1388" t="s">
        <v>869</v>
      </c>
      <c r="O1388" t="s">
        <v>870</v>
      </c>
      <c r="R1388" t="s">
        <v>3987</v>
      </c>
      <c r="S1388" s="34" t="s">
        <v>5276</v>
      </c>
    </row>
    <row r="1389" spans="1:19" ht="243" x14ac:dyDescent="0.15">
      <c r="A1389" t="s">
        <v>2255</v>
      </c>
      <c r="B1389" s="61">
        <v>46204</v>
      </c>
      <c r="E1389" t="s">
        <v>355</v>
      </c>
      <c r="F1389" t="s">
        <v>351</v>
      </c>
      <c r="G1389" t="s">
        <v>352</v>
      </c>
      <c r="H1389" t="s">
        <v>365</v>
      </c>
      <c r="I1389">
        <v>1100411</v>
      </c>
      <c r="J1389" t="s">
        <v>4547</v>
      </c>
      <c r="K1389" t="s">
        <v>897</v>
      </c>
      <c r="L1389" t="s">
        <v>390</v>
      </c>
      <c r="N1389" t="s">
        <v>4548</v>
      </c>
      <c r="O1389" t="s">
        <v>4549</v>
      </c>
      <c r="R1389" t="s">
        <v>3958</v>
      </c>
      <c r="S1389" s="34" t="s">
        <v>5277</v>
      </c>
    </row>
    <row r="1390" spans="1:19" ht="229.5" x14ac:dyDescent="0.15">
      <c r="A1390" t="s">
        <v>5845</v>
      </c>
      <c r="B1390" s="61">
        <v>46204</v>
      </c>
      <c r="E1390" t="s">
        <v>355</v>
      </c>
      <c r="F1390" t="s">
        <v>351</v>
      </c>
      <c r="G1390" t="s">
        <v>354</v>
      </c>
      <c r="H1390" t="s">
        <v>686</v>
      </c>
      <c r="I1390">
        <v>1101272</v>
      </c>
      <c r="J1390" t="s">
        <v>2033</v>
      </c>
      <c r="K1390" t="s">
        <v>897</v>
      </c>
      <c r="L1390" t="s">
        <v>3602</v>
      </c>
      <c r="N1390">
        <v>2097804</v>
      </c>
      <c r="O1390" t="s">
        <v>3604</v>
      </c>
      <c r="R1390" s="34" t="s">
        <v>5278</v>
      </c>
      <c r="S1390" s="34" t="s">
        <v>5279</v>
      </c>
    </row>
    <row r="1391" spans="1:19" ht="409.5" x14ac:dyDescent="0.15">
      <c r="A1391" t="s">
        <v>5845</v>
      </c>
      <c r="B1391" s="61">
        <v>46204</v>
      </c>
      <c r="E1391" t="s">
        <v>355</v>
      </c>
      <c r="F1391" t="s">
        <v>351</v>
      </c>
      <c r="G1391" t="s">
        <v>354</v>
      </c>
      <c r="H1391" t="s">
        <v>365</v>
      </c>
      <c r="I1391">
        <v>1101272</v>
      </c>
      <c r="J1391" t="s">
        <v>2033</v>
      </c>
      <c r="K1391" t="s">
        <v>897</v>
      </c>
      <c r="L1391" t="s">
        <v>3602</v>
      </c>
      <c r="N1391" t="s">
        <v>3603</v>
      </c>
      <c r="O1391" t="s">
        <v>3604</v>
      </c>
      <c r="R1391" t="s">
        <v>3986</v>
      </c>
      <c r="S1391" s="34" t="s">
        <v>5280</v>
      </c>
    </row>
    <row r="1392" spans="1:19" ht="409.5" x14ac:dyDescent="0.15">
      <c r="A1392" t="s">
        <v>5845</v>
      </c>
      <c r="B1392" s="61">
        <v>46204</v>
      </c>
      <c r="E1392" t="s">
        <v>355</v>
      </c>
      <c r="F1392" t="s">
        <v>351</v>
      </c>
      <c r="G1392" t="s">
        <v>352</v>
      </c>
      <c r="H1392" t="s">
        <v>365</v>
      </c>
      <c r="I1392">
        <v>1101360</v>
      </c>
      <c r="J1392" t="s">
        <v>2033</v>
      </c>
      <c r="K1392" t="s">
        <v>897</v>
      </c>
      <c r="L1392" t="s">
        <v>4551</v>
      </c>
      <c r="N1392" t="s">
        <v>4552</v>
      </c>
      <c r="O1392" t="s">
        <v>4553</v>
      </c>
      <c r="R1392" t="s">
        <v>3985</v>
      </c>
      <c r="S1392" s="34" t="s">
        <v>5281</v>
      </c>
    </row>
    <row r="1393" spans="1:19" ht="409.5" x14ac:dyDescent="0.15">
      <c r="A1393" t="s">
        <v>2255</v>
      </c>
      <c r="B1393" s="61">
        <v>46204</v>
      </c>
      <c r="E1393" t="s">
        <v>355</v>
      </c>
      <c r="F1393" t="s">
        <v>351</v>
      </c>
      <c r="G1393" t="s">
        <v>354</v>
      </c>
      <c r="H1393" t="s">
        <v>353</v>
      </c>
      <c r="I1393">
        <v>1101596</v>
      </c>
      <c r="J1393" t="s">
        <v>2285</v>
      </c>
      <c r="K1393" t="s">
        <v>2286</v>
      </c>
      <c r="L1393" t="s">
        <v>4554</v>
      </c>
      <c r="N1393" t="s">
        <v>5104</v>
      </c>
      <c r="O1393" t="s">
        <v>2288</v>
      </c>
      <c r="R1393" t="s">
        <v>3986</v>
      </c>
      <c r="S1393" s="34" t="s">
        <v>5282</v>
      </c>
    </row>
    <row r="1394" spans="1:19" ht="409.5" x14ac:dyDescent="0.15">
      <c r="A1394" t="s">
        <v>2255</v>
      </c>
      <c r="B1394" s="61">
        <v>46204</v>
      </c>
      <c r="E1394" t="s">
        <v>355</v>
      </c>
      <c r="F1394" t="s">
        <v>351</v>
      </c>
      <c r="G1394" t="s">
        <v>352</v>
      </c>
      <c r="H1394" t="s">
        <v>353</v>
      </c>
      <c r="I1394">
        <v>1102113</v>
      </c>
      <c r="J1394" t="s">
        <v>1620</v>
      </c>
      <c r="K1394" t="s">
        <v>4025</v>
      </c>
      <c r="L1394" t="s">
        <v>2942</v>
      </c>
      <c r="N1394" t="s">
        <v>4555</v>
      </c>
      <c r="O1394" t="s">
        <v>4026</v>
      </c>
      <c r="R1394" t="s">
        <v>3985</v>
      </c>
      <c r="S1394" s="34" t="s">
        <v>5283</v>
      </c>
    </row>
    <row r="1395" spans="1:19" ht="409.5" x14ac:dyDescent="0.15">
      <c r="A1395" t="s">
        <v>2404</v>
      </c>
      <c r="B1395" s="61">
        <v>46204</v>
      </c>
      <c r="E1395" t="s">
        <v>355</v>
      </c>
      <c r="F1395" t="s">
        <v>351</v>
      </c>
      <c r="G1395" t="s">
        <v>354</v>
      </c>
      <c r="H1395" t="s">
        <v>686</v>
      </c>
      <c r="I1395">
        <v>1102152</v>
      </c>
      <c r="J1395" t="s">
        <v>2426</v>
      </c>
      <c r="K1395" t="s">
        <v>2427</v>
      </c>
      <c r="L1395" t="s">
        <v>2428</v>
      </c>
      <c r="N1395" t="s">
        <v>4556</v>
      </c>
      <c r="O1395" t="s">
        <v>2430</v>
      </c>
      <c r="R1395" t="s">
        <v>5167</v>
      </c>
      <c r="S1395" s="34" t="s">
        <v>4557</v>
      </c>
    </row>
    <row r="1396" spans="1:19" ht="378" x14ac:dyDescent="0.15">
      <c r="A1396" t="s">
        <v>2377</v>
      </c>
      <c r="B1396" s="61">
        <v>46204</v>
      </c>
      <c r="E1396" t="s">
        <v>355</v>
      </c>
      <c r="F1396" t="s">
        <v>351</v>
      </c>
      <c r="G1396" t="s">
        <v>352</v>
      </c>
      <c r="H1396" t="s">
        <v>353</v>
      </c>
      <c r="I1396">
        <v>1102153</v>
      </c>
      <c r="J1396" t="s">
        <v>2392</v>
      </c>
      <c r="K1396" t="s">
        <v>2393</v>
      </c>
      <c r="L1396" t="s">
        <v>413</v>
      </c>
      <c r="N1396" t="s">
        <v>5168</v>
      </c>
      <c r="O1396" t="s">
        <v>2395</v>
      </c>
      <c r="R1396" t="s">
        <v>3985</v>
      </c>
      <c r="S1396" s="34" t="s">
        <v>5284</v>
      </c>
    </row>
    <row r="1397" spans="1:19" ht="409.5" x14ac:dyDescent="0.15">
      <c r="A1397" t="s">
        <v>5612</v>
      </c>
      <c r="B1397" s="61">
        <v>46204</v>
      </c>
      <c r="E1397" t="s">
        <v>355</v>
      </c>
      <c r="F1397" t="s">
        <v>351</v>
      </c>
      <c r="G1397" t="s">
        <v>354</v>
      </c>
      <c r="H1397" t="s">
        <v>353</v>
      </c>
      <c r="I1397">
        <v>1102162</v>
      </c>
      <c r="J1397" t="s">
        <v>1349</v>
      </c>
      <c r="K1397" t="s">
        <v>2217</v>
      </c>
      <c r="L1397" t="s">
        <v>4558</v>
      </c>
      <c r="N1397" t="s">
        <v>4559</v>
      </c>
      <c r="O1397" t="s">
        <v>4560</v>
      </c>
      <c r="R1397" t="s">
        <v>3987</v>
      </c>
      <c r="S1397" s="34" t="s">
        <v>5285</v>
      </c>
    </row>
    <row r="1398" spans="1:19" ht="391.5" x14ac:dyDescent="0.15">
      <c r="A1398" t="s">
        <v>2255</v>
      </c>
      <c r="B1398" s="61">
        <v>46204</v>
      </c>
      <c r="E1398" t="s">
        <v>355</v>
      </c>
      <c r="F1398" t="s">
        <v>351</v>
      </c>
      <c r="G1398" t="s">
        <v>352</v>
      </c>
      <c r="H1398" t="s">
        <v>365</v>
      </c>
      <c r="I1398">
        <v>1102260</v>
      </c>
      <c r="J1398" t="s">
        <v>4547</v>
      </c>
      <c r="K1398" t="s">
        <v>897</v>
      </c>
      <c r="L1398" t="s">
        <v>4561</v>
      </c>
      <c r="N1398" t="s">
        <v>4562</v>
      </c>
      <c r="O1398" t="s">
        <v>4563</v>
      </c>
      <c r="R1398" t="s">
        <v>3985</v>
      </c>
      <c r="S1398" s="34" t="s">
        <v>5286</v>
      </c>
    </row>
    <row r="1399" spans="1:19" ht="351" x14ac:dyDescent="0.15">
      <c r="A1399" t="s">
        <v>2404</v>
      </c>
      <c r="B1399" s="61">
        <v>46204</v>
      </c>
      <c r="E1399" t="s">
        <v>355</v>
      </c>
      <c r="F1399" t="s">
        <v>351</v>
      </c>
      <c r="G1399" t="s">
        <v>354</v>
      </c>
      <c r="H1399" t="s">
        <v>353</v>
      </c>
      <c r="I1399">
        <v>1102324</v>
      </c>
      <c r="J1399" t="s">
        <v>2417</v>
      </c>
      <c r="L1399" t="s">
        <v>2418</v>
      </c>
      <c r="N1399" t="s">
        <v>5287</v>
      </c>
      <c r="O1399" t="s">
        <v>2420</v>
      </c>
      <c r="R1399" t="s">
        <v>3987</v>
      </c>
      <c r="S1399" s="34" t="s">
        <v>5288</v>
      </c>
    </row>
    <row r="1400" spans="1:19" ht="364.5" x14ac:dyDescent="0.15">
      <c r="A1400" t="s">
        <v>2404</v>
      </c>
      <c r="B1400" s="61">
        <v>46204</v>
      </c>
      <c r="E1400" t="s">
        <v>355</v>
      </c>
      <c r="F1400" t="s">
        <v>351</v>
      </c>
      <c r="G1400" t="s">
        <v>354</v>
      </c>
      <c r="H1400" t="s">
        <v>365</v>
      </c>
      <c r="I1400">
        <v>1102324</v>
      </c>
      <c r="J1400" t="s">
        <v>2417</v>
      </c>
      <c r="L1400" t="s">
        <v>2418</v>
      </c>
      <c r="N1400" t="s">
        <v>2419</v>
      </c>
      <c r="O1400" t="s">
        <v>2420</v>
      </c>
      <c r="R1400" t="s">
        <v>3987</v>
      </c>
      <c r="S1400" s="34" t="s">
        <v>2421</v>
      </c>
    </row>
    <row r="1401" spans="1:19" ht="409.5" x14ac:dyDescent="0.15">
      <c r="A1401" t="s">
        <v>2152</v>
      </c>
      <c r="B1401" s="61">
        <v>46204</v>
      </c>
      <c r="E1401" t="s">
        <v>355</v>
      </c>
      <c r="F1401" t="s">
        <v>351</v>
      </c>
      <c r="G1401" t="s">
        <v>354</v>
      </c>
      <c r="H1401" t="s">
        <v>353</v>
      </c>
      <c r="I1401">
        <v>1200120</v>
      </c>
      <c r="J1401" t="s">
        <v>531</v>
      </c>
      <c r="K1401" t="s">
        <v>2155</v>
      </c>
      <c r="L1401" t="s">
        <v>2181</v>
      </c>
      <c r="N1401" t="s">
        <v>4565</v>
      </c>
      <c r="O1401" t="s">
        <v>2183</v>
      </c>
      <c r="R1401" t="s">
        <v>3992</v>
      </c>
      <c r="S1401" s="34" t="s">
        <v>5289</v>
      </c>
    </row>
    <row r="1402" spans="1:19" ht="409.5" x14ac:dyDescent="0.15">
      <c r="A1402" t="s">
        <v>2152</v>
      </c>
      <c r="B1402" s="61">
        <v>46204</v>
      </c>
      <c r="E1402" t="s">
        <v>355</v>
      </c>
      <c r="F1402" t="s">
        <v>351</v>
      </c>
      <c r="G1402" t="s">
        <v>354</v>
      </c>
      <c r="H1402" t="s">
        <v>309</v>
      </c>
      <c r="I1402">
        <v>1200120</v>
      </c>
      <c r="J1402" t="s">
        <v>531</v>
      </c>
      <c r="K1402" t="s">
        <v>2155</v>
      </c>
      <c r="L1402" t="s">
        <v>2181</v>
      </c>
      <c r="N1402" t="s">
        <v>4566</v>
      </c>
      <c r="O1402" t="s">
        <v>2183</v>
      </c>
      <c r="R1402" t="s">
        <v>3992</v>
      </c>
      <c r="S1402" s="34" t="s">
        <v>5290</v>
      </c>
    </row>
    <row r="1403" spans="1:19" ht="216" x14ac:dyDescent="0.15">
      <c r="A1403" t="s">
        <v>2152</v>
      </c>
      <c r="B1403" s="61">
        <v>46204</v>
      </c>
      <c r="E1403" t="s">
        <v>355</v>
      </c>
      <c r="F1403" t="s">
        <v>351</v>
      </c>
      <c r="G1403" t="s">
        <v>354</v>
      </c>
      <c r="H1403" t="s">
        <v>353</v>
      </c>
      <c r="I1403">
        <v>1200264</v>
      </c>
      <c r="J1403" t="s">
        <v>2221</v>
      </c>
      <c r="K1403" t="s">
        <v>2222</v>
      </c>
      <c r="L1403" t="s">
        <v>2223</v>
      </c>
      <c r="N1403" t="s">
        <v>4567</v>
      </c>
      <c r="O1403" t="s">
        <v>2225</v>
      </c>
      <c r="R1403" t="s">
        <v>3986</v>
      </c>
      <c r="S1403" s="34" t="s">
        <v>5291</v>
      </c>
    </row>
    <row r="1404" spans="1:19" ht="409.5" x14ac:dyDescent="0.15">
      <c r="A1404" t="s">
        <v>2152</v>
      </c>
      <c r="B1404" s="61">
        <v>46204</v>
      </c>
      <c r="E1404" t="s">
        <v>355</v>
      </c>
      <c r="F1404" t="s">
        <v>351</v>
      </c>
      <c r="G1404" t="s">
        <v>354</v>
      </c>
      <c r="H1404" t="s">
        <v>365</v>
      </c>
      <c r="I1404">
        <v>1200264</v>
      </c>
      <c r="J1404" t="s">
        <v>2221</v>
      </c>
      <c r="K1404" t="s">
        <v>2222</v>
      </c>
      <c r="L1404" t="s">
        <v>2223</v>
      </c>
      <c r="N1404" t="s">
        <v>2224</v>
      </c>
      <c r="O1404" t="s">
        <v>2225</v>
      </c>
      <c r="R1404" t="s">
        <v>3986</v>
      </c>
      <c r="S1404" s="34" t="s">
        <v>2226</v>
      </c>
    </row>
    <row r="1405" spans="1:19" ht="283.5" x14ac:dyDescent="0.15">
      <c r="A1405" t="s">
        <v>6294</v>
      </c>
      <c r="B1405" s="61">
        <v>46204</v>
      </c>
      <c r="E1405" t="s">
        <v>355</v>
      </c>
      <c r="F1405" t="s">
        <v>351</v>
      </c>
      <c r="G1405" t="s">
        <v>354</v>
      </c>
      <c r="H1405" t="s">
        <v>686</v>
      </c>
      <c r="I1405">
        <v>1200268</v>
      </c>
      <c r="J1405" t="s">
        <v>4568</v>
      </c>
      <c r="K1405" t="s">
        <v>4569</v>
      </c>
      <c r="L1405" t="s">
        <v>4570</v>
      </c>
      <c r="N1405">
        <v>2137575</v>
      </c>
      <c r="O1405" t="s">
        <v>4571</v>
      </c>
      <c r="R1405" t="s">
        <v>3992</v>
      </c>
      <c r="S1405" s="34" t="s">
        <v>5292</v>
      </c>
    </row>
    <row r="1406" spans="1:19" ht="409.5" x14ac:dyDescent="0.15">
      <c r="A1406" t="s">
        <v>2404</v>
      </c>
      <c r="B1406" s="61">
        <v>46204</v>
      </c>
      <c r="E1406" t="s">
        <v>355</v>
      </c>
      <c r="F1406" t="s">
        <v>351</v>
      </c>
      <c r="G1406" t="s">
        <v>354</v>
      </c>
      <c r="H1406" t="s">
        <v>309</v>
      </c>
      <c r="I1406">
        <v>1200483</v>
      </c>
      <c r="J1406" t="s">
        <v>2423</v>
      </c>
      <c r="K1406" t="s">
        <v>2260</v>
      </c>
      <c r="L1406" t="s">
        <v>390</v>
      </c>
      <c r="N1406" t="s">
        <v>4572</v>
      </c>
      <c r="O1406" t="s">
        <v>2425</v>
      </c>
      <c r="R1406" t="s">
        <v>3992</v>
      </c>
      <c r="S1406" s="34" t="s">
        <v>5293</v>
      </c>
    </row>
    <row r="1407" spans="1:19" ht="405" x14ac:dyDescent="0.15">
      <c r="A1407" t="s">
        <v>5393</v>
      </c>
      <c r="B1407" s="61">
        <v>46204</v>
      </c>
      <c r="E1407" t="s">
        <v>355</v>
      </c>
      <c r="F1407" t="s">
        <v>351</v>
      </c>
      <c r="G1407" t="s">
        <v>354</v>
      </c>
      <c r="H1407" t="s">
        <v>686</v>
      </c>
      <c r="I1407">
        <v>1200968</v>
      </c>
      <c r="J1407" t="s">
        <v>1212</v>
      </c>
      <c r="K1407" t="s">
        <v>4031</v>
      </c>
      <c r="L1407" t="s">
        <v>1018</v>
      </c>
      <c r="N1407" t="s">
        <v>4573</v>
      </c>
      <c r="O1407" t="s">
        <v>4032</v>
      </c>
      <c r="R1407" t="s">
        <v>4052</v>
      </c>
      <c r="S1407" s="34" t="s">
        <v>5294</v>
      </c>
    </row>
    <row r="1408" spans="1:19" ht="409.5" x14ac:dyDescent="0.15">
      <c r="A1408" t="s">
        <v>5393</v>
      </c>
      <c r="B1408" s="61">
        <v>46204</v>
      </c>
      <c r="E1408" t="s">
        <v>355</v>
      </c>
      <c r="F1408" t="s">
        <v>351</v>
      </c>
      <c r="G1408" t="s">
        <v>354</v>
      </c>
      <c r="H1408" t="s">
        <v>309</v>
      </c>
      <c r="I1408">
        <v>1200968</v>
      </c>
      <c r="J1408" t="s">
        <v>1212</v>
      </c>
      <c r="K1408" t="s">
        <v>4031</v>
      </c>
      <c r="L1408" t="s">
        <v>1018</v>
      </c>
      <c r="N1408" t="s">
        <v>5169</v>
      </c>
      <c r="O1408" t="s">
        <v>4032</v>
      </c>
      <c r="R1408" t="s">
        <v>4052</v>
      </c>
      <c r="S1408" s="34" t="s">
        <v>5170</v>
      </c>
    </row>
    <row r="1409" spans="1:19" ht="229.5" x14ac:dyDescent="0.15">
      <c r="A1409" t="s">
        <v>1424</v>
      </c>
      <c r="B1409" s="61">
        <v>46204</v>
      </c>
      <c r="E1409" t="s">
        <v>355</v>
      </c>
      <c r="F1409" t="s">
        <v>351</v>
      </c>
      <c r="G1409" t="s">
        <v>352</v>
      </c>
      <c r="H1409" t="s">
        <v>365</v>
      </c>
      <c r="I1409">
        <v>1201016</v>
      </c>
      <c r="J1409" t="s">
        <v>371</v>
      </c>
      <c r="K1409" t="s">
        <v>4574</v>
      </c>
      <c r="L1409" t="s">
        <v>1114</v>
      </c>
      <c r="N1409" t="s">
        <v>4575</v>
      </c>
      <c r="O1409" t="s">
        <v>4576</v>
      </c>
      <c r="R1409" t="s">
        <v>3985</v>
      </c>
      <c r="S1409" s="34" t="s">
        <v>5295</v>
      </c>
    </row>
    <row r="1410" spans="1:19" ht="202.5" x14ac:dyDescent="0.15">
      <c r="A1410" t="s">
        <v>1424</v>
      </c>
      <c r="B1410" s="61">
        <v>46204</v>
      </c>
      <c r="E1410" t="s">
        <v>355</v>
      </c>
      <c r="F1410" t="s">
        <v>351</v>
      </c>
      <c r="G1410" t="s">
        <v>354</v>
      </c>
      <c r="H1410" t="s">
        <v>3996</v>
      </c>
      <c r="I1410">
        <v>1201016</v>
      </c>
      <c r="J1410" t="s">
        <v>371</v>
      </c>
      <c r="K1410" t="s">
        <v>4574</v>
      </c>
      <c r="L1410" t="s">
        <v>1114</v>
      </c>
      <c r="N1410">
        <v>201004230</v>
      </c>
      <c r="O1410" t="s">
        <v>4576</v>
      </c>
      <c r="R1410" t="s">
        <v>3985</v>
      </c>
      <c r="S1410" s="34" t="s">
        <v>5296</v>
      </c>
    </row>
    <row r="1411" spans="1:19" ht="409.5" x14ac:dyDescent="0.15">
      <c r="A1411" t="s">
        <v>2404</v>
      </c>
      <c r="B1411" s="61">
        <v>46204</v>
      </c>
      <c r="E1411" t="s">
        <v>355</v>
      </c>
      <c r="F1411" t="s">
        <v>351</v>
      </c>
      <c r="G1411" t="s">
        <v>354</v>
      </c>
      <c r="H1411" t="s">
        <v>3996</v>
      </c>
      <c r="I1411">
        <v>1201080</v>
      </c>
      <c r="J1411" t="s">
        <v>1212</v>
      </c>
      <c r="K1411" t="s">
        <v>4577</v>
      </c>
      <c r="L1411" t="s">
        <v>2041</v>
      </c>
      <c r="N1411">
        <v>5925</v>
      </c>
      <c r="O1411" t="s">
        <v>4578</v>
      </c>
      <c r="R1411" t="s">
        <v>4052</v>
      </c>
      <c r="S1411" s="34" t="s">
        <v>5297</v>
      </c>
    </row>
    <row r="1412" spans="1:19" ht="409.5" x14ac:dyDescent="0.15">
      <c r="A1412" t="s">
        <v>5393</v>
      </c>
      <c r="B1412" s="61">
        <v>46204</v>
      </c>
      <c r="E1412" t="s">
        <v>355</v>
      </c>
      <c r="F1412" t="s">
        <v>351</v>
      </c>
      <c r="G1412" t="s">
        <v>354</v>
      </c>
      <c r="H1412" t="s">
        <v>686</v>
      </c>
      <c r="I1412">
        <v>1201362</v>
      </c>
      <c r="J1412" t="s">
        <v>2227</v>
      </c>
      <c r="K1412" t="s">
        <v>4033</v>
      </c>
      <c r="L1412" t="s">
        <v>3885</v>
      </c>
      <c r="N1412" t="s">
        <v>4034</v>
      </c>
      <c r="O1412" t="s">
        <v>4035</v>
      </c>
      <c r="R1412" t="s">
        <v>4550</v>
      </c>
      <c r="S1412" s="34" t="s">
        <v>4036</v>
      </c>
    </row>
    <row r="1413" spans="1:19" ht="409.5" x14ac:dyDescent="0.15">
      <c r="A1413" t="s">
        <v>5393</v>
      </c>
      <c r="B1413" s="61">
        <v>46204</v>
      </c>
      <c r="E1413" t="s">
        <v>355</v>
      </c>
      <c r="F1413" t="s">
        <v>351</v>
      </c>
      <c r="G1413" t="s">
        <v>354</v>
      </c>
      <c r="H1413" t="s">
        <v>365</v>
      </c>
      <c r="I1413">
        <v>1201456</v>
      </c>
      <c r="J1413" t="s">
        <v>3890</v>
      </c>
      <c r="K1413" t="s">
        <v>3896</v>
      </c>
      <c r="L1413" t="s">
        <v>3897</v>
      </c>
      <c r="N1413" t="s">
        <v>3898</v>
      </c>
      <c r="O1413" t="s">
        <v>3899</v>
      </c>
      <c r="R1413" t="s">
        <v>4052</v>
      </c>
      <c r="S1413" s="34" t="s">
        <v>3900</v>
      </c>
    </row>
    <row r="1414" spans="1:19" ht="256.5" x14ac:dyDescent="0.15">
      <c r="A1414" t="s">
        <v>6275</v>
      </c>
      <c r="B1414" s="61">
        <v>46204</v>
      </c>
      <c r="E1414" t="s">
        <v>355</v>
      </c>
      <c r="F1414" t="s">
        <v>351</v>
      </c>
      <c r="G1414" t="s">
        <v>352</v>
      </c>
      <c r="H1414" t="s">
        <v>353</v>
      </c>
      <c r="I1414">
        <v>1201525</v>
      </c>
      <c r="J1414" t="s">
        <v>1360</v>
      </c>
      <c r="K1414" t="s">
        <v>1956</v>
      </c>
      <c r="L1414" t="s">
        <v>4579</v>
      </c>
      <c r="N1414" t="s">
        <v>4580</v>
      </c>
      <c r="O1414" t="s">
        <v>4581</v>
      </c>
      <c r="R1414" t="s">
        <v>3985</v>
      </c>
      <c r="S1414" s="34" t="s">
        <v>5298</v>
      </c>
    </row>
    <row r="1415" spans="1:19" ht="409.5" x14ac:dyDescent="0.15">
      <c r="A1415" t="s">
        <v>3895</v>
      </c>
      <c r="B1415" s="61">
        <v>46204</v>
      </c>
      <c r="E1415" t="s">
        <v>355</v>
      </c>
      <c r="F1415" t="s">
        <v>351</v>
      </c>
      <c r="G1415" t="s">
        <v>354</v>
      </c>
      <c r="H1415" t="s">
        <v>353</v>
      </c>
      <c r="I1415">
        <v>1201594</v>
      </c>
      <c r="J1415" t="s">
        <v>4155</v>
      </c>
      <c r="K1415" t="s">
        <v>4156</v>
      </c>
      <c r="L1415" t="s">
        <v>466</v>
      </c>
      <c r="N1415" t="s">
        <v>4582</v>
      </c>
      <c r="O1415" t="s">
        <v>4157</v>
      </c>
      <c r="R1415" t="s">
        <v>3987</v>
      </c>
      <c r="S1415" s="34" t="s">
        <v>5299</v>
      </c>
    </row>
    <row r="1416" spans="1:19" ht="409.5" x14ac:dyDescent="0.15">
      <c r="A1416" t="s">
        <v>3895</v>
      </c>
      <c r="B1416" s="61">
        <v>46204</v>
      </c>
      <c r="E1416" t="s">
        <v>355</v>
      </c>
      <c r="F1416" t="s">
        <v>351</v>
      </c>
      <c r="G1416" t="s">
        <v>354</v>
      </c>
      <c r="H1416" t="s">
        <v>4583</v>
      </c>
      <c r="I1416">
        <v>1201594</v>
      </c>
      <c r="J1416" t="s">
        <v>4155</v>
      </c>
      <c r="K1416" t="s">
        <v>4156</v>
      </c>
      <c r="L1416" t="s">
        <v>466</v>
      </c>
      <c r="N1416" t="s">
        <v>4584</v>
      </c>
      <c r="O1416" t="s">
        <v>4157</v>
      </c>
      <c r="R1416" s="34" t="s">
        <v>4585</v>
      </c>
      <c r="S1416" s="34" t="s">
        <v>5300</v>
      </c>
    </row>
    <row r="1417" spans="1:19" ht="270" x14ac:dyDescent="0.15">
      <c r="A1417" t="s">
        <v>3024</v>
      </c>
      <c r="B1417" s="61">
        <v>46204</v>
      </c>
      <c r="E1417" t="s">
        <v>355</v>
      </c>
      <c r="F1417" t="s">
        <v>351</v>
      </c>
      <c r="G1417" t="s">
        <v>354</v>
      </c>
      <c r="H1417" t="s">
        <v>310</v>
      </c>
      <c r="I1417">
        <v>1301260</v>
      </c>
      <c r="J1417" t="s">
        <v>3028</v>
      </c>
      <c r="K1417" t="s">
        <v>3029</v>
      </c>
      <c r="L1417" t="s">
        <v>3030</v>
      </c>
      <c r="N1417" t="s">
        <v>3031</v>
      </c>
      <c r="O1417" t="s">
        <v>3032</v>
      </c>
      <c r="R1417" t="s">
        <v>3987</v>
      </c>
      <c r="S1417" s="34" t="s">
        <v>3033</v>
      </c>
    </row>
    <row r="1418" spans="1:19" ht="409.5" x14ac:dyDescent="0.15">
      <c r="A1418" t="s">
        <v>2434</v>
      </c>
      <c r="B1418" s="61">
        <v>46204</v>
      </c>
      <c r="E1418" t="s">
        <v>355</v>
      </c>
      <c r="F1418" t="s">
        <v>351</v>
      </c>
      <c r="G1418" t="s">
        <v>354</v>
      </c>
      <c r="H1418" t="s">
        <v>686</v>
      </c>
      <c r="I1418">
        <v>1301669</v>
      </c>
      <c r="J1418" t="s">
        <v>2451</v>
      </c>
      <c r="K1418" t="s">
        <v>2452</v>
      </c>
      <c r="L1418" t="s">
        <v>2453</v>
      </c>
      <c r="N1418">
        <v>2178414</v>
      </c>
      <c r="O1418" t="s">
        <v>2455</v>
      </c>
      <c r="R1418" t="s">
        <v>5167</v>
      </c>
      <c r="S1418" s="34" t="s">
        <v>4586</v>
      </c>
    </row>
    <row r="1419" spans="1:19" ht="409.5" x14ac:dyDescent="0.15">
      <c r="A1419" t="s">
        <v>2993</v>
      </c>
      <c r="B1419" s="61">
        <v>46204</v>
      </c>
      <c r="E1419" t="s">
        <v>355</v>
      </c>
      <c r="F1419" t="s">
        <v>351</v>
      </c>
      <c r="G1419" t="s">
        <v>354</v>
      </c>
      <c r="H1419" t="s">
        <v>365</v>
      </c>
      <c r="I1419">
        <v>1301673</v>
      </c>
      <c r="J1419" t="s">
        <v>2994</v>
      </c>
      <c r="K1419" t="s">
        <v>2995</v>
      </c>
      <c r="L1419" t="s">
        <v>2459</v>
      </c>
      <c r="N1419" t="s">
        <v>2996</v>
      </c>
      <c r="O1419" t="s">
        <v>2997</v>
      </c>
      <c r="R1419" t="s">
        <v>3987</v>
      </c>
      <c r="S1419" s="34" t="s">
        <v>5301</v>
      </c>
    </row>
    <row r="1420" spans="1:19" ht="409.5" x14ac:dyDescent="0.15">
      <c r="A1420" t="s">
        <v>2993</v>
      </c>
      <c r="B1420" s="61">
        <v>46204</v>
      </c>
      <c r="E1420" t="s">
        <v>355</v>
      </c>
      <c r="F1420" t="s">
        <v>351</v>
      </c>
      <c r="G1420" t="s">
        <v>354</v>
      </c>
      <c r="H1420" t="s">
        <v>353</v>
      </c>
      <c r="I1420">
        <v>1301673</v>
      </c>
      <c r="J1420" t="s">
        <v>2994</v>
      </c>
      <c r="K1420" t="s">
        <v>2995</v>
      </c>
      <c r="L1420" t="s">
        <v>2459</v>
      </c>
      <c r="N1420" t="s">
        <v>5071</v>
      </c>
      <c r="O1420" t="s">
        <v>2997</v>
      </c>
      <c r="R1420" t="s">
        <v>3987</v>
      </c>
      <c r="S1420" s="34" t="s">
        <v>5302</v>
      </c>
    </row>
    <row r="1421" spans="1:19" ht="229.5" x14ac:dyDescent="0.15">
      <c r="A1421" t="s">
        <v>501</v>
      </c>
      <c r="B1421" s="61">
        <v>46204</v>
      </c>
      <c r="E1421" t="s">
        <v>355</v>
      </c>
      <c r="F1421" t="s">
        <v>351</v>
      </c>
      <c r="G1421" t="s">
        <v>352</v>
      </c>
      <c r="H1421" t="s">
        <v>353</v>
      </c>
      <c r="I1421">
        <v>1400287</v>
      </c>
      <c r="J1421" t="s">
        <v>527</v>
      </c>
      <c r="K1421" t="s">
        <v>528</v>
      </c>
      <c r="L1421" t="s">
        <v>502</v>
      </c>
      <c r="N1421" t="s">
        <v>5171</v>
      </c>
      <c r="O1421" t="s">
        <v>530</v>
      </c>
      <c r="R1421" t="s">
        <v>3985</v>
      </c>
      <c r="S1421" s="34" t="s">
        <v>5172</v>
      </c>
    </row>
    <row r="1422" spans="1:19" ht="409.5" x14ac:dyDescent="0.15">
      <c r="A1422" t="s">
        <v>501</v>
      </c>
      <c r="B1422" s="61">
        <v>46204</v>
      </c>
      <c r="E1422" t="s">
        <v>355</v>
      </c>
      <c r="F1422" t="s">
        <v>351</v>
      </c>
      <c r="G1422" t="s">
        <v>354</v>
      </c>
      <c r="H1422" t="s">
        <v>353</v>
      </c>
      <c r="I1422">
        <v>1401490</v>
      </c>
      <c r="J1422" t="s">
        <v>550</v>
      </c>
      <c r="K1422" t="s">
        <v>551</v>
      </c>
      <c r="L1422" t="s">
        <v>512</v>
      </c>
      <c r="N1422" t="s">
        <v>4587</v>
      </c>
      <c r="O1422" t="s">
        <v>553</v>
      </c>
      <c r="R1422" t="s">
        <v>4430</v>
      </c>
      <c r="S1422" s="34" t="s">
        <v>5303</v>
      </c>
    </row>
    <row r="1423" spans="1:19" ht="243" x14ac:dyDescent="0.15">
      <c r="A1423" t="s">
        <v>5524</v>
      </c>
      <c r="B1423" s="61">
        <v>46204</v>
      </c>
      <c r="E1423" t="s">
        <v>355</v>
      </c>
      <c r="F1423" t="s">
        <v>351</v>
      </c>
      <c r="G1423" t="s">
        <v>352</v>
      </c>
      <c r="H1423" t="s">
        <v>365</v>
      </c>
      <c r="I1423">
        <v>1401675</v>
      </c>
      <c r="J1423" t="s">
        <v>4241</v>
      </c>
      <c r="K1423" t="s">
        <v>4588</v>
      </c>
      <c r="L1423" t="s">
        <v>4589</v>
      </c>
      <c r="N1423" t="s">
        <v>4590</v>
      </c>
      <c r="O1423" t="s">
        <v>4591</v>
      </c>
      <c r="R1423" t="s">
        <v>3985</v>
      </c>
      <c r="S1423" s="34" t="s">
        <v>5304</v>
      </c>
    </row>
    <row r="1424" spans="1:19" ht="391.5" x14ac:dyDescent="0.15">
      <c r="A1424" t="s">
        <v>1715</v>
      </c>
      <c r="B1424" s="61">
        <v>46204</v>
      </c>
      <c r="E1424" t="s">
        <v>355</v>
      </c>
      <c r="F1424" t="s">
        <v>351</v>
      </c>
      <c r="G1424" t="s">
        <v>352</v>
      </c>
      <c r="H1424" t="s">
        <v>365</v>
      </c>
      <c r="I1424">
        <v>1500552</v>
      </c>
      <c r="J1424" t="s">
        <v>1726</v>
      </c>
      <c r="K1424" t="s">
        <v>1727</v>
      </c>
      <c r="L1424" t="s">
        <v>4592</v>
      </c>
      <c r="N1424" t="s">
        <v>4593</v>
      </c>
      <c r="O1424" t="s">
        <v>4594</v>
      </c>
      <c r="R1424" t="s">
        <v>3985</v>
      </c>
      <c r="S1424" s="34" t="s">
        <v>5305</v>
      </c>
    </row>
    <row r="1425" spans="1:19" ht="409.5" x14ac:dyDescent="0.15">
      <c r="A1425" t="s">
        <v>1715</v>
      </c>
      <c r="B1425" s="61">
        <v>46204</v>
      </c>
      <c r="E1425" t="s">
        <v>355</v>
      </c>
      <c r="F1425" t="s">
        <v>351</v>
      </c>
      <c r="G1425" t="s">
        <v>354</v>
      </c>
      <c r="H1425" t="s">
        <v>353</v>
      </c>
      <c r="I1425">
        <v>1500578</v>
      </c>
      <c r="J1425" t="s">
        <v>1759</v>
      </c>
      <c r="L1425" t="s">
        <v>698</v>
      </c>
      <c r="N1425" t="s">
        <v>4595</v>
      </c>
      <c r="O1425" t="s">
        <v>1761</v>
      </c>
      <c r="R1425" t="s">
        <v>3986</v>
      </c>
      <c r="S1425" s="34" t="s">
        <v>5306</v>
      </c>
    </row>
    <row r="1426" spans="1:19" ht="409.5" x14ac:dyDescent="0.15">
      <c r="A1426" t="s">
        <v>1614</v>
      </c>
      <c r="B1426" s="61">
        <v>46204</v>
      </c>
      <c r="E1426" t="s">
        <v>355</v>
      </c>
      <c r="F1426" t="s">
        <v>351</v>
      </c>
      <c r="G1426" t="s">
        <v>352</v>
      </c>
      <c r="H1426" t="s">
        <v>365</v>
      </c>
      <c r="I1426">
        <v>2000056</v>
      </c>
      <c r="J1426" t="s">
        <v>4596</v>
      </c>
      <c r="K1426" t="s">
        <v>4597</v>
      </c>
      <c r="L1426" t="s">
        <v>4598</v>
      </c>
      <c r="N1426" t="s">
        <v>4599</v>
      </c>
      <c r="O1426" t="s">
        <v>4600</v>
      </c>
      <c r="R1426" t="s">
        <v>3985</v>
      </c>
      <c r="S1426" s="34" t="s">
        <v>5307</v>
      </c>
    </row>
    <row r="1427" spans="1:19" ht="243" x14ac:dyDescent="0.15">
      <c r="A1427" t="s">
        <v>1614</v>
      </c>
      <c r="B1427" s="61">
        <v>46204</v>
      </c>
      <c r="E1427" t="s">
        <v>355</v>
      </c>
      <c r="F1427" t="s">
        <v>351</v>
      </c>
      <c r="G1427" t="s">
        <v>354</v>
      </c>
      <c r="H1427" t="s">
        <v>353</v>
      </c>
      <c r="I1427">
        <v>2000602</v>
      </c>
      <c r="J1427" t="s">
        <v>4601</v>
      </c>
      <c r="L1427" t="s">
        <v>4602</v>
      </c>
      <c r="N1427" t="s">
        <v>4603</v>
      </c>
      <c r="O1427" t="s">
        <v>4604</v>
      </c>
      <c r="R1427" t="s">
        <v>3987</v>
      </c>
      <c r="S1427" s="34" t="s">
        <v>5308</v>
      </c>
    </row>
    <row r="1428" spans="1:19" ht="351" x14ac:dyDescent="0.15">
      <c r="A1428" t="s">
        <v>1614</v>
      </c>
      <c r="B1428" s="61">
        <v>46204</v>
      </c>
      <c r="E1428" t="s">
        <v>355</v>
      </c>
      <c r="F1428" t="s">
        <v>351</v>
      </c>
      <c r="G1428" t="s">
        <v>354</v>
      </c>
      <c r="H1428" t="s">
        <v>353</v>
      </c>
      <c r="I1428">
        <v>2000710</v>
      </c>
      <c r="J1428" t="s">
        <v>1695</v>
      </c>
      <c r="K1428" t="s">
        <v>1700</v>
      </c>
      <c r="L1428" t="s">
        <v>1701</v>
      </c>
      <c r="N1428" t="s">
        <v>1702</v>
      </c>
      <c r="O1428" t="s">
        <v>1703</v>
      </c>
      <c r="R1428" t="s">
        <v>3986</v>
      </c>
      <c r="S1428" s="34" t="s">
        <v>1704</v>
      </c>
    </row>
    <row r="1429" spans="1:19" ht="351" x14ac:dyDescent="0.15">
      <c r="A1429" t="s">
        <v>1614</v>
      </c>
      <c r="B1429" s="61">
        <v>46204</v>
      </c>
      <c r="E1429" t="s">
        <v>355</v>
      </c>
      <c r="F1429" t="s">
        <v>351</v>
      </c>
      <c r="G1429" t="s">
        <v>354</v>
      </c>
      <c r="H1429" t="s">
        <v>353</v>
      </c>
      <c r="I1429">
        <v>2000795</v>
      </c>
      <c r="J1429" t="s">
        <v>1695</v>
      </c>
      <c r="K1429" t="s">
        <v>1696</v>
      </c>
      <c r="L1429" t="s">
        <v>390</v>
      </c>
      <c r="N1429" t="s">
        <v>4605</v>
      </c>
      <c r="O1429" t="s">
        <v>1698</v>
      </c>
      <c r="R1429" t="s">
        <v>3986</v>
      </c>
      <c r="S1429" s="34" t="s">
        <v>5309</v>
      </c>
    </row>
    <row r="1430" spans="1:19" ht="409.5" x14ac:dyDescent="0.15">
      <c r="A1430" t="s">
        <v>685</v>
      </c>
      <c r="B1430" s="61">
        <v>46204</v>
      </c>
      <c r="E1430" t="s">
        <v>355</v>
      </c>
      <c r="F1430" t="s">
        <v>351</v>
      </c>
      <c r="G1430" t="s">
        <v>354</v>
      </c>
      <c r="H1430" t="s">
        <v>353</v>
      </c>
      <c r="I1430">
        <v>2100697</v>
      </c>
      <c r="J1430" t="s">
        <v>708</v>
      </c>
      <c r="K1430" t="s">
        <v>709</v>
      </c>
      <c r="L1430" t="s">
        <v>721</v>
      </c>
      <c r="N1430" t="s">
        <v>4606</v>
      </c>
      <c r="O1430" t="s">
        <v>712</v>
      </c>
      <c r="R1430" t="s">
        <v>4607</v>
      </c>
      <c r="S1430" s="34" t="s">
        <v>5310</v>
      </c>
    </row>
    <row r="1431" spans="1:19" ht="324" x14ac:dyDescent="0.15">
      <c r="A1431" t="s">
        <v>685</v>
      </c>
      <c r="B1431" s="61">
        <v>46204</v>
      </c>
      <c r="E1431" t="s">
        <v>355</v>
      </c>
      <c r="F1431" t="s">
        <v>351</v>
      </c>
      <c r="G1431" t="s">
        <v>354</v>
      </c>
      <c r="H1431" t="s">
        <v>686</v>
      </c>
      <c r="I1431">
        <v>2100697</v>
      </c>
      <c r="J1431" t="s">
        <v>708</v>
      </c>
      <c r="K1431" t="s">
        <v>709</v>
      </c>
      <c r="L1431" t="s">
        <v>721</v>
      </c>
      <c r="N1431">
        <v>2066718</v>
      </c>
      <c r="O1431" t="s">
        <v>712</v>
      </c>
      <c r="R1431" t="s">
        <v>4607</v>
      </c>
      <c r="S1431" s="34" t="s">
        <v>5311</v>
      </c>
    </row>
    <row r="1432" spans="1:19" ht="243" x14ac:dyDescent="0.15">
      <c r="A1432" t="s">
        <v>685</v>
      </c>
      <c r="B1432" s="61">
        <v>46204</v>
      </c>
      <c r="E1432" t="s">
        <v>355</v>
      </c>
      <c r="F1432" t="s">
        <v>351</v>
      </c>
      <c r="G1432" t="s">
        <v>352</v>
      </c>
      <c r="H1432" t="s">
        <v>365</v>
      </c>
      <c r="I1432">
        <v>2100984</v>
      </c>
      <c r="J1432" t="s">
        <v>4608</v>
      </c>
      <c r="K1432" t="s">
        <v>4609</v>
      </c>
      <c r="L1432" t="s">
        <v>4610</v>
      </c>
      <c r="N1432" t="s">
        <v>4611</v>
      </c>
      <c r="O1432" t="s">
        <v>4612</v>
      </c>
      <c r="R1432" t="s">
        <v>3985</v>
      </c>
      <c r="S1432" s="34" t="s">
        <v>5312</v>
      </c>
    </row>
    <row r="1433" spans="1:19" ht="243" x14ac:dyDescent="0.15">
      <c r="A1433" t="s">
        <v>2456</v>
      </c>
      <c r="B1433" s="61">
        <v>46204</v>
      </c>
      <c r="E1433" t="s">
        <v>355</v>
      </c>
      <c r="F1433" t="s">
        <v>351</v>
      </c>
      <c r="G1433" t="s">
        <v>354</v>
      </c>
      <c r="H1433" t="s">
        <v>365</v>
      </c>
      <c r="I1433">
        <v>2201487</v>
      </c>
      <c r="J1433" t="s">
        <v>5313</v>
      </c>
      <c r="K1433" t="s">
        <v>5314</v>
      </c>
      <c r="L1433" t="s">
        <v>698</v>
      </c>
      <c r="N1433" t="s">
        <v>2462</v>
      </c>
      <c r="O1433" t="s">
        <v>2463</v>
      </c>
      <c r="R1433" t="s">
        <v>3986</v>
      </c>
      <c r="S1433" s="34" t="s">
        <v>2464</v>
      </c>
    </row>
    <row r="1434" spans="1:19" ht="364.5" x14ac:dyDescent="0.15">
      <c r="A1434" t="s">
        <v>2456</v>
      </c>
      <c r="B1434" s="61">
        <v>46204</v>
      </c>
      <c r="E1434" t="s">
        <v>355</v>
      </c>
      <c r="F1434" t="s">
        <v>351</v>
      </c>
      <c r="G1434" t="s">
        <v>354</v>
      </c>
      <c r="H1434" t="s">
        <v>353</v>
      </c>
      <c r="I1434">
        <v>2201563</v>
      </c>
      <c r="J1434" t="s">
        <v>2476</v>
      </c>
      <c r="L1434" t="s">
        <v>4099</v>
      </c>
      <c r="N1434" t="s">
        <v>4100</v>
      </c>
      <c r="O1434" t="s">
        <v>4101</v>
      </c>
      <c r="R1434" t="s">
        <v>3986</v>
      </c>
      <c r="S1434" s="34" t="s">
        <v>5315</v>
      </c>
    </row>
    <row r="1435" spans="1:19" ht="409.5" x14ac:dyDescent="0.15">
      <c r="A1435" t="s">
        <v>2456</v>
      </c>
      <c r="B1435" s="61">
        <v>46204</v>
      </c>
      <c r="E1435" t="s">
        <v>355</v>
      </c>
      <c r="F1435" t="s">
        <v>351</v>
      </c>
      <c r="G1435" t="s">
        <v>352</v>
      </c>
      <c r="H1435" t="s">
        <v>310</v>
      </c>
      <c r="I1435">
        <v>2202178</v>
      </c>
      <c r="J1435" t="s">
        <v>4613</v>
      </c>
      <c r="L1435" t="s">
        <v>4614</v>
      </c>
      <c r="N1435" t="s">
        <v>4615</v>
      </c>
      <c r="O1435" t="s">
        <v>4616</v>
      </c>
      <c r="R1435" t="s">
        <v>3985</v>
      </c>
      <c r="S1435" s="34" t="s">
        <v>5316</v>
      </c>
    </row>
    <row r="1436" spans="1:19" ht="409.5" x14ac:dyDescent="0.15">
      <c r="A1436" t="s">
        <v>2456</v>
      </c>
      <c r="B1436" s="61">
        <v>46204</v>
      </c>
      <c r="E1436" t="s">
        <v>355</v>
      </c>
      <c r="F1436" t="s">
        <v>351</v>
      </c>
      <c r="G1436" t="s">
        <v>354</v>
      </c>
      <c r="H1436" t="s">
        <v>686</v>
      </c>
      <c r="I1436">
        <v>2202285</v>
      </c>
      <c r="J1436" t="s">
        <v>2694</v>
      </c>
      <c r="K1436" t="s">
        <v>4617</v>
      </c>
      <c r="L1436" t="s">
        <v>1114</v>
      </c>
      <c r="N1436">
        <v>2154588</v>
      </c>
      <c r="O1436" t="s">
        <v>4618</v>
      </c>
      <c r="R1436" t="s">
        <v>4534</v>
      </c>
      <c r="S1436" s="34" t="s">
        <v>5317</v>
      </c>
    </row>
    <row r="1437" spans="1:19" ht="243" x14ac:dyDescent="0.15">
      <c r="A1437" t="s">
        <v>2693</v>
      </c>
      <c r="B1437" s="61">
        <v>46204</v>
      </c>
      <c r="E1437" t="s">
        <v>355</v>
      </c>
      <c r="F1437" t="s">
        <v>351</v>
      </c>
      <c r="G1437" t="s">
        <v>354</v>
      </c>
      <c r="H1437" t="s">
        <v>365</v>
      </c>
      <c r="I1437">
        <v>2300146</v>
      </c>
      <c r="J1437" t="s">
        <v>2706</v>
      </c>
      <c r="K1437" t="s">
        <v>1251</v>
      </c>
      <c r="L1437" t="s">
        <v>390</v>
      </c>
      <c r="N1437" t="s">
        <v>2707</v>
      </c>
      <c r="O1437" t="s">
        <v>2708</v>
      </c>
      <c r="R1437" t="s">
        <v>3986</v>
      </c>
      <c r="S1437" s="34" t="s">
        <v>2710</v>
      </c>
    </row>
    <row r="1438" spans="1:19" ht="409.5" x14ac:dyDescent="0.15">
      <c r="A1438" t="s">
        <v>617</v>
      </c>
      <c r="B1438" s="61">
        <v>46204</v>
      </c>
      <c r="E1438" t="s">
        <v>355</v>
      </c>
      <c r="F1438" t="s">
        <v>351</v>
      </c>
      <c r="G1438" t="s">
        <v>354</v>
      </c>
      <c r="H1438" t="s">
        <v>353</v>
      </c>
      <c r="I1438">
        <v>2300508</v>
      </c>
      <c r="J1438" t="s">
        <v>657</v>
      </c>
      <c r="K1438" t="s">
        <v>658</v>
      </c>
      <c r="L1438" t="s">
        <v>661</v>
      </c>
      <c r="N1438" t="s">
        <v>5098</v>
      </c>
      <c r="O1438" t="s">
        <v>662</v>
      </c>
      <c r="R1438" t="s">
        <v>3987</v>
      </c>
      <c r="S1438" s="34" t="s">
        <v>5318</v>
      </c>
    </row>
    <row r="1439" spans="1:19" ht="409.5" x14ac:dyDescent="0.15">
      <c r="A1439" t="s">
        <v>3252</v>
      </c>
      <c r="B1439" s="61">
        <v>46204</v>
      </c>
      <c r="E1439" t="s">
        <v>355</v>
      </c>
      <c r="F1439" t="s">
        <v>351</v>
      </c>
      <c r="G1439" t="s">
        <v>354</v>
      </c>
      <c r="H1439" t="s">
        <v>353</v>
      </c>
      <c r="I1439">
        <v>2300535</v>
      </c>
      <c r="J1439" t="s">
        <v>531</v>
      </c>
      <c r="K1439" t="s">
        <v>3267</v>
      </c>
      <c r="L1439" t="s">
        <v>3268</v>
      </c>
      <c r="N1439" t="s">
        <v>3269</v>
      </c>
      <c r="O1439" t="s">
        <v>3270</v>
      </c>
      <c r="R1439" t="s">
        <v>3992</v>
      </c>
      <c r="S1439" s="34" t="s">
        <v>5319</v>
      </c>
    </row>
    <row r="1440" spans="1:19" ht="409.5" x14ac:dyDescent="0.15">
      <c r="A1440" t="s">
        <v>3252</v>
      </c>
      <c r="B1440" s="61">
        <v>46204</v>
      </c>
      <c r="E1440" t="s">
        <v>355</v>
      </c>
      <c r="F1440" t="s">
        <v>351</v>
      </c>
      <c r="G1440" t="s">
        <v>354</v>
      </c>
      <c r="H1440" t="s">
        <v>309</v>
      </c>
      <c r="I1440">
        <v>2300535</v>
      </c>
      <c r="J1440" t="s">
        <v>531</v>
      </c>
      <c r="K1440" t="s">
        <v>3267</v>
      </c>
      <c r="L1440" t="s">
        <v>3268</v>
      </c>
      <c r="N1440" t="s">
        <v>4619</v>
      </c>
      <c r="O1440" t="s">
        <v>3270</v>
      </c>
      <c r="R1440" t="s">
        <v>3992</v>
      </c>
      <c r="S1440" s="34" t="s">
        <v>5320</v>
      </c>
    </row>
    <row r="1441" spans="1:19" ht="270" x14ac:dyDescent="0.15">
      <c r="A1441" t="s">
        <v>3226</v>
      </c>
      <c r="B1441" s="61">
        <v>46204</v>
      </c>
      <c r="E1441" t="s">
        <v>355</v>
      </c>
      <c r="F1441" t="s">
        <v>351</v>
      </c>
      <c r="G1441" t="s">
        <v>352</v>
      </c>
      <c r="H1441" t="s">
        <v>310</v>
      </c>
      <c r="I1441">
        <v>2300705</v>
      </c>
      <c r="J1441" t="s">
        <v>4620</v>
      </c>
      <c r="L1441" t="s">
        <v>4621</v>
      </c>
      <c r="N1441" t="s">
        <v>4622</v>
      </c>
      <c r="O1441" t="s">
        <v>4623</v>
      </c>
      <c r="R1441" t="s">
        <v>3985</v>
      </c>
      <c r="S1441" s="34" t="s">
        <v>5321</v>
      </c>
    </row>
    <row r="1442" spans="1:19" ht="229.5" x14ac:dyDescent="0.15">
      <c r="A1442" t="s">
        <v>3226</v>
      </c>
      <c r="B1442" s="61">
        <v>46204</v>
      </c>
      <c r="E1442" t="s">
        <v>355</v>
      </c>
      <c r="F1442" t="s">
        <v>351</v>
      </c>
      <c r="G1442" t="s">
        <v>354</v>
      </c>
      <c r="H1442" t="s">
        <v>353</v>
      </c>
      <c r="I1442">
        <v>2301037</v>
      </c>
      <c r="J1442" t="s">
        <v>3246</v>
      </c>
      <c r="K1442" t="s">
        <v>3247</v>
      </c>
      <c r="L1442" t="s">
        <v>3248</v>
      </c>
      <c r="N1442" t="s">
        <v>3249</v>
      </c>
      <c r="O1442" t="s">
        <v>3250</v>
      </c>
      <c r="R1442" t="s">
        <v>3987</v>
      </c>
      <c r="S1442" s="34" t="s">
        <v>3251</v>
      </c>
    </row>
    <row r="1443" spans="1:19" ht="216" x14ac:dyDescent="0.15">
      <c r="A1443" t="s">
        <v>3226</v>
      </c>
      <c r="B1443" s="61">
        <v>46204</v>
      </c>
      <c r="E1443" t="s">
        <v>355</v>
      </c>
      <c r="F1443" t="s">
        <v>351</v>
      </c>
      <c r="G1443" t="s">
        <v>354</v>
      </c>
      <c r="H1443" t="s">
        <v>686</v>
      </c>
      <c r="I1443">
        <v>2301037</v>
      </c>
      <c r="J1443" t="s">
        <v>3246</v>
      </c>
      <c r="K1443" t="s">
        <v>3247</v>
      </c>
      <c r="L1443" t="s">
        <v>3248</v>
      </c>
      <c r="N1443">
        <v>2125867</v>
      </c>
      <c r="O1443" t="s">
        <v>3250</v>
      </c>
      <c r="R1443" t="s">
        <v>3987</v>
      </c>
      <c r="S1443" s="34" t="s">
        <v>5322</v>
      </c>
    </row>
    <row r="1444" spans="1:19" ht="243" x14ac:dyDescent="0.15">
      <c r="A1444" t="s">
        <v>617</v>
      </c>
      <c r="B1444" s="61">
        <v>46204</v>
      </c>
      <c r="E1444" t="s">
        <v>355</v>
      </c>
      <c r="F1444" t="s">
        <v>351</v>
      </c>
      <c r="G1444" t="s">
        <v>354</v>
      </c>
      <c r="H1444" t="s">
        <v>365</v>
      </c>
      <c r="I1444">
        <v>2301188</v>
      </c>
      <c r="J1444" t="s">
        <v>4429</v>
      </c>
      <c r="K1444" t="s">
        <v>4624</v>
      </c>
      <c r="L1444" t="s">
        <v>413</v>
      </c>
      <c r="N1444" t="s">
        <v>4625</v>
      </c>
      <c r="O1444" t="s">
        <v>4626</v>
      </c>
      <c r="R1444" t="s">
        <v>4430</v>
      </c>
      <c r="S1444" s="34" t="s">
        <v>5323</v>
      </c>
    </row>
    <row r="1445" spans="1:19" ht="351" x14ac:dyDescent="0.15">
      <c r="A1445" t="s">
        <v>3226</v>
      </c>
      <c r="B1445" s="61">
        <v>46204</v>
      </c>
      <c r="E1445" t="s">
        <v>355</v>
      </c>
      <c r="F1445" t="s">
        <v>351</v>
      </c>
      <c r="G1445" t="s">
        <v>352</v>
      </c>
      <c r="H1445" t="s">
        <v>353</v>
      </c>
      <c r="I1445">
        <v>2301417</v>
      </c>
      <c r="J1445" t="s">
        <v>4627</v>
      </c>
      <c r="K1445" t="s">
        <v>4628</v>
      </c>
      <c r="L1445" t="s">
        <v>1148</v>
      </c>
      <c r="N1445" t="s">
        <v>4629</v>
      </c>
      <c r="O1445" t="s">
        <v>4630</v>
      </c>
      <c r="R1445" t="s">
        <v>3985</v>
      </c>
      <c r="S1445" s="34" t="s">
        <v>5324</v>
      </c>
    </row>
    <row r="1446" spans="1:19" ht="364.5" x14ac:dyDescent="0.15">
      <c r="A1446" t="s">
        <v>617</v>
      </c>
      <c r="B1446" s="61">
        <v>46204</v>
      </c>
      <c r="E1446" t="s">
        <v>355</v>
      </c>
      <c r="F1446" t="s">
        <v>351</v>
      </c>
      <c r="G1446" t="s">
        <v>354</v>
      </c>
      <c r="H1446" t="s">
        <v>353</v>
      </c>
      <c r="I1446">
        <v>2302235</v>
      </c>
      <c r="J1446" t="s">
        <v>654</v>
      </c>
      <c r="L1446" t="s">
        <v>613</v>
      </c>
      <c r="N1446" t="s">
        <v>655</v>
      </c>
      <c r="O1446" t="s">
        <v>656</v>
      </c>
      <c r="R1446" t="s">
        <v>3987</v>
      </c>
      <c r="S1446" s="34" t="s">
        <v>5325</v>
      </c>
    </row>
    <row r="1447" spans="1:19" ht="243" x14ac:dyDescent="0.15">
      <c r="A1447" t="s">
        <v>3483</v>
      </c>
      <c r="B1447" s="61">
        <v>46204</v>
      </c>
      <c r="E1447" t="s">
        <v>355</v>
      </c>
      <c r="F1447" t="s">
        <v>351</v>
      </c>
      <c r="G1447" t="s">
        <v>352</v>
      </c>
      <c r="H1447" t="s">
        <v>353</v>
      </c>
      <c r="I1447">
        <v>2302486</v>
      </c>
      <c r="J1447" t="s">
        <v>3504</v>
      </c>
      <c r="L1447" t="s">
        <v>413</v>
      </c>
      <c r="N1447" t="s">
        <v>3505</v>
      </c>
      <c r="O1447" t="s">
        <v>3506</v>
      </c>
      <c r="R1447" t="s">
        <v>3985</v>
      </c>
      <c r="S1447" s="34" t="s">
        <v>5326</v>
      </c>
    </row>
    <row r="1448" spans="1:19" ht="409.5" x14ac:dyDescent="0.15">
      <c r="A1448" t="s">
        <v>617</v>
      </c>
      <c r="B1448" s="61">
        <v>46204</v>
      </c>
      <c r="E1448" t="s">
        <v>355</v>
      </c>
      <c r="F1448" t="s">
        <v>351</v>
      </c>
      <c r="G1448" t="s">
        <v>354</v>
      </c>
      <c r="H1448" t="s">
        <v>353</v>
      </c>
      <c r="I1448">
        <v>2303010</v>
      </c>
      <c r="J1448" t="s">
        <v>657</v>
      </c>
      <c r="K1448" t="s">
        <v>658</v>
      </c>
      <c r="L1448" t="s">
        <v>659</v>
      </c>
      <c r="N1448" t="s">
        <v>5097</v>
      </c>
      <c r="O1448" t="s">
        <v>660</v>
      </c>
      <c r="R1448" t="s">
        <v>3986</v>
      </c>
      <c r="S1448" s="34" t="s">
        <v>5327</v>
      </c>
    </row>
    <row r="1449" spans="1:19" ht="409.5" x14ac:dyDescent="0.15">
      <c r="A1449" t="s">
        <v>617</v>
      </c>
      <c r="B1449" s="61">
        <v>46204</v>
      </c>
      <c r="E1449" t="s">
        <v>355</v>
      </c>
      <c r="F1449" t="s">
        <v>351</v>
      </c>
      <c r="G1449" t="s">
        <v>354</v>
      </c>
      <c r="H1449" t="s">
        <v>353</v>
      </c>
      <c r="I1449">
        <v>2303262</v>
      </c>
      <c r="J1449" t="s">
        <v>641</v>
      </c>
      <c r="K1449" t="s">
        <v>642</v>
      </c>
      <c r="L1449" t="s">
        <v>643</v>
      </c>
      <c r="N1449" t="s">
        <v>4631</v>
      </c>
      <c r="O1449" t="s">
        <v>645</v>
      </c>
      <c r="R1449" t="s">
        <v>4012</v>
      </c>
      <c r="S1449" s="34" t="s">
        <v>5328</v>
      </c>
    </row>
    <row r="1450" spans="1:19" ht="243" x14ac:dyDescent="0.15">
      <c r="A1450" t="s">
        <v>3252</v>
      </c>
      <c r="B1450" s="61">
        <v>46204</v>
      </c>
      <c r="E1450" t="s">
        <v>355</v>
      </c>
      <c r="F1450" t="s">
        <v>351</v>
      </c>
      <c r="G1450" t="s">
        <v>352</v>
      </c>
      <c r="H1450" t="s">
        <v>365</v>
      </c>
      <c r="I1450">
        <v>2303280</v>
      </c>
      <c r="J1450" t="s">
        <v>4632</v>
      </c>
      <c r="K1450" t="s">
        <v>4633</v>
      </c>
      <c r="L1450" t="s">
        <v>4634</v>
      </c>
      <c r="N1450" t="s">
        <v>4635</v>
      </c>
      <c r="O1450" t="s">
        <v>4636</v>
      </c>
      <c r="R1450" t="s">
        <v>3985</v>
      </c>
      <c r="S1450" s="34" t="s">
        <v>5329</v>
      </c>
    </row>
    <row r="1451" spans="1:19" ht="243" x14ac:dyDescent="0.15">
      <c r="A1451" t="s">
        <v>617</v>
      </c>
      <c r="B1451" s="61">
        <v>46204</v>
      </c>
      <c r="E1451" t="s">
        <v>355</v>
      </c>
      <c r="F1451" t="s">
        <v>351</v>
      </c>
      <c r="G1451" t="s">
        <v>352</v>
      </c>
      <c r="H1451" t="s">
        <v>365</v>
      </c>
      <c r="I1451">
        <v>2303549</v>
      </c>
      <c r="J1451" t="s">
        <v>635</v>
      </c>
      <c r="K1451" t="s">
        <v>636</v>
      </c>
      <c r="L1451" t="s">
        <v>637</v>
      </c>
      <c r="N1451" t="s">
        <v>638</v>
      </c>
      <c r="O1451" t="s">
        <v>639</v>
      </c>
      <c r="R1451" t="s">
        <v>3985</v>
      </c>
      <c r="S1451" s="34" t="s">
        <v>640</v>
      </c>
    </row>
    <row r="1452" spans="1:19" ht="409.5" x14ac:dyDescent="0.15">
      <c r="A1452" t="s">
        <v>2693</v>
      </c>
      <c r="B1452" s="61">
        <v>46204</v>
      </c>
      <c r="E1452" t="s">
        <v>355</v>
      </c>
      <c r="F1452" t="s">
        <v>351</v>
      </c>
      <c r="G1452" t="s">
        <v>354</v>
      </c>
      <c r="H1452" t="s">
        <v>353</v>
      </c>
      <c r="I1452">
        <v>2303781</v>
      </c>
      <c r="J1452" t="s">
        <v>2694</v>
      </c>
      <c r="K1452" t="s">
        <v>2715</v>
      </c>
      <c r="L1452" t="s">
        <v>718</v>
      </c>
      <c r="N1452" t="s">
        <v>5163</v>
      </c>
      <c r="O1452" t="s">
        <v>2716</v>
      </c>
      <c r="R1452" t="s">
        <v>3987</v>
      </c>
      <c r="S1452" s="34" t="s">
        <v>2717</v>
      </c>
    </row>
    <row r="1453" spans="1:19" ht="337.5" x14ac:dyDescent="0.15">
      <c r="A1453" t="s">
        <v>2693</v>
      </c>
      <c r="B1453" s="61">
        <v>46204</v>
      </c>
      <c r="E1453" t="s">
        <v>355</v>
      </c>
      <c r="F1453" t="s">
        <v>351</v>
      </c>
      <c r="G1453" t="s">
        <v>354</v>
      </c>
      <c r="H1453" t="s">
        <v>686</v>
      </c>
      <c r="I1453">
        <v>2303834</v>
      </c>
      <c r="J1453" t="s">
        <v>974</v>
      </c>
      <c r="K1453" t="s">
        <v>2759</v>
      </c>
      <c r="L1453" t="s">
        <v>4053</v>
      </c>
      <c r="N1453">
        <v>2165185</v>
      </c>
      <c r="O1453" t="s">
        <v>2762</v>
      </c>
      <c r="R1453" t="s">
        <v>3986</v>
      </c>
      <c r="S1453" s="34" t="s">
        <v>5330</v>
      </c>
    </row>
    <row r="1454" spans="1:19" ht="405" x14ac:dyDescent="0.15">
      <c r="A1454" t="s">
        <v>1234</v>
      </c>
      <c r="B1454" s="61">
        <v>46204</v>
      </c>
      <c r="E1454" t="s">
        <v>355</v>
      </c>
      <c r="F1454" t="s">
        <v>351</v>
      </c>
      <c r="G1454" t="s">
        <v>352</v>
      </c>
      <c r="H1454" t="s">
        <v>310</v>
      </c>
      <c r="I1454">
        <v>2400067</v>
      </c>
      <c r="J1454" t="s">
        <v>1246</v>
      </c>
      <c r="L1454" t="s">
        <v>413</v>
      </c>
      <c r="N1454" t="s">
        <v>1247</v>
      </c>
      <c r="O1454" t="s">
        <v>1248</v>
      </c>
      <c r="R1454" t="s">
        <v>3985</v>
      </c>
      <c r="S1454" s="34" t="s">
        <v>1249</v>
      </c>
    </row>
    <row r="1455" spans="1:19" ht="409.5" x14ac:dyDescent="0.15">
      <c r="A1455" t="s">
        <v>1297</v>
      </c>
      <c r="B1455" s="61">
        <v>46204</v>
      </c>
      <c r="E1455" t="s">
        <v>355</v>
      </c>
      <c r="F1455" t="s">
        <v>351</v>
      </c>
      <c r="G1455" t="s">
        <v>354</v>
      </c>
      <c r="H1455" t="s">
        <v>686</v>
      </c>
      <c r="I1455">
        <v>2400326</v>
      </c>
      <c r="J1455" t="s">
        <v>1298</v>
      </c>
      <c r="K1455" t="s">
        <v>1299</v>
      </c>
      <c r="L1455" t="s">
        <v>1300</v>
      </c>
      <c r="N1455">
        <v>2088857</v>
      </c>
      <c r="O1455" t="s">
        <v>1301</v>
      </c>
      <c r="R1455" t="s">
        <v>4052</v>
      </c>
      <c r="S1455" s="34" t="s">
        <v>5331</v>
      </c>
    </row>
    <row r="1456" spans="1:19" ht="409.5" x14ac:dyDescent="0.15">
      <c r="A1456" t="s">
        <v>1297</v>
      </c>
      <c r="B1456" s="61">
        <v>46204</v>
      </c>
      <c r="E1456" t="s">
        <v>355</v>
      </c>
      <c r="F1456" t="s">
        <v>351</v>
      </c>
      <c r="G1456" t="s">
        <v>354</v>
      </c>
      <c r="H1456" t="s">
        <v>353</v>
      </c>
      <c r="I1456">
        <v>2400526</v>
      </c>
      <c r="J1456" t="s">
        <v>4637</v>
      </c>
      <c r="K1456" t="s">
        <v>4638</v>
      </c>
      <c r="L1456" t="s">
        <v>4639</v>
      </c>
      <c r="N1456" t="s">
        <v>4640</v>
      </c>
      <c r="O1456" t="s">
        <v>4641</v>
      </c>
      <c r="R1456" t="s">
        <v>4012</v>
      </c>
      <c r="S1456" s="34" t="s">
        <v>5332</v>
      </c>
    </row>
    <row r="1457" spans="1:19" ht="409.5" x14ac:dyDescent="0.15">
      <c r="A1457" t="s">
        <v>1297</v>
      </c>
      <c r="B1457" s="61">
        <v>46204</v>
      </c>
      <c r="E1457" t="s">
        <v>355</v>
      </c>
      <c r="F1457" t="s">
        <v>351</v>
      </c>
      <c r="G1457" t="s">
        <v>354</v>
      </c>
      <c r="H1457" t="s">
        <v>686</v>
      </c>
      <c r="I1457">
        <v>2400543</v>
      </c>
      <c r="J1457" t="s">
        <v>2735</v>
      </c>
      <c r="K1457" t="s">
        <v>4642</v>
      </c>
      <c r="L1457" t="s">
        <v>413</v>
      </c>
      <c r="N1457">
        <v>2159383</v>
      </c>
      <c r="O1457" t="s">
        <v>4643</v>
      </c>
      <c r="R1457" t="s">
        <v>4318</v>
      </c>
      <c r="S1457" s="34" t="s">
        <v>5333</v>
      </c>
    </row>
    <row r="1458" spans="1:19" ht="229.5" x14ac:dyDescent="0.15">
      <c r="A1458" t="s">
        <v>1297</v>
      </c>
      <c r="B1458" s="61">
        <v>46204</v>
      </c>
      <c r="E1458" t="s">
        <v>355</v>
      </c>
      <c r="F1458" t="s">
        <v>351</v>
      </c>
      <c r="G1458" t="s">
        <v>354</v>
      </c>
      <c r="H1458" t="s">
        <v>353</v>
      </c>
      <c r="I1458">
        <v>2401248</v>
      </c>
      <c r="J1458" t="s">
        <v>3940</v>
      </c>
      <c r="K1458" t="s">
        <v>1542</v>
      </c>
      <c r="L1458" t="s">
        <v>2082</v>
      </c>
      <c r="N1458" t="s">
        <v>3941</v>
      </c>
      <c r="O1458" t="s">
        <v>3942</v>
      </c>
      <c r="R1458" t="s">
        <v>3987</v>
      </c>
      <c r="S1458" s="34" t="s">
        <v>3943</v>
      </c>
    </row>
    <row r="1459" spans="1:19" ht="243" x14ac:dyDescent="0.15">
      <c r="A1459" t="s">
        <v>1524</v>
      </c>
      <c r="B1459" s="61">
        <v>46204</v>
      </c>
      <c r="E1459" t="s">
        <v>355</v>
      </c>
      <c r="F1459" t="s">
        <v>351</v>
      </c>
      <c r="G1459" t="s">
        <v>354</v>
      </c>
      <c r="H1459" t="s">
        <v>353</v>
      </c>
      <c r="I1459">
        <v>2500745</v>
      </c>
      <c r="J1459" t="s">
        <v>1562</v>
      </c>
      <c r="K1459" t="s">
        <v>1563</v>
      </c>
      <c r="L1459" t="s">
        <v>390</v>
      </c>
      <c r="N1459" t="s">
        <v>1564</v>
      </c>
      <c r="O1459" t="s">
        <v>1565</v>
      </c>
      <c r="R1459" t="s">
        <v>3986</v>
      </c>
      <c r="S1459" s="34" t="s">
        <v>5334</v>
      </c>
    </row>
    <row r="1460" spans="1:19" ht="216" x14ac:dyDescent="0.15">
      <c r="A1460" t="s">
        <v>3731</v>
      </c>
      <c r="B1460" s="61">
        <v>46204</v>
      </c>
      <c r="E1460" t="s">
        <v>355</v>
      </c>
      <c r="F1460" t="s">
        <v>351</v>
      </c>
      <c r="G1460" t="s">
        <v>354</v>
      </c>
      <c r="H1460" t="s">
        <v>353</v>
      </c>
      <c r="I1460">
        <v>2600152</v>
      </c>
      <c r="J1460" t="s">
        <v>2174</v>
      </c>
      <c r="K1460" t="s">
        <v>3754</v>
      </c>
      <c r="L1460" t="s">
        <v>390</v>
      </c>
      <c r="N1460" t="s">
        <v>4644</v>
      </c>
      <c r="O1460" t="s">
        <v>3756</v>
      </c>
      <c r="R1460" t="s">
        <v>3986</v>
      </c>
      <c r="S1460" s="34" t="s">
        <v>5335</v>
      </c>
    </row>
    <row r="1461" spans="1:19" ht="409.5" x14ac:dyDescent="0.15">
      <c r="A1461" t="s">
        <v>3731</v>
      </c>
      <c r="B1461" s="61">
        <v>46204</v>
      </c>
      <c r="E1461" t="s">
        <v>355</v>
      </c>
      <c r="F1461" t="s">
        <v>351</v>
      </c>
      <c r="G1461" t="s">
        <v>354</v>
      </c>
      <c r="H1461" t="s">
        <v>686</v>
      </c>
      <c r="I1461">
        <v>2600486</v>
      </c>
      <c r="J1461" t="s">
        <v>1212</v>
      </c>
      <c r="K1461" t="s">
        <v>4645</v>
      </c>
      <c r="L1461" t="s">
        <v>4646</v>
      </c>
      <c r="N1461">
        <v>2112301</v>
      </c>
      <c r="O1461" t="s">
        <v>4647</v>
      </c>
      <c r="R1461" t="s">
        <v>3987</v>
      </c>
      <c r="S1461" s="34" t="s">
        <v>5336</v>
      </c>
    </row>
    <row r="1462" spans="1:19" ht="409.5" x14ac:dyDescent="0.15">
      <c r="A1462" t="s">
        <v>3684</v>
      </c>
      <c r="B1462" s="61">
        <v>46204</v>
      </c>
      <c r="E1462" t="s">
        <v>355</v>
      </c>
      <c r="F1462" t="s">
        <v>351</v>
      </c>
      <c r="G1462" t="s">
        <v>354</v>
      </c>
      <c r="H1462" t="s">
        <v>353</v>
      </c>
      <c r="I1462">
        <v>2700027</v>
      </c>
      <c r="J1462" t="s">
        <v>3703</v>
      </c>
      <c r="K1462" t="s">
        <v>428</v>
      </c>
      <c r="L1462" t="s">
        <v>413</v>
      </c>
      <c r="N1462" t="s">
        <v>3704</v>
      </c>
      <c r="O1462" t="s">
        <v>3705</v>
      </c>
      <c r="R1462" t="s">
        <v>3986</v>
      </c>
      <c r="S1462" s="34" t="s">
        <v>5337</v>
      </c>
    </row>
    <row r="1463" spans="1:19" ht="405" x14ac:dyDescent="0.15">
      <c r="A1463" t="s">
        <v>3684</v>
      </c>
      <c r="B1463" s="61">
        <v>46204</v>
      </c>
      <c r="E1463" t="s">
        <v>355</v>
      </c>
      <c r="F1463" t="s">
        <v>351</v>
      </c>
      <c r="G1463" t="s">
        <v>352</v>
      </c>
      <c r="H1463" t="s">
        <v>310</v>
      </c>
      <c r="I1463">
        <v>2701589</v>
      </c>
      <c r="J1463" t="s">
        <v>963</v>
      </c>
      <c r="K1463" t="s">
        <v>4648</v>
      </c>
      <c r="L1463" t="s">
        <v>965</v>
      </c>
      <c r="N1463" t="s">
        <v>4649</v>
      </c>
      <c r="O1463" t="s">
        <v>4650</v>
      </c>
      <c r="R1463" t="s">
        <v>3958</v>
      </c>
      <c r="S1463" s="34" t="s">
        <v>5338</v>
      </c>
    </row>
    <row r="1464" spans="1:19" ht="256.5" x14ac:dyDescent="0.15">
      <c r="A1464" t="s">
        <v>2597</v>
      </c>
      <c r="B1464" s="61">
        <v>46204</v>
      </c>
      <c r="E1464" t="s">
        <v>355</v>
      </c>
      <c r="F1464" t="s">
        <v>351</v>
      </c>
      <c r="G1464" t="s">
        <v>352</v>
      </c>
      <c r="H1464" t="s">
        <v>353</v>
      </c>
      <c r="I1464">
        <v>2702022</v>
      </c>
      <c r="J1464" t="s">
        <v>2656</v>
      </c>
      <c r="K1464" t="s">
        <v>2657</v>
      </c>
      <c r="L1464" t="s">
        <v>2658</v>
      </c>
      <c r="N1464" t="s">
        <v>2659</v>
      </c>
      <c r="O1464" t="s">
        <v>2660</v>
      </c>
      <c r="R1464" t="s">
        <v>3985</v>
      </c>
      <c r="S1464" s="34" t="s">
        <v>5339</v>
      </c>
    </row>
    <row r="1465" spans="1:19" ht="175.5" x14ac:dyDescent="0.15">
      <c r="A1465" t="s">
        <v>4047</v>
      </c>
      <c r="B1465" s="61">
        <v>46204</v>
      </c>
      <c r="E1465" t="s">
        <v>355</v>
      </c>
      <c r="F1465" t="s">
        <v>351</v>
      </c>
      <c r="G1465" t="s">
        <v>354</v>
      </c>
      <c r="H1465" t="s">
        <v>353</v>
      </c>
      <c r="I1465">
        <v>2702663</v>
      </c>
      <c r="J1465" t="s">
        <v>4651</v>
      </c>
      <c r="K1465" t="s">
        <v>1071</v>
      </c>
      <c r="L1465" t="s">
        <v>4652</v>
      </c>
      <c r="N1465" t="s">
        <v>4653</v>
      </c>
      <c r="O1465" t="s">
        <v>4654</v>
      </c>
      <c r="R1465" t="s">
        <v>3987</v>
      </c>
      <c r="S1465" s="34" t="s">
        <v>5340</v>
      </c>
    </row>
    <row r="1466" spans="1:19" ht="409.5" x14ac:dyDescent="0.15">
      <c r="A1466" t="s">
        <v>422</v>
      </c>
      <c r="B1466" s="61">
        <v>46204</v>
      </c>
      <c r="E1466" t="s">
        <v>355</v>
      </c>
      <c r="F1466" t="s">
        <v>351</v>
      </c>
      <c r="G1466" t="s">
        <v>354</v>
      </c>
      <c r="H1466" t="s">
        <v>365</v>
      </c>
      <c r="I1466">
        <v>2702767</v>
      </c>
      <c r="J1466" t="s">
        <v>423</v>
      </c>
      <c r="K1466" t="s">
        <v>424</v>
      </c>
      <c r="L1466" t="s">
        <v>4253</v>
      </c>
      <c r="N1466" t="s">
        <v>4655</v>
      </c>
      <c r="O1466" t="s">
        <v>4255</v>
      </c>
      <c r="R1466" t="s">
        <v>3987</v>
      </c>
      <c r="S1466" s="34" t="s">
        <v>5341</v>
      </c>
    </row>
    <row r="1467" spans="1:19" ht="409.5" x14ac:dyDescent="0.15">
      <c r="A1467" t="s">
        <v>1797</v>
      </c>
      <c r="B1467" s="61">
        <v>46204</v>
      </c>
      <c r="E1467" t="s">
        <v>355</v>
      </c>
      <c r="F1467" t="s">
        <v>351</v>
      </c>
      <c r="G1467" t="s">
        <v>354</v>
      </c>
      <c r="H1467" t="s">
        <v>353</v>
      </c>
      <c r="I1467">
        <v>2800720</v>
      </c>
      <c r="J1467" t="s">
        <v>1807</v>
      </c>
      <c r="K1467" t="s">
        <v>1808</v>
      </c>
      <c r="L1467" t="s">
        <v>1809</v>
      </c>
      <c r="N1467" t="s">
        <v>4656</v>
      </c>
      <c r="O1467" t="s">
        <v>1811</v>
      </c>
      <c r="R1467" t="s">
        <v>3986</v>
      </c>
      <c r="S1467" s="34" t="s">
        <v>5342</v>
      </c>
    </row>
    <row r="1468" spans="1:19" ht="229.5" x14ac:dyDescent="0.15">
      <c r="A1468" t="s">
        <v>3297</v>
      </c>
      <c r="B1468" s="61">
        <v>46204</v>
      </c>
      <c r="E1468" t="s">
        <v>355</v>
      </c>
      <c r="F1468" t="s">
        <v>351</v>
      </c>
      <c r="G1468" t="s">
        <v>354</v>
      </c>
      <c r="H1468" t="s">
        <v>353</v>
      </c>
      <c r="I1468">
        <v>2801233</v>
      </c>
      <c r="J1468" t="s">
        <v>3308</v>
      </c>
      <c r="K1468" t="s">
        <v>3309</v>
      </c>
      <c r="L1468" t="s">
        <v>3310</v>
      </c>
      <c r="N1468" t="s">
        <v>3311</v>
      </c>
      <c r="O1468" t="s">
        <v>3312</v>
      </c>
      <c r="R1468" t="s">
        <v>3986</v>
      </c>
      <c r="S1468" s="34" t="s">
        <v>5343</v>
      </c>
    </row>
    <row r="1469" spans="1:19" ht="409.5" x14ac:dyDescent="0.15">
      <c r="A1469" t="s">
        <v>3163</v>
      </c>
      <c r="B1469" s="61">
        <v>46204</v>
      </c>
      <c r="E1469" t="s">
        <v>355</v>
      </c>
      <c r="F1469" t="s">
        <v>351</v>
      </c>
      <c r="G1469" t="s">
        <v>354</v>
      </c>
      <c r="H1469" t="s">
        <v>4583</v>
      </c>
      <c r="I1469">
        <v>2900300</v>
      </c>
      <c r="J1469" t="s">
        <v>3164</v>
      </c>
      <c r="L1469" t="s">
        <v>3165</v>
      </c>
      <c r="N1469" t="s">
        <v>4657</v>
      </c>
      <c r="O1469" t="s">
        <v>3167</v>
      </c>
      <c r="R1469" s="34" t="s">
        <v>4658</v>
      </c>
      <c r="S1469" s="34" t="s">
        <v>5344</v>
      </c>
    </row>
    <row r="1470" spans="1:19" ht="409.5" x14ac:dyDescent="0.15">
      <c r="A1470" t="s">
        <v>2956</v>
      </c>
      <c r="B1470" s="61">
        <v>46204</v>
      </c>
      <c r="E1470" t="s">
        <v>355</v>
      </c>
      <c r="F1470" t="s">
        <v>351</v>
      </c>
      <c r="G1470" t="s">
        <v>354</v>
      </c>
      <c r="H1470" t="s">
        <v>353</v>
      </c>
      <c r="I1470">
        <v>3300409</v>
      </c>
      <c r="J1470" t="s">
        <v>2989</v>
      </c>
      <c r="K1470" t="s">
        <v>1914</v>
      </c>
      <c r="L1470" t="s">
        <v>2990</v>
      </c>
      <c r="N1470" t="s">
        <v>4659</v>
      </c>
      <c r="O1470" t="s">
        <v>2992</v>
      </c>
      <c r="R1470" t="s">
        <v>3986</v>
      </c>
      <c r="S1470" s="34" t="s">
        <v>5345</v>
      </c>
    </row>
    <row r="1471" spans="1:19" ht="283.5" x14ac:dyDescent="0.15">
      <c r="A1471" t="s">
        <v>6252</v>
      </c>
      <c r="B1471" s="61">
        <v>46204</v>
      </c>
      <c r="E1471" t="s">
        <v>355</v>
      </c>
      <c r="F1471" t="s">
        <v>351</v>
      </c>
      <c r="G1471" t="s">
        <v>354</v>
      </c>
      <c r="H1471" t="s">
        <v>686</v>
      </c>
      <c r="I1471">
        <v>3300435</v>
      </c>
      <c r="J1471" t="s">
        <v>1212</v>
      </c>
      <c r="K1471" t="s">
        <v>4660</v>
      </c>
      <c r="L1471" t="s">
        <v>390</v>
      </c>
      <c r="N1471">
        <v>2156273</v>
      </c>
      <c r="O1471" t="s">
        <v>4661</v>
      </c>
      <c r="R1471" t="s">
        <v>4052</v>
      </c>
      <c r="S1471" s="34" t="s">
        <v>5346</v>
      </c>
    </row>
    <row r="1472" spans="1:19" ht="256.5" x14ac:dyDescent="0.15">
      <c r="A1472" t="s">
        <v>2956</v>
      </c>
      <c r="B1472" s="61">
        <v>46204</v>
      </c>
      <c r="E1472" t="s">
        <v>355</v>
      </c>
      <c r="F1472" t="s">
        <v>351</v>
      </c>
      <c r="G1472" t="s">
        <v>354</v>
      </c>
      <c r="H1472" t="s">
        <v>365</v>
      </c>
      <c r="I1472">
        <v>3300446</v>
      </c>
      <c r="J1472" t="s">
        <v>2968</v>
      </c>
      <c r="K1472" t="s">
        <v>2969</v>
      </c>
      <c r="L1472" t="s">
        <v>4662</v>
      </c>
      <c r="N1472" t="s">
        <v>2970</v>
      </c>
      <c r="O1472" t="s">
        <v>2971</v>
      </c>
      <c r="R1472" t="s">
        <v>3986</v>
      </c>
      <c r="S1472" s="34" t="s">
        <v>5347</v>
      </c>
    </row>
    <row r="1473" spans="1:19" ht="409.5" x14ac:dyDescent="0.15">
      <c r="A1473" t="s">
        <v>6263</v>
      </c>
      <c r="B1473" s="61">
        <v>46204</v>
      </c>
      <c r="E1473" t="s">
        <v>355</v>
      </c>
      <c r="F1473" t="s">
        <v>351</v>
      </c>
      <c r="G1473" t="s">
        <v>354</v>
      </c>
      <c r="H1473" t="s">
        <v>353</v>
      </c>
      <c r="I1473">
        <v>3300475</v>
      </c>
      <c r="J1473" t="s">
        <v>743</v>
      </c>
      <c r="K1473" t="s">
        <v>1933</v>
      </c>
      <c r="L1473" t="s">
        <v>1276</v>
      </c>
      <c r="N1473" t="s">
        <v>1935</v>
      </c>
      <c r="O1473" t="s">
        <v>1936</v>
      </c>
      <c r="R1473" t="s">
        <v>3987</v>
      </c>
      <c r="S1473" s="34" t="s">
        <v>1937</v>
      </c>
    </row>
    <row r="1474" spans="1:19" ht="409.5" x14ac:dyDescent="0.15">
      <c r="A1474" t="s">
        <v>1062</v>
      </c>
      <c r="B1474" s="61">
        <v>46204</v>
      </c>
      <c r="E1474" t="s">
        <v>355</v>
      </c>
      <c r="F1474" t="s">
        <v>351</v>
      </c>
      <c r="G1474" t="s">
        <v>352</v>
      </c>
      <c r="H1474" t="s">
        <v>310</v>
      </c>
      <c r="I1474">
        <v>3400676</v>
      </c>
      <c r="J1474" t="s">
        <v>4663</v>
      </c>
      <c r="K1474" t="s">
        <v>4664</v>
      </c>
      <c r="L1474" t="s">
        <v>390</v>
      </c>
      <c r="N1474" t="s">
        <v>4665</v>
      </c>
      <c r="O1474" t="s">
        <v>4666</v>
      </c>
      <c r="R1474" t="s">
        <v>3985</v>
      </c>
      <c r="S1474" s="34" t="s">
        <v>5348</v>
      </c>
    </row>
    <row r="1475" spans="1:19" ht="409.5" x14ac:dyDescent="0.15">
      <c r="A1475" t="s">
        <v>1062</v>
      </c>
      <c r="B1475" s="61">
        <v>46204</v>
      </c>
      <c r="E1475" t="s">
        <v>355</v>
      </c>
      <c r="F1475" t="s">
        <v>351</v>
      </c>
      <c r="G1475" t="s">
        <v>354</v>
      </c>
      <c r="H1475" t="s">
        <v>686</v>
      </c>
      <c r="I1475">
        <v>3400822</v>
      </c>
      <c r="J1475" t="s">
        <v>3994</v>
      </c>
      <c r="K1475" t="s">
        <v>4057</v>
      </c>
      <c r="L1475" t="s">
        <v>466</v>
      </c>
      <c r="N1475">
        <v>2101369</v>
      </c>
      <c r="O1475" t="s">
        <v>4058</v>
      </c>
      <c r="R1475" t="s">
        <v>3987</v>
      </c>
      <c r="S1475" s="34" t="s">
        <v>5349</v>
      </c>
    </row>
    <row r="1476" spans="1:19" ht="409.5" x14ac:dyDescent="0.15">
      <c r="A1476" t="s">
        <v>6766</v>
      </c>
      <c r="B1476" s="61">
        <v>46204</v>
      </c>
      <c r="E1476" t="s">
        <v>355</v>
      </c>
      <c r="F1476" t="s">
        <v>351</v>
      </c>
      <c r="G1476" t="s">
        <v>354</v>
      </c>
      <c r="H1476" t="s">
        <v>365</v>
      </c>
      <c r="I1476">
        <v>4000088</v>
      </c>
      <c r="J1476" t="s">
        <v>2631</v>
      </c>
      <c r="K1476" t="s">
        <v>2847</v>
      </c>
      <c r="L1476" t="s">
        <v>1769</v>
      </c>
      <c r="N1476" t="s">
        <v>4668</v>
      </c>
      <c r="O1476" t="s">
        <v>2849</v>
      </c>
      <c r="R1476" t="s">
        <v>3987</v>
      </c>
      <c r="S1476" s="34" t="s">
        <v>5350</v>
      </c>
    </row>
    <row r="1477" spans="1:19" ht="409.5" x14ac:dyDescent="0.15">
      <c r="A1477" t="s">
        <v>6766</v>
      </c>
      <c r="B1477" s="61">
        <v>46204</v>
      </c>
      <c r="E1477" t="s">
        <v>355</v>
      </c>
      <c r="F1477" t="s">
        <v>351</v>
      </c>
      <c r="G1477" t="s">
        <v>354</v>
      </c>
      <c r="H1477" t="s">
        <v>353</v>
      </c>
      <c r="I1477">
        <v>4000088</v>
      </c>
      <c r="J1477" t="s">
        <v>2631</v>
      </c>
      <c r="K1477" t="s">
        <v>2847</v>
      </c>
      <c r="L1477" t="s">
        <v>1769</v>
      </c>
      <c r="N1477" t="s">
        <v>4669</v>
      </c>
      <c r="O1477" t="s">
        <v>2849</v>
      </c>
      <c r="R1477" t="s">
        <v>3987</v>
      </c>
      <c r="S1477" s="34" t="s">
        <v>5351</v>
      </c>
    </row>
    <row r="1478" spans="1:19" ht="409.5" x14ac:dyDescent="0.15">
      <c r="A1478" t="s">
        <v>3472</v>
      </c>
      <c r="B1478" s="61">
        <v>46204</v>
      </c>
      <c r="E1478" t="s">
        <v>355</v>
      </c>
      <c r="F1478" t="s">
        <v>351</v>
      </c>
      <c r="G1478" t="s">
        <v>354</v>
      </c>
      <c r="H1478" t="s">
        <v>686</v>
      </c>
      <c r="I1478">
        <v>4000409</v>
      </c>
      <c r="J1478" t="s">
        <v>2250</v>
      </c>
      <c r="K1478" t="s">
        <v>3919</v>
      </c>
      <c r="L1478" t="s">
        <v>584</v>
      </c>
      <c r="N1478" t="s">
        <v>4670</v>
      </c>
      <c r="O1478" t="s">
        <v>3920</v>
      </c>
      <c r="R1478" t="s">
        <v>3986</v>
      </c>
      <c r="S1478" s="34" t="s">
        <v>5352</v>
      </c>
    </row>
    <row r="1479" spans="1:19" ht="243" x14ac:dyDescent="0.15">
      <c r="A1479" t="s">
        <v>6766</v>
      </c>
      <c r="B1479" s="61">
        <v>46204</v>
      </c>
      <c r="E1479" t="s">
        <v>355</v>
      </c>
      <c r="F1479" t="s">
        <v>351</v>
      </c>
      <c r="G1479" t="s">
        <v>354</v>
      </c>
      <c r="H1479" t="s">
        <v>353</v>
      </c>
      <c r="I1479">
        <v>4000612</v>
      </c>
      <c r="J1479" t="s">
        <v>3997</v>
      </c>
      <c r="K1479" t="s">
        <v>4671</v>
      </c>
      <c r="L1479" t="s">
        <v>1276</v>
      </c>
      <c r="N1479" t="s">
        <v>4672</v>
      </c>
      <c r="O1479" t="s">
        <v>4673</v>
      </c>
      <c r="R1479" t="s">
        <v>4012</v>
      </c>
      <c r="S1479" s="34" t="s">
        <v>4674</v>
      </c>
    </row>
    <row r="1480" spans="1:19" ht="229.5" x14ac:dyDescent="0.15">
      <c r="A1480" t="s">
        <v>6766</v>
      </c>
      <c r="B1480" s="61">
        <v>46204</v>
      </c>
      <c r="E1480" t="s">
        <v>355</v>
      </c>
      <c r="F1480" t="s">
        <v>351</v>
      </c>
      <c r="G1480" t="s">
        <v>354</v>
      </c>
      <c r="H1480" t="s">
        <v>686</v>
      </c>
      <c r="I1480">
        <v>4000698</v>
      </c>
      <c r="J1480" t="s">
        <v>2864</v>
      </c>
      <c r="L1480" t="s">
        <v>2865</v>
      </c>
      <c r="N1480">
        <v>2165307</v>
      </c>
      <c r="O1480" t="s">
        <v>2866</v>
      </c>
      <c r="R1480" t="s">
        <v>4012</v>
      </c>
      <c r="S1480" s="34" t="s">
        <v>2870</v>
      </c>
    </row>
    <row r="1481" spans="1:19" ht="405" x14ac:dyDescent="0.15">
      <c r="A1481" t="s">
        <v>6766</v>
      </c>
      <c r="B1481" s="61">
        <v>46204</v>
      </c>
      <c r="E1481" t="s">
        <v>355</v>
      </c>
      <c r="F1481" t="s">
        <v>351</v>
      </c>
      <c r="G1481" t="s">
        <v>354</v>
      </c>
      <c r="H1481" t="s">
        <v>686</v>
      </c>
      <c r="I1481">
        <v>4100089</v>
      </c>
      <c r="J1481" t="s">
        <v>2886</v>
      </c>
      <c r="K1481" t="s">
        <v>2887</v>
      </c>
      <c r="L1481" t="s">
        <v>1769</v>
      </c>
      <c r="N1481">
        <v>2160402</v>
      </c>
      <c r="O1481" t="s">
        <v>2889</v>
      </c>
      <c r="R1481" t="s">
        <v>4675</v>
      </c>
      <c r="S1481" s="34" t="s">
        <v>5353</v>
      </c>
    </row>
    <row r="1482" spans="1:19" ht="409.5" x14ac:dyDescent="0.15">
      <c r="A1482" t="s">
        <v>2096</v>
      </c>
      <c r="B1482" s="61">
        <v>46204</v>
      </c>
      <c r="E1482" t="s">
        <v>355</v>
      </c>
      <c r="F1482" t="s">
        <v>351</v>
      </c>
      <c r="G1482" t="s">
        <v>354</v>
      </c>
      <c r="H1482" t="s">
        <v>353</v>
      </c>
      <c r="I1482">
        <v>400260</v>
      </c>
      <c r="J1482" t="s">
        <v>371</v>
      </c>
      <c r="K1482" t="s">
        <v>2097</v>
      </c>
      <c r="L1482" t="s">
        <v>1340</v>
      </c>
      <c r="N1482" t="s">
        <v>2098</v>
      </c>
      <c r="O1482" t="s">
        <v>2099</v>
      </c>
      <c r="R1482" t="s">
        <v>4012</v>
      </c>
      <c r="S1482" s="34" t="s">
        <v>5354</v>
      </c>
    </row>
    <row r="1483" spans="1:19" ht="202.5" x14ac:dyDescent="0.15">
      <c r="A1483" t="s">
        <v>3089</v>
      </c>
      <c r="B1483" s="61">
        <v>46204</v>
      </c>
      <c r="E1483" t="s">
        <v>355</v>
      </c>
      <c r="F1483" t="s">
        <v>351</v>
      </c>
      <c r="G1483" t="s">
        <v>354</v>
      </c>
      <c r="H1483" t="s">
        <v>686</v>
      </c>
      <c r="I1483">
        <v>900854</v>
      </c>
      <c r="J1483" t="s">
        <v>3091</v>
      </c>
      <c r="K1483" t="s">
        <v>3092</v>
      </c>
      <c r="L1483" t="s">
        <v>4676</v>
      </c>
      <c r="N1483">
        <v>2144063</v>
      </c>
      <c r="O1483" t="s">
        <v>3093</v>
      </c>
      <c r="R1483" t="s">
        <v>4677</v>
      </c>
      <c r="S1483" s="34" t="s">
        <v>5355</v>
      </c>
    </row>
    <row r="1484" spans="1:19" ht="310.5" x14ac:dyDescent="0.15">
      <c r="A1484" t="s">
        <v>3089</v>
      </c>
      <c r="B1484" s="61">
        <v>46204</v>
      </c>
      <c r="E1484" t="s">
        <v>355</v>
      </c>
      <c r="F1484" t="s">
        <v>351</v>
      </c>
      <c r="G1484" t="s">
        <v>354</v>
      </c>
      <c r="H1484" t="s">
        <v>686</v>
      </c>
      <c r="I1484">
        <v>900854</v>
      </c>
      <c r="J1484" t="s">
        <v>3091</v>
      </c>
      <c r="K1484" t="s">
        <v>3092</v>
      </c>
      <c r="L1484" t="s">
        <v>4676</v>
      </c>
      <c r="N1484">
        <v>2144103</v>
      </c>
      <c r="O1484" t="s">
        <v>3093</v>
      </c>
      <c r="R1484" t="s">
        <v>4678</v>
      </c>
      <c r="S1484" s="34" t="s">
        <v>5356</v>
      </c>
    </row>
    <row r="1485" spans="1:19" ht="243" x14ac:dyDescent="0.15">
      <c r="A1485" t="s">
        <v>6275</v>
      </c>
      <c r="B1485" s="61">
        <v>46204</v>
      </c>
      <c r="E1485" t="s">
        <v>355</v>
      </c>
      <c r="F1485" t="s">
        <v>351</v>
      </c>
      <c r="G1485" t="s">
        <v>354</v>
      </c>
      <c r="H1485" t="s">
        <v>353</v>
      </c>
      <c r="I1485">
        <v>1200550</v>
      </c>
      <c r="J1485" t="s">
        <v>1975</v>
      </c>
      <c r="K1485" t="s">
        <v>1976</v>
      </c>
      <c r="L1485" t="s">
        <v>1977</v>
      </c>
      <c r="N1485" t="s">
        <v>1978</v>
      </c>
      <c r="O1485" t="s">
        <v>1979</v>
      </c>
      <c r="R1485" t="s">
        <v>4679</v>
      </c>
      <c r="S1485" s="34" t="s">
        <v>5357</v>
      </c>
    </row>
    <row r="1486" spans="1:19" ht="405" x14ac:dyDescent="0.15">
      <c r="A1486" t="s">
        <v>6275</v>
      </c>
      <c r="B1486" s="61">
        <v>46204</v>
      </c>
      <c r="E1486" t="s">
        <v>355</v>
      </c>
      <c r="F1486" t="s">
        <v>351</v>
      </c>
      <c r="G1486" t="s">
        <v>352</v>
      </c>
      <c r="H1486" t="s">
        <v>353</v>
      </c>
      <c r="I1486">
        <v>1200550</v>
      </c>
      <c r="J1486" t="s">
        <v>1975</v>
      </c>
      <c r="K1486" t="s">
        <v>1976</v>
      </c>
      <c r="L1486" t="s">
        <v>4680</v>
      </c>
      <c r="N1486" t="s">
        <v>4681</v>
      </c>
      <c r="O1486" t="s">
        <v>1979</v>
      </c>
      <c r="R1486" t="s">
        <v>3985</v>
      </c>
      <c r="S1486" s="34" t="s">
        <v>5358</v>
      </c>
    </row>
    <row r="1487" spans="1:19" ht="409.5" x14ac:dyDescent="0.15">
      <c r="A1487" t="s">
        <v>800</v>
      </c>
      <c r="B1487" s="61">
        <v>46204</v>
      </c>
      <c r="E1487" t="s">
        <v>355</v>
      </c>
      <c r="F1487" t="s">
        <v>351</v>
      </c>
      <c r="G1487" t="s">
        <v>352</v>
      </c>
      <c r="H1487" t="s">
        <v>365</v>
      </c>
      <c r="I1487">
        <v>4500014</v>
      </c>
      <c r="J1487" t="s">
        <v>801</v>
      </c>
      <c r="K1487" t="s">
        <v>802</v>
      </c>
      <c r="L1487" t="s">
        <v>803</v>
      </c>
      <c r="N1487" t="s">
        <v>804</v>
      </c>
      <c r="O1487" t="s">
        <v>805</v>
      </c>
      <c r="R1487" t="s">
        <v>3985</v>
      </c>
      <c r="S1487" s="34" t="s">
        <v>806</v>
      </c>
    </row>
    <row r="1488" spans="1:19" x14ac:dyDescent="0.15">
      <c r="A1488" t="s">
        <v>2534</v>
      </c>
      <c r="B1488" s="61">
        <v>47209</v>
      </c>
      <c r="E1488" t="s">
        <v>355</v>
      </c>
      <c r="F1488" t="s">
        <v>356</v>
      </c>
      <c r="G1488" t="s">
        <v>354</v>
      </c>
      <c r="H1488" t="s">
        <v>353</v>
      </c>
      <c r="I1488">
        <v>2702415</v>
      </c>
      <c r="J1488" t="s">
        <v>4682</v>
      </c>
      <c r="L1488" t="s">
        <v>2617</v>
      </c>
      <c r="N1488" t="s">
        <v>4683</v>
      </c>
      <c r="O1488" t="s">
        <v>4684</v>
      </c>
      <c r="R1488" t="s">
        <v>362</v>
      </c>
    </row>
    <row r="1489" spans="1:18" x14ac:dyDescent="0.15">
      <c r="A1489" t="s">
        <v>2534</v>
      </c>
      <c r="B1489" s="61">
        <v>48670</v>
      </c>
      <c r="E1489" t="s">
        <v>355</v>
      </c>
      <c r="F1489" t="s">
        <v>385</v>
      </c>
      <c r="G1489" t="s">
        <v>354</v>
      </c>
      <c r="H1489" t="s">
        <v>353</v>
      </c>
      <c r="I1489">
        <v>2702415</v>
      </c>
      <c r="J1489" t="s">
        <v>4682</v>
      </c>
      <c r="L1489" t="s">
        <v>2617</v>
      </c>
      <c r="N1489" t="s">
        <v>4683</v>
      </c>
      <c r="O1489" t="s">
        <v>4684</v>
      </c>
      <c r="R1489" t="s">
        <v>386</v>
      </c>
    </row>
    <row r="1490" spans="1:18" x14ac:dyDescent="0.15">
      <c r="A1490" t="s">
        <v>2693</v>
      </c>
      <c r="B1490" s="61">
        <v>46997</v>
      </c>
      <c r="E1490" t="s">
        <v>355</v>
      </c>
      <c r="F1490" t="s">
        <v>356</v>
      </c>
      <c r="G1490" t="s">
        <v>354</v>
      </c>
      <c r="H1490" t="s">
        <v>353</v>
      </c>
      <c r="I1490">
        <v>2301343</v>
      </c>
      <c r="J1490" t="s">
        <v>2700</v>
      </c>
      <c r="K1490" t="s">
        <v>1542</v>
      </c>
      <c r="L1490" t="s">
        <v>390</v>
      </c>
      <c r="N1490" t="s">
        <v>4685</v>
      </c>
      <c r="O1490" t="s">
        <v>2701</v>
      </c>
      <c r="R1490" t="s">
        <v>362</v>
      </c>
    </row>
    <row r="1491" spans="1:18" x14ac:dyDescent="0.15">
      <c r="A1491" t="s">
        <v>2693</v>
      </c>
      <c r="B1491" s="61">
        <v>48458</v>
      </c>
      <c r="E1491" t="s">
        <v>355</v>
      </c>
      <c r="F1491" t="s">
        <v>385</v>
      </c>
      <c r="G1491" t="s">
        <v>354</v>
      </c>
      <c r="H1491" t="s">
        <v>353</v>
      </c>
      <c r="I1491">
        <v>2301343</v>
      </c>
      <c r="J1491" t="s">
        <v>2700</v>
      </c>
      <c r="K1491" t="s">
        <v>1542</v>
      </c>
      <c r="L1491" t="s">
        <v>390</v>
      </c>
      <c r="N1491" t="s">
        <v>4685</v>
      </c>
      <c r="O1491" t="s">
        <v>2701</v>
      </c>
      <c r="R1491" t="s">
        <v>386</v>
      </c>
    </row>
    <row r="1492" spans="1:18" x14ac:dyDescent="0.15">
      <c r="A1492" t="s">
        <v>2534</v>
      </c>
      <c r="B1492" s="61">
        <v>47209</v>
      </c>
      <c r="E1492" t="s">
        <v>355</v>
      </c>
      <c r="F1492" t="s">
        <v>356</v>
      </c>
      <c r="G1492" t="s">
        <v>354</v>
      </c>
      <c r="H1492" t="s">
        <v>353</v>
      </c>
      <c r="I1492">
        <v>2800837</v>
      </c>
      <c r="J1492" t="s">
        <v>4525</v>
      </c>
      <c r="L1492" t="s">
        <v>413</v>
      </c>
      <c r="N1492" t="s">
        <v>4526</v>
      </c>
      <c r="O1492" t="s">
        <v>4527</v>
      </c>
      <c r="R1492" t="s">
        <v>362</v>
      </c>
    </row>
    <row r="1493" spans="1:18" x14ac:dyDescent="0.15">
      <c r="A1493" t="s">
        <v>2534</v>
      </c>
      <c r="B1493" s="61">
        <v>48670</v>
      </c>
      <c r="E1493" t="s">
        <v>355</v>
      </c>
      <c r="F1493" t="s">
        <v>385</v>
      </c>
      <c r="G1493" t="s">
        <v>354</v>
      </c>
      <c r="H1493" t="s">
        <v>353</v>
      </c>
      <c r="I1493">
        <v>2800837</v>
      </c>
      <c r="J1493" t="s">
        <v>4525</v>
      </c>
      <c r="L1493" t="s">
        <v>413</v>
      </c>
      <c r="N1493" t="s">
        <v>4526</v>
      </c>
      <c r="O1493" t="s">
        <v>4527</v>
      </c>
      <c r="R1493" t="s">
        <v>386</v>
      </c>
    </row>
    <row r="1494" spans="1:18" x14ac:dyDescent="0.15">
      <c r="A1494" t="s">
        <v>422</v>
      </c>
      <c r="B1494" s="61">
        <v>46722</v>
      </c>
      <c r="E1494" t="s">
        <v>355</v>
      </c>
      <c r="F1494" t="s">
        <v>356</v>
      </c>
      <c r="G1494" t="s">
        <v>354</v>
      </c>
      <c r="H1494" t="s">
        <v>353</v>
      </c>
      <c r="I1494">
        <v>2702868</v>
      </c>
      <c r="J1494" t="s">
        <v>4511</v>
      </c>
      <c r="K1494" t="s">
        <v>4512</v>
      </c>
      <c r="L1494" t="s">
        <v>4513</v>
      </c>
      <c r="N1494" t="s">
        <v>4514</v>
      </c>
      <c r="O1494" t="s">
        <v>4515</v>
      </c>
      <c r="R1494" t="s">
        <v>362</v>
      </c>
    </row>
    <row r="1495" spans="1:18" x14ac:dyDescent="0.15">
      <c r="A1495" t="s">
        <v>422</v>
      </c>
      <c r="B1495" s="61">
        <v>48183</v>
      </c>
      <c r="E1495" t="s">
        <v>355</v>
      </c>
      <c r="F1495" t="s">
        <v>385</v>
      </c>
      <c r="G1495" t="s">
        <v>354</v>
      </c>
      <c r="H1495" t="s">
        <v>353</v>
      </c>
      <c r="I1495">
        <v>2702868</v>
      </c>
      <c r="J1495" t="s">
        <v>4511</v>
      </c>
      <c r="K1495" t="s">
        <v>4512</v>
      </c>
      <c r="L1495" t="s">
        <v>4513</v>
      </c>
      <c r="N1495" t="s">
        <v>4514</v>
      </c>
      <c r="O1495" t="s">
        <v>4515</v>
      </c>
      <c r="R1495" t="s">
        <v>386</v>
      </c>
    </row>
    <row r="1496" spans="1:18" x14ac:dyDescent="0.15">
      <c r="A1496" t="s">
        <v>1435</v>
      </c>
      <c r="B1496" s="61">
        <v>46966</v>
      </c>
      <c r="E1496" t="s">
        <v>355</v>
      </c>
      <c r="F1496" t="s">
        <v>356</v>
      </c>
      <c r="G1496" t="s">
        <v>354</v>
      </c>
      <c r="H1496" t="s">
        <v>353</v>
      </c>
      <c r="I1496">
        <v>2500819</v>
      </c>
      <c r="J1496" t="s">
        <v>4686</v>
      </c>
      <c r="K1496" t="s">
        <v>4687</v>
      </c>
      <c r="L1496" t="s">
        <v>4688</v>
      </c>
      <c r="N1496" t="s">
        <v>4689</v>
      </c>
      <c r="O1496" t="s">
        <v>4690</v>
      </c>
      <c r="R1496" t="s">
        <v>362</v>
      </c>
    </row>
    <row r="1497" spans="1:18" x14ac:dyDescent="0.15">
      <c r="A1497" t="s">
        <v>1435</v>
      </c>
      <c r="B1497" s="61">
        <v>48427</v>
      </c>
      <c r="E1497" t="s">
        <v>355</v>
      </c>
      <c r="F1497" t="s">
        <v>385</v>
      </c>
      <c r="G1497" t="s">
        <v>354</v>
      </c>
      <c r="H1497" t="s">
        <v>353</v>
      </c>
      <c r="I1497">
        <v>2500819</v>
      </c>
      <c r="J1497" t="s">
        <v>4686</v>
      </c>
      <c r="K1497" t="s">
        <v>4687</v>
      </c>
      <c r="L1497" t="s">
        <v>4688</v>
      </c>
      <c r="N1497" t="s">
        <v>4689</v>
      </c>
      <c r="O1497" t="s">
        <v>4690</v>
      </c>
      <c r="R1497" t="s">
        <v>386</v>
      </c>
    </row>
    <row r="1498" spans="1:18" x14ac:dyDescent="0.15">
      <c r="A1498" t="s">
        <v>1234</v>
      </c>
      <c r="B1498" s="61">
        <v>46784</v>
      </c>
      <c r="E1498" t="s">
        <v>355</v>
      </c>
      <c r="F1498" t="s">
        <v>356</v>
      </c>
      <c r="G1498" t="s">
        <v>354</v>
      </c>
      <c r="H1498" t="s">
        <v>353</v>
      </c>
      <c r="I1498">
        <v>2400673</v>
      </c>
      <c r="J1498" t="s">
        <v>376</v>
      </c>
      <c r="K1498" t="s">
        <v>4516</v>
      </c>
      <c r="L1498" t="s">
        <v>4517</v>
      </c>
      <c r="N1498" t="s">
        <v>4518</v>
      </c>
      <c r="O1498" t="s">
        <v>4519</v>
      </c>
      <c r="R1498" t="s">
        <v>362</v>
      </c>
    </row>
    <row r="1499" spans="1:18" x14ac:dyDescent="0.15">
      <c r="A1499" t="s">
        <v>1234</v>
      </c>
      <c r="B1499" s="61">
        <v>48245</v>
      </c>
      <c r="E1499" t="s">
        <v>355</v>
      </c>
      <c r="F1499" t="s">
        <v>385</v>
      </c>
      <c r="G1499" t="s">
        <v>354</v>
      </c>
      <c r="H1499" t="s">
        <v>353</v>
      </c>
      <c r="I1499">
        <v>2400673</v>
      </c>
      <c r="J1499" t="s">
        <v>376</v>
      </c>
      <c r="K1499" t="s">
        <v>4516</v>
      </c>
      <c r="L1499" t="s">
        <v>4517</v>
      </c>
      <c r="N1499" t="s">
        <v>4518</v>
      </c>
      <c r="O1499" t="s">
        <v>4519</v>
      </c>
      <c r="R1499" t="s">
        <v>386</v>
      </c>
    </row>
    <row r="1500" spans="1:18" x14ac:dyDescent="0.15">
      <c r="A1500" t="s">
        <v>2067</v>
      </c>
      <c r="B1500" s="61">
        <v>47119</v>
      </c>
      <c r="E1500" t="s">
        <v>355</v>
      </c>
      <c r="F1500" t="s">
        <v>356</v>
      </c>
      <c r="G1500" t="s">
        <v>354</v>
      </c>
      <c r="H1500" t="s">
        <v>353</v>
      </c>
      <c r="I1500">
        <v>2200358</v>
      </c>
      <c r="J1500" t="s">
        <v>1909</v>
      </c>
      <c r="K1500" t="s">
        <v>4521</v>
      </c>
      <c r="L1500" t="s">
        <v>4522</v>
      </c>
      <c r="N1500" t="s">
        <v>4523</v>
      </c>
      <c r="O1500" t="s">
        <v>4524</v>
      </c>
      <c r="R1500" t="s">
        <v>362</v>
      </c>
    </row>
    <row r="1501" spans="1:18" x14ac:dyDescent="0.15">
      <c r="A1501" t="s">
        <v>2067</v>
      </c>
      <c r="B1501" s="61">
        <v>48580</v>
      </c>
      <c r="E1501" t="s">
        <v>355</v>
      </c>
      <c r="F1501" t="s">
        <v>385</v>
      </c>
      <c r="G1501" t="s">
        <v>354</v>
      </c>
      <c r="H1501" t="s">
        <v>353</v>
      </c>
      <c r="I1501">
        <v>2200358</v>
      </c>
      <c r="J1501" t="s">
        <v>1909</v>
      </c>
      <c r="K1501" t="s">
        <v>4521</v>
      </c>
      <c r="L1501" t="s">
        <v>4522</v>
      </c>
      <c r="N1501" t="s">
        <v>4523</v>
      </c>
      <c r="O1501" t="s">
        <v>4524</v>
      </c>
      <c r="R1501" t="s">
        <v>386</v>
      </c>
    </row>
    <row r="1502" spans="1:18" x14ac:dyDescent="0.15">
      <c r="A1502" t="s">
        <v>6546</v>
      </c>
      <c r="B1502" s="61">
        <v>46722</v>
      </c>
      <c r="E1502" t="s">
        <v>355</v>
      </c>
      <c r="F1502" t="s">
        <v>356</v>
      </c>
      <c r="G1502" t="s">
        <v>354</v>
      </c>
      <c r="H1502" t="s">
        <v>353</v>
      </c>
      <c r="I1502">
        <v>100009</v>
      </c>
      <c r="J1502" t="s">
        <v>4344</v>
      </c>
      <c r="K1502" t="s">
        <v>4691</v>
      </c>
      <c r="L1502" t="s">
        <v>1191</v>
      </c>
      <c r="N1502" t="s">
        <v>4692</v>
      </c>
      <c r="O1502" t="s">
        <v>4693</v>
      </c>
      <c r="R1502" t="s">
        <v>362</v>
      </c>
    </row>
    <row r="1503" spans="1:18" x14ac:dyDescent="0.15">
      <c r="A1503" t="s">
        <v>6546</v>
      </c>
      <c r="B1503" s="61">
        <v>48183</v>
      </c>
      <c r="E1503" t="s">
        <v>355</v>
      </c>
      <c r="F1503" t="s">
        <v>385</v>
      </c>
      <c r="G1503" t="s">
        <v>354</v>
      </c>
      <c r="H1503" t="s">
        <v>353</v>
      </c>
      <c r="I1503">
        <v>100009</v>
      </c>
      <c r="J1503" t="s">
        <v>4344</v>
      </c>
      <c r="K1503" t="s">
        <v>4691</v>
      </c>
      <c r="L1503" t="s">
        <v>1191</v>
      </c>
      <c r="N1503" t="s">
        <v>4692</v>
      </c>
      <c r="O1503" t="s">
        <v>4693</v>
      </c>
      <c r="R1503" t="s">
        <v>386</v>
      </c>
    </row>
    <row r="1504" spans="1:18" x14ac:dyDescent="0.15">
      <c r="A1504" t="s">
        <v>2404</v>
      </c>
      <c r="B1504" s="61">
        <v>46661</v>
      </c>
      <c r="E1504" t="s">
        <v>355</v>
      </c>
      <c r="F1504" t="s">
        <v>356</v>
      </c>
      <c r="G1504" t="s">
        <v>354</v>
      </c>
      <c r="H1504" t="s">
        <v>353</v>
      </c>
      <c r="I1504">
        <v>1100725</v>
      </c>
      <c r="J1504" t="s">
        <v>565</v>
      </c>
      <c r="K1504" t="s">
        <v>4694</v>
      </c>
      <c r="L1504" t="s">
        <v>390</v>
      </c>
      <c r="N1504" t="s">
        <v>4695</v>
      </c>
      <c r="O1504" t="s">
        <v>4696</v>
      </c>
      <c r="R1504" t="s">
        <v>362</v>
      </c>
    </row>
    <row r="1505" spans="1:18" x14ac:dyDescent="0.15">
      <c r="A1505" t="s">
        <v>2404</v>
      </c>
      <c r="B1505" s="61">
        <v>48122</v>
      </c>
      <c r="E1505" t="s">
        <v>355</v>
      </c>
      <c r="F1505" t="s">
        <v>385</v>
      </c>
      <c r="G1505" t="s">
        <v>354</v>
      </c>
      <c r="H1505" t="s">
        <v>353</v>
      </c>
      <c r="I1505">
        <v>1100725</v>
      </c>
      <c r="J1505" t="s">
        <v>565</v>
      </c>
      <c r="K1505" t="s">
        <v>4694</v>
      </c>
      <c r="L1505" t="s">
        <v>390</v>
      </c>
      <c r="N1505" t="s">
        <v>4695</v>
      </c>
      <c r="O1505" t="s">
        <v>4696</v>
      </c>
      <c r="R1505" t="s">
        <v>386</v>
      </c>
    </row>
    <row r="1506" spans="1:18" x14ac:dyDescent="0.15">
      <c r="A1506" t="s">
        <v>2771</v>
      </c>
      <c r="B1506" s="61">
        <v>46874</v>
      </c>
      <c r="E1506" t="s">
        <v>355</v>
      </c>
      <c r="F1506" t="s">
        <v>356</v>
      </c>
      <c r="G1506" t="s">
        <v>354</v>
      </c>
      <c r="H1506" t="s">
        <v>353</v>
      </c>
      <c r="I1506">
        <v>2100505</v>
      </c>
      <c r="J1506" t="s">
        <v>4697</v>
      </c>
      <c r="K1506" t="s">
        <v>4698</v>
      </c>
      <c r="L1506" t="s">
        <v>4699</v>
      </c>
      <c r="N1506" t="s">
        <v>4700</v>
      </c>
      <c r="O1506" t="s">
        <v>4701</v>
      </c>
      <c r="R1506" t="s">
        <v>362</v>
      </c>
    </row>
    <row r="1507" spans="1:18" x14ac:dyDescent="0.15">
      <c r="A1507" t="s">
        <v>2771</v>
      </c>
      <c r="B1507" s="61">
        <v>48335</v>
      </c>
      <c r="E1507" t="s">
        <v>355</v>
      </c>
      <c r="F1507" t="s">
        <v>385</v>
      </c>
      <c r="G1507" t="s">
        <v>354</v>
      </c>
      <c r="H1507" t="s">
        <v>353</v>
      </c>
      <c r="I1507">
        <v>2100505</v>
      </c>
      <c r="J1507" t="s">
        <v>4697</v>
      </c>
      <c r="K1507" t="s">
        <v>4698</v>
      </c>
      <c r="L1507" t="s">
        <v>4699</v>
      </c>
      <c r="N1507" t="s">
        <v>4700</v>
      </c>
      <c r="O1507" t="s">
        <v>4701</v>
      </c>
      <c r="R1507" t="s">
        <v>386</v>
      </c>
    </row>
    <row r="1508" spans="1:18" x14ac:dyDescent="0.15">
      <c r="A1508" t="s">
        <v>3731</v>
      </c>
      <c r="B1508" s="61">
        <v>47119</v>
      </c>
      <c r="E1508" t="s">
        <v>355</v>
      </c>
      <c r="F1508" t="s">
        <v>356</v>
      </c>
      <c r="G1508" t="s">
        <v>354</v>
      </c>
      <c r="H1508" t="s">
        <v>353</v>
      </c>
      <c r="I1508">
        <v>2600009</v>
      </c>
      <c r="J1508" t="s">
        <v>4702</v>
      </c>
      <c r="K1508" t="s">
        <v>4703</v>
      </c>
      <c r="L1508" t="s">
        <v>390</v>
      </c>
      <c r="N1508" t="s">
        <v>4704</v>
      </c>
      <c r="O1508" t="s">
        <v>4705</v>
      </c>
      <c r="R1508" t="s">
        <v>362</v>
      </c>
    </row>
    <row r="1509" spans="1:18" x14ac:dyDescent="0.15">
      <c r="A1509" t="s">
        <v>3731</v>
      </c>
      <c r="B1509" s="61">
        <v>48580</v>
      </c>
      <c r="E1509" t="s">
        <v>355</v>
      </c>
      <c r="F1509" t="s">
        <v>385</v>
      </c>
      <c r="G1509" t="s">
        <v>354</v>
      </c>
      <c r="H1509" t="s">
        <v>353</v>
      </c>
      <c r="I1509">
        <v>2600009</v>
      </c>
      <c r="J1509" t="s">
        <v>4702</v>
      </c>
      <c r="K1509" t="s">
        <v>4703</v>
      </c>
      <c r="L1509" t="s">
        <v>390</v>
      </c>
      <c r="N1509" t="s">
        <v>4704</v>
      </c>
      <c r="O1509" t="s">
        <v>4705</v>
      </c>
      <c r="R1509" t="s">
        <v>386</v>
      </c>
    </row>
    <row r="1510" spans="1:18" x14ac:dyDescent="0.15">
      <c r="A1510" t="s">
        <v>350</v>
      </c>
      <c r="B1510" s="61">
        <v>47027</v>
      </c>
      <c r="E1510" t="s">
        <v>355</v>
      </c>
      <c r="F1510" t="s">
        <v>356</v>
      </c>
      <c r="G1510" t="s">
        <v>354</v>
      </c>
      <c r="H1510" t="s">
        <v>353</v>
      </c>
      <c r="I1510">
        <v>801198</v>
      </c>
      <c r="J1510" t="s">
        <v>821</v>
      </c>
      <c r="K1510" t="s">
        <v>4706</v>
      </c>
      <c r="L1510" t="s">
        <v>4707</v>
      </c>
      <c r="N1510" t="s">
        <v>4708</v>
      </c>
      <c r="O1510" t="s">
        <v>4709</v>
      </c>
      <c r="R1510" t="s">
        <v>362</v>
      </c>
    </row>
    <row r="1511" spans="1:18" x14ac:dyDescent="0.15">
      <c r="A1511" t="s">
        <v>350</v>
      </c>
      <c r="B1511" s="61">
        <v>48488</v>
      </c>
      <c r="E1511" t="s">
        <v>355</v>
      </c>
      <c r="F1511" t="s">
        <v>385</v>
      </c>
      <c r="G1511" t="s">
        <v>354</v>
      </c>
      <c r="H1511" t="s">
        <v>353</v>
      </c>
      <c r="I1511">
        <v>801198</v>
      </c>
      <c r="J1511" t="s">
        <v>821</v>
      </c>
      <c r="K1511" t="s">
        <v>4706</v>
      </c>
      <c r="L1511" t="s">
        <v>4707</v>
      </c>
      <c r="N1511" t="s">
        <v>4708</v>
      </c>
      <c r="O1511" t="s">
        <v>4709</v>
      </c>
      <c r="R1511" t="s">
        <v>386</v>
      </c>
    </row>
    <row r="1512" spans="1:18" x14ac:dyDescent="0.15">
      <c r="A1512" t="s">
        <v>3177</v>
      </c>
      <c r="B1512" s="61">
        <v>46722</v>
      </c>
      <c r="E1512" t="s">
        <v>355</v>
      </c>
      <c r="F1512" t="s">
        <v>356</v>
      </c>
      <c r="G1512" t="s">
        <v>354</v>
      </c>
      <c r="H1512" t="s">
        <v>353</v>
      </c>
      <c r="I1512">
        <v>2702862</v>
      </c>
      <c r="J1512" t="s">
        <v>4710</v>
      </c>
      <c r="K1512" t="s">
        <v>4711</v>
      </c>
      <c r="L1512" t="s">
        <v>4712</v>
      </c>
      <c r="N1512" t="s">
        <v>4713</v>
      </c>
      <c r="O1512" t="s">
        <v>4714</v>
      </c>
      <c r="R1512" t="s">
        <v>362</v>
      </c>
    </row>
    <row r="1513" spans="1:18" x14ac:dyDescent="0.15">
      <c r="A1513" t="s">
        <v>3177</v>
      </c>
      <c r="B1513" s="61">
        <v>48183</v>
      </c>
      <c r="E1513" t="s">
        <v>355</v>
      </c>
      <c r="F1513" t="s">
        <v>385</v>
      </c>
      <c r="G1513" t="s">
        <v>354</v>
      </c>
      <c r="H1513" t="s">
        <v>353</v>
      </c>
      <c r="I1513">
        <v>2702862</v>
      </c>
      <c r="J1513" t="s">
        <v>4710</v>
      </c>
      <c r="K1513" t="s">
        <v>4711</v>
      </c>
      <c r="L1513" t="s">
        <v>4712</v>
      </c>
      <c r="N1513" t="s">
        <v>4713</v>
      </c>
      <c r="O1513" t="s">
        <v>4714</v>
      </c>
      <c r="R1513" t="s">
        <v>386</v>
      </c>
    </row>
    <row r="1514" spans="1:18" x14ac:dyDescent="0.15">
      <c r="A1514" t="s">
        <v>1297</v>
      </c>
      <c r="B1514" s="61">
        <v>46753</v>
      </c>
      <c r="E1514" t="s">
        <v>355</v>
      </c>
      <c r="F1514" t="s">
        <v>356</v>
      </c>
      <c r="G1514" t="s">
        <v>354</v>
      </c>
      <c r="H1514" t="s">
        <v>353</v>
      </c>
      <c r="I1514">
        <v>2400136</v>
      </c>
      <c r="J1514" t="s">
        <v>896</v>
      </c>
      <c r="K1514" t="s">
        <v>1265</v>
      </c>
      <c r="L1514" t="s">
        <v>4715</v>
      </c>
      <c r="N1514" t="s">
        <v>4716</v>
      </c>
      <c r="O1514" t="s">
        <v>4717</v>
      </c>
      <c r="R1514" t="s">
        <v>362</v>
      </c>
    </row>
    <row r="1515" spans="1:18" x14ac:dyDescent="0.15">
      <c r="A1515" t="s">
        <v>1297</v>
      </c>
      <c r="B1515" s="61">
        <v>48214</v>
      </c>
      <c r="E1515" t="s">
        <v>355</v>
      </c>
      <c r="F1515" t="s">
        <v>385</v>
      </c>
      <c r="G1515" t="s">
        <v>354</v>
      </c>
      <c r="H1515" t="s">
        <v>353</v>
      </c>
      <c r="I1515">
        <v>2400136</v>
      </c>
      <c r="J1515" t="s">
        <v>896</v>
      </c>
      <c r="K1515" t="s">
        <v>1265</v>
      </c>
      <c r="L1515" t="s">
        <v>4715</v>
      </c>
      <c r="N1515" t="s">
        <v>4716</v>
      </c>
      <c r="O1515" t="s">
        <v>4717</v>
      </c>
      <c r="R1515" t="s">
        <v>386</v>
      </c>
    </row>
    <row r="1516" spans="1:18" x14ac:dyDescent="0.15">
      <c r="A1516" t="s">
        <v>1145</v>
      </c>
      <c r="B1516" s="61">
        <v>46631</v>
      </c>
      <c r="E1516" t="s">
        <v>355</v>
      </c>
      <c r="F1516" t="s">
        <v>356</v>
      </c>
      <c r="G1516" t="s">
        <v>354</v>
      </c>
      <c r="H1516" t="s">
        <v>353</v>
      </c>
      <c r="I1516">
        <v>100882</v>
      </c>
      <c r="J1516" t="s">
        <v>4718</v>
      </c>
      <c r="K1516" t="s">
        <v>4719</v>
      </c>
      <c r="L1516" t="s">
        <v>4720</v>
      </c>
      <c r="N1516" t="s">
        <v>4721</v>
      </c>
      <c r="O1516" t="s">
        <v>4722</v>
      </c>
      <c r="R1516" t="s">
        <v>4723</v>
      </c>
    </row>
    <row r="1517" spans="1:18" x14ac:dyDescent="0.15">
      <c r="A1517" t="s">
        <v>1145</v>
      </c>
      <c r="B1517" s="61">
        <v>48092</v>
      </c>
      <c r="E1517" t="s">
        <v>355</v>
      </c>
      <c r="F1517" t="s">
        <v>385</v>
      </c>
      <c r="G1517" t="s">
        <v>354</v>
      </c>
      <c r="H1517" t="s">
        <v>353</v>
      </c>
      <c r="I1517">
        <v>100882</v>
      </c>
      <c r="J1517" t="s">
        <v>4718</v>
      </c>
      <c r="K1517" t="s">
        <v>4719</v>
      </c>
      <c r="L1517" t="s">
        <v>4720</v>
      </c>
      <c r="N1517" t="s">
        <v>4721</v>
      </c>
      <c r="O1517" t="s">
        <v>4722</v>
      </c>
      <c r="R1517" t="s">
        <v>4724</v>
      </c>
    </row>
    <row r="1518" spans="1:18" x14ac:dyDescent="0.15">
      <c r="A1518" t="s">
        <v>1435</v>
      </c>
      <c r="B1518" s="61">
        <v>46692</v>
      </c>
      <c r="E1518" t="s">
        <v>355</v>
      </c>
      <c r="F1518" t="s">
        <v>356</v>
      </c>
      <c r="G1518" t="s">
        <v>354</v>
      </c>
      <c r="H1518" t="s">
        <v>353</v>
      </c>
      <c r="I1518">
        <v>2501141</v>
      </c>
      <c r="J1518" t="s">
        <v>1449</v>
      </c>
      <c r="K1518" t="s">
        <v>1450</v>
      </c>
      <c r="L1518" t="s">
        <v>1451</v>
      </c>
      <c r="N1518" t="s">
        <v>4725</v>
      </c>
      <c r="O1518" t="s">
        <v>1453</v>
      </c>
      <c r="R1518" t="s">
        <v>4726</v>
      </c>
    </row>
    <row r="1519" spans="1:18" x14ac:dyDescent="0.15">
      <c r="A1519" t="s">
        <v>1435</v>
      </c>
      <c r="B1519" s="61">
        <v>48153</v>
      </c>
      <c r="E1519" t="s">
        <v>355</v>
      </c>
      <c r="F1519" t="s">
        <v>385</v>
      </c>
      <c r="G1519" t="s">
        <v>354</v>
      </c>
      <c r="H1519" t="s">
        <v>353</v>
      </c>
      <c r="I1519">
        <v>2501141</v>
      </c>
      <c r="J1519" t="s">
        <v>1449</v>
      </c>
      <c r="K1519" t="s">
        <v>1450</v>
      </c>
      <c r="L1519" t="s">
        <v>1451</v>
      </c>
      <c r="N1519" t="s">
        <v>4725</v>
      </c>
      <c r="O1519" t="s">
        <v>1453</v>
      </c>
      <c r="R1519" t="s">
        <v>4727</v>
      </c>
    </row>
    <row r="1520" spans="1:18" x14ac:dyDescent="0.15">
      <c r="A1520" t="s">
        <v>6766</v>
      </c>
      <c r="B1520" s="61">
        <v>46692</v>
      </c>
      <c r="E1520" t="s">
        <v>355</v>
      </c>
      <c r="F1520" t="s">
        <v>356</v>
      </c>
      <c r="G1520" t="s">
        <v>354</v>
      </c>
      <c r="H1520" t="s">
        <v>353</v>
      </c>
      <c r="I1520">
        <v>4100089</v>
      </c>
      <c r="J1520" t="s">
        <v>2886</v>
      </c>
      <c r="K1520" t="s">
        <v>2887</v>
      </c>
      <c r="L1520" t="s">
        <v>1769</v>
      </c>
      <c r="N1520" t="s">
        <v>4728</v>
      </c>
      <c r="O1520" t="s">
        <v>2889</v>
      </c>
      <c r="R1520" t="s">
        <v>4729</v>
      </c>
    </row>
    <row r="1521" spans="1:19" x14ac:dyDescent="0.15">
      <c r="A1521" t="s">
        <v>6766</v>
      </c>
      <c r="B1521" s="61">
        <v>48153</v>
      </c>
      <c r="E1521" t="s">
        <v>355</v>
      </c>
      <c r="F1521" t="s">
        <v>385</v>
      </c>
      <c r="G1521" t="s">
        <v>354</v>
      </c>
      <c r="H1521" t="s">
        <v>353</v>
      </c>
      <c r="I1521">
        <v>4100089</v>
      </c>
      <c r="J1521" t="s">
        <v>2886</v>
      </c>
      <c r="K1521" t="s">
        <v>2887</v>
      </c>
      <c r="L1521" t="s">
        <v>1769</v>
      </c>
      <c r="N1521" t="s">
        <v>4728</v>
      </c>
      <c r="O1521" t="s">
        <v>2889</v>
      </c>
      <c r="R1521" t="s">
        <v>4730</v>
      </c>
    </row>
    <row r="1522" spans="1:19" x14ac:dyDescent="0.15">
      <c r="A1522" t="s">
        <v>800</v>
      </c>
      <c r="B1522" s="61">
        <v>47058</v>
      </c>
      <c r="E1522" t="s">
        <v>355</v>
      </c>
      <c r="F1522" t="s">
        <v>356</v>
      </c>
      <c r="G1522" t="s">
        <v>354</v>
      </c>
      <c r="H1522" t="s">
        <v>353</v>
      </c>
      <c r="I1522">
        <v>4500156</v>
      </c>
      <c r="J1522" t="s">
        <v>1302</v>
      </c>
      <c r="K1522" t="s">
        <v>4731</v>
      </c>
      <c r="L1522" t="s">
        <v>4732</v>
      </c>
      <c r="N1522" t="s">
        <v>4733</v>
      </c>
      <c r="O1522" t="s">
        <v>4734</v>
      </c>
      <c r="R1522" t="s">
        <v>362</v>
      </c>
    </row>
    <row r="1523" spans="1:19" x14ac:dyDescent="0.15">
      <c r="A1523" t="s">
        <v>800</v>
      </c>
      <c r="B1523" s="61">
        <v>48519</v>
      </c>
      <c r="E1523" t="s">
        <v>355</v>
      </c>
      <c r="F1523" t="s">
        <v>385</v>
      </c>
      <c r="G1523" t="s">
        <v>354</v>
      </c>
      <c r="H1523" t="s">
        <v>353</v>
      </c>
      <c r="I1523">
        <v>4500156</v>
      </c>
      <c r="J1523" t="s">
        <v>1302</v>
      </c>
      <c r="K1523" t="s">
        <v>4731</v>
      </c>
      <c r="L1523" t="s">
        <v>4732</v>
      </c>
      <c r="N1523" t="s">
        <v>4733</v>
      </c>
      <c r="O1523" t="s">
        <v>4734</v>
      </c>
      <c r="R1523" t="s">
        <v>386</v>
      </c>
    </row>
    <row r="1524" spans="1:19" x14ac:dyDescent="0.15">
      <c r="A1524" t="s">
        <v>3177</v>
      </c>
      <c r="B1524" s="61">
        <v>46722</v>
      </c>
      <c r="E1524" t="s">
        <v>355</v>
      </c>
      <c r="F1524" t="s">
        <v>356</v>
      </c>
      <c r="G1524" t="s">
        <v>354</v>
      </c>
      <c r="H1524" t="s">
        <v>353</v>
      </c>
      <c r="I1524">
        <v>2702864</v>
      </c>
      <c r="J1524" t="s">
        <v>4710</v>
      </c>
      <c r="K1524" t="s">
        <v>4711</v>
      </c>
      <c r="L1524" t="s">
        <v>4735</v>
      </c>
      <c r="N1524" t="s">
        <v>4736</v>
      </c>
      <c r="O1524" t="s">
        <v>4737</v>
      </c>
      <c r="R1524" t="s">
        <v>362</v>
      </c>
    </row>
    <row r="1525" spans="1:19" x14ac:dyDescent="0.15">
      <c r="A1525" t="s">
        <v>3177</v>
      </c>
      <c r="B1525" s="61">
        <v>48183</v>
      </c>
      <c r="E1525" t="s">
        <v>355</v>
      </c>
      <c r="F1525" t="s">
        <v>385</v>
      </c>
      <c r="G1525" t="s">
        <v>354</v>
      </c>
      <c r="H1525" t="s">
        <v>353</v>
      </c>
      <c r="I1525">
        <v>2702864</v>
      </c>
      <c r="J1525" t="s">
        <v>4710</v>
      </c>
      <c r="K1525" t="s">
        <v>4711</v>
      </c>
      <c r="L1525" t="s">
        <v>4735</v>
      </c>
      <c r="N1525" t="s">
        <v>4736</v>
      </c>
      <c r="O1525" t="s">
        <v>4737</v>
      </c>
      <c r="R1525" t="s">
        <v>386</v>
      </c>
    </row>
    <row r="1526" spans="1:19" x14ac:dyDescent="0.15">
      <c r="A1526" t="s">
        <v>2027</v>
      </c>
      <c r="B1526" s="61">
        <v>46935</v>
      </c>
      <c r="E1526" t="s">
        <v>355</v>
      </c>
      <c r="F1526" t="s">
        <v>356</v>
      </c>
      <c r="G1526" t="s">
        <v>354</v>
      </c>
      <c r="H1526" t="s">
        <v>353</v>
      </c>
      <c r="I1526">
        <v>2801025</v>
      </c>
      <c r="J1526" t="s">
        <v>4738</v>
      </c>
      <c r="K1526" t="s">
        <v>4739</v>
      </c>
      <c r="L1526" t="s">
        <v>413</v>
      </c>
      <c r="N1526" t="s">
        <v>4740</v>
      </c>
      <c r="O1526" t="s">
        <v>4741</v>
      </c>
      <c r="R1526" t="s">
        <v>362</v>
      </c>
    </row>
    <row r="1527" spans="1:19" x14ac:dyDescent="0.15">
      <c r="A1527" t="s">
        <v>2027</v>
      </c>
      <c r="B1527" s="61">
        <v>48396</v>
      </c>
      <c r="E1527" t="s">
        <v>355</v>
      </c>
      <c r="F1527" t="s">
        <v>385</v>
      </c>
      <c r="G1527" t="s">
        <v>354</v>
      </c>
      <c r="H1527" t="s">
        <v>353</v>
      </c>
      <c r="I1527">
        <v>2801025</v>
      </c>
      <c r="J1527" t="s">
        <v>4738</v>
      </c>
      <c r="K1527" t="s">
        <v>4739</v>
      </c>
      <c r="L1527" t="s">
        <v>413</v>
      </c>
      <c r="N1527" t="s">
        <v>4740</v>
      </c>
      <c r="O1527" t="s">
        <v>4741</v>
      </c>
      <c r="R1527" t="s">
        <v>386</v>
      </c>
    </row>
    <row r="1528" spans="1:19" x14ac:dyDescent="0.15">
      <c r="A1528" t="s">
        <v>3297</v>
      </c>
      <c r="B1528" s="61">
        <v>47178</v>
      </c>
      <c r="E1528" t="s">
        <v>355</v>
      </c>
      <c r="F1528" t="s">
        <v>356</v>
      </c>
      <c r="G1528" t="s">
        <v>354</v>
      </c>
      <c r="H1528" t="s">
        <v>353</v>
      </c>
      <c r="I1528">
        <v>2801821</v>
      </c>
      <c r="J1528" t="s">
        <v>4742</v>
      </c>
      <c r="K1528" t="s">
        <v>4743</v>
      </c>
      <c r="L1528" t="s">
        <v>4744</v>
      </c>
      <c r="N1528" t="s">
        <v>4745</v>
      </c>
      <c r="O1528" t="s">
        <v>4746</v>
      </c>
      <c r="R1528" t="s">
        <v>362</v>
      </c>
    </row>
    <row r="1529" spans="1:19" x14ac:dyDescent="0.15">
      <c r="A1529" t="s">
        <v>3297</v>
      </c>
      <c r="B1529" s="61">
        <v>48639</v>
      </c>
      <c r="E1529" t="s">
        <v>355</v>
      </c>
      <c r="F1529" t="s">
        <v>385</v>
      </c>
      <c r="G1529" t="s">
        <v>354</v>
      </c>
      <c r="H1529" t="s">
        <v>353</v>
      </c>
      <c r="I1529">
        <v>2801821</v>
      </c>
      <c r="J1529" t="s">
        <v>4742</v>
      </c>
      <c r="K1529" t="s">
        <v>4743</v>
      </c>
      <c r="L1529" t="s">
        <v>4744</v>
      </c>
      <c r="N1529" t="s">
        <v>4745</v>
      </c>
      <c r="O1529" t="s">
        <v>4746</v>
      </c>
      <c r="R1529" t="s">
        <v>386</v>
      </c>
    </row>
    <row r="1530" spans="1:19" x14ac:dyDescent="0.15">
      <c r="A1530" t="s">
        <v>769</v>
      </c>
      <c r="B1530" s="61">
        <v>46997</v>
      </c>
      <c r="E1530" t="s">
        <v>355</v>
      </c>
      <c r="F1530" t="s">
        <v>356</v>
      </c>
      <c r="H1530" t="s">
        <v>365</v>
      </c>
      <c r="I1530">
        <v>1102005</v>
      </c>
      <c r="J1530" t="s">
        <v>775</v>
      </c>
      <c r="K1530" t="s">
        <v>776</v>
      </c>
      <c r="L1530" t="s">
        <v>4747</v>
      </c>
      <c r="N1530" t="s">
        <v>4748</v>
      </c>
      <c r="O1530" t="s">
        <v>4749</v>
      </c>
      <c r="R1530" t="s">
        <v>362</v>
      </c>
    </row>
    <row r="1531" spans="1:19" x14ac:dyDescent="0.15">
      <c r="A1531" t="s">
        <v>769</v>
      </c>
      <c r="B1531" s="61">
        <v>48458</v>
      </c>
      <c r="E1531" t="s">
        <v>355</v>
      </c>
      <c r="F1531" t="s">
        <v>385</v>
      </c>
      <c r="H1531" t="s">
        <v>365</v>
      </c>
      <c r="I1531">
        <v>1102005</v>
      </c>
      <c r="J1531" t="s">
        <v>775</v>
      </c>
      <c r="K1531" t="s">
        <v>776</v>
      </c>
      <c r="L1531" t="s">
        <v>4747</v>
      </c>
      <c r="N1531" t="s">
        <v>4748</v>
      </c>
      <c r="O1531" t="s">
        <v>4749</v>
      </c>
      <c r="R1531" t="s">
        <v>395</v>
      </c>
    </row>
    <row r="1532" spans="1:19" ht="256.5" x14ac:dyDescent="0.15">
      <c r="A1532" t="s">
        <v>3822</v>
      </c>
      <c r="B1532" s="61">
        <v>47150</v>
      </c>
      <c r="E1532" t="s">
        <v>355</v>
      </c>
      <c r="F1532" t="s">
        <v>356</v>
      </c>
      <c r="H1532" t="s">
        <v>365</v>
      </c>
      <c r="I1532">
        <v>1800198</v>
      </c>
      <c r="J1532" t="s">
        <v>3844</v>
      </c>
      <c r="K1532" t="s">
        <v>3845</v>
      </c>
      <c r="L1532" t="s">
        <v>4750</v>
      </c>
      <c r="N1532" t="s">
        <v>4751</v>
      </c>
      <c r="O1532" t="s">
        <v>3847</v>
      </c>
      <c r="R1532" t="s">
        <v>362</v>
      </c>
      <c r="S1532" s="34" t="s">
        <v>4752</v>
      </c>
    </row>
    <row r="1533" spans="1:19" ht="256.5" x14ac:dyDescent="0.15">
      <c r="A1533" t="s">
        <v>3822</v>
      </c>
      <c r="B1533" s="61">
        <v>48611</v>
      </c>
      <c r="E1533" t="s">
        <v>355</v>
      </c>
      <c r="F1533" t="s">
        <v>385</v>
      </c>
      <c r="H1533" t="s">
        <v>365</v>
      </c>
      <c r="I1533">
        <v>1800198</v>
      </c>
      <c r="J1533" t="s">
        <v>3844</v>
      </c>
      <c r="K1533" t="s">
        <v>3845</v>
      </c>
      <c r="L1533" t="s">
        <v>4750</v>
      </c>
      <c r="N1533" t="s">
        <v>4751</v>
      </c>
      <c r="O1533" t="s">
        <v>3847</v>
      </c>
      <c r="R1533" t="s">
        <v>395</v>
      </c>
      <c r="S1533" s="34" t="s">
        <v>4752</v>
      </c>
    </row>
    <row r="1534" spans="1:19" x14ac:dyDescent="0.15">
      <c r="A1534" t="s">
        <v>2993</v>
      </c>
      <c r="B1534" s="61">
        <v>46844</v>
      </c>
      <c r="E1534" t="s">
        <v>355</v>
      </c>
      <c r="F1534" t="s">
        <v>356</v>
      </c>
      <c r="H1534" t="s">
        <v>365</v>
      </c>
      <c r="I1534">
        <v>1301584</v>
      </c>
      <c r="J1534" t="s">
        <v>3001</v>
      </c>
      <c r="K1534" t="s">
        <v>2153</v>
      </c>
      <c r="L1534" t="s">
        <v>3002</v>
      </c>
      <c r="N1534" t="s">
        <v>4753</v>
      </c>
      <c r="O1534" t="s">
        <v>3003</v>
      </c>
      <c r="R1534" t="s">
        <v>362</v>
      </c>
    </row>
    <row r="1535" spans="1:19" x14ac:dyDescent="0.15">
      <c r="A1535" t="s">
        <v>2993</v>
      </c>
      <c r="B1535" s="61">
        <v>48305</v>
      </c>
      <c r="E1535" t="s">
        <v>355</v>
      </c>
      <c r="F1535" t="s">
        <v>385</v>
      </c>
      <c r="H1535" t="s">
        <v>365</v>
      </c>
      <c r="I1535">
        <v>1301584</v>
      </c>
      <c r="J1535" t="s">
        <v>3001</v>
      </c>
      <c r="K1535" t="s">
        <v>2153</v>
      </c>
      <c r="L1535" t="s">
        <v>3002</v>
      </c>
      <c r="N1535" t="s">
        <v>4753</v>
      </c>
      <c r="O1535" t="s">
        <v>3003</v>
      </c>
      <c r="R1535" t="s">
        <v>395</v>
      </c>
    </row>
    <row r="1536" spans="1:19" x14ac:dyDescent="0.15">
      <c r="A1536" t="s">
        <v>2993</v>
      </c>
      <c r="B1536" s="61">
        <v>46844</v>
      </c>
      <c r="E1536" t="s">
        <v>355</v>
      </c>
      <c r="F1536" t="s">
        <v>356</v>
      </c>
      <c r="H1536" t="s">
        <v>365</v>
      </c>
      <c r="I1536">
        <v>1301585</v>
      </c>
      <c r="J1536" t="s">
        <v>3001</v>
      </c>
      <c r="K1536" t="s">
        <v>2153</v>
      </c>
      <c r="L1536" t="s">
        <v>4754</v>
      </c>
      <c r="N1536" t="s">
        <v>4755</v>
      </c>
      <c r="O1536" t="s">
        <v>3004</v>
      </c>
      <c r="R1536" t="s">
        <v>362</v>
      </c>
    </row>
    <row r="1537" spans="1:18" x14ac:dyDescent="0.15">
      <c r="A1537" t="s">
        <v>2993</v>
      </c>
      <c r="B1537" s="61">
        <v>48305</v>
      </c>
      <c r="E1537" t="s">
        <v>355</v>
      </c>
      <c r="F1537" t="s">
        <v>385</v>
      </c>
      <c r="H1537" t="s">
        <v>365</v>
      </c>
      <c r="I1537">
        <v>1301585</v>
      </c>
      <c r="J1537" t="s">
        <v>3001</v>
      </c>
      <c r="K1537" t="s">
        <v>2153</v>
      </c>
      <c r="L1537" t="s">
        <v>4754</v>
      </c>
      <c r="N1537" t="s">
        <v>4755</v>
      </c>
      <c r="O1537" t="s">
        <v>3004</v>
      </c>
      <c r="R1537" t="s">
        <v>395</v>
      </c>
    </row>
    <row r="1538" spans="1:18" x14ac:dyDescent="0.15">
      <c r="A1538" t="s">
        <v>387</v>
      </c>
      <c r="B1538" s="61">
        <v>47178</v>
      </c>
      <c r="E1538" t="s">
        <v>355</v>
      </c>
      <c r="F1538" t="s">
        <v>356</v>
      </c>
      <c r="H1538" t="s">
        <v>365</v>
      </c>
      <c r="I1538">
        <v>801231</v>
      </c>
      <c r="J1538" t="s">
        <v>4756</v>
      </c>
      <c r="L1538" t="s">
        <v>4757</v>
      </c>
      <c r="N1538" t="s">
        <v>4758</v>
      </c>
      <c r="O1538" t="s">
        <v>4759</v>
      </c>
      <c r="R1538" t="s">
        <v>362</v>
      </c>
    </row>
    <row r="1539" spans="1:18" x14ac:dyDescent="0.15">
      <c r="A1539" t="s">
        <v>387</v>
      </c>
      <c r="B1539" s="61">
        <v>48639</v>
      </c>
      <c r="E1539" t="s">
        <v>355</v>
      </c>
      <c r="F1539" t="s">
        <v>385</v>
      </c>
      <c r="H1539" t="s">
        <v>365</v>
      </c>
      <c r="I1539">
        <v>801231</v>
      </c>
      <c r="J1539" t="s">
        <v>4756</v>
      </c>
      <c r="L1539" t="s">
        <v>4757</v>
      </c>
      <c r="N1539" t="s">
        <v>4758</v>
      </c>
      <c r="O1539" t="s">
        <v>4759</v>
      </c>
      <c r="R1539" t="s">
        <v>395</v>
      </c>
    </row>
    <row r="1540" spans="1:18" x14ac:dyDescent="0.15">
      <c r="A1540" t="s">
        <v>5612</v>
      </c>
      <c r="B1540" s="61">
        <v>46753</v>
      </c>
      <c r="E1540" t="s">
        <v>355</v>
      </c>
      <c r="F1540" t="s">
        <v>356</v>
      </c>
      <c r="H1540" t="s">
        <v>365</v>
      </c>
      <c r="I1540">
        <v>1101430</v>
      </c>
      <c r="J1540" t="s">
        <v>3562</v>
      </c>
      <c r="K1540" t="s">
        <v>3563</v>
      </c>
      <c r="L1540" t="s">
        <v>3564</v>
      </c>
      <c r="N1540" t="s">
        <v>4760</v>
      </c>
      <c r="O1540" t="s">
        <v>3566</v>
      </c>
      <c r="R1540" t="s">
        <v>362</v>
      </c>
    </row>
    <row r="1541" spans="1:18" x14ac:dyDescent="0.15">
      <c r="A1541" t="s">
        <v>5612</v>
      </c>
      <c r="B1541" s="61">
        <v>48214</v>
      </c>
      <c r="E1541" t="s">
        <v>355</v>
      </c>
      <c r="F1541" t="s">
        <v>385</v>
      </c>
      <c r="H1541" t="s">
        <v>365</v>
      </c>
      <c r="I1541">
        <v>1101430</v>
      </c>
      <c r="J1541" t="s">
        <v>3562</v>
      </c>
      <c r="K1541" t="s">
        <v>3563</v>
      </c>
      <c r="L1541" t="s">
        <v>3564</v>
      </c>
      <c r="N1541" t="s">
        <v>4760</v>
      </c>
      <c r="O1541" t="s">
        <v>3566</v>
      </c>
      <c r="R1541" t="s">
        <v>395</v>
      </c>
    </row>
    <row r="1542" spans="1:18" x14ac:dyDescent="0.15">
      <c r="A1542" t="s">
        <v>2404</v>
      </c>
      <c r="B1542" s="61">
        <v>47088</v>
      </c>
      <c r="E1542" t="s">
        <v>355</v>
      </c>
      <c r="F1542" t="s">
        <v>356</v>
      </c>
      <c r="H1542" t="s">
        <v>365</v>
      </c>
      <c r="I1542">
        <v>1101228</v>
      </c>
      <c r="J1542" t="s">
        <v>2405</v>
      </c>
      <c r="L1542" t="s">
        <v>390</v>
      </c>
      <c r="N1542" t="s">
        <v>4761</v>
      </c>
      <c r="O1542" t="s">
        <v>2406</v>
      </c>
      <c r="R1542" t="s">
        <v>362</v>
      </c>
    </row>
    <row r="1543" spans="1:18" x14ac:dyDescent="0.15">
      <c r="A1543" t="s">
        <v>2404</v>
      </c>
      <c r="B1543" s="61">
        <v>48549</v>
      </c>
      <c r="E1543" t="s">
        <v>355</v>
      </c>
      <c r="F1543" t="s">
        <v>385</v>
      </c>
      <c r="H1543" t="s">
        <v>365</v>
      </c>
      <c r="I1543">
        <v>1101228</v>
      </c>
      <c r="J1543" t="s">
        <v>2405</v>
      </c>
      <c r="L1543" t="s">
        <v>390</v>
      </c>
      <c r="N1543" t="s">
        <v>4761</v>
      </c>
      <c r="O1543" t="s">
        <v>2406</v>
      </c>
      <c r="R1543" t="s">
        <v>395</v>
      </c>
    </row>
    <row r="1544" spans="1:18" x14ac:dyDescent="0.15">
      <c r="A1544" t="s">
        <v>1354</v>
      </c>
      <c r="B1544" s="61">
        <v>46722</v>
      </c>
      <c r="E1544" t="s">
        <v>355</v>
      </c>
      <c r="F1544" t="s">
        <v>356</v>
      </c>
      <c r="H1544" t="s">
        <v>365</v>
      </c>
      <c r="I1544">
        <v>3100141</v>
      </c>
      <c r="J1544" t="s">
        <v>4309</v>
      </c>
      <c r="K1544" t="s">
        <v>4310</v>
      </c>
      <c r="L1544" t="s">
        <v>390</v>
      </c>
      <c r="N1544" t="s">
        <v>4762</v>
      </c>
      <c r="O1544" t="s">
        <v>4312</v>
      </c>
      <c r="R1544" t="s">
        <v>362</v>
      </c>
    </row>
    <row r="1545" spans="1:18" x14ac:dyDescent="0.15">
      <c r="A1545" t="s">
        <v>1354</v>
      </c>
      <c r="B1545" s="61">
        <v>48183</v>
      </c>
      <c r="E1545" t="s">
        <v>355</v>
      </c>
      <c r="F1545" t="s">
        <v>385</v>
      </c>
      <c r="H1545" t="s">
        <v>365</v>
      </c>
      <c r="I1545">
        <v>3100141</v>
      </c>
      <c r="J1545" t="s">
        <v>4309</v>
      </c>
      <c r="K1545" t="s">
        <v>4310</v>
      </c>
      <c r="L1545" t="s">
        <v>390</v>
      </c>
      <c r="N1545" t="s">
        <v>4762</v>
      </c>
      <c r="O1545" t="s">
        <v>4312</v>
      </c>
      <c r="R1545" t="s">
        <v>395</v>
      </c>
    </row>
    <row r="1546" spans="1:18" x14ac:dyDescent="0.15">
      <c r="A1546" t="s">
        <v>3089</v>
      </c>
      <c r="B1546" s="61">
        <v>47119</v>
      </c>
      <c r="E1546" t="s">
        <v>355</v>
      </c>
      <c r="F1546" t="s">
        <v>356</v>
      </c>
      <c r="H1546" t="s">
        <v>365</v>
      </c>
      <c r="I1546">
        <v>900682</v>
      </c>
      <c r="J1546" t="s">
        <v>3159</v>
      </c>
      <c r="L1546" t="s">
        <v>390</v>
      </c>
      <c r="N1546" t="s">
        <v>4763</v>
      </c>
      <c r="O1546" t="s">
        <v>3161</v>
      </c>
      <c r="R1546" t="s">
        <v>362</v>
      </c>
    </row>
    <row r="1547" spans="1:18" x14ac:dyDescent="0.15">
      <c r="A1547" t="s">
        <v>3089</v>
      </c>
      <c r="B1547" s="61">
        <v>48580</v>
      </c>
      <c r="E1547" t="s">
        <v>355</v>
      </c>
      <c r="F1547" t="s">
        <v>385</v>
      </c>
      <c r="H1547" t="s">
        <v>365</v>
      </c>
      <c r="I1547">
        <v>900682</v>
      </c>
      <c r="J1547" t="s">
        <v>3159</v>
      </c>
      <c r="L1547" t="s">
        <v>390</v>
      </c>
      <c r="N1547" t="s">
        <v>4763</v>
      </c>
      <c r="O1547" t="s">
        <v>3161</v>
      </c>
      <c r="R1547" t="s">
        <v>395</v>
      </c>
    </row>
    <row r="1548" spans="1:18" x14ac:dyDescent="0.15">
      <c r="A1548" t="s">
        <v>3297</v>
      </c>
      <c r="B1548" s="61">
        <v>47119</v>
      </c>
      <c r="E1548" t="s">
        <v>355</v>
      </c>
      <c r="F1548" t="s">
        <v>356</v>
      </c>
      <c r="H1548" t="s">
        <v>365</v>
      </c>
      <c r="I1548">
        <v>2800647</v>
      </c>
      <c r="J1548" t="s">
        <v>3343</v>
      </c>
      <c r="K1548" t="s">
        <v>4764</v>
      </c>
      <c r="L1548" t="s">
        <v>4765</v>
      </c>
      <c r="N1548" t="s">
        <v>4766</v>
      </c>
      <c r="O1548" t="s">
        <v>4767</v>
      </c>
      <c r="R1548" t="s">
        <v>362</v>
      </c>
    </row>
    <row r="1549" spans="1:18" x14ac:dyDescent="0.15">
      <c r="A1549" t="s">
        <v>3297</v>
      </c>
      <c r="B1549" s="61">
        <v>48580</v>
      </c>
      <c r="E1549" t="s">
        <v>355</v>
      </c>
      <c r="F1549" t="s">
        <v>385</v>
      </c>
      <c r="H1549" t="s">
        <v>365</v>
      </c>
      <c r="I1549">
        <v>2800647</v>
      </c>
      <c r="J1549" t="s">
        <v>3343</v>
      </c>
      <c r="K1549" t="s">
        <v>4764</v>
      </c>
      <c r="L1549" t="s">
        <v>4765</v>
      </c>
      <c r="N1549" t="s">
        <v>4766</v>
      </c>
      <c r="O1549" t="s">
        <v>4767</v>
      </c>
      <c r="R1549" t="s">
        <v>395</v>
      </c>
    </row>
    <row r="1550" spans="1:18" x14ac:dyDescent="0.15">
      <c r="A1550" t="s">
        <v>2027</v>
      </c>
      <c r="B1550" s="61">
        <v>46569</v>
      </c>
      <c r="E1550" t="s">
        <v>355</v>
      </c>
      <c r="F1550" t="s">
        <v>356</v>
      </c>
      <c r="H1550" t="s">
        <v>365</v>
      </c>
      <c r="I1550">
        <v>2600525</v>
      </c>
      <c r="J1550" t="s">
        <v>4507</v>
      </c>
      <c r="K1550" t="s">
        <v>4508</v>
      </c>
      <c r="L1550" t="s">
        <v>4323</v>
      </c>
      <c r="N1550" t="s">
        <v>4509</v>
      </c>
      <c r="O1550" t="s">
        <v>4510</v>
      </c>
      <c r="R1550" t="s">
        <v>362</v>
      </c>
    </row>
    <row r="1551" spans="1:18" x14ac:dyDescent="0.15">
      <c r="A1551" t="s">
        <v>2027</v>
      </c>
      <c r="B1551" s="61">
        <v>48030</v>
      </c>
      <c r="E1551" t="s">
        <v>355</v>
      </c>
      <c r="F1551" t="s">
        <v>385</v>
      </c>
      <c r="H1551" t="s">
        <v>365</v>
      </c>
      <c r="I1551">
        <v>2600525</v>
      </c>
      <c r="J1551" t="s">
        <v>4507</v>
      </c>
      <c r="K1551" t="s">
        <v>4508</v>
      </c>
      <c r="L1551" t="s">
        <v>4323</v>
      </c>
      <c r="N1551" t="s">
        <v>4509</v>
      </c>
      <c r="O1551" t="s">
        <v>4510</v>
      </c>
      <c r="R1551" t="s">
        <v>395</v>
      </c>
    </row>
    <row r="1552" spans="1:18" x14ac:dyDescent="0.15">
      <c r="A1552" t="s">
        <v>2027</v>
      </c>
      <c r="B1552" s="61">
        <v>46600</v>
      </c>
      <c r="E1552" t="s">
        <v>355</v>
      </c>
      <c r="F1552" t="s">
        <v>356</v>
      </c>
      <c r="H1552" t="s">
        <v>365</v>
      </c>
      <c r="I1552">
        <v>2600526</v>
      </c>
      <c r="J1552" t="s">
        <v>4507</v>
      </c>
      <c r="K1552" t="s">
        <v>4508</v>
      </c>
      <c r="L1552" t="s">
        <v>2082</v>
      </c>
      <c r="N1552" t="s">
        <v>4768</v>
      </c>
      <c r="O1552" t="s">
        <v>4769</v>
      </c>
      <c r="R1552" t="s">
        <v>362</v>
      </c>
    </row>
    <row r="1553" spans="1:19" x14ac:dyDescent="0.15">
      <c r="A1553" t="s">
        <v>2027</v>
      </c>
      <c r="B1553" s="61">
        <v>48061</v>
      </c>
      <c r="E1553" t="s">
        <v>355</v>
      </c>
      <c r="F1553" t="s">
        <v>385</v>
      </c>
      <c r="H1553" t="s">
        <v>365</v>
      </c>
      <c r="I1553">
        <v>2600526</v>
      </c>
      <c r="J1553" t="s">
        <v>4507</v>
      </c>
      <c r="K1553" t="s">
        <v>4508</v>
      </c>
      <c r="L1553" t="s">
        <v>2082</v>
      </c>
      <c r="N1553" t="s">
        <v>4768</v>
      </c>
      <c r="O1553" t="s">
        <v>4769</v>
      </c>
      <c r="R1553" t="s">
        <v>395</v>
      </c>
    </row>
    <row r="1554" spans="1:19" x14ac:dyDescent="0.15">
      <c r="A1554" t="s">
        <v>350</v>
      </c>
      <c r="B1554" s="61">
        <v>47119</v>
      </c>
      <c r="E1554" t="s">
        <v>355</v>
      </c>
      <c r="F1554" t="s">
        <v>356</v>
      </c>
      <c r="H1554" t="s">
        <v>365</v>
      </c>
      <c r="I1554">
        <v>801437</v>
      </c>
      <c r="J1554" t="s">
        <v>4770</v>
      </c>
      <c r="K1554" t="s">
        <v>389</v>
      </c>
      <c r="L1554" t="s">
        <v>4771</v>
      </c>
      <c r="N1554" t="s">
        <v>4772</v>
      </c>
      <c r="O1554" t="s">
        <v>4773</v>
      </c>
      <c r="R1554" t="s">
        <v>362</v>
      </c>
    </row>
    <row r="1555" spans="1:19" x14ac:dyDescent="0.15">
      <c r="A1555" t="s">
        <v>350</v>
      </c>
      <c r="B1555" s="61">
        <v>48580</v>
      </c>
      <c r="E1555" t="s">
        <v>355</v>
      </c>
      <c r="F1555" t="s">
        <v>385</v>
      </c>
      <c r="H1555" t="s">
        <v>365</v>
      </c>
      <c r="I1555">
        <v>801437</v>
      </c>
      <c r="J1555" t="s">
        <v>4770</v>
      </c>
      <c r="K1555" t="s">
        <v>389</v>
      </c>
      <c r="L1555" t="s">
        <v>4771</v>
      </c>
      <c r="N1555" t="s">
        <v>4772</v>
      </c>
      <c r="O1555" t="s">
        <v>4773</v>
      </c>
      <c r="R1555" t="s">
        <v>395</v>
      </c>
    </row>
    <row r="1556" spans="1:19" ht="229.5" x14ac:dyDescent="0.15">
      <c r="A1556" t="s">
        <v>2534</v>
      </c>
      <c r="B1556" s="61">
        <v>46174</v>
      </c>
      <c r="E1556" t="s">
        <v>355</v>
      </c>
      <c r="F1556" t="s">
        <v>351</v>
      </c>
      <c r="H1556" t="s">
        <v>353</v>
      </c>
      <c r="I1556">
        <v>2702415</v>
      </c>
      <c r="J1556" t="s">
        <v>4682</v>
      </c>
      <c r="L1556" t="s">
        <v>2617</v>
      </c>
      <c r="N1556" t="s">
        <v>4683</v>
      </c>
      <c r="O1556" t="s">
        <v>4684</v>
      </c>
      <c r="S1556" s="34" t="s">
        <v>5359</v>
      </c>
    </row>
    <row r="1557" spans="1:19" ht="409.5" x14ac:dyDescent="0.15">
      <c r="A1557" t="s">
        <v>1145</v>
      </c>
      <c r="B1557" s="61">
        <v>46204</v>
      </c>
      <c r="E1557" t="s">
        <v>355</v>
      </c>
      <c r="F1557" t="s">
        <v>351</v>
      </c>
      <c r="G1557" t="s">
        <v>354</v>
      </c>
      <c r="H1557" t="s">
        <v>686</v>
      </c>
      <c r="I1557">
        <v>100882</v>
      </c>
      <c r="J1557" t="s">
        <v>4718</v>
      </c>
      <c r="K1557" t="s">
        <v>4719</v>
      </c>
      <c r="L1557" t="s">
        <v>4720</v>
      </c>
      <c r="N1557">
        <v>2176272</v>
      </c>
      <c r="O1557" t="s">
        <v>4722</v>
      </c>
      <c r="S1557" s="34" t="s">
        <v>4778</v>
      </c>
    </row>
    <row r="1558" spans="1:19" ht="378" x14ac:dyDescent="0.15">
      <c r="A1558" t="s">
        <v>2771</v>
      </c>
      <c r="B1558" s="61">
        <v>46204</v>
      </c>
      <c r="E1558" t="s">
        <v>355</v>
      </c>
      <c r="F1558" t="s">
        <v>351</v>
      </c>
      <c r="H1558" t="s">
        <v>353</v>
      </c>
      <c r="I1558">
        <v>2100505</v>
      </c>
      <c r="J1558" t="s">
        <v>4697</v>
      </c>
      <c r="K1558" t="s">
        <v>4698</v>
      </c>
      <c r="L1558" t="s">
        <v>4699</v>
      </c>
      <c r="N1558" t="s">
        <v>4700</v>
      </c>
      <c r="O1558" t="s">
        <v>4701</v>
      </c>
      <c r="S1558" s="34" t="s">
        <v>5360</v>
      </c>
    </row>
    <row r="1559" spans="1:19" ht="409.5" x14ac:dyDescent="0.15">
      <c r="A1559" t="s">
        <v>1297</v>
      </c>
      <c r="B1559" s="61">
        <v>46631</v>
      </c>
      <c r="E1559" t="s">
        <v>355</v>
      </c>
      <c r="F1559" t="s">
        <v>356</v>
      </c>
      <c r="H1559" t="s">
        <v>365</v>
      </c>
      <c r="I1559">
        <v>2400922</v>
      </c>
      <c r="J1559" t="s">
        <v>1314</v>
      </c>
      <c r="K1559" t="s">
        <v>1315</v>
      </c>
      <c r="L1559" t="s">
        <v>373</v>
      </c>
      <c r="N1559" t="s">
        <v>4779</v>
      </c>
      <c r="O1559" t="s">
        <v>1318</v>
      </c>
      <c r="R1559" t="s">
        <v>362</v>
      </c>
      <c r="S1559" s="34" t="s">
        <v>4780</v>
      </c>
    </row>
    <row r="1560" spans="1:19" ht="409.5" x14ac:dyDescent="0.15">
      <c r="A1560" t="s">
        <v>1297</v>
      </c>
      <c r="B1560" s="61">
        <v>48092</v>
      </c>
      <c r="E1560" t="s">
        <v>355</v>
      </c>
      <c r="F1560" t="s">
        <v>385</v>
      </c>
      <c r="H1560" t="s">
        <v>365</v>
      </c>
      <c r="I1560">
        <v>2400922</v>
      </c>
      <c r="J1560" t="s">
        <v>1314</v>
      </c>
      <c r="K1560" t="s">
        <v>1315</v>
      </c>
      <c r="L1560" t="s">
        <v>373</v>
      </c>
      <c r="N1560" t="s">
        <v>4779</v>
      </c>
      <c r="O1560" t="s">
        <v>1318</v>
      </c>
      <c r="R1560" t="s">
        <v>395</v>
      </c>
      <c r="S1560" s="34" t="s">
        <v>4780</v>
      </c>
    </row>
    <row r="1561" spans="1:19" ht="409.5" x14ac:dyDescent="0.15">
      <c r="A1561" t="s">
        <v>1297</v>
      </c>
      <c r="B1561" s="61">
        <v>46631</v>
      </c>
      <c r="E1561" t="s">
        <v>355</v>
      </c>
      <c r="F1561" t="s">
        <v>356</v>
      </c>
      <c r="H1561" t="s">
        <v>365</v>
      </c>
      <c r="I1561">
        <v>2400922</v>
      </c>
      <c r="J1561" t="s">
        <v>1314</v>
      </c>
      <c r="K1561" t="s">
        <v>1315</v>
      </c>
      <c r="L1561" t="s">
        <v>4781</v>
      </c>
      <c r="N1561" t="s">
        <v>4782</v>
      </c>
      <c r="O1561" t="s">
        <v>1318</v>
      </c>
      <c r="R1561" t="s">
        <v>4783</v>
      </c>
      <c r="S1561" s="34" t="s">
        <v>4784</v>
      </c>
    </row>
    <row r="1562" spans="1:19" ht="409.5" x14ac:dyDescent="0.15">
      <c r="A1562" t="s">
        <v>1297</v>
      </c>
      <c r="B1562" s="61">
        <v>48092</v>
      </c>
      <c r="E1562" t="s">
        <v>355</v>
      </c>
      <c r="F1562" t="s">
        <v>385</v>
      </c>
      <c r="H1562" t="s">
        <v>365</v>
      </c>
      <c r="I1562">
        <v>2400922</v>
      </c>
      <c r="J1562" t="s">
        <v>1314</v>
      </c>
      <c r="K1562" t="s">
        <v>1315</v>
      </c>
      <c r="L1562" t="s">
        <v>4781</v>
      </c>
      <c r="N1562" t="s">
        <v>4782</v>
      </c>
      <c r="O1562" t="s">
        <v>1318</v>
      </c>
      <c r="R1562" t="s">
        <v>4785</v>
      </c>
      <c r="S1562" s="34" t="s">
        <v>4784</v>
      </c>
    </row>
    <row r="1563" spans="1:19" ht="229.5" x14ac:dyDescent="0.15">
      <c r="A1563" t="s">
        <v>1297</v>
      </c>
      <c r="B1563" s="61">
        <v>46204</v>
      </c>
      <c r="E1563" t="s">
        <v>355</v>
      </c>
      <c r="F1563" t="s">
        <v>351</v>
      </c>
      <c r="G1563" t="s">
        <v>354</v>
      </c>
      <c r="H1563" t="s">
        <v>353</v>
      </c>
      <c r="I1563">
        <v>2400543</v>
      </c>
      <c r="J1563" t="s">
        <v>2735</v>
      </c>
      <c r="K1563" t="s">
        <v>4642</v>
      </c>
      <c r="L1563" t="s">
        <v>413</v>
      </c>
      <c r="N1563" t="s">
        <v>4786</v>
      </c>
      <c r="O1563" t="s">
        <v>4643</v>
      </c>
      <c r="R1563" t="s">
        <v>4318</v>
      </c>
      <c r="S1563" s="34" t="s">
        <v>5361</v>
      </c>
    </row>
    <row r="1564" spans="1:19" ht="409.5" x14ac:dyDescent="0.15">
      <c r="A1564" t="s">
        <v>1359</v>
      </c>
      <c r="B1564" s="61">
        <v>46174</v>
      </c>
      <c r="E1564" t="s">
        <v>355</v>
      </c>
      <c r="F1564" t="s">
        <v>351</v>
      </c>
      <c r="G1564" t="s">
        <v>354</v>
      </c>
      <c r="H1564" t="s">
        <v>309</v>
      </c>
      <c r="I1564">
        <v>3500228</v>
      </c>
      <c r="J1564" t="s">
        <v>1362</v>
      </c>
      <c r="K1564" t="s">
        <v>1363</v>
      </c>
      <c r="L1564" t="s">
        <v>1364</v>
      </c>
      <c r="N1564" t="s">
        <v>5173</v>
      </c>
      <c r="O1564" t="s">
        <v>1365</v>
      </c>
      <c r="R1564" t="s">
        <v>4320</v>
      </c>
      <c r="S1564" s="34" t="s">
        <v>5174</v>
      </c>
    </row>
    <row r="1565" spans="1:19" ht="409.5" x14ac:dyDescent="0.15">
      <c r="A1565" t="s">
        <v>1359</v>
      </c>
      <c r="B1565" s="61">
        <v>46174</v>
      </c>
      <c r="E1565" t="s">
        <v>355</v>
      </c>
      <c r="F1565" t="s">
        <v>351</v>
      </c>
      <c r="G1565" t="s">
        <v>354</v>
      </c>
      <c r="H1565" t="s">
        <v>353</v>
      </c>
      <c r="I1565">
        <v>3500228</v>
      </c>
      <c r="J1565" t="s">
        <v>1362</v>
      </c>
      <c r="K1565" t="s">
        <v>1363</v>
      </c>
      <c r="L1565" t="s">
        <v>1364</v>
      </c>
      <c r="N1565" t="s">
        <v>4787</v>
      </c>
      <c r="O1565" t="s">
        <v>1365</v>
      </c>
      <c r="R1565" t="s">
        <v>4320</v>
      </c>
      <c r="S1565" s="34" t="s">
        <v>5362</v>
      </c>
    </row>
    <row r="1566" spans="1:19" ht="310.5" x14ac:dyDescent="0.15">
      <c r="A1566" t="s">
        <v>1359</v>
      </c>
      <c r="B1566" s="61">
        <v>46174</v>
      </c>
      <c r="E1566" t="s">
        <v>355</v>
      </c>
      <c r="F1566" t="s">
        <v>351</v>
      </c>
      <c r="G1566" t="s">
        <v>354</v>
      </c>
      <c r="H1566" t="s">
        <v>686</v>
      </c>
      <c r="I1566">
        <v>3500228</v>
      </c>
      <c r="J1566" t="s">
        <v>1362</v>
      </c>
      <c r="K1566" t="s">
        <v>1363</v>
      </c>
      <c r="L1566" t="s">
        <v>1364</v>
      </c>
      <c r="N1566">
        <v>2177163</v>
      </c>
      <c r="O1566" t="s">
        <v>1365</v>
      </c>
      <c r="S1566" s="34" t="s">
        <v>5363</v>
      </c>
    </row>
    <row r="1567" spans="1:19" ht="409.5" x14ac:dyDescent="0.15">
      <c r="A1567" t="s">
        <v>5394</v>
      </c>
      <c r="B1567" s="61">
        <v>46174</v>
      </c>
      <c r="E1567" t="s">
        <v>355</v>
      </c>
      <c r="F1567" t="s">
        <v>351</v>
      </c>
      <c r="G1567" t="s">
        <v>354</v>
      </c>
      <c r="H1567" t="s">
        <v>353</v>
      </c>
      <c r="I1567">
        <v>1402906</v>
      </c>
      <c r="J1567" t="s">
        <v>4789</v>
      </c>
      <c r="K1567" t="s">
        <v>4790</v>
      </c>
      <c r="L1567" t="s">
        <v>4791</v>
      </c>
      <c r="N1567" t="s">
        <v>4792</v>
      </c>
      <c r="O1567" t="s">
        <v>4793</v>
      </c>
      <c r="R1567" t="s">
        <v>4318</v>
      </c>
      <c r="S1567" s="34" t="s">
        <v>5364</v>
      </c>
    </row>
    <row r="1568" spans="1:19" ht="409.5" x14ac:dyDescent="0.15">
      <c r="A1568" t="s">
        <v>6766</v>
      </c>
      <c r="B1568" s="61">
        <v>46113</v>
      </c>
      <c r="E1568" t="s">
        <v>355</v>
      </c>
      <c r="F1568" t="s">
        <v>351</v>
      </c>
      <c r="G1568" t="s">
        <v>354</v>
      </c>
      <c r="H1568" t="s">
        <v>353</v>
      </c>
      <c r="I1568">
        <v>4300355</v>
      </c>
      <c r="J1568" t="s">
        <v>2184</v>
      </c>
      <c r="K1568" t="s">
        <v>4126</v>
      </c>
      <c r="L1568" t="s">
        <v>4794</v>
      </c>
      <c r="N1568" t="s">
        <v>4795</v>
      </c>
      <c r="O1568" t="s">
        <v>4796</v>
      </c>
      <c r="R1568" t="s">
        <v>4318</v>
      </c>
      <c r="S1568" s="34" t="s">
        <v>4797</v>
      </c>
    </row>
    <row r="1569" spans="1:19" ht="324" x14ac:dyDescent="0.15">
      <c r="A1569" t="s">
        <v>3483</v>
      </c>
      <c r="B1569" s="61">
        <v>46174</v>
      </c>
      <c r="E1569" t="s">
        <v>355</v>
      </c>
      <c r="F1569" t="s">
        <v>351</v>
      </c>
      <c r="G1569" t="s">
        <v>354</v>
      </c>
      <c r="H1569" t="s">
        <v>353</v>
      </c>
      <c r="I1569">
        <v>2303858</v>
      </c>
      <c r="J1569" t="s">
        <v>4798</v>
      </c>
      <c r="K1569" t="s">
        <v>3496</v>
      </c>
      <c r="L1569" t="s">
        <v>4799</v>
      </c>
      <c r="N1569" t="s">
        <v>4800</v>
      </c>
      <c r="O1569" t="s">
        <v>4801</v>
      </c>
      <c r="R1569" t="s">
        <v>4318</v>
      </c>
      <c r="S1569" s="34" t="s">
        <v>5365</v>
      </c>
    </row>
    <row r="1570" spans="1:19" x14ac:dyDescent="0.15">
      <c r="A1570" t="s">
        <v>1524</v>
      </c>
      <c r="B1570" s="61">
        <v>46600</v>
      </c>
      <c r="E1570" t="s">
        <v>355</v>
      </c>
      <c r="F1570" t="s">
        <v>356</v>
      </c>
      <c r="H1570" t="s">
        <v>353</v>
      </c>
      <c r="I1570">
        <v>2501111</v>
      </c>
      <c r="J1570" t="s">
        <v>1460</v>
      </c>
      <c r="K1570" t="s">
        <v>1558</v>
      </c>
      <c r="L1570" t="s">
        <v>1566</v>
      </c>
      <c r="N1570" t="s">
        <v>4788</v>
      </c>
      <c r="O1570" t="s">
        <v>1568</v>
      </c>
      <c r="R1570" t="s">
        <v>362</v>
      </c>
    </row>
    <row r="1571" spans="1:19" x14ac:dyDescent="0.15">
      <c r="A1571" t="s">
        <v>1524</v>
      </c>
      <c r="B1571" s="61">
        <v>48061</v>
      </c>
      <c r="E1571" t="s">
        <v>355</v>
      </c>
      <c r="F1571" t="s">
        <v>385</v>
      </c>
      <c r="H1571" t="s">
        <v>353</v>
      </c>
      <c r="I1571">
        <v>2501111</v>
      </c>
      <c r="J1571" t="s">
        <v>1460</v>
      </c>
      <c r="K1571" t="s">
        <v>1558</v>
      </c>
      <c r="L1571" t="s">
        <v>1566</v>
      </c>
      <c r="N1571" t="s">
        <v>4788</v>
      </c>
      <c r="O1571" t="s">
        <v>1568</v>
      </c>
      <c r="R1571" t="s">
        <v>386</v>
      </c>
    </row>
    <row r="1572" spans="1:19" x14ac:dyDescent="0.15">
      <c r="A1572" t="s">
        <v>5394</v>
      </c>
      <c r="B1572" s="61">
        <v>46966</v>
      </c>
      <c r="E1572" t="s">
        <v>355</v>
      </c>
      <c r="F1572" t="s">
        <v>356</v>
      </c>
      <c r="H1572" t="s">
        <v>353</v>
      </c>
      <c r="I1572">
        <v>1402906</v>
      </c>
      <c r="J1572" t="s">
        <v>4789</v>
      </c>
      <c r="K1572" t="s">
        <v>4790</v>
      </c>
      <c r="L1572" t="s">
        <v>4791</v>
      </c>
      <c r="N1572" t="s">
        <v>4802</v>
      </c>
      <c r="O1572" t="s">
        <v>4793</v>
      </c>
      <c r="R1572" t="s">
        <v>362</v>
      </c>
    </row>
    <row r="1573" spans="1:19" x14ac:dyDescent="0.15">
      <c r="A1573" t="s">
        <v>5394</v>
      </c>
      <c r="B1573" s="61">
        <v>48427</v>
      </c>
      <c r="E1573" t="s">
        <v>355</v>
      </c>
      <c r="F1573" t="s">
        <v>385</v>
      </c>
      <c r="H1573" t="s">
        <v>353</v>
      </c>
      <c r="I1573">
        <v>1402906</v>
      </c>
      <c r="J1573" t="s">
        <v>4789</v>
      </c>
      <c r="K1573" t="s">
        <v>4790</v>
      </c>
      <c r="L1573" t="s">
        <v>4791</v>
      </c>
      <c r="N1573" t="s">
        <v>4802</v>
      </c>
      <c r="O1573" t="s">
        <v>4793</v>
      </c>
      <c r="R1573" t="s">
        <v>386</v>
      </c>
    </row>
    <row r="1574" spans="1:19" x14ac:dyDescent="0.15">
      <c r="A1574" t="s">
        <v>2456</v>
      </c>
      <c r="B1574" s="61">
        <v>46905</v>
      </c>
      <c r="E1574" t="s">
        <v>355</v>
      </c>
      <c r="F1574" t="s">
        <v>356</v>
      </c>
      <c r="H1574" t="s">
        <v>353</v>
      </c>
      <c r="I1574">
        <v>2201827</v>
      </c>
      <c r="J1574" t="s">
        <v>4803</v>
      </c>
      <c r="K1574" t="s">
        <v>4804</v>
      </c>
      <c r="L1574" t="s">
        <v>4805</v>
      </c>
      <c r="N1574" t="s">
        <v>4806</v>
      </c>
      <c r="O1574" t="s">
        <v>4807</v>
      </c>
      <c r="R1574" t="s">
        <v>362</v>
      </c>
    </row>
    <row r="1575" spans="1:19" x14ac:dyDescent="0.15">
      <c r="A1575" t="s">
        <v>2456</v>
      </c>
      <c r="B1575" s="61">
        <v>48366</v>
      </c>
      <c r="E1575" t="s">
        <v>355</v>
      </c>
      <c r="F1575" t="s">
        <v>385</v>
      </c>
      <c r="H1575" t="s">
        <v>353</v>
      </c>
      <c r="I1575">
        <v>2201827</v>
      </c>
      <c r="J1575" t="s">
        <v>4803</v>
      </c>
      <c r="K1575" t="s">
        <v>4804</v>
      </c>
      <c r="L1575" t="s">
        <v>4805</v>
      </c>
      <c r="N1575" t="s">
        <v>4806</v>
      </c>
      <c r="O1575" t="s">
        <v>4807</v>
      </c>
      <c r="R1575" t="s">
        <v>386</v>
      </c>
    </row>
    <row r="1576" spans="1:19" x14ac:dyDescent="0.15">
      <c r="A1576" t="s">
        <v>3684</v>
      </c>
      <c r="B1576" s="61">
        <v>46692</v>
      </c>
      <c r="E1576" t="s">
        <v>355</v>
      </c>
      <c r="F1576" t="s">
        <v>356</v>
      </c>
      <c r="H1576" t="s">
        <v>353</v>
      </c>
      <c r="I1576">
        <v>2700124</v>
      </c>
      <c r="J1576" t="s">
        <v>4808</v>
      </c>
      <c r="L1576" t="s">
        <v>413</v>
      </c>
      <c r="N1576" t="s">
        <v>4809</v>
      </c>
      <c r="O1576" t="s">
        <v>4810</v>
      </c>
      <c r="R1576" t="s">
        <v>362</v>
      </c>
    </row>
    <row r="1577" spans="1:19" x14ac:dyDescent="0.15">
      <c r="A1577" t="s">
        <v>3684</v>
      </c>
      <c r="B1577" s="61">
        <v>48153</v>
      </c>
      <c r="E1577" t="s">
        <v>355</v>
      </c>
      <c r="F1577" t="s">
        <v>385</v>
      </c>
      <c r="H1577" t="s">
        <v>353</v>
      </c>
      <c r="I1577">
        <v>2700124</v>
      </c>
      <c r="J1577" t="s">
        <v>4808</v>
      </c>
      <c r="L1577" t="s">
        <v>413</v>
      </c>
      <c r="N1577" t="s">
        <v>4809</v>
      </c>
      <c r="O1577" t="s">
        <v>4810</v>
      </c>
      <c r="R1577" t="s">
        <v>386</v>
      </c>
    </row>
    <row r="1578" spans="1:19" x14ac:dyDescent="0.15">
      <c r="A1578" t="s">
        <v>1993</v>
      </c>
      <c r="B1578" s="61">
        <v>46661</v>
      </c>
      <c r="E1578" t="s">
        <v>355</v>
      </c>
      <c r="F1578" t="s">
        <v>356</v>
      </c>
      <c r="H1578" t="s">
        <v>353</v>
      </c>
      <c r="I1578">
        <v>500044</v>
      </c>
      <c r="J1578" t="s">
        <v>1070</v>
      </c>
      <c r="K1578" t="s">
        <v>4811</v>
      </c>
      <c r="L1578" t="s">
        <v>373</v>
      </c>
      <c r="N1578" t="s">
        <v>4812</v>
      </c>
      <c r="O1578" t="s">
        <v>4813</v>
      </c>
      <c r="R1578" t="s">
        <v>362</v>
      </c>
    </row>
    <row r="1579" spans="1:19" x14ac:dyDescent="0.15">
      <c r="A1579" t="s">
        <v>1993</v>
      </c>
      <c r="B1579" s="61">
        <v>48122</v>
      </c>
      <c r="E1579" t="s">
        <v>355</v>
      </c>
      <c r="F1579" t="s">
        <v>385</v>
      </c>
      <c r="H1579" t="s">
        <v>353</v>
      </c>
      <c r="I1579">
        <v>500044</v>
      </c>
      <c r="J1579" t="s">
        <v>1070</v>
      </c>
      <c r="K1579" t="s">
        <v>4811</v>
      </c>
      <c r="L1579" t="s">
        <v>373</v>
      </c>
      <c r="N1579" t="s">
        <v>4812</v>
      </c>
      <c r="O1579" t="s">
        <v>4813</v>
      </c>
      <c r="R1579" t="s">
        <v>386</v>
      </c>
    </row>
    <row r="1580" spans="1:19" x14ac:dyDescent="0.15">
      <c r="A1580" t="s">
        <v>1993</v>
      </c>
      <c r="B1580" s="61">
        <v>46661</v>
      </c>
      <c r="E1580" t="s">
        <v>355</v>
      </c>
      <c r="F1580" t="s">
        <v>356</v>
      </c>
      <c r="H1580" t="s">
        <v>353</v>
      </c>
      <c r="I1580">
        <v>500026</v>
      </c>
      <c r="J1580" t="s">
        <v>1070</v>
      </c>
      <c r="K1580" t="s">
        <v>4814</v>
      </c>
      <c r="L1580" t="s">
        <v>692</v>
      </c>
      <c r="N1580" t="s">
        <v>4815</v>
      </c>
      <c r="O1580" t="s">
        <v>4816</v>
      </c>
      <c r="R1580" t="s">
        <v>362</v>
      </c>
    </row>
    <row r="1581" spans="1:19" x14ac:dyDescent="0.15">
      <c r="A1581" t="s">
        <v>1993</v>
      </c>
      <c r="B1581" s="61">
        <v>48122</v>
      </c>
      <c r="E1581" t="s">
        <v>355</v>
      </c>
      <c r="F1581" t="s">
        <v>385</v>
      </c>
      <c r="H1581" t="s">
        <v>353</v>
      </c>
      <c r="I1581">
        <v>500026</v>
      </c>
      <c r="J1581" t="s">
        <v>1070</v>
      </c>
      <c r="K1581" t="s">
        <v>4814</v>
      </c>
      <c r="L1581" t="s">
        <v>692</v>
      </c>
      <c r="N1581" t="s">
        <v>4815</v>
      </c>
      <c r="O1581" t="s">
        <v>4816</v>
      </c>
      <c r="R1581" t="s">
        <v>386</v>
      </c>
    </row>
    <row r="1582" spans="1:19" ht="202.5" x14ac:dyDescent="0.15">
      <c r="A1582" t="s">
        <v>914</v>
      </c>
      <c r="B1582" s="61">
        <v>46296</v>
      </c>
      <c r="E1582" t="s">
        <v>355</v>
      </c>
      <c r="F1582" t="s">
        <v>356</v>
      </c>
      <c r="H1582" t="s">
        <v>353</v>
      </c>
      <c r="I1582">
        <v>700003</v>
      </c>
      <c r="J1582" t="s">
        <v>4817</v>
      </c>
      <c r="K1582" t="s">
        <v>926</v>
      </c>
      <c r="L1582" t="s">
        <v>2308</v>
      </c>
      <c r="N1582" t="s">
        <v>4818</v>
      </c>
      <c r="O1582" t="s">
        <v>4819</v>
      </c>
      <c r="R1582" t="s">
        <v>362</v>
      </c>
      <c r="S1582" s="34" t="s">
        <v>4820</v>
      </c>
    </row>
    <row r="1583" spans="1:19" ht="202.5" x14ac:dyDescent="0.15">
      <c r="A1583" t="s">
        <v>914</v>
      </c>
      <c r="B1583" s="61">
        <v>47757</v>
      </c>
      <c r="E1583" t="s">
        <v>355</v>
      </c>
      <c r="F1583" t="s">
        <v>385</v>
      </c>
      <c r="H1583" t="s">
        <v>353</v>
      </c>
      <c r="I1583">
        <v>700003</v>
      </c>
      <c r="J1583" t="s">
        <v>4817</v>
      </c>
      <c r="K1583" t="s">
        <v>926</v>
      </c>
      <c r="L1583" t="s">
        <v>2308</v>
      </c>
      <c r="N1583" t="s">
        <v>4818</v>
      </c>
      <c r="O1583" t="s">
        <v>4819</v>
      </c>
      <c r="R1583" t="s">
        <v>386</v>
      </c>
      <c r="S1583" s="34" t="s">
        <v>4820</v>
      </c>
    </row>
    <row r="1584" spans="1:19" x14ac:dyDescent="0.15">
      <c r="A1584" t="s">
        <v>1297</v>
      </c>
      <c r="B1584" s="61">
        <v>46722</v>
      </c>
      <c r="E1584" t="s">
        <v>355</v>
      </c>
      <c r="F1584" t="s">
        <v>356</v>
      </c>
      <c r="H1584" t="s">
        <v>353</v>
      </c>
      <c r="I1584">
        <v>2400543</v>
      </c>
      <c r="J1584" t="s">
        <v>2735</v>
      </c>
      <c r="K1584" t="s">
        <v>4642</v>
      </c>
      <c r="L1584" t="s">
        <v>413</v>
      </c>
      <c r="N1584" t="s">
        <v>4786</v>
      </c>
      <c r="O1584" t="s">
        <v>4643</v>
      </c>
      <c r="R1584" t="s">
        <v>362</v>
      </c>
    </row>
    <row r="1585" spans="1:18" x14ac:dyDescent="0.15">
      <c r="A1585" t="s">
        <v>1297</v>
      </c>
      <c r="B1585" s="61">
        <v>48183</v>
      </c>
      <c r="E1585" t="s">
        <v>355</v>
      </c>
      <c r="F1585" t="s">
        <v>385</v>
      </c>
      <c r="H1585" t="s">
        <v>353</v>
      </c>
      <c r="I1585">
        <v>2400543</v>
      </c>
      <c r="J1585" t="s">
        <v>2735</v>
      </c>
      <c r="K1585" t="s">
        <v>4642</v>
      </c>
      <c r="L1585" t="s">
        <v>413</v>
      </c>
      <c r="N1585" t="s">
        <v>4786</v>
      </c>
      <c r="O1585" t="s">
        <v>4643</v>
      </c>
      <c r="R1585" t="s">
        <v>386</v>
      </c>
    </row>
    <row r="1586" spans="1:18" x14ac:dyDescent="0.15">
      <c r="A1586" t="s">
        <v>2255</v>
      </c>
      <c r="B1586" s="61">
        <v>46997</v>
      </c>
      <c r="E1586" t="s">
        <v>355</v>
      </c>
      <c r="F1586" t="s">
        <v>356</v>
      </c>
      <c r="H1586" t="s">
        <v>353</v>
      </c>
      <c r="I1586">
        <v>1102593</v>
      </c>
      <c r="J1586" t="s">
        <v>2417</v>
      </c>
      <c r="K1586" t="s">
        <v>2268</v>
      </c>
      <c r="L1586" t="s">
        <v>4821</v>
      </c>
      <c r="N1586" t="s">
        <v>4822</v>
      </c>
      <c r="O1586" t="s">
        <v>4823</v>
      </c>
      <c r="R1586" t="s">
        <v>362</v>
      </c>
    </row>
    <row r="1587" spans="1:18" x14ac:dyDescent="0.15">
      <c r="A1587" t="s">
        <v>2255</v>
      </c>
      <c r="B1587" s="61">
        <v>48458</v>
      </c>
      <c r="E1587" t="s">
        <v>355</v>
      </c>
      <c r="F1587" t="s">
        <v>385</v>
      </c>
      <c r="H1587" t="s">
        <v>353</v>
      </c>
      <c r="I1587">
        <v>1102593</v>
      </c>
      <c r="J1587" t="s">
        <v>2417</v>
      </c>
      <c r="K1587" t="s">
        <v>2268</v>
      </c>
      <c r="L1587" t="s">
        <v>4821</v>
      </c>
      <c r="N1587" t="s">
        <v>4822</v>
      </c>
      <c r="O1587" t="s">
        <v>4823</v>
      </c>
      <c r="R1587" t="s">
        <v>386</v>
      </c>
    </row>
    <row r="1588" spans="1:18" x14ac:dyDescent="0.15">
      <c r="A1588" t="s">
        <v>3226</v>
      </c>
      <c r="B1588" s="61">
        <v>47027</v>
      </c>
      <c r="E1588" t="s">
        <v>355</v>
      </c>
      <c r="F1588" t="s">
        <v>356</v>
      </c>
      <c r="H1588" t="s">
        <v>353</v>
      </c>
      <c r="I1588">
        <v>2303870</v>
      </c>
      <c r="J1588" t="s">
        <v>4824</v>
      </c>
      <c r="L1588" t="s">
        <v>4825</v>
      </c>
      <c r="N1588" t="s">
        <v>4826</v>
      </c>
      <c r="O1588" t="s">
        <v>4827</v>
      </c>
      <c r="R1588" t="s">
        <v>362</v>
      </c>
    </row>
    <row r="1589" spans="1:18" x14ac:dyDescent="0.15">
      <c r="A1589" t="s">
        <v>3226</v>
      </c>
      <c r="B1589" s="61">
        <v>48488</v>
      </c>
      <c r="E1589" t="s">
        <v>355</v>
      </c>
      <c r="F1589" t="s">
        <v>385</v>
      </c>
      <c r="H1589" t="s">
        <v>353</v>
      </c>
      <c r="I1589">
        <v>2303870</v>
      </c>
      <c r="J1589" t="s">
        <v>4824</v>
      </c>
      <c r="L1589" t="s">
        <v>4825</v>
      </c>
      <c r="N1589" t="s">
        <v>4826</v>
      </c>
      <c r="O1589" t="s">
        <v>4827</v>
      </c>
      <c r="R1589" t="s">
        <v>386</v>
      </c>
    </row>
    <row r="1590" spans="1:18" x14ac:dyDescent="0.15">
      <c r="A1590" t="s">
        <v>1359</v>
      </c>
      <c r="B1590" s="61">
        <v>47058</v>
      </c>
      <c r="E1590" t="s">
        <v>355</v>
      </c>
      <c r="F1590" t="s">
        <v>356</v>
      </c>
      <c r="H1590" t="s">
        <v>353</v>
      </c>
      <c r="I1590">
        <v>3500228</v>
      </c>
      <c r="J1590" t="s">
        <v>1362</v>
      </c>
      <c r="K1590" t="s">
        <v>1363</v>
      </c>
      <c r="L1590" t="s">
        <v>1364</v>
      </c>
      <c r="N1590" t="s">
        <v>4787</v>
      </c>
      <c r="O1590" t="s">
        <v>1365</v>
      </c>
      <c r="R1590" t="s">
        <v>362</v>
      </c>
    </row>
    <row r="1591" spans="1:18" x14ac:dyDescent="0.15">
      <c r="A1591" t="s">
        <v>1359</v>
      </c>
      <c r="B1591" s="61">
        <v>48519</v>
      </c>
      <c r="E1591" t="s">
        <v>355</v>
      </c>
      <c r="F1591" t="s">
        <v>385</v>
      </c>
      <c r="H1591" t="s">
        <v>353</v>
      </c>
      <c r="I1591">
        <v>3500228</v>
      </c>
      <c r="J1591" t="s">
        <v>1362</v>
      </c>
      <c r="K1591" t="s">
        <v>1363</v>
      </c>
      <c r="L1591" t="s">
        <v>1364</v>
      </c>
      <c r="N1591" t="s">
        <v>4787</v>
      </c>
      <c r="O1591" t="s">
        <v>1365</v>
      </c>
      <c r="R1591" t="s">
        <v>386</v>
      </c>
    </row>
    <row r="1592" spans="1:18" x14ac:dyDescent="0.15">
      <c r="A1592" t="s">
        <v>1715</v>
      </c>
      <c r="B1592" s="61">
        <v>47088</v>
      </c>
      <c r="E1592" t="s">
        <v>355</v>
      </c>
      <c r="F1592" t="s">
        <v>356</v>
      </c>
      <c r="H1592" t="s">
        <v>365</v>
      </c>
      <c r="I1592">
        <v>1500748</v>
      </c>
      <c r="J1592" t="s">
        <v>1716</v>
      </c>
      <c r="K1592" t="s">
        <v>1717</v>
      </c>
      <c r="L1592" t="s">
        <v>1718</v>
      </c>
      <c r="N1592" t="s">
        <v>4828</v>
      </c>
      <c r="O1592" t="s">
        <v>1719</v>
      </c>
      <c r="R1592" t="s">
        <v>362</v>
      </c>
    </row>
    <row r="1593" spans="1:18" x14ac:dyDescent="0.15">
      <c r="A1593" t="s">
        <v>1715</v>
      </c>
      <c r="B1593" s="61">
        <v>48549</v>
      </c>
      <c r="E1593" t="s">
        <v>355</v>
      </c>
      <c r="F1593" t="s">
        <v>385</v>
      </c>
      <c r="H1593" t="s">
        <v>365</v>
      </c>
      <c r="I1593">
        <v>1500748</v>
      </c>
      <c r="J1593" t="s">
        <v>1716</v>
      </c>
      <c r="K1593" t="s">
        <v>1717</v>
      </c>
      <c r="L1593" t="s">
        <v>1718</v>
      </c>
      <c r="N1593" t="s">
        <v>4828</v>
      </c>
      <c r="O1593" t="s">
        <v>1719</v>
      </c>
      <c r="R1593" t="s">
        <v>395</v>
      </c>
    </row>
    <row r="1594" spans="1:18" x14ac:dyDescent="0.15">
      <c r="A1594" t="s">
        <v>2096</v>
      </c>
      <c r="B1594" s="61">
        <v>47088</v>
      </c>
      <c r="E1594" t="s">
        <v>355</v>
      </c>
      <c r="F1594" t="s">
        <v>356</v>
      </c>
      <c r="H1594" t="s">
        <v>365</v>
      </c>
      <c r="I1594">
        <v>600170</v>
      </c>
      <c r="J1594" t="s">
        <v>4829</v>
      </c>
      <c r="K1594" t="s">
        <v>4830</v>
      </c>
      <c r="L1594" t="s">
        <v>390</v>
      </c>
      <c r="N1594" t="s">
        <v>4831</v>
      </c>
      <c r="O1594" t="s">
        <v>4832</v>
      </c>
      <c r="R1594" t="s">
        <v>362</v>
      </c>
    </row>
    <row r="1595" spans="1:18" x14ac:dyDescent="0.15">
      <c r="A1595" t="s">
        <v>2096</v>
      </c>
      <c r="B1595" s="61">
        <v>48549</v>
      </c>
      <c r="E1595" t="s">
        <v>355</v>
      </c>
      <c r="F1595" t="s">
        <v>385</v>
      </c>
      <c r="H1595" t="s">
        <v>365</v>
      </c>
      <c r="I1595">
        <v>600170</v>
      </c>
      <c r="J1595" t="s">
        <v>4829</v>
      </c>
      <c r="K1595" t="s">
        <v>4830</v>
      </c>
      <c r="L1595" t="s">
        <v>390</v>
      </c>
      <c r="N1595" t="s">
        <v>4831</v>
      </c>
      <c r="O1595" t="s">
        <v>4832</v>
      </c>
      <c r="R1595" t="s">
        <v>395</v>
      </c>
    </row>
    <row r="1596" spans="1:18" x14ac:dyDescent="0.15">
      <c r="A1596" t="s">
        <v>6766</v>
      </c>
      <c r="B1596" s="61">
        <v>46784</v>
      </c>
      <c r="E1596" t="s">
        <v>355</v>
      </c>
      <c r="F1596" t="s">
        <v>356</v>
      </c>
      <c r="H1596" t="s">
        <v>365</v>
      </c>
      <c r="I1596">
        <v>4000971</v>
      </c>
      <c r="J1596" t="s">
        <v>4833</v>
      </c>
      <c r="K1596" t="s">
        <v>4834</v>
      </c>
      <c r="L1596" t="s">
        <v>3356</v>
      </c>
      <c r="N1596" t="s">
        <v>4835</v>
      </c>
      <c r="O1596" t="s">
        <v>4836</v>
      </c>
      <c r="R1596" t="s">
        <v>362</v>
      </c>
    </row>
    <row r="1597" spans="1:18" x14ac:dyDescent="0.15">
      <c r="A1597" t="s">
        <v>6766</v>
      </c>
      <c r="B1597" s="61">
        <v>48245</v>
      </c>
      <c r="E1597" t="s">
        <v>355</v>
      </c>
      <c r="F1597" t="s">
        <v>385</v>
      </c>
      <c r="H1597" t="s">
        <v>365</v>
      </c>
      <c r="I1597">
        <v>4000971</v>
      </c>
      <c r="J1597" t="s">
        <v>4833</v>
      </c>
      <c r="K1597" t="s">
        <v>4834</v>
      </c>
      <c r="L1597" t="s">
        <v>3356</v>
      </c>
      <c r="N1597" t="s">
        <v>4835</v>
      </c>
      <c r="O1597" t="s">
        <v>4836</v>
      </c>
      <c r="R1597" t="s">
        <v>395</v>
      </c>
    </row>
    <row r="1598" spans="1:18" x14ac:dyDescent="0.15">
      <c r="A1598" t="s">
        <v>5393</v>
      </c>
      <c r="B1598" s="61">
        <v>47239</v>
      </c>
      <c r="E1598" t="s">
        <v>355</v>
      </c>
      <c r="F1598" t="s">
        <v>356</v>
      </c>
      <c r="H1598" t="s">
        <v>365</v>
      </c>
      <c r="I1598">
        <v>1201422</v>
      </c>
      <c r="J1598" t="s">
        <v>4837</v>
      </c>
      <c r="K1598" t="s">
        <v>4838</v>
      </c>
      <c r="L1598" t="s">
        <v>1114</v>
      </c>
      <c r="N1598" t="s">
        <v>4839</v>
      </c>
      <c r="O1598" t="s">
        <v>4840</v>
      </c>
      <c r="R1598" t="s">
        <v>362</v>
      </c>
    </row>
    <row r="1599" spans="1:18" x14ac:dyDescent="0.15">
      <c r="A1599" t="s">
        <v>5393</v>
      </c>
      <c r="B1599" s="61">
        <v>48700</v>
      </c>
      <c r="E1599" t="s">
        <v>355</v>
      </c>
      <c r="F1599" t="s">
        <v>385</v>
      </c>
      <c r="H1599" t="s">
        <v>365</v>
      </c>
      <c r="I1599">
        <v>1201422</v>
      </c>
      <c r="J1599" t="s">
        <v>4837</v>
      </c>
      <c r="K1599" t="s">
        <v>4838</v>
      </c>
      <c r="L1599" t="s">
        <v>1114</v>
      </c>
      <c r="N1599" t="s">
        <v>4839</v>
      </c>
      <c r="O1599" t="s">
        <v>4840</v>
      </c>
      <c r="R1599" t="s">
        <v>395</v>
      </c>
    </row>
    <row r="1600" spans="1:18" x14ac:dyDescent="0.15">
      <c r="A1600" t="s">
        <v>2597</v>
      </c>
      <c r="B1600" s="61">
        <v>46813</v>
      </c>
      <c r="E1600" t="s">
        <v>355</v>
      </c>
      <c r="F1600" t="s">
        <v>356</v>
      </c>
      <c r="H1600" t="s">
        <v>365</v>
      </c>
      <c r="I1600">
        <v>2702414</v>
      </c>
      <c r="J1600" t="s">
        <v>3933</v>
      </c>
      <c r="K1600" t="s">
        <v>4841</v>
      </c>
      <c r="L1600" t="s">
        <v>4842</v>
      </c>
      <c r="N1600" t="s">
        <v>4843</v>
      </c>
      <c r="O1600" t="s">
        <v>4844</v>
      </c>
      <c r="R1600" t="s">
        <v>362</v>
      </c>
    </row>
    <row r="1601" spans="1:18" x14ac:dyDescent="0.15">
      <c r="A1601" t="s">
        <v>2597</v>
      </c>
      <c r="B1601" s="61">
        <v>48274</v>
      </c>
      <c r="E1601" t="s">
        <v>355</v>
      </c>
      <c r="F1601" t="s">
        <v>385</v>
      </c>
      <c r="H1601" t="s">
        <v>365</v>
      </c>
      <c r="I1601">
        <v>2702414</v>
      </c>
      <c r="J1601" t="s">
        <v>3933</v>
      </c>
      <c r="K1601" t="s">
        <v>4841</v>
      </c>
      <c r="L1601" t="s">
        <v>4842</v>
      </c>
      <c r="N1601" t="s">
        <v>4843</v>
      </c>
      <c r="O1601" t="s">
        <v>4844</v>
      </c>
      <c r="R1601" t="s">
        <v>395</v>
      </c>
    </row>
    <row r="1602" spans="1:18" x14ac:dyDescent="0.15">
      <c r="A1602" t="s">
        <v>1860</v>
      </c>
      <c r="B1602" s="61">
        <v>46966</v>
      </c>
      <c r="E1602" t="s">
        <v>355</v>
      </c>
      <c r="F1602" t="s">
        <v>356</v>
      </c>
      <c r="H1602" t="s">
        <v>365</v>
      </c>
      <c r="I1602">
        <v>800433</v>
      </c>
      <c r="J1602" t="s">
        <v>4845</v>
      </c>
      <c r="K1602" t="s">
        <v>4846</v>
      </c>
      <c r="L1602" t="s">
        <v>4847</v>
      </c>
      <c r="N1602" t="s">
        <v>4848</v>
      </c>
      <c r="O1602" t="s">
        <v>4849</v>
      </c>
      <c r="R1602" t="s">
        <v>362</v>
      </c>
    </row>
    <row r="1603" spans="1:18" x14ac:dyDescent="0.15">
      <c r="A1603" t="s">
        <v>1860</v>
      </c>
      <c r="B1603" s="61">
        <v>48427</v>
      </c>
      <c r="E1603" t="s">
        <v>355</v>
      </c>
      <c r="F1603" t="s">
        <v>385</v>
      </c>
      <c r="H1603" t="s">
        <v>365</v>
      </c>
      <c r="I1603">
        <v>800433</v>
      </c>
      <c r="J1603" t="s">
        <v>4845</v>
      </c>
      <c r="K1603" t="s">
        <v>4846</v>
      </c>
      <c r="L1603" t="s">
        <v>4847</v>
      </c>
      <c r="N1603" t="s">
        <v>4848</v>
      </c>
      <c r="O1603" t="s">
        <v>4849</v>
      </c>
      <c r="R1603" t="s">
        <v>395</v>
      </c>
    </row>
    <row r="1604" spans="1:18" x14ac:dyDescent="0.15">
      <c r="A1604" t="s">
        <v>914</v>
      </c>
      <c r="B1604" s="61">
        <v>47331</v>
      </c>
      <c r="E1604" t="s">
        <v>355</v>
      </c>
      <c r="F1604" t="s">
        <v>356</v>
      </c>
      <c r="H1604" t="s">
        <v>353</v>
      </c>
      <c r="I1604">
        <v>700345</v>
      </c>
      <c r="J1604" t="s">
        <v>921</v>
      </c>
      <c r="K1604" t="s">
        <v>915</v>
      </c>
      <c r="L1604" t="s">
        <v>373</v>
      </c>
      <c r="N1604" t="s">
        <v>4850</v>
      </c>
      <c r="O1604" t="s">
        <v>922</v>
      </c>
      <c r="R1604" t="s">
        <v>362</v>
      </c>
    </row>
    <row r="1605" spans="1:18" x14ac:dyDescent="0.15">
      <c r="A1605" t="s">
        <v>914</v>
      </c>
      <c r="B1605" s="61">
        <v>48792</v>
      </c>
      <c r="E1605" t="s">
        <v>355</v>
      </c>
      <c r="F1605" t="s">
        <v>385</v>
      </c>
      <c r="H1605" t="s">
        <v>353</v>
      </c>
      <c r="I1605">
        <v>700345</v>
      </c>
      <c r="J1605" t="s">
        <v>921</v>
      </c>
      <c r="K1605" t="s">
        <v>915</v>
      </c>
      <c r="L1605" t="s">
        <v>373</v>
      </c>
      <c r="N1605" t="s">
        <v>4850</v>
      </c>
      <c r="O1605" t="s">
        <v>922</v>
      </c>
      <c r="R1605" t="s">
        <v>386</v>
      </c>
    </row>
    <row r="1606" spans="1:18" x14ac:dyDescent="0.15">
      <c r="A1606" t="s">
        <v>1435</v>
      </c>
      <c r="B1606" s="61">
        <v>46966</v>
      </c>
      <c r="E1606" t="s">
        <v>355</v>
      </c>
      <c r="F1606" t="s">
        <v>356</v>
      </c>
      <c r="H1606" t="s">
        <v>353</v>
      </c>
      <c r="I1606">
        <v>2501145</v>
      </c>
      <c r="J1606" t="s">
        <v>4851</v>
      </c>
      <c r="K1606" t="s">
        <v>4852</v>
      </c>
      <c r="L1606" t="s">
        <v>4853</v>
      </c>
      <c r="N1606" t="s">
        <v>4854</v>
      </c>
      <c r="O1606" t="s">
        <v>4855</v>
      </c>
      <c r="R1606" t="s">
        <v>362</v>
      </c>
    </row>
    <row r="1607" spans="1:18" x14ac:dyDescent="0.15">
      <c r="A1607" t="s">
        <v>1435</v>
      </c>
      <c r="B1607" s="61">
        <v>48427</v>
      </c>
      <c r="E1607" t="s">
        <v>355</v>
      </c>
      <c r="F1607" t="s">
        <v>385</v>
      </c>
      <c r="H1607" t="s">
        <v>353</v>
      </c>
      <c r="I1607">
        <v>2501145</v>
      </c>
      <c r="J1607" t="s">
        <v>4851</v>
      </c>
      <c r="K1607" t="s">
        <v>4852</v>
      </c>
      <c r="L1607" t="s">
        <v>4853</v>
      </c>
      <c r="N1607" t="s">
        <v>4854</v>
      </c>
      <c r="O1607" t="s">
        <v>4855</v>
      </c>
      <c r="R1607" t="s">
        <v>386</v>
      </c>
    </row>
    <row r="1608" spans="1:18" x14ac:dyDescent="0.15">
      <c r="A1608" t="s">
        <v>1062</v>
      </c>
      <c r="B1608" s="61">
        <v>47300</v>
      </c>
      <c r="E1608" t="s">
        <v>355</v>
      </c>
      <c r="F1608" t="s">
        <v>356</v>
      </c>
      <c r="H1608" t="s">
        <v>353</v>
      </c>
      <c r="I1608">
        <v>3400948</v>
      </c>
      <c r="J1608" t="s">
        <v>4856</v>
      </c>
      <c r="K1608" t="s">
        <v>4857</v>
      </c>
      <c r="L1608" t="s">
        <v>390</v>
      </c>
      <c r="N1608" t="s">
        <v>4858</v>
      </c>
      <c r="O1608" t="s">
        <v>4859</v>
      </c>
      <c r="R1608" t="s">
        <v>362</v>
      </c>
    </row>
    <row r="1609" spans="1:18" x14ac:dyDescent="0.15">
      <c r="A1609" t="s">
        <v>1062</v>
      </c>
      <c r="B1609" s="61">
        <v>48761</v>
      </c>
      <c r="E1609" t="s">
        <v>355</v>
      </c>
      <c r="F1609" t="s">
        <v>385</v>
      </c>
      <c r="H1609" t="s">
        <v>353</v>
      </c>
      <c r="I1609">
        <v>3400948</v>
      </c>
      <c r="J1609" t="s">
        <v>4856</v>
      </c>
      <c r="K1609" t="s">
        <v>4857</v>
      </c>
      <c r="L1609" t="s">
        <v>390</v>
      </c>
      <c r="N1609" t="s">
        <v>4858</v>
      </c>
      <c r="O1609" t="s">
        <v>4859</v>
      </c>
      <c r="R1609" t="s">
        <v>386</v>
      </c>
    </row>
    <row r="1610" spans="1:18" x14ac:dyDescent="0.15">
      <c r="A1610" t="s">
        <v>3617</v>
      </c>
      <c r="B1610" s="61">
        <v>47027</v>
      </c>
      <c r="E1610" t="s">
        <v>355</v>
      </c>
      <c r="F1610" t="s">
        <v>356</v>
      </c>
      <c r="H1610" t="s">
        <v>353</v>
      </c>
      <c r="I1610">
        <v>4000505</v>
      </c>
      <c r="J1610" t="s">
        <v>3676</v>
      </c>
      <c r="K1610" t="s">
        <v>3677</v>
      </c>
      <c r="L1610" t="s">
        <v>1718</v>
      </c>
      <c r="N1610" t="s">
        <v>4860</v>
      </c>
      <c r="O1610" t="s">
        <v>3678</v>
      </c>
      <c r="R1610" t="s">
        <v>362</v>
      </c>
    </row>
    <row r="1611" spans="1:18" x14ac:dyDescent="0.15">
      <c r="A1611" t="s">
        <v>3617</v>
      </c>
      <c r="B1611" s="61">
        <v>48488</v>
      </c>
      <c r="E1611" t="s">
        <v>355</v>
      </c>
      <c r="F1611" t="s">
        <v>385</v>
      </c>
      <c r="H1611" t="s">
        <v>353</v>
      </c>
      <c r="I1611">
        <v>4000505</v>
      </c>
      <c r="J1611" t="s">
        <v>3676</v>
      </c>
      <c r="K1611" t="s">
        <v>3677</v>
      </c>
      <c r="L1611" t="s">
        <v>1718</v>
      </c>
      <c r="N1611" t="s">
        <v>4860</v>
      </c>
      <c r="O1611" t="s">
        <v>3678</v>
      </c>
      <c r="R1611" t="s">
        <v>386</v>
      </c>
    </row>
    <row r="1612" spans="1:18" x14ac:dyDescent="0.15">
      <c r="A1612" t="s">
        <v>3822</v>
      </c>
      <c r="B1612" s="61">
        <v>47088</v>
      </c>
      <c r="E1612" t="s">
        <v>355</v>
      </c>
      <c r="F1612" t="s">
        <v>356</v>
      </c>
      <c r="H1612" t="s">
        <v>353</v>
      </c>
      <c r="I1612">
        <v>1700473</v>
      </c>
      <c r="J1612" t="s">
        <v>3839</v>
      </c>
      <c r="K1612" t="s">
        <v>1023</v>
      </c>
      <c r="L1612" t="s">
        <v>3840</v>
      </c>
      <c r="N1612" t="s">
        <v>4861</v>
      </c>
      <c r="O1612" t="s">
        <v>3842</v>
      </c>
      <c r="R1612" t="s">
        <v>362</v>
      </c>
    </row>
    <row r="1613" spans="1:18" x14ac:dyDescent="0.15">
      <c r="A1613" t="s">
        <v>3822</v>
      </c>
      <c r="B1613" s="61">
        <v>48549</v>
      </c>
      <c r="E1613" t="s">
        <v>355</v>
      </c>
      <c r="F1613" t="s">
        <v>385</v>
      </c>
      <c r="H1613" t="s">
        <v>353</v>
      </c>
      <c r="I1613">
        <v>1700473</v>
      </c>
      <c r="J1613" t="s">
        <v>3839</v>
      </c>
      <c r="K1613" t="s">
        <v>1023</v>
      </c>
      <c r="L1613" t="s">
        <v>3840</v>
      </c>
      <c r="N1613" t="s">
        <v>4861</v>
      </c>
      <c r="O1613" t="s">
        <v>3842</v>
      </c>
      <c r="R1613" t="s">
        <v>386</v>
      </c>
    </row>
    <row r="1614" spans="1:18" x14ac:dyDescent="0.15">
      <c r="A1614" t="s">
        <v>3432</v>
      </c>
      <c r="B1614" s="61">
        <v>47178</v>
      </c>
      <c r="E1614" t="s">
        <v>355</v>
      </c>
      <c r="F1614" t="s">
        <v>356</v>
      </c>
      <c r="H1614" t="s">
        <v>353</v>
      </c>
      <c r="I1614">
        <v>2202611</v>
      </c>
      <c r="J1614" t="s">
        <v>974</v>
      </c>
      <c r="K1614" t="s">
        <v>4862</v>
      </c>
      <c r="L1614" t="s">
        <v>4863</v>
      </c>
      <c r="N1614" t="s">
        <v>4864</v>
      </c>
      <c r="O1614" t="s">
        <v>4865</v>
      </c>
      <c r="R1614" t="s">
        <v>362</v>
      </c>
    </row>
    <row r="1615" spans="1:18" x14ac:dyDescent="0.15">
      <c r="A1615" t="s">
        <v>3432</v>
      </c>
      <c r="B1615" s="61">
        <v>48639</v>
      </c>
      <c r="E1615" t="s">
        <v>355</v>
      </c>
      <c r="F1615" t="s">
        <v>385</v>
      </c>
      <c r="H1615" t="s">
        <v>353</v>
      </c>
      <c r="I1615">
        <v>2202611</v>
      </c>
      <c r="J1615" t="s">
        <v>974</v>
      </c>
      <c r="K1615" t="s">
        <v>4862</v>
      </c>
      <c r="L1615" t="s">
        <v>4863</v>
      </c>
      <c r="N1615" t="s">
        <v>4864</v>
      </c>
      <c r="O1615" t="s">
        <v>4865</v>
      </c>
      <c r="R1615" t="s">
        <v>386</v>
      </c>
    </row>
    <row r="1616" spans="1:18" x14ac:dyDescent="0.15">
      <c r="A1616" t="s">
        <v>1614</v>
      </c>
      <c r="B1616" s="61">
        <v>46661</v>
      </c>
      <c r="E1616" t="s">
        <v>355</v>
      </c>
      <c r="F1616" t="s">
        <v>356</v>
      </c>
      <c r="H1616" t="s">
        <v>353</v>
      </c>
      <c r="I1616">
        <v>2000958</v>
      </c>
      <c r="J1616" t="s">
        <v>1570</v>
      </c>
      <c r="K1616" t="s">
        <v>1630</v>
      </c>
      <c r="L1616" t="s">
        <v>390</v>
      </c>
      <c r="N1616" t="s">
        <v>4866</v>
      </c>
      <c r="O1616" t="s">
        <v>4867</v>
      </c>
      <c r="R1616" t="s">
        <v>362</v>
      </c>
    </row>
    <row r="1617" spans="1:18" x14ac:dyDescent="0.15">
      <c r="A1617" t="s">
        <v>1614</v>
      </c>
      <c r="B1617" s="61">
        <v>48122</v>
      </c>
      <c r="E1617" t="s">
        <v>355</v>
      </c>
      <c r="F1617" t="s">
        <v>385</v>
      </c>
      <c r="H1617" t="s">
        <v>353</v>
      </c>
      <c r="I1617">
        <v>2000958</v>
      </c>
      <c r="J1617" t="s">
        <v>1570</v>
      </c>
      <c r="K1617" t="s">
        <v>1630</v>
      </c>
      <c r="L1617" t="s">
        <v>390</v>
      </c>
      <c r="N1617" t="s">
        <v>4866</v>
      </c>
      <c r="O1617" t="s">
        <v>4867</v>
      </c>
      <c r="R1617" t="s">
        <v>386</v>
      </c>
    </row>
    <row r="1618" spans="1:18" x14ac:dyDescent="0.15">
      <c r="A1618" t="s">
        <v>5612</v>
      </c>
      <c r="B1618" s="61">
        <v>47150</v>
      </c>
      <c r="E1618" t="s">
        <v>355</v>
      </c>
      <c r="F1618" t="s">
        <v>356</v>
      </c>
      <c r="H1618" t="s">
        <v>365</v>
      </c>
      <c r="I1618">
        <v>1000196</v>
      </c>
      <c r="J1618" t="s">
        <v>3535</v>
      </c>
      <c r="K1618" t="s">
        <v>1251</v>
      </c>
      <c r="L1618" t="s">
        <v>3536</v>
      </c>
      <c r="N1618" t="s">
        <v>4868</v>
      </c>
      <c r="O1618" t="s">
        <v>3537</v>
      </c>
      <c r="R1618" t="s">
        <v>362</v>
      </c>
    </row>
    <row r="1619" spans="1:18" x14ac:dyDescent="0.15">
      <c r="A1619" t="s">
        <v>5612</v>
      </c>
      <c r="B1619" s="61">
        <v>48611</v>
      </c>
      <c r="E1619" t="s">
        <v>355</v>
      </c>
      <c r="F1619" t="s">
        <v>385</v>
      </c>
      <c r="H1619" t="s">
        <v>365</v>
      </c>
      <c r="I1619">
        <v>1000196</v>
      </c>
      <c r="J1619" t="s">
        <v>3535</v>
      </c>
      <c r="K1619" t="s">
        <v>1251</v>
      </c>
      <c r="L1619" t="s">
        <v>3536</v>
      </c>
      <c r="N1619" t="s">
        <v>4868</v>
      </c>
      <c r="O1619" t="s">
        <v>3537</v>
      </c>
      <c r="R1619" t="s">
        <v>395</v>
      </c>
    </row>
    <row r="1620" spans="1:18" x14ac:dyDescent="0.15">
      <c r="A1620" t="s">
        <v>3822</v>
      </c>
      <c r="B1620" s="61">
        <v>46753</v>
      </c>
      <c r="E1620" t="s">
        <v>355</v>
      </c>
      <c r="F1620" t="s">
        <v>356</v>
      </c>
      <c r="H1620" t="s">
        <v>365</v>
      </c>
      <c r="I1620">
        <v>1800036</v>
      </c>
      <c r="J1620" t="s">
        <v>4869</v>
      </c>
      <c r="K1620" t="s">
        <v>4870</v>
      </c>
      <c r="L1620" t="s">
        <v>4871</v>
      </c>
      <c r="N1620" t="s">
        <v>4872</v>
      </c>
      <c r="O1620" t="s">
        <v>4873</v>
      </c>
      <c r="R1620" t="s">
        <v>362</v>
      </c>
    </row>
    <row r="1621" spans="1:18" x14ac:dyDescent="0.15">
      <c r="A1621" t="s">
        <v>3822</v>
      </c>
      <c r="B1621" s="61">
        <v>48214</v>
      </c>
      <c r="E1621" t="s">
        <v>355</v>
      </c>
      <c r="F1621" t="s">
        <v>385</v>
      </c>
      <c r="H1621" t="s">
        <v>365</v>
      </c>
      <c r="I1621">
        <v>1800036</v>
      </c>
      <c r="J1621" t="s">
        <v>4869</v>
      </c>
      <c r="K1621" t="s">
        <v>4870</v>
      </c>
      <c r="L1621" t="s">
        <v>4871</v>
      </c>
      <c r="N1621" t="s">
        <v>4872</v>
      </c>
      <c r="O1621" t="s">
        <v>4873</v>
      </c>
      <c r="R1621" t="s">
        <v>395</v>
      </c>
    </row>
    <row r="1622" spans="1:18" x14ac:dyDescent="0.15">
      <c r="A1622" t="s">
        <v>2027</v>
      </c>
      <c r="B1622" s="61">
        <v>46631</v>
      </c>
      <c r="E1622" t="s">
        <v>355</v>
      </c>
      <c r="F1622" t="s">
        <v>356</v>
      </c>
      <c r="H1622" t="s">
        <v>365</v>
      </c>
      <c r="I1622">
        <v>2801533</v>
      </c>
      <c r="J1622" t="s">
        <v>2028</v>
      </c>
      <c r="K1622" t="s">
        <v>2029</v>
      </c>
      <c r="L1622" t="s">
        <v>833</v>
      </c>
      <c r="N1622" t="s">
        <v>4874</v>
      </c>
      <c r="O1622" t="s">
        <v>2031</v>
      </c>
      <c r="R1622" t="s">
        <v>362</v>
      </c>
    </row>
    <row r="1623" spans="1:18" x14ac:dyDescent="0.15">
      <c r="A1623" t="s">
        <v>2027</v>
      </c>
      <c r="B1623" s="61">
        <v>48092</v>
      </c>
      <c r="E1623" t="s">
        <v>355</v>
      </c>
      <c r="F1623" t="s">
        <v>385</v>
      </c>
      <c r="H1623" t="s">
        <v>365</v>
      </c>
      <c r="I1623">
        <v>2801533</v>
      </c>
      <c r="J1623" t="s">
        <v>2028</v>
      </c>
      <c r="K1623" t="s">
        <v>2029</v>
      </c>
      <c r="L1623" t="s">
        <v>833</v>
      </c>
      <c r="N1623" t="s">
        <v>4874</v>
      </c>
      <c r="O1623" t="s">
        <v>2031</v>
      </c>
      <c r="R1623" t="s">
        <v>395</v>
      </c>
    </row>
    <row r="1624" spans="1:18" x14ac:dyDescent="0.15">
      <c r="A1624" t="s">
        <v>3483</v>
      </c>
      <c r="B1624" s="61">
        <v>47150</v>
      </c>
      <c r="E1624" t="s">
        <v>355</v>
      </c>
      <c r="F1624" t="s">
        <v>356</v>
      </c>
      <c r="H1624" t="s">
        <v>365</v>
      </c>
      <c r="I1624">
        <v>2303839</v>
      </c>
      <c r="J1624" t="s">
        <v>4458</v>
      </c>
      <c r="K1624" t="s">
        <v>4459</v>
      </c>
      <c r="L1624" t="s">
        <v>4460</v>
      </c>
      <c r="N1624" t="s">
        <v>4875</v>
      </c>
      <c r="O1624" t="s">
        <v>4461</v>
      </c>
      <c r="R1624" t="s">
        <v>362</v>
      </c>
    </row>
    <row r="1625" spans="1:18" x14ac:dyDescent="0.15">
      <c r="A1625" t="s">
        <v>3483</v>
      </c>
      <c r="B1625" s="61">
        <v>48611</v>
      </c>
      <c r="E1625" t="s">
        <v>355</v>
      </c>
      <c r="F1625" t="s">
        <v>385</v>
      </c>
      <c r="H1625" t="s">
        <v>365</v>
      </c>
      <c r="I1625">
        <v>2303839</v>
      </c>
      <c r="J1625" t="s">
        <v>4458</v>
      </c>
      <c r="K1625" t="s">
        <v>4459</v>
      </c>
      <c r="L1625" t="s">
        <v>4460</v>
      </c>
      <c r="N1625" t="s">
        <v>4875</v>
      </c>
      <c r="O1625" t="s">
        <v>4461</v>
      </c>
      <c r="R1625" t="s">
        <v>395</v>
      </c>
    </row>
    <row r="1626" spans="1:18" x14ac:dyDescent="0.15">
      <c r="A1626" t="s">
        <v>1062</v>
      </c>
      <c r="B1626" s="61">
        <v>47300</v>
      </c>
      <c r="E1626" t="s">
        <v>355</v>
      </c>
      <c r="F1626" t="s">
        <v>356</v>
      </c>
      <c r="H1626" t="s">
        <v>365</v>
      </c>
      <c r="I1626">
        <v>3400948</v>
      </c>
      <c r="J1626" t="s">
        <v>4856</v>
      </c>
      <c r="K1626" t="s">
        <v>4857</v>
      </c>
      <c r="L1626" t="s">
        <v>390</v>
      </c>
      <c r="N1626" t="s">
        <v>4876</v>
      </c>
      <c r="O1626" t="s">
        <v>4859</v>
      </c>
      <c r="R1626" t="s">
        <v>362</v>
      </c>
    </row>
    <row r="1627" spans="1:18" x14ac:dyDescent="0.15">
      <c r="A1627" t="s">
        <v>1062</v>
      </c>
      <c r="B1627" s="61">
        <v>48761</v>
      </c>
      <c r="E1627" t="s">
        <v>355</v>
      </c>
      <c r="F1627" t="s">
        <v>385</v>
      </c>
      <c r="H1627" t="s">
        <v>365</v>
      </c>
      <c r="I1627">
        <v>3400948</v>
      </c>
      <c r="J1627" t="s">
        <v>4856</v>
      </c>
      <c r="K1627" t="s">
        <v>4857</v>
      </c>
      <c r="L1627" t="s">
        <v>390</v>
      </c>
      <c r="N1627" t="s">
        <v>4876</v>
      </c>
      <c r="O1627" t="s">
        <v>4859</v>
      </c>
      <c r="R1627" t="s">
        <v>395</v>
      </c>
    </row>
    <row r="1628" spans="1:18" x14ac:dyDescent="0.15">
      <c r="A1628" t="s">
        <v>914</v>
      </c>
      <c r="B1628" s="61">
        <v>46784</v>
      </c>
      <c r="E1628" t="s">
        <v>355</v>
      </c>
      <c r="F1628" t="s">
        <v>356</v>
      </c>
      <c r="H1628" t="s">
        <v>365</v>
      </c>
      <c r="I1628">
        <v>700109</v>
      </c>
      <c r="J1628" t="s">
        <v>4877</v>
      </c>
      <c r="K1628" t="s">
        <v>4878</v>
      </c>
      <c r="L1628" t="s">
        <v>4879</v>
      </c>
      <c r="N1628" t="s">
        <v>4880</v>
      </c>
      <c r="O1628" t="s">
        <v>4881</v>
      </c>
      <c r="R1628" t="s">
        <v>362</v>
      </c>
    </row>
    <row r="1629" spans="1:18" x14ac:dyDescent="0.15">
      <c r="A1629" t="s">
        <v>914</v>
      </c>
      <c r="B1629" s="61">
        <v>48245</v>
      </c>
      <c r="E1629" t="s">
        <v>355</v>
      </c>
      <c r="F1629" t="s">
        <v>385</v>
      </c>
      <c r="H1629" t="s">
        <v>365</v>
      </c>
      <c r="I1629">
        <v>700109</v>
      </c>
      <c r="J1629" t="s">
        <v>4877</v>
      </c>
      <c r="K1629" t="s">
        <v>4878</v>
      </c>
      <c r="L1629" t="s">
        <v>4879</v>
      </c>
      <c r="N1629" t="s">
        <v>4880</v>
      </c>
      <c r="O1629" t="s">
        <v>4881</v>
      </c>
      <c r="R1629" t="s">
        <v>395</v>
      </c>
    </row>
    <row r="1630" spans="1:18" x14ac:dyDescent="0.15">
      <c r="A1630" t="s">
        <v>914</v>
      </c>
      <c r="B1630" s="61">
        <v>46692</v>
      </c>
      <c r="E1630" t="s">
        <v>355</v>
      </c>
      <c r="F1630" t="s">
        <v>356</v>
      </c>
      <c r="H1630" t="s">
        <v>365</v>
      </c>
      <c r="I1630">
        <v>700109</v>
      </c>
      <c r="J1630" t="s">
        <v>4877</v>
      </c>
      <c r="K1630" t="s">
        <v>4878</v>
      </c>
      <c r="L1630" t="s">
        <v>4882</v>
      </c>
      <c r="N1630" t="s">
        <v>4883</v>
      </c>
      <c r="O1630" t="s">
        <v>4881</v>
      </c>
      <c r="R1630" t="s">
        <v>362</v>
      </c>
    </row>
    <row r="1631" spans="1:18" x14ac:dyDescent="0.15">
      <c r="A1631" t="s">
        <v>914</v>
      </c>
      <c r="B1631" s="61">
        <v>48153</v>
      </c>
      <c r="E1631" t="s">
        <v>355</v>
      </c>
      <c r="F1631" t="s">
        <v>385</v>
      </c>
      <c r="H1631" t="s">
        <v>365</v>
      </c>
      <c r="I1631">
        <v>700109</v>
      </c>
      <c r="J1631" t="s">
        <v>4877</v>
      </c>
      <c r="K1631" t="s">
        <v>4878</v>
      </c>
      <c r="L1631" t="s">
        <v>4882</v>
      </c>
      <c r="N1631" t="s">
        <v>4883</v>
      </c>
      <c r="O1631" t="s">
        <v>4881</v>
      </c>
      <c r="R1631" t="s">
        <v>395</v>
      </c>
    </row>
    <row r="1632" spans="1:18" x14ac:dyDescent="0.15">
      <c r="A1632" t="s">
        <v>914</v>
      </c>
      <c r="B1632" s="61">
        <v>46753</v>
      </c>
      <c r="E1632" t="s">
        <v>355</v>
      </c>
      <c r="F1632" t="s">
        <v>356</v>
      </c>
      <c r="H1632" t="s">
        <v>365</v>
      </c>
      <c r="I1632">
        <v>700109</v>
      </c>
      <c r="J1632" t="s">
        <v>4877</v>
      </c>
      <c r="K1632" t="s">
        <v>4878</v>
      </c>
      <c r="L1632" t="s">
        <v>4884</v>
      </c>
      <c r="N1632" t="s">
        <v>4885</v>
      </c>
      <c r="O1632" t="s">
        <v>4881</v>
      </c>
      <c r="R1632" t="s">
        <v>362</v>
      </c>
    </row>
    <row r="1633" spans="1:19" x14ac:dyDescent="0.15">
      <c r="A1633" t="s">
        <v>914</v>
      </c>
      <c r="B1633" s="61">
        <v>48214</v>
      </c>
      <c r="E1633" t="s">
        <v>355</v>
      </c>
      <c r="F1633" t="s">
        <v>385</v>
      </c>
      <c r="H1633" t="s">
        <v>365</v>
      </c>
      <c r="I1633">
        <v>700109</v>
      </c>
      <c r="J1633" t="s">
        <v>4877</v>
      </c>
      <c r="K1633" t="s">
        <v>4878</v>
      </c>
      <c r="L1633" t="s">
        <v>4884</v>
      </c>
      <c r="N1633" t="s">
        <v>4885</v>
      </c>
      <c r="O1633" t="s">
        <v>4881</v>
      </c>
      <c r="R1633" t="s">
        <v>395</v>
      </c>
    </row>
    <row r="1634" spans="1:19" x14ac:dyDescent="0.15">
      <c r="A1634" t="s">
        <v>1359</v>
      </c>
      <c r="B1634" s="61">
        <v>47423</v>
      </c>
      <c r="E1634" t="s">
        <v>355</v>
      </c>
      <c r="F1634" t="s">
        <v>969</v>
      </c>
      <c r="H1634" t="s">
        <v>309</v>
      </c>
      <c r="I1634">
        <v>3500228</v>
      </c>
      <c r="J1634" t="s">
        <v>1362</v>
      </c>
      <c r="K1634" t="s">
        <v>1363</v>
      </c>
      <c r="L1634" t="s">
        <v>1364</v>
      </c>
      <c r="N1634" t="s">
        <v>4886</v>
      </c>
      <c r="O1634" t="s">
        <v>1365</v>
      </c>
      <c r="R1634" t="s">
        <v>2553</v>
      </c>
    </row>
    <row r="1635" spans="1:19" x14ac:dyDescent="0.15">
      <c r="A1635" t="s">
        <v>1095</v>
      </c>
      <c r="B1635" s="61">
        <v>47300</v>
      </c>
      <c r="E1635" t="s">
        <v>355</v>
      </c>
      <c r="F1635" t="s">
        <v>969</v>
      </c>
      <c r="H1635" t="s">
        <v>309</v>
      </c>
      <c r="I1635">
        <v>3900054</v>
      </c>
      <c r="J1635" t="s">
        <v>1594</v>
      </c>
      <c r="L1635" t="s">
        <v>390</v>
      </c>
      <c r="N1635" t="s">
        <v>4887</v>
      </c>
      <c r="O1635" t="s">
        <v>1595</v>
      </c>
      <c r="R1635" t="s">
        <v>2553</v>
      </c>
    </row>
    <row r="1636" spans="1:19" x14ac:dyDescent="0.15">
      <c r="A1636" t="s">
        <v>3483</v>
      </c>
      <c r="B1636" s="61">
        <v>45962</v>
      </c>
      <c r="E1636" t="s">
        <v>355</v>
      </c>
      <c r="F1636" t="s">
        <v>351</v>
      </c>
      <c r="G1636" t="s">
        <v>354</v>
      </c>
      <c r="H1636" t="s">
        <v>353</v>
      </c>
      <c r="I1636">
        <v>2303839</v>
      </c>
      <c r="J1636" t="s">
        <v>4458</v>
      </c>
      <c r="K1636" t="s">
        <v>4459</v>
      </c>
      <c r="L1636" t="s">
        <v>4460</v>
      </c>
      <c r="N1636" t="s">
        <v>4888</v>
      </c>
      <c r="O1636" t="s">
        <v>4461</v>
      </c>
      <c r="S1636" t="s">
        <v>4889</v>
      </c>
    </row>
    <row r="1637" spans="1:19" ht="229.5" x14ac:dyDescent="0.15">
      <c r="A1637" t="s">
        <v>1614</v>
      </c>
      <c r="B1637" s="61">
        <v>46204</v>
      </c>
      <c r="E1637" t="s">
        <v>355</v>
      </c>
      <c r="F1637" t="s">
        <v>351</v>
      </c>
      <c r="H1637" t="s">
        <v>353</v>
      </c>
      <c r="I1637">
        <v>2000958</v>
      </c>
      <c r="J1637" t="s">
        <v>1570</v>
      </c>
      <c r="K1637" t="s">
        <v>1630</v>
      </c>
      <c r="L1637" t="s">
        <v>390</v>
      </c>
      <c r="N1637" t="s">
        <v>4866</v>
      </c>
      <c r="O1637" t="s">
        <v>4867</v>
      </c>
      <c r="S1637" s="34" t="s">
        <v>5366</v>
      </c>
    </row>
    <row r="1638" spans="1:19" ht="409.5" x14ac:dyDescent="0.15">
      <c r="A1638" t="s">
        <v>3432</v>
      </c>
      <c r="B1638" s="61">
        <v>46082</v>
      </c>
      <c r="E1638" t="s">
        <v>355</v>
      </c>
      <c r="F1638" t="s">
        <v>351</v>
      </c>
      <c r="H1638" t="s">
        <v>353</v>
      </c>
      <c r="I1638">
        <v>2202611</v>
      </c>
      <c r="J1638" t="s">
        <v>974</v>
      </c>
      <c r="K1638" t="s">
        <v>4862</v>
      </c>
      <c r="L1638" t="s">
        <v>3700</v>
      </c>
      <c r="N1638" t="s">
        <v>4894</v>
      </c>
      <c r="O1638" t="s">
        <v>4865</v>
      </c>
      <c r="S1638" s="34" t="s">
        <v>4895</v>
      </c>
    </row>
    <row r="1639" spans="1:19" ht="409.5" x14ac:dyDescent="0.15">
      <c r="A1639" t="s">
        <v>3432</v>
      </c>
      <c r="B1639" s="61">
        <v>46082</v>
      </c>
      <c r="E1639" t="s">
        <v>355</v>
      </c>
      <c r="F1639" t="s">
        <v>351</v>
      </c>
      <c r="H1639" t="s">
        <v>686</v>
      </c>
      <c r="I1639">
        <v>2202611</v>
      </c>
      <c r="J1639" t="s">
        <v>974</v>
      </c>
      <c r="K1639" t="s">
        <v>4862</v>
      </c>
      <c r="L1639" t="s">
        <v>3700</v>
      </c>
      <c r="N1639">
        <v>2179113</v>
      </c>
      <c r="O1639" t="s">
        <v>4865</v>
      </c>
      <c r="S1639" s="34" t="s">
        <v>4896</v>
      </c>
    </row>
    <row r="1640" spans="1:19" x14ac:dyDescent="0.15">
      <c r="A1640" t="s">
        <v>2096</v>
      </c>
      <c r="B1640" s="61">
        <v>46631</v>
      </c>
      <c r="E1640" t="s">
        <v>355</v>
      </c>
      <c r="F1640" t="s">
        <v>356</v>
      </c>
      <c r="H1640" t="s">
        <v>353</v>
      </c>
      <c r="I1640">
        <v>400141</v>
      </c>
      <c r="J1640" t="s">
        <v>4904</v>
      </c>
      <c r="L1640" t="s">
        <v>1176</v>
      </c>
      <c r="N1640" t="s">
        <v>4905</v>
      </c>
      <c r="O1640" t="s">
        <v>4906</v>
      </c>
      <c r="R1640" t="s">
        <v>362</v>
      </c>
    </row>
    <row r="1641" spans="1:19" x14ac:dyDescent="0.15">
      <c r="A1641" t="s">
        <v>2096</v>
      </c>
      <c r="B1641" s="61">
        <v>48092</v>
      </c>
      <c r="E1641" t="s">
        <v>355</v>
      </c>
      <c r="F1641" t="s">
        <v>385</v>
      </c>
      <c r="H1641" t="s">
        <v>353</v>
      </c>
      <c r="I1641">
        <v>400141</v>
      </c>
      <c r="J1641" t="s">
        <v>4904</v>
      </c>
      <c r="L1641" t="s">
        <v>1176</v>
      </c>
      <c r="N1641" t="s">
        <v>4905</v>
      </c>
      <c r="O1641" t="s">
        <v>4906</v>
      </c>
      <c r="R1641" t="s">
        <v>386</v>
      </c>
    </row>
    <row r="1642" spans="1:19" x14ac:dyDescent="0.15">
      <c r="A1642" t="s">
        <v>1860</v>
      </c>
      <c r="B1642" s="61">
        <v>46631</v>
      </c>
      <c r="E1642" t="s">
        <v>355</v>
      </c>
      <c r="F1642" t="s">
        <v>356</v>
      </c>
      <c r="H1642" t="s">
        <v>353</v>
      </c>
      <c r="I1642">
        <v>801429</v>
      </c>
      <c r="J1642" t="s">
        <v>1881</v>
      </c>
      <c r="K1642" t="s">
        <v>4900</v>
      </c>
      <c r="L1642" t="s">
        <v>4901</v>
      </c>
      <c r="N1642" t="s">
        <v>4902</v>
      </c>
      <c r="O1642" t="s">
        <v>4903</v>
      </c>
      <c r="R1642" t="s">
        <v>362</v>
      </c>
    </row>
    <row r="1643" spans="1:19" x14ac:dyDescent="0.15">
      <c r="A1643" t="s">
        <v>1860</v>
      </c>
      <c r="B1643" s="61">
        <v>48092</v>
      </c>
      <c r="E1643" t="s">
        <v>355</v>
      </c>
      <c r="F1643" t="s">
        <v>385</v>
      </c>
      <c r="H1643" t="s">
        <v>353</v>
      </c>
      <c r="I1643">
        <v>801429</v>
      </c>
      <c r="J1643" t="s">
        <v>1881</v>
      </c>
      <c r="K1643" t="s">
        <v>4900</v>
      </c>
      <c r="L1643" t="s">
        <v>4901</v>
      </c>
      <c r="N1643" t="s">
        <v>4902</v>
      </c>
      <c r="O1643" t="s">
        <v>4903</v>
      </c>
      <c r="R1643" t="s">
        <v>386</v>
      </c>
    </row>
    <row r="1644" spans="1:19" x14ac:dyDescent="0.15">
      <c r="A1644" t="s">
        <v>1860</v>
      </c>
      <c r="B1644" s="61">
        <v>46722</v>
      </c>
      <c r="E1644" t="s">
        <v>355</v>
      </c>
      <c r="F1644" t="s">
        <v>356</v>
      </c>
      <c r="H1644" t="s">
        <v>353</v>
      </c>
      <c r="I1644">
        <v>801438</v>
      </c>
      <c r="J1644" t="s">
        <v>4907</v>
      </c>
      <c r="K1644" t="s">
        <v>4908</v>
      </c>
      <c r="L1644" t="s">
        <v>4909</v>
      </c>
      <c r="N1644" t="s">
        <v>4910</v>
      </c>
      <c r="O1644" t="s">
        <v>4911</v>
      </c>
      <c r="R1644" t="s">
        <v>362</v>
      </c>
    </row>
    <row r="1645" spans="1:19" x14ac:dyDescent="0.15">
      <c r="A1645" t="s">
        <v>1860</v>
      </c>
      <c r="B1645" s="61">
        <v>48183</v>
      </c>
      <c r="E1645" t="s">
        <v>355</v>
      </c>
      <c r="F1645" t="s">
        <v>385</v>
      </c>
      <c r="H1645" t="s">
        <v>353</v>
      </c>
      <c r="I1645">
        <v>801438</v>
      </c>
      <c r="J1645" t="s">
        <v>4907</v>
      </c>
      <c r="K1645" t="s">
        <v>4908</v>
      </c>
      <c r="L1645" t="s">
        <v>4909</v>
      </c>
      <c r="N1645" t="s">
        <v>4910</v>
      </c>
      <c r="O1645" t="s">
        <v>4911</v>
      </c>
      <c r="R1645" t="s">
        <v>386</v>
      </c>
    </row>
    <row r="1646" spans="1:19" x14ac:dyDescent="0.15">
      <c r="A1646" t="s">
        <v>3889</v>
      </c>
      <c r="B1646" s="61">
        <v>46997</v>
      </c>
      <c r="E1646" t="s">
        <v>355</v>
      </c>
      <c r="F1646" t="s">
        <v>356</v>
      </c>
      <c r="H1646" t="s">
        <v>353</v>
      </c>
      <c r="I1646">
        <v>1101227</v>
      </c>
      <c r="J1646" t="s">
        <v>1052</v>
      </c>
      <c r="K1646" t="s">
        <v>1053</v>
      </c>
      <c r="L1646" t="s">
        <v>390</v>
      </c>
      <c r="N1646" t="s">
        <v>4912</v>
      </c>
      <c r="O1646" t="s">
        <v>1055</v>
      </c>
      <c r="R1646" t="s">
        <v>362</v>
      </c>
    </row>
    <row r="1647" spans="1:19" x14ac:dyDescent="0.15">
      <c r="A1647" t="s">
        <v>3889</v>
      </c>
      <c r="B1647" s="61">
        <v>48458</v>
      </c>
      <c r="E1647" t="s">
        <v>355</v>
      </c>
      <c r="F1647" t="s">
        <v>385</v>
      </c>
      <c r="H1647" t="s">
        <v>353</v>
      </c>
      <c r="I1647">
        <v>1101227</v>
      </c>
      <c r="J1647" t="s">
        <v>1052</v>
      </c>
      <c r="K1647" t="s">
        <v>1053</v>
      </c>
      <c r="L1647" t="s">
        <v>390</v>
      </c>
      <c r="N1647" t="s">
        <v>4912</v>
      </c>
      <c r="O1647" t="s">
        <v>1055</v>
      </c>
      <c r="R1647" t="s">
        <v>386</v>
      </c>
    </row>
    <row r="1648" spans="1:19" x14ac:dyDescent="0.15">
      <c r="A1648" t="s">
        <v>914</v>
      </c>
      <c r="B1648" s="61">
        <v>46569</v>
      </c>
      <c r="E1648" t="s">
        <v>355</v>
      </c>
      <c r="F1648" t="s">
        <v>356</v>
      </c>
      <c r="H1648" t="s">
        <v>353</v>
      </c>
      <c r="I1648">
        <v>700689</v>
      </c>
      <c r="J1648" t="s">
        <v>925</v>
      </c>
      <c r="K1648" t="s">
        <v>926</v>
      </c>
      <c r="L1648" t="s">
        <v>927</v>
      </c>
      <c r="N1648" t="s">
        <v>4913</v>
      </c>
      <c r="O1648" t="s">
        <v>929</v>
      </c>
      <c r="R1648" t="s">
        <v>362</v>
      </c>
    </row>
    <row r="1649" spans="1:19" x14ac:dyDescent="0.15">
      <c r="A1649" t="s">
        <v>914</v>
      </c>
      <c r="B1649" s="61">
        <v>48030</v>
      </c>
      <c r="E1649" t="s">
        <v>355</v>
      </c>
      <c r="F1649" t="s">
        <v>385</v>
      </c>
      <c r="H1649" t="s">
        <v>353</v>
      </c>
      <c r="I1649">
        <v>700689</v>
      </c>
      <c r="J1649" t="s">
        <v>925</v>
      </c>
      <c r="K1649" t="s">
        <v>926</v>
      </c>
      <c r="L1649" t="s">
        <v>927</v>
      </c>
      <c r="N1649" t="s">
        <v>4913</v>
      </c>
      <c r="O1649" t="s">
        <v>929</v>
      </c>
      <c r="R1649" t="s">
        <v>386</v>
      </c>
    </row>
    <row r="1650" spans="1:19" x14ac:dyDescent="0.15">
      <c r="A1650" t="s">
        <v>1145</v>
      </c>
      <c r="B1650" s="61">
        <v>46478</v>
      </c>
      <c r="E1650" t="s">
        <v>355</v>
      </c>
      <c r="F1650" t="s">
        <v>356</v>
      </c>
      <c r="H1650" t="s">
        <v>353</v>
      </c>
      <c r="I1650">
        <v>100874</v>
      </c>
      <c r="J1650" t="s">
        <v>4718</v>
      </c>
      <c r="K1650" t="s">
        <v>4719</v>
      </c>
      <c r="L1650" t="s">
        <v>4897</v>
      </c>
      <c r="N1650" t="s">
        <v>4914</v>
      </c>
      <c r="O1650" t="s">
        <v>4898</v>
      </c>
      <c r="R1650" t="s">
        <v>362</v>
      </c>
    </row>
    <row r="1651" spans="1:19" x14ac:dyDescent="0.15">
      <c r="A1651" t="s">
        <v>1145</v>
      </c>
      <c r="B1651" s="61">
        <v>47939</v>
      </c>
      <c r="E1651" t="s">
        <v>355</v>
      </c>
      <c r="F1651" t="s">
        <v>385</v>
      </c>
      <c r="H1651" t="s">
        <v>353</v>
      </c>
      <c r="I1651">
        <v>100874</v>
      </c>
      <c r="J1651" t="s">
        <v>4718</v>
      </c>
      <c r="K1651" t="s">
        <v>4719</v>
      </c>
      <c r="L1651" t="s">
        <v>4897</v>
      </c>
      <c r="N1651" t="s">
        <v>4914</v>
      </c>
      <c r="O1651" t="s">
        <v>4898</v>
      </c>
      <c r="R1651" t="s">
        <v>386</v>
      </c>
    </row>
    <row r="1652" spans="1:19" x14ac:dyDescent="0.15">
      <c r="A1652" t="s">
        <v>1145</v>
      </c>
      <c r="B1652" s="61">
        <v>46844</v>
      </c>
      <c r="E1652" t="s">
        <v>355</v>
      </c>
      <c r="F1652" t="s">
        <v>356</v>
      </c>
      <c r="H1652" t="s">
        <v>353</v>
      </c>
      <c r="I1652">
        <v>100874</v>
      </c>
      <c r="J1652" t="s">
        <v>4718</v>
      </c>
      <c r="K1652" t="s">
        <v>4719</v>
      </c>
      <c r="L1652" t="s">
        <v>4899</v>
      </c>
      <c r="N1652" t="s">
        <v>4915</v>
      </c>
      <c r="O1652" t="s">
        <v>4898</v>
      </c>
      <c r="R1652" t="s">
        <v>362</v>
      </c>
    </row>
    <row r="1653" spans="1:19" x14ac:dyDescent="0.15">
      <c r="A1653" t="s">
        <v>1145</v>
      </c>
      <c r="B1653" s="61">
        <v>48305</v>
      </c>
      <c r="E1653" t="s">
        <v>355</v>
      </c>
      <c r="F1653" t="s">
        <v>385</v>
      </c>
      <c r="H1653" t="s">
        <v>353</v>
      </c>
      <c r="I1653">
        <v>100874</v>
      </c>
      <c r="J1653" t="s">
        <v>4718</v>
      </c>
      <c r="K1653" t="s">
        <v>4719</v>
      </c>
      <c r="L1653" t="s">
        <v>4899</v>
      </c>
      <c r="N1653" t="s">
        <v>4915</v>
      </c>
      <c r="O1653" t="s">
        <v>4898</v>
      </c>
      <c r="R1653" t="s">
        <v>386</v>
      </c>
    </row>
    <row r="1654" spans="1:19" x14ac:dyDescent="0.15">
      <c r="A1654" t="s">
        <v>3617</v>
      </c>
      <c r="B1654" s="61">
        <v>46966</v>
      </c>
      <c r="E1654" t="s">
        <v>355</v>
      </c>
      <c r="F1654" t="s">
        <v>356</v>
      </c>
      <c r="H1654" t="s">
        <v>365</v>
      </c>
      <c r="I1654">
        <v>4000985</v>
      </c>
      <c r="J1654" t="s">
        <v>3914</v>
      </c>
      <c r="K1654" t="s">
        <v>4916</v>
      </c>
      <c r="L1654" t="s">
        <v>413</v>
      </c>
      <c r="N1654" t="s">
        <v>4917</v>
      </c>
      <c r="O1654" t="s">
        <v>4918</v>
      </c>
      <c r="R1654" t="s">
        <v>362</v>
      </c>
    </row>
    <row r="1655" spans="1:19" x14ac:dyDescent="0.15">
      <c r="A1655" t="s">
        <v>3617</v>
      </c>
      <c r="B1655" s="61">
        <v>48427</v>
      </c>
      <c r="E1655" t="s">
        <v>355</v>
      </c>
      <c r="F1655" t="s">
        <v>385</v>
      </c>
      <c r="H1655" t="s">
        <v>365</v>
      </c>
      <c r="I1655">
        <v>4000985</v>
      </c>
      <c r="J1655" t="s">
        <v>3914</v>
      </c>
      <c r="K1655" t="s">
        <v>4916</v>
      </c>
      <c r="L1655" t="s">
        <v>413</v>
      </c>
      <c r="N1655" t="s">
        <v>4917</v>
      </c>
      <c r="O1655" t="s">
        <v>4918</v>
      </c>
      <c r="R1655" t="s">
        <v>395</v>
      </c>
    </row>
    <row r="1656" spans="1:19" x14ac:dyDescent="0.15">
      <c r="A1656" t="s">
        <v>1860</v>
      </c>
      <c r="B1656" s="61">
        <v>47119</v>
      </c>
      <c r="E1656" t="s">
        <v>355</v>
      </c>
      <c r="F1656" t="s">
        <v>356</v>
      </c>
      <c r="H1656" t="s">
        <v>365</v>
      </c>
      <c r="I1656">
        <v>800271</v>
      </c>
      <c r="J1656" t="s">
        <v>1874</v>
      </c>
      <c r="K1656" t="s">
        <v>403</v>
      </c>
      <c r="L1656" t="s">
        <v>1875</v>
      </c>
      <c r="N1656" t="s">
        <v>4919</v>
      </c>
      <c r="O1656" t="s">
        <v>1876</v>
      </c>
      <c r="R1656" t="s">
        <v>362</v>
      </c>
    </row>
    <row r="1657" spans="1:19" x14ac:dyDescent="0.15">
      <c r="A1657" t="s">
        <v>1860</v>
      </c>
      <c r="B1657" s="61">
        <v>48580</v>
      </c>
      <c r="E1657" t="s">
        <v>355</v>
      </c>
      <c r="F1657" t="s">
        <v>385</v>
      </c>
      <c r="H1657" t="s">
        <v>365</v>
      </c>
      <c r="I1657">
        <v>800271</v>
      </c>
      <c r="J1657" t="s">
        <v>1874</v>
      </c>
      <c r="K1657" t="s">
        <v>403</v>
      </c>
      <c r="L1657" t="s">
        <v>1875</v>
      </c>
      <c r="N1657" t="s">
        <v>4919</v>
      </c>
      <c r="O1657" t="s">
        <v>1876</v>
      </c>
      <c r="R1657" t="s">
        <v>395</v>
      </c>
    </row>
    <row r="1658" spans="1:19" x14ac:dyDescent="0.15">
      <c r="A1658" t="s">
        <v>1860</v>
      </c>
      <c r="B1658" s="61">
        <v>47119</v>
      </c>
      <c r="E1658" t="s">
        <v>355</v>
      </c>
      <c r="F1658" t="s">
        <v>356</v>
      </c>
      <c r="H1658" t="s">
        <v>365</v>
      </c>
      <c r="I1658">
        <v>800271</v>
      </c>
      <c r="J1658" t="s">
        <v>1874</v>
      </c>
      <c r="K1658" t="s">
        <v>403</v>
      </c>
      <c r="L1658" t="s">
        <v>4920</v>
      </c>
      <c r="N1658" t="s">
        <v>4921</v>
      </c>
      <c r="O1658" t="s">
        <v>1876</v>
      </c>
      <c r="R1658" t="s">
        <v>362</v>
      </c>
    </row>
    <row r="1659" spans="1:19" x14ac:dyDescent="0.15">
      <c r="A1659" t="s">
        <v>1860</v>
      </c>
      <c r="B1659" s="61">
        <v>48580</v>
      </c>
      <c r="E1659" t="s">
        <v>355</v>
      </c>
      <c r="F1659" t="s">
        <v>385</v>
      </c>
      <c r="H1659" t="s">
        <v>365</v>
      </c>
      <c r="I1659">
        <v>800271</v>
      </c>
      <c r="J1659" t="s">
        <v>1874</v>
      </c>
      <c r="K1659" t="s">
        <v>403</v>
      </c>
      <c r="L1659" t="s">
        <v>4920</v>
      </c>
      <c r="N1659" t="s">
        <v>4921</v>
      </c>
      <c r="O1659" t="s">
        <v>1876</v>
      </c>
      <c r="R1659" t="s">
        <v>395</v>
      </c>
    </row>
    <row r="1660" spans="1:19" x14ac:dyDescent="0.15">
      <c r="A1660" t="s">
        <v>1062</v>
      </c>
      <c r="B1660" s="61">
        <v>46966</v>
      </c>
      <c r="E1660" t="s">
        <v>355</v>
      </c>
      <c r="F1660" t="s">
        <v>356</v>
      </c>
      <c r="H1660" t="s">
        <v>365</v>
      </c>
      <c r="I1660">
        <v>3400618</v>
      </c>
      <c r="J1660" t="s">
        <v>4922</v>
      </c>
      <c r="K1660" t="s">
        <v>4923</v>
      </c>
      <c r="L1660" t="s">
        <v>390</v>
      </c>
      <c r="N1660" t="s">
        <v>4924</v>
      </c>
      <c r="O1660" t="s">
        <v>4925</v>
      </c>
      <c r="R1660" t="s">
        <v>362</v>
      </c>
    </row>
    <row r="1661" spans="1:19" x14ac:dyDescent="0.15">
      <c r="A1661" t="s">
        <v>1062</v>
      </c>
      <c r="B1661" s="61">
        <v>48427</v>
      </c>
      <c r="E1661" t="s">
        <v>355</v>
      </c>
      <c r="F1661" t="s">
        <v>385</v>
      </c>
      <c r="H1661" t="s">
        <v>365</v>
      </c>
      <c r="I1661">
        <v>3400618</v>
      </c>
      <c r="J1661" t="s">
        <v>4922</v>
      </c>
      <c r="K1661" t="s">
        <v>4923</v>
      </c>
      <c r="L1661" t="s">
        <v>390</v>
      </c>
      <c r="N1661" t="s">
        <v>4924</v>
      </c>
      <c r="O1661" t="s">
        <v>4925</v>
      </c>
      <c r="R1661" t="s">
        <v>395</v>
      </c>
    </row>
    <row r="1662" spans="1:19" ht="216" x14ac:dyDescent="0.15">
      <c r="A1662" t="s">
        <v>1062</v>
      </c>
      <c r="B1662" s="61">
        <v>46204</v>
      </c>
      <c r="E1662" t="s">
        <v>355</v>
      </c>
      <c r="F1662" t="s">
        <v>351</v>
      </c>
      <c r="G1662" t="s">
        <v>354</v>
      </c>
      <c r="H1662" t="s">
        <v>365</v>
      </c>
      <c r="I1662">
        <v>3400618</v>
      </c>
      <c r="J1662" t="s">
        <v>4922</v>
      </c>
      <c r="K1662" t="s">
        <v>4923</v>
      </c>
      <c r="L1662" t="s">
        <v>390</v>
      </c>
      <c r="N1662" t="s">
        <v>4924</v>
      </c>
      <c r="O1662" t="s">
        <v>4925</v>
      </c>
      <c r="R1662" t="s">
        <v>4318</v>
      </c>
      <c r="S1662" s="34" t="s">
        <v>5367</v>
      </c>
    </row>
    <row r="1663" spans="1:19" ht="409.5" x14ac:dyDescent="0.15">
      <c r="A1663" t="s">
        <v>1145</v>
      </c>
      <c r="B1663" s="61">
        <v>46174</v>
      </c>
      <c r="E1663" t="s">
        <v>355</v>
      </c>
      <c r="F1663" t="s">
        <v>351</v>
      </c>
      <c r="G1663" t="s">
        <v>354</v>
      </c>
      <c r="H1663" t="s">
        <v>353</v>
      </c>
      <c r="I1663">
        <v>100874</v>
      </c>
      <c r="J1663" t="s">
        <v>4718</v>
      </c>
      <c r="K1663" t="s">
        <v>4719</v>
      </c>
      <c r="L1663" t="s">
        <v>4897</v>
      </c>
      <c r="N1663" t="s">
        <v>4926</v>
      </c>
      <c r="O1663" t="s">
        <v>4898</v>
      </c>
      <c r="R1663" t="s">
        <v>4318</v>
      </c>
      <c r="S1663" s="34" t="s">
        <v>5368</v>
      </c>
    </row>
    <row r="1664" spans="1:19" ht="409.5" x14ac:dyDescent="0.15">
      <c r="A1664" t="s">
        <v>1145</v>
      </c>
      <c r="B1664" s="61">
        <v>46174</v>
      </c>
      <c r="E1664" t="s">
        <v>355</v>
      </c>
      <c r="F1664" t="s">
        <v>351</v>
      </c>
      <c r="G1664" t="s">
        <v>354</v>
      </c>
      <c r="H1664" t="s">
        <v>353</v>
      </c>
      <c r="I1664">
        <v>100874</v>
      </c>
      <c r="J1664" t="s">
        <v>4718</v>
      </c>
      <c r="K1664" t="s">
        <v>4719</v>
      </c>
      <c r="L1664" t="s">
        <v>4899</v>
      </c>
      <c r="N1664" t="s">
        <v>4927</v>
      </c>
      <c r="O1664" t="s">
        <v>4898</v>
      </c>
      <c r="R1664" t="s">
        <v>4318</v>
      </c>
      <c r="S1664" s="34" t="s">
        <v>5369</v>
      </c>
    </row>
    <row r="1665" spans="1:19" ht="243" x14ac:dyDescent="0.15">
      <c r="A1665" t="s">
        <v>3617</v>
      </c>
      <c r="B1665" s="61">
        <v>46174</v>
      </c>
      <c r="E1665" t="s">
        <v>355</v>
      </c>
      <c r="F1665" t="s">
        <v>351</v>
      </c>
      <c r="G1665" t="s">
        <v>354</v>
      </c>
      <c r="H1665" t="s">
        <v>365</v>
      </c>
      <c r="I1665">
        <v>4000985</v>
      </c>
      <c r="J1665" t="s">
        <v>3914</v>
      </c>
      <c r="K1665" t="s">
        <v>4916</v>
      </c>
      <c r="L1665" t="s">
        <v>413</v>
      </c>
      <c r="N1665" t="s">
        <v>4917</v>
      </c>
      <c r="O1665" t="s">
        <v>4918</v>
      </c>
      <c r="R1665" t="s">
        <v>4318</v>
      </c>
      <c r="S1665" s="34" t="s">
        <v>5370</v>
      </c>
    </row>
    <row r="1666" spans="1:19" ht="216" x14ac:dyDescent="0.15">
      <c r="A1666" t="s">
        <v>3617</v>
      </c>
      <c r="B1666" s="61">
        <v>46174</v>
      </c>
      <c r="E1666" t="s">
        <v>355</v>
      </c>
      <c r="F1666" t="s">
        <v>351</v>
      </c>
      <c r="G1666" t="s">
        <v>354</v>
      </c>
      <c r="H1666" t="s">
        <v>686</v>
      </c>
      <c r="I1666">
        <v>4000985</v>
      </c>
      <c r="J1666" t="s">
        <v>3914</v>
      </c>
      <c r="K1666" t="s">
        <v>4916</v>
      </c>
      <c r="L1666" t="s">
        <v>413</v>
      </c>
      <c r="N1666">
        <v>2180206</v>
      </c>
      <c r="O1666" t="s">
        <v>4918</v>
      </c>
      <c r="S1666" s="34" t="s">
        <v>5371</v>
      </c>
    </row>
    <row r="1667" spans="1:19" ht="409.5" x14ac:dyDescent="0.15">
      <c r="A1667" t="s">
        <v>1095</v>
      </c>
      <c r="B1667" s="61">
        <v>46054</v>
      </c>
      <c r="E1667" t="s">
        <v>355</v>
      </c>
      <c r="F1667" t="s">
        <v>351</v>
      </c>
      <c r="G1667" t="s">
        <v>354</v>
      </c>
      <c r="H1667" t="s">
        <v>353</v>
      </c>
      <c r="I1667">
        <v>3900113</v>
      </c>
      <c r="J1667" t="s">
        <v>4667</v>
      </c>
      <c r="K1667" t="s">
        <v>1542</v>
      </c>
      <c r="L1667" t="s">
        <v>413</v>
      </c>
      <c r="N1667" s="34" t="s">
        <v>4928</v>
      </c>
      <c r="O1667" t="s">
        <v>4929</v>
      </c>
      <c r="R1667" s="34" t="s">
        <v>4930</v>
      </c>
      <c r="S1667" s="34" t="s">
        <v>4931</v>
      </c>
    </row>
    <row r="1668" spans="1:19" x14ac:dyDescent="0.15">
      <c r="A1668" t="s">
        <v>2027</v>
      </c>
      <c r="B1668" s="61">
        <v>46753</v>
      </c>
      <c r="E1668" t="s">
        <v>355</v>
      </c>
      <c r="F1668" t="s">
        <v>356</v>
      </c>
      <c r="H1668" t="s">
        <v>353</v>
      </c>
      <c r="I1668">
        <v>2801335</v>
      </c>
      <c r="J1668" t="s">
        <v>3951</v>
      </c>
      <c r="K1668" t="s">
        <v>1450</v>
      </c>
      <c r="L1668" t="s">
        <v>613</v>
      </c>
      <c r="N1668" t="s">
        <v>4932</v>
      </c>
      <c r="O1668" t="s">
        <v>3953</v>
      </c>
      <c r="R1668" t="s">
        <v>362</v>
      </c>
    </row>
    <row r="1669" spans="1:19" x14ac:dyDescent="0.15">
      <c r="A1669" t="s">
        <v>2027</v>
      </c>
      <c r="B1669" s="61">
        <v>48214</v>
      </c>
      <c r="E1669" t="s">
        <v>355</v>
      </c>
      <c r="F1669" t="s">
        <v>385</v>
      </c>
      <c r="H1669" t="s">
        <v>353</v>
      </c>
      <c r="I1669">
        <v>2801335</v>
      </c>
      <c r="J1669" t="s">
        <v>3951</v>
      </c>
      <c r="K1669" t="s">
        <v>1450</v>
      </c>
      <c r="L1669" t="s">
        <v>613</v>
      </c>
      <c r="N1669" t="s">
        <v>4932</v>
      </c>
      <c r="O1669" t="s">
        <v>3953</v>
      </c>
    </row>
    <row r="1670" spans="1:19" ht="270" x14ac:dyDescent="0.15">
      <c r="A1670" t="s">
        <v>1359</v>
      </c>
      <c r="B1670" s="61">
        <v>46174</v>
      </c>
      <c r="E1670" t="s">
        <v>355</v>
      </c>
      <c r="F1670" t="s">
        <v>351</v>
      </c>
      <c r="H1670" t="s">
        <v>365</v>
      </c>
      <c r="I1670">
        <v>3500317</v>
      </c>
      <c r="J1670" t="s">
        <v>5056</v>
      </c>
      <c r="K1670" t="s">
        <v>1363</v>
      </c>
      <c r="L1670" t="s">
        <v>390</v>
      </c>
      <c r="N1670" t="s">
        <v>5057</v>
      </c>
      <c r="O1670" t="s">
        <v>5058</v>
      </c>
      <c r="S1670" s="34" t="s">
        <v>5372</v>
      </c>
    </row>
    <row r="1671" spans="1:19" ht="229.5" x14ac:dyDescent="0.15">
      <c r="A1671" t="s">
        <v>3051</v>
      </c>
      <c r="B1671" s="61">
        <v>46174</v>
      </c>
      <c r="E1671" t="s">
        <v>355</v>
      </c>
      <c r="F1671" t="s">
        <v>351</v>
      </c>
      <c r="H1671" t="s">
        <v>353</v>
      </c>
      <c r="I1671">
        <v>900594</v>
      </c>
      <c r="J1671" t="s">
        <v>5075</v>
      </c>
      <c r="K1671" t="s">
        <v>5076</v>
      </c>
      <c r="L1671" t="s">
        <v>2181</v>
      </c>
      <c r="N1671" t="s">
        <v>5077</v>
      </c>
      <c r="O1671" t="s">
        <v>5078</v>
      </c>
      <c r="S1671" s="34" t="s">
        <v>5373</v>
      </c>
    </row>
    <row r="1672" spans="1:19" ht="409.5" x14ac:dyDescent="0.15">
      <c r="A1672" t="s">
        <v>1817</v>
      </c>
      <c r="B1672" s="61">
        <v>46174</v>
      </c>
      <c r="E1672" t="s">
        <v>355</v>
      </c>
      <c r="F1672" t="s">
        <v>351</v>
      </c>
      <c r="H1672" t="s">
        <v>353</v>
      </c>
      <c r="I1672">
        <v>2800108</v>
      </c>
      <c r="J1672" t="s">
        <v>5083</v>
      </c>
      <c r="K1672" t="s">
        <v>5084</v>
      </c>
      <c r="L1672" t="s">
        <v>413</v>
      </c>
      <c r="N1672" t="s">
        <v>5085</v>
      </c>
      <c r="O1672" t="s">
        <v>5086</v>
      </c>
      <c r="S1672" s="34" t="s">
        <v>5374</v>
      </c>
    </row>
    <row r="1673" spans="1:19" ht="216" x14ac:dyDescent="0.15">
      <c r="A1673" t="s">
        <v>1817</v>
      </c>
      <c r="B1673" s="61">
        <v>46174</v>
      </c>
      <c r="E1673" t="s">
        <v>355</v>
      </c>
      <c r="F1673" t="s">
        <v>351</v>
      </c>
      <c r="H1673" t="s">
        <v>686</v>
      </c>
      <c r="I1673">
        <v>2800108</v>
      </c>
      <c r="J1673" t="s">
        <v>5083</v>
      </c>
      <c r="K1673" t="s">
        <v>5084</v>
      </c>
      <c r="L1673" t="s">
        <v>413</v>
      </c>
      <c r="N1673">
        <v>2181447</v>
      </c>
      <c r="O1673" t="s">
        <v>5086</v>
      </c>
      <c r="S1673" s="34" t="s">
        <v>5375</v>
      </c>
    </row>
    <row r="1674" spans="1:19" x14ac:dyDescent="0.15">
      <c r="A1674" t="s">
        <v>1424</v>
      </c>
      <c r="B1674" s="61">
        <v>47150</v>
      </c>
      <c r="E1674" t="s">
        <v>355</v>
      </c>
      <c r="F1674" t="s">
        <v>356</v>
      </c>
      <c r="H1674" t="s">
        <v>353</v>
      </c>
      <c r="I1674">
        <v>1201651</v>
      </c>
      <c r="J1674" t="s">
        <v>5108</v>
      </c>
      <c r="K1674" t="s">
        <v>4142</v>
      </c>
      <c r="L1674" t="s">
        <v>466</v>
      </c>
      <c r="N1674" t="s">
        <v>5109</v>
      </c>
      <c r="O1674" t="s">
        <v>5110</v>
      </c>
      <c r="R1674" t="s">
        <v>362</v>
      </c>
    </row>
    <row r="1675" spans="1:19" x14ac:dyDescent="0.15">
      <c r="A1675" t="s">
        <v>1424</v>
      </c>
      <c r="B1675" s="61">
        <v>48611</v>
      </c>
      <c r="E1675" t="s">
        <v>355</v>
      </c>
      <c r="F1675" t="s">
        <v>385</v>
      </c>
      <c r="H1675" t="s">
        <v>353</v>
      </c>
      <c r="I1675">
        <v>1201651</v>
      </c>
      <c r="J1675" t="s">
        <v>5108</v>
      </c>
      <c r="K1675" t="s">
        <v>4142</v>
      </c>
      <c r="L1675" t="s">
        <v>466</v>
      </c>
      <c r="N1675" t="s">
        <v>5109</v>
      </c>
      <c r="O1675" t="s">
        <v>5110</v>
      </c>
      <c r="R1675" t="s">
        <v>386</v>
      </c>
    </row>
    <row r="1676" spans="1:19" x14ac:dyDescent="0.15">
      <c r="A1676" t="s">
        <v>819</v>
      </c>
      <c r="B1676" s="61">
        <v>46844</v>
      </c>
      <c r="E1676" t="s">
        <v>355</v>
      </c>
      <c r="F1676" t="s">
        <v>356</v>
      </c>
      <c r="H1676" t="s">
        <v>353</v>
      </c>
      <c r="I1676">
        <v>4300119</v>
      </c>
      <c r="J1676" t="s">
        <v>5036</v>
      </c>
      <c r="K1676" t="s">
        <v>5037</v>
      </c>
      <c r="L1676" t="s">
        <v>2199</v>
      </c>
      <c r="N1676" t="s">
        <v>5063</v>
      </c>
      <c r="O1676" t="s">
        <v>5038</v>
      </c>
      <c r="R1676" t="s">
        <v>362</v>
      </c>
    </row>
    <row r="1677" spans="1:19" x14ac:dyDescent="0.15">
      <c r="A1677" t="s">
        <v>819</v>
      </c>
      <c r="B1677" s="61">
        <v>48305</v>
      </c>
      <c r="E1677" t="s">
        <v>355</v>
      </c>
      <c r="F1677" t="s">
        <v>385</v>
      </c>
      <c r="H1677" t="s">
        <v>353</v>
      </c>
      <c r="I1677">
        <v>4300119</v>
      </c>
      <c r="J1677" t="s">
        <v>5036</v>
      </c>
      <c r="K1677" t="s">
        <v>5037</v>
      </c>
      <c r="L1677" t="s">
        <v>2199</v>
      </c>
      <c r="N1677" t="s">
        <v>5063</v>
      </c>
      <c r="O1677" t="s">
        <v>5038</v>
      </c>
      <c r="R1677" t="s">
        <v>386</v>
      </c>
    </row>
    <row r="1678" spans="1:19" x14ac:dyDescent="0.15">
      <c r="A1678" t="s">
        <v>1234</v>
      </c>
      <c r="B1678" s="61">
        <v>47119</v>
      </c>
      <c r="E1678" t="s">
        <v>355</v>
      </c>
      <c r="F1678" t="s">
        <v>356</v>
      </c>
      <c r="H1678" t="s">
        <v>353</v>
      </c>
      <c r="I1678">
        <v>2401263</v>
      </c>
      <c r="J1678" t="s">
        <v>5111</v>
      </c>
      <c r="K1678" t="s">
        <v>5112</v>
      </c>
      <c r="L1678" t="s">
        <v>5113</v>
      </c>
      <c r="N1678" t="s">
        <v>5114</v>
      </c>
      <c r="O1678" t="s">
        <v>5115</v>
      </c>
      <c r="R1678" t="s">
        <v>362</v>
      </c>
    </row>
    <row r="1679" spans="1:19" x14ac:dyDescent="0.15">
      <c r="A1679" t="s">
        <v>1234</v>
      </c>
      <c r="B1679" s="61">
        <v>48580</v>
      </c>
      <c r="E1679" t="s">
        <v>355</v>
      </c>
      <c r="F1679" t="s">
        <v>385</v>
      </c>
      <c r="H1679" t="s">
        <v>353</v>
      </c>
      <c r="I1679">
        <v>2401263</v>
      </c>
      <c r="J1679" t="s">
        <v>5111</v>
      </c>
      <c r="K1679" t="s">
        <v>5112</v>
      </c>
      <c r="L1679" t="s">
        <v>5113</v>
      </c>
      <c r="N1679" t="s">
        <v>5114</v>
      </c>
      <c r="O1679" t="s">
        <v>5115</v>
      </c>
      <c r="R1679" t="s">
        <v>386</v>
      </c>
    </row>
    <row r="1680" spans="1:19" x14ac:dyDescent="0.15">
      <c r="A1680" t="s">
        <v>1095</v>
      </c>
      <c r="B1680" s="61">
        <v>47058</v>
      </c>
      <c r="E1680" t="s">
        <v>355</v>
      </c>
      <c r="F1680" t="s">
        <v>356</v>
      </c>
      <c r="H1680" t="s">
        <v>353</v>
      </c>
      <c r="I1680">
        <v>3900113</v>
      </c>
      <c r="J1680" t="s">
        <v>4667</v>
      </c>
      <c r="K1680" t="s">
        <v>1542</v>
      </c>
      <c r="L1680" t="s">
        <v>413</v>
      </c>
      <c r="N1680" t="s">
        <v>5116</v>
      </c>
      <c r="O1680" t="s">
        <v>4929</v>
      </c>
      <c r="R1680" t="s">
        <v>362</v>
      </c>
    </row>
    <row r="1681" spans="1:19" x14ac:dyDescent="0.15">
      <c r="A1681" t="s">
        <v>1095</v>
      </c>
      <c r="B1681" s="61">
        <v>48519</v>
      </c>
      <c r="E1681" t="s">
        <v>355</v>
      </c>
      <c r="F1681" t="s">
        <v>385</v>
      </c>
      <c r="H1681" t="s">
        <v>353</v>
      </c>
      <c r="I1681">
        <v>3900113</v>
      </c>
      <c r="J1681" t="s">
        <v>4667</v>
      </c>
      <c r="K1681" t="s">
        <v>1542</v>
      </c>
      <c r="L1681" t="s">
        <v>413</v>
      </c>
      <c r="N1681" t="s">
        <v>5116</v>
      </c>
      <c r="O1681" t="s">
        <v>4929</v>
      </c>
      <c r="R1681" t="s">
        <v>386</v>
      </c>
    </row>
    <row r="1682" spans="1:19" x14ac:dyDescent="0.15">
      <c r="A1682" t="s">
        <v>3051</v>
      </c>
      <c r="B1682" s="61">
        <v>47027</v>
      </c>
      <c r="E1682" t="s">
        <v>355</v>
      </c>
      <c r="F1682" t="s">
        <v>356</v>
      </c>
      <c r="H1682" t="s">
        <v>353</v>
      </c>
      <c r="I1682">
        <v>900594</v>
      </c>
      <c r="J1682" t="s">
        <v>5075</v>
      </c>
      <c r="K1682" t="s">
        <v>5076</v>
      </c>
      <c r="L1682" t="s">
        <v>2181</v>
      </c>
      <c r="N1682" t="s">
        <v>5077</v>
      </c>
      <c r="O1682" t="s">
        <v>5078</v>
      </c>
      <c r="R1682" t="s">
        <v>362</v>
      </c>
    </row>
    <row r="1683" spans="1:19" x14ac:dyDescent="0.15">
      <c r="A1683" t="s">
        <v>3051</v>
      </c>
      <c r="B1683" s="61">
        <v>48488</v>
      </c>
      <c r="E1683" t="s">
        <v>355</v>
      </c>
      <c r="F1683" t="s">
        <v>385</v>
      </c>
      <c r="H1683" t="s">
        <v>353</v>
      </c>
      <c r="I1683">
        <v>900594</v>
      </c>
      <c r="J1683" t="s">
        <v>5075</v>
      </c>
      <c r="K1683" t="s">
        <v>5076</v>
      </c>
      <c r="L1683" t="s">
        <v>2181</v>
      </c>
      <c r="N1683" t="s">
        <v>5077</v>
      </c>
      <c r="O1683" t="s">
        <v>5078</v>
      </c>
      <c r="R1683" t="s">
        <v>386</v>
      </c>
    </row>
    <row r="1684" spans="1:19" x14ac:dyDescent="0.15">
      <c r="A1684" t="s">
        <v>2160</v>
      </c>
      <c r="B1684" s="61">
        <v>46692</v>
      </c>
      <c r="E1684" t="s">
        <v>355</v>
      </c>
      <c r="F1684" t="s">
        <v>356</v>
      </c>
      <c r="H1684" t="s">
        <v>353</v>
      </c>
      <c r="I1684">
        <v>1201645</v>
      </c>
      <c r="J1684" t="s">
        <v>5117</v>
      </c>
      <c r="K1684" t="s">
        <v>5118</v>
      </c>
      <c r="L1684" t="s">
        <v>718</v>
      </c>
      <c r="N1684" t="s">
        <v>5119</v>
      </c>
      <c r="O1684" t="s">
        <v>5120</v>
      </c>
      <c r="R1684" t="s">
        <v>362</v>
      </c>
    </row>
    <row r="1685" spans="1:19" x14ac:dyDescent="0.15">
      <c r="A1685" t="s">
        <v>2160</v>
      </c>
      <c r="B1685" s="61">
        <v>48153</v>
      </c>
      <c r="E1685" t="s">
        <v>355</v>
      </c>
      <c r="F1685" t="s">
        <v>385</v>
      </c>
      <c r="H1685" t="s">
        <v>353</v>
      </c>
      <c r="I1685">
        <v>1201645</v>
      </c>
      <c r="J1685" t="s">
        <v>5117</v>
      </c>
      <c r="K1685" t="s">
        <v>5118</v>
      </c>
      <c r="L1685" t="s">
        <v>718</v>
      </c>
      <c r="N1685" t="s">
        <v>5119</v>
      </c>
      <c r="O1685" t="s">
        <v>5120</v>
      </c>
      <c r="R1685" t="s">
        <v>386</v>
      </c>
    </row>
    <row r="1686" spans="1:19" x14ac:dyDescent="0.15">
      <c r="A1686" t="s">
        <v>2993</v>
      </c>
      <c r="B1686" s="61">
        <v>47058</v>
      </c>
      <c r="E1686" t="s">
        <v>355</v>
      </c>
      <c r="F1686" t="s">
        <v>356</v>
      </c>
      <c r="H1686" t="s">
        <v>353</v>
      </c>
      <c r="I1686">
        <v>1300048</v>
      </c>
      <c r="J1686" t="s">
        <v>5079</v>
      </c>
      <c r="K1686" t="s">
        <v>5080</v>
      </c>
      <c r="L1686" t="s">
        <v>413</v>
      </c>
      <c r="N1686" t="s">
        <v>5081</v>
      </c>
      <c r="O1686" t="s">
        <v>5082</v>
      </c>
      <c r="R1686" t="s">
        <v>362</v>
      </c>
    </row>
    <row r="1687" spans="1:19" x14ac:dyDescent="0.15">
      <c r="A1687" t="s">
        <v>2993</v>
      </c>
      <c r="B1687" s="61">
        <v>48519</v>
      </c>
      <c r="E1687" t="s">
        <v>355</v>
      </c>
      <c r="F1687" t="s">
        <v>385</v>
      </c>
      <c r="H1687" t="s">
        <v>353</v>
      </c>
      <c r="I1687">
        <v>1300048</v>
      </c>
      <c r="J1687" t="s">
        <v>5079</v>
      </c>
      <c r="K1687" t="s">
        <v>5080</v>
      </c>
      <c r="L1687" t="s">
        <v>413</v>
      </c>
      <c r="N1687" t="s">
        <v>5081</v>
      </c>
      <c r="O1687" t="s">
        <v>5082</v>
      </c>
      <c r="R1687" t="s">
        <v>386</v>
      </c>
    </row>
    <row r="1688" spans="1:19" x14ac:dyDescent="0.15">
      <c r="A1688" t="s">
        <v>1817</v>
      </c>
      <c r="B1688" s="61">
        <v>46844</v>
      </c>
      <c r="E1688" t="s">
        <v>355</v>
      </c>
      <c r="F1688" t="s">
        <v>356</v>
      </c>
      <c r="H1688" t="s">
        <v>353</v>
      </c>
      <c r="I1688">
        <v>2800108</v>
      </c>
      <c r="J1688" t="s">
        <v>5083</v>
      </c>
      <c r="K1688" t="s">
        <v>5084</v>
      </c>
      <c r="L1688" t="s">
        <v>413</v>
      </c>
      <c r="N1688" t="s">
        <v>5121</v>
      </c>
      <c r="O1688" t="s">
        <v>5086</v>
      </c>
      <c r="R1688" t="s">
        <v>362</v>
      </c>
    </row>
    <row r="1689" spans="1:19" x14ac:dyDescent="0.15">
      <c r="A1689" t="s">
        <v>1817</v>
      </c>
      <c r="B1689" s="61">
        <v>48305</v>
      </c>
      <c r="E1689" t="s">
        <v>355</v>
      </c>
      <c r="F1689" t="s">
        <v>385</v>
      </c>
      <c r="H1689" t="s">
        <v>353</v>
      </c>
      <c r="I1689">
        <v>2800108</v>
      </c>
      <c r="J1689" t="s">
        <v>5083</v>
      </c>
      <c r="K1689" t="s">
        <v>5084</v>
      </c>
      <c r="L1689" t="s">
        <v>413</v>
      </c>
      <c r="N1689" t="s">
        <v>5121</v>
      </c>
      <c r="O1689" t="s">
        <v>5086</v>
      </c>
      <c r="R1689" t="s">
        <v>386</v>
      </c>
    </row>
    <row r="1690" spans="1:19" x14ac:dyDescent="0.15">
      <c r="A1690" t="s">
        <v>1145</v>
      </c>
      <c r="B1690" s="61">
        <v>47058</v>
      </c>
      <c r="E1690" t="s">
        <v>355</v>
      </c>
      <c r="F1690" t="s">
        <v>356</v>
      </c>
      <c r="H1690" t="s">
        <v>353</v>
      </c>
      <c r="I1690">
        <v>100905</v>
      </c>
      <c r="J1690" t="s">
        <v>5072</v>
      </c>
      <c r="K1690" t="s">
        <v>1251</v>
      </c>
      <c r="L1690" t="s">
        <v>413</v>
      </c>
      <c r="N1690" t="s">
        <v>5073</v>
      </c>
      <c r="O1690" t="s">
        <v>5074</v>
      </c>
      <c r="R1690" t="s">
        <v>362</v>
      </c>
    </row>
    <row r="1691" spans="1:19" x14ac:dyDescent="0.15">
      <c r="A1691" t="s">
        <v>1145</v>
      </c>
      <c r="B1691" s="61">
        <v>48519</v>
      </c>
      <c r="E1691" t="s">
        <v>355</v>
      </c>
      <c r="F1691" t="s">
        <v>385</v>
      </c>
      <c r="H1691" t="s">
        <v>353</v>
      </c>
      <c r="I1691">
        <v>100905</v>
      </c>
      <c r="J1691" t="s">
        <v>5072</v>
      </c>
      <c r="K1691" t="s">
        <v>1251</v>
      </c>
      <c r="L1691" t="s">
        <v>413</v>
      </c>
      <c r="N1691" t="s">
        <v>5073</v>
      </c>
      <c r="O1691" t="s">
        <v>5074</v>
      </c>
      <c r="R1691" t="s">
        <v>386</v>
      </c>
    </row>
    <row r="1692" spans="1:19" ht="409.5" x14ac:dyDescent="0.15">
      <c r="A1692" t="s">
        <v>3617</v>
      </c>
      <c r="B1692" s="61">
        <v>47178</v>
      </c>
      <c r="E1692" t="s">
        <v>355</v>
      </c>
      <c r="F1692" t="s">
        <v>356</v>
      </c>
      <c r="H1692" t="s">
        <v>353</v>
      </c>
      <c r="I1692">
        <v>4000991</v>
      </c>
      <c r="J1692" t="s">
        <v>5087</v>
      </c>
      <c r="K1692" t="s">
        <v>5088</v>
      </c>
      <c r="L1692" t="s">
        <v>5089</v>
      </c>
      <c r="N1692" t="s">
        <v>5090</v>
      </c>
      <c r="O1692" t="s">
        <v>5091</v>
      </c>
      <c r="R1692" t="s">
        <v>362</v>
      </c>
      <c r="S1692" s="34" t="s">
        <v>5175</v>
      </c>
    </row>
    <row r="1693" spans="1:19" ht="409.5" x14ac:dyDescent="0.15">
      <c r="A1693" t="s">
        <v>3617</v>
      </c>
      <c r="B1693" s="61">
        <v>48639</v>
      </c>
      <c r="E1693" t="s">
        <v>355</v>
      </c>
      <c r="F1693" t="s">
        <v>385</v>
      </c>
      <c r="H1693" t="s">
        <v>353</v>
      </c>
      <c r="I1693">
        <v>4000991</v>
      </c>
      <c r="J1693" t="s">
        <v>5087</v>
      </c>
      <c r="K1693" t="s">
        <v>5088</v>
      </c>
      <c r="L1693" t="s">
        <v>5089</v>
      </c>
      <c r="N1693" t="s">
        <v>5090</v>
      </c>
      <c r="O1693" t="s">
        <v>5091</v>
      </c>
      <c r="R1693" t="s">
        <v>386</v>
      </c>
      <c r="S1693" s="34" t="s">
        <v>5175</v>
      </c>
    </row>
    <row r="1694" spans="1:19" x14ac:dyDescent="0.15">
      <c r="A1694" t="s">
        <v>501</v>
      </c>
      <c r="B1694" s="61">
        <v>47209</v>
      </c>
      <c r="E1694" t="s">
        <v>355</v>
      </c>
      <c r="F1694" t="s">
        <v>356</v>
      </c>
      <c r="H1694" t="s">
        <v>353</v>
      </c>
      <c r="I1694">
        <v>1401834</v>
      </c>
      <c r="J1694" t="s">
        <v>5122</v>
      </c>
      <c r="K1694" t="s">
        <v>5123</v>
      </c>
      <c r="L1694" t="s">
        <v>502</v>
      </c>
      <c r="N1694" t="s">
        <v>5124</v>
      </c>
      <c r="O1694" t="s">
        <v>5125</v>
      </c>
      <c r="R1694" t="s">
        <v>362</v>
      </c>
    </row>
    <row r="1695" spans="1:19" x14ac:dyDescent="0.15">
      <c r="A1695" t="s">
        <v>501</v>
      </c>
      <c r="B1695" s="61">
        <v>48670</v>
      </c>
      <c r="E1695" t="s">
        <v>355</v>
      </c>
      <c r="F1695" t="s">
        <v>385</v>
      </c>
      <c r="H1695" t="s">
        <v>353</v>
      </c>
      <c r="I1695">
        <v>1401834</v>
      </c>
      <c r="J1695" t="s">
        <v>5122</v>
      </c>
      <c r="K1695" t="s">
        <v>5123</v>
      </c>
      <c r="L1695" t="s">
        <v>502</v>
      </c>
      <c r="N1695" t="s">
        <v>5124</v>
      </c>
      <c r="O1695" t="s">
        <v>5125</v>
      </c>
      <c r="R1695" t="s">
        <v>386</v>
      </c>
    </row>
    <row r="1696" spans="1:19" x14ac:dyDescent="0.15">
      <c r="A1696" t="s">
        <v>837</v>
      </c>
      <c r="B1696" s="61">
        <v>46357</v>
      </c>
      <c r="E1696" t="s">
        <v>355</v>
      </c>
      <c r="F1696" t="s">
        <v>356</v>
      </c>
      <c r="H1696" t="s">
        <v>353</v>
      </c>
      <c r="I1696">
        <v>1000847</v>
      </c>
      <c r="J1696" t="s">
        <v>906</v>
      </c>
      <c r="K1696" t="s">
        <v>5126</v>
      </c>
      <c r="L1696" t="s">
        <v>908</v>
      </c>
      <c r="N1696" t="s">
        <v>5127</v>
      </c>
      <c r="O1696" t="s">
        <v>909</v>
      </c>
      <c r="R1696" t="s">
        <v>362</v>
      </c>
      <c r="S1696" t="s">
        <v>5128</v>
      </c>
    </row>
    <row r="1697" spans="1:19" x14ac:dyDescent="0.15">
      <c r="A1697" t="s">
        <v>837</v>
      </c>
      <c r="B1697" s="61">
        <v>47818</v>
      </c>
      <c r="E1697" t="s">
        <v>355</v>
      </c>
      <c r="F1697" t="s">
        <v>385</v>
      </c>
      <c r="H1697" t="s">
        <v>353</v>
      </c>
      <c r="I1697">
        <v>1000847</v>
      </c>
      <c r="J1697" t="s">
        <v>906</v>
      </c>
      <c r="K1697" t="s">
        <v>5126</v>
      </c>
      <c r="L1697" t="s">
        <v>908</v>
      </c>
      <c r="N1697" t="s">
        <v>5127</v>
      </c>
      <c r="O1697" t="s">
        <v>909</v>
      </c>
      <c r="R1697" t="s">
        <v>386</v>
      </c>
      <c r="S1697" t="s">
        <v>5128</v>
      </c>
    </row>
    <row r="1698" spans="1:19" x14ac:dyDescent="0.15">
      <c r="A1698" t="s">
        <v>837</v>
      </c>
      <c r="B1698" s="61">
        <v>46722</v>
      </c>
      <c r="E1698" t="s">
        <v>355</v>
      </c>
      <c r="F1698" t="s">
        <v>356</v>
      </c>
      <c r="H1698" t="s">
        <v>353</v>
      </c>
      <c r="I1698">
        <v>1000847</v>
      </c>
      <c r="J1698" t="s">
        <v>906</v>
      </c>
      <c r="K1698" t="s">
        <v>5126</v>
      </c>
      <c r="L1698" t="s">
        <v>908</v>
      </c>
      <c r="N1698" t="s">
        <v>5129</v>
      </c>
      <c r="O1698" t="s">
        <v>909</v>
      </c>
      <c r="R1698" t="s">
        <v>362</v>
      </c>
      <c r="S1698" t="s">
        <v>5130</v>
      </c>
    </row>
    <row r="1699" spans="1:19" x14ac:dyDescent="0.15">
      <c r="A1699" t="s">
        <v>837</v>
      </c>
      <c r="B1699" s="61">
        <v>48183</v>
      </c>
      <c r="E1699" t="s">
        <v>355</v>
      </c>
      <c r="F1699" t="s">
        <v>385</v>
      </c>
      <c r="H1699" t="s">
        <v>353</v>
      </c>
      <c r="I1699">
        <v>1000847</v>
      </c>
      <c r="J1699" t="s">
        <v>906</v>
      </c>
      <c r="K1699" t="s">
        <v>5126</v>
      </c>
      <c r="L1699" t="s">
        <v>908</v>
      </c>
      <c r="N1699" t="s">
        <v>5129</v>
      </c>
      <c r="O1699" t="s">
        <v>909</v>
      </c>
      <c r="R1699" t="s">
        <v>386</v>
      </c>
      <c r="S1699" t="s">
        <v>5130</v>
      </c>
    </row>
    <row r="1700" spans="1:19" x14ac:dyDescent="0.15">
      <c r="A1700" t="s">
        <v>3895</v>
      </c>
      <c r="B1700" s="61">
        <v>46935</v>
      </c>
      <c r="E1700" t="s">
        <v>355</v>
      </c>
      <c r="F1700" t="s">
        <v>356</v>
      </c>
      <c r="H1700" t="s">
        <v>353</v>
      </c>
      <c r="I1700">
        <v>1100690</v>
      </c>
      <c r="J1700" t="s">
        <v>1212</v>
      </c>
      <c r="K1700" t="s">
        <v>4010</v>
      </c>
      <c r="L1700" t="s">
        <v>1018</v>
      </c>
      <c r="N1700" t="s">
        <v>5131</v>
      </c>
      <c r="O1700" t="s">
        <v>1019</v>
      </c>
      <c r="R1700" t="s">
        <v>362</v>
      </c>
    </row>
    <row r="1701" spans="1:19" x14ac:dyDescent="0.15">
      <c r="A1701" t="s">
        <v>3895</v>
      </c>
      <c r="B1701" s="61">
        <v>48396</v>
      </c>
      <c r="E1701" t="s">
        <v>355</v>
      </c>
      <c r="F1701" t="s">
        <v>385</v>
      </c>
      <c r="H1701" t="s">
        <v>353</v>
      </c>
      <c r="I1701">
        <v>1100690</v>
      </c>
      <c r="J1701" t="s">
        <v>1212</v>
      </c>
      <c r="K1701" t="s">
        <v>4010</v>
      </c>
      <c r="L1701" t="s">
        <v>1018</v>
      </c>
      <c r="N1701" t="s">
        <v>5131</v>
      </c>
      <c r="O1701" t="s">
        <v>1019</v>
      </c>
      <c r="R1701" t="s">
        <v>386</v>
      </c>
    </row>
    <row r="1702" spans="1:19" x14ac:dyDescent="0.15">
      <c r="A1702" t="s">
        <v>2255</v>
      </c>
      <c r="B1702" s="61">
        <v>47300</v>
      </c>
      <c r="E1702" t="s">
        <v>355</v>
      </c>
      <c r="F1702" t="s">
        <v>356</v>
      </c>
      <c r="H1702" t="s">
        <v>365</v>
      </c>
      <c r="I1702">
        <v>1100913</v>
      </c>
      <c r="J1702" t="s">
        <v>2281</v>
      </c>
      <c r="K1702" t="s">
        <v>3955</v>
      </c>
      <c r="L1702" t="s">
        <v>3956</v>
      </c>
      <c r="N1702" t="s">
        <v>5132</v>
      </c>
      <c r="O1702" t="s">
        <v>3957</v>
      </c>
      <c r="R1702" t="s">
        <v>362</v>
      </c>
    </row>
    <row r="1703" spans="1:19" x14ac:dyDescent="0.15">
      <c r="A1703" t="s">
        <v>2255</v>
      </c>
      <c r="B1703" s="61">
        <v>48761</v>
      </c>
      <c r="E1703" t="s">
        <v>355</v>
      </c>
      <c r="F1703" t="s">
        <v>385</v>
      </c>
      <c r="H1703" t="s">
        <v>365</v>
      </c>
      <c r="I1703">
        <v>1100913</v>
      </c>
      <c r="J1703" t="s">
        <v>2281</v>
      </c>
      <c r="K1703" t="s">
        <v>3955</v>
      </c>
      <c r="L1703" t="s">
        <v>3956</v>
      </c>
      <c r="N1703" t="s">
        <v>5132</v>
      </c>
      <c r="O1703" t="s">
        <v>3957</v>
      </c>
      <c r="R1703" t="s">
        <v>395</v>
      </c>
    </row>
    <row r="1704" spans="1:19" x14ac:dyDescent="0.15">
      <c r="A1704" t="s">
        <v>2597</v>
      </c>
      <c r="B1704" s="61">
        <v>46388</v>
      </c>
      <c r="E1704" t="s">
        <v>355</v>
      </c>
      <c r="F1704" t="s">
        <v>356</v>
      </c>
      <c r="H1704" t="s">
        <v>365</v>
      </c>
      <c r="I1704">
        <v>2702832</v>
      </c>
      <c r="J1704" t="s">
        <v>5133</v>
      </c>
      <c r="L1704" t="s">
        <v>3864</v>
      </c>
      <c r="N1704" t="s">
        <v>5134</v>
      </c>
      <c r="O1704" t="s">
        <v>5135</v>
      </c>
      <c r="R1704" t="s">
        <v>362</v>
      </c>
    </row>
    <row r="1705" spans="1:19" x14ac:dyDescent="0.15">
      <c r="A1705" t="s">
        <v>2597</v>
      </c>
      <c r="B1705" s="61">
        <v>47849</v>
      </c>
      <c r="E1705" t="s">
        <v>355</v>
      </c>
      <c r="F1705" t="s">
        <v>385</v>
      </c>
      <c r="H1705" t="s">
        <v>365</v>
      </c>
      <c r="I1705">
        <v>2702832</v>
      </c>
      <c r="J1705" t="s">
        <v>5133</v>
      </c>
      <c r="L1705" t="s">
        <v>3864</v>
      </c>
      <c r="N1705" t="s">
        <v>5134</v>
      </c>
      <c r="O1705" t="s">
        <v>5135</v>
      </c>
      <c r="R1705" t="s">
        <v>395</v>
      </c>
    </row>
    <row r="1706" spans="1:19" x14ac:dyDescent="0.15">
      <c r="A1706" t="s">
        <v>5394</v>
      </c>
      <c r="B1706" s="61">
        <v>47178</v>
      </c>
      <c r="E1706" t="s">
        <v>355</v>
      </c>
      <c r="F1706" t="s">
        <v>356</v>
      </c>
      <c r="H1706" t="s">
        <v>365</v>
      </c>
      <c r="I1706">
        <v>1400815</v>
      </c>
      <c r="J1706" t="s">
        <v>3917</v>
      </c>
      <c r="K1706" t="s">
        <v>5136</v>
      </c>
      <c r="L1706" t="s">
        <v>413</v>
      </c>
      <c r="N1706" t="s">
        <v>5137</v>
      </c>
      <c r="O1706" t="s">
        <v>5138</v>
      </c>
      <c r="R1706" t="s">
        <v>362</v>
      </c>
    </row>
    <row r="1707" spans="1:19" x14ac:dyDescent="0.15">
      <c r="A1707" t="s">
        <v>5394</v>
      </c>
      <c r="B1707" s="61">
        <v>48639</v>
      </c>
      <c r="E1707" t="s">
        <v>355</v>
      </c>
      <c r="F1707" t="s">
        <v>385</v>
      </c>
      <c r="H1707" t="s">
        <v>365</v>
      </c>
      <c r="I1707">
        <v>1400815</v>
      </c>
      <c r="J1707" t="s">
        <v>3917</v>
      </c>
      <c r="K1707" t="s">
        <v>5136</v>
      </c>
      <c r="L1707" t="s">
        <v>413</v>
      </c>
      <c r="N1707" t="s">
        <v>5137</v>
      </c>
      <c r="O1707" t="s">
        <v>5138</v>
      </c>
      <c r="R1707" t="s">
        <v>395</v>
      </c>
    </row>
    <row r="1708" spans="1:19" x14ac:dyDescent="0.15">
      <c r="A1708" t="s">
        <v>5394</v>
      </c>
      <c r="B1708" s="61">
        <v>47178</v>
      </c>
      <c r="E1708" t="s">
        <v>355</v>
      </c>
      <c r="F1708" t="s">
        <v>356</v>
      </c>
      <c r="H1708" t="s">
        <v>365</v>
      </c>
      <c r="I1708">
        <v>1400559</v>
      </c>
      <c r="J1708" t="s">
        <v>3917</v>
      </c>
      <c r="K1708" t="s">
        <v>5139</v>
      </c>
      <c r="L1708" t="s">
        <v>373</v>
      </c>
      <c r="N1708" t="s">
        <v>5140</v>
      </c>
      <c r="O1708" t="s">
        <v>5141</v>
      </c>
      <c r="R1708" t="s">
        <v>362</v>
      </c>
    </row>
    <row r="1709" spans="1:19" x14ac:dyDescent="0.15">
      <c r="A1709" t="s">
        <v>5394</v>
      </c>
      <c r="B1709" s="61">
        <v>48639</v>
      </c>
      <c r="E1709" t="s">
        <v>355</v>
      </c>
      <c r="F1709" t="s">
        <v>385</v>
      </c>
      <c r="H1709" t="s">
        <v>365</v>
      </c>
      <c r="I1709">
        <v>1400559</v>
      </c>
      <c r="J1709" t="s">
        <v>3917</v>
      </c>
      <c r="K1709" t="s">
        <v>5139</v>
      </c>
      <c r="L1709" t="s">
        <v>373</v>
      </c>
      <c r="N1709" t="s">
        <v>5140</v>
      </c>
      <c r="O1709" t="s">
        <v>5141</v>
      </c>
      <c r="R1709" t="s">
        <v>395</v>
      </c>
    </row>
    <row r="1710" spans="1:19" x14ac:dyDescent="0.15">
      <c r="A1710" t="s">
        <v>501</v>
      </c>
      <c r="B1710" s="61">
        <v>47423</v>
      </c>
      <c r="E1710" t="s">
        <v>355</v>
      </c>
      <c r="F1710" t="s">
        <v>356</v>
      </c>
      <c r="H1710" t="s">
        <v>310</v>
      </c>
      <c r="I1710">
        <v>1401834</v>
      </c>
      <c r="J1710" t="s">
        <v>5122</v>
      </c>
      <c r="K1710" t="s">
        <v>5123</v>
      </c>
      <c r="L1710" t="s">
        <v>502</v>
      </c>
      <c r="N1710" t="s">
        <v>5142</v>
      </c>
      <c r="O1710" t="s">
        <v>5125</v>
      </c>
      <c r="R1710" t="s">
        <v>362</v>
      </c>
    </row>
    <row r="1711" spans="1:19" x14ac:dyDescent="0.15">
      <c r="A1711" t="s">
        <v>501</v>
      </c>
      <c r="B1711" s="61">
        <v>48519</v>
      </c>
      <c r="E1711" t="s">
        <v>355</v>
      </c>
      <c r="F1711" t="s">
        <v>543</v>
      </c>
      <c r="H1711" t="s">
        <v>310</v>
      </c>
      <c r="I1711">
        <v>1401834</v>
      </c>
      <c r="J1711" t="s">
        <v>5122</v>
      </c>
      <c r="K1711" t="s">
        <v>5123</v>
      </c>
      <c r="L1711" t="s">
        <v>502</v>
      </c>
      <c r="N1711" t="s">
        <v>5142</v>
      </c>
      <c r="O1711" t="s">
        <v>5125</v>
      </c>
      <c r="R1711" t="s">
        <v>755</v>
      </c>
    </row>
    <row r="1712" spans="1:19" x14ac:dyDescent="0.15">
      <c r="A1712" t="s">
        <v>501</v>
      </c>
      <c r="B1712" s="61">
        <v>48884</v>
      </c>
      <c r="E1712" t="s">
        <v>355</v>
      </c>
      <c r="F1712" t="s">
        <v>385</v>
      </c>
      <c r="H1712" t="s">
        <v>310</v>
      </c>
      <c r="I1712">
        <v>1401834</v>
      </c>
      <c r="J1712" t="s">
        <v>5122</v>
      </c>
      <c r="K1712" t="s">
        <v>5123</v>
      </c>
      <c r="L1712" t="s">
        <v>502</v>
      </c>
      <c r="N1712" t="s">
        <v>5142</v>
      </c>
      <c r="O1712" t="s">
        <v>5125</v>
      </c>
      <c r="R1712" t="s">
        <v>395</v>
      </c>
    </row>
    <row r="1713" spans="1:19" ht="364.5" x14ac:dyDescent="0.15">
      <c r="A1713" t="s">
        <v>3731</v>
      </c>
      <c r="B1713" s="61">
        <v>46753</v>
      </c>
      <c r="E1713" t="s">
        <v>355</v>
      </c>
      <c r="F1713" t="s">
        <v>385</v>
      </c>
      <c r="H1713" t="s">
        <v>365</v>
      </c>
      <c r="I1713">
        <v>2600496</v>
      </c>
      <c r="J1713" t="s">
        <v>5145</v>
      </c>
      <c r="K1713" t="s">
        <v>1071</v>
      </c>
      <c r="L1713" t="s">
        <v>390</v>
      </c>
      <c r="N1713" t="s">
        <v>3767</v>
      </c>
      <c r="O1713" t="s">
        <v>3768</v>
      </c>
      <c r="R1713" t="s">
        <v>395</v>
      </c>
      <c r="S1713" s="34" t="s">
        <v>5146</v>
      </c>
    </row>
    <row r="1714" spans="1:19" ht="189" x14ac:dyDescent="0.15">
      <c r="A1714" t="s">
        <v>2597</v>
      </c>
      <c r="B1714" s="61">
        <v>46357</v>
      </c>
      <c r="E1714" t="s">
        <v>355</v>
      </c>
      <c r="F1714" t="s">
        <v>351</v>
      </c>
      <c r="H1714" t="s">
        <v>5176</v>
      </c>
      <c r="I1714">
        <v>2701893</v>
      </c>
      <c r="J1714" t="s">
        <v>2688</v>
      </c>
      <c r="K1714" t="s">
        <v>4285</v>
      </c>
      <c r="L1714" t="s">
        <v>413</v>
      </c>
      <c r="N1714" t="s">
        <v>7376</v>
      </c>
      <c r="O1714" t="s">
        <v>4287</v>
      </c>
      <c r="S1714" s="34" t="s">
        <v>5153</v>
      </c>
    </row>
    <row r="1715" spans="1:19" ht="175.5" x14ac:dyDescent="0.15">
      <c r="A1715" t="s">
        <v>1797</v>
      </c>
      <c r="B1715" s="61">
        <v>46327</v>
      </c>
      <c r="E1715" t="s">
        <v>355</v>
      </c>
      <c r="F1715" t="s">
        <v>351</v>
      </c>
      <c r="H1715" t="s">
        <v>5152</v>
      </c>
      <c r="I1715">
        <v>2802371</v>
      </c>
      <c r="J1715" t="s">
        <v>4341</v>
      </c>
      <c r="K1715" t="s">
        <v>440</v>
      </c>
      <c r="L1715" t="s">
        <v>916</v>
      </c>
      <c r="N1715" t="s">
        <v>5154</v>
      </c>
      <c r="O1715" t="s">
        <v>4342</v>
      </c>
      <c r="S1715" s="34" t="s">
        <v>5155</v>
      </c>
    </row>
    <row r="1716" spans="1:19" ht="202.5" x14ac:dyDescent="0.15">
      <c r="A1716" t="s">
        <v>1145</v>
      </c>
      <c r="B1716" s="61">
        <v>46174</v>
      </c>
      <c r="E1716" t="s">
        <v>355</v>
      </c>
      <c r="F1716" t="s">
        <v>351</v>
      </c>
      <c r="H1716" t="s">
        <v>5152</v>
      </c>
      <c r="I1716">
        <v>100874</v>
      </c>
      <c r="J1716" t="s">
        <v>4718</v>
      </c>
      <c r="K1716" t="s">
        <v>4719</v>
      </c>
      <c r="L1716" t="s">
        <v>5156</v>
      </c>
      <c r="N1716" t="s">
        <v>5157</v>
      </c>
      <c r="O1716" t="s">
        <v>4898</v>
      </c>
      <c r="S1716" s="34" t="s">
        <v>5158</v>
      </c>
    </row>
    <row r="1717" spans="1:19" ht="175.5" x14ac:dyDescent="0.15">
      <c r="A1717" t="s">
        <v>1234</v>
      </c>
      <c r="B1717" s="61">
        <v>46296</v>
      </c>
      <c r="E1717" t="s">
        <v>355</v>
      </c>
      <c r="F1717" t="s">
        <v>351</v>
      </c>
      <c r="H1717" t="s">
        <v>5152</v>
      </c>
      <c r="I1717">
        <v>2401259</v>
      </c>
      <c r="J1717" t="s">
        <v>1274</v>
      </c>
      <c r="K1717" t="s">
        <v>1275</v>
      </c>
      <c r="L1717" t="s">
        <v>1276</v>
      </c>
      <c r="N1717" t="s">
        <v>5159</v>
      </c>
      <c r="O1717" t="s">
        <v>1278</v>
      </c>
      <c r="S1717" s="34" t="s">
        <v>5160</v>
      </c>
    </row>
    <row r="1718" spans="1:19" ht="409.5" x14ac:dyDescent="0.15">
      <c r="A1718" t="s">
        <v>3297</v>
      </c>
      <c r="B1718" s="61">
        <v>46143</v>
      </c>
      <c r="E1718" t="s">
        <v>355</v>
      </c>
      <c r="F1718" t="s">
        <v>351</v>
      </c>
      <c r="G1718" t="s">
        <v>354</v>
      </c>
      <c r="H1718" t="s">
        <v>353</v>
      </c>
      <c r="I1718">
        <v>2801479</v>
      </c>
      <c r="J1718" t="s">
        <v>5177</v>
      </c>
      <c r="K1718" t="s">
        <v>1769</v>
      </c>
      <c r="L1718" t="s">
        <v>698</v>
      </c>
      <c r="N1718" t="s">
        <v>5178</v>
      </c>
      <c r="O1718" t="s">
        <v>5179</v>
      </c>
      <c r="S1718" s="34" t="s">
        <v>5199</v>
      </c>
    </row>
    <row r="1719" spans="1:19" ht="409.5" x14ac:dyDescent="0.15">
      <c r="A1719" t="s">
        <v>3483</v>
      </c>
      <c r="B1719" s="61">
        <v>46174</v>
      </c>
      <c r="E1719" t="s">
        <v>355</v>
      </c>
      <c r="F1719" t="s">
        <v>351</v>
      </c>
      <c r="G1719" t="s">
        <v>354</v>
      </c>
      <c r="H1719" t="s">
        <v>365</v>
      </c>
      <c r="I1719">
        <v>2303839</v>
      </c>
      <c r="J1719" t="s">
        <v>4458</v>
      </c>
      <c r="K1719" t="s">
        <v>4459</v>
      </c>
      <c r="L1719" t="s">
        <v>4460</v>
      </c>
      <c r="N1719" t="s">
        <v>4875</v>
      </c>
      <c r="O1719" t="s">
        <v>4461</v>
      </c>
      <c r="S1719" s="34" t="s">
        <v>5376</v>
      </c>
    </row>
    <row r="1720" spans="1:19" ht="409.5" x14ac:dyDescent="0.15">
      <c r="A1720" t="s">
        <v>1234</v>
      </c>
      <c r="B1720" s="61">
        <v>46174</v>
      </c>
      <c r="E1720" t="s">
        <v>355</v>
      </c>
      <c r="F1720" t="s">
        <v>351</v>
      </c>
      <c r="G1720" t="s">
        <v>354</v>
      </c>
      <c r="H1720" t="s">
        <v>353</v>
      </c>
      <c r="I1720">
        <v>2401263</v>
      </c>
      <c r="J1720" t="s">
        <v>5111</v>
      </c>
      <c r="K1720" t="s">
        <v>5112</v>
      </c>
      <c r="L1720" t="s">
        <v>5113</v>
      </c>
      <c r="N1720" t="s">
        <v>7377</v>
      </c>
      <c r="O1720" t="s">
        <v>5115</v>
      </c>
      <c r="S1720" s="34" t="s">
        <v>5377</v>
      </c>
    </row>
    <row r="1721" spans="1:19" ht="409.5" x14ac:dyDescent="0.15">
      <c r="A1721" t="s">
        <v>1234</v>
      </c>
      <c r="B1721" s="61">
        <v>46174</v>
      </c>
      <c r="E1721" t="s">
        <v>355</v>
      </c>
      <c r="F1721" t="s">
        <v>351</v>
      </c>
      <c r="H1721" t="s">
        <v>686</v>
      </c>
      <c r="I1721">
        <v>2401263</v>
      </c>
      <c r="J1721" t="s">
        <v>5111</v>
      </c>
      <c r="K1721" t="s">
        <v>5112</v>
      </c>
      <c r="L1721" t="s">
        <v>5113</v>
      </c>
      <c r="N1721">
        <v>2182940</v>
      </c>
      <c r="O1721" t="s">
        <v>5115</v>
      </c>
      <c r="S1721" s="34" t="s">
        <v>5378</v>
      </c>
    </row>
    <row r="1722" spans="1:19" x14ac:dyDescent="0.15">
      <c r="A1722" t="s">
        <v>2693</v>
      </c>
      <c r="B1722" s="61">
        <v>46266</v>
      </c>
      <c r="E1722" t="s">
        <v>355</v>
      </c>
      <c r="F1722" t="s">
        <v>351</v>
      </c>
      <c r="H1722" t="s">
        <v>5176</v>
      </c>
      <c r="I1722">
        <v>2303834</v>
      </c>
      <c r="J1722" t="s">
        <v>974</v>
      </c>
      <c r="K1722" t="s">
        <v>2759</v>
      </c>
      <c r="L1722" t="s">
        <v>2760</v>
      </c>
      <c r="N1722" t="s">
        <v>5161</v>
      </c>
      <c r="O1722" t="s">
        <v>2762</v>
      </c>
      <c r="R1722" t="s">
        <v>5379</v>
      </c>
      <c r="S1722" t="s">
        <v>5380</v>
      </c>
    </row>
    <row r="1723" spans="1:19" ht="337.5" x14ac:dyDescent="0.15">
      <c r="A1723" t="s">
        <v>6263</v>
      </c>
      <c r="B1723" s="61">
        <v>46143</v>
      </c>
      <c r="E1723" t="s">
        <v>355</v>
      </c>
      <c r="F1723" t="s">
        <v>351</v>
      </c>
      <c r="H1723" t="s">
        <v>365</v>
      </c>
      <c r="I1723">
        <v>3300462</v>
      </c>
      <c r="J1723" t="s">
        <v>3598</v>
      </c>
      <c r="K1723" t="s">
        <v>1914</v>
      </c>
      <c r="L1723" t="s">
        <v>5387</v>
      </c>
      <c r="N1723" t="s">
        <v>5388</v>
      </c>
      <c r="O1723" t="s">
        <v>5389</v>
      </c>
      <c r="R1723" t="s">
        <v>5390</v>
      </c>
      <c r="S1723" s="34" t="s">
        <v>5391</v>
      </c>
    </row>
    <row r="1724" spans="1:19" ht="216" x14ac:dyDescent="0.15">
      <c r="A1724" t="s">
        <v>5394</v>
      </c>
      <c r="B1724" s="61">
        <v>46235</v>
      </c>
      <c r="E1724" t="s">
        <v>355</v>
      </c>
      <c r="F1724" t="s">
        <v>351</v>
      </c>
      <c r="G1724" t="s">
        <v>354</v>
      </c>
      <c r="H1724" t="s">
        <v>353</v>
      </c>
      <c r="I1724">
        <v>1401437</v>
      </c>
      <c r="J1724" t="s">
        <v>958</v>
      </c>
      <c r="K1724" t="s">
        <v>959</v>
      </c>
      <c r="L1724" t="s">
        <v>373</v>
      </c>
      <c r="N1724" t="s">
        <v>960</v>
      </c>
      <c r="O1724" t="s">
        <v>961</v>
      </c>
      <c r="R1724" t="s">
        <v>3986</v>
      </c>
      <c r="S1724" s="34" t="s">
        <v>5395</v>
      </c>
    </row>
    <row r="1725" spans="1:19" ht="409.5" x14ac:dyDescent="0.15">
      <c r="A1725" t="s">
        <v>5394</v>
      </c>
      <c r="B1725" s="61">
        <v>46235</v>
      </c>
      <c r="E1725" t="s">
        <v>355</v>
      </c>
      <c r="F1725" t="s">
        <v>351</v>
      </c>
      <c r="G1725" t="s">
        <v>352</v>
      </c>
      <c r="H1725" t="s">
        <v>365</v>
      </c>
      <c r="I1725">
        <v>1401483</v>
      </c>
      <c r="J1725" t="s">
        <v>4789</v>
      </c>
      <c r="K1725" t="s">
        <v>4790</v>
      </c>
      <c r="L1725" t="s">
        <v>373</v>
      </c>
      <c r="N1725" t="s">
        <v>5396</v>
      </c>
      <c r="O1725" t="s">
        <v>5397</v>
      </c>
      <c r="R1725" t="s">
        <v>3985</v>
      </c>
      <c r="S1725" s="34" t="s">
        <v>5398</v>
      </c>
    </row>
    <row r="1726" spans="1:19" ht="409.5" x14ac:dyDescent="0.15">
      <c r="A1726" t="s">
        <v>5394</v>
      </c>
      <c r="B1726" s="61">
        <v>46296</v>
      </c>
      <c r="E1726" t="s">
        <v>355</v>
      </c>
      <c r="F1726" t="s">
        <v>351</v>
      </c>
      <c r="G1726" t="s">
        <v>354</v>
      </c>
      <c r="H1726" t="s">
        <v>686</v>
      </c>
      <c r="I1726">
        <v>1402368</v>
      </c>
      <c r="J1726" t="s">
        <v>974</v>
      </c>
      <c r="K1726" t="s">
        <v>4038</v>
      </c>
      <c r="L1726" t="s">
        <v>4039</v>
      </c>
      <c r="N1726" t="s">
        <v>4040</v>
      </c>
      <c r="O1726" t="s">
        <v>4041</v>
      </c>
      <c r="R1726" t="s">
        <v>5399</v>
      </c>
      <c r="S1726" s="34" t="s">
        <v>5400</v>
      </c>
    </row>
    <row r="1727" spans="1:19" ht="409.5" x14ac:dyDescent="0.15">
      <c r="A1727" t="s">
        <v>5394</v>
      </c>
      <c r="B1727" s="61">
        <v>46296</v>
      </c>
      <c r="E1727" t="s">
        <v>355</v>
      </c>
      <c r="F1727" t="s">
        <v>351</v>
      </c>
      <c r="G1727" t="s">
        <v>354</v>
      </c>
      <c r="H1727" t="s">
        <v>353</v>
      </c>
      <c r="I1727">
        <v>1402375</v>
      </c>
      <c r="J1727" t="s">
        <v>5401</v>
      </c>
      <c r="K1727" t="s">
        <v>5402</v>
      </c>
      <c r="L1727" t="s">
        <v>2330</v>
      </c>
      <c r="N1727" t="s">
        <v>5403</v>
      </c>
      <c r="O1727" t="s">
        <v>5404</v>
      </c>
      <c r="R1727" t="s">
        <v>3987</v>
      </c>
      <c r="S1727" s="34" t="s">
        <v>5405</v>
      </c>
    </row>
    <row r="1728" spans="1:19" ht="243" x14ac:dyDescent="0.15">
      <c r="A1728" t="s">
        <v>5394</v>
      </c>
      <c r="B1728" s="61">
        <v>46296</v>
      </c>
      <c r="E1728" t="s">
        <v>355</v>
      </c>
      <c r="F1728" t="s">
        <v>351</v>
      </c>
      <c r="G1728" t="s">
        <v>354</v>
      </c>
      <c r="H1728" t="s">
        <v>686</v>
      </c>
      <c r="I1728">
        <v>1402375</v>
      </c>
      <c r="J1728" t="s">
        <v>5401</v>
      </c>
      <c r="K1728" t="s">
        <v>5402</v>
      </c>
      <c r="L1728" t="s">
        <v>2330</v>
      </c>
      <c r="N1728">
        <v>2078536</v>
      </c>
      <c r="O1728" t="s">
        <v>5404</v>
      </c>
      <c r="R1728" t="s">
        <v>3987</v>
      </c>
      <c r="S1728" s="34" t="s">
        <v>5406</v>
      </c>
    </row>
    <row r="1729" spans="1:19" ht="409.5" x14ac:dyDescent="0.15">
      <c r="A1729" t="s">
        <v>5394</v>
      </c>
      <c r="B1729" s="61">
        <v>46296</v>
      </c>
      <c r="E1729" t="s">
        <v>355</v>
      </c>
      <c r="F1729" t="s">
        <v>351</v>
      </c>
      <c r="G1729" t="s">
        <v>354</v>
      </c>
      <c r="H1729" t="s">
        <v>686</v>
      </c>
      <c r="I1729">
        <v>1402836</v>
      </c>
      <c r="J1729" t="s">
        <v>963</v>
      </c>
      <c r="K1729" t="s">
        <v>964</v>
      </c>
      <c r="L1729" t="s">
        <v>965</v>
      </c>
      <c r="N1729">
        <v>2131449</v>
      </c>
      <c r="O1729" t="s">
        <v>967</v>
      </c>
      <c r="R1729" t="s">
        <v>3987</v>
      </c>
      <c r="S1729" s="34" t="s">
        <v>5407</v>
      </c>
    </row>
    <row r="1730" spans="1:19" ht="409.5" x14ac:dyDescent="0.15">
      <c r="A1730" t="s">
        <v>5394</v>
      </c>
      <c r="B1730" s="61">
        <v>46296</v>
      </c>
      <c r="E1730" t="s">
        <v>355</v>
      </c>
      <c r="F1730" t="s">
        <v>351</v>
      </c>
      <c r="G1730" t="s">
        <v>354</v>
      </c>
      <c r="H1730" t="s">
        <v>353</v>
      </c>
      <c r="I1730">
        <v>1402836</v>
      </c>
      <c r="J1730" t="s">
        <v>963</v>
      </c>
      <c r="K1730" t="s">
        <v>964</v>
      </c>
      <c r="L1730" t="s">
        <v>965</v>
      </c>
      <c r="N1730" t="s">
        <v>7359</v>
      </c>
      <c r="O1730" t="s">
        <v>967</v>
      </c>
      <c r="S1730" s="34" t="s">
        <v>5408</v>
      </c>
    </row>
    <row r="1731" spans="1:19" ht="364.5" x14ac:dyDescent="0.15">
      <c r="A1731" t="s">
        <v>5394</v>
      </c>
      <c r="B1731" s="61">
        <v>46296</v>
      </c>
      <c r="E1731" t="s">
        <v>355</v>
      </c>
      <c r="F1731" t="s">
        <v>351</v>
      </c>
      <c r="G1731" t="s">
        <v>354</v>
      </c>
      <c r="H1731" t="s">
        <v>353</v>
      </c>
      <c r="I1731">
        <v>1402879</v>
      </c>
      <c r="J1731" t="s">
        <v>984</v>
      </c>
      <c r="K1731" t="s">
        <v>985</v>
      </c>
      <c r="L1731" t="s">
        <v>986</v>
      </c>
      <c r="N1731" t="s">
        <v>5409</v>
      </c>
      <c r="O1731" t="s">
        <v>988</v>
      </c>
      <c r="R1731" t="s">
        <v>3987</v>
      </c>
      <c r="S1731" s="34" t="s">
        <v>5410</v>
      </c>
    </row>
    <row r="1732" spans="1:19" ht="409.5" x14ac:dyDescent="0.15">
      <c r="A1732" t="s">
        <v>5394</v>
      </c>
      <c r="B1732" s="61">
        <v>46296</v>
      </c>
      <c r="E1732" t="s">
        <v>355</v>
      </c>
      <c r="F1732" t="s">
        <v>351</v>
      </c>
      <c r="G1732" t="s">
        <v>354</v>
      </c>
      <c r="H1732" t="s">
        <v>365</v>
      </c>
      <c r="I1732">
        <v>1402879</v>
      </c>
      <c r="J1732" t="s">
        <v>984</v>
      </c>
      <c r="K1732" t="s">
        <v>985</v>
      </c>
      <c r="L1732" t="s">
        <v>986</v>
      </c>
      <c r="N1732" t="s">
        <v>987</v>
      </c>
      <c r="O1732" t="s">
        <v>988</v>
      </c>
      <c r="R1732" t="s">
        <v>3987</v>
      </c>
      <c r="S1732" s="34" t="s">
        <v>5411</v>
      </c>
    </row>
    <row r="1733" spans="1:19" ht="243" x14ac:dyDescent="0.15">
      <c r="A1733" t="s">
        <v>350</v>
      </c>
      <c r="B1733" s="61">
        <v>46266</v>
      </c>
      <c r="E1733" t="s">
        <v>355</v>
      </c>
      <c r="F1733" t="s">
        <v>351</v>
      </c>
      <c r="G1733" t="s">
        <v>354</v>
      </c>
      <c r="H1733" t="s">
        <v>686</v>
      </c>
      <c r="I1733">
        <v>800406</v>
      </c>
      <c r="J1733" t="s">
        <v>371</v>
      </c>
      <c r="K1733" t="s">
        <v>372</v>
      </c>
      <c r="L1733" t="s">
        <v>373</v>
      </c>
      <c r="N1733">
        <v>2063622</v>
      </c>
      <c r="O1733" t="s">
        <v>375</v>
      </c>
      <c r="R1733" t="s">
        <v>4366</v>
      </c>
      <c r="S1733" s="34" t="s">
        <v>5412</v>
      </c>
    </row>
    <row r="1734" spans="1:19" ht="409.5" x14ac:dyDescent="0.15">
      <c r="A1734" t="s">
        <v>350</v>
      </c>
      <c r="B1734" s="61">
        <v>46266</v>
      </c>
      <c r="E1734" t="s">
        <v>355</v>
      </c>
      <c r="F1734" t="s">
        <v>351</v>
      </c>
      <c r="G1734" t="s">
        <v>354</v>
      </c>
      <c r="H1734" t="s">
        <v>353</v>
      </c>
      <c r="I1734">
        <v>801215</v>
      </c>
      <c r="J1734" t="s">
        <v>376</v>
      </c>
      <c r="K1734" t="s">
        <v>377</v>
      </c>
      <c r="L1734" t="s">
        <v>378</v>
      </c>
      <c r="N1734" t="s">
        <v>379</v>
      </c>
      <c r="O1734" t="s">
        <v>380</v>
      </c>
      <c r="S1734" s="34" t="s">
        <v>5413</v>
      </c>
    </row>
    <row r="1735" spans="1:19" ht="216" x14ac:dyDescent="0.15">
      <c r="A1735" t="s">
        <v>350</v>
      </c>
      <c r="B1735" s="61">
        <v>46296</v>
      </c>
      <c r="E1735" t="s">
        <v>355</v>
      </c>
      <c r="F1735" t="s">
        <v>351</v>
      </c>
      <c r="G1735" t="s">
        <v>354</v>
      </c>
      <c r="H1735" t="s">
        <v>353</v>
      </c>
      <c r="I1735">
        <v>800895</v>
      </c>
      <c r="J1735" t="s">
        <v>381</v>
      </c>
      <c r="K1735" t="s">
        <v>377</v>
      </c>
      <c r="L1735" t="s">
        <v>382</v>
      </c>
      <c r="N1735" t="s">
        <v>383</v>
      </c>
      <c r="O1735" t="s">
        <v>384</v>
      </c>
      <c r="R1735" t="s">
        <v>3986</v>
      </c>
      <c r="S1735" s="34" t="s">
        <v>5414</v>
      </c>
    </row>
    <row r="1736" spans="1:19" ht="243" x14ac:dyDescent="0.15">
      <c r="A1736" t="s">
        <v>350</v>
      </c>
      <c r="B1736" s="61">
        <v>46357</v>
      </c>
      <c r="E1736" t="s">
        <v>355</v>
      </c>
      <c r="F1736" t="s">
        <v>351</v>
      </c>
      <c r="G1736" t="s">
        <v>354</v>
      </c>
      <c r="H1736" t="s">
        <v>686</v>
      </c>
      <c r="I1736">
        <v>800406</v>
      </c>
      <c r="J1736" t="s">
        <v>371</v>
      </c>
      <c r="K1736" t="s">
        <v>372</v>
      </c>
      <c r="L1736" t="s">
        <v>373</v>
      </c>
      <c r="N1736">
        <v>2063622</v>
      </c>
      <c r="O1736" t="s">
        <v>375</v>
      </c>
      <c r="R1736" t="s">
        <v>4366</v>
      </c>
      <c r="S1736" s="34" t="s">
        <v>5412</v>
      </c>
    </row>
    <row r="1737" spans="1:19" ht="409.5" x14ac:dyDescent="0.15">
      <c r="A1737" t="s">
        <v>387</v>
      </c>
      <c r="B1737" s="61">
        <v>46266</v>
      </c>
      <c r="E1737" t="s">
        <v>355</v>
      </c>
      <c r="F1737" t="s">
        <v>351</v>
      </c>
      <c r="G1737" t="s">
        <v>354</v>
      </c>
      <c r="H1737" t="s">
        <v>365</v>
      </c>
      <c r="I1737">
        <v>800845</v>
      </c>
      <c r="J1737" t="s">
        <v>412</v>
      </c>
      <c r="K1737" t="s">
        <v>403</v>
      </c>
      <c r="L1737" t="s">
        <v>413</v>
      </c>
      <c r="N1737" t="s">
        <v>414</v>
      </c>
      <c r="O1737" t="s">
        <v>415</v>
      </c>
      <c r="S1737" s="34" t="s">
        <v>5415</v>
      </c>
    </row>
    <row r="1738" spans="1:19" ht="378" x14ac:dyDescent="0.15">
      <c r="A1738" t="s">
        <v>387</v>
      </c>
      <c r="B1738" s="61">
        <v>46266</v>
      </c>
      <c r="E1738" t="s">
        <v>355</v>
      </c>
      <c r="F1738" t="s">
        <v>351</v>
      </c>
      <c r="G1738" t="s">
        <v>352</v>
      </c>
      <c r="H1738" t="s">
        <v>365</v>
      </c>
      <c r="I1738">
        <v>801368</v>
      </c>
      <c r="J1738" t="s">
        <v>397</v>
      </c>
      <c r="K1738" t="s">
        <v>398</v>
      </c>
      <c r="L1738" t="s">
        <v>399</v>
      </c>
      <c r="N1738" t="s">
        <v>400</v>
      </c>
      <c r="O1738" t="s">
        <v>401</v>
      </c>
      <c r="R1738" t="s">
        <v>3985</v>
      </c>
      <c r="S1738" s="34" t="s">
        <v>5416</v>
      </c>
    </row>
    <row r="1739" spans="1:19" ht="409.5" x14ac:dyDescent="0.15">
      <c r="A1739" t="s">
        <v>387</v>
      </c>
      <c r="B1739" s="61">
        <v>46296</v>
      </c>
      <c r="E1739" t="s">
        <v>355</v>
      </c>
      <c r="F1739" t="s">
        <v>351</v>
      </c>
      <c r="G1739" t="s">
        <v>352</v>
      </c>
      <c r="H1739" t="s">
        <v>353</v>
      </c>
      <c r="I1739">
        <v>800959</v>
      </c>
      <c r="J1739" t="s">
        <v>5417</v>
      </c>
      <c r="K1739" t="s">
        <v>5418</v>
      </c>
      <c r="L1739" t="s">
        <v>698</v>
      </c>
      <c r="N1739" t="s">
        <v>5419</v>
      </c>
      <c r="O1739" t="s">
        <v>5420</v>
      </c>
      <c r="R1739" t="s">
        <v>3985</v>
      </c>
      <c r="S1739" s="34" t="s">
        <v>5421</v>
      </c>
    </row>
    <row r="1740" spans="1:19" ht="243" x14ac:dyDescent="0.15">
      <c r="A1740" t="s">
        <v>387</v>
      </c>
      <c r="B1740" s="61">
        <v>46357</v>
      </c>
      <c r="E1740" t="s">
        <v>355</v>
      </c>
      <c r="F1740" t="s">
        <v>351</v>
      </c>
      <c r="G1740" t="s">
        <v>354</v>
      </c>
      <c r="H1740" t="s">
        <v>365</v>
      </c>
      <c r="I1740">
        <v>801231</v>
      </c>
      <c r="J1740" t="s">
        <v>4756</v>
      </c>
      <c r="L1740" t="s">
        <v>4757</v>
      </c>
      <c r="N1740" t="s">
        <v>4758</v>
      </c>
      <c r="O1740" t="s">
        <v>4759</v>
      </c>
      <c r="R1740" t="s">
        <v>3986</v>
      </c>
      <c r="S1740" s="34" t="s">
        <v>5422</v>
      </c>
    </row>
    <row r="1741" spans="1:19" ht="229.5" x14ac:dyDescent="0.15">
      <c r="A1741" t="s">
        <v>387</v>
      </c>
      <c r="B1741" s="61">
        <v>46357</v>
      </c>
      <c r="E1741" t="s">
        <v>355</v>
      </c>
      <c r="F1741" t="s">
        <v>351</v>
      </c>
      <c r="G1741" t="s">
        <v>352</v>
      </c>
      <c r="H1741" t="s">
        <v>353</v>
      </c>
      <c r="I1741">
        <v>801248</v>
      </c>
      <c r="J1741" t="s">
        <v>402</v>
      </c>
      <c r="K1741" t="s">
        <v>403</v>
      </c>
      <c r="L1741" t="s">
        <v>404</v>
      </c>
      <c r="N1741" t="s">
        <v>405</v>
      </c>
      <c r="O1741" t="s">
        <v>406</v>
      </c>
      <c r="R1741" t="s">
        <v>3985</v>
      </c>
      <c r="S1741" s="34" t="s">
        <v>5423</v>
      </c>
    </row>
    <row r="1742" spans="1:19" ht="409.5" x14ac:dyDescent="0.15">
      <c r="A1742" t="s">
        <v>422</v>
      </c>
      <c r="B1742" s="61">
        <v>46235</v>
      </c>
      <c r="E1742" t="s">
        <v>355</v>
      </c>
      <c r="F1742" t="s">
        <v>351</v>
      </c>
      <c r="G1742" t="s">
        <v>354</v>
      </c>
      <c r="H1742" t="s">
        <v>353</v>
      </c>
      <c r="I1742">
        <v>2700597</v>
      </c>
      <c r="J1742" t="s">
        <v>423</v>
      </c>
      <c r="K1742" t="s">
        <v>424</v>
      </c>
      <c r="L1742" t="s">
        <v>443</v>
      </c>
      <c r="N1742" t="s">
        <v>5424</v>
      </c>
      <c r="O1742" t="s">
        <v>445</v>
      </c>
      <c r="R1742" t="s">
        <v>3986</v>
      </c>
      <c r="S1742" s="34" t="s">
        <v>5425</v>
      </c>
    </row>
    <row r="1743" spans="1:19" ht="409.5" x14ac:dyDescent="0.15">
      <c r="A1743" t="s">
        <v>422</v>
      </c>
      <c r="B1743" s="61">
        <v>46266</v>
      </c>
      <c r="E1743" t="s">
        <v>355</v>
      </c>
      <c r="F1743" t="s">
        <v>351</v>
      </c>
      <c r="G1743" t="s">
        <v>352</v>
      </c>
      <c r="H1743" t="s">
        <v>353</v>
      </c>
      <c r="I1743">
        <v>2701559</v>
      </c>
      <c r="J1743" t="s">
        <v>427</v>
      </c>
      <c r="K1743" t="s">
        <v>428</v>
      </c>
      <c r="L1743" t="s">
        <v>5426</v>
      </c>
      <c r="N1743" t="s">
        <v>5427</v>
      </c>
      <c r="O1743" t="s">
        <v>5428</v>
      </c>
      <c r="R1743" t="s">
        <v>3985</v>
      </c>
      <c r="S1743" s="34" t="s">
        <v>5429</v>
      </c>
    </row>
    <row r="1744" spans="1:19" ht="216" x14ac:dyDescent="0.15">
      <c r="A1744" t="s">
        <v>422</v>
      </c>
      <c r="B1744" s="61">
        <v>46266</v>
      </c>
      <c r="E1744" t="s">
        <v>355</v>
      </c>
      <c r="F1744" t="s">
        <v>351</v>
      </c>
      <c r="G1744" t="s">
        <v>354</v>
      </c>
      <c r="H1744" t="s">
        <v>353</v>
      </c>
      <c r="I1744">
        <v>2701867</v>
      </c>
      <c r="J1744" t="s">
        <v>427</v>
      </c>
      <c r="K1744" t="s">
        <v>428</v>
      </c>
      <c r="L1744" t="s">
        <v>4076</v>
      </c>
      <c r="N1744" t="s">
        <v>4077</v>
      </c>
      <c r="O1744" t="s">
        <v>4078</v>
      </c>
      <c r="S1744" s="34" t="s">
        <v>5430</v>
      </c>
    </row>
    <row r="1745" spans="1:19" ht="378" x14ac:dyDescent="0.15">
      <c r="A1745" t="s">
        <v>422</v>
      </c>
      <c r="B1745" s="61">
        <v>46266</v>
      </c>
      <c r="E1745" t="s">
        <v>355</v>
      </c>
      <c r="F1745" t="s">
        <v>351</v>
      </c>
      <c r="G1745" t="s">
        <v>354</v>
      </c>
      <c r="H1745" t="s">
        <v>365</v>
      </c>
      <c r="I1745">
        <v>2702797</v>
      </c>
      <c r="J1745" t="s">
        <v>427</v>
      </c>
      <c r="K1745" t="s">
        <v>428</v>
      </c>
      <c r="L1745" t="s">
        <v>496</v>
      </c>
      <c r="N1745" t="s">
        <v>497</v>
      </c>
      <c r="O1745" t="s">
        <v>498</v>
      </c>
      <c r="S1745" s="34" t="s">
        <v>5431</v>
      </c>
    </row>
    <row r="1746" spans="1:19" ht="409.5" x14ac:dyDescent="0.15">
      <c r="A1746" t="s">
        <v>422</v>
      </c>
      <c r="B1746" s="61">
        <v>46296</v>
      </c>
      <c r="E1746" t="s">
        <v>355</v>
      </c>
      <c r="F1746" t="s">
        <v>351</v>
      </c>
      <c r="G1746" t="s">
        <v>354</v>
      </c>
      <c r="H1746" t="s">
        <v>353</v>
      </c>
      <c r="I1746">
        <v>2700428</v>
      </c>
      <c r="J1746" t="s">
        <v>476</v>
      </c>
      <c r="K1746" t="s">
        <v>477</v>
      </c>
      <c r="L1746" t="s">
        <v>390</v>
      </c>
      <c r="N1746" t="s">
        <v>478</v>
      </c>
      <c r="O1746" t="s">
        <v>479</v>
      </c>
      <c r="R1746" t="s">
        <v>3986</v>
      </c>
      <c r="S1746" s="34" t="s">
        <v>5432</v>
      </c>
    </row>
    <row r="1747" spans="1:19" ht="409.5" x14ac:dyDescent="0.15">
      <c r="A1747" t="s">
        <v>422</v>
      </c>
      <c r="B1747" s="61">
        <v>46296</v>
      </c>
      <c r="E1747" t="s">
        <v>355</v>
      </c>
      <c r="F1747" t="s">
        <v>351</v>
      </c>
      <c r="G1747" t="s">
        <v>354</v>
      </c>
      <c r="H1747" t="s">
        <v>686</v>
      </c>
      <c r="I1747">
        <v>2700428</v>
      </c>
      <c r="J1747" t="s">
        <v>476</v>
      </c>
      <c r="K1747" t="s">
        <v>477</v>
      </c>
      <c r="L1747" t="s">
        <v>390</v>
      </c>
      <c r="N1747">
        <v>2130069</v>
      </c>
      <c r="O1747" t="s">
        <v>479</v>
      </c>
      <c r="R1747" t="s">
        <v>3986</v>
      </c>
      <c r="S1747" s="34" t="s">
        <v>5433</v>
      </c>
    </row>
    <row r="1748" spans="1:19" ht="229.5" x14ac:dyDescent="0.15">
      <c r="A1748" t="s">
        <v>422</v>
      </c>
      <c r="B1748" s="61">
        <v>46296</v>
      </c>
      <c r="E1748" t="s">
        <v>355</v>
      </c>
      <c r="F1748" t="s">
        <v>351</v>
      </c>
      <c r="G1748" t="s">
        <v>354</v>
      </c>
      <c r="H1748" t="s">
        <v>365</v>
      </c>
      <c r="I1748">
        <v>2700428</v>
      </c>
      <c r="J1748" t="s">
        <v>476</v>
      </c>
      <c r="K1748" t="s">
        <v>477</v>
      </c>
      <c r="L1748" t="s">
        <v>390</v>
      </c>
      <c r="N1748" t="s">
        <v>487</v>
      </c>
      <c r="O1748" t="s">
        <v>479</v>
      </c>
      <c r="R1748" t="s">
        <v>3986</v>
      </c>
      <c r="S1748" s="34" t="s">
        <v>5434</v>
      </c>
    </row>
    <row r="1749" spans="1:19" ht="409.5" x14ac:dyDescent="0.15">
      <c r="A1749" t="s">
        <v>422</v>
      </c>
      <c r="B1749" s="61">
        <v>46296</v>
      </c>
      <c r="E1749" t="s">
        <v>355</v>
      </c>
      <c r="F1749" t="s">
        <v>351</v>
      </c>
      <c r="G1749" t="s">
        <v>352</v>
      </c>
      <c r="H1749" t="s">
        <v>353</v>
      </c>
      <c r="I1749">
        <v>2701960</v>
      </c>
      <c r="J1749" t="s">
        <v>439</v>
      </c>
      <c r="K1749" t="s">
        <v>440</v>
      </c>
      <c r="L1749" t="s">
        <v>390</v>
      </c>
      <c r="N1749" t="s">
        <v>5435</v>
      </c>
      <c r="O1749" t="s">
        <v>442</v>
      </c>
      <c r="R1749" t="s">
        <v>3985</v>
      </c>
      <c r="S1749" s="34" t="s">
        <v>5436</v>
      </c>
    </row>
    <row r="1750" spans="1:19" ht="409.5" x14ac:dyDescent="0.15">
      <c r="A1750" t="s">
        <v>422</v>
      </c>
      <c r="B1750" s="61">
        <v>46296</v>
      </c>
      <c r="E1750" t="s">
        <v>355</v>
      </c>
      <c r="F1750" t="s">
        <v>351</v>
      </c>
      <c r="G1750" t="s">
        <v>354</v>
      </c>
      <c r="H1750" t="s">
        <v>353</v>
      </c>
      <c r="I1750">
        <v>2702049</v>
      </c>
      <c r="J1750" t="s">
        <v>3997</v>
      </c>
      <c r="K1750" t="s">
        <v>5437</v>
      </c>
      <c r="L1750" t="s">
        <v>390</v>
      </c>
      <c r="N1750" t="s">
        <v>5438</v>
      </c>
      <c r="O1750" t="s">
        <v>5439</v>
      </c>
      <c r="R1750" t="s">
        <v>4012</v>
      </c>
      <c r="S1750" s="34" t="s">
        <v>5440</v>
      </c>
    </row>
    <row r="1751" spans="1:19" ht="202.5" x14ac:dyDescent="0.15">
      <c r="A1751" t="s">
        <v>422</v>
      </c>
      <c r="B1751" s="61">
        <v>46296</v>
      </c>
      <c r="E1751" t="s">
        <v>355</v>
      </c>
      <c r="F1751" t="s">
        <v>351</v>
      </c>
      <c r="G1751" t="s">
        <v>354</v>
      </c>
      <c r="H1751" t="s">
        <v>365</v>
      </c>
      <c r="I1751">
        <v>2702665</v>
      </c>
      <c r="J1751" t="s">
        <v>427</v>
      </c>
      <c r="K1751" t="s">
        <v>428</v>
      </c>
      <c r="L1751" t="s">
        <v>429</v>
      </c>
      <c r="N1751" t="s">
        <v>433</v>
      </c>
      <c r="O1751" t="s">
        <v>431</v>
      </c>
      <c r="R1751" t="s">
        <v>3987</v>
      </c>
      <c r="S1751" s="34" t="s">
        <v>5441</v>
      </c>
    </row>
    <row r="1752" spans="1:19" ht="409.5" x14ac:dyDescent="0.15">
      <c r="A1752" t="s">
        <v>422</v>
      </c>
      <c r="B1752" s="61">
        <v>46296</v>
      </c>
      <c r="E1752" t="s">
        <v>355</v>
      </c>
      <c r="F1752" t="s">
        <v>351</v>
      </c>
      <c r="G1752" t="s">
        <v>354</v>
      </c>
      <c r="H1752" t="s">
        <v>353</v>
      </c>
      <c r="I1752">
        <v>2702665</v>
      </c>
      <c r="J1752" t="s">
        <v>427</v>
      </c>
      <c r="K1752" t="s">
        <v>428</v>
      </c>
      <c r="L1752" t="s">
        <v>429</v>
      </c>
      <c r="N1752" t="s">
        <v>5442</v>
      </c>
      <c r="O1752" t="s">
        <v>431</v>
      </c>
      <c r="R1752" t="s">
        <v>3987</v>
      </c>
      <c r="S1752" s="34" t="s">
        <v>5443</v>
      </c>
    </row>
    <row r="1753" spans="1:19" ht="229.5" x14ac:dyDescent="0.15">
      <c r="A1753" t="s">
        <v>422</v>
      </c>
      <c r="B1753" s="61">
        <v>46327</v>
      </c>
      <c r="E1753" t="s">
        <v>355</v>
      </c>
      <c r="F1753" t="s">
        <v>351</v>
      </c>
      <c r="G1753" t="s">
        <v>352</v>
      </c>
      <c r="H1753" t="s">
        <v>353</v>
      </c>
      <c r="I1753">
        <v>2700535</v>
      </c>
      <c r="J1753" t="s">
        <v>5444</v>
      </c>
      <c r="K1753" t="s">
        <v>5445</v>
      </c>
      <c r="L1753" t="s">
        <v>390</v>
      </c>
      <c r="N1753" t="s">
        <v>5446</v>
      </c>
      <c r="O1753" t="s">
        <v>5447</v>
      </c>
      <c r="R1753" t="s">
        <v>3985</v>
      </c>
      <c r="S1753" s="34" t="s">
        <v>5448</v>
      </c>
    </row>
    <row r="1754" spans="1:19" ht="409.5" x14ac:dyDescent="0.15">
      <c r="A1754" t="s">
        <v>422</v>
      </c>
      <c r="B1754" s="61">
        <v>46327</v>
      </c>
      <c r="E1754" t="s">
        <v>355</v>
      </c>
      <c r="F1754" t="s">
        <v>351</v>
      </c>
      <c r="G1754" t="s">
        <v>354</v>
      </c>
      <c r="H1754" t="s">
        <v>686</v>
      </c>
      <c r="I1754">
        <v>2702793</v>
      </c>
      <c r="J1754" t="s">
        <v>481</v>
      </c>
      <c r="K1754" t="s">
        <v>482</v>
      </c>
      <c r="L1754" t="s">
        <v>483</v>
      </c>
      <c r="N1754">
        <v>2132332</v>
      </c>
      <c r="O1754" t="s">
        <v>485</v>
      </c>
      <c r="R1754" t="s">
        <v>3987</v>
      </c>
      <c r="S1754" s="34" t="s">
        <v>5449</v>
      </c>
    </row>
    <row r="1755" spans="1:19" ht="364.5" x14ac:dyDescent="0.15">
      <c r="A1755" t="s">
        <v>422</v>
      </c>
      <c r="B1755" s="61">
        <v>46357</v>
      </c>
      <c r="E1755" t="s">
        <v>355</v>
      </c>
      <c r="F1755" t="s">
        <v>351</v>
      </c>
      <c r="G1755" t="s">
        <v>354</v>
      </c>
      <c r="H1755" t="s">
        <v>353</v>
      </c>
      <c r="I1755">
        <v>2700391</v>
      </c>
      <c r="J1755" t="s">
        <v>435</v>
      </c>
      <c r="K1755" t="s">
        <v>436</v>
      </c>
      <c r="L1755" t="s">
        <v>390</v>
      </c>
      <c r="N1755" t="s">
        <v>5094</v>
      </c>
      <c r="O1755" t="s">
        <v>437</v>
      </c>
      <c r="R1755" t="s">
        <v>3987</v>
      </c>
      <c r="S1755" s="34" t="s">
        <v>5450</v>
      </c>
    </row>
    <row r="1756" spans="1:19" ht="409.5" x14ac:dyDescent="0.15">
      <c r="A1756" t="s">
        <v>4047</v>
      </c>
      <c r="B1756" s="61">
        <v>46296</v>
      </c>
      <c r="E1756" t="s">
        <v>355</v>
      </c>
      <c r="F1756" t="s">
        <v>351</v>
      </c>
      <c r="G1756" t="s">
        <v>354</v>
      </c>
      <c r="H1756" t="s">
        <v>686</v>
      </c>
      <c r="I1756">
        <v>2702800</v>
      </c>
      <c r="J1756" t="s">
        <v>5451</v>
      </c>
      <c r="K1756" t="s">
        <v>5452</v>
      </c>
      <c r="L1756" t="s">
        <v>5453</v>
      </c>
      <c r="N1756">
        <v>2151714</v>
      </c>
      <c r="O1756" t="s">
        <v>5454</v>
      </c>
      <c r="R1756" t="s">
        <v>5455</v>
      </c>
      <c r="S1756" s="34" t="s">
        <v>5456</v>
      </c>
    </row>
    <row r="1757" spans="1:19" ht="409.5" x14ac:dyDescent="0.15">
      <c r="A1757" t="s">
        <v>501</v>
      </c>
      <c r="B1757" s="61">
        <v>46235</v>
      </c>
      <c r="E1757" t="s">
        <v>355</v>
      </c>
      <c r="F1757" t="s">
        <v>351</v>
      </c>
      <c r="G1757" t="s">
        <v>354</v>
      </c>
      <c r="H1757" t="s">
        <v>365</v>
      </c>
      <c r="I1757">
        <v>1400113</v>
      </c>
      <c r="J1757" t="s">
        <v>523</v>
      </c>
      <c r="K1757" t="s">
        <v>504</v>
      </c>
      <c r="L1757" t="s">
        <v>524</v>
      </c>
      <c r="N1757" t="s">
        <v>525</v>
      </c>
      <c r="O1757" t="s">
        <v>526</v>
      </c>
      <c r="R1757" t="s">
        <v>3986</v>
      </c>
      <c r="S1757" s="34" t="s">
        <v>5457</v>
      </c>
    </row>
    <row r="1758" spans="1:19" ht="409.5" x14ac:dyDescent="0.15">
      <c r="A1758" t="s">
        <v>501</v>
      </c>
      <c r="B1758" s="61">
        <v>46266</v>
      </c>
      <c r="E1758" t="s">
        <v>355</v>
      </c>
      <c r="F1758" t="s">
        <v>351</v>
      </c>
      <c r="G1758" t="s">
        <v>354</v>
      </c>
      <c r="H1758" t="s">
        <v>365</v>
      </c>
      <c r="I1758">
        <v>1402151</v>
      </c>
      <c r="J1758" t="s">
        <v>535</v>
      </c>
      <c r="K1758" t="s">
        <v>536</v>
      </c>
      <c r="L1758" t="s">
        <v>512</v>
      </c>
      <c r="N1758" t="s">
        <v>537</v>
      </c>
      <c r="O1758" t="s">
        <v>538</v>
      </c>
      <c r="R1758" t="s">
        <v>3986</v>
      </c>
      <c r="S1758" s="34" t="s">
        <v>5458</v>
      </c>
    </row>
    <row r="1759" spans="1:19" ht="364.5" x14ac:dyDescent="0.15">
      <c r="A1759" t="s">
        <v>501</v>
      </c>
      <c r="B1759" s="61">
        <v>46327</v>
      </c>
      <c r="E1759" t="s">
        <v>355</v>
      </c>
      <c r="F1759" t="s">
        <v>351</v>
      </c>
      <c r="G1759" t="s">
        <v>352</v>
      </c>
      <c r="H1759" t="s">
        <v>365</v>
      </c>
      <c r="I1759">
        <v>1400838</v>
      </c>
      <c r="J1759" t="s">
        <v>1052</v>
      </c>
      <c r="K1759" t="s">
        <v>5459</v>
      </c>
      <c r="L1759" t="s">
        <v>5460</v>
      </c>
      <c r="N1759" t="s">
        <v>5461</v>
      </c>
      <c r="O1759" t="s">
        <v>5462</v>
      </c>
      <c r="R1759" t="s">
        <v>5463</v>
      </c>
      <c r="S1759" s="34" t="s">
        <v>5464</v>
      </c>
    </row>
    <row r="1760" spans="1:19" ht="409.5" x14ac:dyDescent="0.15">
      <c r="A1760" t="s">
        <v>501</v>
      </c>
      <c r="B1760" s="61">
        <v>46327</v>
      </c>
      <c r="E1760" t="s">
        <v>355</v>
      </c>
      <c r="F1760" t="s">
        <v>351</v>
      </c>
      <c r="G1760" t="s">
        <v>354</v>
      </c>
      <c r="H1760" t="s">
        <v>353</v>
      </c>
      <c r="I1760">
        <v>1401834</v>
      </c>
      <c r="J1760" t="s">
        <v>5122</v>
      </c>
      <c r="K1760" t="s">
        <v>5123</v>
      </c>
      <c r="L1760" t="s">
        <v>502</v>
      </c>
      <c r="N1760" t="s">
        <v>5124</v>
      </c>
      <c r="O1760" t="s">
        <v>5125</v>
      </c>
      <c r="S1760" s="34" t="s">
        <v>5465</v>
      </c>
    </row>
    <row r="1761" spans="1:19" ht="243" x14ac:dyDescent="0.15">
      <c r="A1761" t="s">
        <v>501</v>
      </c>
      <c r="B1761" s="61">
        <v>46327</v>
      </c>
      <c r="E1761" t="s">
        <v>355</v>
      </c>
      <c r="F1761" t="s">
        <v>351</v>
      </c>
      <c r="G1761" t="s">
        <v>354</v>
      </c>
      <c r="H1761" t="s">
        <v>310</v>
      </c>
      <c r="I1761">
        <v>1401834</v>
      </c>
      <c r="J1761" t="s">
        <v>5122</v>
      </c>
      <c r="K1761" t="s">
        <v>5123</v>
      </c>
      <c r="L1761" t="s">
        <v>502</v>
      </c>
      <c r="N1761" t="s">
        <v>5142</v>
      </c>
      <c r="O1761" t="s">
        <v>5125</v>
      </c>
      <c r="S1761" s="34" t="s">
        <v>5466</v>
      </c>
    </row>
    <row r="1762" spans="1:19" ht="409.5" x14ac:dyDescent="0.15">
      <c r="A1762" t="s">
        <v>501</v>
      </c>
      <c r="B1762" s="61">
        <v>46327</v>
      </c>
      <c r="E1762" t="s">
        <v>355</v>
      </c>
      <c r="F1762" t="s">
        <v>351</v>
      </c>
      <c r="G1762" t="s">
        <v>354</v>
      </c>
      <c r="H1762" t="s">
        <v>353</v>
      </c>
      <c r="I1762">
        <v>1402768</v>
      </c>
      <c r="J1762" t="s">
        <v>582</v>
      </c>
      <c r="K1762" t="s">
        <v>583</v>
      </c>
      <c r="L1762" t="s">
        <v>584</v>
      </c>
      <c r="N1762" t="s">
        <v>5467</v>
      </c>
      <c r="O1762" t="s">
        <v>586</v>
      </c>
      <c r="R1762" t="s">
        <v>4012</v>
      </c>
      <c r="S1762" s="34" t="s">
        <v>5468</v>
      </c>
    </row>
    <row r="1763" spans="1:19" ht="409.5" x14ac:dyDescent="0.15">
      <c r="A1763" t="s">
        <v>501</v>
      </c>
      <c r="B1763" s="61">
        <v>46327</v>
      </c>
      <c r="E1763" t="s">
        <v>355</v>
      </c>
      <c r="F1763" t="s">
        <v>351</v>
      </c>
      <c r="G1763" t="s">
        <v>354</v>
      </c>
      <c r="H1763" t="s">
        <v>686</v>
      </c>
      <c r="I1763">
        <v>1402768</v>
      </c>
      <c r="J1763" t="s">
        <v>582</v>
      </c>
      <c r="K1763" t="s">
        <v>583</v>
      </c>
      <c r="L1763" t="s">
        <v>584</v>
      </c>
      <c r="N1763">
        <v>2178411</v>
      </c>
      <c r="O1763" t="s">
        <v>586</v>
      </c>
      <c r="R1763" t="s">
        <v>4012</v>
      </c>
      <c r="S1763" s="34" t="s">
        <v>5469</v>
      </c>
    </row>
    <row r="1764" spans="1:19" ht="409.5" x14ac:dyDescent="0.15">
      <c r="A1764" t="s">
        <v>564</v>
      </c>
      <c r="B1764" s="61">
        <v>46235</v>
      </c>
      <c r="E1764" t="s">
        <v>355</v>
      </c>
      <c r="F1764" t="s">
        <v>351</v>
      </c>
      <c r="G1764" t="s">
        <v>354</v>
      </c>
      <c r="H1764" t="s">
        <v>686</v>
      </c>
      <c r="I1764">
        <v>1402863</v>
      </c>
      <c r="J1764" t="s">
        <v>5470</v>
      </c>
      <c r="K1764" t="s">
        <v>5471</v>
      </c>
      <c r="L1764" t="s">
        <v>833</v>
      </c>
      <c r="N1764">
        <v>2159680</v>
      </c>
      <c r="O1764" t="s">
        <v>5472</v>
      </c>
      <c r="R1764" t="s">
        <v>3987</v>
      </c>
      <c r="S1764" s="34" t="s">
        <v>5473</v>
      </c>
    </row>
    <row r="1765" spans="1:19" ht="409.5" x14ac:dyDescent="0.15">
      <c r="A1765" t="s">
        <v>564</v>
      </c>
      <c r="B1765" s="61">
        <v>46235</v>
      </c>
      <c r="E1765" t="s">
        <v>355</v>
      </c>
      <c r="F1765" t="s">
        <v>351</v>
      </c>
      <c r="G1765" t="s">
        <v>352</v>
      </c>
      <c r="H1765" t="s">
        <v>353</v>
      </c>
      <c r="I1765">
        <v>1402863</v>
      </c>
      <c r="J1765" t="s">
        <v>5470</v>
      </c>
      <c r="K1765" t="s">
        <v>5471</v>
      </c>
      <c r="L1765" t="s">
        <v>833</v>
      </c>
      <c r="N1765" t="s">
        <v>5474</v>
      </c>
      <c r="O1765" t="s">
        <v>5472</v>
      </c>
      <c r="R1765" t="s">
        <v>3987</v>
      </c>
      <c r="S1765" s="34" t="s">
        <v>5475</v>
      </c>
    </row>
    <row r="1766" spans="1:19" ht="409.5" x14ac:dyDescent="0.15">
      <c r="A1766" t="s">
        <v>564</v>
      </c>
      <c r="B1766" s="61">
        <v>46266</v>
      </c>
      <c r="E1766" t="s">
        <v>355</v>
      </c>
      <c r="F1766" t="s">
        <v>351</v>
      </c>
      <c r="G1766" t="s">
        <v>354</v>
      </c>
      <c r="H1766" t="s">
        <v>5476</v>
      </c>
      <c r="I1766">
        <v>1400389</v>
      </c>
      <c r="J1766" t="s">
        <v>567</v>
      </c>
      <c r="L1766" t="s">
        <v>568</v>
      </c>
      <c r="N1766" t="s">
        <v>5477</v>
      </c>
      <c r="O1766" t="s">
        <v>570</v>
      </c>
      <c r="R1766" t="s">
        <v>3985</v>
      </c>
      <c r="S1766" s="34" t="s">
        <v>5478</v>
      </c>
    </row>
    <row r="1767" spans="1:19" ht="216" x14ac:dyDescent="0.15">
      <c r="A1767" t="s">
        <v>564</v>
      </c>
      <c r="B1767" s="61">
        <v>46266</v>
      </c>
      <c r="E1767" t="s">
        <v>355</v>
      </c>
      <c r="F1767" t="s">
        <v>351</v>
      </c>
      <c r="G1767" t="s">
        <v>354</v>
      </c>
      <c r="H1767" t="s">
        <v>353</v>
      </c>
      <c r="I1767">
        <v>1401568</v>
      </c>
      <c r="J1767" t="s">
        <v>603</v>
      </c>
      <c r="K1767" t="s">
        <v>604</v>
      </c>
      <c r="L1767" t="s">
        <v>605</v>
      </c>
      <c r="N1767" t="s">
        <v>606</v>
      </c>
      <c r="O1767" t="s">
        <v>607</v>
      </c>
      <c r="S1767" s="34" t="s">
        <v>5479</v>
      </c>
    </row>
    <row r="1768" spans="1:19" ht="409.5" x14ac:dyDescent="0.15">
      <c r="A1768" t="s">
        <v>564</v>
      </c>
      <c r="B1768" s="61">
        <v>46296</v>
      </c>
      <c r="E1768" t="s">
        <v>355</v>
      </c>
      <c r="F1768" t="s">
        <v>351</v>
      </c>
      <c r="G1768" t="s">
        <v>354</v>
      </c>
      <c r="H1768" t="s">
        <v>353</v>
      </c>
      <c r="I1768">
        <v>1402138</v>
      </c>
      <c r="J1768" t="s">
        <v>608</v>
      </c>
      <c r="L1768" t="s">
        <v>512</v>
      </c>
      <c r="N1768" t="s">
        <v>609</v>
      </c>
      <c r="O1768" t="s">
        <v>610</v>
      </c>
      <c r="R1768" t="s">
        <v>3986</v>
      </c>
      <c r="S1768" s="34" t="s">
        <v>5480</v>
      </c>
    </row>
    <row r="1769" spans="1:19" ht="229.5" x14ac:dyDescent="0.15">
      <c r="A1769" t="s">
        <v>564</v>
      </c>
      <c r="B1769" s="61">
        <v>46296</v>
      </c>
      <c r="E1769" t="s">
        <v>355</v>
      </c>
      <c r="F1769" t="s">
        <v>351</v>
      </c>
      <c r="G1769" t="s">
        <v>354</v>
      </c>
      <c r="H1769" t="s">
        <v>310</v>
      </c>
      <c r="I1769">
        <v>1402450</v>
      </c>
      <c r="J1769" t="s">
        <v>591</v>
      </c>
      <c r="K1769" t="s">
        <v>592</v>
      </c>
      <c r="L1769" t="s">
        <v>593</v>
      </c>
      <c r="N1769" t="s">
        <v>594</v>
      </c>
      <c r="O1769" t="s">
        <v>595</v>
      </c>
      <c r="R1769" t="s">
        <v>3986</v>
      </c>
      <c r="S1769" s="34" t="s">
        <v>5481</v>
      </c>
    </row>
    <row r="1770" spans="1:19" ht="351" x14ac:dyDescent="0.15">
      <c r="A1770" t="s">
        <v>564</v>
      </c>
      <c r="B1770" s="61">
        <v>46327</v>
      </c>
      <c r="E1770" t="s">
        <v>355</v>
      </c>
      <c r="F1770" t="s">
        <v>351</v>
      </c>
      <c r="G1770" t="s">
        <v>354</v>
      </c>
      <c r="H1770" t="s">
        <v>310</v>
      </c>
      <c r="I1770">
        <v>1401839</v>
      </c>
      <c r="J1770" t="s">
        <v>596</v>
      </c>
      <c r="K1770" t="s">
        <v>597</v>
      </c>
      <c r="L1770" t="s">
        <v>502</v>
      </c>
      <c r="N1770" t="s">
        <v>598</v>
      </c>
      <c r="O1770" t="s">
        <v>599</v>
      </c>
      <c r="R1770" t="s">
        <v>4430</v>
      </c>
      <c r="S1770" s="34" t="s">
        <v>5482</v>
      </c>
    </row>
    <row r="1771" spans="1:19" ht="337.5" x14ac:dyDescent="0.15">
      <c r="A1771" t="s">
        <v>564</v>
      </c>
      <c r="B1771" s="61">
        <v>46357</v>
      </c>
      <c r="E1771" t="s">
        <v>355</v>
      </c>
      <c r="F1771" t="s">
        <v>351</v>
      </c>
      <c r="G1771" t="s">
        <v>352</v>
      </c>
      <c r="H1771" t="s">
        <v>353</v>
      </c>
      <c r="I1771">
        <v>1401591</v>
      </c>
      <c r="J1771" t="s">
        <v>572</v>
      </c>
      <c r="L1771" t="s">
        <v>573</v>
      </c>
      <c r="N1771" t="s">
        <v>5483</v>
      </c>
      <c r="O1771" t="s">
        <v>575</v>
      </c>
      <c r="R1771" t="s">
        <v>3986</v>
      </c>
      <c r="S1771" s="34" t="s">
        <v>5484</v>
      </c>
    </row>
    <row r="1772" spans="1:19" ht="409.5" x14ac:dyDescent="0.15">
      <c r="A1772" t="s">
        <v>515</v>
      </c>
      <c r="B1772" s="61">
        <v>46235</v>
      </c>
      <c r="E1772" t="s">
        <v>355</v>
      </c>
      <c r="F1772" t="s">
        <v>351</v>
      </c>
      <c r="G1772" t="s">
        <v>352</v>
      </c>
      <c r="H1772" t="s">
        <v>365</v>
      </c>
      <c r="I1772">
        <v>1402778</v>
      </c>
      <c r="J1772" t="s">
        <v>1425</v>
      </c>
      <c r="K1772" t="s">
        <v>5485</v>
      </c>
      <c r="L1772" t="s">
        <v>5486</v>
      </c>
      <c r="N1772" t="s">
        <v>5487</v>
      </c>
      <c r="O1772" t="s">
        <v>5488</v>
      </c>
      <c r="R1772" t="s">
        <v>3992</v>
      </c>
      <c r="S1772" s="34" t="s">
        <v>5489</v>
      </c>
    </row>
    <row r="1773" spans="1:19" ht="409.5" x14ac:dyDescent="0.15">
      <c r="A1773" t="s">
        <v>515</v>
      </c>
      <c r="B1773" s="61">
        <v>46235</v>
      </c>
      <c r="E1773" t="s">
        <v>355</v>
      </c>
      <c r="F1773" t="s">
        <v>351</v>
      </c>
      <c r="G1773" t="s">
        <v>354</v>
      </c>
      <c r="H1773" t="s">
        <v>686</v>
      </c>
      <c r="I1773">
        <v>1402778</v>
      </c>
      <c r="J1773" t="s">
        <v>1425</v>
      </c>
      <c r="K1773" t="s">
        <v>5485</v>
      </c>
      <c r="L1773" t="s">
        <v>5486</v>
      </c>
      <c r="N1773">
        <v>2117183</v>
      </c>
      <c r="O1773" t="s">
        <v>5488</v>
      </c>
      <c r="R1773" t="s">
        <v>3992</v>
      </c>
      <c r="S1773" s="34" t="s">
        <v>5490</v>
      </c>
    </row>
    <row r="1774" spans="1:19" ht="409.5" x14ac:dyDescent="0.15">
      <c r="A1774" t="s">
        <v>515</v>
      </c>
      <c r="B1774" s="61">
        <v>46296</v>
      </c>
      <c r="E1774" t="s">
        <v>355</v>
      </c>
      <c r="F1774" t="s">
        <v>351</v>
      </c>
      <c r="G1774" t="s">
        <v>354</v>
      </c>
      <c r="H1774" t="s">
        <v>353</v>
      </c>
      <c r="I1774">
        <v>1401569</v>
      </c>
      <c r="J1774" t="s">
        <v>2407</v>
      </c>
      <c r="K1774" t="s">
        <v>5491</v>
      </c>
      <c r="L1774" t="s">
        <v>4299</v>
      </c>
      <c r="N1774" t="s">
        <v>5492</v>
      </c>
      <c r="O1774" t="s">
        <v>5493</v>
      </c>
      <c r="R1774" t="s">
        <v>4012</v>
      </c>
      <c r="S1774" s="34" t="s">
        <v>5494</v>
      </c>
    </row>
    <row r="1775" spans="1:19" ht="409.5" x14ac:dyDescent="0.15">
      <c r="A1775" t="s">
        <v>515</v>
      </c>
      <c r="B1775" s="61">
        <v>46296</v>
      </c>
      <c r="E1775" t="s">
        <v>355</v>
      </c>
      <c r="F1775" t="s">
        <v>351</v>
      </c>
      <c r="G1775" t="s">
        <v>354</v>
      </c>
      <c r="H1775" t="s">
        <v>353</v>
      </c>
      <c r="I1775">
        <v>1402913</v>
      </c>
      <c r="J1775" t="s">
        <v>3242</v>
      </c>
      <c r="K1775" t="s">
        <v>5495</v>
      </c>
      <c r="L1775" t="s">
        <v>5496</v>
      </c>
      <c r="N1775" t="s">
        <v>5497</v>
      </c>
      <c r="O1775" t="s">
        <v>5498</v>
      </c>
      <c r="R1775" t="s">
        <v>3987</v>
      </c>
      <c r="S1775" s="34" t="s">
        <v>5499</v>
      </c>
    </row>
    <row r="1776" spans="1:19" ht="409.5" x14ac:dyDescent="0.15">
      <c r="A1776" t="s">
        <v>617</v>
      </c>
      <c r="B1776" s="61">
        <v>46266</v>
      </c>
      <c r="E1776" t="s">
        <v>355</v>
      </c>
      <c r="F1776" t="s">
        <v>351</v>
      </c>
      <c r="G1776" t="s">
        <v>354</v>
      </c>
      <c r="H1776" t="s">
        <v>365</v>
      </c>
      <c r="I1776">
        <v>2300166</v>
      </c>
      <c r="J1776" t="s">
        <v>618</v>
      </c>
      <c r="K1776" t="s">
        <v>619</v>
      </c>
      <c r="L1776" t="s">
        <v>620</v>
      </c>
      <c r="N1776" t="s">
        <v>621</v>
      </c>
      <c r="O1776" t="s">
        <v>622</v>
      </c>
      <c r="S1776" s="34" t="s">
        <v>5500</v>
      </c>
    </row>
    <row r="1777" spans="1:19" ht="409.5" x14ac:dyDescent="0.15">
      <c r="A1777" t="s">
        <v>617</v>
      </c>
      <c r="B1777" s="61">
        <v>46266</v>
      </c>
      <c r="E1777" t="s">
        <v>355</v>
      </c>
      <c r="F1777" t="s">
        <v>351</v>
      </c>
      <c r="G1777" t="s">
        <v>354</v>
      </c>
      <c r="H1777" t="s">
        <v>365</v>
      </c>
      <c r="I1777">
        <v>2300496</v>
      </c>
      <c r="J1777" t="s">
        <v>649</v>
      </c>
      <c r="K1777" t="s">
        <v>650</v>
      </c>
      <c r="L1777" t="s">
        <v>651</v>
      </c>
      <c r="N1777" t="s">
        <v>652</v>
      </c>
      <c r="O1777" t="s">
        <v>653</v>
      </c>
      <c r="R1777" t="s">
        <v>3986</v>
      </c>
      <c r="S1777" s="34" t="s">
        <v>5501</v>
      </c>
    </row>
    <row r="1778" spans="1:19" ht="409.5" x14ac:dyDescent="0.15">
      <c r="A1778" t="s">
        <v>617</v>
      </c>
      <c r="B1778" s="61">
        <v>46266</v>
      </c>
      <c r="E1778" t="s">
        <v>355</v>
      </c>
      <c r="F1778" t="s">
        <v>351</v>
      </c>
      <c r="G1778" t="s">
        <v>354</v>
      </c>
      <c r="H1778" t="s">
        <v>353</v>
      </c>
      <c r="I1778">
        <v>2302215</v>
      </c>
      <c r="J1778" t="s">
        <v>668</v>
      </c>
      <c r="K1778" t="s">
        <v>669</v>
      </c>
      <c r="L1778" t="s">
        <v>670</v>
      </c>
      <c r="N1778" t="s">
        <v>7351</v>
      </c>
      <c r="O1778" t="s">
        <v>671</v>
      </c>
      <c r="S1778" s="34" t="s">
        <v>5502</v>
      </c>
    </row>
    <row r="1779" spans="1:19" ht="243" x14ac:dyDescent="0.15">
      <c r="A1779" t="s">
        <v>617</v>
      </c>
      <c r="B1779" s="61">
        <v>46266</v>
      </c>
      <c r="E1779" t="s">
        <v>355</v>
      </c>
      <c r="F1779" t="s">
        <v>351</v>
      </c>
      <c r="G1779" t="s">
        <v>352</v>
      </c>
      <c r="H1779" t="s">
        <v>353</v>
      </c>
      <c r="I1779">
        <v>2303319</v>
      </c>
      <c r="J1779" t="s">
        <v>5503</v>
      </c>
      <c r="K1779" t="s">
        <v>5504</v>
      </c>
      <c r="L1779" t="s">
        <v>413</v>
      </c>
      <c r="N1779" t="s">
        <v>5505</v>
      </c>
      <c r="O1779" t="s">
        <v>5506</v>
      </c>
      <c r="R1779" t="s">
        <v>3985</v>
      </c>
      <c r="S1779" s="34" t="s">
        <v>5507</v>
      </c>
    </row>
    <row r="1780" spans="1:19" ht="229.5" x14ac:dyDescent="0.15">
      <c r="A1780" t="s">
        <v>617</v>
      </c>
      <c r="B1780" s="61">
        <v>46266</v>
      </c>
      <c r="E1780" t="s">
        <v>355</v>
      </c>
      <c r="F1780" t="s">
        <v>351</v>
      </c>
      <c r="G1780" t="s">
        <v>354</v>
      </c>
      <c r="H1780" t="s">
        <v>365</v>
      </c>
      <c r="I1780">
        <v>2303759</v>
      </c>
      <c r="J1780" t="s">
        <v>681</v>
      </c>
      <c r="L1780" t="s">
        <v>413</v>
      </c>
      <c r="N1780" t="s">
        <v>682</v>
      </c>
      <c r="O1780" t="s">
        <v>683</v>
      </c>
      <c r="S1780" s="34" t="s">
        <v>5508</v>
      </c>
    </row>
    <row r="1781" spans="1:19" ht="409.5" x14ac:dyDescent="0.15">
      <c r="A1781" t="s">
        <v>617</v>
      </c>
      <c r="B1781" s="61">
        <v>46327</v>
      </c>
      <c r="E1781" t="s">
        <v>355</v>
      </c>
      <c r="F1781" t="s">
        <v>351</v>
      </c>
      <c r="G1781" t="s">
        <v>354</v>
      </c>
      <c r="H1781" t="s">
        <v>353</v>
      </c>
      <c r="I1781">
        <v>2300558</v>
      </c>
      <c r="J1781" t="s">
        <v>5509</v>
      </c>
      <c r="K1781" t="s">
        <v>673</v>
      </c>
      <c r="L1781" t="s">
        <v>5510</v>
      </c>
      <c r="N1781" t="s">
        <v>5511</v>
      </c>
      <c r="O1781" t="s">
        <v>5512</v>
      </c>
      <c r="R1781" t="s">
        <v>3986</v>
      </c>
      <c r="S1781" s="34" t="s">
        <v>5513</v>
      </c>
    </row>
    <row r="1782" spans="1:19" ht="229.5" x14ac:dyDescent="0.15">
      <c r="A1782" t="s">
        <v>617</v>
      </c>
      <c r="B1782" s="61">
        <v>46327</v>
      </c>
      <c r="E1782" t="s">
        <v>355</v>
      </c>
      <c r="F1782" t="s">
        <v>351</v>
      </c>
      <c r="G1782" t="s">
        <v>354</v>
      </c>
      <c r="H1782" t="s">
        <v>365</v>
      </c>
      <c r="I1782">
        <v>2302268</v>
      </c>
      <c r="J1782" t="s">
        <v>624</v>
      </c>
      <c r="K1782" t="s">
        <v>625</v>
      </c>
      <c r="L1782" t="s">
        <v>626</v>
      </c>
      <c r="N1782" t="s">
        <v>627</v>
      </c>
      <c r="O1782" t="s">
        <v>628</v>
      </c>
      <c r="R1782" t="s">
        <v>3987</v>
      </c>
      <c r="S1782" s="34" t="s">
        <v>5514</v>
      </c>
    </row>
    <row r="1783" spans="1:19" ht="243" x14ac:dyDescent="0.15">
      <c r="A1783" t="s">
        <v>617</v>
      </c>
      <c r="B1783" s="61">
        <v>46327</v>
      </c>
      <c r="E1783" t="s">
        <v>355</v>
      </c>
      <c r="F1783" t="s">
        <v>351</v>
      </c>
      <c r="G1783" t="s">
        <v>354</v>
      </c>
      <c r="H1783" t="s">
        <v>353</v>
      </c>
      <c r="I1783">
        <v>2302614</v>
      </c>
      <c r="J1783" t="s">
        <v>5515</v>
      </c>
      <c r="L1783" t="s">
        <v>2865</v>
      </c>
      <c r="N1783" t="s">
        <v>5516</v>
      </c>
      <c r="O1783" t="s">
        <v>5517</v>
      </c>
      <c r="R1783" t="s">
        <v>4012</v>
      </c>
      <c r="S1783" s="34" t="s">
        <v>5518</v>
      </c>
    </row>
    <row r="1784" spans="1:19" ht="409.5" x14ac:dyDescent="0.15">
      <c r="A1784" t="s">
        <v>617</v>
      </c>
      <c r="B1784" s="61">
        <v>46327</v>
      </c>
      <c r="E1784" t="s">
        <v>355</v>
      </c>
      <c r="F1784" t="s">
        <v>351</v>
      </c>
      <c r="G1784" t="s">
        <v>354</v>
      </c>
      <c r="H1784" t="s">
        <v>353</v>
      </c>
      <c r="I1784">
        <v>2303689</v>
      </c>
      <c r="J1784" t="s">
        <v>672</v>
      </c>
      <c r="K1784" t="s">
        <v>673</v>
      </c>
      <c r="L1784" t="s">
        <v>674</v>
      </c>
      <c r="N1784" t="s">
        <v>5519</v>
      </c>
      <c r="O1784" t="s">
        <v>676</v>
      </c>
      <c r="S1784" s="34" t="s">
        <v>5520</v>
      </c>
    </row>
    <row r="1785" spans="1:19" ht="409.5" x14ac:dyDescent="0.15">
      <c r="A1785" t="s">
        <v>617</v>
      </c>
      <c r="B1785" s="61">
        <v>46357</v>
      </c>
      <c r="E1785" t="s">
        <v>355</v>
      </c>
      <c r="F1785" t="s">
        <v>351</v>
      </c>
      <c r="G1785" t="s">
        <v>354</v>
      </c>
      <c r="H1785" t="s">
        <v>353</v>
      </c>
      <c r="I1785">
        <v>2300485</v>
      </c>
      <c r="J1785" t="s">
        <v>4095</v>
      </c>
      <c r="K1785" t="s">
        <v>3255</v>
      </c>
      <c r="L1785" t="s">
        <v>4096</v>
      </c>
      <c r="N1785" t="s">
        <v>5521</v>
      </c>
      <c r="O1785" t="s">
        <v>4098</v>
      </c>
      <c r="R1785" t="s">
        <v>3987</v>
      </c>
      <c r="S1785" s="34" t="s">
        <v>5522</v>
      </c>
    </row>
    <row r="1786" spans="1:19" ht="229.5" x14ac:dyDescent="0.15">
      <c r="A1786" t="s">
        <v>617</v>
      </c>
      <c r="B1786" s="61">
        <v>46357</v>
      </c>
      <c r="E1786" t="s">
        <v>355</v>
      </c>
      <c r="F1786" t="s">
        <v>351</v>
      </c>
      <c r="G1786" t="s">
        <v>354</v>
      </c>
      <c r="H1786" t="s">
        <v>365</v>
      </c>
      <c r="I1786">
        <v>2303719</v>
      </c>
      <c r="J1786" t="s">
        <v>677</v>
      </c>
      <c r="K1786" t="s">
        <v>678</v>
      </c>
      <c r="L1786" t="s">
        <v>390</v>
      </c>
      <c r="N1786" t="s">
        <v>679</v>
      </c>
      <c r="O1786" t="s">
        <v>680</v>
      </c>
      <c r="R1786" t="s">
        <v>3987</v>
      </c>
      <c r="S1786" s="34" t="s">
        <v>5523</v>
      </c>
    </row>
    <row r="1787" spans="1:19" ht="409.5" x14ac:dyDescent="0.15">
      <c r="A1787" t="s">
        <v>5524</v>
      </c>
      <c r="B1787" s="61">
        <v>46235</v>
      </c>
      <c r="E1787" t="s">
        <v>355</v>
      </c>
      <c r="F1787" t="s">
        <v>351</v>
      </c>
      <c r="G1787" t="s">
        <v>354</v>
      </c>
      <c r="H1787" t="s">
        <v>353</v>
      </c>
      <c r="I1787">
        <v>1402843</v>
      </c>
      <c r="J1787" t="s">
        <v>2372</v>
      </c>
      <c r="K1787" t="s">
        <v>1769</v>
      </c>
      <c r="L1787" t="s">
        <v>2373</v>
      </c>
      <c r="N1787" t="s">
        <v>2374</v>
      </c>
      <c r="O1787" t="s">
        <v>2375</v>
      </c>
      <c r="R1787" t="s">
        <v>3987</v>
      </c>
      <c r="S1787" s="34" t="s">
        <v>5525</v>
      </c>
    </row>
    <row r="1788" spans="1:19" ht="409.5" x14ac:dyDescent="0.15">
      <c r="A1788" t="s">
        <v>5524</v>
      </c>
      <c r="B1788" s="61">
        <v>46266</v>
      </c>
      <c r="E1788" t="s">
        <v>355</v>
      </c>
      <c r="F1788" t="s">
        <v>351</v>
      </c>
      <c r="G1788" t="s">
        <v>354</v>
      </c>
      <c r="H1788" t="s">
        <v>353</v>
      </c>
      <c r="I1788">
        <v>1400845</v>
      </c>
      <c r="J1788" t="s">
        <v>971</v>
      </c>
      <c r="K1788" t="s">
        <v>972</v>
      </c>
      <c r="L1788" t="s">
        <v>373</v>
      </c>
      <c r="N1788" t="s">
        <v>5526</v>
      </c>
      <c r="O1788" t="s">
        <v>973</v>
      </c>
      <c r="S1788" s="34" t="s">
        <v>5527</v>
      </c>
    </row>
    <row r="1789" spans="1:19" ht="409.5" x14ac:dyDescent="0.15">
      <c r="A1789" t="s">
        <v>5524</v>
      </c>
      <c r="B1789" s="61">
        <v>46266</v>
      </c>
      <c r="E1789" t="s">
        <v>355</v>
      </c>
      <c r="F1789" t="s">
        <v>351</v>
      </c>
      <c r="G1789" t="s">
        <v>354</v>
      </c>
      <c r="H1789" t="s">
        <v>365</v>
      </c>
      <c r="I1789">
        <v>1400845</v>
      </c>
      <c r="J1789" t="s">
        <v>971</v>
      </c>
      <c r="K1789" t="s">
        <v>972</v>
      </c>
      <c r="L1789" t="s">
        <v>373</v>
      </c>
      <c r="N1789" t="s">
        <v>5528</v>
      </c>
      <c r="O1789" t="s">
        <v>973</v>
      </c>
      <c r="S1789" s="34" t="s">
        <v>5529</v>
      </c>
    </row>
    <row r="1790" spans="1:19" ht="351" x14ac:dyDescent="0.15">
      <c r="A1790" t="s">
        <v>5524</v>
      </c>
      <c r="B1790" s="61">
        <v>46266</v>
      </c>
      <c r="E1790" t="s">
        <v>355</v>
      </c>
      <c r="F1790" t="s">
        <v>351</v>
      </c>
      <c r="G1790" t="s">
        <v>354</v>
      </c>
      <c r="H1790" t="s">
        <v>353</v>
      </c>
      <c r="I1790">
        <v>1400845</v>
      </c>
      <c r="J1790" t="s">
        <v>971</v>
      </c>
      <c r="K1790" t="s">
        <v>972</v>
      </c>
      <c r="L1790" t="s">
        <v>373</v>
      </c>
      <c r="N1790" t="s">
        <v>3938</v>
      </c>
      <c r="O1790" t="s">
        <v>973</v>
      </c>
      <c r="S1790" s="34" t="s">
        <v>5530</v>
      </c>
    </row>
    <row r="1791" spans="1:19" ht="409.5" x14ac:dyDescent="0.15">
      <c r="A1791" t="s">
        <v>5524</v>
      </c>
      <c r="B1791" s="61">
        <v>46266</v>
      </c>
      <c r="E1791" t="s">
        <v>355</v>
      </c>
      <c r="F1791" t="s">
        <v>351</v>
      </c>
      <c r="G1791" t="s">
        <v>354</v>
      </c>
      <c r="H1791" t="s">
        <v>365</v>
      </c>
      <c r="I1791">
        <v>1400845</v>
      </c>
      <c r="J1791" t="s">
        <v>971</v>
      </c>
      <c r="K1791" t="s">
        <v>972</v>
      </c>
      <c r="L1791" t="s">
        <v>373</v>
      </c>
      <c r="N1791" t="s">
        <v>1010</v>
      </c>
      <c r="O1791" t="s">
        <v>973</v>
      </c>
      <c r="S1791" s="34" t="s">
        <v>5531</v>
      </c>
    </row>
    <row r="1792" spans="1:19" ht="351" x14ac:dyDescent="0.15">
      <c r="A1792" t="s">
        <v>5524</v>
      </c>
      <c r="B1792" s="61">
        <v>46266</v>
      </c>
      <c r="E1792" t="s">
        <v>355</v>
      </c>
      <c r="F1792" t="s">
        <v>351</v>
      </c>
      <c r="G1792" t="s">
        <v>354</v>
      </c>
      <c r="H1792" t="s">
        <v>365</v>
      </c>
      <c r="I1792">
        <v>1402761</v>
      </c>
      <c r="J1792" t="s">
        <v>995</v>
      </c>
      <c r="K1792" t="s">
        <v>996</v>
      </c>
      <c r="L1792" t="s">
        <v>997</v>
      </c>
      <c r="N1792" t="s">
        <v>998</v>
      </c>
      <c r="O1792" t="s">
        <v>999</v>
      </c>
      <c r="R1792" t="s">
        <v>3987</v>
      </c>
      <c r="S1792" s="34" t="s">
        <v>5532</v>
      </c>
    </row>
    <row r="1793" spans="1:19" ht="409.5" x14ac:dyDescent="0.15">
      <c r="A1793" t="s">
        <v>5524</v>
      </c>
      <c r="B1793" s="61">
        <v>46296</v>
      </c>
      <c r="E1793" t="s">
        <v>355</v>
      </c>
      <c r="F1793" t="s">
        <v>351</v>
      </c>
      <c r="G1793" t="s">
        <v>354</v>
      </c>
      <c r="H1793" t="s">
        <v>365</v>
      </c>
      <c r="I1793">
        <v>1400662</v>
      </c>
      <c r="J1793" t="s">
        <v>2353</v>
      </c>
      <c r="K1793" t="s">
        <v>2354</v>
      </c>
      <c r="L1793" t="s">
        <v>2355</v>
      </c>
      <c r="N1793" t="s">
        <v>2356</v>
      </c>
      <c r="O1793" t="s">
        <v>2357</v>
      </c>
      <c r="R1793" t="s">
        <v>3986</v>
      </c>
      <c r="S1793" s="34" t="s">
        <v>5533</v>
      </c>
    </row>
    <row r="1794" spans="1:19" ht="409.5" x14ac:dyDescent="0.15">
      <c r="A1794" t="s">
        <v>5524</v>
      </c>
      <c r="B1794" s="61">
        <v>46296</v>
      </c>
      <c r="E1794" t="s">
        <v>355</v>
      </c>
      <c r="F1794" t="s">
        <v>351</v>
      </c>
      <c r="G1794" t="s">
        <v>354</v>
      </c>
      <c r="H1794" t="s">
        <v>353</v>
      </c>
      <c r="I1794">
        <v>1401939</v>
      </c>
      <c r="J1794" t="s">
        <v>2363</v>
      </c>
      <c r="K1794" t="s">
        <v>2364</v>
      </c>
      <c r="L1794" t="s">
        <v>2359</v>
      </c>
      <c r="N1794" t="s">
        <v>5534</v>
      </c>
      <c r="O1794" t="s">
        <v>2366</v>
      </c>
      <c r="S1794" s="34" t="s">
        <v>5535</v>
      </c>
    </row>
    <row r="1795" spans="1:19" ht="189" x14ac:dyDescent="0.15">
      <c r="A1795" t="s">
        <v>5524</v>
      </c>
      <c r="B1795" s="61">
        <v>46296</v>
      </c>
      <c r="E1795" t="s">
        <v>355</v>
      </c>
      <c r="F1795" t="s">
        <v>351</v>
      </c>
      <c r="G1795" t="s">
        <v>354</v>
      </c>
      <c r="H1795" t="s">
        <v>353</v>
      </c>
      <c r="I1795">
        <v>1402261</v>
      </c>
      <c r="J1795" t="s">
        <v>481</v>
      </c>
      <c r="K1795" t="s">
        <v>4171</v>
      </c>
      <c r="L1795" t="s">
        <v>4127</v>
      </c>
      <c r="N1795" t="s">
        <v>4172</v>
      </c>
      <c r="O1795" t="s">
        <v>4173</v>
      </c>
      <c r="R1795" t="s">
        <v>3986</v>
      </c>
      <c r="S1795" s="34" t="s">
        <v>5536</v>
      </c>
    </row>
    <row r="1796" spans="1:19" ht="409.5" x14ac:dyDescent="0.15">
      <c r="A1796" t="s">
        <v>5524</v>
      </c>
      <c r="B1796" s="61">
        <v>46327</v>
      </c>
      <c r="E1796" t="s">
        <v>355</v>
      </c>
      <c r="F1796" t="s">
        <v>351</v>
      </c>
      <c r="G1796" t="s">
        <v>354</v>
      </c>
      <c r="H1796" t="s">
        <v>365</v>
      </c>
      <c r="I1796">
        <v>1402866</v>
      </c>
      <c r="J1796" t="s">
        <v>974</v>
      </c>
      <c r="K1796" t="s">
        <v>975</v>
      </c>
      <c r="L1796" t="s">
        <v>466</v>
      </c>
      <c r="N1796" t="s">
        <v>7360</v>
      </c>
      <c r="O1796" t="s">
        <v>977</v>
      </c>
      <c r="S1796" s="34" t="s">
        <v>5537</v>
      </c>
    </row>
    <row r="1797" spans="1:19" ht="409.5" x14ac:dyDescent="0.15">
      <c r="A1797" t="s">
        <v>5524</v>
      </c>
      <c r="B1797" s="61">
        <v>46327</v>
      </c>
      <c r="E1797" t="s">
        <v>355</v>
      </c>
      <c r="F1797" t="s">
        <v>351</v>
      </c>
      <c r="G1797" t="s">
        <v>354</v>
      </c>
      <c r="H1797" t="s">
        <v>353</v>
      </c>
      <c r="I1797">
        <v>1400751</v>
      </c>
      <c r="J1797" t="s">
        <v>3997</v>
      </c>
      <c r="K1797" t="s">
        <v>5538</v>
      </c>
      <c r="L1797" t="s">
        <v>390</v>
      </c>
      <c r="N1797" t="s">
        <v>5539</v>
      </c>
      <c r="O1797" t="s">
        <v>5540</v>
      </c>
      <c r="R1797" t="s">
        <v>4012</v>
      </c>
      <c r="S1797" s="34" t="s">
        <v>5541</v>
      </c>
    </row>
    <row r="1798" spans="1:19" ht="405" x14ac:dyDescent="0.15">
      <c r="A1798" t="s">
        <v>5524</v>
      </c>
      <c r="B1798" s="61">
        <v>46327</v>
      </c>
      <c r="E1798" t="s">
        <v>355</v>
      </c>
      <c r="F1798" t="s">
        <v>351</v>
      </c>
      <c r="G1798" t="s">
        <v>354</v>
      </c>
      <c r="H1798" t="s">
        <v>686</v>
      </c>
      <c r="I1798">
        <v>1400845</v>
      </c>
      <c r="J1798" t="s">
        <v>971</v>
      </c>
      <c r="K1798" t="s">
        <v>972</v>
      </c>
      <c r="L1798" t="s">
        <v>373</v>
      </c>
      <c r="N1798">
        <v>2127376</v>
      </c>
      <c r="O1798" t="s">
        <v>973</v>
      </c>
      <c r="R1798" t="s">
        <v>3992</v>
      </c>
      <c r="S1798" s="34" t="s">
        <v>5542</v>
      </c>
    </row>
    <row r="1799" spans="1:19" ht="364.5" x14ac:dyDescent="0.15">
      <c r="A1799" t="s">
        <v>5524</v>
      </c>
      <c r="B1799" s="61">
        <v>46327</v>
      </c>
      <c r="E1799" t="s">
        <v>355</v>
      </c>
      <c r="F1799" t="s">
        <v>351</v>
      </c>
      <c r="G1799" t="s">
        <v>354</v>
      </c>
      <c r="H1799" t="s">
        <v>353</v>
      </c>
      <c r="I1799">
        <v>1401869</v>
      </c>
      <c r="J1799" t="s">
        <v>2129</v>
      </c>
      <c r="K1799" t="s">
        <v>5543</v>
      </c>
      <c r="L1799" t="s">
        <v>2459</v>
      </c>
      <c r="N1799" t="s">
        <v>5544</v>
      </c>
      <c r="O1799" t="s">
        <v>5545</v>
      </c>
      <c r="R1799" t="s">
        <v>4012</v>
      </c>
      <c r="S1799" s="34" t="s">
        <v>5546</v>
      </c>
    </row>
    <row r="1800" spans="1:19" ht="409.5" x14ac:dyDescent="0.15">
      <c r="A1800" t="s">
        <v>5524</v>
      </c>
      <c r="B1800" s="61">
        <v>46327</v>
      </c>
      <c r="E1800" t="s">
        <v>355</v>
      </c>
      <c r="F1800" t="s">
        <v>351</v>
      </c>
      <c r="G1800" t="s">
        <v>354</v>
      </c>
      <c r="H1800" t="s">
        <v>353</v>
      </c>
      <c r="I1800">
        <v>1402866</v>
      </c>
      <c r="J1800" t="s">
        <v>974</v>
      </c>
      <c r="K1800" t="s">
        <v>975</v>
      </c>
      <c r="L1800" t="s">
        <v>466</v>
      </c>
      <c r="N1800" t="s">
        <v>976</v>
      </c>
      <c r="O1800" t="s">
        <v>977</v>
      </c>
      <c r="R1800" t="s">
        <v>3987</v>
      </c>
      <c r="S1800" s="34" t="s">
        <v>5547</v>
      </c>
    </row>
    <row r="1801" spans="1:19" ht="351" x14ac:dyDescent="0.15">
      <c r="A1801" t="s">
        <v>5524</v>
      </c>
      <c r="B1801" s="61">
        <v>46327</v>
      </c>
      <c r="E1801" t="s">
        <v>355</v>
      </c>
      <c r="F1801" t="s">
        <v>351</v>
      </c>
      <c r="G1801" t="s">
        <v>354</v>
      </c>
      <c r="H1801" t="s">
        <v>686</v>
      </c>
      <c r="I1801">
        <v>1402866</v>
      </c>
      <c r="J1801" t="s">
        <v>974</v>
      </c>
      <c r="K1801" t="s">
        <v>975</v>
      </c>
      <c r="L1801" t="s">
        <v>466</v>
      </c>
      <c r="N1801">
        <v>2146281</v>
      </c>
      <c r="O1801" t="s">
        <v>977</v>
      </c>
      <c r="R1801" t="s">
        <v>3987</v>
      </c>
      <c r="S1801" s="34" t="s">
        <v>5548</v>
      </c>
    </row>
    <row r="1802" spans="1:19" ht="189" x14ac:dyDescent="0.15">
      <c r="A1802" t="s">
        <v>5524</v>
      </c>
      <c r="B1802" s="61">
        <v>46357</v>
      </c>
      <c r="E1802" t="s">
        <v>355</v>
      </c>
      <c r="F1802" t="s">
        <v>351</v>
      </c>
      <c r="G1802" t="s">
        <v>354</v>
      </c>
      <c r="H1802" t="s">
        <v>686</v>
      </c>
      <c r="I1802">
        <v>1401359</v>
      </c>
      <c r="J1802" t="s">
        <v>3922</v>
      </c>
      <c r="K1802" t="s">
        <v>3923</v>
      </c>
      <c r="L1802" t="s">
        <v>373</v>
      </c>
      <c r="N1802">
        <v>2167341</v>
      </c>
      <c r="O1802" t="s">
        <v>3924</v>
      </c>
      <c r="R1802" t="s">
        <v>3987</v>
      </c>
      <c r="S1802" s="34" t="s">
        <v>5549</v>
      </c>
    </row>
    <row r="1803" spans="1:19" ht="229.5" x14ac:dyDescent="0.15">
      <c r="A1803" t="s">
        <v>5524</v>
      </c>
      <c r="B1803" s="61">
        <v>46357</v>
      </c>
      <c r="E1803" t="s">
        <v>355</v>
      </c>
      <c r="F1803" t="s">
        <v>351</v>
      </c>
      <c r="G1803" t="s">
        <v>354</v>
      </c>
      <c r="H1803" t="s">
        <v>365</v>
      </c>
      <c r="I1803">
        <v>1401359</v>
      </c>
      <c r="J1803" t="s">
        <v>3922</v>
      </c>
      <c r="K1803" t="s">
        <v>3923</v>
      </c>
      <c r="L1803" t="s">
        <v>373</v>
      </c>
      <c r="N1803" t="s">
        <v>3930</v>
      </c>
      <c r="O1803" t="s">
        <v>3924</v>
      </c>
      <c r="R1803" t="s">
        <v>3987</v>
      </c>
      <c r="S1803" s="34" t="s">
        <v>5550</v>
      </c>
    </row>
    <row r="1804" spans="1:19" ht="409.5" x14ac:dyDescent="0.15">
      <c r="A1804" t="s">
        <v>5524</v>
      </c>
      <c r="B1804" s="61">
        <v>46357</v>
      </c>
      <c r="E1804" t="s">
        <v>355</v>
      </c>
      <c r="F1804" t="s">
        <v>351</v>
      </c>
      <c r="G1804" t="s">
        <v>354</v>
      </c>
      <c r="H1804" t="s">
        <v>353</v>
      </c>
      <c r="I1804">
        <v>1402786</v>
      </c>
      <c r="J1804" t="s">
        <v>2184</v>
      </c>
      <c r="K1804" t="s">
        <v>4774</v>
      </c>
      <c r="L1804" t="s">
        <v>4775</v>
      </c>
      <c r="N1804" t="s">
        <v>4776</v>
      </c>
      <c r="O1804" t="s">
        <v>4777</v>
      </c>
      <c r="S1804" s="34" t="s">
        <v>5551</v>
      </c>
    </row>
    <row r="1805" spans="1:19" ht="351" x14ac:dyDescent="0.15">
      <c r="A1805" t="s">
        <v>685</v>
      </c>
      <c r="B1805" s="61">
        <v>46235</v>
      </c>
      <c r="E1805" t="s">
        <v>355</v>
      </c>
      <c r="F1805" t="s">
        <v>351</v>
      </c>
      <c r="G1805" t="s">
        <v>354</v>
      </c>
      <c r="H1805" t="s">
        <v>353</v>
      </c>
      <c r="I1805">
        <v>2100169</v>
      </c>
      <c r="J1805" t="s">
        <v>5552</v>
      </c>
      <c r="L1805" t="s">
        <v>413</v>
      </c>
      <c r="N1805" t="s">
        <v>5553</v>
      </c>
      <c r="O1805" t="s">
        <v>5554</v>
      </c>
      <c r="R1805" t="s">
        <v>3987</v>
      </c>
      <c r="S1805" s="34" t="s">
        <v>5555</v>
      </c>
    </row>
    <row r="1806" spans="1:19" ht="351" x14ac:dyDescent="0.15">
      <c r="A1806" t="s">
        <v>685</v>
      </c>
      <c r="B1806" s="61">
        <v>46235</v>
      </c>
      <c r="E1806" t="s">
        <v>355</v>
      </c>
      <c r="F1806" t="s">
        <v>351</v>
      </c>
      <c r="G1806" t="s">
        <v>352</v>
      </c>
      <c r="H1806" t="s">
        <v>353</v>
      </c>
      <c r="I1806">
        <v>2100196</v>
      </c>
      <c r="J1806" t="s">
        <v>691</v>
      </c>
      <c r="L1806" t="s">
        <v>692</v>
      </c>
      <c r="N1806" t="s">
        <v>693</v>
      </c>
      <c r="O1806" t="s">
        <v>694</v>
      </c>
      <c r="R1806" t="s">
        <v>3985</v>
      </c>
      <c r="S1806" s="34" t="s">
        <v>5556</v>
      </c>
    </row>
    <row r="1807" spans="1:19" ht="229.5" x14ac:dyDescent="0.15">
      <c r="A1807" t="s">
        <v>685</v>
      </c>
      <c r="B1807" s="61">
        <v>46235</v>
      </c>
      <c r="E1807" t="s">
        <v>355</v>
      </c>
      <c r="F1807" t="s">
        <v>351</v>
      </c>
      <c r="G1807" t="s">
        <v>352</v>
      </c>
      <c r="H1807" t="s">
        <v>353</v>
      </c>
      <c r="I1807">
        <v>2100206</v>
      </c>
      <c r="J1807" t="s">
        <v>5557</v>
      </c>
      <c r="K1807" t="s">
        <v>5558</v>
      </c>
      <c r="L1807" t="s">
        <v>5559</v>
      </c>
      <c r="N1807" t="s">
        <v>5560</v>
      </c>
      <c r="O1807" t="s">
        <v>5561</v>
      </c>
      <c r="R1807" t="s">
        <v>3985</v>
      </c>
      <c r="S1807" s="34" t="s">
        <v>5562</v>
      </c>
    </row>
    <row r="1808" spans="1:19" ht="337.5" x14ac:dyDescent="0.15">
      <c r="A1808" t="s">
        <v>685</v>
      </c>
      <c r="B1808" s="61">
        <v>46235</v>
      </c>
      <c r="E1808" t="s">
        <v>355</v>
      </c>
      <c r="F1808" t="s">
        <v>351</v>
      </c>
      <c r="G1808" t="s">
        <v>354</v>
      </c>
      <c r="H1808" t="s">
        <v>353</v>
      </c>
      <c r="I1808">
        <v>2100414</v>
      </c>
      <c r="J1808" t="s">
        <v>757</v>
      </c>
      <c r="K1808" t="s">
        <v>758</v>
      </c>
      <c r="L1808" t="s">
        <v>759</v>
      </c>
      <c r="N1808" t="s">
        <v>5563</v>
      </c>
      <c r="O1808" t="s">
        <v>761</v>
      </c>
      <c r="R1808" t="s">
        <v>3986</v>
      </c>
      <c r="S1808" s="34" t="s">
        <v>5564</v>
      </c>
    </row>
    <row r="1809" spans="1:19" ht="243" x14ac:dyDescent="0.15">
      <c r="A1809" t="s">
        <v>685</v>
      </c>
      <c r="B1809" s="61">
        <v>46235</v>
      </c>
      <c r="E1809" t="s">
        <v>355</v>
      </c>
      <c r="F1809" t="s">
        <v>351</v>
      </c>
      <c r="G1809" t="s">
        <v>354</v>
      </c>
      <c r="H1809" t="s">
        <v>365</v>
      </c>
      <c r="I1809">
        <v>2100800</v>
      </c>
      <c r="J1809" t="s">
        <v>696</v>
      </c>
      <c r="K1809" t="s">
        <v>697</v>
      </c>
      <c r="L1809" t="s">
        <v>698</v>
      </c>
      <c r="N1809" t="s">
        <v>699</v>
      </c>
      <c r="O1809" t="s">
        <v>700</v>
      </c>
      <c r="R1809" t="s">
        <v>3986</v>
      </c>
      <c r="S1809" s="34" t="s">
        <v>5565</v>
      </c>
    </row>
    <row r="1810" spans="1:19" ht="229.5" x14ac:dyDescent="0.15">
      <c r="A1810" t="s">
        <v>685</v>
      </c>
      <c r="B1810" s="61">
        <v>46235</v>
      </c>
      <c r="E1810" t="s">
        <v>355</v>
      </c>
      <c r="F1810" t="s">
        <v>351</v>
      </c>
      <c r="G1810" t="s">
        <v>352</v>
      </c>
      <c r="H1810" t="s">
        <v>353</v>
      </c>
      <c r="I1810">
        <v>2100802</v>
      </c>
      <c r="J1810" t="s">
        <v>747</v>
      </c>
      <c r="L1810" t="s">
        <v>748</v>
      </c>
      <c r="N1810" t="s">
        <v>749</v>
      </c>
      <c r="O1810" t="s">
        <v>750</v>
      </c>
      <c r="R1810" t="s">
        <v>3985</v>
      </c>
      <c r="S1810" s="34" t="s">
        <v>5566</v>
      </c>
    </row>
    <row r="1811" spans="1:19" ht="229.5" x14ac:dyDescent="0.15">
      <c r="A1811" t="s">
        <v>685</v>
      </c>
      <c r="B1811" s="61">
        <v>46266</v>
      </c>
      <c r="E1811" t="s">
        <v>355</v>
      </c>
      <c r="F1811" t="s">
        <v>351</v>
      </c>
      <c r="G1811" t="s">
        <v>354</v>
      </c>
      <c r="H1811" t="s">
        <v>365</v>
      </c>
      <c r="I1811">
        <v>2101060</v>
      </c>
      <c r="J1811" t="s">
        <v>5567</v>
      </c>
      <c r="K1811" t="s">
        <v>5568</v>
      </c>
      <c r="L1811" t="s">
        <v>5569</v>
      </c>
      <c r="N1811" t="s">
        <v>5570</v>
      </c>
      <c r="O1811" t="s">
        <v>5571</v>
      </c>
      <c r="R1811" t="s">
        <v>3992</v>
      </c>
      <c r="S1811" s="34" t="s">
        <v>5572</v>
      </c>
    </row>
    <row r="1812" spans="1:19" ht="229.5" x14ac:dyDescent="0.15">
      <c r="A1812" t="s">
        <v>685</v>
      </c>
      <c r="B1812" s="61">
        <v>46296</v>
      </c>
      <c r="E1812" t="s">
        <v>355</v>
      </c>
      <c r="F1812" t="s">
        <v>351</v>
      </c>
      <c r="G1812" t="s">
        <v>352</v>
      </c>
      <c r="H1812" t="s">
        <v>365</v>
      </c>
      <c r="I1812">
        <v>2100771</v>
      </c>
      <c r="J1812" t="s">
        <v>5573</v>
      </c>
      <c r="L1812" t="s">
        <v>698</v>
      </c>
      <c r="N1812" t="s">
        <v>5574</v>
      </c>
      <c r="O1812" t="s">
        <v>5575</v>
      </c>
      <c r="R1812" t="s">
        <v>3985</v>
      </c>
      <c r="S1812" s="34" t="s">
        <v>5576</v>
      </c>
    </row>
    <row r="1813" spans="1:19" ht="409.5" x14ac:dyDescent="0.15">
      <c r="A1813" t="s">
        <v>685</v>
      </c>
      <c r="B1813" s="61">
        <v>46296</v>
      </c>
      <c r="E1813" t="s">
        <v>355</v>
      </c>
      <c r="F1813" t="s">
        <v>351</v>
      </c>
      <c r="G1813" t="s">
        <v>354</v>
      </c>
      <c r="H1813" t="s">
        <v>365</v>
      </c>
      <c r="I1813">
        <v>2100945</v>
      </c>
      <c r="J1813" t="s">
        <v>5577</v>
      </c>
      <c r="K1813" t="s">
        <v>5578</v>
      </c>
      <c r="L1813" t="s">
        <v>854</v>
      </c>
      <c r="N1813" t="s">
        <v>5579</v>
      </c>
      <c r="O1813" t="s">
        <v>5580</v>
      </c>
      <c r="R1813" t="s">
        <v>3987</v>
      </c>
      <c r="S1813" s="34" t="s">
        <v>5581</v>
      </c>
    </row>
    <row r="1814" spans="1:19" ht="409.5" x14ac:dyDescent="0.15">
      <c r="A1814" t="s">
        <v>685</v>
      </c>
      <c r="B1814" s="61">
        <v>46296</v>
      </c>
      <c r="E1814" t="s">
        <v>355</v>
      </c>
      <c r="F1814" t="s">
        <v>351</v>
      </c>
      <c r="G1814" t="s">
        <v>354</v>
      </c>
      <c r="H1814" t="s">
        <v>353</v>
      </c>
      <c r="I1814">
        <v>2101056</v>
      </c>
      <c r="J1814" t="s">
        <v>739</v>
      </c>
      <c r="K1814" t="s">
        <v>740</v>
      </c>
      <c r="L1814" t="s">
        <v>466</v>
      </c>
      <c r="N1814" t="s">
        <v>5582</v>
      </c>
      <c r="O1814" t="s">
        <v>742</v>
      </c>
      <c r="R1814" t="s">
        <v>3987</v>
      </c>
      <c r="S1814" s="34" t="s">
        <v>5583</v>
      </c>
    </row>
    <row r="1815" spans="1:19" ht="229.5" x14ac:dyDescent="0.15">
      <c r="A1815" t="s">
        <v>685</v>
      </c>
      <c r="B1815" s="61">
        <v>46296</v>
      </c>
      <c r="E1815" t="s">
        <v>355</v>
      </c>
      <c r="F1815" t="s">
        <v>351</v>
      </c>
      <c r="G1815" t="s">
        <v>354</v>
      </c>
      <c r="H1815" t="s">
        <v>365</v>
      </c>
      <c r="I1815">
        <v>2101079</v>
      </c>
      <c r="J1815" t="s">
        <v>696</v>
      </c>
      <c r="K1815" t="s">
        <v>763</v>
      </c>
      <c r="L1815" t="s">
        <v>764</v>
      </c>
      <c r="N1815" t="s">
        <v>765</v>
      </c>
      <c r="O1815" t="s">
        <v>766</v>
      </c>
      <c r="R1815" t="s">
        <v>3987</v>
      </c>
      <c r="S1815" s="34" t="s">
        <v>5584</v>
      </c>
    </row>
    <row r="1816" spans="1:19" ht="409.5" x14ac:dyDescent="0.15">
      <c r="A1816" t="s">
        <v>685</v>
      </c>
      <c r="B1816" s="61">
        <v>46327</v>
      </c>
      <c r="E1816" t="s">
        <v>355</v>
      </c>
      <c r="F1816" t="s">
        <v>351</v>
      </c>
      <c r="G1816" t="s">
        <v>354</v>
      </c>
      <c r="H1816" t="s">
        <v>353</v>
      </c>
      <c r="I1816">
        <v>2100354</v>
      </c>
      <c r="J1816" t="s">
        <v>743</v>
      </c>
      <c r="K1816" t="s">
        <v>744</v>
      </c>
      <c r="L1816" t="s">
        <v>466</v>
      </c>
      <c r="N1816" t="s">
        <v>5585</v>
      </c>
      <c r="O1816" t="s">
        <v>746</v>
      </c>
      <c r="R1816" t="s">
        <v>3986</v>
      </c>
      <c r="S1816" s="34" t="s">
        <v>5586</v>
      </c>
    </row>
    <row r="1817" spans="1:19" ht="409.5" x14ac:dyDescent="0.15">
      <c r="A1817" t="s">
        <v>685</v>
      </c>
      <c r="B1817" s="61">
        <v>46327</v>
      </c>
      <c r="E1817" t="s">
        <v>355</v>
      </c>
      <c r="F1817" t="s">
        <v>351</v>
      </c>
      <c r="G1817" t="s">
        <v>354</v>
      </c>
      <c r="H1817" t="s">
        <v>686</v>
      </c>
      <c r="I1817">
        <v>2100354</v>
      </c>
      <c r="J1817" t="s">
        <v>743</v>
      </c>
      <c r="K1817" t="s">
        <v>744</v>
      </c>
      <c r="L1817" t="s">
        <v>466</v>
      </c>
      <c r="N1817" t="s">
        <v>5587</v>
      </c>
      <c r="O1817" t="s">
        <v>746</v>
      </c>
      <c r="R1817" t="s">
        <v>3986</v>
      </c>
      <c r="S1817" s="34" t="s">
        <v>5588</v>
      </c>
    </row>
    <row r="1818" spans="1:19" ht="216" x14ac:dyDescent="0.15">
      <c r="A1818" t="s">
        <v>685</v>
      </c>
      <c r="B1818" s="61">
        <v>46327</v>
      </c>
      <c r="E1818" t="s">
        <v>355</v>
      </c>
      <c r="F1818" t="s">
        <v>351</v>
      </c>
      <c r="G1818" t="s">
        <v>354</v>
      </c>
      <c r="H1818" t="s">
        <v>353</v>
      </c>
      <c r="I1818">
        <v>2100960</v>
      </c>
      <c r="J1818" t="s">
        <v>702</v>
      </c>
      <c r="K1818" t="s">
        <v>703</v>
      </c>
      <c r="L1818" t="s">
        <v>704</v>
      </c>
      <c r="N1818" t="s">
        <v>705</v>
      </c>
      <c r="O1818" t="s">
        <v>706</v>
      </c>
      <c r="R1818" t="s">
        <v>3987</v>
      </c>
      <c r="S1818" s="34" t="s">
        <v>5589</v>
      </c>
    </row>
    <row r="1819" spans="1:19" ht="337.5" x14ac:dyDescent="0.15">
      <c r="A1819" t="s">
        <v>685</v>
      </c>
      <c r="B1819" s="61">
        <v>46327</v>
      </c>
      <c r="E1819" t="s">
        <v>355</v>
      </c>
      <c r="F1819" t="s">
        <v>351</v>
      </c>
      <c r="G1819" t="s">
        <v>354</v>
      </c>
      <c r="H1819" t="s">
        <v>353</v>
      </c>
      <c r="I1819">
        <v>2101095</v>
      </c>
      <c r="J1819" t="s">
        <v>687</v>
      </c>
      <c r="K1819" t="s">
        <v>688</v>
      </c>
      <c r="L1819" t="s">
        <v>689</v>
      </c>
      <c r="N1819" t="s">
        <v>7361</v>
      </c>
      <c r="O1819" t="s">
        <v>690</v>
      </c>
      <c r="S1819" s="34" t="s">
        <v>5590</v>
      </c>
    </row>
    <row r="1820" spans="1:19" ht="409.5" x14ac:dyDescent="0.15">
      <c r="A1820" t="s">
        <v>685</v>
      </c>
      <c r="B1820" s="61">
        <v>46357</v>
      </c>
      <c r="E1820" t="s">
        <v>355</v>
      </c>
      <c r="F1820" t="s">
        <v>351</v>
      </c>
      <c r="G1820" t="s">
        <v>354</v>
      </c>
      <c r="H1820" t="s">
        <v>309</v>
      </c>
      <c r="I1820">
        <v>2100013</v>
      </c>
      <c r="J1820" t="s">
        <v>5591</v>
      </c>
      <c r="K1820" t="s">
        <v>1251</v>
      </c>
      <c r="L1820" t="s">
        <v>413</v>
      </c>
      <c r="N1820" t="s">
        <v>7362</v>
      </c>
      <c r="O1820" t="s">
        <v>5592</v>
      </c>
      <c r="S1820" s="34" t="s">
        <v>5593</v>
      </c>
    </row>
    <row r="1821" spans="1:19" ht="243" x14ac:dyDescent="0.15">
      <c r="A1821" t="s">
        <v>685</v>
      </c>
      <c r="B1821" s="61">
        <v>46357</v>
      </c>
      <c r="E1821" t="s">
        <v>355</v>
      </c>
      <c r="F1821" t="s">
        <v>351</v>
      </c>
      <c r="G1821" t="s">
        <v>354</v>
      </c>
      <c r="H1821" t="s">
        <v>365</v>
      </c>
      <c r="I1821">
        <v>2100020</v>
      </c>
      <c r="J1821" t="s">
        <v>735</v>
      </c>
      <c r="L1821" t="s">
        <v>736</v>
      </c>
      <c r="N1821" t="s">
        <v>737</v>
      </c>
      <c r="O1821" t="s">
        <v>738</v>
      </c>
      <c r="R1821" t="s">
        <v>3986</v>
      </c>
      <c r="S1821" s="34" t="s">
        <v>5594</v>
      </c>
    </row>
    <row r="1822" spans="1:19" ht="409.5" x14ac:dyDescent="0.15">
      <c r="A1822" t="s">
        <v>685</v>
      </c>
      <c r="B1822" s="61">
        <v>46357</v>
      </c>
      <c r="E1822" t="s">
        <v>355</v>
      </c>
      <c r="F1822" t="s">
        <v>351</v>
      </c>
      <c r="G1822" t="s">
        <v>354</v>
      </c>
      <c r="H1822" t="s">
        <v>310</v>
      </c>
      <c r="I1822">
        <v>2100627</v>
      </c>
      <c r="J1822" t="s">
        <v>751</v>
      </c>
      <c r="K1822" t="s">
        <v>752</v>
      </c>
      <c r="L1822" t="s">
        <v>698</v>
      </c>
      <c r="N1822" t="s">
        <v>753</v>
      </c>
      <c r="O1822" t="s">
        <v>754</v>
      </c>
      <c r="R1822" t="s">
        <v>3987</v>
      </c>
      <c r="S1822" s="34" t="s">
        <v>5595</v>
      </c>
    </row>
    <row r="1823" spans="1:19" ht="409.5" x14ac:dyDescent="0.15">
      <c r="A1823" t="s">
        <v>769</v>
      </c>
      <c r="B1823" s="61">
        <v>46266</v>
      </c>
      <c r="E1823" t="s">
        <v>355</v>
      </c>
      <c r="F1823" t="s">
        <v>351</v>
      </c>
      <c r="G1823" t="s">
        <v>352</v>
      </c>
      <c r="H1823" t="s">
        <v>353</v>
      </c>
      <c r="I1823">
        <v>1100039</v>
      </c>
      <c r="J1823" t="s">
        <v>780</v>
      </c>
      <c r="K1823" t="s">
        <v>781</v>
      </c>
      <c r="L1823" t="s">
        <v>5596</v>
      </c>
      <c r="N1823" t="s">
        <v>782</v>
      </c>
      <c r="O1823" t="s">
        <v>783</v>
      </c>
      <c r="R1823" t="s">
        <v>3985</v>
      </c>
      <c r="S1823" s="34" t="s">
        <v>5597</v>
      </c>
    </row>
    <row r="1824" spans="1:19" ht="409.5" x14ac:dyDescent="0.15">
      <c r="A1824" t="s">
        <v>769</v>
      </c>
      <c r="B1824" s="61">
        <v>46266</v>
      </c>
      <c r="E1824" t="s">
        <v>355</v>
      </c>
      <c r="F1824" t="s">
        <v>351</v>
      </c>
      <c r="G1824" t="s">
        <v>354</v>
      </c>
      <c r="H1824" t="s">
        <v>686</v>
      </c>
      <c r="I1824">
        <v>1102043</v>
      </c>
      <c r="J1824" t="s">
        <v>3994</v>
      </c>
      <c r="K1824" t="s">
        <v>5598</v>
      </c>
      <c r="L1824" t="s">
        <v>390</v>
      </c>
      <c r="N1824" t="s">
        <v>5599</v>
      </c>
      <c r="O1824" t="s">
        <v>5600</v>
      </c>
      <c r="S1824" s="34" t="s">
        <v>5601</v>
      </c>
    </row>
    <row r="1825" spans="1:19" ht="378" x14ac:dyDescent="0.15">
      <c r="A1825" t="s">
        <v>769</v>
      </c>
      <c r="B1825" s="61">
        <v>46296</v>
      </c>
      <c r="E1825" t="s">
        <v>355</v>
      </c>
      <c r="F1825" t="s">
        <v>351</v>
      </c>
      <c r="G1825" t="s">
        <v>354</v>
      </c>
      <c r="H1825" t="s">
        <v>365</v>
      </c>
      <c r="I1825">
        <v>1102486</v>
      </c>
      <c r="J1825" t="s">
        <v>790</v>
      </c>
      <c r="K1825" t="s">
        <v>776</v>
      </c>
      <c r="L1825" t="s">
        <v>791</v>
      </c>
      <c r="N1825" t="s">
        <v>792</v>
      </c>
      <c r="O1825" t="s">
        <v>793</v>
      </c>
      <c r="R1825" t="s">
        <v>3987</v>
      </c>
      <c r="S1825" s="34" t="s">
        <v>5602</v>
      </c>
    </row>
    <row r="1826" spans="1:19" ht="351" x14ac:dyDescent="0.15">
      <c r="A1826" t="s">
        <v>769</v>
      </c>
      <c r="B1826" s="61">
        <v>46357</v>
      </c>
      <c r="E1826" t="s">
        <v>355</v>
      </c>
      <c r="F1826" t="s">
        <v>351</v>
      </c>
      <c r="G1826" t="s">
        <v>352</v>
      </c>
      <c r="H1826" t="s">
        <v>353</v>
      </c>
      <c r="I1826">
        <v>1100203</v>
      </c>
      <c r="J1826" t="s">
        <v>461</v>
      </c>
      <c r="K1826" t="s">
        <v>770</v>
      </c>
      <c r="L1826" t="s">
        <v>771</v>
      </c>
      <c r="N1826" t="s">
        <v>772</v>
      </c>
      <c r="O1826" t="s">
        <v>773</v>
      </c>
      <c r="R1826" t="s">
        <v>3985</v>
      </c>
      <c r="S1826" s="34" t="s">
        <v>5603</v>
      </c>
    </row>
    <row r="1827" spans="1:19" ht="364.5" x14ac:dyDescent="0.15">
      <c r="A1827" t="s">
        <v>800</v>
      </c>
      <c r="B1827" s="61">
        <v>46235</v>
      </c>
      <c r="E1827" t="s">
        <v>355</v>
      </c>
      <c r="F1827" t="s">
        <v>351</v>
      </c>
      <c r="G1827" t="s">
        <v>354</v>
      </c>
      <c r="H1827" t="s">
        <v>365</v>
      </c>
      <c r="I1827">
        <v>4500043</v>
      </c>
      <c r="J1827" t="s">
        <v>807</v>
      </c>
      <c r="K1827" t="s">
        <v>808</v>
      </c>
      <c r="L1827" t="s">
        <v>809</v>
      </c>
      <c r="N1827" t="s">
        <v>5604</v>
      </c>
      <c r="O1827" t="s">
        <v>811</v>
      </c>
      <c r="S1827" s="34" t="s">
        <v>5605</v>
      </c>
    </row>
    <row r="1828" spans="1:19" ht="216" x14ac:dyDescent="0.15">
      <c r="A1828" t="s">
        <v>800</v>
      </c>
      <c r="B1828" s="61">
        <v>46235</v>
      </c>
      <c r="E1828" t="s">
        <v>355</v>
      </c>
      <c r="F1828" t="s">
        <v>351</v>
      </c>
      <c r="G1828" t="s">
        <v>354</v>
      </c>
      <c r="H1828" t="s">
        <v>353</v>
      </c>
      <c r="I1828">
        <v>4500043</v>
      </c>
      <c r="J1828" t="s">
        <v>807</v>
      </c>
      <c r="K1828" t="s">
        <v>808</v>
      </c>
      <c r="L1828" t="s">
        <v>809</v>
      </c>
      <c r="N1828" t="s">
        <v>810</v>
      </c>
      <c r="O1828" t="s">
        <v>811</v>
      </c>
      <c r="S1828" s="34" t="s">
        <v>5606</v>
      </c>
    </row>
    <row r="1829" spans="1:19" ht="409.5" x14ac:dyDescent="0.15">
      <c r="A1829" t="s">
        <v>800</v>
      </c>
      <c r="B1829" s="61">
        <v>46235</v>
      </c>
      <c r="E1829" t="s">
        <v>355</v>
      </c>
      <c r="F1829" t="s">
        <v>351</v>
      </c>
      <c r="G1829" t="s">
        <v>352</v>
      </c>
      <c r="H1829" t="s">
        <v>365</v>
      </c>
      <c r="I1829">
        <v>4500120</v>
      </c>
      <c r="J1829" t="s">
        <v>5607</v>
      </c>
      <c r="L1829" t="s">
        <v>2778</v>
      </c>
      <c r="N1829" t="s">
        <v>5608</v>
      </c>
      <c r="O1829" t="s">
        <v>5609</v>
      </c>
      <c r="R1829" t="s">
        <v>3985</v>
      </c>
      <c r="S1829" s="34" t="s">
        <v>5610</v>
      </c>
    </row>
    <row r="1830" spans="1:19" ht="409.5" x14ac:dyDescent="0.15">
      <c r="A1830" t="s">
        <v>800</v>
      </c>
      <c r="B1830" s="61">
        <v>46357</v>
      </c>
      <c r="E1830" t="s">
        <v>355</v>
      </c>
      <c r="F1830" t="s">
        <v>351</v>
      </c>
      <c r="G1830" t="s">
        <v>354</v>
      </c>
      <c r="H1830" t="s">
        <v>686</v>
      </c>
      <c r="I1830">
        <v>4500152</v>
      </c>
      <c r="J1830" t="s">
        <v>4503</v>
      </c>
      <c r="L1830" t="s">
        <v>4504</v>
      </c>
      <c r="N1830">
        <v>2162830</v>
      </c>
      <c r="O1830" t="s">
        <v>4505</v>
      </c>
      <c r="S1830" s="34" t="s">
        <v>5611</v>
      </c>
    </row>
    <row r="1831" spans="1:19" ht="378" x14ac:dyDescent="0.15">
      <c r="A1831" t="s">
        <v>5612</v>
      </c>
      <c r="B1831" s="61">
        <v>46235</v>
      </c>
      <c r="E1831" t="s">
        <v>355</v>
      </c>
      <c r="F1831" t="s">
        <v>351</v>
      </c>
      <c r="G1831" t="s">
        <v>352</v>
      </c>
      <c r="H1831" t="s">
        <v>365</v>
      </c>
      <c r="I1831">
        <v>1100171</v>
      </c>
      <c r="J1831" t="s">
        <v>5613</v>
      </c>
      <c r="K1831" t="s">
        <v>5614</v>
      </c>
      <c r="L1831" t="s">
        <v>413</v>
      </c>
      <c r="N1831" t="s">
        <v>5615</v>
      </c>
      <c r="O1831" t="s">
        <v>5616</v>
      </c>
      <c r="R1831" t="s">
        <v>3985</v>
      </c>
      <c r="S1831" s="34" t="s">
        <v>5617</v>
      </c>
    </row>
    <row r="1832" spans="1:19" ht="216" x14ac:dyDescent="0.15">
      <c r="A1832" t="s">
        <v>5612</v>
      </c>
      <c r="B1832" s="61">
        <v>46235</v>
      </c>
      <c r="E1832" t="s">
        <v>355</v>
      </c>
      <c r="F1832" t="s">
        <v>351</v>
      </c>
      <c r="G1832" t="s">
        <v>352</v>
      </c>
      <c r="H1832" t="s">
        <v>353</v>
      </c>
      <c r="I1832">
        <v>1101330</v>
      </c>
      <c r="J1832" t="s">
        <v>3546</v>
      </c>
      <c r="K1832" t="s">
        <v>3547</v>
      </c>
      <c r="L1832" t="s">
        <v>698</v>
      </c>
      <c r="N1832" t="s">
        <v>3548</v>
      </c>
      <c r="O1832" t="s">
        <v>3549</v>
      </c>
      <c r="R1832" t="s">
        <v>3985</v>
      </c>
      <c r="S1832" s="34" t="s">
        <v>5618</v>
      </c>
    </row>
    <row r="1833" spans="1:19" ht="409.5" x14ac:dyDescent="0.15">
      <c r="A1833" t="s">
        <v>5612</v>
      </c>
      <c r="B1833" s="61">
        <v>46235</v>
      </c>
      <c r="E1833" t="s">
        <v>355</v>
      </c>
      <c r="F1833" t="s">
        <v>351</v>
      </c>
      <c r="G1833" t="s">
        <v>354</v>
      </c>
      <c r="H1833" t="s">
        <v>353</v>
      </c>
      <c r="I1833">
        <v>1102439</v>
      </c>
      <c r="J1833" t="s">
        <v>2407</v>
      </c>
      <c r="K1833" t="s">
        <v>5619</v>
      </c>
      <c r="L1833" t="s">
        <v>5620</v>
      </c>
      <c r="N1833" t="s">
        <v>5621</v>
      </c>
      <c r="O1833" t="s">
        <v>5622</v>
      </c>
      <c r="S1833" s="34" t="s">
        <v>5623</v>
      </c>
    </row>
    <row r="1834" spans="1:19" ht="409.5" x14ac:dyDescent="0.15">
      <c r="A1834" t="s">
        <v>5612</v>
      </c>
      <c r="B1834" s="61">
        <v>46266</v>
      </c>
      <c r="E1834" t="s">
        <v>355</v>
      </c>
      <c r="F1834" t="s">
        <v>351</v>
      </c>
      <c r="G1834" t="s">
        <v>354</v>
      </c>
      <c r="H1834" t="s">
        <v>353</v>
      </c>
      <c r="I1834">
        <v>1001036</v>
      </c>
      <c r="J1834" t="s">
        <v>743</v>
      </c>
      <c r="K1834" t="s">
        <v>3541</v>
      </c>
      <c r="L1834" t="s">
        <v>4067</v>
      </c>
      <c r="N1834" t="s">
        <v>5624</v>
      </c>
      <c r="O1834" t="s">
        <v>4069</v>
      </c>
      <c r="S1834" s="34" t="s">
        <v>5625</v>
      </c>
    </row>
    <row r="1835" spans="1:19" ht="409.5" x14ac:dyDescent="0.15">
      <c r="A1835" t="s">
        <v>5612</v>
      </c>
      <c r="B1835" s="61">
        <v>46266</v>
      </c>
      <c r="E1835" t="s">
        <v>355</v>
      </c>
      <c r="F1835" t="s">
        <v>351</v>
      </c>
      <c r="G1835" t="s">
        <v>354</v>
      </c>
      <c r="H1835" t="s">
        <v>353</v>
      </c>
      <c r="I1835">
        <v>1101347</v>
      </c>
      <c r="J1835" t="s">
        <v>2407</v>
      </c>
      <c r="L1835" t="s">
        <v>5626</v>
      </c>
      <c r="N1835" t="s">
        <v>5627</v>
      </c>
      <c r="O1835" t="s">
        <v>5628</v>
      </c>
      <c r="S1835" s="34" t="s">
        <v>5629</v>
      </c>
    </row>
    <row r="1836" spans="1:19" ht="409.5" x14ac:dyDescent="0.15">
      <c r="A1836" t="s">
        <v>5612</v>
      </c>
      <c r="B1836" s="61">
        <v>46296</v>
      </c>
      <c r="E1836" t="s">
        <v>355</v>
      </c>
      <c r="F1836" t="s">
        <v>351</v>
      </c>
      <c r="G1836" t="s">
        <v>354</v>
      </c>
      <c r="H1836" t="s">
        <v>365</v>
      </c>
      <c r="I1836">
        <v>1001025</v>
      </c>
      <c r="J1836" t="s">
        <v>890</v>
      </c>
      <c r="K1836" t="s">
        <v>891</v>
      </c>
      <c r="L1836" t="s">
        <v>892</v>
      </c>
      <c r="N1836" t="s">
        <v>893</v>
      </c>
      <c r="O1836" t="s">
        <v>894</v>
      </c>
      <c r="R1836" t="s">
        <v>3987</v>
      </c>
      <c r="S1836" s="34" t="s">
        <v>5630</v>
      </c>
    </row>
    <row r="1837" spans="1:19" ht="202.5" x14ac:dyDescent="0.15">
      <c r="A1837" t="s">
        <v>5612</v>
      </c>
      <c r="B1837" s="61">
        <v>46296</v>
      </c>
      <c r="E1837" t="s">
        <v>355</v>
      </c>
      <c r="F1837" t="s">
        <v>351</v>
      </c>
      <c r="G1837" t="s">
        <v>354</v>
      </c>
      <c r="H1837" t="s">
        <v>353</v>
      </c>
      <c r="I1837">
        <v>1100579</v>
      </c>
      <c r="J1837" t="s">
        <v>3558</v>
      </c>
      <c r="K1837" t="s">
        <v>3559</v>
      </c>
      <c r="L1837" t="s">
        <v>1394</v>
      </c>
      <c r="N1837" t="s">
        <v>5631</v>
      </c>
      <c r="O1837" t="s">
        <v>3561</v>
      </c>
      <c r="R1837" t="s">
        <v>3987</v>
      </c>
      <c r="S1837" s="34" t="s">
        <v>5632</v>
      </c>
    </row>
    <row r="1838" spans="1:19" ht="229.5" x14ac:dyDescent="0.15">
      <c r="A1838" t="s">
        <v>5612</v>
      </c>
      <c r="B1838" s="61">
        <v>46296</v>
      </c>
      <c r="E1838" t="s">
        <v>355</v>
      </c>
      <c r="F1838" t="s">
        <v>351</v>
      </c>
      <c r="G1838" t="s">
        <v>354</v>
      </c>
      <c r="H1838" t="s">
        <v>365</v>
      </c>
      <c r="I1838">
        <v>1100579</v>
      </c>
      <c r="J1838" t="s">
        <v>3558</v>
      </c>
      <c r="K1838" t="s">
        <v>3559</v>
      </c>
      <c r="L1838" t="s">
        <v>1394</v>
      </c>
      <c r="N1838" t="s">
        <v>3560</v>
      </c>
      <c r="O1838" t="s">
        <v>3561</v>
      </c>
      <c r="R1838" t="s">
        <v>3987</v>
      </c>
      <c r="S1838" s="34" t="s">
        <v>5633</v>
      </c>
    </row>
    <row r="1839" spans="1:19" ht="409.5" x14ac:dyDescent="0.15">
      <c r="A1839" t="s">
        <v>5612</v>
      </c>
      <c r="B1839" s="61">
        <v>46296</v>
      </c>
      <c r="E1839" t="s">
        <v>355</v>
      </c>
      <c r="F1839" t="s">
        <v>351</v>
      </c>
      <c r="G1839" t="s">
        <v>354</v>
      </c>
      <c r="H1839" t="s">
        <v>353</v>
      </c>
      <c r="I1839">
        <v>1100699</v>
      </c>
      <c r="J1839" t="s">
        <v>4136</v>
      </c>
      <c r="L1839" t="s">
        <v>4137</v>
      </c>
      <c r="N1839" t="s">
        <v>4209</v>
      </c>
      <c r="O1839" t="s">
        <v>4138</v>
      </c>
      <c r="R1839" t="s">
        <v>3992</v>
      </c>
      <c r="S1839" s="34" t="s">
        <v>5634</v>
      </c>
    </row>
    <row r="1840" spans="1:19" ht="175.5" x14ac:dyDescent="0.15">
      <c r="A1840" t="s">
        <v>5612</v>
      </c>
      <c r="B1840" s="61">
        <v>46296</v>
      </c>
      <c r="E1840" t="s">
        <v>355</v>
      </c>
      <c r="F1840" t="s">
        <v>351</v>
      </c>
      <c r="G1840" t="s">
        <v>354</v>
      </c>
      <c r="H1840" t="s">
        <v>686</v>
      </c>
      <c r="I1840">
        <v>1100699</v>
      </c>
      <c r="J1840" t="s">
        <v>4136</v>
      </c>
      <c r="L1840" t="s">
        <v>4137</v>
      </c>
      <c r="N1840">
        <v>2172716</v>
      </c>
      <c r="O1840" t="s">
        <v>4138</v>
      </c>
      <c r="R1840" t="s">
        <v>3992</v>
      </c>
      <c r="S1840" s="34" t="s">
        <v>5635</v>
      </c>
    </row>
    <row r="1841" spans="1:19" ht="409.5" x14ac:dyDescent="0.15">
      <c r="A1841" t="s">
        <v>5612</v>
      </c>
      <c r="B1841" s="61">
        <v>46296</v>
      </c>
      <c r="E1841" t="s">
        <v>355</v>
      </c>
      <c r="F1841" t="s">
        <v>351</v>
      </c>
      <c r="G1841" t="s">
        <v>354</v>
      </c>
      <c r="H1841" t="s">
        <v>309</v>
      </c>
      <c r="I1841">
        <v>1100699</v>
      </c>
      <c r="J1841" t="s">
        <v>4136</v>
      </c>
      <c r="L1841" t="s">
        <v>4137</v>
      </c>
      <c r="N1841" t="s">
        <v>5636</v>
      </c>
      <c r="O1841" t="s">
        <v>4138</v>
      </c>
      <c r="R1841" t="s">
        <v>3992</v>
      </c>
      <c r="S1841" s="34" t="s">
        <v>5637</v>
      </c>
    </row>
    <row r="1842" spans="1:19" ht="351" x14ac:dyDescent="0.15">
      <c r="A1842" t="s">
        <v>5612</v>
      </c>
      <c r="B1842" s="61">
        <v>46296</v>
      </c>
      <c r="E1842" t="s">
        <v>355</v>
      </c>
      <c r="F1842" t="s">
        <v>351</v>
      </c>
      <c r="G1842" t="s">
        <v>352</v>
      </c>
      <c r="H1842" t="s">
        <v>353</v>
      </c>
      <c r="I1842">
        <v>1102170</v>
      </c>
      <c r="J1842" t="s">
        <v>974</v>
      </c>
      <c r="K1842" t="s">
        <v>5638</v>
      </c>
      <c r="L1842" t="s">
        <v>3195</v>
      </c>
      <c r="N1842" t="s">
        <v>5639</v>
      </c>
      <c r="O1842" t="s">
        <v>5640</v>
      </c>
      <c r="R1842" t="s">
        <v>3985</v>
      </c>
      <c r="S1842" s="34" t="s">
        <v>5641</v>
      </c>
    </row>
    <row r="1843" spans="1:19" ht="378" x14ac:dyDescent="0.15">
      <c r="A1843" t="s">
        <v>5612</v>
      </c>
      <c r="B1843" s="61">
        <v>46327</v>
      </c>
      <c r="E1843" t="s">
        <v>355</v>
      </c>
      <c r="F1843" t="s">
        <v>351</v>
      </c>
      <c r="G1843" t="s">
        <v>354</v>
      </c>
      <c r="H1843" t="s">
        <v>365</v>
      </c>
      <c r="I1843">
        <v>1000196</v>
      </c>
      <c r="J1843" t="s">
        <v>3535</v>
      </c>
      <c r="K1843" t="s">
        <v>1251</v>
      </c>
      <c r="L1843" t="s">
        <v>3536</v>
      </c>
      <c r="N1843" t="s">
        <v>4868</v>
      </c>
      <c r="O1843" t="s">
        <v>3537</v>
      </c>
      <c r="S1843" s="34" t="s">
        <v>5642</v>
      </c>
    </row>
    <row r="1844" spans="1:19" ht="409.5" x14ac:dyDescent="0.15">
      <c r="A1844" t="s">
        <v>5612</v>
      </c>
      <c r="B1844" s="61">
        <v>46327</v>
      </c>
      <c r="E1844" t="s">
        <v>355</v>
      </c>
      <c r="F1844" t="s">
        <v>351</v>
      </c>
      <c r="G1844" t="s">
        <v>352</v>
      </c>
      <c r="H1844" t="s">
        <v>353</v>
      </c>
      <c r="I1844">
        <v>1000624</v>
      </c>
      <c r="J1844" t="s">
        <v>4118</v>
      </c>
      <c r="K1844" t="s">
        <v>4119</v>
      </c>
      <c r="L1844" t="s">
        <v>1064</v>
      </c>
      <c r="N1844" t="s">
        <v>5643</v>
      </c>
      <c r="O1844" t="s">
        <v>4121</v>
      </c>
      <c r="S1844" s="34" t="s">
        <v>5644</v>
      </c>
    </row>
    <row r="1845" spans="1:19" ht="391.5" x14ac:dyDescent="0.15">
      <c r="A1845" t="s">
        <v>5612</v>
      </c>
      <c r="B1845" s="61">
        <v>46327</v>
      </c>
      <c r="E1845" t="s">
        <v>355</v>
      </c>
      <c r="F1845" t="s">
        <v>351</v>
      </c>
      <c r="G1845" t="s">
        <v>354</v>
      </c>
      <c r="H1845" t="s">
        <v>365</v>
      </c>
      <c r="I1845">
        <v>1100566</v>
      </c>
      <c r="J1845" t="s">
        <v>279</v>
      </c>
      <c r="K1845" t="s">
        <v>3538</v>
      </c>
      <c r="L1845" t="s">
        <v>413</v>
      </c>
      <c r="N1845" t="s">
        <v>3539</v>
      </c>
      <c r="O1845" t="s">
        <v>3540</v>
      </c>
      <c r="R1845" t="s">
        <v>3986</v>
      </c>
      <c r="S1845" s="34" t="s">
        <v>5645</v>
      </c>
    </row>
    <row r="1846" spans="1:19" ht="409.5" x14ac:dyDescent="0.15">
      <c r="A1846" t="s">
        <v>5612</v>
      </c>
      <c r="B1846" s="61">
        <v>46327</v>
      </c>
      <c r="E1846" t="s">
        <v>355</v>
      </c>
      <c r="F1846" t="s">
        <v>351</v>
      </c>
      <c r="G1846" t="s">
        <v>354</v>
      </c>
      <c r="H1846" t="s">
        <v>353</v>
      </c>
      <c r="I1846">
        <v>1102091</v>
      </c>
      <c r="J1846" t="s">
        <v>3997</v>
      </c>
      <c r="K1846" t="s">
        <v>5646</v>
      </c>
      <c r="L1846" t="s">
        <v>390</v>
      </c>
      <c r="N1846" t="s">
        <v>5647</v>
      </c>
      <c r="O1846" t="s">
        <v>5648</v>
      </c>
      <c r="R1846" t="s">
        <v>4012</v>
      </c>
      <c r="S1846" s="34" t="s">
        <v>5649</v>
      </c>
    </row>
    <row r="1847" spans="1:19" ht="409.5" x14ac:dyDescent="0.15">
      <c r="A1847" t="s">
        <v>5612</v>
      </c>
      <c r="B1847" s="61">
        <v>46357</v>
      </c>
      <c r="E1847" t="s">
        <v>355</v>
      </c>
      <c r="F1847" t="s">
        <v>351</v>
      </c>
      <c r="G1847" t="s">
        <v>354</v>
      </c>
      <c r="H1847" t="s">
        <v>686</v>
      </c>
      <c r="I1847">
        <v>1001031</v>
      </c>
      <c r="J1847" t="s">
        <v>743</v>
      </c>
      <c r="K1847" t="s">
        <v>3541</v>
      </c>
      <c r="L1847" t="s">
        <v>390</v>
      </c>
      <c r="N1847">
        <v>2152526</v>
      </c>
      <c r="O1847" t="s">
        <v>3543</v>
      </c>
      <c r="R1847" t="s">
        <v>3987</v>
      </c>
      <c r="S1847" s="34" t="s">
        <v>5650</v>
      </c>
    </row>
    <row r="1848" spans="1:19" ht="229.5" x14ac:dyDescent="0.15">
      <c r="A1848" t="s">
        <v>5612</v>
      </c>
      <c r="B1848" s="61">
        <v>46357</v>
      </c>
      <c r="E1848" t="s">
        <v>355</v>
      </c>
      <c r="F1848" t="s">
        <v>351</v>
      </c>
      <c r="G1848" t="s">
        <v>354</v>
      </c>
      <c r="H1848" t="s">
        <v>365</v>
      </c>
      <c r="I1848">
        <v>1101259</v>
      </c>
      <c r="J1848" t="s">
        <v>3914</v>
      </c>
      <c r="K1848" t="s">
        <v>3915</v>
      </c>
      <c r="L1848" t="s">
        <v>390</v>
      </c>
      <c r="N1848" t="s">
        <v>4008</v>
      </c>
      <c r="O1848" t="s">
        <v>3916</v>
      </c>
      <c r="R1848" t="s">
        <v>3987</v>
      </c>
      <c r="S1848" s="34" t="s">
        <v>5651</v>
      </c>
    </row>
    <row r="1849" spans="1:19" ht="409.5" x14ac:dyDescent="0.15">
      <c r="A1849" t="s">
        <v>5612</v>
      </c>
      <c r="B1849" s="61">
        <v>46357</v>
      </c>
      <c r="E1849" t="s">
        <v>355</v>
      </c>
      <c r="F1849" t="s">
        <v>351</v>
      </c>
      <c r="G1849" t="s">
        <v>354</v>
      </c>
      <c r="H1849" t="s">
        <v>365</v>
      </c>
      <c r="I1849">
        <v>1101430</v>
      </c>
      <c r="J1849" t="s">
        <v>3562</v>
      </c>
      <c r="K1849" t="s">
        <v>3563</v>
      </c>
      <c r="L1849" t="s">
        <v>3564</v>
      </c>
      <c r="N1849" t="s">
        <v>5652</v>
      </c>
      <c r="O1849" t="s">
        <v>3566</v>
      </c>
      <c r="R1849" t="s">
        <v>3987</v>
      </c>
      <c r="S1849" s="34" t="s">
        <v>5653</v>
      </c>
    </row>
    <row r="1850" spans="1:19" ht="409.5" x14ac:dyDescent="0.15">
      <c r="A1850" t="s">
        <v>819</v>
      </c>
      <c r="B1850" s="61">
        <v>46235</v>
      </c>
      <c r="E1850" t="s">
        <v>355</v>
      </c>
      <c r="F1850" t="s">
        <v>351</v>
      </c>
      <c r="G1850" t="s">
        <v>354</v>
      </c>
      <c r="H1850" t="s">
        <v>353</v>
      </c>
      <c r="I1850">
        <v>4300153</v>
      </c>
      <c r="J1850" t="s">
        <v>825</v>
      </c>
      <c r="K1850" t="s">
        <v>826</v>
      </c>
      <c r="L1850" t="s">
        <v>827</v>
      </c>
      <c r="N1850" t="s">
        <v>5654</v>
      </c>
      <c r="O1850" t="s">
        <v>829</v>
      </c>
      <c r="S1850" s="34" t="s">
        <v>5655</v>
      </c>
    </row>
    <row r="1851" spans="1:19" ht="256.5" x14ac:dyDescent="0.15">
      <c r="A1851" t="s">
        <v>819</v>
      </c>
      <c r="B1851" s="61">
        <v>46235</v>
      </c>
      <c r="E1851" t="s">
        <v>355</v>
      </c>
      <c r="F1851" t="s">
        <v>351</v>
      </c>
      <c r="G1851" t="s">
        <v>354</v>
      </c>
      <c r="H1851" t="s">
        <v>309</v>
      </c>
      <c r="I1851">
        <v>4300153</v>
      </c>
      <c r="J1851" t="s">
        <v>825</v>
      </c>
      <c r="K1851" t="s">
        <v>826</v>
      </c>
      <c r="L1851" t="s">
        <v>827</v>
      </c>
      <c r="N1851" t="s">
        <v>5656</v>
      </c>
      <c r="O1851" t="s">
        <v>829</v>
      </c>
      <c r="S1851" s="34" t="s">
        <v>5657</v>
      </c>
    </row>
    <row r="1852" spans="1:19" ht="229.5" x14ac:dyDescent="0.15">
      <c r="A1852" t="s">
        <v>819</v>
      </c>
      <c r="B1852" s="61">
        <v>46266</v>
      </c>
      <c r="E1852" t="s">
        <v>355</v>
      </c>
      <c r="F1852" t="s">
        <v>351</v>
      </c>
      <c r="G1852" t="s">
        <v>354</v>
      </c>
      <c r="H1852" t="s">
        <v>365</v>
      </c>
      <c r="I1852">
        <v>4000947</v>
      </c>
      <c r="J1852" t="s">
        <v>831</v>
      </c>
      <c r="K1852" t="s">
        <v>832</v>
      </c>
      <c r="L1852" t="s">
        <v>833</v>
      </c>
      <c r="N1852" t="s">
        <v>834</v>
      </c>
      <c r="O1852" t="s">
        <v>835</v>
      </c>
      <c r="S1852" s="34" t="s">
        <v>5658</v>
      </c>
    </row>
    <row r="1853" spans="1:19" ht="409.5" x14ac:dyDescent="0.15">
      <c r="A1853" t="s">
        <v>819</v>
      </c>
      <c r="B1853" s="61">
        <v>46266</v>
      </c>
      <c r="E1853" t="s">
        <v>355</v>
      </c>
      <c r="F1853" t="s">
        <v>351</v>
      </c>
      <c r="G1853" t="s">
        <v>354</v>
      </c>
      <c r="H1853" t="s">
        <v>686</v>
      </c>
      <c r="I1853">
        <v>4300345</v>
      </c>
      <c r="J1853" t="s">
        <v>2940</v>
      </c>
      <c r="K1853" t="s">
        <v>5659</v>
      </c>
      <c r="L1853" t="s">
        <v>2942</v>
      </c>
      <c r="N1853" t="s">
        <v>5660</v>
      </c>
      <c r="O1853" t="s">
        <v>5661</v>
      </c>
      <c r="S1853" s="34" t="s">
        <v>5662</v>
      </c>
    </row>
    <row r="1854" spans="1:19" ht="409.5" x14ac:dyDescent="0.15">
      <c r="A1854" t="s">
        <v>819</v>
      </c>
      <c r="B1854" s="61">
        <v>46266</v>
      </c>
      <c r="E1854" t="s">
        <v>355</v>
      </c>
      <c r="F1854" t="s">
        <v>351</v>
      </c>
      <c r="G1854" t="s">
        <v>354</v>
      </c>
      <c r="H1854" t="s">
        <v>353</v>
      </c>
      <c r="I1854">
        <v>4300345</v>
      </c>
      <c r="J1854" t="s">
        <v>2940</v>
      </c>
      <c r="K1854" t="s">
        <v>5659</v>
      </c>
      <c r="L1854" t="s">
        <v>2942</v>
      </c>
      <c r="N1854" t="s">
        <v>5663</v>
      </c>
      <c r="O1854" t="s">
        <v>5661</v>
      </c>
      <c r="S1854" s="34" t="s">
        <v>5664</v>
      </c>
    </row>
    <row r="1855" spans="1:19" ht="216" x14ac:dyDescent="0.15">
      <c r="A1855" t="s">
        <v>819</v>
      </c>
      <c r="B1855" s="61">
        <v>46296</v>
      </c>
      <c r="E1855" t="s">
        <v>355</v>
      </c>
      <c r="F1855" t="s">
        <v>351</v>
      </c>
      <c r="G1855" t="s">
        <v>354</v>
      </c>
      <c r="H1855" t="s">
        <v>353</v>
      </c>
      <c r="I1855">
        <v>4300087</v>
      </c>
      <c r="J1855" t="s">
        <v>4079</v>
      </c>
      <c r="K1855" t="s">
        <v>4080</v>
      </c>
      <c r="L1855" t="s">
        <v>4081</v>
      </c>
      <c r="N1855" t="s">
        <v>4082</v>
      </c>
      <c r="O1855" t="s">
        <v>4083</v>
      </c>
      <c r="S1855" s="34" t="s">
        <v>5665</v>
      </c>
    </row>
    <row r="1856" spans="1:19" ht="189" x14ac:dyDescent="0.15">
      <c r="A1856" t="s">
        <v>819</v>
      </c>
      <c r="B1856" s="61">
        <v>46296</v>
      </c>
      <c r="E1856" t="s">
        <v>355</v>
      </c>
      <c r="F1856" t="s">
        <v>351</v>
      </c>
      <c r="G1856" t="s">
        <v>354</v>
      </c>
      <c r="H1856" t="s">
        <v>353</v>
      </c>
      <c r="I1856">
        <v>4300209</v>
      </c>
      <c r="J1856" t="s">
        <v>481</v>
      </c>
      <c r="K1856" t="s">
        <v>4126</v>
      </c>
      <c r="L1856" t="s">
        <v>4127</v>
      </c>
      <c r="N1856" t="s">
        <v>4128</v>
      </c>
      <c r="O1856" t="s">
        <v>4129</v>
      </c>
      <c r="S1856" s="34" t="s">
        <v>5666</v>
      </c>
    </row>
    <row r="1857" spans="1:19" ht="409.5" x14ac:dyDescent="0.15">
      <c r="A1857" t="s">
        <v>837</v>
      </c>
      <c r="B1857" s="61">
        <v>46266</v>
      </c>
      <c r="E1857" t="s">
        <v>355</v>
      </c>
      <c r="F1857" t="s">
        <v>351</v>
      </c>
      <c r="G1857" t="s">
        <v>354</v>
      </c>
      <c r="H1857" t="s">
        <v>353</v>
      </c>
      <c r="I1857">
        <v>1000113</v>
      </c>
      <c r="J1857" t="s">
        <v>5667</v>
      </c>
      <c r="K1857" t="s">
        <v>891</v>
      </c>
      <c r="L1857" t="s">
        <v>2082</v>
      </c>
      <c r="N1857" t="s">
        <v>5668</v>
      </c>
      <c r="O1857" t="s">
        <v>5669</v>
      </c>
      <c r="R1857" t="s">
        <v>3992</v>
      </c>
      <c r="S1857" s="34" t="s">
        <v>5670</v>
      </c>
    </row>
    <row r="1858" spans="1:19" ht="229.5" x14ac:dyDescent="0.15">
      <c r="A1858" t="s">
        <v>837</v>
      </c>
      <c r="B1858" s="61">
        <v>46266</v>
      </c>
      <c r="E1858" t="s">
        <v>355</v>
      </c>
      <c r="F1858" t="s">
        <v>351</v>
      </c>
      <c r="G1858" t="s">
        <v>354</v>
      </c>
      <c r="H1858" t="s">
        <v>309</v>
      </c>
      <c r="I1858">
        <v>1000113</v>
      </c>
      <c r="J1858" t="s">
        <v>5667</v>
      </c>
      <c r="K1858" t="s">
        <v>891</v>
      </c>
      <c r="L1858" t="s">
        <v>2082</v>
      </c>
      <c r="N1858" t="s">
        <v>5671</v>
      </c>
      <c r="O1858" t="s">
        <v>5669</v>
      </c>
      <c r="R1858" t="s">
        <v>3992</v>
      </c>
      <c r="S1858" s="34" t="s">
        <v>5672</v>
      </c>
    </row>
    <row r="1859" spans="1:19" ht="409.5" x14ac:dyDescent="0.15">
      <c r="A1859" t="s">
        <v>837</v>
      </c>
      <c r="B1859" s="61">
        <v>46266</v>
      </c>
      <c r="E1859" t="s">
        <v>355</v>
      </c>
      <c r="F1859" t="s">
        <v>351</v>
      </c>
      <c r="G1859" t="s">
        <v>354</v>
      </c>
      <c r="H1859" t="s">
        <v>353</v>
      </c>
      <c r="I1859">
        <v>1000847</v>
      </c>
      <c r="J1859" t="s">
        <v>906</v>
      </c>
      <c r="K1859" t="s">
        <v>5126</v>
      </c>
      <c r="L1859" t="s">
        <v>908</v>
      </c>
      <c r="M1859" s="62">
        <v>46012.708333333336</v>
      </c>
      <c r="N1859" t="s">
        <v>5101</v>
      </c>
      <c r="O1859" t="s">
        <v>909</v>
      </c>
      <c r="R1859" s="34" t="s">
        <v>5673</v>
      </c>
      <c r="S1859" s="34" t="s">
        <v>5674</v>
      </c>
    </row>
    <row r="1860" spans="1:19" ht="202.5" x14ac:dyDescent="0.15">
      <c r="A1860" t="s">
        <v>837</v>
      </c>
      <c r="B1860" s="61">
        <v>46266</v>
      </c>
      <c r="E1860" t="s">
        <v>355</v>
      </c>
      <c r="F1860" t="s">
        <v>351</v>
      </c>
      <c r="G1860" t="s">
        <v>354</v>
      </c>
      <c r="H1860" t="s">
        <v>353</v>
      </c>
      <c r="I1860">
        <v>1000847</v>
      </c>
      <c r="J1860" t="s">
        <v>906</v>
      </c>
      <c r="K1860" t="s">
        <v>5126</v>
      </c>
      <c r="L1860" t="s">
        <v>908</v>
      </c>
      <c r="M1860" s="62">
        <v>46012.708333333336</v>
      </c>
      <c r="N1860" t="s">
        <v>911</v>
      </c>
      <c r="O1860" t="s">
        <v>909</v>
      </c>
      <c r="R1860" s="34" t="s">
        <v>5673</v>
      </c>
      <c r="S1860" s="34" t="s">
        <v>5675</v>
      </c>
    </row>
    <row r="1861" spans="1:19" ht="405" x14ac:dyDescent="0.15">
      <c r="A1861" t="s">
        <v>837</v>
      </c>
      <c r="B1861" s="61">
        <v>46266</v>
      </c>
      <c r="E1861" t="s">
        <v>355</v>
      </c>
      <c r="F1861" t="s">
        <v>351</v>
      </c>
      <c r="G1861" t="s">
        <v>354</v>
      </c>
      <c r="H1861" t="s">
        <v>686</v>
      </c>
      <c r="I1861">
        <v>1000919</v>
      </c>
      <c r="J1861" t="s">
        <v>843</v>
      </c>
      <c r="K1861" t="s">
        <v>844</v>
      </c>
      <c r="L1861" t="s">
        <v>845</v>
      </c>
      <c r="N1861">
        <v>2094660</v>
      </c>
      <c r="O1861" t="s">
        <v>846</v>
      </c>
      <c r="R1861" t="s">
        <v>4534</v>
      </c>
      <c r="S1861" s="34" t="s">
        <v>5676</v>
      </c>
    </row>
    <row r="1862" spans="1:19" ht="409.5" x14ac:dyDescent="0.15">
      <c r="A1862" t="s">
        <v>837</v>
      </c>
      <c r="B1862" s="61">
        <v>46266</v>
      </c>
      <c r="E1862" t="s">
        <v>355</v>
      </c>
      <c r="F1862" t="s">
        <v>351</v>
      </c>
      <c r="G1862" t="s">
        <v>352</v>
      </c>
      <c r="H1862" t="s">
        <v>353</v>
      </c>
      <c r="I1862">
        <v>1000919</v>
      </c>
      <c r="J1862" t="s">
        <v>843</v>
      </c>
      <c r="K1862" t="s">
        <v>844</v>
      </c>
      <c r="L1862" t="s">
        <v>845</v>
      </c>
      <c r="N1862" t="s">
        <v>5677</v>
      </c>
      <c r="O1862" t="s">
        <v>846</v>
      </c>
      <c r="R1862" t="s">
        <v>3985</v>
      </c>
      <c r="S1862" s="34" t="s">
        <v>5678</v>
      </c>
    </row>
    <row r="1863" spans="1:19" ht="229.5" x14ac:dyDescent="0.15">
      <c r="A1863" t="s">
        <v>837</v>
      </c>
      <c r="B1863" s="61">
        <v>46266</v>
      </c>
      <c r="E1863" t="s">
        <v>355</v>
      </c>
      <c r="F1863" t="s">
        <v>351</v>
      </c>
      <c r="G1863" t="s">
        <v>354</v>
      </c>
      <c r="H1863" t="s">
        <v>353</v>
      </c>
      <c r="I1863">
        <v>1001012</v>
      </c>
      <c r="J1863" t="s">
        <v>862</v>
      </c>
      <c r="K1863" t="s">
        <v>863</v>
      </c>
      <c r="L1863" t="s">
        <v>864</v>
      </c>
      <c r="N1863" t="s">
        <v>872</v>
      </c>
      <c r="O1863" t="s">
        <v>866</v>
      </c>
      <c r="R1863" t="s">
        <v>5679</v>
      </c>
      <c r="S1863" s="34" t="s">
        <v>5680</v>
      </c>
    </row>
    <row r="1864" spans="1:19" ht="405" x14ac:dyDescent="0.15">
      <c r="A1864" t="s">
        <v>837</v>
      </c>
      <c r="B1864" s="61">
        <v>46266</v>
      </c>
      <c r="E1864" t="s">
        <v>355</v>
      </c>
      <c r="F1864" t="s">
        <v>351</v>
      </c>
      <c r="G1864" t="s">
        <v>354</v>
      </c>
      <c r="H1864" t="s">
        <v>365</v>
      </c>
      <c r="I1864">
        <v>1001012</v>
      </c>
      <c r="J1864" t="s">
        <v>862</v>
      </c>
      <c r="K1864" t="s">
        <v>863</v>
      </c>
      <c r="L1864" t="s">
        <v>864</v>
      </c>
      <c r="N1864" t="s">
        <v>865</v>
      </c>
      <c r="O1864" t="s">
        <v>866</v>
      </c>
      <c r="S1864" s="34" t="s">
        <v>5681</v>
      </c>
    </row>
    <row r="1865" spans="1:19" ht="409.5" x14ac:dyDescent="0.15">
      <c r="A1865" t="s">
        <v>837</v>
      </c>
      <c r="B1865" s="61">
        <v>46266</v>
      </c>
      <c r="E1865" t="s">
        <v>355</v>
      </c>
      <c r="F1865" t="s">
        <v>351</v>
      </c>
      <c r="G1865" t="s">
        <v>354</v>
      </c>
      <c r="H1865" t="s">
        <v>353</v>
      </c>
      <c r="I1865">
        <v>1001022</v>
      </c>
      <c r="J1865" t="s">
        <v>878</v>
      </c>
      <c r="K1865" t="s">
        <v>5682</v>
      </c>
      <c r="L1865" t="s">
        <v>880</v>
      </c>
      <c r="N1865" t="s">
        <v>888</v>
      </c>
      <c r="O1865" t="s">
        <v>882</v>
      </c>
      <c r="S1865" s="34" t="s">
        <v>5683</v>
      </c>
    </row>
    <row r="1866" spans="1:19" ht="202.5" x14ac:dyDescent="0.15">
      <c r="A1866" t="s">
        <v>837</v>
      </c>
      <c r="B1866" s="61">
        <v>46266</v>
      </c>
      <c r="E1866" t="s">
        <v>355</v>
      </c>
      <c r="F1866" t="s">
        <v>351</v>
      </c>
      <c r="G1866" t="s">
        <v>354</v>
      </c>
      <c r="H1866" t="s">
        <v>365</v>
      </c>
      <c r="I1866">
        <v>1001022</v>
      </c>
      <c r="J1866" t="s">
        <v>878</v>
      </c>
      <c r="K1866" t="s">
        <v>5682</v>
      </c>
      <c r="L1866" t="s">
        <v>880</v>
      </c>
      <c r="N1866" t="s">
        <v>881</v>
      </c>
      <c r="O1866" t="s">
        <v>882</v>
      </c>
      <c r="S1866" s="34" t="s">
        <v>5684</v>
      </c>
    </row>
    <row r="1867" spans="1:19" ht="409.5" x14ac:dyDescent="0.15">
      <c r="A1867" t="s">
        <v>837</v>
      </c>
      <c r="B1867" s="61">
        <v>46266</v>
      </c>
      <c r="E1867" t="s">
        <v>355</v>
      </c>
      <c r="F1867" t="s">
        <v>351</v>
      </c>
      <c r="G1867" t="s">
        <v>354</v>
      </c>
      <c r="H1867" t="s">
        <v>353</v>
      </c>
      <c r="I1867">
        <v>1001026</v>
      </c>
      <c r="J1867" t="s">
        <v>901</v>
      </c>
      <c r="K1867" t="s">
        <v>902</v>
      </c>
      <c r="L1867" t="s">
        <v>466</v>
      </c>
      <c r="N1867" t="s">
        <v>5685</v>
      </c>
      <c r="O1867" t="s">
        <v>904</v>
      </c>
      <c r="S1867" s="34" t="s">
        <v>5686</v>
      </c>
    </row>
    <row r="1868" spans="1:19" ht="409.5" x14ac:dyDescent="0.15">
      <c r="A1868" t="s">
        <v>837</v>
      </c>
      <c r="B1868" s="61">
        <v>46266</v>
      </c>
      <c r="E1868" t="s">
        <v>355</v>
      </c>
      <c r="F1868" t="s">
        <v>351</v>
      </c>
      <c r="G1868" t="s">
        <v>354</v>
      </c>
      <c r="H1868" t="s">
        <v>686</v>
      </c>
      <c r="I1868">
        <v>1001026</v>
      </c>
      <c r="J1868" t="s">
        <v>901</v>
      </c>
      <c r="K1868" t="s">
        <v>902</v>
      </c>
      <c r="L1868" t="s">
        <v>466</v>
      </c>
      <c r="N1868">
        <v>2144108</v>
      </c>
      <c r="O1868" t="s">
        <v>904</v>
      </c>
      <c r="S1868" s="34" t="s">
        <v>5687</v>
      </c>
    </row>
    <row r="1869" spans="1:19" ht="216" x14ac:dyDescent="0.15">
      <c r="A1869" t="s">
        <v>837</v>
      </c>
      <c r="B1869" s="61">
        <v>46296</v>
      </c>
      <c r="E1869" t="s">
        <v>355</v>
      </c>
      <c r="F1869" t="s">
        <v>351</v>
      </c>
      <c r="G1869" t="s">
        <v>352</v>
      </c>
      <c r="H1869" t="s">
        <v>353</v>
      </c>
      <c r="I1869">
        <v>1000862</v>
      </c>
      <c r="J1869" t="s">
        <v>5688</v>
      </c>
      <c r="K1869" t="s">
        <v>5689</v>
      </c>
      <c r="L1869" t="s">
        <v>1718</v>
      </c>
      <c r="N1869" t="s">
        <v>5690</v>
      </c>
      <c r="O1869" t="s">
        <v>5691</v>
      </c>
      <c r="R1869" t="s">
        <v>3985</v>
      </c>
      <c r="S1869" s="34" t="s">
        <v>5692</v>
      </c>
    </row>
    <row r="1870" spans="1:19" ht="202.5" x14ac:dyDescent="0.15">
      <c r="A1870" t="s">
        <v>837</v>
      </c>
      <c r="B1870" s="61">
        <v>46296</v>
      </c>
      <c r="E1870" t="s">
        <v>355</v>
      </c>
      <c r="F1870" t="s">
        <v>351</v>
      </c>
      <c r="G1870" t="s">
        <v>352</v>
      </c>
      <c r="H1870" t="s">
        <v>353</v>
      </c>
      <c r="I1870">
        <v>1000917</v>
      </c>
      <c r="J1870" t="s">
        <v>5688</v>
      </c>
      <c r="K1870" t="s">
        <v>5693</v>
      </c>
      <c r="L1870" t="s">
        <v>5694</v>
      </c>
      <c r="N1870" t="s">
        <v>5695</v>
      </c>
      <c r="O1870" t="s">
        <v>5696</v>
      </c>
      <c r="R1870" t="s">
        <v>3985</v>
      </c>
      <c r="S1870" s="34" t="s">
        <v>5697</v>
      </c>
    </row>
    <row r="1871" spans="1:19" ht="162" x14ac:dyDescent="0.15">
      <c r="A1871" t="s">
        <v>837</v>
      </c>
      <c r="B1871" s="61">
        <v>46296</v>
      </c>
      <c r="E1871" t="s">
        <v>355</v>
      </c>
      <c r="F1871" t="s">
        <v>351</v>
      </c>
      <c r="G1871" t="s">
        <v>354</v>
      </c>
      <c r="H1871" t="s">
        <v>353</v>
      </c>
      <c r="I1871">
        <v>1001021</v>
      </c>
      <c r="J1871" t="s">
        <v>884</v>
      </c>
      <c r="K1871" t="s">
        <v>885</v>
      </c>
      <c r="L1871" t="s">
        <v>378</v>
      </c>
      <c r="N1871" t="s">
        <v>5698</v>
      </c>
      <c r="O1871" t="s">
        <v>887</v>
      </c>
      <c r="R1871" t="s">
        <v>3987</v>
      </c>
      <c r="S1871" s="34" t="s">
        <v>5699</v>
      </c>
    </row>
    <row r="1872" spans="1:19" ht="391.5" x14ac:dyDescent="0.15">
      <c r="A1872" t="s">
        <v>837</v>
      </c>
      <c r="B1872" s="61">
        <v>46296</v>
      </c>
      <c r="E1872" t="s">
        <v>355</v>
      </c>
      <c r="F1872" t="s">
        <v>351</v>
      </c>
      <c r="G1872" t="s">
        <v>354</v>
      </c>
      <c r="H1872" t="s">
        <v>365</v>
      </c>
      <c r="I1872">
        <v>1001021</v>
      </c>
      <c r="J1872" t="s">
        <v>884</v>
      </c>
      <c r="K1872" t="s">
        <v>885</v>
      </c>
      <c r="L1872" t="s">
        <v>378</v>
      </c>
      <c r="N1872" t="s">
        <v>886</v>
      </c>
      <c r="O1872" t="s">
        <v>887</v>
      </c>
      <c r="R1872" t="s">
        <v>3987</v>
      </c>
      <c r="S1872" s="34" t="s">
        <v>5700</v>
      </c>
    </row>
    <row r="1873" spans="1:19" ht="409.5" x14ac:dyDescent="0.15">
      <c r="A1873" t="s">
        <v>837</v>
      </c>
      <c r="B1873" s="61">
        <v>46296</v>
      </c>
      <c r="E1873" t="s">
        <v>355</v>
      </c>
      <c r="F1873" t="s">
        <v>351</v>
      </c>
      <c r="G1873" t="s">
        <v>354</v>
      </c>
      <c r="H1873" t="s">
        <v>353</v>
      </c>
      <c r="I1873">
        <v>1102044</v>
      </c>
      <c r="J1873" t="s">
        <v>857</v>
      </c>
      <c r="K1873" t="s">
        <v>858</v>
      </c>
      <c r="L1873" t="s">
        <v>390</v>
      </c>
      <c r="N1873" t="s">
        <v>5701</v>
      </c>
      <c r="O1873" t="s">
        <v>860</v>
      </c>
      <c r="S1873" s="34" t="s">
        <v>5702</v>
      </c>
    </row>
    <row r="1874" spans="1:19" ht="409.5" x14ac:dyDescent="0.15">
      <c r="A1874" t="s">
        <v>837</v>
      </c>
      <c r="B1874" s="61">
        <v>46296</v>
      </c>
      <c r="E1874" t="s">
        <v>355</v>
      </c>
      <c r="F1874" t="s">
        <v>351</v>
      </c>
      <c r="G1874" t="s">
        <v>354</v>
      </c>
      <c r="H1874" t="s">
        <v>353</v>
      </c>
      <c r="I1874">
        <v>1102513</v>
      </c>
      <c r="J1874" t="s">
        <v>849</v>
      </c>
      <c r="K1874" t="s">
        <v>850</v>
      </c>
      <c r="L1874" t="s">
        <v>718</v>
      </c>
      <c r="N1874" t="s">
        <v>5703</v>
      </c>
      <c r="O1874" t="s">
        <v>852</v>
      </c>
      <c r="R1874" t="s">
        <v>3987</v>
      </c>
      <c r="S1874" s="34" t="s">
        <v>5704</v>
      </c>
    </row>
    <row r="1875" spans="1:19" ht="378" x14ac:dyDescent="0.15">
      <c r="A1875" t="s">
        <v>837</v>
      </c>
      <c r="B1875" s="61">
        <v>46296</v>
      </c>
      <c r="E1875" t="s">
        <v>355</v>
      </c>
      <c r="F1875" t="s">
        <v>351</v>
      </c>
      <c r="G1875" t="s">
        <v>354</v>
      </c>
      <c r="H1875" t="s">
        <v>365</v>
      </c>
      <c r="I1875">
        <v>1102513</v>
      </c>
      <c r="J1875" t="s">
        <v>849</v>
      </c>
      <c r="K1875" t="s">
        <v>850</v>
      </c>
      <c r="L1875" t="s">
        <v>718</v>
      </c>
      <c r="N1875" t="s">
        <v>855</v>
      </c>
      <c r="O1875" t="s">
        <v>852</v>
      </c>
      <c r="R1875" t="s">
        <v>3987</v>
      </c>
      <c r="S1875" s="34" t="s">
        <v>5705</v>
      </c>
    </row>
    <row r="1876" spans="1:19" ht="409.5" x14ac:dyDescent="0.15">
      <c r="A1876" t="s">
        <v>837</v>
      </c>
      <c r="B1876" s="61">
        <v>46327</v>
      </c>
      <c r="E1876" t="s">
        <v>355</v>
      </c>
      <c r="F1876" t="s">
        <v>351</v>
      </c>
      <c r="G1876" t="s">
        <v>352</v>
      </c>
      <c r="H1876" t="s">
        <v>353</v>
      </c>
      <c r="I1876">
        <v>1000162</v>
      </c>
      <c r="J1876" t="s">
        <v>821</v>
      </c>
      <c r="K1876" t="s">
        <v>838</v>
      </c>
      <c r="L1876" t="s">
        <v>390</v>
      </c>
      <c r="N1876" t="s">
        <v>839</v>
      </c>
      <c r="O1876" t="s">
        <v>840</v>
      </c>
      <c r="R1876" t="s">
        <v>3985</v>
      </c>
      <c r="S1876" s="34" t="s">
        <v>5706</v>
      </c>
    </row>
    <row r="1877" spans="1:19" ht="409.5" x14ac:dyDescent="0.15">
      <c r="A1877" t="s">
        <v>837</v>
      </c>
      <c r="B1877" s="61">
        <v>46327</v>
      </c>
      <c r="E1877" t="s">
        <v>355</v>
      </c>
      <c r="F1877" t="s">
        <v>351</v>
      </c>
      <c r="G1877" t="s">
        <v>354</v>
      </c>
      <c r="H1877" t="s">
        <v>353</v>
      </c>
      <c r="I1877">
        <v>1000315</v>
      </c>
      <c r="J1877" t="s">
        <v>873</v>
      </c>
      <c r="K1877" t="s">
        <v>874</v>
      </c>
      <c r="L1877" t="s">
        <v>875</v>
      </c>
      <c r="N1877" t="s">
        <v>876</v>
      </c>
      <c r="O1877" t="s">
        <v>877</v>
      </c>
      <c r="R1877" t="s">
        <v>3986</v>
      </c>
      <c r="S1877" s="34" t="s">
        <v>5707</v>
      </c>
    </row>
    <row r="1878" spans="1:19" ht="405" x14ac:dyDescent="0.15">
      <c r="A1878" t="s">
        <v>837</v>
      </c>
      <c r="B1878" s="61">
        <v>46357</v>
      </c>
      <c r="E1878" t="s">
        <v>355</v>
      </c>
      <c r="F1878" t="s">
        <v>351</v>
      </c>
      <c r="G1878" t="s">
        <v>354</v>
      </c>
      <c r="H1878" t="s">
        <v>686</v>
      </c>
      <c r="I1878">
        <v>1000919</v>
      </c>
      <c r="J1878" t="s">
        <v>843</v>
      </c>
      <c r="K1878" t="s">
        <v>844</v>
      </c>
      <c r="L1878" t="s">
        <v>845</v>
      </c>
      <c r="N1878">
        <v>2094660</v>
      </c>
      <c r="O1878" t="s">
        <v>846</v>
      </c>
      <c r="R1878" t="s">
        <v>4534</v>
      </c>
      <c r="S1878" s="34" t="s">
        <v>5676</v>
      </c>
    </row>
    <row r="1879" spans="1:19" ht="243" x14ac:dyDescent="0.15">
      <c r="A1879" t="s">
        <v>914</v>
      </c>
      <c r="B1879" s="61">
        <v>46235</v>
      </c>
      <c r="E1879" t="s">
        <v>355</v>
      </c>
      <c r="F1879" t="s">
        <v>351</v>
      </c>
      <c r="G1879" t="s">
        <v>352</v>
      </c>
      <c r="H1879" t="s">
        <v>310</v>
      </c>
      <c r="I1879">
        <v>700496</v>
      </c>
      <c r="J1879" t="s">
        <v>5708</v>
      </c>
      <c r="K1879" t="s">
        <v>5709</v>
      </c>
      <c r="L1879" t="s">
        <v>5710</v>
      </c>
      <c r="N1879" t="s">
        <v>5711</v>
      </c>
      <c r="O1879" t="s">
        <v>5712</v>
      </c>
      <c r="R1879" t="s">
        <v>3985</v>
      </c>
      <c r="S1879" s="34" t="s">
        <v>5713</v>
      </c>
    </row>
    <row r="1880" spans="1:19" ht="229.5" x14ac:dyDescent="0.15">
      <c r="A1880" t="s">
        <v>914</v>
      </c>
      <c r="B1880" s="61">
        <v>46266</v>
      </c>
      <c r="E1880" t="s">
        <v>355</v>
      </c>
      <c r="F1880" t="s">
        <v>351</v>
      </c>
      <c r="G1880" t="s">
        <v>352</v>
      </c>
      <c r="H1880" t="s">
        <v>365</v>
      </c>
      <c r="I1880">
        <v>700622</v>
      </c>
      <c r="J1880" t="s">
        <v>5714</v>
      </c>
      <c r="K1880" t="s">
        <v>5715</v>
      </c>
      <c r="L1880" t="s">
        <v>5716</v>
      </c>
      <c r="N1880" t="s">
        <v>5717</v>
      </c>
      <c r="O1880" t="s">
        <v>5718</v>
      </c>
      <c r="R1880" t="s">
        <v>3985</v>
      </c>
      <c r="S1880" s="34" t="s">
        <v>5719</v>
      </c>
    </row>
    <row r="1881" spans="1:19" ht="229.5" x14ac:dyDescent="0.15">
      <c r="A1881" t="s">
        <v>914</v>
      </c>
      <c r="B1881" s="61">
        <v>46266</v>
      </c>
      <c r="E1881" t="s">
        <v>355</v>
      </c>
      <c r="F1881" t="s">
        <v>351</v>
      </c>
      <c r="G1881" t="s">
        <v>352</v>
      </c>
      <c r="H1881" t="s">
        <v>365</v>
      </c>
      <c r="I1881">
        <v>700623</v>
      </c>
      <c r="J1881" t="s">
        <v>5714</v>
      </c>
      <c r="K1881" t="s">
        <v>5715</v>
      </c>
      <c r="L1881" t="s">
        <v>5720</v>
      </c>
      <c r="N1881" t="s">
        <v>5721</v>
      </c>
      <c r="O1881" t="s">
        <v>5722</v>
      </c>
      <c r="R1881" t="s">
        <v>3985</v>
      </c>
      <c r="S1881" s="34" t="s">
        <v>5723</v>
      </c>
    </row>
    <row r="1882" spans="1:19" ht="229.5" x14ac:dyDescent="0.15">
      <c r="A1882" t="s">
        <v>914</v>
      </c>
      <c r="B1882" s="61">
        <v>46266</v>
      </c>
      <c r="E1882" t="s">
        <v>355</v>
      </c>
      <c r="F1882" t="s">
        <v>351</v>
      </c>
      <c r="G1882" t="s">
        <v>352</v>
      </c>
      <c r="H1882" t="s">
        <v>365</v>
      </c>
      <c r="I1882">
        <v>700660</v>
      </c>
      <c r="J1882" t="s">
        <v>5714</v>
      </c>
      <c r="K1882" t="s">
        <v>5715</v>
      </c>
      <c r="L1882" t="s">
        <v>5724</v>
      </c>
      <c r="N1882" t="s">
        <v>5725</v>
      </c>
      <c r="O1882" t="s">
        <v>5726</v>
      </c>
      <c r="R1882" t="s">
        <v>3985</v>
      </c>
      <c r="S1882" s="34" t="s">
        <v>5727</v>
      </c>
    </row>
    <row r="1883" spans="1:19" ht="216" x14ac:dyDescent="0.15">
      <c r="A1883" t="s">
        <v>914</v>
      </c>
      <c r="B1883" s="61">
        <v>46296</v>
      </c>
      <c r="E1883" t="s">
        <v>355</v>
      </c>
      <c r="F1883" t="s">
        <v>351</v>
      </c>
      <c r="G1883" t="s">
        <v>352</v>
      </c>
      <c r="H1883" t="s">
        <v>353</v>
      </c>
      <c r="I1883">
        <v>700345</v>
      </c>
      <c r="J1883" t="s">
        <v>921</v>
      </c>
      <c r="K1883" t="s">
        <v>915</v>
      </c>
      <c r="L1883" t="s">
        <v>373</v>
      </c>
      <c r="N1883" t="s">
        <v>4850</v>
      </c>
      <c r="O1883" t="s">
        <v>922</v>
      </c>
      <c r="R1883" t="s">
        <v>5728</v>
      </c>
      <c r="S1883" s="34" t="s">
        <v>5729</v>
      </c>
    </row>
    <row r="1884" spans="1:19" ht="243" x14ac:dyDescent="0.15">
      <c r="A1884" t="s">
        <v>914</v>
      </c>
      <c r="B1884" s="61">
        <v>46296</v>
      </c>
      <c r="E1884" t="s">
        <v>355</v>
      </c>
      <c r="F1884" t="s">
        <v>351</v>
      </c>
      <c r="G1884" t="s">
        <v>352</v>
      </c>
      <c r="H1884" t="s">
        <v>365</v>
      </c>
      <c r="I1884">
        <v>700606</v>
      </c>
      <c r="J1884" t="s">
        <v>5714</v>
      </c>
      <c r="K1884" t="s">
        <v>5715</v>
      </c>
      <c r="L1884" t="s">
        <v>5730</v>
      </c>
      <c r="N1884" t="s">
        <v>5731</v>
      </c>
      <c r="O1884" t="s">
        <v>5732</v>
      </c>
      <c r="R1884" t="s">
        <v>3985</v>
      </c>
      <c r="S1884" s="34" t="s">
        <v>5733</v>
      </c>
    </row>
    <row r="1885" spans="1:19" ht="243" x14ac:dyDescent="0.15">
      <c r="A1885" t="s">
        <v>914</v>
      </c>
      <c r="B1885" s="61">
        <v>46296</v>
      </c>
      <c r="E1885" t="s">
        <v>355</v>
      </c>
      <c r="F1885" t="s">
        <v>351</v>
      </c>
      <c r="G1885" t="s">
        <v>352</v>
      </c>
      <c r="H1885" t="s">
        <v>365</v>
      </c>
      <c r="I1885">
        <v>700607</v>
      </c>
      <c r="J1885" t="s">
        <v>5714</v>
      </c>
      <c r="K1885" t="s">
        <v>5715</v>
      </c>
      <c r="L1885" t="s">
        <v>5734</v>
      </c>
      <c r="N1885" t="s">
        <v>5735</v>
      </c>
      <c r="O1885" t="s">
        <v>5736</v>
      </c>
      <c r="R1885" t="s">
        <v>3985</v>
      </c>
      <c r="S1885" s="34" t="s">
        <v>5737</v>
      </c>
    </row>
    <row r="1886" spans="1:19" ht="409.5" x14ac:dyDescent="0.15">
      <c r="A1886" t="s">
        <v>914</v>
      </c>
      <c r="B1886" s="61">
        <v>46296</v>
      </c>
      <c r="E1886" t="s">
        <v>355</v>
      </c>
      <c r="F1886" t="s">
        <v>351</v>
      </c>
      <c r="G1886" t="s">
        <v>354</v>
      </c>
      <c r="H1886" t="s">
        <v>353</v>
      </c>
      <c r="I1886">
        <v>700691</v>
      </c>
      <c r="J1886" t="s">
        <v>984</v>
      </c>
      <c r="K1886" t="s">
        <v>5738</v>
      </c>
      <c r="L1886" t="s">
        <v>5739</v>
      </c>
      <c r="N1886" t="s">
        <v>5740</v>
      </c>
      <c r="O1886" t="s">
        <v>5741</v>
      </c>
      <c r="R1886" t="s">
        <v>3987</v>
      </c>
      <c r="S1886" s="34" t="s">
        <v>5742</v>
      </c>
    </row>
    <row r="1887" spans="1:19" ht="409.5" x14ac:dyDescent="0.15">
      <c r="A1887" t="s">
        <v>914</v>
      </c>
      <c r="B1887" s="61">
        <v>46327</v>
      </c>
      <c r="E1887" t="s">
        <v>355</v>
      </c>
      <c r="F1887" t="s">
        <v>351</v>
      </c>
      <c r="G1887" t="s">
        <v>354</v>
      </c>
      <c r="H1887" t="s">
        <v>353</v>
      </c>
      <c r="I1887">
        <v>700003</v>
      </c>
      <c r="J1887" t="s">
        <v>4817</v>
      </c>
      <c r="K1887" t="s">
        <v>926</v>
      </c>
      <c r="L1887" t="s">
        <v>2308</v>
      </c>
      <c r="N1887" t="s">
        <v>7346</v>
      </c>
      <c r="O1887" t="s">
        <v>4819</v>
      </c>
      <c r="S1887" s="34" t="s">
        <v>5743</v>
      </c>
    </row>
    <row r="1888" spans="1:19" ht="409.5" x14ac:dyDescent="0.15">
      <c r="A1888" t="s">
        <v>914</v>
      </c>
      <c r="B1888" s="61">
        <v>46327</v>
      </c>
      <c r="E1888" t="s">
        <v>355</v>
      </c>
      <c r="F1888" t="s">
        <v>351</v>
      </c>
      <c r="G1888" t="s">
        <v>354</v>
      </c>
      <c r="H1888" t="s">
        <v>309</v>
      </c>
      <c r="I1888">
        <v>700003</v>
      </c>
      <c r="J1888" t="s">
        <v>4817</v>
      </c>
      <c r="K1888" t="s">
        <v>926</v>
      </c>
      <c r="L1888" t="s">
        <v>2308</v>
      </c>
      <c r="N1888" t="s">
        <v>7347</v>
      </c>
      <c r="O1888" t="s">
        <v>4819</v>
      </c>
      <c r="S1888" s="34" t="s">
        <v>5744</v>
      </c>
    </row>
    <row r="1889" spans="1:19" ht="229.5" x14ac:dyDescent="0.15">
      <c r="A1889" t="s">
        <v>914</v>
      </c>
      <c r="B1889" s="61">
        <v>46327</v>
      </c>
      <c r="E1889" t="s">
        <v>355</v>
      </c>
      <c r="F1889" t="s">
        <v>351</v>
      </c>
      <c r="G1889" t="s">
        <v>352</v>
      </c>
      <c r="H1889" t="s">
        <v>353</v>
      </c>
      <c r="I1889">
        <v>700007</v>
      </c>
      <c r="J1889" t="s">
        <v>821</v>
      </c>
      <c r="K1889" t="s">
        <v>936</v>
      </c>
      <c r="L1889" t="s">
        <v>373</v>
      </c>
      <c r="N1889" t="s">
        <v>937</v>
      </c>
      <c r="O1889" t="s">
        <v>938</v>
      </c>
      <c r="R1889" t="s">
        <v>3985</v>
      </c>
      <c r="S1889" s="34" t="s">
        <v>5745</v>
      </c>
    </row>
    <row r="1890" spans="1:19" ht="409.5" x14ac:dyDescent="0.15">
      <c r="A1890" t="s">
        <v>914</v>
      </c>
      <c r="B1890" s="61">
        <v>46327</v>
      </c>
      <c r="E1890" t="s">
        <v>355</v>
      </c>
      <c r="F1890" t="s">
        <v>351</v>
      </c>
      <c r="G1890" t="s">
        <v>354</v>
      </c>
      <c r="H1890" t="s">
        <v>365</v>
      </c>
      <c r="I1890">
        <v>700330</v>
      </c>
      <c r="J1890" t="s">
        <v>939</v>
      </c>
      <c r="K1890" t="s">
        <v>940</v>
      </c>
      <c r="L1890" t="s">
        <v>941</v>
      </c>
      <c r="N1890" t="s">
        <v>942</v>
      </c>
      <c r="O1890" t="s">
        <v>943</v>
      </c>
      <c r="R1890" t="s">
        <v>3986</v>
      </c>
      <c r="S1890" s="34" t="s">
        <v>5746</v>
      </c>
    </row>
    <row r="1891" spans="1:19" ht="216" x14ac:dyDescent="0.15">
      <c r="A1891" t="s">
        <v>914</v>
      </c>
      <c r="B1891" s="61">
        <v>46327</v>
      </c>
      <c r="E1891" t="s">
        <v>355</v>
      </c>
      <c r="F1891" t="s">
        <v>351</v>
      </c>
      <c r="G1891" t="s">
        <v>352</v>
      </c>
      <c r="H1891" t="s">
        <v>353</v>
      </c>
      <c r="I1891">
        <v>700345</v>
      </c>
      <c r="J1891" t="s">
        <v>921</v>
      </c>
      <c r="K1891" t="s">
        <v>915</v>
      </c>
      <c r="L1891" t="s">
        <v>373</v>
      </c>
      <c r="N1891" t="s">
        <v>944</v>
      </c>
      <c r="O1891" t="s">
        <v>922</v>
      </c>
      <c r="R1891" t="s">
        <v>5747</v>
      </c>
      <c r="S1891" s="34" t="s">
        <v>5748</v>
      </c>
    </row>
    <row r="1892" spans="1:19" ht="229.5" x14ac:dyDescent="0.15">
      <c r="A1892" t="s">
        <v>914</v>
      </c>
      <c r="B1892" s="61">
        <v>46327</v>
      </c>
      <c r="E1892" t="s">
        <v>355</v>
      </c>
      <c r="F1892" t="s">
        <v>351</v>
      </c>
      <c r="G1892" t="s">
        <v>354</v>
      </c>
      <c r="H1892" t="s">
        <v>365</v>
      </c>
      <c r="I1892">
        <v>700680</v>
      </c>
      <c r="J1892" t="s">
        <v>953</v>
      </c>
      <c r="K1892" t="s">
        <v>954</v>
      </c>
      <c r="L1892" t="s">
        <v>955</v>
      </c>
      <c r="N1892" t="s">
        <v>956</v>
      </c>
      <c r="O1892" t="s">
        <v>957</v>
      </c>
      <c r="R1892" t="s">
        <v>3987</v>
      </c>
      <c r="S1892" s="34" t="s">
        <v>5749</v>
      </c>
    </row>
    <row r="1893" spans="1:19" ht="351" x14ac:dyDescent="0.15">
      <c r="A1893" t="s">
        <v>914</v>
      </c>
      <c r="B1893" s="61">
        <v>46327</v>
      </c>
      <c r="E1893" t="s">
        <v>355</v>
      </c>
      <c r="F1893" t="s">
        <v>351</v>
      </c>
      <c r="G1893" t="s">
        <v>354</v>
      </c>
      <c r="H1893" t="s">
        <v>353</v>
      </c>
      <c r="I1893">
        <v>700699</v>
      </c>
      <c r="J1893" t="s">
        <v>923</v>
      </c>
      <c r="K1893" t="s">
        <v>4084</v>
      </c>
      <c r="L1893" t="s">
        <v>413</v>
      </c>
      <c r="N1893" t="s">
        <v>4085</v>
      </c>
      <c r="O1893" t="s">
        <v>4086</v>
      </c>
      <c r="R1893" t="s">
        <v>3987</v>
      </c>
      <c r="S1893" s="34" t="s">
        <v>5750</v>
      </c>
    </row>
    <row r="1894" spans="1:19" ht="216" x14ac:dyDescent="0.15">
      <c r="A1894" t="s">
        <v>914</v>
      </c>
      <c r="B1894" s="61">
        <v>46357</v>
      </c>
      <c r="E1894" t="s">
        <v>355</v>
      </c>
      <c r="F1894" t="s">
        <v>351</v>
      </c>
      <c r="G1894" t="s">
        <v>354</v>
      </c>
      <c r="H1894" t="s">
        <v>365</v>
      </c>
      <c r="I1894">
        <v>700139</v>
      </c>
      <c r="J1894" t="s">
        <v>3817</v>
      </c>
      <c r="K1894" t="s">
        <v>5751</v>
      </c>
      <c r="L1894" t="s">
        <v>5752</v>
      </c>
      <c r="N1894" t="s">
        <v>5753</v>
      </c>
      <c r="O1894" t="s">
        <v>5754</v>
      </c>
      <c r="R1894" t="s">
        <v>3987</v>
      </c>
      <c r="S1894" s="34" t="s">
        <v>5755</v>
      </c>
    </row>
    <row r="1895" spans="1:19" ht="409.5" x14ac:dyDescent="0.15">
      <c r="A1895" t="s">
        <v>914</v>
      </c>
      <c r="B1895" s="61">
        <v>46357</v>
      </c>
      <c r="E1895" t="s">
        <v>355</v>
      </c>
      <c r="F1895" t="s">
        <v>351</v>
      </c>
      <c r="G1895" t="s">
        <v>352</v>
      </c>
      <c r="H1895" t="s">
        <v>353</v>
      </c>
      <c r="I1895">
        <v>700343</v>
      </c>
      <c r="J1895" t="s">
        <v>5756</v>
      </c>
      <c r="K1895" t="s">
        <v>5757</v>
      </c>
      <c r="L1895" t="s">
        <v>5758</v>
      </c>
      <c r="N1895" t="s">
        <v>5759</v>
      </c>
      <c r="O1895" t="s">
        <v>5760</v>
      </c>
      <c r="R1895" t="s">
        <v>3958</v>
      </c>
      <c r="S1895" s="34" t="s">
        <v>5761</v>
      </c>
    </row>
    <row r="1896" spans="1:19" ht="229.5" x14ac:dyDescent="0.15">
      <c r="A1896" t="s">
        <v>1062</v>
      </c>
      <c r="B1896" s="61">
        <v>46235</v>
      </c>
      <c r="E1896" t="s">
        <v>355</v>
      </c>
      <c r="F1896" t="s">
        <v>351</v>
      </c>
      <c r="G1896" t="s">
        <v>354</v>
      </c>
      <c r="H1896" t="s">
        <v>365</v>
      </c>
      <c r="I1896">
        <v>3400140</v>
      </c>
      <c r="J1896" t="s">
        <v>1067</v>
      </c>
      <c r="L1896" t="s">
        <v>390</v>
      </c>
      <c r="N1896" t="s">
        <v>1068</v>
      </c>
      <c r="O1896" t="s">
        <v>1069</v>
      </c>
      <c r="S1896" s="34" t="s">
        <v>5762</v>
      </c>
    </row>
    <row r="1897" spans="1:19" ht="351" x14ac:dyDescent="0.15">
      <c r="A1897" t="s">
        <v>1062</v>
      </c>
      <c r="B1897" s="61">
        <v>46235</v>
      </c>
      <c r="E1897" t="s">
        <v>355</v>
      </c>
      <c r="F1897" t="s">
        <v>351</v>
      </c>
      <c r="G1897" t="s">
        <v>354</v>
      </c>
      <c r="H1897" t="s">
        <v>353</v>
      </c>
      <c r="I1897">
        <v>3400360</v>
      </c>
      <c r="J1897" t="s">
        <v>5763</v>
      </c>
      <c r="K1897" t="s">
        <v>5764</v>
      </c>
      <c r="L1897" t="s">
        <v>390</v>
      </c>
      <c r="N1897" t="s">
        <v>5765</v>
      </c>
      <c r="O1897" t="s">
        <v>5766</v>
      </c>
      <c r="S1897" s="34" t="s">
        <v>5767</v>
      </c>
    </row>
    <row r="1898" spans="1:19" ht="351" x14ac:dyDescent="0.15">
      <c r="A1898" t="s">
        <v>1062</v>
      </c>
      <c r="B1898" s="61">
        <v>46235</v>
      </c>
      <c r="E1898" t="s">
        <v>355</v>
      </c>
      <c r="F1898" t="s">
        <v>351</v>
      </c>
      <c r="G1898" t="s">
        <v>352</v>
      </c>
      <c r="H1898" t="s">
        <v>353</v>
      </c>
      <c r="I1898">
        <v>3400415</v>
      </c>
      <c r="J1898" t="s">
        <v>5768</v>
      </c>
      <c r="K1898" t="s">
        <v>5769</v>
      </c>
      <c r="L1898" t="s">
        <v>5770</v>
      </c>
      <c r="N1898" t="s">
        <v>5771</v>
      </c>
      <c r="O1898" t="s">
        <v>5772</v>
      </c>
      <c r="R1898" t="s">
        <v>3985</v>
      </c>
      <c r="S1898" s="34" t="s">
        <v>5773</v>
      </c>
    </row>
    <row r="1899" spans="1:19" ht="229.5" x14ac:dyDescent="0.15">
      <c r="A1899" t="s">
        <v>1062</v>
      </c>
      <c r="B1899" s="61">
        <v>46235</v>
      </c>
      <c r="E1899" t="s">
        <v>355</v>
      </c>
      <c r="F1899" t="s">
        <v>351</v>
      </c>
      <c r="G1899" t="s">
        <v>354</v>
      </c>
      <c r="H1899" t="s">
        <v>353</v>
      </c>
      <c r="I1899">
        <v>3400597</v>
      </c>
      <c r="J1899" t="s">
        <v>3997</v>
      </c>
      <c r="K1899" t="s">
        <v>5774</v>
      </c>
      <c r="L1899" t="s">
        <v>390</v>
      </c>
      <c r="N1899" t="s">
        <v>5775</v>
      </c>
      <c r="O1899" t="s">
        <v>5776</v>
      </c>
      <c r="R1899" t="s">
        <v>5777</v>
      </c>
      <c r="S1899" s="34" t="s">
        <v>5778</v>
      </c>
    </row>
    <row r="1900" spans="1:19" ht="243" x14ac:dyDescent="0.15">
      <c r="A1900" t="s">
        <v>1062</v>
      </c>
      <c r="B1900" s="61">
        <v>46266</v>
      </c>
      <c r="E1900" t="s">
        <v>355</v>
      </c>
      <c r="F1900" t="s">
        <v>351</v>
      </c>
      <c r="G1900" t="s">
        <v>352</v>
      </c>
      <c r="H1900" t="s">
        <v>5779</v>
      </c>
      <c r="I1900">
        <v>3400767</v>
      </c>
      <c r="J1900" t="s">
        <v>1063</v>
      </c>
      <c r="K1900" t="s">
        <v>5780</v>
      </c>
      <c r="L1900" t="s">
        <v>1064</v>
      </c>
      <c r="N1900" t="s">
        <v>5781</v>
      </c>
      <c r="O1900" t="s">
        <v>5782</v>
      </c>
      <c r="R1900" t="s">
        <v>3985</v>
      </c>
      <c r="S1900" s="34" t="s">
        <v>5783</v>
      </c>
    </row>
    <row r="1901" spans="1:19" ht="409.5" x14ac:dyDescent="0.15">
      <c r="A1901" t="s">
        <v>1062</v>
      </c>
      <c r="B1901" s="61">
        <v>46266</v>
      </c>
      <c r="E1901" t="s">
        <v>355</v>
      </c>
      <c r="F1901" t="s">
        <v>351</v>
      </c>
      <c r="G1901" t="s">
        <v>354</v>
      </c>
      <c r="H1901" t="s">
        <v>353</v>
      </c>
      <c r="I1901">
        <v>3400948</v>
      </c>
      <c r="J1901" t="s">
        <v>4856</v>
      </c>
      <c r="K1901" t="s">
        <v>4857</v>
      </c>
      <c r="L1901" t="s">
        <v>390</v>
      </c>
      <c r="N1901" t="s">
        <v>5784</v>
      </c>
      <c r="O1901" t="s">
        <v>4859</v>
      </c>
      <c r="S1901" s="34" t="s">
        <v>5785</v>
      </c>
    </row>
    <row r="1902" spans="1:19" ht="409.5" x14ac:dyDescent="0.15">
      <c r="A1902" t="s">
        <v>1062</v>
      </c>
      <c r="B1902" s="61">
        <v>46296</v>
      </c>
      <c r="E1902" t="s">
        <v>355</v>
      </c>
      <c r="F1902" t="s">
        <v>351</v>
      </c>
      <c r="G1902" t="s">
        <v>354</v>
      </c>
      <c r="H1902" t="s">
        <v>353</v>
      </c>
      <c r="I1902">
        <v>3400096</v>
      </c>
      <c r="J1902" t="s">
        <v>1089</v>
      </c>
      <c r="K1902" t="s">
        <v>1090</v>
      </c>
      <c r="L1902" t="s">
        <v>1091</v>
      </c>
      <c r="N1902" t="s">
        <v>5786</v>
      </c>
      <c r="O1902" t="s">
        <v>1093</v>
      </c>
      <c r="S1902" s="34" t="s">
        <v>5787</v>
      </c>
    </row>
    <row r="1903" spans="1:19" ht="409.5" x14ac:dyDescent="0.15">
      <c r="A1903" t="s">
        <v>1062</v>
      </c>
      <c r="B1903" s="61">
        <v>46296</v>
      </c>
      <c r="E1903" t="s">
        <v>355</v>
      </c>
      <c r="F1903" t="s">
        <v>351</v>
      </c>
      <c r="G1903" t="s">
        <v>354</v>
      </c>
      <c r="H1903" t="s">
        <v>309</v>
      </c>
      <c r="I1903">
        <v>3400118</v>
      </c>
      <c r="J1903" t="s">
        <v>5788</v>
      </c>
      <c r="K1903" t="s">
        <v>1071</v>
      </c>
      <c r="L1903" t="s">
        <v>5789</v>
      </c>
      <c r="N1903" t="s">
        <v>5790</v>
      </c>
      <c r="O1903" t="s">
        <v>5791</v>
      </c>
      <c r="S1903" s="34" t="s">
        <v>5792</v>
      </c>
    </row>
    <row r="1904" spans="1:19" ht="189" x14ac:dyDescent="0.15">
      <c r="A1904" t="s">
        <v>1062</v>
      </c>
      <c r="B1904" s="61">
        <v>46296</v>
      </c>
      <c r="E1904" t="s">
        <v>355</v>
      </c>
      <c r="F1904" t="s">
        <v>351</v>
      </c>
      <c r="G1904" t="s">
        <v>354</v>
      </c>
      <c r="H1904" t="s">
        <v>353</v>
      </c>
      <c r="I1904">
        <v>3400789</v>
      </c>
      <c r="J1904" t="s">
        <v>481</v>
      </c>
      <c r="K1904" t="s">
        <v>4166</v>
      </c>
      <c r="L1904" t="s">
        <v>4127</v>
      </c>
      <c r="N1904" t="s">
        <v>4167</v>
      </c>
      <c r="O1904" t="s">
        <v>4168</v>
      </c>
      <c r="S1904" s="34" t="s">
        <v>5793</v>
      </c>
    </row>
    <row r="1905" spans="1:19" ht="409.5" x14ac:dyDescent="0.15">
      <c r="A1905" t="s">
        <v>1062</v>
      </c>
      <c r="B1905" s="61">
        <v>46327</v>
      </c>
      <c r="E1905" t="s">
        <v>355</v>
      </c>
      <c r="F1905" t="s">
        <v>351</v>
      </c>
      <c r="G1905" t="s">
        <v>354</v>
      </c>
      <c r="H1905" t="s">
        <v>353</v>
      </c>
      <c r="I1905">
        <v>3400228</v>
      </c>
      <c r="J1905" t="s">
        <v>1074</v>
      </c>
      <c r="K1905" t="s">
        <v>1075</v>
      </c>
      <c r="L1905" t="s">
        <v>1076</v>
      </c>
      <c r="N1905" t="s">
        <v>5794</v>
      </c>
      <c r="O1905" t="s">
        <v>1078</v>
      </c>
      <c r="S1905" s="34" t="s">
        <v>5795</v>
      </c>
    </row>
    <row r="1906" spans="1:19" ht="409.5" x14ac:dyDescent="0.15">
      <c r="A1906" t="s">
        <v>1062</v>
      </c>
      <c r="B1906" s="61">
        <v>46327</v>
      </c>
      <c r="E1906" t="s">
        <v>355</v>
      </c>
      <c r="F1906" t="s">
        <v>351</v>
      </c>
      <c r="G1906" t="s">
        <v>354</v>
      </c>
      <c r="H1906" t="s">
        <v>686</v>
      </c>
      <c r="I1906">
        <v>3400228</v>
      </c>
      <c r="J1906" t="s">
        <v>1074</v>
      </c>
      <c r="K1906" t="s">
        <v>1075</v>
      </c>
      <c r="L1906" t="s">
        <v>1076</v>
      </c>
      <c r="N1906">
        <v>2151324</v>
      </c>
      <c r="O1906" t="s">
        <v>1078</v>
      </c>
      <c r="R1906" t="s">
        <v>3992</v>
      </c>
      <c r="S1906" s="34" t="s">
        <v>5796</v>
      </c>
    </row>
    <row r="1907" spans="1:19" ht="337.5" x14ac:dyDescent="0.15">
      <c r="A1907" t="s">
        <v>1062</v>
      </c>
      <c r="B1907" s="61">
        <v>46327</v>
      </c>
      <c r="E1907" t="s">
        <v>355</v>
      </c>
      <c r="F1907" t="s">
        <v>351</v>
      </c>
      <c r="G1907" t="s">
        <v>354</v>
      </c>
      <c r="H1907" t="s">
        <v>309</v>
      </c>
      <c r="I1907">
        <v>3400228</v>
      </c>
      <c r="J1907" t="s">
        <v>1074</v>
      </c>
      <c r="K1907" t="s">
        <v>1075</v>
      </c>
      <c r="L1907" t="s">
        <v>1076</v>
      </c>
      <c r="N1907" t="s">
        <v>5797</v>
      </c>
      <c r="O1907" t="s">
        <v>1078</v>
      </c>
      <c r="R1907" t="s">
        <v>3992</v>
      </c>
      <c r="S1907" s="34" t="s">
        <v>5798</v>
      </c>
    </row>
    <row r="1908" spans="1:19" ht="409.5" x14ac:dyDescent="0.15">
      <c r="A1908" t="s">
        <v>1062</v>
      </c>
      <c r="B1908" s="61">
        <v>46327</v>
      </c>
      <c r="E1908" t="s">
        <v>355</v>
      </c>
      <c r="F1908" t="s">
        <v>351</v>
      </c>
      <c r="G1908" t="s">
        <v>354</v>
      </c>
      <c r="H1908" t="s">
        <v>365</v>
      </c>
      <c r="I1908">
        <v>3400914</v>
      </c>
      <c r="J1908" t="s">
        <v>1083</v>
      </c>
      <c r="L1908" t="s">
        <v>1084</v>
      </c>
      <c r="N1908" t="s">
        <v>5799</v>
      </c>
      <c r="O1908" t="s">
        <v>1086</v>
      </c>
      <c r="R1908" t="s">
        <v>3987</v>
      </c>
      <c r="S1908" s="34" t="s">
        <v>5800</v>
      </c>
    </row>
    <row r="1909" spans="1:19" ht="229.5" x14ac:dyDescent="0.15">
      <c r="A1909" t="s">
        <v>1095</v>
      </c>
      <c r="B1909" s="61">
        <v>46235</v>
      </c>
      <c r="E1909" t="s">
        <v>355</v>
      </c>
      <c r="F1909" t="s">
        <v>351</v>
      </c>
      <c r="G1909" t="s">
        <v>352</v>
      </c>
      <c r="H1909" t="s">
        <v>353</v>
      </c>
      <c r="I1909">
        <v>3900037</v>
      </c>
      <c r="J1909" t="s">
        <v>4667</v>
      </c>
      <c r="K1909" t="s">
        <v>1542</v>
      </c>
      <c r="L1909" t="s">
        <v>390</v>
      </c>
      <c r="N1909" t="s">
        <v>5801</v>
      </c>
      <c r="O1909" t="s">
        <v>5802</v>
      </c>
      <c r="R1909" t="s">
        <v>3985</v>
      </c>
      <c r="S1909" s="34" t="s">
        <v>5803</v>
      </c>
    </row>
    <row r="1910" spans="1:19" ht="351" x14ac:dyDescent="0.15">
      <c r="A1910" t="s">
        <v>1095</v>
      </c>
      <c r="B1910" s="61">
        <v>46296</v>
      </c>
      <c r="E1910" t="s">
        <v>355</v>
      </c>
      <c r="F1910" t="s">
        <v>351</v>
      </c>
      <c r="G1910" t="s">
        <v>354</v>
      </c>
      <c r="H1910" t="s">
        <v>365</v>
      </c>
      <c r="I1910">
        <v>3700344</v>
      </c>
      <c r="J1910" t="s">
        <v>1112</v>
      </c>
      <c r="K1910" t="s">
        <v>1113</v>
      </c>
      <c r="L1910" t="s">
        <v>1114</v>
      </c>
      <c r="N1910" t="s">
        <v>5804</v>
      </c>
      <c r="O1910" t="s">
        <v>1116</v>
      </c>
      <c r="S1910" s="34" t="s">
        <v>5805</v>
      </c>
    </row>
    <row r="1911" spans="1:19" ht="409.5" x14ac:dyDescent="0.15">
      <c r="A1911" t="s">
        <v>1095</v>
      </c>
      <c r="B1911" s="61">
        <v>46327</v>
      </c>
      <c r="E1911" t="s">
        <v>355</v>
      </c>
      <c r="F1911" t="s">
        <v>351</v>
      </c>
      <c r="G1911" t="s">
        <v>354</v>
      </c>
      <c r="H1911" t="s">
        <v>353</v>
      </c>
      <c r="I1911">
        <v>3700150</v>
      </c>
      <c r="J1911" t="s">
        <v>873</v>
      </c>
      <c r="K1911" t="s">
        <v>1123</v>
      </c>
      <c r="L1911" t="s">
        <v>1114</v>
      </c>
      <c r="N1911" t="s">
        <v>1124</v>
      </c>
      <c r="O1911" t="s">
        <v>1125</v>
      </c>
      <c r="R1911" t="s">
        <v>3986</v>
      </c>
      <c r="S1911" s="34" t="s">
        <v>5806</v>
      </c>
    </row>
    <row r="1912" spans="1:19" ht="409.5" x14ac:dyDescent="0.15">
      <c r="A1912" t="s">
        <v>1095</v>
      </c>
      <c r="B1912" s="61">
        <v>46327</v>
      </c>
      <c r="E1912" t="s">
        <v>355</v>
      </c>
      <c r="F1912" t="s">
        <v>351</v>
      </c>
      <c r="G1912" t="s">
        <v>354</v>
      </c>
      <c r="H1912" t="s">
        <v>353</v>
      </c>
      <c r="I1912">
        <v>3700372</v>
      </c>
      <c r="J1912" t="s">
        <v>1128</v>
      </c>
      <c r="K1912" t="s">
        <v>1129</v>
      </c>
      <c r="L1912" t="s">
        <v>5807</v>
      </c>
      <c r="N1912" t="s">
        <v>5808</v>
      </c>
      <c r="O1912" t="s">
        <v>1132</v>
      </c>
      <c r="S1912" s="34" t="s">
        <v>5809</v>
      </c>
    </row>
    <row r="1913" spans="1:19" ht="364.5" x14ac:dyDescent="0.15">
      <c r="A1913" t="s">
        <v>1095</v>
      </c>
      <c r="B1913" s="61">
        <v>46327</v>
      </c>
      <c r="E1913" t="s">
        <v>355</v>
      </c>
      <c r="F1913" t="s">
        <v>351</v>
      </c>
      <c r="G1913" t="s">
        <v>354</v>
      </c>
      <c r="H1913" t="s">
        <v>353</v>
      </c>
      <c r="I1913">
        <v>3700372</v>
      </c>
      <c r="J1913" t="s">
        <v>1128</v>
      </c>
      <c r="K1913" t="s">
        <v>1129</v>
      </c>
      <c r="L1913" t="s">
        <v>5807</v>
      </c>
      <c r="N1913" t="s">
        <v>5810</v>
      </c>
      <c r="O1913" t="s">
        <v>1132</v>
      </c>
      <c r="R1913" t="s">
        <v>5811</v>
      </c>
      <c r="S1913" s="34" t="s">
        <v>5812</v>
      </c>
    </row>
    <row r="1914" spans="1:19" ht="364.5" x14ac:dyDescent="0.15">
      <c r="A1914" t="s">
        <v>1095</v>
      </c>
      <c r="B1914" s="61">
        <v>46327</v>
      </c>
      <c r="E1914" t="s">
        <v>355</v>
      </c>
      <c r="F1914" t="s">
        <v>351</v>
      </c>
      <c r="G1914" t="s">
        <v>354</v>
      </c>
      <c r="H1914" t="s">
        <v>353</v>
      </c>
      <c r="I1914">
        <v>3700372</v>
      </c>
      <c r="J1914" t="s">
        <v>1128</v>
      </c>
      <c r="K1914" t="s">
        <v>1129</v>
      </c>
      <c r="L1914" t="s">
        <v>5807</v>
      </c>
      <c r="N1914" t="s">
        <v>5813</v>
      </c>
      <c r="O1914" t="s">
        <v>1132</v>
      </c>
      <c r="R1914" t="s">
        <v>5814</v>
      </c>
      <c r="S1914" s="34" t="s">
        <v>5815</v>
      </c>
    </row>
    <row r="1915" spans="1:19" ht="409.5" x14ac:dyDescent="0.15">
      <c r="A1915" t="s">
        <v>1095</v>
      </c>
      <c r="B1915" s="61">
        <v>46327</v>
      </c>
      <c r="E1915" t="s">
        <v>355</v>
      </c>
      <c r="F1915" t="s">
        <v>351</v>
      </c>
      <c r="G1915" t="s">
        <v>354</v>
      </c>
      <c r="H1915" t="s">
        <v>353</v>
      </c>
      <c r="I1915">
        <v>3700380</v>
      </c>
      <c r="J1915" t="s">
        <v>1128</v>
      </c>
      <c r="K1915" t="s">
        <v>1129</v>
      </c>
      <c r="L1915" t="s">
        <v>5816</v>
      </c>
      <c r="N1915" t="s">
        <v>5817</v>
      </c>
      <c r="O1915" t="s">
        <v>5818</v>
      </c>
      <c r="S1915" s="34" t="s">
        <v>5819</v>
      </c>
    </row>
    <row r="1916" spans="1:19" ht="324" x14ac:dyDescent="0.15">
      <c r="A1916" t="s">
        <v>1095</v>
      </c>
      <c r="B1916" s="61">
        <v>46327</v>
      </c>
      <c r="E1916" t="s">
        <v>355</v>
      </c>
      <c r="F1916" t="s">
        <v>351</v>
      </c>
      <c r="G1916" t="s">
        <v>354</v>
      </c>
      <c r="H1916" t="s">
        <v>353</v>
      </c>
      <c r="I1916">
        <v>3700381</v>
      </c>
      <c r="J1916" t="s">
        <v>1128</v>
      </c>
      <c r="K1916" t="s">
        <v>1129</v>
      </c>
      <c r="L1916" t="s">
        <v>5820</v>
      </c>
      <c r="N1916" t="s">
        <v>5821</v>
      </c>
      <c r="O1916" t="s">
        <v>1135</v>
      </c>
      <c r="R1916" t="s">
        <v>3987</v>
      </c>
      <c r="S1916" s="34" t="s">
        <v>5822</v>
      </c>
    </row>
    <row r="1917" spans="1:19" ht="409.5" x14ac:dyDescent="0.15">
      <c r="A1917" t="s">
        <v>1095</v>
      </c>
      <c r="B1917" s="61">
        <v>46357</v>
      </c>
      <c r="E1917" t="s">
        <v>355</v>
      </c>
      <c r="F1917" t="s">
        <v>351</v>
      </c>
      <c r="G1917" t="s">
        <v>352</v>
      </c>
      <c r="H1917" t="s">
        <v>353</v>
      </c>
      <c r="I1917">
        <v>3700242</v>
      </c>
      <c r="J1917" t="s">
        <v>1065</v>
      </c>
      <c r="K1917" t="s">
        <v>5823</v>
      </c>
      <c r="L1917" t="s">
        <v>1114</v>
      </c>
      <c r="N1917" t="s">
        <v>5824</v>
      </c>
      <c r="O1917" t="s">
        <v>5825</v>
      </c>
      <c r="R1917" t="s">
        <v>3985</v>
      </c>
      <c r="S1917" s="34" t="s">
        <v>5826</v>
      </c>
    </row>
    <row r="1918" spans="1:19" ht="189" x14ac:dyDescent="0.15">
      <c r="A1918" t="s">
        <v>1095</v>
      </c>
      <c r="B1918" s="61">
        <v>46357</v>
      </c>
      <c r="E1918" t="s">
        <v>355</v>
      </c>
      <c r="F1918" t="s">
        <v>351</v>
      </c>
      <c r="G1918" t="s">
        <v>354</v>
      </c>
      <c r="H1918" t="s">
        <v>353</v>
      </c>
      <c r="I1918">
        <v>3900054</v>
      </c>
      <c r="J1918" t="s">
        <v>1594</v>
      </c>
      <c r="L1918" t="s">
        <v>390</v>
      </c>
      <c r="N1918" t="s">
        <v>5827</v>
      </c>
      <c r="O1918" t="s">
        <v>1595</v>
      </c>
      <c r="S1918" s="34" t="s">
        <v>5828</v>
      </c>
    </row>
    <row r="1919" spans="1:19" ht="409.5" x14ac:dyDescent="0.15">
      <c r="A1919" t="s">
        <v>1095</v>
      </c>
      <c r="B1919" s="61">
        <v>46357</v>
      </c>
      <c r="E1919" t="s">
        <v>355</v>
      </c>
      <c r="F1919" t="s">
        <v>351</v>
      </c>
      <c r="G1919" t="s">
        <v>354</v>
      </c>
      <c r="H1919" t="s">
        <v>309</v>
      </c>
      <c r="I1919">
        <v>3900054</v>
      </c>
      <c r="J1919" t="s">
        <v>1594</v>
      </c>
      <c r="L1919" t="s">
        <v>390</v>
      </c>
      <c r="N1919" t="s">
        <v>5829</v>
      </c>
      <c r="O1919" t="s">
        <v>1595</v>
      </c>
      <c r="S1919" s="34" t="s">
        <v>5830</v>
      </c>
    </row>
    <row r="1920" spans="1:19" ht="409.5" x14ac:dyDescent="0.15">
      <c r="A1920" t="s">
        <v>5831</v>
      </c>
      <c r="B1920" s="61">
        <v>46235</v>
      </c>
      <c r="E1920" t="s">
        <v>355</v>
      </c>
      <c r="F1920" t="s">
        <v>351</v>
      </c>
      <c r="G1920" t="s">
        <v>352</v>
      </c>
      <c r="H1920" t="s">
        <v>365</v>
      </c>
      <c r="I1920">
        <v>1101355</v>
      </c>
      <c r="J1920" t="s">
        <v>5832</v>
      </c>
      <c r="L1920" t="s">
        <v>698</v>
      </c>
      <c r="N1920" t="s">
        <v>5833</v>
      </c>
      <c r="O1920" t="s">
        <v>5834</v>
      </c>
      <c r="R1920" t="s">
        <v>3985</v>
      </c>
      <c r="S1920" s="34" t="s">
        <v>5835</v>
      </c>
    </row>
    <row r="1921" spans="1:19" ht="391.5" x14ac:dyDescent="0.15">
      <c r="A1921" t="s">
        <v>5831</v>
      </c>
      <c r="B1921" s="61">
        <v>46296</v>
      </c>
      <c r="E1921" t="s">
        <v>355</v>
      </c>
      <c r="F1921" t="s">
        <v>351</v>
      </c>
      <c r="G1921" t="s">
        <v>352</v>
      </c>
      <c r="H1921" t="s">
        <v>365</v>
      </c>
      <c r="I1921">
        <v>1100918</v>
      </c>
      <c r="J1921" t="s">
        <v>5836</v>
      </c>
      <c r="K1921" t="s">
        <v>5837</v>
      </c>
      <c r="L1921" t="s">
        <v>413</v>
      </c>
      <c r="N1921" t="s">
        <v>5838</v>
      </c>
      <c r="O1921" t="s">
        <v>5839</v>
      </c>
      <c r="R1921" t="s">
        <v>3985</v>
      </c>
      <c r="S1921" s="34" t="s">
        <v>5840</v>
      </c>
    </row>
    <row r="1922" spans="1:19" ht="216" x14ac:dyDescent="0.15">
      <c r="A1922" t="s">
        <v>5831</v>
      </c>
      <c r="B1922" s="61">
        <v>46296</v>
      </c>
      <c r="E1922" t="s">
        <v>355</v>
      </c>
      <c r="F1922" t="s">
        <v>351</v>
      </c>
      <c r="G1922" t="s">
        <v>352</v>
      </c>
      <c r="H1922" t="s">
        <v>353</v>
      </c>
      <c r="I1922">
        <v>1100918</v>
      </c>
      <c r="J1922" t="s">
        <v>5836</v>
      </c>
      <c r="K1922" t="s">
        <v>5837</v>
      </c>
      <c r="L1922" t="s">
        <v>413</v>
      </c>
      <c r="N1922" t="s">
        <v>5841</v>
      </c>
      <c r="O1922" t="s">
        <v>5839</v>
      </c>
      <c r="R1922" t="s">
        <v>3985</v>
      </c>
      <c r="S1922" s="34" t="s">
        <v>5842</v>
      </c>
    </row>
    <row r="1923" spans="1:19" ht="409.5" x14ac:dyDescent="0.15">
      <c r="A1923" t="s">
        <v>5831</v>
      </c>
      <c r="B1923" s="61">
        <v>46357</v>
      </c>
      <c r="E1923" t="s">
        <v>355</v>
      </c>
      <c r="F1923" t="s">
        <v>351</v>
      </c>
      <c r="G1923" t="s">
        <v>354</v>
      </c>
      <c r="H1923" t="s">
        <v>353</v>
      </c>
      <c r="I1923">
        <v>1102404</v>
      </c>
      <c r="J1923" t="s">
        <v>1851</v>
      </c>
      <c r="K1923" t="s">
        <v>897</v>
      </c>
      <c r="L1923" t="s">
        <v>3587</v>
      </c>
      <c r="N1923" t="s">
        <v>5843</v>
      </c>
      <c r="O1923" t="s">
        <v>3589</v>
      </c>
      <c r="S1923" s="34" t="s">
        <v>5844</v>
      </c>
    </row>
    <row r="1924" spans="1:19" ht="409.5" x14ac:dyDescent="0.15">
      <c r="A1924" t="s">
        <v>5845</v>
      </c>
      <c r="B1924" s="61">
        <v>46266</v>
      </c>
      <c r="E1924" t="s">
        <v>355</v>
      </c>
      <c r="F1924" t="s">
        <v>351</v>
      </c>
      <c r="G1924" t="s">
        <v>354</v>
      </c>
      <c r="H1924" t="s">
        <v>353</v>
      </c>
      <c r="I1924">
        <v>1000454</v>
      </c>
      <c r="J1924" t="s">
        <v>3531</v>
      </c>
      <c r="K1924" t="s">
        <v>3590</v>
      </c>
      <c r="L1924" t="s">
        <v>5846</v>
      </c>
      <c r="N1924" t="s">
        <v>3592</v>
      </c>
      <c r="O1924" t="s">
        <v>3593</v>
      </c>
      <c r="S1924" s="34" t="s">
        <v>5847</v>
      </c>
    </row>
    <row r="1925" spans="1:19" ht="409.5" x14ac:dyDescent="0.15">
      <c r="A1925" t="s">
        <v>5845</v>
      </c>
      <c r="B1925" s="61">
        <v>46266</v>
      </c>
      <c r="E1925" t="s">
        <v>355</v>
      </c>
      <c r="F1925" t="s">
        <v>351</v>
      </c>
      <c r="G1925" t="s">
        <v>354</v>
      </c>
      <c r="H1925" t="s">
        <v>686</v>
      </c>
      <c r="I1925">
        <v>1101606</v>
      </c>
      <c r="J1925" t="s">
        <v>5848</v>
      </c>
      <c r="K1925" t="s">
        <v>5849</v>
      </c>
      <c r="L1925" t="s">
        <v>5850</v>
      </c>
      <c r="N1925" t="s">
        <v>5851</v>
      </c>
      <c r="O1925" t="s">
        <v>5852</v>
      </c>
      <c r="S1925" s="34" t="s">
        <v>5853</v>
      </c>
    </row>
    <row r="1926" spans="1:19" ht="243" x14ac:dyDescent="0.15">
      <c r="A1926" t="s">
        <v>5845</v>
      </c>
      <c r="B1926" s="61">
        <v>46296</v>
      </c>
      <c r="E1926" t="s">
        <v>355</v>
      </c>
      <c r="F1926" t="s">
        <v>351</v>
      </c>
      <c r="G1926" t="s">
        <v>354</v>
      </c>
      <c r="H1926" t="s">
        <v>353</v>
      </c>
      <c r="I1926">
        <v>1000993</v>
      </c>
      <c r="J1926" t="s">
        <v>3598</v>
      </c>
      <c r="K1926" t="s">
        <v>891</v>
      </c>
      <c r="L1926" t="s">
        <v>3599</v>
      </c>
      <c r="N1926" t="s">
        <v>3605</v>
      </c>
      <c r="O1926" t="s">
        <v>3601</v>
      </c>
      <c r="R1926" t="s">
        <v>3987</v>
      </c>
      <c r="S1926" s="34" t="s">
        <v>5854</v>
      </c>
    </row>
    <row r="1927" spans="1:19" ht="216" x14ac:dyDescent="0.15">
      <c r="A1927" t="s">
        <v>5845</v>
      </c>
      <c r="B1927" s="61">
        <v>46296</v>
      </c>
      <c r="E1927" t="s">
        <v>355</v>
      </c>
      <c r="F1927" t="s">
        <v>351</v>
      </c>
      <c r="G1927" t="s">
        <v>354</v>
      </c>
      <c r="H1927" t="s">
        <v>365</v>
      </c>
      <c r="I1927">
        <v>1000993</v>
      </c>
      <c r="J1927" t="s">
        <v>3598</v>
      </c>
      <c r="K1927" t="s">
        <v>891</v>
      </c>
      <c r="L1927" t="s">
        <v>3599</v>
      </c>
      <c r="N1927" t="s">
        <v>3600</v>
      </c>
      <c r="O1927" t="s">
        <v>3601</v>
      </c>
      <c r="R1927" t="s">
        <v>3987</v>
      </c>
      <c r="S1927" s="34" t="s">
        <v>5855</v>
      </c>
    </row>
    <row r="1928" spans="1:19" ht="189" x14ac:dyDescent="0.15">
      <c r="A1928" t="s">
        <v>5845</v>
      </c>
      <c r="B1928" s="61">
        <v>46296</v>
      </c>
      <c r="E1928" t="s">
        <v>355</v>
      </c>
      <c r="F1928" t="s">
        <v>351</v>
      </c>
      <c r="G1928" t="s">
        <v>354</v>
      </c>
      <c r="H1928" t="s">
        <v>353</v>
      </c>
      <c r="I1928">
        <v>1102437</v>
      </c>
      <c r="J1928" t="s">
        <v>3609</v>
      </c>
      <c r="K1928" t="s">
        <v>3610</v>
      </c>
      <c r="L1928" t="s">
        <v>2082</v>
      </c>
      <c r="N1928" t="s">
        <v>5856</v>
      </c>
      <c r="O1928" t="s">
        <v>3615</v>
      </c>
      <c r="R1928" t="s">
        <v>3987</v>
      </c>
      <c r="S1928" s="34" t="s">
        <v>5857</v>
      </c>
    </row>
    <row r="1929" spans="1:19" ht="409.5" x14ac:dyDescent="0.15">
      <c r="A1929" t="s">
        <v>5845</v>
      </c>
      <c r="B1929" s="61">
        <v>46296</v>
      </c>
      <c r="E1929" t="s">
        <v>355</v>
      </c>
      <c r="F1929" t="s">
        <v>351</v>
      </c>
      <c r="G1929" t="s">
        <v>354</v>
      </c>
      <c r="H1929" t="s">
        <v>365</v>
      </c>
      <c r="I1929">
        <v>1102437</v>
      </c>
      <c r="J1929" t="s">
        <v>3609</v>
      </c>
      <c r="K1929" t="s">
        <v>3610</v>
      </c>
      <c r="L1929" t="s">
        <v>2082</v>
      </c>
      <c r="N1929" t="s">
        <v>5858</v>
      </c>
      <c r="O1929" t="s">
        <v>3615</v>
      </c>
      <c r="R1929" t="s">
        <v>3987</v>
      </c>
      <c r="S1929" s="34" t="s">
        <v>5859</v>
      </c>
    </row>
    <row r="1930" spans="1:19" ht="378" x14ac:dyDescent="0.15">
      <c r="A1930" t="s">
        <v>5845</v>
      </c>
      <c r="B1930" s="61">
        <v>46327</v>
      </c>
      <c r="E1930" t="s">
        <v>355</v>
      </c>
      <c r="F1930" t="s">
        <v>351</v>
      </c>
      <c r="G1930" t="s">
        <v>354</v>
      </c>
      <c r="H1930" t="s">
        <v>309</v>
      </c>
      <c r="I1930">
        <v>1100271</v>
      </c>
      <c r="J1930" t="s">
        <v>2033</v>
      </c>
      <c r="K1930" t="s">
        <v>897</v>
      </c>
      <c r="L1930" t="s">
        <v>5860</v>
      </c>
      <c r="N1930" t="s">
        <v>5861</v>
      </c>
      <c r="O1930" t="s">
        <v>5862</v>
      </c>
      <c r="R1930" t="s">
        <v>3992</v>
      </c>
      <c r="S1930" s="34" t="s">
        <v>5863</v>
      </c>
    </row>
    <row r="1931" spans="1:19" ht="256.5" x14ac:dyDescent="0.15">
      <c r="A1931" t="s">
        <v>5845</v>
      </c>
      <c r="B1931" s="61">
        <v>46327</v>
      </c>
      <c r="E1931" t="s">
        <v>355</v>
      </c>
      <c r="F1931" t="s">
        <v>351</v>
      </c>
      <c r="G1931" t="s">
        <v>354</v>
      </c>
      <c r="H1931" t="s">
        <v>353</v>
      </c>
      <c r="I1931">
        <v>1102171</v>
      </c>
      <c r="J1931" t="s">
        <v>4383</v>
      </c>
      <c r="K1931" t="s">
        <v>4384</v>
      </c>
      <c r="L1931" t="s">
        <v>5864</v>
      </c>
      <c r="N1931" t="s">
        <v>5865</v>
      </c>
      <c r="O1931" t="s">
        <v>5866</v>
      </c>
      <c r="R1931" t="s">
        <v>4012</v>
      </c>
      <c r="S1931" s="34" t="s">
        <v>5867</v>
      </c>
    </row>
    <row r="1932" spans="1:19" ht="409.5" x14ac:dyDescent="0.15">
      <c r="A1932" t="s">
        <v>5845</v>
      </c>
      <c r="B1932" s="61">
        <v>46357</v>
      </c>
      <c r="E1932" t="s">
        <v>355</v>
      </c>
      <c r="F1932" t="s">
        <v>351</v>
      </c>
      <c r="G1932" t="s">
        <v>354</v>
      </c>
      <c r="H1932" t="s">
        <v>353</v>
      </c>
      <c r="I1932">
        <v>1000454</v>
      </c>
      <c r="J1932" t="s">
        <v>3531</v>
      </c>
      <c r="K1932" t="s">
        <v>3590</v>
      </c>
      <c r="L1932" t="s">
        <v>5846</v>
      </c>
      <c r="N1932" t="s">
        <v>5868</v>
      </c>
      <c r="O1932" t="s">
        <v>3593</v>
      </c>
      <c r="R1932" t="s">
        <v>5869</v>
      </c>
      <c r="S1932" s="34" t="s">
        <v>5870</v>
      </c>
    </row>
    <row r="1933" spans="1:19" ht="229.5" x14ac:dyDescent="0.15">
      <c r="A1933" t="s">
        <v>1145</v>
      </c>
      <c r="B1933" s="61">
        <v>46235</v>
      </c>
      <c r="E1933" t="s">
        <v>355</v>
      </c>
      <c r="F1933" t="s">
        <v>351</v>
      </c>
      <c r="G1933" t="s">
        <v>352</v>
      </c>
      <c r="H1933" t="s">
        <v>365</v>
      </c>
      <c r="I1933">
        <v>100766</v>
      </c>
      <c r="J1933" t="s">
        <v>5871</v>
      </c>
      <c r="K1933" t="s">
        <v>5872</v>
      </c>
      <c r="L1933" t="s">
        <v>1148</v>
      </c>
      <c r="N1933" t="s">
        <v>5873</v>
      </c>
      <c r="O1933" t="s">
        <v>5874</v>
      </c>
      <c r="R1933" t="s">
        <v>3985</v>
      </c>
      <c r="S1933" s="34" t="s">
        <v>5875</v>
      </c>
    </row>
    <row r="1934" spans="1:19" ht="229.5" x14ac:dyDescent="0.15">
      <c r="A1934" t="s">
        <v>1145</v>
      </c>
      <c r="B1934" s="61">
        <v>46235</v>
      </c>
      <c r="E1934" t="s">
        <v>355</v>
      </c>
      <c r="F1934" t="s">
        <v>351</v>
      </c>
      <c r="G1934" t="s">
        <v>354</v>
      </c>
      <c r="H1934" t="s">
        <v>365</v>
      </c>
      <c r="I1934">
        <v>100810</v>
      </c>
      <c r="J1934" t="s">
        <v>1174</v>
      </c>
      <c r="K1934" t="s">
        <v>1175</v>
      </c>
      <c r="L1934" t="s">
        <v>1176</v>
      </c>
      <c r="N1934" t="s">
        <v>1177</v>
      </c>
      <c r="O1934" t="s">
        <v>1178</v>
      </c>
      <c r="R1934" t="s">
        <v>3986</v>
      </c>
      <c r="S1934" s="34" t="s">
        <v>5876</v>
      </c>
    </row>
    <row r="1935" spans="1:19" ht="409.5" x14ac:dyDescent="0.15">
      <c r="A1935" t="s">
        <v>1145</v>
      </c>
      <c r="B1935" s="61">
        <v>46235</v>
      </c>
      <c r="E1935" t="s">
        <v>355</v>
      </c>
      <c r="F1935" t="s">
        <v>351</v>
      </c>
      <c r="G1935" t="s">
        <v>354</v>
      </c>
      <c r="H1935" t="s">
        <v>686</v>
      </c>
      <c r="I1935">
        <v>100810</v>
      </c>
      <c r="J1935" t="s">
        <v>1174</v>
      </c>
      <c r="K1935" t="s">
        <v>1175</v>
      </c>
      <c r="L1935" t="s">
        <v>1176</v>
      </c>
      <c r="N1935">
        <v>2107573</v>
      </c>
      <c r="O1935" t="s">
        <v>1178</v>
      </c>
      <c r="R1935" t="s">
        <v>4564</v>
      </c>
      <c r="S1935" s="34" t="s">
        <v>5877</v>
      </c>
    </row>
    <row r="1936" spans="1:19" ht="409.5" x14ac:dyDescent="0.15">
      <c r="A1936" t="s">
        <v>1145</v>
      </c>
      <c r="B1936" s="61">
        <v>46235</v>
      </c>
      <c r="E1936" t="s">
        <v>355</v>
      </c>
      <c r="F1936" t="s">
        <v>351</v>
      </c>
      <c r="G1936" t="s">
        <v>354</v>
      </c>
      <c r="H1936" t="s">
        <v>686</v>
      </c>
      <c r="I1936">
        <v>100874</v>
      </c>
      <c r="J1936" t="s">
        <v>4718</v>
      </c>
      <c r="K1936" t="s">
        <v>4719</v>
      </c>
      <c r="L1936" t="s">
        <v>5156</v>
      </c>
      <c r="N1936">
        <v>2180214</v>
      </c>
      <c r="O1936" t="s">
        <v>4898</v>
      </c>
      <c r="S1936" s="34" t="s">
        <v>5878</v>
      </c>
    </row>
    <row r="1937" spans="1:19" ht="409.5" x14ac:dyDescent="0.15">
      <c r="A1937" t="s">
        <v>1145</v>
      </c>
      <c r="B1937" s="61">
        <v>46266</v>
      </c>
      <c r="E1937" t="s">
        <v>355</v>
      </c>
      <c r="F1937" t="s">
        <v>351</v>
      </c>
      <c r="G1937" t="s">
        <v>352</v>
      </c>
      <c r="H1937" t="s">
        <v>353</v>
      </c>
      <c r="I1937">
        <v>100002</v>
      </c>
      <c r="J1937" t="s">
        <v>1212</v>
      </c>
      <c r="K1937" t="s">
        <v>4011</v>
      </c>
      <c r="L1937" t="s">
        <v>1214</v>
      </c>
      <c r="N1937" t="s">
        <v>5879</v>
      </c>
      <c r="O1937" t="s">
        <v>1216</v>
      </c>
      <c r="R1937" t="s">
        <v>3985</v>
      </c>
      <c r="S1937" s="34" t="s">
        <v>5880</v>
      </c>
    </row>
    <row r="1938" spans="1:19" ht="391.5" x14ac:dyDescent="0.15">
      <c r="A1938" t="s">
        <v>1145</v>
      </c>
      <c r="B1938" s="61">
        <v>46266</v>
      </c>
      <c r="E1938" t="s">
        <v>355</v>
      </c>
      <c r="F1938" t="s">
        <v>351</v>
      </c>
      <c r="G1938" t="s">
        <v>352</v>
      </c>
      <c r="H1938" t="s">
        <v>353</v>
      </c>
      <c r="I1938">
        <v>100721</v>
      </c>
      <c r="J1938" t="s">
        <v>1201</v>
      </c>
      <c r="L1938" t="s">
        <v>833</v>
      </c>
      <c r="N1938" t="s">
        <v>5881</v>
      </c>
      <c r="O1938" t="s">
        <v>1203</v>
      </c>
      <c r="R1938" t="s">
        <v>3985</v>
      </c>
      <c r="S1938" s="34" t="s">
        <v>5882</v>
      </c>
    </row>
    <row r="1939" spans="1:19" ht="243" x14ac:dyDescent="0.15">
      <c r="A1939" t="s">
        <v>1145</v>
      </c>
      <c r="B1939" s="61">
        <v>46266</v>
      </c>
      <c r="E1939" t="s">
        <v>355</v>
      </c>
      <c r="F1939" t="s">
        <v>351</v>
      </c>
      <c r="G1939" t="s">
        <v>354</v>
      </c>
      <c r="H1939" t="s">
        <v>353</v>
      </c>
      <c r="I1939">
        <v>100820</v>
      </c>
      <c r="J1939" t="s">
        <v>5883</v>
      </c>
      <c r="K1939" t="s">
        <v>5884</v>
      </c>
      <c r="L1939" t="s">
        <v>390</v>
      </c>
      <c r="N1939" t="s">
        <v>5885</v>
      </c>
      <c r="O1939" t="s">
        <v>5886</v>
      </c>
      <c r="R1939" t="s">
        <v>3987</v>
      </c>
      <c r="S1939" s="34" t="s">
        <v>5887</v>
      </c>
    </row>
    <row r="1940" spans="1:19" ht="202.5" x14ac:dyDescent="0.15">
      <c r="A1940" t="s">
        <v>1145</v>
      </c>
      <c r="B1940" s="61">
        <v>46266</v>
      </c>
      <c r="E1940" t="s">
        <v>355</v>
      </c>
      <c r="F1940" t="s">
        <v>351</v>
      </c>
      <c r="G1940" t="s">
        <v>354</v>
      </c>
      <c r="H1940" t="s">
        <v>353</v>
      </c>
      <c r="I1940">
        <v>100859</v>
      </c>
      <c r="J1940" t="s">
        <v>427</v>
      </c>
      <c r="K1940" t="s">
        <v>5888</v>
      </c>
      <c r="L1940" t="s">
        <v>466</v>
      </c>
      <c r="N1940" t="s">
        <v>5889</v>
      </c>
      <c r="O1940" t="s">
        <v>5890</v>
      </c>
      <c r="S1940" s="34" t="s">
        <v>5891</v>
      </c>
    </row>
    <row r="1941" spans="1:19" ht="409.5" x14ac:dyDescent="0.15">
      <c r="A1941" t="s">
        <v>1145</v>
      </c>
      <c r="B1941" s="61">
        <v>46266</v>
      </c>
      <c r="E1941" t="s">
        <v>355</v>
      </c>
      <c r="F1941" t="s">
        <v>351</v>
      </c>
      <c r="G1941" t="s">
        <v>354</v>
      </c>
      <c r="H1941" t="s">
        <v>353</v>
      </c>
      <c r="I1941">
        <v>100859</v>
      </c>
      <c r="J1941" t="s">
        <v>427</v>
      </c>
      <c r="K1941" t="s">
        <v>5888</v>
      </c>
      <c r="L1941" t="s">
        <v>466</v>
      </c>
      <c r="N1941" t="s">
        <v>5892</v>
      </c>
      <c r="O1941" t="s">
        <v>5890</v>
      </c>
      <c r="S1941" s="34" t="s">
        <v>5893</v>
      </c>
    </row>
    <row r="1942" spans="1:19" ht="270" x14ac:dyDescent="0.15">
      <c r="A1942" t="s">
        <v>1145</v>
      </c>
      <c r="B1942" s="61">
        <v>46266</v>
      </c>
      <c r="E1942" t="s">
        <v>355</v>
      </c>
      <c r="F1942" t="s">
        <v>351</v>
      </c>
      <c r="G1942" t="s">
        <v>354</v>
      </c>
      <c r="H1942" t="s">
        <v>686</v>
      </c>
      <c r="I1942">
        <v>100859</v>
      </c>
      <c r="J1942" t="s">
        <v>427</v>
      </c>
      <c r="K1942" t="s">
        <v>5888</v>
      </c>
      <c r="L1942" t="s">
        <v>466</v>
      </c>
      <c r="N1942">
        <v>2140558</v>
      </c>
      <c r="O1942" t="s">
        <v>5890</v>
      </c>
      <c r="S1942" s="34" t="s">
        <v>5894</v>
      </c>
    </row>
    <row r="1943" spans="1:19" ht="409.5" x14ac:dyDescent="0.15">
      <c r="A1943" t="s">
        <v>1145</v>
      </c>
      <c r="B1943" s="61">
        <v>46266</v>
      </c>
      <c r="E1943" t="s">
        <v>355</v>
      </c>
      <c r="F1943" t="s">
        <v>351</v>
      </c>
      <c r="G1943" t="s">
        <v>354</v>
      </c>
      <c r="H1943" t="s">
        <v>686</v>
      </c>
      <c r="I1943">
        <v>100882</v>
      </c>
      <c r="J1943" t="s">
        <v>4718</v>
      </c>
      <c r="K1943" t="s">
        <v>4719</v>
      </c>
      <c r="L1943" t="s">
        <v>4720</v>
      </c>
      <c r="N1943">
        <v>2176272</v>
      </c>
      <c r="O1943" t="s">
        <v>4722</v>
      </c>
      <c r="S1943" s="34" t="s">
        <v>5895</v>
      </c>
    </row>
    <row r="1944" spans="1:19" ht="409.5" x14ac:dyDescent="0.15">
      <c r="A1944" t="s">
        <v>1145</v>
      </c>
      <c r="B1944" s="61">
        <v>46296</v>
      </c>
      <c r="E1944" t="s">
        <v>355</v>
      </c>
      <c r="F1944" t="s">
        <v>351</v>
      </c>
      <c r="G1944" t="s">
        <v>354</v>
      </c>
      <c r="H1944" t="s">
        <v>686</v>
      </c>
      <c r="I1944">
        <v>100385</v>
      </c>
      <c r="J1944" t="s">
        <v>974</v>
      </c>
      <c r="K1944" t="s">
        <v>5896</v>
      </c>
      <c r="L1944" t="s">
        <v>2233</v>
      </c>
      <c r="N1944">
        <v>2158272</v>
      </c>
      <c r="O1944" t="s">
        <v>5897</v>
      </c>
      <c r="R1944" t="s">
        <v>3992</v>
      </c>
      <c r="S1944" s="34" t="s">
        <v>5898</v>
      </c>
    </row>
    <row r="1945" spans="1:19" ht="409.5" x14ac:dyDescent="0.15">
      <c r="A1945" t="s">
        <v>1145</v>
      </c>
      <c r="B1945" s="61">
        <v>46296</v>
      </c>
      <c r="E1945" t="s">
        <v>355</v>
      </c>
      <c r="F1945" t="s">
        <v>351</v>
      </c>
      <c r="G1945" t="s">
        <v>354</v>
      </c>
      <c r="H1945" t="s">
        <v>365</v>
      </c>
      <c r="I1945">
        <v>100571</v>
      </c>
      <c r="J1945" t="s">
        <v>5899</v>
      </c>
      <c r="K1945" t="s">
        <v>5900</v>
      </c>
      <c r="L1945" t="s">
        <v>5901</v>
      </c>
      <c r="N1945" t="s">
        <v>5902</v>
      </c>
      <c r="O1945" t="s">
        <v>5903</v>
      </c>
      <c r="R1945" t="s">
        <v>5904</v>
      </c>
      <c r="S1945" s="34" t="s">
        <v>5905</v>
      </c>
    </row>
    <row r="1946" spans="1:19" ht="189" x14ac:dyDescent="0.15">
      <c r="A1946" t="s">
        <v>1145</v>
      </c>
      <c r="B1946" s="61">
        <v>46296</v>
      </c>
      <c r="E1946" t="s">
        <v>355</v>
      </c>
      <c r="F1946" t="s">
        <v>351</v>
      </c>
      <c r="G1946" t="s">
        <v>354</v>
      </c>
      <c r="H1946" t="s">
        <v>353</v>
      </c>
      <c r="I1946">
        <v>100831</v>
      </c>
      <c r="J1946" t="s">
        <v>5899</v>
      </c>
      <c r="K1946" t="s">
        <v>5900</v>
      </c>
      <c r="L1946" t="s">
        <v>5906</v>
      </c>
      <c r="N1946" t="s">
        <v>5907</v>
      </c>
      <c r="O1946" t="s">
        <v>5908</v>
      </c>
      <c r="R1946" t="s">
        <v>3987</v>
      </c>
      <c r="S1946" s="34" t="s">
        <v>5909</v>
      </c>
    </row>
    <row r="1947" spans="1:19" ht="409.5" x14ac:dyDescent="0.15">
      <c r="A1947" t="s">
        <v>1145</v>
      </c>
      <c r="B1947" s="61">
        <v>46296</v>
      </c>
      <c r="E1947" t="s">
        <v>355</v>
      </c>
      <c r="F1947" t="s">
        <v>351</v>
      </c>
      <c r="G1947" t="s">
        <v>354</v>
      </c>
      <c r="H1947" t="s">
        <v>686</v>
      </c>
      <c r="I1947">
        <v>100864</v>
      </c>
      <c r="J1947" t="s">
        <v>1212</v>
      </c>
      <c r="K1947" t="s">
        <v>4011</v>
      </c>
      <c r="L1947" t="s">
        <v>1222</v>
      </c>
      <c r="N1947">
        <v>2132477</v>
      </c>
      <c r="O1947" t="s">
        <v>1224</v>
      </c>
      <c r="R1947" t="s">
        <v>3987</v>
      </c>
      <c r="S1947" s="34" t="s">
        <v>5910</v>
      </c>
    </row>
    <row r="1948" spans="1:19" ht="409.5" x14ac:dyDescent="0.15">
      <c r="A1948" t="s">
        <v>1145</v>
      </c>
      <c r="B1948" s="61">
        <v>46296</v>
      </c>
      <c r="E1948" t="s">
        <v>355</v>
      </c>
      <c r="F1948" t="s">
        <v>351</v>
      </c>
      <c r="G1948" t="s">
        <v>354</v>
      </c>
      <c r="H1948" t="s">
        <v>353</v>
      </c>
      <c r="I1948">
        <v>100864</v>
      </c>
      <c r="J1948" t="s">
        <v>1212</v>
      </c>
      <c r="K1948" t="s">
        <v>4011</v>
      </c>
      <c r="L1948" t="s">
        <v>1222</v>
      </c>
      <c r="N1948" t="s">
        <v>5911</v>
      </c>
      <c r="O1948" t="s">
        <v>1224</v>
      </c>
      <c r="R1948" t="s">
        <v>3987</v>
      </c>
      <c r="S1948" s="34" t="s">
        <v>5912</v>
      </c>
    </row>
    <row r="1949" spans="1:19" ht="256.5" x14ac:dyDescent="0.15">
      <c r="A1949" t="s">
        <v>1145</v>
      </c>
      <c r="B1949" s="61">
        <v>46327</v>
      </c>
      <c r="E1949" t="s">
        <v>355</v>
      </c>
      <c r="F1949" t="s">
        <v>351</v>
      </c>
      <c r="G1949" t="s">
        <v>354</v>
      </c>
      <c r="H1949" t="s">
        <v>353</v>
      </c>
      <c r="I1949">
        <v>100058</v>
      </c>
      <c r="J1949" t="s">
        <v>5913</v>
      </c>
      <c r="K1949" t="s">
        <v>451</v>
      </c>
      <c r="L1949" t="s">
        <v>390</v>
      </c>
      <c r="N1949" t="s">
        <v>5914</v>
      </c>
      <c r="O1949" t="s">
        <v>5915</v>
      </c>
      <c r="R1949" t="s">
        <v>4052</v>
      </c>
      <c r="S1949" s="34" t="s">
        <v>5916</v>
      </c>
    </row>
    <row r="1950" spans="1:19" ht="324" x14ac:dyDescent="0.15">
      <c r="A1950" t="s">
        <v>1145</v>
      </c>
      <c r="B1950" s="61">
        <v>46327</v>
      </c>
      <c r="E1950" t="s">
        <v>355</v>
      </c>
      <c r="F1950" t="s">
        <v>351</v>
      </c>
      <c r="G1950" t="s">
        <v>354</v>
      </c>
      <c r="H1950" t="s">
        <v>686</v>
      </c>
      <c r="I1950">
        <v>100058</v>
      </c>
      <c r="J1950" t="s">
        <v>5913</v>
      </c>
      <c r="K1950" t="s">
        <v>451</v>
      </c>
      <c r="L1950" t="s">
        <v>390</v>
      </c>
      <c r="N1950">
        <v>2178405</v>
      </c>
      <c r="O1950" t="s">
        <v>5915</v>
      </c>
      <c r="R1950" t="s">
        <v>4052</v>
      </c>
      <c r="S1950" s="34" t="s">
        <v>5917</v>
      </c>
    </row>
    <row r="1951" spans="1:19" ht="229.5" x14ac:dyDescent="0.15">
      <c r="A1951" t="s">
        <v>1145</v>
      </c>
      <c r="B1951" s="61">
        <v>46327</v>
      </c>
      <c r="E1951" t="s">
        <v>355</v>
      </c>
      <c r="F1951" t="s">
        <v>351</v>
      </c>
      <c r="G1951" t="s">
        <v>354</v>
      </c>
      <c r="H1951" t="s">
        <v>365</v>
      </c>
      <c r="I1951">
        <v>100060</v>
      </c>
      <c r="J1951" t="s">
        <v>1189</v>
      </c>
      <c r="K1951" t="s">
        <v>1190</v>
      </c>
      <c r="L1951" t="s">
        <v>1191</v>
      </c>
      <c r="N1951" t="s">
        <v>1192</v>
      </c>
      <c r="O1951" t="s">
        <v>1193</v>
      </c>
      <c r="R1951" t="s">
        <v>3987</v>
      </c>
      <c r="S1951" s="34" t="s">
        <v>5918</v>
      </c>
    </row>
    <row r="1952" spans="1:19" ht="409.5" x14ac:dyDescent="0.15">
      <c r="A1952" t="s">
        <v>1145</v>
      </c>
      <c r="B1952" s="61">
        <v>46327</v>
      </c>
      <c r="E1952" t="s">
        <v>355</v>
      </c>
      <c r="F1952" t="s">
        <v>351</v>
      </c>
      <c r="G1952" t="s">
        <v>354</v>
      </c>
      <c r="H1952" t="s">
        <v>353</v>
      </c>
      <c r="I1952">
        <v>100882</v>
      </c>
      <c r="J1952" t="s">
        <v>4718</v>
      </c>
      <c r="K1952" t="s">
        <v>4719</v>
      </c>
      <c r="L1952" t="s">
        <v>4720</v>
      </c>
      <c r="N1952" t="s">
        <v>5919</v>
      </c>
      <c r="O1952" t="s">
        <v>4722</v>
      </c>
      <c r="S1952" s="34" t="s">
        <v>5920</v>
      </c>
    </row>
    <row r="1953" spans="1:19" ht="409.5" x14ac:dyDescent="0.15">
      <c r="A1953" t="s">
        <v>1145</v>
      </c>
      <c r="B1953" s="61">
        <v>46327</v>
      </c>
      <c r="E1953" t="s">
        <v>355</v>
      </c>
      <c r="F1953" t="s">
        <v>351</v>
      </c>
      <c r="G1953" t="s">
        <v>354</v>
      </c>
      <c r="H1953" t="s">
        <v>686</v>
      </c>
      <c r="I1953">
        <v>100882</v>
      </c>
      <c r="J1953" t="s">
        <v>4718</v>
      </c>
      <c r="K1953" t="s">
        <v>4719</v>
      </c>
      <c r="L1953" t="s">
        <v>4720</v>
      </c>
      <c r="N1953">
        <v>2176272</v>
      </c>
      <c r="O1953" t="s">
        <v>4722</v>
      </c>
      <c r="S1953" s="34" t="s">
        <v>5921</v>
      </c>
    </row>
    <row r="1954" spans="1:19" ht="409.5" x14ac:dyDescent="0.15">
      <c r="A1954" t="s">
        <v>1145</v>
      </c>
      <c r="B1954" s="61">
        <v>46357</v>
      </c>
      <c r="E1954" t="s">
        <v>355</v>
      </c>
      <c r="F1954" t="s">
        <v>351</v>
      </c>
      <c r="G1954" t="s">
        <v>354</v>
      </c>
      <c r="H1954" t="s">
        <v>365</v>
      </c>
      <c r="I1954">
        <v>100115</v>
      </c>
      <c r="J1954" t="s">
        <v>1159</v>
      </c>
      <c r="K1954" t="s">
        <v>1160</v>
      </c>
      <c r="L1954" t="s">
        <v>1161</v>
      </c>
      <c r="N1954" t="s">
        <v>5922</v>
      </c>
      <c r="O1954" t="s">
        <v>1163</v>
      </c>
      <c r="R1954" t="s">
        <v>3987</v>
      </c>
      <c r="S1954" s="34" t="s">
        <v>5923</v>
      </c>
    </row>
    <row r="1955" spans="1:19" ht="409.5" x14ac:dyDescent="0.15">
      <c r="A1955" t="s">
        <v>1145</v>
      </c>
      <c r="B1955" s="61">
        <v>46357</v>
      </c>
      <c r="E1955" t="s">
        <v>355</v>
      </c>
      <c r="F1955" t="s">
        <v>351</v>
      </c>
      <c r="G1955" t="s">
        <v>354</v>
      </c>
      <c r="H1955" t="s">
        <v>353</v>
      </c>
      <c r="I1955">
        <v>100854</v>
      </c>
      <c r="J1955" t="s">
        <v>5924</v>
      </c>
      <c r="K1955" t="s">
        <v>5925</v>
      </c>
      <c r="L1955" t="s">
        <v>5926</v>
      </c>
      <c r="N1955" t="s">
        <v>5927</v>
      </c>
      <c r="O1955" t="s">
        <v>5928</v>
      </c>
      <c r="R1955" t="s">
        <v>3987</v>
      </c>
      <c r="S1955" s="34" t="s">
        <v>5929</v>
      </c>
    </row>
    <row r="1956" spans="1:19" ht="409.5" x14ac:dyDescent="0.15">
      <c r="A1956" t="s">
        <v>1234</v>
      </c>
      <c r="B1956" s="61">
        <v>46235</v>
      </c>
      <c r="E1956" t="s">
        <v>355</v>
      </c>
      <c r="F1956" t="s">
        <v>351</v>
      </c>
      <c r="G1956" t="s">
        <v>352</v>
      </c>
      <c r="H1956" t="s">
        <v>310</v>
      </c>
      <c r="I1956">
        <v>2400763</v>
      </c>
      <c r="J1956" t="s">
        <v>5930</v>
      </c>
      <c r="L1956" t="s">
        <v>5931</v>
      </c>
      <c r="N1956" t="s">
        <v>5932</v>
      </c>
      <c r="O1956" t="s">
        <v>5933</v>
      </c>
      <c r="R1956" t="s">
        <v>3958</v>
      </c>
      <c r="S1956" s="34" t="s">
        <v>5934</v>
      </c>
    </row>
    <row r="1957" spans="1:19" ht="409.5" x14ac:dyDescent="0.15">
      <c r="A1957" t="s">
        <v>1234</v>
      </c>
      <c r="B1957" s="61">
        <v>46266</v>
      </c>
      <c r="E1957" t="s">
        <v>355</v>
      </c>
      <c r="F1957" t="s">
        <v>351</v>
      </c>
      <c r="G1957" t="s">
        <v>354</v>
      </c>
      <c r="H1957" t="s">
        <v>353</v>
      </c>
      <c r="I1957">
        <v>2400449</v>
      </c>
      <c r="J1957" t="s">
        <v>1240</v>
      </c>
      <c r="K1957" t="s">
        <v>1241</v>
      </c>
      <c r="L1957" t="s">
        <v>1242</v>
      </c>
      <c r="N1957" t="s">
        <v>5935</v>
      </c>
      <c r="O1957" t="s">
        <v>1244</v>
      </c>
      <c r="S1957" s="34" t="s">
        <v>5936</v>
      </c>
    </row>
    <row r="1958" spans="1:19" ht="270" x14ac:dyDescent="0.15">
      <c r="A1958" t="s">
        <v>1234</v>
      </c>
      <c r="B1958" s="61">
        <v>46266</v>
      </c>
      <c r="E1958" t="s">
        <v>355</v>
      </c>
      <c r="F1958" t="s">
        <v>351</v>
      </c>
      <c r="G1958" t="s">
        <v>352</v>
      </c>
      <c r="H1958" t="s">
        <v>310</v>
      </c>
      <c r="I1958">
        <v>2400671</v>
      </c>
      <c r="J1958" t="s">
        <v>5111</v>
      </c>
      <c r="K1958" t="s">
        <v>1265</v>
      </c>
      <c r="L1958" t="s">
        <v>413</v>
      </c>
      <c r="N1958" t="s">
        <v>5937</v>
      </c>
      <c r="O1958" t="s">
        <v>5938</v>
      </c>
      <c r="R1958" t="s">
        <v>3985</v>
      </c>
      <c r="S1958" s="34" t="s">
        <v>5939</v>
      </c>
    </row>
    <row r="1959" spans="1:19" ht="409.5" x14ac:dyDescent="0.15">
      <c r="A1959" t="s">
        <v>1234</v>
      </c>
      <c r="B1959" s="61">
        <v>46266</v>
      </c>
      <c r="E1959" t="s">
        <v>355</v>
      </c>
      <c r="F1959" t="s">
        <v>351</v>
      </c>
      <c r="G1959" t="s">
        <v>354</v>
      </c>
      <c r="H1959" t="s">
        <v>353</v>
      </c>
      <c r="I1959">
        <v>2401168</v>
      </c>
      <c r="J1959" t="s">
        <v>5111</v>
      </c>
      <c r="K1959" t="s">
        <v>5112</v>
      </c>
      <c r="L1959" t="s">
        <v>5940</v>
      </c>
      <c r="N1959" t="s">
        <v>5941</v>
      </c>
      <c r="O1959" t="s">
        <v>5942</v>
      </c>
      <c r="R1959" t="s">
        <v>3987</v>
      </c>
      <c r="S1959" s="34" t="s">
        <v>5943</v>
      </c>
    </row>
    <row r="1960" spans="1:19" ht="229.5" x14ac:dyDescent="0.15">
      <c r="A1960" t="s">
        <v>1234</v>
      </c>
      <c r="B1960" s="61">
        <v>46266</v>
      </c>
      <c r="E1960" t="s">
        <v>355</v>
      </c>
      <c r="F1960" t="s">
        <v>351</v>
      </c>
      <c r="G1960" t="s">
        <v>352</v>
      </c>
      <c r="H1960" t="s">
        <v>353</v>
      </c>
      <c r="I1960">
        <v>2401171</v>
      </c>
      <c r="J1960" t="s">
        <v>5111</v>
      </c>
      <c r="K1960" t="s">
        <v>5112</v>
      </c>
      <c r="L1960" t="s">
        <v>5944</v>
      </c>
      <c r="N1960" t="s">
        <v>5945</v>
      </c>
      <c r="O1960" t="s">
        <v>5946</v>
      </c>
      <c r="R1960" t="s">
        <v>3985</v>
      </c>
      <c r="S1960" s="34" t="s">
        <v>5947</v>
      </c>
    </row>
    <row r="1961" spans="1:19" ht="229.5" x14ac:dyDescent="0.15">
      <c r="A1961" t="s">
        <v>1234</v>
      </c>
      <c r="B1961" s="61">
        <v>46296</v>
      </c>
      <c r="E1961" t="s">
        <v>355</v>
      </c>
      <c r="F1961" t="s">
        <v>351</v>
      </c>
      <c r="G1961" t="s">
        <v>354</v>
      </c>
      <c r="H1961" t="s">
        <v>365</v>
      </c>
      <c r="I1961">
        <v>2401224</v>
      </c>
      <c r="J1961" t="s">
        <v>1279</v>
      </c>
      <c r="K1961" t="s">
        <v>1280</v>
      </c>
      <c r="L1961" t="s">
        <v>1281</v>
      </c>
      <c r="N1961" t="s">
        <v>1282</v>
      </c>
      <c r="O1961" t="s">
        <v>1283</v>
      </c>
      <c r="R1961" t="s">
        <v>3987</v>
      </c>
      <c r="S1961" s="34" t="s">
        <v>5948</v>
      </c>
    </row>
    <row r="1962" spans="1:19" ht="409.5" x14ac:dyDescent="0.15">
      <c r="A1962" t="s">
        <v>1234</v>
      </c>
      <c r="B1962" s="61">
        <v>46296</v>
      </c>
      <c r="E1962" t="s">
        <v>355</v>
      </c>
      <c r="F1962" t="s">
        <v>351</v>
      </c>
      <c r="G1962" t="s">
        <v>354</v>
      </c>
      <c r="H1962" t="s">
        <v>353</v>
      </c>
      <c r="I1962">
        <v>2401259</v>
      </c>
      <c r="J1962" t="s">
        <v>1274</v>
      </c>
      <c r="K1962" t="s">
        <v>1275</v>
      </c>
      <c r="L1962" t="s">
        <v>5949</v>
      </c>
      <c r="N1962" t="s">
        <v>5950</v>
      </c>
      <c r="O1962" t="s">
        <v>1278</v>
      </c>
      <c r="R1962" t="s">
        <v>3987</v>
      </c>
      <c r="S1962" s="34" t="s">
        <v>5951</v>
      </c>
    </row>
    <row r="1963" spans="1:19" ht="409.5" x14ac:dyDescent="0.15">
      <c r="A1963" t="s">
        <v>1234</v>
      </c>
      <c r="B1963" s="61">
        <v>46296</v>
      </c>
      <c r="E1963" t="s">
        <v>355</v>
      </c>
      <c r="F1963" t="s">
        <v>351</v>
      </c>
      <c r="G1963" t="s">
        <v>354</v>
      </c>
      <c r="H1963" t="s">
        <v>686</v>
      </c>
      <c r="I1963">
        <v>2401259</v>
      </c>
      <c r="J1963" t="s">
        <v>1274</v>
      </c>
      <c r="K1963" t="s">
        <v>1275</v>
      </c>
      <c r="L1963" t="s">
        <v>5949</v>
      </c>
      <c r="N1963">
        <v>2164244</v>
      </c>
      <c r="O1963" t="s">
        <v>1278</v>
      </c>
      <c r="R1963" t="s">
        <v>3987</v>
      </c>
      <c r="S1963" s="34" t="s">
        <v>5952</v>
      </c>
    </row>
    <row r="1964" spans="1:19" ht="409.5" x14ac:dyDescent="0.15">
      <c r="A1964" t="s">
        <v>1234</v>
      </c>
      <c r="B1964" s="61">
        <v>46327</v>
      </c>
      <c r="E1964" t="s">
        <v>355</v>
      </c>
      <c r="F1964" t="s">
        <v>351</v>
      </c>
      <c r="G1964" t="s">
        <v>354</v>
      </c>
      <c r="H1964" t="s">
        <v>353</v>
      </c>
      <c r="I1964">
        <v>2401238</v>
      </c>
      <c r="J1964" t="s">
        <v>1255</v>
      </c>
      <c r="K1964" t="s">
        <v>1256</v>
      </c>
      <c r="L1964" t="s">
        <v>466</v>
      </c>
      <c r="N1964" t="s">
        <v>5953</v>
      </c>
      <c r="O1964" t="s">
        <v>1258</v>
      </c>
      <c r="R1964" t="s">
        <v>3987</v>
      </c>
      <c r="S1964" s="34" t="s">
        <v>5954</v>
      </c>
    </row>
    <row r="1965" spans="1:19" ht="409.5" x14ac:dyDescent="0.15">
      <c r="A1965" t="s">
        <v>1234</v>
      </c>
      <c r="B1965" s="61">
        <v>46327</v>
      </c>
      <c r="E1965" t="s">
        <v>355</v>
      </c>
      <c r="F1965" t="s">
        <v>351</v>
      </c>
      <c r="G1965" t="s">
        <v>354</v>
      </c>
      <c r="H1965" t="s">
        <v>686</v>
      </c>
      <c r="I1965">
        <v>2401238</v>
      </c>
      <c r="J1965" t="s">
        <v>1255</v>
      </c>
      <c r="K1965" t="s">
        <v>1256</v>
      </c>
      <c r="L1965" t="s">
        <v>466</v>
      </c>
      <c r="N1965">
        <v>2169778</v>
      </c>
      <c r="O1965" t="s">
        <v>1258</v>
      </c>
      <c r="R1965" t="s">
        <v>3987</v>
      </c>
      <c r="S1965" s="34" t="s">
        <v>5955</v>
      </c>
    </row>
    <row r="1966" spans="1:19" ht="409.5" x14ac:dyDescent="0.15">
      <c r="A1966" t="s">
        <v>1234</v>
      </c>
      <c r="B1966" s="61">
        <v>46357</v>
      </c>
      <c r="E1966" t="s">
        <v>355</v>
      </c>
      <c r="F1966" t="s">
        <v>351</v>
      </c>
      <c r="G1966" t="s">
        <v>354</v>
      </c>
      <c r="H1966" t="s">
        <v>365</v>
      </c>
      <c r="I1966">
        <v>2303217</v>
      </c>
      <c r="J1966" t="s">
        <v>1284</v>
      </c>
      <c r="K1966" t="s">
        <v>1285</v>
      </c>
      <c r="L1966" t="s">
        <v>1087</v>
      </c>
      <c r="N1966" t="s">
        <v>5956</v>
      </c>
      <c r="O1966" t="s">
        <v>1287</v>
      </c>
      <c r="R1966" t="s">
        <v>4052</v>
      </c>
      <c r="S1966" s="34" t="s">
        <v>5957</v>
      </c>
    </row>
    <row r="1967" spans="1:19" ht="409.5" x14ac:dyDescent="0.15">
      <c r="A1967" t="s">
        <v>1234</v>
      </c>
      <c r="B1967" s="61">
        <v>46357</v>
      </c>
      <c r="E1967" t="s">
        <v>355</v>
      </c>
      <c r="F1967" t="s">
        <v>351</v>
      </c>
      <c r="G1967" t="s">
        <v>354</v>
      </c>
      <c r="H1967" t="s">
        <v>686</v>
      </c>
      <c r="I1967">
        <v>2303217</v>
      </c>
      <c r="J1967" t="s">
        <v>1284</v>
      </c>
      <c r="K1967" t="s">
        <v>1285</v>
      </c>
      <c r="L1967" t="s">
        <v>1087</v>
      </c>
      <c r="N1967" t="s">
        <v>4449</v>
      </c>
      <c r="O1967" t="s">
        <v>1287</v>
      </c>
      <c r="R1967" t="s">
        <v>4052</v>
      </c>
      <c r="S1967" s="34" t="s">
        <v>5958</v>
      </c>
    </row>
    <row r="1968" spans="1:19" ht="409.5" x14ac:dyDescent="0.15">
      <c r="A1968" t="s">
        <v>1234</v>
      </c>
      <c r="B1968" s="61">
        <v>46357</v>
      </c>
      <c r="E1968" t="s">
        <v>355</v>
      </c>
      <c r="F1968" t="s">
        <v>351</v>
      </c>
      <c r="G1968" t="s">
        <v>354</v>
      </c>
      <c r="H1968" t="s">
        <v>353</v>
      </c>
      <c r="I1968">
        <v>2401254</v>
      </c>
      <c r="J1968" t="s">
        <v>1250</v>
      </c>
      <c r="K1968" t="s">
        <v>1256</v>
      </c>
      <c r="L1968" t="s">
        <v>1276</v>
      </c>
      <c r="N1968" t="s">
        <v>5959</v>
      </c>
      <c r="O1968" t="s">
        <v>3964</v>
      </c>
      <c r="R1968" t="s">
        <v>3987</v>
      </c>
      <c r="S1968" s="34" t="s">
        <v>5960</v>
      </c>
    </row>
    <row r="1969" spans="1:19" ht="409.5" x14ac:dyDescent="0.15">
      <c r="A1969" t="s">
        <v>1297</v>
      </c>
      <c r="B1969" s="61">
        <v>46235</v>
      </c>
      <c r="E1969" t="s">
        <v>355</v>
      </c>
      <c r="F1969" t="s">
        <v>351</v>
      </c>
      <c r="G1969" t="s">
        <v>352</v>
      </c>
      <c r="H1969" t="s">
        <v>353</v>
      </c>
      <c r="I1969">
        <v>2400318</v>
      </c>
      <c r="J1969" t="s">
        <v>1333</v>
      </c>
      <c r="K1969" t="s">
        <v>1334</v>
      </c>
      <c r="L1969" t="s">
        <v>1335</v>
      </c>
      <c r="N1969" t="s">
        <v>1336</v>
      </c>
      <c r="O1969" t="s">
        <v>1337</v>
      </c>
      <c r="R1969" t="s">
        <v>3985</v>
      </c>
      <c r="S1969" s="34" t="s">
        <v>5961</v>
      </c>
    </row>
    <row r="1970" spans="1:19" ht="409.5" x14ac:dyDescent="0.15">
      <c r="A1970" t="s">
        <v>1297</v>
      </c>
      <c r="B1970" s="61">
        <v>46235</v>
      </c>
      <c r="E1970" t="s">
        <v>355</v>
      </c>
      <c r="F1970" t="s">
        <v>351</v>
      </c>
      <c r="G1970" t="s">
        <v>354</v>
      </c>
      <c r="H1970" t="s">
        <v>686</v>
      </c>
      <c r="I1970">
        <v>2400318</v>
      </c>
      <c r="J1970" t="s">
        <v>1333</v>
      </c>
      <c r="K1970" t="s">
        <v>1334</v>
      </c>
      <c r="L1970" t="s">
        <v>1335</v>
      </c>
      <c r="N1970">
        <v>2162683</v>
      </c>
      <c r="O1970" t="s">
        <v>1337</v>
      </c>
      <c r="R1970" t="s">
        <v>3985</v>
      </c>
      <c r="S1970" s="34" t="s">
        <v>5962</v>
      </c>
    </row>
    <row r="1971" spans="1:19" ht="409.5" x14ac:dyDescent="0.15">
      <c r="A1971" t="s">
        <v>1297</v>
      </c>
      <c r="B1971" s="61">
        <v>46235</v>
      </c>
      <c r="E1971" t="s">
        <v>355</v>
      </c>
      <c r="F1971" t="s">
        <v>351</v>
      </c>
      <c r="G1971" t="s">
        <v>354</v>
      </c>
      <c r="H1971" t="s">
        <v>353</v>
      </c>
      <c r="I1971">
        <v>2400890</v>
      </c>
      <c r="J1971" t="s">
        <v>1302</v>
      </c>
      <c r="K1971" t="s">
        <v>1303</v>
      </c>
      <c r="L1971" t="s">
        <v>1304</v>
      </c>
      <c r="N1971" t="s">
        <v>5963</v>
      </c>
      <c r="O1971" t="s">
        <v>1306</v>
      </c>
      <c r="R1971" t="s">
        <v>4012</v>
      </c>
      <c r="S1971" s="34" t="s">
        <v>5964</v>
      </c>
    </row>
    <row r="1972" spans="1:19" ht="409.5" x14ac:dyDescent="0.15">
      <c r="A1972" t="s">
        <v>1297</v>
      </c>
      <c r="B1972" s="61">
        <v>46266</v>
      </c>
      <c r="E1972" t="s">
        <v>355</v>
      </c>
      <c r="F1972" t="s">
        <v>351</v>
      </c>
      <c r="G1972" t="s">
        <v>354</v>
      </c>
      <c r="H1972" t="s">
        <v>353</v>
      </c>
      <c r="I1972">
        <v>2400722</v>
      </c>
      <c r="J1972" t="s">
        <v>1338</v>
      </c>
      <c r="K1972" t="s">
        <v>1339</v>
      </c>
      <c r="L1972" t="s">
        <v>1340</v>
      </c>
      <c r="N1972" t="s">
        <v>5965</v>
      </c>
      <c r="O1972" t="s">
        <v>1342</v>
      </c>
      <c r="R1972" t="s">
        <v>4012</v>
      </c>
      <c r="S1972" s="34" t="s">
        <v>5966</v>
      </c>
    </row>
    <row r="1973" spans="1:19" ht="243" x14ac:dyDescent="0.15">
      <c r="A1973" t="s">
        <v>1297</v>
      </c>
      <c r="B1973" s="61">
        <v>46266</v>
      </c>
      <c r="E1973" t="s">
        <v>355</v>
      </c>
      <c r="F1973" t="s">
        <v>351</v>
      </c>
      <c r="G1973" t="s">
        <v>354</v>
      </c>
      <c r="H1973" t="s">
        <v>353</v>
      </c>
      <c r="I1973">
        <v>2400851</v>
      </c>
      <c r="J1973" t="s">
        <v>1349</v>
      </c>
      <c r="K1973" t="s">
        <v>1350</v>
      </c>
      <c r="L1973" t="s">
        <v>413</v>
      </c>
      <c r="N1973" t="s">
        <v>1351</v>
      </c>
      <c r="O1973" t="s">
        <v>1352</v>
      </c>
      <c r="R1973" t="s">
        <v>3986</v>
      </c>
      <c r="S1973" s="34" t="s">
        <v>5967</v>
      </c>
    </row>
    <row r="1974" spans="1:19" ht="324" x14ac:dyDescent="0.15">
      <c r="A1974" t="s">
        <v>1297</v>
      </c>
      <c r="B1974" s="61">
        <v>46266</v>
      </c>
      <c r="E1974" t="s">
        <v>355</v>
      </c>
      <c r="F1974" t="s">
        <v>351</v>
      </c>
      <c r="G1974" t="s">
        <v>354</v>
      </c>
      <c r="H1974" t="s">
        <v>353</v>
      </c>
      <c r="I1974">
        <v>2401251</v>
      </c>
      <c r="J1974" t="s">
        <v>5968</v>
      </c>
      <c r="K1974" t="s">
        <v>5969</v>
      </c>
      <c r="L1974" t="s">
        <v>5970</v>
      </c>
      <c r="N1974" t="s">
        <v>5971</v>
      </c>
      <c r="O1974" t="s">
        <v>5972</v>
      </c>
      <c r="S1974" s="34" t="s">
        <v>5973</v>
      </c>
    </row>
    <row r="1975" spans="1:19" ht="229.5" x14ac:dyDescent="0.15">
      <c r="A1975" t="s">
        <v>1297</v>
      </c>
      <c r="B1975" s="61">
        <v>46296</v>
      </c>
      <c r="E1975" t="s">
        <v>355</v>
      </c>
      <c r="F1975" t="s">
        <v>351</v>
      </c>
      <c r="G1975" t="s">
        <v>352</v>
      </c>
      <c r="H1975" t="s">
        <v>353</v>
      </c>
      <c r="I1975">
        <v>2400134</v>
      </c>
      <c r="J1975" t="s">
        <v>5974</v>
      </c>
      <c r="K1975" t="s">
        <v>1071</v>
      </c>
      <c r="L1975" t="s">
        <v>5975</v>
      </c>
      <c r="N1975" t="s">
        <v>5976</v>
      </c>
      <c r="O1975" t="s">
        <v>5977</v>
      </c>
      <c r="R1975" t="s">
        <v>3985</v>
      </c>
      <c r="S1975" s="34" t="s">
        <v>5978</v>
      </c>
    </row>
    <row r="1976" spans="1:19" ht="409.5" x14ac:dyDescent="0.15">
      <c r="A1976" t="s">
        <v>1297</v>
      </c>
      <c r="B1976" s="61">
        <v>46296</v>
      </c>
      <c r="E1976" t="s">
        <v>355</v>
      </c>
      <c r="F1976" t="s">
        <v>351</v>
      </c>
      <c r="G1976" t="s">
        <v>352</v>
      </c>
      <c r="H1976" t="s">
        <v>353</v>
      </c>
      <c r="I1976">
        <v>2400143</v>
      </c>
      <c r="J1976" t="s">
        <v>1308</v>
      </c>
      <c r="K1976" t="s">
        <v>1309</v>
      </c>
      <c r="L1976" t="s">
        <v>1310</v>
      </c>
      <c r="N1976" t="s">
        <v>1311</v>
      </c>
      <c r="O1976" t="s">
        <v>1312</v>
      </c>
      <c r="R1976" t="s">
        <v>3985</v>
      </c>
      <c r="S1976" s="34" t="s">
        <v>5979</v>
      </c>
    </row>
    <row r="1977" spans="1:19" ht="243" x14ac:dyDescent="0.15">
      <c r="A1977" t="s">
        <v>1297</v>
      </c>
      <c r="B1977" s="61">
        <v>46296</v>
      </c>
      <c r="E1977" t="s">
        <v>355</v>
      </c>
      <c r="F1977" t="s">
        <v>351</v>
      </c>
      <c r="G1977" t="s">
        <v>354</v>
      </c>
      <c r="H1977" t="s">
        <v>309</v>
      </c>
      <c r="I1977">
        <v>2400144</v>
      </c>
      <c r="J1977" t="s">
        <v>5980</v>
      </c>
      <c r="K1977" t="s">
        <v>1265</v>
      </c>
      <c r="L1977" t="s">
        <v>5981</v>
      </c>
      <c r="N1977" t="s">
        <v>5982</v>
      </c>
      <c r="O1977" t="s">
        <v>5983</v>
      </c>
      <c r="R1977" t="s">
        <v>3992</v>
      </c>
      <c r="S1977" s="34" t="s">
        <v>5984</v>
      </c>
    </row>
    <row r="1978" spans="1:19" ht="409.5" x14ac:dyDescent="0.15">
      <c r="A1978" t="s">
        <v>1297</v>
      </c>
      <c r="B1978" s="61">
        <v>46296</v>
      </c>
      <c r="E1978" t="s">
        <v>355</v>
      </c>
      <c r="F1978" t="s">
        <v>351</v>
      </c>
      <c r="G1978" t="s">
        <v>354</v>
      </c>
      <c r="H1978" t="s">
        <v>353</v>
      </c>
      <c r="I1978">
        <v>2400519</v>
      </c>
      <c r="J1978" t="s">
        <v>4061</v>
      </c>
      <c r="K1978" t="s">
        <v>4062</v>
      </c>
      <c r="L1978" t="s">
        <v>4063</v>
      </c>
      <c r="N1978" t="s">
        <v>7363</v>
      </c>
      <c r="O1978" t="s">
        <v>4065</v>
      </c>
      <c r="R1978" t="s">
        <v>3987</v>
      </c>
      <c r="S1978" s="34" t="s">
        <v>5985</v>
      </c>
    </row>
    <row r="1979" spans="1:19" ht="189" x14ac:dyDescent="0.15">
      <c r="A1979" t="s">
        <v>1297</v>
      </c>
      <c r="B1979" s="61">
        <v>46296</v>
      </c>
      <c r="E1979" t="s">
        <v>355</v>
      </c>
      <c r="F1979" t="s">
        <v>351</v>
      </c>
      <c r="G1979" t="s">
        <v>354</v>
      </c>
      <c r="H1979" t="s">
        <v>686</v>
      </c>
      <c r="I1979">
        <v>2401227</v>
      </c>
      <c r="J1979" t="s">
        <v>503</v>
      </c>
      <c r="K1979" t="s">
        <v>1265</v>
      </c>
      <c r="L1979" t="s">
        <v>5986</v>
      </c>
      <c r="N1979">
        <v>2178432</v>
      </c>
      <c r="O1979" t="s">
        <v>5987</v>
      </c>
      <c r="R1979" t="s">
        <v>3987</v>
      </c>
      <c r="S1979" s="34" t="s">
        <v>5988</v>
      </c>
    </row>
    <row r="1980" spans="1:19" ht="216" x14ac:dyDescent="0.15">
      <c r="A1980" t="s">
        <v>1297</v>
      </c>
      <c r="B1980" s="61">
        <v>46357</v>
      </c>
      <c r="E1980" t="s">
        <v>355</v>
      </c>
      <c r="F1980" t="s">
        <v>351</v>
      </c>
      <c r="G1980" t="s">
        <v>354</v>
      </c>
      <c r="H1980" t="s">
        <v>353</v>
      </c>
      <c r="I1980">
        <v>2400136</v>
      </c>
      <c r="J1980" t="s">
        <v>896</v>
      </c>
      <c r="K1980" t="s">
        <v>1265</v>
      </c>
      <c r="L1980" t="s">
        <v>4715</v>
      </c>
      <c r="N1980" t="s">
        <v>4716</v>
      </c>
      <c r="O1980" t="s">
        <v>4717</v>
      </c>
      <c r="S1980" s="34" t="s">
        <v>5989</v>
      </c>
    </row>
    <row r="1981" spans="1:19" ht="216" x14ac:dyDescent="0.15">
      <c r="A1981" t="s">
        <v>1297</v>
      </c>
      <c r="B1981" s="61">
        <v>46357</v>
      </c>
      <c r="E1981" t="s">
        <v>355</v>
      </c>
      <c r="F1981" t="s">
        <v>351</v>
      </c>
      <c r="G1981" t="s">
        <v>354</v>
      </c>
      <c r="H1981" t="s">
        <v>686</v>
      </c>
      <c r="I1981">
        <v>2400136</v>
      </c>
      <c r="J1981" t="s">
        <v>896</v>
      </c>
      <c r="K1981" t="s">
        <v>1265</v>
      </c>
      <c r="L1981" t="s">
        <v>4715</v>
      </c>
      <c r="N1981">
        <v>2176257</v>
      </c>
      <c r="O1981" t="s">
        <v>4717</v>
      </c>
      <c r="S1981" s="34" t="s">
        <v>5990</v>
      </c>
    </row>
    <row r="1982" spans="1:19" ht="162" x14ac:dyDescent="0.15">
      <c r="A1982" t="s">
        <v>1354</v>
      </c>
      <c r="B1982" s="61">
        <v>46235</v>
      </c>
      <c r="E1982" t="s">
        <v>355</v>
      </c>
      <c r="F1982" t="s">
        <v>351</v>
      </c>
      <c r="G1982" t="s">
        <v>354</v>
      </c>
      <c r="H1982" t="s">
        <v>353</v>
      </c>
      <c r="I1982">
        <v>3200109</v>
      </c>
      <c r="J1982" t="s">
        <v>5991</v>
      </c>
      <c r="K1982" t="s">
        <v>5992</v>
      </c>
      <c r="L1982" t="s">
        <v>5993</v>
      </c>
      <c r="N1982" t="s">
        <v>5994</v>
      </c>
      <c r="O1982" t="s">
        <v>5995</v>
      </c>
      <c r="S1982" s="34" t="s">
        <v>5996</v>
      </c>
    </row>
    <row r="1983" spans="1:19" ht="409.5" x14ac:dyDescent="0.15">
      <c r="A1983" t="s">
        <v>1354</v>
      </c>
      <c r="B1983" s="61">
        <v>46357</v>
      </c>
      <c r="E1983" t="s">
        <v>355</v>
      </c>
      <c r="F1983" t="s">
        <v>351</v>
      </c>
      <c r="G1983" t="s">
        <v>354</v>
      </c>
      <c r="H1983" t="s">
        <v>353</v>
      </c>
      <c r="I1983">
        <v>3100079</v>
      </c>
      <c r="J1983" t="s">
        <v>1065</v>
      </c>
      <c r="K1983" t="s">
        <v>2972</v>
      </c>
      <c r="L1983" t="s">
        <v>2973</v>
      </c>
      <c r="N1983" t="s">
        <v>2974</v>
      </c>
      <c r="O1983" t="s">
        <v>2975</v>
      </c>
      <c r="S1983" s="34" t="s">
        <v>5997</v>
      </c>
    </row>
    <row r="1984" spans="1:19" ht="409.5" x14ac:dyDescent="0.15">
      <c r="A1984" t="s">
        <v>1354</v>
      </c>
      <c r="B1984" s="61">
        <v>46357</v>
      </c>
      <c r="E1984" t="s">
        <v>355</v>
      </c>
      <c r="F1984" t="s">
        <v>351</v>
      </c>
      <c r="G1984" t="s">
        <v>354</v>
      </c>
      <c r="H1984" t="s">
        <v>353</v>
      </c>
      <c r="I1984">
        <v>3100141</v>
      </c>
      <c r="J1984" t="s">
        <v>4309</v>
      </c>
      <c r="K1984" t="s">
        <v>4310</v>
      </c>
      <c r="L1984" t="s">
        <v>390</v>
      </c>
      <c r="N1984" t="s">
        <v>5998</v>
      </c>
      <c r="O1984" t="s">
        <v>4312</v>
      </c>
      <c r="S1984" s="34" t="s">
        <v>5999</v>
      </c>
    </row>
    <row r="1985" spans="1:19" ht="243" x14ac:dyDescent="0.15">
      <c r="A1985" t="s">
        <v>1354</v>
      </c>
      <c r="B1985" s="61">
        <v>46357</v>
      </c>
      <c r="E1985" t="s">
        <v>355</v>
      </c>
      <c r="F1985" t="s">
        <v>351</v>
      </c>
      <c r="G1985" t="s">
        <v>354</v>
      </c>
      <c r="H1985" t="s">
        <v>365</v>
      </c>
      <c r="I1985">
        <v>3100141</v>
      </c>
      <c r="J1985" t="s">
        <v>4309</v>
      </c>
      <c r="K1985" t="s">
        <v>4310</v>
      </c>
      <c r="L1985" t="s">
        <v>390</v>
      </c>
      <c r="N1985" t="s">
        <v>4762</v>
      </c>
      <c r="O1985" t="s">
        <v>4312</v>
      </c>
      <c r="S1985" s="34" t="s">
        <v>6000</v>
      </c>
    </row>
    <row r="1986" spans="1:19" ht="409.5" x14ac:dyDescent="0.15">
      <c r="A1986" t="s">
        <v>1359</v>
      </c>
      <c r="B1986" s="61">
        <v>46296</v>
      </c>
      <c r="E1986" t="s">
        <v>355</v>
      </c>
      <c r="F1986" t="s">
        <v>351</v>
      </c>
      <c r="G1986" t="s">
        <v>352</v>
      </c>
      <c r="H1986" t="s">
        <v>353</v>
      </c>
      <c r="I1986">
        <v>3500331</v>
      </c>
      <c r="J1986" t="s">
        <v>1376</v>
      </c>
      <c r="L1986" t="s">
        <v>6001</v>
      </c>
      <c r="N1986" t="s">
        <v>6002</v>
      </c>
      <c r="O1986" t="s">
        <v>6003</v>
      </c>
      <c r="R1986" t="s">
        <v>3985</v>
      </c>
      <c r="S1986" s="34" t="s">
        <v>6004</v>
      </c>
    </row>
    <row r="1987" spans="1:19" ht="202.5" x14ac:dyDescent="0.15">
      <c r="A1987" t="s">
        <v>1359</v>
      </c>
      <c r="B1987" s="61">
        <v>46296</v>
      </c>
      <c r="E1987" t="s">
        <v>355</v>
      </c>
      <c r="F1987" t="s">
        <v>351</v>
      </c>
      <c r="G1987" t="s">
        <v>354</v>
      </c>
      <c r="H1987" t="s">
        <v>686</v>
      </c>
      <c r="I1987">
        <v>3500331</v>
      </c>
      <c r="J1987" t="s">
        <v>1376</v>
      </c>
      <c r="L1987" t="s">
        <v>6001</v>
      </c>
      <c r="N1987">
        <v>2113204</v>
      </c>
      <c r="O1987" t="s">
        <v>6003</v>
      </c>
      <c r="S1987" s="34" t="s">
        <v>6005</v>
      </c>
    </row>
    <row r="1988" spans="1:19" ht="243" x14ac:dyDescent="0.15">
      <c r="A1988" t="s">
        <v>1390</v>
      </c>
      <c r="B1988" s="61">
        <v>46235</v>
      </c>
      <c r="E1988" t="s">
        <v>355</v>
      </c>
      <c r="F1988" t="s">
        <v>351</v>
      </c>
      <c r="G1988" t="s">
        <v>354</v>
      </c>
      <c r="H1988" t="s">
        <v>310</v>
      </c>
      <c r="I1988">
        <v>1900137</v>
      </c>
      <c r="J1988" t="s">
        <v>6006</v>
      </c>
      <c r="L1988" t="s">
        <v>6007</v>
      </c>
      <c r="N1988" t="s">
        <v>6008</v>
      </c>
      <c r="O1988" t="s">
        <v>6009</v>
      </c>
      <c r="R1988" t="s">
        <v>6010</v>
      </c>
      <c r="S1988" s="34" t="s">
        <v>6011</v>
      </c>
    </row>
    <row r="1989" spans="1:19" ht="243" x14ac:dyDescent="0.15">
      <c r="A1989" t="s">
        <v>1390</v>
      </c>
      <c r="B1989" s="61">
        <v>46235</v>
      </c>
      <c r="E1989" t="s">
        <v>355</v>
      </c>
      <c r="F1989" t="s">
        <v>351</v>
      </c>
      <c r="G1989" t="s">
        <v>354</v>
      </c>
      <c r="H1989" t="s">
        <v>310</v>
      </c>
      <c r="I1989">
        <v>1900206</v>
      </c>
      <c r="J1989" t="s">
        <v>6006</v>
      </c>
      <c r="L1989" t="s">
        <v>6012</v>
      </c>
      <c r="N1989" t="s">
        <v>6013</v>
      </c>
      <c r="O1989" t="s">
        <v>6014</v>
      </c>
      <c r="R1989" t="s">
        <v>6010</v>
      </c>
      <c r="S1989" s="34" t="s">
        <v>6015</v>
      </c>
    </row>
    <row r="1990" spans="1:19" ht="409.5" x14ac:dyDescent="0.15">
      <c r="A1990" t="s">
        <v>1390</v>
      </c>
      <c r="B1990" s="61">
        <v>46266</v>
      </c>
      <c r="E1990" t="s">
        <v>355</v>
      </c>
      <c r="F1990" t="s">
        <v>351</v>
      </c>
      <c r="G1990" t="s">
        <v>354</v>
      </c>
      <c r="H1990" t="s">
        <v>353</v>
      </c>
      <c r="I1990">
        <v>1900452</v>
      </c>
      <c r="J1990" t="s">
        <v>1400</v>
      </c>
      <c r="K1990" t="s">
        <v>1401</v>
      </c>
      <c r="L1990" t="s">
        <v>718</v>
      </c>
      <c r="N1990" t="s">
        <v>6016</v>
      </c>
      <c r="O1990" t="s">
        <v>1403</v>
      </c>
      <c r="S1990" s="34" t="s">
        <v>6017</v>
      </c>
    </row>
    <row r="1991" spans="1:19" ht="391.5" x14ac:dyDescent="0.15">
      <c r="A1991" t="s">
        <v>1390</v>
      </c>
      <c r="B1991" s="61">
        <v>46296</v>
      </c>
      <c r="E1991" t="s">
        <v>355</v>
      </c>
      <c r="F1991" t="s">
        <v>351</v>
      </c>
      <c r="G1991" t="s">
        <v>354</v>
      </c>
      <c r="H1991" t="s">
        <v>686</v>
      </c>
      <c r="I1991">
        <v>1900292</v>
      </c>
      <c r="J1991" t="s">
        <v>1212</v>
      </c>
      <c r="K1991" t="s">
        <v>4045</v>
      </c>
      <c r="L1991" t="s">
        <v>833</v>
      </c>
      <c r="N1991">
        <v>2144123</v>
      </c>
      <c r="O1991" t="s">
        <v>4046</v>
      </c>
      <c r="R1991" t="s">
        <v>4052</v>
      </c>
      <c r="S1991" s="34" t="s">
        <v>6018</v>
      </c>
    </row>
    <row r="1992" spans="1:19" ht="409.5" x14ac:dyDescent="0.15">
      <c r="A1992" t="s">
        <v>1390</v>
      </c>
      <c r="B1992" s="61">
        <v>46296</v>
      </c>
      <c r="E1992" t="s">
        <v>355</v>
      </c>
      <c r="F1992" t="s">
        <v>351</v>
      </c>
      <c r="G1992" t="s">
        <v>354</v>
      </c>
      <c r="H1992" t="s">
        <v>309</v>
      </c>
      <c r="I1992">
        <v>1900292</v>
      </c>
      <c r="J1992" t="s">
        <v>1212</v>
      </c>
      <c r="K1992" t="s">
        <v>4045</v>
      </c>
      <c r="L1992" t="s">
        <v>833</v>
      </c>
      <c r="N1992" t="s">
        <v>6019</v>
      </c>
      <c r="O1992" t="s">
        <v>4046</v>
      </c>
      <c r="R1992" t="s">
        <v>4052</v>
      </c>
      <c r="S1992" s="34" t="s">
        <v>6020</v>
      </c>
    </row>
    <row r="1993" spans="1:19" ht="378" x14ac:dyDescent="0.15">
      <c r="A1993" t="s">
        <v>1390</v>
      </c>
      <c r="B1993" s="61">
        <v>46327</v>
      </c>
      <c r="E1993" t="s">
        <v>355</v>
      </c>
      <c r="F1993" t="s">
        <v>351</v>
      </c>
      <c r="G1993" t="s">
        <v>354</v>
      </c>
      <c r="H1993" t="s">
        <v>365</v>
      </c>
      <c r="I1993">
        <v>1900242</v>
      </c>
      <c r="J1993" t="s">
        <v>1419</v>
      </c>
      <c r="L1993" t="s">
        <v>698</v>
      </c>
      <c r="N1993" t="s">
        <v>1420</v>
      </c>
      <c r="O1993" t="s">
        <v>1421</v>
      </c>
      <c r="S1993" s="34" t="s">
        <v>6021</v>
      </c>
    </row>
    <row r="1994" spans="1:19" ht="229.5" x14ac:dyDescent="0.15">
      <c r="A1994" t="s">
        <v>1390</v>
      </c>
      <c r="B1994" s="61">
        <v>46327</v>
      </c>
      <c r="E1994" t="s">
        <v>355</v>
      </c>
      <c r="F1994" t="s">
        <v>351</v>
      </c>
      <c r="G1994" t="s">
        <v>352</v>
      </c>
      <c r="H1994" t="s">
        <v>353</v>
      </c>
      <c r="I1994">
        <v>1900275</v>
      </c>
      <c r="J1994" t="s">
        <v>5036</v>
      </c>
      <c r="L1994" t="s">
        <v>6022</v>
      </c>
      <c r="N1994" t="s">
        <v>6023</v>
      </c>
      <c r="O1994" t="s">
        <v>6024</v>
      </c>
      <c r="R1994" t="s">
        <v>3985</v>
      </c>
      <c r="S1994" s="34" t="s">
        <v>6025</v>
      </c>
    </row>
    <row r="1995" spans="1:19" ht="229.5" x14ac:dyDescent="0.15">
      <c r="A1995" t="s">
        <v>1390</v>
      </c>
      <c r="B1995" s="61">
        <v>46327</v>
      </c>
      <c r="E1995" t="s">
        <v>355</v>
      </c>
      <c r="F1995" t="s">
        <v>351</v>
      </c>
      <c r="G1995" t="s">
        <v>352</v>
      </c>
      <c r="H1995" t="s">
        <v>365</v>
      </c>
      <c r="I1995">
        <v>1900394</v>
      </c>
      <c r="J1995" t="s">
        <v>6026</v>
      </c>
      <c r="K1995" t="s">
        <v>6027</v>
      </c>
      <c r="L1995" t="s">
        <v>6028</v>
      </c>
      <c r="N1995" t="s">
        <v>6029</v>
      </c>
      <c r="O1995" t="s">
        <v>6030</v>
      </c>
      <c r="R1995" t="s">
        <v>3985</v>
      </c>
      <c r="S1995" s="34" t="s">
        <v>6031</v>
      </c>
    </row>
    <row r="1996" spans="1:19" ht="409.5" x14ac:dyDescent="0.15">
      <c r="A1996" t="s">
        <v>1424</v>
      </c>
      <c r="B1996" s="61">
        <v>46235</v>
      </c>
      <c r="E1996" t="s">
        <v>355</v>
      </c>
      <c r="F1996" t="s">
        <v>351</v>
      </c>
      <c r="G1996" t="s">
        <v>354</v>
      </c>
      <c r="H1996" t="s">
        <v>353</v>
      </c>
      <c r="I1996">
        <v>1201546</v>
      </c>
      <c r="J1996" t="s">
        <v>3016</v>
      </c>
      <c r="K1996" t="s">
        <v>3017</v>
      </c>
      <c r="L1996" t="s">
        <v>3018</v>
      </c>
      <c r="N1996" t="s">
        <v>7364</v>
      </c>
      <c r="O1996" t="s">
        <v>3020</v>
      </c>
      <c r="R1996" t="s">
        <v>3987</v>
      </c>
      <c r="S1996" s="34" t="s">
        <v>6032</v>
      </c>
    </row>
    <row r="1997" spans="1:19" ht="270" x14ac:dyDescent="0.15">
      <c r="A1997" t="s">
        <v>1424</v>
      </c>
      <c r="B1997" s="61">
        <v>46235</v>
      </c>
      <c r="E1997" t="s">
        <v>355</v>
      </c>
      <c r="F1997" t="s">
        <v>351</v>
      </c>
      <c r="G1997" t="s">
        <v>354</v>
      </c>
      <c r="H1997" t="s">
        <v>686</v>
      </c>
      <c r="I1997">
        <v>1201611</v>
      </c>
      <c r="J1997" t="s">
        <v>1431</v>
      </c>
      <c r="K1997" t="s">
        <v>1432</v>
      </c>
      <c r="L1997" t="s">
        <v>413</v>
      </c>
      <c r="N1997">
        <v>2163885</v>
      </c>
      <c r="O1997" t="s">
        <v>1434</v>
      </c>
      <c r="R1997" t="s">
        <v>3987</v>
      </c>
      <c r="S1997" s="34" t="s">
        <v>6033</v>
      </c>
    </row>
    <row r="1998" spans="1:19" ht="409.5" x14ac:dyDescent="0.15">
      <c r="A1998" t="s">
        <v>1424</v>
      </c>
      <c r="B1998" s="61">
        <v>46235</v>
      </c>
      <c r="E1998" t="s">
        <v>355</v>
      </c>
      <c r="F1998" t="s">
        <v>351</v>
      </c>
      <c r="G1998" t="s">
        <v>354</v>
      </c>
      <c r="H1998" t="s">
        <v>353</v>
      </c>
      <c r="I1998">
        <v>1201651</v>
      </c>
      <c r="J1998" t="s">
        <v>5108</v>
      </c>
      <c r="K1998" t="s">
        <v>4142</v>
      </c>
      <c r="L1998" t="s">
        <v>6034</v>
      </c>
      <c r="N1998" t="s">
        <v>6035</v>
      </c>
      <c r="O1998" t="s">
        <v>5110</v>
      </c>
      <c r="S1998" s="34" t="s">
        <v>6036</v>
      </c>
    </row>
    <row r="1999" spans="1:19" ht="409.5" x14ac:dyDescent="0.15">
      <c r="A1999" t="s">
        <v>1424</v>
      </c>
      <c r="B1999" s="61">
        <v>46266</v>
      </c>
      <c r="E1999" t="s">
        <v>355</v>
      </c>
      <c r="F1999" t="s">
        <v>351</v>
      </c>
      <c r="G1999" t="s">
        <v>354</v>
      </c>
      <c r="H1999" t="s">
        <v>353</v>
      </c>
      <c r="I1999">
        <v>1201054</v>
      </c>
      <c r="J1999" t="s">
        <v>6037</v>
      </c>
      <c r="K1999" t="s">
        <v>1432</v>
      </c>
      <c r="L1999" t="s">
        <v>1114</v>
      </c>
      <c r="N1999" t="s">
        <v>6038</v>
      </c>
      <c r="O1999" t="s">
        <v>6039</v>
      </c>
      <c r="R1999" t="s">
        <v>4012</v>
      </c>
      <c r="S1999" s="34" t="s">
        <v>6040</v>
      </c>
    </row>
    <row r="2000" spans="1:19" ht="405" x14ac:dyDescent="0.15">
      <c r="A2000" t="s">
        <v>1424</v>
      </c>
      <c r="B2000" s="61">
        <v>46266</v>
      </c>
      <c r="E2000" t="s">
        <v>355</v>
      </c>
      <c r="F2000" t="s">
        <v>351</v>
      </c>
      <c r="G2000" t="s">
        <v>354</v>
      </c>
      <c r="H2000" t="s">
        <v>686</v>
      </c>
      <c r="I2000">
        <v>1201054</v>
      </c>
      <c r="J2000" t="s">
        <v>6037</v>
      </c>
      <c r="K2000" t="s">
        <v>1432</v>
      </c>
      <c r="L2000" t="s">
        <v>1114</v>
      </c>
      <c r="N2000">
        <v>2106855</v>
      </c>
      <c r="O2000" t="s">
        <v>6039</v>
      </c>
      <c r="R2000" t="s">
        <v>4012</v>
      </c>
      <c r="S2000" s="34" t="s">
        <v>6041</v>
      </c>
    </row>
    <row r="2001" spans="1:19" ht="229.5" x14ac:dyDescent="0.15">
      <c r="A2001" t="s">
        <v>1424</v>
      </c>
      <c r="B2001" s="61">
        <v>46296</v>
      </c>
      <c r="E2001" t="s">
        <v>355</v>
      </c>
      <c r="F2001" t="s">
        <v>351</v>
      </c>
      <c r="G2001" t="s">
        <v>354</v>
      </c>
      <c r="H2001" t="s">
        <v>365</v>
      </c>
      <c r="I2001">
        <v>1200115</v>
      </c>
      <c r="J2001" t="s">
        <v>3951</v>
      </c>
      <c r="K2001" t="s">
        <v>417</v>
      </c>
      <c r="L2001" t="s">
        <v>3007</v>
      </c>
      <c r="N2001" t="s">
        <v>6042</v>
      </c>
      <c r="O2001" t="s">
        <v>6043</v>
      </c>
      <c r="R2001" t="s">
        <v>3992</v>
      </c>
      <c r="S2001" s="34" t="s">
        <v>6044</v>
      </c>
    </row>
    <row r="2002" spans="1:19" ht="409.5" x14ac:dyDescent="0.15">
      <c r="A2002" t="s">
        <v>1424</v>
      </c>
      <c r="B2002" s="61">
        <v>46296</v>
      </c>
      <c r="E2002" t="s">
        <v>355</v>
      </c>
      <c r="F2002" t="s">
        <v>351</v>
      </c>
      <c r="G2002" t="s">
        <v>354</v>
      </c>
      <c r="H2002" t="s">
        <v>686</v>
      </c>
      <c r="I2002">
        <v>1200541</v>
      </c>
      <c r="J2002" t="s">
        <v>4890</v>
      </c>
      <c r="K2002" t="s">
        <v>4891</v>
      </c>
      <c r="L2002" t="s">
        <v>6045</v>
      </c>
      <c r="N2002">
        <v>2097042</v>
      </c>
      <c r="O2002" t="s">
        <v>6046</v>
      </c>
      <c r="R2002" t="s">
        <v>4052</v>
      </c>
      <c r="S2002" s="34" t="s">
        <v>6047</v>
      </c>
    </row>
    <row r="2003" spans="1:19" ht="409.5" x14ac:dyDescent="0.15">
      <c r="A2003" t="s">
        <v>1424</v>
      </c>
      <c r="B2003" s="61">
        <v>46296</v>
      </c>
      <c r="E2003" t="s">
        <v>355</v>
      </c>
      <c r="F2003" t="s">
        <v>351</v>
      </c>
      <c r="G2003" t="s">
        <v>354</v>
      </c>
      <c r="H2003" t="s">
        <v>309</v>
      </c>
      <c r="I2003">
        <v>1200541</v>
      </c>
      <c r="J2003" t="s">
        <v>4890</v>
      </c>
      <c r="K2003" t="s">
        <v>4891</v>
      </c>
      <c r="L2003" t="s">
        <v>6045</v>
      </c>
      <c r="N2003" t="s">
        <v>6048</v>
      </c>
      <c r="O2003" t="s">
        <v>6046</v>
      </c>
      <c r="R2003" t="s">
        <v>4052</v>
      </c>
      <c r="S2003" s="34" t="s">
        <v>6049</v>
      </c>
    </row>
    <row r="2004" spans="1:19" ht="189" x14ac:dyDescent="0.15">
      <c r="A2004" t="s">
        <v>1424</v>
      </c>
      <c r="B2004" s="61">
        <v>46296</v>
      </c>
      <c r="E2004" t="s">
        <v>355</v>
      </c>
      <c r="F2004" t="s">
        <v>351</v>
      </c>
      <c r="G2004" t="s">
        <v>354</v>
      </c>
      <c r="H2004" t="s">
        <v>686</v>
      </c>
      <c r="I2004">
        <v>1201397</v>
      </c>
      <c r="J2004" t="s">
        <v>4890</v>
      </c>
      <c r="K2004" t="s">
        <v>4891</v>
      </c>
      <c r="L2004" t="s">
        <v>4892</v>
      </c>
      <c r="N2004">
        <v>2097046</v>
      </c>
      <c r="O2004" t="s">
        <v>4893</v>
      </c>
      <c r="S2004" s="34" t="s">
        <v>6050</v>
      </c>
    </row>
    <row r="2005" spans="1:19" ht="409.5" x14ac:dyDescent="0.15">
      <c r="A2005" t="s">
        <v>1424</v>
      </c>
      <c r="B2005" s="61">
        <v>46296</v>
      </c>
      <c r="E2005" t="s">
        <v>355</v>
      </c>
      <c r="F2005" t="s">
        <v>351</v>
      </c>
      <c r="G2005" t="s">
        <v>354</v>
      </c>
      <c r="H2005" t="s">
        <v>309</v>
      </c>
      <c r="I2005">
        <v>1201397</v>
      </c>
      <c r="J2005" t="s">
        <v>4890</v>
      </c>
      <c r="K2005" t="s">
        <v>4891</v>
      </c>
      <c r="L2005" t="s">
        <v>4892</v>
      </c>
      <c r="N2005" t="s">
        <v>6051</v>
      </c>
      <c r="O2005" t="s">
        <v>4893</v>
      </c>
      <c r="S2005" s="34" t="s">
        <v>6052</v>
      </c>
    </row>
    <row r="2006" spans="1:19" ht="297" x14ac:dyDescent="0.15">
      <c r="A2006" t="s">
        <v>1424</v>
      </c>
      <c r="B2006" s="61">
        <v>46327</v>
      </c>
      <c r="E2006" t="s">
        <v>355</v>
      </c>
      <c r="F2006" t="s">
        <v>351</v>
      </c>
      <c r="G2006" t="s">
        <v>354</v>
      </c>
      <c r="H2006" t="s">
        <v>686</v>
      </c>
      <c r="I2006">
        <v>1201397</v>
      </c>
      <c r="J2006" t="s">
        <v>4890</v>
      </c>
      <c r="K2006" t="s">
        <v>4891</v>
      </c>
      <c r="L2006" t="s">
        <v>4892</v>
      </c>
      <c r="N2006">
        <v>2179126</v>
      </c>
      <c r="O2006" t="s">
        <v>4893</v>
      </c>
      <c r="S2006" s="34" t="s">
        <v>6053</v>
      </c>
    </row>
    <row r="2007" spans="1:19" ht="409.5" x14ac:dyDescent="0.15">
      <c r="A2007" t="s">
        <v>1424</v>
      </c>
      <c r="B2007" s="61">
        <v>46327</v>
      </c>
      <c r="E2007" t="s">
        <v>355</v>
      </c>
      <c r="F2007" t="s">
        <v>351</v>
      </c>
      <c r="G2007" t="s">
        <v>354</v>
      </c>
      <c r="H2007" t="s">
        <v>353</v>
      </c>
      <c r="I2007">
        <v>1201587</v>
      </c>
      <c r="J2007" t="s">
        <v>1425</v>
      </c>
      <c r="K2007" t="s">
        <v>1426</v>
      </c>
      <c r="L2007" t="s">
        <v>1427</v>
      </c>
      <c r="N2007" t="s">
        <v>6054</v>
      </c>
      <c r="O2007" t="s">
        <v>1429</v>
      </c>
      <c r="S2007" s="34" t="s">
        <v>6055</v>
      </c>
    </row>
    <row r="2008" spans="1:19" ht="409.5" x14ac:dyDescent="0.15">
      <c r="A2008" t="s">
        <v>6056</v>
      </c>
      <c r="B2008" s="61">
        <v>46266</v>
      </c>
      <c r="E2008" t="s">
        <v>355</v>
      </c>
      <c r="F2008" t="s">
        <v>351</v>
      </c>
      <c r="G2008" t="s">
        <v>354</v>
      </c>
      <c r="H2008" t="s">
        <v>686</v>
      </c>
      <c r="I2008">
        <v>1201575</v>
      </c>
      <c r="J2008" t="s">
        <v>4037</v>
      </c>
      <c r="K2008" t="s">
        <v>6057</v>
      </c>
      <c r="L2008" t="s">
        <v>6058</v>
      </c>
      <c r="N2008">
        <v>2138410</v>
      </c>
      <c r="O2008" t="s">
        <v>6059</v>
      </c>
      <c r="S2008" s="34" t="s">
        <v>6060</v>
      </c>
    </row>
    <row r="2009" spans="1:19" ht="409.5" x14ac:dyDescent="0.15">
      <c r="A2009" t="s">
        <v>1435</v>
      </c>
      <c r="B2009" s="61">
        <v>46235</v>
      </c>
      <c r="E2009" t="s">
        <v>355</v>
      </c>
      <c r="F2009" t="s">
        <v>351</v>
      </c>
      <c r="G2009" t="s">
        <v>354</v>
      </c>
      <c r="H2009" t="s">
        <v>353</v>
      </c>
      <c r="I2009">
        <v>2500160</v>
      </c>
      <c r="J2009" t="s">
        <v>1497</v>
      </c>
      <c r="K2009" t="s">
        <v>6061</v>
      </c>
      <c r="L2009" t="s">
        <v>6062</v>
      </c>
      <c r="N2009" t="s">
        <v>6063</v>
      </c>
      <c r="O2009" t="s">
        <v>6064</v>
      </c>
      <c r="S2009" s="34" t="s">
        <v>6065</v>
      </c>
    </row>
    <row r="2010" spans="1:19" ht="216" x14ac:dyDescent="0.15">
      <c r="A2010" t="s">
        <v>1435</v>
      </c>
      <c r="B2010" s="61">
        <v>46235</v>
      </c>
      <c r="E2010" t="s">
        <v>355</v>
      </c>
      <c r="F2010" t="s">
        <v>351</v>
      </c>
      <c r="G2010" t="s">
        <v>354</v>
      </c>
      <c r="H2010" t="s">
        <v>686</v>
      </c>
      <c r="I2010">
        <v>2500160</v>
      </c>
      <c r="J2010" t="s">
        <v>1497</v>
      </c>
      <c r="K2010" t="s">
        <v>6061</v>
      </c>
      <c r="L2010" t="s">
        <v>6062</v>
      </c>
      <c r="N2010">
        <v>2177560</v>
      </c>
      <c r="O2010" t="s">
        <v>6064</v>
      </c>
      <c r="S2010" s="34" t="s">
        <v>6066</v>
      </c>
    </row>
    <row r="2011" spans="1:19" ht="189" x14ac:dyDescent="0.15">
      <c r="A2011" t="s">
        <v>1435</v>
      </c>
      <c r="B2011" s="61">
        <v>46235</v>
      </c>
      <c r="E2011" t="s">
        <v>355</v>
      </c>
      <c r="F2011" t="s">
        <v>351</v>
      </c>
      <c r="G2011" t="s">
        <v>354</v>
      </c>
      <c r="H2011" t="s">
        <v>353</v>
      </c>
      <c r="I2011">
        <v>2500295</v>
      </c>
      <c r="J2011" t="s">
        <v>1511</v>
      </c>
      <c r="K2011" t="s">
        <v>6067</v>
      </c>
      <c r="L2011" t="s">
        <v>1512</v>
      </c>
      <c r="N2011" t="s">
        <v>1513</v>
      </c>
      <c r="O2011" t="s">
        <v>1514</v>
      </c>
      <c r="R2011" t="s">
        <v>3987</v>
      </c>
      <c r="S2011" s="34" t="s">
        <v>6068</v>
      </c>
    </row>
    <row r="2012" spans="1:19" ht="364.5" x14ac:dyDescent="0.15">
      <c r="A2012" t="s">
        <v>1435</v>
      </c>
      <c r="B2012" s="61">
        <v>46235</v>
      </c>
      <c r="E2012" t="s">
        <v>355</v>
      </c>
      <c r="F2012" t="s">
        <v>351</v>
      </c>
      <c r="G2012" t="s">
        <v>354</v>
      </c>
      <c r="H2012" t="s">
        <v>309</v>
      </c>
      <c r="I2012">
        <v>2500295</v>
      </c>
      <c r="J2012" t="s">
        <v>1511</v>
      </c>
      <c r="K2012" t="s">
        <v>6067</v>
      </c>
      <c r="L2012" t="s">
        <v>1512</v>
      </c>
      <c r="N2012" t="s">
        <v>6069</v>
      </c>
      <c r="O2012" t="s">
        <v>1514</v>
      </c>
      <c r="R2012" t="s">
        <v>3987</v>
      </c>
      <c r="S2012" s="34" t="s">
        <v>6070</v>
      </c>
    </row>
    <row r="2013" spans="1:19" ht="409.5" x14ac:dyDescent="0.15">
      <c r="A2013" t="s">
        <v>1435</v>
      </c>
      <c r="B2013" s="61">
        <v>46235</v>
      </c>
      <c r="E2013" t="s">
        <v>355</v>
      </c>
      <c r="F2013" t="s">
        <v>351</v>
      </c>
      <c r="G2013" t="s">
        <v>354</v>
      </c>
      <c r="H2013" t="s">
        <v>353</v>
      </c>
      <c r="I2013">
        <v>2500819</v>
      </c>
      <c r="J2013" t="s">
        <v>4686</v>
      </c>
      <c r="K2013" t="s">
        <v>4687</v>
      </c>
      <c r="L2013" t="s">
        <v>4688</v>
      </c>
      <c r="N2013" t="s">
        <v>6071</v>
      </c>
      <c r="O2013" t="s">
        <v>4690</v>
      </c>
      <c r="S2013" s="34" t="s">
        <v>6072</v>
      </c>
    </row>
    <row r="2014" spans="1:19" ht="409.5" x14ac:dyDescent="0.15">
      <c r="A2014" t="s">
        <v>1435</v>
      </c>
      <c r="B2014" s="61">
        <v>46266</v>
      </c>
      <c r="E2014" t="s">
        <v>355</v>
      </c>
      <c r="F2014" t="s">
        <v>351</v>
      </c>
      <c r="G2014" t="s">
        <v>354</v>
      </c>
      <c r="H2014" t="s">
        <v>365</v>
      </c>
      <c r="I2014">
        <v>2500932</v>
      </c>
      <c r="J2014" t="s">
        <v>6073</v>
      </c>
      <c r="K2014" t="s">
        <v>6074</v>
      </c>
      <c r="L2014" t="s">
        <v>6075</v>
      </c>
      <c r="N2014" t="s">
        <v>6076</v>
      </c>
      <c r="O2014" t="s">
        <v>6077</v>
      </c>
      <c r="R2014" t="s">
        <v>4338</v>
      </c>
      <c r="S2014" s="34" t="s">
        <v>6078</v>
      </c>
    </row>
    <row r="2015" spans="1:19" ht="409.5" x14ac:dyDescent="0.15">
      <c r="A2015" t="s">
        <v>1435</v>
      </c>
      <c r="B2015" s="61">
        <v>46266</v>
      </c>
      <c r="E2015" t="s">
        <v>355</v>
      </c>
      <c r="F2015" t="s">
        <v>351</v>
      </c>
      <c r="G2015" t="s">
        <v>354</v>
      </c>
      <c r="H2015" t="s">
        <v>365</v>
      </c>
      <c r="I2015">
        <v>2500933</v>
      </c>
      <c r="J2015" t="s">
        <v>6073</v>
      </c>
      <c r="K2015" t="s">
        <v>6074</v>
      </c>
      <c r="L2015" t="s">
        <v>6079</v>
      </c>
      <c r="N2015" t="s">
        <v>6080</v>
      </c>
      <c r="O2015" t="s">
        <v>6081</v>
      </c>
      <c r="R2015" t="s">
        <v>6082</v>
      </c>
      <c r="S2015" s="34" t="s">
        <v>6083</v>
      </c>
    </row>
    <row r="2016" spans="1:19" ht="409.5" x14ac:dyDescent="0.15">
      <c r="A2016" t="s">
        <v>1435</v>
      </c>
      <c r="B2016" s="61">
        <v>46296</v>
      </c>
      <c r="E2016" t="s">
        <v>355</v>
      </c>
      <c r="F2016" t="s">
        <v>351</v>
      </c>
      <c r="G2016" t="s">
        <v>352</v>
      </c>
      <c r="H2016" t="s">
        <v>353</v>
      </c>
      <c r="I2016">
        <v>2500025</v>
      </c>
      <c r="J2016" t="s">
        <v>376</v>
      </c>
      <c r="K2016" t="s">
        <v>1455</v>
      </c>
      <c r="L2016" t="s">
        <v>1456</v>
      </c>
      <c r="N2016" t="s">
        <v>1457</v>
      </c>
      <c r="O2016" t="s">
        <v>1458</v>
      </c>
      <c r="R2016" t="s">
        <v>3985</v>
      </c>
      <c r="S2016" s="34" t="s">
        <v>6084</v>
      </c>
    </row>
    <row r="2017" spans="1:19" ht="409.5" x14ac:dyDescent="0.15">
      <c r="A2017" t="s">
        <v>1435</v>
      </c>
      <c r="B2017" s="61">
        <v>46296</v>
      </c>
      <c r="E2017" t="s">
        <v>355</v>
      </c>
      <c r="F2017" t="s">
        <v>351</v>
      </c>
      <c r="G2017" t="s">
        <v>352</v>
      </c>
      <c r="H2017" t="s">
        <v>365</v>
      </c>
      <c r="I2017">
        <v>2500154</v>
      </c>
      <c r="J2017" t="s">
        <v>1497</v>
      </c>
      <c r="K2017" t="s">
        <v>1502</v>
      </c>
      <c r="L2017" t="s">
        <v>1503</v>
      </c>
      <c r="N2017" t="s">
        <v>6085</v>
      </c>
      <c r="O2017" t="s">
        <v>1505</v>
      </c>
      <c r="R2017" t="s">
        <v>3992</v>
      </c>
      <c r="S2017" s="34" t="s">
        <v>6086</v>
      </c>
    </row>
    <row r="2018" spans="1:19" ht="216" x14ac:dyDescent="0.15">
      <c r="A2018" t="s">
        <v>1435</v>
      </c>
      <c r="B2018" s="61">
        <v>46327</v>
      </c>
      <c r="E2018" t="s">
        <v>355</v>
      </c>
      <c r="F2018" t="s">
        <v>351</v>
      </c>
      <c r="G2018" t="s">
        <v>354</v>
      </c>
      <c r="H2018" t="s">
        <v>353</v>
      </c>
      <c r="I2018">
        <v>2500504</v>
      </c>
      <c r="J2018" t="s">
        <v>1436</v>
      </c>
      <c r="K2018" t="s">
        <v>1437</v>
      </c>
      <c r="L2018" t="s">
        <v>390</v>
      </c>
      <c r="N2018" t="s">
        <v>4200</v>
      </c>
      <c r="O2018" t="s">
        <v>1438</v>
      </c>
      <c r="R2018" t="s">
        <v>3987</v>
      </c>
      <c r="S2018" s="34" t="s">
        <v>6087</v>
      </c>
    </row>
    <row r="2019" spans="1:19" ht="364.5" x14ac:dyDescent="0.15">
      <c r="A2019" t="s">
        <v>1435</v>
      </c>
      <c r="B2019" s="61">
        <v>46357</v>
      </c>
      <c r="E2019" t="s">
        <v>355</v>
      </c>
      <c r="F2019" t="s">
        <v>351</v>
      </c>
      <c r="G2019" t="s">
        <v>352</v>
      </c>
      <c r="H2019" t="s">
        <v>310</v>
      </c>
      <c r="I2019">
        <v>2500046</v>
      </c>
      <c r="J2019" t="s">
        <v>6088</v>
      </c>
      <c r="K2019" t="s">
        <v>6089</v>
      </c>
      <c r="L2019" t="s">
        <v>390</v>
      </c>
      <c r="N2019" t="s">
        <v>6090</v>
      </c>
      <c r="O2019" t="s">
        <v>6091</v>
      </c>
      <c r="R2019" t="s">
        <v>3985</v>
      </c>
      <c r="S2019" s="34" t="s">
        <v>6092</v>
      </c>
    </row>
    <row r="2020" spans="1:19" ht="409.5" x14ac:dyDescent="0.15">
      <c r="A2020" t="s">
        <v>1435</v>
      </c>
      <c r="B2020" s="61">
        <v>46357</v>
      </c>
      <c r="E2020" t="s">
        <v>355</v>
      </c>
      <c r="F2020" t="s">
        <v>351</v>
      </c>
      <c r="G2020" t="s">
        <v>354</v>
      </c>
      <c r="H2020" t="s">
        <v>353</v>
      </c>
      <c r="I2020">
        <v>2501141</v>
      </c>
      <c r="J2020" t="s">
        <v>1449</v>
      </c>
      <c r="K2020" t="s">
        <v>1450</v>
      </c>
      <c r="L2020" t="s">
        <v>1451</v>
      </c>
      <c r="N2020" t="s">
        <v>6093</v>
      </c>
      <c r="O2020" t="s">
        <v>1453</v>
      </c>
      <c r="S2020" s="34" t="s">
        <v>6094</v>
      </c>
    </row>
    <row r="2021" spans="1:19" ht="409.5" x14ac:dyDescent="0.15">
      <c r="A2021" t="s">
        <v>1435</v>
      </c>
      <c r="B2021" s="61">
        <v>46357</v>
      </c>
      <c r="E2021" t="s">
        <v>355</v>
      </c>
      <c r="F2021" t="s">
        <v>351</v>
      </c>
      <c r="G2021" t="s">
        <v>354</v>
      </c>
      <c r="H2021" t="s">
        <v>686</v>
      </c>
      <c r="I2021">
        <v>2501141</v>
      </c>
      <c r="J2021" t="s">
        <v>1449</v>
      </c>
      <c r="K2021" t="s">
        <v>1450</v>
      </c>
      <c r="L2021" t="s">
        <v>1451</v>
      </c>
      <c r="N2021" t="s">
        <v>6095</v>
      </c>
      <c r="O2021" t="s">
        <v>1453</v>
      </c>
      <c r="R2021" t="s">
        <v>6096</v>
      </c>
      <c r="S2021" s="34" t="s">
        <v>6097</v>
      </c>
    </row>
    <row r="2022" spans="1:19" ht="243" x14ac:dyDescent="0.15">
      <c r="A2022" t="s">
        <v>1524</v>
      </c>
      <c r="B2022" s="61">
        <v>46235</v>
      </c>
      <c r="E2022" t="s">
        <v>355</v>
      </c>
      <c r="F2022" t="s">
        <v>351</v>
      </c>
      <c r="G2022" t="s">
        <v>352</v>
      </c>
      <c r="H2022" t="s">
        <v>310</v>
      </c>
      <c r="I2022">
        <v>2500090</v>
      </c>
      <c r="J2022" t="s">
        <v>6098</v>
      </c>
      <c r="K2022" t="s">
        <v>1445</v>
      </c>
      <c r="L2022" t="s">
        <v>6099</v>
      </c>
      <c r="N2022" t="s">
        <v>6100</v>
      </c>
      <c r="O2022" t="s">
        <v>6101</v>
      </c>
      <c r="R2022" t="s">
        <v>3985</v>
      </c>
      <c r="S2022" s="34" t="s">
        <v>6102</v>
      </c>
    </row>
    <row r="2023" spans="1:19" ht="243" x14ac:dyDescent="0.15">
      <c r="A2023" t="s">
        <v>1524</v>
      </c>
      <c r="B2023" s="61">
        <v>46235</v>
      </c>
      <c r="E2023" t="s">
        <v>355</v>
      </c>
      <c r="F2023" t="s">
        <v>351</v>
      </c>
      <c r="G2023" t="s">
        <v>354</v>
      </c>
      <c r="H2023" t="s">
        <v>353</v>
      </c>
      <c r="I2023">
        <v>2501111</v>
      </c>
      <c r="J2023" t="s">
        <v>1460</v>
      </c>
      <c r="K2023" t="s">
        <v>1558</v>
      </c>
      <c r="L2023" t="s">
        <v>1566</v>
      </c>
      <c r="N2023" t="s">
        <v>6103</v>
      </c>
      <c r="O2023" t="s">
        <v>1568</v>
      </c>
      <c r="R2023" t="s">
        <v>4318</v>
      </c>
      <c r="S2023" s="34" t="s">
        <v>6104</v>
      </c>
    </row>
    <row r="2024" spans="1:19" ht="243" x14ac:dyDescent="0.15">
      <c r="A2024" t="s">
        <v>1524</v>
      </c>
      <c r="B2024" s="61">
        <v>46266</v>
      </c>
      <c r="E2024" t="s">
        <v>355</v>
      </c>
      <c r="F2024" t="s">
        <v>351</v>
      </c>
      <c r="G2024" t="s">
        <v>354</v>
      </c>
      <c r="H2024" t="s">
        <v>365</v>
      </c>
      <c r="I2024">
        <v>2500720</v>
      </c>
      <c r="J2024" t="s">
        <v>1534</v>
      </c>
      <c r="L2024" t="s">
        <v>373</v>
      </c>
      <c r="N2024" t="s">
        <v>1535</v>
      </c>
      <c r="O2024" t="s">
        <v>1536</v>
      </c>
      <c r="R2024" t="s">
        <v>3986</v>
      </c>
      <c r="S2024" s="34" t="s">
        <v>6105</v>
      </c>
    </row>
    <row r="2025" spans="1:19" ht="229.5" x14ac:dyDescent="0.15">
      <c r="A2025" t="s">
        <v>1524</v>
      </c>
      <c r="B2025" s="61">
        <v>46266</v>
      </c>
      <c r="E2025" t="s">
        <v>355</v>
      </c>
      <c r="F2025" t="s">
        <v>351</v>
      </c>
      <c r="G2025" t="s">
        <v>354</v>
      </c>
      <c r="H2025" t="s">
        <v>353</v>
      </c>
      <c r="I2025">
        <v>2500737</v>
      </c>
      <c r="J2025" t="s">
        <v>1578</v>
      </c>
      <c r="K2025" t="s">
        <v>1579</v>
      </c>
      <c r="L2025" t="s">
        <v>390</v>
      </c>
      <c r="N2025" t="s">
        <v>1580</v>
      </c>
      <c r="O2025" t="s">
        <v>1581</v>
      </c>
      <c r="R2025" t="s">
        <v>3986</v>
      </c>
      <c r="S2025" s="34" t="s">
        <v>6106</v>
      </c>
    </row>
    <row r="2026" spans="1:19" ht="297" x14ac:dyDescent="0.15">
      <c r="A2026" t="s">
        <v>1524</v>
      </c>
      <c r="B2026" s="61">
        <v>46266</v>
      </c>
      <c r="E2026" t="s">
        <v>355</v>
      </c>
      <c r="F2026" t="s">
        <v>351</v>
      </c>
      <c r="G2026" t="s">
        <v>354</v>
      </c>
      <c r="H2026" t="s">
        <v>686</v>
      </c>
      <c r="I2026">
        <v>2500817</v>
      </c>
      <c r="J2026" t="s">
        <v>1547</v>
      </c>
      <c r="L2026" t="s">
        <v>1548</v>
      </c>
      <c r="N2026">
        <v>2155053</v>
      </c>
      <c r="O2026" t="s">
        <v>1550</v>
      </c>
      <c r="R2026" t="s">
        <v>3985</v>
      </c>
      <c r="S2026" s="34" t="s">
        <v>6107</v>
      </c>
    </row>
    <row r="2027" spans="1:19" ht="378" x14ac:dyDescent="0.15">
      <c r="A2027" t="s">
        <v>1524</v>
      </c>
      <c r="B2027" s="61">
        <v>46266</v>
      </c>
      <c r="E2027" t="s">
        <v>355</v>
      </c>
      <c r="F2027" t="s">
        <v>351</v>
      </c>
      <c r="G2027" t="s">
        <v>354</v>
      </c>
      <c r="H2027" t="s">
        <v>365</v>
      </c>
      <c r="I2027">
        <v>2501152</v>
      </c>
      <c r="J2027" t="s">
        <v>1537</v>
      </c>
      <c r="K2027" t="s">
        <v>1538</v>
      </c>
      <c r="L2027" t="s">
        <v>1539</v>
      </c>
      <c r="N2027" t="s">
        <v>1540</v>
      </c>
      <c r="O2027" t="s">
        <v>1541</v>
      </c>
      <c r="S2027" s="34" t="s">
        <v>6108</v>
      </c>
    </row>
    <row r="2028" spans="1:19" ht="256.5" x14ac:dyDescent="0.15">
      <c r="A2028" t="s">
        <v>1524</v>
      </c>
      <c r="B2028" s="61">
        <v>46296</v>
      </c>
      <c r="E2028" t="s">
        <v>355</v>
      </c>
      <c r="F2028" t="s">
        <v>351</v>
      </c>
      <c r="G2028" t="s">
        <v>352</v>
      </c>
      <c r="H2028" t="s">
        <v>353</v>
      </c>
      <c r="I2028">
        <v>2500017</v>
      </c>
      <c r="J2028" t="s">
        <v>1574</v>
      </c>
      <c r="K2028" t="s">
        <v>1551</v>
      </c>
      <c r="L2028" t="s">
        <v>1575</v>
      </c>
      <c r="N2028" t="s">
        <v>1576</v>
      </c>
      <c r="O2028" t="s">
        <v>1577</v>
      </c>
      <c r="R2028" t="s">
        <v>3985</v>
      </c>
      <c r="S2028" s="34" t="s">
        <v>6109</v>
      </c>
    </row>
    <row r="2029" spans="1:19" ht="378" x14ac:dyDescent="0.15">
      <c r="A2029" t="s">
        <v>1524</v>
      </c>
      <c r="B2029" s="61">
        <v>46296</v>
      </c>
      <c r="E2029" t="s">
        <v>355</v>
      </c>
      <c r="F2029" t="s">
        <v>351</v>
      </c>
      <c r="G2029" t="s">
        <v>352</v>
      </c>
      <c r="H2029" t="s">
        <v>365</v>
      </c>
      <c r="I2029">
        <v>2500817</v>
      </c>
      <c r="J2029" t="s">
        <v>1547</v>
      </c>
      <c r="L2029" t="s">
        <v>1548</v>
      </c>
      <c r="N2029" t="s">
        <v>1549</v>
      </c>
      <c r="O2029" t="s">
        <v>1550</v>
      </c>
      <c r="R2029" t="s">
        <v>3985</v>
      </c>
      <c r="S2029" s="34" t="s">
        <v>6110</v>
      </c>
    </row>
    <row r="2030" spans="1:19" ht="409.5" x14ac:dyDescent="0.15">
      <c r="A2030" t="s">
        <v>1524</v>
      </c>
      <c r="B2030" s="61">
        <v>46327</v>
      </c>
      <c r="E2030" t="s">
        <v>355</v>
      </c>
      <c r="F2030" t="s">
        <v>351</v>
      </c>
      <c r="G2030" t="s">
        <v>352</v>
      </c>
      <c r="H2030" t="s">
        <v>353</v>
      </c>
      <c r="I2030">
        <v>2500212</v>
      </c>
      <c r="J2030" t="s">
        <v>1302</v>
      </c>
      <c r="K2030" t="s">
        <v>1551</v>
      </c>
      <c r="L2030" t="s">
        <v>1552</v>
      </c>
      <c r="N2030" t="s">
        <v>1553</v>
      </c>
      <c r="O2030" t="s">
        <v>1554</v>
      </c>
      <c r="R2030" t="s">
        <v>6111</v>
      </c>
      <c r="S2030" s="34" t="s">
        <v>6112</v>
      </c>
    </row>
    <row r="2031" spans="1:19" ht="409.5" x14ac:dyDescent="0.15">
      <c r="A2031" t="s">
        <v>1524</v>
      </c>
      <c r="B2031" s="61">
        <v>46327</v>
      </c>
      <c r="E2031" t="s">
        <v>355</v>
      </c>
      <c r="F2031" t="s">
        <v>351</v>
      </c>
      <c r="G2031" t="s">
        <v>354</v>
      </c>
      <c r="H2031" t="s">
        <v>365</v>
      </c>
      <c r="I2031">
        <v>2500770</v>
      </c>
      <c r="J2031" t="s">
        <v>1537</v>
      </c>
      <c r="K2031" t="s">
        <v>1542</v>
      </c>
      <c r="L2031" t="s">
        <v>1543</v>
      </c>
      <c r="N2031" t="s">
        <v>6113</v>
      </c>
      <c r="O2031" t="s">
        <v>1545</v>
      </c>
      <c r="R2031" t="s">
        <v>3986</v>
      </c>
      <c r="S2031" s="34" t="s">
        <v>6114</v>
      </c>
    </row>
    <row r="2032" spans="1:19" ht="229.5" x14ac:dyDescent="0.15">
      <c r="A2032" t="s">
        <v>1524</v>
      </c>
      <c r="B2032" s="61">
        <v>46357</v>
      </c>
      <c r="E2032" t="s">
        <v>355</v>
      </c>
      <c r="F2032" t="s">
        <v>351</v>
      </c>
      <c r="G2032" t="s">
        <v>352</v>
      </c>
      <c r="H2032" t="s">
        <v>365</v>
      </c>
      <c r="I2032">
        <v>2501051</v>
      </c>
      <c r="J2032" t="s">
        <v>1525</v>
      </c>
      <c r="K2032" t="s">
        <v>1445</v>
      </c>
      <c r="L2032" t="s">
        <v>1526</v>
      </c>
      <c r="N2032" t="s">
        <v>1527</v>
      </c>
      <c r="O2032" t="s">
        <v>1528</v>
      </c>
      <c r="R2032" t="s">
        <v>6115</v>
      </c>
      <c r="S2032" s="34" t="s">
        <v>6116</v>
      </c>
    </row>
    <row r="2033" spans="1:19" ht="189" x14ac:dyDescent="0.15">
      <c r="A2033" t="s">
        <v>1524</v>
      </c>
      <c r="B2033" s="61">
        <v>46357</v>
      </c>
      <c r="E2033" t="s">
        <v>355</v>
      </c>
      <c r="F2033" t="s">
        <v>351</v>
      </c>
      <c r="G2033" t="s">
        <v>352</v>
      </c>
      <c r="H2033" t="s">
        <v>353</v>
      </c>
      <c r="I2033">
        <v>2501051</v>
      </c>
      <c r="J2033" t="s">
        <v>1525</v>
      </c>
      <c r="K2033" t="s">
        <v>1445</v>
      </c>
      <c r="L2033" t="s">
        <v>1526</v>
      </c>
      <c r="N2033" t="s">
        <v>6117</v>
      </c>
      <c r="O2033" t="s">
        <v>1528</v>
      </c>
      <c r="R2033" t="s">
        <v>6115</v>
      </c>
      <c r="S2033" s="34" t="s">
        <v>6118</v>
      </c>
    </row>
    <row r="2034" spans="1:19" ht="409.5" x14ac:dyDescent="0.15">
      <c r="A2034" t="s">
        <v>1524</v>
      </c>
      <c r="B2034" s="61">
        <v>46357</v>
      </c>
      <c r="E2034" t="s">
        <v>355</v>
      </c>
      <c r="F2034" t="s">
        <v>351</v>
      </c>
      <c r="G2034" t="s">
        <v>354</v>
      </c>
      <c r="H2034" t="s">
        <v>353</v>
      </c>
      <c r="I2034">
        <v>2501111</v>
      </c>
      <c r="J2034" t="s">
        <v>1460</v>
      </c>
      <c r="K2034" t="s">
        <v>1558</v>
      </c>
      <c r="L2034" t="s">
        <v>1566</v>
      </c>
      <c r="N2034" t="s">
        <v>1569</v>
      </c>
      <c r="O2034" t="s">
        <v>1568</v>
      </c>
      <c r="S2034" s="34" t="s">
        <v>6119</v>
      </c>
    </row>
    <row r="2035" spans="1:19" ht="310.5" x14ac:dyDescent="0.15">
      <c r="A2035" t="s">
        <v>1614</v>
      </c>
      <c r="B2035" s="61">
        <v>46235</v>
      </c>
      <c r="E2035" t="s">
        <v>355</v>
      </c>
      <c r="F2035" t="s">
        <v>351</v>
      </c>
      <c r="G2035" t="s">
        <v>352</v>
      </c>
      <c r="H2035" t="s">
        <v>353</v>
      </c>
      <c r="I2035">
        <v>2000291</v>
      </c>
      <c r="J2035" t="s">
        <v>1655</v>
      </c>
      <c r="K2035" t="s">
        <v>1656</v>
      </c>
      <c r="L2035" t="s">
        <v>1657</v>
      </c>
      <c r="N2035" t="s">
        <v>6120</v>
      </c>
      <c r="O2035" t="s">
        <v>1659</v>
      </c>
      <c r="R2035" t="s">
        <v>6115</v>
      </c>
      <c r="S2035" s="34" t="s">
        <v>6121</v>
      </c>
    </row>
    <row r="2036" spans="1:19" ht="409.5" x14ac:dyDescent="0.15">
      <c r="A2036" t="s">
        <v>1614</v>
      </c>
      <c r="B2036" s="61">
        <v>46235</v>
      </c>
      <c r="E2036" t="s">
        <v>355</v>
      </c>
      <c r="F2036" t="s">
        <v>351</v>
      </c>
      <c r="G2036" t="s">
        <v>352</v>
      </c>
      <c r="H2036" t="s">
        <v>365</v>
      </c>
      <c r="I2036">
        <v>2000291</v>
      </c>
      <c r="J2036" t="s">
        <v>1655</v>
      </c>
      <c r="K2036" t="s">
        <v>1656</v>
      </c>
      <c r="L2036" t="s">
        <v>1657</v>
      </c>
      <c r="N2036" t="s">
        <v>1658</v>
      </c>
      <c r="O2036" t="s">
        <v>1659</v>
      </c>
      <c r="R2036" t="s">
        <v>6115</v>
      </c>
      <c r="S2036" s="34" t="s">
        <v>6122</v>
      </c>
    </row>
    <row r="2037" spans="1:19" ht="229.5" x14ac:dyDescent="0.15">
      <c r="A2037" t="s">
        <v>1614</v>
      </c>
      <c r="B2037" s="61">
        <v>46235</v>
      </c>
      <c r="E2037" t="s">
        <v>355</v>
      </c>
      <c r="F2037" t="s">
        <v>351</v>
      </c>
      <c r="G2037" t="s">
        <v>354</v>
      </c>
      <c r="H2037" t="s">
        <v>365</v>
      </c>
      <c r="I2037">
        <v>2000677</v>
      </c>
      <c r="J2037" t="s">
        <v>1660</v>
      </c>
      <c r="K2037" t="s">
        <v>1661</v>
      </c>
      <c r="L2037" t="s">
        <v>698</v>
      </c>
      <c r="N2037" t="s">
        <v>1662</v>
      </c>
      <c r="O2037" t="s">
        <v>1663</v>
      </c>
      <c r="R2037" t="s">
        <v>3987</v>
      </c>
      <c r="S2037" s="34" t="s">
        <v>6123</v>
      </c>
    </row>
    <row r="2038" spans="1:19" ht="409.5" x14ac:dyDescent="0.15">
      <c r="A2038" t="s">
        <v>1614</v>
      </c>
      <c r="B2038" s="61">
        <v>46235</v>
      </c>
      <c r="E2038" t="s">
        <v>355</v>
      </c>
      <c r="F2038" t="s">
        <v>351</v>
      </c>
      <c r="G2038" t="s">
        <v>354</v>
      </c>
      <c r="H2038" t="s">
        <v>353</v>
      </c>
      <c r="I2038">
        <v>2000700</v>
      </c>
      <c r="J2038" t="s">
        <v>1648</v>
      </c>
      <c r="L2038" t="s">
        <v>1276</v>
      </c>
      <c r="N2038" t="s">
        <v>6124</v>
      </c>
      <c r="O2038" t="s">
        <v>1650</v>
      </c>
      <c r="R2038" t="s">
        <v>3987</v>
      </c>
      <c r="S2038" s="34" t="s">
        <v>6125</v>
      </c>
    </row>
    <row r="2039" spans="1:19" ht="229.5" x14ac:dyDescent="0.15">
      <c r="A2039" t="s">
        <v>1614</v>
      </c>
      <c r="B2039" s="61">
        <v>46235</v>
      </c>
      <c r="E2039" t="s">
        <v>355</v>
      </c>
      <c r="F2039" t="s">
        <v>351</v>
      </c>
      <c r="G2039" t="s">
        <v>352</v>
      </c>
      <c r="H2039" t="s">
        <v>353</v>
      </c>
      <c r="I2039">
        <v>2000842</v>
      </c>
      <c r="J2039" t="s">
        <v>1672</v>
      </c>
      <c r="L2039" t="s">
        <v>1673</v>
      </c>
      <c r="N2039" t="s">
        <v>1674</v>
      </c>
      <c r="O2039" t="s">
        <v>1675</v>
      </c>
      <c r="R2039" t="s">
        <v>3985</v>
      </c>
      <c r="S2039" s="34" t="s">
        <v>6126</v>
      </c>
    </row>
    <row r="2040" spans="1:19" ht="216" x14ac:dyDescent="0.15">
      <c r="A2040" t="s">
        <v>1614</v>
      </c>
      <c r="B2040" s="61">
        <v>46235</v>
      </c>
      <c r="E2040" t="s">
        <v>355</v>
      </c>
      <c r="F2040" t="s">
        <v>351</v>
      </c>
      <c r="G2040" t="s">
        <v>354</v>
      </c>
      <c r="H2040" t="s">
        <v>353</v>
      </c>
      <c r="I2040">
        <v>2000959</v>
      </c>
      <c r="J2040" t="s">
        <v>1664</v>
      </c>
      <c r="K2040" t="s">
        <v>4189</v>
      </c>
      <c r="L2040" t="s">
        <v>390</v>
      </c>
      <c r="N2040" t="s">
        <v>4190</v>
      </c>
      <c r="O2040" t="s">
        <v>4191</v>
      </c>
      <c r="R2040" t="s">
        <v>3987</v>
      </c>
      <c r="S2040" s="34" t="s">
        <v>6127</v>
      </c>
    </row>
    <row r="2041" spans="1:19" ht="409.5" x14ac:dyDescent="0.15">
      <c r="A2041" t="s">
        <v>1614</v>
      </c>
      <c r="B2041" s="61">
        <v>46266</v>
      </c>
      <c r="E2041" t="s">
        <v>355</v>
      </c>
      <c r="F2041" t="s">
        <v>351</v>
      </c>
      <c r="G2041" t="s">
        <v>352</v>
      </c>
      <c r="H2041" t="s">
        <v>353</v>
      </c>
      <c r="I2041">
        <v>2000245</v>
      </c>
      <c r="J2041" t="s">
        <v>1680</v>
      </c>
      <c r="K2041" t="s">
        <v>1681</v>
      </c>
      <c r="L2041" t="s">
        <v>1682</v>
      </c>
      <c r="N2041" t="s">
        <v>6128</v>
      </c>
      <c r="O2041" t="s">
        <v>1684</v>
      </c>
      <c r="R2041" t="s">
        <v>3985</v>
      </c>
      <c r="S2041" s="34" t="s">
        <v>6129</v>
      </c>
    </row>
    <row r="2042" spans="1:19" ht="216" x14ac:dyDescent="0.15">
      <c r="A2042" t="s">
        <v>1614</v>
      </c>
      <c r="B2042" s="61">
        <v>46266</v>
      </c>
      <c r="E2042" t="s">
        <v>355</v>
      </c>
      <c r="F2042" t="s">
        <v>351</v>
      </c>
      <c r="G2042" t="s">
        <v>352</v>
      </c>
      <c r="H2042" t="s">
        <v>353</v>
      </c>
      <c r="I2042">
        <v>2000907</v>
      </c>
      <c r="J2042" t="s">
        <v>1638</v>
      </c>
      <c r="L2042" t="s">
        <v>1639</v>
      </c>
      <c r="N2042" t="s">
        <v>1640</v>
      </c>
      <c r="O2042" t="s">
        <v>1641</v>
      </c>
      <c r="R2042" t="s">
        <v>3985</v>
      </c>
      <c r="S2042" s="34" t="s">
        <v>6130</v>
      </c>
    </row>
    <row r="2043" spans="1:19" ht="229.5" x14ac:dyDescent="0.15">
      <c r="A2043" t="s">
        <v>1614</v>
      </c>
      <c r="B2043" s="61">
        <v>46296</v>
      </c>
      <c r="E2043" t="s">
        <v>355</v>
      </c>
      <c r="F2043" t="s">
        <v>351</v>
      </c>
      <c r="G2043" t="s">
        <v>354</v>
      </c>
      <c r="H2043" t="s">
        <v>365</v>
      </c>
      <c r="I2043">
        <v>2000107</v>
      </c>
      <c r="J2043" t="s">
        <v>1651</v>
      </c>
      <c r="L2043" t="s">
        <v>1652</v>
      </c>
      <c r="N2043" t="s">
        <v>1653</v>
      </c>
      <c r="O2043" t="s">
        <v>1654</v>
      </c>
      <c r="R2043" t="s">
        <v>4430</v>
      </c>
      <c r="S2043" s="34" t="s">
        <v>6131</v>
      </c>
    </row>
    <row r="2044" spans="1:19" ht="337.5" x14ac:dyDescent="0.15">
      <c r="A2044" t="s">
        <v>1614</v>
      </c>
      <c r="B2044" s="61">
        <v>46296</v>
      </c>
      <c r="E2044" t="s">
        <v>355</v>
      </c>
      <c r="F2044" t="s">
        <v>351</v>
      </c>
      <c r="G2044" t="s">
        <v>352</v>
      </c>
      <c r="H2044" t="s">
        <v>353</v>
      </c>
      <c r="I2044">
        <v>2000443</v>
      </c>
      <c r="J2044" t="s">
        <v>1668</v>
      </c>
      <c r="L2044" t="s">
        <v>1669</v>
      </c>
      <c r="N2044" t="s">
        <v>1670</v>
      </c>
      <c r="O2044" t="s">
        <v>1671</v>
      </c>
      <c r="R2044" t="s">
        <v>3985</v>
      </c>
      <c r="S2044" s="34" t="s">
        <v>6132</v>
      </c>
    </row>
    <row r="2045" spans="1:19" ht="409.5" x14ac:dyDescent="0.15">
      <c r="A2045" t="s">
        <v>1614</v>
      </c>
      <c r="B2045" s="61">
        <v>46296</v>
      </c>
      <c r="E2045" t="s">
        <v>355</v>
      </c>
      <c r="F2045" t="s">
        <v>351</v>
      </c>
      <c r="G2045" t="s">
        <v>352</v>
      </c>
      <c r="H2045" t="s">
        <v>353</v>
      </c>
      <c r="I2045">
        <v>2000618</v>
      </c>
      <c r="J2045" t="s">
        <v>1664</v>
      </c>
      <c r="K2045" t="s">
        <v>1251</v>
      </c>
      <c r="L2045" t="s">
        <v>6133</v>
      </c>
      <c r="N2045" t="s">
        <v>6134</v>
      </c>
      <c r="O2045" t="s">
        <v>6135</v>
      </c>
      <c r="R2045" t="s">
        <v>4052</v>
      </c>
      <c r="S2045" s="34" t="s">
        <v>6136</v>
      </c>
    </row>
    <row r="2046" spans="1:19" ht="351" x14ac:dyDescent="0.15">
      <c r="A2046" t="s">
        <v>1614</v>
      </c>
      <c r="B2046" s="61">
        <v>46296</v>
      </c>
      <c r="E2046" t="s">
        <v>355</v>
      </c>
      <c r="F2046" t="s">
        <v>351</v>
      </c>
      <c r="G2046" t="s">
        <v>352</v>
      </c>
      <c r="H2046" t="s">
        <v>353</v>
      </c>
      <c r="I2046">
        <v>2000891</v>
      </c>
      <c r="J2046" t="s">
        <v>6137</v>
      </c>
      <c r="K2046" t="s">
        <v>1393</v>
      </c>
      <c r="L2046" t="s">
        <v>1616</v>
      </c>
      <c r="N2046" t="s">
        <v>6138</v>
      </c>
      <c r="O2046" t="s">
        <v>6139</v>
      </c>
      <c r="R2046" t="s">
        <v>3985</v>
      </c>
      <c r="S2046" s="34" t="s">
        <v>6140</v>
      </c>
    </row>
    <row r="2047" spans="1:19" ht="229.5" x14ac:dyDescent="0.15">
      <c r="A2047" t="s">
        <v>1614</v>
      </c>
      <c r="B2047" s="61">
        <v>46296</v>
      </c>
      <c r="E2047" t="s">
        <v>355</v>
      </c>
      <c r="F2047" t="s">
        <v>351</v>
      </c>
      <c r="G2047" t="s">
        <v>352</v>
      </c>
      <c r="H2047" t="s">
        <v>353</v>
      </c>
      <c r="I2047">
        <v>2000905</v>
      </c>
      <c r="J2047" t="s">
        <v>1570</v>
      </c>
      <c r="K2047" t="s">
        <v>1630</v>
      </c>
      <c r="L2047" t="s">
        <v>1631</v>
      </c>
      <c r="N2047" t="s">
        <v>1632</v>
      </c>
      <c r="O2047" t="s">
        <v>1633</v>
      </c>
      <c r="R2047" t="s">
        <v>3985</v>
      </c>
      <c r="S2047" s="34" t="s">
        <v>6141</v>
      </c>
    </row>
    <row r="2048" spans="1:19" ht="409.5" x14ac:dyDescent="0.15">
      <c r="A2048" t="s">
        <v>1614</v>
      </c>
      <c r="B2048" s="61">
        <v>46327</v>
      </c>
      <c r="E2048" t="s">
        <v>355</v>
      </c>
      <c r="F2048" t="s">
        <v>351</v>
      </c>
      <c r="G2048" t="s">
        <v>352</v>
      </c>
      <c r="H2048" t="s">
        <v>353</v>
      </c>
      <c r="I2048">
        <v>2000035</v>
      </c>
      <c r="J2048" t="s">
        <v>1685</v>
      </c>
      <c r="K2048" t="s">
        <v>1686</v>
      </c>
      <c r="L2048" t="s">
        <v>1687</v>
      </c>
      <c r="N2048" t="s">
        <v>6142</v>
      </c>
      <c r="O2048" t="s">
        <v>1689</v>
      </c>
      <c r="R2048" t="s">
        <v>3985</v>
      </c>
      <c r="S2048" s="34" t="s">
        <v>6143</v>
      </c>
    </row>
    <row r="2049" spans="1:19" ht="229.5" x14ac:dyDescent="0.15">
      <c r="A2049" t="s">
        <v>1614</v>
      </c>
      <c r="B2049" s="61">
        <v>46327</v>
      </c>
      <c r="E2049" t="s">
        <v>355</v>
      </c>
      <c r="F2049" t="s">
        <v>351</v>
      </c>
      <c r="G2049" t="s">
        <v>352</v>
      </c>
      <c r="H2049" t="s">
        <v>365</v>
      </c>
      <c r="I2049">
        <v>2000096</v>
      </c>
      <c r="J2049" t="s">
        <v>6144</v>
      </c>
      <c r="L2049" t="s">
        <v>6145</v>
      </c>
      <c r="N2049" t="s">
        <v>6146</v>
      </c>
      <c r="O2049" t="s">
        <v>6147</v>
      </c>
      <c r="R2049" t="s">
        <v>3985</v>
      </c>
      <c r="S2049" s="34" t="s">
        <v>6148</v>
      </c>
    </row>
    <row r="2050" spans="1:19" ht="409.5" x14ac:dyDescent="0.15">
      <c r="A2050" t="s">
        <v>1614</v>
      </c>
      <c r="B2050" s="61">
        <v>46327</v>
      </c>
      <c r="E2050" t="s">
        <v>355</v>
      </c>
      <c r="F2050" t="s">
        <v>351</v>
      </c>
      <c r="G2050" t="s">
        <v>354</v>
      </c>
      <c r="H2050" t="s">
        <v>353</v>
      </c>
      <c r="I2050">
        <v>2000230</v>
      </c>
      <c r="J2050" t="s">
        <v>873</v>
      </c>
      <c r="K2050" t="s">
        <v>1676</v>
      </c>
      <c r="L2050" t="s">
        <v>1087</v>
      </c>
      <c r="N2050" t="s">
        <v>1677</v>
      </c>
      <c r="O2050" t="s">
        <v>1678</v>
      </c>
      <c r="R2050" t="s">
        <v>3986</v>
      </c>
      <c r="S2050" s="34" t="s">
        <v>6149</v>
      </c>
    </row>
    <row r="2051" spans="1:19" ht="216" x14ac:dyDescent="0.15">
      <c r="A2051" t="s">
        <v>1614</v>
      </c>
      <c r="B2051" s="61">
        <v>46327</v>
      </c>
      <c r="E2051" t="s">
        <v>355</v>
      </c>
      <c r="F2051" t="s">
        <v>351</v>
      </c>
      <c r="G2051" t="s">
        <v>354</v>
      </c>
      <c r="H2051" t="s">
        <v>353</v>
      </c>
      <c r="I2051">
        <v>2000960</v>
      </c>
      <c r="J2051" t="s">
        <v>1644</v>
      </c>
      <c r="K2051" t="s">
        <v>1645</v>
      </c>
      <c r="L2051" t="s">
        <v>413</v>
      </c>
      <c r="N2051" t="s">
        <v>1646</v>
      </c>
      <c r="O2051" t="s">
        <v>1647</v>
      </c>
      <c r="R2051" t="s">
        <v>3987</v>
      </c>
      <c r="S2051" s="34" t="s">
        <v>6150</v>
      </c>
    </row>
    <row r="2052" spans="1:19" ht="216" x14ac:dyDescent="0.15">
      <c r="A2052" t="s">
        <v>1614</v>
      </c>
      <c r="B2052" s="61">
        <v>46357</v>
      </c>
      <c r="E2052" t="s">
        <v>355</v>
      </c>
      <c r="F2052" t="s">
        <v>351</v>
      </c>
      <c r="G2052" t="s">
        <v>352</v>
      </c>
      <c r="H2052" t="s">
        <v>353</v>
      </c>
      <c r="I2052">
        <v>2000099</v>
      </c>
      <c r="J2052" t="s">
        <v>1690</v>
      </c>
      <c r="K2052" t="s">
        <v>1691</v>
      </c>
      <c r="L2052" t="s">
        <v>854</v>
      </c>
      <c r="N2052" t="s">
        <v>6151</v>
      </c>
      <c r="O2052" t="s">
        <v>1693</v>
      </c>
      <c r="R2052" t="s">
        <v>6152</v>
      </c>
      <c r="S2052" s="34" t="s">
        <v>6153</v>
      </c>
    </row>
    <row r="2053" spans="1:19" ht="409.5" x14ac:dyDescent="0.15">
      <c r="A2053" t="s">
        <v>1614</v>
      </c>
      <c r="B2053" s="61">
        <v>46357</v>
      </c>
      <c r="E2053" t="s">
        <v>355</v>
      </c>
      <c r="F2053" t="s">
        <v>351</v>
      </c>
      <c r="G2053" t="s">
        <v>352</v>
      </c>
      <c r="H2053" t="s">
        <v>365</v>
      </c>
      <c r="I2053">
        <v>2000099</v>
      </c>
      <c r="J2053" t="s">
        <v>1690</v>
      </c>
      <c r="K2053" t="s">
        <v>1691</v>
      </c>
      <c r="L2053" t="s">
        <v>854</v>
      </c>
      <c r="N2053" t="s">
        <v>1692</v>
      </c>
      <c r="O2053" t="s">
        <v>1693</v>
      </c>
      <c r="R2053" t="s">
        <v>6152</v>
      </c>
      <c r="S2053" s="34" t="s">
        <v>6154</v>
      </c>
    </row>
    <row r="2054" spans="1:19" ht="409.5" x14ac:dyDescent="0.15">
      <c r="A2054" t="s">
        <v>1614</v>
      </c>
      <c r="B2054" s="61">
        <v>46357</v>
      </c>
      <c r="E2054" t="s">
        <v>355</v>
      </c>
      <c r="F2054" t="s">
        <v>351</v>
      </c>
      <c r="G2054" t="s">
        <v>352</v>
      </c>
      <c r="H2054" t="s">
        <v>365</v>
      </c>
      <c r="I2054">
        <v>2000099</v>
      </c>
      <c r="J2054" t="s">
        <v>1690</v>
      </c>
      <c r="K2054" t="s">
        <v>1691</v>
      </c>
      <c r="L2054" t="s">
        <v>854</v>
      </c>
      <c r="N2054" t="s">
        <v>6155</v>
      </c>
      <c r="O2054" t="s">
        <v>1693</v>
      </c>
      <c r="R2054" t="s">
        <v>6156</v>
      </c>
      <c r="S2054" s="34" t="s">
        <v>6157</v>
      </c>
    </row>
    <row r="2055" spans="1:19" ht="229.5" x14ac:dyDescent="0.15">
      <c r="A2055" t="s">
        <v>1614</v>
      </c>
      <c r="B2055" s="61">
        <v>46357</v>
      </c>
      <c r="E2055" t="s">
        <v>355</v>
      </c>
      <c r="F2055" t="s">
        <v>351</v>
      </c>
      <c r="G2055" t="s">
        <v>352</v>
      </c>
      <c r="H2055" t="s">
        <v>353</v>
      </c>
      <c r="I2055">
        <v>2000888</v>
      </c>
      <c r="J2055" t="s">
        <v>6158</v>
      </c>
      <c r="L2055" t="s">
        <v>1616</v>
      </c>
      <c r="N2055" t="s">
        <v>6159</v>
      </c>
      <c r="O2055" t="s">
        <v>6160</v>
      </c>
      <c r="R2055" t="s">
        <v>3985</v>
      </c>
      <c r="S2055" s="34" t="s">
        <v>6161</v>
      </c>
    </row>
    <row r="2056" spans="1:19" ht="378" x14ac:dyDescent="0.15">
      <c r="A2056" t="s">
        <v>1614</v>
      </c>
      <c r="B2056" s="61">
        <v>46357</v>
      </c>
      <c r="E2056" t="s">
        <v>355</v>
      </c>
      <c r="F2056" t="s">
        <v>351</v>
      </c>
      <c r="G2056" t="s">
        <v>354</v>
      </c>
      <c r="H2056" t="s">
        <v>365</v>
      </c>
      <c r="I2056">
        <v>2000948</v>
      </c>
      <c r="J2056" t="s">
        <v>1705</v>
      </c>
      <c r="K2056" t="s">
        <v>1706</v>
      </c>
      <c r="L2056" t="s">
        <v>1148</v>
      </c>
      <c r="N2056" t="s">
        <v>1707</v>
      </c>
      <c r="O2056" t="s">
        <v>1708</v>
      </c>
      <c r="R2056" t="s">
        <v>3987</v>
      </c>
      <c r="S2056" s="34" t="s">
        <v>6162</v>
      </c>
    </row>
    <row r="2057" spans="1:19" ht="409.5" x14ac:dyDescent="0.15">
      <c r="A2057" t="s">
        <v>1614</v>
      </c>
      <c r="B2057" s="61">
        <v>46357</v>
      </c>
      <c r="E2057" t="s">
        <v>355</v>
      </c>
      <c r="F2057" t="s">
        <v>351</v>
      </c>
      <c r="G2057" t="s">
        <v>354</v>
      </c>
      <c r="H2057" t="s">
        <v>353</v>
      </c>
      <c r="I2057">
        <v>2000954</v>
      </c>
      <c r="J2057" t="s">
        <v>1615</v>
      </c>
      <c r="K2057" t="s">
        <v>1251</v>
      </c>
      <c r="L2057" t="s">
        <v>1616</v>
      </c>
      <c r="N2057" t="s">
        <v>1617</v>
      </c>
      <c r="O2057" t="s">
        <v>1618</v>
      </c>
      <c r="R2057" t="s">
        <v>3987</v>
      </c>
      <c r="S2057" s="34" t="s">
        <v>6163</v>
      </c>
    </row>
    <row r="2058" spans="1:19" ht="409.5" x14ac:dyDescent="0.15">
      <c r="A2058" t="s">
        <v>1715</v>
      </c>
      <c r="B2058" s="61">
        <v>46235</v>
      </c>
      <c r="E2058" t="s">
        <v>355</v>
      </c>
      <c r="F2058" t="s">
        <v>351</v>
      </c>
      <c r="G2058" t="s">
        <v>354</v>
      </c>
      <c r="H2058" t="s">
        <v>365</v>
      </c>
      <c r="I2058">
        <v>1500733</v>
      </c>
      <c r="J2058" t="s">
        <v>1750</v>
      </c>
      <c r="K2058" t="s">
        <v>1751</v>
      </c>
      <c r="L2058" t="s">
        <v>390</v>
      </c>
      <c r="N2058" t="s">
        <v>6164</v>
      </c>
      <c r="O2058" t="s">
        <v>1753</v>
      </c>
      <c r="R2058" t="s">
        <v>3986</v>
      </c>
      <c r="S2058" s="34" t="s">
        <v>6165</v>
      </c>
    </row>
    <row r="2059" spans="1:19" ht="216" x14ac:dyDescent="0.15">
      <c r="A2059" t="s">
        <v>1715</v>
      </c>
      <c r="B2059" s="61">
        <v>46235</v>
      </c>
      <c r="E2059" t="s">
        <v>355</v>
      </c>
      <c r="F2059" t="s">
        <v>351</v>
      </c>
      <c r="G2059" t="s">
        <v>354</v>
      </c>
      <c r="H2059" t="s">
        <v>353</v>
      </c>
      <c r="I2059">
        <v>1500846</v>
      </c>
      <c r="J2059" t="s">
        <v>1755</v>
      </c>
      <c r="K2059" t="s">
        <v>1756</v>
      </c>
      <c r="L2059" t="s">
        <v>413</v>
      </c>
      <c r="N2059" t="s">
        <v>6166</v>
      </c>
      <c r="O2059" t="s">
        <v>1758</v>
      </c>
      <c r="R2059" t="s">
        <v>3987</v>
      </c>
      <c r="S2059" s="34" t="s">
        <v>6167</v>
      </c>
    </row>
    <row r="2060" spans="1:19" ht="409.5" x14ac:dyDescent="0.15">
      <c r="A2060" t="s">
        <v>1715</v>
      </c>
      <c r="B2060" s="61">
        <v>46235</v>
      </c>
      <c r="E2060" t="s">
        <v>355</v>
      </c>
      <c r="F2060" t="s">
        <v>351</v>
      </c>
      <c r="G2060" t="s">
        <v>354</v>
      </c>
      <c r="H2060" t="s">
        <v>365</v>
      </c>
      <c r="I2060">
        <v>1500846</v>
      </c>
      <c r="J2060" t="s">
        <v>1755</v>
      </c>
      <c r="K2060" t="s">
        <v>1756</v>
      </c>
      <c r="L2060" t="s">
        <v>413</v>
      </c>
      <c r="N2060" t="s">
        <v>1757</v>
      </c>
      <c r="O2060" t="s">
        <v>1758</v>
      </c>
      <c r="R2060" t="s">
        <v>3987</v>
      </c>
      <c r="S2060" s="34" t="s">
        <v>6168</v>
      </c>
    </row>
    <row r="2061" spans="1:19" ht="202.5" x14ac:dyDescent="0.15">
      <c r="A2061" t="s">
        <v>1715</v>
      </c>
      <c r="B2061" s="61">
        <v>46266</v>
      </c>
      <c r="E2061" t="s">
        <v>355</v>
      </c>
      <c r="F2061" t="s">
        <v>351</v>
      </c>
      <c r="G2061" t="s">
        <v>354</v>
      </c>
      <c r="H2061" t="s">
        <v>353</v>
      </c>
      <c r="I2061">
        <v>1500044</v>
      </c>
      <c r="J2061" t="s">
        <v>1781</v>
      </c>
      <c r="L2061" t="s">
        <v>512</v>
      </c>
      <c r="N2061" t="s">
        <v>1782</v>
      </c>
      <c r="O2061" t="s">
        <v>1783</v>
      </c>
      <c r="R2061" t="s">
        <v>6169</v>
      </c>
      <c r="S2061" s="34" t="s">
        <v>6170</v>
      </c>
    </row>
    <row r="2062" spans="1:19" ht="351" x14ac:dyDescent="0.15">
      <c r="A2062" t="s">
        <v>1715</v>
      </c>
      <c r="B2062" s="61">
        <v>46266</v>
      </c>
      <c r="E2062" t="s">
        <v>355</v>
      </c>
      <c r="F2062" t="s">
        <v>351</v>
      </c>
      <c r="G2062" t="s">
        <v>352</v>
      </c>
      <c r="H2062" t="s">
        <v>353</v>
      </c>
      <c r="I2062">
        <v>1500152</v>
      </c>
      <c r="J2062" t="s">
        <v>1720</v>
      </c>
      <c r="K2062" t="s">
        <v>6171</v>
      </c>
      <c r="L2062" t="s">
        <v>390</v>
      </c>
      <c r="N2062" t="s">
        <v>6172</v>
      </c>
      <c r="O2062" t="s">
        <v>6173</v>
      </c>
      <c r="R2062" t="s">
        <v>3985</v>
      </c>
      <c r="S2062" s="34" t="s">
        <v>6174</v>
      </c>
    </row>
    <row r="2063" spans="1:19" ht="364.5" x14ac:dyDescent="0.15">
      <c r="A2063" t="s">
        <v>1715</v>
      </c>
      <c r="B2063" s="61">
        <v>46266</v>
      </c>
      <c r="E2063" t="s">
        <v>355</v>
      </c>
      <c r="F2063" t="s">
        <v>351</v>
      </c>
      <c r="G2063" t="s">
        <v>354</v>
      </c>
      <c r="H2063" t="s">
        <v>353</v>
      </c>
      <c r="I2063">
        <v>1500647</v>
      </c>
      <c r="J2063" t="s">
        <v>1781</v>
      </c>
      <c r="L2063" t="s">
        <v>1769</v>
      </c>
      <c r="N2063" t="s">
        <v>6175</v>
      </c>
      <c r="O2063" t="s">
        <v>1785</v>
      </c>
      <c r="R2063" t="s">
        <v>6176</v>
      </c>
      <c r="S2063" s="34" t="s">
        <v>6177</v>
      </c>
    </row>
    <row r="2064" spans="1:19" ht="409.5" x14ac:dyDescent="0.15">
      <c r="A2064" t="s">
        <v>1715</v>
      </c>
      <c r="B2064" s="61">
        <v>46266</v>
      </c>
      <c r="E2064" t="s">
        <v>355</v>
      </c>
      <c r="F2064" t="s">
        <v>351</v>
      </c>
      <c r="G2064" t="s">
        <v>354</v>
      </c>
      <c r="H2064" t="s">
        <v>365</v>
      </c>
      <c r="I2064">
        <v>1500690</v>
      </c>
      <c r="J2064" t="s">
        <v>1726</v>
      </c>
      <c r="K2064" t="s">
        <v>1727</v>
      </c>
      <c r="L2064" t="s">
        <v>1728</v>
      </c>
      <c r="N2064" t="s">
        <v>1729</v>
      </c>
      <c r="O2064" t="s">
        <v>1730</v>
      </c>
      <c r="S2064" s="34" t="s">
        <v>6178</v>
      </c>
    </row>
    <row r="2065" spans="1:19" ht="243" x14ac:dyDescent="0.15">
      <c r="A2065" t="s">
        <v>1715</v>
      </c>
      <c r="B2065" s="61">
        <v>46266</v>
      </c>
      <c r="E2065" t="s">
        <v>355</v>
      </c>
      <c r="F2065" t="s">
        <v>351</v>
      </c>
      <c r="G2065" t="s">
        <v>352</v>
      </c>
      <c r="H2065" t="s">
        <v>5779</v>
      </c>
      <c r="I2065">
        <v>1500731</v>
      </c>
      <c r="J2065" t="s">
        <v>1063</v>
      </c>
      <c r="K2065" t="s">
        <v>6179</v>
      </c>
      <c r="L2065" t="s">
        <v>1114</v>
      </c>
      <c r="N2065" t="s">
        <v>6180</v>
      </c>
      <c r="O2065" t="s">
        <v>6181</v>
      </c>
      <c r="R2065" t="s">
        <v>3985</v>
      </c>
      <c r="S2065" s="34" t="s">
        <v>6182</v>
      </c>
    </row>
    <row r="2066" spans="1:19" ht="229.5" x14ac:dyDescent="0.15">
      <c r="A2066" t="s">
        <v>1715</v>
      </c>
      <c r="B2066" s="61">
        <v>46296</v>
      </c>
      <c r="E2066" t="s">
        <v>355</v>
      </c>
      <c r="F2066" t="s">
        <v>351</v>
      </c>
      <c r="G2066" t="s">
        <v>352</v>
      </c>
      <c r="H2066" t="s">
        <v>353</v>
      </c>
      <c r="I2066">
        <v>600184</v>
      </c>
      <c r="J2066" t="s">
        <v>1745</v>
      </c>
      <c r="K2066" t="s">
        <v>1746</v>
      </c>
      <c r="L2066" t="s">
        <v>6183</v>
      </c>
      <c r="N2066" t="s">
        <v>6184</v>
      </c>
      <c r="O2066" t="s">
        <v>6185</v>
      </c>
      <c r="R2066" t="s">
        <v>3985</v>
      </c>
      <c r="S2066" s="34" t="s">
        <v>6186</v>
      </c>
    </row>
    <row r="2067" spans="1:19" ht="378" x14ac:dyDescent="0.15">
      <c r="A2067" t="s">
        <v>1715</v>
      </c>
      <c r="B2067" s="61">
        <v>46296</v>
      </c>
      <c r="E2067" t="s">
        <v>355</v>
      </c>
      <c r="F2067" t="s">
        <v>351</v>
      </c>
      <c r="G2067" t="s">
        <v>352</v>
      </c>
      <c r="H2067" t="s">
        <v>365</v>
      </c>
      <c r="I2067">
        <v>1500566</v>
      </c>
      <c r="J2067" t="s">
        <v>1755</v>
      </c>
      <c r="L2067" t="s">
        <v>698</v>
      </c>
      <c r="N2067" t="s">
        <v>6187</v>
      </c>
      <c r="O2067" t="s">
        <v>6188</v>
      </c>
      <c r="R2067" t="s">
        <v>3985</v>
      </c>
      <c r="S2067" s="34" t="s">
        <v>6189</v>
      </c>
    </row>
    <row r="2068" spans="1:19" ht="409.5" x14ac:dyDescent="0.15">
      <c r="A2068" t="s">
        <v>1715</v>
      </c>
      <c r="B2068" s="61">
        <v>46296</v>
      </c>
      <c r="E2068" t="s">
        <v>355</v>
      </c>
      <c r="F2068" t="s">
        <v>351</v>
      </c>
      <c r="G2068" t="s">
        <v>354</v>
      </c>
      <c r="H2068" t="s">
        <v>353</v>
      </c>
      <c r="I2068">
        <v>1500581</v>
      </c>
      <c r="J2068" t="s">
        <v>1791</v>
      </c>
      <c r="K2068" t="s">
        <v>1792</v>
      </c>
      <c r="L2068" t="s">
        <v>1793</v>
      </c>
      <c r="N2068" t="s">
        <v>6190</v>
      </c>
      <c r="O2068" t="s">
        <v>1795</v>
      </c>
      <c r="R2068" t="s">
        <v>3986</v>
      </c>
      <c r="S2068" s="34" t="s">
        <v>6191</v>
      </c>
    </row>
    <row r="2069" spans="1:19" ht="202.5" x14ac:dyDescent="0.15">
      <c r="A2069" t="s">
        <v>1715</v>
      </c>
      <c r="B2069" s="61">
        <v>46296</v>
      </c>
      <c r="E2069" t="s">
        <v>355</v>
      </c>
      <c r="F2069" t="s">
        <v>351</v>
      </c>
      <c r="G2069" t="s">
        <v>354</v>
      </c>
      <c r="H2069" t="s">
        <v>686</v>
      </c>
      <c r="I2069">
        <v>1500581</v>
      </c>
      <c r="J2069" t="s">
        <v>1791</v>
      </c>
      <c r="K2069" t="s">
        <v>1792</v>
      </c>
      <c r="L2069" t="s">
        <v>1793</v>
      </c>
      <c r="N2069">
        <v>2140559</v>
      </c>
      <c r="O2069" t="s">
        <v>1795</v>
      </c>
      <c r="R2069" t="s">
        <v>3986</v>
      </c>
      <c r="S2069" s="34" t="s">
        <v>6192</v>
      </c>
    </row>
    <row r="2070" spans="1:19" ht="378" x14ac:dyDescent="0.15">
      <c r="A2070" t="s">
        <v>1715</v>
      </c>
      <c r="B2070" s="61">
        <v>46296</v>
      </c>
      <c r="E2070" t="s">
        <v>355</v>
      </c>
      <c r="F2070" t="s">
        <v>351</v>
      </c>
      <c r="G2070" t="s">
        <v>354</v>
      </c>
      <c r="H2070" t="s">
        <v>686</v>
      </c>
      <c r="I2070">
        <v>1500748</v>
      </c>
      <c r="J2070" t="s">
        <v>1716</v>
      </c>
      <c r="K2070" t="s">
        <v>1717</v>
      </c>
      <c r="L2070" t="s">
        <v>1718</v>
      </c>
      <c r="N2070">
        <v>2176199</v>
      </c>
      <c r="O2070" t="s">
        <v>1719</v>
      </c>
      <c r="S2070" s="34" t="s">
        <v>6193</v>
      </c>
    </row>
    <row r="2071" spans="1:19" ht="409.5" x14ac:dyDescent="0.15">
      <c r="A2071" t="s">
        <v>1715</v>
      </c>
      <c r="B2071" s="61">
        <v>46296</v>
      </c>
      <c r="E2071" t="s">
        <v>355</v>
      </c>
      <c r="F2071" t="s">
        <v>351</v>
      </c>
      <c r="G2071" t="s">
        <v>354</v>
      </c>
      <c r="H2071" t="s">
        <v>365</v>
      </c>
      <c r="I2071">
        <v>1500748</v>
      </c>
      <c r="J2071" t="s">
        <v>1716</v>
      </c>
      <c r="K2071" t="s">
        <v>1717</v>
      </c>
      <c r="L2071" t="s">
        <v>1718</v>
      </c>
      <c r="N2071" t="s">
        <v>4828</v>
      </c>
      <c r="O2071" t="s">
        <v>1719</v>
      </c>
      <c r="S2071" s="34" t="s">
        <v>6194</v>
      </c>
    </row>
    <row r="2072" spans="1:19" ht="216" x14ac:dyDescent="0.15">
      <c r="A2072" t="s">
        <v>1715</v>
      </c>
      <c r="B2072" s="61">
        <v>46327</v>
      </c>
      <c r="E2072" t="s">
        <v>355</v>
      </c>
      <c r="F2072" t="s">
        <v>351</v>
      </c>
      <c r="G2072" t="s">
        <v>354</v>
      </c>
      <c r="H2072" t="s">
        <v>365</v>
      </c>
      <c r="I2072">
        <v>600024</v>
      </c>
      <c r="J2072" t="s">
        <v>1745</v>
      </c>
      <c r="K2072" t="s">
        <v>1746</v>
      </c>
      <c r="L2072" t="s">
        <v>373</v>
      </c>
      <c r="N2072" t="s">
        <v>1788</v>
      </c>
      <c r="O2072" t="s">
        <v>1789</v>
      </c>
      <c r="R2072" t="s">
        <v>3986</v>
      </c>
      <c r="S2072" s="34" t="s">
        <v>6195</v>
      </c>
    </row>
    <row r="2073" spans="1:19" ht="409.5" x14ac:dyDescent="0.15">
      <c r="A2073" t="s">
        <v>1715</v>
      </c>
      <c r="B2073" s="61">
        <v>46357</v>
      </c>
      <c r="E2073" t="s">
        <v>355</v>
      </c>
      <c r="F2073" t="s">
        <v>351</v>
      </c>
      <c r="G2073" t="s">
        <v>354</v>
      </c>
      <c r="H2073" t="s">
        <v>686</v>
      </c>
      <c r="I2073">
        <v>1500748</v>
      </c>
      <c r="J2073" t="s">
        <v>1716</v>
      </c>
      <c r="K2073" t="s">
        <v>1717</v>
      </c>
      <c r="L2073" t="s">
        <v>1718</v>
      </c>
      <c r="N2073">
        <v>2174444</v>
      </c>
      <c r="O2073" t="s">
        <v>1719</v>
      </c>
      <c r="S2073" s="34" t="s">
        <v>6196</v>
      </c>
    </row>
    <row r="2074" spans="1:19" ht="409.5" x14ac:dyDescent="0.15">
      <c r="A2074" t="s">
        <v>1715</v>
      </c>
      <c r="B2074" s="61">
        <v>46357</v>
      </c>
      <c r="E2074" t="s">
        <v>355</v>
      </c>
      <c r="F2074" t="s">
        <v>351</v>
      </c>
      <c r="G2074" t="s">
        <v>354</v>
      </c>
      <c r="H2074" t="s">
        <v>686</v>
      </c>
      <c r="I2074">
        <v>1500776</v>
      </c>
      <c r="J2074" t="s">
        <v>1052</v>
      </c>
      <c r="K2074" t="s">
        <v>4414</v>
      </c>
      <c r="L2074" t="s">
        <v>4415</v>
      </c>
      <c r="N2074">
        <v>2062293</v>
      </c>
      <c r="O2074" t="s">
        <v>4416</v>
      </c>
      <c r="R2074" t="s">
        <v>4052</v>
      </c>
      <c r="S2074" s="34" t="s">
        <v>6197</v>
      </c>
    </row>
    <row r="2075" spans="1:19" ht="409.5" x14ac:dyDescent="0.15">
      <c r="A2075" t="s">
        <v>1715</v>
      </c>
      <c r="B2075" s="61">
        <v>46357</v>
      </c>
      <c r="E2075" t="s">
        <v>355</v>
      </c>
      <c r="F2075" t="s">
        <v>351</v>
      </c>
      <c r="G2075" t="s">
        <v>354</v>
      </c>
      <c r="H2075" t="s">
        <v>309</v>
      </c>
      <c r="I2075">
        <v>1500776</v>
      </c>
      <c r="J2075" t="s">
        <v>1052</v>
      </c>
      <c r="K2075" t="s">
        <v>4414</v>
      </c>
      <c r="L2075" t="s">
        <v>4415</v>
      </c>
      <c r="N2075" t="s">
        <v>6198</v>
      </c>
      <c r="O2075" t="s">
        <v>4416</v>
      </c>
      <c r="R2075" t="s">
        <v>4052</v>
      </c>
      <c r="S2075" s="34" t="s">
        <v>6199</v>
      </c>
    </row>
    <row r="2076" spans="1:19" ht="409.5" x14ac:dyDescent="0.15">
      <c r="A2076" t="s">
        <v>1797</v>
      </c>
      <c r="B2076" s="61">
        <v>46235</v>
      </c>
      <c r="E2076" t="s">
        <v>355</v>
      </c>
      <c r="F2076" t="s">
        <v>351</v>
      </c>
      <c r="G2076" t="s">
        <v>354</v>
      </c>
      <c r="H2076" t="s">
        <v>686</v>
      </c>
      <c r="I2076">
        <v>2802371</v>
      </c>
      <c r="J2076" t="s">
        <v>4341</v>
      </c>
      <c r="K2076" t="s">
        <v>440</v>
      </c>
      <c r="L2076" t="s">
        <v>916</v>
      </c>
      <c r="N2076">
        <v>2158503</v>
      </c>
      <c r="O2076" t="s">
        <v>4342</v>
      </c>
      <c r="R2076" t="s">
        <v>3987</v>
      </c>
      <c r="S2076" s="34" t="s">
        <v>6200</v>
      </c>
    </row>
    <row r="2077" spans="1:19" ht="409.5" x14ac:dyDescent="0.15">
      <c r="A2077" t="s">
        <v>1797</v>
      </c>
      <c r="B2077" s="61">
        <v>46266</v>
      </c>
      <c r="E2077" t="s">
        <v>355</v>
      </c>
      <c r="F2077" t="s">
        <v>351</v>
      </c>
      <c r="G2077" t="s">
        <v>354</v>
      </c>
      <c r="H2077" t="s">
        <v>686</v>
      </c>
      <c r="I2077">
        <v>2801283</v>
      </c>
      <c r="J2077" t="s">
        <v>1212</v>
      </c>
      <c r="K2077" t="s">
        <v>3999</v>
      </c>
      <c r="L2077" t="s">
        <v>1799</v>
      </c>
      <c r="N2077">
        <v>2144960</v>
      </c>
      <c r="O2077" t="s">
        <v>1801</v>
      </c>
      <c r="R2077" t="s">
        <v>3987</v>
      </c>
      <c r="S2077" s="34" t="s">
        <v>6201</v>
      </c>
    </row>
    <row r="2078" spans="1:19" ht="364.5" x14ac:dyDescent="0.15">
      <c r="A2078" t="s">
        <v>1797</v>
      </c>
      <c r="B2078" s="61">
        <v>46296</v>
      </c>
      <c r="E2078" t="s">
        <v>355</v>
      </c>
      <c r="F2078" t="s">
        <v>351</v>
      </c>
      <c r="G2078" t="s">
        <v>352</v>
      </c>
      <c r="H2078" t="s">
        <v>353</v>
      </c>
      <c r="I2078">
        <v>2800843</v>
      </c>
      <c r="J2078" t="s">
        <v>1803</v>
      </c>
      <c r="L2078" t="s">
        <v>1804</v>
      </c>
      <c r="N2078" t="s">
        <v>1805</v>
      </c>
      <c r="O2078" t="s">
        <v>1806</v>
      </c>
      <c r="R2078" t="s">
        <v>3985</v>
      </c>
      <c r="S2078" s="34" t="s">
        <v>6202</v>
      </c>
    </row>
    <row r="2079" spans="1:19" ht="409.5" x14ac:dyDescent="0.15">
      <c r="A2079" t="s">
        <v>1797</v>
      </c>
      <c r="B2079" s="61">
        <v>46296</v>
      </c>
      <c r="E2079" t="s">
        <v>355</v>
      </c>
      <c r="F2079" t="s">
        <v>351</v>
      </c>
      <c r="G2079" t="s">
        <v>354</v>
      </c>
      <c r="H2079" t="s">
        <v>686</v>
      </c>
      <c r="I2079">
        <v>2801283</v>
      </c>
      <c r="J2079" t="s">
        <v>1212</v>
      </c>
      <c r="K2079" t="s">
        <v>3999</v>
      </c>
      <c r="L2079" t="s">
        <v>1799</v>
      </c>
      <c r="N2079">
        <v>2144960</v>
      </c>
      <c r="O2079" t="s">
        <v>1801</v>
      </c>
      <c r="S2079" s="34" t="s">
        <v>6203</v>
      </c>
    </row>
    <row r="2080" spans="1:19" ht="409.5" x14ac:dyDescent="0.15">
      <c r="A2080" t="s">
        <v>1797</v>
      </c>
      <c r="B2080" s="61">
        <v>46327</v>
      </c>
      <c r="E2080" t="s">
        <v>355</v>
      </c>
      <c r="F2080" t="s">
        <v>351</v>
      </c>
      <c r="G2080" t="s">
        <v>354</v>
      </c>
      <c r="H2080" t="s">
        <v>353</v>
      </c>
      <c r="I2080">
        <v>2802371</v>
      </c>
      <c r="J2080" t="s">
        <v>4341</v>
      </c>
      <c r="K2080" t="s">
        <v>440</v>
      </c>
      <c r="L2080" t="s">
        <v>916</v>
      </c>
      <c r="N2080" t="s">
        <v>6204</v>
      </c>
      <c r="O2080" t="s">
        <v>4342</v>
      </c>
      <c r="R2080" t="s">
        <v>3987</v>
      </c>
      <c r="S2080" s="34" t="s">
        <v>6205</v>
      </c>
    </row>
    <row r="2081" spans="1:19" ht="409.5" x14ac:dyDescent="0.15">
      <c r="A2081" t="s">
        <v>1797</v>
      </c>
      <c r="B2081" s="61">
        <v>46327</v>
      </c>
      <c r="E2081" t="s">
        <v>355</v>
      </c>
      <c r="F2081" t="s">
        <v>351</v>
      </c>
      <c r="G2081" t="s">
        <v>354</v>
      </c>
      <c r="H2081" t="s">
        <v>686</v>
      </c>
      <c r="I2081">
        <v>2802371</v>
      </c>
      <c r="J2081" t="s">
        <v>4341</v>
      </c>
      <c r="K2081" t="s">
        <v>440</v>
      </c>
      <c r="L2081" t="s">
        <v>916</v>
      </c>
      <c r="N2081">
        <v>2158503</v>
      </c>
      <c r="O2081" t="s">
        <v>4342</v>
      </c>
      <c r="R2081" t="s">
        <v>3987</v>
      </c>
      <c r="S2081" s="34" t="s">
        <v>6200</v>
      </c>
    </row>
    <row r="2082" spans="1:19" ht="409.5" x14ac:dyDescent="0.15">
      <c r="A2082" t="s">
        <v>1797</v>
      </c>
      <c r="B2082" s="61">
        <v>46357</v>
      </c>
      <c r="E2082" t="s">
        <v>355</v>
      </c>
      <c r="F2082" t="s">
        <v>351</v>
      </c>
      <c r="G2082" t="s">
        <v>354</v>
      </c>
      <c r="H2082" t="s">
        <v>686</v>
      </c>
      <c r="I2082">
        <v>2801283</v>
      </c>
      <c r="J2082" t="s">
        <v>1212</v>
      </c>
      <c r="K2082" t="s">
        <v>3999</v>
      </c>
      <c r="L2082" t="s">
        <v>1799</v>
      </c>
      <c r="N2082">
        <v>2144960</v>
      </c>
      <c r="O2082" t="s">
        <v>1801</v>
      </c>
      <c r="S2082" s="34" t="s">
        <v>6201</v>
      </c>
    </row>
    <row r="2083" spans="1:19" ht="409.5" x14ac:dyDescent="0.15">
      <c r="A2083" t="s">
        <v>1797</v>
      </c>
      <c r="B2083" s="61">
        <v>46357</v>
      </c>
      <c r="E2083" t="s">
        <v>355</v>
      </c>
      <c r="F2083" t="s">
        <v>351</v>
      </c>
      <c r="G2083" t="s">
        <v>354</v>
      </c>
      <c r="H2083" t="s">
        <v>309</v>
      </c>
      <c r="I2083">
        <v>2801416</v>
      </c>
      <c r="J2083" t="s">
        <v>531</v>
      </c>
      <c r="K2083" t="s">
        <v>6206</v>
      </c>
      <c r="L2083" t="s">
        <v>368</v>
      </c>
      <c r="N2083" t="s">
        <v>6207</v>
      </c>
      <c r="O2083" t="s">
        <v>6208</v>
      </c>
      <c r="S2083" s="34" t="s">
        <v>6209</v>
      </c>
    </row>
    <row r="2084" spans="1:19" ht="409.5" x14ac:dyDescent="0.15">
      <c r="A2084" t="s">
        <v>1797</v>
      </c>
      <c r="B2084" s="61">
        <v>46357</v>
      </c>
      <c r="E2084" t="s">
        <v>355</v>
      </c>
      <c r="F2084" t="s">
        <v>351</v>
      </c>
      <c r="G2084" t="s">
        <v>354</v>
      </c>
      <c r="H2084" t="s">
        <v>353</v>
      </c>
      <c r="I2084">
        <v>2801416</v>
      </c>
      <c r="J2084" t="s">
        <v>531</v>
      </c>
      <c r="K2084" t="s">
        <v>6206</v>
      </c>
      <c r="L2084" t="s">
        <v>368</v>
      </c>
      <c r="N2084" t="s">
        <v>6210</v>
      </c>
      <c r="O2084" t="s">
        <v>6208</v>
      </c>
      <c r="S2084" s="34" t="s">
        <v>6211</v>
      </c>
    </row>
    <row r="2085" spans="1:19" ht="216" x14ac:dyDescent="0.15">
      <c r="A2085" t="s">
        <v>1817</v>
      </c>
      <c r="B2085" s="61">
        <v>46235</v>
      </c>
      <c r="E2085" t="s">
        <v>355</v>
      </c>
      <c r="F2085" t="s">
        <v>351</v>
      </c>
      <c r="G2085" t="s">
        <v>354</v>
      </c>
      <c r="H2085" t="s">
        <v>365</v>
      </c>
      <c r="I2085">
        <v>2800113</v>
      </c>
      <c r="J2085" t="s">
        <v>1831</v>
      </c>
      <c r="L2085" t="s">
        <v>390</v>
      </c>
      <c r="N2085" t="s">
        <v>1832</v>
      </c>
      <c r="O2085" t="s">
        <v>1833</v>
      </c>
      <c r="R2085" t="s">
        <v>3986</v>
      </c>
      <c r="S2085" s="34" t="s">
        <v>6212</v>
      </c>
    </row>
    <row r="2086" spans="1:19" ht="216" x14ac:dyDescent="0.15">
      <c r="A2086" t="s">
        <v>1817</v>
      </c>
      <c r="B2086" s="61">
        <v>46266</v>
      </c>
      <c r="E2086" t="s">
        <v>355</v>
      </c>
      <c r="F2086" t="s">
        <v>351</v>
      </c>
      <c r="G2086" t="s">
        <v>354</v>
      </c>
      <c r="H2086" t="s">
        <v>353</v>
      </c>
      <c r="I2086">
        <v>2800240</v>
      </c>
      <c r="J2086" t="s">
        <v>1825</v>
      </c>
      <c r="K2086" t="s">
        <v>1826</v>
      </c>
      <c r="L2086" t="s">
        <v>1827</v>
      </c>
      <c r="N2086" t="s">
        <v>1828</v>
      </c>
      <c r="O2086" t="s">
        <v>1829</v>
      </c>
      <c r="S2086" s="34" t="s">
        <v>6215</v>
      </c>
    </row>
    <row r="2087" spans="1:19" ht="409.5" x14ac:dyDescent="0.15">
      <c r="A2087" t="s">
        <v>1817</v>
      </c>
      <c r="B2087" s="61">
        <v>46296</v>
      </c>
      <c r="E2087" t="s">
        <v>355</v>
      </c>
      <c r="F2087" t="s">
        <v>351</v>
      </c>
      <c r="G2087" t="s">
        <v>354</v>
      </c>
      <c r="H2087" t="s">
        <v>353</v>
      </c>
      <c r="I2087">
        <v>2802073</v>
      </c>
      <c r="J2087" t="s">
        <v>3187</v>
      </c>
      <c r="K2087" t="s">
        <v>6216</v>
      </c>
      <c r="L2087" t="s">
        <v>6216</v>
      </c>
      <c r="N2087" t="s">
        <v>6217</v>
      </c>
      <c r="O2087" t="s">
        <v>6218</v>
      </c>
      <c r="S2087" s="34" t="s">
        <v>6219</v>
      </c>
    </row>
    <row r="2088" spans="1:19" ht="409.5" x14ac:dyDescent="0.15">
      <c r="A2088" t="s">
        <v>1817</v>
      </c>
      <c r="B2088" s="61">
        <v>46296</v>
      </c>
      <c r="E2088" t="s">
        <v>355</v>
      </c>
      <c r="F2088" t="s">
        <v>351</v>
      </c>
      <c r="G2088" t="s">
        <v>354</v>
      </c>
      <c r="H2088" t="s">
        <v>686</v>
      </c>
      <c r="I2088">
        <v>2802310</v>
      </c>
      <c r="J2088" t="s">
        <v>1212</v>
      </c>
      <c r="K2088" t="s">
        <v>6213</v>
      </c>
      <c r="L2088" t="s">
        <v>1835</v>
      </c>
      <c r="N2088">
        <v>2143524</v>
      </c>
      <c r="O2088" t="s">
        <v>1837</v>
      </c>
      <c r="S2088" s="34" t="s">
        <v>6214</v>
      </c>
    </row>
    <row r="2089" spans="1:19" ht="409.5" x14ac:dyDescent="0.15">
      <c r="A2089" t="s">
        <v>1817</v>
      </c>
      <c r="B2089" s="61">
        <v>46327</v>
      </c>
      <c r="E2089" t="s">
        <v>355</v>
      </c>
      <c r="F2089" t="s">
        <v>351</v>
      </c>
      <c r="G2089" t="s">
        <v>354</v>
      </c>
      <c r="H2089" t="s">
        <v>353</v>
      </c>
      <c r="I2089">
        <v>2801506</v>
      </c>
      <c r="J2089" t="s">
        <v>2129</v>
      </c>
      <c r="K2089" t="s">
        <v>6220</v>
      </c>
      <c r="L2089" t="s">
        <v>6221</v>
      </c>
      <c r="N2089" t="s">
        <v>6222</v>
      </c>
      <c r="O2089" t="s">
        <v>6223</v>
      </c>
      <c r="R2089" t="s">
        <v>6224</v>
      </c>
      <c r="S2089" s="34" t="s">
        <v>6225</v>
      </c>
    </row>
    <row r="2090" spans="1:19" ht="409.5" x14ac:dyDescent="0.15">
      <c r="A2090" t="s">
        <v>1817</v>
      </c>
      <c r="B2090" s="61">
        <v>46327</v>
      </c>
      <c r="E2090" t="s">
        <v>355</v>
      </c>
      <c r="F2090" t="s">
        <v>351</v>
      </c>
      <c r="G2090" t="s">
        <v>354</v>
      </c>
      <c r="H2090" t="s">
        <v>686</v>
      </c>
      <c r="I2090">
        <v>2801506</v>
      </c>
      <c r="J2090" t="s">
        <v>2129</v>
      </c>
      <c r="K2090" t="s">
        <v>6220</v>
      </c>
      <c r="L2090" t="s">
        <v>6221</v>
      </c>
      <c r="N2090">
        <v>2152452</v>
      </c>
      <c r="O2090" t="s">
        <v>6223</v>
      </c>
      <c r="R2090" t="s">
        <v>6226</v>
      </c>
      <c r="S2090" s="34" t="s">
        <v>6227</v>
      </c>
    </row>
    <row r="2091" spans="1:19" ht="270" x14ac:dyDescent="0.15">
      <c r="A2091" t="s">
        <v>1817</v>
      </c>
      <c r="B2091" s="61">
        <v>46327</v>
      </c>
      <c r="E2091" t="s">
        <v>355</v>
      </c>
      <c r="F2091" t="s">
        <v>351</v>
      </c>
      <c r="G2091" t="s">
        <v>354</v>
      </c>
      <c r="H2091" t="s">
        <v>686</v>
      </c>
      <c r="I2091">
        <v>2802110</v>
      </c>
      <c r="J2091" t="s">
        <v>974</v>
      </c>
      <c r="K2091" t="s">
        <v>6228</v>
      </c>
      <c r="L2091" t="s">
        <v>584</v>
      </c>
      <c r="N2091">
        <v>2074577</v>
      </c>
      <c r="O2091" t="s">
        <v>6229</v>
      </c>
      <c r="R2091" t="s">
        <v>4564</v>
      </c>
      <c r="S2091" s="34" t="s">
        <v>6230</v>
      </c>
    </row>
    <row r="2092" spans="1:19" ht="409.5" x14ac:dyDescent="0.15">
      <c r="A2092" t="s">
        <v>1817</v>
      </c>
      <c r="B2092" s="61">
        <v>46327</v>
      </c>
      <c r="E2092" t="s">
        <v>355</v>
      </c>
      <c r="F2092" t="s">
        <v>351</v>
      </c>
      <c r="G2092" t="s">
        <v>354</v>
      </c>
      <c r="H2092" t="s">
        <v>686</v>
      </c>
      <c r="I2092">
        <v>2802310</v>
      </c>
      <c r="J2092" t="s">
        <v>1212</v>
      </c>
      <c r="K2092" t="s">
        <v>6213</v>
      </c>
      <c r="L2092" t="s">
        <v>1835</v>
      </c>
      <c r="N2092">
        <v>2143524</v>
      </c>
      <c r="O2092" t="s">
        <v>1837</v>
      </c>
      <c r="R2092" t="s">
        <v>3987</v>
      </c>
      <c r="S2092" s="34" t="s">
        <v>6214</v>
      </c>
    </row>
    <row r="2093" spans="1:19" ht="409.5" x14ac:dyDescent="0.15">
      <c r="A2093" t="s">
        <v>1817</v>
      </c>
      <c r="B2093" s="61">
        <v>46357</v>
      </c>
      <c r="E2093" t="s">
        <v>355</v>
      </c>
      <c r="F2093" t="s">
        <v>351</v>
      </c>
      <c r="G2093" t="s">
        <v>354</v>
      </c>
      <c r="H2093" t="s">
        <v>686</v>
      </c>
      <c r="I2093">
        <v>2802073</v>
      </c>
      <c r="J2093" t="s">
        <v>3187</v>
      </c>
      <c r="K2093" t="s">
        <v>6216</v>
      </c>
      <c r="L2093" t="s">
        <v>6216</v>
      </c>
      <c r="N2093">
        <v>2100439</v>
      </c>
      <c r="O2093" t="s">
        <v>6218</v>
      </c>
      <c r="S2093" s="34" t="s">
        <v>6231</v>
      </c>
    </row>
    <row r="2094" spans="1:19" ht="409.5" x14ac:dyDescent="0.15">
      <c r="A2094" t="s">
        <v>1842</v>
      </c>
      <c r="B2094" s="61">
        <v>46296</v>
      </c>
      <c r="E2094" t="s">
        <v>355</v>
      </c>
      <c r="F2094" t="s">
        <v>351</v>
      </c>
      <c r="G2094" t="s">
        <v>354</v>
      </c>
      <c r="H2094" t="s">
        <v>353</v>
      </c>
      <c r="I2094">
        <v>2801376</v>
      </c>
      <c r="J2094" t="s">
        <v>1851</v>
      </c>
      <c r="K2094" t="s">
        <v>1844</v>
      </c>
      <c r="L2094" t="s">
        <v>6232</v>
      </c>
      <c r="N2094" t="s">
        <v>6233</v>
      </c>
      <c r="O2094" t="s">
        <v>1854</v>
      </c>
      <c r="S2094" s="34" t="s">
        <v>6234</v>
      </c>
    </row>
    <row r="2095" spans="1:19" ht="409.5" x14ac:dyDescent="0.15">
      <c r="A2095" t="s">
        <v>1842</v>
      </c>
      <c r="B2095" s="61">
        <v>46357</v>
      </c>
      <c r="E2095" t="s">
        <v>355</v>
      </c>
      <c r="F2095" t="s">
        <v>351</v>
      </c>
      <c r="G2095" t="s">
        <v>352</v>
      </c>
      <c r="H2095" t="s">
        <v>365</v>
      </c>
      <c r="I2095">
        <v>2801591</v>
      </c>
      <c r="J2095" t="s">
        <v>3598</v>
      </c>
      <c r="K2095" t="s">
        <v>1844</v>
      </c>
      <c r="L2095" t="s">
        <v>3217</v>
      </c>
      <c r="N2095" t="s">
        <v>6235</v>
      </c>
      <c r="O2095" t="s">
        <v>6236</v>
      </c>
      <c r="R2095" t="s">
        <v>3985</v>
      </c>
      <c r="S2095" s="34" t="s">
        <v>6237</v>
      </c>
    </row>
    <row r="2096" spans="1:19" ht="409.5" x14ac:dyDescent="0.15">
      <c r="A2096" t="s">
        <v>1842</v>
      </c>
      <c r="B2096" s="61">
        <v>46357</v>
      </c>
      <c r="E2096" t="s">
        <v>355</v>
      </c>
      <c r="F2096" t="s">
        <v>351</v>
      </c>
      <c r="G2096" t="s">
        <v>354</v>
      </c>
      <c r="H2096" t="s">
        <v>353</v>
      </c>
      <c r="I2096">
        <v>2802322</v>
      </c>
      <c r="J2096" t="s">
        <v>1851</v>
      </c>
      <c r="K2096" t="s">
        <v>1844</v>
      </c>
      <c r="L2096" t="s">
        <v>6238</v>
      </c>
      <c r="N2096" t="s">
        <v>6239</v>
      </c>
      <c r="O2096" t="s">
        <v>1858</v>
      </c>
      <c r="S2096" s="34" t="s">
        <v>6240</v>
      </c>
    </row>
    <row r="2097" spans="1:19" ht="409.5" x14ac:dyDescent="0.15">
      <c r="A2097" t="s">
        <v>1860</v>
      </c>
      <c r="B2097" s="61">
        <v>46266</v>
      </c>
      <c r="E2097" t="s">
        <v>355</v>
      </c>
      <c r="F2097" t="s">
        <v>351</v>
      </c>
      <c r="G2097" t="s">
        <v>354</v>
      </c>
      <c r="H2097" t="s">
        <v>365</v>
      </c>
      <c r="I2097">
        <v>801205</v>
      </c>
      <c r="J2097" t="s">
        <v>1900</v>
      </c>
      <c r="L2097" t="s">
        <v>4267</v>
      </c>
      <c r="N2097" t="s">
        <v>4268</v>
      </c>
      <c r="O2097" t="s">
        <v>4269</v>
      </c>
      <c r="S2097" s="34" t="s">
        <v>6241</v>
      </c>
    </row>
    <row r="2098" spans="1:19" ht="409.5" x14ac:dyDescent="0.15">
      <c r="A2098" t="s">
        <v>1860</v>
      </c>
      <c r="B2098" s="61">
        <v>46266</v>
      </c>
      <c r="E2098" t="s">
        <v>355</v>
      </c>
      <c r="F2098" t="s">
        <v>351</v>
      </c>
      <c r="G2098" t="s">
        <v>354</v>
      </c>
      <c r="H2098" t="s">
        <v>365</v>
      </c>
      <c r="I2098">
        <v>801205</v>
      </c>
      <c r="J2098" t="s">
        <v>1900</v>
      </c>
      <c r="L2098" t="s">
        <v>4267</v>
      </c>
      <c r="N2098" t="s">
        <v>6242</v>
      </c>
      <c r="O2098" t="s">
        <v>4269</v>
      </c>
      <c r="S2098" s="34" t="s">
        <v>6243</v>
      </c>
    </row>
    <row r="2099" spans="1:19" ht="337.5" x14ac:dyDescent="0.15">
      <c r="A2099" t="s">
        <v>1860</v>
      </c>
      <c r="B2099" s="61">
        <v>46296</v>
      </c>
      <c r="E2099" t="s">
        <v>355</v>
      </c>
      <c r="F2099" t="s">
        <v>351</v>
      </c>
      <c r="G2099" t="s">
        <v>354</v>
      </c>
      <c r="H2099" t="s">
        <v>353</v>
      </c>
      <c r="I2099">
        <v>801417</v>
      </c>
      <c r="J2099" t="s">
        <v>1881</v>
      </c>
      <c r="K2099" t="s">
        <v>1882</v>
      </c>
      <c r="L2099" t="s">
        <v>1883</v>
      </c>
      <c r="N2099" t="s">
        <v>6244</v>
      </c>
      <c r="O2099" t="s">
        <v>1885</v>
      </c>
      <c r="R2099" t="s">
        <v>3987</v>
      </c>
      <c r="S2099" s="34" t="s">
        <v>6245</v>
      </c>
    </row>
    <row r="2100" spans="1:19" ht="229.5" x14ac:dyDescent="0.15">
      <c r="A2100" t="s">
        <v>1860</v>
      </c>
      <c r="B2100" s="61">
        <v>46327</v>
      </c>
      <c r="E2100" t="s">
        <v>355</v>
      </c>
      <c r="F2100" t="s">
        <v>351</v>
      </c>
      <c r="G2100" t="s">
        <v>354</v>
      </c>
      <c r="H2100" t="s">
        <v>353</v>
      </c>
      <c r="I2100">
        <v>801372</v>
      </c>
      <c r="J2100" t="s">
        <v>1877</v>
      </c>
      <c r="K2100" t="s">
        <v>1878</v>
      </c>
      <c r="L2100" t="s">
        <v>413</v>
      </c>
      <c r="N2100" t="s">
        <v>1879</v>
      </c>
      <c r="O2100" t="s">
        <v>1880</v>
      </c>
      <c r="R2100" t="s">
        <v>3987</v>
      </c>
      <c r="S2100" s="34" t="s">
        <v>6246</v>
      </c>
    </row>
    <row r="2101" spans="1:19" ht="409.5" x14ac:dyDescent="0.15">
      <c r="A2101" t="s">
        <v>1860</v>
      </c>
      <c r="B2101" s="61">
        <v>46357</v>
      </c>
      <c r="E2101" t="s">
        <v>355</v>
      </c>
      <c r="F2101" t="s">
        <v>351</v>
      </c>
      <c r="G2101" t="s">
        <v>352</v>
      </c>
      <c r="H2101" t="s">
        <v>310</v>
      </c>
      <c r="I2101">
        <v>800392</v>
      </c>
      <c r="J2101" t="s">
        <v>1889</v>
      </c>
      <c r="K2101" t="s">
        <v>403</v>
      </c>
      <c r="L2101" t="s">
        <v>512</v>
      </c>
      <c r="N2101" t="s">
        <v>1890</v>
      </c>
      <c r="O2101" t="s">
        <v>1891</v>
      </c>
      <c r="R2101" t="s">
        <v>3985</v>
      </c>
      <c r="S2101" s="34" t="s">
        <v>6247</v>
      </c>
    </row>
    <row r="2102" spans="1:19" ht="409.5" x14ac:dyDescent="0.15">
      <c r="A2102" t="s">
        <v>1860</v>
      </c>
      <c r="B2102" s="61">
        <v>46357</v>
      </c>
      <c r="E2102" t="s">
        <v>355</v>
      </c>
      <c r="F2102" t="s">
        <v>351</v>
      </c>
      <c r="G2102" t="s">
        <v>354</v>
      </c>
      <c r="H2102" t="s">
        <v>365</v>
      </c>
      <c r="I2102">
        <v>800465</v>
      </c>
      <c r="J2102" t="s">
        <v>775</v>
      </c>
      <c r="K2102" t="s">
        <v>1868</v>
      </c>
      <c r="L2102" t="s">
        <v>1869</v>
      </c>
      <c r="N2102" t="s">
        <v>6248</v>
      </c>
      <c r="O2102" t="s">
        <v>1871</v>
      </c>
      <c r="R2102" t="s">
        <v>3992</v>
      </c>
      <c r="S2102" s="34" t="s">
        <v>6249</v>
      </c>
    </row>
    <row r="2103" spans="1:19" ht="324" x14ac:dyDescent="0.15">
      <c r="A2103" t="s">
        <v>1860</v>
      </c>
      <c r="B2103" s="61">
        <v>46357</v>
      </c>
      <c r="E2103" t="s">
        <v>355</v>
      </c>
      <c r="F2103" t="s">
        <v>351</v>
      </c>
      <c r="G2103" t="s">
        <v>354</v>
      </c>
      <c r="H2103" t="s">
        <v>353</v>
      </c>
      <c r="I2103">
        <v>800465</v>
      </c>
      <c r="J2103" t="s">
        <v>775</v>
      </c>
      <c r="K2103" t="s">
        <v>1868</v>
      </c>
      <c r="L2103" t="s">
        <v>1869</v>
      </c>
      <c r="N2103" t="s">
        <v>6250</v>
      </c>
      <c r="O2103" t="s">
        <v>1871</v>
      </c>
      <c r="R2103" t="s">
        <v>3992</v>
      </c>
      <c r="S2103" s="34" t="s">
        <v>6251</v>
      </c>
    </row>
    <row r="2104" spans="1:19" ht="409.5" x14ac:dyDescent="0.15">
      <c r="A2104" t="s">
        <v>6252</v>
      </c>
      <c r="B2104" s="61">
        <v>46235</v>
      </c>
      <c r="E2104" t="s">
        <v>355</v>
      </c>
      <c r="F2104" t="s">
        <v>351</v>
      </c>
      <c r="G2104" t="s">
        <v>354</v>
      </c>
      <c r="H2104" t="s">
        <v>365</v>
      </c>
      <c r="I2104">
        <v>3300581</v>
      </c>
      <c r="J2104" t="s">
        <v>6253</v>
      </c>
      <c r="L2104" t="s">
        <v>413</v>
      </c>
      <c r="N2104" t="s">
        <v>6254</v>
      </c>
      <c r="O2104" t="s">
        <v>6255</v>
      </c>
      <c r="S2104" s="34" t="s">
        <v>6256</v>
      </c>
    </row>
    <row r="2105" spans="1:19" ht="378" x14ac:dyDescent="0.15">
      <c r="A2105" t="s">
        <v>6252</v>
      </c>
      <c r="B2105" s="61">
        <v>46235</v>
      </c>
      <c r="E2105" t="s">
        <v>355</v>
      </c>
      <c r="F2105" t="s">
        <v>351</v>
      </c>
      <c r="G2105" t="s">
        <v>354</v>
      </c>
      <c r="H2105" t="s">
        <v>365</v>
      </c>
      <c r="I2105">
        <v>3300695</v>
      </c>
      <c r="J2105" t="s">
        <v>743</v>
      </c>
      <c r="K2105" t="s">
        <v>1928</v>
      </c>
      <c r="L2105" t="s">
        <v>6257</v>
      </c>
      <c r="N2105" t="s">
        <v>1930</v>
      </c>
      <c r="O2105" t="s">
        <v>1931</v>
      </c>
      <c r="S2105" s="34" t="s">
        <v>6258</v>
      </c>
    </row>
    <row r="2106" spans="1:19" ht="409.5" x14ac:dyDescent="0.15">
      <c r="A2106" t="s">
        <v>6252</v>
      </c>
      <c r="B2106" s="61">
        <v>46266</v>
      </c>
      <c r="E2106" t="s">
        <v>355</v>
      </c>
      <c r="F2106" t="s">
        <v>351</v>
      </c>
      <c r="G2106" t="s">
        <v>354</v>
      </c>
      <c r="H2106" t="s">
        <v>686</v>
      </c>
      <c r="I2106">
        <v>3300650</v>
      </c>
      <c r="J2106" t="s">
        <v>3825</v>
      </c>
      <c r="K2106" t="s">
        <v>6259</v>
      </c>
      <c r="L2106" t="s">
        <v>6260</v>
      </c>
      <c r="N2106">
        <v>2136655</v>
      </c>
      <c r="O2106" t="s">
        <v>6261</v>
      </c>
      <c r="S2106" s="34" t="s">
        <v>6262</v>
      </c>
    </row>
    <row r="2107" spans="1:19" ht="409.5" x14ac:dyDescent="0.15">
      <c r="A2107" t="s">
        <v>6263</v>
      </c>
      <c r="B2107" s="61">
        <v>46266</v>
      </c>
      <c r="E2107" t="s">
        <v>355</v>
      </c>
      <c r="F2107" t="s">
        <v>351</v>
      </c>
      <c r="G2107" t="s">
        <v>354</v>
      </c>
      <c r="H2107" t="s">
        <v>353</v>
      </c>
      <c r="I2107">
        <v>3300033</v>
      </c>
      <c r="J2107" t="s">
        <v>1924</v>
      </c>
      <c r="K2107" t="s">
        <v>1925</v>
      </c>
      <c r="L2107" t="s">
        <v>1926</v>
      </c>
      <c r="N2107" t="s">
        <v>7354</v>
      </c>
      <c r="O2107" t="s">
        <v>1927</v>
      </c>
      <c r="S2107" s="34" t="s">
        <v>6264</v>
      </c>
    </row>
    <row r="2108" spans="1:19" ht="216" x14ac:dyDescent="0.15">
      <c r="A2108" t="s">
        <v>6263</v>
      </c>
      <c r="B2108" s="61">
        <v>46296</v>
      </c>
      <c r="E2108" t="s">
        <v>355</v>
      </c>
      <c r="F2108" t="s">
        <v>351</v>
      </c>
      <c r="G2108" t="s">
        <v>354</v>
      </c>
      <c r="H2108" t="s">
        <v>353</v>
      </c>
      <c r="I2108">
        <v>3300578</v>
      </c>
      <c r="J2108" t="s">
        <v>1943</v>
      </c>
      <c r="K2108" t="s">
        <v>1944</v>
      </c>
      <c r="L2108" t="s">
        <v>413</v>
      </c>
      <c r="N2108" t="s">
        <v>1950</v>
      </c>
      <c r="O2108" t="s">
        <v>1951</v>
      </c>
      <c r="S2108" s="34" t="s">
        <v>6265</v>
      </c>
    </row>
    <row r="2109" spans="1:19" ht="229.5" x14ac:dyDescent="0.15">
      <c r="A2109" t="s">
        <v>6263</v>
      </c>
      <c r="B2109" s="61">
        <v>46357</v>
      </c>
      <c r="E2109" t="s">
        <v>355</v>
      </c>
      <c r="F2109" t="s">
        <v>351</v>
      </c>
      <c r="G2109" t="s">
        <v>354</v>
      </c>
      <c r="H2109" t="s">
        <v>353</v>
      </c>
      <c r="I2109">
        <v>3300403</v>
      </c>
      <c r="J2109" t="s">
        <v>1943</v>
      </c>
      <c r="K2109" t="s">
        <v>1944</v>
      </c>
      <c r="L2109" t="s">
        <v>698</v>
      </c>
      <c r="N2109" t="s">
        <v>1945</v>
      </c>
      <c r="O2109" t="s">
        <v>1946</v>
      </c>
      <c r="S2109" s="34" t="s">
        <v>6266</v>
      </c>
    </row>
    <row r="2110" spans="1:19" ht="351" x14ac:dyDescent="0.15">
      <c r="A2110" t="s">
        <v>6263</v>
      </c>
      <c r="B2110" s="61">
        <v>46357</v>
      </c>
      <c r="E2110" t="s">
        <v>355</v>
      </c>
      <c r="F2110" t="s">
        <v>351</v>
      </c>
      <c r="G2110" t="s">
        <v>354</v>
      </c>
      <c r="H2110" t="s">
        <v>353</v>
      </c>
      <c r="I2110">
        <v>3300600</v>
      </c>
      <c r="J2110" t="s">
        <v>6267</v>
      </c>
      <c r="K2110" t="s">
        <v>1915</v>
      </c>
      <c r="L2110" t="s">
        <v>6268</v>
      </c>
      <c r="N2110" t="s">
        <v>6269</v>
      </c>
      <c r="O2110" t="s">
        <v>6270</v>
      </c>
      <c r="S2110" s="34" t="s">
        <v>6271</v>
      </c>
    </row>
    <row r="2111" spans="1:19" ht="409.5" x14ac:dyDescent="0.15">
      <c r="A2111" t="s">
        <v>6263</v>
      </c>
      <c r="B2111" s="61">
        <v>46357</v>
      </c>
      <c r="E2111" t="s">
        <v>355</v>
      </c>
      <c r="F2111" t="s">
        <v>351</v>
      </c>
      <c r="G2111" t="s">
        <v>354</v>
      </c>
      <c r="H2111" t="s">
        <v>309</v>
      </c>
      <c r="I2111">
        <v>3300762</v>
      </c>
      <c r="J2111" t="s">
        <v>531</v>
      </c>
      <c r="K2111" t="s">
        <v>4281</v>
      </c>
      <c r="L2111" t="s">
        <v>4282</v>
      </c>
      <c r="N2111" t="s">
        <v>6272</v>
      </c>
      <c r="O2111" t="s">
        <v>4284</v>
      </c>
      <c r="R2111" t="s">
        <v>4320</v>
      </c>
      <c r="S2111" s="34" t="s">
        <v>6273</v>
      </c>
    </row>
    <row r="2112" spans="1:19" ht="409.5" x14ac:dyDescent="0.15">
      <c r="A2112" t="s">
        <v>6263</v>
      </c>
      <c r="B2112" s="61">
        <v>46357</v>
      </c>
      <c r="E2112" t="s">
        <v>355</v>
      </c>
      <c r="F2112" t="s">
        <v>351</v>
      </c>
      <c r="G2112" t="s">
        <v>354</v>
      </c>
      <c r="H2112" t="s">
        <v>353</v>
      </c>
      <c r="I2112">
        <v>3300762</v>
      </c>
      <c r="J2112" t="s">
        <v>531</v>
      </c>
      <c r="K2112" t="s">
        <v>4281</v>
      </c>
      <c r="L2112" t="s">
        <v>4282</v>
      </c>
      <c r="N2112" t="s">
        <v>4283</v>
      </c>
      <c r="O2112" t="s">
        <v>4284</v>
      </c>
      <c r="S2112" s="34" t="s">
        <v>6274</v>
      </c>
    </row>
    <row r="2113" spans="1:19" ht="216" x14ac:dyDescent="0.15">
      <c r="A2113" t="s">
        <v>6275</v>
      </c>
      <c r="B2113" s="61">
        <v>46235</v>
      </c>
      <c r="E2113" t="s">
        <v>355</v>
      </c>
      <c r="F2113" t="s">
        <v>351</v>
      </c>
      <c r="G2113" t="s">
        <v>352</v>
      </c>
      <c r="H2113" t="s">
        <v>365</v>
      </c>
      <c r="I2113">
        <v>1200025</v>
      </c>
      <c r="J2113" t="s">
        <v>6276</v>
      </c>
      <c r="L2113" t="s">
        <v>3217</v>
      </c>
      <c r="N2113" t="s">
        <v>6277</v>
      </c>
      <c r="O2113" t="s">
        <v>6278</v>
      </c>
      <c r="R2113" t="s">
        <v>3985</v>
      </c>
      <c r="S2113" s="34" t="s">
        <v>6279</v>
      </c>
    </row>
    <row r="2114" spans="1:19" ht="378" x14ac:dyDescent="0.15">
      <c r="A2114" t="s">
        <v>6275</v>
      </c>
      <c r="B2114" s="61">
        <v>46235</v>
      </c>
      <c r="E2114" t="s">
        <v>355</v>
      </c>
      <c r="F2114" t="s">
        <v>351</v>
      </c>
      <c r="G2114" t="s">
        <v>354</v>
      </c>
      <c r="H2114" t="s">
        <v>365</v>
      </c>
      <c r="I2114">
        <v>1201606</v>
      </c>
      <c r="J2114" t="s">
        <v>4234</v>
      </c>
      <c r="K2114" t="s">
        <v>4235</v>
      </c>
      <c r="L2114" t="s">
        <v>466</v>
      </c>
      <c r="N2114" t="s">
        <v>4236</v>
      </c>
      <c r="O2114" t="s">
        <v>4237</v>
      </c>
      <c r="R2114" t="s">
        <v>3987</v>
      </c>
      <c r="S2114" s="34" t="s">
        <v>6280</v>
      </c>
    </row>
    <row r="2115" spans="1:19" ht="229.5" x14ac:dyDescent="0.15">
      <c r="A2115" t="s">
        <v>6275</v>
      </c>
      <c r="B2115" s="61">
        <v>46296</v>
      </c>
      <c r="E2115" t="s">
        <v>355</v>
      </c>
      <c r="F2115" t="s">
        <v>351</v>
      </c>
      <c r="G2115" t="s">
        <v>352</v>
      </c>
      <c r="H2115" t="s">
        <v>353</v>
      </c>
      <c r="I2115">
        <v>801260</v>
      </c>
      <c r="J2115" t="s">
        <v>6281</v>
      </c>
      <c r="K2115" t="s">
        <v>1967</v>
      </c>
      <c r="L2115" t="s">
        <v>6282</v>
      </c>
      <c r="N2115" t="s">
        <v>6283</v>
      </c>
      <c r="O2115" t="s">
        <v>6284</v>
      </c>
      <c r="R2115" t="s">
        <v>3985</v>
      </c>
      <c r="S2115" s="34" t="s">
        <v>6285</v>
      </c>
    </row>
    <row r="2116" spans="1:19" ht="229.5" x14ac:dyDescent="0.15">
      <c r="A2116" t="s">
        <v>6275</v>
      </c>
      <c r="B2116" s="61">
        <v>46296</v>
      </c>
      <c r="E2116" t="s">
        <v>355</v>
      </c>
      <c r="F2116" t="s">
        <v>351</v>
      </c>
      <c r="G2116" t="s">
        <v>352</v>
      </c>
      <c r="H2116" t="s">
        <v>353</v>
      </c>
      <c r="I2116">
        <v>801359</v>
      </c>
      <c r="J2116" t="s">
        <v>1966</v>
      </c>
      <c r="K2116" t="s">
        <v>1967</v>
      </c>
      <c r="L2116" t="s">
        <v>1968</v>
      </c>
      <c r="N2116" t="s">
        <v>1969</v>
      </c>
      <c r="O2116" t="s">
        <v>1970</v>
      </c>
      <c r="R2116" t="s">
        <v>3985</v>
      </c>
      <c r="S2116" s="34" t="s">
        <v>6286</v>
      </c>
    </row>
    <row r="2117" spans="1:19" ht="229.5" x14ac:dyDescent="0.15">
      <c r="A2117" t="s">
        <v>6275</v>
      </c>
      <c r="B2117" s="61">
        <v>46296</v>
      </c>
      <c r="E2117" t="s">
        <v>355</v>
      </c>
      <c r="F2117" t="s">
        <v>351</v>
      </c>
      <c r="G2117" t="s">
        <v>352</v>
      </c>
      <c r="H2117" t="s">
        <v>353</v>
      </c>
      <c r="I2117">
        <v>1201437</v>
      </c>
      <c r="J2117" t="s">
        <v>6287</v>
      </c>
      <c r="K2117" t="s">
        <v>6288</v>
      </c>
      <c r="L2117" t="s">
        <v>413</v>
      </c>
      <c r="N2117" t="s">
        <v>6289</v>
      </c>
      <c r="O2117" t="s">
        <v>6290</v>
      </c>
      <c r="R2117" t="s">
        <v>3985</v>
      </c>
      <c r="S2117" s="34" t="s">
        <v>6291</v>
      </c>
    </row>
    <row r="2118" spans="1:19" ht="409.5" x14ac:dyDescent="0.15">
      <c r="A2118" t="s">
        <v>6275</v>
      </c>
      <c r="B2118" s="61">
        <v>46327</v>
      </c>
      <c r="E2118" t="s">
        <v>355</v>
      </c>
      <c r="F2118" t="s">
        <v>351</v>
      </c>
      <c r="G2118" t="s">
        <v>354</v>
      </c>
      <c r="H2118" t="s">
        <v>353</v>
      </c>
      <c r="I2118">
        <v>1200505</v>
      </c>
      <c r="J2118" t="s">
        <v>4105</v>
      </c>
      <c r="K2118" t="s">
        <v>4106</v>
      </c>
      <c r="L2118" t="s">
        <v>4107</v>
      </c>
      <c r="N2118" t="s">
        <v>4108</v>
      </c>
      <c r="O2118" t="s">
        <v>4109</v>
      </c>
      <c r="R2118" t="s">
        <v>3986</v>
      </c>
      <c r="S2118" s="34" t="s">
        <v>6292</v>
      </c>
    </row>
    <row r="2119" spans="1:19" ht="243" x14ac:dyDescent="0.15">
      <c r="A2119" t="s">
        <v>6275</v>
      </c>
      <c r="B2119" s="61">
        <v>46327</v>
      </c>
      <c r="E2119" t="s">
        <v>355</v>
      </c>
      <c r="F2119" t="s">
        <v>351</v>
      </c>
      <c r="G2119" t="s">
        <v>352</v>
      </c>
      <c r="H2119" t="s">
        <v>353</v>
      </c>
      <c r="I2119">
        <v>1201320</v>
      </c>
      <c r="J2119" t="s">
        <v>1984</v>
      </c>
      <c r="K2119" t="s">
        <v>1985</v>
      </c>
      <c r="L2119" t="s">
        <v>413</v>
      </c>
      <c r="N2119" t="s">
        <v>1986</v>
      </c>
      <c r="O2119" t="s">
        <v>1987</v>
      </c>
      <c r="R2119" t="s">
        <v>3985</v>
      </c>
      <c r="S2119" s="34" t="s">
        <v>6293</v>
      </c>
    </row>
    <row r="2120" spans="1:19" ht="409.5" x14ac:dyDescent="0.15">
      <c r="A2120" t="s">
        <v>6294</v>
      </c>
      <c r="B2120" s="61">
        <v>46266</v>
      </c>
      <c r="E2120" t="s">
        <v>355</v>
      </c>
      <c r="F2120" t="s">
        <v>351</v>
      </c>
      <c r="G2120" t="s">
        <v>354</v>
      </c>
      <c r="H2120" t="s">
        <v>3913</v>
      </c>
      <c r="I2120">
        <v>1200268</v>
      </c>
      <c r="J2120" t="s">
        <v>4568</v>
      </c>
      <c r="K2120" t="s">
        <v>4569</v>
      </c>
      <c r="L2120" t="s">
        <v>4570</v>
      </c>
      <c r="N2120" t="s">
        <v>6295</v>
      </c>
      <c r="O2120" t="s">
        <v>4571</v>
      </c>
      <c r="S2120" s="34" t="s">
        <v>6296</v>
      </c>
    </row>
    <row r="2121" spans="1:19" ht="270" x14ac:dyDescent="0.15">
      <c r="A2121" t="s">
        <v>6294</v>
      </c>
      <c r="B2121" s="61">
        <v>46357</v>
      </c>
      <c r="E2121" t="s">
        <v>355</v>
      </c>
      <c r="F2121" t="s">
        <v>351</v>
      </c>
      <c r="G2121" t="s">
        <v>354</v>
      </c>
      <c r="H2121" t="s">
        <v>686</v>
      </c>
      <c r="I2121">
        <v>1200268</v>
      </c>
      <c r="J2121" t="s">
        <v>4568</v>
      </c>
      <c r="K2121" t="s">
        <v>4569</v>
      </c>
      <c r="L2121" t="s">
        <v>4570</v>
      </c>
      <c r="N2121">
        <v>2137575</v>
      </c>
      <c r="O2121" t="s">
        <v>4571</v>
      </c>
      <c r="R2121" t="s">
        <v>3992</v>
      </c>
      <c r="S2121" s="34" t="s">
        <v>6297</v>
      </c>
    </row>
    <row r="2122" spans="1:19" ht="175.5" x14ac:dyDescent="0.15">
      <c r="A2122" t="s">
        <v>1993</v>
      </c>
      <c r="B2122" s="61">
        <v>46266</v>
      </c>
      <c r="E2122" t="s">
        <v>355</v>
      </c>
      <c r="F2122" t="s">
        <v>351</v>
      </c>
      <c r="G2122" t="s">
        <v>354</v>
      </c>
      <c r="H2122" t="s">
        <v>686</v>
      </c>
      <c r="I2122">
        <v>200073</v>
      </c>
      <c r="J2122" t="s">
        <v>4013</v>
      </c>
      <c r="K2122" t="s">
        <v>4014</v>
      </c>
      <c r="L2122" t="s">
        <v>4015</v>
      </c>
      <c r="N2122">
        <v>2097339</v>
      </c>
      <c r="O2122" t="s">
        <v>4016</v>
      </c>
      <c r="R2122" t="s">
        <v>4534</v>
      </c>
      <c r="S2122" s="34" t="s">
        <v>6298</v>
      </c>
    </row>
    <row r="2123" spans="1:19" ht="229.5" x14ac:dyDescent="0.15">
      <c r="A2123" t="s">
        <v>1993</v>
      </c>
      <c r="B2123" s="61">
        <v>46296</v>
      </c>
      <c r="E2123" t="s">
        <v>355</v>
      </c>
      <c r="F2123" t="s">
        <v>351</v>
      </c>
      <c r="G2123" t="s">
        <v>354</v>
      </c>
      <c r="H2123" t="s">
        <v>365</v>
      </c>
      <c r="I2123">
        <v>500001</v>
      </c>
      <c r="J2123" t="s">
        <v>2021</v>
      </c>
      <c r="K2123" t="s">
        <v>2022</v>
      </c>
      <c r="L2123" t="s">
        <v>2023</v>
      </c>
      <c r="N2123" t="s">
        <v>2024</v>
      </c>
      <c r="O2123" t="s">
        <v>2025</v>
      </c>
      <c r="R2123" t="s">
        <v>3987</v>
      </c>
      <c r="S2123" s="34" t="s">
        <v>6299</v>
      </c>
    </row>
    <row r="2124" spans="1:19" ht="409.5" x14ac:dyDescent="0.15">
      <c r="A2124" t="s">
        <v>1993</v>
      </c>
      <c r="B2124" s="61">
        <v>46296</v>
      </c>
      <c r="E2124" t="s">
        <v>355</v>
      </c>
      <c r="F2124" t="s">
        <v>351</v>
      </c>
      <c r="G2124" t="s">
        <v>354</v>
      </c>
      <c r="H2124" t="s">
        <v>353</v>
      </c>
      <c r="I2124">
        <v>500111</v>
      </c>
      <c r="J2124" t="s">
        <v>1298</v>
      </c>
      <c r="K2124" t="s">
        <v>2010</v>
      </c>
      <c r="L2124" t="s">
        <v>2011</v>
      </c>
      <c r="N2124" t="s">
        <v>6300</v>
      </c>
      <c r="O2124" t="s">
        <v>2013</v>
      </c>
      <c r="R2124" t="s">
        <v>4052</v>
      </c>
      <c r="S2124" s="34" t="s">
        <v>6301</v>
      </c>
    </row>
    <row r="2125" spans="1:19" ht="175.5" x14ac:dyDescent="0.15">
      <c r="A2125" t="s">
        <v>1993</v>
      </c>
      <c r="B2125" s="61">
        <v>46327</v>
      </c>
      <c r="E2125" t="s">
        <v>355</v>
      </c>
      <c r="F2125" t="s">
        <v>351</v>
      </c>
      <c r="G2125" t="s">
        <v>354</v>
      </c>
      <c r="H2125" t="s">
        <v>686</v>
      </c>
      <c r="I2125">
        <v>200073</v>
      </c>
      <c r="J2125" t="s">
        <v>4013</v>
      </c>
      <c r="K2125" t="s">
        <v>4014</v>
      </c>
      <c r="L2125" t="s">
        <v>4015</v>
      </c>
      <c r="N2125">
        <v>2097339</v>
      </c>
      <c r="O2125" t="s">
        <v>4016</v>
      </c>
      <c r="R2125" t="s">
        <v>4534</v>
      </c>
      <c r="S2125" s="34" t="s">
        <v>6298</v>
      </c>
    </row>
    <row r="2126" spans="1:19" ht="409.5" x14ac:dyDescent="0.15">
      <c r="A2126" t="s">
        <v>1993</v>
      </c>
      <c r="B2126" s="61">
        <v>46327</v>
      </c>
      <c r="E2126" t="s">
        <v>355</v>
      </c>
      <c r="F2126" t="s">
        <v>351</v>
      </c>
      <c r="G2126" t="s">
        <v>352</v>
      </c>
      <c r="H2126" t="s">
        <v>353</v>
      </c>
      <c r="I2126">
        <v>300180</v>
      </c>
      <c r="J2126" t="s">
        <v>821</v>
      </c>
      <c r="K2126" t="s">
        <v>2014</v>
      </c>
      <c r="L2126" t="s">
        <v>2015</v>
      </c>
      <c r="N2126" t="s">
        <v>2016</v>
      </c>
      <c r="O2126" t="s">
        <v>2017</v>
      </c>
      <c r="R2126" t="s">
        <v>3985</v>
      </c>
      <c r="S2126" s="34" t="s">
        <v>6302</v>
      </c>
    </row>
    <row r="2127" spans="1:19" ht="229.5" x14ac:dyDescent="0.15">
      <c r="A2127" t="s">
        <v>1993</v>
      </c>
      <c r="B2127" s="61">
        <v>46327</v>
      </c>
      <c r="E2127" t="s">
        <v>355</v>
      </c>
      <c r="F2127" t="s">
        <v>351</v>
      </c>
      <c r="G2127" t="s">
        <v>352</v>
      </c>
      <c r="H2127" t="s">
        <v>365</v>
      </c>
      <c r="I2127">
        <v>500115</v>
      </c>
      <c r="J2127" t="s">
        <v>6303</v>
      </c>
      <c r="K2127" t="s">
        <v>6304</v>
      </c>
      <c r="L2127" t="s">
        <v>390</v>
      </c>
      <c r="N2127" t="s">
        <v>6305</v>
      </c>
      <c r="O2127" t="s">
        <v>6306</v>
      </c>
      <c r="R2127" t="s">
        <v>3985</v>
      </c>
      <c r="S2127" s="34" t="s">
        <v>6307</v>
      </c>
    </row>
    <row r="2128" spans="1:19" ht="229.5" x14ac:dyDescent="0.15">
      <c r="A2128" t="s">
        <v>1993</v>
      </c>
      <c r="B2128" s="61">
        <v>46357</v>
      </c>
      <c r="E2128" t="s">
        <v>355</v>
      </c>
      <c r="F2128" t="s">
        <v>351</v>
      </c>
      <c r="G2128" t="s">
        <v>354</v>
      </c>
      <c r="H2128" t="s">
        <v>365</v>
      </c>
      <c r="I2128">
        <v>200092</v>
      </c>
      <c r="J2128" t="s">
        <v>2004</v>
      </c>
      <c r="K2128" t="s">
        <v>2005</v>
      </c>
      <c r="L2128" t="s">
        <v>413</v>
      </c>
      <c r="N2128" t="s">
        <v>2006</v>
      </c>
      <c r="O2128" t="s">
        <v>2007</v>
      </c>
      <c r="R2128" t="s">
        <v>3987</v>
      </c>
      <c r="S2128" s="34" t="s">
        <v>6308</v>
      </c>
    </row>
    <row r="2129" spans="1:19" ht="409.5" x14ac:dyDescent="0.15">
      <c r="A2129" t="s">
        <v>1993</v>
      </c>
      <c r="B2129" s="61">
        <v>46357</v>
      </c>
      <c r="E2129" t="s">
        <v>355</v>
      </c>
      <c r="F2129" t="s">
        <v>351</v>
      </c>
      <c r="G2129" t="s">
        <v>354</v>
      </c>
      <c r="H2129" t="s">
        <v>365</v>
      </c>
      <c r="I2129">
        <v>500128</v>
      </c>
      <c r="J2129" t="s">
        <v>2009</v>
      </c>
      <c r="K2129" t="s">
        <v>1999</v>
      </c>
      <c r="L2129" t="s">
        <v>698</v>
      </c>
      <c r="N2129" t="s">
        <v>2000</v>
      </c>
      <c r="O2129" t="s">
        <v>2001</v>
      </c>
      <c r="R2129" t="s">
        <v>3986</v>
      </c>
      <c r="S2129" s="34" t="s">
        <v>6309</v>
      </c>
    </row>
    <row r="2130" spans="1:19" ht="216" x14ac:dyDescent="0.15">
      <c r="A2130" t="s">
        <v>2027</v>
      </c>
      <c r="B2130" s="61">
        <v>46266</v>
      </c>
      <c r="E2130" t="s">
        <v>355</v>
      </c>
      <c r="F2130" t="s">
        <v>351</v>
      </c>
      <c r="G2130" t="s">
        <v>354</v>
      </c>
      <c r="H2130" t="s">
        <v>353</v>
      </c>
      <c r="I2130">
        <v>2800634</v>
      </c>
      <c r="J2130" t="s">
        <v>2064</v>
      </c>
      <c r="L2130" t="s">
        <v>833</v>
      </c>
      <c r="N2130" t="s">
        <v>2065</v>
      </c>
      <c r="O2130" t="s">
        <v>2066</v>
      </c>
      <c r="R2130" t="s">
        <v>3987</v>
      </c>
      <c r="S2130" s="34" t="s">
        <v>6310</v>
      </c>
    </row>
    <row r="2131" spans="1:19" ht="229.5" x14ac:dyDescent="0.15">
      <c r="A2131" t="s">
        <v>2027</v>
      </c>
      <c r="B2131" s="61">
        <v>46266</v>
      </c>
      <c r="E2131" t="s">
        <v>355</v>
      </c>
      <c r="F2131" t="s">
        <v>351</v>
      </c>
      <c r="G2131" t="s">
        <v>354</v>
      </c>
      <c r="H2131" t="s">
        <v>365</v>
      </c>
      <c r="I2131">
        <v>2801335</v>
      </c>
      <c r="J2131" t="s">
        <v>3951</v>
      </c>
      <c r="K2131" t="s">
        <v>1450</v>
      </c>
      <c r="L2131" t="s">
        <v>613</v>
      </c>
      <c r="N2131" t="s">
        <v>3952</v>
      </c>
      <c r="O2131" t="s">
        <v>3953</v>
      </c>
      <c r="S2131" s="34" t="s">
        <v>6311</v>
      </c>
    </row>
    <row r="2132" spans="1:19" ht="409.5" x14ac:dyDescent="0.15">
      <c r="A2132" t="s">
        <v>2027</v>
      </c>
      <c r="B2132" s="61">
        <v>46266</v>
      </c>
      <c r="E2132" t="s">
        <v>355</v>
      </c>
      <c r="F2132" t="s">
        <v>351</v>
      </c>
      <c r="G2132" t="s">
        <v>354</v>
      </c>
      <c r="H2132" t="s">
        <v>353</v>
      </c>
      <c r="I2132">
        <v>2801335</v>
      </c>
      <c r="J2132" t="s">
        <v>3951</v>
      </c>
      <c r="K2132" t="s">
        <v>1450</v>
      </c>
      <c r="L2132" t="s">
        <v>613</v>
      </c>
      <c r="N2132" t="s">
        <v>4932</v>
      </c>
      <c r="O2132" t="s">
        <v>3953</v>
      </c>
      <c r="S2132" s="34" t="s">
        <v>6312</v>
      </c>
    </row>
    <row r="2133" spans="1:19" ht="243" x14ac:dyDescent="0.15">
      <c r="A2133" t="s">
        <v>2027</v>
      </c>
      <c r="B2133" s="61">
        <v>46266</v>
      </c>
      <c r="E2133" t="s">
        <v>355</v>
      </c>
      <c r="F2133" t="s">
        <v>351</v>
      </c>
      <c r="G2133" t="s">
        <v>354</v>
      </c>
      <c r="H2133" t="s">
        <v>365</v>
      </c>
      <c r="I2133">
        <v>2802245</v>
      </c>
      <c r="J2133" t="s">
        <v>2049</v>
      </c>
      <c r="K2133" t="s">
        <v>2050</v>
      </c>
      <c r="L2133" t="s">
        <v>2051</v>
      </c>
      <c r="N2133" t="s">
        <v>2052</v>
      </c>
      <c r="O2133" t="s">
        <v>2053</v>
      </c>
      <c r="R2133" t="s">
        <v>3986</v>
      </c>
      <c r="S2133" s="34" t="s">
        <v>6313</v>
      </c>
    </row>
    <row r="2134" spans="1:19" ht="409.5" x14ac:dyDescent="0.15">
      <c r="A2134" t="s">
        <v>2027</v>
      </c>
      <c r="B2134" s="61">
        <v>46296</v>
      </c>
      <c r="E2134" t="s">
        <v>355</v>
      </c>
      <c r="F2134" t="s">
        <v>351</v>
      </c>
      <c r="G2134" t="s">
        <v>354</v>
      </c>
      <c r="H2134" t="s">
        <v>353</v>
      </c>
      <c r="I2134">
        <v>2801344</v>
      </c>
      <c r="J2134" t="s">
        <v>464</v>
      </c>
      <c r="K2134" t="s">
        <v>4313</v>
      </c>
      <c r="L2134" t="s">
        <v>4314</v>
      </c>
      <c r="N2134" t="s">
        <v>4315</v>
      </c>
      <c r="O2134" t="s">
        <v>4316</v>
      </c>
      <c r="S2134" s="34" t="s">
        <v>6314</v>
      </c>
    </row>
    <row r="2135" spans="1:19" ht="409.5" x14ac:dyDescent="0.15">
      <c r="A2135" t="s">
        <v>2027</v>
      </c>
      <c r="B2135" s="61">
        <v>46296</v>
      </c>
      <c r="E2135" t="s">
        <v>355</v>
      </c>
      <c r="F2135" t="s">
        <v>351</v>
      </c>
      <c r="G2135" t="s">
        <v>354</v>
      </c>
      <c r="H2135" t="s">
        <v>353</v>
      </c>
      <c r="I2135">
        <v>2802381</v>
      </c>
      <c r="J2135" t="s">
        <v>2040</v>
      </c>
      <c r="K2135" t="s">
        <v>1350</v>
      </c>
      <c r="L2135" t="s">
        <v>2041</v>
      </c>
      <c r="N2135" t="s">
        <v>6315</v>
      </c>
      <c r="O2135" t="s">
        <v>2043</v>
      </c>
      <c r="S2135" s="34" t="s">
        <v>6316</v>
      </c>
    </row>
    <row r="2136" spans="1:19" ht="409.5" x14ac:dyDescent="0.15">
      <c r="A2136" t="s">
        <v>2027</v>
      </c>
      <c r="B2136" s="61">
        <v>46296</v>
      </c>
      <c r="E2136" t="s">
        <v>355</v>
      </c>
      <c r="F2136" t="s">
        <v>351</v>
      </c>
      <c r="G2136" t="s">
        <v>354</v>
      </c>
      <c r="H2136" t="s">
        <v>686</v>
      </c>
      <c r="I2136">
        <v>2802381</v>
      </c>
      <c r="J2136" t="s">
        <v>2040</v>
      </c>
      <c r="K2136" t="s">
        <v>1350</v>
      </c>
      <c r="L2136" t="s">
        <v>2041</v>
      </c>
      <c r="N2136">
        <v>2158366</v>
      </c>
      <c r="O2136" t="s">
        <v>2043</v>
      </c>
      <c r="S2136" s="34" t="s">
        <v>6317</v>
      </c>
    </row>
    <row r="2137" spans="1:19" ht="256.5" x14ac:dyDescent="0.15">
      <c r="A2137" t="s">
        <v>2027</v>
      </c>
      <c r="B2137" s="61">
        <v>46327</v>
      </c>
      <c r="E2137" t="s">
        <v>355</v>
      </c>
      <c r="F2137" t="s">
        <v>351</v>
      </c>
      <c r="G2137" t="s">
        <v>354</v>
      </c>
      <c r="H2137" t="s">
        <v>365</v>
      </c>
      <c r="I2137">
        <v>2600525</v>
      </c>
      <c r="J2137" t="s">
        <v>4507</v>
      </c>
      <c r="K2137" t="s">
        <v>4508</v>
      </c>
      <c r="L2137" t="s">
        <v>4323</v>
      </c>
      <c r="N2137" t="s">
        <v>4509</v>
      </c>
      <c r="O2137" t="s">
        <v>4510</v>
      </c>
      <c r="R2137" t="s">
        <v>3987</v>
      </c>
      <c r="S2137" s="34" t="s">
        <v>6318</v>
      </c>
    </row>
    <row r="2138" spans="1:19" ht="256.5" x14ac:dyDescent="0.15">
      <c r="A2138" t="s">
        <v>2027</v>
      </c>
      <c r="B2138" s="61">
        <v>46327</v>
      </c>
      <c r="E2138" t="s">
        <v>355</v>
      </c>
      <c r="F2138" t="s">
        <v>351</v>
      </c>
      <c r="G2138" t="s">
        <v>354</v>
      </c>
      <c r="H2138" t="s">
        <v>365</v>
      </c>
      <c r="I2138">
        <v>2600526</v>
      </c>
      <c r="J2138" t="s">
        <v>4507</v>
      </c>
      <c r="K2138" t="s">
        <v>4508</v>
      </c>
      <c r="L2138" t="s">
        <v>2082</v>
      </c>
      <c r="N2138" t="s">
        <v>4768</v>
      </c>
      <c r="O2138" t="s">
        <v>4769</v>
      </c>
      <c r="R2138" t="s">
        <v>3987</v>
      </c>
      <c r="S2138" s="34" t="s">
        <v>6319</v>
      </c>
    </row>
    <row r="2139" spans="1:19" ht="409.5" x14ac:dyDescent="0.15">
      <c r="A2139" t="s">
        <v>2027</v>
      </c>
      <c r="B2139" s="61">
        <v>46327</v>
      </c>
      <c r="E2139" t="s">
        <v>355</v>
      </c>
      <c r="F2139" t="s">
        <v>351</v>
      </c>
      <c r="G2139" t="s">
        <v>354</v>
      </c>
      <c r="H2139" t="s">
        <v>365</v>
      </c>
      <c r="I2139">
        <v>2801533</v>
      </c>
      <c r="J2139" t="s">
        <v>2028</v>
      </c>
      <c r="K2139" t="s">
        <v>2029</v>
      </c>
      <c r="L2139" t="s">
        <v>833</v>
      </c>
      <c r="N2139" t="s">
        <v>2038</v>
      </c>
      <c r="O2139" t="s">
        <v>2031</v>
      </c>
      <c r="S2139" s="34" t="s">
        <v>6320</v>
      </c>
    </row>
    <row r="2140" spans="1:19" ht="351" x14ac:dyDescent="0.15">
      <c r="A2140" t="s">
        <v>2067</v>
      </c>
      <c r="B2140" s="61">
        <v>46235</v>
      </c>
      <c r="E2140" t="s">
        <v>355</v>
      </c>
      <c r="F2140" t="s">
        <v>351</v>
      </c>
      <c r="G2140" t="s">
        <v>354</v>
      </c>
      <c r="H2140" t="s">
        <v>353</v>
      </c>
      <c r="I2140">
        <v>2200420</v>
      </c>
      <c r="J2140" t="s">
        <v>2078</v>
      </c>
      <c r="L2140" t="s">
        <v>390</v>
      </c>
      <c r="N2140" t="s">
        <v>7365</v>
      </c>
      <c r="O2140" t="s">
        <v>2079</v>
      </c>
      <c r="R2140" t="s">
        <v>3987</v>
      </c>
      <c r="S2140" s="34" t="s">
        <v>6321</v>
      </c>
    </row>
    <row r="2141" spans="1:19" ht="243" x14ac:dyDescent="0.15">
      <c r="A2141" t="s">
        <v>2067</v>
      </c>
      <c r="B2141" s="61">
        <v>46266</v>
      </c>
      <c r="E2141" t="s">
        <v>355</v>
      </c>
      <c r="F2141" t="s">
        <v>351</v>
      </c>
      <c r="G2141" t="s">
        <v>352</v>
      </c>
      <c r="H2141" t="s">
        <v>365</v>
      </c>
      <c r="I2141">
        <v>2200347</v>
      </c>
      <c r="J2141" t="s">
        <v>2072</v>
      </c>
      <c r="L2141" t="s">
        <v>390</v>
      </c>
      <c r="N2141" t="s">
        <v>2074</v>
      </c>
      <c r="O2141" t="s">
        <v>2075</v>
      </c>
      <c r="R2141" t="s">
        <v>6322</v>
      </c>
      <c r="S2141" s="34" t="s">
        <v>6323</v>
      </c>
    </row>
    <row r="2142" spans="1:19" ht="243" x14ac:dyDescent="0.15">
      <c r="A2142" t="s">
        <v>2067</v>
      </c>
      <c r="B2142" s="61">
        <v>46266</v>
      </c>
      <c r="E2142" t="s">
        <v>355</v>
      </c>
      <c r="F2142" t="s">
        <v>351</v>
      </c>
      <c r="G2142" t="s">
        <v>352</v>
      </c>
      <c r="H2142" t="s">
        <v>365</v>
      </c>
      <c r="I2142">
        <v>2200347</v>
      </c>
      <c r="J2142" t="s">
        <v>2072</v>
      </c>
      <c r="L2142" t="s">
        <v>390</v>
      </c>
      <c r="N2142" t="s">
        <v>2077</v>
      </c>
      <c r="O2142" t="s">
        <v>2075</v>
      </c>
      <c r="R2142" t="s">
        <v>6324</v>
      </c>
      <c r="S2142" s="34" t="s">
        <v>6325</v>
      </c>
    </row>
    <row r="2143" spans="1:19" ht="351" x14ac:dyDescent="0.15">
      <c r="A2143" t="s">
        <v>2067</v>
      </c>
      <c r="B2143" s="61">
        <v>46266</v>
      </c>
      <c r="E2143" t="s">
        <v>355</v>
      </c>
      <c r="F2143" t="s">
        <v>351</v>
      </c>
      <c r="G2143" t="s">
        <v>354</v>
      </c>
      <c r="H2143" t="s">
        <v>365</v>
      </c>
      <c r="I2143">
        <v>2202060</v>
      </c>
      <c r="J2143" t="s">
        <v>6326</v>
      </c>
      <c r="K2143" t="s">
        <v>6327</v>
      </c>
      <c r="L2143" t="s">
        <v>6328</v>
      </c>
      <c r="N2143" t="s">
        <v>6329</v>
      </c>
      <c r="O2143" t="s">
        <v>6330</v>
      </c>
      <c r="R2143" t="s">
        <v>3992</v>
      </c>
      <c r="S2143" s="34" t="s">
        <v>6331</v>
      </c>
    </row>
    <row r="2144" spans="1:19" ht="405" x14ac:dyDescent="0.15">
      <c r="A2144" t="s">
        <v>2067</v>
      </c>
      <c r="B2144" s="61">
        <v>46266</v>
      </c>
      <c r="E2144" t="s">
        <v>355</v>
      </c>
      <c r="F2144" t="s">
        <v>351</v>
      </c>
      <c r="G2144" t="s">
        <v>354</v>
      </c>
      <c r="H2144" t="s">
        <v>309</v>
      </c>
      <c r="I2144">
        <v>2202060</v>
      </c>
      <c r="J2144" t="s">
        <v>6326</v>
      </c>
      <c r="K2144" t="s">
        <v>6327</v>
      </c>
      <c r="L2144" t="s">
        <v>6328</v>
      </c>
      <c r="N2144" t="s">
        <v>6332</v>
      </c>
      <c r="O2144" t="s">
        <v>6330</v>
      </c>
      <c r="R2144" t="s">
        <v>3992</v>
      </c>
      <c r="S2144" s="34" t="s">
        <v>6333</v>
      </c>
    </row>
    <row r="2145" spans="1:19" ht="391.5" x14ac:dyDescent="0.15">
      <c r="A2145" t="s">
        <v>2067</v>
      </c>
      <c r="B2145" s="61">
        <v>46266</v>
      </c>
      <c r="E2145" t="s">
        <v>355</v>
      </c>
      <c r="F2145" t="s">
        <v>351</v>
      </c>
      <c r="G2145" t="s">
        <v>354</v>
      </c>
      <c r="H2145" t="s">
        <v>353</v>
      </c>
      <c r="I2145">
        <v>2202144</v>
      </c>
      <c r="J2145" t="s">
        <v>1909</v>
      </c>
      <c r="K2145" t="s">
        <v>6334</v>
      </c>
      <c r="L2145" t="s">
        <v>2359</v>
      </c>
      <c r="N2145" t="s">
        <v>6335</v>
      </c>
      <c r="O2145" t="s">
        <v>6336</v>
      </c>
      <c r="R2145" t="s">
        <v>6337</v>
      </c>
      <c r="S2145" s="34" t="s">
        <v>6338</v>
      </c>
    </row>
    <row r="2146" spans="1:19" ht="216" x14ac:dyDescent="0.15">
      <c r="A2146" t="s">
        <v>2067</v>
      </c>
      <c r="B2146" s="61">
        <v>46266</v>
      </c>
      <c r="E2146" t="s">
        <v>355</v>
      </c>
      <c r="F2146" t="s">
        <v>351</v>
      </c>
      <c r="G2146" t="s">
        <v>354</v>
      </c>
      <c r="H2146" t="s">
        <v>353</v>
      </c>
      <c r="I2146">
        <v>2202144</v>
      </c>
      <c r="J2146" t="s">
        <v>1909</v>
      </c>
      <c r="K2146" t="s">
        <v>6334</v>
      </c>
      <c r="L2146" t="s">
        <v>2359</v>
      </c>
      <c r="N2146" t="s">
        <v>6339</v>
      </c>
      <c r="O2146" t="s">
        <v>6336</v>
      </c>
      <c r="S2146" s="34" t="s">
        <v>6340</v>
      </c>
    </row>
    <row r="2147" spans="1:19" ht="270" x14ac:dyDescent="0.15">
      <c r="A2147" t="s">
        <v>2067</v>
      </c>
      <c r="B2147" s="61">
        <v>46266</v>
      </c>
      <c r="E2147" t="s">
        <v>355</v>
      </c>
      <c r="F2147" t="s">
        <v>351</v>
      </c>
      <c r="G2147" t="s">
        <v>354</v>
      </c>
      <c r="H2147" t="s">
        <v>3913</v>
      </c>
      <c r="I2147">
        <v>2202144</v>
      </c>
      <c r="J2147" t="s">
        <v>1909</v>
      </c>
      <c r="K2147" t="s">
        <v>6334</v>
      </c>
      <c r="L2147" t="s">
        <v>2359</v>
      </c>
      <c r="N2147" t="s">
        <v>6341</v>
      </c>
      <c r="O2147" t="s">
        <v>6336</v>
      </c>
      <c r="S2147" s="34" t="s">
        <v>6342</v>
      </c>
    </row>
    <row r="2148" spans="1:19" ht="409.5" x14ac:dyDescent="0.15">
      <c r="A2148" t="s">
        <v>2067</v>
      </c>
      <c r="B2148" s="61">
        <v>46327</v>
      </c>
      <c r="E2148" t="s">
        <v>355</v>
      </c>
      <c r="F2148" t="s">
        <v>351</v>
      </c>
      <c r="G2148" t="s">
        <v>354</v>
      </c>
      <c r="H2148" t="s">
        <v>365</v>
      </c>
      <c r="I2148">
        <v>2202432</v>
      </c>
      <c r="J2148" t="s">
        <v>2080</v>
      </c>
      <c r="K2148" t="s">
        <v>2081</v>
      </c>
      <c r="L2148" t="s">
        <v>2082</v>
      </c>
      <c r="N2148" t="s">
        <v>2083</v>
      </c>
      <c r="O2148" t="s">
        <v>2084</v>
      </c>
      <c r="R2148" t="s">
        <v>3986</v>
      </c>
      <c r="S2148" s="34" t="s">
        <v>6343</v>
      </c>
    </row>
    <row r="2149" spans="1:19" ht="409.5" x14ac:dyDescent="0.15">
      <c r="A2149" t="s">
        <v>2067</v>
      </c>
      <c r="B2149" s="61">
        <v>46357</v>
      </c>
      <c r="E2149" t="s">
        <v>355</v>
      </c>
      <c r="F2149" t="s">
        <v>351</v>
      </c>
      <c r="G2149" t="s">
        <v>354</v>
      </c>
      <c r="H2149" t="s">
        <v>3913</v>
      </c>
      <c r="I2149">
        <v>2200422</v>
      </c>
      <c r="J2149" t="s">
        <v>1909</v>
      </c>
      <c r="K2149" t="s">
        <v>4521</v>
      </c>
      <c r="L2149" t="s">
        <v>6344</v>
      </c>
      <c r="N2149" t="s">
        <v>7500</v>
      </c>
      <c r="O2149" t="s">
        <v>6345</v>
      </c>
      <c r="R2149" t="s">
        <v>3987</v>
      </c>
      <c r="S2149" s="34" t="s">
        <v>7501</v>
      </c>
    </row>
    <row r="2150" spans="1:19" ht="409.5" x14ac:dyDescent="0.15">
      <c r="A2150" t="s">
        <v>2096</v>
      </c>
      <c r="B2150" s="61">
        <v>46235</v>
      </c>
      <c r="E2150" t="s">
        <v>355</v>
      </c>
      <c r="F2150" t="s">
        <v>351</v>
      </c>
      <c r="G2150" t="s">
        <v>354</v>
      </c>
      <c r="H2150" t="s">
        <v>686</v>
      </c>
      <c r="I2150">
        <v>400361</v>
      </c>
      <c r="J2150" t="s">
        <v>4139</v>
      </c>
      <c r="K2150" t="s">
        <v>2125</v>
      </c>
      <c r="L2150" t="s">
        <v>4140</v>
      </c>
      <c r="N2150">
        <v>2147799</v>
      </c>
      <c r="O2150" t="s">
        <v>4141</v>
      </c>
      <c r="R2150" t="s">
        <v>3986</v>
      </c>
      <c r="S2150" s="34" t="s">
        <v>6346</v>
      </c>
    </row>
    <row r="2151" spans="1:19" ht="243" x14ac:dyDescent="0.15">
      <c r="A2151" t="s">
        <v>2096</v>
      </c>
      <c r="B2151" s="61">
        <v>46235</v>
      </c>
      <c r="E2151" t="s">
        <v>355</v>
      </c>
      <c r="F2151" t="s">
        <v>351</v>
      </c>
      <c r="G2151" t="s">
        <v>354</v>
      </c>
      <c r="H2151" t="s">
        <v>686</v>
      </c>
      <c r="I2151">
        <v>400414</v>
      </c>
      <c r="J2151" t="s">
        <v>3954</v>
      </c>
      <c r="K2151" t="s">
        <v>6347</v>
      </c>
      <c r="L2151" t="s">
        <v>6348</v>
      </c>
      <c r="N2151">
        <v>2178417</v>
      </c>
      <c r="O2151" t="s">
        <v>6349</v>
      </c>
      <c r="R2151" t="s">
        <v>4052</v>
      </c>
      <c r="S2151" s="34" t="s">
        <v>6350</v>
      </c>
    </row>
    <row r="2152" spans="1:19" ht="409.5" x14ac:dyDescent="0.15">
      <c r="A2152" t="s">
        <v>2096</v>
      </c>
      <c r="B2152" s="61">
        <v>46235</v>
      </c>
      <c r="E2152" t="s">
        <v>355</v>
      </c>
      <c r="F2152" t="s">
        <v>351</v>
      </c>
      <c r="G2152" t="s">
        <v>354</v>
      </c>
      <c r="H2152" t="s">
        <v>686</v>
      </c>
      <c r="I2152">
        <v>600160</v>
      </c>
      <c r="J2152" t="s">
        <v>2134</v>
      </c>
      <c r="K2152" t="s">
        <v>2135</v>
      </c>
      <c r="L2152" t="s">
        <v>390</v>
      </c>
      <c r="N2152" t="s">
        <v>6351</v>
      </c>
      <c r="O2152" t="s">
        <v>2137</v>
      </c>
      <c r="R2152" t="s">
        <v>4012</v>
      </c>
      <c r="S2152" s="34" t="s">
        <v>6352</v>
      </c>
    </row>
    <row r="2153" spans="1:19" ht="409.5" x14ac:dyDescent="0.15">
      <c r="A2153" t="s">
        <v>2096</v>
      </c>
      <c r="B2153" s="61">
        <v>46235</v>
      </c>
      <c r="E2153" t="s">
        <v>355</v>
      </c>
      <c r="F2153" t="s">
        <v>351</v>
      </c>
      <c r="G2153" t="s">
        <v>354</v>
      </c>
      <c r="H2153" t="s">
        <v>353</v>
      </c>
      <c r="I2153">
        <v>600160</v>
      </c>
      <c r="J2153" t="s">
        <v>2134</v>
      </c>
      <c r="K2153" t="s">
        <v>2135</v>
      </c>
      <c r="L2153" t="s">
        <v>390</v>
      </c>
      <c r="N2153" t="s">
        <v>6353</v>
      </c>
      <c r="O2153" t="s">
        <v>2137</v>
      </c>
      <c r="S2153" s="34" t="s">
        <v>6354</v>
      </c>
    </row>
    <row r="2154" spans="1:19" ht="409.5" x14ac:dyDescent="0.15">
      <c r="A2154" t="s">
        <v>2096</v>
      </c>
      <c r="B2154" s="61">
        <v>46266</v>
      </c>
      <c r="E2154" t="s">
        <v>355</v>
      </c>
      <c r="F2154" t="s">
        <v>351</v>
      </c>
      <c r="G2154" t="s">
        <v>354</v>
      </c>
      <c r="H2154" t="s">
        <v>686</v>
      </c>
      <c r="I2154">
        <v>400282</v>
      </c>
      <c r="J2154" t="s">
        <v>974</v>
      </c>
      <c r="K2154" t="s">
        <v>6355</v>
      </c>
      <c r="L2154" t="s">
        <v>1191</v>
      </c>
      <c r="N2154">
        <v>2157145</v>
      </c>
      <c r="O2154" t="s">
        <v>6356</v>
      </c>
      <c r="S2154" s="34" t="s">
        <v>6357</v>
      </c>
    </row>
    <row r="2155" spans="1:19" ht="243" x14ac:dyDescent="0.15">
      <c r="A2155" t="s">
        <v>2096</v>
      </c>
      <c r="B2155" s="61">
        <v>46266</v>
      </c>
      <c r="E2155" t="s">
        <v>355</v>
      </c>
      <c r="F2155" t="s">
        <v>351</v>
      </c>
      <c r="G2155" t="s">
        <v>352</v>
      </c>
      <c r="H2155" t="s">
        <v>310</v>
      </c>
      <c r="I2155">
        <v>400331</v>
      </c>
      <c r="J2155" t="s">
        <v>2106</v>
      </c>
      <c r="K2155" t="s">
        <v>2107</v>
      </c>
      <c r="L2155" t="s">
        <v>1176</v>
      </c>
      <c r="N2155" t="s">
        <v>2108</v>
      </c>
      <c r="O2155" t="s">
        <v>2109</v>
      </c>
      <c r="R2155" t="s">
        <v>3985</v>
      </c>
      <c r="S2155" s="34" t="s">
        <v>6358</v>
      </c>
    </row>
    <row r="2156" spans="1:19" ht="216" x14ac:dyDescent="0.15">
      <c r="A2156" t="s">
        <v>2096</v>
      </c>
      <c r="B2156" s="61">
        <v>46266</v>
      </c>
      <c r="E2156" t="s">
        <v>355</v>
      </c>
      <c r="F2156" t="s">
        <v>351</v>
      </c>
      <c r="G2156" t="s">
        <v>352</v>
      </c>
      <c r="H2156" t="s">
        <v>353</v>
      </c>
      <c r="I2156">
        <v>400448</v>
      </c>
      <c r="J2156" t="s">
        <v>6359</v>
      </c>
      <c r="L2156" t="s">
        <v>6360</v>
      </c>
      <c r="N2156" t="s">
        <v>6361</v>
      </c>
      <c r="O2156" t="s">
        <v>6362</v>
      </c>
      <c r="R2156" t="s">
        <v>3985</v>
      </c>
      <c r="S2156" s="34" t="s">
        <v>6363</v>
      </c>
    </row>
    <row r="2157" spans="1:19" ht="409.5" x14ac:dyDescent="0.15">
      <c r="A2157" t="s">
        <v>2096</v>
      </c>
      <c r="B2157" s="61">
        <v>46266</v>
      </c>
      <c r="E2157" t="s">
        <v>355</v>
      </c>
      <c r="F2157" t="s">
        <v>351</v>
      </c>
      <c r="G2157" t="s">
        <v>354</v>
      </c>
      <c r="H2157" t="s">
        <v>353</v>
      </c>
      <c r="I2157">
        <v>400492</v>
      </c>
      <c r="J2157" t="s">
        <v>2142</v>
      </c>
      <c r="K2157" t="s">
        <v>2143</v>
      </c>
      <c r="L2157" t="s">
        <v>1148</v>
      </c>
      <c r="N2157" t="s">
        <v>6364</v>
      </c>
      <c r="O2157" t="s">
        <v>2145</v>
      </c>
      <c r="S2157" s="34" t="s">
        <v>6365</v>
      </c>
    </row>
    <row r="2158" spans="1:19" ht="409.5" x14ac:dyDescent="0.15">
      <c r="A2158" t="s">
        <v>2096</v>
      </c>
      <c r="B2158" s="61">
        <v>46266</v>
      </c>
      <c r="E2158" t="s">
        <v>355</v>
      </c>
      <c r="F2158" t="s">
        <v>351</v>
      </c>
      <c r="G2158" t="s">
        <v>354</v>
      </c>
      <c r="H2158" t="s">
        <v>353</v>
      </c>
      <c r="I2158">
        <v>400517</v>
      </c>
      <c r="J2158" t="s">
        <v>1716</v>
      </c>
      <c r="K2158" t="s">
        <v>6366</v>
      </c>
      <c r="L2158" t="s">
        <v>466</v>
      </c>
      <c r="N2158" t="s">
        <v>6367</v>
      </c>
      <c r="O2158" t="s">
        <v>6368</v>
      </c>
      <c r="S2158" s="34" t="s">
        <v>6369</v>
      </c>
    </row>
    <row r="2159" spans="1:19" ht="310.5" x14ac:dyDescent="0.15">
      <c r="A2159" t="s">
        <v>2096</v>
      </c>
      <c r="B2159" s="61">
        <v>46266</v>
      </c>
      <c r="E2159" t="s">
        <v>355</v>
      </c>
      <c r="F2159" t="s">
        <v>351</v>
      </c>
      <c r="G2159" t="s">
        <v>354</v>
      </c>
      <c r="H2159" t="s">
        <v>686</v>
      </c>
      <c r="I2159">
        <v>400517</v>
      </c>
      <c r="J2159" t="s">
        <v>1716</v>
      </c>
      <c r="K2159" t="s">
        <v>6366</v>
      </c>
      <c r="L2159" t="s">
        <v>466</v>
      </c>
      <c r="N2159">
        <v>2155917</v>
      </c>
      <c r="O2159" t="s">
        <v>6368</v>
      </c>
      <c r="S2159" s="34" t="s">
        <v>6370</v>
      </c>
    </row>
    <row r="2160" spans="1:19" ht="409.5" x14ac:dyDescent="0.15">
      <c r="A2160" t="s">
        <v>2096</v>
      </c>
      <c r="B2160" s="61">
        <v>46296</v>
      </c>
      <c r="E2160" t="s">
        <v>355</v>
      </c>
      <c r="F2160" t="s">
        <v>351</v>
      </c>
      <c r="G2160" t="s">
        <v>354</v>
      </c>
      <c r="H2160" t="s">
        <v>353</v>
      </c>
      <c r="I2160">
        <v>400141</v>
      </c>
      <c r="J2160" t="s">
        <v>4904</v>
      </c>
      <c r="L2160" t="s">
        <v>1176</v>
      </c>
      <c r="N2160" t="s">
        <v>4905</v>
      </c>
      <c r="O2160" t="s">
        <v>4906</v>
      </c>
      <c r="S2160" s="34" t="s">
        <v>6371</v>
      </c>
    </row>
    <row r="2161" spans="1:19" ht="409.5" x14ac:dyDescent="0.15">
      <c r="A2161" t="s">
        <v>2096</v>
      </c>
      <c r="B2161" s="61">
        <v>46296</v>
      </c>
      <c r="E2161" t="s">
        <v>355</v>
      </c>
      <c r="F2161" t="s">
        <v>351</v>
      </c>
      <c r="G2161" t="s">
        <v>354</v>
      </c>
      <c r="H2161" t="s">
        <v>353</v>
      </c>
      <c r="I2161">
        <v>400282</v>
      </c>
      <c r="J2161" t="s">
        <v>974</v>
      </c>
      <c r="K2161" t="s">
        <v>6355</v>
      </c>
      <c r="L2161" t="s">
        <v>1191</v>
      </c>
      <c r="N2161" t="s">
        <v>6372</v>
      </c>
      <c r="O2161" t="s">
        <v>6356</v>
      </c>
      <c r="R2161" t="s">
        <v>5399</v>
      </c>
      <c r="S2161" s="34" t="s">
        <v>6373</v>
      </c>
    </row>
    <row r="2162" spans="1:19" ht="409.5" x14ac:dyDescent="0.15">
      <c r="A2162" t="s">
        <v>2096</v>
      </c>
      <c r="B2162" s="61">
        <v>46296</v>
      </c>
      <c r="E2162" t="s">
        <v>355</v>
      </c>
      <c r="F2162" t="s">
        <v>351</v>
      </c>
      <c r="G2162" t="s">
        <v>354</v>
      </c>
      <c r="H2162" t="s">
        <v>353</v>
      </c>
      <c r="I2162">
        <v>400385</v>
      </c>
      <c r="J2162" t="s">
        <v>2116</v>
      </c>
      <c r="K2162" t="s">
        <v>1251</v>
      </c>
      <c r="L2162" t="s">
        <v>6374</v>
      </c>
      <c r="N2162" t="s">
        <v>7366</v>
      </c>
      <c r="O2162" t="s">
        <v>2119</v>
      </c>
      <c r="R2162" t="s">
        <v>6375</v>
      </c>
      <c r="S2162" s="34" t="s">
        <v>6376</v>
      </c>
    </row>
    <row r="2163" spans="1:19" ht="405" x14ac:dyDescent="0.15">
      <c r="A2163" t="s">
        <v>2096</v>
      </c>
      <c r="B2163" s="61">
        <v>46296</v>
      </c>
      <c r="E2163" t="s">
        <v>355</v>
      </c>
      <c r="F2163" t="s">
        <v>351</v>
      </c>
      <c r="G2163" t="s">
        <v>354</v>
      </c>
      <c r="H2163" t="s">
        <v>353</v>
      </c>
      <c r="I2163">
        <v>400385</v>
      </c>
      <c r="J2163" t="s">
        <v>2116</v>
      </c>
      <c r="K2163" t="s">
        <v>1251</v>
      </c>
      <c r="L2163" t="s">
        <v>6374</v>
      </c>
      <c r="N2163" t="s">
        <v>6377</v>
      </c>
      <c r="O2163" t="s">
        <v>2119</v>
      </c>
      <c r="R2163" t="s">
        <v>6378</v>
      </c>
      <c r="S2163" s="34" t="s">
        <v>6379</v>
      </c>
    </row>
    <row r="2164" spans="1:19" ht="378" x14ac:dyDescent="0.15">
      <c r="A2164" t="s">
        <v>2096</v>
      </c>
      <c r="B2164" s="61">
        <v>46296</v>
      </c>
      <c r="E2164" t="s">
        <v>355</v>
      </c>
      <c r="F2164" t="s">
        <v>351</v>
      </c>
      <c r="G2164" t="s">
        <v>354</v>
      </c>
      <c r="H2164" t="s">
        <v>365</v>
      </c>
      <c r="I2164">
        <v>400408</v>
      </c>
      <c r="J2164" t="s">
        <v>4250</v>
      </c>
      <c r="K2164" t="s">
        <v>1542</v>
      </c>
      <c r="L2164" t="s">
        <v>1176</v>
      </c>
      <c r="N2164" t="s">
        <v>4251</v>
      </c>
      <c r="O2164" t="s">
        <v>4252</v>
      </c>
      <c r="R2164" t="s">
        <v>3986</v>
      </c>
      <c r="S2164" s="34" t="s">
        <v>6380</v>
      </c>
    </row>
    <row r="2165" spans="1:19" ht="409.5" x14ac:dyDescent="0.15">
      <c r="A2165" t="s">
        <v>2096</v>
      </c>
      <c r="B2165" s="61">
        <v>46296</v>
      </c>
      <c r="E2165" t="s">
        <v>355</v>
      </c>
      <c r="F2165" t="s">
        <v>351</v>
      </c>
      <c r="G2165" t="s">
        <v>354</v>
      </c>
      <c r="H2165" t="s">
        <v>686</v>
      </c>
      <c r="I2165">
        <v>400443</v>
      </c>
      <c r="J2165" t="s">
        <v>3954</v>
      </c>
      <c r="K2165" t="s">
        <v>4022</v>
      </c>
      <c r="L2165" t="s">
        <v>1087</v>
      </c>
      <c r="N2165">
        <v>2178416</v>
      </c>
      <c r="O2165" t="s">
        <v>4023</v>
      </c>
      <c r="R2165" t="s">
        <v>3987</v>
      </c>
      <c r="S2165" s="34" t="s">
        <v>6381</v>
      </c>
    </row>
    <row r="2166" spans="1:19" ht="243" x14ac:dyDescent="0.15">
      <c r="A2166" t="s">
        <v>2096</v>
      </c>
      <c r="B2166" s="61">
        <v>46296</v>
      </c>
      <c r="E2166" t="s">
        <v>355</v>
      </c>
      <c r="F2166" t="s">
        <v>351</v>
      </c>
      <c r="G2166" t="s">
        <v>354</v>
      </c>
      <c r="H2166" t="s">
        <v>365</v>
      </c>
      <c r="I2166">
        <v>500002</v>
      </c>
      <c r="J2166" t="s">
        <v>2138</v>
      </c>
      <c r="K2166" t="s">
        <v>2139</v>
      </c>
      <c r="L2166" t="s">
        <v>390</v>
      </c>
      <c r="N2166" t="s">
        <v>2140</v>
      </c>
      <c r="O2166" t="s">
        <v>2141</v>
      </c>
      <c r="R2166" t="s">
        <v>3986</v>
      </c>
      <c r="S2166" s="34" t="s">
        <v>6382</v>
      </c>
    </row>
    <row r="2167" spans="1:19" ht="409.5" x14ac:dyDescent="0.15">
      <c r="A2167" t="s">
        <v>2096</v>
      </c>
      <c r="B2167" s="61">
        <v>46327</v>
      </c>
      <c r="E2167" t="s">
        <v>355</v>
      </c>
      <c r="F2167" t="s">
        <v>351</v>
      </c>
      <c r="G2167" t="s">
        <v>354</v>
      </c>
      <c r="H2167" t="s">
        <v>686</v>
      </c>
      <c r="I2167">
        <v>400361</v>
      </c>
      <c r="J2167" t="s">
        <v>4139</v>
      </c>
      <c r="K2167" t="s">
        <v>2125</v>
      </c>
      <c r="L2167" t="s">
        <v>4140</v>
      </c>
      <c r="N2167">
        <v>2147799</v>
      </c>
      <c r="O2167" t="s">
        <v>4141</v>
      </c>
      <c r="R2167" t="s">
        <v>3986</v>
      </c>
      <c r="S2167" s="34" t="s">
        <v>6346</v>
      </c>
    </row>
    <row r="2168" spans="1:19" ht="243" x14ac:dyDescent="0.15">
      <c r="A2168" t="s">
        <v>2096</v>
      </c>
      <c r="B2168" s="61">
        <v>46327</v>
      </c>
      <c r="E2168" t="s">
        <v>355</v>
      </c>
      <c r="F2168" t="s">
        <v>351</v>
      </c>
      <c r="G2168" t="s">
        <v>354</v>
      </c>
      <c r="H2168" t="s">
        <v>310</v>
      </c>
      <c r="I2168">
        <v>400459</v>
      </c>
      <c r="J2168" t="s">
        <v>6383</v>
      </c>
      <c r="K2168" t="s">
        <v>1251</v>
      </c>
      <c r="L2168" t="s">
        <v>6384</v>
      </c>
      <c r="N2168" t="s">
        <v>6385</v>
      </c>
      <c r="O2168" t="s">
        <v>6386</v>
      </c>
      <c r="R2168" t="s">
        <v>3987</v>
      </c>
      <c r="S2168" s="34" t="s">
        <v>6387</v>
      </c>
    </row>
    <row r="2169" spans="1:19" ht="229.5" x14ac:dyDescent="0.15">
      <c r="A2169" t="s">
        <v>2152</v>
      </c>
      <c r="B2169" s="61">
        <v>46235</v>
      </c>
      <c r="E2169" t="s">
        <v>355</v>
      </c>
      <c r="F2169" t="s">
        <v>351</v>
      </c>
      <c r="G2169" t="s">
        <v>354</v>
      </c>
      <c r="H2169" t="s">
        <v>365</v>
      </c>
      <c r="I2169">
        <v>1200043</v>
      </c>
      <c r="J2169" t="s">
        <v>2211</v>
      </c>
      <c r="K2169" t="s">
        <v>2212</v>
      </c>
      <c r="L2169" t="s">
        <v>2181</v>
      </c>
      <c r="N2169" t="s">
        <v>2213</v>
      </c>
      <c r="O2169" t="s">
        <v>2214</v>
      </c>
      <c r="R2169" t="s">
        <v>3987</v>
      </c>
      <c r="S2169" s="34" t="s">
        <v>6388</v>
      </c>
    </row>
    <row r="2170" spans="1:19" ht="409.5" x14ac:dyDescent="0.15">
      <c r="A2170" t="s">
        <v>2152</v>
      </c>
      <c r="B2170" s="61">
        <v>46235</v>
      </c>
      <c r="E2170" t="s">
        <v>355</v>
      </c>
      <c r="F2170" t="s">
        <v>351</v>
      </c>
      <c r="G2170" t="s">
        <v>354</v>
      </c>
      <c r="H2170" t="s">
        <v>353</v>
      </c>
      <c r="I2170">
        <v>1200914</v>
      </c>
      <c r="J2170" t="s">
        <v>454</v>
      </c>
      <c r="K2170" t="s">
        <v>4288</v>
      </c>
      <c r="L2170" t="s">
        <v>4289</v>
      </c>
      <c r="N2170" t="s">
        <v>4290</v>
      </c>
      <c r="O2170" t="s">
        <v>4291</v>
      </c>
      <c r="R2170" t="s">
        <v>3986</v>
      </c>
      <c r="S2170" s="34" t="s">
        <v>6389</v>
      </c>
    </row>
    <row r="2171" spans="1:19" ht="229.5" x14ac:dyDescent="0.15">
      <c r="A2171" t="s">
        <v>2152</v>
      </c>
      <c r="B2171" s="61">
        <v>46235</v>
      </c>
      <c r="E2171" t="s">
        <v>355</v>
      </c>
      <c r="F2171" t="s">
        <v>351</v>
      </c>
      <c r="G2171" t="s">
        <v>352</v>
      </c>
      <c r="H2171" t="s">
        <v>353</v>
      </c>
      <c r="I2171">
        <v>1201311</v>
      </c>
      <c r="J2171" t="s">
        <v>6390</v>
      </c>
      <c r="L2171" t="s">
        <v>6391</v>
      </c>
      <c r="N2171" t="s">
        <v>6392</v>
      </c>
      <c r="O2171" t="s">
        <v>6393</v>
      </c>
      <c r="R2171" t="s">
        <v>3985</v>
      </c>
      <c r="S2171" s="34" t="s">
        <v>6394</v>
      </c>
    </row>
    <row r="2172" spans="1:19" ht="409.5" x14ac:dyDescent="0.15">
      <c r="A2172" t="s">
        <v>2152</v>
      </c>
      <c r="B2172" s="61">
        <v>46235</v>
      </c>
      <c r="E2172" t="s">
        <v>355</v>
      </c>
      <c r="F2172" t="s">
        <v>351</v>
      </c>
      <c r="G2172" t="s">
        <v>354</v>
      </c>
      <c r="H2172" t="s">
        <v>686</v>
      </c>
      <c r="I2172">
        <v>1201545</v>
      </c>
      <c r="J2172" t="s">
        <v>6395</v>
      </c>
      <c r="K2172" t="s">
        <v>6396</v>
      </c>
      <c r="L2172" t="s">
        <v>466</v>
      </c>
      <c r="N2172">
        <v>2132328</v>
      </c>
      <c r="O2172" t="s">
        <v>6397</v>
      </c>
      <c r="R2172" t="s">
        <v>3987</v>
      </c>
      <c r="S2172" s="34" t="s">
        <v>6398</v>
      </c>
    </row>
    <row r="2173" spans="1:19" ht="229.5" x14ac:dyDescent="0.15">
      <c r="A2173" t="s">
        <v>2152</v>
      </c>
      <c r="B2173" s="61">
        <v>46296</v>
      </c>
      <c r="E2173" t="s">
        <v>355</v>
      </c>
      <c r="F2173" t="s">
        <v>351</v>
      </c>
      <c r="G2173" t="s">
        <v>352</v>
      </c>
      <c r="H2173" t="s">
        <v>365</v>
      </c>
      <c r="I2173">
        <v>1200556</v>
      </c>
      <c r="J2173" t="s">
        <v>6399</v>
      </c>
      <c r="K2173" t="s">
        <v>2155</v>
      </c>
      <c r="L2173" t="s">
        <v>820</v>
      </c>
      <c r="N2173" t="s">
        <v>6400</v>
      </c>
      <c r="O2173" t="s">
        <v>6401</v>
      </c>
      <c r="R2173" t="s">
        <v>3958</v>
      </c>
      <c r="S2173" s="34" t="s">
        <v>6402</v>
      </c>
    </row>
    <row r="2174" spans="1:19" ht="229.5" x14ac:dyDescent="0.15">
      <c r="A2174" t="s">
        <v>2152</v>
      </c>
      <c r="B2174" s="61">
        <v>46296</v>
      </c>
      <c r="E2174" t="s">
        <v>355</v>
      </c>
      <c r="F2174" t="s">
        <v>351</v>
      </c>
      <c r="G2174" t="s">
        <v>352</v>
      </c>
      <c r="H2174" t="s">
        <v>365</v>
      </c>
      <c r="I2174">
        <v>1201418</v>
      </c>
      <c r="J2174" t="s">
        <v>4241</v>
      </c>
      <c r="L2174" t="s">
        <v>6403</v>
      </c>
      <c r="N2174" t="s">
        <v>6404</v>
      </c>
      <c r="O2174" t="s">
        <v>6405</v>
      </c>
      <c r="R2174" t="s">
        <v>3985</v>
      </c>
      <c r="S2174" s="34" t="s">
        <v>6406</v>
      </c>
    </row>
    <row r="2175" spans="1:19" ht="409.5" x14ac:dyDescent="0.15">
      <c r="A2175" t="s">
        <v>2152</v>
      </c>
      <c r="B2175" s="61">
        <v>46296</v>
      </c>
      <c r="E2175" t="s">
        <v>355</v>
      </c>
      <c r="F2175" t="s">
        <v>351</v>
      </c>
      <c r="G2175" t="s">
        <v>354</v>
      </c>
      <c r="H2175" t="s">
        <v>353</v>
      </c>
      <c r="I2175">
        <v>1201548</v>
      </c>
      <c r="J2175" t="s">
        <v>2215</v>
      </c>
      <c r="K2175" t="s">
        <v>2216</v>
      </c>
      <c r="L2175" t="s">
        <v>2217</v>
      </c>
      <c r="N2175" t="s">
        <v>6407</v>
      </c>
      <c r="O2175" t="s">
        <v>2219</v>
      </c>
      <c r="R2175" t="s">
        <v>3987</v>
      </c>
      <c r="S2175" s="34" t="s">
        <v>6408</v>
      </c>
    </row>
    <row r="2176" spans="1:19" ht="337.5" x14ac:dyDescent="0.15">
      <c r="A2176" t="s">
        <v>2152</v>
      </c>
      <c r="B2176" s="61">
        <v>46327</v>
      </c>
      <c r="E2176" t="s">
        <v>355</v>
      </c>
      <c r="F2176" t="s">
        <v>351</v>
      </c>
      <c r="G2176" t="s">
        <v>354</v>
      </c>
      <c r="H2176" t="s">
        <v>353</v>
      </c>
      <c r="I2176">
        <v>1201227</v>
      </c>
      <c r="J2176" t="s">
        <v>2198</v>
      </c>
      <c r="K2176" t="s">
        <v>2155</v>
      </c>
      <c r="L2176" t="s">
        <v>2199</v>
      </c>
      <c r="N2176" t="s">
        <v>2200</v>
      </c>
      <c r="O2176" t="s">
        <v>2201</v>
      </c>
      <c r="R2176" t="s">
        <v>3987</v>
      </c>
      <c r="S2176" s="34" t="s">
        <v>6409</v>
      </c>
    </row>
    <row r="2177" spans="1:19" ht="409.5" x14ac:dyDescent="0.15">
      <c r="A2177" t="s">
        <v>2152</v>
      </c>
      <c r="B2177" s="61">
        <v>46357</v>
      </c>
      <c r="E2177" t="s">
        <v>355</v>
      </c>
      <c r="F2177" t="s">
        <v>351</v>
      </c>
      <c r="G2177" t="s">
        <v>354</v>
      </c>
      <c r="H2177" t="s">
        <v>686</v>
      </c>
      <c r="I2177">
        <v>1200104</v>
      </c>
      <c r="J2177" t="s">
        <v>2189</v>
      </c>
      <c r="K2177" t="s">
        <v>2190</v>
      </c>
      <c r="L2177" t="s">
        <v>413</v>
      </c>
      <c r="N2177">
        <v>2110321</v>
      </c>
      <c r="O2177" t="s">
        <v>2192</v>
      </c>
      <c r="R2177" t="s">
        <v>3986</v>
      </c>
      <c r="S2177" s="34" t="s">
        <v>6410</v>
      </c>
    </row>
    <row r="2178" spans="1:19" ht="391.5" x14ac:dyDescent="0.15">
      <c r="A2178" t="s">
        <v>2152</v>
      </c>
      <c r="B2178" s="61">
        <v>46357</v>
      </c>
      <c r="E2178" t="s">
        <v>355</v>
      </c>
      <c r="F2178" t="s">
        <v>351</v>
      </c>
      <c r="G2178" t="s">
        <v>354</v>
      </c>
      <c r="H2178" t="s">
        <v>365</v>
      </c>
      <c r="I2178">
        <v>1201505</v>
      </c>
      <c r="J2178" t="s">
        <v>2193</v>
      </c>
      <c r="K2178" t="s">
        <v>2194</v>
      </c>
      <c r="L2178" t="s">
        <v>2195</v>
      </c>
      <c r="N2178" t="s">
        <v>2196</v>
      </c>
      <c r="O2178" t="s">
        <v>2197</v>
      </c>
      <c r="R2178" t="s">
        <v>3987</v>
      </c>
      <c r="S2178" s="34" t="s">
        <v>6411</v>
      </c>
    </row>
    <row r="2179" spans="1:19" ht="229.5" x14ac:dyDescent="0.15">
      <c r="A2179" t="s">
        <v>2160</v>
      </c>
      <c r="B2179" s="61">
        <v>46235</v>
      </c>
      <c r="E2179" t="s">
        <v>355</v>
      </c>
      <c r="F2179" t="s">
        <v>351</v>
      </c>
      <c r="G2179" t="s">
        <v>352</v>
      </c>
      <c r="H2179" t="s">
        <v>365</v>
      </c>
      <c r="I2179">
        <v>1201464</v>
      </c>
      <c r="J2179" t="s">
        <v>2161</v>
      </c>
      <c r="K2179" t="s">
        <v>2162</v>
      </c>
      <c r="L2179" t="s">
        <v>718</v>
      </c>
      <c r="N2179" t="s">
        <v>2163</v>
      </c>
      <c r="O2179" t="s">
        <v>2164</v>
      </c>
      <c r="R2179" t="s">
        <v>3985</v>
      </c>
      <c r="S2179" s="34" t="s">
        <v>6412</v>
      </c>
    </row>
    <row r="2180" spans="1:19" ht="409.5" x14ac:dyDescent="0.15">
      <c r="A2180" t="s">
        <v>2160</v>
      </c>
      <c r="B2180" s="61">
        <v>46235</v>
      </c>
      <c r="E2180" t="s">
        <v>355</v>
      </c>
      <c r="F2180" t="s">
        <v>351</v>
      </c>
      <c r="G2180" t="s">
        <v>352</v>
      </c>
      <c r="H2180" t="s">
        <v>353</v>
      </c>
      <c r="I2180">
        <v>1201464</v>
      </c>
      <c r="J2180" t="s">
        <v>2161</v>
      </c>
      <c r="K2180" t="s">
        <v>2162</v>
      </c>
      <c r="L2180" t="s">
        <v>718</v>
      </c>
      <c r="N2180" t="s">
        <v>2172</v>
      </c>
      <c r="O2180" t="s">
        <v>2164</v>
      </c>
      <c r="R2180" t="s">
        <v>3985</v>
      </c>
      <c r="S2180" s="34" t="s">
        <v>6413</v>
      </c>
    </row>
    <row r="2181" spans="1:19" ht="409.5" x14ac:dyDescent="0.15">
      <c r="A2181" t="s">
        <v>2160</v>
      </c>
      <c r="B2181" s="61">
        <v>46235</v>
      </c>
      <c r="E2181" t="s">
        <v>355</v>
      </c>
      <c r="F2181" t="s">
        <v>351</v>
      </c>
      <c r="G2181" t="s">
        <v>354</v>
      </c>
      <c r="H2181" t="s">
        <v>686</v>
      </c>
      <c r="I2181">
        <v>1201580</v>
      </c>
      <c r="J2181" t="s">
        <v>371</v>
      </c>
      <c r="K2181" t="s">
        <v>2232</v>
      </c>
      <c r="L2181" t="s">
        <v>2233</v>
      </c>
      <c r="N2181">
        <v>2149202</v>
      </c>
      <c r="O2181" t="s">
        <v>2235</v>
      </c>
      <c r="R2181" t="s">
        <v>3987</v>
      </c>
      <c r="S2181" s="34" t="s">
        <v>6414</v>
      </c>
    </row>
    <row r="2182" spans="1:19" ht="216" x14ac:dyDescent="0.15">
      <c r="A2182" t="s">
        <v>2160</v>
      </c>
      <c r="B2182" s="61">
        <v>46266</v>
      </c>
      <c r="E2182" t="s">
        <v>355</v>
      </c>
      <c r="F2182" t="s">
        <v>351</v>
      </c>
      <c r="G2182" t="s">
        <v>354</v>
      </c>
      <c r="H2182" t="s">
        <v>353</v>
      </c>
      <c r="I2182">
        <v>1201485</v>
      </c>
      <c r="J2182" t="s">
        <v>2250</v>
      </c>
      <c r="K2182" t="s">
        <v>2251</v>
      </c>
      <c r="L2182" t="s">
        <v>2252</v>
      </c>
      <c r="N2182" t="s">
        <v>2253</v>
      </c>
      <c r="O2182" t="s">
        <v>2254</v>
      </c>
      <c r="R2182" t="s">
        <v>3986</v>
      </c>
      <c r="S2182" s="34" t="s">
        <v>6415</v>
      </c>
    </row>
    <row r="2183" spans="1:19" ht="189" x14ac:dyDescent="0.15">
      <c r="A2183" t="s">
        <v>2160</v>
      </c>
      <c r="B2183" s="61">
        <v>46266</v>
      </c>
      <c r="E2183" t="s">
        <v>355</v>
      </c>
      <c r="F2183" t="s">
        <v>351</v>
      </c>
      <c r="G2183" t="s">
        <v>354</v>
      </c>
      <c r="H2183" t="s">
        <v>353</v>
      </c>
      <c r="I2183">
        <v>1201672</v>
      </c>
      <c r="J2183" t="s">
        <v>481</v>
      </c>
      <c r="K2183" t="s">
        <v>4174</v>
      </c>
      <c r="L2183" t="s">
        <v>4127</v>
      </c>
      <c r="N2183" t="s">
        <v>4175</v>
      </c>
      <c r="O2183" t="s">
        <v>4176</v>
      </c>
      <c r="S2183" s="34" t="s">
        <v>6416</v>
      </c>
    </row>
    <row r="2184" spans="1:19" ht="202.5" x14ac:dyDescent="0.15">
      <c r="A2184" t="s">
        <v>2160</v>
      </c>
      <c r="B2184" s="61">
        <v>46296</v>
      </c>
      <c r="E2184" t="s">
        <v>355</v>
      </c>
      <c r="F2184" t="s">
        <v>351</v>
      </c>
      <c r="G2184" t="s">
        <v>354</v>
      </c>
      <c r="H2184" t="s">
        <v>353</v>
      </c>
      <c r="I2184">
        <v>1200704</v>
      </c>
      <c r="J2184" t="s">
        <v>6417</v>
      </c>
      <c r="K2184" t="s">
        <v>6418</v>
      </c>
      <c r="L2184" t="s">
        <v>698</v>
      </c>
      <c r="N2184" t="s">
        <v>6419</v>
      </c>
      <c r="O2184" t="s">
        <v>6420</v>
      </c>
      <c r="R2184" t="s">
        <v>3987</v>
      </c>
      <c r="S2184" s="34" t="s">
        <v>6421</v>
      </c>
    </row>
    <row r="2185" spans="1:19" ht="409.5" x14ac:dyDescent="0.15">
      <c r="A2185" t="s">
        <v>2160</v>
      </c>
      <c r="B2185" s="61">
        <v>46327</v>
      </c>
      <c r="E2185" t="s">
        <v>355</v>
      </c>
      <c r="F2185" t="s">
        <v>351</v>
      </c>
      <c r="G2185" t="s">
        <v>354</v>
      </c>
      <c r="H2185" t="s">
        <v>365</v>
      </c>
      <c r="I2185">
        <v>1201387</v>
      </c>
      <c r="J2185" t="s">
        <v>2242</v>
      </c>
      <c r="K2185" t="s">
        <v>6422</v>
      </c>
      <c r="L2185" t="s">
        <v>3112</v>
      </c>
      <c r="N2185" t="s">
        <v>6423</v>
      </c>
      <c r="O2185" t="s">
        <v>6424</v>
      </c>
      <c r="R2185" t="s">
        <v>3987</v>
      </c>
      <c r="S2185" s="34" t="s">
        <v>6425</v>
      </c>
    </row>
    <row r="2186" spans="1:19" ht="409.5" x14ac:dyDescent="0.15">
      <c r="A2186" t="s">
        <v>2160</v>
      </c>
      <c r="B2186" s="61">
        <v>46327</v>
      </c>
      <c r="E2186" t="s">
        <v>355</v>
      </c>
      <c r="F2186" t="s">
        <v>351</v>
      </c>
      <c r="G2186" t="s">
        <v>354</v>
      </c>
      <c r="H2186" t="s">
        <v>353</v>
      </c>
      <c r="I2186">
        <v>1201387</v>
      </c>
      <c r="J2186" t="s">
        <v>2242</v>
      </c>
      <c r="K2186" t="s">
        <v>6422</v>
      </c>
      <c r="L2186" t="s">
        <v>3112</v>
      </c>
      <c r="N2186" t="s">
        <v>6426</v>
      </c>
      <c r="O2186" t="s">
        <v>6424</v>
      </c>
      <c r="R2186" t="s">
        <v>3987</v>
      </c>
      <c r="S2186" s="34" t="s">
        <v>6427</v>
      </c>
    </row>
    <row r="2187" spans="1:19" ht="409.5" x14ac:dyDescent="0.15">
      <c r="A2187" t="s">
        <v>2160</v>
      </c>
      <c r="B2187" s="61">
        <v>46327</v>
      </c>
      <c r="E2187" t="s">
        <v>355</v>
      </c>
      <c r="F2187" t="s">
        <v>351</v>
      </c>
      <c r="G2187" t="s">
        <v>354</v>
      </c>
      <c r="H2187" t="s">
        <v>686</v>
      </c>
      <c r="I2187">
        <v>1201580</v>
      </c>
      <c r="J2187" t="s">
        <v>371</v>
      </c>
      <c r="K2187" t="s">
        <v>2232</v>
      </c>
      <c r="L2187" t="s">
        <v>2233</v>
      </c>
      <c r="N2187">
        <v>2149202</v>
      </c>
      <c r="O2187" t="s">
        <v>2235</v>
      </c>
      <c r="R2187" t="s">
        <v>3987</v>
      </c>
      <c r="S2187" s="34" t="s">
        <v>6414</v>
      </c>
    </row>
    <row r="2188" spans="1:19" ht="243" x14ac:dyDescent="0.15">
      <c r="A2188" t="s">
        <v>2160</v>
      </c>
      <c r="B2188" s="61">
        <v>46357</v>
      </c>
      <c r="E2188" t="s">
        <v>355</v>
      </c>
      <c r="F2188" t="s">
        <v>351</v>
      </c>
      <c r="G2188" t="s">
        <v>354</v>
      </c>
      <c r="H2188" t="s">
        <v>353</v>
      </c>
      <c r="I2188">
        <v>1201416</v>
      </c>
      <c r="J2188" t="s">
        <v>1740</v>
      </c>
      <c r="K2188" t="s">
        <v>2155</v>
      </c>
      <c r="L2188" t="s">
        <v>6428</v>
      </c>
      <c r="N2188" t="s">
        <v>6429</v>
      </c>
      <c r="O2188" t="s">
        <v>6430</v>
      </c>
      <c r="R2188" t="s">
        <v>3987</v>
      </c>
      <c r="S2188" s="34" t="s">
        <v>6431</v>
      </c>
    </row>
    <row r="2189" spans="1:19" ht="409.5" x14ac:dyDescent="0.15">
      <c r="A2189" t="s">
        <v>2160</v>
      </c>
      <c r="B2189" s="61">
        <v>46357</v>
      </c>
      <c r="E2189" t="s">
        <v>355</v>
      </c>
      <c r="F2189" t="s">
        <v>351</v>
      </c>
      <c r="G2189" t="s">
        <v>354</v>
      </c>
      <c r="H2189" t="s">
        <v>353</v>
      </c>
      <c r="I2189">
        <v>1201590</v>
      </c>
      <c r="J2189" t="s">
        <v>2237</v>
      </c>
      <c r="K2189" t="s">
        <v>2238</v>
      </c>
      <c r="L2189" t="s">
        <v>390</v>
      </c>
      <c r="N2189" t="s">
        <v>6432</v>
      </c>
      <c r="O2189" t="s">
        <v>2240</v>
      </c>
      <c r="R2189" t="s">
        <v>3987</v>
      </c>
      <c r="S2189" s="34" t="s">
        <v>6433</v>
      </c>
    </row>
    <row r="2190" spans="1:19" ht="216" x14ac:dyDescent="0.15">
      <c r="A2190" t="s">
        <v>2255</v>
      </c>
      <c r="B2190" s="61">
        <v>46235</v>
      </c>
      <c r="E2190" t="s">
        <v>355</v>
      </c>
      <c r="F2190" t="s">
        <v>351</v>
      </c>
      <c r="G2190" t="s">
        <v>354</v>
      </c>
      <c r="H2190" t="s">
        <v>365</v>
      </c>
      <c r="I2190">
        <v>1100689</v>
      </c>
      <c r="J2190" t="s">
        <v>2273</v>
      </c>
      <c r="K2190" t="s">
        <v>6434</v>
      </c>
      <c r="L2190" t="s">
        <v>390</v>
      </c>
      <c r="N2190" t="s">
        <v>6435</v>
      </c>
      <c r="O2190" t="s">
        <v>6436</v>
      </c>
      <c r="R2190" t="s">
        <v>3992</v>
      </c>
      <c r="S2190" s="34" t="s">
        <v>6437</v>
      </c>
    </row>
    <row r="2191" spans="1:19" ht="409.5" x14ac:dyDescent="0.15">
      <c r="A2191" t="s">
        <v>2255</v>
      </c>
      <c r="B2191" s="61">
        <v>46235</v>
      </c>
      <c r="E2191" t="s">
        <v>355</v>
      </c>
      <c r="F2191" t="s">
        <v>351</v>
      </c>
      <c r="G2191" t="s">
        <v>354</v>
      </c>
      <c r="H2191" t="s">
        <v>353</v>
      </c>
      <c r="I2191">
        <v>1100689</v>
      </c>
      <c r="J2191" t="s">
        <v>2273</v>
      </c>
      <c r="K2191" t="s">
        <v>6434</v>
      </c>
      <c r="L2191" t="s">
        <v>390</v>
      </c>
      <c r="N2191" t="s">
        <v>6438</v>
      </c>
      <c r="O2191" t="s">
        <v>6436</v>
      </c>
      <c r="S2191" s="34" t="s">
        <v>6439</v>
      </c>
    </row>
    <row r="2192" spans="1:19" ht="409.5" x14ac:dyDescent="0.15">
      <c r="A2192" t="s">
        <v>2255</v>
      </c>
      <c r="B2192" s="61">
        <v>46235</v>
      </c>
      <c r="E2192" t="s">
        <v>355</v>
      </c>
      <c r="F2192" t="s">
        <v>351</v>
      </c>
      <c r="G2192" t="s">
        <v>354</v>
      </c>
      <c r="H2192" t="s">
        <v>686</v>
      </c>
      <c r="I2192">
        <v>1100689</v>
      </c>
      <c r="J2192" t="s">
        <v>2273</v>
      </c>
      <c r="K2192" t="s">
        <v>6434</v>
      </c>
      <c r="L2192" t="s">
        <v>390</v>
      </c>
      <c r="N2192">
        <v>2085664</v>
      </c>
      <c r="O2192" t="s">
        <v>6436</v>
      </c>
      <c r="S2192" s="34" t="s">
        <v>6440</v>
      </c>
    </row>
    <row r="2193" spans="1:19" ht="409.5" x14ac:dyDescent="0.15">
      <c r="A2193" t="s">
        <v>2255</v>
      </c>
      <c r="B2193" s="61">
        <v>46235</v>
      </c>
      <c r="E2193" t="s">
        <v>355</v>
      </c>
      <c r="F2193" t="s">
        <v>351</v>
      </c>
      <c r="G2193" t="s">
        <v>354</v>
      </c>
      <c r="H2193" t="s">
        <v>686</v>
      </c>
      <c r="I2193">
        <v>1100913</v>
      </c>
      <c r="J2193" t="s">
        <v>2281</v>
      </c>
      <c r="K2193" t="s">
        <v>3955</v>
      </c>
      <c r="L2193" t="s">
        <v>3956</v>
      </c>
      <c r="N2193" t="s">
        <v>6441</v>
      </c>
      <c r="O2193" t="s">
        <v>3957</v>
      </c>
      <c r="S2193" s="34" t="s">
        <v>6442</v>
      </c>
    </row>
    <row r="2194" spans="1:19" ht="409.5" x14ac:dyDescent="0.15">
      <c r="A2194" t="s">
        <v>2255</v>
      </c>
      <c r="B2194" s="61">
        <v>46235</v>
      </c>
      <c r="E2194" t="s">
        <v>355</v>
      </c>
      <c r="F2194" t="s">
        <v>351</v>
      </c>
      <c r="G2194" t="s">
        <v>352</v>
      </c>
      <c r="H2194" t="s">
        <v>353</v>
      </c>
      <c r="I2194">
        <v>1101615</v>
      </c>
      <c r="J2194" t="s">
        <v>516</v>
      </c>
      <c r="K2194" t="s">
        <v>897</v>
      </c>
      <c r="L2194" t="s">
        <v>2311</v>
      </c>
      <c r="N2194" t="s">
        <v>6443</v>
      </c>
      <c r="O2194" t="s">
        <v>2313</v>
      </c>
      <c r="R2194" t="s">
        <v>3985</v>
      </c>
      <c r="S2194" s="34" t="s">
        <v>6444</v>
      </c>
    </row>
    <row r="2195" spans="1:19" ht="364.5" x14ac:dyDescent="0.15">
      <c r="A2195" t="s">
        <v>2255</v>
      </c>
      <c r="B2195" s="61">
        <v>46235</v>
      </c>
      <c r="E2195" t="s">
        <v>355</v>
      </c>
      <c r="F2195" t="s">
        <v>351</v>
      </c>
      <c r="G2195" t="s">
        <v>354</v>
      </c>
      <c r="H2195" t="s">
        <v>353</v>
      </c>
      <c r="I2195">
        <v>1101698</v>
      </c>
      <c r="J2195" t="s">
        <v>2322</v>
      </c>
      <c r="K2195" t="s">
        <v>2323</v>
      </c>
      <c r="L2195" t="s">
        <v>2324</v>
      </c>
      <c r="N2195" t="s">
        <v>6445</v>
      </c>
      <c r="O2195" t="s">
        <v>2326</v>
      </c>
      <c r="R2195" t="s">
        <v>3986</v>
      </c>
      <c r="S2195" s="34" t="s">
        <v>6446</v>
      </c>
    </row>
    <row r="2196" spans="1:19" ht="229.5" x14ac:dyDescent="0.15">
      <c r="A2196" t="s">
        <v>2255</v>
      </c>
      <c r="B2196" s="61">
        <v>46266</v>
      </c>
      <c r="E2196" t="s">
        <v>355</v>
      </c>
      <c r="F2196" t="s">
        <v>351</v>
      </c>
      <c r="G2196" t="s">
        <v>354</v>
      </c>
      <c r="H2196" t="s">
        <v>309</v>
      </c>
      <c r="I2196">
        <v>1100246</v>
      </c>
      <c r="J2196" t="s">
        <v>6447</v>
      </c>
      <c r="L2196" t="s">
        <v>6448</v>
      </c>
      <c r="N2196" t="s">
        <v>6449</v>
      </c>
      <c r="O2196" t="s">
        <v>6450</v>
      </c>
      <c r="R2196" t="s">
        <v>3992</v>
      </c>
      <c r="S2196" s="34" t="s">
        <v>6451</v>
      </c>
    </row>
    <row r="2197" spans="1:19" ht="409.5" x14ac:dyDescent="0.15">
      <c r="A2197" t="s">
        <v>2255</v>
      </c>
      <c r="B2197" s="61">
        <v>46266</v>
      </c>
      <c r="E2197" t="s">
        <v>355</v>
      </c>
      <c r="F2197" t="s">
        <v>351</v>
      </c>
      <c r="G2197" t="s">
        <v>354</v>
      </c>
      <c r="H2197" t="s">
        <v>310</v>
      </c>
      <c r="I2197">
        <v>1100246</v>
      </c>
      <c r="J2197" t="s">
        <v>6447</v>
      </c>
      <c r="L2197" t="s">
        <v>6448</v>
      </c>
      <c r="N2197" t="s">
        <v>6452</v>
      </c>
      <c r="O2197" t="s">
        <v>6450</v>
      </c>
      <c r="R2197" t="s">
        <v>3992</v>
      </c>
      <c r="S2197" s="34" t="s">
        <v>6453</v>
      </c>
    </row>
    <row r="2198" spans="1:19" ht="243" x14ac:dyDescent="0.15">
      <c r="A2198" t="s">
        <v>2255</v>
      </c>
      <c r="B2198" s="61">
        <v>46266</v>
      </c>
      <c r="E2198" t="s">
        <v>355</v>
      </c>
      <c r="F2198" t="s">
        <v>351</v>
      </c>
      <c r="G2198" t="s">
        <v>352</v>
      </c>
      <c r="H2198" t="s">
        <v>365</v>
      </c>
      <c r="I2198">
        <v>1101763</v>
      </c>
      <c r="J2198" t="s">
        <v>6454</v>
      </c>
      <c r="L2198" t="s">
        <v>6455</v>
      </c>
      <c r="N2198" t="s">
        <v>6456</v>
      </c>
      <c r="O2198" t="s">
        <v>6457</v>
      </c>
      <c r="R2198" t="s">
        <v>6458</v>
      </c>
      <c r="S2198" s="34" t="s">
        <v>6459</v>
      </c>
    </row>
    <row r="2199" spans="1:19" ht="409.5" x14ac:dyDescent="0.15">
      <c r="A2199" t="s">
        <v>2255</v>
      </c>
      <c r="B2199" s="61">
        <v>46266</v>
      </c>
      <c r="E2199" t="s">
        <v>355</v>
      </c>
      <c r="F2199" t="s">
        <v>351</v>
      </c>
      <c r="G2199" t="s">
        <v>354</v>
      </c>
      <c r="H2199" t="s">
        <v>353</v>
      </c>
      <c r="I2199">
        <v>1102422</v>
      </c>
      <c r="J2199" t="s">
        <v>6460</v>
      </c>
      <c r="K2199" t="s">
        <v>6461</v>
      </c>
      <c r="L2199" t="s">
        <v>6462</v>
      </c>
      <c r="N2199" t="s">
        <v>6463</v>
      </c>
      <c r="O2199" t="s">
        <v>6464</v>
      </c>
      <c r="R2199" t="s">
        <v>3987</v>
      </c>
      <c r="S2199" s="34" t="s">
        <v>6465</v>
      </c>
    </row>
    <row r="2200" spans="1:19" ht="409.5" x14ac:dyDescent="0.15">
      <c r="A2200" t="s">
        <v>2255</v>
      </c>
      <c r="B2200" s="61">
        <v>46296</v>
      </c>
      <c r="E2200" t="s">
        <v>355</v>
      </c>
      <c r="F2200" t="s">
        <v>351</v>
      </c>
      <c r="G2200" t="s">
        <v>354</v>
      </c>
      <c r="H2200" t="s">
        <v>686</v>
      </c>
      <c r="I2200">
        <v>1102259</v>
      </c>
      <c r="J2200" t="s">
        <v>4027</v>
      </c>
      <c r="K2200" t="s">
        <v>4028</v>
      </c>
      <c r="L2200" t="s">
        <v>4029</v>
      </c>
      <c r="N2200">
        <v>2158493</v>
      </c>
      <c r="O2200" t="s">
        <v>4030</v>
      </c>
      <c r="R2200" t="s">
        <v>3987</v>
      </c>
      <c r="S2200" s="34" t="s">
        <v>6466</v>
      </c>
    </row>
    <row r="2201" spans="1:19" ht="409.5" x14ac:dyDescent="0.15">
      <c r="A2201" t="s">
        <v>2255</v>
      </c>
      <c r="B2201" s="61">
        <v>46296</v>
      </c>
      <c r="E2201" t="s">
        <v>355</v>
      </c>
      <c r="F2201" t="s">
        <v>351</v>
      </c>
      <c r="G2201" t="s">
        <v>354</v>
      </c>
      <c r="H2201" t="s">
        <v>353</v>
      </c>
      <c r="I2201">
        <v>1102476</v>
      </c>
      <c r="J2201" t="s">
        <v>2317</v>
      </c>
      <c r="K2201" t="s">
        <v>2274</v>
      </c>
      <c r="L2201" t="s">
        <v>2318</v>
      </c>
      <c r="N2201" t="s">
        <v>6467</v>
      </c>
      <c r="O2201" t="s">
        <v>2320</v>
      </c>
      <c r="R2201" t="s">
        <v>3987</v>
      </c>
      <c r="S2201" s="34" t="s">
        <v>6468</v>
      </c>
    </row>
    <row r="2202" spans="1:19" ht="216" x14ac:dyDescent="0.15">
      <c r="A2202" t="s">
        <v>2255</v>
      </c>
      <c r="B2202" s="61">
        <v>46296</v>
      </c>
      <c r="E2202" t="s">
        <v>355</v>
      </c>
      <c r="F2202" t="s">
        <v>351</v>
      </c>
      <c r="G2202" t="s">
        <v>354</v>
      </c>
      <c r="H2202" t="s">
        <v>353</v>
      </c>
      <c r="I2202">
        <v>1102559</v>
      </c>
      <c r="J2202" t="s">
        <v>4072</v>
      </c>
      <c r="K2202" t="s">
        <v>897</v>
      </c>
      <c r="L2202" t="s">
        <v>413</v>
      </c>
      <c r="N2202" t="s">
        <v>4073</v>
      </c>
      <c r="O2202" t="s">
        <v>4074</v>
      </c>
      <c r="R2202" t="s">
        <v>3987</v>
      </c>
      <c r="S2202" s="34" t="s">
        <v>6469</v>
      </c>
    </row>
    <row r="2203" spans="1:19" ht="216" x14ac:dyDescent="0.15">
      <c r="A2203" t="s">
        <v>2255</v>
      </c>
      <c r="B2203" s="61">
        <v>46327</v>
      </c>
      <c r="E2203" t="s">
        <v>355</v>
      </c>
      <c r="F2203" t="s">
        <v>351</v>
      </c>
      <c r="G2203" t="s">
        <v>354</v>
      </c>
      <c r="H2203" t="s">
        <v>353</v>
      </c>
      <c r="I2203">
        <v>1100023</v>
      </c>
      <c r="J2203" t="s">
        <v>2256</v>
      </c>
      <c r="L2203" t="s">
        <v>390</v>
      </c>
      <c r="N2203" t="s">
        <v>2257</v>
      </c>
      <c r="O2203" t="s">
        <v>2258</v>
      </c>
      <c r="R2203" t="s">
        <v>3987</v>
      </c>
      <c r="S2203" s="34" t="s">
        <v>6470</v>
      </c>
    </row>
    <row r="2204" spans="1:19" ht="391.5" x14ac:dyDescent="0.15">
      <c r="A2204" t="s">
        <v>2255</v>
      </c>
      <c r="B2204" s="61">
        <v>46357</v>
      </c>
      <c r="E2204" t="s">
        <v>355</v>
      </c>
      <c r="F2204" t="s">
        <v>351</v>
      </c>
      <c r="G2204" t="s">
        <v>352</v>
      </c>
      <c r="H2204" t="s">
        <v>353</v>
      </c>
      <c r="I2204">
        <v>1100700</v>
      </c>
      <c r="J2204" t="s">
        <v>2259</v>
      </c>
      <c r="K2204" t="s">
        <v>2260</v>
      </c>
      <c r="L2204" t="s">
        <v>854</v>
      </c>
      <c r="N2204" t="s">
        <v>6471</v>
      </c>
      <c r="O2204" t="s">
        <v>2262</v>
      </c>
      <c r="R2204" t="s">
        <v>3985</v>
      </c>
      <c r="S2204" s="34" t="s">
        <v>6472</v>
      </c>
    </row>
    <row r="2205" spans="1:19" ht="409.5" x14ac:dyDescent="0.15">
      <c r="A2205" t="s">
        <v>2255</v>
      </c>
      <c r="B2205" s="61">
        <v>46357</v>
      </c>
      <c r="E2205" t="s">
        <v>355</v>
      </c>
      <c r="F2205" t="s">
        <v>351</v>
      </c>
      <c r="G2205" t="s">
        <v>354</v>
      </c>
      <c r="H2205" t="s">
        <v>353</v>
      </c>
      <c r="I2205">
        <v>1101840</v>
      </c>
      <c r="J2205" t="s">
        <v>2302</v>
      </c>
      <c r="K2205" t="s">
        <v>2303</v>
      </c>
      <c r="L2205" t="s">
        <v>2304</v>
      </c>
      <c r="N2205" t="s">
        <v>6473</v>
      </c>
      <c r="O2205" t="s">
        <v>2306</v>
      </c>
      <c r="R2205" t="s">
        <v>3986</v>
      </c>
      <c r="S2205" s="34" t="s">
        <v>6474</v>
      </c>
    </row>
    <row r="2206" spans="1:19" ht="243" x14ac:dyDescent="0.15">
      <c r="A2206" t="s">
        <v>2255</v>
      </c>
      <c r="B2206" s="61">
        <v>46357</v>
      </c>
      <c r="E2206" t="s">
        <v>355</v>
      </c>
      <c r="F2206" t="s">
        <v>351</v>
      </c>
      <c r="G2206" t="s">
        <v>354</v>
      </c>
      <c r="H2206" t="s">
        <v>353</v>
      </c>
      <c r="I2206">
        <v>1102157</v>
      </c>
      <c r="J2206" t="s">
        <v>6475</v>
      </c>
      <c r="K2206" t="s">
        <v>6476</v>
      </c>
      <c r="L2206" t="s">
        <v>6477</v>
      </c>
      <c r="N2206" t="s">
        <v>6478</v>
      </c>
      <c r="O2206" t="s">
        <v>6479</v>
      </c>
      <c r="R2206" t="s">
        <v>3987</v>
      </c>
      <c r="S2206" s="34" t="s">
        <v>6480</v>
      </c>
    </row>
    <row r="2207" spans="1:19" ht="189" x14ac:dyDescent="0.15">
      <c r="A2207" t="s">
        <v>2255</v>
      </c>
      <c r="B2207" s="61">
        <v>46357</v>
      </c>
      <c r="E2207" t="s">
        <v>355</v>
      </c>
      <c r="F2207" t="s">
        <v>351</v>
      </c>
      <c r="G2207" t="s">
        <v>354</v>
      </c>
      <c r="H2207" t="s">
        <v>353</v>
      </c>
      <c r="I2207">
        <v>1102206</v>
      </c>
      <c r="J2207" t="s">
        <v>2314</v>
      </c>
      <c r="L2207" t="s">
        <v>390</v>
      </c>
      <c r="N2207" t="s">
        <v>6481</v>
      </c>
      <c r="O2207" t="s">
        <v>2316</v>
      </c>
      <c r="R2207" t="s">
        <v>3987</v>
      </c>
      <c r="S2207" s="34" t="s">
        <v>6482</v>
      </c>
    </row>
    <row r="2208" spans="1:19" ht="216" x14ac:dyDescent="0.15">
      <c r="A2208" t="s">
        <v>2255</v>
      </c>
      <c r="B2208" s="61">
        <v>46357</v>
      </c>
      <c r="E2208" t="s">
        <v>355</v>
      </c>
      <c r="F2208" t="s">
        <v>351</v>
      </c>
      <c r="G2208" t="s">
        <v>354</v>
      </c>
      <c r="H2208" t="s">
        <v>365</v>
      </c>
      <c r="I2208">
        <v>1102206</v>
      </c>
      <c r="J2208" t="s">
        <v>2314</v>
      </c>
      <c r="L2208" t="s">
        <v>390</v>
      </c>
      <c r="N2208" t="s">
        <v>2315</v>
      </c>
      <c r="O2208" t="s">
        <v>2316</v>
      </c>
      <c r="R2208" t="s">
        <v>3987</v>
      </c>
      <c r="S2208" s="34" t="s">
        <v>6483</v>
      </c>
    </row>
    <row r="2209" spans="1:19" ht="409.5" x14ac:dyDescent="0.15">
      <c r="A2209" t="s">
        <v>2255</v>
      </c>
      <c r="B2209" s="61">
        <v>46357</v>
      </c>
      <c r="E2209" t="s">
        <v>355</v>
      </c>
      <c r="F2209" t="s">
        <v>351</v>
      </c>
      <c r="G2209" t="s">
        <v>354</v>
      </c>
      <c r="H2209" t="s">
        <v>353</v>
      </c>
      <c r="I2209">
        <v>1102405</v>
      </c>
      <c r="J2209" t="s">
        <v>2281</v>
      </c>
      <c r="K2209" t="s">
        <v>2282</v>
      </c>
      <c r="L2209" t="s">
        <v>692</v>
      </c>
      <c r="N2209" t="s">
        <v>6484</v>
      </c>
      <c r="O2209" t="s">
        <v>2284</v>
      </c>
      <c r="R2209" t="s">
        <v>3987</v>
      </c>
      <c r="S2209" s="34" t="s">
        <v>6485</v>
      </c>
    </row>
    <row r="2210" spans="1:19" ht="216" x14ac:dyDescent="0.15">
      <c r="A2210" t="s">
        <v>2255</v>
      </c>
      <c r="B2210" s="61">
        <v>46357</v>
      </c>
      <c r="E2210" t="s">
        <v>355</v>
      </c>
      <c r="F2210" t="s">
        <v>351</v>
      </c>
      <c r="G2210" t="s">
        <v>354</v>
      </c>
      <c r="H2210" t="s">
        <v>686</v>
      </c>
      <c r="I2210">
        <v>1102405</v>
      </c>
      <c r="J2210" t="s">
        <v>2281</v>
      </c>
      <c r="K2210" t="s">
        <v>2282</v>
      </c>
      <c r="L2210" t="s">
        <v>692</v>
      </c>
      <c r="N2210">
        <v>2108751</v>
      </c>
      <c r="O2210" t="s">
        <v>2284</v>
      </c>
      <c r="R2210" t="s">
        <v>3987</v>
      </c>
      <c r="S2210" s="34" t="s">
        <v>6486</v>
      </c>
    </row>
    <row r="2211" spans="1:19" ht="229.5" x14ac:dyDescent="0.15">
      <c r="A2211" t="s">
        <v>2255</v>
      </c>
      <c r="B2211" s="61">
        <v>46357</v>
      </c>
      <c r="E2211" t="s">
        <v>355</v>
      </c>
      <c r="F2211" t="s">
        <v>351</v>
      </c>
      <c r="G2211" t="s">
        <v>354</v>
      </c>
      <c r="H2211" t="s">
        <v>365</v>
      </c>
      <c r="I2211">
        <v>1102410</v>
      </c>
      <c r="J2211" t="s">
        <v>2264</v>
      </c>
      <c r="L2211" t="s">
        <v>854</v>
      </c>
      <c r="N2211" t="s">
        <v>2265</v>
      </c>
      <c r="O2211" t="s">
        <v>2266</v>
      </c>
      <c r="R2211" t="s">
        <v>3987</v>
      </c>
      <c r="S2211" s="34" t="s">
        <v>6487</v>
      </c>
    </row>
    <row r="2212" spans="1:19" ht="229.5" x14ac:dyDescent="0.15">
      <c r="A2212" t="s">
        <v>2255</v>
      </c>
      <c r="B2212" s="61">
        <v>46357</v>
      </c>
      <c r="E2212" t="s">
        <v>355</v>
      </c>
      <c r="F2212" t="s">
        <v>351</v>
      </c>
      <c r="G2212" t="s">
        <v>354</v>
      </c>
      <c r="H2212" t="s">
        <v>365</v>
      </c>
      <c r="I2212">
        <v>1102548</v>
      </c>
      <c r="J2212" t="s">
        <v>2267</v>
      </c>
      <c r="K2212" t="s">
        <v>2268</v>
      </c>
      <c r="L2212" t="s">
        <v>2269</v>
      </c>
      <c r="N2212" t="s">
        <v>2270</v>
      </c>
      <c r="O2212" t="s">
        <v>2271</v>
      </c>
      <c r="R2212" t="s">
        <v>3987</v>
      </c>
      <c r="S2212" s="34" t="s">
        <v>6488</v>
      </c>
    </row>
    <row r="2213" spans="1:19" ht="409.5" x14ac:dyDescent="0.15">
      <c r="A2213" t="s">
        <v>2255</v>
      </c>
      <c r="B2213" s="61">
        <v>46357</v>
      </c>
      <c r="E2213" t="s">
        <v>355</v>
      </c>
      <c r="F2213" t="s">
        <v>351</v>
      </c>
      <c r="G2213" t="s">
        <v>354</v>
      </c>
      <c r="H2213" t="s">
        <v>686</v>
      </c>
      <c r="I2213">
        <v>1102565</v>
      </c>
      <c r="J2213" t="s">
        <v>1255</v>
      </c>
      <c r="K2213" t="s">
        <v>2307</v>
      </c>
      <c r="L2213" t="s">
        <v>4391</v>
      </c>
      <c r="N2213">
        <v>2166110</v>
      </c>
      <c r="O2213" t="s">
        <v>2310</v>
      </c>
      <c r="R2213" t="s">
        <v>4392</v>
      </c>
      <c r="S2213" s="34" t="s">
        <v>6489</v>
      </c>
    </row>
    <row r="2214" spans="1:19" ht="216" x14ac:dyDescent="0.15">
      <c r="A2214" t="s">
        <v>2255</v>
      </c>
      <c r="B2214" s="61">
        <v>46357</v>
      </c>
      <c r="E2214" t="s">
        <v>355</v>
      </c>
      <c r="F2214" t="s">
        <v>351</v>
      </c>
      <c r="G2214" t="s">
        <v>354</v>
      </c>
      <c r="H2214" t="s">
        <v>353</v>
      </c>
      <c r="I2214">
        <v>1102593</v>
      </c>
      <c r="J2214" t="s">
        <v>2417</v>
      </c>
      <c r="K2214" t="s">
        <v>2268</v>
      </c>
      <c r="L2214" t="s">
        <v>6490</v>
      </c>
      <c r="N2214" t="s">
        <v>4822</v>
      </c>
      <c r="O2214" t="s">
        <v>4823</v>
      </c>
      <c r="S2214" s="34" t="s">
        <v>6491</v>
      </c>
    </row>
    <row r="2215" spans="1:19" ht="409.5" x14ac:dyDescent="0.15">
      <c r="A2215" t="s">
        <v>2328</v>
      </c>
      <c r="B2215" s="61">
        <v>46266</v>
      </c>
      <c r="E2215" t="s">
        <v>355</v>
      </c>
      <c r="F2215" t="s">
        <v>351</v>
      </c>
      <c r="G2215" t="s">
        <v>354</v>
      </c>
      <c r="H2215" t="s">
        <v>686</v>
      </c>
      <c r="I2215">
        <v>1401841</v>
      </c>
      <c r="J2215" t="s">
        <v>2367</v>
      </c>
      <c r="K2215" t="s">
        <v>2368</v>
      </c>
      <c r="L2215" t="s">
        <v>2369</v>
      </c>
      <c r="N2215">
        <v>2094582</v>
      </c>
      <c r="O2215" t="s">
        <v>2371</v>
      </c>
      <c r="R2215" t="s">
        <v>6492</v>
      </c>
      <c r="S2215" s="34" t="s">
        <v>6493</v>
      </c>
    </row>
    <row r="2216" spans="1:19" ht="229.5" x14ac:dyDescent="0.15">
      <c r="A2216" t="s">
        <v>2328</v>
      </c>
      <c r="B2216" s="61">
        <v>46266</v>
      </c>
      <c r="E2216" t="s">
        <v>355</v>
      </c>
      <c r="F2216" t="s">
        <v>351</v>
      </c>
      <c r="G2216" t="s">
        <v>354</v>
      </c>
      <c r="H2216" t="s">
        <v>353</v>
      </c>
      <c r="I2216">
        <v>1401905</v>
      </c>
      <c r="J2216" t="s">
        <v>2344</v>
      </c>
      <c r="K2216" t="s">
        <v>2345</v>
      </c>
      <c r="L2216" t="s">
        <v>2346</v>
      </c>
      <c r="N2216" t="s">
        <v>2362</v>
      </c>
      <c r="O2216" t="s">
        <v>2348</v>
      </c>
      <c r="S2216" s="34" t="s">
        <v>6494</v>
      </c>
    </row>
    <row r="2217" spans="1:19" ht="409.5" x14ac:dyDescent="0.15">
      <c r="A2217" t="s">
        <v>2328</v>
      </c>
      <c r="B2217" s="61">
        <v>46266</v>
      </c>
      <c r="E2217" t="s">
        <v>355</v>
      </c>
      <c r="F2217" t="s">
        <v>351</v>
      </c>
      <c r="G2217" t="s">
        <v>354</v>
      </c>
      <c r="H2217" t="s">
        <v>353</v>
      </c>
      <c r="I2217">
        <v>1401905</v>
      </c>
      <c r="J2217" t="s">
        <v>2344</v>
      </c>
      <c r="K2217" t="s">
        <v>2345</v>
      </c>
      <c r="L2217" t="s">
        <v>2346</v>
      </c>
      <c r="N2217" t="s">
        <v>6495</v>
      </c>
      <c r="O2217" t="s">
        <v>2348</v>
      </c>
      <c r="S2217" s="34" t="s">
        <v>6496</v>
      </c>
    </row>
    <row r="2218" spans="1:19" ht="409.5" x14ac:dyDescent="0.15">
      <c r="A2218" t="s">
        <v>2328</v>
      </c>
      <c r="B2218" s="61">
        <v>46357</v>
      </c>
      <c r="E2218" t="s">
        <v>355</v>
      </c>
      <c r="F2218" t="s">
        <v>351</v>
      </c>
      <c r="G2218" t="s">
        <v>354</v>
      </c>
      <c r="H2218" t="s">
        <v>686</v>
      </c>
      <c r="I2218">
        <v>1401841</v>
      </c>
      <c r="J2218" t="s">
        <v>2367</v>
      </c>
      <c r="K2218" t="s">
        <v>2368</v>
      </c>
      <c r="L2218" t="s">
        <v>2369</v>
      </c>
      <c r="N2218">
        <v>2147116</v>
      </c>
      <c r="O2218" t="s">
        <v>2371</v>
      </c>
      <c r="R2218" t="s">
        <v>4534</v>
      </c>
      <c r="S2218" s="34" t="s">
        <v>6497</v>
      </c>
    </row>
    <row r="2219" spans="1:19" ht="378" x14ac:dyDescent="0.15">
      <c r="A2219" t="s">
        <v>2328</v>
      </c>
      <c r="B2219" s="61">
        <v>46357</v>
      </c>
      <c r="E2219" t="s">
        <v>355</v>
      </c>
      <c r="F2219" t="s">
        <v>351</v>
      </c>
      <c r="G2219" t="s">
        <v>354</v>
      </c>
      <c r="H2219" t="s">
        <v>365</v>
      </c>
      <c r="I2219">
        <v>1401912</v>
      </c>
      <c r="J2219" t="s">
        <v>2339</v>
      </c>
      <c r="K2219" t="s">
        <v>2340</v>
      </c>
      <c r="L2219" t="s">
        <v>2341</v>
      </c>
      <c r="N2219" t="s">
        <v>2342</v>
      </c>
      <c r="O2219" t="s">
        <v>2343</v>
      </c>
      <c r="R2219" t="s">
        <v>3987</v>
      </c>
      <c r="S2219" s="34" t="s">
        <v>6498</v>
      </c>
    </row>
    <row r="2220" spans="1:19" ht="409.5" x14ac:dyDescent="0.15">
      <c r="A2220" t="s">
        <v>2377</v>
      </c>
      <c r="B2220" s="61">
        <v>46235</v>
      </c>
      <c r="E2220" t="s">
        <v>355</v>
      </c>
      <c r="F2220" t="s">
        <v>351</v>
      </c>
      <c r="G2220" t="s">
        <v>354</v>
      </c>
      <c r="H2220" t="s">
        <v>365</v>
      </c>
      <c r="I2220">
        <v>1101172</v>
      </c>
      <c r="J2220" t="s">
        <v>2378</v>
      </c>
      <c r="L2220" t="s">
        <v>1230</v>
      </c>
      <c r="N2220" t="s">
        <v>2379</v>
      </c>
      <c r="O2220" t="s">
        <v>2380</v>
      </c>
      <c r="R2220" t="s">
        <v>6499</v>
      </c>
      <c r="S2220" s="34" t="s">
        <v>6500</v>
      </c>
    </row>
    <row r="2221" spans="1:19" ht="391.5" x14ac:dyDescent="0.15">
      <c r="A2221" t="s">
        <v>2377</v>
      </c>
      <c r="B2221" s="61">
        <v>46235</v>
      </c>
      <c r="E2221" t="s">
        <v>355</v>
      </c>
      <c r="F2221" t="s">
        <v>351</v>
      </c>
      <c r="G2221" t="s">
        <v>354</v>
      </c>
      <c r="H2221" t="s">
        <v>309</v>
      </c>
      <c r="I2221">
        <v>1101172</v>
      </c>
      <c r="J2221" t="s">
        <v>2378</v>
      </c>
      <c r="L2221" t="s">
        <v>1230</v>
      </c>
      <c r="N2221" t="s">
        <v>7348</v>
      </c>
      <c r="O2221" t="s">
        <v>2380</v>
      </c>
      <c r="R2221" t="s">
        <v>6499</v>
      </c>
      <c r="S2221" s="34" t="s">
        <v>6501</v>
      </c>
    </row>
    <row r="2222" spans="1:19" ht="256.5" x14ac:dyDescent="0.15">
      <c r="A2222" t="s">
        <v>2377</v>
      </c>
      <c r="B2222" s="61">
        <v>46235</v>
      </c>
      <c r="E2222" t="s">
        <v>355</v>
      </c>
      <c r="F2222" t="s">
        <v>351</v>
      </c>
      <c r="G2222" t="s">
        <v>352</v>
      </c>
      <c r="H2222" t="s">
        <v>353</v>
      </c>
      <c r="I2222">
        <v>1102177</v>
      </c>
      <c r="J2222" t="s">
        <v>2396</v>
      </c>
      <c r="K2222" t="s">
        <v>2397</v>
      </c>
      <c r="L2222" t="s">
        <v>390</v>
      </c>
      <c r="N2222" t="s">
        <v>2398</v>
      </c>
      <c r="O2222" t="s">
        <v>2399</v>
      </c>
      <c r="R2222" t="s">
        <v>3985</v>
      </c>
      <c r="S2222" s="34" t="s">
        <v>6502</v>
      </c>
    </row>
    <row r="2223" spans="1:19" ht="337.5" x14ac:dyDescent="0.15">
      <c r="A2223" t="s">
        <v>2377</v>
      </c>
      <c r="B2223" s="61">
        <v>46235</v>
      </c>
      <c r="E2223" t="s">
        <v>355</v>
      </c>
      <c r="F2223" t="s">
        <v>351</v>
      </c>
      <c r="G2223" t="s">
        <v>354</v>
      </c>
      <c r="H2223" t="s">
        <v>353</v>
      </c>
      <c r="I2223">
        <v>1102508</v>
      </c>
      <c r="J2223" t="s">
        <v>2382</v>
      </c>
      <c r="K2223" t="s">
        <v>2383</v>
      </c>
      <c r="L2223" t="s">
        <v>2384</v>
      </c>
      <c r="N2223" t="s">
        <v>6503</v>
      </c>
      <c r="O2223" t="s">
        <v>2386</v>
      </c>
      <c r="R2223" t="s">
        <v>3987</v>
      </c>
      <c r="S2223" s="34" t="s">
        <v>6504</v>
      </c>
    </row>
    <row r="2224" spans="1:19" ht="409.5" x14ac:dyDescent="0.15">
      <c r="A2224" t="s">
        <v>2377</v>
      </c>
      <c r="B2224" s="61">
        <v>46327</v>
      </c>
      <c r="E2224" t="s">
        <v>355</v>
      </c>
      <c r="F2224" t="s">
        <v>351</v>
      </c>
      <c r="G2224" t="s">
        <v>354</v>
      </c>
      <c r="H2224" t="s">
        <v>353</v>
      </c>
      <c r="I2224">
        <v>1101329</v>
      </c>
      <c r="J2224" t="s">
        <v>2400</v>
      </c>
      <c r="K2224" t="s">
        <v>2401</v>
      </c>
      <c r="L2224" t="s">
        <v>2041</v>
      </c>
      <c r="N2224" t="s">
        <v>6505</v>
      </c>
      <c r="O2224" t="s">
        <v>2403</v>
      </c>
      <c r="S2224" s="34" t="s">
        <v>6506</v>
      </c>
    </row>
    <row r="2225" spans="1:19" ht="409.5" x14ac:dyDescent="0.15">
      <c r="A2225" t="s">
        <v>2377</v>
      </c>
      <c r="B2225" s="61">
        <v>46327</v>
      </c>
      <c r="E2225" t="s">
        <v>355</v>
      </c>
      <c r="F2225" t="s">
        <v>351</v>
      </c>
      <c r="G2225" t="s">
        <v>354</v>
      </c>
      <c r="H2225" t="s">
        <v>365</v>
      </c>
      <c r="I2225">
        <v>1101329</v>
      </c>
      <c r="J2225" t="s">
        <v>2400</v>
      </c>
      <c r="K2225" t="s">
        <v>2401</v>
      </c>
      <c r="L2225" t="s">
        <v>2041</v>
      </c>
      <c r="N2225" t="s">
        <v>2402</v>
      </c>
      <c r="O2225" t="s">
        <v>2403</v>
      </c>
      <c r="S2225" s="34" t="s">
        <v>6507</v>
      </c>
    </row>
    <row r="2226" spans="1:19" ht="405" x14ac:dyDescent="0.15">
      <c r="A2226" t="s">
        <v>2377</v>
      </c>
      <c r="B2226" s="61">
        <v>46327</v>
      </c>
      <c r="E2226" t="s">
        <v>355</v>
      </c>
      <c r="F2226" t="s">
        <v>351</v>
      </c>
      <c r="G2226" t="s">
        <v>354</v>
      </c>
      <c r="H2226" t="s">
        <v>686</v>
      </c>
      <c r="I2226">
        <v>1101329</v>
      </c>
      <c r="J2226" t="s">
        <v>2400</v>
      </c>
      <c r="K2226" t="s">
        <v>2401</v>
      </c>
      <c r="L2226" t="s">
        <v>2041</v>
      </c>
      <c r="N2226">
        <v>2120666</v>
      </c>
      <c r="O2226" t="s">
        <v>2403</v>
      </c>
      <c r="S2226" s="34" t="s">
        <v>6508</v>
      </c>
    </row>
    <row r="2227" spans="1:19" ht="229.5" x14ac:dyDescent="0.15">
      <c r="A2227" t="s">
        <v>2404</v>
      </c>
      <c r="B2227" s="61">
        <v>46235</v>
      </c>
      <c r="E2227" t="s">
        <v>355</v>
      </c>
      <c r="F2227" t="s">
        <v>351</v>
      </c>
      <c r="G2227" t="s">
        <v>352</v>
      </c>
      <c r="H2227" t="s">
        <v>353</v>
      </c>
      <c r="I2227">
        <v>1102243</v>
      </c>
      <c r="J2227" t="s">
        <v>6509</v>
      </c>
      <c r="L2227" t="s">
        <v>390</v>
      </c>
      <c r="N2227" t="s">
        <v>6510</v>
      </c>
      <c r="O2227" t="s">
        <v>6511</v>
      </c>
      <c r="R2227" t="s">
        <v>3985</v>
      </c>
      <c r="S2227" s="34" t="s">
        <v>6512</v>
      </c>
    </row>
    <row r="2228" spans="1:19" ht="378" x14ac:dyDescent="0.15">
      <c r="A2228" t="s">
        <v>2404</v>
      </c>
      <c r="B2228" s="61">
        <v>46235</v>
      </c>
      <c r="E2228" t="s">
        <v>355</v>
      </c>
      <c r="F2228" t="s">
        <v>351</v>
      </c>
      <c r="G2228" t="s">
        <v>354</v>
      </c>
      <c r="H2228" t="s">
        <v>353</v>
      </c>
      <c r="I2228">
        <v>1200483</v>
      </c>
      <c r="J2228" t="s">
        <v>2423</v>
      </c>
      <c r="K2228" t="s">
        <v>2260</v>
      </c>
      <c r="L2228" t="s">
        <v>390</v>
      </c>
      <c r="N2228" t="s">
        <v>2424</v>
      </c>
      <c r="O2228" t="s">
        <v>2425</v>
      </c>
      <c r="R2228" t="s">
        <v>3992</v>
      </c>
      <c r="S2228" s="34" t="s">
        <v>6513</v>
      </c>
    </row>
    <row r="2229" spans="1:19" ht="270" x14ac:dyDescent="0.15">
      <c r="A2229" t="s">
        <v>2404</v>
      </c>
      <c r="B2229" s="61">
        <v>46296</v>
      </c>
      <c r="E2229" t="s">
        <v>355</v>
      </c>
      <c r="F2229" t="s">
        <v>351</v>
      </c>
      <c r="G2229" t="s">
        <v>354</v>
      </c>
      <c r="H2229" t="s">
        <v>353</v>
      </c>
      <c r="I2229">
        <v>1101868</v>
      </c>
      <c r="J2229" t="s">
        <v>2407</v>
      </c>
      <c r="K2229" t="s">
        <v>6514</v>
      </c>
      <c r="L2229" t="s">
        <v>6515</v>
      </c>
      <c r="N2229" t="s">
        <v>7367</v>
      </c>
      <c r="O2229" t="s">
        <v>6516</v>
      </c>
      <c r="S2229" s="34" t="s">
        <v>6517</v>
      </c>
    </row>
    <row r="2230" spans="1:19" ht="243" x14ac:dyDescent="0.15">
      <c r="A2230" t="s">
        <v>2404</v>
      </c>
      <c r="B2230" s="61">
        <v>46296</v>
      </c>
      <c r="E2230" t="s">
        <v>355</v>
      </c>
      <c r="F2230" t="s">
        <v>351</v>
      </c>
      <c r="G2230" t="s">
        <v>354</v>
      </c>
      <c r="H2230" t="s">
        <v>353</v>
      </c>
      <c r="I2230">
        <v>1101869</v>
      </c>
      <c r="J2230" t="s">
        <v>2407</v>
      </c>
      <c r="K2230" t="s">
        <v>6514</v>
      </c>
      <c r="L2230" t="s">
        <v>6518</v>
      </c>
      <c r="N2230" t="s">
        <v>7368</v>
      </c>
      <c r="O2230" t="s">
        <v>6519</v>
      </c>
      <c r="S2230" s="34" t="s">
        <v>6520</v>
      </c>
    </row>
    <row r="2231" spans="1:19" ht="409.5" x14ac:dyDescent="0.15">
      <c r="A2231" t="s">
        <v>2404</v>
      </c>
      <c r="B2231" s="61">
        <v>46296</v>
      </c>
      <c r="E2231" t="s">
        <v>355</v>
      </c>
      <c r="F2231" t="s">
        <v>351</v>
      </c>
      <c r="G2231" t="s">
        <v>354</v>
      </c>
      <c r="H2231" t="s">
        <v>309</v>
      </c>
      <c r="I2231">
        <v>1201080</v>
      </c>
      <c r="J2231" t="s">
        <v>1212</v>
      </c>
      <c r="K2231" t="s">
        <v>4577</v>
      </c>
      <c r="L2231" t="s">
        <v>2041</v>
      </c>
      <c r="N2231" t="s">
        <v>6521</v>
      </c>
      <c r="O2231" t="s">
        <v>4578</v>
      </c>
      <c r="S2231" s="34" t="s">
        <v>6522</v>
      </c>
    </row>
    <row r="2232" spans="1:19" ht="216" x14ac:dyDescent="0.15">
      <c r="A2232" t="s">
        <v>2404</v>
      </c>
      <c r="B2232" s="61">
        <v>46327</v>
      </c>
      <c r="E2232" t="s">
        <v>355</v>
      </c>
      <c r="F2232" t="s">
        <v>351</v>
      </c>
      <c r="G2232" t="s">
        <v>354</v>
      </c>
      <c r="H2232" t="s">
        <v>353</v>
      </c>
      <c r="I2232">
        <v>1101483</v>
      </c>
      <c r="J2232" t="s">
        <v>2413</v>
      </c>
      <c r="K2232" t="s">
        <v>2153</v>
      </c>
      <c r="L2232" t="s">
        <v>390</v>
      </c>
      <c r="N2232" t="s">
        <v>2414</v>
      </c>
      <c r="O2232" t="s">
        <v>2415</v>
      </c>
      <c r="R2232" t="s">
        <v>3986</v>
      </c>
      <c r="S2232" s="34" t="s">
        <v>6523</v>
      </c>
    </row>
    <row r="2233" spans="1:19" ht="378" x14ac:dyDescent="0.15">
      <c r="A2233" t="s">
        <v>2404</v>
      </c>
      <c r="B2233" s="61">
        <v>46357</v>
      </c>
      <c r="E2233" t="s">
        <v>355</v>
      </c>
      <c r="F2233" t="s">
        <v>351</v>
      </c>
      <c r="G2233" t="s">
        <v>354</v>
      </c>
      <c r="H2233" t="s">
        <v>686</v>
      </c>
      <c r="I2233">
        <v>1102101</v>
      </c>
      <c r="J2233" t="s">
        <v>2417</v>
      </c>
      <c r="L2233" t="s">
        <v>4380</v>
      </c>
      <c r="N2233">
        <v>2152662</v>
      </c>
      <c r="O2233" t="s">
        <v>4382</v>
      </c>
      <c r="R2233" t="s">
        <v>3985</v>
      </c>
      <c r="S2233" s="34" t="s">
        <v>6524</v>
      </c>
    </row>
    <row r="2234" spans="1:19" ht="189" x14ac:dyDescent="0.15">
      <c r="A2234" t="s">
        <v>2404</v>
      </c>
      <c r="B2234" s="61">
        <v>46357</v>
      </c>
      <c r="E2234" t="s">
        <v>355</v>
      </c>
      <c r="F2234" t="s">
        <v>351</v>
      </c>
      <c r="G2234" t="s">
        <v>354</v>
      </c>
      <c r="H2234" t="s">
        <v>686</v>
      </c>
      <c r="I2234">
        <v>1102324</v>
      </c>
      <c r="J2234" t="s">
        <v>2417</v>
      </c>
      <c r="L2234" t="s">
        <v>2418</v>
      </c>
      <c r="N2234">
        <v>2119850</v>
      </c>
      <c r="O2234" t="s">
        <v>2420</v>
      </c>
      <c r="R2234" t="s">
        <v>3987</v>
      </c>
      <c r="S2234" s="34" t="s">
        <v>6525</v>
      </c>
    </row>
    <row r="2235" spans="1:19" ht="405" x14ac:dyDescent="0.15">
      <c r="A2235" t="s">
        <v>2434</v>
      </c>
      <c r="B2235" s="61">
        <v>46235</v>
      </c>
      <c r="E2235" t="s">
        <v>355</v>
      </c>
      <c r="F2235" t="s">
        <v>351</v>
      </c>
      <c r="G2235" t="s">
        <v>354</v>
      </c>
      <c r="H2235" t="s">
        <v>309</v>
      </c>
      <c r="I2235">
        <v>1300253</v>
      </c>
      <c r="J2235" t="s">
        <v>6526</v>
      </c>
      <c r="K2235" t="s">
        <v>6527</v>
      </c>
      <c r="L2235" t="s">
        <v>6528</v>
      </c>
      <c r="N2235" t="s">
        <v>7349</v>
      </c>
      <c r="O2235" t="s">
        <v>6529</v>
      </c>
      <c r="S2235" s="34" t="s">
        <v>6530</v>
      </c>
    </row>
    <row r="2236" spans="1:19" ht="409.5" x14ac:dyDescent="0.15">
      <c r="A2236" t="s">
        <v>2434</v>
      </c>
      <c r="B2236" s="61">
        <v>46235</v>
      </c>
      <c r="E2236" t="s">
        <v>355</v>
      </c>
      <c r="F2236" t="s">
        <v>351</v>
      </c>
      <c r="G2236" t="s">
        <v>354</v>
      </c>
      <c r="H2236" t="s">
        <v>353</v>
      </c>
      <c r="I2236">
        <v>1301459</v>
      </c>
      <c r="J2236" t="s">
        <v>2407</v>
      </c>
      <c r="K2236" t="s">
        <v>4401</v>
      </c>
      <c r="L2236" t="s">
        <v>2041</v>
      </c>
      <c r="N2236" t="s">
        <v>6531</v>
      </c>
      <c r="O2236" t="s">
        <v>4402</v>
      </c>
      <c r="R2236" t="s">
        <v>4012</v>
      </c>
      <c r="S2236" s="34" t="s">
        <v>6532</v>
      </c>
    </row>
    <row r="2237" spans="1:19" ht="409.5" x14ac:dyDescent="0.15">
      <c r="A2237" t="s">
        <v>2434</v>
      </c>
      <c r="B2237" s="61">
        <v>46266</v>
      </c>
      <c r="E2237" t="s">
        <v>355</v>
      </c>
      <c r="F2237" t="s">
        <v>351</v>
      </c>
      <c r="G2237" t="s">
        <v>354</v>
      </c>
      <c r="H2237" t="s">
        <v>353</v>
      </c>
      <c r="I2237">
        <v>1301669</v>
      </c>
      <c r="J2237" t="s">
        <v>2451</v>
      </c>
      <c r="K2237" t="s">
        <v>2452</v>
      </c>
      <c r="L2237" t="s">
        <v>2453</v>
      </c>
      <c r="N2237" t="s">
        <v>6533</v>
      </c>
      <c r="O2237" t="s">
        <v>2455</v>
      </c>
      <c r="S2237" s="34" t="s">
        <v>6534</v>
      </c>
    </row>
    <row r="2238" spans="1:19" ht="378" x14ac:dyDescent="0.15">
      <c r="A2238" t="s">
        <v>2434</v>
      </c>
      <c r="B2238" s="61">
        <v>46327</v>
      </c>
      <c r="E2238" t="s">
        <v>355</v>
      </c>
      <c r="F2238" t="s">
        <v>351</v>
      </c>
      <c r="G2238" t="s">
        <v>352</v>
      </c>
      <c r="H2238" t="s">
        <v>365</v>
      </c>
      <c r="I2238">
        <v>1300042</v>
      </c>
      <c r="J2238" t="s">
        <v>6535</v>
      </c>
      <c r="K2238" t="s">
        <v>6536</v>
      </c>
      <c r="L2238" t="s">
        <v>3217</v>
      </c>
      <c r="N2238" t="s">
        <v>6537</v>
      </c>
      <c r="O2238" t="s">
        <v>6538</v>
      </c>
      <c r="R2238" t="s">
        <v>3985</v>
      </c>
      <c r="S2238" s="34" t="s">
        <v>6539</v>
      </c>
    </row>
    <row r="2239" spans="1:19" ht="364.5" x14ac:dyDescent="0.15">
      <c r="A2239" t="s">
        <v>2434</v>
      </c>
      <c r="B2239" s="61">
        <v>46327</v>
      </c>
      <c r="E2239" t="s">
        <v>355</v>
      </c>
      <c r="F2239" t="s">
        <v>351</v>
      </c>
      <c r="G2239" t="s">
        <v>354</v>
      </c>
      <c r="H2239" t="s">
        <v>686</v>
      </c>
      <c r="I2239">
        <v>1301669</v>
      </c>
      <c r="J2239" t="s">
        <v>2451</v>
      </c>
      <c r="K2239" t="s">
        <v>2452</v>
      </c>
      <c r="L2239" t="s">
        <v>2453</v>
      </c>
      <c r="N2239">
        <v>2178414</v>
      </c>
      <c r="O2239" t="s">
        <v>2455</v>
      </c>
      <c r="R2239" t="s">
        <v>3987</v>
      </c>
      <c r="S2239" s="34" t="s">
        <v>6540</v>
      </c>
    </row>
    <row r="2240" spans="1:19" ht="409.5" x14ac:dyDescent="0.15">
      <c r="A2240" t="s">
        <v>2434</v>
      </c>
      <c r="B2240" s="61">
        <v>46357</v>
      </c>
      <c r="E2240" t="s">
        <v>355</v>
      </c>
      <c r="F2240" t="s">
        <v>351</v>
      </c>
      <c r="G2240" t="s">
        <v>354</v>
      </c>
      <c r="H2240" t="s">
        <v>353</v>
      </c>
      <c r="I2240">
        <v>1300230</v>
      </c>
      <c r="J2240" t="s">
        <v>2447</v>
      </c>
      <c r="L2240" t="s">
        <v>2448</v>
      </c>
      <c r="N2240" t="s">
        <v>2449</v>
      </c>
      <c r="O2240" t="s">
        <v>2450</v>
      </c>
      <c r="R2240" t="s">
        <v>3986</v>
      </c>
      <c r="S2240" s="34" t="s">
        <v>6541</v>
      </c>
    </row>
    <row r="2241" spans="1:19" ht="405" x14ac:dyDescent="0.15">
      <c r="A2241" t="s">
        <v>2434</v>
      </c>
      <c r="B2241" s="61">
        <v>46357</v>
      </c>
      <c r="E2241" t="s">
        <v>355</v>
      </c>
      <c r="F2241" t="s">
        <v>351</v>
      </c>
      <c r="G2241" t="s">
        <v>354</v>
      </c>
      <c r="H2241" t="s">
        <v>365</v>
      </c>
      <c r="I2241">
        <v>1301802</v>
      </c>
      <c r="J2241" t="s">
        <v>751</v>
      </c>
      <c r="K2241" t="s">
        <v>2153</v>
      </c>
      <c r="L2241" t="s">
        <v>2181</v>
      </c>
      <c r="N2241" t="s">
        <v>2437</v>
      </c>
      <c r="O2241" t="s">
        <v>2436</v>
      </c>
      <c r="R2241" t="s">
        <v>6542</v>
      </c>
      <c r="S2241" s="34" t="s">
        <v>6543</v>
      </c>
    </row>
    <row r="2242" spans="1:19" ht="409.5" x14ac:dyDescent="0.15">
      <c r="A2242" t="s">
        <v>2434</v>
      </c>
      <c r="B2242" s="61">
        <v>46357</v>
      </c>
      <c r="E2242" t="s">
        <v>355</v>
      </c>
      <c r="F2242" t="s">
        <v>351</v>
      </c>
      <c r="G2242" t="s">
        <v>354</v>
      </c>
      <c r="H2242" t="s">
        <v>365</v>
      </c>
      <c r="I2242">
        <v>1301802</v>
      </c>
      <c r="J2242" t="s">
        <v>751</v>
      </c>
      <c r="K2242" t="s">
        <v>2153</v>
      </c>
      <c r="L2242" t="s">
        <v>2181</v>
      </c>
      <c r="N2242" t="s">
        <v>2435</v>
      </c>
      <c r="O2242" t="s">
        <v>2436</v>
      </c>
      <c r="R2242" t="s">
        <v>6544</v>
      </c>
      <c r="S2242" s="34" t="s">
        <v>6545</v>
      </c>
    </row>
    <row r="2243" spans="1:19" ht="378" x14ac:dyDescent="0.15">
      <c r="A2243" t="s">
        <v>6546</v>
      </c>
      <c r="B2243" s="61">
        <v>46235</v>
      </c>
      <c r="E2243" t="s">
        <v>355</v>
      </c>
      <c r="F2243" t="s">
        <v>351</v>
      </c>
      <c r="G2243" t="s">
        <v>354</v>
      </c>
      <c r="H2243" t="s">
        <v>365</v>
      </c>
      <c r="I2243">
        <v>100231</v>
      </c>
      <c r="J2243" t="s">
        <v>1149</v>
      </c>
      <c r="L2243" t="s">
        <v>1150</v>
      </c>
      <c r="N2243" t="s">
        <v>1151</v>
      </c>
      <c r="O2243" t="s">
        <v>1152</v>
      </c>
      <c r="R2243" t="s">
        <v>3987</v>
      </c>
      <c r="S2243" s="34" t="s">
        <v>6547</v>
      </c>
    </row>
    <row r="2244" spans="1:19" ht="337.5" x14ac:dyDescent="0.15">
      <c r="A2244" t="s">
        <v>6546</v>
      </c>
      <c r="B2244" s="61">
        <v>46235</v>
      </c>
      <c r="E2244" t="s">
        <v>355</v>
      </c>
      <c r="F2244" t="s">
        <v>351</v>
      </c>
      <c r="G2244" t="s">
        <v>354</v>
      </c>
      <c r="H2244" t="s">
        <v>353</v>
      </c>
      <c r="I2244">
        <v>100596</v>
      </c>
      <c r="J2244" t="s">
        <v>1225</v>
      </c>
      <c r="K2244" t="s">
        <v>1147</v>
      </c>
      <c r="L2244" t="s">
        <v>1191</v>
      </c>
      <c r="N2244" t="s">
        <v>1226</v>
      </c>
      <c r="O2244" t="s">
        <v>1227</v>
      </c>
      <c r="R2244" t="s">
        <v>3986</v>
      </c>
      <c r="S2244" s="34" t="s">
        <v>6548</v>
      </c>
    </row>
    <row r="2245" spans="1:19" ht="409.5" x14ac:dyDescent="0.15">
      <c r="A2245" t="s">
        <v>2456</v>
      </c>
      <c r="B2245" s="61">
        <v>46235</v>
      </c>
      <c r="E2245" t="s">
        <v>355</v>
      </c>
      <c r="F2245" t="s">
        <v>351</v>
      </c>
      <c r="G2245" t="s">
        <v>352</v>
      </c>
      <c r="H2245" t="s">
        <v>353</v>
      </c>
      <c r="I2245">
        <v>2201720</v>
      </c>
      <c r="J2245" t="s">
        <v>2486</v>
      </c>
      <c r="K2245" t="s">
        <v>2487</v>
      </c>
      <c r="L2245" t="s">
        <v>2533</v>
      </c>
      <c r="N2245" t="s">
        <v>2489</v>
      </c>
      <c r="O2245" t="s">
        <v>2490</v>
      </c>
      <c r="R2245" t="s">
        <v>6549</v>
      </c>
      <c r="S2245" s="34" t="s">
        <v>6550</v>
      </c>
    </row>
    <row r="2246" spans="1:19" ht="409.5" x14ac:dyDescent="0.15">
      <c r="A2246" t="s">
        <v>2456</v>
      </c>
      <c r="B2246" s="61">
        <v>46235</v>
      </c>
      <c r="E2246" t="s">
        <v>355</v>
      </c>
      <c r="F2246" t="s">
        <v>351</v>
      </c>
      <c r="G2246" t="s">
        <v>354</v>
      </c>
      <c r="H2246" t="s">
        <v>353</v>
      </c>
      <c r="I2246">
        <v>2201953</v>
      </c>
      <c r="J2246" t="s">
        <v>873</v>
      </c>
      <c r="K2246" t="s">
        <v>2507</v>
      </c>
      <c r="L2246" t="s">
        <v>2508</v>
      </c>
      <c r="N2246" t="s">
        <v>6551</v>
      </c>
      <c r="O2246" t="s">
        <v>2510</v>
      </c>
      <c r="S2246" s="34" t="s">
        <v>6552</v>
      </c>
    </row>
    <row r="2247" spans="1:19" ht="216" x14ac:dyDescent="0.15">
      <c r="A2247" t="s">
        <v>2456</v>
      </c>
      <c r="B2247" s="61">
        <v>46266</v>
      </c>
      <c r="E2247" t="s">
        <v>355</v>
      </c>
      <c r="F2247" t="s">
        <v>351</v>
      </c>
      <c r="G2247" t="s">
        <v>354</v>
      </c>
      <c r="H2247" t="s">
        <v>353</v>
      </c>
      <c r="I2247">
        <v>2200158</v>
      </c>
      <c r="J2247" t="s">
        <v>2518</v>
      </c>
      <c r="K2247" t="s">
        <v>2519</v>
      </c>
      <c r="L2247" t="s">
        <v>413</v>
      </c>
      <c r="N2247" t="s">
        <v>2520</v>
      </c>
      <c r="O2247" t="s">
        <v>2521</v>
      </c>
      <c r="R2247" t="s">
        <v>3987</v>
      </c>
      <c r="S2247" s="34" t="s">
        <v>6553</v>
      </c>
    </row>
    <row r="2248" spans="1:19" ht="229.5" x14ac:dyDescent="0.15">
      <c r="A2248" t="s">
        <v>2456</v>
      </c>
      <c r="B2248" s="61">
        <v>46266</v>
      </c>
      <c r="E2248" t="s">
        <v>355</v>
      </c>
      <c r="F2248" t="s">
        <v>351</v>
      </c>
      <c r="G2248" t="s">
        <v>352</v>
      </c>
      <c r="H2248" t="s">
        <v>353</v>
      </c>
      <c r="I2248">
        <v>2200239</v>
      </c>
      <c r="J2248" t="s">
        <v>6554</v>
      </c>
      <c r="K2248" t="s">
        <v>6555</v>
      </c>
      <c r="L2248" t="s">
        <v>1827</v>
      </c>
      <c r="N2248" t="s">
        <v>6556</v>
      </c>
      <c r="O2248" t="s">
        <v>6557</v>
      </c>
      <c r="R2248" t="s">
        <v>3985</v>
      </c>
      <c r="S2248" s="34" t="s">
        <v>6558</v>
      </c>
    </row>
    <row r="2249" spans="1:19" ht="216" x14ac:dyDescent="0.15">
      <c r="A2249" t="s">
        <v>2456</v>
      </c>
      <c r="B2249" s="61">
        <v>46296</v>
      </c>
      <c r="E2249" t="s">
        <v>355</v>
      </c>
      <c r="F2249" t="s">
        <v>351</v>
      </c>
      <c r="G2249" t="s">
        <v>354</v>
      </c>
      <c r="H2249" t="s">
        <v>353</v>
      </c>
      <c r="I2249">
        <v>2201827</v>
      </c>
      <c r="J2249" t="s">
        <v>4803</v>
      </c>
      <c r="K2249" t="s">
        <v>4804</v>
      </c>
      <c r="L2249" t="s">
        <v>4805</v>
      </c>
      <c r="N2249" t="s">
        <v>4806</v>
      </c>
      <c r="O2249" t="s">
        <v>4807</v>
      </c>
      <c r="S2249" s="34" t="s">
        <v>6559</v>
      </c>
    </row>
    <row r="2250" spans="1:19" ht="216" x14ac:dyDescent="0.15">
      <c r="A2250" t="s">
        <v>2456</v>
      </c>
      <c r="B2250" s="61">
        <v>46296</v>
      </c>
      <c r="E2250" t="s">
        <v>355</v>
      </c>
      <c r="F2250" t="s">
        <v>351</v>
      </c>
      <c r="G2250" t="s">
        <v>354</v>
      </c>
      <c r="H2250" t="s">
        <v>365</v>
      </c>
      <c r="I2250">
        <v>2202138</v>
      </c>
      <c r="J2250" t="s">
        <v>2481</v>
      </c>
      <c r="K2250" t="s">
        <v>2482</v>
      </c>
      <c r="L2250" t="s">
        <v>2483</v>
      </c>
      <c r="N2250" t="s">
        <v>2524</v>
      </c>
      <c r="O2250" t="s">
        <v>2485</v>
      </c>
      <c r="R2250" t="s">
        <v>6560</v>
      </c>
      <c r="S2250" s="34" t="s">
        <v>6561</v>
      </c>
    </row>
    <row r="2251" spans="1:19" ht="409.5" x14ac:dyDescent="0.15">
      <c r="A2251" t="s">
        <v>2456</v>
      </c>
      <c r="B2251" s="61">
        <v>46327</v>
      </c>
      <c r="E2251" t="s">
        <v>355</v>
      </c>
      <c r="F2251" t="s">
        <v>351</v>
      </c>
      <c r="G2251" t="s">
        <v>352</v>
      </c>
      <c r="H2251" t="s">
        <v>353</v>
      </c>
      <c r="I2251">
        <v>2201720</v>
      </c>
      <c r="J2251" t="s">
        <v>2486</v>
      </c>
      <c r="K2251" t="s">
        <v>2487</v>
      </c>
      <c r="L2251" t="s">
        <v>2533</v>
      </c>
      <c r="N2251" t="s">
        <v>6562</v>
      </c>
      <c r="O2251" t="s">
        <v>2490</v>
      </c>
      <c r="R2251" t="s">
        <v>6563</v>
      </c>
      <c r="S2251" s="34" t="s">
        <v>6564</v>
      </c>
    </row>
    <row r="2252" spans="1:19" ht="378" x14ac:dyDescent="0.15">
      <c r="A2252" t="s">
        <v>2456</v>
      </c>
      <c r="B2252" s="61">
        <v>46327</v>
      </c>
      <c r="E2252" t="s">
        <v>355</v>
      </c>
      <c r="F2252" t="s">
        <v>351</v>
      </c>
      <c r="G2252" t="s">
        <v>352</v>
      </c>
      <c r="H2252" t="s">
        <v>365</v>
      </c>
      <c r="I2252">
        <v>2202154</v>
      </c>
      <c r="J2252" t="s">
        <v>6565</v>
      </c>
      <c r="K2252" t="s">
        <v>5314</v>
      </c>
      <c r="L2252" t="s">
        <v>698</v>
      </c>
      <c r="N2252" t="s">
        <v>6566</v>
      </c>
      <c r="O2252" t="s">
        <v>6567</v>
      </c>
      <c r="R2252" t="s">
        <v>3985</v>
      </c>
      <c r="S2252" s="34" t="s">
        <v>6568</v>
      </c>
    </row>
    <row r="2253" spans="1:19" ht="378" x14ac:dyDescent="0.15">
      <c r="A2253" t="s">
        <v>2456</v>
      </c>
      <c r="B2253" s="61">
        <v>46327</v>
      </c>
      <c r="E2253" t="s">
        <v>355</v>
      </c>
      <c r="F2253" t="s">
        <v>351</v>
      </c>
      <c r="G2253" t="s">
        <v>352</v>
      </c>
      <c r="H2253" t="s">
        <v>365</v>
      </c>
      <c r="I2253">
        <v>2202168</v>
      </c>
      <c r="J2253" t="s">
        <v>6569</v>
      </c>
      <c r="K2253" t="s">
        <v>6570</v>
      </c>
      <c r="L2253" t="s">
        <v>6571</v>
      </c>
      <c r="N2253" t="s">
        <v>6572</v>
      </c>
      <c r="O2253" t="s">
        <v>6573</v>
      </c>
      <c r="R2253" t="s">
        <v>3985</v>
      </c>
      <c r="S2253" s="34" t="s">
        <v>6574</v>
      </c>
    </row>
    <row r="2254" spans="1:19" ht="229.5" x14ac:dyDescent="0.15">
      <c r="A2254" t="s">
        <v>2456</v>
      </c>
      <c r="B2254" s="61">
        <v>46327</v>
      </c>
      <c r="E2254" t="s">
        <v>355</v>
      </c>
      <c r="F2254" t="s">
        <v>351</v>
      </c>
      <c r="G2254" t="s">
        <v>352</v>
      </c>
      <c r="H2254" t="s">
        <v>353</v>
      </c>
      <c r="I2254">
        <v>2202268</v>
      </c>
      <c r="J2254" t="s">
        <v>6575</v>
      </c>
      <c r="L2254" t="s">
        <v>2082</v>
      </c>
      <c r="N2254" t="s">
        <v>6576</v>
      </c>
      <c r="O2254" t="s">
        <v>6577</v>
      </c>
      <c r="R2254" t="s">
        <v>3985</v>
      </c>
      <c r="S2254" s="34" t="s">
        <v>6578</v>
      </c>
    </row>
    <row r="2255" spans="1:19" ht="409.5" x14ac:dyDescent="0.15">
      <c r="A2255" t="s">
        <v>2456</v>
      </c>
      <c r="B2255" s="61">
        <v>46327</v>
      </c>
      <c r="E2255" t="s">
        <v>355</v>
      </c>
      <c r="F2255" t="s">
        <v>351</v>
      </c>
      <c r="G2255" t="s">
        <v>352</v>
      </c>
      <c r="H2255" t="s">
        <v>353</v>
      </c>
      <c r="I2255">
        <v>2202285</v>
      </c>
      <c r="J2255" t="s">
        <v>2694</v>
      </c>
      <c r="K2255" t="s">
        <v>4617</v>
      </c>
      <c r="L2255" t="s">
        <v>1114</v>
      </c>
      <c r="N2255" t="s">
        <v>6579</v>
      </c>
      <c r="O2255" t="s">
        <v>4618</v>
      </c>
      <c r="R2255" t="s">
        <v>3985</v>
      </c>
      <c r="S2255" s="34" t="s">
        <v>6580</v>
      </c>
    </row>
    <row r="2256" spans="1:19" ht="409.5" x14ac:dyDescent="0.15">
      <c r="A2256" t="s">
        <v>2456</v>
      </c>
      <c r="B2256" s="61">
        <v>46357</v>
      </c>
      <c r="E2256" t="s">
        <v>355</v>
      </c>
      <c r="F2256" t="s">
        <v>351</v>
      </c>
      <c r="G2256" t="s">
        <v>354</v>
      </c>
      <c r="H2256" t="s">
        <v>353</v>
      </c>
      <c r="I2256">
        <v>2200035</v>
      </c>
      <c r="J2256" t="s">
        <v>6581</v>
      </c>
      <c r="K2256" t="s">
        <v>6582</v>
      </c>
      <c r="L2256" t="s">
        <v>390</v>
      </c>
      <c r="N2256" t="s">
        <v>6583</v>
      </c>
      <c r="O2256" t="s">
        <v>6584</v>
      </c>
      <c r="R2256" t="s">
        <v>4052</v>
      </c>
      <c r="S2256" s="34" t="s">
        <v>6585</v>
      </c>
    </row>
    <row r="2257" spans="1:19" ht="324" x14ac:dyDescent="0.15">
      <c r="A2257" t="s">
        <v>2456</v>
      </c>
      <c r="B2257" s="61">
        <v>46357</v>
      </c>
      <c r="E2257" t="s">
        <v>355</v>
      </c>
      <c r="F2257" t="s">
        <v>351</v>
      </c>
      <c r="G2257" t="s">
        <v>354</v>
      </c>
      <c r="H2257" t="s">
        <v>686</v>
      </c>
      <c r="I2257">
        <v>2200035</v>
      </c>
      <c r="J2257" t="s">
        <v>6581</v>
      </c>
      <c r="K2257" t="s">
        <v>6582</v>
      </c>
      <c r="L2257" t="s">
        <v>390</v>
      </c>
      <c r="N2257">
        <v>2072851</v>
      </c>
      <c r="O2257" t="s">
        <v>6584</v>
      </c>
      <c r="R2257" t="s">
        <v>4052</v>
      </c>
      <c r="S2257" s="34" t="s">
        <v>6586</v>
      </c>
    </row>
    <row r="2258" spans="1:19" ht="229.5" x14ac:dyDescent="0.15">
      <c r="A2258" t="s">
        <v>2456</v>
      </c>
      <c r="B2258" s="61">
        <v>46357</v>
      </c>
      <c r="E2258" t="s">
        <v>355</v>
      </c>
      <c r="F2258" t="s">
        <v>351</v>
      </c>
      <c r="G2258" t="s">
        <v>354</v>
      </c>
      <c r="H2258" t="s">
        <v>365</v>
      </c>
      <c r="I2258">
        <v>2200732</v>
      </c>
      <c r="J2258" t="s">
        <v>775</v>
      </c>
      <c r="K2258" t="s">
        <v>2492</v>
      </c>
      <c r="L2258" t="s">
        <v>2181</v>
      </c>
      <c r="N2258" t="s">
        <v>6587</v>
      </c>
      <c r="O2258" t="s">
        <v>6588</v>
      </c>
      <c r="R2258" t="s">
        <v>3992</v>
      </c>
      <c r="S2258" s="34" t="s">
        <v>6589</v>
      </c>
    </row>
    <row r="2259" spans="1:19" ht="409.5" x14ac:dyDescent="0.15">
      <c r="A2259" t="s">
        <v>2456</v>
      </c>
      <c r="B2259" s="61">
        <v>46357</v>
      </c>
      <c r="E2259" t="s">
        <v>355</v>
      </c>
      <c r="F2259" t="s">
        <v>351</v>
      </c>
      <c r="G2259" t="s">
        <v>354</v>
      </c>
      <c r="H2259" t="s">
        <v>365</v>
      </c>
      <c r="I2259">
        <v>2200739</v>
      </c>
      <c r="J2259" t="s">
        <v>775</v>
      </c>
      <c r="K2259" t="s">
        <v>2492</v>
      </c>
      <c r="L2259" t="s">
        <v>2493</v>
      </c>
      <c r="N2259" t="s">
        <v>6590</v>
      </c>
      <c r="O2259" t="s">
        <v>2495</v>
      </c>
      <c r="R2259" t="s">
        <v>3992</v>
      </c>
      <c r="S2259" s="34" t="s">
        <v>6591</v>
      </c>
    </row>
    <row r="2260" spans="1:19" ht="409.5" x14ac:dyDescent="0.15">
      <c r="A2260" t="s">
        <v>2456</v>
      </c>
      <c r="B2260" s="61">
        <v>46357</v>
      </c>
      <c r="E2260" t="s">
        <v>355</v>
      </c>
      <c r="F2260" t="s">
        <v>351</v>
      </c>
      <c r="G2260" t="s">
        <v>354</v>
      </c>
      <c r="H2260" t="s">
        <v>686</v>
      </c>
      <c r="I2260">
        <v>2201799</v>
      </c>
      <c r="J2260" t="s">
        <v>2457</v>
      </c>
      <c r="K2260" t="s">
        <v>2458</v>
      </c>
      <c r="L2260" t="s">
        <v>2459</v>
      </c>
      <c r="N2260">
        <v>2153073</v>
      </c>
      <c r="O2260" t="s">
        <v>2460</v>
      </c>
      <c r="R2260" t="s">
        <v>4534</v>
      </c>
      <c r="S2260" s="34" t="s">
        <v>6592</v>
      </c>
    </row>
    <row r="2261" spans="1:19" ht="270" x14ac:dyDescent="0.15">
      <c r="A2261" t="s">
        <v>2456</v>
      </c>
      <c r="B2261" s="61">
        <v>46357</v>
      </c>
      <c r="E2261" t="s">
        <v>355</v>
      </c>
      <c r="F2261" t="s">
        <v>351</v>
      </c>
      <c r="G2261" t="s">
        <v>354</v>
      </c>
      <c r="H2261" t="s">
        <v>353</v>
      </c>
      <c r="I2261">
        <v>2201799</v>
      </c>
      <c r="J2261" t="s">
        <v>2457</v>
      </c>
      <c r="K2261" t="s">
        <v>2458</v>
      </c>
      <c r="L2261" t="s">
        <v>2459</v>
      </c>
      <c r="N2261" t="s">
        <v>6593</v>
      </c>
      <c r="O2261" t="s">
        <v>2460</v>
      </c>
      <c r="R2261" t="s">
        <v>3992</v>
      </c>
      <c r="S2261" s="34" t="s">
        <v>6594</v>
      </c>
    </row>
    <row r="2262" spans="1:19" ht="270" x14ac:dyDescent="0.15">
      <c r="A2262" t="s">
        <v>2534</v>
      </c>
      <c r="B2262" s="61">
        <v>46235</v>
      </c>
      <c r="E2262" t="s">
        <v>355</v>
      </c>
      <c r="F2262" t="s">
        <v>351</v>
      </c>
      <c r="G2262" t="s">
        <v>354</v>
      </c>
      <c r="H2262" t="s">
        <v>310</v>
      </c>
      <c r="I2262">
        <v>2702442</v>
      </c>
      <c r="J2262" t="s">
        <v>6595</v>
      </c>
      <c r="K2262" t="s">
        <v>6596</v>
      </c>
      <c r="L2262" t="s">
        <v>1148</v>
      </c>
      <c r="N2262" t="s">
        <v>6597</v>
      </c>
      <c r="O2262" t="s">
        <v>6598</v>
      </c>
      <c r="R2262" t="s">
        <v>3986</v>
      </c>
      <c r="S2262" s="34" t="s">
        <v>6599</v>
      </c>
    </row>
    <row r="2263" spans="1:19" ht="409.5" x14ac:dyDescent="0.15">
      <c r="A2263" t="s">
        <v>2534</v>
      </c>
      <c r="B2263" s="61">
        <v>46235</v>
      </c>
      <c r="E2263" t="s">
        <v>355</v>
      </c>
      <c r="F2263" t="s">
        <v>351</v>
      </c>
      <c r="G2263" t="s">
        <v>352</v>
      </c>
      <c r="H2263" t="s">
        <v>353</v>
      </c>
      <c r="I2263">
        <v>2800115</v>
      </c>
      <c r="J2263" t="s">
        <v>2545</v>
      </c>
      <c r="K2263" t="s">
        <v>2575</v>
      </c>
      <c r="L2263" t="s">
        <v>413</v>
      </c>
      <c r="N2263" t="s">
        <v>6600</v>
      </c>
      <c r="O2263" t="s">
        <v>2577</v>
      </c>
      <c r="R2263" t="s">
        <v>3985</v>
      </c>
      <c r="S2263" s="34" t="s">
        <v>6601</v>
      </c>
    </row>
    <row r="2264" spans="1:19" ht="409.5" x14ac:dyDescent="0.15">
      <c r="A2264" t="s">
        <v>2534</v>
      </c>
      <c r="B2264" s="61">
        <v>46235</v>
      </c>
      <c r="E2264" t="s">
        <v>355</v>
      </c>
      <c r="F2264" t="s">
        <v>351</v>
      </c>
      <c r="G2264" t="s">
        <v>354</v>
      </c>
      <c r="H2264" t="s">
        <v>353</v>
      </c>
      <c r="I2264">
        <v>2801536</v>
      </c>
      <c r="J2264" t="s">
        <v>2545</v>
      </c>
      <c r="L2264" t="s">
        <v>413</v>
      </c>
      <c r="N2264" t="s">
        <v>6602</v>
      </c>
      <c r="O2264" t="s">
        <v>2547</v>
      </c>
      <c r="R2264" t="s">
        <v>3987</v>
      </c>
      <c r="S2264" s="34" t="s">
        <v>6603</v>
      </c>
    </row>
    <row r="2265" spans="1:19" ht="409.5" x14ac:dyDescent="0.15">
      <c r="A2265" t="s">
        <v>2534</v>
      </c>
      <c r="B2265" s="61">
        <v>46235</v>
      </c>
      <c r="E2265" t="s">
        <v>355</v>
      </c>
      <c r="F2265" t="s">
        <v>351</v>
      </c>
      <c r="G2265" t="s">
        <v>354</v>
      </c>
      <c r="H2265" t="s">
        <v>309</v>
      </c>
      <c r="I2265">
        <v>2801536</v>
      </c>
      <c r="J2265" t="s">
        <v>2545</v>
      </c>
      <c r="L2265" t="s">
        <v>413</v>
      </c>
      <c r="N2265" t="s">
        <v>6604</v>
      </c>
      <c r="O2265" t="s">
        <v>2547</v>
      </c>
      <c r="R2265" t="s">
        <v>3987</v>
      </c>
      <c r="S2265" s="34" t="s">
        <v>6605</v>
      </c>
    </row>
    <row r="2266" spans="1:19" ht="243" x14ac:dyDescent="0.15">
      <c r="A2266" t="s">
        <v>2534</v>
      </c>
      <c r="B2266" s="61">
        <v>46266</v>
      </c>
      <c r="E2266" t="s">
        <v>355</v>
      </c>
      <c r="F2266" t="s">
        <v>351</v>
      </c>
      <c r="G2266" t="s">
        <v>354</v>
      </c>
      <c r="H2266" t="s">
        <v>353</v>
      </c>
      <c r="I2266">
        <v>2700410</v>
      </c>
      <c r="J2266" t="s">
        <v>4110</v>
      </c>
      <c r="K2266" t="s">
        <v>428</v>
      </c>
      <c r="L2266" t="s">
        <v>413</v>
      </c>
      <c r="N2266" t="s">
        <v>4115</v>
      </c>
      <c r="O2266" t="s">
        <v>4112</v>
      </c>
      <c r="S2266" s="34" t="s">
        <v>6606</v>
      </c>
    </row>
    <row r="2267" spans="1:19" ht="189" x14ac:dyDescent="0.15">
      <c r="A2267" t="s">
        <v>2534</v>
      </c>
      <c r="B2267" s="61">
        <v>46266</v>
      </c>
      <c r="E2267" t="s">
        <v>355</v>
      </c>
      <c r="F2267" t="s">
        <v>351</v>
      </c>
      <c r="G2267" t="s">
        <v>354</v>
      </c>
      <c r="H2267" t="s">
        <v>353</v>
      </c>
      <c r="I2267">
        <v>2802241</v>
      </c>
      <c r="J2267" t="s">
        <v>1212</v>
      </c>
      <c r="K2267" t="s">
        <v>6607</v>
      </c>
      <c r="L2267" t="s">
        <v>2453</v>
      </c>
      <c r="N2267" t="s">
        <v>6608</v>
      </c>
      <c r="O2267" t="s">
        <v>6609</v>
      </c>
      <c r="R2267" t="s">
        <v>3987</v>
      </c>
      <c r="S2267" s="34" t="s">
        <v>6610</v>
      </c>
    </row>
    <row r="2268" spans="1:19" ht="243" x14ac:dyDescent="0.15">
      <c r="A2268" t="s">
        <v>2534</v>
      </c>
      <c r="B2268" s="61">
        <v>46266</v>
      </c>
      <c r="E2268" t="s">
        <v>355</v>
      </c>
      <c r="F2268" t="s">
        <v>351</v>
      </c>
      <c r="G2268" t="s">
        <v>354</v>
      </c>
      <c r="H2268" t="s">
        <v>309</v>
      </c>
      <c r="I2268">
        <v>2802241</v>
      </c>
      <c r="J2268" t="s">
        <v>1212</v>
      </c>
      <c r="K2268" t="s">
        <v>6607</v>
      </c>
      <c r="L2268" t="s">
        <v>2453</v>
      </c>
      <c r="N2268" t="s">
        <v>6611</v>
      </c>
      <c r="O2268" t="s">
        <v>6609</v>
      </c>
      <c r="R2268" t="s">
        <v>3987</v>
      </c>
      <c r="S2268" s="34" t="s">
        <v>6612</v>
      </c>
    </row>
    <row r="2269" spans="1:19" ht="409.5" x14ac:dyDescent="0.15">
      <c r="A2269" t="s">
        <v>2534</v>
      </c>
      <c r="B2269" s="61">
        <v>46266</v>
      </c>
      <c r="E2269" t="s">
        <v>355</v>
      </c>
      <c r="F2269" t="s">
        <v>351</v>
      </c>
      <c r="G2269" t="s">
        <v>354</v>
      </c>
      <c r="H2269" t="s">
        <v>353</v>
      </c>
      <c r="I2269">
        <v>2802399</v>
      </c>
      <c r="J2269" t="s">
        <v>2549</v>
      </c>
      <c r="K2269" t="s">
        <v>2569</v>
      </c>
      <c r="L2269" t="s">
        <v>466</v>
      </c>
      <c r="N2269" t="s">
        <v>6613</v>
      </c>
      <c r="O2269" t="s">
        <v>2572</v>
      </c>
      <c r="S2269" s="34" t="s">
        <v>6614</v>
      </c>
    </row>
    <row r="2270" spans="1:19" ht="243" x14ac:dyDescent="0.15">
      <c r="A2270" t="s">
        <v>2534</v>
      </c>
      <c r="B2270" s="61">
        <v>46296</v>
      </c>
      <c r="E2270" t="s">
        <v>355</v>
      </c>
      <c r="F2270" t="s">
        <v>351</v>
      </c>
      <c r="G2270" t="s">
        <v>354</v>
      </c>
      <c r="H2270" t="s">
        <v>353</v>
      </c>
      <c r="I2270">
        <v>2700410</v>
      </c>
      <c r="J2270" t="s">
        <v>4110</v>
      </c>
      <c r="K2270" t="s">
        <v>428</v>
      </c>
      <c r="L2270" t="s">
        <v>413</v>
      </c>
      <c r="N2270" t="s">
        <v>4111</v>
      </c>
      <c r="O2270" t="s">
        <v>4112</v>
      </c>
      <c r="R2270" t="s">
        <v>6615</v>
      </c>
      <c r="S2270" s="34" t="s">
        <v>6616</v>
      </c>
    </row>
    <row r="2271" spans="1:19" ht="409.5" x14ac:dyDescent="0.15">
      <c r="A2271" t="s">
        <v>2534</v>
      </c>
      <c r="B2271" s="61">
        <v>46296</v>
      </c>
      <c r="E2271" t="s">
        <v>355</v>
      </c>
      <c r="F2271" t="s">
        <v>351</v>
      </c>
      <c r="G2271" t="s">
        <v>354</v>
      </c>
      <c r="H2271" t="s">
        <v>365</v>
      </c>
      <c r="I2271">
        <v>2801555</v>
      </c>
      <c r="J2271" t="s">
        <v>2559</v>
      </c>
      <c r="K2271" t="s">
        <v>2560</v>
      </c>
      <c r="L2271" t="s">
        <v>413</v>
      </c>
      <c r="N2271" t="s">
        <v>2561</v>
      </c>
      <c r="O2271" t="s">
        <v>2562</v>
      </c>
      <c r="S2271" s="34" t="s">
        <v>6617</v>
      </c>
    </row>
    <row r="2272" spans="1:19" ht="409.5" x14ac:dyDescent="0.15">
      <c r="A2272" t="s">
        <v>2534</v>
      </c>
      <c r="B2272" s="61">
        <v>46327</v>
      </c>
      <c r="E2272" t="s">
        <v>355</v>
      </c>
      <c r="F2272" t="s">
        <v>351</v>
      </c>
      <c r="G2272" t="s">
        <v>354</v>
      </c>
      <c r="H2272" t="s">
        <v>353</v>
      </c>
      <c r="I2272">
        <v>2701229</v>
      </c>
      <c r="J2272" t="s">
        <v>873</v>
      </c>
      <c r="K2272" t="s">
        <v>2583</v>
      </c>
      <c r="L2272" t="s">
        <v>2584</v>
      </c>
      <c r="N2272" t="s">
        <v>2585</v>
      </c>
      <c r="O2272" t="s">
        <v>2586</v>
      </c>
      <c r="S2272" s="34" t="s">
        <v>6618</v>
      </c>
    </row>
    <row r="2273" spans="1:19" ht="409.5" x14ac:dyDescent="0.15">
      <c r="A2273" t="s">
        <v>2534</v>
      </c>
      <c r="B2273" s="61">
        <v>46357</v>
      </c>
      <c r="E2273" t="s">
        <v>355</v>
      </c>
      <c r="F2273" t="s">
        <v>351</v>
      </c>
      <c r="G2273" t="s">
        <v>354</v>
      </c>
      <c r="H2273" t="s">
        <v>309</v>
      </c>
      <c r="I2273">
        <v>2701670</v>
      </c>
      <c r="J2273" t="s">
        <v>2549</v>
      </c>
      <c r="K2273" t="s">
        <v>436</v>
      </c>
      <c r="L2273" t="s">
        <v>2550</v>
      </c>
      <c r="N2273" t="s">
        <v>7369</v>
      </c>
      <c r="O2273" t="s">
        <v>2552</v>
      </c>
      <c r="S2273" s="34" t="s">
        <v>6619</v>
      </c>
    </row>
    <row r="2274" spans="1:19" ht="409.5" x14ac:dyDescent="0.15">
      <c r="A2274" t="s">
        <v>2534</v>
      </c>
      <c r="B2274" s="61">
        <v>46357</v>
      </c>
      <c r="E2274" t="s">
        <v>355</v>
      </c>
      <c r="F2274" t="s">
        <v>351</v>
      </c>
      <c r="G2274" t="s">
        <v>354</v>
      </c>
      <c r="H2274" t="s">
        <v>353</v>
      </c>
      <c r="I2274">
        <v>2701670</v>
      </c>
      <c r="J2274" t="s">
        <v>2549</v>
      </c>
      <c r="K2274" t="s">
        <v>436</v>
      </c>
      <c r="L2274" t="s">
        <v>2550</v>
      </c>
      <c r="N2274" t="s">
        <v>2582</v>
      </c>
      <c r="O2274" t="s">
        <v>2552</v>
      </c>
      <c r="S2274" s="34" t="s">
        <v>6620</v>
      </c>
    </row>
    <row r="2275" spans="1:19" ht="216" x14ac:dyDescent="0.15">
      <c r="A2275" t="s">
        <v>2597</v>
      </c>
      <c r="B2275" s="61">
        <v>46235</v>
      </c>
      <c r="E2275" t="s">
        <v>355</v>
      </c>
      <c r="F2275" t="s">
        <v>351</v>
      </c>
      <c r="G2275" t="s">
        <v>354</v>
      </c>
      <c r="H2275" t="s">
        <v>353</v>
      </c>
      <c r="I2275">
        <v>2700314</v>
      </c>
      <c r="J2275" t="s">
        <v>2620</v>
      </c>
      <c r="K2275" t="s">
        <v>2621</v>
      </c>
      <c r="L2275" t="s">
        <v>833</v>
      </c>
      <c r="N2275" t="s">
        <v>2622</v>
      </c>
      <c r="O2275" t="s">
        <v>2623</v>
      </c>
      <c r="R2275" t="s">
        <v>3987</v>
      </c>
      <c r="S2275" s="34" t="s">
        <v>6621</v>
      </c>
    </row>
    <row r="2276" spans="1:19" ht="409.5" x14ac:dyDescent="0.15">
      <c r="A2276" t="s">
        <v>2597</v>
      </c>
      <c r="B2276" s="61">
        <v>46235</v>
      </c>
      <c r="E2276" t="s">
        <v>355</v>
      </c>
      <c r="F2276" t="s">
        <v>351</v>
      </c>
      <c r="G2276" t="s">
        <v>354</v>
      </c>
      <c r="H2276" t="s">
        <v>686</v>
      </c>
      <c r="I2276">
        <v>2702402</v>
      </c>
      <c r="J2276" t="s">
        <v>2457</v>
      </c>
      <c r="K2276" t="s">
        <v>6622</v>
      </c>
      <c r="L2276" t="s">
        <v>1769</v>
      </c>
      <c r="N2276" t="s">
        <v>6623</v>
      </c>
      <c r="O2276" t="s">
        <v>6624</v>
      </c>
      <c r="R2276" t="s">
        <v>3987</v>
      </c>
      <c r="S2276" s="34" t="s">
        <v>6625</v>
      </c>
    </row>
    <row r="2277" spans="1:19" ht="409.5" x14ac:dyDescent="0.15">
      <c r="A2277" t="s">
        <v>2597</v>
      </c>
      <c r="B2277" s="61">
        <v>46235</v>
      </c>
      <c r="E2277" t="s">
        <v>355</v>
      </c>
      <c r="F2277" t="s">
        <v>351</v>
      </c>
      <c r="G2277" t="s">
        <v>354</v>
      </c>
      <c r="H2277" t="s">
        <v>365</v>
      </c>
      <c r="I2277">
        <v>2702722</v>
      </c>
      <c r="J2277" t="s">
        <v>2651</v>
      </c>
      <c r="L2277" t="s">
        <v>2652</v>
      </c>
      <c r="N2277" t="s">
        <v>6626</v>
      </c>
      <c r="O2277" t="s">
        <v>2654</v>
      </c>
      <c r="R2277" t="s">
        <v>3987</v>
      </c>
      <c r="S2277" s="34" t="s">
        <v>6627</v>
      </c>
    </row>
    <row r="2278" spans="1:19" ht="409.5" x14ac:dyDescent="0.15">
      <c r="A2278" t="s">
        <v>2597</v>
      </c>
      <c r="B2278" s="61">
        <v>46235</v>
      </c>
      <c r="E2278" t="s">
        <v>355</v>
      </c>
      <c r="F2278" t="s">
        <v>351</v>
      </c>
      <c r="G2278" t="s">
        <v>354</v>
      </c>
      <c r="H2278" t="s">
        <v>353</v>
      </c>
      <c r="I2278">
        <v>2702866</v>
      </c>
      <c r="J2278" t="s">
        <v>3933</v>
      </c>
      <c r="K2278" t="s">
        <v>3934</v>
      </c>
      <c r="L2278" t="s">
        <v>718</v>
      </c>
      <c r="N2278" t="s">
        <v>6628</v>
      </c>
      <c r="O2278" t="s">
        <v>3936</v>
      </c>
      <c r="R2278" t="s">
        <v>3987</v>
      </c>
      <c r="S2278" s="34" t="s">
        <v>6629</v>
      </c>
    </row>
    <row r="2279" spans="1:19" ht="337.5" x14ac:dyDescent="0.15">
      <c r="A2279" t="s">
        <v>2597</v>
      </c>
      <c r="B2279" s="61">
        <v>46266</v>
      </c>
      <c r="E2279" t="s">
        <v>355</v>
      </c>
      <c r="F2279" t="s">
        <v>351</v>
      </c>
      <c r="G2279" t="s">
        <v>354</v>
      </c>
      <c r="H2279" t="s">
        <v>353</v>
      </c>
      <c r="I2279">
        <v>2700073</v>
      </c>
      <c r="J2279" t="s">
        <v>2642</v>
      </c>
      <c r="K2279" t="s">
        <v>2643</v>
      </c>
      <c r="L2279" t="s">
        <v>413</v>
      </c>
      <c r="N2279" t="s">
        <v>2644</v>
      </c>
      <c r="O2279" t="s">
        <v>2645</v>
      </c>
      <c r="R2279" t="s">
        <v>3987</v>
      </c>
      <c r="S2279" s="34" t="s">
        <v>6630</v>
      </c>
    </row>
    <row r="2280" spans="1:19" ht="229.5" x14ac:dyDescent="0.15">
      <c r="A2280" t="s">
        <v>2597</v>
      </c>
      <c r="B2280" s="61">
        <v>46266</v>
      </c>
      <c r="E2280" t="s">
        <v>355</v>
      </c>
      <c r="F2280" t="s">
        <v>351</v>
      </c>
      <c r="G2280" t="s">
        <v>352</v>
      </c>
      <c r="H2280" t="s">
        <v>353</v>
      </c>
      <c r="I2280">
        <v>2700083</v>
      </c>
      <c r="J2280" t="s">
        <v>2613</v>
      </c>
      <c r="K2280" t="s">
        <v>532</v>
      </c>
      <c r="L2280" t="s">
        <v>413</v>
      </c>
      <c r="N2280" t="s">
        <v>2614</v>
      </c>
      <c r="O2280" t="s">
        <v>2615</v>
      </c>
      <c r="R2280" t="s">
        <v>3985</v>
      </c>
      <c r="S2280" s="34" t="s">
        <v>6631</v>
      </c>
    </row>
    <row r="2281" spans="1:19" ht="229.5" x14ac:dyDescent="0.15">
      <c r="A2281" t="s">
        <v>2597</v>
      </c>
      <c r="B2281" s="61">
        <v>46266</v>
      </c>
      <c r="E2281" t="s">
        <v>355</v>
      </c>
      <c r="F2281" t="s">
        <v>351</v>
      </c>
      <c r="G2281" t="s">
        <v>352</v>
      </c>
      <c r="H2281" t="s">
        <v>365</v>
      </c>
      <c r="I2281">
        <v>2702353</v>
      </c>
      <c r="J2281" t="s">
        <v>6632</v>
      </c>
      <c r="K2281" t="s">
        <v>6633</v>
      </c>
      <c r="L2281" t="s">
        <v>413</v>
      </c>
      <c r="N2281" t="s">
        <v>6634</v>
      </c>
      <c r="O2281" t="s">
        <v>6635</v>
      </c>
      <c r="R2281" t="s">
        <v>3985</v>
      </c>
      <c r="S2281" s="34" t="s">
        <v>6636</v>
      </c>
    </row>
    <row r="2282" spans="1:19" ht="202.5" x14ac:dyDescent="0.15">
      <c r="A2282" t="s">
        <v>2597</v>
      </c>
      <c r="B2282" s="61">
        <v>46296</v>
      </c>
      <c r="E2282" t="s">
        <v>355</v>
      </c>
      <c r="F2282" t="s">
        <v>351</v>
      </c>
      <c r="G2282" t="s">
        <v>352</v>
      </c>
      <c r="H2282" t="s">
        <v>353</v>
      </c>
      <c r="I2282">
        <v>2700131</v>
      </c>
      <c r="J2282" t="s">
        <v>6637</v>
      </c>
      <c r="L2282" t="s">
        <v>413</v>
      </c>
      <c r="N2282" t="s">
        <v>6638</v>
      </c>
      <c r="O2282" t="s">
        <v>6639</v>
      </c>
      <c r="R2282" t="s">
        <v>3985</v>
      </c>
      <c r="S2282" s="34" t="s">
        <v>6640</v>
      </c>
    </row>
    <row r="2283" spans="1:19" ht="409.5" x14ac:dyDescent="0.15">
      <c r="A2283" t="s">
        <v>2597</v>
      </c>
      <c r="B2283" s="61">
        <v>46296</v>
      </c>
      <c r="E2283" t="s">
        <v>355</v>
      </c>
      <c r="F2283" t="s">
        <v>351</v>
      </c>
      <c r="G2283" t="s">
        <v>352</v>
      </c>
      <c r="H2283" t="s">
        <v>310</v>
      </c>
      <c r="I2283">
        <v>2700131</v>
      </c>
      <c r="J2283" t="s">
        <v>6637</v>
      </c>
      <c r="L2283" t="s">
        <v>413</v>
      </c>
      <c r="N2283" t="s">
        <v>6641</v>
      </c>
      <c r="O2283" t="s">
        <v>6639</v>
      </c>
      <c r="R2283" t="s">
        <v>3985</v>
      </c>
      <c r="S2283" s="34" t="s">
        <v>6642</v>
      </c>
    </row>
    <row r="2284" spans="1:19" ht="229.5" x14ac:dyDescent="0.15">
      <c r="A2284" t="s">
        <v>2597</v>
      </c>
      <c r="B2284" s="61">
        <v>46296</v>
      </c>
      <c r="E2284" t="s">
        <v>355</v>
      </c>
      <c r="F2284" t="s">
        <v>351</v>
      </c>
      <c r="G2284" t="s">
        <v>354</v>
      </c>
      <c r="H2284" t="s">
        <v>365</v>
      </c>
      <c r="I2284">
        <v>2701251</v>
      </c>
      <c r="J2284" t="s">
        <v>1716</v>
      </c>
      <c r="K2284" t="s">
        <v>2666</v>
      </c>
      <c r="L2284" t="s">
        <v>413</v>
      </c>
      <c r="N2284" t="s">
        <v>2667</v>
      </c>
      <c r="O2284" t="s">
        <v>2668</v>
      </c>
      <c r="R2284" t="s">
        <v>3986</v>
      </c>
      <c r="S2284" s="34" t="s">
        <v>6643</v>
      </c>
    </row>
    <row r="2285" spans="1:19" ht="216" x14ac:dyDescent="0.15">
      <c r="A2285" t="s">
        <v>2597</v>
      </c>
      <c r="B2285" s="61">
        <v>46296</v>
      </c>
      <c r="E2285" t="s">
        <v>355</v>
      </c>
      <c r="F2285" t="s">
        <v>351</v>
      </c>
      <c r="G2285" t="s">
        <v>354</v>
      </c>
      <c r="H2285" t="s">
        <v>353</v>
      </c>
      <c r="I2285">
        <v>2702221</v>
      </c>
      <c r="J2285" t="s">
        <v>2624</v>
      </c>
      <c r="L2285" t="s">
        <v>6644</v>
      </c>
      <c r="N2285" t="s">
        <v>2625</v>
      </c>
      <c r="O2285" t="s">
        <v>2626</v>
      </c>
      <c r="R2285" t="s">
        <v>3987</v>
      </c>
      <c r="S2285" s="34" t="s">
        <v>6645</v>
      </c>
    </row>
    <row r="2286" spans="1:19" ht="216" x14ac:dyDescent="0.15">
      <c r="A2286" t="s">
        <v>2597</v>
      </c>
      <c r="B2286" s="61">
        <v>46296</v>
      </c>
      <c r="E2286" t="s">
        <v>355</v>
      </c>
      <c r="F2286" t="s">
        <v>351</v>
      </c>
      <c r="G2286" t="s">
        <v>354</v>
      </c>
      <c r="H2286" t="s">
        <v>365</v>
      </c>
      <c r="I2286">
        <v>2702414</v>
      </c>
      <c r="J2286" t="s">
        <v>3933</v>
      </c>
      <c r="K2286" t="s">
        <v>4841</v>
      </c>
      <c r="L2286" t="s">
        <v>4842</v>
      </c>
      <c r="N2286" t="s">
        <v>4843</v>
      </c>
      <c r="O2286" t="s">
        <v>4844</v>
      </c>
      <c r="S2286" s="34" t="s">
        <v>6646</v>
      </c>
    </row>
    <row r="2287" spans="1:19" ht="229.5" x14ac:dyDescent="0.15">
      <c r="A2287" t="s">
        <v>2597</v>
      </c>
      <c r="B2287" s="61">
        <v>46296</v>
      </c>
      <c r="E2287" t="s">
        <v>355</v>
      </c>
      <c r="F2287" t="s">
        <v>351</v>
      </c>
      <c r="G2287" t="s">
        <v>354</v>
      </c>
      <c r="H2287" t="s">
        <v>365</v>
      </c>
      <c r="I2287">
        <v>2702539</v>
      </c>
      <c r="J2287" t="s">
        <v>2616</v>
      </c>
      <c r="L2287" t="s">
        <v>2617</v>
      </c>
      <c r="N2287" t="s">
        <v>2618</v>
      </c>
      <c r="O2287" t="s">
        <v>2619</v>
      </c>
      <c r="R2287" t="s">
        <v>3987</v>
      </c>
      <c r="S2287" s="34" t="s">
        <v>6647</v>
      </c>
    </row>
    <row r="2288" spans="1:19" ht="216" x14ac:dyDescent="0.15">
      <c r="A2288" t="s">
        <v>2597</v>
      </c>
      <c r="B2288" s="61">
        <v>46296</v>
      </c>
      <c r="E2288" t="s">
        <v>355</v>
      </c>
      <c r="F2288" t="s">
        <v>351</v>
      </c>
      <c r="G2288" t="s">
        <v>354</v>
      </c>
      <c r="H2288" t="s">
        <v>353</v>
      </c>
      <c r="I2288">
        <v>2702644</v>
      </c>
      <c r="J2288" t="s">
        <v>2631</v>
      </c>
      <c r="K2288" t="s">
        <v>2632</v>
      </c>
      <c r="L2288" t="s">
        <v>2633</v>
      </c>
      <c r="N2288" t="s">
        <v>2634</v>
      </c>
      <c r="O2288" t="s">
        <v>2635</v>
      </c>
      <c r="R2288" t="s">
        <v>3986</v>
      </c>
      <c r="S2288" s="34" t="s">
        <v>6648</v>
      </c>
    </row>
    <row r="2289" spans="1:19" ht="297" x14ac:dyDescent="0.15">
      <c r="A2289" t="s">
        <v>2597</v>
      </c>
      <c r="B2289" s="61">
        <v>46296</v>
      </c>
      <c r="E2289" t="s">
        <v>355</v>
      </c>
      <c r="F2289" t="s">
        <v>351</v>
      </c>
      <c r="G2289" t="s">
        <v>354</v>
      </c>
      <c r="H2289" t="s">
        <v>686</v>
      </c>
      <c r="I2289">
        <v>2702644</v>
      </c>
      <c r="J2289" t="s">
        <v>2631</v>
      </c>
      <c r="K2289" t="s">
        <v>2632</v>
      </c>
      <c r="L2289" t="s">
        <v>2633</v>
      </c>
      <c r="N2289">
        <v>2119123</v>
      </c>
      <c r="O2289" t="s">
        <v>2635</v>
      </c>
      <c r="R2289" t="s">
        <v>3986</v>
      </c>
      <c r="S2289" s="34" t="s">
        <v>6649</v>
      </c>
    </row>
    <row r="2290" spans="1:19" ht="229.5" x14ac:dyDescent="0.15">
      <c r="A2290" t="s">
        <v>2597</v>
      </c>
      <c r="B2290" s="61">
        <v>46296</v>
      </c>
      <c r="E2290" t="s">
        <v>355</v>
      </c>
      <c r="F2290" t="s">
        <v>351</v>
      </c>
      <c r="G2290" t="s">
        <v>354</v>
      </c>
      <c r="H2290" t="s">
        <v>365</v>
      </c>
      <c r="I2290">
        <v>2702653</v>
      </c>
      <c r="J2290" t="s">
        <v>2646</v>
      </c>
      <c r="K2290" t="s">
        <v>2647</v>
      </c>
      <c r="L2290" t="s">
        <v>2648</v>
      </c>
      <c r="N2290" t="s">
        <v>2649</v>
      </c>
      <c r="O2290" t="s">
        <v>2650</v>
      </c>
      <c r="R2290" t="s">
        <v>3987</v>
      </c>
      <c r="S2290" s="34" t="s">
        <v>6650</v>
      </c>
    </row>
    <row r="2291" spans="1:19" ht="216" x14ac:dyDescent="0.15">
      <c r="A2291" t="s">
        <v>2597</v>
      </c>
      <c r="B2291" s="61">
        <v>46296</v>
      </c>
      <c r="E2291" t="s">
        <v>355</v>
      </c>
      <c r="F2291" t="s">
        <v>351</v>
      </c>
      <c r="G2291" t="s">
        <v>354</v>
      </c>
      <c r="H2291" t="s">
        <v>353</v>
      </c>
      <c r="I2291">
        <v>2702732</v>
      </c>
      <c r="J2291" t="s">
        <v>2662</v>
      </c>
      <c r="L2291" t="s">
        <v>2663</v>
      </c>
      <c r="N2291" t="s">
        <v>2664</v>
      </c>
      <c r="O2291" t="s">
        <v>2665</v>
      </c>
      <c r="R2291" t="s">
        <v>3987</v>
      </c>
      <c r="S2291" s="34" t="s">
        <v>6651</v>
      </c>
    </row>
    <row r="2292" spans="1:19" ht="409.5" x14ac:dyDescent="0.15">
      <c r="A2292" t="s">
        <v>2597</v>
      </c>
      <c r="B2292" s="61">
        <v>46296</v>
      </c>
      <c r="E2292" t="s">
        <v>355</v>
      </c>
      <c r="F2292" t="s">
        <v>351</v>
      </c>
      <c r="G2292" t="s">
        <v>354</v>
      </c>
      <c r="H2292" t="s">
        <v>353</v>
      </c>
      <c r="I2292">
        <v>2702753</v>
      </c>
      <c r="J2292" t="s">
        <v>2683</v>
      </c>
      <c r="K2292" t="s">
        <v>2684</v>
      </c>
      <c r="L2292" t="s">
        <v>390</v>
      </c>
      <c r="N2292" t="s">
        <v>6652</v>
      </c>
      <c r="O2292" t="s">
        <v>2686</v>
      </c>
      <c r="R2292" t="s">
        <v>3987</v>
      </c>
      <c r="S2292" s="34" t="s">
        <v>6653</v>
      </c>
    </row>
    <row r="2293" spans="1:19" ht="216" x14ac:dyDescent="0.15">
      <c r="A2293" t="s">
        <v>2597</v>
      </c>
      <c r="B2293" s="61">
        <v>46327</v>
      </c>
      <c r="E2293" t="s">
        <v>355</v>
      </c>
      <c r="F2293" t="s">
        <v>351</v>
      </c>
      <c r="G2293" t="s">
        <v>354</v>
      </c>
      <c r="H2293" t="s">
        <v>353</v>
      </c>
      <c r="I2293">
        <v>2701594</v>
      </c>
      <c r="J2293" t="s">
        <v>2679</v>
      </c>
      <c r="K2293" t="s">
        <v>428</v>
      </c>
      <c r="L2293" t="s">
        <v>413</v>
      </c>
      <c r="N2293" t="s">
        <v>2680</v>
      </c>
      <c r="O2293" t="s">
        <v>2681</v>
      </c>
      <c r="R2293" t="s">
        <v>3987</v>
      </c>
      <c r="S2293" s="34" t="s">
        <v>6654</v>
      </c>
    </row>
    <row r="2294" spans="1:19" ht="409.5" x14ac:dyDescent="0.15">
      <c r="A2294" t="s">
        <v>2597</v>
      </c>
      <c r="B2294" s="61">
        <v>46327</v>
      </c>
      <c r="E2294" t="s">
        <v>355</v>
      </c>
      <c r="F2294" t="s">
        <v>351</v>
      </c>
      <c r="G2294" t="s">
        <v>354</v>
      </c>
      <c r="H2294" t="s">
        <v>686</v>
      </c>
      <c r="I2294">
        <v>2701594</v>
      </c>
      <c r="J2294" t="s">
        <v>2679</v>
      </c>
      <c r="K2294" t="s">
        <v>428</v>
      </c>
      <c r="L2294" t="s">
        <v>413</v>
      </c>
      <c r="N2294">
        <v>2179116</v>
      </c>
      <c r="O2294" t="s">
        <v>2681</v>
      </c>
      <c r="R2294" t="s">
        <v>3987</v>
      </c>
      <c r="S2294" s="34" t="s">
        <v>6655</v>
      </c>
    </row>
    <row r="2295" spans="1:19" ht="409.5" x14ac:dyDescent="0.15">
      <c r="A2295" t="s">
        <v>2597</v>
      </c>
      <c r="B2295" s="61">
        <v>46327</v>
      </c>
      <c r="E2295" t="s">
        <v>355</v>
      </c>
      <c r="F2295" t="s">
        <v>351</v>
      </c>
      <c r="G2295" t="s">
        <v>354</v>
      </c>
      <c r="H2295" t="s">
        <v>353</v>
      </c>
      <c r="I2295">
        <v>2702606</v>
      </c>
      <c r="J2295" t="s">
        <v>2598</v>
      </c>
      <c r="K2295" t="s">
        <v>2599</v>
      </c>
      <c r="L2295" t="s">
        <v>1769</v>
      </c>
      <c r="N2295" t="s">
        <v>6656</v>
      </c>
      <c r="O2295" t="s">
        <v>2601</v>
      </c>
      <c r="R2295" t="s">
        <v>4012</v>
      </c>
      <c r="S2295" s="34" t="s">
        <v>6657</v>
      </c>
    </row>
    <row r="2296" spans="1:19" ht="229.5" x14ac:dyDescent="0.15">
      <c r="A2296" t="s">
        <v>2597</v>
      </c>
      <c r="B2296" s="61">
        <v>46327</v>
      </c>
      <c r="E2296" t="s">
        <v>355</v>
      </c>
      <c r="F2296" t="s">
        <v>351</v>
      </c>
      <c r="G2296" t="s">
        <v>352</v>
      </c>
      <c r="H2296" t="s">
        <v>365</v>
      </c>
      <c r="I2296">
        <v>2702630</v>
      </c>
      <c r="J2296" t="s">
        <v>2603</v>
      </c>
      <c r="K2296" t="s">
        <v>2604</v>
      </c>
      <c r="L2296" t="s">
        <v>2605</v>
      </c>
      <c r="N2296" t="s">
        <v>2606</v>
      </c>
      <c r="O2296" t="s">
        <v>2607</v>
      </c>
      <c r="R2296" t="s">
        <v>3985</v>
      </c>
      <c r="S2296" s="34" t="s">
        <v>6658</v>
      </c>
    </row>
    <row r="2297" spans="1:19" ht="409.5" x14ac:dyDescent="0.15">
      <c r="A2297" t="s">
        <v>2597</v>
      </c>
      <c r="B2297" s="61">
        <v>46357</v>
      </c>
      <c r="E2297" t="s">
        <v>355</v>
      </c>
      <c r="F2297" t="s">
        <v>351</v>
      </c>
      <c r="G2297" t="s">
        <v>354</v>
      </c>
      <c r="H2297" t="s">
        <v>353</v>
      </c>
      <c r="I2297">
        <v>2701893</v>
      </c>
      <c r="J2297" t="s">
        <v>2688</v>
      </c>
      <c r="K2297" t="s">
        <v>4285</v>
      </c>
      <c r="L2297" t="s">
        <v>413</v>
      </c>
      <c r="N2297" t="s">
        <v>6659</v>
      </c>
      <c r="O2297" t="s">
        <v>4287</v>
      </c>
      <c r="R2297" t="s">
        <v>5399</v>
      </c>
      <c r="S2297" s="34" t="s">
        <v>6660</v>
      </c>
    </row>
    <row r="2298" spans="1:19" ht="409.5" x14ac:dyDescent="0.15">
      <c r="A2298" t="s">
        <v>2771</v>
      </c>
      <c r="B2298" s="61">
        <v>46235</v>
      </c>
      <c r="E2298" t="s">
        <v>355</v>
      </c>
      <c r="F2298" t="s">
        <v>351</v>
      </c>
      <c r="G2298" t="s">
        <v>354</v>
      </c>
      <c r="H2298" t="s">
        <v>353</v>
      </c>
      <c r="I2298">
        <v>2302327</v>
      </c>
      <c r="J2298" t="s">
        <v>2745</v>
      </c>
      <c r="L2298" t="s">
        <v>2746</v>
      </c>
      <c r="N2298" t="s">
        <v>2747</v>
      </c>
      <c r="O2298" t="s">
        <v>2748</v>
      </c>
      <c r="R2298" t="s">
        <v>3987</v>
      </c>
      <c r="S2298" s="34" t="s">
        <v>6661</v>
      </c>
    </row>
    <row r="2299" spans="1:19" ht="409.5" x14ac:dyDescent="0.15">
      <c r="A2299" t="s">
        <v>2693</v>
      </c>
      <c r="B2299" s="61">
        <v>46235</v>
      </c>
      <c r="E2299" t="s">
        <v>355</v>
      </c>
      <c r="F2299" t="s">
        <v>351</v>
      </c>
      <c r="G2299" t="s">
        <v>354</v>
      </c>
      <c r="H2299" t="s">
        <v>365</v>
      </c>
      <c r="I2299">
        <v>2303613</v>
      </c>
      <c r="J2299" t="s">
        <v>2730</v>
      </c>
      <c r="K2299" t="s">
        <v>2731</v>
      </c>
      <c r="L2299" t="s">
        <v>2732</v>
      </c>
      <c r="N2299" t="s">
        <v>2733</v>
      </c>
      <c r="O2299" t="s">
        <v>2734</v>
      </c>
      <c r="R2299" t="s">
        <v>3986</v>
      </c>
      <c r="S2299" s="34" t="s">
        <v>6662</v>
      </c>
    </row>
    <row r="2300" spans="1:19" ht="229.5" x14ac:dyDescent="0.15">
      <c r="A2300" t="s">
        <v>2693</v>
      </c>
      <c r="B2300" s="61">
        <v>46266</v>
      </c>
      <c r="E2300" t="s">
        <v>355</v>
      </c>
      <c r="F2300" t="s">
        <v>351</v>
      </c>
      <c r="G2300" t="s">
        <v>354</v>
      </c>
      <c r="H2300" t="s">
        <v>353</v>
      </c>
      <c r="I2300">
        <v>2303464</v>
      </c>
      <c r="J2300" t="s">
        <v>6663</v>
      </c>
      <c r="K2300" t="s">
        <v>6664</v>
      </c>
      <c r="L2300" t="s">
        <v>6664</v>
      </c>
      <c r="N2300" t="s">
        <v>6665</v>
      </c>
      <c r="O2300" t="s">
        <v>6666</v>
      </c>
      <c r="R2300" t="s">
        <v>4052</v>
      </c>
      <c r="S2300" s="34" t="s">
        <v>6667</v>
      </c>
    </row>
    <row r="2301" spans="1:19" ht="409.5" x14ac:dyDescent="0.15">
      <c r="A2301" t="s">
        <v>2693</v>
      </c>
      <c r="B2301" s="61">
        <v>46266</v>
      </c>
      <c r="E2301" t="s">
        <v>355</v>
      </c>
      <c r="F2301" t="s">
        <v>351</v>
      </c>
      <c r="G2301" t="s">
        <v>354</v>
      </c>
      <c r="H2301" t="s">
        <v>4583</v>
      </c>
      <c r="I2301">
        <v>2303464</v>
      </c>
      <c r="J2301" t="s">
        <v>6663</v>
      </c>
      <c r="K2301" t="s">
        <v>6664</v>
      </c>
      <c r="L2301" t="s">
        <v>6664</v>
      </c>
      <c r="N2301" t="s">
        <v>6668</v>
      </c>
      <c r="O2301" t="s">
        <v>6666</v>
      </c>
      <c r="S2301" s="34" t="s">
        <v>6669</v>
      </c>
    </row>
    <row r="2302" spans="1:19" ht="409.5" x14ac:dyDescent="0.15">
      <c r="A2302" t="s">
        <v>2693</v>
      </c>
      <c r="B2302" s="61">
        <v>46266</v>
      </c>
      <c r="E2302" t="s">
        <v>355</v>
      </c>
      <c r="F2302" t="s">
        <v>351</v>
      </c>
      <c r="G2302" t="s">
        <v>354</v>
      </c>
      <c r="H2302" t="s">
        <v>365</v>
      </c>
      <c r="I2302">
        <v>2303464</v>
      </c>
      <c r="J2302" t="s">
        <v>6663</v>
      </c>
      <c r="K2302" t="s">
        <v>6664</v>
      </c>
      <c r="L2302" t="s">
        <v>6664</v>
      </c>
      <c r="N2302" t="s">
        <v>6670</v>
      </c>
      <c r="O2302" t="s">
        <v>6666</v>
      </c>
      <c r="S2302" s="34" t="s">
        <v>6671</v>
      </c>
    </row>
    <row r="2303" spans="1:19" ht="189" x14ac:dyDescent="0.15">
      <c r="A2303" t="s">
        <v>2693</v>
      </c>
      <c r="B2303" s="61">
        <v>46296</v>
      </c>
      <c r="E2303" t="s">
        <v>355</v>
      </c>
      <c r="F2303" t="s">
        <v>351</v>
      </c>
      <c r="G2303" t="s">
        <v>354</v>
      </c>
      <c r="H2303" t="s">
        <v>3913</v>
      </c>
      <c r="I2303">
        <v>2300869</v>
      </c>
      <c r="J2303" t="s">
        <v>2694</v>
      </c>
      <c r="K2303" t="s">
        <v>6672</v>
      </c>
      <c r="L2303" t="s">
        <v>6673</v>
      </c>
      <c r="N2303" t="s">
        <v>6674</v>
      </c>
      <c r="O2303" t="s">
        <v>6675</v>
      </c>
      <c r="R2303" t="s">
        <v>6676</v>
      </c>
      <c r="S2303" s="34" t="s">
        <v>6677</v>
      </c>
    </row>
    <row r="2304" spans="1:19" ht="409.5" x14ac:dyDescent="0.15">
      <c r="A2304" t="s">
        <v>2693</v>
      </c>
      <c r="B2304" s="61">
        <v>46296</v>
      </c>
      <c r="E2304" t="s">
        <v>355</v>
      </c>
      <c r="F2304" t="s">
        <v>351</v>
      </c>
      <c r="G2304" t="s">
        <v>354</v>
      </c>
      <c r="H2304" t="s">
        <v>353</v>
      </c>
      <c r="I2304">
        <v>2300869</v>
      </c>
      <c r="J2304" t="s">
        <v>2694</v>
      </c>
      <c r="K2304" t="s">
        <v>6672</v>
      </c>
      <c r="L2304" t="s">
        <v>6673</v>
      </c>
      <c r="N2304" t="s">
        <v>6678</v>
      </c>
      <c r="O2304" t="s">
        <v>6675</v>
      </c>
      <c r="R2304" t="s">
        <v>6676</v>
      </c>
      <c r="S2304" s="34" t="s">
        <v>6679</v>
      </c>
    </row>
    <row r="2305" spans="1:19" x14ac:dyDescent="0.15">
      <c r="A2305" t="s">
        <v>2693</v>
      </c>
      <c r="B2305" s="61">
        <v>46296</v>
      </c>
      <c r="E2305" t="s">
        <v>355</v>
      </c>
      <c r="F2305" t="s">
        <v>351</v>
      </c>
      <c r="G2305" t="s">
        <v>354</v>
      </c>
      <c r="H2305" t="s">
        <v>6680</v>
      </c>
      <c r="I2305">
        <v>2300869</v>
      </c>
      <c r="J2305" t="s">
        <v>2694</v>
      </c>
      <c r="K2305" t="s">
        <v>6672</v>
      </c>
      <c r="L2305" t="s">
        <v>6673</v>
      </c>
      <c r="N2305" t="s">
        <v>6681</v>
      </c>
      <c r="O2305" t="s">
        <v>6675</v>
      </c>
    </row>
    <row r="2306" spans="1:19" ht="364.5" x14ac:dyDescent="0.15">
      <c r="A2306" t="s">
        <v>2693</v>
      </c>
      <c r="B2306" s="61">
        <v>46296</v>
      </c>
      <c r="E2306" t="s">
        <v>355</v>
      </c>
      <c r="F2306" t="s">
        <v>351</v>
      </c>
      <c r="G2306" t="s">
        <v>352</v>
      </c>
      <c r="H2306" t="s">
        <v>353</v>
      </c>
      <c r="I2306">
        <v>2302999</v>
      </c>
      <c r="J2306" t="s">
        <v>2711</v>
      </c>
      <c r="K2306" t="s">
        <v>2712</v>
      </c>
      <c r="L2306" t="s">
        <v>2713</v>
      </c>
      <c r="N2306" t="s">
        <v>6682</v>
      </c>
      <c r="O2306" t="s">
        <v>2714</v>
      </c>
      <c r="R2306" t="s">
        <v>6683</v>
      </c>
      <c r="S2306" s="34" t="s">
        <v>6684</v>
      </c>
    </row>
    <row r="2307" spans="1:19" ht="351" x14ac:dyDescent="0.15">
      <c r="A2307" t="s">
        <v>2693</v>
      </c>
      <c r="B2307" s="61">
        <v>46296</v>
      </c>
      <c r="E2307" t="s">
        <v>355</v>
      </c>
      <c r="F2307" t="s">
        <v>351</v>
      </c>
      <c r="G2307" t="s">
        <v>352</v>
      </c>
      <c r="H2307" t="s">
        <v>353</v>
      </c>
      <c r="I2307">
        <v>2302999</v>
      </c>
      <c r="J2307" t="s">
        <v>2711</v>
      </c>
      <c r="K2307" t="s">
        <v>2712</v>
      </c>
      <c r="L2307" t="s">
        <v>2713</v>
      </c>
      <c r="N2307" t="s">
        <v>6685</v>
      </c>
      <c r="O2307" t="s">
        <v>2714</v>
      </c>
      <c r="R2307" t="s">
        <v>6686</v>
      </c>
      <c r="S2307" s="34" t="s">
        <v>6687</v>
      </c>
    </row>
    <row r="2308" spans="1:19" ht="189" x14ac:dyDescent="0.15">
      <c r="A2308" t="s">
        <v>2693</v>
      </c>
      <c r="B2308" s="61">
        <v>46296</v>
      </c>
      <c r="E2308" t="s">
        <v>355</v>
      </c>
      <c r="F2308" t="s">
        <v>351</v>
      </c>
      <c r="G2308" t="s">
        <v>354</v>
      </c>
      <c r="H2308" t="s">
        <v>353</v>
      </c>
      <c r="I2308">
        <v>2303132</v>
      </c>
      <c r="J2308" t="s">
        <v>481</v>
      </c>
      <c r="K2308" t="s">
        <v>4180</v>
      </c>
      <c r="L2308" t="s">
        <v>4127</v>
      </c>
      <c r="N2308" t="s">
        <v>4181</v>
      </c>
      <c r="O2308" t="s">
        <v>4182</v>
      </c>
      <c r="R2308" t="s">
        <v>3986</v>
      </c>
      <c r="S2308" s="34" t="s">
        <v>6688</v>
      </c>
    </row>
    <row r="2309" spans="1:19" ht="310.5" x14ac:dyDescent="0.15">
      <c r="A2309" t="s">
        <v>2693</v>
      </c>
      <c r="B2309" s="61">
        <v>46296</v>
      </c>
      <c r="E2309" t="s">
        <v>355</v>
      </c>
      <c r="F2309" t="s">
        <v>351</v>
      </c>
      <c r="G2309" t="s">
        <v>354</v>
      </c>
      <c r="H2309" t="s">
        <v>353</v>
      </c>
      <c r="I2309">
        <v>2303711</v>
      </c>
      <c r="J2309" t="s">
        <v>2735</v>
      </c>
      <c r="K2309" t="s">
        <v>2763</v>
      </c>
      <c r="L2309" t="s">
        <v>2764</v>
      </c>
      <c r="N2309" t="s">
        <v>6689</v>
      </c>
      <c r="O2309" t="s">
        <v>2766</v>
      </c>
      <c r="R2309" t="s">
        <v>3986</v>
      </c>
      <c r="S2309" s="34" t="s">
        <v>6690</v>
      </c>
    </row>
    <row r="2310" spans="1:19" ht="409.5" x14ac:dyDescent="0.15">
      <c r="A2310" t="s">
        <v>2693</v>
      </c>
      <c r="B2310" s="61">
        <v>46296</v>
      </c>
      <c r="E2310" t="s">
        <v>355</v>
      </c>
      <c r="F2310" t="s">
        <v>351</v>
      </c>
      <c r="G2310" t="s">
        <v>354</v>
      </c>
      <c r="H2310" t="s">
        <v>353</v>
      </c>
      <c r="I2310">
        <v>2303834</v>
      </c>
      <c r="J2310" t="s">
        <v>974</v>
      </c>
      <c r="K2310" t="s">
        <v>2759</v>
      </c>
      <c r="L2310" t="s">
        <v>4053</v>
      </c>
      <c r="N2310">
        <v>2165187</v>
      </c>
      <c r="O2310" t="s">
        <v>2762</v>
      </c>
      <c r="R2310" t="s">
        <v>4054</v>
      </c>
      <c r="S2310" s="34" t="s">
        <v>6691</v>
      </c>
    </row>
    <row r="2311" spans="1:19" ht="409.5" x14ac:dyDescent="0.15">
      <c r="A2311" t="s">
        <v>2693</v>
      </c>
      <c r="B2311" s="61">
        <v>46327</v>
      </c>
      <c r="E2311" t="s">
        <v>355</v>
      </c>
      <c r="F2311" t="s">
        <v>351</v>
      </c>
      <c r="G2311" t="s">
        <v>354</v>
      </c>
      <c r="H2311" t="s">
        <v>309</v>
      </c>
      <c r="I2311">
        <v>2100233</v>
      </c>
      <c r="J2311" t="s">
        <v>6692</v>
      </c>
      <c r="K2311" t="s">
        <v>752</v>
      </c>
      <c r="L2311" t="s">
        <v>6693</v>
      </c>
      <c r="N2311" t="s">
        <v>6694</v>
      </c>
      <c r="O2311" t="s">
        <v>6695</v>
      </c>
      <c r="R2311" t="s">
        <v>3992</v>
      </c>
      <c r="S2311" s="34" t="s">
        <v>6696</v>
      </c>
    </row>
    <row r="2312" spans="1:19" ht="202.5" x14ac:dyDescent="0.15">
      <c r="A2312" t="s">
        <v>2693</v>
      </c>
      <c r="B2312" s="61">
        <v>46327</v>
      </c>
      <c r="E2312" t="s">
        <v>355</v>
      </c>
      <c r="F2312" t="s">
        <v>351</v>
      </c>
      <c r="G2312" t="s">
        <v>354</v>
      </c>
      <c r="H2312" t="s">
        <v>353</v>
      </c>
      <c r="I2312">
        <v>2303372</v>
      </c>
      <c r="J2312" t="s">
        <v>6697</v>
      </c>
      <c r="K2312" t="s">
        <v>6698</v>
      </c>
      <c r="L2312" t="s">
        <v>6699</v>
      </c>
      <c r="N2312" t="s">
        <v>6700</v>
      </c>
      <c r="O2312" t="s">
        <v>6701</v>
      </c>
      <c r="R2312" t="s">
        <v>3987</v>
      </c>
      <c r="S2312" s="34" t="s">
        <v>6702</v>
      </c>
    </row>
    <row r="2313" spans="1:19" ht="229.5" x14ac:dyDescent="0.15">
      <c r="A2313" t="s">
        <v>2693</v>
      </c>
      <c r="B2313" s="61">
        <v>46327</v>
      </c>
      <c r="E2313" t="s">
        <v>355</v>
      </c>
      <c r="F2313" t="s">
        <v>351</v>
      </c>
      <c r="G2313" t="s">
        <v>354</v>
      </c>
      <c r="H2313" t="s">
        <v>365</v>
      </c>
      <c r="I2313">
        <v>2303431</v>
      </c>
      <c r="J2313" t="s">
        <v>2718</v>
      </c>
      <c r="K2313" t="s">
        <v>2719</v>
      </c>
      <c r="L2313" t="s">
        <v>390</v>
      </c>
      <c r="N2313" t="s">
        <v>2720</v>
      </c>
      <c r="O2313" t="s">
        <v>2721</v>
      </c>
      <c r="R2313" t="s">
        <v>3986</v>
      </c>
      <c r="S2313" s="34" t="s">
        <v>6703</v>
      </c>
    </row>
    <row r="2314" spans="1:19" ht="409.5" x14ac:dyDescent="0.15">
      <c r="A2314" t="s">
        <v>2693</v>
      </c>
      <c r="B2314" s="61">
        <v>46357</v>
      </c>
      <c r="E2314" t="s">
        <v>355</v>
      </c>
      <c r="F2314" t="s">
        <v>351</v>
      </c>
      <c r="G2314" t="s">
        <v>354</v>
      </c>
      <c r="H2314" t="s">
        <v>353</v>
      </c>
      <c r="I2314">
        <v>2301034</v>
      </c>
      <c r="J2314" t="s">
        <v>2743</v>
      </c>
      <c r="L2314" t="s">
        <v>390</v>
      </c>
      <c r="N2314" t="s">
        <v>5106</v>
      </c>
      <c r="O2314" t="s">
        <v>2744</v>
      </c>
      <c r="R2314" t="s">
        <v>3987</v>
      </c>
      <c r="S2314" s="34" t="s">
        <v>6704</v>
      </c>
    </row>
    <row r="2315" spans="1:19" ht="324" x14ac:dyDescent="0.15">
      <c r="A2315" t="s">
        <v>2693</v>
      </c>
      <c r="B2315" s="61">
        <v>46357</v>
      </c>
      <c r="E2315" t="s">
        <v>355</v>
      </c>
      <c r="F2315" t="s">
        <v>351</v>
      </c>
      <c r="G2315" t="s">
        <v>354</v>
      </c>
      <c r="H2315" t="s">
        <v>353</v>
      </c>
      <c r="I2315">
        <v>2301207</v>
      </c>
      <c r="J2315" t="s">
        <v>2735</v>
      </c>
      <c r="K2315" t="s">
        <v>2736</v>
      </c>
      <c r="L2315" t="s">
        <v>2737</v>
      </c>
      <c r="N2315" t="s">
        <v>2738</v>
      </c>
      <c r="O2315" t="s">
        <v>2739</v>
      </c>
      <c r="R2315" t="s">
        <v>3986</v>
      </c>
      <c r="S2315" s="34" t="s">
        <v>6705</v>
      </c>
    </row>
    <row r="2316" spans="1:19" ht="409.5" x14ac:dyDescent="0.15">
      <c r="A2316" t="s">
        <v>2693</v>
      </c>
      <c r="B2316" s="61">
        <v>46357</v>
      </c>
      <c r="E2316" t="s">
        <v>355</v>
      </c>
      <c r="F2316" t="s">
        <v>351</v>
      </c>
      <c r="G2316" t="s">
        <v>354</v>
      </c>
      <c r="H2316" t="s">
        <v>353</v>
      </c>
      <c r="I2316">
        <v>2303812</v>
      </c>
      <c r="J2316" t="s">
        <v>2726</v>
      </c>
      <c r="K2316" t="s">
        <v>6706</v>
      </c>
      <c r="L2316" t="s">
        <v>1006</v>
      </c>
      <c r="N2316" t="s">
        <v>6707</v>
      </c>
      <c r="O2316" t="s">
        <v>2729</v>
      </c>
      <c r="R2316" t="s">
        <v>3987</v>
      </c>
      <c r="S2316" s="34" t="s">
        <v>6708</v>
      </c>
    </row>
    <row r="2317" spans="1:19" ht="351" x14ac:dyDescent="0.15">
      <c r="A2317" t="s">
        <v>2771</v>
      </c>
      <c r="B2317" s="61">
        <v>46266</v>
      </c>
      <c r="E2317" t="s">
        <v>355</v>
      </c>
      <c r="F2317" t="s">
        <v>351</v>
      </c>
      <c r="G2317" t="s">
        <v>354</v>
      </c>
      <c r="H2317" t="s">
        <v>309</v>
      </c>
      <c r="I2317">
        <v>2100078</v>
      </c>
      <c r="J2317" t="s">
        <v>6709</v>
      </c>
      <c r="K2317" t="s">
        <v>6710</v>
      </c>
      <c r="L2317" t="s">
        <v>6711</v>
      </c>
      <c r="N2317" t="s">
        <v>6712</v>
      </c>
      <c r="O2317" t="s">
        <v>6713</v>
      </c>
      <c r="R2317" t="s">
        <v>6714</v>
      </c>
      <c r="S2317" s="34" t="s">
        <v>6715</v>
      </c>
    </row>
    <row r="2318" spans="1:19" ht="324" x14ac:dyDescent="0.15">
      <c r="A2318" t="s">
        <v>2771</v>
      </c>
      <c r="B2318" s="61">
        <v>46266</v>
      </c>
      <c r="E2318" t="s">
        <v>355</v>
      </c>
      <c r="F2318" t="s">
        <v>351</v>
      </c>
      <c r="G2318" t="s">
        <v>354</v>
      </c>
      <c r="H2318" t="s">
        <v>353</v>
      </c>
      <c r="I2318">
        <v>2100320</v>
      </c>
      <c r="J2318" t="s">
        <v>6716</v>
      </c>
      <c r="K2318" t="s">
        <v>6717</v>
      </c>
      <c r="L2318" t="s">
        <v>6718</v>
      </c>
      <c r="N2318" t="s">
        <v>6719</v>
      </c>
      <c r="O2318" t="s">
        <v>6720</v>
      </c>
      <c r="S2318" s="34" t="s">
        <v>6721</v>
      </c>
    </row>
    <row r="2319" spans="1:19" ht="337.5" x14ac:dyDescent="0.15">
      <c r="A2319" t="s">
        <v>2771</v>
      </c>
      <c r="B2319" s="61">
        <v>46266</v>
      </c>
      <c r="E2319" t="s">
        <v>355</v>
      </c>
      <c r="F2319" t="s">
        <v>351</v>
      </c>
      <c r="G2319" t="s">
        <v>354</v>
      </c>
      <c r="H2319" t="s">
        <v>353</v>
      </c>
      <c r="I2319">
        <v>2100320</v>
      </c>
      <c r="J2319" t="s">
        <v>6716</v>
      </c>
      <c r="K2319" t="s">
        <v>6717</v>
      </c>
      <c r="L2319" t="s">
        <v>6718</v>
      </c>
      <c r="N2319" t="s">
        <v>6722</v>
      </c>
      <c r="O2319" t="s">
        <v>6720</v>
      </c>
      <c r="S2319" s="34" t="s">
        <v>6723</v>
      </c>
    </row>
    <row r="2320" spans="1:19" ht="409.5" x14ac:dyDescent="0.15">
      <c r="A2320" t="s">
        <v>2771</v>
      </c>
      <c r="B2320" s="61">
        <v>46266</v>
      </c>
      <c r="E2320" t="s">
        <v>355</v>
      </c>
      <c r="F2320" t="s">
        <v>351</v>
      </c>
      <c r="G2320" t="s">
        <v>354</v>
      </c>
      <c r="H2320" t="s">
        <v>309</v>
      </c>
      <c r="I2320">
        <v>2100320</v>
      </c>
      <c r="J2320" t="s">
        <v>6716</v>
      </c>
      <c r="K2320" t="s">
        <v>6717</v>
      </c>
      <c r="L2320" t="s">
        <v>6718</v>
      </c>
      <c r="N2320" t="s">
        <v>6724</v>
      </c>
      <c r="O2320" t="s">
        <v>6720</v>
      </c>
      <c r="S2320" s="34" t="s">
        <v>6725</v>
      </c>
    </row>
    <row r="2321" spans="1:19" ht="229.5" x14ac:dyDescent="0.15">
      <c r="A2321" t="s">
        <v>2771</v>
      </c>
      <c r="B2321" s="61">
        <v>46327</v>
      </c>
      <c r="E2321" t="s">
        <v>355</v>
      </c>
      <c r="F2321" t="s">
        <v>351</v>
      </c>
      <c r="G2321" t="s">
        <v>354</v>
      </c>
      <c r="H2321" t="s">
        <v>353</v>
      </c>
      <c r="I2321">
        <v>2100078</v>
      </c>
      <c r="J2321" t="s">
        <v>6709</v>
      </c>
      <c r="K2321" t="s">
        <v>6710</v>
      </c>
      <c r="L2321" t="s">
        <v>6711</v>
      </c>
      <c r="N2321" t="s">
        <v>6726</v>
      </c>
      <c r="O2321" t="s">
        <v>6713</v>
      </c>
      <c r="R2321" t="s">
        <v>6727</v>
      </c>
      <c r="S2321" s="34" t="s">
        <v>6728</v>
      </c>
    </row>
    <row r="2322" spans="1:19" ht="324" x14ac:dyDescent="0.15">
      <c r="A2322" t="s">
        <v>2771</v>
      </c>
      <c r="B2322" s="61">
        <v>46357</v>
      </c>
      <c r="E2322" t="s">
        <v>355</v>
      </c>
      <c r="F2322" t="s">
        <v>351</v>
      </c>
      <c r="G2322" t="s">
        <v>354</v>
      </c>
      <c r="H2322" t="s">
        <v>353</v>
      </c>
      <c r="I2322">
        <v>2100310</v>
      </c>
      <c r="J2322" t="s">
        <v>1212</v>
      </c>
      <c r="K2322" t="s">
        <v>6729</v>
      </c>
      <c r="L2322" t="s">
        <v>965</v>
      </c>
      <c r="N2322" t="s">
        <v>2794</v>
      </c>
      <c r="O2322" t="s">
        <v>2795</v>
      </c>
      <c r="R2322" t="s">
        <v>3986</v>
      </c>
      <c r="S2322" s="34" t="s">
        <v>6730</v>
      </c>
    </row>
    <row r="2323" spans="1:19" ht="324" x14ac:dyDescent="0.15">
      <c r="A2323" t="s">
        <v>2771</v>
      </c>
      <c r="B2323" s="61">
        <v>46357</v>
      </c>
      <c r="E2323" t="s">
        <v>355</v>
      </c>
      <c r="F2323" t="s">
        <v>351</v>
      </c>
      <c r="G2323" t="s">
        <v>354</v>
      </c>
      <c r="H2323" t="s">
        <v>353</v>
      </c>
      <c r="I2323">
        <v>2303684</v>
      </c>
      <c r="J2323" t="s">
        <v>6731</v>
      </c>
      <c r="K2323" t="s">
        <v>6732</v>
      </c>
      <c r="L2323" t="s">
        <v>6733</v>
      </c>
      <c r="N2323" t="s">
        <v>6734</v>
      </c>
      <c r="O2323" t="s">
        <v>6735</v>
      </c>
      <c r="S2323" s="34" t="s">
        <v>6736</v>
      </c>
    </row>
    <row r="2324" spans="1:19" ht="229.5" x14ac:dyDescent="0.15">
      <c r="A2324" t="s">
        <v>2813</v>
      </c>
      <c r="B2324" s="61">
        <v>46235</v>
      </c>
      <c r="E2324" t="s">
        <v>355</v>
      </c>
      <c r="F2324" t="s">
        <v>351</v>
      </c>
      <c r="G2324" t="s">
        <v>354</v>
      </c>
      <c r="H2324" t="s">
        <v>686</v>
      </c>
      <c r="I2324">
        <v>2100235</v>
      </c>
      <c r="J2324" t="s">
        <v>6737</v>
      </c>
      <c r="L2324" t="s">
        <v>6738</v>
      </c>
      <c r="N2324">
        <v>2165734</v>
      </c>
      <c r="O2324" t="s">
        <v>6739</v>
      </c>
      <c r="R2324" t="s">
        <v>6740</v>
      </c>
      <c r="S2324" s="34" t="s">
        <v>6741</v>
      </c>
    </row>
    <row r="2325" spans="1:19" ht="243" x14ac:dyDescent="0.15">
      <c r="A2325" t="s">
        <v>2813</v>
      </c>
      <c r="B2325" s="61">
        <v>46235</v>
      </c>
      <c r="E2325" t="s">
        <v>355</v>
      </c>
      <c r="F2325" t="s">
        <v>351</v>
      </c>
      <c r="G2325" t="s">
        <v>354</v>
      </c>
      <c r="H2325" t="s">
        <v>353</v>
      </c>
      <c r="I2325">
        <v>2100235</v>
      </c>
      <c r="J2325" t="s">
        <v>6737</v>
      </c>
      <c r="L2325" t="s">
        <v>6738</v>
      </c>
      <c r="N2325" t="s">
        <v>6742</v>
      </c>
      <c r="O2325" t="s">
        <v>6739</v>
      </c>
      <c r="R2325" t="s">
        <v>6743</v>
      </c>
      <c r="S2325" s="34" t="s">
        <v>6744</v>
      </c>
    </row>
    <row r="2326" spans="1:19" ht="409.5" x14ac:dyDescent="0.15">
      <c r="A2326" t="s">
        <v>2813</v>
      </c>
      <c r="B2326" s="61">
        <v>46235</v>
      </c>
      <c r="E2326" t="s">
        <v>355</v>
      </c>
      <c r="F2326" t="s">
        <v>351</v>
      </c>
      <c r="G2326" t="s">
        <v>354</v>
      </c>
      <c r="H2326" t="s">
        <v>353</v>
      </c>
      <c r="I2326">
        <v>2100235</v>
      </c>
      <c r="J2326" t="s">
        <v>6737</v>
      </c>
      <c r="L2326" t="s">
        <v>6738</v>
      </c>
      <c r="N2326" t="s">
        <v>6745</v>
      </c>
      <c r="O2326" t="s">
        <v>6739</v>
      </c>
      <c r="R2326" t="s">
        <v>6746</v>
      </c>
      <c r="S2326" s="34" t="s">
        <v>6747</v>
      </c>
    </row>
    <row r="2327" spans="1:19" ht="409.5" x14ac:dyDescent="0.15">
      <c r="A2327" t="s">
        <v>2813</v>
      </c>
      <c r="B2327" s="61">
        <v>46235</v>
      </c>
      <c r="E2327" t="s">
        <v>355</v>
      </c>
      <c r="F2327" t="s">
        <v>351</v>
      </c>
      <c r="G2327" t="s">
        <v>354</v>
      </c>
      <c r="H2327" t="s">
        <v>353</v>
      </c>
      <c r="I2327">
        <v>2100235</v>
      </c>
      <c r="J2327" t="s">
        <v>6737</v>
      </c>
      <c r="L2327" t="s">
        <v>6738</v>
      </c>
      <c r="N2327" t="s">
        <v>6748</v>
      </c>
      <c r="O2327" t="s">
        <v>6739</v>
      </c>
      <c r="R2327" t="s">
        <v>6749</v>
      </c>
      <c r="S2327" s="34" t="s">
        <v>6750</v>
      </c>
    </row>
    <row r="2328" spans="1:19" ht="243" x14ac:dyDescent="0.15">
      <c r="A2328" t="s">
        <v>2813</v>
      </c>
      <c r="B2328" s="61">
        <v>46235</v>
      </c>
      <c r="E2328" t="s">
        <v>355</v>
      </c>
      <c r="F2328" t="s">
        <v>351</v>
      </c>
      <c r="G2328" t="s">
        <v>354</v>
      </c>
      <c r="H2328" t="s">
        <v>353</v>
      </c>
      <c r="I2328">
        <v>2100235</v>
      </c>
      <c r="J2328" t="s">
        <v>6737</v>
      </c>
      <c r="L2328" t="s">
        <v>6738</v>
      </c>
      <c r="N2328" t="s">
        <v>6751</v>
      </c>
      <c r="O2328" t="s">
        <v>6739</v>
      </c>
      <c r="R2328" t="s">
        <v>6752</v>
      </c>
      <c r="S2328" s="34" t="s">
        <v>6753</v>
      </c>
    </row>
    <row r="2329" spans="1:19" ht="409.5" x14ac:dyDescent="0.15">
      <c r="A2329" t="s">
        <v>2813</v>
      </c>
      <c r="B2329" s="61">
        <v>46235</v>
      </c>
      <c r="E2329" t="s">
        <v>355</v>
      </c>
      <c r="F2329" t="s">
        <v>351</v>
      </c>
      <c r="G2329" t="s">
        <v>354</v>
      </c>
      <c r="H2329" t="s">
        <v>353</v>
      </c>
      <c r="I2329">
        <v>2100235</v>
      </c>
      <c r="J2329" t="s">
        <v>6737</v>
      </c>
      <c r="L2329" t="s">
        <v>6738</v>
      </c>
      <c r="N2329" t="s">
        <v>6754</v>
      </c>
      <c r="O2329" t="s">
        <v>6739</v>
      </c>
      <c r="R2329" t="s">
        <v>6740</v>
      </c>
      <c r="S2329" s="34" t="s">
        <v>6755</v>
      </c>
    </row>
    <row r="2330" spans="1:19" ht="243" x14ac:dyDescent="0.15">
      <c r="A2330" t="s">
        <v>2813</v>
      </c>
      <c r="B2330" s="61">
        <v>46235</v>
      </c>
      <c r="E2330" t="s">
        <v>355</v>
      </c>
      <c r="F2330" t="s">
        <v>351</v>
      </c>
      <c r="G2330" t="s">
        <v>354</v>
      </c>
      <c r="H2330" t="s">
        <v>353</v>
      </c>
      <c r="I2330">
        <v>2100235</v>
      </c>
      <c r="J2330" t="s">
        <v>6737</v>
      </c>
      <c r="L2330" t="s">
        <v>6738</v>
      </c>
      <c r="N2330" t="s">
        <v>6756</v>
      </c>
      <c r="O2330" t="s">
        <v>6739</v>
      </c>
      <c r="R2330" t="s">
        <v>6757</v>
      </c>
      <c r="S2330" s="34" t="s">
        <v>6758</v>
      </c>
    </row>
    <row r="2331" spans="1:19" ht="243" x14ac:dyDescent="0.15">
      <c r="A2331" t="s">
        <v>2813</v>
      </c>
      <c r="B2331" s="61">
        <v>46266</v>
      </c>
      <c r="E2331" t="s">
        <v>355</v>
      </c>
      <c r="F2331" t="s">
        <v>351</v>
      </c>
      <c r="G2331" t="s">
        <v>352</v>
      </c>
      <c r="H2331" t="s">
        <v>310</v>
      </c>
      <c r="I2331">
        <v>2300536</v>
      </c>
      <c r="J2331" t="s">
        <v>2817</v>
      </c>
      <c r="K2331" t="s">
        <v>2818</v>
      </c>
      <c r="L2331" t="s">
        <v>378</v>
      </c>
      <c r="N2331" t="s">
        <v>2819</v>
      </c>
      <c r="O2331" t="s">
        <v>2820</v>
      </c>
      <c r="R2331" t="s">
        <v>3985</v>
      </c>
      <c r="S2331" s="34" t="s">
        <v>6759</v>
      </c>
    </row>
    <row r="2332" spans="1:19" ht="216" x14ac:dyDescent="0.15">
      <c r="A2332" t="s">
        <v>2813</v>
      </c>
      <c r="B2332" s="61">
        <v>46296</v>
      </c>
      <c r="E2332" t="s">
        <v>355</v>
      </c>
      <c r="F2332" t="s">
        <v>351</v>
      </c>
      <c r="G2332" t="s">
        <v>354</v>
      </c>
      <c r="H2332" t="s">
        <v>353</v>
      </c>
      <c r="I2332">
        <v>2300556</v>
      </c>
      <c r="J2332" t="s">
        <v>2841</v>
      </c>
      <c r="L2332" t="s">
        <v>502</v>
      </c>
      <c r="N2332" t="s">
        <v>2842</v>
      </c>
      <c r="O2332" t="s">
        <v>2843</v>
      </c>
      <c r="R2332" t="s">
        <v>3987</v>
      </c>
      <c r="S2332" s="34" t="s">
        <v>6760</v>
      </c>
    </row>
    <row r="2333" spans="1:19" ht="409.5" x14ac:dyDescent="0.15">
      <c r="A2333" t="s">
        <v>2813</v>
      </c>
      <c r="B2333" s="61">
        <v>46327</v>
      </c>
      <c r="E2333" t="s">
        <v>355</v>
      </c>
      <c r="F2333" t="s">
        <v>351</v>
      </c>
      <c r="G2333" t="s">
        <v>354</v>
      </c>
      <c r="H2333" t="s">
        <v>353</v>
      </c>
      <c r="I2333">
        <v>2302777</v>
      </c>
      <c r="J2333" t="s">
        <v>2407</v>
      </c>
      <c r="K2333" t="s">
        <v>6761</v>
      </c>
      <c r="L2333" t="s">
        <v>698</v>
      </c>
      <c r="N2333" t="s">
        <v>6762</v>
      </c>
      <c r="O2333" t="s">
        <v>6763</v>
      </c>
      <c r="R2333" t="s">
        <v>4012</v>
      </c>
      <c r="S2333" s="34" t="s">
        <v>6764</v>
      </c>
    </row>
    <row r="2334" spans="1:19" ht="256.5" x14ac:dyDescent="0.15">
      <c r="A2334" t="s">
        <v>2813</v>
      </c>
      <c r="B2334" s="61">
        <v>46357</v>
      </c>
      <c r="E2334" t="s">
        <v>355</v>
      </c>
      <c r="F2334" t="s">
        <v>351</v>
      </c>
      <c r="G2334" t="s">
        <v>354</v>
      </c>
      <c r="H2334" t="s">
        <v>310</v>
      </c>
      <c r="I2334">
        <v>2303643</v>
      </c>
      <c r="J2334" t="s">
        <v>2814</v>
      </c>
      <c r="K2334" t="s">
        <v>2815</v>
      </c>
      <c r="L2334" t="s">
        <v>1176</v>
      </c>
      <c r="N2334" t="s">
        <v>2824</v>
      </c>
      <c r="O2334" t="s">
        <v>2816</v>
      </c>
      <c r="R2334" t="s">
        <v>3986</v>
      </c>
      <c r="S2334" s="34" t="s">
        <v>6765</v>
      </c>
    </row>
    <row r="2335" spans="1:19" ht="243" x14ac:dyDescent="0.15">
      <c r="A2335" t="s">
        <v>6766</v>
      </c>
      <c r="B2335" s="61">
        <v>46266</v>
      </c>
      <c r="E2335" t="s">
        <v>355</v>
      </c>
      <c r="F2335" t="s">
        <v>351</v>
      </c>
      <c r="G2335" t="s">
        <v>354</v>
      </c>
      <c r="H2335" t="s">
        <v>310</v>
      </c>
      <c r="I2335">
        <v>4000716</v>
      </c>
      <c r="J2335" t="s">
        <v>4833</v>
      </c>
      <c r="K2335" t="s">
        <v>4834</v>
      </c>
      <c r="L2335" t="s">
        <v>6767</v>
      </c>
      <c r="N2335" t="s">
        <v>6768</v>
      </c>
      <c r="O2335" t="s">
        <v>6769</v>
      </c>
      <c r="S2335" s="34" t="s">
        <v>6770</v>
      </c>
    </row>
    <row r="2336" spans="1:19" ht="409.5" x14ac:dyDescent="0.15">
      <c r="A2336" t="s">
        <v>6766</v>
      </c>
      <c r="B2336" s="61">
        <v>46266</v>
      </c>
      <c r="E2336" t="s">
        <v>355</v>
      </c>
      <c r="F2336" t="s">
        <v>351</v>
      </c>
      <c r="G2336" t="s">
        <v>354</v>
      </c>
      <c r="H2336" t="s">
        <v>353</v>
      </c>
      <c r="I2336">
        <v>4000964</v>
      </c>
      <c r="J2336" t="s">
        <v>2915</v>
      </c>
      <c r="K2336" t="s">
        <v>2916</v>
      </c>
      <c r="L2336" t="s">
        <v>466</v>
      </c>
      <c r="N2336" t="s">
        <v>6771</v>
      </c>
      <c r="O2336" t="s">
        <v>2918</v>
      </c>
      <c r="S2336" s="34" t="s">
        <v>6772</v>
      </c>
    </row>
    <row r="2337" spans="1:19" ht="229.5" x14ac:dyDescent="0.15">
      <c r="A2337" t="s">
        <v>6766</v>
      </c>
      <c r="B2337" s="61">
        <v>46266</v>
      </c>
      <c r="E2337" t="s">
        <v>355</v>
      </c>
      <c r="F2337" t="s">
        <v>351</v>
      </c>
      <c r="G2337" t="s">
        <v>354</v>
      </c>
      <c r="H2337" t="s">
        <v>365</v>
      </c>
      <c r="I2337">
        <v>4000971</v>
      </c>
      <c r="J2337" t="s">
        <v>4833</v>
      </c>
      <c r="K2337" t="s">
        <v>4834</v>
      </c>
      <c r="L2337" t="s">
        <v>3356</v>
      </c>
      <c r="N2337" t="s">
        <v>4835</v>
      </c>
      <c r="O2337" t="s">
        <v>4836</v>
      </c>
      <c r="S2337" s="34" t="s">
        <v>6773</v>
      </c>
    </row>
    <row r="2338" spans="1:19" ht="229.5" x14ac:dyDescent="0.15">
      <c r="A2338" t="s">
        <v>6766</v>
      </c>
      <c r="B2338" s="61">
        <v>46266</v>
      </c>
      <c r="E2338" t="s">
        <v>355</v>
      </c>
      <c r="F2338" t="s">
        <v>351</v>
      </c>
      <c r="G2338" t="s">
        <v>352</v>
      </c>
      <c r="H2338" t="s">
        <v>365</v>
      </c>
      <c r="I2338">
        <v>4100216</v>
      </c>
      <c r="J2338" t="s">
        <v>2880</v>
      </c>
      <c r="K2338" t="s">
        <v>2881</v>
      </c>
      <c r="L2338" t="s">
        <v>698</v>
      </c>
      <c r="N2338" t="s">
        <v>2882</v>
      </c>
      <c r="O2338" t="s">
        <v>2883</v>
      </c>
      <c r="R2338" t="s">
        <v>3985</v>
      </c>
      <c r="S2338" s="34" t="s">
        <v>6774</v>
      </c>
    </row>
    <row r="2339" spans="1:19" ht="409.5" x14ac:dyDescent="0.15">
      <c r="A2339" t="s">
        <v>6766</v>
      </c>
      <c r="B2339" s="61">
        <v>46296</v>
      </c>
      <c r="E2339" t="s">
        <v>355</v>
      </c>
      <c r="F2339" t="s">
        <v>351</v>
      </c>
      <c r="G2339" t="s">
        <v>352</v>
      </c>
      <c r="H2339" t="s">
        <v>353</v>
      </c>
      <c r="I2339">
        <v>4000004</v>
      </c>
      <c r="J2339" t="s">
        <v>2860</v>
      </c>
      <c r="K2339" t="s">
        <v>2861</v>
      </c>
      <c r="L2339" t="s">
        <v>2862</v>
      </c>
      <c r="N2339" t="s">
        <v>6775</v>
      </c>
      <c r="O2339" t="s">
        <v>2863</v>
      </c>
      <c r="R2339" t="s">
        <v>3985</v>
      </c>
      <c r="S2339" s="34" t="s">
        <v>6776</v>
      </c>
    </row>
    <row r="2340" spans="1:19" ht="243" x14ac:dyDescent="0.15">
      <c r="A2340" t="s">
        <v>6766</v>
      </c>
      <c r="B2340" s="61">
        <v>46296</v>
      </c>
      <c r="E2340" t="s">
        <v>355</v>
      </c>
      <c r="F2340" t="s">
        <v>351</v>
      </c>
      <c r="G2340" t="s">
        <v>354</v>
      </c>
      <c r="H2340" t="s">
        <v>353</v>
      </c>
      <c r="I2340">
        <v>4000698</v>
      </c>
      <c r="J2340" t="s">
        <v>2864</v>
      </c>
      <c r="L2340" t="s">
        <v>2865</v>
      </c>
      <c r="N2340" t="s">
        <v>6777</v>
      </c>
      <c r="O2340" t="s">
        <v>2866</v>
      </c>
      <c r="S2340" s="34" t="s">
        <v>6778</v>
      </c>
    </row>
    <row r="2341" spans="1:19" ht="409.5" x14ac:dyDescent="0.15">
      <c r="A2341" t="s">
        <v>6766</v>
      </c>
      <c r="B2341" s="61">
        <v>46296</v>
      </c>
      <c r="E2341" t="s">
        <v>355</v>
      </c>
      <c r="F2341" t="s">
        <v>351</v>
      </c>
      <c r="G2341" t="s">
        <v>354</v>
      </c>
      <c r="H2341" t="s">
        <v>365</v>
      </c>
      <c r="I2341">
        <v>4000940</v>
      </c>
      <c r="J2341" t="s">
        <v>4246</v>
      </c>
      <c r="K2341" t="s">
        <v>3635</v>
      </c>
      <c r="L2341" t="s">
        <v>466</v>
      </c>
      <c r="N2341" t="s">
        <v>4247</v>
      </c>
      <c r="O2341" t="s">
        <v>4248</v>
      </c>
      <c r="S2341" s="34" t="s">
        <v>6779</v>
      </c>
    </row>
    <row r="2342" spans="1:19" ht="324" x14ac:dyDescent="0.15">
      <c r="A2342" t="s">
        <v>6766</v>
      </c>
      <c r="B2342" s="61">
        <v>46327</v>
      </c>
      <c r="E2342" t="s">
        <v>355</v>
      </c>
      <c r="F2342" t="s">
        <v>351</v>
      </c>
      <c r="G2342" t="s">
        <v>354</v>
      </c>
      <c r="H2342" t="s">
        <v>353</v>
      </c>
      <c r="I2342">
        <v>4000907</v>
      </c>
      <c r="J2342" t="s">
        <v>6780</v>
      </c>
      <c r="K2342" t="s">
        <v>6781</v>
      </c>
      <c r="L2342" t="s">
        <v>390</v>
      </c>
      <c r="N2342" t="s">
        <v>6782</v>
      </c>
      <c r="O2342" t="s">
        <v>6783</v>
      </c>
      <c r="S2342" s="34" t="s">
        <v>6784</v>
      </c>
    </row>
    <row r="2343" spans="1:19" ht="409.5" x14ac:dyDescent="0.15">
      <c r="A2343" t="s">
        <v>6766</v>
      </c>
      <c r="B2343" s="61">
        <v>46327</v>
      </c>
      <c r="E2343" t="s">
        <v>355</v>
      </c>
      <c r="F2343" t="s">
        <v>351</v>
      </c>
      <c r="G2343" t="s">
        <v>354</v>
      </c>
      <c r="H2343" t="s">
        <v>353</v>
      </c>
      <c r="I2343">
        <v>4000936</v>
      </c>
      <c r="J2343" t="s">
        <v>2940</v>
      </c>
      <c r="K2343" t="s">
        <v>2941</v>
      </c>
      <c r="L2343" t="s">
        <v>2942</v>
      </c>
      <c r="N2343" t="s">
        <v>6785</v>
      </c>
      <c r="O2343" t="s">
        <v>2944</v>
      </c>
      <c r="R2343" t="s">
        <v>3986</v>
      </c>
      <c r="S2343" s="34" t="s">
        <v>6786</v>
      </c>
    </row>
    <row r="2344" spans="1:19" ht="409.5" x14ac:dyDescent="0.15">
      <c r="A2344" t="s">
        <v>6766</v>
      </c>
      <c r="B2344" s="61">
        <v>46327</v>
      </c>
      <c r="E2344" t="s">
        <v>355</v>
      </c>
      <c r="F2344" t="s">
        <v>351</v>
      </c>
      <c r="G2344" t="s">
        <v>354</v>
      </c>
      <c r="H2344" t="s">
        <v>686</v>
      </c>
      <c r="I2344">
        <v>4000936</v>
      </c>
      <c r="J2344" t="s">
        <v>2940</v>
      </c>
      <c r="K2344" t="s">
        <v>2941</v>
      </c>
      <c r="L2344" t="s">
        <v>2942</v>
      </c>
      <c r="N2344">
        <v>2133321</v>
      </c>
      <c r="O2344" t="s">
        <v>2944</v>
      </c>
      <c r="R2344" t="s">
        <v>3986</v>
      </c>
      <c r="S2344" s="34" t="s">
        <v>6787</v>
      </c>
    </row>
    <row r="2345" spans="1:19" ht="409.5" x14ac:dyDescent="0.15">
      <c r="A2345" t="s">
        <v>6766</v>
      </c>
      <c r="B2345" s="61">
        <v>46327</v>
      </c>
      <c r="E2345" t="s">
        <v>355</v>
      </c>
      <c r="F2345" t="s">
        <v>351</v>
      </c>
      <c r="G2345" t="s">
        <v>354</v>
      </c>
      <c r="H2345" t="s">
        <v>365</v>
      </c>
      <c r="I2345">
        <v>4100089</v>
      </c>
      <c r="J2345" t="s">
        <v>2886</v>
      </c>
      <c r="K2345" t="s">
        <v>2887</v>
      </c>
      <c r="L2345" t="s">
        <v>1769</v>
      </c>
      <c r="N2345" t="s">
        <v>2888</v>
      </c>
      <c r="O2345" t="s">
        <v>2889</v>
      </c>
      <c r="R2345" t="s">
        <v>6788</v>
      </c>
      <c r="S2345" s="34" t="s">
        <v>6789</v>
      </c>
    </row>
    <row r="2346" spans="1:19" ht="409.5" x14ac:dyDescent="0.15">
      <c r="A2346" t="s">
        <v>6766</v>
      </c>
      <c r="B2346" s="61">
        <v>46327</v>
      </c>
      <c r="E2346" t="s">
        <v>355</v>
      </c>
      <c r="F2346" t="s">
        <v>351</v>
      </c>
      <c r="G2346" t="s">
        <v>354</v>
      </c>
      <c r="H2346" t="s">
        <v>353</v>
      </c>
      <c r="I2346">
        <v>4100089</v>
      </c>
      <c r="J2346" t="s">
        <v>2886</v>
      </c>
      <c r="K2346" t="s">
        <v>2887</v>
      </c>
      <c r="L2346" t="s">
        <v>1769</v>
      </c>
      <c r="N2346" t="s">
        <v>6790</v>
      </c>
      <c r="O2346" t="s">
        <v>2889</v>
      </c>
      <c r="S2346" s="34" t="s">
        <v>6791</v>
      </c>
    </row>
    <row r="2347" spans="1:19" ht="409.5" x14ac:dyDescent="0.15">
      <c r="A2347" t="s">
        <v>6766</v>
      </c>
      <c r="B2347" s="61">
        <v>46327</v>
      </c>
      <c r="E2347" t="s">
        <v>355</v>
      </c>
      <c r="F2347" t="s">
        <v>351</v>
      </c>
      <c r="G2347" t="s">
        <v>354</v>
      </c>
      <c r="H2347" t="s">
        <v>353</v>
      </c>
      <c r="I2347">
        <v>4100089</v>
      </c>
      <c r="J2347" t="s">
        <v>2886</v>
      </c>
      <c r="K2347" t="s">
        <v>2887</v>
      </c>
      <c r="L2347" t="s">
        <v>1769</v>
      </c>
      <c r="N2347" t="s">
        <v>6792</v>
      </c>
      <c r="O2347" t="s">
        <v>2889</v>
      </c>
      <c r="S2347" s="34" t="s">
        <v>6793</v>
      </c>
    </row>
    <row r="2348" spans="1:19" ht="229.5" x14ac:dyDescent="0.15">
      <c r="A2348" t="s">
        <v>6766</v>
      </c>
      <c r="B2348" s="61">
        <v>46327</v>
      </c>
      <c r="E2348" t="s">
        <v>355</v>
      </c>
      <c r="F2348" t="s">
        <v>351</v>
      </c>
      <c r="G2348" t="s">
        <v>352</v>
      </c>
      <c r="H2348" t="s">
        <v>365</v>
      </c>
      <c r="I2348">
        <v>4100257</v>
      </c>
      <c r="J2348" t="s">
        <v>775</v>
      </c>
      <c r="K2348" t="s">
        <v>2871</v>
      </c>
      <c r="L2348" t="s">
        <v>2885</v>
      </c>
      <c r="N2348" t="s">
        <v>2873</v>
      </c>
      <c r="O2348" t="s">
        <v>2874</v>
      </c>
      <c r="R2348" t="s">
        <v>3985</v>
      </c>
      <c r="S2348" s="34" t="s">
        <v>6794</v>
      </c>
    </row>
    <row r="2349" spans="1:19" ht="243" x14ac:dyDescent="0.15">
      <c r="A2349" t="s">
        <v>6766</v>
      </c>
      <c r="B2349" s="61">
        <v>46357</v>
      </c>
      <c r="E2349" t="s">
        <v>355</v>
      </c>
      <c r="F2349" t="s">
        <v>351</v>
      </c>
      <c r="G2349" t="s">
        <v>352</v>
      </c>
      <c r="H2349" t="s">
        <v>365</v>
      </c>
      <c r="I2349">
        <v>4100047</v>
      </c>
      <c r="J2349" t="s">
        <v>775</v>
      </c>
      <c r="K2349" t="s">
        <v>2876</v>
      </c>
      <c r="L2349" t="s">
        <v>2872</v>
      </c>
      <c r="N2349" t="s">
        <v>2877</v>
      </c>
      <c r="O2349" t="s">
        <v>2878</v>
      </c>
      <c r="R2349" t="s">
        <v>3985</v>
      </c>
      <c r="S2349" s="34" t="s">
        <v>6795</v>
      </c>
    </row>
    <row r="2350" spans="1:19" ht="409.5" x14ac:dyDescent="0.15">
      <c r="A2350" t="s">
        <v>6796</v>
      </c>
      <c r="B2350" s="61">
        <v>46235</v>
      </c>
      <c r="E2350" t="s">
        <v>355</v>
      </c>
      <c r="F2350" t="s">
        <v>351</v>
      </c>
      <c r="G2350" t="s">
        <v>352</v>
      </c>
      <c r="H2350" t="s">
        <v>353</v>
      </c>
      <c r="I2350">
        <v>4100242</v>
      </c>
      <c r="J2350" t="s">
        <v>6797</v>
      </c>
      <c r="K2350" t="s">
        <v>6798</v>
      </c>
      <c r="L2350" t="s">
        <v>6799</v>
      </c>
      <c r="N2350" t="s">
        <v>6800</v>
      </c>
      <c r="O2350" t="s">
        <v>6801</v>
      </c>
      <c r="S2350" s="34" t="s">
        <v>6802</v>
      </c>
    </row>
    <row r="2351" spans="1:19" ht="409.5" x14ac:dyDescent="0.15">
      <c r="A2351" t="s">
        <v>6766</v>
      </c>
      <c r="B2351" s="61">
        <v>46296</v>
      </c>
      <c r="E2351" t="s">
        <v>355</v>
      </c>
      <c r="F2351" t="s">
        <v>351</v>
      </c>
      <c r="G2351" t="s">
        <v>354</v>
      </c>
      <c r="H2351" t="s">
        <v>353</v>
      </c>
      <c r="I2351">
        <v>4400152</v>
      </c>
      <c r="J2351" t="s">
        <v>2910</v>
      </c>
      <c r="K2351" t="s">
        <v>2911</v>
      </c>
      <c r="L2351" t="s">
        <v>2912</v>
      </c>
      <c r="N2351" t="s">
        <v>6803</v>
      </c>
      <c r="O2351" t="s">
        <v>2914</v>
      </c>
      <c r="S2351" s="34" t="s">
        <v>6804</v>
      </c>
    </row>
    <row r="2352" spans="1:19" ht="216" x14ac:dyDescent="0.15">
      <c r="A2352" t="s">
        <v>2956</v>
      </c>
      <c r="B2352" s="61">
        <v>46296</v>
      </c>
      <c r="E2352" t="s">
        <v>355</v>
      </c>
      <c r="F2352" t="s">
        <v>351</v>
      </c>
      <c r="G2352" t="s">
        <v>354</v>
      </c>
      <c r="H2352" t="s">
        <v>353</v>
      </c>
      <c r="I2352">
        <v>3300075</v>
      </c>
      <c r="J2352" t="s">
        <v>2983</v>
      </c>
      <c r="K2352" t="s">
        <v>1251</v>
      </c>
      <c r="L2352" t="s">
        <v>1957</v>
      </c>
      <c r="N2352" t="s">
        <v>2984</v>
      </c>
      <c r="O2352" t="s">
        <v>2985</v>
      </c>
      <c r="S2352" s="34" t="s">
        <v>6805</v>
      </c>
    </row>
    <row r="2353" spans="1:19" ht="409.5" x14ac:dyDescent="0.15">
      <c r="A2353" t="s">
        <v>2956</v>
      </c>
      <c r="B2353" s="61">
        <v>46296</v>
      </c>
      <c r="E2353" t="s">
        <v>355</v>
      </c>
      <c r="F2353" t="s">
        <v>351</v>
      </c>
      <c r="G2353" t="s">
        <v>354</v>
      </c>
      <c r="H2353" t="s">
        <v>353</v>
      </c>
      <c r="I2353">
        <v>3300631</v>
      </c>
      <c r="J2353" t="s">
        <v>2134</v>
      </c>
      <c r="K2353" t="s">
        <v>1071</v>
      </c>
      <c r="L2353" t="s">
        <v>2986</v>
      </c>
      <c r="N2353" t="s">
        <v>6806</v>
      </c>
      <c r="O2353" t="s">
        <v>2988</v>
      </c>
      <c r="S2353" s="34" t="s">
        <v>6807</v>
      </c>
    </row>
    <row r="2354" spans="1:19" ht="409.5" x14ac:dyDescent="0.15">
      <c r="A2354" t="s">
        <v>2956</v>
      </c>
      <c r="B2354" s="61">
        <v>46357</v>
      </c>
      <c r="E2354" t="s">
        <v>355</v>
      </c>
      <c r="F2354" t="s">
        <v>351</v>
      </c>
      <c r="G2354" t="s">
        <v>354</v>
      </c>
      <c r="H2354" t="s">
        <v>309</v>
      </c>
      <c r="I2354">
        <v>3300186</v>
      </c>
      <c r="J2354" t="s">
        <v>2822</v>
      </c>
      <c r="K2354" t="s">
        <v>1914</v>
      </c>
      <c r="L2354" t="s">
        <v>2976</v>
      </c>
      <c r="N2354" t="s">
        <v>6808</v>
      </c>
      <c r="O2354" t="s">
        <v>2978</v>
      </c>
      <c r="S2354" s="34" t="s">
        <v>6809</v>
      </c>
    </row>
    <row r="2355" spans="1:19" ht="202.5" x14ac:dyDescent="0.15">
      <c r="A2355" t="s">
        <v>2956</v>
      </c>
      <c r="B2355" s="61">
        <v>46357</v>
      </c>
      <c r="E2355" t="s">
        <v>355</v>
      </c>
      <c r="F2355" t="s">
        <v>351</v>
      </c>
      <c r="G2355" t="s">
        <v>354</v>
      </c>
      <c r="H2355" t="s">
        <v>353</v>
      </c>
      <c r="I2355">
        <v>3300186</v>
      </c>
      <c r="J2355" t="s">
        <v>2822</v>
      </c>
      <c r="K2355" t="s">
        <v>1914</v>
      </c>
      <c r="L2355" t="s">
        <v>2976</v>
      </c>
      <c r="N2355" t="s">
        <v>6810</v>
      </c>
      <c r="O2355" t="s">
        <v>2978</v>
      </c>
      <c r="S2355" s="34" t="s">
        <v>6811</v>
      </c>
    </row>
    <row r="2356" spans="1:19" ht="409.5" x14ac:dyDescent="0.15">
      <c r="A2356" t="s">
        <v>2956</v>
      </c>
      <c r="B2356" s="61">
        <v>46357</v>
      </c>
      <c r="E2356" t="s">
        <v>355</v>
      </c>
      <c r="F2356" t="s">
        <v>351</v>
      </c>
      <c r="G2356" t="s">
        <v>354</v>
      </c>
      <c r="H2356" t="s">
        <v>365</v>
      </c>
      <c r="I2356">
        <v>3300186</v>
      </c>
      <c r="J2356" t="s">
        <v>2822</v>
      </c>
      <c r="K2356" t="s">
        <v>1914</v>
      </c>
      <c r="L2356" t="s">
        <v>2976</v>
      </c>
      <c r="N2356" t="s">
        <v>6812</v>
      </c>
      <c r="O2356" t="s">
        <v>2978</v>
      </c>
      <c r="S2356" s="34" t="s">
        <v>6813</v>
      </c>
    </row>
    <row r="2357" spans="1:19" ht="216" x14ac:dyDescent="0.15">
      <c r="A2357" t="s">
        <v>2956</v>
      </c>
      <c r="B2357" s="61">
        <v>46357</v>
      </c>
      <c r="E2357" t="s">
        <v>355</v>
      </c>
      <c r="F2357" t="s">
        <v>351</v>
      </c>
      <c r="G2357" t="s">
        <v>354</v>
      </c>
      <c r="H2357" t="s">
        <v>353</v>
      </c>
      <c r="I2357">
        <v>3300287</v>
      </c>
      <c r="J2357" t="s">
        <v>2957</v>
      </c>
      <c r="K2357" t="s">
        <v>2958</v>
      </c>
      <c r="L2357" t="s">
        <v>2959</v>
      </c>
      <c r="N2357" t="s">
        <v>2960</v>
      </c>
      <c r="O2357" t="s">
        <v>2961</v>
      </c>
      <c r="S2357" s="34" t="s">
        <v>6814</v>
      </c>
    </row>
    <row r="2358" spans="1:19" ht="409.5" x14ac:dyDescent="0.15">
      <c r="A2358" t="s">
        <v>2956</v>
      </c>
      <c r="B2358" s="61">
        <v>46357</v>
      </c>
      <c r="E2358" t="s">
        <v>355</v>
      </c>
      <c r="F2358" t="s">
        <v>351</v>
      </c>
      <c r="G2358" t="s">
        <v>354</v>
      </c>
      <c r="H2358" t="s">
        <v>353</v>
      </c>
      <c r="I2358">
        <v>3300365</v>
      </c>
      <c r="J2358" t="s">
        <v>2822</v>
      </c>
      <c r="K2358" t="s">
        <v>1914</v>
      </c>
      <c r="L2358" t="s">
        <v>2979</v>
      </c>
      <c r="N2358" t="s">
        <v>6815</v>
      </c>
      <c r="O2358" t="s">
        <v>2981</v>
      </c>
      <c r="S2358" s="34" t="s">
        <v>6816</v>
      </c>
    </row>
    <row r="2359" spans="1:19" ht="409.5" x14ac:dyDescent="0.15">
      <c r="A2359" t="s">
        <v>2993</v>
      </c>
      <c r="B2359" s="61">
        <v>46235</v>
      </c>
      <c r="E2359" t="s">
        <v>355</v>
      </c>
      <c r="F2359" t="s">
        <v>351</v>
      </c>
      <c r="G2359" t="s">
        <v>354</v>
      </c>
      <c r="H2359" t="s">
        <v>686</v>
      </c>
      <c r="I2359">
        <v>1301831</v>
      </c>
      <c r="J2359" t="s">
        <v>3994</v>
      </c>
      <c r="K2359" t="s">
        <v>6817</v>
      </c>
      <c r="L2359" t="s">
        <v>466</v>
      </c>
      <c r="N2359">
        <v>2115173</v>
      </c>
      <c r="O2359" t="s">
        <v>6818</v>
      </c>
      <c r="R2359" t="s">
        <v>3987</v>
      </c>
      <c r="S2359" s="34" t="s">
        <v>6819</v>
      </c>
    </row>
    <row r="2360" spans="1:19" ht="324" x14ac:dyDescent="0.15">
      <c r="A2360" t="s">
        <v>2993</v>
      </c>
      <c r="B2360" s="61">
        <v>46266</v>
      </c>
      <c r="E2360" t="s">
        <v>355</v>
      </c>
      <c r="F2360" t="s">
        <v>351</v>
      </c>
      <c r="G2360" t="s">
        <v>354</v>
      </c>
      <c r="H2360" t="s">
        <v>353</v>
      </c>
      <c r="I2360">
        <v>1300146</v>
      </c>
      <c r="J2360" t="s">
        <v>2817</v>
      </c>
      <c r="K2360" t="s">
        <v>4091</v>
      </c>
      <c r="L2360" t="s">
        <v>390</v>
      </c>
      <c r="N2360" t="s">
        <v>6820</v>
      </c>
      <c r="O2360" t="s">
        <v>4093</v>
      </c>
      <c r="S2360" s="34" t="s">
        <v>6821</v>
      </c>
    </row>
    <row r="2361" spans="1:19" ht="202.5" x14ac:dyDescent="0.15">
      <c r="A2361" t="s">
        <v>2993</v>
      </c>
      <c r="B2361" s="61">
        <v>46266</v>
      </c>
      <c r="E2361" t="s">
        <v>355</v>
      </c>
      <c r="F2361" t="s">
        <v>351</v>
      </c>
      <c r="G2361" t="s">
        <v>354</v>
      </c>
      <c r="H2361" t="s">
        <v>353</v>
      </c>
      <c r="I2361">
        <v>1300146</v>
      </c>
      <c r="J2361" t="s">
        <v>2817</v>
      </c>
      <c r="K2361" t="s">
        <v>4091</v>
      </c>
      <c r="L2361" t="s">
        <v>390</v>
      </c>
      <c r="N2361" t="s">
        <v>4092</v>
      </c>
      <c r="O2361" t="s">
        <v>4093</v>
      </c>
      <c r="S2361" s="34" t="s">
        <v>6822</v>
      </c>
    </row>
    <row r="2362" spans="1:19" ht="243" x14ac:dyDescent="0.15">
      <c r="A2362" t="s">
        <v>2993</v>
      </c>
      <c r="B2362" s="61">
        <v>46266</v>
      </c>
      <c r="E2362" t="s">
        <v>355</v>
      </c>
      <c r="F2362" t="s">
        <v>351</v>
      </c>
      <c r="G2362" t="s">
        <v>354</v>
      </c>
      <c r="H2362" t="s">
        <v>365</v>
      </c>
      <c r="I2362">
        <v>1301601</v>
      </c>
      <c r="J2362" t="s">
        <v>6823</v>
      </c>
      <c r="L2362" t="s">
        <v>4403</v>
      </c>
      <c r="N2362" t="s">
        <v>6824</v>
      </c>
      <c r="O2362" t="s">
        <v>6825</v>
      </c>
      <c r="R2362" t="s">
        <v>3987</v>
      </c>
      <c r="S2362" s="34" t="s">
        <v>6826</v>
      </c>
    </row>
    <row r="2363" spans="1:19" ht="229.5" x14ac:dyDescent="0.15">
      <c r="A2363" t="s">
        <v>2993</v>
      </c>
      <c r="B2363" s="61">
        <v>46266</v>
      </c>
      <c r="E2363" t="s">
        <v>355</v>
      </c>
      <c r="F2363" t="s">
        <v>351</v>
      </c>
      <c r="G2363" t="s">
        <v>352</v>
      </c>
      <c r="H2363" t="s">
        <v>365</v>
      </c>
      <c r="I2363">
        <v>1301605</v>
      </c>
      <c r="J2363" t="s">
        <v>2683</v>
      </c>
      <c r="K2363" t="s">
        <v>6827</v>
      </c>
      <c r="L2363" t="s">
        <v>3011</v>
      </c>
      <c r="N2363" t="s">
        <v>6828</v>
      </c>
      <c r="O2363" t="s">
        <v>6829</v>
      </c>
      <c r="R2363" t="s">
        <v>3958</v>
      </c>
      <c r="S2363" s="34" t="s">
        <v>6830</v>
      </c>
    </row>
    <row r="2364" spans="1:19" ht="409.5" x14ac:dyDescent="0.15">
      <c r="A2364" t="s">
        <v>2993</v>
      </c>
      <c r="B2364" s="61">
        <v>46296</v>
      </c>
      <c r="E2364" t="s">
        <v>355</v>
      </c>
      <c r="F2364" t="s">
        <v>351</v>
      </c>
      <c r="G2364" t="s">
        <v>354</v>
      </c>
      <c r="H2364" t="s">
        <v>365</v>
      </c>
      <c r="I2364">
        <v>1301584</v>
      </c>
      <c r="J2364" t="s">
        <v>3001</v>
      </c>
      <c r="K2364" t="s">
        <v>2153</v>
      </c>
      <c r="L2364" t="s">
        <v>3002</v>
      </c>
      <c r="N2364" t="s">
        <v>4753</v>
      </c>
      <c r="O2364" t="s">
        <v>3003</v>
      </c>
      <c r="R2364" t="s">
        <v>3986</v>
      </c>
      <c r="S2364" s="34" t="s">
        <v>6831</v>
      </c>
    </row>
    <row r="2365" spans="1:19" ht="409.5" x14ac:dyDescent="0.15">
      <c r="A2365" t="s">
        <v>2993</v>
      </c>
      <c r="B2365" s="61">
        <v>46296</v>
      </c>
      <c r="E2365" t="s">
        <v>355</v>
      </c>
      <c r="F2365" t="s">
        <v>351</v>
      </c>
      <c r="G2365" t="s">
        <v>354</v>
      </c>
      <c r="H2365" t="s">
        <v>365</v>
      </c>
      <c r="I2365">
        <v>1301585</v>
      </c>
      <c r="J2365" t="s">
        <v>3001</v>
      </c>
      <c r="K2365" t="s">
        <v>2153</v>
      </c>
      <c r="L2365" t="s">
        <v>4754</v>
      </c>
      <c r="N2365" t="s">
        <v>4755</v>
      </c>
      <c r="O2365" t="s">
        <v>3004</v>
      </c>
      <c r="R2365" t="s">
        <v>3986</v>
      </c>
      <c r="S2365" s="34" t="s">
        <v>6832</v>
      </c>
    </row>
    <row r="2366" spans="1:19" ht="202.5" x14ac:dyDescent="0.15">
      <c r="A2366" t="s">
        <v>2993</v>
      </c>
      <c r="B2366" s="61">
        <v>46327</v>
      </c>
      <c r="E2366" t="s">
        <v>355</v>
      </c>
      <c r="F2366" t="s">
        <v>351</v>
      </c>
      <c r="G2366" t="s">
        <v>354</v>
      </c>
      <c r="H2366" t="s">
        <v>353</v>
      </c>
      <c r="I2366">
        <v>1300209</v>
      </c>
      <c r="J2366" t="s">
        <v>3009</v>
      </c>
      <c r="K2366" t="s">
        <v>3010</v>
      </c>
      <c r="L2366" t="s">
        <v>3011</v>
      </c>
      <c r="N2366" t="s">
        <v>3022</v>
      </c>
      <c r="O2366" t="s">
        <v>3013</v>
      </c>
      <c r="R2366" t="s">
        <v>3992</v>
      </c>
      <c r="S2366" s="34" t="s">
        <v>6833</v>
      </c>
    </row>
    <row r="2367" spans="1:19" ht="216" x14ac:dyDescent="0.15">
      <c r="A2367" t="s">
        <v>2993</v>
      </c>
      <c r="B2367" s="61">
        <v>46327</v>
      </c>
      <c r="E2367" t="s">
        <v>355</v>
      </c>
      <c r="F2367" t="s">
        <v>351</v>
      </c>
      <c r="G2367" t="s">
        <v>354</v>
      </c>
      <c r="H2367" t="s">
        <v>365</v>
      </c>
      <c r="I2367">
        <v>1300209</v>
      </c>
      <c r="J2367" t="s">
        <v>3009</v>
      </c>
      <c r="K2367" t="s">
        <v>3010</v>
      </c>
      <c r="L2367" t="s">
        <v>3011</v>
      </c>
      <c r="N2367" t="s">
        <v>3012</v>
      </c>
      <c r="O2367" t="s">
        <v>3013</v>
      </c>
      <c r="R2367" t="s">
        <v>3992</v>
      </c>
      <c r="S2367" s="34" t="s">
        <v>6834</v>
      </c>
    </row>
    <row r="2368" spans="1:19" ht="405" x14ac:dyDescent="0.15">
      <c r="A2368" t="s">
        <v>2993</v>
      </c>
      <c r="B2368" s="61">
        <v>46357</v>
      </c>
      <c r="E2368" t="s">
        <v>355</v>
      </c>
      <c r="F2368" t="s">
        <v>351</v>
      </c>
      <c r="G2368" t="s">
        <v>354</v>
      </c>
      <c r="H2368" t="s">
        <v>353</v>
      </c>
      <c r="I2368">
        <v>1301673</v>
      </c>
      <c r="J2368" t="s">
        <v>2994</v>
      </c>
      <c r="K2368" t="s">
        <v>2995</v>
      </c>
      <c r="L2368" t="s">
        <v>2459</v>
      </c>
      <c r="N2368" t="s">
        <v>6835</v>
      </c>
      <c r="O2368" t="s">
        <v>2997</v>
      </c>
      <c r="R2368" t="s">
        <v>3987</v>
      </c>
      <c r="S2368" s="34" t="s">
        <v>6836</v>
      </c>
    </row>
    <row r="2369" spans="1:19" ht="409.5" x14ac:dyDescent="0.15">
      <c r="A2369" t="s">
        <v>2993</v>
      </c>
      <c r="B2369" s="61">
        <v>46357</v>
      </c>
      <c r="E2369" t="s">
        <v>355</v>
      </c>
      <c r="F2369" t="s">
        <v>351</v>
      </c>
      <c r="G2369" t="s">
        <v>354</v>
      </c>
      <c r="H2369" t="s">
        <v>365</v>
      </c>
      <c r="I2369">
        <v>1301673</v>
      </c>
      <c r="J2369" t="s">
        <v>2994</v>
      </c>
      <c r="K2369" t="s">
        <v>2995</v>
      </c>
      <c r="L2369" t="s">
        <v>2459</v>
      </c>
      <c r="N2369" t="s">
        <v>2999</v>
      </c>
      <c r="O2369" t="s">
        <v>2997</v>
      </c>
      <c r="R2369" t="s">
        <v>3987</v>
      </c>
      <c r="S2369" s="34" t="s">
        <v>6837</v>
      </c>
    </row>
    <row r="2370" spans="1:19" ht="409.5" x14ac:dyDescent="0.15">
      <c r="A2370" t="s">
        <v>3024</v>
      </c>
      <c r="B2370" s="61">
        <v>46235</v>
      </c>
      <c r="E2370" t="s">
        <v>355</v>
      </c>
      <c r="F2370" t="s">
        <v>351</v>
      </c>
      <c r="G2370" t="s">
        <v>354</v>
      </c>
      <c r="H2370" t="s">
        <v>353</v>
      </c>
      <c r="I2370">
        <v>1301716</v>
      </c>
      <c r="J2370" t="s">
        <v>4037</v>
      </c>
      <c r="K2370" t="s">
        <v>6838</v>
      </c>
      <c r="L2370" t="s">
        <v>466</v>
      </c>
      <c r="N2370" t="s">
        <v>6839</v>
      </c>
      <c r="O2370" t="s">
        <v>6840</v>
      </c>
      <c r="R2370" t="s">
        <v>6841</v>
      </c>
      <c r="S2370" s="34" t="s">
        <v>6842</v>
      </c>
    </row>
    <row r="2371" spans="1:19" ht="216" x14ac:dyDescent="0.15">
      <c r="A2371" t="s">
        <v>3024</v>
      </c>
      <c r="B2371" s="61">
        <v>46296</v>
      </c>
      <c r="E2371" t="s">
        <v>355</v>
      </c>
      <c r="F2371" t="s">
        <v>351</v>
      </c>
      <c r="G2371" t="s">
        <v>354</v>
      </c>
      <c r="H2371" t="s">
        <v>353</v>
      </c>
      <c r="I2371">
        <v>1200885</v>
      </c>
      <c r="J2371" t="s">
        <v>3034</v>
      </c>
      <c r="K2371" t="s">
        <v>3035</v>
      </c>
      <c r="L2371" t="s">
        <v>3036</v>
      </c>
      <c r="N2371" t="s">
        <v>3037</v>
      </c>
      <c r="O2371" t="s">
        <v>3038</v>
      </c>
      <c r="R2371" t="s">
        <v>3987</v>
      </c>
      <c r="S2371" s="34" t="s">
        <v>6843</v>
      </c>
    </row>
    <row r="2372" spans="1:19" ht="324" x14ac:dyDescent="0.15">
      <c r="A2372" t="s">
        <v>3024</v>
      </c>
      <c r="B2372" s="61">
        <v>46296</v>
      </c>
      <c r="E2372" t="s">
        <v>355</v>
      </c>
      <c r="F2372" t="s">
        <v>351</v>
      </c>
      <c r="G2372" t="s">
        <v>354</v>
      </c>
      <c r="H2372" t="s">
        <v>365</v>
      </c>
      <c r="I2372">
        <v>1300503</v>
      </c>
      <c r="J2372" t="s">
        <v>2631</v>
      </c>
      <c r="K2372" t="s">
        <v>4142</v>
      </c>
      <c r="L2372" t="s">
        <v>6844</v>
      </c>
      <c r="N2372" t="s">
        <v>6845</v>
      </c>
      <c r="O2372" t="s">
        <v>6846</v>
      </c>
      <c r="R2372" t="s">
        <v>3987</v>
      </c>
      <c r="S2372" s="34" t="s">
        <v>6847</v>
      </c>
    </row>
    <row r="2373" spans="1:19" ht="409.5" x14ac:dyDescent="0.15">
      <c r="A2373" t="s">
        <v>3024</v>
      </c>
      <c r="B2373" s="61">
        <v>46296</v>
      </c>
      <c r="E2373" t="s">
        <v>355</v>
      </c>
      <c r="F2373" t="s">
        <v>351</v>
      </c>
      <c r="G2373" t="s">
        <v>354</v>
      </c>
      <c r="H2373" t="s">
        <v>686</v>
      </c>
      <c r="I2373">
        <v>1300503</v>
      </c>
      <c r="J2373" t="s">
        <v>2631</v>
      </c>
      <c r="K2373" t="s">
        <v>4142</v>
      </c>
      <c r="L2373" t="s">
        <v>6844</v>
      </c>
      <c r="N2373">
        <v>2082393</v>
      </c>
      <c r="O2373" t="s">
        <v>6846</v>
      </c>
      <c r="R2373" t="s">
        <v>3987</v>
      </c>
      <c r="S2373" s="34" t="s">
        <v>6848</v>
      </c>
    </row>
    <row r="2374" spans="1:19" ht="409.5" x14ac:dyDescent="0.15">
      <c r="A2374" t="s">
        <v>3024</v>
      </c>
      <c r="B2374" s="61">
        <v>46327</v>
      </c>
      <c r="E2374" t="s">
        <v>355</v>
      </c>
      <c r="F2374" t="s">
        <v>351</v>
      </c>
      <c r="G2374" t="s">
        <v>354</v>
      </c>
      <c r="H2374" t="s">
        <v>353</v>
      </c>
      <c r="I2374">
        <v>1201226</v>
      </c>
      <c r="J2374" t="s">
        <v>4201</v>
      </c>
      <c r="K2374" t="s">
        <v>2153</v>
      </c>
      <c r="L2374" t="s">
        <v>2199</v>
      </c>
      <c r="N2374" t="s">
        <v>4202</v>
      </c>
      <c r="O2374" t="s">
        <v>4203</v>
      </c>
      <c r="R2374" t="s">
        <v>3987</v>
      </c>
      <c r="S2374" s="34" t="s">
        <v>6849</v>
      </c>
    </row>
    <row r="2375" spans="1:19" ht="409.5" x14ac:dyDescent="0.15">
      <c r="A2375" t="s">
        <v>3024</v>
      </c>
      <c r="B2375" s="61">
        <v>46327</v>
      </c>
      <c r="E2375" t="s">
        <v>355</v>
      </c>
      <c r="F2375" t="s">
        <v>351</v>
      </c>
      <c r="G2375" t="s">
        <v>354</v>
      </c>
      <c r="H2375" t="s">
        <v>686</v>
      </c>
      <c r="I2375">
        <v>1301716</v>
      </c>
      <c r="J2375" t="s">
        <v>4037</v>
      </c>
      <c r="K2375" t="s">
        <v>6838</v>
      </c>
      <c r="L2375" t="s">
        <v>466</v>
      </c>
      <c r="N2375">
        <v>2136153</v>
      </c>
      <c r="O2375" t="s">
        <v>6840</v>
      </c>
      <c r="R2375" t="s">
        <v>4430</v>
      </c>
      <c r="S2375" s="34" t="s">
        <v>6850</v>
      </c>
    </row>
    <row r="2376" spans="1:19" ht="216" x14ac:dyDescent="0.15">
      <c r="A2376" t="s">
        <v>3040</v>
      </c>
      <c r="B2376" s="61">
        <v>46266</v>
      </c>
      <c r="E2376" t="s">
        <v>355</v>
      </c>
      <c r="F2376" t="s">
        <v>351</v>
      </c>
      <c r="G2376" t="s">
        <v>354</v>
      </c>
      <c r="H2376" t="s">
        <v>353</v>
      </c>
      <c r="I2376">
        <v>3600008</v>
      </c>
      <c r="J2376" t="s">
        <v>6851</v>
      </c>
      <c r="K2376" t="s">
        <v>6852</v>
      </c>
      <c r="L2376" t="s">
        <v>390</v>
      </c>
      <c r="N2376" t="s">
        <v>6853</v>
      </c>
      <c r="O2376" t="s">
        <v>6854</v>
      </c>
      <c r="S2376" s="34" t="s">
        <v>6855</v>
      </c>
    </row>
    <row r="2377" spans="1:19" ht="409.5" x14ac:dyDescent="0.15">
      <c r="A2377" t="s">
        <v>3040</v>
      </c>
      <c r="B2377" s="61">
        <v>46296</v>
      </c>
      <c r="E2377" t="s">
        <v>355</v>
      </c>
      <c r="F2377" t="s">
        <v>351</v>
      </c>
      <c r="G2377" t="s">
        <v>354</v>
      </c>
      <c r="H2377" t="s">
        <v>353</v>
      </c>
      <c r="I2377">
        <v>3600177</v>
      </c>
      <c r="J2377" t="s">
        <v>3041</v>
      </c>
      <c r="K2377" t="s">
        <v>3042</v>
      </c>
      <c r="L2377" t="s">
        <v>466</v>
      </c>
      <c r="N2377" t="s">
        <v>6856</v>
      </c>
      <c r="O2377" t="s">
        <v>3044</v>
      </c>
      <c r="S2377" s="34" t="s">
        <v>6857</v>
      </c>
    </row>
    <row r="2378" spans="1:19" ht="409.5" x14ac:dyDescent="0.15">
      <c r="A2378" t="s">
        <v>3040</v>
      </c>
      <c r="B2378" s="61">
        <v>46296</v>
      </c>
      <c r="E2378" t="s">
        <v>355</v>
      </c>
      <c r="F2378" t="s">
        <v>351</v>
      </c>
      <c r="G2378" t="s">
        <v>354</v>
      </c>
      <c r="H2378" t="s">
        <v>686</v>
      </c>
      <c r="I2378">
        <v>3600177</v>
      </c>
      <c r="J2378" t="s">
        <v>3041</v>
      </c>
      <c r="K2378" t="s">
        <v>3042</v>
      </c>
      <c r="L2378" t="s">
        <v>466</v>
      </c>
      <c r="N2378">
        <v>2163046</v>
      </c>
      <c r="O2378" t="s">
        <v>3044</v>
      </c>
      <c r="S2378" s="34" t="s">
        <v>6858</v>
      </c>
    </row>
    <row r="2379" spans="1:19" ht="162" x14ac:dyDescent="0.15">
      <c r="A2379" t="s">
        <v>3051</v>
      </c>
      <c r="B2379" s="61">
        <v>46266</v>
      </c>
      <c r="E2379" t="s">
        <v>355</v>
      </c>
      <c r="F2379" t="s">
        <v>351</v>
      </c>
      <c r="G2379" t="s">
        <v>354</v>
      </c>
      <c r="H2379" t="s">
        <v>686</v>
      </c>
      <c r="I2379">
        <v>800528</v>
      </c>
      <c r="J2379" t="s">
        <v>2281</v>
      </c>
      <c r="K2379" t="s">
        <v>3988</v>
      </c>
      <c r="L2379" t="s">
        <v>3989</v>
      </c>
      <c r="N2379">
        <v>2135298</v>
      </c>
      <c r="O2379" t="s">
        <v>3991</v>
      </c>
      <c r="S2379" s="34" t="s">
        <v>6859</v>
      </c>
    </row>
    <row r="2380" spans="1:19" ht="243" x14ac:dyDescent="0.15">
      <c r="A2380" t="s">
        <v>3051</v>
      </c>
      <c r="B2380" s="61">
        <v>46266</v>
      </c>
      <c r="E2380" t="s">
        <v>355</v>
      </c>
      <c r="F2380" t="s">
        <v>351</v>
      </c>
      <c r="G2380" t="s">
        <v>354</v>
      </c>
      <c r="H2380" t="s">
        <v>686</v>
      </c>
      <c r="I2380">
        <v>800528</v>
      </c>
      <c r="J2380" t="s">
        <v>2281</v>
      </c>
      <c r="K2380" t="s">
        <v>3988</v>
      </c>
      <c r="L2380" t="s">
        <v>3989</v>
      </c>
      <c r="N2380">
        <v>2136538</v>
      </c>
      <c r="O2380" t="s">
        <v>3991</v>
      </c>
      <c r="S2380" s="34" t="s">
        <v>6860</v>
      </c>
    </row>
    <row r="2381" spans="1:19" ht="256.5" x14ac:dyDescent="0.15">
      <c r="A2381" t="s">
        <v>3051</v>
      </c>
      <c r="B2381" s="61">
        <v>46266</v>
      </c>
      <c r="E2381" t="s">
        <v>355</v>
      </c>
      <c r="F2381" t="s">
        <v>351</v>
      </c>
      <c r="G2381" t="s">
        <v>354</v>
      </c>
      <c r="H2381" t="s">
        <v>353</v>
      </c>
      <c r="I2381">
        <v>801404</v>
      </c>
      <c r="J2381" t="s">
        <v>3053</v>
      </c>
      <c r="K2381" t="s">
        <v>403</v>
      </c>
      <c r="L2381" t="s">
        <v>2041</v>
      </c>
      <c r="N2381" t="s">
        <v>6861</v>
      </c>
      <c r="O2381" t="s">
        <v>3055</v>
      </c>
      <c r="S2381" s="34" t="s">
        <v>6862</v>
      </c>
    </row>
    <row r="2382" spans="1:19" ht="409.5" x14ac:dyDescent="0.15">
      <c r="A2382" t="s">
        <v>3051</v>
      </c>
      <c r="B2382" s="61">
        <v>46266</v>
      </c>
      <c r="E2382" t="s">
        <v>355</v>
      </c>
      <c r="F2382" t="s">
        <v>351</v>
      </c>
      <c r="G2382" t="s">
        <v>354</v>
      </c>
      <c r="H2382" t="s">
        <v>365</v>
      </c>
      <c r="I2382">
        <v>801404</v>
      </c>
      <c r="J2382" t="s">
        <v>3053</v>
      </c>
      <c r="K2382" t="s">
        <v>403</v>
      </c>
      <c r="L2382" t="s">
        <v>2041</v>
      </c>
      <c r="N2382" t="s">
        <v>6863</v>
      </c>
      <c r="O2382" t="s">
        <v>3055</v>
      </c>
      <c r="S2382" s="34" t="s">
        <v>6864</v>
      </c>
    </row>
    <row r="2383" spans="1:19" ht="283.5" x14ac:dyDescent="0.15">
      <c r="A2383" t="s">
        <v>3051</v>
      </c>
      <c r="B2383" s="61">
        <v>46266</v>
      </c>
      <c r="E2383" t="s">
        <v>355</v>
      </c>
      <c r="F2383" t="s">
        <v>351</v>
      </c>
      <c r="G2383" t="s">
        <v>354</v>
      </c>
      <c r="H2383" t="s">
        <v>686</v>
      </c>
      <c r="I2383">
        <v>801404</v>
      </c>
      <c r="J2383" t="s">
        <v>3053</v>
      </c>
      <c r="K2383" t="s">
        <v>403</v>
      </c>
      <c r="L2383" t="s">
        <v>2041</v>
      </c>
      <c r="N2383">
        <v>2147441</v>
      </c>
      <c r="O2383" t="s">
        <v>3055</v>
      </c>
      <c r="S2383" s="34" t="s">
        <v>6865</v>
      </c>
    </row>
    <row r="2384" spans="1:19" ht="409.5" x14ac:dyDescent="0.15">
      <c r="A2384" t="s">
        <v>3051</v>
      </c>
      <c r="B2384" s="61">
        <v>46266</v>
      </c>
      <c r="E2384" t="s">
        <v>355</v>
      </c>
      <c r="F2384" t="s">
        <v>351</v>
      </c>
      <c r="G2384" t="s">
        <v>352</v>
      </c>
      <c r="H2384" t="s">
        <v>310</v>
      </c>
      <c r="I2384">
        <v>900054</v>
      </c>
      <c r="J2384" t="s">
        <v>751</v>
      </c>
      <c r="K2384" t="s">
        <v>6866</v>
      </c>
      <c r="L2384" t="s">
        <v>6867</v>
      </c>
      <c r="N2384" t="s">
        <v>6868</v>
      </c>
      <c r="O2384" t="s">
        <v>6869</v>
      </c>
      <c r="R2384" t="s">
        <v>3958</v>
      </c>
      <c r="S2384" s="34" t="s">
        <v>6870</v>
      </c>
    </row>
    <row r="2385" spans="1:19" ht="409.5" x14ac:dyDescent="0.15">
      <c r="A2385" t="s">
        <v>3051</v>
      </c>
      <c r="B2385" s="61">
        <v>46266</v>
      </c>
      <c r="E2385" t="s">
        <v>355</v>
      </c>
      <c r="F2385" t="s">
        <v>351</v>
      </c>
      <c r="G2385" t="s">
        <v>352</v>
      </c>
      <c r="H2385" t="s">
        <v>353</v>
      </c>
      <c r="I2385">
        <v>900912</v>
      </c>
      <c r="J2385" t="s">
        <v>1720</v>
      </c>
      <c r="K2385" t="s">
        <v>6871</v>
      </c>
      <c r="L2385" t="s">
        <v>413</v>
      </c>
      <c r="N2385" t="s">
        <v>6872</v>
      </c>
      <c r="O2385" t="s">
        <v>6873</v>
      </c>
      <c r="R2385" t="s">
        <v>3985</v>
      </c>
      <c r="S2385" s="34" t="s">
        <v>6874</v>
      </c>
    </row>
    <row r="2386" spans="1:19" ht="337.5" x14ac:dyDescent="0.15">
      <c r="A2386" t="s">
        <v>3051</v>
      </c>
      <c r="B2386" s="61">
        <v>46266</v>
      </c>
      <c r="E2386" t="s">
        <v>355</v>
      </c>
      <c r="F2386" t="s">
        <v>351</v>
      </c>
      <c r="G2386" t="s">
        <v>354</v>
      </c>
      <c r="H2386" t="s">
        <v>353</v>
      </c>
      <c r="I2386">
        <v>900977</v>
      </c>
      <c r="J2386" t="s">
        <v>3079</v>
      </c>
      <c r="K2386" t="s">
        <v>3080</v>
      </c>
      <c r="L2386" t="s">
        <v>3081</v>
      </c>
      <c r="N2386" t="s">
        <v>3082</v>
      </c>
      <c r="O2386" t="s">
        <v>3083</v>
      </c>
      <c r="S2386" s="34" t="s">
        <v>6875</v>
      </c>
    </row>
    <row r="2387" spans="1:19" ht="409.5" x14ac:dyDescent="0.15">
      <c r="A2387" t="s">
        <v>3051</v>
      </c>
      <c r="B2387" s="61">
        <v>46266</v>
      </c>
      <c r="E2387" t="s">
        <v>355</v>
      </c>
      <c r="F2387" t="s">
        <v>351</v>
      </c>
      <c r="G2387" t="s">
        <v>354</v>
      </c>
      <c r="H2387" t="s">
        <v>353</v>
      </c>
      <c r="I2387">
        <v>900995</v>
      </c>
      <c r="J2387" t="s">
        <v>3944</v>
      </c>
      <c r="K2387" t="s">
        <v>3052</v>
      </c>
      <c r="L2387" t="s">
        <v>413</v>
      </c>
      <c r="N2387" t="s">
        <v>6876</v>
      </c>
      <c r="O2387" t="s">
        <v>3946</v>
      </c>
      <c r="S2387" s="34" t="s">
        <v>6877</v>
      </c>
    </row>
    <row r="2388" spans="1:19" ht="310.5" x14ac:dyDescent="0.15">
      <c r="A2388" t="s">
        <v>3051</v>
      </c>
      <c r="B2388" s="61">
        <v>46296</v>
      </c>
      <c r="E2388" t="s">
        <v>355</v>
      </c>
      <c r="F2388" t="s">
        <v>351</v>
      </c>
      <c r="G2388" t="s">
        <v>354</v>
      </c>
      <c r="H2388" t="s">
        <v>3913</v>
      </c>
      <c r="I2388">
        <v>800079</v>
      </c>
      <c r="J2388" t="s">
        <v>6878</v>
      </c>
      <c r="K2388" t="s">
        <v>1251</v>
      </c>
      <c r="L2388" t="s">
        <v>6879</v>
      </c>
      <c r="N2388" t="s">
        <v>6880</v>
      </c>
      <c r="O2388" t="s">
        <v>6881</v>
      </c>
      <c r="S2388" s="34" t="s">
        <v>6882</v>
      </c>
    </row>
    <row r="2389" spans="1:19" ht="409.5" x14ac:dyDescent="0.15">
      <c r="A2389" t="s">
        <v>3051</v>
      </c>
      <c r="B2389" s="61">
        <v>46327</v>
      </c>
      <c r="E2389" t="s">
        <v>355</v>
      </c>
      <c r="F2389" t="s">
        <v>351</v>
      </c>
      <c r="G2389" t="s">
        <v>354</v>
      </c>
      <c r="H2389" t="s">
        <v>365</v>
      </c>
      <c r="I2389">
        <v>801280</v>
      </c>
      <c r="J2389" t="s">
        <v>6883</v>
      </c>
      <c r="K2389" t="s">
        <v>6884</v>
      </c>
      <c r="L2389" t="s">
        <v>6885</v>
      </c>
      <c r="N2389" t="s">
        <v>6886</v>
      </c>
      <c r="O2389" t="s">
        <v>6887</v>
      </c>
      <c r="R2389" t="s">
        <v>3987</v>
      </c>
      <c r="S2389" s="34" t="s">
        <v>6888</v>
      </c>
    </row>
    <row r="2390" spans="1:19" ht="229.5" x14ac:dyDescent="0.15">
      <c r="A2390" t="s">
        <v>3051</v>
      </c>
      <c r="B2390" s="61">
        <v>46357</v>
      </c>
      <c r="E2390" t="s">
        <v>355</v>
      </c>
      <c r="F2390" t="s">
        <v>351</v>
      </c>
      <c r="G2390" t="s">
        <v>354</v>
      </c>
      <c r="H2390" t="s">
        <v>365</v>
      </c>
      <c r="I2390">
        <v>900799</v>
      </c>
      <c r="J2390" t="s">
        <v>3070</v>
      </c>
      <c r="K2390" t="s">
        <v>3071</v>
      </c>
      <c r="L2390" t="s">
        <v>390</v>
      </c>
      <c r="N2390" t="s">
        <v>3072</v>
      </c>
      <c r="O2390" t="s">
        <v>3073</v>
      </c>
      <c r="R2390" t="s">
        <v>3987</v>
      </c>
      <c r="S2390" s="34" t="s">
        <v>6889</v>
      </c>
    </row>
    <row r="2391" spans="1:19" ht="409.5" x14ac:dyDescent="0.15">
      <c r="A2391" t="s">
        <v>3089</v>
      </c>
      <c r="B2391" s="61">
        <v>46266</v>
      </c>
      <c r="E2391" t="s">
        <v>355</v>
      </c>
      <c r="F2391" t="s">
        <v>351</v>
      </c>
      <c r="G2391" t="s">
        <v>354</v>
      </c>
      <c r="H2391" t="s">
        <v>365</v>
      </c>
      <c r="I2391">
        <v>900784</v>
      </c>
      <c r="J2391" t="s">
        <v>3145</v>
      </c>
      <c r="K2391" t="s">
        <v>3146</v>
      </c>
      <c r="L2391" t="s">
        <v>4546</v>
      </c>
      <c r="N2391" t="s">
        <v>3152</v>
      </c>
      <c r="O2391" t="s">
        <v>3149</v>
      </c>
      <c r="S2391" s="34" t="s">
        <v>6890</v>
      </c>
    </row>
    <row r="2392" spans="1:19" ht="409.5" x14ac:dyDescent="0.15">
      <c r="A2392" t="s">
        <v>3089</v>
      </c>
      <c r="B2392" s="61">
        <v>46296</v>
      </c>
      <c r="E2392" t="s">
        <v>355</v>
      </c>
      <c r="F2392" t="s">
        <v>351</v>
      </c>
      <c r="G2392" t="s">
        <v>352</v>
      </c>
      <c r="H2392" t="s">
        <v>365</v>
      </c>
      <c r="I2392">
        <v>900681</v>
      </c>
      <c r="J2392" t="s">
        <v>6891</v>
      </c>
      <c r="L2392" t="s">
        <v>6892</v>
      </c>
      <c r="N2392" t="s">
        <v>6893</v>
      </c>
      <c r="O2392" t="s">
        <v>6894</v>
      </c>
      <c r="R2392" t="s">
        <v>3985</v>
      </c>
      <c r="S2392" s="34" t="s">
        <v>6895</v>
      </c>
    </row>
    <row r="2393" spans="1:19" ht="409.5" x14ac:dyDescent="0.15">
      <c r="A2393" t="s">
        <v>3089</v>
      </c>
      <c r="B2393" s="61">
        <v>46296</v>
      </c>
      <c r="E2393" t="s">
        <v>355</v>
      </c>
      <c r="F2393" t="s">
        <v>351</v>
      </c>
      <c r="G2393" t="s">
        <v>354</v>
      </c>
      <c r="H2393" t="s">
        <v>353</v>
      </c>
      <c r="I2393">
        <v>900989</v>
      </c>
      <c r="J2393" t="s">
        <v>3098</v>
      </c>
      <c r="K2393" t="s">
        <v>3092</v>
      </c>
      <c r="L2393" t="s">
        <v>3099</v>
      </c>
      <c r="N2393" t="s">
        <v>6896</v>
      </c>
      <c r="O2393" t="s">
        <v>3101</v>
      </c>
      <c r="R2393" t="s">
        <v>3987</v>
      </c>
      <c r="S2393" s="34" t="s">
        <v>6897</v>
      </c>
    </row>
    <row r="2394" spans="1:19" ht="324" x14ac:dyDescent="0.15">
      <c r="A2394" t="s">
        <v>3089</v>
      </c>
      <c r="B2394" s="61">
        <v>46296</v>
      </c>
      <c r="E2394" t="s">
        <v>355</v>
      </c>
      <c r="F2394" t="s">
        <v>351</v>
      </c>
      <c r="G2394" t="s">
        <v>354</v>
      </c>
      <c r="H2394" t="s">
        <v>686</v>
      </c>
      <c r="I2394">
        <v>900989</v>
      </c>
      <c r="J2394" t="s">
        <v>3098</v>
      </c>
      <c r="K2394" t="s">
        <v>3092</v>
      </c>
      <c r="L2394" t="s">
        <v>3099</v>
      </c>
      <c r="N2394">
        <v>2156146</v>
      </c>
      <c r="O2394" t="s">
        <v>3101</v>
      </c>
      <c r="R2394" t="s">
        <v>3987</v>
      </c>
      <c r="S2394" s="34" t="s">
        <v>6898</v>
      </c>
    </row>
    <row r="2395" spans="1:19" ht="409.5" x14ac:dyDescent="0.15">
      <c r="A2395" t="s">
        <v>3089</v>
      </c>
      <c r="B2395" s="61">
        <v>46327</v>
      </c>
      <c r="E2395" t="s">
        <v>355</v>
      </c>
      <c r="F2395" t="s">
        <v>351</v>
      </c>
      <c r="G2395" t="s">
        <v>354</v>
      </c>
      <c r="H2395" t="s">
        <v>353</v>
      </c>
      <c r="I2395">
        <v>900260</v>
      </c>
      <c r="J2395" t="s">
        <v>873</v>
      </c>
      <c r="K2395" t="s">
        <v>3129</v>
      </c>
      <c r="L2395" t="s">
        <v>3130</v>
      </c>
      <c r="N2395" t="s">
        <v>3131</v>
      </c>
      <c r="O2395" t="s">
        <v>3132</v>
      </c>
      <c r="R2395" t="s">
        <v>3986</v>
      </c>
      <c r="S2395" s="34" t="s">
        <v>6899</v>
      </c>
    </row>
    <row r="2396" spans="1:19" ht="229.5" x14ac:dyDescent="0.15">
      <c r="A2396" t="s">
        <v>3089</v>
      </c>
      <c r="B2396" s="61">
        <v>46327</v>
      </c>
      <c r="E2396" t="s">
        <v>355</v>
      </c>
      <c r="F2396" t="s">
        <v>351</v>
      </c>
      <c r="G2396" t="s">
        <v>354</v>
      </c>
      <c r="H2396" t="s">
        <v>353</v>
      </c>
      <c r="I2396">
        <v>900854</v>
      </c>
      <c r="J2396" t="s">
        <v>3091</v>
      </c>
      <c r="K2396" t="s">
        <v>3092</v>
      </c>
      <c r="L2396" t="s">
        <v>4676</v>
      </c>
      <c r="N2396" t="s">
        <v>3138</v>
      </c>
      <c r="O2396" t="s">
        <v>3093</v>
      </c>
      <c r="R2396" t="s">
        <v>4678</v>
      </c>
      <c r="S2396" s="34" t="s">
        <v>6900</v>
      </c>
    </row>
    <row r="2397" spans="1:19" ht="189" x14ac:dyDescent="0.15">
      <c r="A2397" t="s">
        <v>3089</v>
      </c>
      <c r="B2397" s="61">
        <v>46357</v>
      </c>
      <c r="E2397" t="s">
        <v>355</v>
      </c>
      <c r="F2397" t="s">
        <v>351</v>
      </c>
      <c r="G2397" t="s">
        <v>354</v>
      </c>
      <c r="H2397" t="s">
        <v>686</v>
      </c>
      <c r="I2397">
        <v>900854</v>
      </c>
      <c r="J2397" t="s">
        <v>3091</v>
      </c>
      <c r="K2397" t="s">
        <v>3092</v>
      </c>
      <c r="L2397" t="s">
        <v>4676</v>
      </c>
      <c r="N2397">
        <v>2144063</v>
      </c>
      <c r="O2397" t="s">
        <v>3093</v>
      </c>
      <c r="R2397" t="s">
        <v>4677</v>
      </c>
      <c r="S2397" s="34" t="s">
        <v>6901</v>
      </c>
    </row>
    <row r="2398" spans="1:19" ht="297" x14ac:dyDescent="0.15">
      <c r="A2398" t="s">
        <v>3089</v>
      </c>
      <c r="B2398" s="61">
        <v>46357</v>
      </c>
      <c r="E2398" t="s">
        <v>355</v>
      </c>
      <c r="F2398" t="s">
        <v>351</v>
      </c>
      <c r="G2398" t="s">
        <v>354</v>
      </c>
      <c r="H2398" t="s">
        <v>686</v>
      </c>
      <c r="I2398">
        <v>900854</v>
      </c>
      <c r="J2398" t="s">
        <v>3091</v>
      </c>
      <c r="K2398" t="s">
        <v>3092</v>
      </c>
      <c r="L2398" t="s">
        <v>4676</v>
      </c>
      <c r="N2398">
        <v>2144103</v>
      </c>
      <c r="O2398" t="s">
        <v>3093</v>
      </c>
      <c r="R2398" t="s">
        <v>4678</v>
      </c>
      <c r="S2398" s="34" t="s">
        <v>6902</v>
      </c>
    </row>
    <row r="2399" spans="1:19" ht="216" x14ac:dyDescent="0.15">
      <c r="A2399" t="s">
        <v>3089</v>
      </c>
      <c r="B2399" s="61">
        <v>46357</v>
      </c>
      <c r="E2399" t="s">
        <v>355</v>
      </c>
      <c r="F2399" t="s">
        <v>351</v>
      </c>
      <c r="G2399" t="s">
        <v>354</v>
      </c>
      <c r="H2399" t="s">
        <v>353</v>
      </c>
      <c r="I2399">
        <v>900980</v>
      </c>
      <c r="J2399" t="s">
        <v>2683</v>
      </c>
      <c r="K2399" t="s">
        <v>3154</v>
      </c>
      <c r="L2399" t="s">
        <v>3155</v>
      </c>
      <c r="N2399" t="s">
        <v>3156</v>
      </c>
      <c r="O2399" t="s">
        <v>3157</v>
      </c>
      <c r="R2399" t="s">
        <v>3987</v>
      </c>
      <c r="S2399" s="34" t="s">
        <v>6903</v>
      </c>
    </row>
    <row r="2400" spans="1:19" ht="409.5" x14ac:dyDescent="0.15">
      <c r="A2400" t="s">
        <v>3163</v>
      </c>
      <c r="B2400" s="61">
        <v>46266</v>
      </c>
      <c r="E2400" t="s">
        <v>355</v>
      </c>
      <c r="F2400" t="s">
        <v>351</v>
      </c>
      <c r="G2400" t="s">
        <v>354</v>
      </c>
      <c r="H2400" t="s">
        <v>353</v>
      </c>
      <c r="I2400">
        <v>2900055</v>
      </c>
      <c r="J2400" t="s">
        <v>6904</v>
      </c>
      <c r="K2400" t="s">
        <v>6905</v>
      </c>
      <c r="L2400" t="s">
        <v>833</v>
      </c>
      <c r="N2400" t="s">
        <v>6906</v>
      </c>
      <c r="O2400" t="s">
        <v>6907</v>
      </c>
      <c r="S2400" s="34" t="s">
        <v>6908</v>
      </c>
    </row>
    <row r="2401" spans="1:19" ht="229.5" x14ac:dyDescent="0.15">
      <c r="A2401" t="s">
        <v>3163</v>
      </c>
      <c r="B2401" s="61">
        <v>46266</v>
      </c>
      <c r="E2401" t="s">
        <v>355</v>
      </c>
      <c r="F2401" t="s">
        <v>351</v>
      </c>
      <c r="G2401" t="s">
        <v>354</v>
      </c>
      <c r="H2401" t="s">
        <v>3913</v>
      </c>
      <c r="I2401">
        <v>2900055</v>
      </c>
      <c r="J2401" t="s">
        <v>6904</v>
      </c>
      <c r="K2401" t="s">
        <v>6905</v>
      </c>
      <c r="L2401" t="s">
        <v>833</v>
      </c>
      <c r="N2401" t="s">
        <v>6909</v>
      </c>
      <c r="O2401" t="s">
        <v>6907</v>
      </c>
      <c r="S2401" s="34" t="s">
        <v>6910</v>
      </c>
    </row>
    <row r="2402" spans="1:19" ht="324" x14ac:dyDescent="0.15">
      <c r="A2402" t="s">
        <v>3163</v>
      </c>
      <c r="B2402" s="61">
        <v>46266</v>
      </c>
      <c r="E2402" t="s">
        <v>355</v>
      </c>
      <c r="F2402" t="s">
        <v>351</v>
      </c>
      <c r="G2402" t="s">
        <v>354</v>
      </c>
      <c r="H2402" t="s">
        <v>686</v>
      </c>
      <c r="I2402">
        <v>2900157</v>
      </c>
      <c r="J2402" t="s">
        <v>3164</v>
      </c>
      <c r="L2402" t="s">
        <v>2359</v>
      </c>
      <c r="N2402">
        <v>2062300</v>
      </c>
      <c r="O2402" t="s">
        <v>6911</v>
      </c>
      <c r="R2402" t="s">
        <v>5399</v>
      </c>
      <c r="S2402" s="34" t="s">
        <v>6912</v>
      </c>
    </row>
    <row r="2403" spans="1:19" ht="229.5" x14ac:dyDescent="0.15">
      <c r="A2403" t="s">
        <v>3163</v>
      </c>
      <c r="B2403" s="61">
        <v>46296</v>
      </c>
      <c r="E2403" t="s">
        <v>355</v>
      </c>
      <c r="F2403" t="s">
        <v>351</v>
      </c>
      <c r="G2403" t="s">
        <v>352</v>
      </c>
      <c r="H2403" t="s">
        <v>365</v>
      </c>
      <c r="I2403">
        <v>2900011</v>
      </c>
      <c r="J2403" t="s">
        <v>3102</v>
      </c>
      <c r="K2403" t="s">
        <v>6913</v>
      </c>
      <c r="L2403" t="s">
        <v>6914</v>
      </c>
      <c r="N2403" t="s">
        <v>6915</v>
      </c>
      <c r="O2403" t="s">
        <v>6916</v>
      </c>
      <c r="R2403" t="s">
        <v>3985</v>
      </c>
      <c r="S2403" s="34" t="s">
        <v>6917</v>
      </c>
    </row>
    <row r="2404" spans="1:19" ht="378" x14ac:dyDescent="0.15">
      <c r="A2404" t="s">
        <v>3163</v>
      </c>
      <c r="B2404" s="61">
        <v>46296</v>
      </c>
      <c r="E2404" t="s">
        <v>355</v>
      </c>
      <c r="F2404" t="s">
        <v>351</v>
      </c>
      <c r="G2404" t="s">
        <v>352</v>
      </c>
      <c r="H2404" t="s">
        <v>365</v>
      </c>
      <c r="I2404">
        <v>2900051</v>
      </c>
      <c r="J2404" t="s">
        <v>3102</v>
      </c>
      <c r="K2404" t="s">
        <v>6913</v>
      </c>
      <c r="L2404" t="s">
        <v>6918</v>
      </c>
      <c r="N2404" t="s">
        <v>6919</v>
      </c>
      <c r="O2404" t="s">
        <v>6920</v>
      </c>
      <c r="R2404" t="s">
        <v>3985</v>
      </c>
      <c r="S2404" s="34" t="s">
        <v>6921</v>
      </c>
    </row>
    <row r="2405" spans="1:19" ht="409.5" x14ac:dyDescent="0.15">
      <c r="A2405" t="s">
        <v>3163</v>
      </c>
      <c r="B2405" s="61">
        <v>46296</v>
      </c>
      <c r="E2405" t="s">
        <v>355</v>
      </c>
      <c r="F2405" t="s">
        <v>351</v>
      </c>
      <c r="G2405" t="s">
        <v>354</v>
      </c>
      <c r="H2405" t="s">
        <v>353</v>
      </c>
      <c r="I2405">
        <v>2900300</v>
      </c>
      <c r="J2405" t="s">
        <v>3164</v>
      </c>
      <c r="L2405" t="s">
        <v>3165</v>
      </c>
      <c r="N2405" t="s">
        <v>3166</v>
      </c>
      <c r="O2405" t="s">
        <v>3167</v>
      </c>
      <c r="S2405" s="34" t="s">
        <v>6922</v>
      </c>
    </row>
    <row r="2406" spans="1:19" ht="229.5" x14ac:dyDescent="0.15">
      <c r="A2406" t="s">
        <v>3163</v>
      </c>
      <c r="B2406" s="61">
        <v>46357</v>
      </c>
      <c r="E2406" t="s">
        <v>355</v>
      </c>
      <c r="F2406" t="s">
        <v>351</v>
      </c>
      <c r="G2406" t="s">
        <v>352</v>
      </c>
      <c r="H2406" t="s">
        <v>365</v>
      </c>
      <c r="I2406">
        <v>2900195</v>
      </c>
      <c r="J2406" t="s">
        <v>6923</v>
      </c>
      <c r="K2406" t="s">
        <v>6924</v>
      </c>
      <c r="L2406" t="s">
        <v>1827</v>
      </c>
      <c r="N2406" t="s">
        <v>6925</v>
      </c>
      <c r="O2406" t="s">
        <v>6926</v>
      </c>
      <c r="R2406" t="s">
        <v>3985</v>
      </c>
      <c r="S2406" s="34" t="s">
        <v>6927</v>
      </c>
    </row>
    <row r="2407" spans="1:19" ht="409.5" x14ac:dyDescent="0.15">
      <c r="A2407" t="s">
        <v>3168</v>
      </c>
      <c r="B2407" s="61">
        <v>46235</v>
      </c>
      <c r="E2407" t="s">
        <v>355</v>
      </c>
      <c r="F2407" t="s">
        <v>351</v>
      </c>
      <c r="G2407" t="s">
        <v>354</v>
      </c>
      <c r="H2407" t="s">
        <v>310</v>
      </c>
      <c r="I2407">
        <v>4600201</v>
      </c>
      <c r="J2407" t="s">
        <v>2250</v>
      </c>
      <c r="K2407" t="s">
        <v>6928</v>
      </c>
      <c r="L2407" t="s">
        <v>6929</v>
      </c>
      <c r="N2407" t="s">
        <v>6930</v>
      </c>
      <c r="O2407" t="s">
        <v>6931</v>
      </c>
      <c r="S2407" s="34" t="s">
        <v>6932</v>
      </c>
    </row>
    <row r="2408" spans="1:19" ht="175.5" x14ac:dyDescent="0.15">
      <c r="A2408" t="s">
        <v>3168</v>
      </c>
      <c r="B2408" s="61">
        <v>46235</v>
      </c>
      <c r="E2408" t="s">
        <v>355</v>
      </c>
      <c r="F2408" t="s">
        <v>351</v>
      </c>
      <c r="G2408" t="s">
        <v>354</v>
      </c>
      <c r="H2408" t="s">
        <v>353</v>
      </c>
      <c r="I2408">
        <v>4600201</v>
      </c>
      <c r="J2408" t="s">
        <v>2250</v>
      </c>
      <c r="K2408" t="s">
        <v>6928</v>
      </c>
      <c r="L2408" t="s">
        <v>6929</v>
      </c>
      <c r="N2408" t="s">
        <v>6933</v>
      </c>
      <c r="O2408" t="s">
        <v>6931</v>
      </c>
      <c r="S2408" s="34" t="s">
        <v>6934</v>
      </c>
    </row>
    <row r="2409" spans="1:19" ht="409.5" x14ac:dyDescent="0.15">
      <c r="A2409" t="s">
        <v>3168</v>
      </c>
      <c r="B2409" s="61">
        <v>46235</v>
      </c>
      <c r="E2409" t="s">
        <v>355</v>
      </c>
      <c r="F2409" t="s">
        <v>351</v>
      </c>
      <c r="G2409" t="s">
        <v>354</v>
      </c>
      <c r="H2409" t="s">
        <v>686</v>
      </c>
      <c r="I2409">
        <v>4600201</v>
      </c>
      <c r="J2409" t="s">
        <v>2250</v>
      </c>
      <c r="K2409" t="s">
        <v>6928</v>
      </c>
      <c r="L2409" t="s">
        <v>6929</v>
      </c>
      <c r="N2409">
        <v>2158591</v>
      </c>
      <c r="O2409" t="s">
        <v>6931</v>
      </c>
      <c r="S2409" s="34" t="s">
        <v>6935</v>
      </c>
    </row>
    <row r="2410" spans="1:19" ht="337.5" x14ac:dyDescent="0.15">
      <c r="A2410" t="s">
        <v>3168</v>
      </c>
      <c r="B2410" s="61">
        <v>46296</v>
      </c>
      <c r="E2410" t="s">
        <v>355</v>
      </c>
      <c r="F2410" t="s">
        <v>351</v>
      </c>
      <c r="G2410" t="s">
        <v>354</v>
      </c>
      <c r="H2410" t="s">
        <v>353</v>
      </c>
      <c r="I2410">
        <v>4700100</v>
      </c>
      <c r="J2410" t="s">
        <v>663</v>
      </c>
      <c r="K2410" t="s">
        <v>3173</v>
      </c>
      <c r="L2410" t="s">
        <v>404</v>
      </c>
      <c r="N2410" t="s">
        <v>3174</v>
      </c>
      <c r="O2410" t="s">
        <v>3175</v>
      </c>
      <c r="S2410" s="34" t="s">
        <v>6936</v>
      </c>
    </row>
    <row r="2411" spans="1:19" ht="378" x14ac:dyDescent="0.15">
      <c r="A2411" t="s">
        <v>3168</v>
      </c>
      <c r="B2411" s="61">
        <v>46327</v>
      </c>
      <c r="E2411" t="s">
        <v>355</v>
      </c>
      <c r="F2411" t="s">
        <v>351</v>
      </c>
      <c r="G2411" t="s">
        <v>352</v>
      </c>
      <c r="H2411" t="s">
        <v>365</v>
      </c>
      <c r="I2411">
        <v>4600138</v>
      </c>
      <c r="J2411" t="s">
        <v>3169</v>
      </c>
      <c r="L2411" t="s">
        <v>698</v>
      </c>
      <c r="N2411" t="s">
        <v>3170</v>
      </c>
      <c r="O2411" t="s">
        <v>3171</v>
      </c>
      <c r="R2411" t="s">
        <v>3985</v>
      </c>
      <c r="S2411" s="34" t="s">
        <v>6937</v>
      </c>
    </row>
    <row r="2412" spans="1:19" ht="364.5" x14ac:dyDescent="0.15">
      <c r="A2412" t="s">
        <v>3168</v>
      </c>
      <c r="B2412" s="61">
        <v>46327</v>
      </c>
      <c r="E2412" t="s">
        <v>355</v>
      </c>
      <c r="F2412" t="s">
        <v>351</v>
      </c>
      <c r="G2412" t="s">
        <v>354</v>
      </c>
      <c r="H2412" t="s">
        <v>353</v>
      </c>
      <c r="I2412">
        <v>4700073</v>
      </c>
      <c r="J2412" t="s">
        <v>3997</v>
      </c>
      <c r="K2412" t="s">
        <v>6938</v>
      </c>
      <c r="L2412" t="s">
        <v>1276</v>
      </c>
      <c r="N2412" t="s">
        <v>6939</v>
      </c>
      <c r="O2412" t="s">
        <v>6940</v>
      </c>
      <c r="S2412" s="34" t="s">
        <v>6941</v>
      </c>
    </row>
    <row r="2413" spans="1:19" ht="391.5" x14ac:dyDescent="0.15">
      <c r="A2413" t="s">
        <v>3177</v>
      </c>
      <c r="B2413" s="61">
        <v>46235</v>
      </c>
      <c r="E2413" t="s">
        <v>355</v>
      </c>
      <c r="F2413" t="s">
        <v>351</v>
      </c>
      <c r="G2413" t="s">
        <v>354</v>
      </c>
      <c r="H2413" t="s">
        <v>353</v>
      </c>
      <c r="I2413">
        <v>2702053</v>
      </c>
      <c r="J2413" t="s">
        <v>427</v>
      </c>
      <c r="K2413" t="s">
        <v>1350</v>
      </c>
      <c r="L2413" t="s">
        <v>698</v>
      </c>
      <c r="N2413" t="s">
        <v>6942</v>
      </c>
      <c r="O2413" t="s">
        <v>3209</v>
      </c>
      <c r="R2413" t="s">
        <v>4052</v>
      </c>
      <c r="S2413" s="34" t="s">
        <v>6943</v>
      </c>
    </row>
    <row r="2414" spans="1:19" ht="202.5" x14ac:dyDescent="0.15">
      <c r="A2414" t="s">
        <v>3177</v>
      </c>
      <c r="B2414" s="61">
        <v>46235</v>
      </c>
      <c r="E2414" t="s">
        <v>355</v>
      </c>
      <c r="F2414" t="s">
        <v>351</v>
      </c>
      <c r="G2414" t="s">
        <v>354</v>
      </c>
      <c r="H2414" t="s">
        <v>3996</v>
      </c>
      <c r="I2414">
        <v>2702053</v>
      </c>
      <c r="J2414" t="s">
        <v>427</v>
      </c>
      <c r="K2414" t="s">
        <v>1350</v>
      </c>
      <c r="L2414" t="s">
        <v>698</v>
      </c>
      <c r="N2414">
        <v>6282</v>
      </c>
      <c r="O2414" t="s">
        <v>3209</v>
      </c>
      <c r="R2414" t="s">
        <v>4052</v>
      </c>
      <c r="S2414" s="34" t="s">
        <v>6944</v>
      </c>
    </row>
    <row r="2415" spans="1:19" ht="409.5" x14ac:dyDescent="0.15">
      <c r="A2415" t="s">
        <v>3177</v>
      </c>
      <c r="B2415" s="61">
        <v>46235</v>
      </c>
      <c r="E2415" t="s">
        <v>355</v>
      </c>
      <c r="F2415" t="s">
        <v>351</v>
      </c>
      <c r="G2415" t="s">
        <v>352</v>
      </c>
      <c r="H2415" t="s">
        <v>365</v>
      </c>
      <c r="I2415">
        <v>2702311</v>
      </c>
      <c r="J2415" t="s">
        <v>1004</v>
      </c>
      <c r="K2415" t="s">
        <v>6945</v>
      </c>
      <c r="L2415" t="s">
        <v>390</v>
      </c>
      <c r="N2415" t="s">
        <v>6946</v>
      </c>
      <c r="O2415" t="s">
        <v>6947</v>
      </c>
      <c r="R2415" t="s">
        <v>3985</v>
      </c>
      <c r="S2415" s="34" t="s">
        <v>6948</v>
      </c>
    </row>
    <row r="2416" spans="1:19" ht="202.5" x14ac:dyDescent="0.15">
      <c r="A2416" t="s">
        <v>3177</v>
      </c>
      <c r="B2416" s="61">
        <v>46235</v>
      </c>
      <c r="E2416" t="s">
        <v>355</v>
      </c>
      <c r="F2416" t="s">
        <v>351</v>
      </c>
      <c r="G2416" t="s">
        <v>354</v>
      </c>
      <c r="H2416" t="s">
        <v>365</v>
      </c>
      <c r="I2416">
        <v>3000187</v>
      </c>
      <c r="J2416" t="s">
        <v>3190</v>
      </c>
      <c r="K2416" t="s">
        <v>3198</v>
      </c>
      <c r="L2416" t="s">
        <v>3199</v>
      </c>
      <c r="N2416" t="s">
        <v>3200</v>
      </c>
      <c r="O2416" t="s">
        <v>3201</v>
      </c>
      <c r="R2416" t="s">
        <v>6949</v>
      </c>
      <c r="S2416" s="34" t="s">
        <v>6950</v>
      </c>
    </row>
    <row r="2417" spans="1:19" ht="337.5" x14ac:dyDescent="0.15">
      <c r="A2417" t="s">
        <v>3177</v>
      </c>
      <c r="B2417" s="61">
        <v>46235</v>
      </c>
      <c r="E2417" t="s">
        <v>355</v>
      </c>
      <c r="F2417" t="s">
        <v>351</v>
      </c>
      <c r="G2417" t="s">
        <v>354</v>
      </c>
      <c r="H2417" t="s">
        <v>353</v>
      </c>
      <c r="I2417">
        <v>3000187</v>
      </c>
      <c r="J2417" t="s">
        <v>3190</v>
      </c>
      <c r="K2417" t="s">
        <v>3198</v>
      </c>
      <c r="L2417" t="s">
        <v>3199</v>
      </c>
      <c r="N2417" t="s">
        <v>3202</v>
      </c>
      <c r="O2417" t="s">
        <v>3201</v>
      </c>
      <c r="R2417" t="s">
        <v>6949</v>
      </c>
      <c r="S2417" s="34" t="s">
        <v>6951</v>
      </c>
    </row>
    <row r="2418" spans="1:19" ht="409.5" x14ac:dyDescent="0.15">
      <c r="A2418" t="s">
        <v>3177</v>
      </c>
      <c r="B2418" s="61">
        <v>46266</v>
      </c>
      <c r="E2418" t="s">
        <v>355</v>
      </c>
      <c r="F2418" t="s">
        <v>351</v>
      </c>
      <c r="G2418" t="s">
        <v>354</v>
      </c>
      <c r="H2418" t="s">
        <v>353</v>
      </c>
      <c r="I2418">
        <v>2700569</v>
      </c>
      <c r="J2418" t="s">
        <v>3187</v>
      </c>
      <c r="K2418" t="s">
        <v>436</v>
      </c>
      <c r="L2418" t="s">
        <v>833</v>
      </c>
      <c r="N2418" t="s">
        <v>3188</v>
      </c>
      <c r="O2418" t="s">
        <v>3189</v>
      </c>
      <c r="R2418" t="s">
        <v>3987</v>
      </c>
      <c r="S2418" s="34" t="s">
        <v>6952</v>
      </c>
    </row>
    <row r="2419" spans="1:19" ht="409.5" x14ac:dyDescent="0.15">
      <c r="A2419" t="s">
        <v>3177</v>
      </c>
      <c r="B2419" s="61">
        <v>46266</v>
      </c>
      <c r="E2419" t="s">
        <v>355</v>
      </c>
      <c r="F2419" t="s">
        <v>351</v>
      </c>
      <c r="G2419" t="s">
        <v>354</v>
      </c>
      <c r="H2419" t="s">
        <v>686</v>
      </c>
      <c r="I2419">
        <v>2702037</v>
      </c>
      <c r="J2419" t="s">
        <v>1425</v>
      </c>
      <c r="K2419" t="s">
        <v>6953</v>
      </c>
      <c r="L2419" t="s">
        <v>1503</v>
      </c>
      <c r="N2419">
        <v>2152453</v>
      </c>
      <c r="O2419" t="s">
        <v>6954</v>
      </c>
      <c r="S2419" s="34" t="s">
        <v>6955</v>
      </c>
    </row>
    <row r="2420" spans="1:19" ht="409.5" x14ac:dyDescent="0.15">
      <c r="A2420" t="s">
        <v>3177</v>
      </c>
      <c r="B2420" s="61">
        <v>46266</v>
      </c>
      <c r="E2420" t="s">
        <v>355</v>
      </c>
      <c r="F2420" t="s">
        <v>351</v>
      </c>
      <c r="G2420" t="s">
        <v>354</v>
      </c>
      <c r="H2420" t="s">
        <v>353</v>
      </c>
      <c r="I2420">
        <v>3000042</v>
      </c>
      <c r="J2420" t="s">
        <v>3190</v>
      </c>
      <c r="K2420" t="s">
        <v>3191</v>
      </c>
      <c r="L2420" t="s">
        <v>833</v>
      </c>
      <c r="N2420" t="s">
        <v>6956</v>
      </c>
      <c r="O2420" t="s">
        <v>3193</v>
      </c>
      <c r="R2420" t="s">
        <v>4330</v>
      </c>
      <c r="S2420" s="34" t="s">
        <v>6957</v>
      </c>
    </row>
    <row r="2421" spans="1:19" ht="270" x14ac:dyDescent="0.15">
      <c r="A2421" t="s">
        <v>3177</v>
      </c>
      <c r="B2421" s="61">
        <v>46296</v>
      </c>
      <c r="E2421" t="s">
        <v>355</v>
      </c>
      <c r="F2421" t="s">
        <v>351</v>
      </c>
      <c r="G2421" t="s">
        <v>354</v>
      </c>
      <c r="H2421" t="s">
        <v>353</v>
      </c>
      <c r="I2421">
        <v>2702654</v>
      </c>
      <c r="J2421" t="s">
        <v>582</v>
      </c>
      <c r="K2421" t="s">
        <v>3194</v>
      </c>
      <c r="L2421" t="s">
        <v>3195</v>
      </c>
      <c r="N2421" t="s">
        <v>6958</v>
      </c>
      <c r="O2421" t="s">
        <v>3197</v>
      </c>
      <c r="R2421" t="s">
        <v>4012</v>
      </c>
      <c r="S2421" s="34" t="s">
        <v>6959</v>
      </c>
    </row>
    <row r="2422" spans="1:19" ht="409.5" x14ac:dyDescent="0.15">
      <c r="A2422" t="s">
        <v>3177</v>
      </c>
      <c r="B2422" s="61">
        <v>46296</v>
      </c>
      <c r="E2422" t="s">
        <v>355</v>
      </c>
      <c r="F2422" t="s">
        <v>351</v>
      </c>
      <c r="G2422" t="s">
        <v>354</v>
      </c>
      <c r="H2422" t="s">
        <v>365</v>
      </c>
      <c r="I2422">
        <v>2702701</v>
      </c>
      <c r="J2422" t="s">
        <v>3215</v>
      </c>
      <c r="K2422" t="s">
        <v>3216</v>
      </c>
      <c r="L2422" t="s">
        <v>3217</v>
      </c>
      <c r="N2422" t="s">
        <v>3218</v>
      </c>
      <c r="O2422" t="s">
        <v>3219</v>
      </c>
      <c r="R2422" t="s">
        <v>3987</v>
      </c>
      <c r="S2422" s="34" t="s">
        <v>6960</v>
      </c>
    </row>
    <row r="2423" spans="1:19" ht="409.5" x14ac:dyDescent="0.15">
      <c r="A2423" t="s">
        <v>3177</v>
      </c>
      <c r="B2423" s="61">
        <v>46296</v>
      </c>
      <c r="E2423" t="s">
        <v>355</v>
      </c>
      <c r="F2423" t="s">
        <v>351</v>
      </c>
      <c r="G2423" t="s">
        <v>354</v>
      </c>
      <c r="H2423" t="s">
        <v>310</v>
      </c>
      <c r="I2423">
        <v>2702855</v>
      </c>
      <c r="J2423" t="s">
        <v>1004</v>
      </c>
      <c r="K2423" t="s">
        <v>4229</v>
      </c>
      <c r="L2423" t="s">
        <v>4230</v>
      </c>
      <c r="N2423" t="s">
        <v>4231</v>
      </c>
      <c r="O2423" t="s">
        <v>4232</v>
      </c>
      <c r="S2423" s="34" t="s">
        <v>6961</v>
      </c>
    </row>
    <row r="2424" spans="1:19" ht="189" x14ac:dyDescent="0.15">
      <c r="A2424" t="s">
        <v>3177</v>
      </c>
      <c r="B2424" s="61">
        <v>46296</v>
      </c>
      <c r="E2424" t="s">
        <v>355</v>
      </c>
      <c r="F2424" t="s">
        <v>351</v>
      </c>
      <c r="G2424" t="s">
        <v>354</v>
      </c>
      <c r="H2424" t="s">
        <v>353</v>
      </c>
      <c r="I2424">
        <v>2702855</v>
      </c>
      <c r="J2424" t="s">
        <v>1004</v>
      </c>
      <c r="K2424" t="s">
        <v>4229</v>
      </c>
      <c r="L2424" t="s">
        <v>4230</v>
      </c>
      <c r="N2424" t="s">
        <v>6962</v>
      </c>
      <c r="O2424" t="s">
        <v>4232</v>
      </c>
      <c r="S2424" s="34" t="s">
        <v>6963</v>
      </c>
    </row>
    <row r="2425" spans="1:19" ht="409.5" x14ac:dyDescent="0.15">
      <c r="A2425" t="s">
        <v>3177</v>
      </c>
      <c r="B2425" s="61">
        <v>46327</v>
      </c>
      <c r="E2425" t="s">
        <v>355</v>
      </c>
      <c r="F2425" t="s">
        <v>351</v>
      </c>
      <c r="G2425" t="s">
        <v>354</v>
      </c>
      <c r="H2425" t="s">
        <v>686</v>
      </c>
      <c r="I2425">
        <v>2701290</v>
      </c>
      <c r="J2425" t="s">
        <v>3178</v>
      </c>
      <c r="K2425" t="s">
        <v>4334</v>
      </c>
      <c r="L2425" t="s">
        <v>4335</v>
      </c>
      <c r="N2425">
        <v>2051030</v>
      </c>
      <c r="O2425" t="s">
        <v>4336</v>
      </c>
      <c r="R2425" t="s">
        <v>4564</v>
      </c>
      <c r="S2425" s="34" t="s">
        <v>6964</v>
      </c>
    </row>
    <row r="2426" spans="1:19" ht="216" x14ac:dyDescent="0.15">
      <c r="A2426" t="s">
        <v>3177</v>
      </c>
      <c r="B2426" s="61">
        <v>46327</v>
      </c>
      <c r="E2426" t="s">
        <v>355</v>
      </c>
      <c r="F2426" t="s">
        <v>351</v>
      </c>
      <c r="G2426" t="s">
        <v>354</v>
      </c>
      <c r="H2426" t="s">
        <v>353</v>
      </c>
      <c r="I2426">
        <v>2702655</v>
      </c>
      <c r="J2426" t="s">
        <v>3203</v>
      </c>
      <c r="K2426" t="s">
        <v>1542</v>
      </c>
      <c r="L2426" t="s">
        <v>3204</v>
      </c>
      <c r="N2426" t="s">
        <v>3205</v>
      </c>
      <c r="O2426" t="s">
        <v>3206</v>
      </c>
      <c r="R2426" t="s">
        <v>3987</v>
      </c>
      <c r="S2426" s="34" t="s">
        <v>6965</v>
      </c>
    </row>
    <row r="2427" spans="1:19" ht="409.5" x14ac:dyDescent="0.15">
      <c r="A2427" t="s">
        <v>3177</v>
      </c>
      <c r="B2427" s="61">
        <v>46357</v>
      </c>
      <c r="E2427" t="s">
        <v>355</v>
      </c>
      <c r="F2427" t="s">
        <v>351</v>
      </c>
      <c r="G2427" t="s">
        <v>354</v>
      </c>
      <c r="H2427" t="s">
        <v>686</v>
      </c>
      <c r="I2427">
        <v>2702291</v>
      </c>
      <c r="J2427" t="s">
        <v>3178</v>
      </c>
      <c r="K2427" t="s">
        <v>3179</v>
      </c>
      <c r="L2427" t="s">
        <v>390</v>
      </c>
      <c r="N2427" t="s">
        <v>4160</v>
      </c>
      <c r="O2427" t="s">
        <v>3181</v>
      </c>
      <c r="R2427" t="s">
        <v>4338</v>
      </c>
      <c r="S2427" s="34" t="s">
        <v>6966</v>
      </c>
    </row>
    <row r="2428" spans="1:19" ht="409.5" x14ac:dyDescent="0.15">
      <c r="A2428" t="s">
        <v>3177</v>
      </c>
      <c r="B2428" s="61">
        <v>46357</v>
      </c>
      <c r="E2428" t="s">
        <v>355</v>
      </c>
      <c r="F2428" t="s">
        <v>351</v>
      </c>
      <c r="G2428" t="s">
        <v>354</v>
      </c>
      <c r="H2428" t="s">
        <v>686</v>
      </c>
      <c r="I2428">
        <v>2702291</v>
      </c>
      <c r="J2428" t="s">
        <v>3178</v>
      </c>
      <c r="K2428" t="s">
        <v>3179</v>
      </c>
      <c r="L2428" t="s">
        <v>390</v>
      </c>
      <c r="N2428">
        <v>2089908</v>
      </c>
      <c r="O2428" t="s">
        <v>3181</v>
      </c>
      <c r="R2428" t="s">
        <v>6967</v>
      </c>
      <c r="S2428" s="34" t="s">
        <v>6968</v>
      </c>
    </row>
    <row r="2429" spans="1:19" ht="409.5" x14ac:dyDescent="0.15">
      <c r="A2429" t="s">
        <v>3177</v>
      </c>
      <c r="B2429" s="61">
        <v>46357</v>
      </c>
      <c r="E2429" t="s">
        <v>355</v>
      </c>
      <c r="F2429" t="s">
        <v>351</v>
      </c>
      <c r="G2429" t="s">
        <v>354</v>
      </c>
      <c r="H2429" t="s">
        <v>353</v>
      </c>
      <c r="I2429">
        <v>2702862</v>
      </c>
      <c r="J2429" t="s">
        <v>4710</v>
      </c>
      <c r="K2429" t="s">
        <v>4711</v>
      </c>
      <c r="L2429" t="s">
        <v>4712</v>
      </c>
      <c r="N2429" t="s">
        <v>4713</v>
      </c>
      <c r="O2429" t="s">
        <v>4714</v>
      </c>
      <c r="S2429" s="34" t="s">
        <v>6969</v>
      </c>
    </row>
    <row r="2430" spans="1:19" ht="351" x14ac:dyDescent="0.15">
      <c r="A2430" t="s">
        <v>3177</v>
      </c>
      <c r="B2430" s="61">
        <v>46357</v>
      </c>
      <c r="E2430" t="s">
        <v>355</v>
      </c>
      <c r="F2430" t="s">
        <v>351</v>
      </c>
      <c r="G2430" t="s">
        <v>354</v>
      </c>
      <c r="H2430" t="s">
        <v>686</v>
      </c>
      <c r="I2430">
        <v>2702862</v>
      </c>
      <c r="J2430" t="s">
        <v>4710</v>
      </c>
      <c r="K2430" t="s">
        <v>4711</v>
      </c>
      <c r="L2430" t="s">
        <v>4712</v>
      </c>
      <c r="N2430">
        <v>2176187</v>
      </c>
      <c r="O2430" t="s">
        <v>4714</v>
      </c>
      <c r="S2430" s="34" t="s">
        <v>6970</v>
      </c>
    </row>
    <row r="2431" spans="1:19" ht="409.5" x14ac:dyDescent="0.15">
      <c r="A2431" t="s">
        <v>3177</v>
      </c>
      <c r="B2431" s="61">
        <v>46357</v>
      </c>
      <c r="E2431" t="s">
        <v>355</v>
      </c>
      <c r="F2431" t="s">
        <v>351</v>
      </c>
      <c r="G2431" t="s">
        <v>354</v>
      </c>
      <c r="H2431" t="s">
        <v>353</v>
      </c>
      <c r="I2431">
        <v>2702864</v>
      </c>
      <c r="J2431" t="s">
        <v>4710</v>
      </c>
      <c r="K2431" t="s">
        <v>4711</v>
      </c>
      <c r="L2431" t="s">
        <v>4735</v>
      </c>
      <c r="N2431" t="s">
        <v>4736</v>
      </c>
      <c r="O2431" t="s">
        <v>4737</v>
      </c>
      <c r="S2431" s="34" t="s">
        <v>6971</v>
      </c>
    </row>
    <row r="2432" spans="1:19" ht="351" x14ac:dyDescent="0.15">
      <c r="A2432" t="s">
        <v>3177</v>
      </c>
      <c r="B2432" s="61">
        <v>46357</v>
      </c>
      <c r="E2432" t="s">
        <v>355</v>
      </c>
      <c r="F2432" t="s">
        <v>351</v>
      </c>
      <c r="G2432" t="s">
        <v>354</v>
      </c>
      <c r="H2432" t="s">
        <v>353</v>
      </c>
      <c r="I2432">
        <v>2702864</v>
      </c>
      <c r="J2432" t="s">
        <v>4710</v>
      </c>
      <c r="K2432" t="s">
        <v>4711</v>
      </c>
      <c r="L2432" t="s">
        <v>4735</v>
      </c>
      <c r="N2432">
        <v>2176192</v>
      </c>
      <c r="O2432" t="s">
        <v>4737</v>
      </c>
      <c r="S2432" s="34" t="s">
        <v>6972</v>
      </c>
    </row>
    <row r="2433" spans="1:19" ht="409.5" x14ac:dyDescent="0.15">
      <c r="A2433" t="s">
        <v>3226</v>
      </c>
      <c r="B2433" s="61">
        <v>46235</v>
      </c>
      <c r="E2433" t="s">
        <v>355</v>
      </c>
      <c r="F2433" t="s">
        <v>351</v>
      </c>
      <c r="G2433" t="s">
        <v>352</v>
      </c>
      <c r="H2433" t="s">
        <v>310</v>
      </c>
      <c r="I2433">
        <v>2300529</v>
      </c>
      <c r="J2433" t="s">
        <v>6973</v>
      </c>
      <c r="K2433" t="s">
        <v>6974</v>
      </c>
      <c r="L2433" t="s">
        <v>704</v>
      </c>
      <c r="N2433" t="s">
        <v>6975</v>
      </c>
      <c r="O2433" t="s">
        <v>6976</v>
      </c>
      <c r="R2433" t="s">
        <v>3985</v>
      </c>
      <c r="S2433" s="34" t="s">
        <v>6977</v>
      </c>
    </row>
    <row r="2434" spans="1:19" ht="409.5" x14ac:dyDescent="0.15">
      <c r="A2434" t="s">
        <v>3226</v>
      </c>
      <c r="B2434" s="61">
        <v>46266</v>
      </c>
      <c r="E2434" t="s">
        <v>355</v>
      </c>
      <c r="F2434" t="s">
        <v>351</v>
      </c>
      <c r="G2434" t="s">
        <v>354</v>
      </c>
      <c r="H2434" t="s">
        <v>353</v>
      </c>
      <c r="I2434">
        <v>2300564</v>
      </c>
      <c r="J2434" t="s">
        <v>2817</v>
      </c>
      <c r="K2434" t="s">
        <v>3239</v>
      </c>
      <c r="L2434" t="s">
        <v>1957</v>
      </c>
      <c r="N2434" t="s">
        <v>3240</v>
      </c>
      <c r="O2434" t="s">
        <v>3241</v>
      </c>
      <c r="R2434" t="s">
        <v>3987</v>
      </c>
      <c r="S2434" s="34" t="s">
        <v>6978</v>
      </c>
    </row>
    <row r="2435" spans="1:19" ht="216" x14ac:dyDescent="0.15">
      <c r="A2435" t="s">
        <v>3226</v>
      </c>
      <c r="B2435" s="61">
        <v>46296</v>
      </c>
      <c r="E2435" t="s">
        <v>355</v>
      </c>
      <c r="F2435" t="s">
        <v>351</v>
      </c>
      <c r="G2435" t="s">
        <v>354</v>
      </c>
      <c r="H2435" t="s">
        <v>353</v>
      </c>
      <c r="I2435">
        <v>2303786</v>
      </c>
      <c r="J2435" t="s">
        <v>3227</v>
      </c>
      <c r="L2435" t="s">
        <v>2778</v>
      </c>
      <c r="N2435" t="s">
        <v>3228</v>
      </c>
      <c r="O2435" t="s">
        <v>3229</v>
      </c>
      <c r="R2435" t="s">
        <v>3987</v>
      </c>
      <c r="S2435" s="34" t="s">
        <v>6979</v>
      </c>
    </row>
    <row r="2436" spans="1:19" ht="175.5" x14ac:dyDescent="0.15">
      <c r="A2436" t="s">
        <v>3226</v>
      </c>
      <c r="B2436" s="61">
        <v>46327</v>
      </c>
      <c r="E2436" t="s">
        <v>355</v>
      </c>
      <c r="F2436" t="s">
        <v>351</v>
      </c>
      <c r="G2436" t="s">
        <v>354</v>
      </c>
      <c r="H2436" t="s">
        <v>353</v>
      </c>
      <c r="I2436">
        <v>2302899</v>
      </c>
      <c r="J2436" t="s">
        <v>4651</v>
      </c>
      <c r="K2436" t="s">
        <v>6980</v>
      </c>
      <c r="L2436" t="s">
        <v>390</v>
      </c>
      <c r="N2436" t="s">
        <v>6981</v>
      </c>
      <c r="O2436" t="s">
        <v>6982</v>
      </c>
      <c r="R2436" t="s">
        <v>3987</v>
      </c>
      <c r="S2436" s="34" t="s">
        <v>6983</v>
      </c>
    </row>
    <row r="2437" spans="1:19" ht="229.5" x14ac:dyDescent="0.15">
      <c r="A2437" t="s">
        <v>3226</v>
      </c>
      <c r="B2437" s="61">
        <v>46357</v>
      </c>
      <c r="E2437" t="s">
        <v>355</v>
      </c>
      <c r="F2437" t="s">
        <v>351</v>
      </c>
      <c r="G2437" t="s">
        <v>354</v>
      </c>
      <c r="H2437" t="s">
        <v>365</v>
      </c>
      <c r="I2437">
        <v>2302902</v>
      </c>
      <c r="J2437" t="s">
        <v>6984</v>
      </c>
      <c r="L2437" t="s">
        <v>413</v>
      </c>
      <c r="N2437" t="s">
        <v>6985</v>
      </c>
      <c r="O2437" t="s">
        <v>6986</v>
      </c>
      <c r="R2437" t="s">
        <v>3986</v>
      </c>
      <c r="S2437" s="34" t="s">
        <v>6987</v>
      </c>
    </row>
    <row r="2438" spans="1:19" ht="229.5" x14ac:dyDescent="0.15">
      <c r="A2438" t="s">
        <v>3226</v>
      </c>
      <c r="B2438" s="61">
        <v>46357</v>
      </c>
      <c r="E2438" t="s">
        <v>355</v>
      </c>
      <c r="F2438" t="s">
        <v>351</v>
      </c>
      <c r="G2438" t="s">
        <v>352</v>
      </c>
      <c r="H2438" t="s">
        <v>353</v>
      </c>
      <c r="I2438">
        <v>2303697</v>
      </c>
      <c r="J2438" t="s">
        <v>3231</v>
      </c>
      <c r="K2438" t="s">
        <v>2719</v>
      </c>
      <c r="L2438" t="s">
        <v>3217</v>
      </c>
      <c r="N2438" t="s">
        <v>3232</v>
      </c>
      <c r="O2438" t="s">
        <v>3233</v>
      </c>
      <c r="R2438" t="s">
        <v>3985</v>
      </c>
      <c r="S2438" s="34" t="s">
        <v>6988</v>
      </c>
    </row>
    <row r="2439" spans="1:19" ht="243" x14ac:dyDescent="0.15">
      <c r="A2439" t="s">
        <v>3252</v>
      </c>
      <c r="B2439" s="61">
        <v>46266</v>
      </c>
      <c r="E2439" t="s">
        <v>355</v>
      </c>
      <c r="F2439" t="s">
        <v>351</v>
      </c>
      <c r="G2439" t="s">
        <v>352</v>
      </c>
      <c r="H2439" t="s">
        <v>5779</v>
      </c>
      <c r="I2439">
        <v>2301153</v>
      </c>
      <c r="J2439" t="s">
        <v>1063</v>
      </c>
      <c r="K2439" t="s">
        <v>6989</v>
      </c>
      <c r="L2439" t="s">
        <v>3253</v>
      </c>
      <c r="N2439" t="s">
        <v>6990</v>
      </c>
      <c r="O2439" t="s">
        <v>6991</v>
      </c>
      <c r="R2439" t="s">
        <v>3985</v>
      </c>
      <c r="S2439" s="34" t="s">
        <v>6992</v>
      </c>
    </row>
    <row r="2440" spans="1:19" ht="216" x14ac:dyDescent="0.15">
      <c r="A2440" t="s">
        <v>3252</v>
      </c>
      <c r="B2440" s="61">
        <v>46266</v>
      </c>
      <c r="E2440" t="s">
        <v>355</v>
      </c>
      <c r="F2440" t="s">
        <v>351</v>
      </c>
      <c r="G2440" t="s">
        <v>354</v>
      </c>
      <c r="H2440" t="s">
        <v>353</v>
      </c>
      <c r="I2440">
        <v>2302797</v>
      </c>
      <c r="J2440" t="s">
        <v>6993</v>
      </c>
      <c r="K2440" t="s">
        <v>3272</v>
      </c>
      <c r="L2440" t="s">
        <v>3273</v>
      </c>
      <c r="N2440" t="s">
        <v>3274</v>
      </c>
      <c r="O2440" t="s">
        <v>3275</v>
      </c>
      <c r="R2440" t="s">
        <v>3986</v>
      </c>
      <c r="S2440" s="34" t="s">
        <v>6994</v>
      </c>
    </row>
    <row r="2441" spans="1:19" ht="229.5" x14ac:dyDescent="0.15">
      <c r="A2441" t="s">
        <v>3252</v>
      </c>
      <c r="B2441" s="61">
        <v>46266</v>
      </c>
      <c r="E2441" t="s">
        <v>355</v>
      </c>
      <c r="F2441" t="s">
        <v>351</v>
      </c>
      <c r="G2441" t="s">
        <v>354</v>
      </c>
      <c r="H2441" t="s">
        <v>365</v>
      </c>
      <c r="I2441">
        <v>2303628</v>
      </c>
      <c r="J2441" t="s">
        <v>3254</v>
      </c>
      <c r="K2441" t="s">
        <v>3255</v>
      </c>
      <c r="L2441" t="s">
        <v>3263</v>
      </c>
      <c r="N2441" t="s">
        <v>3264</v>
      </c>
      <c r="O2441" t="s">
        <v>3265</v>
      </c>
      <c r="R2441" t="s">
        <v>3986</v>
      </c>
      <c r="S2441" s="34" t="s">
        <v>6995</v>
      </c>
    </row>
    <row r="2442" spans="1:19" ht="378" x14ac:dyDescent="0.15">
      <c r="A2442" t="s">
        <v>3252</v>
      </c>
      <c r="B2442" s="61">
        <v>46296</v>
      </c>
      <c r="E2442" t="s">
        <v>355</v>
      </c>
      <c r="F2442" t="s">
        <v>351</v>
      </c>
      <c r="G2442" t="s">
        <v>354</v>
      </c>
      <c r="H2442" t="s">
        <v>365</v>
      </c>
      <c r="I2442">
        <v>2303818</v>
      </c>
      <c r="J2442" t="s">
        <v>3254</v>
      </c>
      <c r="K2442" t="s">
        <v>3255</v>
      </c>
      <c r="L2442" t="s">
        <v>413</v>
      </c>
      <c r="N2442" t="s">
        <v>3256</v>
      </c>
      <c r="O2442" t="s">
        <v>3257</v>
      </c>
      <c r="R2442" t="s">
        <v>3987</v>
      </c>
      <c r="S2442" s="34" t="s">
        <v>6996</v>
      </c>
    </row>
    <row r="2443" spans="1:19" ht="229.5" x14ac:dyDescent="0.15">
      <c r="A2443" t="s">
        <v>3252</v>
      </c>
      <c r="B2443" s="61">
        <v>46327</v>
      </c>
      <c r="E2443" t="s">
        <v>355</v>
      </c>
      <c r="F2443" t="s">
        <v>351</v>
      </c>
      <c r="G2443" t="s">
        <v>354</v>
      </c>
      <c r="H2443" t="s">
        <v>365</v>
      </c>
      <c r="I2443">
        <v>2303764</v>
      </c>
      <c r="J2443" t="s">
        <v>618</v>
      </c>
      <c r="K2443" t="s">
        <v>3277</v>
      </c>
      <c r="L2443" t="s">
        <v>3278</v>
      </c>
      <c r="N2443" t="s">
        <v>3279</v>
      </c>
      <c r="O2443" t="s">
        <v>3280</v>
      </c>
      <c r="R2443" t="s">
        <v>3987</v>
      </c>
      <c r="S2443" s="34" t="s">
        <v>6997</v>
      </c>
    </row>
    <row r="2444" spans="1:19" ht="409.5" x14ac:dyDescent="0.15">
      <c r="A2444" t="s">
        <v>3282</v>
      </c>
      <c r="B2444" s="61">
        <v>46235</v>
      </c>
      <c r="E2444" t="s">
        <v>355</v>
      </c>
      <c r="F2444" t="s">
        <v>351</v>
      </c>
      <c r="G2444" t="s">
        <v>352</v>
      </c>
      <c r="H2444" t="s">
        <v>353</v>
      </c>
      <c r="I2444">
        <v>3400355</v>
      </c>
      <c r="J2444" t="s">
        <v>2044</v>
      </c>
      <c r="K2444" t="s">
        <v>3284</v>
      </c>
      <c r="L2444" t="s">
        <v>1276</v>
      </c>
      <c r="N2444" t="s">
        <v>6998</v>
      </c>
      <c r="O2444" t="s">
        <v>3286</v>
      </c>
      <c r="R2444" t="s">
        <v>3985</v>
      </c>
      <c r="S2444" s="34" t="s">
        <v>6999</v>
      </c>
    </row>
    <row r="2445" spans="1:19" ht="243" x14ac:dyDescent="0.15">
      <c r="A2445" t="s">
        <v>3282</v>
      </c>
      <c r="B2445" s="61">
        <v>46266</v>
      </c>
      <c r="E2445" t="s">
        <v>355</v>
      </c>
      <c r="F2445" t="s">
        <v>351</v>
      </c>
      <c r="G2445" t="s">
        <v>354</v>
      </c>
      <c r="H2445" t="s">
        <v>353</v>
      </c>
      <c r="I2445">
        <v>3400579</v>
      </c>
      <c r="J2445" t="s">
        <v>5055</v>
      </c>
      <c r="K2445" t="s">
        <v>7000</v>
      </c>
      <c r="L2445" t="s">
        <v>7001</v>
      </c>
      <c r="N2445" t="s">
        <v>7002</v>
      </c>
      <c r="O2445" t="s">
        <v>7003</v>
      </c>
      <c r="S2445" s="34" t="s">
        <v>7004</v>
      </c>
    </row>
    <row r="2446" spans="1:19" ht="409.5" x14ac:dyDescent="0.15">
      <c r="A2446" t="s">
        <v>3282</v>
      </c>
      <c r="B2446" s="61">
        <v>46266</v>
      </c>
      <c r="E2446" t="s">
        <v>355</v>
      </c>
      <c r="F2446" t="s">
        <v>351</v>
      </c>
      <c r="G2446" t="s">
        <v>354</v>
      </c>
      <c r="H2446" t="s">
        <v>686</v>
      </c>
      <c r="I2446">
        <v>3400579</v>
      </c>
      <c r="J2446" t="s">
        <v>5055</v>
      </c>
      <c r="K2446" t="s">
        <v>7000</v>
      </c>
      <c r="L2446" t="s">
        <v>7001</v>
      </c>
      <c r="N2446">
        <v>2074332</v>
      </c>
      <c r="O2446" t="s">
        <v>7003</v>
      </c>
      <c r="R2446" t="s">
        <v>4012</v>
      </c>
      <c r="S2446" s="34" t="s">
        <v>7005</v>
      </c>
    </row>
    <row r="2447" spans="1:19" ht="409.5" x14ac:dyDescent="0.15">
      <c r="A2447" t="s">
        <v>3282</v>
      </c>
      <c r="B2447" s="61">
        <v>46266</v>
      </c>
      <c r="E2447" t="s">
        <v>355</v>
      </c>
      <c r="F2447" t="s">
        <v>351</v>
      </c>
      <c r="G2447" t="s">
        <v>354</v>
      </c>
      <c r="H2447" t="s">
        <v>353</v>
      </c>
      <c r="I2447">
        <v>3400579</v>
      </c>
      <c r="J2447" t="s">
        <v>5055</v>
      </c>
      <c r="K2447" t="s">
        <v>7000</v>
      </c>
      <c r="L2447" t="s">
        <v>7001</v>
      </c>
      <c r="N2447" t="s">
        <v>7006</v>
      </c>
      <c r="O2447" t="s">
        <v>7003</v>
      </c>
      <c r="S2447" s="34" t="s">
        <v>7007</v>
      </c>
    </row>
    <row r="2448" spans="1:19" ht="243" x14ac:dyDescent="0.15">
      <c r="A2448" t="s">
        <v>3282</v>
      </c>
      <c r="B2448" s="61">
        <v>46266</v>
      </c>
      <c r="E2448" t="s">
        <v>355</v>
      </c>
      <c r="F2448" t="s">
        <v>351</v>
      </c>
      <c r="G2448" t="s">
        <v>354</v>
      </c>
      <c r="H2448" t="s">
        <v>353</v>
      </c>
      <c r="I2448">
        <v>3400589</v>
      </c>
      <c r="J2448" t="s">
        <v>5055</v>
      </c>
      <c r="K2448" t="s">
        <v>7000</v>
      </c>
      <c r="L2448" t="s">
        <v>7008</v>
      </c>
      <c r="N2448" t="s">
        <v>7009</v>
      </c>
      <c r="O2448" t="s">
        <v>7010</v>
      </c>
      <c r="S2448" s="34" t="s">
        <v>7011</v>
      </c>
    </row>
    <row r="2449" spans="1:19" ht="409.5" x14ac:dyDescent="0.15">
      <c r="A2449" t="s">
        <v>3282</v>
      </c>
      <c r="B2449" s="61">
        <v>46266</v>
      </c>
      <c r="E2449" t="s">
        <v>355</v>
      </c>
      <c r="F2449" t="s">
        <v>351</v>
      </c>
      <c r="G2449" t="s">
        <v>354</v>
      </c>
      <c r="H2449" t="s">
        <v>686</v>
      </c>
      <c r="I2449">
        <v>3400589</v>
      </c>
      <c r="J2449" t="s">
        <v>5055</v>
      </c>
      <c r="K2449" t="s">
        <v>7000</v>
      </c>
      <c r="L2449" t="s">
        <v>7008</v>
      </c>
      <c r="N2449">
        <v>2074336</v>
      </c>
      <c r="O2449" t="s">
        <v>7010</v>
      </c>
      <c r="R2449" t="s">
        <v>4012</v>
      </c>
      <c r="S2449" s="34" t="s">
        <v>7012</v>
      </c>
    </row>
    <row r="2450" spans="1:19" ht="409.5" x14ac:dyDescent="0.15">
      <c r="A2450" t="s">
        <v>3282</v>
      </c>
      <c r="B2450" s="61">
        <v>46266</v>
      </c>
      <c r="E2450" t="s">
        <v>355</v>
      </c>
      <c r="F2450" t="s">
        <v>351</v>
      </c>
      <c r="G2450" t="s">
        <v>354</v>
      </c>
      <c r="H2450" t="s">
        <v>353</v>
      </c>
      <c r="I2450">
        <v>3400589</v>
      </c>
      <c r="J2450" t="s">
        <v>5055</v>
      </c>
      <c r="K2450" t="s">
        <v>7000</v>
      </c>
      <c r="L2450" t="s">
        <v>7008</v>
      </c>
      <c r="N2450" t="s">
        <v>7013</v>
      </c>
      <c r="O2450" t="s">
        <v>7010</v>
      </c>
      <c r="S2450" s="34" t="s">
        <v>7014</v>
      </c>
    </row>
    <row r="2451" spans="1:19" ht="256.5" x14ac:dyDescent="0.15">
      <c r="A2451" t="s">
        <v>3282</v>
      </c>
      <c r="B2451" s="61">
        <v>46266</v>
      </c>
      <c r="E2451" t="s">
        <v>355</v>
      </c>
      <c r="F2451" t="s">
        <v>351</v>
      </c>
      <c r="G2451" t="s">
        <v>354</v>
      </c>
      <c r="H2451" t="s">
        <v>353</v>
      </c>
      <c r="I2451">
        <v>3400787</v>
      </c>
      <c r="J2451" t="s">
        <v>743</v>
      </c>
      <c r="K2451" t="s">
        <v>3283</v>
      </c>
      <c r="L2451" t="s">
        <v>413</v>
      </c>
      <c r="N2451" t="s">
        <v>3287</v>
      </c>
      <c r="O2451" t="s">
        <v>3288</v>
      </c>
      <c r="S2451" s="34" t="s">
        <v>7015</v>
      </c>
    </row>
    <row r="2452" spans="1:19" ht="202.5" x14ac:dyDescent="0.15">
      <c r="A2452" t="s">
        <v>3282</v>
      </c>
      <c r="B2452" s="61">
        <v>46266</v>
      </c>
      <c r="E2452" t="s">
        <v>355</v>
      </c>
      <c r="F2452" t="s">
        <v>351</v>
      </c>
      <c r="G2452" t="s">
        <v>354</v>
      </c>
      <c r="H2452" t="s">
        <v>353</v>
      </c>
      <c r="I2452">
        <v>3400841</v>
      </c>
      <c r="J2452" t="s">
        <v>3478</v>
      </c>
      <c r="K2452" t="s">
        <v>7016</v>
      </c>
      <c r="L2452" t="s">
        <v>965</v>
      </c>
      <c r="N2452" t="s">
        <v>7017</v>
      </c>
      <c r="O2452" t="s">
        <v>7018</v>
      </c>
      <c r="R2452" t="s">
        <v>4052</v>
      </c>
      <c r="S2452" s="34" t="s">
        <v>7019</v>
      </c>
    </row>
    <row r="2453" spans="1:19" ht="229.5" x14ac:dyDescent="0.15">
      <c r="A2453" t="s">
        <v>3282</v>
      </c>
      <c r="B2453" s="61">
        <v>46296</v>
      </c>
      <c r="E2453" t="s">
        <v>355</v>
      </c>
      <c r="F2453" t="s">
        <v>351</v>
      </c>
      <c r="G2453" t="s">
        <v>352</v>
      </c>
      <c r="H2453" t="s">
        <v>365</v>
      </c>
      <c r="I2453">
        <v>3400830</v>
      </c>
      <c r="J2453" t="s">
        <v>3289</v>
      </c>
      <c r="L2453" t="s">
        <v>7020</v>
      </c>
      <c r="N2453" t="s">
        <v>7021</v>
      </c>
      <c r="O2453" t="s">
        <v>7022</v>
      </c>
      <c r="R2453" t="s">
        <v>3985</v>
      </c>
      <c r="S2453" s="34" t="s">
        <v>7023</v>
      </c>
    </row>
    <row r="2454" spans="1:19" ht="409.5" x14ac:dyDescent="0.15">
      <c r="A2454" t="s">
        <v>3282</v>
      </c>
      <c r="B2454" s="61">
        <v>46357</v>
      </c>
      <c r="E2454" t="s">
        <v>355</v>
      </c>
      <c r="F2454" t="s">
        <v>351</v>
      </c>
      <c r="G2454" t="s">
        <v>352</v>
      </c>
      <c r="H2454" t="s">
        <v>353</v>
      </c>
      <c r="I2454">
        <v>3400249</v>
      </c>
      <c r="J2454" t="s">
        <v>3289</v>
      </c>
      <c r="L2454" t="s">
        <v>3290</v>
      </c>
      <c r="N2454" t="s">
        <v>7024</v>
      </c>
      <c r="O2454" t="s">
        <v>3292</v>
      </c>
      <c r="R2454" t="s">
        <v>3985</v>
      </c>
      <c r="S2454" s="34" t="s">
        <v>7025</v>
      </c>
    </row>
    <row r="2455" spans="1:19" ht="409.5" x14ac:dyDescent="0.15">
      <c r="A2455" t="s">
        <v>3282</v>
      </c>
      <c r="B2455" s="61">
        <v>46357</v>
      </c>
      <c r="E2455" t="s">
        <v>355</v>
      </c>
      <c r="F2455" t="s">
        <v>351</v>
      </c>
      <c r="G2455" t="s">
        <v>354</v>
      </c>
      <c r="H2455" t="s">
        <v>353</v>
      </c>
      <c r="I2455">
        <v>3400916</v>
      </c>
      <c r="J2455" t="s">
        <v>775</v>
      </c>
      <c r="K2455" t="s">
        <v>3293</v>
      </c>
      <c r="L2455" t="s">
        <v>3294</v>
      </c>
      <c r="N2455" t="s">
        <v>3295</v>
      </c>
      <c r="O2455" t="s">
        <v>3296</v>
      </c>
      <c r="S2455" s="34" t="s">
        <v>7026</v>
      </c>
    </row>
    <row r="2456" spans="1:19" ht="310.5" x14ac:dyDescent="0.15">
      <c r="A2456" t="s">
        <v>3297</v>
      </c>
      <c r="B2456" s="61">
        <v>46235</v>
      </c>
      <c r="E2456" t="s">
        <v>355</v>
      </c>
      <c r="F2456" t="s">
        <v>351</v>
      </c>
      <c r="G2456" t="s">
        <v>354</v>
      </c>
      <c r="H2456" t="s">
        <v>365</v>
      </c>
      <c r="I2456">
        <v>2800455</v>
      </c>
      <c r="J2456" t="s">
        <v>7027</v>
      </c>
      <c r="K2456" t="s">
        <v>7028</v>
      </c>
      <c r="L2456" t="s">
        <v>7029</v>
      </c>
      <c r="N2456" t="s">
        <v>7030</v>
      </c>
      <c r="O2456" t="s">
        <v>7031</v>
      </c>
      <c r="R2456" t="s">
        <v>3987</v>
      </c>
      <c r="S2456" s="34" t="s">
        <v>7032</v>
      </c>
    </row>
    <row r="2457" spans="1:19" ht="409.5" x14ac:dyDescent="0.15">
      <c r="A2457" t="s">
        <v>3297</v>
      </c>
      <c r="B2457" s="61">
        <v>46235</v>
      </c>
      <c r="E2457" t="s">
        <v>355</v>
      </c>
      <c r="F2457" t="s">
        <v>351</v>
      </c>
      <c r="G2457" t="s">
        <v>354</v>
      </c>
      <c r="H2457" t="s">
        <v>353</v>
      </c>
      <c r="I2457">
        <v>2802251</v>
      </c>
      <c r="J2457" t="s">
        <v>587</v>
      </c>
      <c r="K2457" t="s">
        <v>3316</v>
      </c>
      <c r="L2457" t="s">
        <v>7033</v>
      </c>
      <c r="N2457" t="s">
        <v>7034</v>
      </c>
      <c r="O2457" t="s">
        <v>3326</v>
      </c>
      <c r="S2457" s="34" t="s">
        <v>7035</v>
      </c>
    </row>
    <row r="2458" spans="1:19" ht="409.5" x14ac:dyDescent="0.15">
      <c r="A2458" t="s">
        <v>3297</v>
      </c>
      <c r="B2458" s="61">
        <v>46296</v>
      </c>
      <c r="E2458" t="s">
        <v>355</v>
      </c>
      <c r="F2458" t="s">
        <v>351</v>
      </c>
      <c r="G2458" t="s">
        <v>354</v>
      </c>
      <c r="H2458" t="s">
        <v>353</v>
      </c>
      <c r="I2458">
        <v>2801597</v>
      </c>
      <c r="J2458" t="s">
        <v>587</v>
      </c>
      <c r="K2458" t="s">
        <v>3316</v>
      </c>
      <c r="L2458" t="s">
        <v>3317</v>
      </c>
      <c r="N2458" t="s">
        <v>3318</v>
      </c>
      <c r="O2458" t="s">
        <v>3319</v>
      </c>
      <c r="S2458" s="34" t="s">
        <v>7036</v>
      </c>
    </row>
    <row r="2459" spans="1:19" ht="409.5" x14ac:dyDescent="0.15">
      <c r="A2459" t="s">
        <v>3297</v>
      </c>
      <c r="B2459" s="61">
        <v>46357</v>
      </c>
      <c r="E2459" t="s">
        <v>355</v>
      </c>
      <c r="F2459" t="s">
        <v>351</v>
      </c>
      <c r="G2459" t="s">
        <v>354</v>
      </c>
      <c r="H2459" t="s">
        <v>353</v>
      </c>
      <c r="I2459">
        <v>2800454</v>
      </c>
      <c r="J2459" t="s">
        <v>7037</v>
      </c>
      <c r="K2459" t="s">
        <v>7038</v>
      </c>
      <c r="L2459" t="s">
        <v>390</v>
      </c>
      <c r="N2459" t="s">
        <v>7039</v>
      </c>
      <c r="O2459" t="s">
        <v>7040</v>
      </c>
      <c r="S2459" s="34" t="s">
        <v>7041</v>
      </c>
    </row>
    <row r="2460" spans="1:19" ht="229.5" x14ac:dyDescent="0.15">
      <c r="A2460" t="s">
        <v>3349</v>
      </c>
      <c r="B2460" s="61">
        <v>46235</v>
      </c>
      <c r="E2460" t="s">
        <v>355</v>
      </c>
      <c r="F2460" t="s">
        <v>351</v>
      </c>
      <c r="G2460" t="s">
        <v>352</v>
      </c>
      <c r="H2460" t="s">
        <v>353</v>
      </c>
      <c r="I2460">
        <v>1600328</v>
      </c>
      <c r="J2460" t="s">
        <v>3360</v>
      </c>
      <c r="L2460" t="s">
        <v>3361</v>
      </c>
      <c r="N2460" t="s">
        <v>3362</v>
      </c>
      <c r="O2460" t="s">
        <v>3363</v>
      </c>
      <c r="R2460" t="s">
        <v>6111</v>
      </c>
      <c r="S2460" s="34" t="s">
        <v>7042</v>
      </c>
    </row>
    <row r="2461" spans="1:19" ht="229.5" x14ac:dyDescent="0.15">
      <c r="A2461" t="s">
        <v>3349</v>
      </c>
      <c r="B2461" s="61">
        <v>46235</v>
      </c>
      <c r="E2461" t="s">
        <v>355</v>
      </c>
      <c r="F2461" t="s">
        <v>351</v>
      </c>
      <c r="G2461" t="s">
        <v>354</v>
      </c>
      <c r="H2461" t="s">
        <v>353</v>
      </c>
      <c r="I2461">
        <v>1600628</v>
      </c>
      <c r="J2461" t="s">
        <v>3350</v>
      </c>
      <c r="K2461" t="s">
        <v>3351</v>
      </c>
      <c r="L2461" t="s">
        <v>3390</v>
      </c>
      <c r="N2461" t="s">
        <v>3399</v>
      </c>
      <c r="O2461" t="s">
        <v>3392</v>
      </c>
      <c r="R2461" t="s">
        <v>3986</v>
      </c>
      <c r="S2461" s="34" t="s">
        <v>7042</v>
      </c>
    </row>
    <row r="2462" spans="1:19" ht="202.5" x14ac:dyDescent="0.15">
      <c r="A2462" t="s">
        <v>3349</v>
      </c>
      <c r="B2462" s="61">
        <v>46235</v>
      </c>
      <c r="E2462" t="s">
        <v>355</v>
      </c>
      <c r="F2462" t="s">
        <v>351</v>
      </c>
      <c r="G2462" t="s">
        <v>354</v>
      </c>
      <c r="H2462" t="s">
        <v>365</v>
      </c>
      <c r="I2462">
        <v>1600628</v>
      </c>
      <c r="J2462" t="s">
        <v>3350</v>
      </c>
      <c r="K2462" t="s">
        <v>3351</v>
      </c>
      <c r="L2462" t="s">
        <v>3390</v>
      </c>
      <c r="N2462" t="s">
        <v>3391</v>
      </c>
      <c r="O2462" t="s">
        <v>3392</v>
      </c>
      <c r="R2462" t="s">
        <v>3986</v>
      </c>
      <c r="S2462" s="34" t="s">
        <v>7043</v>
      </c>
    </row>
    <row r="2463" spans="1:19" ht="409.5" x14ac:dyDescent="0.15">
      <c r="A2463" t="s">
        <v>3349</v>
      </c>
      <c r="B2463" s="61">
        <v>46235</v>
      </c>
      <c r="E2463" t="s">
        <v>355</v>
      </c>
      <c r="F2463" t="s">
        <v>351</v>
      </c>
      <c r="G2463" t="s">
        <v>354</v>
      </c>
      <c r="H2463" t="s">
        <v>7484</v>
      </c>
      <c r="I2463">
        <v>1600676</v>
      </c>
      <c r="J2463" t="s">
        <v>7044</v>
      </c>
      <c r="K2463" t="s">
        <v>7045</v>
      </c>
      <c r="L2463" t="s">
        <v>413</v>
      </c>
      <c r="N2463" t="s">
        <v>7046</v>
      </c>
      <c r="O2463" t="s">
        <v>7047</v>
      </c>
      <c r="R2463" s="34" t="s">
        <v>7485</v>
      </c>
      <c r="S2463" s="34" t="s">
        <v>7048</v>
      </c>
    </row>
    <row r="2464" spans="1:19" ht="216" x14ac:dyDescent="0.15">
      <c r="A2464" t="s">
        <v>3349</v>
      </c>
      <c r="B2464" s="61">
        <v>46266</v>
      </c>
      <c r="E2464" t="s">
        <v>355</v>
      </c>
      <c r="F2464" t="s">
        <v>351</v>
      </c>
      <c r="G2464" t="s">
        <v>354</v>
      </c>
      <c r="H2464" t="s">
        <v>353</v>
      </c>
      <c r="I2464">
        <v>1600658</v>
      </c>
      <c r="J2464" t="s">
        <v>7049</v>
      </c>
      <c r="L2464" t="s">
        <v>7050</v>
      </c>
      <c r="N2464" t="s">
        <v>7051</v>
      </c>
      <c r="O2464" t="s">
        <v>7052</v>
      </c>
      <c r="R2464" t="s">
        <v>3987</v>
      </c>
      <c r="S2464" s="34" t="s">
        <v>7053</v>
      </c>
    </row>
    <row r="2465" spans="1:19" ht="229.5" x14ac:dyDescent="0.15">
      <c r="A2465" t="s">
        <v>3349</v>
      </c>
      <c r="B2465" s="61">
        <v>46266</v>
      </c>
      <c r="E2465" t="s">
        <v>355</v>
      </c>
      <c r="F2465" t="s">
        <v>351</v>
      </c>
      <c r="G2465" t="s">
        <v>354</v>
      </c>
      <c r="H2465" t="s">
        <v>365</v>
      </c>
      <c r="I2465">
        <v>1600659</v>
      </c>
      <c r="J2465" t="s">
        <v>3426</v>
      </c>
      <c r="K2465" t="s">
        <v>3427</v>
      </c>
      <c r="L2465" t="s">
        <v>3428</v>
      </c>
      <c r="N2465" t="s">
        <v>3429</v>
      </c>
      <c r="O2465" t="s">
        <v>3430</v>
      </c>
      <c r="R2465" t="s">
        <v>3987</v>
      </c>
      <c r="S2465" s="34" t="s">
        <v>7054</v>
      </c>
    </row>
    <row r="2466" spans="1:19" ht="216" x14ac:dyDescent="0.15">
      <c r="A2466" t="s">
        <v>3349</v>
      </c>
      <c r="B2466" s="61">
        <v>46266</v>
      </c>
      <c r="E2466" t="s">
        <v>355</v>
      </c>
      <c r="F2466" t="s">
        <v>351</v>
      </c>
      <c r="G2466" t="s">
        <v>354</v>
      </c>
      <c r="H2466" t="s">
        <v>353</v>
      </c>
      <c r="I2466">
        <v>1600668</v>
      </c>
      <c r="J2466" t="s">
        <v>3350</v>
      </c>
      <c r="K2466" t="s">
        <v>3351</v>
      </c>
      <c r="L2466" t="s">
        <v>3400</v>
      </c>
      <c r="N2466" t="s">
        <v>3414</v>
      </c>
      <c r="O2466" t="s">
        <v>3402</v>
      </c>
      <c r="R2466" t="s">
        <v>7055</v>
      </c>
      <c r="S2466" s="34" t="s">
        <v>7056</v>
      </c>
    </row>
    <row r="2467" spans="1:19" ht="351" x14ac:dyDescent="0.15">
      <c r="A2467" t="s">
        <v>3349</v>
      </c>
      <c r="B2467" s="61">
        <v>46266</v>
      </c>
      <c r="E2467" t="s">
        <v>355</v>
      </c>
      <c r="F2467" t="s">
        <v>351</v>
      </c>
      <c r="G2467" t="s">
        <v>354</v>
      </c>
      <c r="H2467" t="s">
        <v>365</v>
      </c>
      <c r="I2467">
        <v>1600668</v>
      </c>
      <c r="J2467" t="s">
        <v>3350</v>
      </c>
      <c r="K2467" t="s">
        <v>3351</v>
      </c>
      <c r="L2467" t="s">
        <v>3400</v>
      </c>
      <c r="N2467" t="s">
        <v>7057</v>
      </c>
      <c r="O2467" t="s">
        <v>3402</v>
      </c>
      <c r="R2467" t="s">
        <v>7055</v>
      </c>
      <c r="S2467" s="34" t="s">
        <v>7058</v>
      </c>
    </row>
    <row r="2468" spans="1:19" ht="202.5" x14ac:dyDescent="0.15">
      <c r="A2468" t="s">
        <v>3349</v>
      </c>
      <c r="B2468" s="61">
        <v>46266</v>
      </c>
      <c r="E2468" t="s">
        <v>355</v>
      </c>
      <c r="F2468" t="s">
        <v>351</v>
      </c>
      <c r="G2468" t="s">
        <v>354</v>
      </c>
      <c r="H2468" t="s">
        <v>353</v>
      </c>
      <c r="I2468">
        <v>1600668</v>
      </c>
      <c r="J2468" t="s">
        <v>3350</v>
      </c>
      <c r="K2468" t="s">
        <v>3351</v>
      </c>
      <c r="L2468" t="s">
        <v>3400</v>
      </c>
      <c r="N2468" t="s">
        <v>3404</v>
      </c>
      <c r="O2468" t="s">
        <v>3402</v>
      </c>
      <c r="R2468" t="s">
        <v>7059</v>
      </c>
      <c r="S2468" s="34" t="s">
        <v>7060</v>
      </c>
    </row>
    <row r="2469" spans="1:19" ht="351" x14ac:dyDescent="0.15">
      <c r="A2469" t="s">
        <v>3349</v>
      </c>
      <c r="B2469" s="61">
        <v>46266</v>
      </c>
      <c r="E2469" t="s">
        <v>355</v>
      </c>
      <c r="F2469" t="s">
        <v>351</v>
      </c>
      <c r="G2469" t="s">
        <v>354</v>
      </c>
      <c r="H2469" t="s">
        <v>365</v>
      </c>
      <c r="I2469">
        <v>1600668</v>
      </c>
      <c r="J2469" t="s">
        <v>3350</v>
      </c>
      <c r="K2469" t="s">
        <v>3351</v>
      </c>
      <c r="L2469" t="s">
        <v>3400</v>
      </c>
      <c r="N2469" t="s">
        <v>7061</v>
      </c>
      <c r="O2469" t="s">
        <v>3402</v>
      </c>
      <c r="R2469" t="s">
        <v>7059</v>
      </c>
      <c r="S2469" s="34" t="s">
        <v>7062</v>
      </c>
    </row>
    <row r="2470" spans="1:19" ht="216" x14ac:dyDescent="0.15">
      <c r="A2470" t="s">
        <v>3349</v>
      </c>
      <c r="B2470" s="61">
        <v>46266</v>
      </c>
      <c r="E2470" t="s">
        <v>355</v>
      </c>
      <c r="F2470" t="s">
        <v>351</v>
      </c>
      <c r="G2470" t="s">
        <v>354</v>
      </c>
      <c r="H2470" t="s">
        <v>353</v>
      </c>
      <c r="I2470">
        <v>1600687</v>
      </c>
      <c r="J2470" t="s">
        <v>3374</v>
      </c>
      <c r="L2470" t="s">
        <v>413</v>
      </c>
      <c r="N2470" t="s">
        <v>5107</v>
      </c>
      <c r="O2470" t="s">
        <v>3375</v>
      </c>
      <c r="S2470" s="34" t="s">
        <v>7063</v>
      </c>
    </row>
    <row r="2471" spans="1:19" ht="229.5" x14ac:dyDescent="0.15">
      <c r="A2471" t="s">
        <v>3349</v>
      </c>
      <c r="B2471" s="61">
        <v>46296</v>
      </c>
      <c r="E2471" t="s">
        <v>355</v>
      </c>
      <c r="F2471" t="s">
        <v>351</v>
      </c>
      <c r="G2471" t="s">
        <v>352</v>
      </c>
      <c r="H2471" t="s">
        <v>365</v>
      </c>
      <c r="I2471">
        <v>1600430</v>
      </c>
      <c r="J2471" t="s">
        <v>979</v>
      </c>
      <c r="L2471" t="s">
        <v>512</v>
      </c>
      <c r="N2471" t="s">
        <v>7064</v>
      </c>
      <c r="O2471" t="s">
        <v>7065</v>
      </c>
      <c r="R2471" t="s">
        <v>3958</v>
      </c>
      <c r="S2471" s="34" t="s">
        <v>7066</v>
      </c>
    </row>
    <row r="2472" spans="1:19" ht="405" x14ac:dyDescent="0.15">
      <c r="A2472" t="s">
        <v>3349</v>
      </c>
      <c r="B2472" s="61">
        <v>46296</v>
      </c>
      <c r="E2472" t="s">
        <v>355</v>
      </c>
      <c r="F2472" t="s">
        <v>351</v>
      </c>
      <c r="G2472" t="s">
        <v>352</v>
      </c>
      <c r="H2472" t="s">
        <v>365</v>
      </c>
      <c r="I2472">
        <v>1600483</v>
      </c>
      <c r="J2472" t="s">
        <v>3369</v>
      </c>
      <c r="K2472" t="s">
        <v>3370</v>
      </c>
      <c r="L2472" t="s">
        <v>413</v>
      </c>
      <c r="N2472" t="s">
        <v>3371</v>
      </c>
      <c r="O2472" t="s">
        <v>3372</v>
      </c>
      <c r="R2472" t="s">
        <v>3985</v>
      </c>
      <c r="S2472" s="34" t="s">
        <v>7067</v>
      </c>
    </row>
    <row r="2473" spans="1:19" ht="409.5" x14ac:dyDescent="0.15">
      <c r="A2473" t="s">
        <v>3349</v>
      </c>
      <c r="B2473" s="61">
        <v>46327</v>
      </c>
      <c r="E2473" t="s">
        <v>355</v>
      </c>
      <c r="F2473" t="s">
        <v>351</v>
      </c>
      <c r="G2473" t="s">
        <v>354</v>
      </c>
      <c r="H2473" t="s">
        <v>353</v>
      </c>
      <c r="I2473">
        <v>1600235</v>
      </c>
      <c r="J2473" t="s">
        <v>7068</v>
      </c>
      <c r="L2473" t="s">
        <v>2778</v>
      </c>
      <c r="N2473" t="s">
        <v>7069</v>
      </c>
      <c r="O2473" t="s">
        <v>7070</v>
      </c>
      <c r="R2473" t="s">
        <v>3987</v>
      </c>
      <c r="S2473" s="34" t="s">
        <v>7071</v>
      </c>
    </row>
    <row r="2474" spans="1:19" ht="409.5" x14ac:dyDescent="0.15">
      <c r="A2474" t="s">
        <v>3349</v>
      </c>
      <c r="B2474" s="61">
        <v>46327</v>
      </c>
      <c r="E2474" t="s">
        <v>355</v>
      </c>
      <c r="F2474" t="s">
        <v>351</v>
      </c>
      <c r="G2474" t="s">
        <v>354</v>
      </c>
      <c r="H2474" t="s">
        <v>353</v>
      </c>
      <c r="I2474">
        <v>1600495</v>
      </c>
      <c r="J2474" t="s">
        <v>3360</v>
      </c>
      <c r="L2474" t="s">
        <v>7072</v>
      </c>
      <c r="N2474" t="s">
        <v>7073</v>
      </c>
      <c r="O2474" t="s">
        <v>7074</v>
      </c>
      <c r="R2474" t="s">
        <v>3986</v>
      </c>
      <c r="S2474" s="34" t="s">
        <v>7075</v>
      </c>
    </row>
    <row r="2475" spans="1:19" ht="229.5" x14ac:dyDescent="0.15">
      <c r="A2475" t="s">
        <v>3349</v>
      </c>
      <c r="B2475" s="61">
        <v>46327</v>
      </c>
      <c r="E2475" t="s">
        <v>355</v>
      </c>
      <c r="F2475" t="s">
        <v>351</v>
      </c>
      <c r="G2475" t="s">
        <v>354</v>
      </c>
      <c r="H2475" t="s">
        <v>365</v>
      </c>
      <c r="I2475">
        <v>1600622</v>
      </c>
      <c r="J2475" t="s">
        <v>3350</v>
      </c>
      <c r="K2475" t="s">
        <v>3351</v>
      </c>
      <c r="L2475" t="s">
        <v>3352</v>
      </c>
      <c r="N2475" t="s">
        <v>4245</v>
      </c>
      <c r="O2475" t="s">
        <v>3353</v>
      </c>
      <c r="R2475" t="s">
        <v>3987</v>
      </c>
      <c r="S2475" s="34" t="s">
        <v>7076</v>
      </c>
    </row>
    <row r="2476" spans="1:19" ht="409.5" x14ac:dyDescent="0.15">
      <c r="A2476" t="s">
        <v>3349</v>
      </c>
      <c r="B2476" s="61">
        <v>46327</v>
      </c>
      <c r="E2476" t="s">
        <v>355</v>
      </c>
      <c r="F2476" t="s">
        <v>351</v>
      </c>
      <c r="G2476" t="s">
        <v>354</v>
      </c>
      <c r="H2476" t="s">
        <v>353</v>
      </c>
      <c r="I2476">
        <v>1600692</v>
      </c>
      <c r="J2476" t="s">
        <v>7077</v>
      </c>
      <c r="K2476" t="s">
        <v>7078</v>
      </c>
      <c r="L2476" t="s">
        <v>466</v>
      </c>
      <c r="N2476" t="s">
        <v>7079</v>
      </c>
      <c r="O2476" t="s">
        <v>7080</v>
      </c>
      <c r="R2476" t="s">
        <v>4052</v>
      </c>
      <c r="S2476" s="34" t="s">
        <v>7081</v>
      </c>
    </row>
    <row r="2477" spans="1:19" ht="409.5" x14ac:dyDescent="0.15">
      <c r="A2477" t="s">
        <v>3349</v>
      </c>
      <c r="B2477" s="61">
        <v>46327</v>
      </c>
      <c r="E2477" t="s">
        <v>355</v>
      </c>
      <c r="F2477" t="s">
        <v>351</v>
      </c>
      <c r="G2477" t="s">
        <v>354</v>
      </c>
      <c r="H2477" t="s">
        <v>353</v>
      </c>
      <c r="I2477">
        <v>1600693</v>
      </c>
      <c r="J2477" t="s">
        <v>3423</v>
      </c>
      <c r="L2477" t="s">
        <v>413</v>
      </c>
      <c r="N2477" t="s">
        <v>7082</v>
      </c>
      <c r="O2477" t="s">
        <v>3425</v>
      </c>
      <c r="R2477" t="s">
        <v>3987</v>
      </c>
      <c r="S2477" s="34" t="s">
        <v>7083</v>
      </c>
    </row>
    <row r="2478" spans="1:19" ht="229.5" x14ac:dyDescent="0.15">
      <c r="A2478" t="s">
        <v>3349</v>
      </c>
      <c r="B2478" s="61">
        <v>46357</v>
      </c>
      <c r="E2478" t="s">
        <v>355</v>
      </c>
      <c r="F2478" t="s">
        <v>351</v>
      </c>
      <c r="G2478" t="s">
        <v>352</v>
      </c>
      <c r="H2478" t="s">
        <v>353</v>
      </c>
      <c r="I2478">
        <v>1600004</v>
      </c>
      <c r="J2478" t="s">
        <v>3386</v>
      </c>
      <c r="L2478" t="s">
        <v>413</v>
      </c>
      <c r="N2478" t="s">
        <v>3387</v>
      </c>
      <c r="O2478" t="s">
        <v>3388</v>
      </c>
      <c r="R2478" t="s">
        <v>3985</v>
      </c>
      <c r="S2478" s="34" t="s">
        <v>7084</v>
      </c>
    </row>
    <row r="2479" spans="1:19" ht="229.5" x14ac:dyDescent="0.15">
      <c r="A2479" t="s">
        <v>3349</v>
      </c>
      <c r="B2479" s="61">
        <v>46357</v>
      </c>
      <c r="E2479" t="s">
        <v>355</v>
      </c>
      <c r="F2479" t="s">
        <v>351</v>
      </c>
      <c r="G2479" t="s">
        <v>354</v>
      </c>
      <c r="H2479" t="s">
        <v>365</v>
      </c>
      <c r="I2479">
        <v>1600601</v>
      </c>
      <c r="J2479" t="s">
        <v>2481</v>
      </c>
      <c r="K2479" t="s">
        <v>3379</v>
      </c>
      <c r="L2479" t="s">
        <v>3380</v>
      </c>
      <c r="N2479" t="s">
        <v>3381</v>
      </c>
      <c r="O2479" t="s">
        <v>3382</v>
      </c>
      <c r="R2479" t="s">
        <v>4012</v>
      </c>
      <c r="S2479" s="34" t="s">
        <v>7085</v>
      </c>
    </row>
    <row r="2480" spans="1:19" ht="409.5" x14ac:dyDescent="0.15">
      <c r="A2480" t="s">
        <v>3349</v>
      </c>
      <c r="B2480" s="61">
        <v>46357</v>
      </c>
      <c r="E2480" t="s">
        <v>355</v>
      </c>
      <c r="F2480" t="s">
        <v>351</v>
      </c>
      <c r="G2480" t="s">
        <v>354</v>
      </c>
      <c r="H2480" t="s">
        <v>353</v>
      </c>
      <c r="I2480">
        <v>1600601</v>
      </c>
      <c r="J2480" t="s">
        <v>2481</v>
      </c>
      <c r="K2480" t="s">
        <v>3379</v>
      </c>
      <c r="L2480" t="s">
        <v>3380</v>
      </c>
      <c r="N2480" t="s">
        <v>7086</v>
      </c>
      <c r="O2480" t="s">
        <v>3382</v>
      </c>
      <c r="R2480" t="s">
        <v>4012</v>
      </c>
      <c r="S2480" s="34" t="s">
        <v>7087</v>
      </c>
    </row>
    <row r="2481" spans="1:19" ht="409.5" x14ac:dyDescent="0.15">
      <c r="A2481" t="s">
        <v>3349</v>
      </c>
      <c r="B2481" s="61">
        <v>46357</v>
      </c>
      <c r="E2481" t="s">
        <v>355</v>
      </c>
      <c r="F2481" t="s">
        <v>351</v>
      </c>
      <c r="G2481" t="s">
        <v>354</v>
      </c>
      <c r="H2481" t="s">
        <v>686</v>
      </c>
      <c r="I2481">
        <v>1600601</v>
      </c>
      <c r="J2481" t="s">
        <v>2481</v>
      </c>
      <c r="K2481" t="s">
        <v>3379</v>
      </c>
      <c r="L2481" t="s">
        <v>3380</v>
      </c>
      <c r="N2481">
        <v>2092815</v>
      </c>
      <c r="O2481" t="s">
        <v>3382</v>
      </c>
      <c r="R2481" t="s">
        <v>4012</v>
      </c>
      <c r="S2481" s="34" t="s">
        <v>7088</v>
      </c>
    </row>
    <row r="2482" spans="1:19" ht="409.5" x14ac:dyDescent="0.15">
      <c r="A2482" t="s">
        <v>3349</v>
      </c>
      <c r="B2482" s="61">
        <v>46357</v>
      </c>
      <c r="E2482" t="s">
        <v>355</v>
      </c>
      <c r="F2482" t="s">
        <v>351</v>
      </c>
      <c r="G2482" t="s">
        <v>354</v>
      </c>
      <c r="H2482" t="s">
        <v>353</v>
      </c>
      <c r="I2482">
        <v>1600669</v>
      </c>
      <c r="J2482" t="s">
        <v>3364</v>
      </c>
      <c r="L2482" t="s">
        <v>3365</v>
      </c>
      <c r="N2482" t="s">
        <v>7089</v>
      </c>
      <c r="O2482" t="s">
        <v>3367</v>
      </c>
      <c r="R2482" t="s">
        <v>7090</v>
      </c>
      <c r="S2482" s="34" t="s">
        <v>7091</v>
      </c>
    </row>
    <row r="2483" spans="1:19" ht="256.5" x14ac:dyDescent="0.15">
      <c r="A2483" t="s">
        <v>3349</v>
      </c>
      <c r="B2483" s="61">
        <v>46357</v>
      </c>
      <c r="E2483" t="s">
        <v>355</v>
      </c>
      <c r="F2483" t="s">
        <v>351</v>
      </c>
      <c r="G2483" t="s">
        <v>354</v>
      </c>
      <c r="H2483" t="s">
        <v>365</v>
      </c>
      <c r="I2483">
        <v>1600669</v>
      </c>
      <c r="J2483" t="s">
        <v>3364</v>
      </c>
      <c r="L2483" t="s">
        <v>3365</v>
      </c>
      <c r="N2483" t="s">
        <v>3377</v>
      </c>
      <c r="O2483" t="s">
        <v>3367</v>
      </c>
      <c r="R2483" t="s">
        <v>3987</v>
      </c>
      <c r="S2483" s="34" t="s">
        <v>7092</v>
      </c>
    </row>
    <row r="2484" spans="1:19" ht="364.5" x14ac:dyDescent="0.15">
      <c r="A2484" t="s">
        <v>3432</v>
      </c>
      <c r="B2484" s="61">
        <v>46235</v>
      </c>
      <c r="E2484" t="s">
        <v>355</v>
      </c>
      <c r="F2484" t="s">
        <v>351</v>
      </c>
      <c r="G2484" t="s">
        <v>354</v>
      </c>
      <c r="H2484" t="s">
        <v>686</v>
      </c>
      <c r="I2484">
        <v>2202306</v>
      </c>
      <c r="J2484" t="s">
        <v>974</v>
      </c>
      <c r="K2484" t="s">
        <v>7093</v>
      </c>
      <c r="L2484" t="s">
        <v>7094</v>
      </c>
      <c r="N2484">
        <v>2096781</v>
      </c>
      <c r="O2484" t="s">
        <v>7095</v>
      </c>
      <c r="R2484" t="s">
        <v>3986</v>
      </c>
      <c r="S2484" s="34" t="s">
        <v>7096</v>
      </c>
    </row>
    <row r="2485" spans="1:19" ht="405" x14ac:dyDescent="0.15">
      <c r="A2485" t="s">
        <v>3432</v>
      </c>
      <c r="B2485" s="61">
        <v>46235</v>
      </c>
      <c r="E2485" t="s">
        <v>355</v>
      </c>
      <c r="F2485" t="s">
        <v>351</v>
      </c>
      <c r="G2485" t="s">
        <v>354</v>
      </c>
      <c r="H2485" t="s">
        <v>686</v>
      </c>
      <c r="I2485">
        <v>2202430</v>
      </c>
      <c r="J2485" t="s">
        <v>974</v>
      </c>
      <c r="K2485" t="s">
        <v>7097</v>
      </c>
      <c r="L2485" t="s">
        <v>7098</v>
      </c>
      <c r="N2485">
        <v>2096783</v>
      </c>
      <c r="O2485" t="s">
        <v>7099</v>
      </c>
      <c r="R2485" t="s">
        <v>3985</v>
      </c>
      <c r="S2485" s="34" t="s">
        <v>7100</v>
      </c>
    </row>
    <row r="2486" spans="1:19" ht="409.5" x14ac:dyDescent="0.15">
      <c r="A2486" t="s">
        <v>3432</v>
      </c>
      <c r="B2486" s="61">
        <v>46266</v>
      </c>
      <c r="E2486" t="s">
        <v>355</v>
      </c>
      <c r="F2486" t="s">
        <v>351</v>
      </c>
      <c r="G2486" t="s">
        <v>352</v>
      </c>
      <c r="H2486" t="s">
        <v>353</v>
      </c>
      <c r="I2486">
        <v>2202430</v>
      </c>
      <c r="J2486" t="s">
        <v>974</v>
      </c>
      <c r="K2486" t="s">
        <v>7097</v>
      </c>
      <c r="L2486" t="s">
        <v>7098</v>
      </c>
      <c r="N2486" t="s">
        <v>7101</v>
      </c>
      <c r="O2486" t="s">
        <v>7099</v>
      </c>
      <c r="R2486" t="s">
        <v>3985</v>
      </c>
      <c r="S2486" s="34" t="s">
        <v>7102</v>
      </c>
    </row>
    <row r="2487" spans="1:19" ht="364.5" x14ac:dyDescent="0.15">
      <c r="A2487" t="s">
        <v>3432</v>
      </c>
      <c r="B2487" s="61">
        <v>46266</v>
      </c>
      <c r="E2487" t="s">
        <v>355</v>
      </c>
      <c r="F2487" t="s">
        <v>351</v>
      </c>
      <c r="G2487" t="s">
        <v>354</v>
      </c>
      <c r="H2487" t="s">
        <v>686</v>
      </c>
      <c r="I2487">
        <v>2202611</v>
      </c>
      <c r="J2487" t="s">
        <v>974</v>
      </c>
      <c r="K2487" t="s">
        <v>4862</v>
      </c>
      <c r="L2487" t="s">
        <v>3700</v>
      </c>
      <c r="N2487">
        <v>2179113</v>
      </c>
      <c r="O2487" t="s">
        <v>4865</v>
      </c>
      <c r="S2487" s="34" t="s">
        <v>7103</v>
      </c>
    </row>
    <row r="2488" spans="1:19" ht="351" x14ac:dyDescent="0.15">
      <c r="A2488" t="s">
        <v>3432</v>
      </c>
      <c r="B2488" s="61">
        <v>46296</v>
      </c>
      <c r="E2488" t="s">
        <v>355</v>
      </c>
      <c r="F2488" t="s">
        <v>351</v>
      </c>
      <c r="G2488" t="s">
        <v>354</v>
      </c>
      <c r="H2488" t="s">
        <v>309</v>
      </c>
      <c r="I2488">
        <v>2200227</v>
      </c>
      <c r="J2488" t="s">
        <v>6692</v>
      </c>
      <c r="K2488" t="s">
        <v>7104</v>
      </c>
      <c r="L2488" t="s">
        <v>413</v>
      </c>
      <c r="N2488" t="s">
        <v>7370</v>
      </c>
      <c r="O2488" t="s">
        <v>7105</v>
      </c>
      <c r="R2488" t="s">
        <v>3992</v>
      </c>
      <c r="S2488" s="34" t="s">
        <v>7106</v>
      </c>
    </row>
    <row r="2489" spans="1:19" ht="324" x14ac:dyDescent="0.15">
      <c r="A2489" t="s">
        <v>3432</v>
      </c>
      <c r="B2489" s="61">
        <v>46296</v>
      </c>
      <c r="E2489" t="s">
        <v>355</v>
      </c>
      <c r="F2489" t="s">
        <v>351</v>
      </c>
      <c r="G2489" t="s">
        <v>354</v>
      </c>
      <c r="H2489" t="s">
        <v>353</v>
      </c>
      <c r="I2489">
        <v>2202306</v>
      </c>
      <c r="J2489" t="s">
        <v>974</v>
      </c>
      <c r="K2489" t="s">
        <v>7093</v>
      </c>
      <c r="L2489" t="s">
        <v>7094</v>
      </c>
      <c r="N2489" t="s">
        <v>7107</v>
      </c>
      <c r="O2489" t="s">
        <v>7095</v>
      </c>
      <c r="R2489" t="s">
        <v>3986</v>
      </c>
      <c r="S2489" s="34" t="s">
        <v>7108</v>
      </c>
    </row>
    <row r="2490" spans="1:19" ht="409.5" x14ac:dyDescent="0.15">
      <c r="A2490" t="s">
        <v>3432</v>
      </c>
      <c r="B2490" s="61">
        <v>46327</v>
      </c>
      <c r="E2490" t="s">
        <v>355</v>
      </c>
      <c r="F2490" t="s">
        <v>351</v>
      </c>
      <c r="G2490" t="s">
        <v>354</v>
      </c>
      <c r="H2490" t="s">
        <v>353</v>
      </c>
      <c r="I2490">
        <v>2200589</v>
      </c>
      <c r="J2490" t="s">
        <v>3442</v>
      </c>
      <c r="K2490" t="s">
        <v>1769</v>
      </c>
      <c r="L2490" t="s">
        <v>3443</v>
      </c>
      <c r="N2490" t="s">
        <v>3444</v>
      </c>
      <c r="O2490" t="s">
        <v>3445</v>
      </c>
      <c r="R2490" t="s">
        <v>3992</v>
      </c>
      <c r="S2490" s="34" t="s">
        <v>7109</v>
      </c>
    </row>
    <row r="2491" spans="1:19" ht="216" x14ac:dyDescent="0.15">
      <c r="A2491" t="s">
        <v>3432</v>
      </c>
      <c r="B2491" s="61">
        <v>46327</v>
      </c>
      <c r="E2491" t="s">
        <v>355</v>
      </c>
      <c r="F2491" t="s">
        <v>351</v>
      </c>
      <c r="G2491" t="s">
        <v>354</v>
      </c>
      <c r="H2491" t="s">
        <v>309</v>
      </c>
      <c r="I2491">
        <v>2200589</v>
      </c>
      <c r="J2491" t="s">
        <v>3442</v>
      </c>
      <c r="K2491" t="s">
        <v>1769</v>
      </c>
      <c r="L2491" t="s">
        <v>3443</v>
      </c>
      <c r="N2491" t="s">
        <v>7110</v>
      </c>
      <c r="O2491" t="s">
        <v>3445</v>
      </c>
      <c r="R2491" t="s">
        <v>3992</v>
      </c>
      <c r="S2491" s="34" t="s">
        <v>7111</v>
      </c>
    </row>
    <row r="2492" spans="1:19" ht="409.5" x14ac:dyDescent="0.15">
      <c r="A2492" t="s">
        <v>3432</v>
      </c>
      <c r="B2492" s="61">
        <v>46327</v>
      </c>
      <c r="E2492" t="s">
        <v>355</v>
      </c>
      <c r="F2492" t="s">
        <v>351</v>
      </c>
      <c r="G2492" t="s">
        <v>354</v>
      </c>
      <c r="H2492" t="s">
        <v>353</v>
      </c>
      <c r="I2492">
        <v>2202543</v>
      </c>
      <c r="J2492" t="s">
        <v>3463</v>
      </c>
      <c r="L2492" t="s">
        <v>3464</v>
      </c>
      <c r="N2492" t="s">
        <v>7112</v>
      </c>
      <c r="O2492" t="s">
        <v>3466</v>
      </c>
      <c r="R2492" t="s">
        <v>3987</v>
      </c>
      <c r="S2492" s="34" t="s">
        <v>7113</v>
      </c>
    </row>
    <row r="2493" spans="1:19" ht="189" x14ac:dyDescent="0.15">
      <c r="A2493" t="s">
        <v>3432</v>
      </c>
      <c r="B2493" s="61">
        <v>46327</v>
      </c>
      <c r="E2493" t="s">
        <v>355</v>
      </c>
      <c r="F2493" t="s">
        <v>351</v>
      </c>
      <c r="G2493" t="s">
        <v>354</v>
      </c>
      <c r="H2493" t="s">
        <v>3996</v>
      </c>
      <c r="I2493">
        <v>2202543</v>
      </c>
      <c r="J2493" t="s">
        <v>3463</v>
      </c>
      <c r="L2493" t="s">
        <v>3464</v>
      </c>
      <c r="N2493" t="s">
        <v>7114</v>
      </c>
      <c r="O2493" t="s">
        <v>3466</v>
      </c>
      <c r="R2493" t="s">
        <v>3987</v>
      </c>
      <c r="S2493" s="34" t="s">
        <v>7115</v>
      </c>
    </row>
    <row r="2494" spans="1:19" ht="364.5" x14ac:dyDescent="0.15">
      <c r="A2494" t="s">
        <v>3432</v>
      </c>
      <c r="B2494" s="61">
        <v>46357</v>
      </c>
      <c r="E2494" t="s">
        <v>355</v>
      </c>
      <c r="F2494" t="s">
        <v>351</v>
      </c>
      <c r="G2494" t="s">
        <v>352</v>
      </c>
      <c r="H2494" t="s">
        <v>310</v>
      </c>
      <c r="I2494">
        <v>2201460</v>
      </c>
      <c r="J2494" t="s">
        <v>7116</v>
      </c>
      <c r="L2494" t="s">
        <v>390</v>
      </c>
      <c r="N2494" t="s">
        <v>7117</v>
      </c>
      <c r="O2494" t="s">
        <v>7118</v>
      </c>
      <c r="R2494" t="s">
        <v>3958</v>
      </c>
      <c r="S2494" s="34" t="s">
        <v>7119</v>
      </c>
    </row>
    <row r="2495" spans="1:19" ht="189" x14ac:dyDescent="0.15">
      <c r="A2495" t="s">
        <v>3472</v>
      </c>
      <c r="B2495" s="61">
        <v>46235</v>
      </c>
      <c r="E2495" t="s">
        <v>355</v>
      </c>
      <c r="F2495" t="s">
        <v>351</v>
      </c>
      <c r="G2495" t="s">
        <v>352</v>
      </c>
      <c r="H2495" t="s">
        <v>353</v>
      </c>
      <c r="I2495">
        <v>4000704</v>
      </c>
      <c r="J2495" t="s">
        <v>7120</v>
      </c>
      <c r="K2495" t="s">
        <v>1251</v>
      </c>
      <c r="L2495" t="s">
        <v>7121</v>
      </c>
      <c r="N2495" t="s">
        <v>7122</v>
      </c>
      <c r="O2495" t="s">
        <v>7123</v>
      </c>
      <c r="R2495" t="s">
        <v>3985</v>
      </c>
      <c r="S2495" s="34" t="s">
        <v>7124</v>
      </c>
    </row>
    <row r="2496" spans="1:19" ht="409.5" x14ac:dyDescent="0.15">
      <c r="A2496" t="s">
        <v>3472</v>
      </c>
      <c r="B2496" s="61">
        <v>46266</v>
      </c>
      <c r="E2496" t="s">
        <v>355</v>
      </c>
      <c r="F2496" t="s">
        <v>351</v>
      </c>
      <c r="G2496" t="s">
        <v>354</v>
      </c>
      <c r="H2496" t="s">
        <v>353</v>
      </c>
      <c r="I2496">
        <v>4000409</v>
      </c>
      <c r="J2496" t="s">
        <v>2250</v>
      </c>
      <c r="K2496" t="s">
        <v>3919</v>
      </c>
      <c r="L2496" t="s">
        <v>584</v>
      </c>
      <c r="N2496" t="s">
        <v>4125</v>
      </c>
      <c r="O2496" t="s">
        <v>3920</v>
      </c>
      <c r="S2496" s="34" t="s">
        <v>7125</v>
      </c>
    </row>
    <row r="2497" spans="1:19" ht="409.5" x14ac:dyDescent="0.15">
      <c r="A2497" t="s">
        <v>3472</v>
      </c>
      <c r="B2497" s="61">
        <v>46266</v>
      </c>
      <c r="E2497" t="s">
        <v>355</v>
      </c>
      <c r="F2497" t="s">
        <v>351</v>
      </c>
      <c r="G2497" t="s">
        <v>354</v>
      </c>
      <c r="H2497" t="s">
        <v>353</v>
      </c>
      <c r="I2497">
        <v>4000644</v>
      </c>
      <c r="J2497" t="s">
        <v>531</v>
      </c>
      <c r="K2497" t="s">
        <v>2861</v>
      </c>
      <c r="L2497" t="s">
        <v>4162</v>
      </c>
      <c r="N2497" t="s">
        <v>7126</v>
      </c>
      <c r="O2497" t="s">
        <v>4163</v>
      </c>
      <c r="R2497" t="s">
        <v>3992</v>
      </c>
      <c r="S2497" s="34" t="s">
        <v>7127</v>
      </c>
    </row>
    <row r="2498" spans="1:19" ht="175.5" x14ac:dyDescent="0.15">
      <c r="A2498" t="s">
        <v>3472</v>
      </c>
      <c r="B2498" s="61">
        <v>46296</v>
      </c>
      <c r="E2498" t="s">
        <v>355</v>
      </c>
      <c r="F2498" t="s">
        <v>351</v>
      </c>
      <c r="G2498" t="s">
        <v>354</v>
      </c>
      <c r="H2498" t="s">
        <v>353</v>
      </c>
      <c r="I2498">
        <v>4000788</v>
      </c>
      <c r="J2498" t="s">
        <v>481</v>
      </c>
      <c r="K2498" t="s">
        <v>7128</v>
      </c>
      <c r="L2498" t="s">
        <v>7129</v>
      </c>
      <c r="N2498" t="s">
        <v>7130</v>
      </c>
      <c r="O2498" t="s">
        <v>7131</v>
      </c>
      <c r="S2498" s="34" t="s">
        <v>7132</v>
      </c>
    </row>
    <row r="2499" spans="1:19" ht="409.5" x14ac:dyDescent="0.15">
      <c r="A2499" t="s">
        <v>3472</v>
      </c>
      <c r="B2499" s="61">
        <v>46296</v>
      </c>
      <c r="E2499" t="s">
        <v>355</v>
      </c>
      <c r="F2499" t="s">
        <v>351</v>
      </c>
      <c r="G2499" t="s">
        <v>354</v>
      </c>
      <c r="H2499" t="s">
        <v>686</v>
      </c>
      <c r="I2499">
        <v>4000982</v>
      </c>
      <c r="J2499" t="s">
        <v>974</v>
      </c>
      <c r="K2499" t="s">
        <v>3479</v>
      </c>
      <c r="L2499" t="s">
        <v>2041</v>
      </c>
      <c r="N2499">
        <v>2162834</v>
      </c>
      <c r="O2499" t="s">
        <v>3481</v>
      </c>
      <c r="S2499" s="34" t="s">
        <v>7133</v>
      </c>
    </row>
    <row r="2500" spans="1:19" ht="409.5" x14ac:dyDescent="0.15">
      <c r="A2500" t="s">
        <v>3472</v>
      </c>
      <c r="B2500" s="61">
        <v>46327</v>
      </c>
      <c r="E2500" t="s">
        <v>355</v>
      </c>
      <c r="F2500" t="s">
        <v>351</v>
      </c>
      <c r="G2500" t="s">
        <v>354</v>
      </c>
      <c r="H2500" t="s">
        <v>686</v>
      </c>
      <c r="I2500">
        <v>4000138</v>
      </c>
      <c r="J2500" t="s">
        <v>2044</v>
      </c>
      <c r="K2500" t="s">
        <v>3473</v>
      </c>
      <c r="L2500" t="s">
        <v>3474</v>
      </c>
      <c r="N2500">
        <v>2145306</v>
      </c>
      <c r="O2500" t="s">
        <v>3476</v>
      </c>
      <c r="R2500" t="s">
        <v>4052</v>
      </c>
      <c r="S2500" s="34" t="s">
        <v>7134</v>
      </c>
    </row>
    <row r="2501" spans="1:19" ht="409.5" x14ac:dyDescent="0.15">
      <c r="A2501" t="s">
        <v>3472</v>
      </c>
      <c r="B2501" s="61">
        <v>46357</v>
      </c>
      <c r="E2501" t="s">
        <v>355</v>
      </c>
      <c r="F2501" t="s">
        <v>351</v>
      </c>
      <c r="G2501" t="s">
        <v>354</v>
      </c>
      <c r="H2501" t="s">
        <v>686</v>
      </c>
      <c r="I2501">
        <v>4000873</v>
      </c>
      <c r="J2501" t="s">
        <v>4001</v>
      </c>
      <c r="K2501" t="s">
        <v>7135</v>
      </c>
      <c r="L2501" t="s">
        <v>4003</v>
      </c>
      <c r="N2501">
        <v>2102115</v>
      </c>
      <c r="O2501" t="s">
        <v>4005</v>
      </c>
      <c r="S2501" s="34" t="s">
        <v>7136</v>
      </c>
    </row>
    <row r="2502" spans="1:19" ht="243" x14ac:dyDescent="0.15">
      <c r="A2502" t="s">
        <v>3483</v>
      </c>
      <c r="B2502" s="61">
        <v>46235</v>
      </c>
      <c r="E2502" t="s">
        <v>355</v>
      </c>
      <c r="F2502" t="s">
        <v>351</v>
      </c>
      <c r="G2502" t="s">
        <v>352</v>
      </c>
      <c r="H2502" t="s">
        <v>365</v>
      </c>
      <c r="I2502">
        <v>2303444</v>
      </c>
      <c r="J2502" t="s">
        <v>7137</v>
      </c>
      <c r="K2502" t="s">
        <v>7138</v>
      </c>
      <c r="L2502" t="s">
        <v>7139</v>
      </c>
      <c r="N2502" t="s">
        <v>7140</v>
      </c>
      <c r="O2502" t="s">
        <v>7141</v>
      </c>
      <c r="R2502" t="s">
        <v>3985</v>
      </c>
      <c r="S2502" s="34" t="s">
        <v>7142</v>
      </c>
    </row>
    <row r="2503" spans="1:19" ht="216" x14ac:dyDescent="0.15">
      <c r="A2503" t="s">
        <v>3483</v>
      </c>
      <c r="B2503" s="61">
        <v>46235</v>
      </c>
      <c r="E2503" t="s">
        <v>355</v>
      </c>
      <c r="F2503" t="s">
        <v>351</v>
      </c>
      <c r="G2503" t="s">
        <v>354</v>
      </c>
      <c r="H2503" t="s">
        <v>353</v>
      </c>
      <c r="I2503">
        <v>2303771</v>
      </c>
      <c r="J2503" t="s">
        <v>3516</v>
      </c>
      <c r="K2503" t="s">
        <v>3517</v>
      </c>
      <c r="L2503" t="s">
        <v>3518</v>
      </c>
      <c r="N2503" t="s">
        <v>3519</v>
      </c>
      <c r="O2503" t="s">
        <v>3520</v>
      </c>
      <c r="R2503" t="s">
        <v>3987</v>
      </c>
      <c r="S2503" s="34" t="s">
        <v>7143</v>
      </c>
    </row>
    <row r="2504" spans="1:19" ht="378" x14ac:dyDescent="0.15">
      <c r="A2504" t="s">
        <v>3483</v>
      </c>
      <c r="B2504" s="61">
        <v>46296</v>
      </c>
      <c r="E2504" t="s">
        <v>355</v>
      </c>
      <c r="F2504" t="s">
        <v>351</v>
      </c>
      <c r="G2504" t="s">
        <v>352</v>
      </c>
      <c r="H2504" t="s">
        <v>353</v>
      </c>
      <c r="I2504">
        <v>2300735</v>
      </c>
      <c r="J2504" t="s">
        <v>3490</v>
      </c>
      <c r="K2504" t="s">
        <v>3491</v>
      </c>
      <c r="L2504" t="s">
        <v>3492</v>
      </c>
      <c r="N2504" t="s">
        <v>3493</v>
      </c>
      <c r="O2504" t="s">
        <v>3494</v>
      </c>
      <c r="R2504" t="s">
        <v>3958</v>
      </c>
      <c r="S2504" s="34" t="s">
        <v>7144</v>
      </c>
    </row>
    <row r="2505" spans="1:19" ht="391.5" x14ac:dyDescent="0.15">
      <c r="A2505" t="s">
        <v>3483</v>
      </c>
      <c r="B2505" s="61">
        <v>46327</v>
      </c>
      <c r="E2505" t="s">
        <v>355</v>
      </c>
      <c r="F2505" t="s">
        <v>351</v>
      </c>
      <c r="G2505" t="s">
        <v>352</v>
      </c>
      <c r="H2505" t="s">
        <v>310</v>
      </c>
      <c r="I2505">
        <v>2300008</v>
      </c>
      <c r="J2505" t="s">
        <v>1036</v>
      </c>
      <c r="K2505" t="s">
        <v>4459</v>
      </c>
      <c r="L2505" t="s">
        <v>7145</v>
      </c>
      <c r="N2505" t="s">
        <v>7146</v>
      </c>
      <c r="O2505" t="s">
        <v>7147</v>
      </c>
      <c r="R2505" t="s">
        <v>3985</v>
      </c>
      <c r="S2505" s="34" t="s">
        <v>7148</v>
      </c>
    </row>
    <row r="2506" spans="1:19" ht="409.5" x14ac:dyDescent="0.15">
      <c r="A2506" t="s">
        <v>3483</v>
      </c>
      <c r="B2506" s="61">
        <v>46327</v>
      </c>
      <c r="E2506" t="s">
        <v>355</v>
      </c>
      <c r="F2506" t="s">
        <v>351</v>
      </c>
      <c r="G2506" t="s">
        <v>352</v>
      </c>
      <c r="H2506" t="s">
        <v>310</v>
      </c>
      <c r="I2506">
        <v>2300012</v>
      </c>
      <c r="J2506" t="s">
        <v>1036</v>
      </c>
      <c r="K2506" t="s">
        <v>4459</v>
      </c>
      <c r="L2506" t="s">
        <v>7149</v>
      </c>
      <c r="N2506" t="s">
        <v>7150</v>
      </c>
      <c r="O2506" t="s">
        <v>7151</v>
      </c>
      <c r="R2506" t="s">
        <v>3985</v>
      </c>
      <c r="S2506" s="34" t="s">
        <v>7152</v>
      </c>
    </row>
    <row r="2507" spans="1:19" ht="216" x14ac:dyDescent="0.15">
      <c r="A2507" t="s">
        <v>3483</v>
      </c>
      <c r="B2507" s="61">
        <v>46357</v>
      </c>
      <c r="E2507" t="s">
        <v>355</v>
      </c>
      <c r="F2507" t="s">
        <v>351</v>
      </c>
      <c r="G2507" t="s">
        <v>354</v>
      </c>
      <c r="H2507" t="s">
        <v>365</v>
      </c>
      <c r="I2507">
        <v>2300537</v>
      </c>
      <c r="J2507" t="s">
        <v>775</v>
      </c>
      <c r="K2507" t="s">
        <v>4459</v>
      </c>
      <c r="L2507" t="s">
        <v>7153</v>
      </c>
      <c r="N2507" t="s">
        <v>7154</v>
      </c>
      <c r="O2507" t="s">
        <v>7155</v>
      </c>
      <c r="R2507" t="s">
        <v>3992</v>
      </c>
      <c r="S2507" s="34" t="s">
        <v>7156</v>
      </c>
    </row>
    <row r="2508" spans="1:19" ht="364.5" x14ac:dyDescent="0.15">
      <c r="A2508" t="s">
        <v>3483</v>
      </c>
      <c r="B2508" s="61">
        <v>46357</v>
      </c>
      <c r="E2508" t="s">
        <v>355</v>
      </c>
      <c r="F2508" t="s">
        <v>351</v>
      </c>
      <c r="G2508" t="s">
        <v>354</v>
      </c>
      <c r="H2508" t="s">
        <v>353</v>
      </c>
      <c r="I2508">
        <v>2302326</v>
      </c>
      <c r="J2508" t="s">
        <v>3507</v>
      </c>
      <c r="K2508" t="s">
        <v>3508</v>
      </c>
      <c r="L2508" t="s">
        <v>2628</v>
      </c>
      <c r="N2508" t="s">
        <v>3509</v>
      </c>
      <c r="O2508" t="s">
        <v>3510</v>
      </c>
      <c r="R2508" t="s">
        <v>3986</v>
      </c>
      <c r="S2508" s="34" t="s">
        <v>7157</v>
      </c>
    </row>
    <row r="2509" spans="1:19" ht="229.5" x14ac:dyDescent="0.15">
      <c r="A2509" t="s">
        <v>3483</v>
      </c>
      <c r="B2509" s="61">
        <v>46357</v>
      </c>
      <c r="E2509" t="s">
        <v>355</v>
      </c>
      <c r="F2509" t="s">
        <v>351</v>
      </c>
      <c r="G2509" t="s">
        <v>352</v>
      </c>
      <c r="H2509" t="s">
        <v>353</v>
      </c>
      <c r="I2509">
        <v>2303216</v>
      </c>
      <c r="J2509" t="s">
        <v>3495</v>
      </c>
      <c r="K2509" t="s">
        <v>3496</v>
      </c>
      <c r="L2509" t="s">
        <v>3497</v>
      </c>
      <c r="N2509" t="s">
        <v>3498</v>
      </c>
      <c r="O2509" t="s">
        <v>3499</v>
      </c>
      <c r="R2509" t="s">
        <v>3985</v>
      </c>
      <c r="S2509" s="34" t="s">
        <v>7158</v>
      </c>
    </row>
    <row r="2510" spans="1:19" ht="378" x14ac:dyDescent="0.15">
      <c r="A2510" t="s">
        <v>3617</v>
      </c>
      <c r="B2510" s="61">
        <v>46235</v>
      </c>
      <c r="E2510" t="s">
        <v>355</v>
      </c>
      <c r="F2510" t="s">
        <v>351</v>
      </c>
      <c r="G2510" t="s">
        <v>352</v>
      </c>
      <c r="H2510" t="s">
        <v>353</v>
      </c>
      <c r="I2510">
        <v>4000073</v>
      </c>
      <c r="J2510" t="s">
        <v>3628</v>
      </c>
      <c r="K2510" t="s">
        <v>3629</v>
      </c>
      <c r="L2510" t="s">
        <v>3630</v>
      </c>
      <c r="N2510" t="s">
        <v>7159</v>
      </c>
      <c r="O2510" t="s">
        <v>3632</v>
      </c>
      <c r="R2510" t="s">
        <v>3985</v>
      </c>
      <c r="S2510" s="34" t="s">
        <v>7160</v>
      </c>
    </row>
    <row r="2511" spans="1:19" ht="364.5" x14ac:dyDescent="0.15">
      <c r="A2511" t="s">
        <v>3617</v>
      </c>
      <c r="B2511" s="61">
        <v>46235</v>
      </c>
      <c r="E2511" t="s">
        <v>355</v>
      </c>
      <c r="F2511" t="s">
        <v>351</v>
      </c>
      <c r="G2511" t="s">
        <v>352</v>
      </c>
      <c r="H2511" t="s">
        <v>353</v>
      </c>
      <c r="I2511">
        <v>4000722</v>
      </c>
      <c r="J2511" t="s">
        <v>3628</v>
      </c>
      <c r="K2511" t="s">
        <v>3629</v>
      </c>
      <c r="L2511" t="s">
        <v>3672</v>
      </c>
      <c r="N2511" t="s">
        <v>7161</v>
      </c>
      <c r="O2511" t="s">
        <v>3674</v>
      </c>
      <c r="R2511" t="s">
        <v>3985</v>
      </c>
      <c r="S2511" s="34" t="s">
        <v>7162</v>
      </c>
    </row>
    <row r="2512" spans="1:19" ht="243" x14ac:dyDescent="0.15">
      <c r="A2512" t="s">
        <v>3617</v>
      </c>
      <c r="B2512" s="61">
        <v>46235</v>
      </c>
      <c r="E2512" t="s">
        <v>355</v>
      </c>
      <c r="F2512" t="s">
        <v>351</v>
      </c>
      <c r="G2512" t="s">
        <v>352</v>
      </c>
      <c r="H2512" t="s">
        <v>310</v>
      </c>
      <c r="I2512">
        <v>4000861</v>
      </c>
      <c r="J2512" t="s">
        <v>1264</v>
      </c>
      <c r="K2512" t="s">
        <v>3623</v>
      </c>
      <c r="L2512" t="s">
        <v>3624</v>
      </c>
      <c r="N2512" t="s">
        <v>3625</v>
      </c>
      <c r="O2512" t="s">
        <v>3626</v>
      </c>
      <c r="R2512" t="s">
        <v>3985</v>
      </c>
      <c r="S2512" s="34" t="s">
        <v>7163</v>
      </c>
    </row>
    <row r="2513" spans="1:19" ht="229.5" x14ac:dyDescent="0.15">
      <c r="A2513" t="s">
        <v>3617</v>
      </c>
      <c r="B2513" s="61">
        <v>46266</v>
      </c>
      <c r="E2513" t="s">
        <v>355</v>
      </c>
      <c r="F2513" t="s">
        <v>351</v>
      </c>
      <c r="G2513" t="s">
        <v>352</v>
      </c>
      <c r="H2513" t="s">
        <v>365</v>
      </c>
      <c r="I2513">
        <v>4000519</v>
      </c>
      <c r="J2513" t="s">
        <v>3659</v>
      </c>
      <c r="K2513" t="s">
        <v>7164</v>
      </c>
      <c r="L2513" t="s">
        <v>698</v>
      </c>
      <c r="N2513" t="s">
        <v>7165</v>
      </c>
      <c r="O2513" t="s">
        <v>7166</v>
      </c>
      <c r="R2513" t="s">
        <v>3985</v>
      </c>
      <c r="S2513" s="34" t="s">
        <v>7167</v>
      </c>
    </row>
    <row r="2514" spans="1:19" ht="409.5" x14ac:dyDescent="0.15">
      <c r="A2514" t="s">
        <v>3617</v>
      </c>
      <c r="B2514" s="61">
        <v>46266</v>
      </c>
      <c r="E2514" t="s">
        <v>355</v>
      </c>
      <c r="F2514" t="s">
        <v>351</v>
      </c>
      <c r="G2514" t="s">
        <v>354</v>
      </c>
      <c r="H2514" t="s">
        <v>353</v>
      </c>
      <c r="I2514">
        <v>4000838</v>
      </c>
      <c r="J2514" t="s">
        <v>3634</v>
      </c>
      <c r="K2514" t="s">
        <v>3635</v>
      </c>
      <c r="L2514" t="s">
        <v>3636</v>
      </c>
      <c r="N2514" t="s">
        <v>7371</v>
      </c>
      <c r="O2514" t="s">
        <v>3638</v>
      </c>
      <c r="S2514" s="34" t="s">
        <v>7168</v>
      </c>
    </row>
    <row r="2515" spans="1:19" ht="409.5" x14ac:dyDescent="0.15">
      <c r="A2515" t="s">
        <v>3617</v>
      </c>
      <c r="B2515" s="61">
        <v>46266</v>
      </c>
      <c r="E2515" t="s">
        <v>355</v>
      </c>
      <c r="F2515" t="s">
        <v>351</v>
      </c>
      <c r="G2515" t="s">
        <v>354</v>
      </c>
      <c r="H2515" t="s">
        <v>365</v>
      </c>
      <c r="I2515">
        <v>4000838</v>
      </c>
      <c r="J2515" t="s">
        <v>3634</v>
      </c>
      <c r="K2515" t="s">
        <v>3635</v>
      </c>
      <c r="L2515" t="s">
        <v>3636</v>
      </c>
      <c r="N2515" t="s">
        <v>7169</v>
      </c>
      <c r="O2515" t="s">
        <v>3638</v>
      </c>
      <c r="S2515" s="34" t="s">
        <v>7170</v>
      </c>
    </row>
    <row r="2516" spans="1:19" ht="409.5" x14ac:dyDescent="0.15">
      <c r="A2516" t="s">
        <v>3617</v>
      </c>
      <c r="B2516" s="61">
        <v>46296</v>
      </c>
      <c r="E2516" t="s">
        <v>355</v>
      </c>
      <c r="F2516" t="s">
        <v>351</v>
      </c>
      <c r="G2516" t="s">
        <v>354</v>
      </c>
      <c r="H2516" t="s">
        <v>353</v>
      </c>
      <c r="I2516">
        <v>4000117</v>
      </c>
      <c r="J2516" t="s">
        <v>3654</v>
      </c>
      <c r="K2516" t="s">
        <v>3655</v>
      </c>
      <c r="L2516" t="s">
        <v>3656</v>
      </c>
      <c r="N2516" t="s">
        <v>7171</v>
      </c>
      <c r="O2516" t="s">
        <v>3658</v>
      </c>
      <c r="S2516" s="34" t="s">
        <v>7172</v>
      </c>
    </row>
    <row r="2517" spans="1:19" ht="409.5" x14ac:dyDescent="0.15">
      <c r="A2517" t="s">
        <v>3617</v>
      </c>
      <c r="B2517" s="61">
        <v>46296</v>
      </c>
      <c r="E2517" t="s">
        <v>355</v>
      </c>
      <c r="F2517" t="s">
        <v>351</v>
      </c>
      <c r="G2517" t="s">
        <v>354</v>
      </c>
      <c r="H2517" t="s">
        <v>365</v>
      </c>
      <c r="I2517">
        <v>4000324</v>
      </c>
      <c r="J2517" t="s">
        <v>371</v>
      </c>
      <c r="K2517" t="s">
        <v>3640</v>
      </c>
      <c r="L2517" t="s">
        <v>3641</v>
      </c>
      <c r="N2517" t="s">
        <v>7173</v>
      </c>
      <c r="O2517" t="s">
        <v>3643</v>
      </c>
      <c r="S2517" s="34" t="s">
        <v>7174</v>
      </c>
    </row>
    <row r="2518" spans="1:19" ht="409.5" x14ac:dyDescent="0.15">
      <c r="A2518" t="s">
        <v>3617</v>
      </c>
      <c r="B2518" s="61">
        <v>46327</v>
      </c>
      <c r="E2518" t="s">
        <v>355</v>
      </c>
      <c r="F2518" t="s">
        <v>351</v>
      </c>
      <c r="G2518" t="s">
        <v>354</v>
      </c>
      <c r="H2518" t="s">
        <v>353</v>
      </c>
      <c r="I2518">
        <v>4000749</v>
      </c>
      <c r="J2518" t="s">
        <v>2940</v>
      </c>
      <c r="K2518" t="s">
        <v>7175</v>
      </c>
      <c r="L2518" t="s">
        <v>7176</v>
      </c>
      <c r="N2518" t="s">
        <v>7177</v>
      </c>
      <c r="O2518" t="s">
        <v>7178</v>
      </c>
      <c r="R2518" t="s">
        <v>3987</v>
      </c>
      <c r="S2518" s="34" t="s">
        <v>7179</v>
      </c>
    </row>
    <row r="2519" spans="1:19" ht="409.5" x14ac:dyDescent="0.15">
      <c r="A2519" t="s">
        <v>3617</v>
      </c>
      <c r="B2519" s="61">
        <v>46327</v>
      </c>
      <c r="E2519" t="s">
        <v>355</v>
      </c>
      <c r="F2519" t="s">
        <v>351</v>
      </c>
      <c r="G2519" t="s">
        <v>354</v>
      </c>
      <c r="H2519" t="s">
        <v>686</v>
      </c>
      <c r="I2519">
        <v>4000749</v>
      </c>
      <c r="J2519" t="s">
        <v>2940</v>
      </c>
      <c r="K2519" t="s">
        <v>7175</v>
      </c>
      <c r="L2519" t="s">
        <v>7176</v>
      </c>
      <c r="N2519">
        <v>2107893</v>
      </c>
      <c r="O2519" t="s">
        <v>7178</v>
      </c>
      <c r="R2519" t="s">
        <v>3987</v>
      </c>
      <c r="S2519" s="34" t="s">
        <v>7180</v>
      </c>
    </row>
    <row r="2520" spans="1:19" ht="409.5" x14ac:dyDescent="0.15">
      <c r="A2520" t="s">
        <v>3617</v>
      </c>
      <c r="B2520" s="61">
        <v>46327</v>
      </c>
      <c r="E2520" t="s">
        <v>355</v>
      </c>
      <c r="F2520" t="s">
        <v>351</v>
      </c>
      <c r="G2520" t="s">
        <v>354</v>
      </c>
      <c r="H2520" t="s">
        <v>353</v>
      </c>
      <c r="I2520">
        <v>4000828</v>
      </c>
      <c r="J2520" t="s">
        <v>2940</v>
      </c>
      <c r="K2520" t="s">
        <v>7175</v>
      </c>
      <c r="L2520" t="s">
        <v>7181</v>
      </c>
      <c r="N2520" t="s">
        <v>7182</v>
      </c>
      <c r="O2520" t="s">
        <v>7183</v>
      </c>
      <c r="R2520" t="s">
        <v>3987</v>
      </c>
      <c r="S2520" s="34" t="s">
        <v>7184</v>
      </c>
    </row>
    <row r="2521" spans="1:19" ht="409.5" x14ac:dyDescent="0.15">
      <c r="A2521" t="s">
        <v>3617</v>
      </c>
      <c r="B2521" s="61">
        <v>46327</v>
      </c>
      <c r="E2521" t="s">
        <v>355</v>
      </c>
      <c r="F2521" t="s">
        <v>351</v>
      </c>
      <c r="G2521" t="s">
        <v>354</v>
      </c>
      <c r="H2521" t="s">
        <v>686</v>
      </c>
      <c r="I2521">
        <v>4000828</v>
      </c>
      <c r="J2521" t="s">
        <v>2940</v>
      </c>
      <c r="K2521" t="s">
        <v>7175</v>
      </c>
      <c r="L2521" t="s">
        <v>7181</v>
      </c>
      <c r="N2521">
        <v>2107888</v>
      </c>
      <c r="O2521" t="s">
        <v>7183</v>
      </c>
      <c r="R2521" t="s">
        <v>3987</v>
      </c>
      <c r="S2521" s="34" t="s">
        <v>7185</v>
      </c>
    </row>
    <row r="2522" spans="1:19" ht="409.5" x14ac:dyDescent="0.15">
      <c r="A2522" t="s">
        <v>3617</v>
      </c>
      <c r="B2522" s="61">
        <v>46327</v>
      </c>
      <c r="E2522" t="s">
        <v>355</v>
      </c>
      <c r="F2522" t="s">
        <v>351</v>
      </c>
      <c r="G2522" t="s">
        <v>354</v>
      </c>
      <c r="H2522" t="s">
        <v>365</v>
      </c>
      <c r="I2522">
        <v>4000885</v>
      </c>
      <c r="J2522" t="s">
        <v>3659</v>
      </c>
      <c r="K2522" t="s">
        <v>2861</v>
      </c>
      <c r="L2522" t="s">
        <v>3660</v>
      </c>
      <c r="N2522" t="s">
        <v>7186</v>
      </c>
      <c r="O2522" t="s">
        <v>3662</v>
      </c>
      <c r="R2522" t="s">
        <v>3987</v>
      </c>
      <c r="S2522" s="34" t="s">
        <v>7187</v>
      </c>
    </row>
    <row r="2523" spans="1:19" ht="409.5" x14ac:dyDescent="0.15">
      <c r="A2523" t="s">
        <v>3617</v>
      </c>
      <c r="B2523" s="61">
        <v>46327</v>
      </c>
      <c r="E2523" t="s">
        <v>355</v>
      </c>
      <c r="F2523" t="s">
        <v>351</v>
      </c>
      <c r="G2523" t="s">
        <v>354</v>
      </c>
      <c r="H2523" t="s">
        <v>353</v>
      </c>
      <c r="I2523">
        <v>4000918</v>
      </c>
      <c r="J2523" t="s">
        <v>2940</v>
      </c>
      <c r="K2523" t="s">
        <v>7175</v>
      </c>
      <c r="L2523" t="s">
        <v>7188</v>
      </c>
      <c r="N2523" t="s">
        <v>7189</v>
      </c>
      <c r="O2523" t="s">
        <v>7190</v>
      </c>
      <c r="R2523" t="s">
        <v>3986</v>
      </c>
      <c r="S2523" s="34" t="s">
        <v>7191</v>
      </c>
    </row>
    <row r="2524" spans="1:19" ht="364.5" x14ac:dyDescent="0.15">
      <c r="A2524" t="s">
        <v>3617</v>
      </c>
      <c r="B2524" s="61">
        <v>46327</v>
      </c>
      <c r="E2524" t="s">
        <v>355</v>
      </c>
      <c r="F2524" t="s">
        <v>351</v>
      </c>
      <c r="G2524" t="s">
        <v>354</v>
      </c>
      <c r="H2524" t="s">
        <v>686</v>
      </c>
      <c r="I2524">
        <v>4000918</v>
      </c>
      <c r="J2524" t="s">
        <v>2940</v>
      </c>
      <c r="K2524" t="s">
        <v>7175</v>
      </c>
      <c r="L2524" t="s">
        <v>7188</v>
      </c>
      <c r="N2524">
        <v>2132138</v>
      </c>
      <c r="O2524" t="s">
        <v>7190</v>
      </c>
      <c r="R2524" t="s">
        <v>3986</v>
      </c>
      <c r="S2524" s="34" t="s">
        <v>7192</v>
      </c>
    </row>
    <row r="2525" spans="1:19" ht="229.5" x14ac:dyDescent="0.15">
      <c r="A2525" t="s">
        <v>3617</v>
      </c>
      <c r="B2525" s="61">
        <v>46357</v>
      </c>
      <c r="E2525" t="s">
        <v>355</v>
      </c>
      <c r="F2525" t="s">
        <v>351</v>
      </c>
      <c r="G2525" t="s">
        <v>354</v>
      </c>
      <c r="H2525" t="s">
        <v>365</v>
      </c>
      <c r="I2525">
        <v>3500323</v>
      </c>
      <c r="J2525" t="s">
        <v>3668</v>
      </c>
      <c r="L2525" t="s">
        <v>3669</v>
      </c>
      <c r="N2525" t="s">
        <v>3670</v>
      </c>
      <c r="O2525" t="s">
        <v>3671</v>
      </c>
      <c r="S2525" s="34" t="s">
        <v>7193</v>
      </c>
    </row>
    <row r="2526" spans="1:19" ht="202.5" x14ac:dyDescent="0.15">
      <c r="A2526" t="s">
        <v>3617</v>
      </c>
      <c r="B2526" s="61">
        <v>46357</v>
      </c>
      <c r="E2526" t="s">
        <v>355</v>
      </c>
      <c r="F2526" t="s">
        <v>351</v>
      </c>
      <c r="G2526" t="s">
        <v>354</v>
      </c>
      <c r="H2526" t="s">
        <v>353</v>
      </c>
      <c r="I2526">
        <v>4000966</v>
      </c>
      <c r="J2526" t="s">
        <v>1497</v>
      </c>
      <c r="K2526" t="s">
        <v>4196</v>
      </c>
      <c r="L2526" t="s">
        <v>4197</v>
      </c>
      <c r="N2526" t="s">
        <v>4198</v>
      </c>
      <c r="O2526" t="s">
        <v>4199</v>
      </c>
      <c r="S2526" s="34" t="s">
        <v>7194</v>
      </c>
    </row>
    <row r="2527" spans="1:19" ht="243" x14ac:dyDescent="0.15">
      <c r="A2527" t="s">
        <v>3684</v>
      </c>
      <c r="B2527" s="61">
        <v>46235</v>
      </c>
      <c r="E2527" t="s">
        <v>355</v>
      </c>
      <c r="F2527" t="s">
        <v>351</v>
      </c>
      <c r="G2527" t="s">
        <v>352</v>
      </c>
      <c r="H2527" t="s">
        <v>310</v>
      </c>
      <c r="I2527">
        <v>2702349</v>
      </c>
      <c r="J2527" t="s">
        <v>7195</v>
      </c>
      <c r="K2527" t="s">
        <v>1251</v>
      </c>
      <c r="L2527" t="s">
        <v>7196</v>
      </c>
      <c r="N2527" t="s">
        <v>7197</v>
      </c>
      <c r="O2527" t="s">
        <v>7198</v>
      </c>
      <c r="R2527" t="s">
        <v>3985</v>
      </c>
      <c r="S2527" s="34" t="s">
        <v>7199</v>
      </c>
    </row>
    <row r="2528" spans="1:19" ht="409.5" x14ac:dyDescent="0.15">
      <c r="A2528" t="s">
        <v>3684</v>
      </c>
      <c r="B2528" s="61">
        <v>46235</v>
      </c>
      <c r="E2528" t="s">
        <v>355</v>
      </c>
      <c r="F2528" t="s">
        <v>351</v>
      </c>
      <c r="G2528" t="s">
        <v>354</v>
      </c>
      <c r="H2528" t="s">
        <v>686</v>
      </c>
      <c r="I2528">
        <v>2702410</v>
      </c>
      <c r="J2528" t="s">
        <v>974</v>
      </c>
      <c r="K2528" t="s">
        <v>3699</v>
      </c>
      <c r="L2528" t="s">
        <v>3700</v>
      </c>
      <c r="N2528">
        <v>2076455</v>
      </c>
      <c r="O2528" t="s">
        <v>3702</v>
      </c>
      <c r="R2528" t="s">
        <v>3985</v>
      </c>
      <c r="S2528" s="34" t="s">
        <v>7200</v>
      </c>
    </row>
    <row r="2529" spans="1:19" ht="409.5" x14ac:dyDescent="0.15">
      <c r="A2529" t="s">
        <v>3684</v>
      </c>
      <c r="B2529" s="61">
        <v>46266</v>
      </c>
      <c r="E2529" t="s">
        <v>355</v>
      </c>
      <c r="F2529" t="s">
        <v>351</v>
      </c>
      <c r="G2529" t="s">
        <v>354</v>
      </c>
      <c r="H2529" t="s">
        <v>353</v>
      </c>
      <c r="I2529">
        <v>2702723</v>
      </c>
      <c r="J2529" t="s">
        <v>3712</v>
      </c>
      <c r="K2529" t="s">
        <v>440</v>
      </c>
      <c r="L2529" t="s">
        <v>466</v>
      </c>
      <c r="N2529" t="s">
        <v>7201</v>
      </c>
      <c r="O2529" t="s">
        <v>3714</v>
      </c>
      <c r="S2529" s="34" t="s">
        <v>7202</v>
      </c>
    </row>
    <row r="2530" spans="1:19" ht="409.5" x14ac:dyDescent="0.15">
      <c r="A2530" t="s">
        <v>3684</v>
      </c>
      <c r="B2530" s="61">
        <v>46266</v>
      </c>
      <c r="E2530" t="s">
        <v>355</v>
      </c>
      <c r="F2530" t="s">
        <v>351</v>
      </c>
      <c r="G2530" t="s">
        <v>354</v>
      </c>
      <c r="H2530" t="s">
        <v>686</v>
      </c>
      <c r="I2530">
        <v>2702723</v>
      </c>
      <c r="J2530" t="s">
        <v>3712</v>
      </c>
      <c r="K2530" t="s">
        <v>440</v>
      </c>
      <c r="L2530" t="s">
        <v>466</v>
      </c>
      <c r="N2530">
        <v>2121179</v>
      </c>
      <c r="O2530" t="s">
        <v>3714</v>
      </c>
      <c r="R2530" t="s">
        <v>4052</v>
      </c>
      <c r="S2530" s="34" t="s">
        <v>7203</v>
      </c>
    </row>
    <row r="2531" spans="1:19" ht="229.5" x14ac:dyDescent="0.15">
      <c r="A2531" t="s">
        <v>3684</v>
      </c>
      <c r="B2531" s="61">
        <v>46266</v>
      </c>
      <c r="E2531" t="s">
        <v>355</v>
      </c>
      <c r="F2531" t="s">
        <v>351</v>
      </c>
      <c r="G2531" t="s">
        <v>354</v>
      </c>
      <c r="H2531" t="s">
        <v>353</v>
      </c>
      <c r="I2531">
        <v>2702754</v>
      </c>
      <c r="J2531" t="s">
        <v>780</v>
      </c>
      <c r="K2531" t="s">
        <v>3715</v>
      </c>
      <c r="L2531" t="s">
        <v>833</v>
      </c>
      <c r="N2531" t="s">
        <v>7372</v>
      </c>
      <c r="O2531" t="s">
        <v>3718</v>
      </c>
      <c r="R2531" t="s">
        <v>3987</v>
      </c>
      <c r="S2531" s="34" t="s">
        <v>7373</v>
      </c>
    </row>
    <row r="2532" spans="1:19" ht="409.5" x14ac:dyDescent="0.15">
      <c r="A2532" t="s">
        <v>3684</v>
      </c>
      <c r="B2532" s="61">
        <v>46296</v>
      </c>
      <c r="E2532" t="s">
        <v>355</v>
      </c>
      <c r="F2532" t="s">
        <v>351</v>
      </c>
      <c r="G2532" t="s">
        <v>354</v>
      </c>
      <c r="H2532" t="s">
        <v>353</v>
      </c>
      <c r="I2532">
        <v>2700494</v>
      </c>
      <c r="J2532" t="s">
        <v>7204</v>
      </c>
      <c r="K2532" t="s">
        <v>7205</v>
      </c>
      <c r="L2532" t="s">
        <v>413</v>
      </c>
      <c r="N2532" t="s">
        <v>7206</v>
      </c>
      <c r="O2532" t="s">
        <v>7207</v>
      </c>
      <c r="R2532" t="s">
        <v>3992</v>
      </c>
      <c r="S2532" s="34" t="s">
        <v>7208</v>
      </c>
    </row>
    <row r="2533" spans="1:19" ht="409.5" x14ac:dyDescent="0.15">
      <c r="A2533" t="s">
        <v>3684</v>
      </c>
      <c r="B2533" s="61">
        <v>46296</v>
      </c>
      <c r="E2533" t="s">
        <v>355</v>
      </c>
      <c r="F2533" t="s">
        <v>351</v>
      </c>
      <c r="G2533" t="s">
        <v>354</v>
      </c>
      <c r="H2533" t="s">
        <v>686</v>
      </c>
      <c r="I2533">
        <v>2700758</v>
      </c>
      <c r="J2533" t="s">
        <v>3726</v>
      </c>
      <c r="K2533" t="s">
        <v>2290</v>
      </c>
      <c r="L2533" t="s">
        <v>2550</v>
      </c>
      <c r="N2533" t="s">
        <v>7209</v>
      </c>
      <c r="O2533" t="s">
        <v>3729</v>
      </c>
      <c r="S2533" s="34" t="s">
        <v>7210</v>
      </c>
    </row>
    <row r="2534" spans="1:19" ht="202.5" x14ac:dyDescent="0.15">
      <c r="A2534" t="s">
        <v>3684</v>
      </c>
      <c r="B2534" s="61">
        <v>46296</v>
      </c>
      <c r="E2534" t="s">
        <v>355</v>
      </c>
      <c r="F2534" t="s">
        <v>351</v>
      </c>
      <c r="G2534" t="s">
        <v>354</v>
      </c>
      <c r="H2534" t="s">
        <v>686</v>
      </c>
      <c r="I2534">
        <v>2700758</v>
      </c>
      <c r="J2534" t="s">
        <v>3726</v>
      </c>
      <c r="K2534" t="s">
        <v>2290</v>
      </c>
      <c r="L2534" t="s">
        <v>2550</v>
      </c>
      <c r="N2534">
        <v>2139376</v>
      </c>
      <c r="O2534" t="s">
        <v>3729</v>
      </c>
      <c r="S2534" s="34" t="s">
        <v>7211</v>
      </c>
    </row>
    <row r="2535" spans="1:19" ht="216" x14ac:dyDescent="0.15">
      <c r="A2535" t="s">
        <v>3684</v>
      </c>
      <c r="B2535" s="61">
        <v>46296</v>
      </c>
      <c r="E2535" t="s">
        <v>355</v>
      </c>
      <c r="F2535" t="s">
        <v>351</v>
      </c>
      <c r="G2535" t="s">
        <v>352</v>
      </c>
      <c r="H2535" t="s">
        <v>353</v>
      </c>
      <c r="I2535">
        <v>2701496</v>
      </c>
      <c r="J2535" t="s">
        <v>3691</v>
      </c>
      <c r="K2535" t="s">
        <v>3692</v>
      </c>
      <c r="L2535" t="s">
        <v>413</v>
      </c>
      <c r="N2535" t="s">
        <v>3693</v>
      </c>
      <c r="O2535" t="s">
        <v>3694</v>
      </c>
      <c r="R2535" t="s">
        <v>3985</v>
      </c>
      <c r="S2535" s="34" t="s">
        <v>7212</v>
      </c>
    </row>
    <row r="2536" spans="1:19" ht="409.5" x14ac:dyDescent="0.15">
      <c r="A2536" t="s">
        <v>3684</v>
      </c>
      <c r="B2536" s="61">
        <v>46296</v>
      </c>
      <c r="E2536" t="s">
        <v>355</v>
      </c>
      <c r="F2536" t="s">
        <v>351</v>
      </c>
      <c r="G2536" t="s">
        <v>354</v>
      </c>
      <c r="H2536" t="s">
        <v>353</v>
      </c>
      <c r="I2536">
        <v>2701515</v>
      </c>
      <c r="J2536" t="s">
        <v>7213</v>
      </c>
      <c r="L2536" t="s">
        <v>7214</v>
      </c>
      <c r="N2536" t="s">
        <v>7215</v>
      </c>
      <c r="O2536" t="s">
        <v>7216</v>
      </c>
      <c r="R2536" t="s">
        <v>4330</v>
      </c>
      <c r="S2536" s="34" t="s">
        <v>7217</v>
      </c>
    </row>
    <row r="2537" spans="1:19" ht="409.5" x14ac:dyDescent="0.15">
      <c r="A2537" t="s">
        <v>3684</v>
      </c>
      <c r="B2537" s="61">
        <v>46296</v>
      </c>
      <c r="E2537" t="s">
        <v>355</v>
      </c>
      <c r="F2537" t="s">
        <v>351</v>
      </c>
      <c r="G2537" t="s">
        <v>354</v>
      </c>
      <c r="H2537" t="s">
        <v>353</v>
      </c>
      <c r="I2537">
        <v>2702754</v>
      </c>
      <c r="J2537" t="s">
        <v>780</v>
      </c>
      <c r="K2537" t="s">
        <v>3715</v>
      </c>
      <c r="L2537" t="s">
        <v>833</v>
      </c>
      <c r="N2537" t="s">
        <v>7218</v>
      </c>
      <c r="O2537" t="s">
        <v>3718</v>
      </c>
      <c r="R2537" t="s">
        <v>3987</v>
      </c>
      <c r="S2537" s="34" t="s">
        <v>7219</v>
      </c>
    </row>
    <row r="2538" spans="1:19" ht="216" x14ac:dyDescent="0.15">
      <c r="A2538" t="s">
        <v>3684</v>
      </c>
      <c r="B2538" s="61">
        <v>46327</v>
      </c>
      <c r="E2538" t="s">
        <v>355</v>
      </c>
      <c r="F2538" t="s">
        <v>351</v>
      </c>
      <c r="G2538" t="s">
        <v>354</v>
      </c>
      <c r="H2538" t="s">
        <v>353</v>
      </c>
      <c r="I2538">
        <v>2700124</v>
      </c>
      <c r="J2538" t="s">
        <v>4808</v>
      </c>
      <c r="L2538" t="s">
        <v>413</v>
      </c>
      <c r="N2538" t="s">
        <v>4809</v>
      </c>
      <c r="O2538" t="s">
        <v>4810</v>
      </c>
      <c r="S2538" s="34" t="s">
        <v>7220</v>
      </c>
    </row>
    <row r="2539" spans="1:19" ht="409.5" x14ac:dyDescent="0.15">
      <c r="A2539" t="s">
        <v>3684</v>
      </c>
      <c r="B2539" s="61">
        <v>46327</v>
      </c>
      <c r="E2539" t="s">
        <v>355</v>
      </c>
      <c r="F2539" t="s">
        <v>351</v>
      </c>
      <c r="G2539" t="s">
        <v>354</v>
      </c>
      <c r="H2539" t="s">
        <v>309</v>
      </c>
      <c r="I2539">
        <v>2700494</v>
      </c>
      <c r="J2539" t="s">
        <v>7204</v>
      </c>
      <c r="K2539" t="s">
        <v>7205</v>
      </c>
      <c r="L2539" t="s">
        <v>413</v>
      </c>
      <c r="N2539" t="s">
        <v>7221</v>
      </c>
      <c r="O2539" t="s">
        <v>7207</v>
      </c>
      <c r="R2539" t="s">
        <v>3992</v>
      </c>
      <c r="S2539" s="34" t="s">
        <v>7222</v>
      </c>
    </row>
    <row r="2540" spans="1:19" ht="229.5" x14ac:dyDescent="0.15">
      <c r="A2540" t="s">
        <v>3684</v>
      </c>
      <c r="B2540" s="61">
        <v>46327</v>
      </c>
      <c r="E2540" t="s">
        <v>355</v>
      </c>
      <c r="F2540" t="s">
        <v>351</v>
      </c>
      <c r="G2540" t="s">
        <v>354</v>
      </c>
      <c r="H2540" t="s">
        <v>365</v>
      </c>
      <c r="I2540">
        <v>2702355</v>
      </c>
      <c r="J2540" t="s">
        <v>3685</v>
      </c>
      <c r="K2540" t="s">
        <v>3709</v>
      </c>
      <c r="L2540" t="s">
        <v>413</v>
      </c>
      <c r="N2540" t="s">
        <v>3710</v>
      </c>
      <c r="O2540" t="s">
        <v>3711</v>
      </c>
      <c r="R2540" t="s">
        <v>3986</v>
      </c>
      <c r="S2540" s="34" t="s">
        <v>7223</v>
      </c>
    </row>
    <row r="2541" spans="1:19" ht="409.5" x14ac:dyDescent="0.15">
      <c r="A2541" t="s">
        <v>3684</v>
      </c>
      <c r="B2541" s="61">
        <v>46327</v>
      </c>
      <c r="E2541" t="s">
        <v>355</v>
      </c>
      <c r="F2541" t="s">
        <v>351</v>
      </c>
      <c r="G2541" t="s">
        <v>354</v>
      </c>
      <c r="H2541" t="s">
        <v>365</v>
      </c>
      <c r="I2541">
        <v>2702712</v>
      </c>
      <c r="J2541" t="s">
        <v>3706</v>
      </c>
      <c r="L2541" t="s">
        <v>1276</v>
      </c>
      <c r="N2541" t="s">
        <v>7224</v>
      </c>
      <c r="O2541" t="s">
        <v>3708</v>
      </c>
      <c r="R2541" t="s">
        <v>7225</v>
      </c>
      <c r="S2541" s="34" t="s">
        <v>7226</v>
      </c>
    </row>
    <row r="2542" spans="1:19" ht="229.5" x14ac:dyDescent="0.15">
      <c r="A2542" t="s">
        <v>3684</v>
      </c>
      <c r="B2542" s="61">
        <v>46327</v>
      </c>
      <c r="E2542" t="s">
        <v>355</v>
      </c>
      <c r="F2542" t="s">
        <v>351</v>
      </c>
      <c r="G2542" t="s">
        <v>354</v>
      </c>
      <c r="H2542" t="s">
        <v>365</v>
      </c>
      <c r="I2542">
        <v>2702746</v>
      </c>
      <c r="J2542" t="s">
        <v>3686</v>
      </c>
      <c r="K2542" t="s">
        <v>3687</v>
      </c>
      <c r="L2542" t="s">
        <v>3688</v>
      </c>
      <c r="N2542" t="s">
        <v>3689</v>
      </c>
      <c r="O2542" t="s">
        <v>3690</v>
      </c>
      <c r="R2542" t="s">
        <v>3986</v>
      </c>
      <c r="S2542" s="34" t="s">
        <v>7227</v>
      </c>
    </row>
    <row r="2543" spans="1:19" ht="229.5" x14ac:dyDescent="0.15">
      <c r="A2543" t="s">
        <v>3684</v>
      </c>
      <c r="B2543" s="61">
        <v>46357</v>
      </c>
      <c r="E2543" t="s">
        <v>355</v>
      </c>
      <c r="F2543" t="s">
        <v>351</v>
      </c>
      <c r="G2543" t="s">
        <v>354</v>
      </c>
      <c r="H2543" t="s">
        <v>365</v>
      </c>
      <c r="I2543">
        <v>2702339</v>
      </c>
      <c r="J2543" t="s">
        <v>3719</v>
      </c>
      <c r="L2543" t="s">
        <v>413</v>
      </c>
      <c r="N2543" t="s">
        <v>3720</v>
      </c>
      <c r="O2543" t="s">
        <v>3721</v>
      </c>
      <c r="S2543" s="34" t="s">
        <v>7228</v>
      </c>
    </row>
    <row r="2544" spans="1:19" ht="409.5" x14ac:dyDescent="0.15">
      <c r="A2544" t="s">
        <v>3731</v>
      </c>
      <c r="B2544" s="61">
        <v>46235</v>
      </c>
      <c r="E2544" t="s">
        <v>355</v>
      </c>
      <c r="F2544" t="s">
        <v>351</v>
      </c>
      <c r="G2544" t="s">
        <v>354</v>
      </c>
      <c r="H2544" t="s">
        <v>365</v>
      </c>
      <c r="I2544">
        <v>2600152</v>
      </c>
      <c r="J2544" t="s">
        <v>2174</v>
      </c>
      <c r="K2544" t="s">
        <v>3754</v>
      </c>
      <c r="L2544" t="s">
        <v>390</v>
      </c>
      <c r="N2544" t="s">
        <v>3755</v>
      </c>
      <c r="O2544" t="s">
        <v>3756</v>
      </c>
      <c r="R2544" t="s">
        <v>3986</v>
      </c>
      <c r="S2544" s="34" t="s">
        <v>7229</v>
      </c>
    </row>
    <row r="2545" spans="1:19" ht="409.5" x14ac:dyDescent="0.15">
      <c r="A2545" t="s">
        <v>3731</v>
      </c>
      <c r="B2545" s="61">
        <v>46235</v>
      </c>
      <c r="E2545" t="s">
        <v>355</v>
      </c>
      <c r="F2545" t="s">
        <v>351</v>
      </c>
      <c r="G2545" t="s">
        <v>352</v>
      </c>
      <c r="H2545" t="s">
        <v>353</v>
      </c>
      <c r="I2545">
        <v>2701730</v>
      </c>
      <c r="J2545" t="s">
        <v>2718</v>
      </c>
      <c r="K2545" t="s">
        <v>3786</v>
      </c>
      <c r="L2545" t="s">
        <v>3787</v>
      </c>
      <c r="N2545" t="s">
        <v>3788</v>
      </c>
      <c r="O2545" t="s">
        <v>3789</v>
      </c>
      <c r="R2545" t="s">
        <v>6111</v>
      </c>
      <c r="S2545" s="34" t="s">
        <v>7230</v>
      </c>
    </row>
    <row r="2546" spans="1:19" ht="409.5" x14ac:dyDescent="0.15">
      <c r="A2546" t="s">
        <v>3731</v>
      </c>
      <c r="B2546" s="61">
        <v>46235</v>
      </c>
      <c r="E2546" t="s">
        <v>355</v>
      </c>
      <c r="F2546" t="s">
        <v>351</v>
      </c>
      <c r="G2546" t="s">
        <v>352</v>
      </c>
      <c r="H2546" t="s">
        <v>353</v>
      </c>
      <c r="I2546">
        <v>2701870</v>
      </c>
      <c r="J2546" t="s">
        <v>2718</v>
      </c>
      <c r="K2546" t="s">
        <v>3786</v>
      </c>
      <c r="L2546" t="s">
        <v>3790</v>
      </c>
      <c r="N2546" t="s">
        <v>3791</v>
      </c>
      <c r="O2546" t="s">
        <v>3792</v>
      </c>
      <c r="R2546" t="s">
        <v>3985</v>
      </c>
      <c r="S2546" s="34" t="s">
        <v>7231</v>
      </c>
    </row>
    <row r="2547" spans="1:19" ht="409.5" x14ac:dyDescent="0.15">
      <c r="A2547" t="s">
        <v>3731</v>
      </c>
      <c r="B2547" s="61">
        <v>46296</v>
      </c>
      <c r="E2547" t="s">
        <v>355</v>
      </c>
      <c r="F2547" t="s">
        <v>351</v>
      </c>
      <c r="G2547" t="s">
        <v>352</v>
      </c>
      <c r="H2547" t="s">
        <v>353</v>
      </c>
      <c r="I2547">
        <v>2600440</v>
      </c>
      <c r="J2547" t="s">
        <v>3762</v>
      </c>
      <c r="K2547" t="s">
        <v>3793</v>
      </c>
      <c r="L2547" t="s">
        <v>390</v>
      </c>
      <c r="N2547" t="s">
        <v>7232</v>
      </c>
      <c r="O2547" t="s">
        <v>3795</v>
      </c>
      <c r="R2547" t="s">
        <v>3985</v>
      </c>
      <c r="S2547" s="34" t="s">
        <v>7233</v>
      </c>
    </row>
    <row r="2548" spans="1:19" ht="229.5" x14ac:dyDescent="0.15">
      <c r="A2548" t="s">
        <v>3731</v>
      </c>
      <c r="B2548" s="61">
        <v>46296</v>
      </c>
      <c r="E2548" t="s">
        <v>355</v>
      </c>
      <c r="F2548" t="s">
        <v>351</v>
      </c>
      <c r="G2548" t="s">
        <v>354</v>
      </c>
      <c r="H2548" t="s">
        <v>365</v>
      </c>
      <c r="I2548">
        <v>2600503</v>
      </c>
      <c r="J2548" t="s">
        <v>3779</v>
      </c>
      <c r="L2548" t="s">
        <v>1148</v>
      </c>
      <c r="N2548" t="s">
        <v>3780</v>
      </c>
      <c r="O2548" t="s">
        <v>3781</v>
      </c>
      <c r="R2548" t="s">
        <v>3987</v>
      </c>
      <c r="S2548" s="34" t="s">
        <v>7234</v>
      </c>
    </row>
    <row r="2549" spans="1:19" ht="409.5" x14ac:dyDescent="0.15">
      <c r="A2549" t="s">
        <v>3731</v>
      </c>
      <c r="B2549" s="61">
        <v>46296</v>
      </c>
      <c r="E2549" t="s">
        <v>355</v>
      </c>
      <c r="F2549" t="s">
        <v>351</v>
      </c>
      <c r="G2549" t="s">
        <v>354</v>
      </c>
      <c r="H2549" t="s">
        <v>353</v>
      </c>
      <c r="I2549">
        <v>2702768</v>
      </c>
      <c r="J2549" t="s">
        <v>2994</v>
      </c>
      <c r="K2549" t="s">
        <v>7235</v>
      </c>
      <c r="L2549" t="s">
        <v>466</v>
      </c>
      <c r="N2549" t="s">
        <v>7236</v>
      </c>
      <c r="O2549" t="s">
        <v>7237</v>
      </c>
      <c r="R2549" t="s">
        <v>3987</v>
      </c>
      <c r="S2549" s="34" t="s">
        <v>7238</v>
      </c>
    </row>
    <row r="2550" spans="1:19" ht="337.5" x14ac:dyDescent="0.15">
      <c r="A2550" t="s">
        <v>3731</v>
      </c>
      <c r="B2550" s="61">
        <v>46296</v>
      </c>
      <c r="E2550" t="s">
        <v>355</v>
      </c>
      <c r="F2550" t="s">
        <v>351</v>
      </c>
      <c r="G2550" t="s">
        <v>354</v>
      </c>
      <c r="H2550" t="s">
        <v>353</v>
      </c>
      <c r="I2550">
        <v>2702771</v>
      </c>
      <c r="J2550" t="s">
        <v>2718</v>
      </c>
      <c r="K2550" t="s">
        <v>3786</v>
      </c>
      <c r="L2550" t="s">
        <v>3813</v>
      </c>
      <c r="N2550" t="s">
        <v>7239</v>
      </c>
      <c r="O2550" t="s">
        <v>3815</v>
      </c>
      <c r="R2550" t="s">
        <v>3987</v>
      </c>
      <c r="S2550" s="34" t="s">
        <v>7240</v>
      </c>
    </row>
    <row r="2551" spans="1:19" ht="216" x14ac:dyDescent="0.15">
      <c r="A2551" t="s">
        <v>3731</v>
      </c>
      <c r="B2551" s="61">
        <v>46327</v>
      </c>
      <c r="E2551" t="s">
        <v>355</v>
      </c>
      <c r="F2551" t="s">
        <v>351</v>
      </c>
      <c r="G2551" t="s">
        <v>354</v>
      </c>
      <c r="H2551" t="s">
        <v>353</v>
      </c>
      <c r="I2551">
        <v>2600009</v>
      </c>
      <c r="J2551" t="s">
        <v>4702</v>
      </c>
      <c r="K2551" t="s">
        <v>4703</v>
      </c>
      <c r="L2551" t="s">
        <v>390</v>
      </c>
      <c r="N2551" t="s">
        <v>4704</v>
      </c>
      <c r="O2551" t="s">
        <v>4705</v>
      </c>
      <c r="S2551" s="34" t="s">
        <v>7241</v>
      </c>
    </row>
    <row r="2552" spans="1:19" ht="324" x14ac:dyDescent="0.15">
      <c r="A2552" t="s">
        <v>3731</v>
      </c>
      <c r="B2552" s="61">
        <v>46327</v>
      </c>
      <c r="E2552" t="s">
        <v>355</v>
      </c>
      <c r="F2552" t="s">
        <v>351</v>
      </c>
      <c r="G2552" t="s">
        <v>354</v>
      </c>
      <c r="H2552" t="s">
        <v>353</v>
      </c>
      <c r="I2552">
        <v>2600058</v>
      </c>
      <c r="J2552" t="s">
        <v>3751</v>
      </c>
      <c r="L2552" t="s">
        <v>390</v>
      </c>
      <c r="N2552" t="s">
        <v>7242</v>
      </c>
      <c r="O2552" t="s">
        <v>3753</v>
      </c>
      <c r="R2552" t="s">
        <v>3987</v>
      </c>
      <c r="S2552" s="34" t="s">
        <v>7243</v>
      </c>
    </row>
    <row r="2553" spans="1:19" ht="409.5" x14ac:dyDescent="0.15">
      <c r="A2553" t="s">
        <v>3731</v>
      </c>
      <c r="B2553" s="61">
        <v>46327</v>
      </c>
      <c r="E2553" t="s">
        <v>355</v>
      </c>
      <c r="F2553" t="s">
        <v>351</v>
      </c>
      <c r="G2553" t="s">
        <v>354</v>
      </c>
      <c r="H2553" t="s">
        <v>353</v>
      </c>
      <c r="I2553">
        <v>2600441</v>
      </c>
      <c r="J2553" t="s">
        <v>873</v>
      </c>
      <c r="K2553" t="s">
        <v>3782</v>
      </c>
      <c r="L2553" t="s">
        <v>3783</v>
      </c>
      <c r="N2553" t="s">
        <v>3784</v>
      </c>
      <c r="O2553" t="s">
        <v>3785</v>
      </c>
      <c r="R2553" t="s">
        <v>3986</v>
      </c>
      <c r="S2553" s="34" t="s">
        <v>7244</v>
      </c>
    </row>
    <row r="2554" spans="1:19" ht="324" x14ac:dyDescent="0.15">
      <c r="A2554" t="s">
        <v>3731</v>
      </c>
      <c r="B2554" s="61">
        <v>46327</v>
      </c>
      <c r="E2554" t="s">
        <v>355</v>
      </c>
      <c r="F2554" t="s">
        <v>351</v>
      </c>
      <c r="G2554" t="s">
        <v>352</v>
      </c>
      <c r="H2554" t="s">
        <v>353</v>
      </c>
      <c r="I2554">
        <v>2600466</v>
      </c>
      <c r="J2554" t="s">
        <v>7245</v>
      </c>
      <c r="L2554" t="s">
        <v>7246</v>
      </c>
      <c r="N2554" t="s">
        <v>7247</v>
      </c>
      <c r="O2554" t="s">
        <v>7248</v>
      </c>
      <c r="R2554" t="s">
        <v>3985</v>
      </c>
      <c r="S2554" s="34" t="s">
        <v>7249</v>
      </c>
    </row>
    <row r="2555" spans="1:19" ht="337.5" x14ac:dyDescent="0.15">
      <c r="A2555" t="s">
        <v>3731</v>
      </c>
      <c r="B2555" s="61">
        <v>46327</v>
      </c>
      <c r="E2555" t="s">
        <v>355</v>
      </c>
      <c r="F2555" t="s">
        <v>351</v>
      </c>
      <c r="G2555" t="s">
        <v>7250</v>
      </c>
      <c r="H2555" t="s">
        <v>353</v>
      </c>
      <c r="I2555">
        <v>2701769</v>
      </c>
      <c r="J2555" t="s">
        <v>3742</v>
      </c>
      <c r="K2555" t="s">
        <v>428</v>
      </c>
      <c r="L2555" t="s">
        <v>3743</v>
      </c>
      <c r="N2555" t="s">
        <v>7251</v>
      </c>
      <c r="O2555" t="s">
        <v>3745</v>
      </c>
      <c r="R2555" t="s">
        <v>7252</v>
      </c>
      <c r="S2555" s="34" t="s">
        <v>7253</v>
      </c>
    </row>
    <row r="2556" spans="1:19" ht="409.5" x14ac:dyDescent="0.15">
      <c r="A2556" t="s">
        <v>3731</v>
      </c>
      <c r="B2556" s="61">
        <v>46357</v>
      </c>
      <c r="E2556" t="s">
        <v>355</v>
      </c>
      <c r="F2556" t="s">
        <v>351</v>
      </c>
      <c r="G2556" t="s">
        <v>354</v>
      </c>
      <c r="H2556" t="s">
        <v>353</v>
      </c>
      <c r="I2556">
        <v>2600341</v>
      </c>
      <c r="J2556" t="s">
        <v>3804</v>
      </c>
      <c r="K2556" t="s">
        <v>3805</v>
      </c>
      <c r="L2556" t="s">
        <v>3806</v>
      </c>
      <c r="N2556" t="s">
        <v>7254</v>
      </c>
      <c r="O2556" t="s">
        <v>3808</v>
      </c>
      <c r="R2556" t="s">
        <v>3992</v>
      </c>
      <c r="S2556" s="34" t="s">
        <v>7255</v>
      </c>
    </row>
    <row r="2557" spans="1:19" ht="409.5" x14ac:dyDescent="0.15">
      <c r="A2557" t="s">
        <v>3731</v>
      </c>
      <c r="B2557" s="61">
        <v>46357</v>
      </c>
      <c r="E2557" t="s">
        <v>355</v>
      </c>
      <c r="F2557" t="s">
        <v>351</v>
      </c>
      <c r="G2557" t="s">
        <v>354</v>
      </c>
      <c r="H2557" t="s">
        <v>686</v>
      </c>
      <c r="I2557">
        <v>2600341</v>
      </c>
      <c r="J2557" t="s">
        <v>3804</v>
      </c>
      <c r="K2557" t="s">
        <v>3805</v>
      </c>
      <c r="L2557" t="s">
        <v>3806</v>
      </c>
      <c r="N2557">
        <v>2085791</v>
      </c>
      <c r="O2557" t="s">
        <v>3808</v>
      </c>
      <c r="R2557" t="s">
        <v>3992</v>
      </c>
      <c r="S2557" s="34" t="s">
        <v>7256</v>
      </c>
    </row>
    <row r="2558" spans="1:19" ht="409.5" x14ac:dyDescent="0.15">
      <c r="A2558" t="s">
        <v>3731</v>
      </c>
      <c r="B2558" s="61">
        <v>46357</v>
      </c>
      <c r="E2558" t="s">
        <v>355</v>
      </c>
      <c r="F2558" t="s">
        <v>351</v>
      </c>
      <c r="G2558" t="s">
        <v>354</v>
      </c>
      <c r="H2558" t="s">
        <v>309</v>
      </c>
      <c r="I2558">
        <v>2600341</v>
      </c>
      <c r="J2558" t="s">
        <v>3804</v>
      </c>
      <c r="K2558" t="s">
        <v>3805</v>
      </c>
      <c r="L2558" t="s">
        <v>3806</v>
      </c>
      <c r="N2558" t="s">
        <v>7257</v>
      </c>
      <c r="O2558" t="s">
        <v>3808</v>
      </c>
      <c r="R2558" t="s">
        <v>3992</v>
      </c>
      <c r="S2558" s="34" t="s">
        <v>7258</v>
      </c>
    </row>
    <row r="2559" spans="1:19" ht="378" x14ac:dyDescent="0.15">
      <c r="A2559" t="s">
        <v>3731</v>
      </c>
      <c r="B2559" s="61">
        <v>46357</v>
      </c>
      <c r="E2559" t="s">
        <v>355</v>
      </c>
      <c r="F2559" t="s">
        <v>351</v>
      </c>
      <c r="G2559" t="s">
        <v>352</v>
      </c>
      <c r="H2559" t="s">
        <v>365</v>
      </c>
      <c r="I2559">
        <v>2701795</v>
      </c>
      <c r="J2559" t="s">
        <v>7259</v>
      </c>
      <c r="K2559" t="s">
        <v>7260</v>
      </c>
      <c r="L2559" t="s">
        <v>390</v>
      </c>
      <c r="N2559" t="s">
        <v>7261</v>
      </c>
      <c r="O2559" t="s">
        <v>7262</v>
      </c>
      <c r="R2559" t="s">
        <v>3985</v>
      </c>
      <c r="S2559" s="34" t="s">
        <v>7263</v>
      </c>
    </row>
    <row r="2560" spans="1:19" ht="324" x14ac:dyDescent="0.15">
      <c r="A2560" t="s">
        <v>3731</v>
      </c>
      <c r="B2560" s="61">
        <v>46357</v>
      </c>
      <c r="E2560" t="s">
        <v>355</v>
      </c>
      <c r="F2560" t="s">
        <v>351</v>
      </c>
      <c r="G2560" t="s">
        <v>352</v>
      </c>
      <c r="H2560" t="s">
        <v>353</v>
      </c>
      <c r="I2560">
        <v>2701795</v>
      </c>
      <c r="J2560" t="s">
        <v>7259</v>
      </c>
      <c r="K2560" t="s">
        <v>7260</v>
      </c>
      <c r="L2560" t="s">
        <v>390</v>
      </c>
      <c r="N2560" t="s">
        <v>7264</v>
      </c>
      <c r="O2560" t="s">
        <v>7262</v>
      </c>
      <c r="R2560" t="s">
        <v>3985</v>
      </c>
      <c r="S2560" s="34" t="s">
        <v>7265</v>
      </c>
    </row>
    <row r="2561" spans="1:19" ht="378" x14ac:dyDescent="0.15">
      <c r="A2561" t="s">
        <v>3731</v>
      </c>
      <c r="B2561" s="61">
        <v>46357</v>
      </c>
      <c r="E2561" t="s">
        <v>355</v>
      </c>
      <c r="F2561" t="s">
        <v>351</v>
      </c>
      <c r="G2561" t="s">
        <v>354</v>
      </c>
      <c r="H2561" t="s">
        <v>365</v>
      </c>
      <c r="I2561">
        <v>2702691</v>
      </c>
      <c r="J2561" t="s">
        <v>3769</v>
      </c>
      <c r="K2561" t="s">
        <v>1251</v>
      </c>
      <c r="L2561" t="s">
        <v>390</v>
      </c>
      <c r="N2561" t="s">
        <v>3770</v>
      </c>
      <c r="O2561" t="s">
        <v>3771</v>
      </c>
      <c r="S2561" s="34" t="s">
        <v>7266</v>
      </c>
    </row>
    <row r="2562" spans="1:19" ht="229.5" x14ac:dyDescent="0.15">
      <c r="A2562" t="s">
        <v>3822</v>
      </c>
      <c r="B2562" s="61">
        <v>46266</v>
      </c>
      <c r="E2562" t="s">
        <v>355</v>
      </c>
      <c r="F2562" t="s">
        <v>351</v>
      </c>
      <c r="G2562" t="s">
        <v>352</v>
      </c>
      <c r="H2562" t="s">
        <v>353</v>
      </c>
      <c r="I2562">
        <v>1800057</v>
      </c>
      <c r="J2562" t="s">
        <v>821</v>
      </c>
      <c r="K2562" t="s">
        <v>3845</v>
      </c>
      <c r="L2562" t="s">
        <v>390</v>
      </c>
      <c r="N2562" t="s">
        <v>7267</v>
      </c>
      <c r="O2562" t="s">
        <v>7268</v>
      </c>
      <c r="R2562" t="s">
        <v>3985</v>
      </c>
      <c r="S2562" s="34" t="s">
        <v>7269</v>
      </c>
    </row>
    <row r="2563" spans="1:19" ht="391.5" x14ac:dyDescent="0.15">
      <c r="A2563" t="s">
        <v>3822</v>
      </c>
      <c r="B2563" s="61">
        <v>46266</v>
      </c>
      <c r="E2563" t="s">
        <v>355</v>
      </c>
      <c r="F2563" t="s">
        <v>351</v>
      </c>
      <c r="G2563" t="s">
        <v>352</v>
      </c>
      <c r="H2563" t="s">
        <v>353</v>
      </c>
      <c r="I2563">
        <v>1800202</v>
      </c>
      <c r="J2563" t="s">
        <v>2730</v>
      </c>
      <c r="K2563" t="s">
        <v>3850</v>
      </c>
      <c r="L2563" t="s">
        <v>3876</v>
      </c>
      <c r="N2563" t="s">
        <v>3877</v>
      </c>
      <c r="O2563" t="s">
        <v>3878</v>
      </c>
      <c r="R2563" t="s">
        <v>3985</v>
      </c>
      <c r="S2563" s="34" t="s">
        <v>7270</v>
      </c>
    </row>
    <row r="2564" spans="1:19" ht="409.5" x14ac:dyDescent="0.15">
      <c r="A2564" t="s">
        <v>3822</v>
      </c>
      <c r="B2564" s="61">
        <v>46266</v>
      </c>
      <c r="E2564" t="s">
        <v>355</v>
      </c>
      <c r="F2564" t="s">
        <v>351</v>
      </c>
      <c r="G2564" t="s">
        <v>354</v>
      </c>
      <c r="H2564" t="s">
        <v>353</v>
      </c>
      <c r="I2564">
        <v>1800318</v>
      </c>
      <c r="J2564" t="s">
        <v>3883</v>
      </c>
      <c r="K2564" t="s">
        <v>3884</v>
      </c>
      <c r="L2564" t="s">
        <v>3885</v>
      </c>
      <c r="N2564" t="s">
        <v>3886</v>
      </c>
      <c r="O2564" t="s">
        <v>3887</v>
      </c>
      <c r="S2564" s="34" t="s">
        <v>7271</v>
      </c>
    </row>
    <row r="2565" spans="1:19" ht="409.5" x14ac:dyDescent="0.15">
      <c r="A2565" t="s">
        <v>3822</v>
      </c>
      <c r="B2565" s="61">
        <v>46266</v>
      </c>
      <c r="E2565" t="s">
        <v>355</v>
      </c>
      <c r="F2565" t="s">
        <v>351</v>
      </c>
      <c r="G2565" t="s">
        <v>354</v>
      </c>
      <c r="H2565" t="s">
        <v>686</v>
      </c>
      <c r="I2565">
        <v>1800318</v>
      </c>
      <c r="J2565" t="s">
        <v>3883</v>
      </c>
      <c r="K2565" t="s">
        <v>3884</v>
      </c>
      <c r="L2565" t="s">
        <v>3885</v>
      </c>
      <c r="N2565">
        <v>2144356</v>
      </c>
      <c r="O2565" t="s">
        <v>3887</v>
      </c>
      <c r="S2565" s="34" t="s">
        <v>7272</v>
      </c>
    </row>
    <row r="2566" spans="1:19" ht="409.5" x14ac:dyDescent="0.15">
      <c r="A2566" t="s">
        <v>3822</v>
      </c>
      <c r="B2566" s="61">
        <v>46296</v>
      </c>
      <c r="E2566" t="s">
        <v>355</v>
      </c>
      <c r="F2566" t="s">
        <v>351</v>
      </c>
      <c r="G2566" t="s">
        <v>352</v>
      </c>
      <c r="H2566" t="s">
        <v>353</v>
      </c>
      <c r="I2566">
        <v>1700063</v>
      </c>
      <c r="J2566" t="s">
        <v>3857</v>
      </c>
      <c r="L2566" t="s">
        <v>390</v>
      </c>
      <c r="N2566" t="s">
        <v>3858</v>
      </c>
      <c r="O2566" t="s">
        <v>3859</v>
      </c>
      <c r="R2566" t="s">
        <v>3985</v>
      </c>
      <c r="S2566" s="34" t="s">
        <v>7273</v>
      </c>
    </row>
    <row r="2567" spans="1:19" ht="243" x14ac:dyDescent="0.15">
      <c r="A2567" t="s">
        <v>3822</v>
      </c>
      <c r="B2567" s="61">
        <v>46296</v>
      </c>
      <c r="E2567" t="s">
        <v>355</v>
      </c>
      <c r="F2567" t="s">
        <v>351</v>
      </c>
      <c r="G2567" t="s">
        <v>352</v>
      </c>
      <c r="H2567" t="s">
        <v>353</v>
      </c>
      <c r="I2567">
        <v>1700438</v>
      </c>
      <c r="J2567" t="s">
        <v>663</v>
      </c>
      <c r="K2567" t="s">
        <v>3823</v>
      </c>
      <c r="L2567" t="s">
        <v>3356</v>
      </c>
      <c r="N2567" t="s">
        <v>7274</v>
      </c>
      <c r="O2567" t="s">
        <v>3824</v>
      </c>
      <c r="R2567" t="s">
        <v>7275</v>
      </c>
      <c r="S2567" s="34" t="s">
        <v>7276</v>
      </c>
    </row>
    <row r="2568" spans="1:19" ht="243" x14ac:dyDescent="0.15">
      <c r="A2568" t="s">
        <v>3822</v>
      </c>
      <c r="B2568" s="61">
        <v>46296</v>
      </c>
      <c r="E2568" t="s">
        <v>355</v>
      </c>
      <c r="F2568" t="s">
        <v>351</v>
      </c>
      <c r="G2568" t="s">
        <v>352</v>
      </c>
      <c r="H2568" t="s">
        <v>353</v>
      </c>
      <c r="I2568">
        <v>1700438</v>
      </c>
      <c r="J2568" t="s">
        <v>663</v>
      </c>
      <c r="K2568" t="s">
        <v>3823</v>
      </c>
      <c r="L2568" t="s">
        <v>3356</v>
      </c>
      <c r="N2568" t="s">
        <v>7277</v>
      </c>
      <c r="O2568" t="s">
        <v>3824</v>
      </c>
      <c r="R2568" t="s">
        <v>7278</v>
      </c>
      <c r="S2568" s="34" t="s">
        <v>7279</v>
      </c>
    </row>
    <row r="2569" spans="1:19" ht="378" x14ac:dyDescent="0.15">
      <c r="A2569" t="s">
        <v>3822</v>
      </c>
      <c r="B2569" s="61">
        <v>46296</v>
      </c>
      <c r="E2569" t="s">
        <v>355</v>
      </c>
      <c r="F2569" t="s">
        <v>351</v>
      </c>
      <c r="G2569" t="s">
        <v>354</v>
      </c>
      <c r="H2569" t="s">
        <v>365</v>
      </c>
      <c r="I2569">
        <v>1700473</v>
      </c>
      <c r="J2569" t="s">
        <v>3839</v>
      </c>
      <c r="K2569" t="s">
        <v>1023</v>
      </c>
      <c r="L2569" t="s">
        <v>3840</v>
      </c>
      <c r="N2569" t="s">
        <v>3841</v>
      </c>
      <c r="O2569" t="s">
        <v>3842</v>
      </c>
      <c r="R2569" t="s">
        <v>3987</v>
      </c>
      <c r="S2569" s="34" t="s">
        <v>7280</v>
      </c>
    </row>
    <row r="2570" spans="1:19" ht="256.5" x14ac:dyDescent="0.15">
      <c r="A2570" t="s">
        <v>3822</v>
      </c>
      <c r="B2570" s="61">
        <v>46296</v>
      </c>
      <c r="E2570" t="s">
        <v>355</v>
      </c>
      <c r="F2570" t="s">
        <v>351</v>
      </c>
      <c r="G2570" t="s">
        <v>352</v>
      </c>
      <c r="H2570" t="s">
        <v>365</v>
      </c>
      <c r="I2570">
        <v>1800282</v>
      </c>
      <c r="J2570" t="s">
        <v>7281</v>
      </c>
      <c r="K2570" t="s">
        <v>4870</v>
      </c>
      <c r="L2570" t="s">
        <v>7282</v>
      </c>
      <c r="N2570" t="s">
        <v>7283</v>
      </c>
      <c r="O2570" t="s">
        <v>7284</v>
      </c>
      <c r="R2570" t="s">
        <v>3985</v>
      </c>
      <c r="S2570" s="34" t="s">
        <v>7285</v>
      </c>
    </row>
    <row r="2571" spans="1:19" ht="409.5" x14ac:dyDescent="0.15">
      <c r="A2571" t="s">
        <v>3822</v>
      </c>
      <c r="B2571" s="61">
        <v>46296</v>
      </c>
      <c r="E2571" t="s">
        <v>355</v>
      </c>
      <c r="F2571" t="s">
        <v>351</v>
      </c>
      <c r="G2571" t="s">
        <v>354</v>
      </c>
      <c r="H2571" t="s">
        <v>365</v>
      </c>
      <c r="I2571">
        <v>1800313</v>
      </c>
      <c r="J2571" t="s">
        <v>2730</v>
      </c>
      <c r="K2571" t="s">
        <v>3850</v>
      </c>
      <c r="L2571" t="s">
        <v>3854</v>
      </c>
      <c r="N2571" t="s">
        <v>3855</v>
      </c>
      <c r="O2571" t="s">
        <v>3856</v>
      </c>
      <c r="R2571" t="s">
        <v>3987</v>
      </c>
      <c r="S2571" s="34" t="s">
        <v>7286</v>
      </c>
    </row>
    <row r="2572" spans="1:19" ht="216" x14ac:dyDescent="0.15">
      <c r="A2572" t="s">
        <v>3822</v>
      </c>
      <c r="B2572" s="61">
        <v>46296</v>
      </c>
      <c r="E2572" t="s">
        <v>355</v>
      </c>
      <c r="F2572" t="s">
        <v>351</v>
      </c>
      <c r="G2572" t="s">
        <v>354</v>
      </c>
      <c r="H2572" t="s">
        <v>365</v>
      </c>
      <c r="I2572">
        <v>1800335</v>
      </c>
      <c r="J2572" t="s">
        <v>7287</v>
      </c>
      <c r="K2572" t="s">
        <v>3918</v>
      </c>
      <c r="L2572" t="s">
        <v>2541</v>
      </c>
      <c r="N2572" t="s">
        <v>7288</v>
      </c>
      <c r="O2572" t="s">
        <v>7289</v>
      </c>
      <c r="S2572" s="34" t="s">
        <v>7290</v>
      </c>
    </row>
    <row r="2573" spans="1:19" ht="378" x14ac:dyDescent="0.15">
      <c r="A2573" t="s">
        <v>3822</v>
      </c>
      <c r="B2573" s="61">
        <v>46327</v>
      </c>
      <c r="E2573" t="s">
        <v>355</v>
      </c>
      <c r="F2573" t="s">
        <v>351</v>
      </c>
      <c r="G2573" t="s">
        <v>354</v>
      </c>
      <c r="H2573" t="s">
        <v>365</v>
      </c>
      <c r="I2573">
        <v>1700304</v>
      </c>
      <c r="J2573" t="s">
        <v>3870</v>
      </c>
      <c r="L2573" t="s">
        <v>1605</v>
      </c>
      <c r="N2573" t="s">
        <v>3871</v>
      </c>
      <c r="O2573" t="s">
        <v>3872</v>
      </c>
      <c r="R2573" t="s">
        <v>3986</v>
      </c>
      <c r="S2573" s="34" t="s">
        <v>7291</v>
      </c>
    </row>
    <row r="2574" spans="1:19" ht="216" x14ac:dyDescent="0.15">
      <c r="A2574" t="s">
        <v>3822</v>
      </c>
      <c r="B2574" s="61">
        <v>46327</v>
      </c>
      <c r="E2574" t="s">
        <v>355</v>
      </c>
      <c r="F2574" t="s">
        <v>351</v>
      </c>
      <c r="G2574" t="s">
        <v>354</v>
      </c>
      <c r="H2574" t="s">
        <v>353</v>
      </c>
      <c r="I2574">
        <v>1700304</v>
      </c>
      <c r="J2574" t="s">
        <v>3870</v>
      </c>
      <c r="L2574" t="s">
        <v>1605</v>
      </c>
      <c r="N2574" t="s">
        <v>7292</v>
      </c>
      <c r="O2574" t="s">
        <v>3872</v>
      </c>
      <c r="R2574" t="s">
        <v>3986</v>
      </c>
      <c r="S2574" s="34" t="s">
        <v>7293</v>
      </c>
    </row>
    <row r="2575" spans="1:19" ht="189" x14ac:dyDescent="0.15">
      <c r="A2575" t="s">
        <v>3822</v>
      </c>
      <c r="B2575" s="61">
        <v>46327</v>
      </c>
      <c r="E2575" t="s">
        <v>355</v>
      </c>
      <c r="F2575" t="s">
        <v>351</v>
      </c>
      <c r="G2575" t="s">
        <v>354</v>
      </c>
      <c r="H2575" t="s">
        <v>353</v>
      </c>
      <c r="I2575">
        <v>1700398</v>
      </c>
      <c r="J2575" t="s">
        <v>481</v>
      </c>
      <c r="K2575" t="s">
        <v>4177</v>
      </c>
      <c r="L2575" t="s">
        <v>4127</v>
      </c>
      <c r="N2575" t="s">
        <v>4178</v>
      </c>
      <c r="O2575" t="s">
        <v>4179</v>
      </c>
      <c r="R2575" t="s">
        <v>3986</v>
      </c>
      <c r="S2575" s="34" t="s">
        <v>7294</v>
      </c>
    </row>
    <row r="2576" spans="1:19" ht="409.5" x14ac:dyDescent="0.15">
      <c r="A2576" t="s">
        <v>3822</v>
      </c>
      <c r="B2576" s="61">
        <v>46327</v>
      </c>
      <c r="E2576" t="s">
        <v>355</v>
      </c>
      <c r="F2576" t="s">
        <v>351</v>
      </c>
      <c r="G2576" t="s">
        <v>354</v>
      </c>
      <c r="H2576" t="s">
        <v>365</v>
      </c>
      <c r="I2576">
        <v>1800036</v>
      </c>
      <c r="J2576" t="s">
        <v>4869</v>
      </c>
      <c r="K2576" t="s">
        <v>4870</v>
      </c>
      <c r="L2576" t="s">
        <v>4871</v>
      </c>
      <c r="N2576" t="s">
        <v>7295</v>
      </c>
      <c r="O2576" t="s">
        <v>4873</v>
      </c>
      <c r="S2576" s="34" t="s">
        <v>7296</v>
      </c>
    </row>
    <row r="2577" spans="1:19" ht="216" x14ac:dyDescent="0.15">
      <c r="A2577" t="s">
        <v>3822</v>
      </c>
      <c r="B2577" s="61">
        <v>46327</v>
      </c>
      <c r="E2577" t="s">
        <v>355</v>
      </c>
      <c r="F2577" t="s">
        <v>351</v>
      </c>
      <c r="G2577" t="s">
        <v>354</v>
      </c>
      <c r="H2577" t="s">
        <v>353</v>
      </c>
      <c r="I2577">
        <v>1800036</v>
      </c>
      <c r="J2577" t="s">
        <v>4869</v>
      </c>
      <c r="K2577" t="s">
        <v>4870</v>
      </c>
      <c r="L2577" t="s">
        <v>4871</v>
      </c>
      <c r="N2577" t="s">
        <v>7297</v>
      </c>
      <c r="O2577" t="s">
        <v>4873</v>
      </c>
      <c r="S2577" s="34" t="s">
        <v>7298</v>
      </c>
    </row>
    <row r="2578" spans="1:19" ht="243" x14ac:dyDescent="0.15">
      <c r="A2578" t="s">
        <v>3822</v>
      </c>
      <c r="B2578" s="61">
        <v>46327</v>
      </c>
      <c r="E2578" t="s">
        <v>355</v>
      </c>
      <c r="F2578" t="s">
        <v>351</v>
      </c>
      <c r="G2578" t="s">
        <v>354</v>
      </c>
      <c r="H2578" t="s">
        <v>365</v>
      </c>
      <c r="I2578">
        <v>1800198</v>
      </c>
      <c r="J2578" t="s">
        <v>3844</v>
      </c>
      <c r="K2578" t="s">
        <v>3845</v>
      </c>
      <c r="L2578" t="s">
        <v>390</v>
      </c>
      <c r="N2578" t="s">
        <v>3861</v>
      </c>
      <c r="O2578" t="s">
        <v>3847</v>
      </c>
      <c r="R2578" t="s">
        <v>3986</v>
      </c>
      <c r="S2578" s="34" t="s">
        <v>7299</v>
      </c>
    </row>
    <row r="2579" spans="1:19" ht="243" x14ac:dyDescent="0.15">
      <c r="A2579" t="s">
        <v>3822</v>
      </c>
      <c r="B2579" s="61">
        <v>46357</v>
      </c>
      <c r="E2579" t="s">
        <v>355</v>
      </c>
      <c r="F2579" t="s">
        <v>351</v>
      </c>
      <c r="G2579" t="s">
        <v>352</v>
      </c>
      <c r="H2579" t="s">
        <v>310</v>
      </c>
      <c r="I2579">
        <v>1700299</v>
      </c>
      <c r="J2579" t="s">
        <v>7300</v>
      </c>
      <c r="L2579" t="s">
        <v>390</v>
      </c>
      <c r="N2579" t="s">
        <v>7301</v>
      </c>
      <c r="O2579" t="s">
        <v>7302</v>
      </c>
      <c r="R2579" t="s">
        <v>3985</v>
      </c>
      <c r="S2579" s="34" t="s">
        <v>7303</v>
      </c>
    </row>
    <row r="2580" spans="1:19" ht="243" x14ac:dyDescent="0.15">
      <c r="A2580" t="s">
        <v>3822</v>
      </c>
      <c r="B2580" s="61">
        <v>46357</v>
      </c>
      <c r="E2580" t="s">
        <v>355</v>
      </c>
      <c r="F2580" t="s">
        <v>351</v>
      </c>
      <c r="G2580" t="s">
        <v>354</v>
      </c>
      <c r="H2580" t="s">
        <v>365</v>
      </c>
      <c r="I2580">
        <v>1800198</v>
      </c>
      <c r="J2580" t="s">
        <v>3844</v>
      </c>
      <c r="K2580" t="s">
        <v>3845</v>
      </c>
      <c r="L2580" t="s">
        <v>390</v>
      </c>
      <c r="N2580" t="s">
        <v>4751</v>
      </c>
      <c r="O2580" t="s">
        <v>3847</v>
      </c>
      <c r="R2580" t="s">
        <v>7304</v>
      </c>
      <c r="S2580" s="34" t="s">
        <v>7305</v>
      </c>
    </row>
    <row r="2581" spans="1:19" ht="216" x14ac:dyDescent="0.15">
      <c r="A2581" t="s">
        <v>3822</v>
      </c>
      <c r="B2581" s="61">
        <v>46357</v>
      </c>
      <c r="E2581" t="s">
        <v>355</v>
      </c>
      <c r="F2581" t="s">
        <v>351</v>
      </c>
      <c r="G2581" t="s">
        <v>354</v>
      </c>
      <c r="H2581" t="s">
        <v>353</v>
      </c>
      <c r="I2581">
        <v>1800329</v>
      </c>
      <c r="J2581" t="s">
        <v>4302</v>
      </c>
      <c r="K2581" t="s">
        <v>3918</v>
      </c>
      <c r="L2581" t="s">
        <v>413</v>
      </c>
      <c r="N2581" t="s">
        <v>4303</v>
      </c>
      <c r="O2581" t="s">
        <v>4304</v>
      </c>
      <c r="R2581" t="s">
        <v>3987</v>
      </c>
      <c r="S2581" s="34" t="s">
        <v>7306</v>
      </c>
    </row>
    <row r="2582" spans="1:19" ht="405" x14ac:dyDescent="0.15">
      <c r="A2582" t="s">
        <v>5393</v>
      </c>
      <c r="B2582" s="61">
        <v>46266</v>
      </c>
      <c r="E2582" t="s">
        <v>355</v>
      </c>
      <c r="F2582" t="s">
        <v>351</v>
      </c>
      <c r="G2582" t="s">
        <v>354</v>
      </c>
      <c r="H2582" t="s">
        <v>353</v>
      </c>
      <c r="I2582">
        <v>1200355</v>
      </c>
      <c r="J2582" t="s">
        <v>1036</v>
      </c>
      <c r="K2582" t="s">
        <v>1037</v>
      </c>
      <c r="L2582" t="s">
        <v>390</v>
      </c>
      <c r="N2582" t="s">
        <v>7307</v>
      </c>
      <c r="O2582" t="s">
        <v>1039</v>
      </c>
      <c r="S2582" s="34" t="s">
        <v>7308</v>
      </c>
    </row>
    <row r="2583" spans="1:19" ht="409.5" x14ac:dyDescent="0.15">
      <c r="A2583" t="s">
        <v>5393</v>
      </c>
      <c r="B2583" s="61">
        <v>46266</v>
      </c>
      <c r="E2583" t="s">
        <v>355</v>
      </c>
      <c r="F2583" t="s">
        <v>351</v>
      </c>
      <c r="G2583" t="s">
        <v>354</v>
      </c>
      <c r="H2583" t="s">
        <v>365</v>
      </c>
      <c r="I2583">
        <v>1200355</v>
      </c>
      <c r="J2583" t="s">
        <v>1036</v>
      </c>
      <c r="K2583" t="s">
        <v>1037</v>
      </c>
      <c r="L2583" t="s">
        <v>390</v>
      </c>
      <c r="N2583" t="s">
        <v>1038</v>
      </c>
      <c r="O2583" t="s">
        <v>1039</v>
      </c>
      <c r="S2583" s="34" t="s">
        <v>7309</v>
      </c>
    </row>
    <row r="2584" spans="1:19" ht="409.5" x14ac:dyDescent="0.15">
      <c r="A2584" t="s">
        <v>5393</v>
      </c>
      <c r="B2584" s="61">
        <v>46266</v>
      </c>
      <c r="E2584" t="s">
        <v>355</v>
      </c>
      <c r="F2584" t="s">
        <v>351</v>
      </c>
      <c r="G2584" t="s">
        <v>354</v>
      </c>
      <c r="H2584" t="s">
        <v>309</v>
      </c>
      <c r="I2584">
        <v>1200355</v>
      </c>
      <c r="J2584" t="s">
        <v>1036</v>
      </c>
      <c r="K2584" t="s">
        <v>1037</v>
      </c>
      <c r="L2584" t="s">
        <v>390</v>
      </c>
      <c r="N2584" t="s">
        <v>7310</v>
      </c>
      <c r="O2584" t="s">
        <v>1039</v>
      </c>
      <c r="S2584" s="34" t="s">
        <v>7311</v>
      </c>
    </row>
    <row r="2585" spans="1:19" ht="409.5" x14ac:dyDescent="0.15">
      <c r="A2585" t="s">
        <v>5393</v>
      </c>
      <c r="B2585" s="61">
        <v>46266</v>
      </c>
      <c r="E2585" t="s">
        <v>355</v>
      </c>
      <c r="F2585" t="s">
        <v>351</v>
      </c>
      <c r="G2585" t="s">
        <v>354</v>
      </c>
      <c r="H2585" t="s">
        <v>686</v>
      </c>
      <c r="I2585">
        <v>1201180</v>
      </c>
      <c r="J2585" t="s">
        <v>974</v>
      </c>
      <c r="K2585" t="s">
        <v>3905</v>
      </c>
      <c r="L2585" t="s">
        <v>390</v>
      </c>
      <c r="N2585" t="s">
        <v>7312</v>
      </c>
      <c r="O2585" t="s">
        <v>3907</v>
      </c>
      <c r="S2585" s="34" t="s">
        <v>7313</v>
      </c>
    </row>
    <row r="2586" spans="1:19" ht="324" x14ac:dyDescent="0.15">
      <c r="A2586" t="s">
        <v>5393</v>
      </c>
      <c r="B2586" s="61">
        <v>46266</v>
      </c>
      <c r="E2586" t="s">
        <v>355</v>
      </c>
      <c r="F2586" t="s">
        <v>351</v>
      </c>
      <c r="G2586" t="s">
        <v>354</v>
      </c>
      <c r="H2586" t="s">
        <v>353</v>
      </c>
      <c r="I2586">
        <v>1201180</v>
      </c>
      <c r="J2586" t="s">
        <v>974</v>
      </c>
      <c r="K2586" t="s">
        <v>3905</v>
      </c>
      <c r="L2586" t="s">
        <v>390</v>
      </c>
      <c r="N2586" t="s">
        <v>3906</v>
      </c>
      <c r="O2586" t="s">
        <v>3907</v>
      </c>
      <c r="R2586" t="s">
        <v>3992</v>
      </c>
      <c r="S2586" s="34" t="s">
        <v>7314</v>
      </c>
    </row>
    <row r="2587" spans="1:19" ht="409.5" x14ac:dyDescent="0.15">
      <c r="A2587" t="s">
        <v>5393</v>
      </c>
      <c r="B2587" s="61">
        <v>46266</v>
      </c>
      <c r="E2587" t="s">
        <v>355</v>
      </c>
      <c r="F2587" t="s">
        <v>351</v>
      </c>
      <c r="G2587" t="s">
        <v>354</v>
      </c>
      <c r="H2587" t="s">
        <v>309</v>
      </c>
      <c r="I2587">
        <v>1201180</v>
      </c>
      <c r="J2587" t="s">
        <v>974</v>
      </c>
      <c r="K2587" t="s">
        <v>3905</v>
      </c>
      <c r="L2587" t="s">
        <v>390</v>
      </c>
      <c r="N2587" t="s">
        <v>7315</v>
      </c>
      <c r="O2587" t="s">
        <v>3907</v>
      </c>
      <c r="R2587" t="s">
        <v>3992</v>
      </c>
      <c r="S2587" s="34" t="s">
        <v>7316</v>
      </c>
    </row>
    <row r="2588" spans="1:19" ht="409.5" x14ac:dyDescent="0.15">
      <c r="A2588" t="s">
        <v>5393</v>
      </c>
      <c r="B2588" s="61">
        <v>46266</v>
      </c>
      <c r="E2588" t="s">
        <v>355</v>
      </c>
      <c r="F2588" t="s">
        <v>351</v>
      </c>
      <c r="G2588" t="s">
        <v>354</v>
      </c>
      <c r="H2588" t="s">
        <v>686</v>
      </c>
      <c r="I2588">
        <v>1201180</v>
      </c>
      <c r="J2588" t="s">
        <v>974</v>
      </c>
      <c r="K2588" t="s">
        <v>3905</v>
      </c>
      <c r="L2588" t="s">
        <v>390</v>
      </c>
      <c r="N2588">
        <v>2150082</v>
      </c>
      <c r="O2588" t="s">
        <v>3907</v>
      </c>
      <c r="S2588" s="34" t="s">
        <v>7317</v>
      </c>
    </row>
    <row r="2589" spans="1:19" ht="409.5" x14ac:dyDescent="0.15">
      <c r="A2589" t="s">
        <v>5393</v>
      </c>
      <c r="B2589" s="61">
        <v>46296</v>
      </c>
      <c r="E2589" t="s">
        <v>355</v>
      </c>
      <c r="F2589" t="s">
        <v>351</v>
      </c>
      <c r="G2589" t="s">
        <v>354</v>
      </c>
      <c r="H2589" t="s">
        <v>686</v>
      </c>
      <c r="I2589">
        <v>1200968</v>
      </c>
      <c r="J2589" t="s">
        <v>1212</v>
      </c>
      <c r="K2589" t="s">
        <v>4031</v>
      </c>
      <c r="L2589" t="s">
        <v>1018</v>
      </c>
      <c r="N2589" t="s">
        <v>4573</v>
      </c>
      <c r="O2589" t="s">
        <v>4032</v>
      </c>
      <c r="R2589" t="s">
        <v>4052</v>
      </c>
      <c r="S2589" s="34" t="s">
        <v>7318</v>
      </c>
    </row>
    <row r="2590" spans="1:19" ht="409.5" x14ac:dyDescent="0.15">
      <c r="A2590" t="s">
        <v>5393</v>
      </c>
      <c r="B2590" s="61">
        <v>46296</v>
      </c>
      <c r="E2590" t="s">
        <v>355</v>
      </c>
      <c r="F2590" t="s">
        <v>351</v>
      </c>
      <c r="G2590" t="s">
        <v>354</v>
      </c>
      <c r="H2590" t="s">
        <v>309</v>
      </c>
      <c r="I2590">
        <v>1200968</v>
      </c>
      <c r="J2590" t="s">
        <v>1212</v>
      </c>
      <c r="K2590" t="s">
        <v>4031</v>
      </c>
      <c r="L2590" t="s">
        <v>1018</v>
      </c>
      <c r="N2590" t="s">
        <v>5169</v>
      </c>
      <c r="O2590" t="s">
        <v>4032</v>
      </c>
      <c r="R2590" t="s">
        <v>4052</v>
      </c>
      <c r="S2590" s="34" t="s">
        <v>7319</v>
      </c>
    </row>
    <row r="2591" spans="1:19" ht="409.5" x14ac:dyDescent="0.15">
      <c r="A2591" t="s">
        <v>5393</v>
      </c>
      <c r="B2591" s="61">
        <v>46296</v>
      </c>
      <c r="E2591" t="s">
        <v>355</v>
      </c>
      <c r="F2591" t="s">
        <v>351</v>
      </c>
      <c r="G2591" t="s">
        <v>354</v>
      </c>
      <c r="H2591" t="s">
        <v>686</v>
      </c>
      <c r="I2591">
        <v>1201362</v>
      </c>
      <c r="J2591" t="s">
        <v>2227</v>
      </c>
      <c r="K2591" t="s">
        <v>4033</v>
      </c>
      <c r="L2591" t="s">
        <v>3885</v>
      </c>
      <c r="N2591" t="s">
        <v>7320</v>
      </c>
      <c r="O2591" t="s">
        <v>4035</v>
      </c>
      <c r="R2591" t="s">
        <v>4550</v>
      </c>
      <c r="S2591" s="34" t="s">
        <v>7321</v>
      </c>
    </row>
    <row r="2592" spans="1:19" ht="409.5" x14ac:dyDescent="0.15">
      <c r="A2592" t="s">
        <v>5393</v>
      </c>
      <c r="B2592" s="61">
        <v>46296</v>
      </c>
      <c r="E2592" t="s">
        <v>355</v>
      </c>
      <c r="F2592" t="s">
        <v>351</v>
      </c>
      <c r="G2592" t="s">
        <v>354</v>
      </c>
      <c r="H2592" t="s">
        <v>353</v>
      </c>
      <c r="I2592">
        <v>1201362</v>
      </c>
      <c r="J2592" t="s">
        <v>2227</v>
      </c>
      <c r="K2592" t="s">
        <v>4033</v>
      </c>
      <c r="L2592" t="s">
        <v>3885</v>
      </c>
      <c r="N2592" t="s">
        <v>7374</v>
      </c>
      <c r="O2592" t="s">
        <v>4035</v>
      </c>
      <c r="R2592" t="s">
        <v>7322</v>
      </c>
      <c r="S2592" s="34" t="s">
        <v>7375</v>
      </c>
    </row>
    <row r="2593" spans="1:19" ht="364.5" x14ac:dyDescent="0.15">
      <c r="A2593" t="s">
        <v>5393</v>
      </c>
      <c r="B2593" s="61">
        <v>46327</v>
      </c>
      <c r="E2593" t="s">
        <v>355</v>
      </c>
      <c r="F2593" t="s">
        <v>351</v>
      </c>
      <c r="G2593" t="s">
        <v>354</v>
      </c>
      <c r="H2593" t="s">
        <v>353</v>
      </c>
      <c r="I2593">
        <v>1201359</v>
      </c>
      <c r="J2593" t="s">
        <v>3890</v>
      </c>
      <c r="K2593" t="s">
        <v>3891</v>
      </c>
      <c r="L2593" t="s">
        <v>3892</v>
      </c>
      <c r="N2593" t="s">
        <v>3893</v>
      </c>
      <c r="O2593" t="s">
        <v>3894</v>
      </c>
      <c r="S2593" s="34" t="s">
        <v>7323</v>
      </c>
    </row>
    <row r="2594" spans="1:19" ht="351" x14ac:dyDescent="0.15">
      <c r="A2594" t="s">
        <v>5393</v>
      </c>
      <c r="B2594" s="61">
        <v>46327</v>
      </c>
      <c r="E2594" t="s">
        <v>355</v>
      </c>
      <c r="F2594" t="s">
        <v>351</v>
      </c>
      <c r="G2594" t="s">
        <v>354</v>
      </c>
      <c r="H2594" t="s">
        <v>365</v>
      </c>
      <c r="I2594">
        <v>1201422</v>
      </c>
      <c r="J2594" t="s">
        <v>4837</v>
      </c>
      <c r="K2594" t="s">
        <v>4838</v>
      </c>
      <c r="L2594" t="s">
        <v>1114</v>
      </c>
      <c r="N2594" t="s">
        <v>4839</v>
      </c>
      <c r="O2594" t="s">
        <v>4840</v>
      </c>
      <c r="S2594" s="34" t="s">
        <v>7324</v>
      </c>
    </row>
    <row r="2595" spans="1:19" ht="243" x14ac:dyDescent="0.15">
      <c r="A2595" t="s">
        <v>5393</v>
      </c>
      <c r="B2595" s="61">
        <v>46327</v>
      </c>
      <c r="E2595" t="s">
        <v>355</v>
      </c>
      <c r="F2595" t="s">
        <v>351</v>
      </c>
      <c r="G2595" t="s">
        <v>352</v>
      </c>
      <c r="H2595" t="s">
        <v>310</v>
      </c>
      <c r="I2595">
        <v>1201461</v>
      </c>
      <c r="J2595" t="s">
        <v>3901</v>
      </c>
      <c r="L2595" t="s">
        <v>390</v>
      </c>
      <c r="N2595" t="s">
        <v>3902</v>
      </c>
      <c r="O2595" t="s">
        <v>3903</v>
      </c>
      <c r="R2595" t="s">
        <v>3985</v>
      </c>
      <c r="S2595" s="34" t="s">
        <v>7325</v>
      </c>
    </row>
    <row r="2596" spans="1:19" ht="409.5" x14ac:dyDescent="0.15">
      <c r="A2596" t="s">
        <v>3889</v>
      </c>
      <c r="B2596" s="61">
        <v>46235</v>
      </c>
      <c r="E2596" t="s">
        <v>355</v>
      </c>
      <c r="F2596" t="s">
        <v>351</v>
      </c>
      <c r="G2596" t="s">
        <v>354</v>
      </c>
      <c r="H2596" t="s">
        <v>353</v>
      </c>
      <c r="I2596">
        <v>1102200</v>
      </c>
      <c r="J2596" t="s">
        <v>1044</v>
      </c>
      <c r="K2596" t="s">
        <v>1045</v>
      </c>
      <c r="L2596" t="s">
        <v>1046</v>
      </c>
      <c r="N2596" t="s">
        <v>7326</v>
      </c>
      <c r="O2596" t="s">
        <v>1048</v>
      </c>
      <c r="R2596" t="s">
        <v>3987</v>
      </c>
      <c r="S2596" s="34" t="s">
        <v>7327</v>
      </c>
    </row>
    <row r="2597" spans="1:19" ht="409.5" x14ac:dyDescent="0.15">
      <c r="A2597" t="s">
        <v>3889</v>
      </c>
      <c r="B2597" s="61">
        <v>46235</v>
      </c>
      <c r="E2597" t="s">
        <v>355</v>
      </c>
      <c r="F2597" t="s">
        <v>351</v>
      </c>
      <c r="G2597" t="s">
        <v>354</v>
      </c>
      <c r="H2597" t="s">
        <v>686</v>
      </c>
      <c r="I2597">
        <v>1102200</v>
      </c>
      <c r="J2597" t="s">
        <v>1044</v>
      </c>
      <c r="K2597" t="s">
        <v>1045</v>
      </c>
      <c r="L2597" t="s">
        <v>1046</v>
      </c>
      <c r="N2597" t="s">
        <v>4150</v>
      </c>
      <c r="O2597" t="s">
        <v>1048</v>
      </c>
      <c r="R2597" t="s">
        <v>3987</v>
      </c>
      <c r="S2597" s="34" t="s">
        <v>7328</v>
      </c>
    </row>
    <row r="2598" spans="1:19" ht="409.5" x14ac:dyDescent="0.15">
      <c r="A2598" t="s">
        <v>3889</v>
      </c>
      <c r="B2598" s="61">
        <v>46266</v>
      </c>
      <c r="E2598" t="s">
        <v>355</v>
      </c>
      <c r="F2598" t="s">
        <v>351</v>
      </c>
      <c r="G2598" t="s">
        <v>354</v>
      </c>
      <c r="H2598" t="s">
        <v>686</v>
      </c>
      <c r="I2598">
        <v>1101227</v>
      </c>
      <c r="J2598" t="s">
        <v>1052</v>
      </c>
      <c r="K2598" t="s">
        <v>1053</v>
      </c>
      <c r="L2598" t="s">
        <v>390</v>
      </c>
      <c r="N2598">
        <v>2107907</v>
      </c>
      <c r="O2598" t="s">
        <v>1055</v>
      </c>
      <c r="S2598" s="34" t="s">
        <v>7329</v>
      </c>
    </row>
    <row r="2599" spans="1:19" ht="297" x14ac:dyDescent="0.15">
      <c r="A2599" t="s">
        <v>3889</v>
      </c>
      <c r="B2599" s="61">
        <v>46266</v>
      </c>
      <c r="E2599" t="s">
        <v>355</v>
      </c>
      <c r="F2599" t="s">
        <v>351</v>
      </c>
      <c r="G2599" t="s">
        <v>354</v>
      </c>
      <c r="H2599" t="s">
        <v>686</v>
      </c>
      <c r="I2599">
        <v>1101227</v>
      </c>
      <c r="J2599" t="s">
        <v>1052</v>
      </c>
      <c r="K2599" t="s">
        <v>1053</v>
      </c>
      <c r="L2599" t="s">
        <v>390</v>
      </c>
      <c r="N2599">
        <v>2158269</v>
      </c>
      <c r="O2599" t="s">
        <v>1055</v>
      </c>
      <c r="S2599" s="34" t="s">
        <v>7330</v>
      </c>
    </row>
    <row r="2600" spans="1:19" ht="409.5" x14ac:dyDescent="0.15">
      <c r="A2600" t="s">
        <v>3889</v>
      </c>
      <c r="B2600" s="61">
        <v>46296</v>
      </c>
      <c r="E2600" t="s">
        <v>355</v>
      </c>
      <c r="F2600" t="s">
        <v>351</v>
      </c>
      <c r="G2600" t="s">
        <v>354</v>
      </c>
      <c r="H2600" t="s">
        <v>686</v>
      </c>
      <c r="I2600">
        <v>1201555</v>
      </c>
      <c r="J2600" t="s">
        <v>4037</v>
      </c>
      <c r="K2600" t="s">
        <v>7331</v>
      </c>
      <c r="L2600" t="s">
        <v>6058</v>
      </c>
      <c r="N2600">
        <v>2136757</v>
      </c>
      <c r="O2600" t="s">
        <v>7332</v>
      </c>
      <c r="R2600" t="s">
        <v>7333</v>
      </c>
      <c r="S2600" s="34" t="s">
        <v>7334</v>
      </c>
    </row>
    <row r="2601" spans="1:19" ht="409.5" x14ac:dyDescent="0.15">
      <c r="A2601" t="s">
        <v>3889</v>
      </c>
      <c r="B2601" s="61">
        <v>46327</v>
      </c>
      <c r="E2601" t="s">
        <v>355</v>
      </c>
      <c r="F2601" t="s">
        <v>351</v>
      </c>
      <c r="G2601" t="s">
        <v>354</v>
      </c>
      <c r="H2601" t="s">
        <v>686</v>
      </c>
      <c r="I2601">
        <v>1102200</v>
      </c>
      <c r="J2601" t="s">
        <v>1044</v>
      </c>
      <c r="K2601" t="s">
        <v>1045</v>
      </c>
      <c r="L2601" t="s">
        <v>1046</v>
      </c>
      <c r="N2601" t="s">
        <v>4150</v>
      </c>
      <c r="O2601" t="s">
        <v>1048</v>
      </c>
      <c r="R2601" t="s">
        <v>3987</v>
      </c>
      <c r="S2601" s="34" t="s">
        <v>7328</v>
      </c>
    </row>
    <row r="2602" spans="1:19" ht="409.5" x14ac:dyDescent="0.15">
      <c r="A2602" t="s">
        <v>3889</v>
      </c>
      <c r="B2602" s="61">
        <v>46327</v>
      </c>
      <c r="E2602" t="s">
        <v>355</v>
      </c>
      <c r="F2602" t="s">
        <v>351</v>
      </c>
      <c r="G2602" t="s">
        <v>354</v>
      </c>
      <c r="H2602" t="s">
        <v>353</v>
      </c>
      <c r="I2602">
        <v>1102308</v>
      </c>
      <c r="J2602" t="s">
        <v>1024</v>
      </c>
      <c r="K2602" t="s">
        <v>1025</v>
      </c>
      <c r="L2602" t="s">
        <v>833</v>
      </c>
      <c r="N2602" t="s">
        <v>7335</v>
      </c>
      <c r="O2602" t="s">
        <v>1026</v>
      </c>
      <c r="R2602" t="s">
        <v>4012</v>
      </c>
      <c r="S2602" s="34" t="s">
        <v>7336</v>
      </c>
    </row>
    <row r="2603" spans="1:19" ht="202.5" x14ac:dyDescent="0.15">
      <c r="A2603" t="s">
        <v>3889</v>
      </c>
      <c r="B2603" s="61">
        <v>46327</v>
      </c>
      <c r="E2603" t="s">
        <v>355</v>
      </c>
      <c r="F2603" t="s">
        <v>351</v>
      </c>
      <c r="G2603" t="s">
        <v>354</v>
      </c>
      <c r="H2603" t="s">
        <v>686</v>
      </c>
      <c r="I2603">
        <v>1102308</v>
      </c>
      <c r="J2603" t="s">
        <v>1024</v>
      </c>
      <c r="K2603" t="s">
        <v>1025</v>
      </c>
      <c r="L2603" t="s">
        <v>833</v>
      </c>
      <c r="N2603">
        <v>2107121</v>
      </c>
      <c r="O2603" t="s">
        <v>1026</v>
      </c>
      <c r="R2603" t="s">
        <v>4012</v>
      </c>
      <c r="S2603" s="34" t="s">
        <v>7337</v>
      </c>
    </row>
    <row r="2604" spans="1:19" ht="189" x14ac:dyDescent="0.15">
      <c r="A2604" t="s">
        <v>3895</v>
      </c>
      <c r="B2604" s="61">
        <v>46266</v>
      </c>
      <c r="E2604" t="s">
        <v>355</v>
      </c>
      <c r="F2604" t="s">
        <v>351</v>
      </c>
      <c r="G2604" t="s">
        <v>354</v>
      </c>
      <c r="H2604" t="s">
        <v>353</v>
      </c>
      <c r="I2604">
        <v>1102100</v>
      </c>
      <c r="J2604" t="s">
        <v>481</v>
      </c>
      <c r="K2604" t="s">
        <v>1021</v>
      </c>
      <c r="L2604" t="s">
        <v>4127</v>
      </c>
      <c r="N2604" t="s">
        <v>4169</v>
      </c>
      <c r="O2604" t="s">
        <v>4170</v>
      </c>
      <c r="S2604" s="34" t="s">
        <v>7338</v>
      </c>
    </row>
    <row r="2605" spans="1:19" ht="202.5" x14ac:dyDescent="0.15">
      <c r="A2605" t="s">
        <v>3895</v>
      </c>
      <c r="B2605" s="61">
        <v>46266</v>
      </c>
      <c r="E2605" t="s">
        <v>355</v>
      </c>
      <c r="F2605" t="s">
        <v>351</v>
      </c>
      <c r="G2605" t="s">
        <v>354</v>
      </c>
      <c r="H2605" t="s">
        <v>686</v>
      </c>
      <c r="I2605">
        <v>1102183</v>
      </c>
      <c r="J2605" t="s">
        <v>7339</v>
      </c>
      <c r="K2605" t="s">
        <v>7340</v>
      </c>
      <c r="L2605" t="s">
        <v>390</v>
      </c>
      <c r="N2605">
        <v>2177551</v>
      </c>
      <c r="O2605" t="s">
        <v>7341</v>
      </c>
      <c r="S2605" s="34" t="s">
        <v>7342</v>
      </c>
    </row>
    <row r="2606" spans="1:19" ht="409.5" x14ac:dyDescent="0.15">
      <c r="A2606" t="s">
        <v>3895</v>
      </c>
      <c r="B2606" s="61">
        <v>46327</v>
      </c>
      <c r="E2606" t="s">
        <v>355</v>
      </c>
      <c r="F2606" t="s">
        <v>351</v>
      </c>
      <c r="G2606" t="s">
        <v>354</v>
      </c>
      <c r="H2606" t="s">
        <v>686</v>
      </c>
      <c r="I2606">
        <v>1201594</v>
      </c>
      <c r="J2606" t="s">
        <v>4155</v>
      </c>
      <c r="K2606" t="s">
        <v>4156</v>
      </c>
      <c r="L2606" t="s">
        <v>466</v>
      </c>
      <c r="N2606">
        <v>2166327</v>
      </c>
      <c r="O2606" t="s">
        <v>4157</v>
      </c>
      <c r="R2606" t="s">
        <v>3987</v>
      </c>
      <c r="S2606" s="34" t="s">
        <v>7343</v>
      </c>
    </row>
    <row r="2607" spans="1:19" x14ac:dyDescent="0.15">
      <c r="A2607" t="s">
        <v>1145</v>
      </c>
      <c r="B2607" s="61">
        <v>46296</v>
      </c>
      <c r="E2607" t="s">
        <v>355</v>
      </c>
      <c r="F2607" t="s">
        <v>351</v>
      </c>
      <c r="G2607" t="s">
        <v>354</v>
      </c>
      <c r="H2607" t="s">
        <v>353</v>
      </c>
      <c r="I2607">
        <v>100549</v>
      </c>
      <c r="J2607" t="s">
        <v>427</v>
      </c>
      <c r="K2607" t="s">
        <v>1147</v>
      </c>
      <c r="L2607" t="s">
        <v>1148</v>
      </c>
      <c r="N2607" t="s">
        <v>7378</v>
      </c>
      <c r="O2607" t="s">
        <v>7379</v>
      </c>
    </row>
    <row r="2608" spans="1:19" ht="405" x14ac:dyDescent="0.15">
      <c r="A2608" t="s">
        <v>1860</v>
      </c>
      <c r="B2608" s="61">
        <v>46235</v>
      </c>
      <c r="E2608" t="s">
        <v>355</v>
      </c>
      <c r="F2608" t="s">
        <v>351</v>
      </c>
      <c r="G2608" t="s">
        <v>354</v>
      </c>
      <c r="H2608" t="s">
        <v>365</v>
      </c>
      <c r="I2608">
        <v>800012</v>
      </c>
      <c r="J2608" t="s">
        <v>7380</v>
      </c>
      <c r="K2608" t="s">
        <v>1868</v>
      </c>
      <c r="L2608" t="s">
        <v>512</v>
      </c>
      <c r="N2608" t="s">
        <v>7381</v>
      </c>
      <c r="O2608" t="s">
        <v>7382</v>
      </c>
      <c r="S2608" s="34" t="s">
        <v>7460</v>
      </c>
    </row>
    <row r="2609" spans="1:19" x14ac:dyDescent="0.15">
      <c r="A2609" t="s">
        <v>2404</v>
      </c>
      <c r="B2609" s="61">
        <v>46357</v>
      </c>
      <c r="E2609" t="s">
        <v>355</v>
      </c>
      <c r="F2609" t="s">
        <v>351</v>
      </c>
      <c r="G2609" t="s">
        <v>354</v>
      </c>
      <c r="H2609" t="s">
        <v>353</v>
      </c>
      <c r="I2609">
        <v>1101346</v>
      </c>
      <c r="J2609" t="s">
        <v>2407</v>
      </c>
      <c r="K2609" t="s">
        <v>7383</v>
      </c>
      <c r="L2609" t="s">
        <v>390</v>
      </c>
      <c r="N2609" t="s">
        <v>7384</v>
      </c>
      <c r="O2609" t="s">
        <v>7385</v>
      </c>
      <c r="R2609" t="s">
        <v>4318</v>
      </c>
    </row>
    <row r="2610" spans="1:19" x14ac:dyDescent="0.15">
      <c r="A2610" t="s">
        <v>515</v>
      </c>
      <c r="B2610" s="61">
        <v>46296</v>
      </c>
      <c r="E2610" t="s">
        <v>355</v>
      </c>
      <c r="F2610" t="s">
        <v>351</v>
      </c>
      <c r="G2610" t="s">
        <v>354</v>
      </c>
      <c r="H2610" t="s">
        <v>353</v>
      </c>
      <c r="I2610">
        <v>1401797</v>
      </c>
      <c r="J2610" t="s">
        <v>2407</v>
      </c>
      <c r="K2610" t="s">
        <v>7386</v>
      </c>
      <c r="L2610" t="s">
        <v>698</v>
      </c>
      <c r="N2610" t="s">
        <v>7387</v>
      </c>
      <c r="O2610" t="s">
        <v>7388</v>
      </c>
    </row>
    <row r="2611" spans="1:19" ht="378" x14ac:dyDescent="0.15">
      <c r="A2611" t="s">
        <v>1390</v>
      </c>
      <c r="B2611" s="61">
        <v>46235</v>
      </c>
      <c r="E2611" t="s">
        <v>355</v>
      </c>
      <c r="F2611" t="s">
        <v>351</v>
      </c>
      <c r="G2611" t="s">
        <v>354</v>
      </c>
      <c r="H2611" t="s">
        <v>353</v>
      </c>
      <c r="I2611">
        <v>1900274</v>
      </c>
      <c r="J2611" t="s">
        <v>5036</v>
      </c>
      <c r="L2611" t="s">
        <v>7389</v>
      </c>
      <c r="N2611" t="s">
        <v>7390</v>
      </c>
      <c r="O2611" t="s">
        <v>7391</v>
      </c>
      <c r="S2611" s="34" t="s">
        <v>7461</v>
      </c>
    </row>
    <row r="2612" spans="1:19" ht="229.5" x14ac:dyDescent="0.15">
      <c r="A2612" t="s">
        <v>1390</v>
      </c>
      <c r="B2612" s="61">
        <v>46235</v>
      </c>
      <c r="E2612" t="s">
        <v>355</v>
      </c>
      <c r="F2612" t="s">
        <v>351</v>
      </c>
      <c r="G2612" t="s">
        <v>354</v>
      </c>
      <c r="H2612" t="s">
        <v>353</v>
      </c>
      <c r="I2612">
        <v>1900277</v>
      </c>
      <c r="J2612" t="s">
        <v>5036</v>
      </c>
      <c r="L2612" t="s">
        <v>7392</v>
      </c>
      <c r="N2612" t="s">
        <v>7393</v>
      </c>
      <c r="O2612" t="s">
        <v>7394</v>
      </c>
      <c r="S2612" s="34" t="s">
        <v>7462</v>
      </c>
    </row>
    <row r="2613" spans="1:19" ht="409.5" x14ac:dyDescent="0.15">
      <c r="A2613" t="s">
        <v>3483</v>
      </c>
      <c r="B2613" s="61">
        <v>46266</v>
      </c>
      <c r="E2613" t="s">
        <v>355</v>
      </c>
      <c r="F2613" t="s">
        <v>351</v>
      </c>
      <c r="G2613" t="s">
        <v>354</v>
      </c>
      <c r="H2613" t="s">
        <v>353</v>
      </c>
      <c r="I2613">
        <v>2301066</v>
      </c>
      <c r="J2613" t="s">
        <v>7395</v>
      </c>
      <c r="L2613" t="s">
        <v>7396</v>
      </c>
      <c r="N2613" t="s">
        <v>7397</v>
      </c>
      <c r="O2613" t="s">
        <v>7398</v>
      </c>
      <c r="S2613" s="34" t="s">
        <v>7487</v>
      </c>
    </row>
    <row r="2614" spans="1:19" x14ac:dyDescent="0.15">
      <c r="A2614" t="s">
        <v>422</v>
      </c>
      <c r="B2614" s="61">
        <v>46357</v>
      </c>
      <c r="E2614" t="s">
        <v>355</v>
      </c>
      <c r="F2614" t="s">
        <v>351</v>
      </c>
      <c r="G2614" t="s">
        <v>354</v>
      </c>
      <c r="H2614" t="s">
        <v>353</v>
      </c>
      <c r="I2614">
        <v>2700762</v>
      </c>
      <c r="J2614" t="s">
        <v>423</v>
      </c>
      <c r="K2614" t="s">
        <v>424</v>
      </c>
      <c r="L2614" t="s">
        <v>425</v>
      </c>
      <c r="N2614" t="s">
        <v>7399</v>
      </c>
      <c r="O2614" t="s">
        <v>426</v>
      </c>
      <c r="R2614" t="s">
        <v>7400</v>
      </c>
    </row>
    <row r="2615" spans="1:19" x14ac:dyDescent="0.15">
      <c r="A2615" t="s">
        <v>6263</v>
      </c>
      <c r="B2615" s="61">
        <v>46357</v>
      </c>
      <c r="E2615" t="s">
        <v>355</v>
      </c>
      <c r="F2615" t="s">
        <v>351</v>
      </c>
      <c r="G2615" t="s">
        <v>354</v>
      </c>
      <c r="H2615" t="s">
        <v>365</v>
      </c>
      <c r="I2615">
        <v>3300231</v>
      </c>
      <c r="J2615" t="s">
        <v>708</v>
      </c>
      <c r="K2615" t="s">
        <v>1952</v>
      </c>
      <c r="L2615" t="s">
        <v>1385</v>
      </c>
      <c r="N2615" t="s">
        <v>1953</v>
      </c>
      <c r="O2615" t="s">
        <v>1954</v>
      </c>
      <c r="R2615" t="s">
        <v>7400</v>
      </c>
    </row>
    <row r="2616" spans="1:19" x14ac:dyDescent="0.15">
      <c r="A2616" t="s">
        <v>1095</v>
      </c>
      <c r="B2616" s="61">
        <v>46357</v>
      </c>
      <c r="E2616" t="s">
        <v>355</v>
      </c>
      <c r="F2616" t="s">
        <v>351</v>
      </c>
      <c r="G2616" t="s">
        <v>354</v>
      </c>
      <c r="H2616" t="s">
        <v>353</v>
      </c>
      <c r="I2616">
        <v>3900023</v>
      </c>
      <c r="J2616" t="s">
        <v>1065</v>
      </c>
      <c r="K2616" t="s">
        <v>1600</v>
      </c>
      <c r="L2616" t="s">
        <v>1114</v>
      </c>
      <c r="N2616" t="s">
        <v>7401</v>
      </c>
      <c r="O2616" t="s">
        <v>7402</v>
      </c>
    </row>
    <row r="2617" spans="1:19" x14ac:dyDescent="0.15">
      <c r="A2617" t="s">
        <v>819</v>
      </c>
      <c r="B2617" s="61">
        <v>46296</v>
      </c>
      <c r="E2617" t="s">
        <v>355</v>
      </c>
      <c r="F2617" t="s">
        <v>351</v>
      </c>
      <c r="G2617" t="s">
        <v>354</v>
      </c>
      <c r="H2617" t="s">
        <v>353</v>
      </c>
      <c r="I2617">
        <v>4300124</v>
      </c>
      <c r="J2617" t="s">
        <v>925</v>
      </c>
      <c r="K2617" t="s">
        <v>7403</v>
      </c>
      <c r="L2617" t="s">
        <v>2628</v>
      </c>
      <c r="N2617" t="s">
        <v>7404</v>
      </c>
      <c r="O2617" t="s">
        <v>7405</v>
      </c>
    </row>
    <row r="2618" spans="1:19" ht="229.5" x14ac:dyDescent="0.15">
      <c r="A2618" t="s">
        <v>2771</v>
      </c>
      <c r="B2618" s="61">
        <v>46296</v>
      </c>
      <c r="E2618" t="s">
        <v>355</v>
      </c>
      <c r="F2618" t="s">
        <v>351</v>
      </c>
      <c r="G2618" t="s">
        <v>354</v>
      </c>
      <c r="H2618" t="s">
        <v>353</v>
      </c>
      <c r="I2618">
        <v>2100014</v>
      </c>
      <c r="J2618" t="s">
        <v>7406</v>
      </c>
      <c r="K2618" t="s">
        <v>7407</v>
      </c>
      <c r="L2618" t="s">
        <v>7408</v>
      </c>
      <c r="N2618" t="s">
        <v>7409</v>
      </c>
      <c r="O2618" t="s">
        <v>7410</v>
      </c>
      <c r="S2618" s="34" t="s">
        <v>7488</v>
      </c>
    </row>
    <row r="2619" spans="1:19" x14ac:dyDescent="0.15">
      <c r="A2619" t="s">
        <v>837</v>
      </c>
      <c r="B2619" s="61">
        <v>46296</v>
      </c>
      <c r="E2619" t="s">
        <v>355</v>
      </c>
      <c r="F2619" t="s">
        <v>351</v>
      </c>
      <c r="G2619" t="s">
        <v>354</v>
      </c>
      <c r="H2619" t="s">
        <v>353</v>
      </c>
      <c r="I2619">
        <v>1000847</v>
      </c>
      <c r="J2619" t="s">
        <v>906</v>
      </c>
      <c r="K2619" t="s">
        <v>907</v>
      </c>
      <c r="L2619" t="s">
        <v>908</v>
      </c>
      <c r="N2619" t="s">
        <v>5127</v>
      </c>
      <c r="O2619" t="s">
        <v>909</v>
      </c>
    </row>
    <row r="2620" spans="1:19" x14ac:dyDescent="0.15">
      <c r="A2620" t="s">
        <v>2456</v>
      </c>
      <c r="B2620" s="61">
        <v>46296</v>
      </c>
      <c r="E2620" t="s">
        <v>355</v>
      </c>
      <c r="F2620" t="s">
        <v>351</v>
      </c>
      <c r="G2620" t="s">
        <v>354</v>
      </c>
      <c r="H2620" t="s">
        <v>353</v>
      </c>
      <c r="I2620">
        <v>2202083</v>
      </c>
      <c r="J2620" t="s">
        <v>7411</v>
      </c>
      <c r="K2620" t="s">
        <v>7412</v>
      </c>
      <c r="L2620" t="s">
        <v>7413</v>
      </c>
      <c r="N2620" t="s">
        <v>7414</v>
      </c>
      <c r="O2620" t="s">
        <v>7415</v>
      </c>
    </row>
    <row r="2621" spans="1:19" ht="409.5" x14ac:dyDescent="0.15">
      <c r="A2621" t="s">
        <v>5394</v>
      </c>
      <c r="B2621" s="61">
        <v>46235</v>
      </c>
      <c r="E2621" t="s">
        <v>355</v>
      </c>
      <c r="F2621" t="s">
        <v>351</v>
      </c>
      <c r="G2621" t="s">
        <v>354</v>
      </c>
      <c r="H2621" t="s">
        <v>365</v>
      </c>
      <c r="I2621">
        <v>1400559</v>
      </c>
      <c r="J2621" t="s">
        <v>3917</v>
      </c>
      <c r="K2621" t="s">
        <v>5139</v>
      </c>
      <c r="L2621" t="s">
        <v>373</v>
      </c>
      <c r="N2621" t="s">
        <v>5140</v>
      </c>
      <c r="O2621" t="s">
        <v>5141</v>
      </c>
      <c r="S2621" s="34" t="s">
        <v>7463</v>
      </c>
    </row>
    <row r="2622" spans="1:19" ht="256.5" x14ac:dyDescent="0.15">
      <c r="A2622" t="s">
        <v>5394</v>
      </c>
      <c r="B2622" s="61">
        <v>46235</v>
      </c>
      <c r="E2622" t="s">
        <v>355</v>
      </c>
      <c r="F2622" t="s">
        <v>351</v>
      </c>
      <c r="G2622" t="s">
        <v>354</v>
      </c>
      <c r="H2622" t="s">
        <v>365</v>
      </c>
      <c r="I2622">
        <v>1400815</v>
      </c>
      <c r="J2622" t="s">
        <v>3917</v>
      </c>
      <c r="K2622" t="s">
        <v>5136</v>
      </c>
      <c r="L2622" t="s">
        <v>413</v>
      </c>
      <c r="N2622" t="s">
        <v>5137</v>
      </c>
      <c r="O2622" t="s">
        <v>5138</v>
      </c>
      <c r="S2622" s="34" t="s">
        <v>7464</v>
      </c>
    </row>
    <row r="2623" spans="1:19" ht="409.5" x14ac:dyDescent="0.15">
      <c r="A2623" t="s">
        <v>2255</v>
      </c>
      <c r="B2623" s="61">
        <v>46204</v>
      </c>
      <c r="E2623" t="s">
        <v>355</v>
      </c>
      <c r="F2623" t="s">
        <v>351</v>
      </c>
      <c r="G2623" t="s">
        <v>354</v>
      </c>
      <c r="H2623" t="s">
        <v>686</v>
      </c>
      <c r="I2623">
        <v>1102113</v>
      </c>
      <c r="J2623" t="s">
        <v>1620</v>
      </c>
      <c r="K2623" t="s">
        <v>4025</v>
      </c>
      <c r="L2623" t="s">
        <v>2942</v>
      </c>
      <c r="N2623">
        <v>2068112</v>
      </c>
      <c r="O2623" t="s">
        <v>4026</v>
      </c>
      <c r="R2623" t="s">
        <v>7416</v>
      </c>
      <c r="S2623" s="34" t="s">
        <v>7465</v>
      </c>
    </row>
    <row r="2624" spans="1:19" ht="409.5" x14ac:dyDescent="0.15">
      <c r="A2624" t="s">
        <v>5393</v>
      </c>
      <c r="B2624" s="61">
        <v>46327</v>
      </c>
      <c r="E2624" t="s">
        <v>355</v>
      </c>
      <c r="F2624" t="s">
        <v>351</v>
      </c>
      <c r="G2624" t="s">
        <v>354</v>
      </c>
      <c r="H2624" t="s">
        <v>353</v>
      </c>
      <c r="I2624">
        <v>1102156</v>
      </c>
      <c r="J2624" t="s">
        <v>1057</v>
      </c>
      <c r="K2624" t="s">
        <v>7417</v>
      </c>
      <c r="L2624" t="s">
        <v>7418</v>
      </c>
      <c r="N2624" t="s">
        <v>7419</v>
      </c>
      <c r="O2624" t="s">
        <v>7420</v>
      </c>
      <c r="S2624" s="34" t="s">
        <v>7489</v>
      </c>
    </row>
    <row r="2625" spans="1:19" ht="409.5" x14ac:dyDescent="0.15">
      <c r="A2625" t="s">
        <v>3297</v>
      </c>
      <c r="B2625" s="61">
        <v>46235</v>
      </c>
      <c r="E2625" t="s">
        <v>355</v>
      </c>
      <c r="F2625" t="s">
        <v>351</v>
      </c>
      <c r="G2625" t="s">
        <v>354</v>
      </c>
      <c r="H2625" t="s">
        <v>353</v>
      </c>
      <c r="I2625">
        <v>2802043</v>
      </c>
      <c r="J2625" t="s">
        <v>587</v>
      </c>
      <c r="K2625" t="s">
        <v>3316</v>
      </c>
      <c r="L2625" t="s">
        <v>7421</v>
      </c>
      <c r="N2625" t="s">
        <v>7422</v>
      </c>
      <c r="O2625" t="s">
        <v>7350</v>
      </c>
      <c r="R2625" t="s">
        <v>4317</v>
      </c>
      <c r="S2625" s="34" t="s">
        <v>7466</v>
      </c>
    </row>
    <row r="2626" spans="1:19" ht="216" x14ac:dyDescent="0.15">
      <c r="A2626" t="s">
        <v>3483</v>
      </c>
      <c r="B2626" s="61">
        <v>46327</v>
      </c>
      <c r="E2626" t="s">
        <v>355</v>
      </c>
      <c r="F2626" t="s">
        <v>351</v>
      </c>
      <c r="G2626" t="s">
        <v>354</v>
      </c>
      <c r="H2626" t="s">
        <v>353</v>
      </c>
      <c r="I2626">
        <v>2303839</v>
      </c>
      <c r="J2626" t="s">
        <v>4458</v>
      </c>
      <c r="K2626" t="s">
        <v>4459</v>
      </c>
      <c r="L2626" t="s">
        <v>4460</v>
      </c>
      <c r="N2626" t="s">
        <v>4888</v>
      </c>
      <c r="O2626" t="s">
        <v>4461</v>
      </c>
      <c r="S2626" s="34" t="s">
        <v>7490</v>
      </c>
    </row>
    <row r="2627" spans="1:19" x14ac:dyDescent="0.15">
      <c r="A2627" t="s">
        <v>2377</v>
      </c>
      <c r="B2627" s="61">
        <v>46266</v>
      </c>
      <c r="E2627" t="s">
        <v>355</v>
      </c>
      <c r="F2627" t="s">
        <v>351</v>
      </c>
      <c r="G2627" t="s">
        <v>354</v>
      </c>
      <c r="H2627" t="s">
        <v>353</v>
      </c>
      <c r="I2627">
        <v>1102581</v>
      </c>
      <c r="J2627" t="s">
        <v>2392</v>
      </c>
      <c r="K2627" t="s">
        <v>2393</v>
      </c>
      <c r="L2627" t="s">
        <v>7423</v>
      </c>
      <c r="N2627" t="s">
        <v>7424</v>
      </c>
      <c r="O2627" t="s">
        <v>7425</v>
      </c>
    </row>
    <row r="2628" spans="1:19" ht="409.5" x14ac:dyDescent="0.15">
      <c r="A2628" t="s">
        <v>3617</v>
      </c>
      <c r="B2628" s="61">
        <v>46266</v>
      </c>
      <c r="E2628" t="s">
        <v>355</v>
      </c>
      <c r="F2628" t="s">
        <v>351</v>
      </c>
      <c r="G2628" t="s">
        <v>354</v>
      </c>
      <c r="H2628" t="s">
        <v>353</v>
      </c>
      <c r="I2628">
        <v>4000989</v>
      </c>
      <c r="J2628" t="s">
        <v>979</v>
      </c>
      <c r="K2628" t="s">
        <v>7426</v>
      </c>
      <c r="L2628" t="s">
        <v>7427</v>
      </c>
      <c r="N2628" t="s">
        <v>7428</v>
      </c>
      <c r="O2628" t="s">
        <v>7429</v>
      </c>
      <c r="S2628" s="34" t="s">
        <v>7491</v>
      </c>
    </row>
    <row r="2629" spans="1:19" ht="256.5" x14ac:dyDescent="0.15">
      <c r="A2629" t="s">
        <v>3617</v>
      </c>
      <c r="B2629" s="61">
        <v>46266</v>
      </c>
      <c r="E2629" t="s">
        <v>355</v>
      </c>
      <c r="F2629" t="s">
        <v>351</v>
      </c>
      <c r="G2629" t="s">
        <v>354</v>
      </c>
      <c r="H2629" t="s">
        <v>365</v>
      </c>
      <c r="I2629">
        <v>4000989</v>
      </c>
      <c r="J2629" t="s">
        <v>979</v>
      </c>
      <c r="K2629" t="s">
        <v>7426</v>
      </c>
      <c r="L2629" t="s">
        <v>7427</v>
      </c>
      <c r="N2629" t="s">
        <v>7430</v>
      </c>
      <c r="O2629" t="s">
        <v>7429</v>
      </c>
      <c r="S2629" s="34" t="s">
        <v>7492</v>
      </c>
    </row>
    <row r="2630" spans="1:19" x14ac:dyDescent="0.15">
      <c r="A2630" t="s">
        <v>501</v>
      </c>
      <c r="B2630" s="61">
        <v>46327</v>
      </c>
      <c r="E2630" t="s">
        <v>355</v>
      </c>
      <c r="F2630" t="s">
        <v>351</v>
      </c>
      <c r="G2630" t="s">
        <v>354</v>
      </c>
      <c r="H2630" t="s">
        <v>353</v>
      </c>
      <c r="I2630">
        <v>1402919</v>
      </c>
      <c r="J2630" t="s">
        <v>7431</v>
      </c>
      <c r="K2630" t="s">
        <v>7432</v>
      </c>
      <c r="L2630" t="s">
        <v>2617</v>
      </c>
      <c r="N2630" t="s">
        <v>7433</v>
      </c>
      <c r="O2630" t="s">
        <v>7434</v>
      </c>
    </row>
    <row r="2631" spans="1:19" x14ac:dyDescent="0.15">
      <c r="A2631" t="s">
        <v>769</v>
      </c>
      <c r="B2631" s="61">
        <v>46296</v>
      </c>
      <c r="E2631" t="s">
        <v>355</v>
      </c>
      <c r="F2631" t="s">
        <v>351</v>
      </c>
      <c r="G2631" t="s">
        <v>354</v>
      </c>
      <c r="H2631" t="s">
        <v>353</v>
      </c>
      <c r="I2631">
        <v>1102599</v>
      </c>
      <c r="J2631" t="s">
        <v>1716</v>
      </c>
      <c r="K2631" t="s">
        <v>7435</v>
      </c>
      <c r="L2631" t="s">
        <v>7436</v>
      </c>
      <c r="N2631" t="s">
        <v>7437</v>
      </c>
      <c r="O2631" t="s">
        <v>7438</v>
      </c>
    </row>
    <row r="2632" spans="1:19" ht="405" x14ac:dyDescent="0.15">
      <c r="A2632" t="s">
        <v>3226</v>
      </c>
      <c r="B2632" s="61">
        <v>46266</v>
      </c>
      <c r="E2632" t="s">
        <v>355</v>
      </c>
      <c r="F2632" t="s">
        <v>351</v>
      </c>
      <c r="G2632" t="s">
        <v>354</v>
      </c>
      <c r="H2632" t="s">
        <v>365</v>
      </c>
      <c r="I2632">
        <v>2303820</v>
      </c>
      <c r="J2632" t="s">
        <v>995</v>
      </c>
      <c r="K2632" t="s">
        <v>7439</v>
      </c>
      <c r="L2632" t="s">
        <v>7440</v>
      </c>
      <c r="N2632" t="s">
        <v>7441</v>
      </c>
      <c r="O2632" t="s">
        <v>7442</v>
      </c>
      <c r="R2632" t="s">
        <v>7493</v>
      </c>
      <c r="S2632" s="34" t="s">
        <v>7494</v>
      </c>
    </row>
    <row r="2633" spans="1:19" x14ac:dyDescent="0.15">
      <c r="A2633" t="s">
        <v>617</v>
      </c>
      <c r="B2633" s="61">
        <v>46296</v>
      </c>
      <c r="E2633" t="s">
        <v>355</v>
      </c>
      <c r="F2633" t="s">
        <v>351</v>
      </c>
      <c r="G2633" t="s">
        <v>354</v>
      </c>
      <c r="H2633" t="s">
        <v>365</v>
      </c>
      <c r="I2633">
        <v>2303913</v>
      </c>
      <c r="J2633" t="s">
        <v>7443</v>
      </c>
      <c r="L2633" t="s">
        <v>7444</v>
      </c>
      <c r="N2633" t="s">
        <v>7445</v>
      </c>
      <c r="O2633" t="s">
        <v>7446</v>
      </c>
    </row>
    <row r="2634" spans="1:19" ht="409.5" x14ac:dyDescent="0.15">
      <c r="A2634" t="s">
        <v>3226</v>
      </c>
      <c r="B2634" s="61">
        <v>46266</v>
      </c>
      <c r="E2634" t="s">
        <v>355</v>
      </c>
      <c r="F2634" t="s">
        <v>351</v>
      </c>
      <c r="G2634" t="s">
        <v>354</v>
      </c>
      <c r="H2634" t="s">
        <v>353</v>
      </c>
      <c r="I2634">
        <v>2303905</v>
      </c>
      <c r="J2634" t="s">
        <v>3995</v>
      </c>
      <c r="K2634" t="s">
        <v>7447</v>
      </c>
      <c r="L2634" t="s">
        <v>7448</v>
      </c>
      <c r="N2634" t="s">
        <v>7449</v>
      </c>
      <c r="O2634" t="s">
        <v>7450</v>
      </c>
      <c r="S2634" s="34" t="s">
        <v>7495</v>
      </c>
    </row>
    <row r="2635" spans="1:19" ht="409.5" x14ac:dyDescent="0.15">
      <c r="A2635" t="s">
        <v>1614</v>
      </c>
      <c r="B2635" s="61">
        <v>46174</v>
      </c>
      <c r="E2635" t="s">
        <v>355</v>
      </c>
      <c r="F2635" t="s">
        <v>351</v>
      </c>
      <c r="H2635" t="s">
        <v>7451</v>
      </c>
      <c r="I2635">
        <v>2000762</v>
      </c>
      <c r="J2635" t="s">
        <v>7452</v>
      </c>
      <c r="K2635" t="s">
        <v>7453</v>
      </c>
      <c r="L2635" t="s">
        <v>7454</v>
      </c>
      <c r="N2635" t="s">
        <v>7345</v>
      </c>
      <c r="O2635" t="s">
        <v>7455</v>
      </c>
      <c r="R2635" s="34" t="s">
        <v>7456</v>
      </c>
      <c r="S2635" s="34" t="s">
        <v>7457</v>
      </c>
    </row>
  </sheetData>
  <phoneticPr fontId="1"/>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00B3B-1183-41A8-8CDE-EC344A635860}">
  <sheetPr codeName="Sheet3"/>
  <dimension ref="A1:T2485"/>
  <sheetViews>
    <sheetView workbookViewId="0"/>
  </sheetViews>
  <sheetFormatPr defaultRowHeight="13.5" x14ac:dyDescent="0.15"/>
  <sheetData>
    <row r="1" spans="1:20" x14ac:dyDescent="0.15">
      <c r="A1" t="s">
        <v>331</v>
      </c>
      <c r="B1" t="s">
        <v>332</v>
      </c>
      <c r="C1" t="s">
        <v>7527</v>
      </c>
      <c r="D1" t="s">
        <v>334</v>
      </c>
      <c r="E1" t="s">
        <v>7528</v>
      </c>
      <c r="F1" t="s">
        <v>336</v>
      </c>
      <c r="G1" t="s">
        <v>337</v>
      </c>
      <c r="H1" t="s">
        <v>338</v>
      </c>
      <c r="I1" t="s">
        <v>76</v>
      </c>
      <c r="J1" t="s">
        <v>339</v>
      </c>
      <c r="K1" t="s">
        <v>340</v>
      </c>
      <c r="L1" t="s">
        <v>341</v>
      </c>
      <c r="M1" t="s">
        <v>342</v>
      </c>
      <c r="N1" t="s">
        <v>343</v>
      </c>
      <c r="O1" t="s">
        <v>344</v>
      </c>
      <c r="P1" t="s">
        <v>345</v>
      </c>
      <c r="Q1" t="s">
        <v>346</v>
      </c>
      <c r="R1" t="s">
        <v>347</v>
      </c>
      <c r="S1" t="s">
        <v>348</v>
      </c>
      <c r="T1" t="s">
        <v>349</v>
      </c>
    </row>
    <row r="2" spans="1:20" x14ac:dyDescent="0.15">
      <c r="A2" t="s">
        <v>6275</v>
      </c>
      <c r="B2" s="61">
        <v>46600</v>
      </c>
      <c r="D2" s="62">
        <v>46509.958333333336</v>
      </c>
      <c r="E2" t="s">
        <v>355</v>
      </c>
      <c r="F2" t="s">
        <v>364</v>
      </c>
      <c r="H2" t="s">
        <v>365</v>
      </c>
      <c r="I2">
        <v>1200763</v>
      </c>
      <c r="J2" t="s">
        <v>4151</v>
      </c>
      <c r="L2" t="s">
        <v>4152</v>
      </c>
      <c r="M2" s="62">
        <v>46510.208333333336</v>
      </c>
      <c r="N2" t="s">
        <v>4153</v>
      </c>
      <c r="O2" t="s">
        <v>4154</v>
      </c>
    </row>
    <row r="3" spans="1:20" ht="391.5" x14ac:dyDescent="0.15">
      <c r="A3" t="s">
        <v>1715</v>
      </c>
      <c r="B3" s="61">
        <v>46327</v>
      </c>
      <c r="D3" s="62">
        <v>46330.375</v>
      </c>
      <c r="E3" t="s">
        <v>355</v>
      </c>
      <c r="F3" t="s">
        <v>385</v>
      </c>
      <c r="H3" t="s">
        <v>365</v>
      </c>
      <c r="I3">
        <v>1500733</v>
      </c>
      <c r="J3" t="s">
        <v>1750</v>
      </c>
      <c r="K3" t="s">
        <v>1751</v>
      </c>
      <c r="L3" t="s">
        <v>390</v>
      </c>
      <c r="M3" s="62">
        <v>46330.708333333336</v>
      </c>
      <c r="N3" t="s">
        <v>1752</v>
      </c>
      <c r="O3" t="s">
        <v>1753</v>
      </c>
      <c r="Q3" s="34" t="s">
        <v>5182</v>
      </c>
      <c r="R3" t="s">
        <v>395</v>
      </c>
      <c r="S3" s="34" t="s">
        <v>1754</v>
      </c>
    </row>
    <row r="4" spans="1:20" ht="409.5" x14ac:dyDescent="0.15">
      <c r="A4" t="s">
        <v>1860</v>
      </c>
      <c r="B4" s="61">
        <v>46296</v>
      </c>
      <c r="D4" s="62">
        <v>46300.416666666664</v>
      </c>
      <c r="E4" t="s">
        <v>355</v>
      </c>
      <c r="F4" t="s">
        <v>385</v>
      </c>
      <c r="H4" t="s">
        <v>310</v>
      </c>
      <c r="I4">
        <v>800392</v>
      </c>
      <c r="J4" t="s">
        <v>1889</v>
      </c>
      <c r="K4" t="s">
        <v>403</v>
      </c>
      <c r="L4" t="s">
        <v>512</v>
      </c>
      <c r="M4" s="62">
        <v>46304.708333333336</v>
      </c>
      <c r="N4" t="s">
        <v>1890</v>
      </c>
      <c r="O4" t="s">
        <v>1891</v>
      </c>
      <c r="P4" t="s">
        <v>7562</v>
      </c>
      <c r="Q4" t="s">
        <v>7563</v>
      </c>
      <c r="R4" s="34" t="s">
        <v>7564</v>
      </c>
      <c r="S4" s="34" t="s">
        <v>1892</v>
      </c>
    </row>
    <row r="5" spans="1:20" ht="409.5" x14ac:dyDescent="0.15">
      <c r="A5" t="s">
        <v>1234</v>
      </c>
      <c r="B5" s="61">
        <v>46266</v>
      </c>
      <c r="D5" s="62">
        <v>46284.375</v>
      </c>
      <c r="E5" t="s">
        <v>355</v>
      </c>
      <c r="F5" t="s">
        <v>356</v>
      </c>
      <c r="H5" t="s">
        <v>353</v>
      </c>
      <c r="I5">
        <v>2400449</v>
      </c>
      <c r="J5" t="s">
        <v>1240</v>
      </c>
      <c r="K5" t="s">
        <v>1241</v>
      </c>
      <c r="L5" t="s">
        <v>1242</v>
      </c>
      <c r="M5" s="62">
        <v>46284.625</v>
      </c>
      <c r="N5" t="s">
        <v>1243</v>
      </c>
      <c r="O5" t="s">
        <v>1244</v>
      </c>
      <c r="P5" s="34" t="s">
        <v>7664</v>
      </c>
      <c r="Q5" t="s">
        <v>7665</v>
      </c>
      <c r="R5" t="s">
        <v>362</v>
      </c>
      <c r="S5" s="34" t="s">
        <v>1245</v>
      </c>
    </row>
    <row r="6" spans="1:20" ht="409.5" x14ac:dyDescent="0.15">
      <c r="A6" t="s">
        <v>1234</v>
      </c>
      <c r="B6" s="61">
        <v>46266</v>
      </c>
      <c r="D6" s="62">
        <v>46284.375</v>
      </c>
      <c r="E6" t="s">
        <v>355</v>
      </c>
      <c r="F6" t="s">
        <v>351</v>
      </c>
      <c r="G6" t="s">
        <v>354</v>
      </c>
      <c r="H6" t="s">
        <v>353</v>
      </c>
      <c r="I6">
        <v>2400449</v>
      </c>
      <c r="J6" t="s">
        <v>1240</v>
      </c>
      <c r="K6" t="s">
        <v>1241</v>
      </c>
      <c r="L6" t="s">
        <v>1242</v>
      </c>
      <c r="M6" s="62">
        <v>46284.625</v>
      </c>
      <c r="N6" t="s">
        <v>5935</v>
      </c>
      <c r="O6" t="s">
        <v>1244</v>
      </c>
      <c r="P6" s="34" t="s">
        <v>7664</v>
      </c>
      <c r="Q6" t="s">
        <v>7665</v>
      </c>
      <c r="S6" s="34" t="s">
        <v>5936</v>
      </c>
    </row>
    <row r="7" spans="1:20" ht="364.5" x14ac:dyDescent="0.15">
      <c r="A7" t="s">
        <v>3432</v>
      </c>
      <c r="B7" s="61">
        <v>44958</v>
      </c>
      <c r="D7" s="62">
        <v>46284.333333333336</v>
      </c>
      <c r="E7" t="s">
        <v>355</v>
      </c>
      <c r="F7" t="s">
        <v>969</v>
      </c>
      <c r="H7" t="s">
        <v>970</v>
      </c>
      <c r="I7">
        <v>2200685</v>
      </c>
      <c r="J7" t="s">
        <v>1391</v>
      </c>
      <c r="K7" t="s">
        <v>3433</v>
      </c>
      <c r="L7" t="s">
        <v>3434</v>
      </c>
      <c r="M7" s="62">
        <v>46292.666666666664</v>
      </c>
      <c r="N7" t="s">
        <v>3436</v>
      </c>
      <c r="O7" t="s">
        <v>3435</v>
      </c>
      <c r="P7" t="s">
        <v>7651</v>
      </c>
      <c r="Q7" t="s">
        <v>7652</v>
      </c>
      <c r="R7" s="34" t="s">
        <v>1872</v>
      </c>
      <c r="S7" s="34" t="s">
        <v>3437</v>
      </c>
    </row>
    <row r="8" spans="1:20" ht="409.5" x14ac:dyDescent="0.15">
      <c r="A8" t="s">
        <v>3432</v>
      </c>
      <c r="B8" s="61">
        <v>45717</v>
      </c>
      <c r="D8" s="62">
        <v>46284.333333333336</v>
      </c>
      <c r="E8" t="s">
        <v>355</v>
      </c>
      <c r="F8" t="s">
        <v>385</v>
      </c>
      <c r="H8" t="s">
        <v>365</v>
      </c>
      <c r="I8">
        <v>2202562</v>
      </c>
      <c r="J8" t="s">
        <v>1391</v>
      </c>
      <c r="K8" t="s">
        <v>3438</v>
      </c>
      <c r="L8" t="s">
        <v>3217</v>
      </c>
      <c r="M8" s="62">
        <v>46292.666666666664</v>
      </c>
      <c r="N8" t="s">
        <v>3439</v>
      </c>
      <c r="O8" t="s">
        <v>3440</v>
      </c>
      <c r="P8" t="s">
        <v>7653</v>
      </c>
      <c r="Q8" t="s">
        <v>7652</v>
      </c>
      <c r="R8" t="s">
        <v>395</v>
      </c>
      <c r="S8" s="34" t="s">
        <v>3441</v>
      </c>
    </row>
    <row r="9" spans="1:20" ht="409.5" x14ac:dyDescent="0.15">
      <c r="A9" t="s">
        <v>3432</v>
      </c>
      <c r="B9" s="61">
        <v>46235</v>
      </c>
      <c r="D9" s="62">
        <v>46284.333333333336</v>
      </c>
      <c r="E9" t="s">
        <v>355</v>
      </c>
      <c r="F9" t="s">
        <v>356</v>
      </c>
      <c r="H9" t="s">
        <v>353</v>
      </c>
      <c r="I9">
        <v>2202563</v>
      </c>
      <c r="J9" t="s">
        <v>1391</v>
      </c>
      <c r="K9" t="s">
        <v>3433</v>
      </c>
      <c r="L9" t="s">
        <v>3447</v>
      </c>
      <c r="M9" s="62">
        <v>46292.666666666664</v>
      </c>
      <c r="N9" t="s">
        <v>3448</v>
      </c>
      <c r="O9" t="s">
        <v>3449</v>
      </c>
      <c r="P9" t="s">
        <v>7653</v>
      </c>
      <c r="Q9" t="s">
        <v>7652</v>
      </c>
      <c r="R9" t="s">
        <v>362</v>
      </c>
      <c r="S9" s="34" t="s">
        <v>3450</v>
      </c>
    </row>
    <row r="10" spans="1:20" ht="409.5" x14ac:dyDescent="0.15">
      <c r="A10" t="s">
        <v>3432</v>
      </c>
      <c r="B10" s="61">
        <v>46143</v>
      </c>
      <c r="D10" s="62">
        <v>46284.333333333336</v>
      </c>
      <c r="E10" t="s">
        <v>355</v>
      </c>
      <c r="F10" t="s">
        <v>351</v>
      </c>
      <c r="H10" t="s">
        <v>365</v>
      </c>
      <c r="I10">
        <v>2200685</v>
      </c>
      <c r="J10" t="s">
        <v>1391</v>
      </c>
      <c r="K10" t="s">
        <v>3433</v>
      </c>
      <c r="L10" t="s">
        <v>3434</v>
      </c>
      <c r="M10" s="62">
        <v>46292.666666666664</v>
      </c>
      <c r="N10" t="s">
        <v>4329</v>
      </c>
      <c r="O10" t="s">
        <v>3435</v>
      </c>
      <c r="P10" t="s">
        <v>7653</v>
      </c>
      <c r="Q10" t="s">
        <v>7652</v>
      </c>
      <c r="R10" t="s">
        <v>4330</v>
      </c>
      <c r="S10" s="34" t="s">
        <v>4331</v>
      </c>
    </row>
    <row r="11" spans="1:20" ht="409.5" x14ac:dyDescent="0.15">
      <c r="A11" t="s">
        <v>3432</v>
      </c>
      <c r="B11" s="61">
        <v>46174</v>
      </c>
      <c r="D11" s="62">
        <v>46284.333333333336</v>
      </c>
      <c r="E11" t="s">
        <v>355</v>
      </c>
      <c r="F11" t="s">
        <v>351</v>
      </c>
      <c r="H11" t="s">
        <v>365</v>
      </c>
      <c r="I11">
        <v>2202562</v>
      </c>
      <c r="J11" t="s">
        <v>1391</v>
      </c>
      <c r="K11" t="s">
        <v>3433</v>
      </c>
      <c r="L11" t="s">
        <v>3217</v>
      </c>
      <c r="M11" s="62">
        <v>46292.666666666664</v>
      </c>
      <c r="N11" t="s">
        <v>4438</v>
      </c>
      <c r="O11" t="s">
        <v>3440</v>
      </c>
      <c r="P11" t="s">
        <v>7653</v>
      </c>
      <c r="Q11" t="s">
        <v>7652</v>
      </c>
      <c r="R11" t="s">
        <v>4330</v>
      </c>
      <c r="S11" s="34" t="s">
        <v>5237</v>
      </c>
    </row>
    <row r="12" spans="1:20" ht="310.5" x14ac:dyDescent="0.15">
      <c r="A12" t="s">
        <v>3432</v>
      </c>
      <c r="B12" s="61">
        <v>46143</v>
      </c>
      <c r="D12" s="62">
        <v>46284</v>
      </c>
      <c r="E12" t="s">
        <v>355</v>
      </c>
      <c r="F12" t="s">
        <v>351</v>
      </c>
      <c r="H12" t="s">
        <v>353</v>
      </c>
      <c r="I12">
        <v>2200685</v>
      </c>
      <c r="J12" t="s">
        <v>1391</v>
      </c>
      <c r="K12" t="s">
        <v>3433</v>
      </c>
      <c r="L12" t="s">
        <v>3434</v>
      </c>
      <c r="M12" s="62">
        <v>46292</v>
      </c>
      <c r="N12" t="s">
        <v>4332</v>
      </c>
      <c r="O12" t="s">
        <v>3435</v>
      </c>
      <c r="P12" t="s">
        <v>7653</v>
      </c>
      <c r="Q12" t="s">
        <v>7652</v>
      </c>
      <c r="R12" t="s">
        <v>4330</v>
      </c>
      <c r="S12" s="34" t="s">
        <v>4333</v>
      </c>
    </row>
    <row r="13" spans="1:20" ht="409.5" x14ac:dyDescent="0.15">
      <c r="A13" t="s">
        <v>1435</v>
      </c>
      <c r="B13" s="61">
        <v>46235</v>
      </c>
      <c r="D13" s="62">
        <v>46242.375</v>
      </c>
      <c r="E13" t="s">
        <v>355</v>
      </c>
      <c r="F13" t="s">
        <v>356</v>
      </c>
      <c r="H13" t="s">
        <v>353</v>
      </c>
      <c r="I13">
        <v>2501141</v>
      </c>
      <c r="J13" t="s">
        <v>1449</v>
      </c>
      <c r="K13" t="s">
        <v>1450</v>
      </c>
      <c r="L13" t="s">
        <v>1451</v>
      </c>
      <c r="M13" s="62">
        <v>46242.708333333336</v>
      </c>
      <c r="N13" t="s">
        <v>1452</v>
      </c>
      <c r="O13" t="s">
        <v>1453</v>
      </c>
      <c r="P13" s="34" t="s">
        <v>7660</v>
      </c>
      <c r="Q13" t="s">
        <v>7661</v>
      </c>
      <c r="R13" t="s">
        <v>362</v>
      </c>
      <c r="S13" s="34" t="s">
        <v>1454</v>
      </c>
    </row>
    <row r="14" spans="1:20" ht="256.5" x14ac:dyDescent="0.15">
      <c r="A14" t="s">
        <v>564</v>
      </c>
      <c r="B14" s="61">
        <v>46174</v>
      </c>
      <c r="D14" s="62">
        <v>46232.375</v>
      </c>
      <c r="E14" t="s">
        <v>355</v>
      </c>
      <c r="F14" t="s">
        <v>385</v>
      </c>
      <c r="H14" t="s">
        <v>365</v>
      </c>
      <c r="I14">
        <v>1400389</v>
      </c>
      <c r="J14" t="s">
        <v>567</v>
      </c>
      <c r="L14" t="s">
        <v>568</v>
      </c>
      <c r="M14" s="62">
        <v>46232.625</v>
      </c>
      <c r="N14" t="s">
        <v>569</v>
      </c>
      <c r="O14" t="s">
        <v>570</v>
      </c>
      <c r="P14" t="s">
        <v>7654</v>
      </c>
      <c r="Q14" t="s">
        <v>7655</v>
      </c>
      <c r="R14" t="s">
        <v>395</v>
      </c>
      <c r="S14" s="34" t="s">
        <v>571</v>
      </c>
    </row>
    <row r="15" spans="1:20" ht="243" x14ac:dyDescent="0.15">
      <c r="A15" t="s">
        <v>2693</v>
      </c>
      <c r="B15" s="61">
        <v>46204</v>
      </c>
      <c r="D15" s="62">
        <v>46227.354166666664</v>
      </c>
      <c r="E15" t="s">
        <v>355</v>
      </c>
      <c r="F15" t="s">
        <v>356</v>
      </c>
      <c r="H15" t="s">
        <v>365</v>
      </c>
      <c r="I15">
        <v>2300146</v>
      </c>
      <c r="J15" t="s">
        <v>2706</v>
      </c>
      <c r="K15" t="s">
        <v>1251</v>
      </c>
      <c r="L15" t="s">
        <v>390</v>
      </c>
      <c r="M15" s="62">
        <v>46227.5</v>
      </c>
      <c r="N15" t="s">
        <v>2707</v>
      </c>
      <c r="O15" t="s">
        <v>2708</v>
      </c>
      <c r="P15" t="s">
        <v>7662</v>
      </c>
      <c r="Q15" t="s">
        <v>7663</v>
      </c>
      <c r="R15" s="34" t="s">
        <v>2709</v>
      </c>
      <c r="S15" s="34" t="s">
        <v>2710</v>
      </c>
    </row>
    <row r="16" spans="1:20" ht="243" x14ac:dyDescent="0.15">
      <c r="A16" t="s">
        <v>2693</v>
      </c>
      <c r="B16" s="61">
        <v>46204</v>
      </c>
      <c r="D16" s="62">
        <v>46227.354166666664</v>
      </c>
      <c r="E16" t="s">
        <v>355</v>
      </c>
      <c r="F16" t="s">
        <v>351</v>
      </c>
      <c r="G16" t="s">
        <v>354</v>
      </c>
      <c r="H16" t="s">
        <v>365</v>
      </c>
      <c r="I16">
        <v>2300146</v>
      </c>
      <c r="J16" t="s">
        <v>2706</v>
      </c>
      <c r="K16" t="s">
        <v>1251</v>
      </c>
      <c r="L16" t="s">
        <v>390</v>
      </c>
      <c r="M16" s="62">
        <v>46227.5</v>
      </c>
      <c r="N16" t="s">
        <v>2707</v>
      </c>
      <c r="O16" t="s">
        <v>2708</v>
      </c>
      <c r="R16" t="s">
        <v>3986</v>
      </c>
      <c r="S16" s="34" t="s">
        <v>2710</v>
      </c>
    </row>
    <row r="17" spans="1:19" ht="409.5" x14ac:dyDescent="0.15">
      <c r="A17" t="s">
        <v>1860</v>
      </c>
      <c r="B17" s="61">
        <v>46266</v>
      </c>
      <c r="D17" s="62">
        <v>46214.416666666664</v>
      </c>
      <c r="E17" t="s">
        <v>355</v>
      </c>
      <c r="F17" t="s">
        <v>351</v>
      </c>
      <c r="G17" t="s">
        <v>354</v>
      </c>
      <c r="H17" t="s">
        <v>365</v>
      </c>
      <c r="I17">
        <v>801205</v>
      </c>
      <c r="J17" t="s">
        <v>1900</v>
      </c>
      <c r="L17" t="s">
        <v>4267</v>
      </c>
      <c r="M17" s="62">
        <v>46214.708333333336</v>
      </c>
      <c r="N17" t="s">
        <v>4268</v>
      </c>
      <c r="O17" t="s">
        <v>4269</v>
      </c>
      <c r="Q17" t="s">
        <v>7672</v>
      </c>
      <c r="R17" s="34" t="s">
        <v>7673</v>
      </c>
      <c r="S17" s="34" t="s">
        <v>6241</v>
      </c>
    </row>
    <row r="18" spans="1:19" ht="409.5" x14ac:dyDescent="0.15">
      <c r="A18" t="s">
        <v>1860</v>
      </c>
      <c r="B18" s="61">
        <v>46266</v>
      </c>
      <c r="D18" s="62">
        <v>46214.416666666664</v>
      </c>
      <c r="E18" t="s">
        <v>355</v>
      </c>
      <c r="F18" t="s">
        <v>351</v>
      </c>
      <c r="G18" t="s">
        <v>354</v>
      </c>
      <c r="H18" t="s">
        <v>365</v>
      </c>
      <c r="I18">
        <v>801205</v>
      </c>
      <c r="J18" t="s">
        <v>1900</v>
      </c>
      <c r="L18" t="s">
        <v>4267</v>
      </c>
      <c r="M18" s="62">
        <v>46214.708333333336</v>
      </c>
      <c r="N18" t="s">
        <v>6242</v>
      </c>
      <c r="O18" t="s">
        <v>4269</v>
      </c>
      <c r="Q18" t="s">
        <v>7672</v>
      </c>
      <c r="R18" s="34" t="s">
        <v>7673</v>
      </c>
      <c r="S18" s="34" t="s">
        <v>6243</v>
      </c>
    </row>
    <row r="19" spans="1:19" ht="409.5" x14ac:dyDescent="0.15">
      <c r="A19" t="s">
        <v>3163</v>
      </c>
      <c r="B19" s="61">
        <v>46204</v>
      </c>
      <c r="C19" s="40">
        <v>46213</v>
      </c>
      <c r="D19" s="62">
        <v>46213.375</v>
      </c>
      <c r="E19" t="s">
        <v>355</v>
      </c>
      <c r="F19" t="s">
        <v>351</v>
      </c>
      <c r="G19" t="s">
        <v>354</v>
      </c>
      <c r="H19" t="s">
        <v>4583</v>
      </c>
      <c r="I19">
        <v>2900300</v>
      </c>
      <c r="J19" t="s">
        <v>3164</v>
      </c>
      <c r="L19" t="s">
        <v>3165</v>
      </c>
      <c r="N19" t="s">
        <v>4657</v>
      </c>
      <c r="O19" t="s">
        <v>3167</v>
      </c>
      <c r="P19" t="s">
        <v>7656</v>
      </c>
      <c r="Q19" t="s">
        <v>7657</v>
      </c>
      <c r="R19" s="34" t="s">
        <v>4658</v>
      </c>
      <c r="S19" s="34" t="s">
        <v>5344</v>
      </c>
    </row>
    <row r="20" spans="1:19" ht="243" x14ac:dyDescent="0.15">
      <c r="A20" t="s">
        <v>2255</v>
      </c>
      <c r="B20" s="61">
        <v>46143</v>
      </c>
      <c r="D20" s="62">
        <v>46193.375</v>
      </c>
      <c r="E20" t="s">
        <v>355</v>
      </c>
      <c r="F20" t="s">
        <v>356</v>
      </c>
      <c r="H20" t="s">
        <v>365</v>
      </c>
      <c r="I20">
        <v>1102548</v>
      </c>
      <c r="J20" t="s">
        <v>2267</v>
      </c>
      <c r="K20" t="s">
        <v>2268</v>
      </c>
      <c r="L20" t="s">
        <v>2269</v>
      </c>
      <c r="M20" s="62">
        <v>46193.708333333336</v>
      </c>
      <c r="N20" t="s">
        <v>2270</v>
      </c>
      <c r="O20" t="s">
        <v>2271</v>
      </c>
      <c r="R20" t="s">
        <v>362</v>
      </c>
      <c r="S20" s="34" t="s">
        <v>2272</v>
      </c>
    </row>
    <row r="21" spans="1:19" ht="409.5" x14ac:dyDescent="0.15">
      <c r="A21" t="s">
        <v>350</v>
      </c>
      <c r="B21" s="61">
        <v>46388</v>
      </c>
      <c r="E21" t="s">
        <v>355</v>
      </c>
      <c r="F21" t="s">
        <v>385</v>
      </c>
      <c r="G21" t="s">
        <v>354</v>
      </c>
      <c r="H21" t="s">
        <v>365</v>
      </c>
      <c r="I21">
        <v>800273</v>
      </c>
      <c r="J21" t="s">
        <v>366</v>
      </c>
      <c r="K21" t="s">
        <v>367</v>
      </c>
      <c r="L21" t="s">
        <v>368</v>
      </c>
      <c r="N21" t="s">
        <v>369</v>
      </c>
      <c r="O21" t="s">
        <v>370</v>
      </c>
      <c r="S21" s="34" t="s">
        <v>5093</v>
      </c>
    </row>
    <row r="22" spans="1:19" x14ac:dyDescent="0.15">
      <c r="A22" t="s">
        <v>350</v>
      </c>
      <c r="B22" s="61">
        <v>46508</v>
      </c>
      <c r="E22" t="s">
        <v>355</v>
      </c>
      <c r="F22" t="s">
        <v>364</v>
      </c>
      <c r="G22" t="s">
        <v>354</v>
      </c>
      <c r="H22" t="s">
        <v>353</v>
      </c>
      <c r="I22">
        <v>800406</v>
      </c>
      <c r="J22" t="s">
        <v>371</v>
      </c>
      <c r="K22" t="s">
        <v>372</v>
      </c>
      <c r="L22" t="s">
        <v>373</v>
      </c>
      <c r="N22" t="s">
        <v>374</v>
      </c>
      <c r="O22" t="s">
        <v>375</v>
      </c>
    </row>
    <row r="23" spans="1:19" x14ac:dyDescent="0.15">
      <c r="A23" t="s">
        <v>350</v>
      </c>
      <c r="B23" s="61">
        <v>46631</v>
      </c>
      <c r="E23" t="s">
        <v>355</v>
      </c>
      <c r="F23" t="s">
        <v>364</v>
      </c>
      <c r="G23" t="s">
        <v>354</v>
      </c>
      <c r="H23" t="s">
        <v>353</v>
      </c>
      <c r="I23">
        <v>801215</v>
      </c>
      <c r="J23" t="s">
        <v>376</v>
      </c>
      <c r="K23" t="s">
        <v>377</v>
      </c>
      <c r="L23" t="s">
        <v>378</v>
      </c>
      <c r="N23" t="s">
        <v>379</v>
      </c>
      <c r="O23" t="s">
        <v>380</v>
      </c>
    </row>
    <row r="24" spans="1:19" x14ac:dyDescent="0.15">
      <c r="A24" t="s">
        <v>350</v>
      </c>
      <c r="B24" s="61">
        <v>46966</v>
      </c>
      <c r="E24" t="s">
        <v>355</v>
      </c>
      <c r="F24" t="s">
        <v>356</v>
      </c>
      <c r="G24" t="s">
        <v>354</v>
      </c>
      <c r="H24" t="s">
        <v>353</v>
      </c>
      <c r="I24">
        <v>800895</v>
      </c>
      <c r="J24" t="s">
        <v>381</v>
      </c>
      <c r="K24" t="s">
        <v>377</v>
      </c>
      <c r="L24" t="s">
        <v>382</v>
      </c>
      <c r="N24" t="s">
        <v>383</v>
      </c>
      <c r="O24" t="s">
        <v>384</v>
      </c>
    </row>
    <row r="25" spans="1:19" ht="229.5" x14ac:dyDescent="0.15">
      <c r="A25" t="s">
        <v>350</v>
      </c>
      <c r="B25" s="61">
        <v>47635</v>
      </c>
      <c r="E25" t="s">
        <v>355</v>
      </c>
      <c r="F25" t="s">
        <v>385</v>
      </c>
      <c r="H25" t="s">
        <v>353</v>
      </c>
      <c r="I25">
        <v>800184</v>
      </c>
      <c r="J25" t="s">
        <v>357</v>
      </c>
      <c r="K25" t="s">
        <v>358</v>
      </c>
      <c r="L25" t="s">
        <v>359</v>
      </c>
      <c r="N25" t="s">
        <v>360</v>
      </c>
      <c r="O25" t="s">
        <v>361</v>
      </c>
      <c r="R25" t="s">
        <v>386</v>
      </c>
      <c r="S25" s="34" t="s">
        <v>363</v>
      </c>
    </row>
    <row r="26" spans="1:19" x14ac:dyDescent="0.15">
      <c r="A26" t="s">
        <v>350</v>
      </c>
      <c r="B26" s="61">
        <v>47969</v>
      </c>
      <c r="E26" t="s">
        <v>355</v>
      </c>
      <c r="F26" t="s">
        <v>364</v>
      </c>
      <c r="H26" t="s">
        <v>353</v>
      </c>
      <c r="I26">
        <v>800406</v>
      </c>
      <c r="J26" t="s">
        <v>371</v>
      </c>
      <c r="K26" t="s">
        <v>372</v>
      </c>
      <c r="L26" t="s">
        <v>373</v>
      </c>
      <c r="N26" t="s">
        <v>374</v>
      </c>
      <c r="O26" t="s">
        <v>375</v>
      </c>
    </row>
    <row r="27" spans="1:19" x14ac:dyDescent="0.15">
      <c r="A27" t="s">
        <v>350</v>
      </c>
      <c r="B27" s="61">
        <v>48092</v>
      </c>
      <c r="E27" t="s">
        <v>355</v>
      </c>
      <c r="F27" t="s">
        <v>364</v>
      </c>
      <c r="H27" t="s">
        <v>353</v>
      </c>
      <c r="I27">
        <v>801215</v>
      </c>
      <c r="J27" t="s">
        <v>376</v>
      </c>
      <c r="K27" t="s">
        <v>377</v>
      </c>
      <c r="L27" t="s">
        <v>378</v>
      </c>
      <c r="N27" t="s">
        <v>379</v>
      </c>
      <c r="O27" t="s">
        <v>380</v>
      </c>
    </row>
    <row r="28" spans="1:19" x14ac:dyDescent="0.15">
      <c r="A28" t="s">
        <v>350</v>
      </c>
      <c r="B28" s="61">
        <v>48427</v>
      </c>
      <c r="E28" t="s">
        <v>355</v>
      </c>
      <c r="F28" t="s">
        <v>385</v>
      </c>
      <c r="H28" t="s">
        <v>353</v>
      </c>
      <c r="I28">
        <v>800895</v>
      </c>
      <c r="J28" t="s">
        <v>381</v>
      </c>
      <c r="K28" t="s">
        <v>377</v>
      </c>
      <c r="L28" t="s">
        <v>382</v>
      </c>
      <c r="N28" t="s">
        <v>383</v>
      </c>
      <c r="O28" t="s">
        <v>384</v>
      </c>
    </row>
    <row r="29" spans="1:19" ht="256.5" x14ac:dyDescent="0.15">
      <c r="A29" t="s">
        <v>387</v>
      </c>
      <c r="B29" s="61">
        <v>46327</v>
      </c>
      <c r="E29" t="s">
        <v>355</v>
      </c>
      <c r="F29" t="s">
        <v>385</v>
      </c>
      <c r="H29" t="s">
        <v>353</v>
      </c>
      <c r="I29">
        <v>801375</v>
      </c>
      <c r="J29" t="s">
        <v>388</v>
      </c>
      <c r="K29" t="s">
        <v>389</v>
      </c>
      <c r="L29" t="s">
        <v>390</v>
      </c>
      <c r="N29" t="s">
        <v>391</v>
      </c>
      <c r="O29" t="s">
        <v>392</v>
      </c>
      <c r="R29" t="s">
        <v>386</v>
      </c>
      <c r="S29" s="34" t="s">
        <v>393</v>
      </c>
    </row>
    <row r="30" spans="1:19" ht="216" x14ac:dyDescent="0.15">
      <c r="A30" t="s">
        <v>387</v>
      </c>
      <c r="B30" s="61">
        <v>46357</v>
      </c>
      <c r="E30" t="s">
        <v>355</v>
      </c>
      <c r="F30" t="s">
        <v>385</v>
      </c>
      <c r="H30" t="s">
        <v>365</v>
      </c>
      <c r="I30">
        <v>801375</v>
      </c>
      <c r="J30" t="s">
        <v>388</v>
      </c>
      <c r="K30" t="s">
        <v>389</v>
      </c>
      <c r="L30" t="s">
        <v>390</v>
      </c>
      <c r="N30" t="s">
        <v>394</v>
      </c>
      <c r="O30" t="s">
        <v>392</v>
      </c>
      <c r="R30" t="s">
        <v>395</v>
      </c>
      <c r="S30" s="34" t="s">
        <v>396</v>
      </c>
    </row>
    <row r="31" spans="1:19" x14ac:dyDescent="0.15">
      <c r="A31" t="s">
        <v>387</v>
      </c>
      <c r="B31" s="61">
        <v>46419</v>
      </c>
      <c r="E31" t="s">
        <v>355</v>
      </c>
      <c r="F31" t="s">
        <v>364</v>
      </c>
      <c r="H31" t="s">
        <v>365</v>
      </c>
      <c r="I31">
        <v>801368</v>
      </c>
      <c r="J31" t="s">
        <v>397</v>
      </c>
      <c r="K31" t="s">
        <v>398</v>
      </c>
      <c r="L31" t="s">
        <v>399</v>
      </c>
      <c r="N31" t="s">
        <v>400</v>
      </c>
      <c r="O31" t="s">
        <v>401</v>
      </c>
    </row>
    <row r="32" spans="1:19" x14ac:dyDescent="0.15">
      <c r="A32" t="s">
        <v>387</v>
      </c>
      <c r="B32" s="61">
        <v>46722</v>
      </c>
      <c r="E32" t="s">
        <v>355</v>
      </c>
      <c r="F32" t="s">
        <v>364</v>
      </c>
      <c r="H32" t="s">
        <v>353</v>
      </c>
      <c r="I32">
        <v>801248</v>
      </c>
      <c r="J32" t="s">
        <v>402</v>
      </c>
      <c r="K32" t="s">
        <v>403</v>
      </c>
      <c r="L32" t="s">
        <v>404</v>
      </c>
      <c r="N32" t="s">
        <v>405</v>
      </c>
      <c r="O32" t="s">
        <v>406</v>
      </c>
    </row>
    <row r="33" spans="1:19" x14ac:dyDescent="0.15">
      <c r="A33" t="s">
        <v>387</v>
      </c>
      <c r="B33" s="61">
        <v>46722</v>
      </c>
      <c r="E33" t="s">
        <v>355</v>
      </c>
      <c r="F33" t="s">
        <v>364</v>
      </c>
      <c r="H33" t="s">
        <v>353</v>
      </c>
      <c r="I33">
        <v>801430</v>
      </c>
      <c r="J33" t="s">
        <v>407</v>
      </c>
      <c r="K33" t="s">
        <v>408</v>
      </c>
      <c r="L33" t="s">
        <v>409</v>
      </c>
      <c r="N33" t="s">
        <v>410</v>
      </c>
      <c r="O33" t="s">
        <v>411</v>
      </c>
    </row>
    <row r="34" spans="1:19" x14ac:dyDescent="0.15">
      <c r="A34" t="s">
        <v>387</v>
      </c>
      <c r="B34" s="61">
        <v>46722</v>
      </c>
      <c r="E34" t="s">
        <v>355</v>
      </c>
      <c r="F34" t="s">
        <v>364</v>
      </c>
      <c r="H34" t="s">
        <v>365</v>
      </c>
      <c r="I34">
        <v>800845</v>
      </c>
      <c r="J34" t="s">
        <v>412</v>
      </c>
      <c r="K34" t="s">
        <v>403</v>
      </c>
      <c r="L34" t="s">
        <v>413</v>
      </c>
      <c r="N34" t="s">
        <v>414</v>
      </c>
      <c r="O34" t="s">
        <v>415</v>
      </c>
    </row>
    <row r="35" spans="1:19" x14ac:dyDescent="0.15">
      <c r="A35" t="s">
        <v>387</v>
      </c>
      <c r="B35" s="61">
        <v>47392</v>
      </c>
      <c r="E35" t="s">
        <v>355</v>
      </c>
      <c r="F35" t="s">
        <v>385</v>
      </c>
      <c r="H35" t="s">
        <v>353</v>
      </c>
      <c r="I35">
        <v>801407</v>
      </c>
      <c r="J35" t="s">
        <v>416</v>
      </c>
      <c r="K35" t="s">
        <v>417</v>
      </c>
      <c r="L35" t="s">
        <v>418</v>
      </c>
      <c r="N35" t="s">
        <v>419</v>
      </c>
      <c r="O35" t="s">
        <v>420</v>
      </c>
      <c r="R35" t="s">
        <v>386</v>
      </c>
      <c r="S35" t="s">
        <v>421</v>
      </c>
    </row>
    <row r="36" spans="1:19" x14ac:dyDescent="0.15">
      <c r="A36" t="s">
        <v>387</v>
      </c>
      <c r="B36" s="61">
        <v>48183</v>
      </c>
      <c r="E36" t="s">
        <v>355</v>
      </c>
      <c r="F36" t="s">
        <v>364</v>
      </c>
      <c r="H36" t="s">
        <v>353</v>
      </c>
      <c r="I36">
        <v>801430</v>
      </c>
      <c r="J36" t="s">
        <v>407</v>
      </c>
      <c r="K36" t="s">
        <v>408</v>
      </c>
      <c r="L36" t="s">
        <v>409</v>
      </c>
      <c r="N36" t="s">
        <v>410</v>
      </c>
      <c r="O36" t="s">
        <v>411</v>
      </c>
    </row>
    <row r="37" spans="1:19" x14ac:dyDescent="0.15">
      <c r="A37" t="s">
        <v>387</v>
      </c>
      <c r="B37" s="61">
        <v>48183</v>
      </c>
      <c r="E37" t="s">
        <v>355</v>
      </c>
      <c r="F37" t="s">
        <v>364</v>
      </c>
      <c r="H37" t="s">
        <v>365</v>
      </c>
      <c r="I37">
        <v>800845</v>
      </c>
      <c r="J37" t="s">
        <v>412</v>
      </c>
      <c r="K37" t="s">
        <v>403</v>
      </c>
      <c r="L37" t="s">
        <v>413</v>
      </c>
      <c r="N37" t="s">
        <v>414</v>
      </c>
      <c r="O37" t="s">
        <v>415</v>
      </c>
    </row>
    <row r="38" spans="1:19" ht="409.5" x14ac:dyDescent="0.15">
      <c r="A38" t="s">
        <v>422</v>
      </c>
      <c r="B38" s="61">
        <v>46296</v>
      </c>
      <c r="E38" t="s">
        <v>355</v>
      </c>
      <c r="F38" t="s">
        <v>385</v>
      </c>
      <c r="H38" t="s">
        <v>353</v>
      </c>
      <c r="I38">
        <v>2702665</v>
      </c>
      <c r="J38" t="s">
        <v>427</v>
      </c>
      <c r="K38" t="s">
        <v>428</v>
      </c>
      <c r="L38" t="s">
        <v>429</v>
      </c>
      <c r="N38" t="s">
        <v>430</v>
      </c>
      <c r="O38" t="s">
        <v>431</v>
      </c>
      <c r="R38" t="s">
        <v>386</v>
      </c>
      <c r="S38" s="34" t="s">
        <v>432</v>
      </c>
    </row>
    <row r="39" spans="1:19" ht="216" x14ac:dyDescent="0.15">
      <c r="A39" t="s">
        <v>422</v>
      </c>
      <c r="B39" s="61">
        <v>46327</v>
      </c>
      <c r="E39" t="s">
        <v>355</v>
      </c>
      <c r="F39" t="s">
        <v>385</v>
      </c>
      <c r="H39" t="s">
        <v>365</v>
      </c>
      <c r="I39">
        <v>2702665</v>
      </c>
      <c r="J39" t="s">
        <v>427</v>
      </c>
      <c r="K39" t="s">
        <v>428</v>
      </c>
      <c r="L39" t="s">
        <v>429</v>
      </c>
      <c r="N39" t="s">
        <v>433</v>
      </c>
      <c r="O39" t="s">
        <v>431</v>
      </c>
      <c r="R39" t="s">
        <v>395</v>
      </c>
      <c r="S39" s="34" t="s">
        <v>434</v>
      </c>
    </row>
    <row r="40" spans="1:19" ht="378" x14ac:dyDescent="0.15">
      <c r="A40" t="s">
        <v>422</v>
      </c>
      <c r="B40" s="61">
        <v>46327</v>
      </c>
      <c r="E40" t="s">
        <v>355</v>
      </c>
      <c r="F40" t="s">
        <v>356</v>
      </c>
      <c r="H40" t="s">
        <v>353</v>
      </c>
      <c r="I40">
        <v>2700391</v>
      </c>
      <c r="J40" t="s">
        <v>435</v>
      </c>
      <c r="K40" t="s">
        <v>436</v>
      </c>
      <c r="L40" t="s">
        <v>390</v>
      </c>
      <c r="N40" t="s">
        <v>5094</v>
      </c>
      <c r="O40" t="s">
        <v>437</v>
      </c>
      <c r="R40" t="s">
        <v>362</v>
      </c>
      <c r="S40" s="34" t="s">
        <v>438</v>
      </c>
    </row>
    <row r="41" spans="1:19" x14ac:dyDescent="0.15">
      <c r="A41" t="s">
        <v>422</v>
      </c>
      <c r="B41" s="61">
        <v>46508</v>
      </c>
      <c r="E41" t="s">
        <v>355</v>
      </c>
      <c r="F41" t="s">
        <v>364</v>
      </c>
      <c r="H41" t="s">
        <v>353</v>
      </c>
      <c r="I41">
        <v>2701960</v>
      </c>
      <c r="J41" t="s">
        <v>439</v>
      </c>
      <c r="K41" t="s">
        <v>440</v>
      </c>
      <c r="L41" t="s">
        <v>390</v>
      </c>
      <c r="N41" t="s">
        <v>441</v>
      </c>
      <c r="O41" t="s">
        <v>442</v>
      </c>
    </row>
    <row r="42" spans="1:19" x14ac:dyDescent="0.15">
      <c r="A42" t="s">
        <v>422</v>
      </c>
      <c r="B42" s="61">
        <v>46508</v>
      </c>
      <c r="E42" t="s">
        <v>355</v>
      </c>
      <c r="F42" t="s">
        <v>364</v>
      </c>
      <c r="H42" t="s">
        <v>353</v>
      </c>
      <c r="I42">
        <v>2700597</v>
      </c>
      <c r="J42" t="s">
        <v>423</v>
      </c>
      <c r="K42" t="s">
        <v>424</v>
      </c>
      <c r="L42" t="s">
        <v>443</v>
      </c>
      <c r="N42" t="s">
        <v>444</v>
      </c>
      <c r="O42" t="s">
        <v>445</v>
      </c>
    </row>
    <row r="43" spans="1:19" x14ac:dyDescent="0.15">
      <c r="A43" t="s">
        <v>422</v>
      </c>
      <c r="B43" s="61">
        <v>46569</v>
      </c>
      <c r="E43" t="s">
        <v>355</v>
      </c>
      <c r="F43" t="s">
        <v>364</v>
      </c>
      <c r="H43" t="s">
        <v>353</v>
      </c>
      <c r="I43">
        <v>2702039</v>
      </c>
      <c r="J43" t="s">
        <v>446</v>
      </c>
      <c r="K43" t="s">
        <v>447</v>
      </c>
      <c r="L43" t="s">
        <v>390</v>
      </c>
      <c r="N43" t="s">
        <v>448</v>
      </c>
      <c r="O43" t="s">
        <v>449</v>
      </c>
    </row>
    <row r="44" spans="1:19" x14ac:dyDescent="0.15">
      <c r="A44" t="s">
        <v>422</v>
      </c>
      <c r="B44" s="61">
        <v>46692</v>
      </c>
      <c r="E44" t="s">
        <v>355</v>
      </c>
      <c r="F44" t="s">
        <v>364</v>
      </c>
      <c r="H44" t="s">
        <v>353</v>
      </c>
      <c r="I44">
        <v>2700091</v>
      </c>
      <c r="J44" t="s">
        <v>450</v>
      </c>
      <c r="K44" t="s">
        <v>451</v>
      </c>
      <c r="L44" t="s">
        <v>390</v>
      </c>
      <c r="N44" t="s">
        <v>452</v>
      </c>
      <c r="O44" t="s">
        <v>453</v>
      </c>
    </row>
    <row r="45" spans="1:19" x14ac:dyDescent="0.15">
      <c r="A45" t="s">
        <v>422</v>
      </c>
      <c r="B45" s="61">
        <v>46722</v>
      </c>
      <c r="E45" t="s">
        <v>355</v>
      </c>
      <c r="F45" t="s">
        <v>364</v>
      </c>
      <c r="H45" t="s">
        <v>353</v>
      </c>
      <c r="I45">
        <v>2700133</v>
      </c>
      <c r="J45" t="s">
        <v>454</v>
      </c>
      <c r="K45" t="s">
        <v>455</v>
      </c>
      <c r="L45" t="s">
        <v>390</v>
      </c>
      <c r="N45" t="s">
        <v>456</v>
      </c>
      <c r="O45" t="s">
        <v>457</v>
      </c>
    </row>
    <row r="46" spans="1:19" x14ac:dyDescent="0.15">
      <c r="A46" t="s">
        <v>422</v>
      </c>
      <c r="B46" s="61">
        <v>46905</v>
      </c>
      <c r="E46" t="s">
        <v>355</v>
      </c>
      <c r="F46" t="s">
        <v>364</v>
      </c>
      <c r="H46" t="s">
        <v>353</v>
      </c>
      <c r="I46">
        <v>2701239</v>
      </c>
      <c r="J46" t="s">
        <v>458</v>
      </c>
      <c r="L46" t="s">
        <v>390</v>
      </c>
      <c r="N46" t="s">
        <v>459</v>
      </c>
      <c r="O46" t="s">
        <v>460</v>
      </c>
    </row>
    <row r="47" spans="1:19" x14ac:dyDescent="0.15">
      <c r="A47" t="s">
        <v>422</v>
      </c>
      <c r="B47" s="61">
        <v>46966</v>
      </c>
      <c r="E47" t="s">
        <v>355</v>
      </c>
      <c r="F47" t="s">
        <v>364</v>
      </c>
      <c r="H47" t="s">
        <v>353</v>
      </c>
      <c r="I47">
        <v>2700904</v>
      </c>
      <c r="J47" t="s">
        <v>461</v>
      </c>
      <c r="L47" t="s">
        <v>390</v>
      </c>
      <c r="N47" t="s">
        <v>462</v>
      </c>
      <c r="O47" t="s">
        <v>463</v>
      </c>
    </row>
    <row r="48" spans="1:19" x14ac:dyDescent="0.15">
      <c r="A48" t="s">
        <v>422</v>
      </c>
      <c r="B48" s="61">
        <v>47027</v>
      </c>
      <c r="E48" t="s">
        <v>355</v>
      </c>
      <c r="F48" t="s">
        <v>364</v>
      </c>
      <c r="H48" t="s">
        <v>353</v>
      </c>
      <c r="I48">
        <v>2702728</v>
      </c>
      <c r="J48" t="s">
        <v>464</v>
      </c>
      <c r="K48" t="s">
        <v>465</v>
      </c>
      <c r="L48" t="s">
        <v>466</v>
      </c>
      <c r="N48" t="s">
        <v>467</v>
      </c>
      <c r="O48" t="s">
        <v>468</v>
      </c>
    </row>
    <row r="49" spans="1:19" x14ac:dyDescent="0.15">
      <c r="A49" t="s">
        <v>422</v>
      </c>
      <c r="B49" s="61">
        <v>47088</v>
      </c>
      <c r="E49" t="s">
        <v>355</v>
      </c>
      <c r="F49" t="s">
        <v>364</v>
      </c>
      <c r="H49" t="s">
        <v>353</v>
      </c>
      <c r="I49">
        <v>2700762</v>
      </c>
      <c r="J49" t="s">
        <v>423</v>
      </c>
      <c r="K49" t="s">
        <v>424</v>
      </c>
      <c r="L49" t="s">
        <v>425</v>
      </c>
      <c r="N49" t="s">
        <v>469</v>
      </c>
      <c r="O49" t="s">
        <v>426</v>
      </c>
    </row>
    <row r="50" spans="1:19" ht="243" x14ac:dyDescent="0.15">
      <c r="A50" t="s">
        <v>422</v>
      </c>
      <c r="B50" s="61">
        <v>47088</v>
      </c>
      <c r="E50" t="s">
        <v>355</v>
      </c>
      <c r="F50" t="s">
        <v>385</v>
      </c>
      <c r="H50" t="s">
        <v>353</v>
      </c>
      <c r="I50">
        <v>2702039</v>
      </c>
      <c r="J50" t="s">
        <v>446</v>
      </c>
      <c r="K50" t="s">
        <v>447</v>
      </c>
      <c r="L50" t="s">
        <v>390</v>
      </c>
      <c r="N50" t="s">
        <v>470</v>
      </c>
      <c r="O50" t="s">
        <v>449</v>
      </c>
      <c r="R50" t="s">
        <v>386</v>
      </c>
      <c r="S50" s="34" t="s">
        <v>471</v>
      </c>
    </row>
    <row r="51" spans="1:19" x14ac:dyDescent="0.15">
      <c r="A51" t="s">
        <v>422</v>
      </c>
      <c r="B51" s="61">
        <v>47088</v>
      </c>
      <c r="E51" t="s">
        <v>355</v>
      </c>
      <c r="F51" t="s">
        <v>364</v>
      </c>
      <c r="H51" t="s">
        <v>353</v>
      </c>
      <c r="I51">
        <v>2702144</v>
      </c>
      <c r="J51" t="s">
        <v>472</v>
      </c>
      <c r="L51" t="s">
        <v>473</v>
      </c>
      <c r="N51" t="s">
        <v>474</v>
      </c>
      <c r="O51" t="s">
        <v>475</v>
      </c>
    </row>
    <row r="52" spans="1:19" ht="409.5" x14ac:dyDescent="0.15">
      <c r="A52" t="s">
        <v>422</v>
      </c>
      <c r="B52" s="61">
        <v>47270</v>
      </c>
      <c r="E52" t="s">
        <v>355</v>
      </c>
      <c r="F52" t="s">
        <v>385</v>
      </c>
      <c r="H52" t="s">
        <v>353</v>
      </c>
      <c r="I52">
        <v>2700428</v>
      </c>
      <c r="J52" t="s">
        <v>476</v>
      </c>
      <c r="K52" t="s">
        <v>477</v>
      </c>
      <c r="L52" t="s">
        <v>390</v>
      </c>
      <c r="N52" t="s">
        <v>478</v>
      </c>
      <c r="O52" t="s">
        <v>479</v>
      </c>
      <c r="R52" t="s">
        <v>386</v>
      </c>
      <c r="S52" s="34" t="s">
        <v>480</v>
      </c>
    </row>
    <row r="53" spans="1:19" ht="409.5" x14ac:dyDescent="0.15">
      <c r="A53" t="s">
        <v>422</v>
      </c>
      <c r="B53" s="61">
        <v>47270</v>
      </c>
      <c r="E53" t="s">
        <v>355</v>
      </c>
      <c r="F53" t="s">
        <v>385</v>
      </c>
      <c r="H53" t="s">
        <v>353</v>
      </c>
      <c r="I53">
        <v>2702793</v>
      </c>
      <c r="J53" t="s">
        <v>481</v>
      </c>
      <c r="K53" t="s">
        <v>482</v>
      </c>
      <c r="L53" t="s">
        <v>483</v>
      </c>
      <c r="N53" t="s">
        <v>484</v>
      </c>
      <c r="O53" t="s">
        <v>485</v>
      </c>
      <c r="R53" t="s">
        <v>386</v>
      </c>
      <c r="S53" s="34" t="s">
        <v>486</v>
      </c>
    </row>
    <row r="54" spans="1:19" ht="243" x14ac:dyDescent="0.15">
      <c r="A54" t="s">
        <v>422</v>
      </c>
      <c r="B54" s="61">
        <v>47300</v>
      </c>
      <c r="E54" t="s">
        <v>355</v>
      </c>
      <c r="F54" t="s">
        <v>385</v>
      </c>
      <c r="H54" t="s">
        <v>365</v>
      </c>
      <c r="I54">
        <v>2700428</v>
      </c>
      <c r="J54" t="s">
        <v>476</v>
      </c>
      <c r="K54" t="s">
        <v>477</v>
      </c>
      <c r="L54" t="s">
        <v>390</v>
      </c>
      <c r="N54" t="s">
        <v>487</v>
      </c>
      <c r="O54" t="s">
        <v>479</v>
      </c>
      <c r="R54" t="s">
        <v>395</v>
      </c>
      <c r="S54" s="34" t="s">
        <v>488</v>
      </c>
    </row>
    <row r="55" spans="1:19" ht="409.5" x14ac:dyDescent="0.15">
      <c r="A55" t="s">
        <v>422</v>
      </c>
      <c r="B55" s="61">
        <v>47331</v>
      </c>
      <c r="E55" t="s">
        <v>355</v>
      </c>
      <c r="F55" t="s">
        <v>385</v>
      </c>
      <c r="H55" t="s">
        <v>353</v>
      </c>
      <c r="I55">
        <v>2702793</v>
      </c>
      <c r="J55" t="s">
        <v>481</v>
      </c>
      <c r="K55" t="s">
        <v>482</v>
      </c>
      <c r="L55" t="s">
        <v>483</v>
      </c>
      <c r="N55" t="s">
        <v>489</v>
      </c>
      <c r="O55" t="s">
        <v>485</v>
      </c>
      <c r="R55" t="s">
        <v>386</v>
      </c>
      <c r="S55" s="34" t="s">
        <v>490</v>
      </c>
    </row>
    <row r="56" spans="1:19" x14ac:dyDescent="0.15">
      <c r="A56" t="s">
        <v>422</v>
      </c>
      <c r="B56" s="61">
        <v>47392</v>
      </c>
      <c r="E56" t="s">
        <v>355</v>
      </c>
      <c r="F56" t="s">
        <v>364</v>
      </c>
      <c r="H56" t="s">
        <v>353</v>
      </c>
      <c r="I56">
        <v>2701960</v>
      </c>
      <c r="J56" t="s">
        <v>439</v>
      </c>
      <c r="K56" t="s">
        <v>440</v>
      </c>
      <c r="L56" t="s">
        <v>390</v>
      </c>
      <c r="N56" t="s">
        <v>491</v>
      </c>
      <c r="O56" t="s">
        <v>442</v>
      </c>
    </row>
    <row r="57" spans="1:19" x14ac:dyDescent="0.15">
      <c r="A57" t="s">
        <v>422</v>
      </c>
      <c r="B57" s="61">
        <v>47392</v>
      </c>
      <c r="E57" t="s">
        <v>355</v>
      </c>
      <c r="F57" t="s">
        <v>385</v>
      </c>
      <c r="H57" t="s">
        <v>353</v>
      </c>
      <c r="I57">
        <v>2702766</v>
      </c>
      <c r="J57" t="s">
        <v>481</v>
      </c>
      <c r="K57" t="s">
        <v>482</v>
      </c>
      <c r="L57" t="s">
        <v>492</v>
      </c>
      <c r="N57" t="s">
        <v>493</v>
      </c>
      <c r="O57" t="s">
        <v>494</v>
      </c>
      <c r="R57" t="s">
        <v>386</v>
      </c>
      <c r="S57" t="s">
        <v>495</v>
      </c>
    </row>
    <row r="58" spans="1:19" ht="391.5" x14ac:dyDescent="0.15">
      <c r="A58" t="s">
        <v>422</v>
      </c>
      <c r="B58" s="61">
        <v>47515</v>
      </c>
      <c r="E58" t="s">
        <v>355</v>
      </c>
      <c r="F58" t="s">
        <v>385</v>
      </c>
      <c r="H58" t="s">
        <v>365</v>
      </c>
      <c r="I58">
        <v>2702797</v>
      </c>
      <c r="J58" t="s">
        <v>427</v>
      </c>
      <c r="K58" t="s">
        <v>428</v>
      </c>
      <c r="L58" t="s">
        <v>496</v>
      </c>
      <c r="N58" t="s">
        <v>497</v>
      </c>
      <c r="O58" t="s">
        <v>498</v>
      </c>
      <c r="R58" t="s">
        <v>395</v>
      </c>
      <c r="S58" s="34" t="s">
        <v>499</v>
      </c>
    </row>
    <row r="59" spans="1:19" ht="378" x14ac:dyDescent="0.15">
      <c r="A59" t="s">
        <v>422</v>
      </c>
      <c r="B59" s="61">
        <v>47788</v>
      </c>
      <c r="E59" t="s">
        <v>355</v>
      </c>
      <c r="F59" t="s">
        <v>385</v>
      </c>
      <c r="H59" t="s">
        <v>353</v>
      </c>
      <c r="I59">
        <v>2700391</v>
      </c>
      <c r="J59" t="s">
        <v>435</v>
      </c>
      <c r="K59" t="s">
        <v>436</v>
      </c>
      <c r="L59" t="s">
        <v>390</v>
      </c>
      <c r="N59" t="s">
        <v>5094</v>
      </c>
      <c r="O59" t="s">
        <v>437</v>
      </c>
      <c r="R59" t="s">
        <v>386</v>
      </c>
      <c r="S59" s="34" t="s">
        <v>438</v>
      </c>
    </row>
    <row r="60" spans="1:19" ht="81" x14ac:dyDescent="0.15">
      <c r="A60" t="s">
        <v>422</v>
      </c>
      <c r="B60" s="61">
        <v>47969</v>
      </c>
      <c r="E60" t="s">
        <v>355</v>
      </c>
      <c r="F60" t="s">
        <v>364</v>
      </c>
      <c r="H60" t="s">
        <v>353</v>
      </c>
      <c r="I60">
        <v>2700597</v>
      </c>
      <c r="J60" t="s">
        <v>423</v>
      </c>
      <c r="K60" t="s">
        <v>424</v>
      </c>
      <c r="L60" t="s">
        <v>443</v>
      </c>
      <c r="N60" s="34" t="s">
        <v>500</v>
      </c>
      <c r="O60" t="s">
        <v>445</v>
      </c>
    </row>
    <row r="61" spans="1:19" x14ac:dyDescent="0.15">
      <c r="A61" t="s">
        <v>422</v>
      </c>
      <c r="B61" s="61">
        <v>48153</v>
      </c>
      <c r="E61" t="s">
        <v>355</v>
      </c>
      <c r="F61" t="s">
        <v>364</v>
      </c>
      <c r="H61" t="s">
        <v>353</v>
      </c>
      <c r="I61">
        <v>2700091</v>
      </c>
      <c r="J61" t="s">
        <v>450</v>
      </c>
      <c r="K61" t="s">
        <v>451</v>
      </c>
      <c r="L61" t="s">
        <v>390</v>
      </c>
      <c r="N61" t="s">
        <v>452</v>
      </c>
      <c r="O61" t="s">
        <v>453</v>
      </c>
    </row>
    <row r="62" spans="1:19" x14ac:dyDescent="0.15">
      <c r="A62" t="s">
        <v>422</v>
      </c>
      <c r="B62" s="61">
        <v>48183</v>
      </c>
      <c r="E62" t="s">
        <v>355</v>
      </c>
      <c r="F62" t="s">
        <v>364</v>
      </c>
      <c r="H62" t="s">
        <v>353</v>
      </c>
      <c r="I62">
        <v>2700133</v>
      </c>
      <c r="J62" t="s">
        <v>454</v>
      </c>
      <c r="K62" t="s">
        <v>455</v>
      </c>
      <c r="L62" t="s">
        <v>390</v>
      </c>
      <c r="N62" t="s">
        <v>456</v>
      </c>
      <c r="O62" t="s">
        <v>457</v>
      </c>
    </row>
    <row r="63" spans="1:19" x14ac:dyDescent="0.15">
      <c r="A63" t="s">
        <v>422</v>
      </c>
      <c r="B63" s="61">
        <v>48366</v>
      </c>
      <c r="E63" t="s">
        <v>355</v>
      </c>
      <c r="F63" t="s">
        <v>364</v>
      </c>
      <c r="H63" t="s">
        <v>353</v>
      </c>
      <c r="I63">
        <v>2701239</v>
      </c>
      <c r="J63" t="s">
        <v>458</v>
      </c>
      <c r="L63" t="s">
        <v>390</v>
      </c>
      <c r="N63" t="s">
        <v>459</v>
      </c>
      <c r="O63" t="s">
        <v>460</v>
      </c>
    </row>
    <row r="64" spans="1:19" x14ac:dyDescent="0.15">
      <c r="A64" t="s">
        <v>501</v>
      </c>
      <c r="B64" s="61">
        <v>46419</v>
      </c>
      <c r="E64" t="s">
        <v>355</v>
      </c>
      <c r="F64" t="s">
        <v>364</v>
      </c>
      <c r="H64" t="s">
        <v>353</v>
      </c>
      <c r="I64">
        <v>1402792</v>
      </c>
      <c r="J64" t="s">
        <v>503</v>
      </c>
      <c r="K64" t="s">
        <v>504</v>
      </c>
      <c r="L64" t="s">
        <v>505</v>
      </c>
      <c r="N64" t="s">
        <v>509</v>
      </c>
      <c r="O64" t="s">
        <v>507</v>
      </c>
    </row>
    <row r="65" spans="1:19" x14ac:dyDescent="0.15">
      <c r="A65" t="s">
        <v>501</v>
      </c>
      <c r="B65" s="61">
        <v>46447</v>
      </c>
      <c r="E65" t="s">
        <v>355</v>
      </c>
      <c r="F65" t="s">
        <v>364</v>
      </c>
      <c r="H65" t="s">
        <v>365</v>
      </c>
      <c r="I65">
        <v>1401492</v>
      </c>
      <c r="J65" t="s">
        <v>510</v>
      </c>
      <c r="K65" t="s">
        <v>511</v>
      </c>
      <c r="L65" t="s">
        <v>512</v>
      </c>
      <c r="N65" t="s">
        <v>513</v>
      </c>
      <c r="O65" t="s">
        <v>514</v>
      </c>
    </row>
    <row r="66" spans="1:19" ht="40.5" x14ac:dyDescent="0.15">
      <c r="A66" t="s">
        <v>515</v>
      </c>
      <c r="B66" s="61">
        <v>46447</v>
      </c>
      <c r="E66" t="s">
        <v>355</v>
      </c>
      <c r="F66" t="s">
        <v>364</v>
      </c>
      <c r="H66" t="s">
        <v>353</v>
      </c>
      <c r="I66">
        <v>1400781</v>
      </c>
      <c r="J66" t="s">
        <v>516</v>
      </c>
      <c r="K66" t="s">
        <v>517</v>
      </c>
      <c r="L66" t="s">
        <v>512</v>
      </c>
      <c r="N66" s="34" t="s">
        <v>518</v>
      </c>
      <c r="O66" t="s">
        <v>519</v>
      </c>
    </row>
    <row r="67" spans="1:19" x14ac:dyDescent="0.15">
      <c r="A67" t="s">
        <v>501</v>
      </c>
      <c r="B67" s="61">
        <v>46569</v>
      </c>
      <c r="E67" t="s">
        <v>355</v>
      </c>
      <c r="F67" t="s">
        <v>364</v>
      </c>
      <c r="H67" t="s">
        <v>310</v>
      </c>
      <c r="I67">
        <v>1402893</v>
      </c>
      <c r="J67" t="s">
        <v>503</v>
      </c>
      <c r="K67" t="s">
        <v>504</v>
      </c>
      <c r="L67" t="s">
        <v>520</v>
      </c>
      <c r="N67" t="s">
        <v>521</v>
      </c>
      <c r="O67" t="s">
        <v>522</v>
      </c>
    </row>
    <row r="68" spans="1:19" x14ac:dyDescent="0.15">
      <c r="A68" t="s">
        <v>501</v>
      </c>
      <c r="B68" s="61">
        <v>46631</v>
      </c>
      <c r="E68" t="s">
        <v>355</v>
      </c>
      <c r="F68" t="s">
        <v>364</v>
      </c>
      <c r="H68" t="s">
        <v>365</v>
      </c>
      <c r="I68">
        <v>1400113</v>
      </c>
      <c r="J68" t="s">
        <v>523</v>
      </c>
      <c r="K68" t="s">
        <v>504</v>
      </c>
      <c r="L68" t="s">
        <v>524</v>
      </c>
      <c r="N68" t="s">
        <v>525</v>
      </c>
      <c r="O68" t="s">
        <v>526</v>
      </c>
    </row>
    <row r="69" spans="1:19" ht="229.5" x14ac:dyDescent="0.15">
      <c r="A69" t="s">
        <v>501</v>
      </c>
      <c r="B69" s="61">
        <v>46631</v>
      </c>
      <c r="E69" t="s">
        <v>355</v>
      </c>
      <c r="F69" t="s">
        <v>356</v>
      </c>
      <c r="H69" t="s">
        <v>353</v>
      </c>
      <c r="I69">
        <v>1400287</v>
      </c>
      <c r="J69" t="s">
        <v>527</v>
      </c>
      <c r="K69" t="s">
        <v>528</v>
      </c>
      <c r="L69" t="s">
        <v>502</v>
      </c>
      <c r="N69" t="s">
        <v>5171</v>
      </c>
      <c r="O69" t="s">
        <v>530</v>
      </c>
      <c r="S69" s="34" t="s">
        <v>5172</v>
      </c>
    </row>
    <row r="70" spans="1:19" x14ac:dyDescent="0.15">
      <c r="A70" t="s">
        <v>501</v>
      </c>
      <c r="B70" s="61">
        <v>46753</v>
      </c>
      <c r="E70" t="s">
        <v>355</v>
      </c>
      <c r="F70" t="s">
        <v>364</v>
      </c>
      <c r="H70" t="s">
        <v>353</v>
      </c>
      <c r="I70">
        <v>1400282</v>
      </c>
      <c r="J70" t="s">
        <v>531</v>
      </c>
      <c r="K70" t="s">
        <v>532</v>
      </c>
      <c r="L70" t="s">
        <v>502</v>
      </c>
      <c r="N70" t="s">
        <v>533</v>
      </c>
      <c r="O70" t="s">
        <v>534</v>
      </c>
    </row>
    <row r="71" spans="1:19" x14ac:dyDescent="0.15">
      <c r="A71" t="s">
        <v>501</v>
      </c>
      <c r="B71" s="61">
        <v>46753</v>
      </c>
      <c r="E71" t="s">
        <v>355</v>
      </c>
      <c r="F71" t="s">
        <v>364</v>
      </c>
      <c r="H71" t="s">
        <v>365</v>
      </c>
      <c r="I71">
        <v>1402151</v>
      </c>
      <c r="J71" t="s">
        <v>535</v>
      </c>
      <c r="K71" t="s">
        <v>536</v>
      </c>
      <c r="L71" t="s">
        <v>512</v>
      </c>
      <c r="N71" t="s">
        <v>537</v>
      </c>
      <c r="O71" t="s">
        <v>538</v>
      </c>
    </row>
    <row r="72" spans="1:19" x14ac:dyDescent="0.15">
      <c r="A72" t="s">
        <v>501</v>
      </c>
      <c r="B72" s="61">
        <v>46753</v>
      </c>
      <c r="E72" t="s">
        <v>355</v>
      </c>
      <c r="F72" t="s">
        <v>364</v>
      </c>
      <c r="H72" t="s">
        <v>353</v>
      </c>
      <c r="I72">
        <v>1402192</v>
      </c>
      <c r="J72" t="s">
        <v>539</v>
      </c>
      <c r="K72" t="s">
        <v>540</v>
      </c>
      <c r="L72" t="s">
        <v>512</v>
      </c>
      <c r="N72" t="s">
        <v>541</v>
      </c>
      <c r="O72" t="s">
        <v>542</v>
      </c>
    </row>
    <row r="73" spans="1:19" ht="270" x14ac:dyDescent="0.15">
      <c r="A73" t="s">
        <v>501</v>
      </c>
      <c r="B73" s="61">
        <v>46935</v>
      </c>
      <c r="E73" t="s">
        <v>355</v>
      </c>
      <c r="F73" t="s">
        <v>543</v>
      </c>
      <c r="H73" t="s">
        <v>310</v>
      </c>
      <c r="I73">
        <v>1402792</v>
      </c>
      <c r="J73" t="s">
        <v>503</v>
      </c>
      <c r="K73" t="s">
        <v>504</v>
      </c>
      <c r="L73" t="s">
        <v>505</v>
      </c>
      <c r="N73" t="s">
        <v>544</v>
      </c>
      <c r="O73" t="s">
        <v>507</v>
      </c>
      <c r="R73" t="s">
        <v>545</v>
      </c>
      <c r="S73" s="34" t="s">
        <v>546</v>
      </c>
    </row>
    <row r="74" spans="1:19" x14ac:dyDescent="0.15">
      <c r="A74" t="s">
        <v>501</v>
      </c>
      <c r="B74" s="61">
        <v>47119</v>
      </c>
      <c r="E74" t="s">
        <v>355</v>
      </c>
      <c r="F74" t="s">
        <v>364</v>
      </c>
      <c r="H74" t="s">
        <v>353</v>
      </c>
      <c r="I74">
        <v>1400286</v>
      </c>
      <c r="J74" t="s">
        <v>547</v>
      </c>
      <c r="L74" t="s">
        <v>502</v>
      </c>
      <c r="N74" t="s">
        <v>548</v>
      </c>
      <c r="O74" t="s">
        <v>549</v>
      </c>
    </row>
    <row r="75" spans="1:19" ht="409.5" x14ac:dyDescent="0.15">
      <c r="A75" t="s">
        <v>501</v>
      </c>
      <c r="B75" s="61">
        <v>47362</v>
      </c>
      <c r="E75" t="s">
        <v>355</v>
      </c>
      <c r="F75" t="s">
        <v>385</v>
      </c>
      <c r="H75" t="s">
        <v>365</v>
      </c>
      <c r="I75">
        <v>1401490</v>
      </c>
      <c r="J75" t="s">
        <v>550</v>
      </c>
      <c r="K75" t="s">
        <v>551</v>
      </c>
      <c r="L75" t="s">
        <v>512</v>
      </c>
      <c r="N75" t="s">
        <v>552</v>
      </c>
      <c r="O75" t="s">
        <v>553</v>
      </c>
      <c r="R75" t="s">
        <v>554</v>
      </c>
      <c r="S75" s="34" t="s">
        <v>555</v>
      </c>
    </row>
    <row r="76" spans="1:19" ht="216" x14ac:dyDescent="0.15">
      <c r="A76" t="s">
        <v>501</v>
      </c>
      <c r="B76" s="61">
        <v>47362</v>
      </c>
      <c r="E76" t="s">
        <v>355</v>
      </c>
      <c r="F76" t="s">
        <v>385</v>
      </c>
      <c r="H76" t="s">
        <v>353</v>
      </c>
      <c r="I76">
        <v>1402792</v>
      </c>
      <c r="J76" t="s">
        <v>503</v>
      </c>
      <c r="K76" t="s">
        <v>504</v>
      </c>
      <c r="L76" t="s">
        <v>505</v>
      </c>
      <c r="N76" t="s">
        <v>506</v>
      </c>
      <c r="O76" t="s">
        <v>507</v>
      </c>
      <c r="R76" t="s">
        <v>556</v>
      </c>
      <c r="S76" s="34" t="s">
        <v>508</v>
      </c>
    </row>
    <row r="77" spans="1:19" ht="270" x14ac:dyDescent="0.15">
      <c r="A77" t="s">
        <v>501</v>
      </c>
      <c r="B77" s="61">
        <v>47362</v>
      </c>
      <c r="E77" t="s">
        <v>355</v>
      </c>
      <c r="F77" t="s">
        <v>385</v>
      </c>
      <c r="H77" t="s">
        <v>310</v>
      </c>
      <c r="I77">
        <v>1402792</v>
      </c>
      <c r="J77" t="s">
        <v>503</v>
      </c>
      <c r="K77" t="s">
        <v>504</v>
      </c>
      <c r="L77" t="s">
        <v>505</v>
      </c>
      <c r="N77" t="s">
        <v>544</v>
      </c>
      <c r="O77" t="s">
        <v>507</v>
      </c>
      <c r="R77" t="s">
        <v>554</v>
      </c>
      <c r="S77" s="34" t="s">
        <v>546</v>
      </c>
    </row>
    <row r="78" spans="1:19" ht="202.5" x14ac:dyDescent="0.15">
      <c r="A78" t="s">
        <v>515</v>
      </c>
      <c r="B78" s="61">
        <v>47392</v>
      </c>
      <c r="E78" t="s">
        <v>355</v>
      </c>
      <c r="F78" t="s">
        <v>385</v>
      </c>
      <c r="H78" t="s">
        <v>353</v>
      </c>
      <c r="I78">
        <v>1402846</v>
      </c>
      <c r="J78" t="s">
        <v>557</v>
      </c>
      <c r="K78" t="s">
        <v>517</v>
      </c>
      <c r="L78" t="s">
        <v>558</v>
      </c>
      <c r="N78" t="s">
        <v>559</v>
      </c>
      <c r="O78" t="s">
        <v>560</v>
      </c>
      <c r="R78" t="s">
        <v>386</v>
      </c>
      <c r="S78" s="34" t="s">
        <v>561</v>
      </c>
    </row>
    <row r="79" spans="1:19" ht="243" x14ac:dyDescent="0.15">
      <c r="A79" t="s">
        <v>501</v>
      </c>
      <c r="B79" s="61">
        <v>47515</v>
      </c>
      <c r="E79" t="s">
        <v>355</v>
      </c>
      <c r="F79" t="s">
        <v>385</v>
      </c>
      <c r="H79" t="s">
        <v>365</v>
      </c>
      <c r="I79">
        <v>1400286</v>
      </c>
      <c r="J79" t="s">
        <v>547</v>
      </c>
      <c r="L79" t="s">
        <v>502</v>
      </c>
      <c r="N79" t="s">
        <v>562</v>
      </c>
      <c r="O79" t="s">
        <v>549</v>
      </c>
      <c r="R79" t="s">
        <v>395</v>
      </c>
      <c r="S79" s="34" t="s">
        <v>563</v>
      </c>
    </row>
    <row r="80" spans="1:19" x14ac:dyDescent="0.15">
      <c r="A80" t="s">
        <v>501</v>
      </c>
      <c r="B80" s="61">
        <v>47665</v>
      </c>
      <c r="E80" t="s">
        <v>355</v>
      </c>
      <c r="F80" t="s">
        <v>364</v>
      </c>
      <c r="H80" t="s">
        <v>310</v>
      </c>
      <c r="I80">
        <v>1402893</v>
      </c>
      <c r="J80" t="s">
        <v>503</v>
      </c>
      <c r="K80" t="s">
        <v>504</v>
      </c>
      <c r="L80" t="s">
        <v>520</v>
      </c>
      <c r="N80" t="s">
        <v>521</v>
      </c>
      <c r="O80" t="s">
        <v>522</v>
      </c>
    </row>
    <row r="81" spans="1:19" x14ac:dyDescent="0.15">
      <c r="A81" t="s">
        <v>501</v>
      </c>
      <c r="B81" s="61">
        <v>47880</v>
      </c>
      <c r="E81" t="s">
        <v>355</v>
      </c>
      <c r="F81" t="s">
        <v>364</v>
      </c>
      <c r="H81" t="s">
        <v>353</v>
      </c>
      <c r="I81">
        <v>1402792</v>
      </c>
      <c r="J81" t="s">
        <v>503</v>
      </c>
      <c r="K81" t="s">
        <v>504</v>
      </c>
      <c r="L81" t="s">
        <v>505</v>
      </c>
      <c r="N81" t="s">
        <v>509</v>
      </c>
      <c r="O81" t="s">
        <v>507</v>
      </c>
    </row>
    <row r="82" spans="1:19" ht="40.5" x14ac:dyDescent="0.15">
      <c r="A82" t="s">
        <v>515</v>
      </c>
      <c r="B82" s="61">
        <v>47908</v>
      </c>
      <c r="E82" t="s">
        <v>355</v>
      </c>
      <c r="F82" t="s">
        <v>364</v>
      </c>
      <c r="H82" t="s">
        <v>353</v>
      </c>
      <c r="I82">
        <v>1400781</v>
      </c>
      <c r="J82" t="s">
        <v>516</v>
      </c>
      <c r="K82" t="s">
        <v>517</v>
      </c>
      <c r="L82" t="s">
        <v>512</v>
      </c>
      <c r="N82" s="34" t="s">
        <v>518</v>
      </c>
      <c r="O82" t="s">
        <v>519</v>
      </c>
    </row>
    <row r="83" spans="1:19" x14ac:dyDescent="0.15">
      <c r="A83" t="s">
        <v>501</v>
      </c>
      <c r="B83" s="61">
        <v>48030</v>
      </c>
      <c r="E83" t="s">
        <v>355</v>
      </c>
      <c r="F83" t="s">
        <v>364</v>
      </c>
      <c r="H83" t="s">
        <v>310</v>
      </c>
      <c r="I83">
        <v>1402893</v>
      </c>
      <c r="J83" t="s">
        <v>503</v>
      </c>
      <c r="K83" t="s">
        <v>504</v>
      </c>
      <c r="L83" t="s">
        <v>520</v>
      </c>
      <c r="N83" t="s">
        <v>521</v>
      </c>
      <c r="O83" t="s">
        <v>522</v>
      </c>
    </row>
    <row r="84" spans="1:19" ht="229.5" x14ac:dyDescent="0.15">
      <c r="A84" t="s">
        <v>501</v>
      </c>
      <c r="B84" s="61">
        <v>48092</v>
      </c>
      <c r="E84" t="s">
        <v>355</v>
      </c>
      <c r="F84" t="s">
        <v>385</v>
      </c>
      <c r="H84" t="s">
        <v>353</v>
      </c>
      <c r="I84">
        <v>1400287</v>
      </c>
      <c r="J84" t="s">
        <v>527</v>
      </c>
      <c r="K84" t="s">
        <v>528</v>
      </c>
      <c r="L84" t="s">
        <v>502</v>
      </c>
      <c r="N84" t="s">
        <v>5171</v>
      </c>
      <c r="O84" t="s">
        <v>530</v>
      </c>
      <c r="S84" s="34" t="s">
        <v>5172</v>
      </c>
    </row>
    <row r="85" spans="1:19" x14ac:dyDescent="0.15">
      <c r="A85" t="s">
        <v>501</v>
      </c>
      <c r="B85" s="61">
        <v>48214</v>
      </c>
      <c r="E85" t="s">
        <v>355</v>
      </c>
      <c r="F85" t="s">
        <v>364</v>
      </c>
      <c r="H85" t="s">
        <v>353</v>
      </c>
      <c r="I85">
        <v>1402192</v>
      </c>
      <c r="J85" t="s">
        <v>539</v>
      </c>
      <c r="K85" t="s">
        <v>540</v>
      </c>
      <c r="L85" t="s">
        <v>512</v>
      </c>
      <c r="N85" t="s">
        <v>541</v>
      </c>
      <c r="O85" t="s">
        <v>542</v>
      </c>
    </row>
    <row r="86" spans="1:19" ht="351" x14ac:dyDescent="0.15">
      <c r="A86" t="s">
        <v>564</v>
      </c>
      <c r="B86" s="61">
        <v>46235</v>
      </c>
      <c r="E86" t="s">
        <v>355</v>
      </c>
      <c r="F86" t="s">
        <v>356</v>
      </c>
      <c r="H86" t="s">
        <v>353</v>
      </c>
      <c r="I86">
        <v>1401591</v>
      </c>
      <c r="J86" t="s">
        <v>572</v>
      </c>
      <c r="L86" t="s">
        <v>573</v>
      </c>
      <c r="N86" t="s">
        <v>574</v>
      </c>
      <c r="O86" t="s">
        <v>575</v>
      </c>
      <c r="R86" t="s">
        <v>362</v>
      </c>
      <c r="S86" s="34" t="s">
        <v>576</v>
      </c>
    </row>
    <row r="87" spans="1:19" ht="409.5" x14ac:dyDescent="0.15">
      <c r="A87" t="s">
        <v>564</v>
      </c>
      <c r="B87" s="61">
        <v>46357</v>
      </c>
      <c r="E87" t="s">
        <v>355</v>
      </c>
      <c r="F87" t="s">
        <v>356</v>
      </c>
      <c r="H87" t="s">
        <v>353</v>
      </c>
      <c r="I87">
        <v>1402414</v>
      </c>
      <c r="J87" t="s">
        <v>577</v>
      </c>
      <c r="L87" t="s">
        <v>578</v>
      </c>
      <c r="N87" t="s">
        <v>579</v>
      </c>
      <c r="O87" t="s">
        <v>580</v>
      </c>
      <c r="R87" t="s">
        <v>362</v>
      </c>
      <c r="S87" s="34" t="s">
        <v>581</v>
      </c>
    </row>
    <row r="88" spans="1:19" x14ac:dyDescent="0.15">
      <c r="A88" t="s">
        <v>501</v>
      </c>
      <c r="B88" s="61">
        <v>46508</v>
      </c>
      <c r="E88" t="s">
        <v>355</v>
      </c>
      <c r="F88" t="s">
        <v>364</v>
      </c>
      <c r="H88" t="s">
        <v>353</v>
      </c>
      <c r="I88">
        <v>1402768</v>
      </c>
      <c r="J88" t="s">
        <v>582</v>
      </c>
      <c r="K88" t="s">
        <v>583</v>
      </c>
      <c r="L88" t="s">
        <v>584</v>
      </c>
      <c r="N88" t="s">
        <v>585</v>
      </c>
      <c r="O88" t="s">
        <v>586</v>
      </c>
    </row>
    <row r="89" spans="1:19" x14ac:dyDescent="0.15">
      <c r="A89" t="s">
        <v>501</v>
      </c>
      <c r="B89" s="61">
        <v>46600</v>
      </c>
      <c r="E89" t="s">
        <v>355</v>
      </c>
      <c r="F89" t="s">
        <v>364</v>
      </c>
      <c r="H89" t="s">
        <v>365</v>
      </c>
      <c r="I89">
        <v>1400211</v>
      </c>
      <c r="J89" t="s">
        <v>587</v>
      </c>
      <c r="K89" t="s">
        <v>588</v>
      </c>
      <c r="L89" t="s">
        <v>512</v>
      </c>
      <c r="N89" t="s">
        <v>589</v>
      </c>
      <c r="O89" t="s">
        <v>590</v>
      </c>
    </row>
    <row r="90" spans="1:19" x14ac:dyDescent="0.15">
      <c r="A90" t="s">
        <v>564</v>
      </c>
      <c r="B90" s="61">
        <v>46661</v>
      </c>
      <c r="E90" t="s">
        <v>355</v>
      </c>
      <c r="F90" t="s">
        <v>364</v>
      </c>
      <c r="H90" t="s">
        <v>310</v>
      </c>
      <c r="I90">
        <v>1402450</v>
      </c>
      <c r="J90" t="s">
        <v>591</v>
      </c>
      <c r="K90" t="s">
        <v>592</v>
      </c>
      <c r="L90" t="s">
        <v>593</v>
      </c>
      <c r="N90" t="s">
        <v>594</v>
      </c>
      <c r="O90" t="s">
        <v>595</v>
      </c>
    </row>
    <row r="91" spans="1:19" x14ac:dyDescent="0.15">
      <c r="A91" t="s">
        <v>564</v>
      </c>
      <c r="B91" s="61">
        <v>46692</v>
      </c>
      <c r="E91" t="s">
        <v>355</v>
      </c>
      <c r="F91" t="s">
        <v>364</v>
      </c>
      <c r="H91" t="s">
        <v>310</v>
      </c>
      <c r="I91">
        <v>1401839</v>
      </c>
      <c r="J91" t="s">
        <v>596</v>
      </c>
      <c r="K91" t="s">
        <v>597</v>
      </c>
      <c r="L91" t="s">
        <v>502</v>
      </c>
      <c r="N91" t="s">
        <v>598</v>
      </c>
      <c r="O91" t="s">
        <v>599</v>
      </c>
    </row>
    <row r="92" spans="1:19" x14ac:dyDescent="0.15">
      <c r="A92" t="s">
        <v>564</v>
      </c>
      <c r="B92" s="61">
        <v>46692</v>
      </c>
      <c r="E92" t="s">
        <v>355</v>
      </c>
      <c r="F92" t="s">
        <v>364</v>
      </c>
      <c r="H92" t="s">
        <v>353</v>
      </c>
      <c r="I92">
        <v>1401567</v>
      </c>
      <c r="J92" t="s">
        <v>565</v>
      </c>
      <c r="K92" t="s">
        <v>566</v>
      </c>
      <c r="L92" t="s">
        <v>600</v>
      </c>
      <c r="N92" t="s">
        <v>601</v>
      </c>
      <c r="O92" t="s">
        <v>602</v>
      </c>
    </row>
    <row r="93" spans="1:19" x14ac:dyDescent="0.15">
      <c r="A93" t="s">
        <v>564</v>
      </c>
      <c r="B93" s="61">
        <v>46813</v>
      </c>
      <c r="E93" t="s">
        <v>355</v>
      </c>
      <c r="F93" t="s">
        <v>364</v>
      </c>
      <c r="H93" t="s">
        <v>353</v>
      </c>
      <c r="I93">
        <v>1401568</v>
      </c>
      <c r="J93" t="s">
        <v>603</v>
      </c>
      <c r="K93" t="s">
        <v>604</v>
      </c>
      <c r="L93" t="s">
        <v>605</v>
      </c>
      <c r="N93" t="s">
        <v>606</v>
      </c>
      <c r="O93" t="s">
        <v>607</v>
      </c>
    </row>
    <row r="94" spans="1:19" ht="409.5" x14ac:dyDescent="0.15">
      <c r="A94" t="s">
        <v>564</v>
      </c>
      <c r="B94" s="61">
        <v>46997</v>
      </c>
      <c r="E94" t="s">
        <v>355</v>
      </c>
      <c r="F94" t="s">
        <v>385</v>
      </c>
      <c r="H94" t="s">
        <v>353</v>
      </c>
      <c r="I94">
        <v>1402138</v>
      </c>
      <c r="J94" t="s">
        <v>608</v>
      </c>
      <c r="L94" t="s">
        <v>512</v>
      </c>
      <c r="N94" t="s">
        <v>609</v>
      </c>
      <c r="O94" t="s">
        <v>610</v>
      </c>
      <c r="R94" t="s">
        <v>386</v>
      </c>
      <c r="S94" s="34" t="s">
        <v>611</v>
      </c>
    </row>
    <row r="95" spans="1:19" x14ac:dyDescent="0.15">
      <c r="A95" t="s">
        <v>564</v>
      </c>
      <c r="B95" s="61">
        <v>47058</v>
      </c>
      <c r="E95" t="s">
        <v>355</v>
      </c>
      <c r="F95" t="s">
        <v>364</v>
      </c>
      <c r="H95" t="s">
        <v>310</v>
      </c>
      <c r="I95">
        <v>1401839</v>
      </c>
      <c r="J95" t="s">
        <v>596</v>
      </c>
      <c r="K95" t="s">
        <v>597</v>
      </c>
      <c r="L95" t="s">
        <v>502</v>
      </c>
      <c r="N95" t="s">
        <v>598</v>
      </c>
      <c r="O95" t="s">
        <v>599</v>
      </c>
    </row>
    <row r="96" spans="1:19" ht="243" x14ac:dyDescent="0.15">
      <c r="A96" t="s">
        <v>564</v>
      </c>
      <c r="B96" s="61">
        <v>47362</v>
      </c>
      <c r="E96" t="s">
        <v>355</v>
      </c>
      <c r="F96" t="s">
        <v>385</v>
      </c>
      <c r="H96" t="s">
        <v>365</v>
      </c>
      <c r="I96">
        <v>1401039</v>
      </c>
      <c r="J96" t="s">
        <v>612</v>
      </c>
      <c r="K96" t="s">
        <v>504</v>
      </c>
      <c r="L96" t="s">
        <v>613</v>
      </c>
      <c r="N96" t="s">
        <v>614</v>
      </c>
      <c r="O96" t="s">
        <v>615</v>
      </c>
      <c r="R96" t="s">
        <v>554</v>
      </c>
      <c r="S96" s="34" t="s">
        <v>616</v>
      </c>
    </row>
    <row r="97" spans="1:19" ht="351" x14ac:dyDescent="0.15">
      <c r="A97" t="s">
        <v>564</v>
      </c>
      <c r="B97" s="61">
        <v>47696</v>
      </c>
      <c r="E97" t="s">
        <v>355</v>
      </c>
      <c r="F97" t="s">
        <v>385</v>
      </c>
      <c r="H97" t="s">
        <v>353</v>
      </c>
      <c r="I97">
        <v>1401591</v>
      </c>
      <c r="J97" t="s">
        <v>572</v>
      </c>
      <c r="L97" t="s">
        <v>573</v>
      </c>
      <c r="N97" t="s">
        <v>574</v>
      </c>
      <c r="O97" t="s">
        <v>575</v>
      </c>
      <c r="R97" t="s">
        <v>386</v>
      </c>
      <c r="S97" s="34" t="s">
        <v>576</v>
      </c>
    </row>
    <row r="98" spans="1:19" x14ac:dyDescent="0.15">
      <c r="A98" t="s">
        <v>564</v>
      </c>
      <c r="B98" s="61">
        <v>47757</v>
      </c>
      <c r="E98" t="s">
        <v>355</v>
      </c>
      <c r="F98" t="s">
        <v>364</v>
      </c>
      <c r="H98" t="s">
        <v>310</v>
      </c>
      <c r="I98">
        <v>1402450</v>
      </c>
      <c r="J98" t="s">
        <v>591</v>
      </c>
      <c r="K98" t="s">
        <v>592</v>
      </c>
      <c r="L98" t="s">
        <v>593</v>
      </c>
      <c r="N98" t="s">
        <v>594</v>
      </c>
      <c r="O98" t="s">
        <v>595</v>
      </c>
    </row>
    <row r="99" spans="1:19" ht="409.5" x14ac:dyDescent="0.15">
      <c r="A99" t="s">
        <v>564</v>
      </c>
      <c r="B99" s="61">
        <v>47818</v>
      </c>
      <c r="E99" t="s">
        <v>355</v>
      </c>
      <c r="F99" t="s">
        <v>385</v>
      </c>
      <c r="H99" t="s">
        <v>353</v>
      </c>
      <c r="I99">
        <v>1402414</v>
      </c>
      <c r="J99" t="s">
        <v>577</v>
      </c>
      <c r="L99" t="s">
        <v>578</v>
      </c>
      <c r="N99" t="s">
        <v>579</v>
      </c>
      <c r="O99" t="s">
        <v>580</v>
      </c>
      <c r="R99" t="s">
        <v>386</v>
      </c>
      <c r="S99" s="34" t="s">
        <v>581</v>
      </c>
    </row>
    <row r="100" spans="1:19" x14ac:dyDescent="0.15">
      <c r="A100" t="s">
        <v>564</v>
      </c>
      <c r="B100" s="61">
        <v>48122</v>
      </c>
      <c r="E100" t="s">
        <v>355</v>
      </c>
      <c r="F100" t="s">
        <v>364</v>
      </c>
      <c r="H100" t="s">
        <v>310</v>
      </c>
      <c r="I100">
        <v>1402450</v>
      </c>
      <c r="J100" t="s">
        <v>591</v>
      </c>
      <c r="K100" t="s">
        <v>592</v>
      </c>
      <c r="L100" t="s">
        <v>593</v>
      </c>
      <c r="N100" t="s">
        <v>594</v>
      </c>
      <c r="O100" t="s">
        <v>595</v>
      </c>
    </row>
    <row r="101" spans="1:19" x14ac:dyDescent="0.15">
      <c r="A101" t="s">
        <v>564</v>
      </c>
      <c r="B101" s="61">
        <v>48153</v>
      </c>
      <c r="E101" t="s">
        <v>355</v>
      </c>
      <c r="F101" t="s">
        <v>364</v>
      </c>
      <c r="H101" t="s">
        <v>353</v>
      </c>
      <c r="I101">
        <v>1401567</v>
      </c>
      <c r="J101" t="s">
        <v>565</v>
      </c>
      <c r="K101" t="s">
        <v>566</v>
      </c>
      <c r="L101" t="s">
        <v>600</v>
      </c>
      <c r="N101" t="s">
        <v>601</v>
      </c>
      <c r="O101" t="s">
        <v>602</v>
      </c>
    </row>
    <row r="102" spans="1:19" x14ac:dyDescent="0.15">
      <c r="A102" t="s">
        <v>564</v>
      </c>
      <c r="B102" s="61">
        <v>48274</v>
      </c>
      <c r="E102" t="s">
        <v>355</v>
      </c>
      <c r="F102" t="s">
        <v>364</v>
      </c>
      <c r="H102" t="s">
        <v>353</v>
      </c>
      <c r="I102">
        <v>1401568</v>
      </c>
      <c r="J102" t="s">
        <v>603</v>
      </c>
      <c r="K102" t="s">
        <v>604</v>
      </c>
      <c r="L102" t="s">
        <v>605</v>
      </c>
      <c r="N102" t="s">
        <v>606</v>
      </c>
      <c r="O102" t="s">
        <v>607</v>
      </c>
    </row>
    <row r="103" spans="1:19" ht="243" x14ac:dyDescent="0.15">
      <c r="A103" t="s">
        <v>617</v>
      </c>
      <c r="B103" s="61">
        <v>46266</v>
      </c>
      <c r="E103" t="s">
        <v>355</v>
      </c>
      <c r="F103" t="s">
        <v>356</v>
      </c>
      <c r="H103" t="s">
        <v>365</v>
      </c>
      <c r="I103">
        <v>2302268</v>
      </c>
      <c r="J103" t="s">
        <v>624</v>
      </c>
      <c r="K103" t="s">
        <v>625</v>
      </c>
      <c r="L103" t="s">
        <v>626</v>
      </c>
      <c r="N103" t="s">
        <v>627</v>
      </c>
      <c r="O103" t="s">
        <v>628</v>
      </c>
      <c r="R103" t="s">
        <v>362</v>
      </c>
      <c r="S103" s="34" t="s">
        <v>629</v>
      </c>
    </row>
    <row r="104" spans="1:19" ht="409.5" x14ac:dyDescent="0.15">
      <c r="A104" t="s">
        <v>617</v>
      </c>
      <c r="B104" s="61">
        <v>46296</v>
      </c>
      <c r="E104" t="s">
        <v>355</v>
      </c>
      <c r="F104" t="s">
        <v>385</v>
      </c>
      <c r="H104" t="s">
        <v>353</v>
      </c>
      <c r="I104">
        <v>2302763</v>
      </c>
      <c r="J104" t="s">
        <v>630</v>
      </c>
      <c r="L104" t="s">
        <v>631</v>
      </c>
      <c r="N104" t="s">
        <v>632</v>
      </c>
      <c r="O104" t="s">
        <v>633</v>
      </c>
      <c r="R104" t="s">
        <v>386</v>
      </c>
      <c r="S104" s="34" t="s">
        <v>634</v>
      </c>
    </row>
    <row r="105" spans="1:19" ht="243" x14ac:dyDescent="0.15">
      <c r="A105" t="s">
        <v>617</v>
      </c>
      <c r="B105" s="61">
        <v>46327</v>
      </c>
      <c r="E105" t="s">
        <v>355</v>
      </c>
      <c r="F105" t="s">
        <v>385</v>
      </c>
      <c r="H105" t="s">
        <v>365</v>
      </c>
      <c r="I105">
        <v>2303549</v>
      </c>
      <c r="J105" t="s">
        <v>635</v>
      </c>
      <c r="K105" t="s">
        <v>636</v>
      </c>
      <c r="L105" t="s">
        <v>637</v>
      </c>
      <c r="N105" t="s">
        <v>638</v>
      </c>
      <c r="O105" t="s">
        <v>639</v>
      </c>
      <c r="R105" t="s">
        <v>395</v>
      </c>
      <c r="S105" s="34" t="s">
        <v>640</v>
      </c>
    </row>
    <row r="106" spans="1:19" ht="324" x14ac:dyDescent="0.15">
      <c r="A106" t="s">
        <v>617</v>
      </c>
      <c r="B106" s="61">
        <v>46388</v>
      </c>
      <c r="E106" t="s">
        <v>355</v>
      </c>
      <c r="F106" t="s">
        <v>385</v>
      </c>
      <c r="H106" t="s">
        <v>353</v>
      </c>
      <c r="I106">
        <v>2303262</v>
      </c>
      <c r="J106" t="s">
        <v>641</v>
      </c>
      <c r="K106" t="s">
        <v>642</v>
      </c>
      <c r="L106" t="s">
        <v>643</v>
      </c>
      <c r="N106" t="s">
        <v>644</v>
      </c>
      <c r="O106" t="s">
        <v>645</v>
      </c>
      <c r="R106" t="s">
        <v>386</v>
      </c>
      <c r="S106" s="34" t="s">
        <v>5095</v>
      </c>
    </row>
    <row r="107" spans="1:19" ht="409.5" x14ac:dyDescent="0.15">
      <c r="A107" t="s">
        <v>617</v>
      </c>
      <c r="B107" s="61">
        <v>46388</v>
      </c>
      <c r="E107" t="s">
        <v>355</v>
      </c>
      <c r="F107" t="s">
        <v>385</v>
      </c>
      <c r="H107" t="s">
        <v>365</v>
      </c>
      <c r="I107">
        <v>2303548</v>
      </c>
      <c r="J107" t="s">
        <v>635</v>
      </c>
      <c r="K107" t="s">
        <v>636</v>
      </c>
      <c r="L107" t="s">
        <v>646</v>
      </c>
      <c r="N107" t="s">
        <v>647</v>
      </c>
      <c r="O107" t="s">
        <v>648</v>
      </c>
      <c r="R107" t="s">
        <v>395</v>
      </c>
      <c r="S107" s="34" t="s">
        <v>3998</v>
      </c>
    </row>
    <row r="108" spans="1:19" ht="409.5" x14ac:dyDescent="0.15">
      <c r="A108" t="s">
        <v>617</v>
      </c>
      <c r="B108" s="61">
        <v>46388</v>
      </c>
      <c r="E108" t="s">
        <v>355</v>
      </c>
      <c r="F108" t="s">
        <v>385</v>
      </c>
      <c r="H108" t="s">
        <v>365</v>
      </c>
      <c r="I108">
        <v>2300496</v>
      </c>
      <c r="J108" t="s">
        <v>649</v>
      </c>
      <c r="K108" t="s">
        <v>650</v>
      </c>
      <c r="L108" t="s">
        <v>651</v>
      </c>
      <c r="N108" t="s">
        <v>652</v>
      </c>
      <c r="O108" t="s">
        <v>653</v>
      </c>
      <c r="S108" s="34" t="s">
        <v>5096</v>
      </c>
    </row>
    <row r="109" spans="1:19" x14ac:dyDescent="0.15">
      <c r="A109" t="s">
        <v>617</v>
      </c>
      <c r="B109" s="61">
        <v>46539</v>
      </c>
      <c r="E109" t="s">
        <v>355</v>
      </c>
      <c r="F109" t="s">
        <v>364</v>
      </c>
      <c r="H109" t="s">
        <v>353</v>
      </c>
      <c r="I109">
        <v>2302235</v>
      </c>
      <c r="J109" t="s">
        <v>654</v>
      </c>
      <c r="L109" t="s">
        <v>613</v>
      </c>
      <c r="N109" t="s">
        <v>655</v>
      </c>
      <c r="O109" t="s">
        <v>656</v>
      </c>
    </row>
    <row r="110" spans="1:19" x14ac:dyDescent="0.15">
      <c r="A110" t="s">
        <v>617</v>
      </c>
      <c r="B110" s="61">
        <v>46692</v>
      </c>
      <c r="E110" t="s">
        <v>355</v>
      </c>
      <c r="F110" t="s">
        <v>356</v>
      </c>
      <c r="H110" t="s">
        <v>353</v>
      </c>
      <c r="I110">
        <v>2303010</v>
      </c>
      <c r="J110" t="s">
        <v>657</v>
      </c>
      <c r="K110" t="s">
        <v>658</v>
      </c>
      <c r="L110" t="s">
        <v>659</v>
      </c>
      <c r="N110" t="s">
        <v>5097</v>
      </c>
      <c r="O110" t="s">
        <v>660</v>
      </c>
    </row>
    <row r="111" spans="1:19" x14ac:dyDescent="0.15">
      <c r="A111" t="s">
        <v>617</v>
      </c>
      <c r="B111" s="61">
        <v>46692</v>
      </c>
      <c r="E111" t="s">
        <v>355</v>
      </c>
      <c r="F111" t="s">
        <v>356</v>
      </c>
      <c r="H111" t="s">
        <v>353</v>
      </c>
      <c r="I111">
        <v>2300508</v>
      </c>
      <c r="J111" t="s">
        <v>657</v>
      </c>
      <c r="K111" t="s">
        <v>658</v>
      </c>
      <c r="L111" t="s">
        <v>661</v>
      </c>
      <c r="N111" t="s">
        <v>5098</v>
      </c>
      <c r="O111" t="s">
        <v>662</v>
      </c>
    </row>
    <row r="112" spans="1:19" x14ac:dyDescent="0.15">
      <c r="A112" t="s">
        <v>617</v>
      </c>
      <c r="B112" s="61">
        <v>46692</v>
      </c>
      <c r="E112" t="s">
        <v>355</v>
      </c>
      <c r="F112" t="s">
        <v>364</v>
      </c>
      <c r="H112" t="s">
        <v>353</v>
      </c>
      <c r="I112">
        <v>2303831</v>
      </c>
      <c r="J112" t="s">
        <v>663</v>
      </c>
      <c r="K112" t="s">
        <v>664</v>
      </c>
      <c r="L112" t="s">
        <v>665</v>
      </c>
      <c r="N112" t="s">
        <v>666</v>
      </c>
      <c r="O112" t="s">
        <v>667</v>
      </c>
    </row>
    <row r="113" spans="1:19" ht="409.5" x14ac:dyDescent="0.15">
      <c r="A113" t="s">
        <v>617</v>
      </c>
      <c r="B113" s="61">
        <v>46722</v>
      </c>
      <c r="E113" t="s">
        <v>355</v>
      </c>
      <c r="F113" t="s">
        <v>356</v>
      </c>
      <c r="H113" t="s">
        <v>353</v>
      </c>
      <c r="I113">
        <v>2302215</v>
      </c>
      <c r="J113" t="s">
        <v>668</v>
      </c>
      <c r="K113" t="s">
        <v>669</v>
      </c>
      <c r="L113" t="s">
        <v>670</v>
      </c>
      <c r="N113" t="s">
        <v>7351</v>
      </c>
      <c r="O113" t="s">
        <v>671</v>
      </c>
      <c r="S113" s="34" t="s">
        <v>5502</v>
      </c>
    </row>
    <row r="114" spans="1:19" x14ac:dyDescent="0.15">
      <c r="A114" t="s">
        <v>617</v>
      </c>
      <c r="B114" s="61">
        <v>46966</v>
      </c>
      <c r="E114" t="s">
        <v>355</v>
      </c>
      <c r="F114" t="s">
        <v>364</v>
      </c>
      <c r="H114" t="s">
        <v>353</v>
      </c>
      <c r="I114">
        <v>2303689</v>
      </c>
      <c r="J114" t="s">
        <v>672</v>
      </c>
      <c r="K114" t="s">
        <v>673</v>
      </c>
      <c r="L114" t="s">
        <v>674</v>
      </c>
      <c r="N114" t="s">
        <v>675</v>
      </c>
      <c r="O114" t="s">
        <v>676</v>
      </c>
    </row>
    <row r="115" spans="1:19" x14ac:dyDescent="0.15">
      <c r="A115" t="s">
        <v>617</v>
      </c>
      <c r="B115" s="61">
        <v>47027</v>
      </c>
      <c r="E115" t="s">
        <v>355</v>
      </c>
      <c r="F115" t="s">
        <v>364</v>
      </c>
      <c r="H115" t="s">
        <v>365</v>
      </c>
      <c r="I115">
        <v>2303719</v>
      </c>
      <c r="J115" t="s">
        <v>677</v>
      </c>
      <c r="K115" t="s">
        <v>678</v>
      </c>
      <c r="L115" t="s">
        <v>390</v>
      </c>
      <c r="N115" t="s">
        <v>679</v>
      </c>
      <c r="O115" t="s">
        <v>680</v>
      </c>
    </row>
    <row r="116" spans="1:19" ht="243" x14ac:dyDescent="0.15">
      <c r="A116" t="s">
        <v>617</v>
      </c>
      <c r="B116" s="61">
        <v>47300</v>
      </c>
      <c r="E116" t="s">
        <v>355</v>
      </c>
      <c r="F116" t="s">
        <v>385</v>
      </c>
      <c r="H116" t="s">
        <v>365</v>
      </c>
      <c r="I116">
        <v>2303759</v>
      </c>
      <c r="J116" t="s">
        <v>681</v>
      </c>
      <c r="L116" t="s">
        <v>413</v>
      </c>
      <c r="N116" t="s">
        <v>682</v>
      </c>
      <c r="O116" t="s">
        <v>683</v>
      </c>
      <c r="R116" t="s">
        <v>554</v>
      </c>
      <c r="S116" s="34" t="s">
        <v>684</v>
      </c>
    </row>
    <row r="117" spans="1:19" ht="409.5" x14ac:dyDescent="0.15">
      <c r="A117" t="s">
        <v>617</v>
      </c>
      <c r="B117" s="61">
        <v>47362</v>
      </c>
      <c r="E117" t="s">
        <v>355</v>
      </c>
      <c r="F117" t="s">
        <v>385</v>
      </c>
      <c r="H117" t="s">
        <v>365</v>
      </c>
      <c r="I117">
        <v>2300166</v>
      </c>
      <c r="J117" t="s">
        <v>618</v>
      </c>
      <c r="K117" t="s">
        <v>619</v>
      </c>
      <c r="L117" t="s">
        <v>620</v>
      </c>
      <c r="N117" t="s">
        <v>621</v>
      </c>
      <c r="O117" t="s">
        <v>622</v>
      </c>
      <c r="R117" t="s">
        <v>554</v>
      </c>
      <c r="S117" s="34" t="s">
        <v>623</v>
      </c>
    </row>
    <row r="118" spans="1:19" ht="243" x14ac:dyDescent="0.15">
      <c r="A118" t="s">
        <v>617</v>
      </c>
      <c r="B118" s="61">
        <v>47727</v>
      </c>
      <c r="E118" t="s">
        <v>355</v>
      </c>
      <c r="F118" t="s">
        <v>385</v>
      </c>
      <c r="H118" t="s">
        <v>365</v>
      </c>
      <c r="I118">
        <v>2302268</v>
      </c>
      <c r="J118" t="s">
        <v>624</v>
      </c>
      <c r="K118" t="s">
        <v>625</v>
      </c>
      <c r="L118" t="s">
        <v>626</v>
      </c>
      <c r="N118" t="s">
        <v>627</v>
      </c>
      <c r="O118" t="s">
        <v>628</v>
      </c>
      <c r="R118" t="s">
        <v>395</v>
      </c>
      <c r="S118" s="34" t="s">
        <v>629</v>
      </c>
    </row>
    <row r="119" spans="1:19" x14ac:dyDescent="0.15">
      <c r="A119" t="s">
        <v>617</v>
      </c>
      <c r="B119" s="61">
        <v>48000</v>
      </c>
      <c r="E119" t="s">
        <v>355</v>
      </c>
      <c r="F119" t="s">
        <v>364</v>
      </c>
      <c r="H119" t="s">
        <v>353</v>
      </c>
      <c r="I119">
        <v>2302235</v>
      </c>
      <c r="J119" t="s">
        <v>654</v>
      </c>
      <c r="L119" t="s">
        <v>613</v>
      </c>
      <c r="N119" t="s">
        <v>655</v>
      </c>
      <c r="O119" t="s">
        <v>656</v>
      </c>
    </row>
    <row r="120" spans="1:19" x14ac:dyDescent="0.15">
      <c r="A120" t="s">
        <v>617</v>
      </c>
      <c r="B120" s="61">
        <v>48153</v>
      </c>
      <c r="E120" t="s">
        <v>355</v>
      </c>
      <c r="F120" t="s">
        <v>385</v>
      </c>
      <c r="H120" t="s">
        <v>353</v>
      </c>
      <c r="I120">
        <v>2303010</v>
      </c>
      <c r="J120" t="s">
        <v>657</v>
      </c>
      <c r="K120" t="s">
        <v>658</v>
      </c>
      <c r="L120" t="s">
        <v>659</v>
      </c>
      <c r="N120" t="s">
        <v>5097</v>
      </c>
      <c r="O120" t="s">
        <v>660</v>
      </c>
    </row>
    <row r="121" spans="1:19" x14ac:dyDescent="0.15">
      <c r="A121" t="s">
        <v>617</v>
      </c>
      <c r="B121" s="61">
        <v>48153</v>
      </c>
      <c r="E121" t="s">
        <v>355</v>
      </c>
      <c r="F121" t="s">
        <v>385</v>
      </c>
      <c r="H121" t="s">
        <v>353</v>
      </c>
      <c r="I121">
        <v>2300508</v>
      </c>
      <c r="J121" t="s">
        <v>657</v>
      </c>
      <c r="K121" t="s">
        <v>658</v>
      </c>
      <c r="L121" t="s">
        <v>661</v>
      </c>
      <c r="N121" t="s">
        <v>5098</v>
      </c>
      <c r="O121" t="s">
        <v>662</v>
      </c>
    </row>
    <row r="122" spans="1:19" x14ac:dyDescent="0.15">
      <c r="A122" t="s">
        <v>617</v>
      </c>
      <c r="B122" s="61">
        <v>48153</v>
      </c>
      <c r="E122" t="s">
        <v>355</v>
      </c>
      <c r="F122" t="s">
        <v>364</v>
      </c>
      <c r="H122" t="s">
        <v>353</v>
      </c>
      <c r="I122">
        <v>2303831</v>
      </c>
      <c r="J122" t="s">
        <v>663</v>
      </c>
      <c r="K122" t="s">
        <v>664</v>
      </c>
      <c r="L122" t="s">
        <v>665</v>
      </c>
      <c r="N122" t="s">
        <v>666</v>
      </c>
      <c r="O122" t="s">
        <v>667</v>
      </c>
    </row>
    <row r="123" spans="1:19" ht="409.5" x14ac:dyDescent="0.15">
      <c r="A123" t="s">
        <v>617</v>
      </c>
      <c r="B123" s="61">
        <v>48183</v>
      </c>
      <c r="E123" t="s">
        <v>355</v>
      </c>
      <c r="F123" t="s">
        <v>385</v>
      </c>
      <c r="H123" t="s">
        <v>353</v>
      </c>
      <c r="I123">
        <v>2302215</v>
      </c>
      <c r="J123" t="s">
        <v>668</v>
      </c>
      <c r="K123" t="s">
        <v>669</v>
      </c>
      <c r="L123" t="s">
        <v>670</v>
      </c>
      <c r="N123" t="s">
        <v>7351</v>
      </c>
      <c r="O123" t="s">
        <v>671</v>
      </c>
      <c r="S123" s="34" t="s">
        <v>5502</v>
      </c>
    </row>
    <row r="124" spans="1:19" ht="256.5" x14ac:dyDescent="0.15">
      <c r="A124" t="s">
        <v>685</v>
      </c>
      <c r="B124" s="61">
        <v>46357</v>
      </c>
      <c r="E124" t="s">
        <v>355</v>
      </c>
      <c r="F124" t="s">
        <v>356</v>
      </c>
      <c r="H124" t="s">
        <v>365</v>
      </c>
      <c r="I124">
        <v>2100800</v>
      </c>
      <c r="J124" t="s">
        <v>696</v>
      </c>
      <c r="K124" t="s">
        <v>697</v>
      </c>
      <c r="L124" t="s">
        <v>698</v>
      </c>
      <c r="N124" t="s">
        <v>699</v>
      </c>
      <c r="O124" t="s">
        <v>700</v>
      </c>
      <c r="R124" t="s">
        <v>362</v>
      </c>
      <c r="S124" s="34" t="s">
        <v>701</v>
      </c>
    </row>
    <row r="125" spans="1:19" ht="229.5" x14ac:dyDescent="0.15">
      <c r="A125" t="s">
        <v>685</v>
      </c>
      <c r="B125" s="61">
        <v>46357</v>
      </c>
      <c r="E125" t="s">
        <v>355</v>
      </c>
      <c r="F125" t="s">
        <v>356</v>
      </c>
      <c r="H125" t="s">
        <v>353</v>
      </c>
      <c r="I125">
        <v>2100960</v>
      </c>
      <c r="J125" t="s">
        <v>702</v>
      </c>
      <c r="K125" t="s">
        <v>703</v>
      </c>
      <c r="L125" t="s">
        <v>704</v>
      </c>
      <c r="N125" t="s">
        <v>705</v>
      </c>
      <c r="O125" t="s">
        <v>706</v>
      </c>
      <c r="R125" t="s">
        <v>362</v>
      </c>
      <c r="S125" s="34" t="s">
        <v>707</v>
      </c>
    </row>
    <row r="126" spans="1:19" ht="391.5" x14ac:dyDescent="0.15">
      <c r="A126" t="s">
        <v>685</v>
      </c>
      <c r="B126" s="61">
        <v>46357</v>
      </c>
      <c r="E126" t="s">
        <v>355</v>
      </c>
      <c r="F126" t="s">
        <v>356</v>
      </c>
      <c r="H126" t="s">
        <v>353</v>
      </c>
      <c r="I126">
        <v>2100697</v>
      </c>
      <c r="J126" t="s">
        <v>708</v>
      </c>
      <c r="K126" t="s">
        <v>709</v>
      </c>
      <c r="L126" t="s">
        <v>710</v>
      </c>
      <c r="N126" s="34" t="s">
        <v>711</v>
      </c>
      <c r="O126" t="s">
        <v>712</v>
      </c>
      <c r="R126" t="s">
        <v>362</v>
      </c>
      <c r="S126" s="34" t="s">
        <v>713</v>
      </c>
    </row>
    <row r="127" spans="1:19" ht="409.5" x14ac:dyDescent="0.15">
      <c r="A127" t="s">
        <v>685</v>
      </c>
      <c r="B127" s="61">
        <v>46357</v>
      </c>
      <c r="E127" t="s">
        <v>355</v>
      </c>
      <c r="F127" t="s">
        <v>356</v>
      </c>
      <c r="H127" t="s">
        <v>353</v>
      </c>
      <c r="I127">
        <v>2100697</v>
      </c>
      <c r="J127" t="s">
        <v>708</v>
      </c>
      <c r="K127" t="s">
        <v>709</v>
      </c>
      <c r="L127" t="s">
        <v>714</v>
      </c>
      <c r="N127" t="s">
        <v>715</v>
      </c>
      <c r="O127" t="s">
        <v>712</v>
      </c>
      <c r="R127" t="s">
        <v>362</v>
      </c>
      <c r="S127" s="34" t="s">
        <v>716</v>
      </c>
    </row>
    <row r="128" spans="1:19" ht="216" x14ac:dyDescent="0.15">
      <c r="A128" t="s">
        <v>685</v>
      </c>
      <c r="B128" s="61">
        <v>46388</v>
      </c>
      <c r="E128" t="s">
        <v>355</v>
      </c>
      <c r="F128" t="s">
        <v>356</v>
      </c>
      <c r="H128" t="s">
        <v>353</v>
      </c>
      <c r="I128">
        <v>2100957</v>
      </c>
      <c r="J128" t="s">
        <v>717</v>
      </c>
      <c r="L128" t="s">
        <v>718</v>
      </c>
      <c r="N128" t="s">
        <v>5099</v>
      </c>
      <c r="O128" t="s">
        <v>719</v>
      </c>
      <c r="R128" t="s">
        <v>362</v>
      </c>
      <c r="S128" s="34" t="s">
        <v>5100</v>
      </c>
    </row>
    <row r="129" spans="1:19" ht="256.5" x14ac:dyDescent="0.15">
      <c r="A129" t="s">
        <v>685</v>
      </c>
      <c r="B129" s="61">
        <v>46539</v>
      </c>
      <c r="E129" t="s">
        <v>355</v>
      </c>
      <c r="F129" t="s">
        <v>720</v>
      </c>
      <c r="H129" t="s">
        <v>353</v>
      </c>
      <c r="I129">
        <v>2100697</v>
      </c>
      <c r="J129" t="s">
        <v>708</v>
      </c>
      <c r="K129" t="s">
        <v>709</v>
      </c>
      <c r="L129" t="s">
        <v>721</v>
      </c>
      <c r="N129" t="s">
        <v>722</v>
      </c>
      <c r="O129" t="s">
        <v>712</v>
      </c>
      <c r="R129" t="s">
        <v>723</v>
      </c>
      <c r="S129" s="34" t="s">
        <v>724</v>
      </c>
    </row>
    <row r="130" spans="1:19" x14ac:dyDescent="0.15">
      <c r="A130" t="s">
        <v>685</v>
      </c>
      <c r="B130" s="61">
        <v>46539</v>
      </c>
      <c r="E130" t="s">
        <v>355</v>
      </c>
      <c r="F130" t="s">
        <v>364</v>
      </c>
      <c r="H130" t="s">
        <v>365</v>
      </c>
      <c r="I130">
        <v>2101045</v>
      </c>
      <c r="J130" t="s">
        <v>725</v>
      </c>
      <c r="L130" t="s">
        <v>726</v>
      </c>
      <c r="N130" t="s">
        <v>727</v>
      </c>
      <c r="O130" t="s">
        <v>728</v>
      </c>
    </row>
    <row r="131" spans="1:19" x14ac:dyDescent="0.15">
      <c r="A131" t="s">
        <v>685</v>
      </c>
      <c r="B131" s="61">
        <v>46569</v>
      </c>
      <c r="E131" t="s">
        <v>355</v>
      </c>
      <c r="F131" t="s">
        <v>364</v>
      </c>
      <c r="H131" t="s">
        <v>353</v>
      </c>
      <c r="I131">
        <v>2101045</v>
      </c>
      <c r="J131" t="s">
        <v>725</v>
      </c>
      <c r="L131" t="s">
        <v>726</v>
      </c>
      <c r="N131" t="s">
        <v>729</v>
      </c>
      <c r="O131" t="s">
        <v>728</v>
      </c>
    </row>
    <row r="132" spans="1:19" x14ac:dyDescent="0.15">
      <c r="A132" t="s">
        <v>685</v>
      </c>
      <c r="B132" s="61">
        <v>46661</v>
      </c>
      <c r="E132" t="s">
        <v>355</v>
      </c>
      <c r="F132" t="s">
        <v>364</v>
      </c>
      <c r="H132" t="s">
        <v>365</v>
      </c>
      <c r="I132">
        <v>2101059</v>
      </c>
      <c r="J132" t="s">
        <v>730</v>
      </c>
      <c r="K132" t="s">
        <v>731</v>
      </c>
      <c r="L132" t="s">
        <v>732</v>
      </c>
      <c r="N132" t="s">
        <v>733</v>
      </c>
      <c r="O132" t="s">
        <v>734</v>
      </c>
    </row>
    <row r="133" spans="1:19" x14ac:dyDescent="0.15">
      <c r="A133" t="s">
        <v>685</v>
      </c>
      <c r="B133" s="61">
        <v>46661</v>
      </c>
      <c r="E133" t="s">
        <v>355</v>
      </c>
      <c r="F133" t="s">
        <v>364</v>
      </c>
      <c r="H133" t="s">
        <v>365</v>
      </c>
      <c r="I133">
        <v>2100020</v>
      </c>
      <c r="J133" t="s">
        <v>735</v>
      </c>
      <c r="L133" t="s">
        <v>736</v>
      </c>
      <c r="N133" t="s">
        <v>737</v>
      </c>
      <c r="O133" t="s">
        <v>738</v>
      </c>
    </row>
    <row r="134" spans="1:19" x14ac:dyDescent="0.15">
      <c r="A134" t="s">
        <v>685</v>
      </c>
      <c r="B134" s="61">
        <v>46692</v>
      </c>
      <c r="E134" t="s">
        <v>355</v>
      </c>
      <c r="F134" t="s">
        <v>364</v>
      </c>
      <c r="H134" t="s">
        <v>353</v>
      </c>
      <c r="I134">
        <v>2101056</v>
      </c>
      <c r="J134" t="s">
        <v>739</v>
      </c>
      <c r="K134" t="s">
        <v>740</v>
      </c>
      <c r="L134" t="s">
        <v>466</v>
      </c>
      <c r="N134" t="s">
        <v>741</v>
      </c>
      <c r="O134" t="s">
        <v>742</v>
      </c>
    </row>
    <row r="135" spans="1:19" x14ac:dyDescent="0.15">
      <c r="A135" t="s">
        <v>685</v>
      </c>
      <c r="B135" s="61">
        <v>46784</v>
      </c>
      <c r="E135" t="s">
        <v>355</v>
      </c>
      <c r="F135" t="s">
        <v>364</v>
      </c>
      <c r="H135" t="s">
        <v>353</v>
      </c>
      <c r="I135">
        <v>2100354</v>
      </c>
      <c r="J135" t="s">
        <v>743</v>
      </c>
      <c r="K135" t="s">
        <v>744</v>
      </c>
      <c r="L135" t="s">
        <v>466</v>
      </c>
      <c r="N135" t="s">
        <v>745</v>
      </c>
      <c r="O135" t="s">
        <v>746</v>
      </c>
    </row>
    <row r="136" spans="1:19" x14ac:dyDescent="0.15">
      <c r="A136" t="s">
        <v>685</v>
      </c>
      <c r="B136" s="61">
        <v>46966</v>
      </c>
      <c r="E136" t="s">
        <v>355</v>
      </c>
      <c r="F136" t="s">
        <v>364</v>
      </c>
      <c r="H136" t="s">
        <v>353</v>
      </c>
      <c r="I136">
        <v>2100802</v>
      </c>
      <c r="J136" t="s">
        <v>747</v>
      </c>
      <c r="L136" t="s">
        <v>748</v>
      </c>
      <c r="N136" t="s">
        <v>749</v>
      </c>
      <c r="O136" t="s">
        <v>750</v>
      </c>
    </row>
    <row r="137" spans="1:19" ht="409.5" x14ac:dyDescent="0.15">
      <c r="A137" t="s">
        <v>685</v>
      </c>
      <c r="B137" s="61">
        <v>47088</v>
      </c>
      <c r="E137" t="s">
        <v>355</v>
      </c>
      <c r="F137" t="s">
        <v>543</v>
      </c>
      <c r="H137" t="s">
        <v>310</v>
      </c>
      <c r="I137">
        <v>2100627</v>
      </c>
      <c r="J137" t="s">
        <v>751</v>
      </c>
      <c r="K137" t="s">
        <v>752</v>
      </c>
      <c r="L137" t="s">
        <v>698</v>
      </c>
      <c r="N137" t="s">
        <v>753</v>
      </c>
      <c r="O137" t="s">
        <v>754</v>
      </c>
      <c r="R137" t="s">
        <v>755</v>
      </c>
      <c r="S137" s="34" t="s">
        <v>756</v>
      </c>
    </row>
    <row r="138" spans="1:19" ht="351" x14ac:dyDescent="0.15">
      <c r="A138" t="s">
        <v>685</v>
      </c>
      <c r="B138" s="61">
        <v>47209</v>
      </c>
      <c r="E138" t="s">
        <v>355</v>
      </c>
      <c r="F138" t="s">
        <v>385</v>
      </c>
      <c r="H138" t="s">
        <v>353</v>
      </c>
      <c r="I138">
        <v>2100414</v>
      </c>
      <c r="J138" t="s">
        <v>757</v>
      </c>
      <c r="K138" t="s">
        <v>758</v>
      </c>
      <c r="L138" t="s">
        <v>759</v>
      </c>
      <c r="N138" t="s">
        <v>760</v>
      </c>
      <c r="O138" t="s">
        <v>761</v>
      </c>
      <c r="R138" t="s">
        <v>386</v>
      </c>
      <c r="S138" s="34" t="s">
        <v>762</v>
      </c>
    </row>
    <row r="139" spans="1:19" ht="243" x14ac:dyDescent="0.15">
      <c r="A139" t="s">
        <v>685</v>
      </c>
      <c r="B139" s="61">
        <v>47392</v>
      </c>
      <c r="E139" t="s">
        <v>355</v>
      </c>
      <c r="F139" t="s">
        <v>385</v>
      </c>
      <c r="H139" t="s">
        <v>365</v>
      </c>
      <c r="I139">
        <v>2101079</v>
      </c>
      <c r="J139" t="s">
        <v>696</v>
      </c>
      <c r="K139" t="s">
        <v>763</v>
      </c>
      <c r="L139" t="s">
        <v>764</v>
      </c>
      <c r="N139" t="s">
        <v>765</v>
      </c>
      <c r="O139" t="s">
        <v>766</v>
      </c>
      <c r="R139" t="s">
        <v>395</v>
      </c>
      <c r="S139" s="34" t="s">
        <v>767</v>
      </c>
    </row>
    <row r="140" spans="1:19" ht="409.5" x14ac:dyDescent="0.15">
      <c r="A140" t="s">
        <v>685</v>
      </c>
      <c r="B140" s="61">
        <v>47453</v>
      </c>
      <c r="E140" t="s">
        <v>355</v>
      </c>
      <c r="F140" t="s">
        <v>385</v>
      </c>
      <c r="H140" t="s">
        <v>310</v>
      </c>
      <c r="I140">
        <v>2100627</v>
      </c>
      <c r="J140" t="s">
        <v>751</v>
      </c>
      <c r="K140" t="s">
        <v>752</v>
      </c>
      <c r="L140" t="s">
        <v>698</v>
      </c>
      <c r="N140" t="s">
        <v>753</v>
      </c>
      <c r="O140" t="s">
        <v>754</v>
      </c>
      <c r="R140" t="s">
        <v>395</v>
      </c>
      <c r="S140" s="34" t="s">
        <v>756</v>
      </c>
    </row>
    <row r="141" spans="1:19" ht="216" x14ac:dyDescent="0.15">
      <c r="A141" t="s">
        <v>685</v>
      </c>
      <c r="B141" s="61">
        <v>47574</v>
      </c>
      <c r="E141" t="s">
        <v>355</v>
      </c>
      <c r="F141" t="s">
        <v>385</v>
      </c>
      <c r="H141" t="s">
        <v>353</v>
      </c>
      <c r="I141">
        <v>2101095</v>
      </c>
      <c r="J141" t="s">
        <v>687</v>
      </c>
      <c r="K141" t="s">
        <v>688</v>
      </c>
      <c r="L141" t="s">
        <v>689</v>
      </c>
      <c r="N141" t="s">
        <v>7352</v>
      </c>
      <c r="O141" t="s">
        <v>690</v>
      </c>
      <c r="R141" s="34" t="s">
        <v>768</v>
      </c>
      <c r="S141" s="34" t="s">
        <v>7353</v>
      </c>
    </row>
    <row r="142" spans="1:19" ht="256.5" x14ac:dyDescent="0.15">
      <c r="A142" t="s">
        <v>685</v>
      </c>
      <c r="B142" s="61">
        <v>47818</v>
      </c>
      <c r="E142" t="s">
        <v>355</v>
      </c>
      <c r="F142" t="s">
        <v>385</v>
      </c>
      <c r="H142" t="s">
        <v>365</v>
      </c>
      <c r="I142">
        <v>2100800</v>
      </c>
      <c r="J142" t="s">
        <v>696</v>
      </c>
      <c r="K142" t="s">
        <v>697</v>
      </c>
      <c r="L142" t="s">
        <v>698</v>
      </c>
      <c r="N142" t="s">
        <v>699</v>
      </c>
      <c r="O142" t="s">
        <v>700</v>
      </c>
      <c r="R142" t="s">
        <v>395</v>
      </c>
      <c r="S142" s="34" t="s">
        <v>701</v>
      </c>
    </row>
    <row r="143" spans="1:19" ht="229.5" x14ac:dyDescent="0.15">
      <c r="A143" t="s">
        <v>685</v>
      </c>
      <c r="B143" s="61">
        <v>47818</v>
      </c>
      <c r="E143" t="s">
        <v>355</v>
      </c>
      <c r="F143" t="s">
        <v>385</v>
      </c>
      <c r="H143" t="s">
        <v>353</v>
      </c>
      <c r="I143">
        <v>2100960</v>
      </c>
      <c r="J143" t="s">
        <v>702</v>
      </c>
      <c r="K143" t="s">
        <v>703</v>
      </c>
      <c r="L143" t="s">
        <v>704</v>
      </c>
      <c r="N143" t="s">
        <v>705</v>
      </c>
      <c r="O143" t="s">
        <v>706</v>
      </c>
      <c r="R143" t="s">
        <v>386</v>
      </c>
      <c r="S143" s="34" t="s">
        <v>707</v>
      </c>
    </row>
    <row r="144" spans="1:19" ht="391.5" x14ac:dyDescent="0.15">
      <c r="A144" t="s">
        <v>685</v>
      </c>
      <c r="B144" s="61">
        <v>47818</v>
      </c>
      <c r="E144" t="s">
        <v>355</v>
      </c>
      <c r="F144" t="s">
        <v>385</v>
      </c>
      <c r="H144" t="s">
        <v>353</v>
      </c>
      <c r="I144">
        <v>2100697</v>
      </c>
      <c r="J144" t="s">
        <v>708</v>
      </c>
      <c r="K144" t="s">
        <v>709</v>
      </c>
      <c r="L144" t="s">
        <v>710</v>
      </c>
      <c r="N144" s="34" t="s">
        <v>711</v>
      </c>
      <c r="O144" t="s">
        <v>712</v>
      </c>
      <c r="R144" t="s">
        <v>386</v>
      </c>
      <c r="S144" s="34" t="s">
        <v>713</v>
      </c>
    </row>
    <row r="145" spans="1:19" ht="409.5" x14ac:dyDescent="0.15">
      <c r="A145" t="s">
        <v>685</v>
      </c>
      <c r="B145" s="61">
        <v>47818</v>
      </c>
      <c r="E145" t="s">
        <v>355</v>
      </c>
      <c r="F145" t="s">
        <v>385</v>
      </c>
      <c r="H145" t="s">
        <v>353</v>
      </c>
      <c r="I145">
        <v>2100697</v>
      </c>
      <c r="J145" t="s">
        <v>708</v>
      </c>
      <c r="K145" t="s">
        <v>709</v>
      </c>
      <c r="L145" t="s">
        <v>714</v>
      </c>
      <c r="N145" t="s">
        <v>715</v>
      </c>
      <c r="O145" t="s">
        <v>712</v>
      </c>
      <c r="R145" t="s">
        <v>386</v>
      </c>
      <c r="S145" s="34" t="s">
        <v>716</v>
      </c>
    </row>
    <row r="146" spans="1:19" x14ac:dyDescent="0.15">
      <c r="A146" t="s">
        <v>685</v>
      </c>
      <c r="B146" s="61">
        <v>47849</v>
      </c>
      <c r="E146" t="s">
        <v>355</v>
      </c>
      <c r="F146" t="s">
        <v>385</v>
      </c>
      <c r="H146" t="s">
        <v>353</v>
      </c>
      <c r="I146">
        <v>2100957</v>
      </c>
      <c r="J146" t="s">
        <v>717</v>
      </c>
      <c r="L146" t="s">
        <v>718</v>
      </c>
      <c r="N146" t="s">
        <v>5099</v>
      </c>
      <c r="O146" t="s">
        <v>719</v>
      </c>
      <c r="S146" t="s">
        <v>386</v>
      </c>
    </row>
    <row r="147" spans="1:19" x14ac:dyDescent="0.15">
      <c r="A147" t="s">
        <v>685</v>
      </c>
      <c r="B147" s="61">
        <v>48122</v>
      </c>
      <c r="E147" t="s">
        <v>355</v>
      </c>
      <c r="F147" t="s">
        <v>364</v>
      </c>
      <c r="H147" t="s">
        <v>365</v>
      </c>
      <c r="I147">
        <v>2100020</v>
      </c>
      <c r="J147" t="s">
        <v>735</v>
      </c>
      <c r="L147" t="s">
        <v>736</v>
      </c>
      <c r="N147" t="s">
        <v>737</v>
      </c>
      <c r="O147" t="s">
        <v>738</v>
      </c>
    </row>
    <row r="148" spans="1:19" x14ac:dyDescent="0.15">
      <c r="A148" t="s">
        <v>685</v>
      </c>
      <c r="B148" s="61">
        <v>48245</v>
      </c>
      <c r="E148" t="s">
        <v>355</v>
      </c>
      <c r="F148" t="s">
        <v>364</v>
      </c>
      <c r="H148" t="s">
        <v>353</v>
      </c>
      <c r="I148">
        <v>2100354</v>
      </c>
      <c r="J148" t="s">
        <v>743</v>
      </c>
      <c r="K148" t="s">
        <v>744</v>
      </c>
      <c r="L148" t="s">
        <v>466</v>
      </c>
      <c r="N148" t="s">
        <v>745</v>
      </c>
      <c r="O148" t="s">
        <v>746</v>
      </c>
    </row>
    <row r="149" spans="1:19" ht="364.5" x14ac:dyDescent="0.15">
      <c r="A149" t="s">
        <v>769</v>
      </c>
      <c r="B149" s="61">
        <v>46569</v>
      </c>
      <c r="E149" t="s">
        <v>355</v>
      </c>
      <c r="F149" t="s">
        <v>385</v>
      </c>
      <c r="H149" t="s">
        <v>353</v>
      </c>
      <c r="I149">
        <v>1100203</v>
      </c>
      <c r="J149" t="s">
        <v>461</v>
      </c>
      <c r="K149" t="s">
        <v>770</v>
      </c>
      <c r="L149" t="s">
        <v>771</v>
      </c>
      <c r="N149" t="s">
        <v>772</v>
      </c>
      <c r="O149" t="s">
        <v>773</v>
      </c>
      <c r="P149" t="s">
        <v>7641</v>
      </c>
      <c r="Q149" t="s">
        <v>7642</v>
      </c>
      <c r="R149" s="34" t="s">
        <v>7643</v>
      </c>
      <c r="S149" s="34" t="s">
        <v>774</v>
      </c>
    </row>
    <row r="150" spans="1:19" x14ac:dyDescent="0.15">
      <c r="A150" t="s">
        <v>769</v>
      </c>
      <c r="B150" s="61">
        <v>46600</v>
      </c>
      <c r="E150" t="s">
        <v>355</v>
      </c>
      <c r="F150" t="s">
        <v>364</v>
      </c>
      <c r="H150" t="s">
        <v>365</v>
      </c>
      <c r="I150">
        <v>1100220</v>
      </c>
      <c r="J150" t="s">
        <v>775</v>
      </c>
      <c r="K150" t="s">
        <v>776</v>
      </c>
      <c r="L150" t="s">
        <v>777</v>
      </c>
      <c r="N150" t="s">
        <v>778</v>
      </c>
      <c r="O150" t="s">
        <v>779</v>
      </c>
    </row>
    <row r="151" spans="1:19" x14ac:dyDescent="0.15">
      <c r="A151" t="s">
        <v>769</v>
      </c>
      <c r="B151" s="61">
        <v>46631</v>
      </c>
      <c r="E151" t="s">
        <v>355</v>
      </c>
      <c r="F151" t="s">
        <v>364</v>
      </c>
      <c r="H151" t="s">
        <v>353</v>
      </c>
      <c r="I151">
        <v>1100039</v>
      </c>
      <c r="J151" t="s">
        <v>780</v>
      </c>
      <c r="K151" t="s">
        <v>781</v>
      </c>
      <c r="L151" t="s">
        <v>390</v>
      </c>
      <c r="N151" t="s">
        <v>782</v>
      </c>
      <c r="O151" t="s">
        <v>783</v>
      </c>
      <c r="P151" t="s">
        <v>784</v>
      </c>
    </row>
    <row r="152" spans="1:19" ht="409.5" x14ac:dyDescent="0.15">
      <c r="A152" t="s">
        <v>769</v>
      </c>
      <c r="B152" s="61">
        <v>47119</v>
      </c>
      <c r="E152" t="s">
        <v>355</v>
      </c>
      <c r="F152" t="s">
        <v>385</v>
      </c>
      <c r="H152" t="s">
        <v>353</v>
      </c>
      <c r="I152">
        <v>1102447</v>
      </c>
      <c r="J152" t="s">
        <v>464</v>
      </c>
      <c r="K152" t="s">
        <v>785</v>
      </c>
      <c r="L152" t="s">
        <v>786</v>
      </c>
      <c r="N152" t="s">
        <v>787</v>
      </c>
      <c r="O152" t="s">
        <v>788</v>
      </c>
      <c r="R152" t="s">
        <v>386</v>
      </c>
      <c r="S152" s="34" t="s">
        <v>789</v>
      </c>
    </row>
    <row r="153" spans="1:19" ht="391.5" x14ac:dyDescent="0.15">
      <c r="A153" t="s">
        <v>769</v>
      </c>
      <c r="B153" s="61">
        <v>47331</v>
      </c>
      <c r="E153" t="s">
        <v>355</v>
      </c>
      <c r="F153" t="s">
        <v>385</v>
      </c>
      <c r="H153" t="s">
        <v>365</v>
      </c>
      <c r="I153">
        <v>1102486</v>
      </c>
      <c r="J153" t="s">
        <v>790</v>
      </c>
      <c r="K153" t="s">
        <v>776</v>
      </c>
      <c r="L153" t="s">
        <v>791</v>
      </c>
      <c r="N153" t="s">
        <v>792</v>
      </c>
      <c r="O153" t="s">
        <v>793</v>
      </c>
      <c r="S153" s="34" t="s">
        <v>794</v>
      </c>
    </row>
    <row r="154" spans="1:19" ht="409.5" x14ac:dyDescent="0.15">
      <c r="A154" t="s">
        <v>769</v>
      </c>
      <c r="B154" s="61">
        <v>47392</v>
      </c>
      <c r="E154" t="s">
        <v>355</v>
      </c>
      <c r="F154" t="s">
        <v>385</v>
      </c>
      <c r="H154" t="s">
        <v>353</v>
      </c>
      <c r="I154">
        <v>1102495</v>
      </c>
      <c r="J154" t="s">
        <v>795</v>
      </c>
      <c r="K154" t="s">
        <v>796</v>
      </c>
      <c r="L154" t="s">
        <v>413</v>
      </c>
      <c r="N154" t="s">
        <v>797</v>
      </c>
      <c r="O154" t="s">
        <v>798</v>
      </c>
      <c r="R154" s="34" t="s">
        <v>768</v>
      </c>
      <c r="S154" s="34" t="s">
        <v>799</v>
      </c>
    </row>
    <row r="155" spans="1:19" ht="409.5" x14ac:dyDescent="0.15">
      <c r="A155" t="s">
        <v>800</v>
      </c>
      <c r="B155" s="61">
        <v>46174</v>
      </c>
      <c r="E155" t="s">
        <v>355</v>
      </c>
      <c r="F155" t="s">
        <v>385</v>
      </c>
      <c r="H155" t="s">
        <v>365</v>
      </c>
      <c r="I155">
        <v>4500014</v>
      </c>
      <c r="J155" t="s">
        <v>801</v>
      </c>
      <c r="K155" t="s">
        <v>802</v>
      </c>
      <c r="L155" t="s">
        <v>803</v>
      </c>
      <c r="N155" t="s">
        <v>804</v>
      </c>
      <c r="O155" t="s">
        <v>805</v>
      </c>
      <c r="R155" t="s">
        <v>395</v>
      </c>
      <c r="S155" s="34" t="s">
        <v>806</v>
      </c>
    </row>
    <row r="156" spans="1:19" x14ac:dyDescent="0.15">
      <c r="A156" t="s">
        <v>800</v>
      </c>
      <c r="B156" s="61">
        <v>46600</v>
      </c>
      <c r="E156" t="s">
        <v>355</v>
      </c>
      <c r="F156" t="s">
        <v>364</v>
      </c>
      <c r="H156" t="s">
        <v>353</v>
      </c>
      <c r="I156">
        <v>4500043</v>
      </c>
      <c r="J156" t="s">
        <v>807</v>
      </c>
      <c r="K156" t="s">
        <v>808</v>
      </c>
      <c r="L156" t="s">
        <v>809</v>
      </c>
      <c r="N156" t="s">
        <v>810</v>
      </c>
      <c r="O156" t="s">
        <v>811</v>
      </c>
    </row>
    <row r="157" spans="1:19" x14ac:dyDescent="0.15">
      <c r="A157" t="s">
        <v>800</v>
      </c>
      <c r="B157" s="61">
        <v>46692</v>
      </c>
      <c r="E157" t="s">
        <v>355</v>
      </c>
      <c r="F157" t="s">
        <v>364</v>
      </c>
      <c r="H157" t="s">
        <v>365</v>
      </c>
      <c r="I157">
        <v>4500043</v>
      </c>
      <c r="J157" t="s">
        <v>807</v>
      </c>
      <c r="K157" t="s">
        <v>808</v>
      </c>
      <c r="L157" t="s">
        <v>809</v>
      </c>
      <c r="N157" t="s">
        <v>812</v>
      </c>
      <c r="O157" t="s">
        <v>811</v>
      </c>
    </row>
    <row r="158" spans="1:19" ht="351" x14ac:dyDescent="0.15">
      <c r="A158" t="s">
        <v>800</v>
      </c>
      <c r="B158" s="61">
        <v>47515</v>
      </c>
      <c r="E158" t="s">
        <v>355</v>
      </c>
      <c r="F158" t="s">
        <v>385</v>
      </c>
      <c r="H158" t="s">
        <v>353</v>
      </c>
      <c r="I158">
        <v>4500149</v>
      </c>
      <c r="J158" t="s">
        <v>813</v>
      </c>
      <c r="K158" t="s">
        <v>814</v>
      </c>
      <c r="L158" t="s">
        <v>815</v>
      </c>
      <c r="N158" t="s">
        <v>816</v>
      </c>
      <c r="O158" t="s">
        <v>817</v>
      </c>
      <c r="R158" s="34" t="s">
        <v>768</v>
      </c>
      <c r="S158" s="34" t="s">
        <v>818</v>
      </c>
    </row>
    <row r="159" spans="1:19" x14ac:dyDescent="0.15">
      <c r="A159" t="s">
        <v>800</v>
      </c>
      <c r="B159" s="61">
        <v>48061</v>
      </c>
      <c r="E159" t="s">
        <v>355</v>
      </c>
      <c r="F159" t="s">
        <v>364</v>
      </c>
      <c r="H159" t="s">
        <v>353</v>
      </c>
      <c r="I159">
        <v>4500043</v>
      </c>
      <c r="J159" t="s">
        <v>807</v>
      </c>
      <c r="K159" t="s">
        <v>808</v>
      </c>
      <c r="L159" t="s">
        <v>809</v>
      </c>
      <c r="N159" t="s">
        <v>810</v>
      </c>
      <c r="O159" t="s">
        <v>811</v>
      </c>
    </row>
    <row r="160" spans="1:19" x14ac:dyDescent="0.15">
      <c r="A160" t="s">
        <v>800</v>
      </c>
      <c r="B160" s="61">
        <v>48153</v>
      </c>
      <c r="E160" t="s">
        <v>355</v>
      </c>
      <c r="F160" t="s">
        <v>364</v>
      </c>
      <c r="H160" t="s">
        <v>365</v>
      </c>
      <c r="I160">
        <v>4500043</v>
      </c>
      <c r="J160" t="s">
        <v>807</v>
      </c>
      <c r="K160" t="s">
        <v>808</v>
      </c>
      <c r="L160" t="s">
        <v>809</v>
      </c>
      <c r="N160" t="s">
        <v>812</v>
      </c>
      <c r="O160" t="s">
        <v>811</v>
      </c>
    </row>
    <row r="161" spans="1:19" x14ac:dyDescent="0.15">
      <c r="A161" t="s">
        <v>819</v>
      </c>
      <c r="B161" s="61">
        <v>46753</v>
      </c>
      <c r="E161" t="s">
        <v>355</v>
      </c>
      <c r="F161" t="s">
        <v>364</v>
      </c>
      <c r="H161" t="s">
        <v>353</v>
      </c>
      <c r="I161">
        <v>4000496</v>
      </c>
      <c r="J161" t="s">
        <v>821</v>
      </c>
      <c r="K161" t="s">
        <v>822</v>
      </c>
      <c r="L161" t="s">
        <v>613</v>
      </c>
      <c r="N161" t="s">
        <v>823</v>
      </c>
      <c r="O161" t="s">
        <v>824</v>
      </c>
    </row>
    <row r="162" spans="1:19" ht="409.5" x14ac:dyDescent="0.15">
      <c r="A162" t="s">
        <v>819</v>
      </c>
      <c r="B162" s="61">
        <v>47178</v>
      </c>
      <c r="E162" t="s">
        <v>355</v>
      </c>
      <c r="F162" t="s">
        <v>385</v>
      </c>
      <c r="H162" t="s">
        <v>353</v>
      </c>
      <c r="I162">
        <v>4300153</v>
      </c>
      <c r="J162" t="s">
        <v>825</v>
      </c>
      <c r="K162" t="s">
        <v>826</v>
      </c>
      <c r="L162" t="s">
        <v>827</v>
      </c>
      <c r="N162" t="s">
        <v>828</v>
      </c>
      <c r="O162" t="s">
        <v>829</v>
      </c>
      <c r="R162" t="s">
        <v>386</v>
      </c>
      <c r="S162" s="34" t="s">
        <v>830</v>
      </c>
    </row>
    <row r="163" spans="1:19" ht="243" x14ac:dyDescent="0.15">
      <c r="A163" t="s">
        <v>819</v>
      </c>
      <c r="B163" s="61">
        <v>47209</v>
      </c>
      <c r="E163" t="s">
        <v>355</v>
      </c>
      <c r="F163" t="s">
        <v>385</v>
      </c>
      <c r="H163" t="s">
        <v>365</v>
      </c>
      <c r="I163">
        <v>4000947</v>
      </c>
      <c r="J163" t="s">
        <v>831</v>
      </c>
      <c r="K163" t="s">
        <v>832</v>
      </c>
      <c r="L163" t="s">
        <v>833</v>
      </c>
      <c r="N163" t="s">
        <v>834</v>
      </c>
      <c r="O163" t="s">
        <v>835</v>
      </c>
      <c r="R163" t="s">
        <v>395</v>
      </c>
      <c r="S163" s="34" t="s">
        <v>836</v>
      </c>
    </row>
    <row r="164" spans="1:19" ht="243" x14ac:dyDescent="0.15">
      <c r="A164" t="s">
        <v>837</v>
      </c>
      <c r="B164" s="61">
        <v>47058</v>
      </c>
      <c r="E164" t="s">
        <v>355</v>
      </c>
      <c r="F164" t="s">
        <v>356</v>
      </c>
      <c r="H164" t="s">
        <v>353</v>
      </c>
      <c r="I164">
        <v>1000162</v>
      </c>
      <c r="J164" t="s">
        <v>821</v>
      </c>
      <c r="K164" t="s">
        <v>838</v>
      </c>
      <c r="L164" t="s">
        <v>390</v>
      </c>
      <c r="N164" t="s">
        <v>839</v>
      </c>
      <c r="O164" t="s">
        <v>840</v>
      </c>
      <c r="R164" s="34" t="s">
        <v>841</v>
      </c>
      <c r="S164" s="34" t="s">
        <v>842</v>
      </c>
    </row>
    <row r="165" spans="1:19" ht="256.5" x14ac:dyDescent="0.15">
      <c r="A165" t="s">
        <v>837</v>
      </c>
      <c r="B165" s="61">
        <v>46296</v>
      </c>
      <c r="E165" t="s">
        <v>355</v>
      </c>
      <c r="F165" t="s">
        <v>720</v>
      </c>
      <c r="H165" t="s">
        <v>353</v>
      </c>
      <c r="I165">
        <v>1102044</v>
      </c>
      <c r="J165" t="s">
        <v>857</v>
      </c>
      <c r="K165" t="s">
        <v>858</v>
      </c>
      <c r="L165" t="s">
        <v>390</v>
      </c>
      <c r="N165" t="s">
        <v>859</v>
      </c>
      <c r="O165" t="s">
        <v>860</v>
      </c>
      <c r="R165" t="s">
        <v>723</v>
      </c>
      <c r="S165" s="34" t="s">
        <v>861</v>
      </c>
    </row>
    <row r="166" spans="1:19" x14ac:dyDescent="0.15">
      <c r="A166" t="s">
        <v>837</v>
      </c>
      <c r="B166" s="61">
        <v>46569</v>
      </c>
      <c r="E166" t="s">
        <v>355</v>
      </c>
      <c r="F166" t="s">
        <v>364</v>
      </c>
      <c r="H166" t="s">
        <v>365</v>
      </c>
      <c r="I166">
        <v>1001012</v>
      </c>
      <c r="J166" t="s">
        <v>862</v>
      </c>
      <c r="K166" t="s">
        <v>863</v>
      </c>
      <c r="L166" t="s">
        <v>864</v>
      </c>
      <c r="N166" t="s">
        <v>865</v>
      </c>
      <c r="O166" t="s">
        <v>866</v>
      </c>
    </row>
    <row r="167" spans="1:19" x14ac:dyDescent="0.15">
      <c r="A167" t="s">
        <v>837</v>
      </c>
      <c r="B167" s="61">
        <v>46631</v>
      </c>
      <c r="E167" t="s">
        <v>355</v>
      </c>
      <c r="F167" t="s">
        <v>364</v>
      </c>
      <c r="H167" t="s">
        <v>365</v>
      </c>
      <c r="I167">
        <v>1100025</v>
      </c>
      <c r="J167" t="s">
        <v>867</v>
      </c>
      <c r="L167" t="s">
        <v>868</v>
      </c>
      <c r="N167" t="s">
        <v>869</v>
      </c>
      <c r="O167" t="s">
        <v>870</v>
      </c>
    </row>
    <row r="168" spans="1:19" x14ac:dyDescent="0.15">
      <c r="A168" t="s">
        <v>837</v>
      </c>
      <c r="B168" s="61">
        <v>46692</v>
      </c>
      <c r="E168" t="s">
        <v>355</v>
      </c>
      <c r="F168" t="s">
        <v>364</v>
      </c>
      <c r="H168" t="s">
        <v>353</v>
      </c>
      <c r="I168">
        <v>1000162</v>
      </c>
      <c r="J168" t="s">
        <v>821</v>
      </c>
      <c r="K168" t="s">
        <v>838</v>
      </c>
      <c r="L168" t="s">
        <v>390</v>
      </c>
      <c r="N168" t="s">
        <v>839</v>
      </c>
      <c r="O168" t="s">
        <v>840</v>
      </c>
      <c r="P168" t="s">
        <v>871</v>
      </c>
    </row>
    <row r="169" spans="1:19" x14ac:dyDescent="0.15">
      <c r="A169" t="s">
        <v>837</v>
      </c>
      <c r="B169" s="61">
        <v>46935</v>
      </c>
      <c r="E169" t="s">
        <v>355</v>
      </c>
      <c r="F169" t="s">
        <v>364</v>
      </c>
      <c r="H169" t="s">
        <v>353</v>
      </c>
      <c r="I169">
        <v>1001012</v>
      </c>
      <c r="J169" t="s">
        <v>862</v>
      </c>
      <c r="K169" t="s">
        <v>863</v>
      </c>
      <c r="L169" t="s">
        <v>864</v>
      </c>
      <c r="N169" t="s">
        <v>872</v>
      </c>
      <c r="O169" t="s">
        <v>866</v>
      </c>
    </row>
    <row r="170" spans="1:19" x14ac:dyDescent="0.15">
      <c r="A170" t="s">
        <v>837</v>
      </c>
      <c r="B170" s="61">
        <v>46966</v>
      </c>
      <c r="E170" t="s">
        <v>355</v>
      </c>
      <c r="F170" t="s">
        <v>364</v>
      </c>
      <c r="H170" t="s">
        <v>353</v>
      </c>
      <c r="I170">
        <v>1000315</v>
      </c>
      <c r="J170" t="s">
        <v>873</v>
      </c>
      <c r="K170" t="s">
        <v>874</v>
      </c>
      <c r="L170" t="s">
        <v>875</v>
      </c>
      <c r="N170" t="s">
        <v>876</v>
      </c>
      <c r="O170" t="s">
        <v>877</v>
      </c>
    </row>
    <row r="171" spans="1:19" ht="216" x14ac:dyDescent="0.15">
      <c r="A171" t="s">
        <v>837</v>
      </c>
      <c r="B171" s="61">
        <v>47150</v>
      </c>
      <c r="E171" t="s">
        <v>355</v>
      </c>
      <c r="F171" t="s">
        <v>385</v>
      </c>
      <c r="H171" t="s">
        <v>365</v>
      </c>
      <c r="I171">
        <v>1001022</v>
      </c>
      <c r="J171" t="s">
        <v>878</v>
      </c>
      <c r="K171" t="s">
        <v>879</v>
      </c>
      <c r="L171" t="s">
        <v>880</v>
      </c>
      <c r="N171" t="s">
        <v>881</v>
      </c>
      <c r="O171" t="s">
        <v>882</v>
      </c>
      <c r="R171" t="s">
        <v>395</v>
      </c>
      <c r="S171" s="34" t="s">
        <v>883</v>
      </c>
    </row>
    <row r="172" spans="1:19" x14ac:dyDescent="0.15">
      <c r="A172" t="s">
        <v>837</v>
      </c>
      <c r="B172" s="61">
        <v>47178</v>
      </c>
      <c r="E172" t="s">
        <v>355</v>
      </c>
      <c r="F172" t="s">
        <v>364</v>
      </c>
      <c r="H172" t="s">
        <v>365</v>
      </c>
      <c r="I172">
        <v>1001021</v>
      </c>
      <c r="J172" t="s">
        <v>884</v>
      </c>
      <c r="K172" t="s">
        <v>885</v>
      </c>
      <c r="L172" t="s">
        <v>378</v>
      </c>
      <c r="N172" t="s">
        <v>886</v>
      </c>
      <c r="O172" t="s">
        <v>887</v>
      </c>
    </row>
    <row r="173" spans="1:19" ht="409.5" x14ac:dyDescent="0.15">
      <c r="A173" t="s">
        <v>837</v>
      </c>
      <c r="B173" s="61">
        <v>47178</v>
      </c>
      <c r="E173" t="s">
        <v>355</v>
      </c>
      <c r="F173" t="s">
        <v>385</v>
      </c>
      <c r="H173" t="s">
        <v>353</v>
      </c>
      <c r="I173">
        <v>1001022</v>
      </c>
      <c r="J173" t="s">
        <v>878</v>
      </c>
      <c r="K173" t="s">
        <v>879</v>
      </c>
      <c r="L173" t="s">
        <v>880</v>
      </c>
      <c r="N173" t="s">
        <v>888</v>
      </c>
      <c r="O173" t="s">
        <v>882</v>
      </c>
      <c r="R173" t="s">
        <v>386</v>
      </c>
      <c r="S173" s="34" t="s">
        <v>889</v>
      </c>
    </row>
    <row r="174" spans="1:19" ht="409.5" x14ac:dyDescent="0.15">
      <c r="A174" t="s">
        <v>5612</v>
      </c>
      <c r="B174" s="61">
        <v>47270</v>
      </c>
      <c r="E174" t="s">
        <v>355</v>
      </c>
      <c r="F174" t="s">
        <v>385</v>
      </c>
      <c r="H174" t="s">
        <v>365</v>
      </c>
      <c r="I174">
        <v>1001025</v>
      </c>
      <c r="J174" t="s">
        <v>890</v>
      </c>
      <c r="K174" t="s">
        <v>891</v>
      </c>
      <c r="L174" t="s">
        <v>892</v>
      </c>
      <c r="N174" t="s">
        <v>893</v>
      </c>
      <c r="O174" t="s">
        <v>894</v>
      </c>
      <c r="R174" t="s">
        <v>395</v>
      </c>
      <c r="S174" s="34" t="s">
        <v>895</v>
      </c>
    </row>
    <row r="175" spans="1:19" ht="243" x14ac:dyDescent="0.15">
      <c r="A175" t="s">
        <v>837</v>
      </c>
      <c r="B175" s="61">
        <v>47300</v>
      </c>
      <c r="E175" t="s">
        <v>355</v>
      </c>
      <c r="F175" t="s">
        <v>385</v>
      </c>
      <c r="H175" t="s">
        <v>365</v>
      </c>
      <c r="I175">
        <v>1100243</v>
      </c>
      <c r="J175" t="s">
        <v>896</v>
      </c>
      <c r="K175" t="s">
        <v>897</v>
      </c>
      <c r="L175" t="s">
        <v>378</v>
      </c>
      <c r="N175" t="s">
        <v>898</v>
      </c>
      <c r="O175" t="s">
        <v>899</v>
      </c>
      <c r="S175" s="34" t="s">
        <v>900</v>
      </c>
    </row>
    <row r="176" spans="1:19" ht="409.5" x14ac:dyDescent="0.15">
      <c r="A176" t="s">
        <v>837</v>
      </c>
      <c r="B176" s="61">
        <v>47423</v>
      </c>
      <c r="E176" t="s">
        <v>355</v>
      </c>
      <c r="F176" t="s">
        <v>385</v>
      </c>
      <c r="H176" t="s">
        <v>353</v>
      </c>
      <c r="I176">
        <v>1001026</v>
      </c>
      <c r="J176" t="s">
        <v>901</v>
      </c>
      <c r="K176" t="s">
        <v>902</v>
      </c>
      <c r="L176" t="s">
        <v>466</v>
      </c>
      <c r="N176" t="s">
        <v>903</v>
      </c>
      <c r="O176" t="s">
        <v>904</v>
      </c>
      <c r="S176" s="34" t="s">
        <v>905</v>
      </c>
    </row>
    <row r="177" spans="1:19" ht="405" x14ac:dyDescent="0.15">
      <c r="A177" t="s">
        <v>837</v>
      </c>
      <c r="B177" s="61">
        <v>47453</v>
      </c>
      <c r="E177" t="s">
        <v>355</v>
      </c>
      <c r="F177" t="s">
        <v>385</v>
      </c>
      <c r="H177" t="s">
        <v>353</v>
      </c>
      <c r="I177">
        <v>1000847</v>
      </c>
      <c r="J177" t="s">
        <v>906</v>
      </c>
      <c r="K177" t="s">
        <v>907</v>
      </c>
      <c r="L177" t="s">
        <v>908</v>
      </c>
      <c r="N177" t="s">
        <v>5101</v>
      </c>
      <c r="O177" t="s">
        <v>909</v>
      </c>
      <c r="R177" s="34" t="s">
        <v>768</v>
      </c>
      <c r="S177" s="34" t="s">
        <v>910</v>
      </c>
    </row>
    <row r="178" spans="1:19" ht="409.5" x14ac:dyDescent="0.15">
      <c r="A178" t="s">
        <v>837</v>
      </c>
      <c r="B178" s="61">
        <v>47574</v>
      </c>
      <c r="E178" t="s">
        <v>355</v>
      </c>
      <c r="F178" t="s">
        <v>385</v>
      </c>
      <c r="H178" t="s">
        <v>353</v>
      </c>
      <c r="I178">
        <v>1000847</v>
      </c>
      <c r="J178" t="s">
        <v>906</v>
      </c>
      <c r="K178" t="s">
        <v>907</v>
      </c>
      <c r="L178" t="s">
        <v>908</v>
      </c>
      <c r="N178" t="s">
        <v>911</v>
      </c>
      <c r="O178" t="s">
        <v>909</v>
      </c>
      <c r="R178" s="34" t="s">
        <v>912</v>
      </c>
      <c r="S178" s="34" t="s">
        <v>913</v>
      </c>
    </row>
    <row r="179" spans="1:19" ht="409.5" x14ac:dyDescent="0.15">
      <c r="A179" t="s">
        <v>837</v>
      </c>
      <c r="B179" s="61">
        <v>47604</v>
      </c>
      <c r="E179" t="s">
        <v>355</v>
      </c>
      <c r="F179" t="s">
        <v>385</v>
      </c>
      <c r="H179" t="s">
        <v>353</v>
      </c>
      <c r="I179">
        <v>1102513</v>
      </c>
      <c r="J179" t="s">
        <v>849</v>
      </c>
      <c r="K179" t="s">
        <v>850</v>
      </c>
      <c r="L179" t="s">
        <v>718</v>
      </c>
      <c r="N179" t="s">
        <v>851</v>
      </c>
      <c r="O179" t="s">
        <v>852</v>
      </c>
      <c r="R179" t="s">
        <v>386</v>
      </c>
      <c r="S179" s="34" t="s">
        <v>853</v>
      </c>
    </row>
    <row r="180" spans="1:19" ht="391.5" x14ac:dyDescent="0.15">
      <c r="A180" t="s">
        <v>837</v>
      </c>
      <c r="B180" s="61">
        <v>47635</v>
      </c>
      <c r="E180" t="s">
        <v>355</v>
      </c>
      <c r="F180" t="s">
        <v>385</v>
      </c>
      <c r="H180" t="s">
        <v>365</v>
      </c>
      <c r="I180">
        <v>1102513</v>
      </c>
      <c r="J180" t="s">
        <v>849</v>
      </c>
      <c r="K180" t="s">
        <v>850</v>
      </c>
      <c r="L180" t="s">
        <v>718</v>
      </c>
      <c r="N180" t="s">
        <v>855</v>
      </c>
      <c r="O180" t="s">
        <v>852</v>
      </c>
      <c r="R180" t="s">
        <v>395</v>
      </c>
      <c r="S180" s="34" t="s">
        <v>856</v>
      </c>
    </row>
    <row r="181" spans="1:19" x14ac:dyDescent="0.15">
      <c r="A181" t="s">
        <v>837</v>
      </c>
      <c r="B181" s="61">
        <v>48030</v>
      </c>
      <c r="E181" t="s">
        <v>355</v>
      </c>
      <c r="F181" t="s">
        <v>364</v>
      </c>
      <c r="H181" t="s">
        <v>365</v>
      </c>
      <c r="I181">
        <v>1001012</v>
      </c>
      <c r="J181" t="s">
        <v>862</v>
      </c>
      <c r="K181" t="s">
        <v>863</v>
      </c>
      <c r="L181" t="s">
        <v>864</v>
      </c>
      <c r="N181" t="s">
        <v>865</v>
      </c>
      <c r="O181" t="s">
        <v>866</v>
      </c>
    </row>
    <row r="182" spans="1:19" x14ac:dyDescent="0.15">
      <c r="A182" t="s">
        <v>837</v>
      </c>
      <c r="B182" s="61">
        <v>48092</v>
      </c>
      <c r="E182" t="s">
        <v>355</v>
      </c>
      <c r="F182" t="s">
        <v>364</v>
      </c>
      <c r="H182" t="s">
        <v>365</v>
      </c>
      <c r="I182">
        <v>1100025</v>
      </c>
      <c r="J182" t="s">
        <v>867</v>
      </c>
      <c r="L182" t="s">
        <v>868</v>
      </c>
      <c r="N182" t="s">
        <v>869</v>
      </c>
      <c r="O182" t="s">
        <v>870</v>
      </c>
    </row>
    <row r="183" spans="1:19" ht="229.5" x14ac:dyDescent="0.15">
      <c r="A183" t="s">
        <v>914</v>
      </c>
      <c r="B183" s="61">
        <v>46296</v>
      </c>
      <c r="E183" t="s">
        <v>355</v>
      </c>
      <c r="F183" t="s">
        <v>356</v>
      </c>
      <c r="H183" t="s">
        <v>353</v>
      </c>
      <c r="I183">
        <v>700689</v>
      </c>
      <c r="J183" t="s">
        <v>925</v>
      </c>
      <c r="K183" t="s">
        <v>926</v>
      </c>
      <c r="L183" t="s">
        <v>927</v>
      </c>
      <c r="N183" t="s">
        <v>928</v>
      </c>
      <c r="O183" t="s">
        <v>929</v>
      </c>
      <c r="R183" t="s">
        <v>362</v>
      </c>
      <c r="S183" s="34" t="s">
        <v>930</v>
      </c>
    </row>
    <row r="184" spans="1:19" ht="409.5" x14ac:dyDescent="0.15">
      <c r="A184" t="s">
        <v>914</v>
      </c>
      <c r="B184" s="61">
        <v>46357</v>
      </c>
      <c r="E184" t="s">
        <v>355</v>
      </c>
      <c r="F184" t="s">
        <v>385</v>
      </c>
      <c r="H184" t="s">
        <v>365</v>
      </c>
      <c r="I184">
        <v>700414</v>
      </c>
      <c r="J184" t="s">
        <v>931</v>
      </c>
      <c r="K184" t="s">
        <v>932</v>
      </c>
      <c r="L184" t="s">
        <v>373</v>
      </c>
      <c r="N184" t="s">
        <v>933</v>
      </c>
      <c r="O184" t="s">
        <v>934</v>
      </c>
      <c r="R184" t="s">
        <v>395</v>
      </c>
      <c r="S184" s="34" t="s">
        <v>935</v>
      </c>
    </row>
    <row r="185" spans="1:19" x14ac:dyDescent="0.15">
      <c r="A185" t="s">
        <v>914</v>
      </c>
      <c r="B185" s="61">
        <v>46569</v>
      </c>
      <c r="E185" t="s">
        <v>355</v>
      </c>
      <c r="F185" t="s">
        <v>364</v>
      </c>
      <c r="H185" t="s">
        <v>365</v>
      </c>
      <c r="I185">
        <v>700199</v>
      </c>
      <c r="J185" t="s">
        <v>917</v>
      </c>
      <c r="L185" t="s">
        <v>918</v>
      </c>
      <c r="N185" t="s">
        <v>919</v>
      </c>
      <c r="O185" t="s">
        <v>920</v>
      </c>
    </row>
    <row r="186" spans="1:19" x14ac:dyDescent="0.15">
      <c r="A186" t="s">
        <v>914</v>
      </c>
      <c r="B186" s="61">
        <v>46692</v>
      </c>
      <c r="E186" t="s">
        <v>355</v>
      </c>
      <c r="F186" t="s">
        <v>364</v>
      </c>
      <c r="H186" t="s">
        <v>353</v>
      </c>
      <c r="I186">
        <v>700007</v>
      </c>
      <c r="J186" t="s">
        <v>821</v>
      </c>
      <c r="K186" t="s">
        <v>936</v>
      </c>
      <c r="L186" t="s">
        <v>373</v>
      </c>
      <c r="N186" t="s">
        <v>937</v>
      </c>
      <c r="O186" t="s">
        <v>938</v>
      </c>
    </row>
    <row r="187" spans="1:19" x14ac:dyDescent="0.15">
      <c r="A187" t="s">
        <v>914</v>
      </c>
      <c r="B187" s="61">
        <v>46722</v>
      </c>
      <c r="E187" t="s">
        <v>355</v>
      </c>
      <c r="F187" t="s">
        <v>364</v>
      </c>
      <c r="H187" t="s">
        <v>365</v>
      </c>
      <c r="I187">
        <v>700330</v>
      </c>
      <c r="J187" t="s">
        <v>939</v>
      </c>
      <c r="K187" t="s">
        <v>940</v>
      </c>
      <c r="L187" t="s">
        <v>941</v>
      </c>
      <c r="N187" t="s">
        <v>942</v>
      </c>
      <c r="O187" t="s">
        <v>943</v>
      </c>
    </row>
    <row r="188" spans="1:19" x14ac:dyDescent="0.15">
      <c r="A188" t="s">
        <v>914</v>
      </c>
      <c r="B188" s="61">
        <v>46753</v>
      </c>
      <c r="E188" t="s">
        <v>355</v>
      </c>
      <c r="F188" t="s">
        <v>364</v>
      </c>
      <c r="H188" t="s">
        <v>353</v>
      </c>
      <c r="I188">
        <v>700345</v>
      </c>
      <c r="J188" t="s">
        <v>921</v>
      </c>
      <c r="K188" t="s">
        <v>915</v>
      </c>
      <c r="L188" t="s">
        <v>373</v>
      </c>
      <c r="N188" t="s">
        <v>944</v>
      </c>
      <c r="O188" t="s">
        <v>922</v>
      </c>
    </row>
    <row r="189" spans="1:19" x14ac:dyDescent="0.15">
      <c r="A189" t="s">
        <v>914</v>
      </c>
      <c r="B189" s="61">
        <v>46935</v>
      </c>
      <c r="E189" t="s">
        <v>355</v>
      </c>
      <c r="F189" t="s">
        <v>364</v>
      </c>
      <c r="H189" t="s">
        <v>365</v>
      </c>
      <c r="I189">
        <v>700112</v>
      </c>
      <c r="J189" t="s">
        <v>945</v>
      </c>
      <c r="K189" t="s">
        <v>946</v>
      </c>
      <c r="L189" t="s">
        <v>373</v>
      </c>
      <c r="N189" t="s">
        <v>947</v>
      </c>
      <c r="O189" t="s">
        <v>948</v>
      </c>
    </row>
    <row r="190" spans="1:19" x14ac:dyDescent="0.15">
      <c r="A190" t="s">
        <v>914</v>
      </c>
      <c r="B190" s="61">
        <v>47088</v>
      </c>
      <c r="E190" t="s">
        <v>355</v>
      </c>
      <c r="F190" t="s">
        <v>385</v>
      </c>
      <c r="H190" t="s">
        <v>353</v>
      </c>
      <c r="I190">
        <v>700576</v>
      </c>
      <c r="J190" t="s">
        <v>743</v>
      </c>
      <c r="K190" t="s">
        <v>949</v>
      </c>
      <c r="L190" t="s">
        <v>950</v>
      </c>
      <c r="N190" t="s">
        <v>951</v>
      </c>
      <c r="O190" t="s">
        <v>952</v>
      </c>
    </row>
    <row r="191" spans="1:19" x14ac:dyDescent="0.15">
      <c r="A191" t="s">
        <v>914</v>
      </c>
      <c r="B191" s="61">
        <v>47119</v>
      </c>
      <c r="E191" t="s">
        <v>355</v>
      </c>
      <c r="F191" t="s">
        <v>364</v>
      </c>
      <c r="H191" t="s">
        <v>365</v>
      </c>
      <c r="I191">
        <v>700680</v>
      </c>
      <c r="J191" t="s">
        <v>953</v>
      </c>
      <c r="K191" t="s">
        <v>954</v>
      </c>
      <c r="L191" t="s">
        <v>955</v>
      </c>
      <c r="N191" t="s">
        <v>956</v>
      </c>
      <c r="O191" t="s">
        <v>957</v>
      </c>
    </row>
    <row r="192" spans="1:19" ht="229.5" x14ac:dyDescent="0.15">
      <c r="A192" t="s">
        <v>914</v>
      </c>
      <c r="B192" s="61">
        <v>47757</v>
      </c>
      <c r="E192" t="s">
        <v>355</v>
      </c>
      <c r="F192" t="s">
        <v>385</v>
      </c>
      <c r="H192" t="s">
        <v>353</v>
      </c>
      <c r="I192">
        <v>700689</v>
      </c>
      <c r="J192" t="s">
        <v>925</v>
      </c>
      <c r="K192" t="s">
        <v>926</v>
      </c>
      <c r="L192" t="s">
        <v>927</v>
      </c>
      <c r="N192" t="s">
        <v>928</v>
      </c>
      <c r="O192" t="s">
        <v>929</v>
      </c>
      <c r="R192" t="s">
        <v>386</v>
      </c>
      <c r="S192" s="34" t="s">
        <v>930</v>
      </c>
    </row>
    <row r="193" spans="1:19" x14ac:dyDescent="0.15">
      <c r="A193" t="s">
        <v>914</v>
      </c>
      <c r="B193" s="61">
        <v>48214</v>
      </c>
      <c r="E193" t="s">
        <v>355</v>
      </c>
      <c r="F193" t="s">
        <v>364</v>
      </c>
      <c r="H193" t="s">
        <v>353</v>
      </c>
      <c r="I193">
        <v>700345</v>
      </c>
      <c r="J193" t="s">
        <v>921</v>
      </c>
      <c r="K193" t="s">
        <v>915</v>
      </c>
      <c r="L193" t="s">
        <v>373</v>
      </c>
      <c r="N193" t="s">
        <v>944</v>
      </c>
      <c r="O193" t="s">
        <v>922</v>
      </c>
    </row>
    <row r="194" spans="1:19" ht="409.5" x14ac:dyDescent="0.15">
      <c r="A194" t="s">
        <v>5394</v>
      </c>
      <c r="B194" s="61">
        <v>45778</v>
      </c>
      <c r="E194" t="s">
        <v>355</v>
      </c>
      <c r="F194" t="s">
        <v>356</v>
      </c>
      <c r="H194" t="s">
        <v>353</v>
      </c>
      <c r="I194">
        <v>1402836</v>
      </c>
      <c r="J194" t="s">
        <v>963</v>
      </c>
      <c r="K194" t="s">
        <v>964</v>
      </c>
      <c r="L194" t="s">
        <v>965</v>
      </c>
      <c r="N194" t="s">
        <v>966</v>
      </c>
      <c r="O194" t="s">
        <v>967</v>
      </c>
      <c r="R194" t="s">
        <v>362</v>
      </c>
      <c r="S194" s="34" t="s">
        <v>968</v>
      </c>
    </row>
    <row r="195" spans="1:19" ht="243" x14ac:dyDescent="0.15">
      <c r="A195" t="s">
        <v>5524</v>
      </c>
      <c r="B195" s="61">
        <v>46174</v>
      </c>
      <c r="E195" t="s">
        <v>355</v>
      </c>
      <c r="F195" t="s">
        <v>356</v>
      </c>
      <c r="H195" t="s">
        <v>365</v>
      </c>
      <c r="I195">
        <v>1402878</v>
      </c>
      <c r="J195" t="s">
        <v>979</v>
      </c>
      <c r="L195" t="s">
        <v>980</v>
      </c>
      <c r="N195" t="s">
        <v>981</v>
      </c>
      <c r="O195" t="s">
        <v>982</v>
      </c>
      <c r="S195" s="34" t="s">
        <v>983</v>
      </c>
    </row>
    <row r="196" spans="1:19" ht="409.5" x14ac:dyDescent="0.15">
      <c r="A196" t="s">
        <v>5524</v>
      </c>
      <c r="B196" s="61">
        <v>46174</v>
      </c>
      <c r="E196" t="s">
        <v>355</v>
      </c>
      <c r="F196" t="s">
        <v>356</v>
      </c>
      <c r="H196" t="s">
        <v>353</v>
      </c>
      <c r="I196">
        <v>1402866</v>
      </c>
      <c r="J196" t="s">
        <v>974</v>
      </c>
      <c r="K196" t="s">
        <v>975</v>
      </c>
      <c r="L196" t="s">
        <v>466</v>
      </c>
      <c r="N196" t="s">
        <v>976</v>
      </c>
      <c r="O196" t="s">
        <v>977</v>
      </c>
      <c r="R196" t="s">
        <v>362</v>
      </c>
      <c r="S196" s="34" t="s">
        <v>978</v>
      </c>
    </row>
    <row r="197" spans="1:19" ht="409.5" x14ac:dyDescent="0.15">
      <c r="A197" t="s">
        <v>5394</v>
      </c>
      <c r="B197" s="61">
        <v>46204</v>
      </c>
      <c r="E197" t="s">
        <v>355</v>
      </c>
      <c r="F197" t="s">
        <v>356</v>
      </c>
      <c r="H197" t="s">
        <v>365</v>
      </c>
      <c r="I197">
        <v>1402879</v>
      </c>
      <c r="J197" t="s">
        <v>984</v>
      </c>
      <c r="K197" t="s">
        <v>985</v>
      </c>
      <c r="L197" t="s">
        <v>986</v>
      </c>
      <c r="N197" t="s">
        <v>987</v>
      </c>
      <c r="O197" t="s">
        <v>988</v>
      </c>
      <c r="R197" t="s">
        <v>362</v>
      </c>
      <c r="S197" s="34" t="s">
        <v>989</v>
      </c>
    </row>
    <row r="198" spans="1:19" ht="229.5" x14ac:dyDescent="0.15">
      <c r="A198" t="s">
        <v>5394</v>
      </c>
      <c r="B198" s="61">
        <v>46266</v>
      </c>
      <c r="E198" t="s">
        <v>355</v>
      </c>
      <c r="F198" t="s">
        <v>356</v>
      </c>
      <c r="H198" t="s">
        <v>353</v>
      </c>
      <c r="I198">
        <v>1402879</v>
      </c>
      <c r="J198" t="s">
        <v>984</v>
      </c>
      <c r="K198" t="s">
        <v>985</v>
      </c>
      <c r="L198" t="s">
        <v>986</v>
      </c>
      <c r="N198" t="s">
        <v>990</v>
      </c>
      <c r="O198" t="s">
        <v>988</v>
      </c>
      <c r="R198" t="s">
        <v>362</v>
      </c>
      <c r="S198" s="34" t="s">
        <v>991</v>
      </c>
    </row>
    <row r="199" spans="1:19" ht="243" x14ac:dyDescent="0.15">
      <c r="A199" t="s">
        <v>5524</v>
      </c>
      <c r="B199" s="61">
        <v>46327</v>
      </c>
      <c r="E199" t="s">
        <v>355</v>
      </c>
      <c r="F199" t="s">
        <v>356</v>
      </c>
      <c r="H199" t="s">
        <v>365</v>
      </c>
      <c r="I199">
        <v>1401859</v>
      </c>
      <c r="J199" t="s">
        <v>979</v>
      </c>
      <c r="L199" t="s">
        <v>373</v>
      </c>
      <c r="N199" t="s">
        <v>992</v>
      </c>
      <c r="O199" t="s">
        <v>993</v>
      </c>
      <c r="R199" t="s">
        <v>362</v>
      </c>
      <c r="S199" s="34" t="s">
        <v>994</v>
      </c>
    </row>
    <row r="200" spans="1:19" x14ac:dyDescent="0.15">
      <c r="A200" t="s">
        <v>5524</v>
      </c>
      <c r="B200" s="61">
        <v>46447</v>
      </c>
      <c r="E200" t="s">
        <v>355</v>
      </c>
      <c r="F200" t="s">
        <v>364</v>
      </c>
      <c r="H200" t="s">
        <v>365</v>
      </c>
      <c r="I200">
        <v>1402761</v>
      </c>
      <c r="J200" t="s">
        <v>995</v>
      </c>
      <c r="K200" t="s">
        <v>996</v>
      </c>
      <c r="L200" t="s">
        <v>997</v>
      </c>
      <c r="N200" t="s">
        <v>998</v>
      </c>
      <c r="O200" t="s">
        <v>999</v>
      </c>
    </row>
    <row r="201" spans="1:19" x14ac:dyDescent="0.15">
      <c r="A201" t="s">
        <v>5524</v>
      </c>
      <c r="B201" s="61">
        <v>46569</v>
      </c>
      <c r="E201" t="s">
        <v>355</v>
      </c>
      <c r="F201" t="s">
        <v>364</v>
      </c>
      <c r="H201" t="s">
        <v>365</v>
      </c>
      <c r="I201">
        <v>1400011</v>
      </c>
      <c r="J201" t="s">
        <v>1000</v>
      </c>
      <c r="L201" t="s">
        <v>1001</v>
      </c>
      <c r="N201" t="s">
        <v>1002</v>
      </c>
      <c r="O201" t="s">
        <v>1003</v>
      </c>
    </row>
    <row r="202" spans="1:19" x14ac:dyDescent="0.15">
      <c r="A202" t="s">
        <v>5394</v>
      </c>
      <c r="B202" s="61">
        <v>46813</v>
      </c>
      <c r="E202" t="s">
        <v>355</v>
      </c>
      <c r="F202" t="s">
        <v>364</v>
      </c>
      <c r="H202" t="s">
        <v>353</v>
      </c>
      <c r="I202">
        <v>1402795</v>
      </c>
      <c r="J202" t="s">
        <v>1004</v>
      </c>
      <c r="K202" t="s">
        <v>1005</v>
      </c>
      <c r="L202" t="s">
        <v>1006</v>
      </c>
      <c r="N202" t="s">
        <v>1007</v>
      </c>
      <c r="O202" t="s">
        <v>1008</v>
      </c>
    </row>
    <row r="203" spans="1:19" ht="229.5" x14ac:dyDescent="0.15">
      <c r="A203" t="s">
        <v>5394</v>
      </c>
      <c r="B203" s="61">
        <v>46905</v>
      </c>
      <c r="E203" t="s">
        <v>355</v>
      </c>
      <c r="F203" t="s">
        <v>385</v>
      </c>
      <c r="H203" t="s">
        <v>353</v>
      </c>
      <c r="I203">
        <v>1401437</v>
      </c>
      <c r="J203" t="s">
        <v>958</v>
      </c>
      <c r="K203" t="s">
        <v>959</v>
      </c>
      <c r="L203" t="s">
        <v>373</v>
      </c>
      <c r="N203" t="s">
        <v>960</v>
      </c>
      <c r="O203" t="s">
        <v>961</v>
      </c>
      <c r="R203" t="s">
        <v>386</v>
      </c>
      <c r="S203" s="34" t="s">
        <v>962</v>
      </c>
    </row>
    <row r="204" spans="1:19" x14ac:dyDescent="0.15">
      <c r="A204" t="s">
        <v>5524</v>
      </c>
      <c r="B204" s="61">
        <v>46966</v>
      </c>
      <c r="E204" t="s">
        <v>355</v>
      </c>
      <c r="F204" t="s">
        <v>364</v>
      </c>
      <c r="H204" t="s">
        <v>365</v>
      </c>
      <c r="I204">
        <v>1400845</v>
      </c>
      <c r="J204" t="s">
        <v>971</v>
      </c>
      <c r="K204" t="s">
        <v>972</v>
      </c>
      <c r="L204" t="s">
        <v>373</v>
      </c>
      <c r="N204" t="s">
        <v>1009</v>
      </c>
      <c r="O204" t="s">
        <v>973</v>
      </c>
    </row>
    <row r="205" spans="1:19" x14ac:dyDescent="0.15">
      <c r="A205" t="s">
        <v>5394</v>
      </c>
      <c r="B205" s="61">
        <v>47239</v>
      </c>
      <c r="E205" t="s">
        <v>355</v>
      </c>
      <c r="F205" t="s">
        <v>364</v>
      </c>
      <c r="H205" t="s">
        <v>353</v>
      </c>
      <c r="I205">
        <v>1402836</v>
      </c>
      <c r="J205" t="s">
        <v>963</v>
      </c>
      <c r="K205" t="s">
        <v>964</v>
      </c>
      <c r="L205" t="s">
        <v>965</v>
      </c>
      <c r="N205" t="s">
        <v>966</v>
      </c>
      <c r="O205" t="s">
        <v>967</v>
      </c>
    </row>
    <row r="206" spans="1:19" ht="409.5" x14ac:dyDescent="0.15">
      <c r="A206" t="s">
        <v>5524</v>
      </c>
      <c r="B206" s="61">
        <v>47331</v>
      </c>
      <c r="E206" t="s">
        <v>355</v>
      </c>
      <c r="F206" t="s">
        <v>385</v>
      </c>
      <c r="H206" t="s">
        <v>365</v>
      </c>
      <c r="I206">
        <v>1400845</v>
      </c>
      <c r="J206" t="s">
        <v>971</v>
      </c>
      <c r="K206" t="s">
        <v>972</v>
      </c>
      <c r="L206" t="s">
        <v>373</v>
      </c>
      <c r="N206" t="s">
        <v>1010</v>
      </c>
      <c r="O206" t="s">
        <v>973</v>
      </c>
      <c r="R206" t="s">
        <v>395</v>
      </c>
      <c r="S206" s="34" t="s">
        <v>1011</v>
      </c>
    </row>
    <row r="207" spans="1:19" ht="351" x14ac:dyDescent="0.15">
      <c r="A207" t="s">
        <v>5524</v>
      </c>
      <c r="B207" s="61">
        <v>47423</v>
      </c>
      <c r="E207" t="s">
        <v>355</v>
      </c>
      <c r="F207" t="s">
        <v>385</v>
      </c>
      <c r="H207" t="s">
        <v>353</v>
      </c>
      <c r="I207">
        <v>1300366</v>
      </c>
      <c r="J207" t="s">
        <v>1012</v>
      </c>
      <c r="K207" t="s">
        <v>1013</v>
      </c>
      <c r="L207" t="s">
        <v>1014</v>
      </c>
      <c r="N207" t="s">
        <v>1015</v>
      </c>
      <c r="O207" t="s">
        <v>1016</v>
      </c>
      <c r="R207" s="34" t="s">
        <v>768</v>
      </c>
      <c r="S207" s="34" t="s">
        <v>1017</v>
      </c>
    </row>
    <row r="208" spans="1:19" ht="243" x14ac:dyDescent="0.15">
      <c r="A208" t="s">
        <v>5524</v>
      </c>
      <c r="B208" s="61">
        <v>47635</v>
      </c>
      <c r="E208" t="s">
        <v>355</v>
      </c>
      <c r="F208" t="s">
        <v>385</v>
      </c>
      <c r="H208" t="s">
        <v>365</v>
      </c>
      <c r="I208">
        <v>1402878</v>
      </c>
      <c r="J208" t="s">
        <v>979</v>
      </c>
      <c r="L208" t="s">
        <v>980</v>
      </c>
      <c r="N208" t="s">
        <v>981</v>
      </c>
      <c r="O208" t="s">
        <v>982</v>
      </c>
      <c r="R208" t="s">
        <v>395</v>
      </c>
      <c r="S208" s="34" t="s">
        <v>983</v>
      </c>
    </row>
    <row r="209" spans="1:19" ht="409.5" x14ac:dyDescent="0.15">
      <c r="A209" t="s">
        <v>5524</v>
      </c>
      <c r="B209" s="61">
        <v>47635</v>
      </c>
      <c r="E209" t="s">
        <v>355</v>
      </c>
      <c r="F209" t="s">
        <v>385</v>
      </c>
      <c r="H209" t="s">
        <v>353</v>
      </c>
      <c r="I209">
        <v>1402866</v>
      </c>
      <c r="J209" t="s">
        <v>974</v>
      </c>
      <c r="K209" t="s">
        <v>975</v>
      </c>
      <c r="L209" t="s">
        <v>466</v>
      </c>
      <c r="N209" t="s">
        <v>976</v>
      </c>
      <c r="O209" t="s">
        <v>977</v>
      </c>
      <c r="R209" s="34" t="s">
        <v>768</v>
      </c>
      <c r="S209" s="34" t="s">
        <v>978</v>
      </c>
    </row>
    <row r="210" spans="1:19" ht="409.5" x14ac:dyDescent="0.15">
      <c r="A210" t="s">
        <v>5394</v>
      </c>
      <c r="B210" s="61">
        <v>47665</v>
      </c>
      <c r="E210" t="s">
        <v>355</v>
      </c>
      <c r="F210" t="s">
        <v>385</v>
      </c>
      <c r="H210" t="s">
        <v>365</v>
      </c>
      <c r="I210">
        <v>1402879</v>
      </c>
      <c r="J210" t="s">
        <v>984</v>
      </c>
      <c r="K210" t="s">
        <v>985</v>
      </c>
      <c r="L210" t="s">
        <v>986</v>
      </c>
      <c r="N210" t="s">
        <v>987</v>
      </c>
      <c r="O210" t="s">
        <v>988</v>
      </c>
      <c r="R210" t="s">
        <v>395</v>
      </c>
      <c r="S210" s="34" t="s">
        <v>989</v>
      </c>
    </row>
    <row r="211" spans="1:19" ht="229.5" x14ac:dyDescent="0.15">
      <c r="A211" t="s">
        <v>5394</v>
      </c>
      <c r="B211" s="61">
        <v>47727</v>
      </c>
      <c r="E211" t="s">
        <v>355</v>
      </c>
      <c r="F211" t="s">
        <v>385</v>
      </c>
      <c r="H211" t="s">
        <v>353</v>
      </c>
      <c r="I211">
        <v>1402879</v>
      </c>
      <c r="J211" t="s">
        <v>984</v>
      </c>
      <c r="K211" t="s">
        <v>985</v>
      </c>
      <c r="L211" t="s">
        <v>986</v>
      </c>
      <c r="N211" t="s">
        <v>990</v>
      </c>
      <c r="O211" t="s">
        <v>988</v>
      </c>
      <c r="R211" t="s">
        <v>386</v>
      </c>
      <c r="S211" s="34" t="s">
        <v>991</v>
      </c>
    </row>
    <row r="212" spans="1:19" ht="243" x14ac:dyDescent="0.15">
      <c r="A212" t="s">
        <v>5524</v>
      </c>
      <c r="B212" s="61">
        <v>47788</v>
      </c>
      <c r="E212" t="s">
        <v>355</v>
      </c>
      <c r="F212" t="s">
        <v>385</v>
      </c>
      <c r="H212" t="s">
        <v>365</v>
      </c>
      <c r="I212">
        <v>1401859</v>
      </c>
      <c r="J212" t="s">
        <v>979</v>
      </c>
      <c r="L212" t="s">
        <v>373</v>
      </c>
      <c r="N212" t="s">
        <v>992</v>
      </c>
      <c r="O212" t="s">
        <v>993</v>
      </c>
      <c r="R212" t="s">
        <v>395</v>
      </c>
      <c r="S212" s="34" t="s">
        <v>994</v>
      </c>
    </row>
    <row r="213" spans="1:19" ht="351" x14ac:dyDescent="0.15">
      <c r="A213" t="s">
        <v>3889</v>
      </c>
      <c r="B213" s="61">
        <v>46235</v>
      </c>
      <c r="E213" t="s">
        <v>355</v>
      </c>
      <c r="F213" t="s">
        <v>385</v>
      </c>
      <c r="H213" t="s">
        <v>353</v>
      </c>
      <c r="I213">
        <v>1102308</v>
      </c>
      <c r="J213" t="s">
        <v>1024</v>
      </c>
      <c r="K213" t="s">
        <v>1025</v>
      </c>
      <c r="L213" t="s">
        <v>833</v>
      </c>
      <c r="N213" t="s">
        <v>1032</v>
      </c>
      <c r="O213" t="s">
        <v>1026</v>
      </c>
      <c r="R213" t="s">
        <v>386</v>
      </c>
      <c r="S213" s="34" t="s">
        <v>1033</v>
      </c>
    </row>
    <row r="214" spans="1:19" ht="405" x14ac:dyDescent="0.15">
      <c r="A214" t="s">
        <v>2404</v>
      </c>
      <c r="B214" s="61">
        <v>46327</v>
      </c>
      <c r="E214" t="s">
        <v>355</v>
      </c>
      <c r="F214" t="s">
        <v>356</v>
      </c>
      <c r="H214" t="s">
        <v>365</v>
      </c>
      <c r="I214">
        <v>1100383</v>
      </c>
      <c r="J214" t="s">
        <v>1020</v>
      </c>
      <c r="K214" t="s">
        <v>1021</v>
      </c>
      <c r="L214" t="s">
        <v>390</v>
      </c>
      <c r="N214" t="s">
        <v>1034</v>
      </c>
      <c r="O214" t="s">
        <v>1022</v>
      </c>
      <c r="R214" t="s">
        <v>362</v>
      </c>
      <c r="S214" s="34" t="s">
        <v>1035</v>
      </c>
    </row>
    <row r="215" spans="1:19" ht="409.5" x14ac:dyDescent="0.15">
      <c r="A215" t="s">
        <v>5393</v>
      </c>
      <c r="B215" s="61">
        <v>46388</v>
      </c>
      <c r="E215" t="s">
        <v>355</v>
      </c>
      <c r="F215" t="s">
        <v>356</v>
      </c>
      <c r="H215" t="s">
        <v>365</v>
      </c>
      <c r="I215">
        <v>1200355</v>
      </c>
      <c r="J215" t="s">
        <v>1036</v>
      </c>
      <c r="K215" t="s">
        <v>1037</v>
      </c>
      <c r="L215" t="s">
        <v>390</v>
      </c>
      <c r="N215" t="s">
        <v>1038</v>
      </c>
      <c r="O215" t="s">
        <v>1039</v>
      </c>
      <c r="R215" t="s">
        <v>362</v>
      </c>
      <c r="S215" s="34" t="s">
        <v>5102</v>
      </c>
    </row>
    <row r="216" spans="1:19" ht="256.5" x14ac:dyDescent="0.15">
      <c r="A216" t="s">
        <v>2404</v>
      </c>
      <c r="B216" s="61">
        <v>47178</v>
      </c>
      <c r="E216" t="s">
        <v>355</v>
      </c>
      <c r="F216" t="s">
        <v>385</v>
      </c>
      <c r="H216" t="s">
        <v>353</v>
      </c>
      <c r="I216">
        <v>1101745</v>
      </c>
      <c r="J216" t="s">
        <v>1020</v>
      </c>
      <c r="K216" t="s">
        <v>1040</v>
      </c>
      <c r="L216" t="s">
        <v>390</v>
      </c>
      <c r="N216" t="s">
        <v>1041</v>
      </c>
      <c r="O216" t="s">
        <v>1042</v>
      </c>
      <c r="R216" t="s">
        <v>386</v>
      </c>
      <c r="S216" s="34" t="s">
        <v>1043</v>
      </c>
    </row>
    <row r="217" spans="1:19" ht="409.5" x14ac:dyDescent="0.15">
      <c r="A217" t="s">
        <v>3889</v>
      </c>
      <c r="B217" s="61">
        <v>47300</v>
      </c>
      <c r="E217" t="s">
        <v>355</v>
      </c>
      <c r="F217" t="s">
        <v>385</v>
      </c>
      <c r="H217" t="s">
        <v>353</v>
      </c>
      <c r="I217">
        <v>1102200</v>
      </c>
      <c r="J217" t="s">
        <v>1044</v>
      </c>
      <c r="K217" t="s">
        <v>1045</v>
      </c>
      <c r="L217" t="s">
        <v>1046</v>
      </c>
      <c r="N217" t="s">
        <v>1047</v>
      </c>
      <c r="O217" t="s">
        <v>1048</v>
      </c>
      <c r="R217" s="34" t="s">
        <v>768</v>
      </c>
      <c r="S217" s="34" t="s">
        <v>1049</v>
      </c>
    </row>
    <row r="218" spans="1:19" ht="409.5" x14ac:dyDescent="0.15">
      <c r="A218" t="s">
        <v>3889</v>
      </c>
      <c r="B218" s="61">
        <v>47331</v>
      </c>
      <c r="E218" t="s">
        <v>355</v>
      </c>
      <c r="F218" t="s">
        <v>364</v>
      </c>
      <c r="H218" t="s">
        <v>353</v>
      </c>
      <c r="I218">
        <v>1102200</v>
      </c>
      <c r="J218" t="s">
        <v>1044</v>
      </c>
      <c r="K218" t="s">
        <v>1045</v>
      </c>
      <c r="L218" t="s">
        <v>1046</v>
      </c>
      <c r="N218" t="s">
        <v>1050</v>
      </c>
      <c r="O218" t="s">
        <v>1048</v>
      </c>
      <c r="R218" t="s">
        <v>723</v>
      </c>
      <c r="S218" s="34" t="s">
        <v>1051</v>
      </c>
    </row>
    <row r="219" spans="1:19" ht="409.5" x14ac:dyDescent="0.15">
      <c r="A219" t="s">
        <v>3889</v>
      </c>
      <c r="B219" s="61">
        <v>47331</v>
      </c>
      <c r="E219" t="s">
        <v>355</v>
      </c>
      <c r="F219" t="s">
        <v>385</v>
      </c>
      <c r="H219" t="s">
        <v>353</v>
      </c>
      <c r="I219">
        <v>1101227</v>
      </c>
      <c r="J219" t="s">
        <v>1052</v>
      </c>
      <c r="K219" t="s">
        <v>1053</v>
      </c>
      <c r="L219" t="s">
        <v>390</v>
      </c>
      <c r="N219" t="s">
        <v>1054</v>
      </c>
      <c r="O219" t="s">
        <v>1055</v>
      </c>
      <c r="R219" s="34" t="s">
        <v>768</v>
      </c>
      <c r="S219" s="34" t="s">
        <v>1056</v>
      </c>
    </row>
    <row r="220" spans="1:19" ht="364.5" x14ac:dyDescent="0.15">
      <c r="A220" t="s">
        <v>2404</v>
      </c>
      <c r="B220" s="61">
        <v>47362</v>
      </c>
      <c r="E220" t="s">
        <v>355</v>
      </c>
      <c r="F220" t="s">
        <v>385</v>
      </c>
      <c r="H220" t="s">
        <v>353</v>
      </c>
      <c r="I220">
        <v>1102571</v>
      </c>
      <c r="J220" t="s">
        <v>1057</v>
      </c>
      <c r="K220" t="s">
        <v>1058</v>
      </c>
      <c r="L220" t="s">
        <v>390</v>
      </c>
      <c r="N220" t="s">
        <v>1059</v>
      </c>
      <c r="O220" t="s">
        <v>1060</v>
      </c>
      <c r="R220" s="34" t="s">
        <v>768</v>
      </c>
      <c r="S220" s="34" t="s">
        <v>1061</v>
      </c>
    </row>
    <row r="221" spans="1:19" ht="409.5" x14ac:dyDescent="0.15">
      <c r="A221" t="s">
        <v>2404</v>
      </c>
      <c r="B221" s="61">
        <v>47635</v>
      </c>
      <c r="E221" t="s">
        <v>355</v>
      </c>
      <c r="F221" t="s">
        <v>385</v>
      </c>
      <c r="H221" t="s">
        <v>353</v>
      </c>
      <c r="I221">
        <v>1100305</v>
      </c>
      <c r="J221" t="s">
        <v>1027</v>
      </c>
      <c r="K221" t="s">
        <v>1028</v>
      </c>
      <c r="L221" t="s">
        <v>390</v>
      </c>
      <c r="N221" t="s">
        <v>1029</v>
      </c>
      <c r="O221" t="s">
        <v>1030</v>
      </c>
      <c r="R221" s="34" t="s">
        <v>768</v>
      </c>
      <c r="S221" s="34" t="s">
        <v>1031</v>
      </c>
    </row>
    <row r="222" spans="1:19" ht="405" x14ac:dyDescent="0.15">
      <c r="A222" t="s">
        <v>2404</v>
      </c>
      <c r="B222" s="61">
        <v>47788</v>
      </c>
      <c r="E222" t="s">
        <v>355</v>
      </c>
      <c r="F222" t="s">
        <v>385</v>
      </c>
      <c r="H222" t="s">
        <v>365</v>
      </c>
      <c r="I222">
        <v>1100383</v>
      </c>
      <c r="J222" t="s">
        <v>1020</v>
      </c>
      <c r="K222" t="s">
        <v>1021</v>
      </c>
      <c r="L222" t="s">
        <v>390</v>
      </c>
      <c r="N222" t="s">
        <v>1034</v>
      </c>
      <c r="O222" t="s">
        <v>1022</v>
      </c>
      <c r="R222" t="s">
        <v>395</v>
      </c>
      <c r="S222" s="34" t="s">
        <v>1035</v>
      </c>
    </row>
    <row r="223" spans="1:19" ht="409.5" x14ac:dyDescent="0.15">
      <c r="A223" t="s">
        <v>5393</v>
      </c>
      <c r="B223" s="61">
        <v>47849</v>
      </c>
      <c r="E223" t="s">
        <v>355</v>
      </c>
      <c r="F223" t="s">
        <v>385</v>
      </c>
      <c r="H223" t="s">
        <v>365</v>
      </c>
      <c r="I223">
        <v>1200355</v>
      </c>
      <c r="J223" t="s">
        <v>1036</v>
      </c>
      <c r="K223" t="s">
        <v>1037</v>
      </c>
      <c r="L223" t="s">
        <v>390</v>
      </c>
      <c r="N223" t="s">
        <v>1038</v>
      </c>
      <c r="O223" t="s">
        <v>1039</v>
      </c>
      <c r="R223" t="s">
        <v>395</v>
      </c>
      <c r="S223" s="34" t="s">
        <v>5102</v>
      </c>
    </row>
    <row r="224" spans="1:19" x14ac:dyDescent="0.15">
      <c r="A224" t="s">
        <v>1062</v>
      </c>
      <c r="B224" s="61">
        <v>46753</v>
      </c>
      <c r="E224" t="s">
        <v>355</v>
      </c>
      <c r="F224" t="s">
        <v>364</v>
      </c>
      <c r="H224" t="s">
        <v>365</v>
      </c>
      <c r="I224">
        <v>3400140</v>
      </c>
      <c r="J224" t="s">
        <v>1067</v>
      </c>
      <c r="L224" t="s">
        <v>390</v>
      </c>
      <c r="N224" t="s">
        <v>1068</v>
      </c>
      <c r="O224" t="s">
        <v>1069</v>
      </c>
    </row>
    <row r="225" spans="1:19" x14ac:dyDescent="0.15">
      <c r="A225" t="s">
        <v>1062</v>
      </c>
      <c r="B225" s="61">
        <v>46844</v>
      </c>
      <c r="E225" t="s">
        <v>355</v>
      </c>
      <c r="F225" t="s">
        <v>364</v>
      </c>
      <c r="H225" t="s">
        <v>353</v>
      </c>
      <c r="I225">
        <v>3400466</v>
      </c>
      <c r="J225" t="s">
        <v>1070</v>
      </c>
      <c r="K225" t="s">
        <v>1071</v>
      </c>
      <c r="L225" t="s">
        <v>390</v>
      </c>
      <c r="N225" t="s">
        <v>1072</v>
      </c>
      <c r="O225" t="s">
        <v>1073</v>
      </c>
    </row>
    <row r="226" spans="1:19" ht="409.5" x14ac:dyDescent="0.15">
      <c r="A226" t="s">
        <v>1062</v>
      </c>
      <c r="B226" s="61">
        <v>46874</v>
      </c>
      <c r="E226" t="s">
        <v>355</v>
      </c>
      <c r="F226" t="s">
        <v>385</v>
      </c>
      <c r="H226" t="s">
        <v>353</v>
      </c>
      <c r="I226">
        <v>3400228</v>
      </c>
      <c r="J226" t="s">
        <v>1074</v>
      </c>
      <c r="K226" t="s">
        <v>1075</v>
      </c>
      <c r="L226" t="s">
        <v>1076</v>
      </c>
      <c r="N226" t="s">
        <v>1077</v>
      </c>
      <c r="O226" t="s">
        <v>1078</v>
      </c>
      <c r="R226" t="s">
        <v>386</v>
      </c>
      <c r="S226" s="34" t="s">
        <v>1079</v>
      </c>
    </row>
    <row r="227" spans="1:19" x14ac:dyDescent="0.15">
      <c r="A227" t="s">
        <v>1062</v>
      </c>
      <c r="B227" s="61">
        <v>46935</v>
      </c>
      <c r="E227" t="s">
        <v>355</v>
      </c>
      <c r="F227" t="s">
        <v>364</v>
      </c>
      <c r="H227" t="s">
        <v>353</v>
      </c>
      <c r="I227">
        <v>3400653</v>
      </c>
      <c r="J227" t="s">
        <v>1080</v>
      </c>
      <c r="L227" t="s">
        <v>390</v>
      </c>
      <c r="N227" t="s">
        <v>1081</v>
      </c>
      <c r="O227" t="s">
        <v>1082</v>
      </c>
    </row>
    <row r="228" spans="1:19" x14ac:dyDescent="0.15">
      <c r="A228" t="s">
        <v>1062</v>
      </c>
      <c r="B228" s="61">
        <v>46935</v>
      </c>
      <c r="E228" t="s">
        <v>355</v>
      </c>
      <c r="F228" t="s">
        <v>364</v>
      </c>
      <c r="H228" t="s">
        <v>365</v>
      </c>
      <c r="I228">
        <v>3400914</v>
      </c>
      <c r="J228" t="s">
        <v>1083</v>
      </c>
      <c r="L228" t="s">
        <v>1084</v>
      </c>
      <c r="N228" t="s">
        <v>1085</v>
      </c>
      <c r="O228" t="s">
        <v>1086</v>
      </c>
    </row>
    <row r="229" spans="1:19" x14ac:dyDescent="0.15">
      <c r="A229" t="s">
        <v>1062</v>
      </c>
      <c r="B229" s="61">
        <v>46966</v>
      </c>
      <c r="E229" t="s">
        <v>355</v>
      </c>
      <c r="F229" t="s">
        <v>364</v>
      </c>
      <c r="H229" t="s">
        <v>365</v>
      </c>
      <c r="I229">
        <v>3400914</v>
      </c>
      <c r="J229" t="s">
        <v>1083</v>
      </c>
      <c r="L229" t="s">
        <v>1084</v>
      </c>
      <c r="N229" t="s">
        <v>1088</v>
      </c>
      <c r="O229" t="s">
        <v>1086</v>
      </c>
    </row>
    <row r="230" spans="1:19" ht="409.5" x14ac:dyDescent="0.15">
      <c r="A230" t="s">
        <v>1062</v>
      </c>
      <c r="B230" s="61">
        <v>47178</v>
      </c>
      <c r="E230" t="s">
        <v>355</v>
      </c>
      <c r="F230" t="s">
        <v>385</v>
      </c>
      <c r="H230" t="s">
        <v>353</v>
      </c>
      <c r="I230">
        <v>3400096</v>
      </c>
      <c r="J230" t="s">
        <v>1089</v>
      </c>
      <c r="K230" t="s">
        <v>1090</v>
      </c>
      <c r="L230" t="s">
        <v>1091</v>
      </c>
      <c r="N230" t="s">
        <v>1092</v>
      </c>
      <c r="O230" t="s">
        <v>1093</v>
      </c>
      <c r="R230" t="s">
        <v>386</v>
      </c>
      <c r="S230" s="34" t="s">
        <v>1094</v>
      </c>
    </row>
    <row r="231" spans="1:19" ht="243" x14ac:dyDescent="0.15">
      <c r="A231" t="s">
        <v>1095</v>
      </c>
      <c r="B231" s="61">
        <v>46327</v>
      </c>
      <c r="E231" t="s">
        <v>355</v>
      </c>
      <c r="F231" t="s">
        <v>385</v>
      </c>
      <c r="H231" t="s">
        <v>365</v>
      </c>
      <c r="I231">
        <v>3700333</v>
      </c>
      <c r="J231" t="s">
        <v>1101</v>
      </c>
      <c r="K231" t="s">
        <v>1102</v>
      </c>
      <c r="L231" t="s">
        <v>390</v>
      </c>
      <c r="N231" t="s">
        <v>1103</v>
      </c>
      <c r="O231" t="s">
        <v>1104</v>
      </c>
      <c r="R231" s="34" t="s">
        <v>1105</v>
      </c>
      <c r="S231" s="34" t="s">
        <v>1106</v>
      </c>
    </row>
    <row r="232" spans="1:19" ht="229.5" x14ac:dyDescent="0.15">
      <c r="A232" t="s">
        <v>1095</v>
      </c>
      <c r="B232" s="61">
        <v>46478</v>
      </c>
      <c r="E232" t="s">
        <v>355</v>
      </c>
      <c r="F232" t="s">
        <v>356</v>
      </c>
      <c r="H232" t="s">
        <v>353</v>
      </c>
      <c r="I232">
        <v>3700039</v>
      </c>
      <c r="J232" t="s">
        <v>1107</v>
      </c>
      <c r="L232" t="s">
        <v>390</v>
      </c>
      <c r="N232" t="s">
        <v>1108</v>
      </c>
      <c r="O232" t="s">
        <v>1109</v>
      </c>
      <c r="R232" t="s">
        <v>1110</v>
      </c>
      <c r="S232" s="34" t="s">
        <v>1111</v>
      </c>
    </row>
    <row r="233" spans="1:19" x14ac:dyDescent="0.15">
      <c r="A233" t="s">
        <v>1095</v>
      </c>
      <c r="B233" s="61">
        <v>46600</v>
      </c>
      <c r="E233" t="s">
        <v>355</v>
      </c>
      <c r="F233" t="s">
        <v>364</v>
      </c>
      <c r="H233" t="s">
        <v>365</v>
      </c>
      <c r="I233">
        <v>3700344</v>
      </c>
      <c r="J233" t="s">
        <v>1112</v>
      </c>
      <c r="K233" t="s">
        <v>1113</v>
      </c>
      <c r="L233" t="s">
        <v>1114</v>
      </c>
      <c r="N233" t="s">
        <v>1115</v>
      </c>
      <c r="O233" t="s">
        <v>1116</v>
      </c>
    </row>
    <row r="234" spans="1:19" ht="409.5" x14ac:dyDescent="0.15">
      <c r="A234" t="s">
        <v>1095</v>
      </c>
      <c r="B234" s="61">
        <v>46631</v>
      </c>
      <c r="E234" t="s">
        <v>355</v>
      </c>
      <c r="F234" t="s">
        <v>720</v>
      </c>
      <c r="H234" t="s">
        <v>353</v>
      </c>
      <c r="I234">
        <v>3700313</v>
      </c>
      <c r="J234" t="s">
        <v>1117</v>
      </c>
      <c r="L234" t="s">
        <v>1118</v>
      </c>
      <c r="N234" t="s">
        <v>1119</v>
      </c>
      <c r="O234" t="s">
        <v>1120</v>
      </c>
      <c r="R234" t="s">
        <v>1121</v>
      </c>
      <c r="S234" s="34" t="s">
        <v>1122</v>
      </c>
    </row>
    <row r="235" spans="1:19" ht="409.5" x14ac:dyDescent="0.15">
      <c r="A235" t="s">
        <v>1095</v>
      </c>
      <c r="B235" s="61">
        <v>46966</v>
      </c>
      <c r="E235" t="s">
        <v>355</v>
      </c>
      <c r="F235" t="s">
        <v>385</v>
      </c>
      <c r="H235" t="s">
        <v>353</v>
      </c>
      <c r="I235">
        <v>3700150</v>
      </c>
      <c r="J235" t="s">
        <v>873</v>
      </c>
      <c r="K235" t="s">
        <v>1123</v>
      </c>
      <c r="L235" t="s">
        <v>1114</v>
      </c>
      <c r="N235" t="s">
        <v>1124</v>
      </c>
      <c r="O235" t="s">
        <v>1125</v>
      </c>
      <c r="R235" t="s">
        <v>1126</v>
      </c>
      <c r="S235" s="34" t="s">
        <v>1127</v>
      </c>
    </row>
    <row r="236" spans="1:19" x14ac:dyDescent="0.15">
      <c r="A236" t="s">
        <v>1095</v>
      </c>
      <c r="B236" s="61">
        <v>47058</v>
      </c>
      <c r="E236" t="s">
        <v>355</v>
      </c>
      <c r="F236" t="s">
        <v>364</v>
      </c>
      <c r="H236" t="s">
        <v>353</v>
      </c>
      <c r="I236">
        <v>3700372</v>
      </c>
      <c r="J236" t="s">
        <v>1128</v>
      </c>
      <c r="K236" t="s">
        <v>1129</v>
      </c>
      <c r="L236" t="s">
        <v>1130</v>
      </c>
      <c r="N236" t="s">
        <v>1131</v>
      </c>
      <c r="O236" t="s">
        <v>1132</v>
      </c>
    </row>
    <row r="237" spans="1:19" x14ac:dyDescent="0.15">
      <c r="A237" t="s">
        <v>1095</v>
      </c>
      <c r="B237" s="61">
        <v>47058</v>
      </c>
      <c r="E237" t="s">
        <v>355</v>
      </c>
      <c r="F237" t="s">
        <v>364</v>
      </c>
      <c r="H237" t="s">
        <v>353</v>
      </c>
      <c r="I237">
        <v>3700381</v>
      </c>
      <c r="J237" t="s">
        <v>1128</v>
      </c>
      <c r="K237" t="s">
        <v>1129</v>
      </c>
      <c r="L237" t="s">
        <v>1133</v>
      </c>
      <c r="N237" t="s">
        <v>1134</v>
      </c>
      <c r="O237" t="s">
        <v>1135</v>
      </c>
    </row>
    <row r="238" spans="1:19" ht="409.5" x14ac:dyDescent="0.15">
      <c r="A238" t="s">
        <v>1095</v>
      </c>
      <c r="B238" s="61">
        <v>47088</v>
      </c>
      <c r="E238" t="s">
        <v>355</v>
      </c>
      <c r="F238" t="s">
        <v>385</v>
      </c>
      <c r="H238" t="s">
        <v>353</v>
      </c>
      <c r="I238">
        <v>3700364</v>
      </c>
      <c r="J238" t="s">
        <v>1136</v>
      </c>
      <c r="K238" t="s">
        <v>1137</v>
      </c>
      <c r="L238" t="s">
        <v>1138</v>
      </c>
      <c r="N238" t="s">
        <v>1139</v>
      </c>
      <c r="O238" t="s">
        <v>1140</v>
      </c>
      <c r="R238" s="34" t="s">
        <v>1141</v>
      </c>
      <c r="S238" s="34" t="s">
        <v>1142</v>
      </c>
    </row>
    <row r="239" spans="1:19" ht="409.5" x14ac:dyDescent="0.15">
      <c r="A239" t="s">
        <v>1095</v>
      </c>
      <c r="B239" s="61">
        <v>47484</v>
      </c>
      <c r="E239" t="s">
        <v>355</v>
      </c>
      <c r="F239" t="s">
        <v>385</v>
      </c>
      <c r="H239" t="s">
        <v>353</v>
      </c>
      <c r="I239">
        <v>3700375</v>
      </c>
      <c r="J239" t="s">
        <v>1096</v>
      </c>
      <c r="L239" t="s">
        <v>1097</v>
      </c>
      <c r="N239" t="s">
        <v>1098</v>
      </c>
      <c r="O239" t="s">
        <v>1099</v>
      </c>
      <c r="R239" t="s">
        <v>1143</v>
      </c>
      <c r="S239" s="34" t="s">
        <v>1100</v>
      </c>
    </row>
    <row r="240" spans="1:19" ht="229.5" x14ac:dyDescent="0.15">
      <c r="A240" t="s">
        <v>1095</v>
      </c>
      <c r="B240" s="61">
        <v>47939</v>
      </c>
      <c r="E240" t="s">
        <v>355</v>
      </c>
      <c r="F240" t="s">
        <v>385</v>
      </c>
      <c r="H240" t="s">
        <v>353</v>
      </c>
      <c r="I240">
        <v>3700039</v>
      </c>
      <c r="J240" t="s">
        <v>1107</v>
      </c>
      <c r="L240" t="s">
        <v>390</v>
      </c>
      <c r="N240" t="s">
        <v>1108</v>
      </c>
      <c r="O240" t="s">
        <v>1109</v>
      </c>
      <c r="R240" t="s">
        <v>1144</v>
      </c>
      <c r="S240" s="34" t="s">
        <v>1111</v>
      </c>
    </row>
    <row r="241" spans="1:19" ht="391.5" x14ac:dyDescent="0.15">
      <c r="A241" t="s">
        <v>6546</v>
      </c>
      <c r="B241" s="61">
        <v>46327</v>
      </c>
      <c r="E241" t="s">
        <v>355</v>
      </c>
      <c r="F241" t="s">
        <v>356</v>
      </c>
      <c r="G241" t="s">
        <v>7507</v>
      </c>
      <c r="H241" t="s">
        <v>365</v>
      </c>
      <c r="I241">
        <v>100231</v>
      </c>
      <c r="J241" t="s">
        <v>1149</v>
      </c>
      <c r="L241" t="s">
        <v>1150</v>
      </c>
      <c r="N241" t="s">
        <v>1151</v>
      </c>
      <c r="O241" t="s">
        <v>1152</v>
      </c>
      <c r="P241" t="s">
        <v>7529</v>
      </c>
      <c r="Q241" t="s">
        <v>7530</v>
      </c>
      <c r="R241" t="s">
        <v>362</v>
      </c>
      <c r="S241" s="34" t="s">
        <v>1153</v>
      </c>
    </row>
    <row r="242" spans="1:19" ht="409.5" x14ac:dyDescent="0.15">
      <c r="A242" t="s">
        <v>1145</v>
      </c>
      <c r="B242" s="61">
        <v>46357</v>
      </c>
      <c r="E242" t="s">
        <v>355</v>
      </c>
      <c r="F242" t="s">
        <v>356</v>
      </c>
      <c r="H242" t="s">
        <v>353</v>
      </c>
      <c r="I242">
        <v>100843</v>
      </c>
      <c r="J242" t="s">
        <v>516</v>
      </c>
      <c r="K242" t="s">
        <v>1154</v>
      </c>
      <c r="L242" t="s">
        <v>1155</v>
      </c>
      <c r="N242" t="s">
        <v>1156</v>
      </c>
      <c r="O242" t="s">
        <v>1157</v>
      </c>
      <c r="Q242" s="34" t="s">
        <v>7658</v>
      </c>
      <c r="R242" s="34" t="s">
        <v>7659</v>
      </c>
      <c r="S242" s="34" t="s">
        <v>1158</v>
      </c>
    </row>
    <row r="243" spans="1:19" ht="409.5" x14ac:dyDescent="0.15">
      <c r="A243" t="s">
        <v>1145</v>
      </c>
      <c r="B243" s="61">
        <v>46357</v>
      </c>
      <c r="E243" t="s">
        <v>355</v>
      </c>
      <c r="F243" t="s">
        <v>356</v>
      </c>
      <c r="H243" t="s">
        <v>365</v>
      </c>
      <c r="I243">
        <v>100115</v>
      </c>
      <c r="J243" t="s">
        <v>1159</v>
      </c>
      <c r="K243" t="s">
        <v>1160</v>
      </c>
      <c r="L243" t="s">
        <v>1161</v>
      </c>
      <c r="N243" t="s">
        <v>1162</v>
      </c>
      <c r="O243" t="s">
        <v>1163</v>
      </c>
      <c r="R243" t="s">
        <v>362</v>
      </c>
      <c r="S243" s="34" t="s">
        <v>1164</v>
      </c>
    </row>
    <row r="244" spans="1:19" x14ac:dyDescent="0.15">
      <c r="A244" t="s">
        <v>1145</v>
      </c>
      <c r="B244" s="61">
        <v>46419</v>
      </c>
      <c r="E244" t="s">
        <v>355</v>
      </c>
      <c r="F244" t="s">
        <v>364</v>
      </c>
      <c r="H244" t="s">
        <v>353</v>
      </c>
      <c r="I244">
        <v>100872</v>
      </c>
      <c r="J244" t="s">
        <v>1165</v>
      </c>
      <c r="K244" t="s">
        <v>1166</v>
      </c>
      <c r="L244" t="s">
        <v>1167</v>
      </c>
      <c r="N244" t="s">
        <v>1168</v>
      </c>
      <c r="O244" t="s">
        <v>1169</v>
      </c>
    </row>
    <row r="245" spans="1:19" x14ac:dyDescent="0.15">
      <c r="A245" t="s">
        <v>1145</v>
      </c>
      <c r="B245" s="61">
        <v>46447</v>
      </c>
      <c r="E245" t="s">
        <v>355</v>
      </c>
      <c r="F245" t="s">
        <v>364</v>
      </c>
      <c r="H245" t="s">
        <v>353</v>
      </c>
      <c r="I245">
        <v>100885</v>
      </c>
      <c r="J245" t="s">
        <v>1170</v>
      </c>
      <c r="L245" t="s">
        <v>1171</v>
      </c>
      <c r="N245" t="s">
        <v>1172</v>
      </c>
      <c r="O245" t="s">
        <v>1173</v>
      </c>
    </row>
    <row r="246" spans="1:19" x14ac:dyDescent="0.15">
      <c r="A246" t="s">
        <v>1145</v>
      </c>
      <c r="B246" s="61">
        <v>46478</v>
      </c>
      <c r="E246" t="s">
        <v>355</v>
      </c>
      <c r="F246" t="s">
        <v>364</v>
      </c>
      <c r="H246" t="s">
        <v>365</v>
      </c>
      <c r="I246">
        <v>100810</v>
      </c>
      <c r="J246" t="s">
        <v>1174</v>
      </c>
      <c r="K246" t="s">
        <v>1175</v>
      </c>
      <c r="L246" t="s">
        <v>1176</v>
      </c>
      <c r="N246" t="s">
        <v>1177</v>
      </c>
      <c r="O246" t="s">
        <v>1178</v>
      </c>
    </row>
    <row r="247" spans="1:19" x14ac:dyDescent="0.15">
      <c r="A247" t="s">
        <v>1145</v>
      </c>
      <c r="B247" s="61">
        <v>46539</v>
      </c>
      <c r="E247" t="s">
        <v>355</v>
      </c>
      <c r="F247" t="s">
        <v>364</v>
      </c>
      <c r="H247" t="s">
        <v>353</v>
      </c>
      <c r="I247">
        <v>100671</v>
      </c>
      <c r="J247" t="s">
        <v>1179</v>
      </c>
      <c r="L247" t="s">
        <v>1180</v>
      </c>
      <c r="N247" t="s">
        <v>1181</v>
      </c>
      <c r="O247" t="s">
        <v>1182</v>
      </c>
    </row>
    <row r="248" spans="1:19" x14ac:dyDescent="0.15">
      <c r="A248" t="s">
        <v>1145</v>
      </c>
      <c r="B248" s="61">
        <v>46569</v>
      </c>
      <c r="E248" t="s">
        <v>355</v>
      </c>
      <c r="F248" t="s">
        <v>364</v>
      </c>
      <c r="H248" t="s">
        <v>365</v>
      </c>
      <c r="I248">
        <v>100822</v>
      </c>
      <c r="J248" t="s">
        <v>1183</v>
      </c>
      <c r="K248" t="s">
        <v>1184</v>
      </c>
      <c r="L248" t="s">
        <v>1148</v>
      </c>
      <c r="N248" t="s">
        <v>1185</v>
      </c>
      <c r="O248" t="s">
        <v>1186</v>
      </c>
    </row>
    <row r="249" spans="1:19" ht="409.5" x14ac:dyDescent="0.15">
      <c r="A249" t="s">
        <v>1145</v>
      </c>
      <c r="B249" s="61">
        <v>46569</v>
      </c>
      <c r="E249" t="s">
        <v>355</v>
      </c>
      <c r="F249" t="s">
        <v>385</v>
      </c>
      <c r="H249" t="s">
        <v>365</v>
      </c>
      <c r="I249">
        <v>100115</v>
      </c>
      <c r="J249" t="s">
        <v>1159</v>
      </c>
      <c r="K249" t="s">
        <v>1160</v>
      </c>
      <c r="L249" t="s">
        <v>1161</v>
      </c>
      <c r="N249" t="s">
        <v>1187</v>
      </c>
      <c r="O249" t="s">
        <v>1163</v>
      </c>
      <c r="R249" t="s">
        <v>395</v>
      </c>
      <c r="S249" s="34" t="s">
        <v>1188</v>
      </c>
    </row>
    <row r="250" spans="1:19" x14ac:dyDescent="0.15">
      <c r="A250" t="s">
        <v>1145</v>
      </c>
      <c r="B250" s="61">
        <v>46600</v>
      </c>
      <c r="E250" t="s">
        <v>355</v>
      </c>
      <c r="F250" t="s">
        <v>364</v>
      </c>
      <c r="H250" t="s">
        <v>365</v>
      </c>
      <c r="I250">
        <v>100060</v>
      </c>
      <c r="J250" t="s">
        <v>1189</v>
      </c>
      <c r="K250" t="s">
        <v>1190</v>
      </c>
      <c r="L250" t="s">
        <v>1191</v>
      </c>
      <c r="N250" t="s">
        <v>1192</v>
      </c>
      <c r="O250" t="s">
        <v>1193</v>
      </c>
    </row>
    <row r="251" spans="1:19" ht="409.5" x14ac:dyDescent="0.15">
      <c r="A251" t="s">
        <v>1145</v>
      </c>
      <c r="B251" s="61">
        <v>46661</v>
      </c>
      <c r="E251" t="s">
        <v>355</v>
      </c>
      <c r="F251" t="s">
        <v>385</v>
      </c>
      <c r="H251" t="s">
        <v>353</v>
      </c>
      <c r="I251">
        <v>100826</v>
      </c>
      <c r="J251" t="s">
        <v>516</v>
      </c>
      <c r="K251" t="s">
        <v>1194</v>
      </c>
      <c r="L251" t="s">
        <v>1195</v>
      </c>
      <c r="N251" t="s">
        <v>1196</v>
      </c>
      <c r="O251" t="s">
        <v>1197</v>
      </c>
      <c r="R251" t="s">
        <v>386</v>
      </c>
      <c r="S251" s="34" t="s">
        <v>1198</v>
      </c>
    </row>
    <row r="252" spans="1:19" ht="243" x14ac:dyDescent="0.15">
      <c r="A252" t="s">
        <v>1145</v>
      </c>
      <c r="B252" s="61">
        <v>46753</v>
      </c>
      <c r="E252" t="s">
        <v>355</v>
      </c>
      <c r="F252" t="s">
        <v>385</v>
      </c>
      <c r="H252" t="s">
        <v>365</v>
      </c>
      <c r="I252">
        <v>100826</v>
      </c>
      <c r="J252" t="s">
        <v>516</v>
      </c>
      <c r="K252" t="s">
        <v>1194</v>
      </c>
      <c r="L252" t="s">
        <v>1195</v>
      </c>
      <c r="N252" t="s">
        <v>1199</v>
      </c>
      <c r="O252" t="s">
        <v>1197</v>
      </c>
      <c r="R252" t="s">
        <v>395</v>
      </c>
      <c r="S252" s="34" t="s">
        <v>1200</v>
      </c>
    </row>
    <row r="253" spans="1:19" x14ac:dyDescent="0.15">
      <c r="A253" t="s">
        <v>1145</v>
      </c>
      <c r="B253" s="61">
        <v>46784</v>
      </c>
      <c r="E253" t="s">
        <v>355</v>
      </c>
      <c r="F253" t="s">
        <v>364</v>
      </c>
      <c r="H253" t="s">
        <v>353</v>
      </c>
      <c r="I253">
        <v>100721</v>
      </c>
      <c r="J253" t="s">
        <v>1201</v>
      </c>
      <c r="L253" t="s">
        <v>833</v>
      </c>
      <c r="N253" t="s">
        <v>1202</v>
      </c>
      <c r="O253" t="s">
        <v>1203</v>
      </c>
    </row>
    <row r="254" spans="1:19" x14ac:dyDescent="0.15">
      <c r="A254" t="s">
        <v>1145</v>
      </c>
      <c r="B254" s="61">
        <v>46844</v>
      </c>
      <c r="E254" t="s">
        <v>355</v>
      </c>
      <c r="F254" t="s">
        <v>364</v>
      </c>
      <c r="H254" t="s">
        <v>353</v>
      </c>
      <c r="I254">
        <v>100024</v>
      </c>
      <c r="J254" t="s">
        <v>1204</v>
      </c>
      <c r="L254" t="s">
        <v>1205</v>
      </c>
      <c r="N254" t="s">
        <v>1206</v>
      </c>
      <c r="O254" t="s">
        <v>1207</v>
      </c>
    </row>
    <row r="255" spans="1:19" x14ac:dyDescent="0.15">
      <c r="A255" t="s">
        <v>1145</v>
      </c>
      <c r="B255" s="61">
        <v>46905</v>
      </c>
      <c r="E255" t="s">
        <v>355</v>
      </c>
      <c r="F255" t="s">
        <v>364</v>
      </c>
      <c r="H255" t="s">
        <v>353</v>
      </c>
      <c r="I255">
        <v>100331</v>
      </c>
      <c r="J255" t="s">
        <v>1208</v>
      </c>
      <c r="L255" t="s">
        <v>1209</v>
      </c>
      <c r="N255" t="s">
        <v>1210</v>
      </c>
      <c r="O255" t="s">
        <v>1211</v>
      </c>
    </row>
    <row r="256" spans="1:19" x14ac:dyDescent="0.15">
      <c r="A256" t="s">
        <v>1145</v>
      </c>
      <c r="B256" s="61">
        <v>46935</v>
      </c>
      <c r="E256" t="s">
        <v>355</v>
      </c>
      <c r="F256" t="s">
        <v>364</v>
      </c>
      <c r="H256" t="s">
        <v>353</v>
      </c>
      <c r="I256">
        <v>100002</v>
      </c>
      <c r="J256" t="s">
        <v>1212</v>
      </c>
      <c r="K256" t="s">
        <v>1213</v>
      </c>
      <c r="L256" t="s">
        <v>1214</v>
      </c>
      <c r="N256" t="s">
        <v>1215</v>
      </c>
      <c r="O256" t="s">
        <v>1216</v>
      </c>
    </row>
    <row r="257" spans="1:19" x14ac:dyDescent="0.15">
      <c r="A257" t="s">
        <v>1145</v>
      </c>
      <c r="B257" s="61">
        <v>47027</v>
      </c>
      <c r="E257" t="s">
        <v>355</v>
      </c>
      <c r="F257" t="s">
        <v>364</v>
      </c>
      <c r="H257" t="s">
        <v>353</v>
      </c>
      <c r="I257">
        <v>100315</v>
      </c>
      <c r="J257" t="s">
        <v>1217</v>
      </c>
      <c r="K257" t="s">
        <v>1218</v>
      </c>
      <c r="L257" t="s">
        <v>1219</v>
      </c>
      <c r="N257" t="s">
        <v>1220</v>
      </c>
      <c r="O257" t="s">
        <v>1221</v>
      </c>
    </row>
    <row r="258" spans="1:19" x14ac:dyDescent="0.15">
      <c r="A258" t="s">
        <v>1145</v>
      </c>
      <c r="B258" s="61">
        <v>47150</v>
      </c>
      <c r="E258" t="s">
        <v>355</v>
      </c>
      <c r="F258" t="s">
        <v>364</v>
      </c>
      <c r="H258" t="s">
        <v>353</v>
      </c>
      <c r="I258">
        <v>100864</v>
      </c>
      <c r="J258" t="s">
        <v>1212</v>
      </c>
      <c r="K258" t="s">
        <v>1213</v>
      </c>
      <c r="L258" t="s">
        <v>1222</v>
      </c>
      <c r="N258" t="s">
        <v>1223</v>
      </c>
      <c r="O258" t="s">
        <v>1224</v>
      </c>
    </row>
    <row r="259" spans="1:19" x14ac:dyDescent="0.15">
      <c r="A259" t="s">
        <v>6546</v>
      </c>
      <c r="B259" s="61">
        <v>47239</v>
      </c>
      <c r="E259" t="s">
        <v>355</v>
      </c>
      <c r="F259" t="s">
        <v>364</v>
      </c>
      <c r="H259" t="s">
        <v>353</v>
      </c>
      <c r="I259">
        <v>100596</v>
      </c>
      <c r="J259" t="s">
        <v>1225</v>
      </c>
      <c r="K259" t="s">
        <v>1147</v>
      </c>
      <c r="L259" t="s">
        <v>1191</v>
      </c>
      <c r="N259" t="s">
        <v>1226</v>
      </c>
      <c r="O259" t="s">
        <v>1227</v>
      </c>
    </row>
    <row r="260" spans="1:19" ht="391.5" x14ac:dyDescent="0.15">
      <c r="A260" t="s">
        <v>1145</v>
      </c>
      <c r="B260" s="61">
        <v>47453</v>
      </c>
      <c r="E260" t="s">
        <v>355</v>
      </c>
      <c r="F260" t="s">
        <v>385</v>
      </c>
      <c r="H260" t="s">
        <v>365</v>
      </c>
      <c r="I260">
        <v>100861</v>
      </c>
      <c r="J260" t="s">
        <v>1228</v>
      </c>
      <c r="K260" t="s">
        <v>1229</v>
      </c>
      <c r="L260" t="s">
        <v>1230</v>
      </c>
      <c r="N260" t="s">
        <v>1231</v>
      </c>
      <c r="O260" t="s">
        <v>1232</v>
      </c>
      <c r="R260" t="s">
        <v>395</v>
      </c>
      <c r="S260" s="34" t="s">
        <v>1233</v>
      </c>
    </row>
    <row r="261" spans="1:19" ht="391.5" x14ac:dyDescent="0.15">
      <c r="A261" t="s">
        <v>6546</v>
      </c>
      <c r="B261" s="61">
        <v>47788</v>
      </c>
      <c r="E261" t="s">
        <v>355</v>
      </c>
      <c r="F261" t="s">
        <v>385</v>
      </c>
      <c r="H261" t="s">
        <v>365</v>
      </c>
      <c r="I261">
        <v>100231</v>
      </c>
      <c r="J261" t="s">
        <v>1149</v>
      </c>
      <c r="L261" t="s">
        <v>1150</v>
      </c>
      <c r="N261" t="s">
        <v>1151</v>
      </c>
      <c r="O261" t="s">
        <v>1152</v>
      </c>
      <c r="R261" t="s">
        <v>395</v>
      </c>
      <c r="S261" s="34" t="s">
        <v>1153</v>
      </c>
    </row>
    <row r="262" spans="1:19" ht="409.5" x14ac:dyDescent="0.15">
      <c r="A262" t="s">
        <v>1145</v>
      </c>
      <c r="B262" s="61">
        <v>47818</v>
      </c>
      <c r="E262" t="s">
        <v>355</v>
      </c>
      <c r="F262" t="s">
        <v>385</v>
      </c>
      <c r="H262" t="s">
        <v>353</v>
      </c>
      <c r="I262">
        <v>100843</v>
      </c>
      <c r="J262" t="s">
        <v>516</v>
      </c>
      <c r="K262" t="s">
        <v>1154</v>
      </c>
      <c r="L262" t="s">
        <v>1155</v>
      </c>
      <c r="N262" t="s">
        <v>1156</v>
      </c>
      <c r="O262" t="s">
        <v>1157</v>
      </c>
      <c r="R262" t="s">
        <v>386</v>
      </c>
      <c r="S262" s="34" t="s">
        <v>1158</v>
      </c>
    </row>
    <row r="263" spans="1:19" ht="409.5" x14ac:dyDescent="0.15">
      <c r="A263" t="s">
        <v>1145</v>
      </c>
      <c r="B263" s="61">
        <v>47818</v>
      </c>
      <c r="E263" t="s">
        <v>355</v>
      </c>
      <c r="F263" t="s">
        <v>385</v>
      </c>
      <c r="H263" t="s">
        <v>365</v>
      </c>
      <c r="I263">
        <v>100115</v>
      </c>
      <c r="J263" t="s">
        <v>1159</v>
      </c>
      <c r="K263" t="s">
        <v>1160</v>
      </c>
      <c r="L263" t="s">
        <v>1161</v>
      </c>
      <c r="N263" t="s">
        <v>1162</v>
      </c>
      <c r="O263" t="s">
        <v>1163</v>
      </c>
      <c r="R263" t="s">
        <v>395</v>
      </c>
      <c r="S263" s="34" t="s">
        <v>1164</v>
      </c>
    </row>
    <row r="264" spans="1:19" x14ac:dyDescent="0.15">
      <c r="A264" t="s">
        <v>1145</v>
      </c>
      <c r="B264" s="61">
        <v>47880</v>
      </c>
      <c r="E264" t="s">
        <v>355</v>
      </c>
      <c r="F264" t="s">
        <v>364</v>
      </c>
      <c r="H264" t="s">
        <v>353</v>
      </c>
      <c r="I264">
        <v>100872</v>
      </c>
      <c r="J264" t="s">
        <v>1165</v>
      </c>
      <c r="K264" t="s">
        <v>1166</v>
      </c>
      <c r="L264" t="s">
        <v>1167</v>
      </c>
      <c r="N264" t="s">
        <v>1168</v>
      </c>
      <c r="O264" t="s">
        <v>1169</v>
      </c>
    </row>
    <row r="265" spans="1:19" x14ac:dyDescent="0.15">
      <c r="A265" t="s">
        <v>1145</v>
      </c>
      <c r="B265" s="61">
        <v>47908</v>
      </c>
      <c r="E265" t="s">
        <v>355</v>
      </c>
      <c r="F265" t="s">
        <v>364</v>
      </c>
      <c r="H265" t="s">
        <v>353</v>
      </c>
      <c r="I265">
        <v>100885</v>
      </c>
      <c r="J265" t="s">
        <v>1170</v>
      </c>
      <c r="L265" t="s">
        <v>1171</v>
      </c>
      <c r="N265" t="s">
        <v>1172</v>
      </c>
      <c r="O265" t="s">
        <v>1173</v>
      </c>
    </row>
    <row r="266" spans="1:19" x14ac:dyDescent="0.15">
      <c r="A266" t="s">
        <v>1145</v>
      </c>
      <c r="B266" s="61">
        <v>48061</v>
      </c>
      <c r="E266" t="s">
        <v>355</v>
      </c>
      <c r="F266" t="s">
        <v>364</v>
      </c>
      <c r="H266" t="s">
        <v>365</v>
      </c>
      <c r="I266">
        <v>100060</v>
      </c>
      <c r="J266" t="s">
        <v>1189</v>
      </c>
      <c r="K266" t="s">
        <v>1190</v>
      </c>
      <c r="L266" t="s">
        <v>1191</v>
      </c>
      <c r="N266" t="s">
        <v>1192</v>
      </c>
      <c r="O266" t="s">
        <v>1193</v>
      </c>
    </row>
    <row r="267" spans="1:19" ht="405" x14ac:dyDescent="0.15">
      <c r="A267" t="s">
        <v>1234</v>
      </c>
      <c r="B267" s="61">
        <v>46327</v>
      </c>
      <c r="E267" t="s">
        <v>355</v>
      </c>
      <c r="F267" t="s">
        <v>385</v>
      </c>
      <c r="H267" t="s">
        <v>310</v>
      </c>
      <c r="I267">
        <v>2400067</v>
      </c>
      <c r="J267" t="s">
        <v>1246</v>
      </c>
      <c r="K267" t="s">
        <v>5183</v>
      </c>
      <c r="L267" t="s">
        <v>413</v>
      </c>
      <c r="N267" t="s">
        <v>1247</v>
      </c>
      <c r="O267" t="s">
        <v>1248</v>
      </c>
      <c r="P267" t="s">
        <v>5184</v>
      </c>
      <c r="Q267" t="s">
        <v>5185</v>
      </c>
      <c r="R267" s="34" t="s">
        <v>5186</v>
      </c>
      <c r="S267" s="34" t="s">
        <v>1249</v>
      </c>
    </row>
    <row r="268" spans="1:19" x14ac:dyDescent="0.15">
      <c r="A268" t="s">
        <v>1234</v>
      </c>
      <c r="B268" s="61">
        <v>46388</v>
      </c>
      <c r="E268" t="s">
        <v>355</v>
      </c>
      <c r="F268" t="s">
        <v>364</v>
      </c>
      <c r="H268" t="s">
        <v>353</v>
      </c>
      <c r="I268">
        <v>2401178</v>
      </c>
      <c r="J268" t="s">
        <v>1250</v>
      </c>
      <c r="K268" t="s">
        <v>1251</v>
      </c>
      <c r="L268" t="s">
        <v>718</v>
      </c>
      <c r="N268" t="s">
        <v>1252</v>
      </c>
      <c r="O268" t="s">
        <v>1253</v>
      </c>
    </row>
    <row r="269" spans="1:19" x14ac:dyDescent="0.15">
      <c r="A269" t="s">
        <v>1234</v>
      </c>
      <c r="B269" s="61">
        <v>46478</v>
      </c>
      <c r="E269" t="s">
        <v>355</v>
      </c>
      <c r="F269" t="s">
        <v>364</v>
      </c>
      <c r="H269" t="s">
        <v>353</v>
      </c>
      <c r="I269">
        <v>2401178</v>
      </c>
      <c r="J269" t="s">
        <v>1250</v>
      </c>
      <c r="K269" t="s">
        <v>1251</v>
      </c>
      <c r="L269" t="s">
        <v>718</v>
      </c>
      <c r="N269" t="s">
        <v>1254</v>
      </c>
      <c r="O269" t="s">
        <v>1253</v>
      </c>
    </row>
    <row r="270" spans="1:19" ht="40.5" x14ac:dyDescent="0.15">
      <c r="A270" t="s">
        <v>1234</v>
      </c>
      <c r="B270" s="61">
        <v>46539</v>
      </c>
      <c r="E270" t="s">
        <v>355</v>
      </c>
      <c r="F270" t="s">
        <v>364</v>
      </c>
      <c r="H270" t="s">
        <v>353</v>
      </c>
      <c r="I270">
        <v>2401238</v>
      </c>
      <c r="J270" t="s">
        <v>1255</v>
      </c>
      <c r="K270" t="s">
        <v>1256</v>
      </c>
      <c r="L270" t="s">
        <v>466</v>
      </c>
      <c r="N270" s="34" t="s">
        <v>1257</v>
      </c>
      <c r="O270" t="s">
        <v>1258</v>
      </c>
    </row>
    <row r="271" spans="1:19" x14ac:dyDescent="0.15">
      <c r="A271" t="s">
        <v>1234</v>
      </c>
      <c r="B271" s="61">
        <v>46692</v>
      </c>
      <c r="E271" t="s">
        <v>355</v>
      </c>
      <c r="F271" t="s">
        <v>364</v>
      </c>
      <c r="H271" t="s">
        <v>365</v>
      </c>
      <c r="I271">
        <v>2400137</v>
      </c>
      <c r="J271" t="s">
        <v>1259</v>
      </c>
      <c r="K271" t="s">
        <v>1260</v>
      </c>
      <c r="L271" t="s">
        <v>1261</v>
      </c>
      <c r="N271" t="s">
        <v>1262</v>
      </c>
      <c r="O271" t="s">
        <v>1263</v>
      </c>
    </row>
    <row r="272" spans="1:19" x14ac:dyDescent="0.15">
      <c r="A272" t="s">
        <v>1234</v>
      </c>
      <c r="B272" s="61">
        <v>46753</v>
      </c>
      <c r="E272" t="s">
        <v>355</v>
      </c>
      <c r="F272" t="s">
        <v>364</v>
      </c>
      <c r="H272" t="s">
        <v>365</v>
      </c>
      <c r="I272">
        <v>2401190</v>
      </c>
      <c r="J272" t="s">
        <v>1264</v>
      </c>
      <c r="K272" t="s">
        <v>1265</v>
      </c>
      <c r="L272" t="s">
        <v>1266</v>
      </c>
      <c r="N272" t="s">
        <v>1267</v>
      </c>
      <c r="O272" t="s">
        <v>1268</v>
      </c>
    </row>
    <row r="273" spans="1:19" x14ac:dyDescent="0.15">
      <c r="A273" t="s">
        <v>1234</v>
      </c>
      <c r="B273" s="61">
        <v>46813</v>
      </c>
      <c r="E273" t="s">
        <v>355</v>
      </c>
      <c r="F273" t="s">
        <v>364</v>
      </c>
      <c r="H273" t="s">
        <v>365</v>
      </c>
      <c r="I273">
        <v>2400761</v>
      </c>
      <c r="J273" t="s">
        <v>1269</v>
      </c>
      <c r="K273" t="s">
        <v>1270</v>
      </c>
      <c r="L273" t="s">
        <v>1271</v>
      </c>
      <c r="N273" t="s">
        <v>1272</v>
      </c>
      <c r="O273" t="s">
        <v>1273</v>
      </c>
    </row>
    <row r="274" spans="1:19" x14ac:dyDescent="0.15">
      <c r="A274" t="s">
        <v>1234</v>
      </c>
      <c r="B274" s="61">
        <v>46844</v>
      </c>
      <c r="E274" t="s">
        <v>355</v>
      </c>
      <c r="F274" t="s">
        <v>364</v>
      </c>
      <c r="H274" t="s">
        <v>353</v>
      </c>
      <c r="I274">
        <v>2401259</v>
      </c>
      <c r="J274" t="s">
        <v>1274</v>
      </c>
      <c r="K274" t="s">
        <v>1275</v>
      </c>
      <c r="L274" t="s">
        <v>1276</v>
      </c>
      <c r="N274" t="s">
        <v>1277</v>
      </c>
      <c r="O274" t="s">
        <v>1278</v>
      </c>
    </row>
    <row r="275" spans="1:19" x14ac:dyDescent="0.15">
      <c r="A275" t="s">
        <v>1234</v>
      </c>
      <c r="B275" s="61">
        <v>46874</v>
      </c>
      <c r="E275" t="s">
        <v>355</v>
      </c>
      <c r="F275" t="s">
        <v>364</v>
      </c>
      <c r="H275" t="s">
        <v>365</v>
      </c>
      <c r="I275">
        <v>2401224</v>
      </c>
      <c r="J275" t="s">
        <v>1279</v>
      </c>
      <c r="K275" t="s">
        <v>1280</v>
      </c>
      <c r="L275" t="s">
        <v>1281</v>
      </c>
      <c r="N275" t="s">
        <v>1282</v>
      </c>
      <c r="O275" t="s">
        <v>1283</v>
      </c>
    </row>
    <row r="276" spans="1:19" x14ac:dyDescent="0.15">
      <c r="A276" t="s">
        <v>1234</v>
      </c>
      <c r="B276" s="61">
        <v>47027</v>
      </c>
      <c r="E276" t="s">
        <v>355</v>
      </c>
      <c r="F276" t="s">
        <v>364</v>
      </c>
      <c r="H276" t="s">
        <v>365</v>
      </c>
      <c r="I276">
        <v>2303217</v>
      </c>
      <c r="J276" t="s">
        <v>1284</v>
      </c>
      <c r="K276" t="s">
        <v>1285</v>
      </c>
      <c r="L276" t="s">
        <v>1087</v>
      </c>
      <c r="N276" t="s">
        <v>1286</v>
      </c>
      <c r="O276" t="s">
        <v>1287</v>
      </c>
    </row>
    <row r="277" spans="1:19" x14ac:dyDescent="0.15">
      <c r="A277" t="s">
        <v>1234</v>
      </c>
      <c r="B277" s="61">
        <v>47150</v>
      </c>
      <c r="E277" t="s">
        <v>355</v>
      </c>
      <c r="F277" t="s">
        <v>364</v>
      </c>
      <c r="H277" t="s">
        <v>353</v>
      </c>
      <c r="I277">
        <v>2400814</v>
      </c>
      <c r="J277" t="s">
        <v>1288</v>
      </c>
      <c r="K277" t="s">
        <v>1265</v>
      </c>
      <c r="L277" t="s">
        <v>1289</v>
      </c>
      <c r="N277" t="s">
        <v>1290</v>
      </c>
      <c r="O277" t="s">
        <v>1291</v>
      </c>
    </row>
    <row r="278" spans="1:19" ht="243" x14ac:dyDescent="0.15">
      <c r="A278" t="s">
        <v>1234</v>
      </c>
      <c r="B278" s="61">
        <v>47362</v>
      </c>
      <c r="E278" t="s">
        <v>355</v>
      </c>
      <c r="F278" t="s">
        <v>385</v>
      </c>
      <c r="H278" t="s">
        <v>365</v>
      </c>
      <c r="I278">
        <v>2401231</v>
      </c>
      <c r="J278" t="s">
        <v>1292</v>
      </c>
      <c r="K278" t="s">
        <v>1265</v>
      </c>
      <c r="L278" t="s">
        <v>1293</v>
      </c>
      <c r="N278" t="s">
        <v>1294</v>
      </c>
      <c r="O278" t="s">
        <v>1295</v>
      </c>
      <c r="R278" t="s">
        <v>395</v>
      </c>
      <c r="S278" s="34" t="s">
        <v>1296</v>
      </c>
    </row>
    <row r="279" spans="1:19" ht="351" x14ac:dyDescent="0.15">
      <c r="A279" t="s">
        <v>1234</v>
      </c>
      <c r="B279" s="61">
        <v>47635</v>
      </c>
      <c r="E279" t="s">
        <v>355</v>
      </c>
      <c r="F279" t="s">
        <v>385</v>
      </c>
      <c r="H279" t="s">
        <v>353</v>
      </c>
      <c r="I279">
        <v>2400941</v>
      </c>
      <c r="J279" t="s">
        <v>1235</v>
      </c>
      <c r="L279" t="s">
        <v>1236</v>
      </c>
      <c r="N279" t="s">
        <v>1237</v>
      </c>
      <c r="O279" t="s">
        <v>1238</v>
      </c>
      <c r="R279" s="34" t="s">
        <v>768</v>
      </c>
      <c r="S279" s="34" t="s">
        <v>1239</v>
      </c>
    </row>
    <row r="280" spans="1:19" ht="409.5" x14ac:dyDescent="0.15">
      <c r="A280" t="s">
        <v>1234</v>
      </c>
      <c r="B280" s="61">
        <v>47727</v>
      </c>
      <c r="E280" t="s">
        <v>355</v>
      </c>
      <c r="F280" t="s">
        <v>385</v>
      </c>
      <c r="H280" t="s">
        <v>353</v>
      </c>
      <c r="I280">
        <v>2400449</v>
      </c>
      <c r="J280" t="s">
        <v>1240</v>
      </c>
      <c r="K280" t="s">
        <v>1241</v>
      </c>
      <c r="L280" t="s">
        <v>1242</v>
      </c>
      <c r="N280" t="s">
        <v>1243</v>
      </c>
      <c r="O280" t="s">
        <v>1244</v>
      </c>
      <c r="R280" t="s">
        <v>386</v>
      </c>
      <c r="S280" s="34" t="s">
        <v>1245</v>
      </c>
    </row>
    <row r="281" spans="1:19" ht="40.5" x14ac:dyDescent="0.15">
      <c r="A281" t="s">
        <v>1234</v>
      </c>
      <c r="B281" s="61">
        <v>48000</v>
      </c>
      <c r="E281" t="s">
        <v>355</v>
      </c>
      <c r="F281" t="s">
        <v>364</v>
      </c>
      <c r="H281" t="s">
        <v>353</v>
      </c>
      <c r="I281">
        <v>2401238</v>
      </c>
      <c r="J281" t="s">
        <v>1255</v>
      </c>
      <c r="K281" t="s">
        <v>1256</v>
      </c>
      <c r="L281" t="s">
        <v>466</v>
      </c>
      <c r="N281" s="34" t="s">
        <v>1257</v>
      </c>
      <c r="O281" t="s">
        <v>1258</v>
      </c>
    </row>
    <row r="282" spans="1:19" x14ac:dyDescent="0.15">
      <c r="A282" t="s">
        <v>1234</v>
      </c>
      <c r="B282" s="61">
        <v>48305</v>
      </c>
      <c r="E282" t="s">
        <v>355</v>
      </c>
      <c r="F282" t="s">
        <v>364</v>
      </c>
      <c r="H282" t="s">
        <v>353</v>
      </c>
      <c r="I282">
        <v>2401259</v>
      </c>
      <c r="J282" t="s">
        <v>1274</v>
      </c>
      <c r="K282" t="s">
        <v>1275</v>
      </c>
      <c r="L282" t="s">
        <v>1276</v>
      </c>
      <c r="N282" t="s">
        <v>1277</v>
      </c>
      <c r="O282" t="s">
        <v>1278</v>
      </c>
    </row>
    <row r="283" spans="1:19" ht="364.5" x14ac:dyDescent="0.15">
      <c r="A283" t="s">
        <v>1297</v>
      </c>
      <c r="B283" s="61">
        <v>46204</v>
      </c>
      <c r="E283" t="s">
        <v>355</v>
      </c>
      <c r="F283" t="s">
        <v>385</v>
      </c>
      <c r="H283" t="s">
        <v>353</v>
      </c>
      <c r="I283">
        <v>2400890</v>
      </c>
      <c r="J283" t="s">
        <v>1302</v>
      </c>
      <c r="K283" t="s">
        <v>1303</v>
      </c>
      <c r="L283" t="s">
        <v>1304</v>
      </c>
      <c r="N283" t="s">
        <v>1305</v>
      </c>
      <c r="O283" t="s">
        <v>1306</v>
      </c>
      <c r="R283" t="s">
        <v>386</v>
      </c>
      <c r="S283" s="34" t="s">
        <v>1307</v>
      </c>
    </row>
    <row r="284" spans="1:19" ht="409.5" x14ac:dyDescent="0.15">
      <c r="A284" t="s">
        <v>1297</v>
      </c>
      <c r="B284" s="61">
        <v>46235</v>
      </c>
      <c r="E284" t="s">
        <v>355</v>
      </c>
      <c r="F284" t="s">
        <v>356</v>
      </c>
      <c r="H284" t="s">
        <v>353</v>
      </c>
      <c r="I284">
        <v>2400143</v>
      </c>
      <c r="J284" t="s">
        <v>1308</v>
      </c>
      <c r="K284" t="s">
        <v>1309</v>
      </c>
      <c r="L284" t="s">
        <v>1310</v>
      </c>
      <c r="N284" t="s">
        <v>1311</v>
      </c>
      <c r="O284" t="s">
        <v>1312</v>
      </c>
      <c r="R284" t="s">
        <v>362</v>
      </c>
      <c r="S284" s="34" t="s">
        <v>1313</v>
      </c>
    </row>
    <row r="285" spans="1:19" ht="409.5" x14ac:dyDescent="0.15">
      <c r="A285" t="s">
        <v>1297</v>
      </c>
      <c r="B285" s="61">
        <v>46357</v>
      </c>
      <c r="E285" t="s">
        <v>355</v>
      </c>
      <c r="F285" t="s">
        <v>356</v>
      </c>
      <c r="H285" t="s">
        <v>365</v>
      </c>
      <c r="I285">
        <v>2400922</v>
      </c>
      <c r="J285" t="s">
        <v>1314</v>
      </c>
      <c r="K285" t="s">
        <v>1315</v>
      </c>
      <c r="L285" t="s">
        <v>1316</v>
      </c>
      <c r="N285" t="s">
        <v>1317</v>
      </c>
      <c r="O285" t="s">
        <v>1318</v>
      </c>
      <c r="R285" t="s">
        <v>362</v>
      </c>
      <c r="S285" s="34" t="s">
        <v>1319</v>
      </c>
    </row>
    <row r="286" spans="1:19" ht="270" x14ac:dyDescent="0.15">
      <c r="A286" t="s">
        <v>1297</v>
      </c>
      <c r="B286" s="61">
        <v>46357</v>
      </c>
      <c r="E286" t="s">
        <v>355</v>
      </c>
      <c r="F286" t="s">
        <v>356</v>
      </c>
      <c r="H286" t="s">
        <v>365</v>
      </c>
      <c r="I286">
        <v>2400922</v>
      </c>
      <c r="J286" t="s">
        <v>1314</v>
      </c>
      <c r="K286" t="s">
        <v>1315</v>
      </c>
      <c r="L286" t="s">
        <v>1320</v>
      </c>
      <c r="N286" t="s">
        <v>1321</v>
      </c>
      <c r="O286" t="s">
        <v>1318</v>
      </c>
      <c r="R286" t="s">
        <v>362</v>
      </c>
      <c r="S286" s="34" t="s">
        <v>1322</v>
      </c>
    </row>
    <row r="287" spans="1:19" x14ac:dyDescent="0.15">
      <c r="A287" t="s">
        <v>1297</v>
      </c>
      <c r="B287" s="61">
        <v>46419</v>
      </c>
      <c r="E287" t="s">
        <v>355</v>
      </c>
      <c r="F287" t="s">
        <v>364</v>
      </c>
      <c r="H287" t="s">
        <v>353</v>
      </c>
      <c r="I287">
        <v>2400016</v>
      </c>
      <c r="J287" t="s">
        <v>1323</v>
      </c>
      <c r="K287" t="s">
        <v>1324</v>
      </c>
      <c r="L287" t="s">
        <v>1325</v>
      </c>
      <c r="N287" t="s">
        <v>1326</v>
      </c>
      <c r="O287" t="s">
        <v>1327</v>
      </c>
    </row>
    <row r="288" spans="1:19" x14ac:dyDescent="0.15">
      <c r="A288" t="s">
        <v>1297</v>
      </c>
      <c r="B288" s="61">
        <v>46447</v>
      </c>
      <c r="E288" t="s">
        <v>355</v>
      </c>
      <c r="F288" t="s">
        <v>364</v>
      </c>
      <c r="G288" t="s">
        <v>1146</v>
      </c>
      <c r="H288" t="s">
        <v>310</v>
      </c>
      <c r="I288">
        <v>2400108</v>
      </c>
      <c r="J288" t="s">
        <v>1328</v>
      </c>
      <c r="K288" t="s">
        <v>1329</v>
      </c>
      <c r="L288" t="s">
        <v>1330</v>
      </c>
      <c r="N288" t="s">
        <v>1331</v>
      </c>
      <c r="O288" t="s">
        <v>1332</v>
      </c>
    </row>
    <row r="289" spans="1:19" x14ac:dyDescent="0.15">
      <c r="A289" t="s">
        <v>1297</v>
      </c>
      <c r="B289" s="61">
        <v>46600</v>
      </c>
      <c r="E289" t="s">
        <v>355</v>
      </c>
      <c r="F289" t="s">
        <v>364</v>
      </c>
      <c r="H289" t="s">
        <v>353</v>
      </c>
      <c r="I289">
        <v>2400318</v>
      </c>
      <c r="J289" t="s">
        <v>1333</v>
      </c>
      <c r="K289" t="s">
        <v>1334</v>
      </c>
      <c r="L289" t="s">
        <v>1335</v>
      </c>
      <c r="N289" t="s">
        <v>1336</v>
      </c>
      <c r="O289" t="s">
        <v>1337</v>
      </c>
    </row>
    <row r="290" spans="1:19" x14ac:dyDescent="0.15">
      <c r="A290" t="s">
        <v>1297</v>
      </c>
      <c r="B290" s="61">
        <v>46784</v>
      </c>
      <c r="E290" t="s">
        <v>355</v>
      </c>
      <c r="F290" t="s">
        <v>364</v>
      </c>
      <c r="H290" t="s">
        <v>353</v>
      </c>
      <c r="I290">
        <v>2400722</v>
      </c>
      <c r="J290" t="s">
        <v>1338</v>
      </c>
      <c r="K290" t="s">
        <v>1339</v>
      </c>
      <c r="L290" t="s">
        <v>1340</v>
      </c>
      <c r="N290" t="s">
        <v>1341</v>
      </c>
      <c r="O290" t="s">
        <v>1342</v>
      </c>
    </row>
    <row r="291" spans="1:19" x14ac:dyDescent="0.15">
      <c r="A291" t="s">
        <v>1297</v>
      </c>
      <c r="B291" s="61">
        <v>46813</v>
      </c>
      <c r="E291" t="s">
        <v>355</v>
      </c>
      <c r="F291" t="s">
        <v>364</v>
      </c>
      <c r="H291" t="s">
        <v>353</v>
      </c>
      <c r="I291">
        <v>2400408</v>
      </c>
      <c r="J291" t="s">
        <v>821</v>
      </c>
      <c r="K291" t="s">
        <v>1343</v>
      </c>
      <c r="L291" t="s">
        <v>1344</v>
      </c>
      <c r="N291" t="s">
        <v>1345</v>
      </c>
      <c r="O291" t="s">
        <v>1346</v>
      </c>
    </row>
    <row r="292" spans="1:19" ht="229.5" x14ac:dyDescent="0.15">
      <c r="A292" t="s">
        <v>1297</v>
      </c>
      <c r="B292" s="61">
        <v>47150</v>
      </c>
      <c r="E292" t="s">
        <v>355</v>
      </c>
      <c r="F292" t="s">
        <v>385</v>
      </c>
      <c r="H292" t="s">
        <v>353</v>
      </c>
      <c r="I292">
        <v>2400890</v>
      </c>
      <c r="J292" t="s">
        <v>1302</v>
      </c>
      <c r="K292" t="s">
        <v>1303</v>
      </c>
      <c r="L292" t="s">
        <v>1304</v>
      </c>
      <c r="N292" t="s">
        <v>1347</v>
      </c>
      <c r="O292" t="s">
        <v>1306</v>
      </c>
      <c r="S292" s="34" t="s">
        <v>1348</v>
      </c>
    </row>
    <row r="293" spans="1:19" ht="256.5" x14ac:dyDescent="0.15">
      <c r="A293" t="s">
        <v>1297</v>
      </c>
      <c r="B293" s="61">
        <v>47209</v>
      </c>
      <c r="E293" t="s">
        <v>355</v>
      </c>
      <c r="F293" t="s">
        <v>385</v>
      </c>
      <c r="H293" t="s">
        <v>353</v>
      </c>
      <c r="I293">
        <v>2400851</v>
      </c>
      <c r="J293" t="s">
        <v>1349</v>
      </c>
      <c r="K293" t="s">
        <v>1350</v>
      </c>
      <c r="L293" t="s">
        <v>413</v>
      </c>
      <c r="N293" t="s">
        <v>1351</v>
      </c>
      <c r="O293" t="s">
        <v>1352</v>
      </c>
      <c r="R293" t="s">
        <v>386</v>
      </c>
      <c r="S293" s="34" t="s">
        <v>1353</v>
      </c>
    </row>
    <row r="294" spans="1:19" x14ac:dyDescent="0.15">
      <c r="A294" t="s">
        <v>1297</v>
      </c>
      <c r="B294" s="61">
        <v>47543</v>
      </c>
      <c r="E294" t="s">
        <v>355</v>
      </c>
      <c r="F294" t="s">
        <v>364</v>
      </c>
      <c r="H294" t="s">
        <v>310</v>
      </c>
      <c r="I294">
        <v>2400108</v>
      </c>
      <c r="J294" t="s">
        <v>1328</v>
      </c>
      <c r="K294" t="s">
        <v>1329</v>
      </c>
      <c r="L294" t="s">
        <v>1330</v>
      </c>
      <c r="N294" t="s">
        <v>1331</v>
      </c>
      <c r="O294" t="s">
        <v>1332</v>
      </c>
    </row>
    <row r="295" spans="1:19" ht="409.5" x14ac:dyDescent="0.15">
      <c r="A295" t="s">
        <v>1297</v>
      </c>
      <c r="B295" s="61">
        <v>47696</v>
      </c>
      <c r="E295" t="s">
        <v>355</v>
      </c>
      <c r="F295" t="s">
        <v>385</v>
      </c>
      <c r="H295" t="s">
        <v>353</v>
      </c>
      <c r="I295">
        <v>2400143</v>
      </c>
      <c r="J295" t="s">
        <v>1308</v>
      </c>
      <c r="K295" t="s">
        <v>1309</v>
      </c>
      <c r="L295" t="s">
        <v>1310</v>
      </c>
      <c r="N295" t="s">
        <v>1311</v>
      </c>
      <c r="O295" t="s">
        <v>1312</v>
      </c>
      <c r="R295" t="s">
        <v>386</v>
      </c>
      <c r="S295" s="34" t="s">
        <v>1313</v>
      </c>
    </row>
    <row r="296" spans="1:19" ht="409.5" x14ac:dyDescent="0.15">
      <c r="A296" t="s">
        <v>1297</v>
      </c>
      <c r="B296" s="61">
        <v>47818</v>
      </c>
      <c r="E296" t="s">
        <v>355</v>
      </c>
      <c r="F296" t="s">
        <v>385</v>
      </c>
      <c r="H296" t="s">
        <v>365</v>
      </c>
      <c r="I296">
        <v>2400922</v>
      </c>
      <c r="J296" t="s">
        <v>1314</v>
      </c>
      <c r="K296" t="s">
        <v>1315</v>
      </c>
      <c r="L296" t="s">
        <v>1316</v>
      </c>
      <c r="N296" t="s">
        <v>1317</v>
      </c>
      <c r="O296" t="s">
        <v>1318</v>
      </c>
      <c r="R296" t="s">
        <v>395</v>
      </c>
      <c r="S296" s="34" t="s">
        <v>1319</v>
      </c>
    </row>
    <row r="297" spans="1:19" ht="270" x14ac:dyDescent="0.15">
      <c r="A297" t="s">
        <v>1297</v>
      </c>
      <c r="B297" s="61">
        <v>47818</v>
      </c>
      <c r="E297" t="s">
        <v>355</v>
      </c>
      <c r="F297" t="s">
        <v>385</v>
      </c>
      <c r="H297" t="s">
        <v>365</v>
      </c>
      <c r="I297">
        <v>2400922</v>
      </c>
      <c r="J297" t="s">
        <v>1314</v>
      </c>
      <c r="K297" t="s">
        <v>1315</v>
      </c>
      <c r="L297" t="s">
        <v>1320</v>
      </c>
      <c r="N297" t="s">
        <v>1321</v>
      </c>
      <c r="O297" t="s">
        <v>1318</v>
      </c>
      <c r="R297" t="s">
        <v>395</v>
      </c>
      <c r="S297" s="34" t="s">
        <v>1322</v>
      </c>
    </row>
    <row r="298" spans="1:19" x14ac:dyDescent="0.15">
      <c r="A298" t="s">
        <v>1297</v>
      </c>
      <c r="B298" s="61">
        <v>47908</v>
      </c>
      <c r="E298" t="s">
        <v>355</v>
      </c>
      <c r="F298" t="s">
        <v>364</v>
      </c>
      <c r="H298" t="s">
        <v>310</v>
      </c>
      <c r="I298">
        <v>2400108</v>
      </c>
      <c r="J298" t="s">
        <v>1328</v>
      </c>
      <c r="K298" t="s">
        <v>1329</v>
      </c>
      <c r="L298" t="s">
        <v>1330</v>
      </c>
      <c r="N298" t="s">
        <v>1331</v>
      </c>
      <c r="O298" t="s">
        <v>1332</v>
      </c>
    </row>
    <row r="299" spans="1:19" x14ac:dyDescent="0.15">
      <c r="A299" t="s">
        <v>1354</v>
      </c>
      <c r="B299" s="61">
        <v>46569</v>
      </c>
      <c r="E299" t="s">
        <v>355</v>
      </c>
      <c r="F299" t="s">
        <v>364</v>
      </c>
      <c r="H299" t="s">
        <v>353</v>
      </c>
      <c r="I299">
        <v>3200098</v>
      </c>
      <c r="J299" t="s">
        <v>1355</v>
      </c>
      <c r="L299" t="s">
        <v>1356</v>
      </c>
      <c r="N299" t="s">
        <v>1357</v>
      </c>
      <c r="O299" t="s">
        <v>1358</v>
      </c>
    </row>
    <row r="300" spans="1:19" x14ac:dyDescent="0.15">
      <c r="A300" t="s">
        <v>1354</v>
      </c>
      <c r="B300" s="61">
        <v>48030</v>
      </c>
      <c r="E300" t="s">
        <v>355</v>
      </c>
      <c r="F300" t="s">
        <v>364</v>
      </c>
      <c r="H300" t="s">
        <v>353</v>
      </c>
      <c r="I300">
        <v>3200098</v>
      </c>
      <c r="J300" t="s">
        <v>1355</v>
      </c>
      <c r="L300" t="s">
        <v>1356</v>
      </c>
      <c r="N300" t="s">
        <v>1357</v>
      </c>
      <c r="O300" t="s">
        <v>1358</v>
      </c>
    </row>
    <row r="301" spans="1:19" ht="243" x14ac:dyDescent="0.15">
      <c r="A301" t="s">
        <v>1359</v>
      </c>
      <c r="B301" s="61">
        <v>46204</v>
      </c>
      <c r="E301" t="s">
        <v>355</v>
      </c>
      <c r="F301" t="s">
        <v>356</v>
      </c>
      <c r="H301" t="s">
        <v>365</v>
      </c>
      <c r="I301">
        <v>3500290</v>
      </c>
      <c r="J301" t="s">
        <v>1366</v>
      </c>
      <c r="K301" t="s">
        <v>1609</v>
      </c>
      <c r="L301" t="s">
        <v>1367</v>
      </c>
      <c r="N301" t="s">
        <v>1368</v>
      </c>
      <c r="O301" t="s">
        <v>1369</v>
      </c>
      <c r="P301" s="34" t="s">
        <v>5384</v>
      </c>
      <c r="Q301" s="34" t="s">
        <v>5385</v>
      </c>
      <c r="R301" t="s">
        <v>362</v>
      </c>
      <c r="S301" s="34" t="s">
        <v>1370</v>
      </c>
    </row>
    <row r="302" spans="1:19" ht="229.5" x14ac:dyDescent="0.15">
      <c r="A302" t="s">
        <v>1359</v>
      </c>
      <c r="B302" s="61">
        <v>46266</v>
      </c>
      <c r="E302" t="s">
        <v>355</v>
      </c>
      <c r="F302" t="s">
        <v>356</v>
      </c>
      <c r="H302" t="s">
        <v>353</v>
      </c>
      <c r="I302">
        <v>3500053</v>
      </c>
      <c r="J302" t="s">
        <v>1371</v>
      </c>
      <c r="K302" t="s">
        <v>1372</v>
      </c>
      <c r="L302" t="s">
        <v>390</v>
      </c>
      <c r="N302" t="s">
        <v>1373</v>
      </c>
      <c r="O302" t="s">
        <v>1374</v>
      </c>
      <c r="R302" t="s">
        <v>362</v>
      </c>
      <c r="S302" s="34" t="s">
        <v>1375</v>
      </c>
    </row>
    <row r="303" spans="1:19" ht="409.5" x14ac:dyDescent="0.15">
      <c r="A303" t="s">
        <v>1359</v>
      </c>
      <c r="B303" s="61">
        <v>46327</v>
      </c>
      <c r="E303" t="s">
        <v>355</v>
      </c>
      <c r="F303" t="s">
        <v>385</v>
      </c>
      <c r="H303" t="s">
        <v>353</v>
      </c>
      <c r="I303">
        <v>3500331</v>
      </c>
      <c r="J303" t="s">
        <v>1376</v>
      </c>
      <c r="L303" t="s">
        <v>1377</v>
      </c>
      <c r="N303" t="s">
        <v>1378</v>
      </c>
      <c r="O303" t="s">
        <v>1379</v>
      </c>
      <c r="R303" t="s">
        <v>386</v>
      </c>
      <c r="S303" s="34" t="s">
        <v>1380</v>
      </c>
    </row>
    <row r="304" spans="1:19" x14ac:dyDescent="0.15">
      <c r="A304" t="s">
        <v>1359</v>
      </c>
      <c r="B304" s="61">
        <v>46447</v>
      </c>
      <c r="E304" t="s">
        <v>355</v>
      </c>
      <c r="F304" t="s">
        <v>364</v>
      </c>
      <c r="H304" t="s">
        <v>353</v>
      </c>
      <c r="I304">
        <v>3500012</v>
      </c>
      <c r="J304" t="s">
        <v>1381</v>
      </c>
      <c r="K304" t="s">
        <v>1382</v>
      </c>
      <c r="L304" t="s">
        <v>698</v>
      </c>
      <c r="N304" t="s">
        <v>1383</v>
      </c>
      <c r="O304" t="s">
        <v>1384</v>
      </c>
    </row>
    <row r="305" spans="1:19" ht="409.5" x14ac:dyDescent="0.15">
      <c r="A305" t="s">
        <v>1359</v>
      </c>
      <c r="B305" s="61">
        <v>46508</v>
      </c>
      <c r="E305" t="s">
        <v>355</v>
      </c>
      <c r="F305" t="s">
        <v>385</v>
      </c>
      <c r="H305" t="s">
        <v>365</v>
      </c>
      <c r="I305">
        <v>3500151</v>
      </c>
      <c r="J305" t="s">
        <v>1360</v>
      </c>
      <c r="K305" t="s">
        <v>1361</v>
      </c>
      <c r="L305" t="s">
        <v>1385</v>
      </c>
      <c r="N305" t="s">
        <v>1386</v>
      </c>
      <c r="O305" t="s">
        <v>1387</v>
      </c>
      <c r="R305" t="s">
        <v>395</v>
      </c>
      <c r="S305" s="34" t="s">
        <v>1388</v>
      </c>
    </row>
    <row r="306" spans="1:19" x14ac:dyDescent="0.15">
      <c r="A306" t="s">
        <v>1359</v>
      </c>
      <c r="B306" s="61">
        <v>46569</v>
      </c>
      <c r="E306" t="s">
        <v>355</v>
      </c>
      <c r="F306" t="s">
        <v>364</v>
      </c>
      <c r="H306" t="s">
        <v>365</v>
      </c>
      <c r="I306">
        <v>3500290</v>
      </c>
      <c r="J306" t="s">
        <v>1366</v>
      </c>
      <c r="L306" t="s">
        <v>1367</v>
      </c>
      <c r="N306" t="s">
        <v>1389</v>
      </c>
      <c r="O306" t="s">
        <v>1369</v>
      </c>
    </row>
    <row r="307" spans="1:19" ht="243" x14ac:dyDescent="0.15">
      <c r="A307" t="s">
        <v>1359</v>
      </c>
      <c r="B307" s="61">
        <v>47665</v>
      </c>
      <c r="E307" t="s">
        <v>355</v>
      </c>
      <c r="F307" t="s">
        <v>385</v>
      </c>
      <c r="H307" t="s">
        <v>365</v>
      </c>
      <c r="I307">
        <v>3500290</v>
      </c>
      <c r="J307" t="s">
        <v>1366</v>
      </c>
      <c r="L307" t="s">
        <v>1367</v>
      </c>
      <c r="N307" t="s">
        <v>1368</v>
      </c>
      <c r="O307" t="s">
        <v>1369</v>
      </c>
      <c r="R307" t="s">
        <v>395</v>
      </c>
      <c r="S307" s="34" t="s">
        <v>1370</v>
      </c>
    </row>
    <row r="308" spans="1:19" ht="229.5" x14ac:dyDescent="0.15">
      <c r="A308" t="s">
        <v>1359</v>
      </c>
      <c r="B308" s="61">
        <v>47727</v>
      </c>
      <c r="E308" t="s">
        <v>355</v>
      </c>
      <c r="F308" t="s">
        <v>385</v>
      </c>
      <c r="H308" t="s">
        <v>353</v>
      </c>
      <c r="I308">
        <v>3500053</v>
      </c>
      <c r="J308" t="s">
        <v>1371</v>
      </c>
      <c r="K308" t="s">
        <v>1372</v>
      </c>
      <c r="L308" t="s">
        <v>390</v>
      </c>
      <c r="N308" t="s">
        <v>1373</v>
      </c>
      <c r="O308" t="s">
        <v>1374</v>
      </c>
      <c r="R308" t="s">
        <v>386</v>
      </c>
      <c r="S308" s="34" t="s">
        <v>1375</v>
      </c>
    </row>
    <row r="309" spans="1:19" x14ac:dyDescent="0.15">
      <c r="A309" t="s">
        <v>1359</v>
      </c>
      <c r="B309" s="61">
        <v>47908</v>
      </c>
      <c r="E309" t="s">
        <v>355</v>
      </c>
      <c r="F309" t="s">
        <v>364</v>
      </c>
      <c r="H309" t="s">
        <v>353</v>
      </c>
      <c r="I309">
        <v>3500012</v>
      </c>
      <c r="J309" t="s">
        <v>1381</v>
      </c>
      <c r="K309" t="s">
        <v>1382</v>
      </c>
      <c r="L309" t="s">
        <v>698</v>
      </c>
      <c r="N309" t="s">
        <v>1383</v>
      </c>
      <c r="O309" t="s">
        <v>1384</v>
      </c>
    </row>
    <row r="310" spans="1:19" ht="351" x14ac:dyDescent="0.15">
      <c r="A310" t="s">
        <v>1390</v>
      </c>
      <c r="B310" s="61">
        <v>46113</v>
      </c>
      <c r="E310" t="s">
        <v>355</v>
      </c>
      <c r="F310" t="s">
        <v>356</v>
      </c>
      <c r="H310" t="s">
        <v>353</v>
      </c>
      <c r="I310">
        <v>1900451</v>
      </c>
      <c r="J310" t="s">
        <v>1392</v>
      </c>
      <c r="K310" t="s">
        <v>1393</v>
      </c>
      <c r="L310" t="s">
        <v>1394</v>
      </c>
      <c r="N310" t="s">
        <v>1395</v>
      </c>
      <c r="O310" t="s">
        <v>1396</v>
      </c>
      <c r="P310" s="34" t="s">
        <v>7639</v>
      </c>
      <c r="Q310" s="34" t="s">
        <v>7640</v>
      </c>
      <c r="R310" t="s">
        <v>362</v>
      </c>
      <c r="S310" s="34" t="s">
        <v>1397</v>
      </c>
    </row>
    <row r="311" spans="1:19" x14ac:dyDescent="0.15">
      <c r="A311" t="s">
        <v>1390</v>
      </c>
      <c r="B311" s="61">
        <v>46419</v>
      </c>
      <c r="E311" t="s">
        <v>355</v>
      </c>
      <c r="F311" t="s">
        <v>364</v>
      </c>
      <c r="H311" t="s">
        <v>353</v>
      </c>
      <c r="I311">
        <v>1900396</v>
      </c>
      <c r="J311" t="s">
        <v>1415</v>
      </c>
      <c r="K311" t="s">
        <v>1416</v>
      </c>
      <c r="L311" t="s">
        <v>1377</v>
      </c>
      <c r="N311" t="s">
        <v>1417</v>
      </c>
      <c r="O311" t="s">
        <v>1418</v>
      </c>
    </row>
    <row r="312" spans="1:19" x14ac:dyDescent="0.15">
      <c r="A312" t="s">
        <v>1390</v>
      </c>
      <c r="B312" s="61">
        <v>46508</v>
      </c>
      <c r="E312" t="s">
        <v>355</v>
      </c>
      <c r="F312" t="s">
        <v>364</v>
      </c>
      <c r="H312" t="s">
        <v>365</v>
      </c>
      <c r="I312">
        <v>1900242</v>
      </c>
      <c r="J312" t="s">
        <v>1419</v>
      </c>
      <c r="L312" t="s">
        <v>698</v>
      </c>
      <c r="N312" t="s">
        <v>1420</v>
      </c>
      <c r="O312" t="s">
        <v>1421</v>
      </c>
    </row>
    <row r="313" spans="1:19" ht="409.5" x14ac:dyDescent="0.15">
      <c r="A313" t="s">
        <v>1390</v>
      </c>
      <c r="B313" s="61">
        <v>47270</v>
      </c>
      <c r="E313" t="s">
        <v>355</v>
      </c>
      <c r="F313" t="s">
        <v>385</v>
      </c>
      <c r="H313" t="s">
        <v>365</v>
      </c>
      <c r="I313">
        <v>1900161</v>
      </c>
      <c r="J313" t="s">
        <v>1391</v>
      </c>
      <c r="K313" t="s">
        <v>1405</v>
      </c>
      <c r="L313" t="s">
        <v>1406</v>
      </c>
      <c r="N313" t="s">
        <v>1422</v>
      </c>
      <c r="O313" t="s">
        <v>1407</v>
      </c>
      <c r="S313" s="34" t="s">
        <v>1423</v>
      </c>
    </row>
    <row r="314" spans="1:19" ht="351" x14ac:dyDescent="0.15">
      <c r="A314" t="s">
        <v>1390</v>
      </c>
      <c r="B314" s="61">
        <v>47574</v>
      </c>
      <c r="E314" t="s">
        <v>355</v>
      </c>
      <c r="F314" t="s">
        <v>385</v>
      </c>
      <c r="H314" t="s">
        <v>353</v>
      </c>
      <c r="I314">
        <v>1900451</v>
      </c>
      <c r="J314" t="s">
        <v>1392</v>
      </c>
      <c r="K314" t="s">
        <v>1393</v>
      </c>
      <c r="L314" t="s">
        <v>1394</v>
      </c>
      <c r="N314" t="s">
        <v>1395</v>
      </c>
      <c r="O314" t="s">
        <v>1396</v>
      </c>
      <c r="R314" t="s">
        <v>386</v>
      </c>
      <c r="S314" s="34" t="s">
        <v>1397</v>
      </c>
    </row>
    <row r="315" spans="1:19" ht="256.5" x14ac:dyDescent="0.15">
      <c r="A315" t="s">
        <v>1390</v>
      </c>
      <c r="B315" s="61">
        <v>47604</v>
      </c>
      <c r="E315" t="s">
        <v>355</v>
      </c>
      <c r="F315" t="s">
        <v>385</v>
      </c>
      <c r="H315" t="s">
        <v>365</v>
      </c>
      <c r="I315">
        <v>1900451</v>
      </c>
      <c r="J315" t="s">
        <v>1392</v>
      </c>
      <c r="K315" t="s">
        <v>1393</v>
      </c>
      <c r="L315" t="s">
        <v>1394</v>
      </c>
      <c r="N315" t="s">
        <v>1398</v>
      </c>
      <c r="O315" t="s">
        <v>1396</v>
      </c>
      <c r="R315" t="s">
        <v>395</v>
      </c>
      <c r="S315" s="34" t="s">
        <v>1399</v>
      </c>
    </row>
    <row r="316" spans="1:19" ht="409.5" x14ac:dyDescent="0.15">
      <c r="A316" t="s">
        <v>1390</v>
      </c>
      <c r="B316" s="61">
        <v>47604</v>
      </c>
      <c r="E316" t="s">
        <v>355</v>
      </c>
      <c r="F316" t="s">
        <v>385</v>
      </c>
      <c r="H316" t="s">
        <v>353</v>
      </c>
      <c r="I316">
        <v>1900452</v>
      </c>
      <c r="J316" t="s">
        <v>1400</v>
      </c>
      <c r="K316" t="s">
        <v>1401</v>
      </c>
      <c r="L316" t="s">
        <v>718</v>
      </c>
      <c r="N316" t="s">
        <v>1402</v>
      </c>
      <c r="O316" t="s">
        <v>1403</v>
      </c>
      <c r="P316" t="s">
        <v>7502</v>
      </c>
      <c r="Q316" t="s">
        <v>7503</v>
      </c>
      <c r="R316" t="s">
        <v>386</v>
      </c>
      <c r="S316" s="34" t="s">
        <v>1404</v>
      </c>
    </row>
    <row r="317" spans="1:19" ht="243" x14ac:dyDescent="0.15">
      <c r="A317" t="s">
        <v>1390</v>
      </c>
      <c r="B317" s="61">
        <v>47635</v>
      </c>
      <c r="E317" t="s">
        <v>355</v>
      </c>
      <c r="F317" t="s">
        <v>385</v>
      </c>
      <c r="H317" t="s">
        <v>365</v>
      </c>
      <c r="I317">
        <v>1900453</v>
      </c>
      <c r="J317" t="s">
        <v>1409</v>
      </c>
      <c r="K317" t="s">
        <v>1410</v>
      </c>
      <c r="L317" t="s">
        <v>1411</v>
      </c>
      <c r="N317" t="s">
        <v>1412</v>
      </c>
      <c r="O317" t="s">
        <v>1413</v>
      </c>
      <c r="R317" t="s">
        <v>395</v>
      </c>
      <c r="S317" s="34" t="s">
        <v>1414</v>
      </c>
    </row>
    <row r="318" spans="1:19" x14ac:dyDescent="0.15">
      <c r="A318" t="s">
        <v>1390</v>
      </c>
      <c r="B318" s="61">
        <v>47969</v>
      </c>
      <c r="E318" t="s">
        <v>355</v>
      </c>
      <c r="F318" t="s">
        <v>364</v>
      </c>
      <c r="H318" t="s">
        <v>365</v>
      </c>
      <c r="I318">
        <v>1900242</v>
      </c>
      <c r="J318" t="s">
        <v>1419</v>
      </c>
      <c r="L318" t="s">
        <v>698</v>
      </c>
      <c r="N318" t="s">
        <v>1420</v>
      </c>
      <c r="O318" t="s">
        <v>1421</v>
      </c>
    </row>
    <row r="319" spans="1:19" x14ac:dyDescent="0.15">
      <c r="A319" t="s">
        <v>1424</v>
      </c>
      <c r="B319" s="61">
        <v>46813</v>
      </c>
      <c r="E319" t="s">
        <v>355</v>
      </c>
      <c r="F319" t="s">
        <v>364</v>
      </c>
      <c r="H319" t="s">
        <v>353</v>
      </c>
      <c r="I319">
        <v>1201611</v>
      </c>
      <c r="J319" t="s">
        <v>1431</v>
      </c>
      <c r="K319" t="s">
        <v>1432</v>
      </c>
      <c r="L319" t="s">
        <v>413</v>
      </c>
      <c r="N319" t="s">
        <v>1433</v>
      </c>
      <c r="O319" t="s">
        <v>1434</v>
      </c>
    </row>
    <row r="320" spans="1:19" ht="409.5" x14ac:dyDescent="0.15">
      <c r="A320" t="s">
        <v>1424</v>
      </c>
      <c r="B320" s="61">
        <v>47604</v>
      </c>
      <c r="E320" t="s">
        <v>355</v>
      </c>
      <c r="F320" t="s">
        <v>385</v>
      </c>
      <c r="H320" t="s">
        <v>353</v>
      </c>
      <c r="I320">
        <v>1201587</v>
      </c>
      <c r="J320" t="s">
        <v>1425</v>
      </c>
      <c r="K320" t="s">
        <v>1426</v>
      </c>
      <c r="L320" t="s">
        <v>1427</v>
      </c>
      <c r="N320" t="s">
        <v>1428</v>
      </c>
      <c r="O320" t="s">
        <v>1429</v>
      </c>
      <c r="R320" t="s">
        <v>386</v>
      </c>
      <c r="S320" s="34" t="s">
        <v>1430</v>
      </c>
    </row>
    <row r="321" spans="1:19" x14ac:dyDescent="0.15">
      <c r="A321" t="s">
        <v>1424</v>
      </c>
      <c r="B321" s="61">
        <v>48274</v>
      </c>
      <c r="E321" t="s">
        <v>355</v>
      </c>
      <c r="F321" t="s">
        <v>364</v>
      </c>
      <c r="H321" t="s">
        <v>353</v>
      </c>
      <c r="I321">
        <v>1201611</v>
      </c>
      <c r="J321" t="s">
        <v>1431</v>
      </c>
      <c r="K321" t="s">
        <v>1432</v>
      </c>
      <c r="L321" t="s">
        <v>413</v>
      </c>
      <c r="N321" t="s">
        <v>1433</v>
      </c>
      <c r="O321" t="s">
        <v>1434</v>
      </c>
    </row>
    <row r="322" spans="1:19" ht="409.5" x14ac:dyDescent="0.15">
      <c r="A322" t="s">
        <v>1435</v>
      </c>
      <c r="B322" s="61">
        <v>46266</v>
      </c>
      <c r="E322" t="s">
        <v>355</v>
      </c>
      <c r="F322" t="s">
        <v>356</v>
      </c>
      <c r="H322" t="s">
        <v>353</v>
      </c>
      <c r="I322">
        <v>2500025</v>
      </c>
      <c r="J322" t="s">
        <v>376</v>
      </c>
      <c r="K322" t="s">
        <v>1455</v>
      </c>
      <c r="L322" t="s">
        <v>1456</v>
      </c>
      <c r="N322" t="s">
        <v>1457</v>
      </c>
      <c r="O322" t="s">
        <v>1458</v>
      </c>
      <c r="R322" t="s">
        <v>362</v>
      </c>
      <c r="S322" s="34" t="s">
        <v>1459</v>
      </c>
    </row>
    <row r="323" spans="1:19" ht="409.5" x14ac:dyDescent="0.15">
      <c r="A323" t="s">
        <v>1435</v>
      </c>
      <c r="B323" s="61">
        <v>46296</v>
      </c>
      <c r="E323" t="s">
        <v>355</v>
      </c>
      <c r="F323" t="s">
        <v>356</v>
      </c>
      <c r="H323" t="s">
        <v>353</v>
      </c>
      <c r="I323">
        <v>2501141</v>
      </c>
      <c r="J323" t="s">
        <v>1449</v>
      </c>
      <c r="K323" t="s">
        <v>1450</v>
      </c>
      <c r="L323" t="s">
        <v>1451</v>
      </c>
      <c r="N323" t="s">
        <v>1468</v>
      </c>
      <c r="O323" t="s">
        <v>1453</v>
      </c>
      <c r="R323" t="s">
        <v>362</v>
      </c>
      <c r="S323" s="34" t="s">
        <v>1469</v>
      </c>
    </row>
    <row r="324" spans="1:19" ht="409.5" x14ac:dyDescent="0.15">
      <c r="A324" t="s">
        <v>1435</v>
      </c>
      <c r="B324" s="61">
        <v>46357</v>
      </c>
      <c r="E324" t="s">
        <v>355</v>
      </c>
      <c r="F324" t="s">
        <v>385</v>
      </c>
      <c r="H324" t="s">
        <v>353</v>
      </c>
      <c r="I324">
        <v>2501068</v>
      </c>
      <c r="J324" t="s">
        <v>1470</v>
      </c>
      <c r="K324" t="s">
        <v>1445</v>
      </c>
      <c r="L324" t="s">
        <v>1471</v>
      </c>
      <c r="N324" t="s">
        <v>1472</v>
      </c>
      <c r="O324" t="s">
        <v>1473</v>
      </c>
      <c r="R324" s="34" t="s">
        <v>768</v>
      </c>
      <c r="S324" s="34" t="s">
        <v>1474</v>
      </c>
    </row>
    <row r="325" spans="1:19" ht="351" x14ac:dyDescent="0.15">
      <c r="A325" t="s">
        <v>1435</v>
      </c>
      <c r="B325" s="61">
        <v>46357</v>
      </c>
      <c r="E325" t="s">
        <v>355</v>
      </c>
      <c r="F325" t="s">
        <v>356</v>
      </c>
      <c r="H325" t="s">
        <v>353</v>
      </c>
      <c r="I325">
        <v>2500627</v>
      </c>
      <c r="J325" t="s">
        <v>1475</v>
      </c>
      <c r="K325" t="s">
        <v>1445</v>
      </c>
      <c r="L325" t="s">
        <v>1476</v>
      </c>
      <c r="N325" t="s">
        <v>1477</v>
      </c>
      <c r="O325" t="s">
        <v>1478</v>
      </c>
      <c r="R325" t="s">
        <v>362</v>
      </c>
      <c r="S325" s="34" t="s">
        <v>1479</v>
      </c>
    </row>
    <row r="326" spans="1:19" x14ac:dyDescent="0.15">
      <c r="A326" t="s">
        <v>1435</v>
      </c>
      <c r="B326" s="61">
        <v>46388</v>
      </c>
      <c r="E326" t="s">
        <v>355</v>
      </c>
      <c r="F326" t="s">
        <v>364</v>
      </c>
      <c r="H326" t="s">
        <v>365</v>
      </c>
      <c r="I326">
        <v>2501057</v>
      </c>
      <c r="J326" t="s">
        <v>1480</v>
      </c>
      <c r="K326" t="s">
        <v>1481</v>
      </c>
      <c r="L326" t="s">
        <v>1148</v>
      </c>
      <c r="N326" t="s">
        <v>1482</v>
      </c>
      <c r="O326" t="s">
        <v>1483</v>
      </c>
    </row>
    <row r="327" spans="1:19" x14ac:dyDescent="0.15">
      <c r="A327" t="s">
        <v>1435</v>
      </c>
      <c r="B327" s="61">
        <v>46388</v>
      </c>
      <c r="E327" t="s">
        <v>355</v>
      </c>
      <c r="F327" t="s">
        <v>364</v>
      </c>
      <c r="H327" t="s">
        <v>353</v>
      </c>
      <c r="I327">
        <v>2500792</v>
      </c>
      <c r="J327" t="s">
        <v>1484</v>
      </c>
      <c r="K327" t="s">
        <v>1485</v>
      </c>
      <c r="L327" t="s">
        <v>390</v>
      </c>
      <c r="N327" t="s">
        <v>1486</v>
      </c>
      <c r="O327" t="s">
        <v>1487</v>
      </c>
    </row>
    <row r="328" spans="1:19" x14ac:dyDescent="0.15">
      <c r="A328" t="s">
        <v>1435</v>
      </c>
      <c r="B328" s="61">
        <v>46539</v>
      </c>
      <c r="E328" t="s">
        <v>355</v>
      </c>
      <c r="F328" t="s">
        <v>364</v>
      </c>
      <c r="H328" t="s">
        <v>365</v>
      </c>
      <c r="I328">
        <v>2501076</v>
      </c>
      <c r="J328" t="s">
        <v>1488</v>
      </c>
      <c r="K328" t="s">
        <v>1489</v>
      </c>
      <c r="L328" t="s">
        <v>1490</v>
      </c>
      <c r="N328" t="s">
        <v>1491</v>
      </c>
      <c r="O328" t="s">
        <v>1492</v>
      </c>
    </row>
    <row r="329" spans="1:19" x14ac:dyDescent="0.15">
      <c r="A329" t="s">
        <v>1435</v>
      </c>
      <c r="B329" s="61">
        <v>46569</v>
      </c>
      <c r="E329" t="s">
        <v>355</v>
      </c>
      <c r="F329" t="s">
        <v>364</v>
      </c>
      <c r="H329" t="s">
        <v>365</v>
      </c>
      <c r="I329">
        <v>2501081</v>
      </c>
      <c r="J329" t="s">
        <v>1004</v>
      </c>
      <c r="K329" t="s">
        <v>1493</v>
      </c>
      <c r="L329" t="s">
        <v>1494</v>
      </c>
      <c r="N329" t="s">
        <v>1495</v>
      </c>
      <c r="O329" t="s">
        <v>1496</v>
      </c>
    </row>
    <row r="330" spans="1:19" x14ac:dyDescent="0.15">
      <c r="A330" t="s">
        <v>1435</v>
      </c>
      <c r="B330" s="61">
        <v>46661</v>
      </c>
      <c r="E330" t="s">
        <v>355</v>
      </c>
      <c r="F330" t="s">
        <v>364</v>
      </c>
      <c r="H330" t="s">
        <v>353</v>
      </c>
      <c r="I330">
        <v>2500779</v>
      </c>
      <c r="J330" t="s">
        <v>1497</v>
      </c>
      <c r="K330" t="s">
        <v>1498</v>
      </c>
      <c r="L330" t="s">
        <v>1499</v>
      </c>
      <c r="N330" t="s">
        <v>1500</v>
      </c>
      <c r="O330" t="s">
        <v>1501</v>
      </c>
    </row>
    <row r="331" spans="1:19" x14ac:dyDescent="0.15">
      <c r="A331" t="s">
        <v>1435</v>
      </c>
      <c r="B331" s="61">
        <v>46722</v>
      </c>
      <c r="E331" t="s">
        <v>355</v>
      </c>
      <c r="F331" t="s">
        <v>364</v>
      </c>
      <c r="H331" t="s">
        <v>365</v>
      </c>
      <c r="I331">
        <v>2500154</v>
      </c>
      <c r="J331" t="s">
        <v>1497</v>
      </c>
      <c r="K331" t="s">
        <v>1502</v>
      </c>
      <c r="L331" t="s">
        <v>1503</v>
      </c>
      <c r="N331" t="s">
        <v>1504</v>
      </c>
      <c r="O331" t="s">
        <v>1505</v>
      </c>
    </row>
    <row r="332" spans="1:19" x14ac:dyDescent="0.15">
      <c r="A332" t="s">
        <v>1435</v>
      </c>
      <c r="B332" s="61">
        <v>46753</v>
      </c>
      <c r="E332" t="s">
        <v>355</v>
      </c>
      <c r="F332" t="s">
        <v>364</v>
      </c>
      <c r="H332" t="s">
        <v>365</v>
      </c>
      <c r="I332">
        <v>2500154</v>
      </c>
      <c r="J332" t="s">
        <v>1497</v>
      </c>
      <c r="K332" t="s">
        <v>1502</v>
      </c>
      <c r="L332" t="s">
        <v>1503</v>
      </c>
      <c r="N332" t="s">
        <v>1506</v>
      </c>
      <c r="O332" t="s">
        <v>1505</v>
      </c>
    </row>
    <row r="333" spans="1:19" x14ac:dyDescent="0.15">
      <c r="A333" t="s">
        <v>1435</v>
      </c>
      <c r="B333" s="61">
        <v>46753</v>
      </c>
      <c r="E333" t="s">
        <v>355</v>
      </c>
      <c r="F333" t="s">
        <v>364</v>
      </c>
      <c r="H333" t="s">
        <v>353</v>
      </c>
      <c r="I333">
        <v>2501099</v>
      </c>
      <c r="J333" t="s">
        <v>1507</v>
      </c>
      <c r="K333" t="s">
        <v>1445</v>
      </c>
      <c r="L333" t="s">
        <v>1508</v>
      </c>
      <c r="N333" t="s">
        <v>1509</v>
      </c>
      <c r="O333" t="s">
        <v>1510</v>
      </c>
    </row>
    <row r="334" spans="1:19" x14ac:dyDescent="0.15">
      <c r="A334" t="s">
        <v>1435</v>
      </c>
      <c r="B334" s="61">
        <v>46874</v>
      </c>
      <c r="E334" t="s">
        <v>355</v>
      </c>
      <c r="F334" t="s">
        <v>364</v>
      </c>
      <c r="H334" t="s">
        <v>353</v>
      </c>
      <c r="I334">
        <v>2500295</v>
      </c>
      <c r="J334" t="s">
        <v>1511</v>
      </c>
      <c r="L334" t="s">
        <v>1512</v>
      </c>
      <c r="N334" t="s">
        <v>1513</v>
      </c>
      <c r="O334" t="s">
        <v>1514</v>
      </c>
    </row>
    <row r="335" spans="1:19" ht="409.5" x14ac:dyDescent="0.15">
      <c r="A335" t="s">
        <v>1435</v>
      </c>
      <c r="B335" s="61">
        <v>47027</v>
      </c>
      <c r="E335" t="s">
        <v>355</v>
      </c>
      <c r="F335" t="s">
        <v>385</v>
      </c>
      <c r="H335" t="s">
        <v>353</v>
      </c>
      <c r="I335">
        <v>2500025</v>
      </c>
      <c r="J335" t="s">
        <v>376</v>
      </c>
      <c r="K335" t="s">
        <v>1455</v>
      </c>
      <c r="L335" t="s">
        <v>1456</v>
      </c>
      <c r="N335" t="s">
        <v>1515</v>
      </c>
      <c r="O335" t="s">
        <v>1458</v>
      </c>
      <c r="R335" t="s">
        <v>386</v>
      </c>
      <c r="S335" s="34" t="s">
        <v>1516</v>
      </c>
    </row>
    <row r="336" spans="1:19" ht="409.5" x14ac:dyDescent="0.15">
      <c r="A336" t="s">
        <v>1435</v>
      </c>
      <c r="B336" s="61">
        <v>47362</v>
      </c>
      <c r="E336" t="s">
        <v>355</v>
      </c>
      <c r="F336" t="s">
        <v>385</v>
      </c>
      <c r="H336" t="s">
        <v>353</v>
      </c>
      <c r="I336">
        <v>2500372</v>
      </c>
      <c r="J336" t="s">
        <v>1497</v>
      </c>
      <c r="K336" t="s">
        <v>1498</v>
      </c>
      <c r="L336" t="s">
        <v>1517</v>
      </c>
      <c r="N336" t="s">
        <v>1518</v>
      </c>
      <c r="O336" t="s">
        <v>1519</v>
      </c>
      <c r="R336" s="34" t="s">
        <v>768</v>
      </c>
      <c r="S336" s="34" t="s">
        <v>1520</v>
      </c>
    </row>
    <row r="337" spans="1:19" ht="409.5" x14ac:dyDescent="0.15">
      <c r="A337" t="s">
        <v>1435</v>
      </c>
      <c r="B337" s="61">
        <v>47392</v>
      </c>
      <c r="E337" t="s">
        <v>355</v>
      </c>
      <c r="F337" t="s">
        <v>364</v>
      </c>
      <c r="H337" t="s">
        <v>353</v>
      </c>
      <c r="I337">
        <v>2501141</v>
      </c>
      <c r="J337" t="s">
        <v>1449</v>
      </c>
      <c r="K337" t="s">
        <v>1450</v>
      </c>
      <c r="L337" t="s">
        <v>1451</v>
      </c>
      <c r="N337" t="s">
        <v>1468</v>
      </c>
      <c r="O337" t="s">
        <v>1453</v>
      </c>
      <c r="R337" s="34" t="s">
        <v>1521</v>
      </c>
      <c r="S337" s="34" t="s">
        <v>1522</v>
      </c>
    </row>
    <row r="338" spans="1:19" ht="409.5" x14ac:dyDescent="0.15">
      <c r="A338" t="s">
        <v>1435</v>
      </c>
      <c r="B338" s="61">
        <v>47696</v>
      </c>
      <c r="E338" t="s">
        <v>355</v>
      </c>
      <c r="F338" t="s">
        <v>385</v>
      </c>
      <c r="H338" t="s">
        <v>365</v>
      </c>
      <c r="I338">
        <v>2500626</v>
      </c>
      <c r="J338" t="s">
        <v>1444</v>
      </c>
      <c r="K338" t="s">
        <v>1445</v>
      </c>
      <c r="L338" t="s">
        <v>390</v>
      </c>
      <c r="N338" t="s">
        <v>1446</v>
      </c>
      <c r="O338" t="s">
        <v>1447</v>
      </c>
      <c r="R338" t="s">
        <v>395</v>
      </c>
      <c r="S338" s="34" t="s">
        <v>1448</v>
      </c>
    </row>
    <row r="339" spans="1:19" ht="409.5" x14ac:dyDescent="0.15">
      <c r="A339" t="s">
        <v>1435</v>
      </c>
      <c r="B339" s="61">
        <v>47696</v>
      </c>
      <c r="E339" t="s">
        <v>355</v>
      </c>
      <c r="F339" t="s">
        <v>364</v>
      </c>
      <c r="H339" t="s">
        <v>353</v>
      </c>
      <c r="I339">
        <v>2501141</v>
      </c>
      <c r="J339" t="s">
        <v>1449</v>
      </c>
      <c r="K339" t="s">
        <v>1450</v>
      </c>
      <c r="L339" t="s">
        <v>1451</v>
      </c>
      <c r="N339" t="s">
        <v>1452</v>
      </c>
      <c r="O339" t="s">
        <v>1453</v>
      </c>
      <c r="R339" s="34" t="s">
        <v>768</v>
      </c>
      <c r="S339" s="34" t="s">
        <v>1454</v>
      </c>
    </row>
    <row r="340" spans="1:19" ht="409.5" x14ac:dyDescent="0.15">
      <c r="A340" t="s">
        <v>1435</v>
      </c>
      <c r="B340" s="61">
        <v>47727</v>
      </c>
      <c r="E340" t="s">
        <v>355</v>
      </c>
      <c r="F340" t="s">
        <v>385</v>
      </c>
      <c r="H340" t="s">
        <v>353</v>
      </c>
      <c r="I340">
        <v>2500025</v>
      </c>
      <c r="J340" t="s">
        <v>376</v>
      </c>
      <c r="K340" t="s">
        <v>1455</v>
      </c>
      <c r="L340" t="s">
        <v>1456</v>
      </c>
      <c r="N340" t="s">
        <v>1457</v>
      </c>
      <c r="O340" t="s">
        <v>1458</v>
      </c>
      <c r="R340" t="s">
        <v>386</v>
      </c>
      <c r="S340" s="34" t="s">
        <v>1523</v>
      </c>
    </row>
    <row r="341" spans="1:19" ht="216" x14ac:dyDescent="0.15">
      <c r="A341" t="s">
        <v>1435</v>
      </c>
      <c r="B341" s="61">
        <v>47727</v>
      </c>
      <c r="E341" t="s">
        <v>355</v>
      </c>
      <c r="F341" t="s">
        <v>385</v>
      </c>
      <c r="H341" t="s">
        <v>365</v>
      </c>
      <c r="I341">
        <v>2501142</v>
      </c>
      <c r="J341" t="s">
        <v>1460</v>
      </c>
      <c r="K341" t="s">
        <v>1461</v>
      </c>
      <c r="L341" t="s">
        <v>1462</v>
      </c>
      <c r="N341" t="s">
        <v>1463</v>
      </c>
      <c r="O341" t="s">
        <v>1464</v>
      </c>
      <c r="R341" t="s">
        <v>395</v>
      </c>
      <c r="S341" s="34" t="s">
        <v>1465</v>
      </c>
    </row>
    <row r="342" spans="1:19" ht="409.5" x14ac:dyDescent="0.15">
      <c r="A342" t="s">
        <v>1435</v>
      </c>
      <c r="B342" s="61">
        <v>47727</v>
      </c>
      <c r="E342" t="s">
        <v>355</v>
      </c>
      <c r="F342" t="s">
        <v>385</v>
      </c>
      <c r="H342" t="s">
        <v>353</v>
      </c>
      <c r="I342">
        <v>2501142</v>
      </c>
      <c r="J342" t="s">
        <v>1460</v>
      </c>
      <c r="K342" t="s">
        <v>1461</v>
      </c>
      <c r="L342" t="s">
        <v>1462</v>
      </c>
      <c r="N342" t="s">
        <v>1466</v>
      </c>
      <c r="O342" t="s">
        <v>1464</v>
      </c>
      <c r="R342" t="s">
        <v>386</v>
      </c>
      <c r="S342" s="34" t="s">
        <v>1467</v>
      </c>
    </row>
    <row r="343" spans="1:19" ht="409.5" x14ac:dyDescent="0.15">
      <c r="A343" t="s">
        <v>1435</v>
      </c>
      <c r="B343" s="61">
        <v>47757</v>
      </c>
      <c r="E343" t="s">
        <v>355</v>
      </c>
      <c r="F343" t="s">
        <v>385</v>
      </c>
      <c r="H343" t="s">
        <v>353</v>
      </c>
      <c r="I343">
        <v>2501141</v>
      </c>
      <c r="J343" t="s">
        <v>1449</v>
      </c>
      <c r="K343" t="s">
        <v>1450</v>
      </c>
      <c r="L343" t="s">
        <v>1451</v>
      </c>
      <c r="N343" t="s">
        <v>1468</v>
      </c>
      <c r="O343" t="s">
        <v>1453</v>
      </c>
      <c r="R343" s="34" t="s">
        <v>768</v>
      </c>
      <c r="S343" s="34" t="s">
        <v>1469</v>
      </c>
    </row>
    <row r="344" spans="1:19" ht="351" x14ac:dyDescent="0.15">
      <c r="A344" t="s">
        <v>1435</v>
      </c>
      <c r="B344" s="61">
        <v>47818</v>
      </c>
      <c r="E344" t="s">
        <v>355</v>
      </c>
      <c r="F344" t="s">
        <v>385</v>
      </c>
      <c r="H344" t="s">
        <v>353</v>
      </c>
      <c r="I344">
        <v>2500627</v>
      </c>
      <c r="J344" t="s">
        <v>1475</v>
      </c>
      <c r="K344" t="s">
        <v>1445</v>
      </c>
      <c r="L344" t="s">
        <v>1476</v>
      </c>
      <c r="N344" t="s">
        <v>1477</v>
      </c>
      <c r="O344" t="s">
        <v>1478</v>
      </c>
      <c r="R344" t="s">
        <v>386</v>
      </c>
      <c r="S344" s="34" t="s">
        <v>1479</v>
      </c>
    </row>
    <row r="345" spans="1:19" x14ac:dyDescent="0.15">
      <c r="A345" t="s">
        <v>1435</v>
      </c>
      <c r="B345" s="61">
        <v>47849</v>
      </c>
      <c r="E345" t="s">
        <v>355</v>
      </c>
      <c r="F345" t="s">
        <v>364</v>
      </c>
      <c r="H345" t="s">
        <v>353</v>
      </c>
      <c r="I345">
        <v>2500792</v>
      </c>
      <c r="J345" t="s">
        <v>1484</v>
      </c>
      <c r="K345" t="s">
        <v>1485</v>
      </c>
      <c r="L345" t="s">
        <v>390</v>
      </c>
      <c r="N345" t="s">
        <v>1486</v>
      </c>
      <c r="O345" t="s">
        <v>1487</v>
      </c>
    </row>
    <row r="346" spans="1:19" x14ac:dyDescent="0.15">
      <c r="A346" t="s">
        <v>1435</v>
      </c>
      <c r="B346" s="61">
        <v>48122</v>
      </c>
      <c r="E346" t="s">
        <v>355</v>
      </c>
      <c r="F346" t="s">
        <v>364</v>
      </c>
      <c r="H346" t="s">
        <v>353</v>
      </c>
      <c r="I346">
        <v>2500779</v>
      </c>
      <c r="J346" t="s">
        <v>1497</v>
      </c>
      <c r="K346" t="s">
        <v>1498</v>
      </c>
      <c r="L346" t="s">
        <v>1499</v>
      </c>
      <c r="N346" t="s">
        <v>1500</v>
      </c>
      <c r="O346" t="s">
        <v>1501</v>
      </c>
    </row>
    <row r="347" spans="1:19" ht="243" x14ac:dyDescent="0.15">
      <c r="A347" t="s">
        <v>1524</v>
      </c>
      <c r="B347" s="61">
        <v>46327</v>
      </c>
      <c r="E347" t="s">
        <v>355</v>
      </c>
      <c r="F347" t="s">
        <v>385</v>
      </c>
      <c r="H347" t="s">
        <v>365</v>
      </c>
      <c r="I347">
        <v>2501051</v>
      </c>
      <c r="J347" t="s">
        <v>1525</v>
      </c>
      <c r="K347" t="s">
        <v>1445</v>
      </c>
      <c r="L347" t="s">
        <v>1526</v>
      </c>
      <c r="N347" t="s">
        <v>1527</v>
      </c>
      <c r="O347" t="s">
        <v>1528</v>
      </c>
      <c r="R347" t="s">
        <v>395</v>
      </c>
      <c r="S347" s="34" t="s">
        <v>1529</v>
      </c>
    </row>
    <row r="348" spans="1:19" x14ac:dyDescent="0.15">
      <c r="A348" t="s">
        <v>1524</v>
      </c>
      <c r="B348" s="61">
        <v>46388</v>
      </c>
      <c r="E348" t="s">
        <v>355</v>
      </c>
      <c r="F348" t="s">
        <v>364</v>
      </c>
      <c r="H348" t="s">
        <v>365</v>
      </c>
      <c r="I348">
        <v>2500058</v>
      </c>
      <c r="J348" t="s">
        <v>1530</v>
      </c>
      <c r="K348" t="s">
        <v>1531</v>
      </c>
      <c r="L348" t="s">
        <v>390</v>
      </c>
      <c r="N348" t="s">
        <v>1532</v>
      </c>
      <c r="O348" t="s">
        <v>1533</v>
      </c>
    </row>
    <row r="349" spans="1:19" x14ac:dyDescent="0.15">
      <c r="A349" t="s">
        <v>1524</v>
      </c>
      <c r="B349" s="61">
        <v>46447</v>
      </c>
      <c r="E349" t="s">
        <v>355</v>
      </c>
      <c r="F349" t="s">
        <v>364</v>
      </c>
      <c r="H349" t="s">
        <v>365</v>
      </c>
      <c r="I349">
        <v>2500720</v>
      </c>
      <c r="J349" t="s">
        <v>1534</v>
      </c>
      <c r="L349" t="s">
        <v>373</v>
      </c>
      <c r="N349" t="s">
        <v>1535</v>
      </c>
      <c r="O349" t="s">
        <v>1536</v>
      </c>
    </row>
    <row r="350" spans="1:19" x14ac:dyDescent="0.15">
      <c r="A350" t="s">
        <v>1524</v>
      </c>
      <c r="B350" s="61">
        <v>46478</v>
      </c>
      <c r="E350" t="s">
        <v>355</v>
      </c>
      <c r="F350" t="s">
        <v>364</v>
      </c>
      <c r="H350" t="s">
        <v>365</v>
      </c>
      <c r="I350">
        <v>2501152</v>
      </c>
      <c r="J350" t="s">
        <v>1537</v>
      </c>
      <c r="K350" t="s">
        <v>1538</v>
      </c>
      <c r="L350" t="s">
        <v>1539</v>
      </c>
      <c r="N350" t="s">
        <v>1540</v>
      </c>
      <c r="O350" t="s">
        <v>1541</v>
      </c>
    </row>
    <row r="351" spans="1:19" ht="409.5" x14ac:dyDescent="0.15">
      <c r="A351" t="s">
        <v>1524</v>
      </c>
      <c r="B351" s="61">
        <v>46569</v>
      </c>
      <c r="E351" t="s">
        <v>355</v>
      </c>
      <c r="F351" t="s">
        <v>385</v>
      </c>
      <c r="H351" t="s">
        <v>365</v>
      </c>
      <c r="I351">
        <v>2500770</v>
      </c>
      <c r="J351" t="s">
        <v>1537</v>
      </c>
      <c r="K351" t="s">
        <v>1542</v>
      </c>
      <c r="L351" t="s">
        <v>1543</v>
      </c>
      <c r="N351" t="s">
        <v>1544</v>
      </c>
      <c r="O351" t="s">
        <v>1545</v>
      </c>
      <c r="R351" t="s">
        <v>395</v>
      </c>
      <c r="S351" s="34" t="s">
        <v>1546</v>
      </c>
    </row>
    <row r="352" spans="1:19" x14ac:dyDescent="0.15">
      <c r="A352" t="s">
        <v>1524</v>
      </c>
      <c r="B352" s="61">
        <v>46569</v>
      </c>
      <c r="E352" t="s">
        <v>355</v>
      </c>
      <c r="F352" t="s">
        <v>364</v>
      </c>
      <c r="H352" t="s">
        <v>365</v>
      </c>
      <c r="I352">
        <v>2500817</v>
      </c>
      <c r="J352" t="s">
        <v>1547</v>
      </c>
      <c r="L352" t="s">
        <v>1548</v>
      </c>
      <c r="N352" t="s">
        <v>1549</v>
      </c>
      <c r="O352" t="s">
        <v>1550</v>
      </c>
    </row>
    <row r="353" spans="1:19" x14ac:dyDescent="0.15">
      <c r="A353" t="s">
        <v>1524</v>
      </c>
      <c r="B353" s="61">
        <v>46692</v>
      </c>
      <c r="E353" t="s">
        <v>355</v>
      </c>
      <c r="F353" t="s">
        <v>364</v>
      </c>
      <c r="H353" t="s">
        <v>353</v>
      </c>
      <c r="I353">
        <v>2500212</v>
      </c>
      <c r="J353" t="s">
        <v>1302</v>
      </c>
      <c r="K353" t="s">
        <v>1551</v>
      </c>
      <c r="L353" t="s">
        <v>1552</v>
      </c>
      <c r="N353" t="s">
        <v>1553</v>
      </c>
      <c r="O353" t="s">
        <v>1554</v>
      </c>
    </row>
    <row r="354" spans="1:19" x14ac:dyDescent="0.15">
      <c r="A354" t="s">
        <v>1524</v>
      </c>
      <c r="B354" s="61">
        <v>46784</v>
      </c>
      <c r="E354" t="s">
        <v>355</v>
      </c>
      <c r="F354" t="s">
        <v>364</v>
      </c>
      <c r="H354" t="s">
        <v>365</v>
      </c>
      <c r="I354">
        <v>2501098</v>
      </c>
      <c r="J354" t="s">
        <v>1480</v>
      </c>
      <c r="K354" t="s">
        <v>1555</v>
      </c>
      <c r="L354" t="s">
        <v>413</v>
      </c>
      <c r="N354" t="s">
        <v>1556</v>
      </c>
      <c r="O354" t="s">
        <v>1557</v>
      </c>
    </row>
    <row r="355" spans="1:19" x14ac:dyDescent="0.15">
      <c r="A355" t="s">
        <v>1524</v>
      </c>
      <c r="B355" s="61">
        <v>46813</v>
      </c>
      <c r="E355" t="s">
        <v>355</v>
      </c>
      <c r="F355" t="s">
        <v>364</v>
      </c>
      <c r="H355" t="s">
        <v>353</v>
      </c>
      <c r="I355">
        <v>2500866</v>
      </c>
      <c r="J355" t="s">
        <v>1460</v>
      </c>
      <c r="K355" t="s">
        <v>1558</v>
      </c>
      <c r="L355" t="s">
        <v>1559</v>
      </c>
      <c r="N355" t="s">
        <v>1560</v>
      </c>
      <c r="O355" t="s">
        <v>1561</v>
      </c>
    </row>
    <row r="356" spans="1:19" x14ac:dyDescent="0.15">
      <c r="A356" t="s">
        <v>1524</v>
      </c>
      <c r="B356" s="61">
        <v>46935</v>
      </c>
      <c r="E356" t="s">
        <v>355</v>
      </c>
      <c r="F356" t="s">
        <v>364</v>
      </c>
      <c r="H356" t="s">
        <v>353</v>
      </c>
      <c r="I356">
        <v>2500745</v>
      </c>
      <c r="J356" t="s">
        <v>1562</v>
      </c>
      <c r="K356" t="s">
        <v>1563</v>
      </c>
      <c r="L356" t="s">
        <v>390</v>
      </c>
      <c r="N356" t="s">
        <v>1564</v>
      </c>
      <c r="O356" t="s">
        <v>1565</v>
      </c>
    </row>
    <row r="357" spans="1:19" x14ac:dyDescent="0.15">
      <c r="A357" t="s">
        <v>1524</v>
      </c>
      <c r="B357" s="61">
        <v>46997</v>
      </c>
      <c r="E357" t="s">
        <v>355</v>
      </c>
      <c r="F357" t="s">
        <v>364</v>
      </c>
      <c r="H357" t="s">
        <v>365</v>
      </c>
      <c r="I357">
        <v>2501111</v>
      </c>
      <c r="J357" t="s">
        <v>1460</v>
      </c>
      <c r="K357" t="s">
        <v>1558</v>
      </c>
      <c r="L357" t="s">
        <v>1566</v>
      </c>
      <c r="N357" t="s">
        <v>1567</v>
      </c>
      <c r="O357" t="s">
        <v>1568</v>
      </c>
    </row>
    <row r="358" spans="1:19" x14ac:dyDescent="0.15">
      <c r="A358" t="s">
        <v>1524</v>
      </c>
      <c r="B358" s="61">
        <v>46997</v>
      </c>
      <c r="E358" t="s">
        <v>355</v>
      </c>
      <c r="F358" t="s">
        <v>364</v>
      </c>
      <c r="H358" t="s">
        <v>353</v>
      </c>
      <c r="I358">
        <v>2501111</v>
      </c>
      <c r="J358" t="s">
        <v>1460</v>
      </c>
      <c r="K358" t="s">
        <v>1558</v>
      </c>
      <c r="L358" t="s">
        <v>1566</v>
      </c>
      <c r="N358" t="s">
        <v>1569</v>
      </c>
      <c r="O358" t="s">
        <v>1568</v>
      </c>
    </row>
    <row r="359" spans="1:19" x14ac:dyDescent="0.15">
      <c r="A359" t="s">
        <v>1524</v>
      </c>
      <c r="B359" s="61">
        <v>46997</v>
      </c>
      <c r="E359" t="s">
        <v>355</v>
      </c>
      <c r="F359" t="s">
        <v>364</v>
      </c>
      <c r="H359" t="s">
        <v>365</v>
      </c>
      <c r="I359">
        <v>2500254</v>
      </c>
      <c r="J359" t="s">
        <v>1570</v>
      </c>
      <c r="K359" t="s">
        <v>1571</v>
      </c>
      <c r="L359" t="s">
        <v>390</v>
      </c>
      <c r="N359" t="s">
        <v>1572</v>
      </c>
      <c r="O359" t="s">
        <v>1573</v>
      </c>
    </row>
    <row r="360" spans="1:19" x14ac:dyDescent="0.15">
      <c r="A360" t="s">
        <v>1524</v>
      </c>
      <c r="B360" s="61">
        <v>47027</v>
      </c>
      <c r="E360" t="s">
        <v>355</v>
      </c>
      <c r="F360" t="s">
        <v>720</v>
      </c>
      <c r="H360" t="s">
        <v>353</v>
      </c>
      <c r="I360">
        <v>2500017</v>
      </c>
      <c r="J360" t="s">
        <v>1574</v>
      </c>
      <c r="K360" t="s">
        <v>1551</v>
      </c>
      <c r="L360" t="s">
        <v>1575</v>
      </c>
      <c r="N360" t="s">
        <v>1576</v>
      </c>
      <c r="O360" t="s">
        <v>1577</v>
      </c>
    </row>
    <row r="361" spans="1:19" x14ac:dyDescent="0.15">
      <c r="A361" t="s">
        <v>1524</v>
      </c>
      <c r="B361" s="61">
        <v>47027</v>
      </c>
      <c r="E361" t="s">
        <v>355</v>
      </c>
      <c r="F361" t="s">
        <v>364</v>
      </c>
      <c r="H361" t="s">
        <v>353</v>
      </c>
      <c r="I361">
        <v>2500737</v>
      </c>
      <c r="J361" t="s">
        <v>1578</v>
      </c>
      <c r="K361" t="s">
        <v>1579</v>
      </c>
      <c r="L361" t="s">
        <v>390</v>
      </c>
      <c r="N361" t="s">
        <v>1580</v>
      </c>
      <c r="O361" t="s">
        <v>1581</v>
      </c>
    </row>
    <row r="362" spans="1:19" x14ac:dyDescent="0.15">
      <c r="A362" t="s">
        <v>1524</v>
      </c>
      <c r="B362" s="61">
        <v>47119</v>
      </c>
      <c r="E362" t="s">
        <v>355</v>
      </c>
      <c r="F362" t="s">
        <v>364</v>
      </c>
      <c r="H362" t="s">
        <v>353</v>
      </c>
      <c r="I362">
        <v>2501122</v>
      </c>
      <c r="J362" t="s">
        <v>1582</v>
      </c>
      <c r="K362" t="s">
        <v>1583</v>
      </c>
      <c r="L362" t="s">
        <v>1584</v>
      </c>
      <c r="N362" t="s">
        <v>1585</v>
      </c>
      <c r="O362" t="s">
        <v>1586</v>
      </c>
    </row>
    <row r="363" spans="1:19" x14ac:dyDescent="0.15">
      <c r="A363" t="s">
        <v>1524</v>
      </c>
      <c r="B363" s="61">
        <v>47119</v>
      </c>
      <c r="E363" t="s">
        <v>355</v>
      </c>
      <c r="F363" t="s">
        <v>364</v>
      </c>
      <c r="H363" t="s">
        <v>365</v>
      </c>
      <c r="I363">
        <v>2500747</v>
      </c>
      <c r="J363" t="s">
        <v>1587</v>
      </c>
      <c r="K363" t="s">
        <v>1551</v>
      </c>
      <c r="L363" t="s">
        <v>1588</v>
      </c>
      <c r="N363" t="s">
        <v>1589</v>
      </c>
      <c r="O363" t="s">
        <v>1590</v>
      </c>
    </row>
    <row r="364" spans="1:19" ht="409.5" x14ac:dyDescent="0.15">
      <c r="A364" t="s">
        <v>1524</v>
      </c>
      <c r="B364" s="61">
        <v>47453</v>
      </c>
      <c r="E364" t="s">
        <v>355</v>
      </c>
      <c r="F364" t="s">
        <v>385</v>
      </c>
      <c r="H364" t="s">
        <v>365</v>
      </c>
      <c r="I364">
        <v>2500770</v>
      </c>
      <c r="J364" t="s">
        <v>1537</v>
      </c>
      <c r="K364" t="s">
        <v>1542</v>
      </c>
      <c r="L364" t="s">
        <v>1543</v>
      </c>
      <c r="N364" t="s">
        <v>1591</v>
      </c>
      <c r="O364" t="s">
        <v>1545</v>
      </c>
      <c r="R364" t="s">
        <v>395</v>
      </c>
      <c r="S364" s="34" t="s">
        <v>1592</v>
      </c>
    </row>
    <row r="365" spans="1:19" x14ac:dyDescent="0.15">
      <c r="A365" t="s">
        <v>1524</v>
      </c>
      <c r="B365" s="61">
        <v>47939</v>
      </c>
      <c r="E365" t="s">
        <v>355</v>
      </c>
      <c r="F365" t="s">
        <v>364</v>
      </c>
      <c r="H365" t="s">
        <v>365</v>
      </c>
      <c r="I365">
        <v>2501152</v>
      </c>
      <c r="J365" t="s">
        <v>1537</v>
      </c>
      <c r="K365" t="s">
        <v>1538</v>
      </c>
      <c r="L365" t="s">
        <v>1539</v>
      </c>
      <c r="N365" t="s">
        <v>1540</v>
      </c>
      <c r="O365" t="s">
        <v>1541</v>
      </c>
    </row>
    <row r="366" spans="1:19" x14ac:dyDescent="0.15">
      <c r="A366" t="s">
        <v>1593</v>
      </c>
      <c r="B366" s="61">
        <v>46844</v>
      </c>
      <c r="E366" t="s">
        <v>355</v>
      </c>
      <c r="F366" t="s">
        <v>364</v>
      </c>
      <c r="H366" t="s">
        <v>353</v>
      </c>
      <c r="I366">
        <v>3800025</v>
      </c>
      <c r="J366" t="s">
        <v>1604</v>
      </c>
      <c r="L366" t="s">
        <v>1605</v>
      </c>
      <c r="N366" t="s">
        <v>1606</v>
      </c>
      <c r="O366" t="s">
        <v>1607</v>
      </c>
    </row>
    <row r="367" spans="1:19" ht="243" x14ac:dyDescent="0.15">
      <c r="A367" t="s">
        <v>1095</v>
      </c>
      <c r="B367" s="61">
        <v>47119</v>
      </c>
      <c r="E367" t="s">
        <v>355</v>
      </c>
      <c r="F367" t="s">
        <v>385</v>
      </c>
      <c r="H367" t="s">
        <v>365</v>
      </c>
      <c r="I367">
        <v>3900106</v>
      </c>
      <c r="J367" t="s">
        <v>1608</v>
      </c>
      <c r="K367" t="s">
        <v>1609</v>
      </c>
      <c r="L367" t="s">
        <v>1610</v>
      </c>
      <c r="N367" t="s">
        <v>1611</v>
      </c>
      <c r="O367" t="s">
        <v>1612</v>
      </c>
      <c r="S367" s="34" t="s">
        <v>1613</v>
      </c>
    </row>
    <row r="368" spans="1:19" ht="409.5" x14ac:dyDescent="0.15">
      <c r="A368" t="s">
        <v>1614</v>
      </c>
      <c r="B368" s="61">
        <v>46327</v>
      </c>
      <c r="E368" t="s">
        <v>355</v>
      </c>
      <c r="F368" t="s">
        <v>385</v>
      </c>
      <c r="H368" t="s">
        <v>353</v>
      </c>
      <c r="I368">
        <v>2000773</v>
      </c>
      <c r="J368" t="s">
        <v>1620</v>
      </c>
      <c r="K368" t="s">
        <v>1621</v>
      </c>
      <c r="L368" t="s">
        <v>1087</v>
      </c>
      <c r="N368" t="s">
        <v>1622</v>
      </c>
      <c r="O368" t="s">
        <v>1623</v>
      </c>
      <c r="R368" t="s">
        <v>386</v>
      </c>
      <c r="S368" s="34" t="s">
        <v>1624</v>
      </c>
    </row>
    <row r="369" spans="1:19" ht="243" x14ac:dyDescent="0.15">
      <c r="A369" t="s">
        <v>1614</v>
      </c>
      <c r="B369" s="61">
        <v>46357</v>
      </c>
      <c r="E369" t="s">
        <v>355</v>
      </c>
      <c r="F369" t="s">
        <v>385</v>
      </c>
      <c r="H369" t="s">
        <v>365</v>
      </c>
      <c r="I369">
        <v>2000900</v>
      </c>
      <c r="J369" t="s">
        <v>1625</v>
      </c>
      <c r="K369" t="s">
        <v>1626</v>
      </c>
      <c r="L369" t="s">
        <v>390</v>
      </c>
      <c r="N369" t="s">
        <v>1627</v>
      </c>
      <c r="O369" t="s">
        <v>1628</v>
      </c>
      <c r="R369" t="s">
        <v>395</v>
      </c>
      <c r="S369" s="34" t="s">
        <v>1629</v>
      </c>
    </row>
    <row r="370" spans="1:19" x14ac:dyDescent="0.15">
      <c r="A370" t="s">
        <v>1614</v>
      </c>
      <c r="B370" s="61">
        <v>46447</v>
      </c>
      <c r="E370" t="s">
        <v>355</v>
      </c>
      <c r="F370" t="s">
        <v>364</v>
      </c>
      <c r="H370" t="s">
        <v>353</v>
      </c>
      <c r="I370">
        <v>2000905</v>
      </c>
      <c r="J370" t="s">
        <v>1570</v>
      </c>
      <c r="K370" t="s">
        <v>1630</v>
      </c>
      <c r="L370" t="s">
        <v>1631</v>
      </c>
      <c r="N370" t="s">
        <v>1632</v>
      </c>
      <c r="O370" t="s">
        <v>1633</v>
      </c>
    </row>
    <row r="371" spans="1:19" x14ac:dyDescent="0.15">
      <c r="A371" t="s">
        <v>1614</v>
      </c>
      <c r="B371" s="61">
        <v>46539</v>
      </c>
      <c r="E371" t="s">
        <v>355</v>
      </c>
      <c r="F371" t="s">
        <v>364</v>
      </c>
      <c r="H371" t="s">
        <v>365</v>
      </c>
      <c r="I371">
        <v>2000239</v>
      </c>
      <c r="J371" t="s">
        <v>1634</v>
      </c>
      <c r="K371" t="s">
        <v>1635</v>
      </c>
      <c r="L371" t="s">
        <v>378</v>
      </c>
      <c r="N371" t="s">
        <v>1636</v>
      </c>
      <c r="O371" t="s">
        <v>1637</v>
      </c>
    </row>
    <row r="372" spans="1:19" x14ac:dyDescent="0.15">
      <c r="A372" t="s">
        <v>1614</v>
      </c>
      <c r="B372" s="61">
        <v>46569</v>
      </c>
      <c r="E372" t="s">
        <v>355</v>
      </c>
      <c r="F372" t="s">
        <v>364</v>
      </c>
      <c r="H372" t="s">
        <v>353</v>
      </c>
      <c r="I372">
        <v>2000907</v>
      </c>
      <c r="J372" t="s">
        <v>1638</v>
      </c>
      <c r="L372" t="s">
        <v>1639</v>
      </c>
      <c r="N372" t="s">
        <v>1640</v>
      </c>
      <c r="O372" t="s">
        <v>1641</v>
      </c>
    </row>
    <row r="373" spans="1:19" ht="216" x14ac:dyDescent="0.15">
      <c r="A373" t="s">
        <v>1614</v>
      </c>
      <c r="B373" s="61">
        <v>46600</v>
      </c>
      <c r="E373" t="s">
        <v>355</v>
      </c>
      <c r="F373" t="s">
        <v>385</v>
      </c>
      <c r="H373" t="s">
        <v>353</v>
      </c>
      <c r="I373">
        <v>2000773</v>
      </c>
      <c r="J373" t="s">
        <v>1620</v>
      </c>
      <c r="K373" t="s">
        <v>1621</v>
      </c>
      <c r="L373" t="s">
        <v>1087</v>
      </c>
      <c r="N373" t="s">
        <v>1642</v>
      </c>
      <c r="O373" t="s">
        <v>1623</v>
      </c>
      <c r="R373" t="s">
        <v>386</v>
      </c>
      <c r="S373" s="34" t="s">
        <v>1643</v>
      </c>
    </row>
    <row r="374" spans="1:19" x14ac:dyDescent="0.15">
      <c r="A374" t="s">
        <v>1614</v>
      </c>
      <c r="B374" s="61">
        <v>46661</v>
      </c>
      <c r="E374" t="s">
        <v>355</v>
      </c>
      <c r="F374" t="s">
        <v>364</v>
      </c>
      <c r="H374" t="s">
        <v>353</v>
      </c>
      <c r="I374">
        <v>2000960</v>
      </c>
      <c r="J374" t="s">
        <v>1644</v>
      </c>
      <c r="K374" t="s">
        <v>1645</v>
      </c>
      <c r="L374" t="s">
        <v>413</v>
      </c>
      <c r="N374" t="s">
        <v>1646</v>
      </c>
      <c r="O374" t="s">
        <v>1647</v>
      </c>
    </row>
    <row r="375" spans="1:19" x14ac:dyDescent="0.15">
      <c r="A375" t="s">
        <v>1614</v>
      </c>
      <c r="B375" s="61">
        <v>46722</v>
      </c>
      <c r="E375" t="s">
        <v>355</v>
      </c>
      <c r="F375" t="s">
        <v>364</v>
      </c>
      <c r="H375" t="s">
        <v>353</v>
      </c>
      <c r="I375">
        <v>2000700</v>
      </c>
      <c r="J375" t="s">
        <v>1648</v>
      </c>
      <c r="L375" t="s">
        <v>1276</v>
      </c>
      <c r="N375" t="s">
        <v>1649</v>
      </c>
      <c r="O375" t="s">
        <v>1650</v>
      </c>
    </row>
    <row r="376" spans="1:19" x14ac:dyDescent="0.15">
      <c r="A376" t="s">
        <v>1614</v>
      </c>
      <c r="B376" s="61">
        <v>46753</v>
      </c>
      <c r="E376" t="s">
        <v>355</v>
      </c>
      <c r="F376" t="s">
        <v>364</v>
      </c>
      <c r="H376" t="s">
        <v>365</v>
      </c>
      <c r="I376">
        <v>2000107</v>
      </c>
      <c r="J376" t="s">
        <v>1651</v>
      </c>
      <c r="L376" t="s">
        <v>1652</v>
      </c>
      <c r="N376" t="s">
        <v>1653</v>
      </c>
      <c r="O376" t="s">
        <v>1654</v>
      </c>
    </row>
    <row r="377" spans="1:19" x14ac:dyDescent="0.15">
      <c r="A377" t="s">
        <v>1614</v>
      </c>
      <c r="B377" s="61">
        <v>46813</v>
      </c>
      <c r="E377" t="s">
        <v>355</v>
      </c>
      <c r="F377" t="s">
        <v>364</v>
      </c>
      <c r="H377" t="s">
        <v>365</v>
      </c>
      <c r="I377">
        <v>2000291</v>
      </c>
      <c r="J377" t="s">
        <v>1655</v>
      </c>
      <c r="K377" t="s">
        <v>1656</v>
      </c>
      <c r="L377" t="s">
        <v>1657</v>
      </c>
      <c r="N377" t="s">
        <v>1658</v>
      </c>
      <c r="O377" t="s">
        <v>1659</v>
      </c>
    </row>
    <row r="378" spans="1:19" x14ac:dyDescent="0.15">
      <c r="A378" t="s">
        <v>1614</v>
      </c>
      <c r="B378" s="61">
        <v>46844</v>
      </c>
      <c r="E378" t="s">
        <v>355</v>
      </c>
      <c r="F378" t="s">
        <v>364</v>
      </c>
      <c r="H378" t="s">
        <v>365</v>
      </c>
      <c r="I378">
        <v>2000677</v>
      </c>
      <c r="J378" t="s">
        <v>1660</v>
      </c>
      <c r="K378" t="s">
        <v>1661</v>
      </c>
      <c r="L378" t="s">
        <v>698</v>
      </c>
      <c r="N378" t="s">
        <v>1662</v>
      </c>
      <c r="O378" t="s">
        <v>1663</v>
      </c>
    </row>
    <row r="379" spans="1:19" x14ac:dyDescent="0.15">
      <c r="A379" t="s">
        <v>1614</v>
      </c>
      <c r="B379" s="61">
        <v>46874</v>
      </c>
      <c r="E379" t="s">
        <v>355</v>
      </c>
      <c r="F379" t="s">
        <v>364</v>
      </c>
      <c r="H379" t="s">
        <v>353</v>
      </c>
      <c r="I379">
        <v>2000670</v>
      </c>
      <c r="J379" t="s">
        <v>1664</v>
      </c>
      <c r="K379" t="s">
        <v>1251</v>
      </c>
      <c r="L379" t="s">
        <v>1665</v>
      </c>
      <c r="N379" t="s">
        <v>1666</v>
      </c>
      <c r="O379" t="s">
        <v>1667</v>
      </c>
    </row>
    <row r="380" spans="1:19" x14ac:dyDescent="0.15">
      <c r="A380" t="s">
        <v>1614</v>
      </c>
      <c r="B380" s="61">
        <v>46935</v>
      </c>
      <c r="E380" t="s">
        <v>355</v>
      </c>
      <c r="F380" t="s">
        <v>364</v>
      </c>
      <c r="H380" t="s">
        <v>353</v>
      </c>
      <c r="I380">
        <v>2000443</v>
      </c>
      <c r="J380" t="s">
        <v>1668</v>
      </c>
      <c r="L380" t="s">
        <v>1669</v>
      </c>
      <c r="N380" t="s">
        <v>1670</v>
      </c>
      <c r="O380" t="s">
        <v>1671</v>
      </c>
    </row>
    <row r="381" spans="1:19" x14ac:dyDescent="0.15">
      <c r="A381" t="s">
        <v>1614</v>
      </c>
      <c r="B381" s="61">
        <v>46966</v>
      </c>
      <c r="E381" t="s">
        <v>355</v>
      </c>
      <c r="F381" t="s">
        <v>364</v>
      </c>
      <c r="H381" t="s">
        <v>353</v>
      </c>
      <c r="I381">
        <v>2000842</v>
      </c>
      <c r="J381" t="s">
        <v>1672</v>
      </c>
      <c r="L381" t="s">
        <v>1673</v>
      </c>
      <c r="N381" t="s">
        <v>1674</v>
      </c>
      <c r="O381" t="s">
        <v>1675</v>
      </c>
    </row>
    <row r="382" spans="1:19" ht="409.5" x14ac:dyDescent="0.15">
      <c r="A382" t="s">
        <v>1614</v>
      </c>
      <c r="B382" s="61">
        <v>46966</v>
      </c>
      <c r="E382" t="s">
        <v>355</v>
      </c>
      <c r="F382" t="s">
        <v>385</v>
      </c>
      <c r="H382" t="s">
        <v>353</v>
      </c>
      <c r="I382">
        <v>2000230</v>
      </c>
      <c r="J382" t="s">
        <v>873</v>
      </c>
      <c r="K382" t="s">
        <v>1676</v>
      </c>
      <c r="L382" t="s">
        <v>1087</v>
      </c>
      <c r="N382" t="s">
        <v>1677</v>
      </c>
      <c r="O382" t="s">
        <v>1678</v>
      </c>
      <c r="R382" t="s">
        <v>386</v>
      </c>
      <c r="S382" s="34" t="s">
        <v>1679</v>
      </c>
    </row>
    <row r="383" spans="1:19" x14ac:dyDescent="0.15">
      <c r="A383" t="s">
        <v>1614</v>
      </c>
      <c r="B383" s="61">
        <v>46997</v>
      </c>
      <c r="E383" t="s">
        <v>355</v>
      </c>
      <c r="F383" t="s">
        <v>364</v>
      </c>
      <c r="H383" t="s">
        <v>353</v>
      </c>
      <c r="I383">
        <v>2000245</v>
      </c>
      <c r="J383" t="s">
        <v>1680</v>
      </c>
      <c r="K383" t="s">
        <v>1681</v>
      </c>
      <c r="L383" t="s">
        <v>1682</v>
      </c>
      <c r="N383" t="s">
        <v>1683</v>
      </c>
      <c r="O383" t="s">
        <v>1684</v>
      </c>
    </row>
    <row r="384" spans="1:19" x14ac:dyDescent="0.15">
      <c r="A384" t="s">
        <v>1614</v>
      </c>
      <c r="B384" s="61">
        <v>47058</v>
      </c>
      <c r="E384" t="s">
        <v>355</v>
      </c>
      <c r="F384" t="s">
        <v>364</v>
      </c>
      <c r="H384" t="s">
        <v>353</v>
      </c>
      <c r="I384">
        <v>2000035</v>
      </c>
      <c r="J384" t="s">
        <v>1685</v>
      </c>
      <c r="K384" t="s">
        <v>1686</v>
      </c>
      <c r="L384" t="s">
        <v>1687</v>
      </c>
      <c r="N384" t="s">
        <v>1688</v>
      </c>
      <c r="O384" t="s">
        <v>1689</v>
      </c>
    </row>
    <row r="385" spans="1:19" ht="409.5" x14ac:dyDescent="0.15">
      <c r="A385" t="s">
        <v>1614</v>
      </c>
      <c r="B385" s="61">
        <v>47119</v>
      </c>
      <c r="E385" t="s">
        <v>355</v>
      </c>
      <c r="F385" t="s">
        <v>385</v>
      </c>
      <c r="H385" t="s">
        <v>365</v>
      </c>
      <c r="I385">
        <v>2000099</v>
      </c>
      <c r="J385" t="s">
        <v>1690</v>
      </c>
      <c r="K385" t="s">
        <v>1691</v>
      </c>
      <c r="L385" t="s">
        <v>854</v>
      </c>
      <c r="N385" t="s">
        <v>1692</v>
      </c>
      <c r="O385" t="s">
        <v>1693</v>
      </c>
      <c r="R385" t="s">
        <v>395</v>
      </c>
      <c r="S385" s="34" t="s">
        <v>1694</v>
      </c>
    </row>
    <row r="386" spans="1:19" ht="229.5" x14ac:dyDescent="0.15">
      <c r="A386" t="s">
        <v>1614</v>
      </c>
      <c r="B386" s="61">
        <v>47150</v>
      </c>
      <c r="E386" t="s">
        <v>355</v>
      </c>
      <c r="F386" t="s">
        <v>385</v>
      </c>
      <c r="H386" t="s">
        <v>353</v>
      </c>
      <c r="I386">
        <v>2000795</v>
      </c>
      <c r="J386" t="s">
        <v>1695</v>
      </c>
      <c r="K386" t="s">
        <v>1696</v>
      </c>
      <c r="L386" t="s">
        <v>390</v>
      </c>
      <c r="N386" t="s">
        <v>1697</v>
      </c>
      <c r="O386" t="s">
        <v>1698</v>
      </c>
      <c r="R386" t="s">
        <v>386</v>
      </c>
      <c r="S386" s="34" t="s">
        <v>1699</v>
      </c>
    </row>
    <row r="387" spans="1:19" ht="351" x14ac:dyDescent="0.15">
      <c r="A387" t="s">
        <v>1614</v>
      </c>
      <c r="B387" s="61">
        <v>47150</v>
      </c>
      <c r="E387" t="s">
        <v>355</v>
      </c>
      <c r="F387" t="s">
        <v>385</v>
      </c>
      <c r="H387" t="s">
        <v>353</v>
      </c>
      <c r="I387">
        <v>2000710</v>
      </c>
      <c r="J387" t="s">
        <v>1695</v>
      </c>
      <c r="K387" t="s">
        <v>1700</v>
      </c>
      <c r="L387" t="s">
        <v>1701</v>
      </c>
      <c r="N387" t="s">
        <v>1702</v>
      </c>
      <c r="O387" t="s">
        <v>1703</v>
      </c>
      <c r="R387" t="s">
        <v>386</v>
      </c>
      <c r="S387" s="34" t="s">
        <v>1704</v>
      </c>
    </row>
    <row r="388" spans="1:19" ht="391.5" x14ac:dyDescent="0.15">
      <c r="A388" t="s">
        <v>1614</v>
      </c>
      <c r="B388" s="61">
        <v>47392</v>
      </c>
      <c r="E388" t="s">
        <v>355</v>
      </c>
      <c r="F388" t="s">
        <v>385</v>
      </c>
      <c r="H388" t="s">
        <v>365</v>
      </c>
      <c r="I388">
        <v>2000948</v>
      </c>
      <c r="J388" t="s">
        <v>1705</v>
      </c>
      <c r="K388" t="s">
        <v>1706</v>
      </c>
      <c r="L388" t="s">
        <v>1148</v>
      </c>
      <c r="N388" t="s">
        <v>1707</v>
      </c>
      <c r="O388" t="s">
        <v>1708</v>
      </c>
      <c r="R388" t="s">
        <v>395</v>
      </c>
      <c r="S388" s="34" t="s">
        <v>1709</v>
      </c>
    </row>
    <row r="389" spans="1:19" ht="409.5" x14ac:dyDescent="0.15">
      <c r="A389" t="s">
        <v>1614</v>
      </c>
      <c r="B389" s="61">
        <v>47423</v>
      </c>
      <c r="E389" t="s">
        <v>355</v>
      </c>
      <c r="F389" t="s">
        <v>385</v>
      </c>
      <c r="H389" t="s">
        <v>365</v>
      </c>
      <c r="I389">
        <v>2000946</v>
      </c>
      <c r="J389" t="s">
        <v>1710</v>
      </c>
      <c r="K389" t="s">
        <v>1711</v>
      </c>
      <c r="L389" t="s">
        <v>373</v>
      </c>
      <c r="N389" t="s">
        <v>1712</v>
      </c>
      <c r="O389" t="s">
        <v>1713</v>
      </c>
      <c r="R389" t="s">
        <v>395</v>
      </c>
      <c r="S389" s="34" t="s">
        <v>1714</v>
      </c>
    </row>
    <row r="390" spans="1:19" ht="409.5" x14ac:dyDescent="0.15">
      <c r="A390" t="s">
        <v>1614</v>
      </c>
      <c r="B390" s="61">
        <v>47665</v>
      </c>
      <c r="E390" t="s">
        <v>355</v>
      </c>
      <c r="F390" t="s">
        <v>385</v>
      </c>
      <c r="H390" t="s">
        <v>353</v>
      </c>
      <c r="I390">
        <v>2000954</v>
      </c>
      <c r="J390" t="s">
        <v>1615</v>
      </c>
      <c r="K390" t="s">
        <v>1251</v>
      </c>
      <c r="L390" t="s">
        <v>1616</v>
      </c>
      <c r="N390" t="s">
        <v>1617</v>
      </c>
      <c r="O390" t="s">
        <v>1618</v>
      </c>
      <c r="R390" t="s">
        <v>386</v>
      </c>
      <c r="S390" s="34" t="s">
        <v>1619</v>
      </c>
    </row>
    <row r="391" spans="1:19" x14ac:dyDescent="0.15">
      <c r="A391" t="s">
        <v>1614</v>
      </c>
      <c r="B391" s="61">
        <v>48122</v>
      </c>
      <c r="E391" t="s">
        <v>355</v>
      </c>
      <c r="F391" t="s">
        <v>364</v>
      </c>
      <c r="H391" t="s">
        <v>353</v>
      </c>
      <c r="I391">
        <v>2000960</v>
      </c>
      <c r="J391" t="s">
        <v>1644</v>
      </c>
      <c r="K391" t="s">
        <v>1645</v>
      </c>
      <c r="L391" t="s">
        <v>413</v>
      </c>
      <c r="N391" t="s">
        <v>1646</v>
      </c>
      <c r="O391" t="s">
        <v>1647</v>
      </c>
    </row>
    <row r="392" spans="1:19" ht="256.5" x14ac:dyDescent="0.15">
      <c r="A392" t="s">
        <v>1715</v>
      </c>
      <c r="B392" s="61">
        <v>45901</v>
      </c>
      <c r="E392" t="s">
        <v>355</v>
      </c>
      <c r="F392" t="s">
        <v>351</v>
      </c>
      <c r="G392" t="s">
        <v>352</v>
      </c>
      <c r="H392" t="s">
        <v>5779</v>
      </c>
      <c r="I392">
        <v>1500731</v>
      </c>
      <c r="J392" t="s">
        <v>1063</v>
      </c>
      <c r="K392" t="s">
        <v>6179</v>
      </c>
      <c r="L392" t="s">
        <v>1114</v>
      </c>
      <c r="N392" t="s">
        <v>6180</v>
      </c>
      <c r="O392" t="s">
        <v>6181</v>
      </c>
      <c r="Q392" t="s">
        <v>7481</v>
      </c>
      <c r="S392" s="34" t="s">
        <v>7482</v>
      </c>
    </row>
    <row r="393" spans="1:19" ht="216" x14ac:dyDescent="0.15">
      <c r="A393" t="s">
        <v>1715</v>
      </c>
      <c r="B393" s="61">
        <v>46235</v>
      </c>
      <c r="E393" t="s">
        <v>355</v>
      </c>
      <c r="F393" t="s">
        <v>356</v>
      </c>
      <c r="H393" t="s">
        <v>365</v>
      </c>
      <c r="I393">
        <v>1500728</v>
      </c>
      <c r="J393" t="s">
        <v>1733</v>
      </c>
      <c r="K393" t="s">
        <v>1734</v>
      </c>
      <c r="L393" t="s">
        <v>1718</v>
      </c>
      <c r="N393" t="s">
        <v>1735</v>
      </c>
      <c r="O393" t="s">
        <v>1736</v>
      </c>
      <c r="R393" t="s">
        <v>362</v>
      </c>
      <c r="S393" s="34" t="s">
        <v>1737</v>
      </c>
    </row>
    <row r="394" spans="1:19" ht="409.5" x14ac:dyDescent="0.15">
      <c r="A394" t="s">
        <v>1715</v>
      </c>
      <c r="B394" s="61">
        <v>46235</v>
      </c>
      <c r="E394" t="s">
        <v>355</v>
      </c>
      <c r="F394" t="s">
        <v>356</v>
      </c>
      <c r="H394" t="s">
        <v>353</v>
      </c>
      <c r="I394">
        <v>1500728</v>
      </c>
      <c r="J394" t="s">
        <v>1733</v>
      </c>
      <c r="K394" t="s">
        <v>1734</v>
      </c>
      <c r="L394" t="s">
        <v>1718</v>
      </c>
      <c r="N394" t="s">
        <v>1738</v>
      </c>
      <c r="O394" t="s">
        <v>1736</v>
      </c>
      <c r="R394" t="s">
        <v>362</v>
      </c>
      <c r="S394" s="34" t="s">
        <v>1739</v>
      </c>
    </row>
    <row r="395" spans="1:19" ht="243" x14ac:dyDescent="0.15">
      <c r="A395" t="s">
        <v>1715</v>
      </c>
      <c r="B395" s="61">
        <v>46266</v>
      </c>
      <c r="E395" t="s">
        <v>355</v>
      </c>
      <c r="F395" t="s">
        <v>385</v>
      </c>
      <c r="H395" t="s">
        <v>353</v>
      </c>
      <c r="I395">
        <v>1500204</v>
      </c>
      <c r="J395" t="s">
        <v>1740</v>
      </c>
      <c r="K395" t="s">
        <v>1741</v>
      </c>
      <c r="L395" t="s">
        <v>390</v>
      </c>
      <c r="N395" t="s">
        <v>1742</v>
      </c>
      <c r="O395" t="s">
        <v>1743</v>
      </c>
      <c r="R395" t="s">
        <v>386</v>
      </c>
      <c r="S395" s="34" t="s">
        <v>1744</v>
      </c>
    </row>
    <row r="396" spans="1:19" ht="409.5" x14ac:dyDescent="0.15">
      <c r="A396" t="s">
        <v>1715</v>
      </c>
      <c r="B396" s="61">
        <v>46296</v>
      </c>
      <c r="E396" t="s">
        <v>355</v>
      </c>
      <c r="F396" t="s">
        <v>356</v>
      </c>
      <c r="H396" t="s">
        <v>353</v>
      </c>
      <c r="I396">
        <v>600201</v>
      </c>
      <c r="J396" t="s">
        <v>1745</v>
      </c>
      <c r="K396" t="s">
        <v>1746</v>
      </c>
      <c r="L396" t="s">
        <v>854</v>
      </c>
      <c r="N396" t="s">
        <v>1747</v>
      </c>
      <c r="O396" t="s">
        <v>1748</v>
      </c>
      <c r="R396" t="s">
        <v>362</v>
      </c>
      <c r="S396" s="34" t="s">
        <v>1749</v>
      </c>
    </row>
    <row r="397" spans="1:19" x14ac:dyDescent="0.15">
      <c r="A397" t="s">
        <v>1715</v>
      </c>
      <c r="B397" s="61">
        <v>46419</v>
      </c>
      <c r="E397" t="s">
        <v>355</v>
      </c>
      <c r="F397" t="s">
        <v>364</v>
      </c>
      <c r="H397" t="s">
        <v>365</v>
      </c>
      <c r="I397">
        <v>1500846</v>
      </c>
      <c r="J397" t="s">
        <v>1755</v>
      </c>
      <c r="K397" t="s">
        <v>1756</v>
      </c>
      <c r="L397" t="s">
        <v>413</v>
      </c>
      <c r="N397" t="s">
        <v>1757</v>
      </c>
      <c r="O397" t="s">
        <v>1758</v>
      </c>
    </row>
    <row r="398" spans="1:19" x14ac:dyDescent="0.15">
      <c r="A398" t="s">
        <v>1715</v>
      </c>
      <c r="B398" s="61">
        <v>46447</v>
      </c>
      <c r="E398" t="s">
        <v>355</v>
      </c>
      <c r="F398" t="s">
        <v>364</v>
      </c>
      <c r="H398" t="s">
        <v>353</v>
      </c>
      <c r="I398">
        <v>1500578</v>
      </c>
      <c r="J398" t="s">
        <v>1759</v>
      </c>
      <c r="L398" t="s">
        <v>698</v>
      </c>
      <c r="N398" t="s">
        <v>1760</v>
      </c>
      <c r="O398" t="s">
        <v>1761</v>
      </c>
    </row>
    <row r="399" spans="1:19" x14ac:dyDescent="0.15">
      <c r="A399" t="s">
        <v>1715</v>
      </c>
      <c r="B399" s="61">
        <v>46478</v>
      </c>
      <c r="E399" t="s">
        <v>355</v>
      </c>
      <c r="F399" t="s">
        <v>364</v>
      </c>
      <c r="H399" t="s">
        <v>365</v>
      </c>
      <c r="I399">
        <v>1500848</v>
      </c>
      <c r="J399" t="s">
        <v>1762</v>
      </c>
      <c r="L399" t="s">
        <v>413</v>
      </c>
      <c r="N399" t="s">
        <v>1763</v>
      </c>
      <c r="O399" t="s">
        <v>1764</v>
      </c>
    </row>
    <row r="400" spans="1:19" x14ac:dyDescent="0.15">
      <c r="A400" t="s">
        <v>1715</v>
      </c>
      <c r="B400" s="61">
        <v>46508</v>
      </c>
      <c r="E400" t="s">
        <v>355</v>
      </c>
      <c r="F400" t="s">
        <v>364</v>
      </c>
      <c r="H400" t="s">
        <v>353</v>
      </c>
      <c r="I400">
        <v>1500205</v>
      </c>
      <c r="J400" t="s">
        <v>1765</v>
      </c>
      <c r="L400" t="s">
        <v>390</v>
      </c>
      <c r="N400" t="s">
        <v>1766</v>
      </c>
      <c r="O400" t="s">
        <v>1767</v>
      </c>
    </row>
    <row r="401" spans="1:19" ht="283.5" x14ac:dyDescent="0.15">
      <c r="A401" t="s">
        <v>1715</v>
      </c>
      <c r="B401" s="61">
        <v>46508</v>
      </c>
      <c r="E401" t="s">
        <v>355</v>
      </c>
      <c r="F401" t="s">
        <v>385</v>
      </c>
      <c r="H401" t="s">
        <v>310</v>
      </c>
      <c r="I401">
        <v>1500692</v>
      </c>
      <c r="J401" t="s">
        <v>1721</v>
      </c>
      <c r="K401" t="s">
        <v>1722</v>
      </c>
      <c r="L401" t="s">
        <v>1723</v>
      </c>
      <c r="N401" t="s">
        <v>395</v>
      </c>
      <c r="O401" t="s">
        <v>1724</v>
      </c>
      <c r="S401" s="34" t="s">
        <v>1725</v>
      </c>
    </row>
    <row r="402" spans="1:19" x14ac:dyDescent="0.15">
      <c r="A402" t="s">
        <v>1715</v>
      </c>
      <c r="B402" s="61">
        <v>46661</v>
      </c>
      <c r="E402" t="s">
        <v>355</v>
      </c>
      <c r="F402" t="s">
        <v>364</v>
      </c>
      <c r="H402" t="s">
        <v>353</v>
      </c>
      <c r="I402">
        <v>1500822</v>
      </c>
      <c r="J402" t="s">
        <v>1768</v>
      </c>
      <c r="K402" t="s">
        <v>1769</v>
      </c>
      <c r="L402" t="s">
        <v>390</v>
      </c>
      <c r="N402" t="s">
        <v>1770</v>
      </c>
      <c r="O402" t="s">
        <v>1771</v>
      </c>
    </row>
    <row r="403" spans="1:19" ht="243" x14ac:dyDescent="0.15">
      <c r="A403" t="s">
        <v>1715</v>
      </c>
      <c r="B403" s="61">
        <v>46692</v>
      </c>
      <c r="E403" t="s">
        <v>355</v>
      </c>
      <c r="F403" t="s">
        <v>385</v>
      </c>
      <c r="H403" t="s">
        <v>365</v>
      </c>
      <c r="I403">
        <v>600197</v>
      </c>
      <c r="J403" t="s">
        <v>1745</v>
      </c>
      <c r="K403" t="s">
        <v>1746</v>
      </c>
      <c r="L403" t="s">
        <v>1772</v>
      </c>
      <c r="N403" t="s">
        <v>1773</v>
      </c>
      <c r="O403" t="s">
        <v>1774</v>
      </c>
      <c r="R403" t="s">
        <v>395</v>
      </c>
      <c r="S403" s="34" t="s">
        <v>1775</v>
      </c>
    </row>
    <row r="404" spans="1:19" x14ac:dyDescent="0.15">
      <c r="A404" t="s">
        <v>1715</v>
      </c>
      <c r="B404" s="61">
        <v>46844</v>
      </c>
      <c r="E404" t="s">
        <v>355</v>
      </c>
      <c r="F404" t="s">
        <v>364</v>
      </c>
      <c r="H404" t="s">
        <v>365</v>
      </c>
      <c r="I404">
        <v>1500828</v>
      </c>
      <c r="J404" t="s">
        <v>1732</v>
      </c>
      <c r="L404" t="s">
        <v>1776</v>
      </c>
      <c r="N404" t="s">
        <v>1777</v>
      </c>
      <c r="O404" t="s">
        <v>1778</v>
      </c>
    </row>
    <row r="405" spans="1:19" x14ac:dyDescent="0.15">
      <c r="A405" t="s">
        <v>1715</v>
      </c>
      <c r="B405" s="61">
        <v>46905</v>
      </c>
      <c r="E405" t="s">
        <v>355</v>
      </c>
      <c r="F405" t="s">
        <v>364</v>
      </c>
      <c r="H405" t="s">
        <v>365</v>
      </c>
      <c r="I405">
        <v>1500628</v>
      </c>
      <c r="J405" t="s">
        <v>1732</v>
      </c>
      <c r="L405" t="s">
        <v>698</v>
      </c>
      <c r="N405" t="s">
        <v>1779</v>
      </c>
      <c r="O405" t="s">
        <v>1780</v>
      </c>
    </row>
    <row r="406" spans="1:19" x14ac:dyDescent="0.15">
      <c r="A406" t="s">
        <v>1715</v>
      </c>
      <c r="B406" s="61">
        <v>46966</v>
      </c>
      <c r="E406" t="s">
        <v>355</v>
      </c>
      <c r="F406" t="s">
        <v>364</v>
      </c>
      <c r="H406" t="s">
        <v>353</v>
      </c>
      <c r="I406">
        <v>1500044</v>
      </c>
      <c r="J406" t="s">
        <v>1781</v>
      </c>
      <c r="L406" t="s">
        <v>512</v>
      </c>
      <c r="N406" t="s">
        <v>1782</v>
      </c>
      <c r="O406" t="s">
        <v>1783</v>
      </c>
    </row>
    <row r="407" spans="1:19" x14ac:dyDescent="0.15">
      <c r="A407" t="s">
        <v>1715</v>
      </c>
      <c r="B407" s="61">
        <v>46966</v>
      </c>
      <c r="E407" t="s">
        <v>355</v>
      </c>
      <c r="F407" t="s">
        <v>364</v>
      </c>
      <c r="H407" t="s">
        <v>353</v>
      </c>
      <c r="I407">
        <v>1500647</v>
      </c>
      <c r="J407" t="s">
        <v>1781</v>
      </c>
      <c r="L407" t="s">
        <v>1769</v>
      </c>
      <c r="N407" t="s">
        <v>1784</v>
      </c>
      <c r="O407" t="s">
        <v>1785</v>
      </c>
    </row>
    <row r="408" spans="1:19" ht="216" x14ac:dyDescent="0.15">
      <c r="A408" t="s">
        <v>1715</v>
      </c>
      <c r="B408" s="61">
        <v>47088</v>
      </c>
      <c r="E408" t="s">
        <v>355</v>
      </c>
      <c r="F408" t="s">
        <v>385</v>
      </c>
      <c r="H408" t="s">
        <v>365</v>
      </c>
      <c r="I408">
        <v>1500733</v>
      </c>
      <c r="J408" t="s">
        <v>1750</v>
      </c>
      <c r="K408" t="s">
        <v>1751</v>
      </c>
      <c r="L408" t="s">
        <v>390</v>
      </c>
      <c r="N408" t="s">
        <v>1786</v>
      </c>
      <c r="O408" t="s">
        <v>1753</v>
      </c>
      <c r="R408" t="s">
        <v>395</v>
      </c>
      <c r="S408" s="34" t="s">
        <v>1787</v>
      </c>
    </row>
    <row r="409" spans="1:19" ht="229.5" x14ac:dyDescent="0.15">
      <c r="A409" t="s">
        <v>1715</v>
      </c>
      <c r="B409" s="61">
        <v>47331</v>
      </c>
      <c r="E409" t="s">
        <v>355</v>
      </c>
      <c r="F409" t="s">
        <v>385</v>
      </c>
      <c r="H409" t="s">
        <v>365</v>
      </c>
      <c r="I409">
        <v>600024</v>
      </c>
      <c r="J409" t="s">
        <v>1745</v>
      </c>
      <c r="K409" t="s">
        <v>1746</v>
      </c>
      <c r="L409" t="s">
        <v>373</v>
      </c>
      <c r="N409" t="s">
        <v>1788</v>
      </c>
      <c r="O409" t="s">
        <v>1789</v>
      </c>
      <c r="R409" t="s">
        <v>395</v>
      </c>
      <c r="S409" s="34" t="s">
        <v>1790</v>
      </c>
    </row>
    <row r="410" spans="1:19" ht="409.5" x14ac:dyDescent="0.15">
      <c r="A410" t="s">
        <v>1715</v>
      </c>
      <c r="B410" s="61">
        <v>47331</v>
      </c>
      <c r="E410" t="s">
        <v>355</v>
      </c>
      <c r="F410" t="s">
        <v>385</v>
      </c>
      <c r="H410" t="s">
        <v>353</v>
      </c>
      <c r="I410">
        <v>1500581</v>
      </c>
      <c r="J410" t="s">
        <v>1791</v>
      </c>
      <c r="K410" t="s">
        <v>1792</v>
      </c>
      <c r="L410" t="s">
        <v>1793</v>
      </c>
      <c r="N410" t="s">
        <v>1794</v>
      </c>
      <c r="O410" t="s">
        <v>1795</v>
      </c>
      <c r="R410" s="34" t="s">
        <v>768</v>
      </c>
      <c r="S410" s="34" t="s">
        <v>1796</v>
      </c>
    </row>
    <row r="411" spans="1:19" ht="409.5" x14ac:dyDescent="0.15">
      <c r="A411" t="s">
        <v>1715</v>
      </c>
      <c r="B411" s="61">
        <v>47665</v>
      </c>
      <c r="E411" t="s">
        <v>355</v>
      </c>
      <c r="F411" t="s">
        <v>385</v>
      </c>
      <c r="H411" t="s">
        <v>365</v>
      </c>
      <c r="I411">
        <v>1500690</v>
      </c>
      <c r="J411" t="s">
        <v>1726</v>
      </c>
      <c r="K411" t="s">
        <v>1727</v>
      </c>
      <c r="L411" t="s">
        <v>1728</v>
      </c>
      <c r="N411" t="s">
        <v>1729</v>
      </c>
      <c r="O411" t="s">
        <v>1730</v>
      </c>
      <c r="R411" t="s">
        <v>395</v>
      </c>
      <c r="S411" s="34" t="s">
        <v>1731</v>
      </c>
    </row>
    <row r="412" spans="1:19" ht="216" x14ac:dyDescent="0.15">
      <c r="A412" t="s">
        <v>1715</v>
      </c>
      <c r="B412" s="61">
        <v>47696</v>
      </c>
      <c r="E412" t="s">
        <v>355</v>
      </c>
      <c r="F412" t="s">
        <v>385</v>
      </c>
      <c r="H412" t="s">
        <v>365</v>
      </c>
      <c r="I412">
        <v>1500728</v>
      </c>
      <c r="J412" t="s">
        <v>1733</v>
      </c>
      <c r="K412" t="s">
        <v>1734</v>
      </c>
      <c r="L412" t="s">
        <v>1718</v>
      </c>
      <c r="N412" t="s">
        <v>1735</v>
      </c>
      <c r="O412" t="s">
        <v>1736</v>
      </c>
      <c r="R412" t="s">
        <v>395</v>
      </c>
      <c r="S412" s="34" t="s">
        <v>1737</v>
      </c>
    </row>
    <row r="413" spans="1:19" ht="409.5" x14ac:dyDescent="0.15">
      <c r="A413" t="s">
        <v>1715</v>
      </c>
      <c r="B413" s="61">
        <v>47696</v>
      </c>
      <c r="E413" t="s">
        <v>355</v>
      </c>
      <c r="F413" t="s">
        <v>385</v>
      </c>
      <c r="H413" t="s">
        <v>353</v>
      </c>
      <c r="I413">
        <v>1500728</v>
      </c>
      <c r="J413" t="s">
        <v>1733</v>
      </c>
      <c r="K413" t="s">
        <v>1734</v>
      </c>
      <c r="L413" t="s">
        <v>1718</v>
      </c>
      <c r="N413" t="s">
        <v>1738</v>
      </c>
      <c r="O413" t="s">
        <v>1736</v>
      </c>
      <c r="R413" t="s">
        <v>386</v>
      </c>
      <c r="S413" s="34" t="s">
        <v>1739</v>
      </c>
    </row>
    <row r="414" spans="1:19" ht="409.5" x14ac:dyDescent="0.15">
      <c r="A414" t="s">
        <v>1715</v>
      </c>
      <c r="B414" s="61">
        <v>47757</v>
      </c>
      <c r="E414" t="s">
        <v>355</v>
      </c>
      <c r="F414" t="s">
        <v>385</v>
      </c>
      <c r="H414" t="s">
        <v>353</v>
      </c>
      <c r="I414">
        <v>600201</v>
      </c>
      <c r="J414" t="s">
        <v>1745</v>
      </c>
      <c r="K414" t="s">
        <v>1746</v>
      </c>
      <c r="L414" t="s">
        <v>854</v>
      </c>
      <c r="N414" t="s">
        <v>1747</v>
      </c>
      <c r="O414" t="s">
        <v>1748</v>
      </c>
      <c r="R414" t="s">
        <v>386</v>
      </c>
      <c r="S414" s="34" t="s">
        <v>1749</v>
      </c>
    </row>
    <row r="415" spans="1:19" x14ac:dyDescent="0.15">
      <c r="A415" t="s">
        <v>1715</v>
      </c>
      <c r="B415" s="61">
        <v>47880</v>
      </c>
      <c r="E415" t="s">
        <v>355</v>
      </c>
      <c r="F415" t="s">
        <v>364</v>
      </c>
      <c r="H415" t="s">
        <v>365</v>
      </c>
      <c r="I415">
        <v>1500846</v>
      </c>
      <c r="J415" t="s">
        <v>1755</v>
      </c>
      <c r="K415" t="s">
        <v>1756</v>
      </c>
      <c r="L415" t="s">
        <v>413</v>
      </c>
      <c r="N415" t="s">
        <v>1757</v>
      </c>
      <c r="O415" t="s">
        <v>1758</v>
      </c>
    </row>
    <row r="416" spans="1:19" x14ac:dyDescent="0.15">
      <c r="A416" t="s">
        <v>1715</v>
      </c>
      <c r="B416" s="61">
        <v>47939</v>
      </c>
      <c r="E416" t="s">
        <v>355</v>
      </c>
      <c r="F416" t="s">
        <v>364</v>
      </c>
      <c r="H416" t="s">
        <v>365</v>
      </c>
      <c r="I416">
        <v>1500848</v>
      </c>
      <c r="J416" t="s">
        <v>1762</v>
      </c>
      <c r="L416" t="s">
        <v>413</v>
      </c>
      <c r="N416" t="s">
        <v>1763</v>
      </c>
      <c r="O416" t="s">
        <v>1764</v>
      </c>
    </row>
    <row r="417" spans="1:19" x14ac:dyDescent="0.15">
      <c r="A417" t="s">
        <v>1797</v>
      </c>
      <c r="B417" s="61">
        <v>46600</v>
      </c>
      <c r="E417" t="s">
        <v>355</v>
      </c>
      <c r="F417" t="s">
        <v>356</v>
      </c>
      <c r="H417" t="s">
        <v>353</v>
      </c>
      <c r="I417">
        <v>2800843</v>
      </c>
      <c r="J417" t="s">
        <v>1803</v>
      </c>
      <c r="L417" t="s">
        <v>1804</v>
      </c>
      <c r="N417" t="s">
        <v>1805</v>
      </c>
      <c r="O417" t="s">
        <v>1806</v>
      </c>
    </row>
    <row r="418" spans="1:19" x14ac:dyDescent="0.15">
      <c r="A418" t="s">
        <v>1797</v>
      </c>
      <c r="B418" s="61">
        <v>46905</v>
      </c>
      <c r="E418" t="s">
        <v>355</v>
      </c>
      <c r="F418" t="s">
        <v>364</v>
      </c>
      <c r="H418" t="s">
        <v>353</v>
      </c>
      <c r="I418">
        <v>2800720</v>
      </c>
      <c r="J418" t="s">
        <v>1807</v>
      </c>
      <c r="K418" t="s">
        <v>1808</v>
      </c>
      <c r="L418" t="s">
        <v>1809</v>
      </c>
      <c r="N418" t="s">
        <v>1810</v>
      </c>
      <c r="O418" t="s">
        <v>1811</v>
      </c>
    </row>
    <row r="419" spans="1:19" ht="351" x14ac:dyDescent="0.15">
      <c r="A419" t="s">
        <v>1797</v>
      </c>
      <c r="B419" s="61">
        <v>47392</v>
      </c>
      <c r="E419" t="s">
        <v>355</v>
      </c>
      <c r="F419" t="s">
        <v>385</v>
      </c>
      <c r="H419" t="s">
        <v>353</v>
      </c>
      <c r="I419">
        <v>2800021</v>
      </c>
      <c r="J419" t="s">
        <v>1812</v>
      </c>
      <c r="K419" t="s">
        <v>1813</v>
      </c>
      <c r="L419" t="s">
        <v>413</v>
      </c>
      <c r="N419" t="s">
        <v>1814</v>
      </c>
      <c r="O419" t="s">
        <v>1815</v>
      </c>
      <c r="R419" s="34" t="s">
        <v>768</v>
      </c>
      <c r="S419" s="34" t="s">
        <v>1816</v>
      </c>
    </row>
    <row r="420" spans="1:19" ht="409.5" x14ac:dyDescent="0.15">
      <c r="A420" t="s">
        <v>1797</v>
      </c>
      <c r="B420" s="61">
        <v>47515</v>
      </c>
      <c r="E420" t="s">
        <v>355</v>
      </c>
      <c r="F420" t="s">
        <v>385</v>
      </c>
      <c r="H420" t="s">
        <v>353</v>
      </c>
      <c r="I420">
        <v>2801283</v>
      </c>
      <c r="J420" t="s">
        <v>1212</v>
      </c>
      <c r="K420" t="s">
        <v>1798</v>
      </c>
      <c r="L420" t="s">
        <v>1799</v>
      </c>
      <c r="N420" t="s">
        <v>1800</v>
      </c>
      <c r="O420" t="s">
        <v>1801</v>
      </c>
      <c r="R420" s="34" t="s">
        <v>768</v>
      </c>
      <c r="S420" s="34" t="s">
        <v>1802</v>
      </c>
    </row>
    <row r="421" spans="1:19" x14ac:dyDescent="0.15">
      <c r="A421" t="s">
        <v>1797</v>
      </c>
      <c r="B421" s="61">
        <v>48061</v>
      </c>
      <c r="E421" t="s">
        <v>355</v>
      </c>
      <c r="F421" t="s">
        <v>385</v>
      </c>
      <c r="H421" t="s">
        <v>353</v>
      </c>
      <c r="I421">
        <v>2800843</v>
      </c>
      <c r="J421" t="s">
        <v>1803</v>
      </c>
      <c r="L421" t="s">
        <v>1804</v>
      </c>
      <c r="N421" t="s">
        <v>1805</v>
      </c>
      <c r="O421" t="s">
        <v>1806</v>
      </c>
    </row>
    <row r="422" spans="1:19" ht="409.5" x14ac:dyDescent="0.15">
      <c r="A422" t="s">
        <v>1817</v>
      </c>
      <c r="B422" s="61">
        <v>46784</v>
      </c>
      <c r="E422" t="s">
        <v>355</v>
      </c>
      <c r="F422" t="s">
        <v>385</v>
      </c>
      <c r="H422" t="s">
        <v>365</v>
      </c>
      <c r="I422">
        <v>2802024</v>
      </c>
      <c r="J422" t="s">
        <v>1818</v>
      </c>
      <c r="K422" t="s">
        <v>1819</v>
      </c>
      <c r="L422" t="s">
        <v>1820</v>
      </c>
      <c r="N422" t="s">
        <v>1821</v>
      </c>
      <c r="O422" t="s">
        <v>1822</v>
      </c>
      <c r="R422" s="34" t="s">
        <v>1823</v>
      </c>
      <c r="S422" s="34" t="s">
        <v>1824</v>
      </c>
    </row>
    <row r="423" spans="1:19" x14ac:dyDescent="0.15">
      <c r="A423" t="s">
        <v>1817</v>
      </c>
      <c r="B423" s="61">
        <v>46388</v>
      </c>
      <c r="E423" t="s">
        <v>355</v>
      </c>
      <c r="F423" t="s">
        <v>364</v>
      </c>
      <c r="H423" t="s">
        <v>365</v>
      </c>
      <c r="I423">
        <v>2800113</v>
      </c>
      <c r="J423" t="s">
        <v>1831</v>
      </c>
      <c r="L423" t="s">
        <v>390</v>
      </c>
      <c r="N423" t="s">
        <v>1832</v>
      </c>
      <c r="O423" t="s">
        <v>1833</v>
      </c>
    </row>
    <row r="424" spans="1:19" x14ac:dyDescent="0.15">
      <c r="A424" t="s">
        <v>1817</v>
      </c>
      <c r="B424" s="61">
        <v>46753</v>
      </c>
      <c r="E424" t="s">
        <v>355</v>
      </c>
      <c r="F424" t="s">
        <v>364</v>
      </c>
      <c r="H424" t="s">
        <v>353</v>
      </c>
      <c r="I424">
        <v>2800240</v>
      </c>
      <c r="J424" t="s">
        <v>1825</v>
      </c>
      <c r="K424" t="s">
        <v>1826</v>
      </c>
      <c r="L424" t="s">
        <v>1827</v>
      </c>
      <c r="N424" t="s">
        <v>1828</v>
      </c>
      <c r="O424" t="s">
        <v>1829</v>
      </c>
    </row>
    <row r="425" spans="1:19" x14ac:dyDescent="0.15">
      <c r="A425" t="s">
        <v>1817</v>
      </c>
      <c r="B425" s="61">
        <v>47178</v>
      </c>
      <c r="E425" t="s">
        <v>355</v>
      </c>
      <c r="F425" t="s">
        <v>364</v>
      </c>
      <c r="H425" t="s">
        <v>353</v>
      </c>
      <c r="I425">
        <v>2802310</v>
      </c>
      <c r="J425" t="s">
        <v>1212</v>
      </c>
      <c r="K425" t="s">
        <v>1834</v>
      </c>
      <c r="L425" t="s">
        <v>1835</v>
      </c>
      <c r="N425" t="s">
        <v>1836</v>
      </c>
      <c r="O425" t="s">
        <v>1837</v>
      </c>
    </row>
    <row r="426" spans="1:19" ht="216" x14ac:dyDescent="0.15">
      <c r="A426" t="s">
        <v>1817</v>
      </c>
      <c r="B426" s="61">
        <v>47331</v>
      </c>
      <c r="E426" t="s">
        <v>355</v>
      </c>
      <c r="F426" t="s">
        <v>385</v>
      </c>
      <c r="H426" t="s">
        <v>353</v>
      </c>
      <c r="I426">
        <v>2800354</v>
      </c>
      <c r="J426" t="s">
        <v>1012</v>
      </c>
      <c r="K426" t="s">
        <v>1838</v>
      </c>
      <c r="L426" t="s">
        <v>413</v>
      </c>
      <c r="N426" t="s">
        <v>1839</v>
      </c>
      <c r="O426" t="s">
        <v>1840</v>
      </c>
      <c r="R426" s="34" t="s">
        <v>768</v>
      </c>
      <c r="S426" s="34" t="s">
        <v>1841</v>
      </c>
    </row>
    <row r="427" spans="1:19" x14ac:dyDescent="0.15">
      <c r="A427" t="s">
        <v>1817</v>
      </c>
      <c r="B427" s="61">
        <v>47849</v>
      </c>
      <c r="E427" t="s">
        <v>355</v>
      </c>
      <c r="F427" t="s">
        <v>364</v>
      </c>
      <c r="H427" t="s">
        <v>365</v>
      </c>
      <c r="I427">
        <v>2800113</v>
      </c>
      <c r="J427" t="s">
        <v>1831</v>
      </c>
      <c r="L427" t="s">
        <v>390</v>
      </c>
      <c r="N427" t="s">
        <v>1832</v>
      </c>
      <c r="O427" t="s">
        <v>1833</v>
      </c>
    </row>
    <row r="428" spans="1:19" x14ac:dyDescent="0.15">
      <c r="A428" t="s">
        <v>1817</v>
      </c>
      <c r="B428" s="61">
        <v>48214</v>
      </c>
      <c r="E428" t="s">
        <v>355</v>
      </c>
      <c r="F428" t="s">
        <v>364</v>
      </c>
      <c r="H428" t="s">
        <v>353</v>
      </c>
      <c r="I428">
        <v>2800240</v>
      </c>
      <c r="J428" t="s">
        <v>1825</v>
      </c>
      <c r="K428" t="s">
        <v>1826</v>
      </c>
      <c r="L428" t="s">
        <v>1827</v>
      </c>
      <c r="N428" t="s">
        <v>1828</v>
      </c>
      <c r="O428" t="s">
        <v>1829</v>
      </c>
    </row>
    <row r="429" spans="1:19" ht="409.5" x14ac:dyDescent="0.15">
      <c r="A429" t="s">
        <v>1842</v>
      </c>
      <c r="B429" s="61">
        <v>45870</v>
      </c>
      <c r="E429" t="s">
        <v>355</v>
      </c>
      <c r="F429" t="s">
        <v>356</v>
      </c>
      <c r="G429" t="s">
        <v>354</v>
      </c>
      <c r="H429" t="s">
        <v>353</v>
      </c>
      <c r="I429">
        <v>2802322</v>
      </c>
      <c r="J429" t="s">
        <v>1851</v>
      </c>
      <c r="K429" t="s">
        <v>1844</v>
      </c>
      <c r="L429" t="s">
        <v>1856</v>
      </c>
      <c r="N429" t="s">
        <v>1857</v>
      </c>
      <c r="O429" t="s">
        <v>1858</v>
      </c>
      <c r="P429" t="s">
        <v>4934</v>
      </c>
      <c r="Q429" t="s">
        <v>4935</v>
      </c>
      <c r="R429" t="s">
        <v>362</v>
      </c>
      <c r="S429" s="34" t="s">
        <v>1859</v>
      </c>
    </row>
    <row r="430" spans="1:19" ht="256.5" x14ac:dyDescent="0.15">
      <c r="A430" t="s">
        <v>1842</v>
      </c>
      <c r="B430" s="61">
        <v>46266</v>
      </c>
      <c r="E430" t="s">
        <v>355</v>
      </c>
      <c r="F430" t="s">
        <v>385</v>
      </c>
      <c r="H430" t="s">
        <v>353</v>
      </c>
      <c r="I430">
        <v>2802164</v>
      </c>
      <c r="J430" t="s">
        <v>1843</v>
      </c>
      <c r="K430" t="s">
        <v>1844</v>
      </c>
      <c r="L430" t="s">
        <v>1845</v>
      </c>
      <c r="N430" t="s">
        <v>1846</v>
      </c>
      <c r="O430" t="s">
        <v>1847</v>
      </c>
      <c r="R430" t="s">
        <v>386</v>
      </c>
      <c r="S430" s="34" t="s">
        <v>1848</v>
      </c>
    </row>
    <row r="431" spans="1:19" ht="216" x14ac:dyDescent="0.15">
      <c r="A431" t="s">
        <v>1842</v>
      </c>
      <c r="B431" s="61">
        <v>46296</v>
      </c>
      <c r="E431" t="s">
        <v>355</v>
      </c>
      <c r="F431" t="s">
        <v>385</v>
      </c>
      <c r="H431" t="s">
        <v>365</v>
      </c>
      <c r="I431">
        <v>2802164</v>
      </c>
      <c r="J431" t="s">
        <v>1843</v>
      </c>
      <c r="K431" t="s">
        <v>1844</v>
      </c>
      <c r="L431" t="s">
        <v>1845</v>
      </c>
      <c r="N431" t="s">
        <v>1849</v>
      </c>
      <c r="O431" t="s">
        <v>1847</v>
      </c>
      <c r="R431" t="s">
        <v>395</v>
      </c>
      <c r="S431" s="34" t="s">
        <v>1850</v>
      </c>
    </row>
    <row r="432" spans="1:19" ht="409.5" x14ac:dyDescent="0.15">
      <c r="A432" t="s">
        <v>1842</v>
      </c>
      <c r="B432" s="61">
        <v>47300</v>
      </c>
      <c r="E432" t="s">
        <v>355</v>
      </c>
      <c r="F432" t="s">
        <v>385</v>
      </c>
      <c r="H432" t="s">
        <v>353</v>
      </c>
      <c r="I432">
        <v>2801376</v>
      </c>
      <c r="J432" t="s">
        <v>1851</v>
      </c>
      <c r="K432" t="s">
        <v>1844</v>
      </c>
      <c r="L432" t="s">
        <v>1852</v>
      </c>
      <c r="N432" t="s">
        <v>1853</v>
      </c>
      <c r="O432" t="s">
        <v>1854</v>
      </c>
      <c r="R432" s="34" t="s">
        <v>768</v>
      </c>
      <c r="S432" s="34" t="s">
        <v>1855</v>
      </c>
    </row>
    <row r="433" spans="1:19" ht="409.5" x14ac:dyDescent="0.15">
      <c r="A433" t="s">
        <v>1842</v>
      </c>
      <c r="B433" s="61">
        <v>47331</v>
      </c>
      <c r="E433" t="s">
        <v>355</v>
      </c>
      <c r="F433" t="s">
        <v>385</v>
      </c>
      <c r="H433" t="s">
        <v>353</v>
      </c>
      <c r="I433">
        <v>2802322</v>
      </c>
      <c r="J433" t="s">
        <v>1851</v>
      </c>
      <c r="K433" t="s">
        <v>1844</v>
      </c>
      <c r="L433" t="s">
        <v>1856</v>
      </c>
      <c r="N433" t="s">
        <v>1857</v>
      </c>
      <c r="O433" t="s">
        <v>1858</v>
      </c>
      <c r="R433" t="s">
        <v>386</v>
      </c>
      <c r="S433" s="34" t="s">
        <v>1859</v>
      </c>
    </row>
    <row r="434" spans="1:19" ht="391.5" x14ac:dyDescent="0.15">
      <c r="A434" t="s">
        <v>1860</v>
      </c>
      <c r="B434" s="61">
        <v>46357</v>
      </c>
      <c r="E434" t="s">
        <v>355</v>
      </c>
      <c r="F434" t="s">
        <v>385</v>
      </c>
      <c r="H434" t="s">
        <v>365</v>
      </c>
      <c r="I434">
        <v>800966</v>
      </c>
      <c r="J434" t="s">
        <v>1861</v>
      </c>
      <c r="L434" t="s">
        <v>698</v>
      </c>
      <c r="N434" t="s">
        <v>1862</v>
      </c>
      <c r="O434" t="s">
        <v>1863</v>
      </c>
      <c r="P434" t="s">
        <v>1864</v>
      </c>
      <c r="Q434" t="s">
        <v>1865</v>
      </c>
      <c r="R434" s="34" t="s">
        <v>1866</v>
      </c>
      <c r="S434" s="34" t="s">
        <v>1867</v>
      </c>
    </row>
    <row r="435" spans="1:19" ht="243" x14ac:dyDescent="0.15">
      <c r="A435" t="s">
        <v>1860</v>
      </c>
      <c r="B435" s="61">
        <v>45170</v>
      </c>
      <c r="E435" t="s">
        <v>355</v>
      </c>
      <c r="F435" t="s">
        <v>969</v>
      </c>
      <c r="H435" t="s">
        <v>970</v>
      </c>
      <c r="I435">
        <v>800465</v>
      </c>
      <c r="J435" t="s">
        <v>775</v>
      </c>
      <c r="K435" t="s">
        <v>1868</v>
      </c>
      <c r="L435" t="s">
        <v>1869</v>
      </c>
      <c r="N435" t="s">
        <v>1870</v>
      </c>
      <c r="O435" t="s">
        <v>1871</v>
      </c>
      <c r="R435" s="34" t="s">
        <v>1872</v>
      </c>
      <c r="S435" s="34" t="s">
        <v>1873</v>
      </c>
    </row>
    <row r="436" spans="1:19" ht="409.5" x14ac:dyDescent="0.15">
      <c r="A436" t="s">
        <v>1860</v>
      </c>
      <c r="B436" s="61">
        <v>46266</v>
      </c>
      <c r="E436" t="s">
        <v>355</v>
      </c>
      <c r="F436" t="s">
        <v>385</v>
      </c>
      <c r="H436" t="s">
        <v>365</v>
      </c>
      <c r="I436">
        <v>800465</v>
      </c>
      <c r="J436" t="s">
        <v>775</v>
      </c>
      <c r="K436" t="s">
        <v>1868</v>
      </c>
      <c r="L436" t="s">
        <v>1869</v>
      </c>
      <c r="N436" t="s">
        <v>1887</v>
      </c>
      <c r="O436" t="s">
        <v>1871</v>
      </c>
      <c r="R436" t="s">
        <v>395</v>
      </c>
      <c r="S436" s="34" t="s">
        <v>1888</v>
      </c>
    </row>
    <row r="437" spans="1:19" x14ac:dyDescent="0.15">
      <c r="A437" t="s">
        <v>1860</v>
      </c>
      <c r="B437" s="61">
        <v>46388</v>
      </c>
      <c r="E437" t="s">
        <v>355</v>
      </c>
      <c r="F437" t="s">
        <v>364</v>
      </c>
      <c r="H437" t="s">
        <v>365</v>
      </c>
      <c r="I437">
        <v>801063</v>
      </c>
      <c r="J437" t="s">
        <v>1893</v>
      </c>
      <c r="K437" t="s">
        <v>403</v>
      </c>
      <c r="L437" t="s">
        <v>1894</v>
      </c>
      <c r="N437" t="s">
        <v>1895</v>
      </c>
      <c r="O437" t="s">
        <v>1896</v>
      </c>
    </row>
    <row r="438" spans="1:19" x14ac:dyDescent="0.15">
      <c r="A438" t="s">
        <v>1860</v>
      </c>
      <c r="B438" s="61">
        <v>46692</v>
      </c>
      <c r="E438" t="s">
        <v>355</v>
      </c>
      <c r="F438" t="s">
        <v>364</v>
      </c>
      <c r="H438" t="s">
        <v>353</v>
      </c>
      <c r="I438">
        <v>800813</v>
      </c>
      <c r="J438" t="s">
        <v>1897</v>
      </c>
      <c r="L438" t="s">
        <v>698</v>
      </c>
      <c r="N438" t="s">
        <v>1898</v>
      </c>
      <c r="O438" t="s">
        <v>1899</v>
      </c>
    </row>
    <row r="439" spans="1:19" x14ac:dyDescent="0.15">
      <c r="A439" t="s">
        <v>1860</v>
      </c>
      <c r="B439" s="61">
        <v>46997</v>
      </c>
      <c r="E439" t="s">
        <v>355</v>
      </c>
      <c r="F439" t="s">
        <v>364</v>
      </c>
      <c r="H439" t="s">
        <v>365</v>
      </c>
      <c r="I439">
        <v>801410</v>
      </c>
      <c r="J439" t="s">
        <v>1900</v>
      </c>
      <c r="K439" t="s">
        <v>1901</v>
      </c>
      <c r="L439" t="s">
        <v>1902</v>
      </c>
      <c r="N439" t="s">
        <v>1903</v>
      </c>
      <c r="O439" t="s">
        <v>1904</v>
      </c>
    </row>
    <row r="440" spans="1:19" x14ac:dyDescent="0.15">
      <c r="A440" t="s">
        <v>1860</v>
      </c>
      <c r="B440" s="61">
        <v>47027</v>
      </c>
      <c r="E440" t="s">
        <v>355</v>
      </c>
      <c r="F440" t="s">
        <v>364</v>
      </c>
      <c r="H440" t="s">
        <v>365</v>
      </c>
      <c r="I440">
        <v>801410</v>
      </c>
      <c r="J440" t="s">
        <v>1900</v>
      </c>
      <c r="K440" t="s">
        <v>1901</v>
      </c>
      <c r="L440" t="s">
        <v>1902</v>
      </c>
      <c r="N440" t="s">
        <v>1905</v>
      </c>
      <c r="O440" t="s">
        <v>1904</v>
      </c>
    </row>
    <row r="441" spans="1:19" x14ac:dyDescent="0.15">
      <c r="A441" t="s">
        <v>1860</v>
      </c>
      <c r="B441" s="61">
        <v>47058</v>
      </c>
      <c r="E441" t="s">
        <v>355</v>
      </c>
      <c r="F441" t="s">
        <v>364</v>
      </c>
      <c r="H441" t="s">
        <v>365</v>
      </c>
      <c r="I441">
        <v>801411</v>
      </c>
      <c r="J441" t="s">
        <v>1900</v>
      </c>
      <c r="K441" t="s">
        <v>1901</v>
      </c>
      <c r="L441" t="s">
        <v>1906</v>
      </c>
      <c r="N441" t="s">
        <v>1907</v>
      </c>
      <c r="O441" t="s">
        <v>1908</v>
      </c>
    </row>
    <row r="442" spans="1:19" ht="243" x14ac:dyDescent="0.15">
      <c r="A442" t="s">
        <v>1860</v>
      </c>
      <c r="B442" s="61">
        <v>47362</v>
      </c>
      <c r="E442" t="s">
        <v>355</v>
      </c>
      <c r="F442" t="s">
        <v>385</v>
      </c>
      <c r="H442" t="s">
        <v>353</v>
      </c>
      <c r="I442">
        <v>800415</v>
      </c>
      <c r="J442" t="s">
        <v>1909</v>
      </c>
      <c r="K442" t="s">
        <v>403</v>
      </c>
      <c r="L442" t="s">
        <v>1910</v>
      </c>
      <c r="N442" t="s">
        <v>1911</v>
      </c>
      <c r="O442" t="s">
        <v>1912</v>
      </c>
      <c r="R442" s="34" t="s">
        <v>768</v>
      </c>
      <c r="S442" s="34" t="s">
        <v>1913</v>
      </c>
    </row>
    <row r="443" spans="1:19" ht="351" x14ac:dyDescent="0.15">
      <c r="A443" t="s">
        <v>1860</v>
      </c>
      <c r="B443" s="61">
        <v>47696</v>
      </c>
      <c r="E443" t="s">
        <v>355</v>
      </c>
      <c r="F443" t="s">
        <v>385</v>
      </c>
      <c r="H443" t="s">
        <v>353</v>
      </c>
      <c r="I443">
        <v>801417</v>
      </c>
      <c r="J443" t="s">
        <v>1881</v>
      </c>
      <c r="K443" t="s">
        <v>1882</v>
      </c>
      <c r="L443" t="s">
        <v>1883</v>
      </c>
      <c r="N443" t="s">
        <v>1884</v>
      </c>
      <c r="O443" t="s">
        <v>1885</v>
      </c>
      <c r="R443" t="s">
        <v>386</v>
      </c>
      <c r="S443" s="34" t="s">
        <v>1886</v>
      </c>
    </row>
    <row r="444" spans="1:19" ht="391.5" x14ac:dyDescent="0.15">
      <c r="A444" t="s">
        <v>6252</v>
      </c>
      <c r="B444" s="61">
        <v>46204</v>
      </c>
      <c r="E444" t="s">
        <v>355</v>
      </c>
      <c r="F444" t="s">
        <v>356</v>
      </c>
      <c r="H444" t="s">
        <v>353</v>
      </c>
      <c r="I444">
        <v>3300044</v>
      </c>
      <c r="J444" t="s">
        <v>1920</v>
      </c>
      <c r="K444" t="s">
        <v>1921</v>
      </c>
      <c r="L444" t="s">
        <v>413</v>
      </c>
      <c r="N444" t="s">
        <v>4000</v>
      </c>
      <c r="O444" t="s">
        <v>1922</v>
      </c>
      <c r="R444" t="s">
        <v>362</v>
      </c>
      <c r="S444" s="34" t="s">
        <v>1923</v>
      </c>
    </row>
    <row r="445" spans="1:19" ht="391.5" x14ac:dyDescent="0.15">
      <c r="A445" t="s">
        <v>6263</v>
      </c>
      <c r="B445" s="61">
        <v>46296</v>
      </c>
      <c r="E445" t="s">
        <v>355</v>
      </c>
      <c r="F445" t="s">
        <v>385</v>
      </c>
      <c r="H445" t="s">
        <v>365</v>
      </c>
      <c r="I445">
        <v>3300695</v>
      </c>
      <c r="J445" t="s">
        <v>743</v>
      </c>
      <c r="K445" t="s">
        <v>1928</v>
      </c>
      <c r="L445" t="s">
        <v>1929</v>
      </c>
      <c r="N445" t="s">
        <v>1930</v>
      </c>
      <c r="O445" t="s">
        <v>1931</v>
      </c>
      <c r="R445" t="s">
        <v>395</v>
      </c>
      <c r="S445" s="34" t="s">
        <v>1932</v>
      </c>
    </row>
    <row r="446" spans="1:19" ht="409.5" x14ac:dyDescent="0.15">
      <c r="A446" t="s">
        <v>6263</v>
      </c>
      <c r="B446" s="61">
        <v>46327</v>
      </c>
      <c r="E446" t="s">
        <v>355</v>
      </c>
      <c r="F446" t="s">
        <v>385</v>
      </c>
      <c r="H446" t="s">
        <v>353</v>
      </c>
      <c r="I446">
        <v>3300475</v>
      </c>
      <c r="J446" t="s">
        <v>743</v>
      </c>
      <c r="K446" t="s">
        <v>1933</v>
      </c>
      <c r="L446" t="s">
        <v>1934</v>
      </c>
      <c r="N446" t="s">
        <v>1935</v>
      </c>
      <c r="O446" t="s">
        <v>1936</v>
      </c>
      <c r="R446" t="s">
        <v>386</v>
      </c>
      <c r="S446" s="34" t="s">
        <v>1937</v>
      </c>
    </row>
    <row r="447" spans="1:19" ht="409.5" x14ac:dyDescent="0.15">
      <c r="A447" t="s">
        <v>6263</v>
      </c>
      <c r="B447" s="61">
        <v>46357</v>
      </c>
      <c r="E447" t="s">
        <v>355</v>
      </c>
      <c r="F447" t="s">
        <v>385</v>
      </c>
      <c r="H447" t="s">
        <v>353</v>
      </c>
      <c r="I447">
        <v>3300100</v>
      </c>
      <c r="J447" t="s">
        <v>641</v>
      </c>
      <c r="K447" t="s">
        <v>1938</v>
      </c>
      <c r="L447" t="s">
        <v>1939</v>
      </c>
      <c r="N447" t="s">
        <v>1940</v>
      </c>
      <c r="O447" t="s">
        <v>1941</v>
      </c>
      <c r="R447" t="s">
        <v>386</v>
      </c>
      <c r="S447" s="34" t="s">
        <v>1942</v>
      </c>
    </row>
    <row r="448" spans="1:19" ht="409.5" x14ac:dyDescent="0.15">
      <c r="A448" t="s">
        <v>6263</v>
      </c>
      <c r="B448" s="61">
        <v>46357</v>
      </c>
      <c r="E448" t="s">
        <v>355</v>
      </c>
      <c r="F448" t="s">
        <v>356</v>
      </c>
      <c r="H448" t="s">
        <v>353</v>
      </c>
      <c r="I448">
        <v>3300033</v>
      </c>
      <c r="J448" t="s">
        <v>1924</v>
      </c>
      <c r="K448" t="s">
        <v>1925</v>
      </c>
      <c r="L448" t="s">
        <v>1926</v>
      </c>
      <c r="N448" t="s">
        <v>7354</v>
      </c>
      <c r="O448" t="s">
        <v>1927</v>
      </c>
      <c r="R448" t="s">
        <v>362</v>
      </c>
      <c r="S448" s="34" t="s">
        <v>7355</v>
      </c>
    </row>
    <row r="449" spans="1:19" x14ac:dyDescent="0.15">
      <c r="A449" t="s">
        <v>6263</v>
      </c>
      <c r="B449" s="61">
        <v>46447</v>
      </c>
      <c r="E449" t="s">
        <v>355</v>
      </c>
      <c r="F449" t="s">
        <v>364</v>
      </c>
      <c r="H449" t="s">
        <v>353</v>
      </c>
      <c r="I449">
        <v>3300403</v>
      </c>
      <c r="J449" t="s">
        <v>1943</v>
      </c>
      <c r="K449" t="s">
        <v>1944</v>
      </c>
      <c r="L449" t="s">
        <v>698</v>
      </c>
      <c r="N449" t="s">
        <v>1945</v>
      </c>
      <c r="O449" t="s">
        <v>1946</v>
      </c>
    </row>
    <row r="450" spans="1:19" x14ac:dyDescent="0.15">
      <c r="A450" t="s">
        <v>6263</v>
      </c>
      <c r="B450" s="61">
        <v>46508</v>
      </c>
      <c r="E450" t="s">
        <v>355</v>
      </c>
      <c r="F450" t="s">
        <v>364</v>
      </c>
      <c r="H450" t="s">
        <v>353</v>
      </c>
      <c r="I450">
        <v>3300320</v>
      </c>
      <c r="J450" t="s">
        <v>1065</v>
      </c>
      <c r="K450" t="s">
        <v>1947</v>
      </c>
      <c r="L450" t="s">
        <v>1114</v>
      </c>
      <c r="N450" t="s">
        <v>1948</v>
      </c>
      <c r="O450" t="s">
        <v>1949</v>
      </c>
    </row>
    <row r="451" spans="1:19" x14ac:dyDescent="0.15">
      <c r="A451" t="s">
        <v>6263</v>
      </c>
      <c r="B451" s="61">
        <v>46569</v>
      </c>
      <c r="E451" t="s">
        <v>355</v>
      </c>
      <c r="F451" t="s">
        <v>364</v>
      </c>
      <c r="H451" t="s">
        <v>353</v>
      </c>
      <c r="I451">
        <v>3300578</v>
      </c>
      <c r="J451" t="s">
        <v>1943</v>
      </c>
      <c r="K451" t="s">
        <v>1944</v>
      </c>
      <c r="L451" t="s">
        <v>413</v>
      </c>
      <c r="N451" t="s">
        <v>1950</v>
      </c>
      <c r="O451" t="s">
        <v>1951</v>
      </c>
    </row>
    <row r="452" spans="1:19" ht="391.5" x14ac:dyDescent="0.15">
      <c r="A452" t="s">
        <v>6263</v>
      </c>
      <c r="B452" s="61">
        <v>46813</v>
      </c>
      <c r="E452" t="s">
        <v>355</v>
      </c>
      <c r="F452" t="s">
        <v>385</v>
      </c>
      <c r="H452" t="s">
        <v>365</v>
      </c>
      <c r="I452">
        <v>3300231</v>
      </c>
      <c r="J452" t="s">
        <v>708</v>
      </c>
      <c r="K452" t="s">
        <v>1952</v>
      </c>
      <c r="L452" t="s">
        <v>1385</v>
      </c>
      <c r="N452" t="s">
        <v>1953</v>
      </c>
      <c r="O452" t="s">
        <v>1954</v>
      </c>
      <c r="R452" t="s">
        <v>395</v>
      </c>
      <c r="S452" s="34" t="s">
        <v>1955</v>
      </c>
    </row>
    <row r="453" spans="1:19" ht="409.5" x14ac:dyDescent="0.15">
      <c r="A453" t="s">
        <v>6252</v>
      </c>
      <c r="B453" s="61">
        <v>47574</v>
      </c>
      <c r="E453" t="s">
        <v>355</v>
      </c>
      <c r="F453" t="s">
        <v>385</v>
      </c>
      <c r="H453" t="s">
        <v>353</v>
      </c>
      <c r="I453">
        <v>3300745</v>
      </c>
      <c r="J453" t="s">
        <v>672</v>
      </c>
      <c r="K453" t="s">
        <v>1915</v>
      </c>
      <c r="L453" t="s">
        <v>1916</v>
      </c>
      <c r="N453" t="s">
        <v>1917</v>
      </c>
      <c r="O453" t="s">
        <v>1918</v>
      </c>
      <c r="R453" t="s">
        <v>386</v>
      </c>
      <c r="S453" s="34" t="s">
        <v>1919</v>
      </c>
    </row>
    <row r="454" spans="1:19" ht="391.5" x14ac:dyDescent="0.15">
      <c r="A454" t="s">
        <v>6252</v>
      </c>
      <c r="B454" s="61">
        <v>47665</v>
      </c>
      <c r="E454" t="s">
        <v>355</v>
      </c>
      <c r="F454" t="s">
        <v>385</v>
      </c>
      <c r="H454" t="s">
        <v>353</v>
      </c>
      <c r="I454">
        <v>3300044</v>
      </c>
      <c r="J454" t="s">
        <v>1920</v>
      </c>
      <c r="K454" t="s">
        <v>1921</v>
      </c>
      <c r="L454" t="s">
        <v>413</v>
      </c>
      <c r="N454" t="s">
        <v>4000</v>
      </c>
      <c r="O454" t="s">
        <v>1922</v>
      </c>
      <c r="R454" s="34" t="s">
        <v>768</v>
      </c>
      <c r="S454" s="34" t="s">
        <v>1923</v>
      </c>
    </row>
    <row r="455" spans="1:19" ht="409.5" x14ac:dyDescent="0.15">
      <c r="A455" t="s">
        <v>6263</v>
      </c>
      <c r="B455" s="61">
        <v>47818</v>
      </c>
      <c r="E455" t="s">
        <v>355</v>
      </c>
      <c r="F455" t="s">
        <v>385</v>
      </c>
      <c r="H455" t="s">
        <v>353</v>
      </c>
      <c r="I455">
        <v>3300033</v>
      </c>
      <c r="J455" t="s">
        <v>1924</v>
      </c>
      <c r="K455" t="s">
        <v>1925</v>
      </c>
      <c r="L455" t="s">
        <v>1926</v>
      </c>
      <c r="N455" t="s">
        <v>7354</v>
      </c>
      <c r="O455" t="s">
        <v>1927</v>
      </c>
      <c r="R455" t="s">
        <v>386</v>
      </c>
      <c r="S455" s="34" t="s">
        <v>7355</v>
      </c>
    </row>
    <row r="456" spans="1:19" x14ac:dyDescent="0.15">
      <c r="A456" t="s">
        <v>6275</v>
      </c>
      <c r="B456" s="61">
        <v>46388</v>
      </c>
      <c r="E456" t="s">
        <v>355</v>
      </c>
      <c r="F456" t="s">
        <v>364</v>
      </c>
      <c r="H456" t="s">
        <v>353</v>
      </c>
      <c r="I456">
        <v>801359</v>
      </c>
      <c r="J456" t="s">
        <v>1966</v>
      </c>
      <c r="K456" t="s">
        <v>1967</v>
      </c>
      <c r="L456" t="s">
        <v>1968</v>
      </c>
      <c r="N456" t="s">
        <v>1969</v>
      </c>
      <c r="O456" t="s">
        <v>1970</v>
      </c>
    </row>
    <row r="457" spans="1:19" x14ac:dyDescent="0.15">
      <c r="A457" t="s">
        <v>6275</v>
      </c>
      <c r="B457" s="61">
        <v>46692</v>
      </c>
      <c r="E457" t="s">
        <v>355</v>
      </c>
      <c r="F457" t="s">
        <v>364</v>
      </c>
      <c r="H457" t="s">
        <v>365</v>
      </c>
      <c r="I457">
        <v>1200099</v>
      </c>
      <c r="J457" t="s">
        <v>1971</v>
      </c>
      <c r="K457" t="s">
        <v>1956</v>
      </c>
      <c r="L457" t="s">
        <v>1972</v>
      </c>
      <c r="N457" t="s">
        <v>1973</v>
      </c>
      <c r="O457" t="s">
        <v>1974</v>
      </c>
    </row>
    <row r="458" spans="1:19" x14ac:dyDescent="0.15">
      <c r="A458" t="s">
        <v>6275</v>
      </c>
      <c r="B458" s="61">
        <v>46753</v>
      </c>
      <c r="E458" t="s">
        <v>355</v>
      </c>
      <c r="F458" t="s">
        <v>364</v>
      </c>
      <c r="H458" t="s">
        <v>353</v>
      </c>
      <c r="I458">
        <v>1200550</v>
      </c>
      <c r="J458" t="s">
        <v>1975</v>
      </c>
      <c r="K458" t="s">
        <v>1976</v>
      </c>
      <c r="L458" t="s">
        <v>1977</v>
      </c>
      <c r="N458" t="s">
        <v>1978</v>
      </c>
      <c r="O458" t="s">
        <v>1979</v>
      </c>
    </row>
    <row r="459" spans="1:19" x14ac:dyDescent="0.15">
      <c r="A459" t="s">
        <v>6275</v>
      </c>
      <c r="B459" s="61">
        <v>46905</v>
      </c>
      <c r="E459" t="s">
        <v>355</v>
      </c>
      <c r="F459" t="s">
        <v>364</v>
      </c>
      <c r="H459" t="s">
        <v>353</v>
      </c>
      <c r="I459">
        <v>801281</v>
      </c>
      <c r="J459" t="s">
        <v>1980</v>
      </c>
      <c r="L459" t="s">
        <v>1981</v>
      </c>
      <c r="N459" t="s">
        <v>1982</v>
      </c>
      <c r="O459" t="s">
        <v>1983</v>
      </c>
    </row>
    <row r="460" spans="1:19" x14ac:dyDescent="0.15">
      <c r="A460" t="s">
        <v>6275</v>
      </c>
      <c r="B460" s="61">
        <v>47058</v>
      </c>
      <c r="E460" t="s">
        <v>355</v>
      </c>
      <c r="F460" t="s">
        <v>364</v>
      </c>
      <c r="H460" t="s">
        <v>353</v>
      </c>
      <c r="I460">
        <v>1201320</v>
      </c>
      <c r="J460" t="s">
        <v>1984</v>
      </c>
      <c r="K460" t="s">
        <v>1985</v>
      </c>
      <c r="L460" t="s">
        <v>413</v>
      </c>
      <c r="N460" t="s">
        <v>1986</v>
      </c>
      <c r="O460" t="s">
        <v>1987</v>
      </c>
    </row>
    <row r="461" spans="1:19" ht="409.5" x14ac:dyDescent="0.15">
      <c r="A461" t="s">
        <v>6275</v>
      </c>
      <c r="B461" s="61">
        <v>47119</v>
      </c>
      <c r="E461" t="s">
        <v>355</v>
      </c>
      <c r="F461" t="s">
        <v>385</v>
      </c>
      <c r="H461" t="s">
        <v>365</v>
      </c>
      <c r="I461">
        <v>800885</v>
      </c>
      <c r="J461" t="s">
        <v>1988</v>
      </c>
      <c r="K461" t="s">
        <v>1967</v>
      </c>
      <c r="L461" t="s">
        <v>1989</v>
      </c>
      <c r="N461" t="s">
        <v>1990</v>
      </c>
      <c r="O461" t="s">
        <v>1991</v>
      </c>
      <c r="R461" t="s">
        <v>395</v>
      </c>
      <c r="S461" s="34" t="s">
        <v>1992</v>
      </c>
    </row>
    <row r="462" spans="1:19" ht="409.5" x14ac:dyDescent="0.15">
      <c r="A462" t="s">
        <v>6275</v>
      </c>
      <c r="B462" s="61">
        <v>47574</v>
      </c>
      <c r="E462" t="s">
        <v>355</v>
      </c>
      <c r="F462" t="s">
        <v>385</v>
      </c>
      <c r="H462" t="s">
        <v>353</v>
      </c>
      <c r="I462">
        <v>1201469</v>
      </c>
      <c r="J462" t="s">
        <v>1360</v>
      </c>
      <c r="K462" t="s">
        <v>1956</v>
      </c>
      <c r="L462" t="s">
        <v>1958</v>
      </c>
      <c r="N462" t="s">
        <v>1959</v>
      </c>
      <c r="O462" t="s">
        <v>1960</v>
      </c>
      <c r="R462" t="s">
        <v>386</v>
      </c>
      <c r="S462" s="34" t="s">
        <v>1961</v>
      </c>
    </row>
    <row r="463" spans="1:19" ht="409.5" x14ac:dyDescent="0.15">
      <c r="A463" t="s">
        <v>6275</v>
      </c>
      <c r="B463" s="61">
        <v>47574</v>
      </c>
      <c r="E463" t="s">
        <v>355</v>
      </c>
      <c r="F463" t="s">
        <v>385</v>
      </c>
      <c r="H463" t="s">
        <v>353</v>
      </c>
      <c r="I463">
        <v>1200263</v>
      </c>
      <c r="J463" t="s">
        <v>1360</v>
      </c>
      <c r="K463" t="s">
        <v>1956</v>
      </c>
      <c r="L463" t="s">
        <v>1962</v>
      </c>
      <c r="N463" t="s">
        <v>1963</v>
      </c>
      <c r="O463" t="s">
        <v>1964</v>
      </c>
      <c r="R463" t="s">
        <v>386</v>
      </c>
      <c r="S463" s="34" t="s">
        <v>1965</v>
      </c>
    </row>
    <row r="464" spans="1:19" x14ac:dyDescent="0.15">
      <c r="A464" t="s">
        <v>6275</v>
      </c>
      <c r="B464" s="61">
        <v>48214</v>
      </c>
      <c r="E464" t="s">
        <v>355</v>
      </c>
      <c r="F464" t="s">
        <v>364</v>
      </c>
      <c r="H464" t="s">
        <v>353</v>
      </c>
      <c r="I464">
        <v>1200550</v>
      </c>
      <c r="J464" t="s">
        <v>1975</v>
      </c>
      <c r="K464" t="s">
        <v>1976</v>
      </c>
      <c r="L464" t="s">
        <v>1977</v>
      </c>
      <c r="N464" t="s">
        <v>1978</v>
      </c>
      <c r="O464" t="s">
        <v>1979</v>
      </c>
    </row>
    <row r="465" spans="1:19" ht="409.5" x14ac:dyDescent="0.15">
      <c r="A465" t="s">
        <v>1993</v>
      </c>
      <c r="B465" s="61">
        <v>44805</v>
      </c>
      <c r="E465" t="s">
        <v>355</v>
      </c>
      <c r="F465" t="s">
        <v>385</v>
      </c>
      <c r="H465" t="s">
        <v>365</v>
      </c>
      <c r="I465">
        <v>300038</v>
      </c>
      <c r="J465" t="s">
        <v>1994</v>
      </c>
      <c r="L465" t="s">
        <v>692</v>
      </c>
      <c r="N465" t="s">
        <v>1995</v>
      </c>
      <c r="O465" t="s">
        <v>1996</v>
      </c>
      <c r="R465" t="s">
        <v>395</v>
      </c>
      <c r="S465" s="34" t="s">
        <v>1997</v>
      </c>
    </row>
    <row r="466" spans="1:19" ht="243" x14ac:dyDescent="0.15">
      <c r="A466" t="s">
        <v>1993</v>
      </c>
      <c r="B466" s="61">
        <v>45992</v>
      </c>
      <c r="E466" t="s">
        <v>355</v>
      </c>
      <c r="F466" t="s">
        <v>385</v>
      </c>
      <c r="H466" t="s">
        <v>365</v>
      </c>
      <c r="I466">
        <v>200079</v>
      </c>
      <c r="J466" t="s">
        <v>4018</v>
      </c>
      <c r="L466" t="s">
        <v>413</v>
      </c>
      <c r="N466" t="s">
        <v>4019</v>
      </c>
      <c r="O466" t="s">
        <v>4020</v>
      </c>
      <c r="P466" t="s">
        <v>4936</v>
      </c>
      <c r="Q466" s="34" t="s">
        <v>4937</v>
      </c>
      <c r="R466" t="s">
        <v>395</v>
      </c>
      <c r="S466" s="34" t="s">
        <v>4021</v>
      </c>
    </row>
    <row r="467" spans="1:19" x14ac:dyDescent="0.15">
      <c r="A467" t="s">
        <v>1993</v>
      </c>
      <c r="B467" s="61">
        <v>46508</v>
      </c>
      <c r="E467" t="s">
        <v>355</v>
      </c>
      <c r="F467" t="s">
        <v>364</v>
      </c>
      <c r="H467" t="s">
        <v>365</v>
      </c>
      <c r="I467">
        <v>500128</v>
      </c>
      <c r="J467" t="s">
        <v>2009</v>
      </c>
      <c r="K467" t="s">
        <v>1999</v>
      </c>
      <c r="L467" t="s">
        <v>698</v>
      </c>
      <c r="N467" t="s">
        <v>2000</v>
      </c>
      <c r="O467" t="s">
        <v>2001</v>
      </c>
    </row>
    <row r="468" spans="1:19" x14ac:dyDescent="0.15">
      <c r="A468" t="s">
        <v>1993</v>
      </c>
      <c r="B468" s="61">
        <v>46631</v>
      </c>
      <c r="E468" t="s">
        <v>355</v>
      </c>
      <c r="F468" t="s">
        <v>364</v>
      </c>
      <c r="H468" t="s">
        <v>353</v>
      </c>
      <c r="I468">
        <v>500111</v>
      </c>
      <c r="J468" t="s">
        <v>1298</v>
      </c>
      <c r="K468" t="s">
        <v>2010</v>
      </c>
      <c r="L468" t="s">
        <v>2011</v>
      </c>
      <c r="N468" t="s">
        <v>2012</v>
      </c>
      <c r="O468" t="s">
        <v>2013</v>
      </c>
    </row>
    <row r="469" spans="1:19" x14ac:dyDescent="0.15">
      <c r="A469" t="s">
        <v>1993</v>
      </c>
      <c r="B469" s="61">
        <v>46692</v>
      </c>
      <c r="E469" t="s">
        <v>355</v>
      </c>
      <c r="F469" t="s">
        <v>364</v>
      </c>
      <c r="H469" t="s">
        <v>353</v>
      </c>
      <c r="I469">
        <v>300180</v>
      </c>
      <c r="J469" t="s">
        <v>821</v>
      </c>
      <c r="K469" t="s">
        <v>2014</v>
      </c>
      <c r="L469" t="s">
        <v>2015</v>
      </c>
      <c r="N469" t="s">
        <v>2016</v>
      </c>
      <c r="O469" t="s">
        <v>2017</v>
      </c>
    </row>
    <row r="470" spans="1:19" x14ac:dyDescent="0.15">
      <c r="A470" t="s">
        <v>1993</v>
      </c>
      <c r="B470" s="61">
        <v>46753</v>
      </c>
      <c r="E470" t="s">
        <v>355</v>
      </c>
      <c r="F470" t="s">
        <v>364</v>
      </c>
      <c r="H470" t="s">
        <v>365</v>
      </c>
      <c r="I470">
        <v>300240</v>
      </c>
      <c r="J470" t="s">
        <v>1264</v>
      </c>
      <c r="K470" t="s">
        <v>2018</v>
      </c>
      <c r="L470" t="s">
        <v>373</v>
      </c>
      <c r="N470" t="s">
        <v>2019</v>
      </c>
      <c r="O470" t="s">
        <v>2020</v>
      </c>
    </row>
    <row r="471" spans="1:19" ht="243" x14ac:dyDescent="0.15">
      <c r="A471" t="s">
        <v>1993</v>
      </c>
      <c r="B471" s="61">
        <v>47423</v>
      </c>
      <c r="E471" t="s">
        <v>355</v>
      </c>
      <c r="F471" t="s">
        <v>385</v>
      </c>
      <c r="H471" t="s">
        <v>365</v>
      </c>
      <c r="I471">
        <v>500001</v>
      </c>
      <c r="J471" t="s">
        <v>2021</v>
      </c>
      <c r="K471" t="s">
        <v>2022</v>
      </c>
      <c r="L471" t="s">
        <v>2023</v>
      </c>
      <c r="N471" t="s">
        <v>2024</v>
      </c>
      <c r="O471" t="s">
        <v>2025</v>
      </c>
      <c r="R471" t="s">
        <v>395</v>
      </c>
      <c r="S471" s="34" t="s">
        <v>2026</v>
      </c>
    </row>
    <row r="472" spans="1:19" ht="243" x14ac:dyDescent="0.15">
      <c r="A472" t="s">
        <v>1993</v>
      </c>
      <c r="B472" s="61">
        <v>47635</v>
      </c>
      <c r="E472" t="s">
        <v>355</v>
      </c>
      <c r="F472" t="s">
        <v>385</v>
      </c>
      <c r="H472" t="s">
        <v>365</v>
      </c>
      <c r="I472">
        <v>200092</v>
      </c>
      <c r="J472" t="s">
        <v>2004</v>
      </c>
      <c r="K472" t="s">
        <v>2005</v>
      </c>
      <c r="L472" t="s">
        <v>413</v>
      </c>
      <c r="N472" t="s">
        <v>2006</v>
      </c>
      <c r="O472" t="s">
        <v>2007</v>
      </c>
      <c r="R472" t="s">
        <v>395</v>
      </c>
      <c r="S472" s="34" t="s">
        <v>2008</v>
      </c>
    </row>
    <row r="473" spans="1:19" ht="409.5" x14ac:dyDescent="0.15">
      <c r="A473" t="s">
        <v>2027</v>
      </c>
      <c r="B473" s="61">
        <v>43344</v>
      </c>
      <c r="E473" t="s">
        <v>355</v>
      </c>
      <c r="F473" t="s">
        <v>356</v>
      </c>
      <c r="H473" t="s">
        <v>365</v>
      </c>
      <c r="I473">
        <v>2801533</v>
      </c>
      <c r="J473" t="s">
        <v>2028</v>
      </c>
      <c r="K473" t="s">
        <v>2029</v>
      </c>
      <c r="L473" t="s">
        <v>698</v>
      </c>
      <c r="N473" t="s">
        <v>2030</v>
      </c>
      <c r="O473" t="s">
        <v>2031</v>
      </c>
      <c r="R473" t="s">
        <v>362</v>
      </c>
      <c r="S473" s="34" t="s">
        <v>2032</v>
      </c>
    </row>
    <row r="474" spans="1:19" ht="409.5" x14ac:dyDescent="0.15">
      <c r="A474" t="s">
        <v>2027</v>
      </c>
      <c r="B474" s="61">
        <v>44805</v>
      </c>
      <c r="E474" t="s">
        <v>355</v>
      </c>
      <c r="F474" t="s">
        <v>385</v>
      </c>
      <c r="H474" t="s">
        <v>365</v>
      </c>
      <c r="I474">
        <v>2801533</v>
      </c>
      <c r="J474" t="s">
        <v>2028</v>
      </c>
      <c r="K474" t="s">
        <v>2029</v>
      </c>
      <c r="L474" t="s">
        <v>833</v>
      </c>
      <c r="N474" t="s">
        <v>2030</v>
      </c>
      <c r="O474" t="s">
        <v>2031</v>
      </c>
      <c r="R474" t="s">
        <v>395</v>
      </c>
      <c r="S474" s="34" t="s">
        <v>2032</v>
      </c>
    </row>
    <row r="475" spans="1:19" ht="409.5" x14ac:dyDescent="0.15">
      <c r="A475" t="s">
        <v>2027</v>
      </c>
      <c r="B475" s="61">
        <v>45962</v>
      </c>
      <c r="E475" t="s">
        <v>355</v>
      </c>
      <c r="F475" t="s">
        <v>351</v>
      </c>
      <c r="G475" t="s">
        <v>352</v>
      </c>
      <c r="H475" t="s">
        <v>365</v>
      </c>
      <c r="I475">
        <v>2801533</v>
      </c>
      <c r="J475" t="s">
        <v>2028</v>
      </c>
      <c r="K475" t="s">
        <v>2029</v>
      </c>
      <c r="L475" t="s">
        <v>833</v>
      </c>
      <c r="N475" t="s">
        <v>2038</v>
      </c>
      <c r="O475" t="s">
        <v>2031</v>
      </c>
      <c r="S475" s="34" t="s">
        <v>2039</v>
      </c>
    </row>
    <row r="476" spans="1:19" x14ac:dyDescent="0.15">
      <c r="A476" t="s">
        <v>2027</v>
      </c>
      <c r="B476" s="61">
        <v>46508</v>
      </c>
      <c r="E476" t="s">
        <v>355</v>
      </c>
      <c r="F476" t="s">
        <v>364</v>
      </c>
      <c r="H476" t="s">
        <v>365</v>
      </c>
      <c r="I476">
        <v>2801057</v>
      </c>
      <c r="J476" t="s">
        <v>2033</v>
      </c>
      <c r="K476" t="s">
        <v>1813</v>
      </c>
      <c r="L476" t="s">
        <v>2034</v>
      </c>
      <c r="N476" t="s">
        <v>2035</v>
      </c>
      <c r="O476" t="s">
        <v>2036</v>
      </c>
    </row>
    <row r="477" spans="1:19" x14ac:dyDescent="0.15">
      <c r="A477" t="s">
        <v>2027</v>
      </c>
      <c r="B477" s="61">
        <v>46539</v>
      </c>
      <c r="E477" t="s">
        <v>355</v>
      </c>
      <c r="F477" t="s">
        <v>364</v>
      </c>
      <c r="H477" t="s">
        <v>353</v>
      </c>
      <c r="I477">
        <v>2802381</v>
      </c>
      <c r="J477" t="s">
        <v>2040</v>
      </c>
      <c r="K477" t="s">
        <v>1350</v>
      </c>
      <c r="L477" t="s">
        <v>2041</v>
      </c>
      <c r="N477" t="s">
        <v>2042</v>
      </c>
      <c r="O477" t="s">
        <v>2043</v>
      </c>
    </row>
    <row r="478" spans="1:19" x14ac:dyDescent="0.15">
      <c r="A478" t="s">
        <v>2027</v>
      </c>
      <c r="B478" s="61">
        <v>46539</v>
      </c>
      <c r="E478" t="s">
        <v>355</v>
      </c>
      <c r="F478" t="s">
        <v>364</v>
      </c>
      <c r="H478" t="s">
        <v>310</v>
      </c>
      <c r="I478">
        <v>2800300</v>
      </c>
      <c r="J478" t="s">
        <v>2044</v>
      </c>
      <c r="K478" t="s">
        <v>2045</v>
      </c>
      <c r="L478" t="s">
        <v>833</v>
      </c>
      <c r="N478" t="s">
        <v>2046</v>
      </c>
      <c r="O478" t="s">
        <v>2047</v>
      </c>
    </row>
    <row r="479" spans="1:19" x14ac:dyDescent="0.15">
      <c r="A479" t="s">
        <v>2027</v>
      </c>
      <c r="B479" s="61">
        <v>46539</v>
      </c>
      <c r="E479" t="s">
        <v>355</v>
      </c>
      <c r="F479" t="s">
        <v>364</v>
      </c>
      <c r="H479" t="s">
        <v>310</v>
      </c>
      <c r="I479">
        <v>2800300</v>
      </c>
      <c r="J479" t="s">
        <v>2044</v>
      </c>
      <c r="K479" t="s">
        <v>2045</v>
      </c>
      <c r="L479" t="s">
        <v>833</v>
      </c>
      <c r="N479" t="s">
        <v>2048</v>
      </c>
      <c r="O479" t="s">
        <v>2047</v>
      </c>
    </row>
    <row r="480" spans="1:19" x14ac:dyDescent="0.15">
      <c r="A480" t="s">
        <v>2027</v>
      </c>
      <c r="B480" s="61">
        <v>46569</v>
      </c>
      <c r="E480" t="s">
        <v>355</v>
      </c>
      <c r="F480" t="s">
        <v>364</v>
      </c>
      <c r="H480" t="s">
        <v>365</v>
      </c>
      <c r="I480">
        <v>2802245</v>
      </c>
      <c r="J480" t="s">
        <v>2049</v>
      </c>
      <c r="K480" t="s">
        <v>2050</v>
      </c>
      <c r="L480" t="s">
        <v>2051</v>
      </c>
      <c r="N480" t="s">
        <v>2052</v>
      </c>
      <c r="O480" t="s">
        <v>2053</v>
      </c>
    </row>
    <row r="481" spans="1:19" ht="229.5" x14ac:dyDescent="0.15">
      <c r="A481" t="s">
        <v>2027</v>
      </c>
      <c r="B481" s="61">
        <v>46784</v>
      </c>
      <c r="E481" t="s">
        <v>355</v>
      </c>
      <c r="F481" t="s">
        <v>385</v>
      </c>
      <c r="H481" t="s">
        <v>353</v>
      </c>
      <c r="I481">
        <v>2802263</v>
      </c>
      <c r="J481" t="s">
        <v>2054</v>
      </c>
      <c r="L481" t="s">
        <v>390</v>
      </c>
      <c r="N481" t="s">
        <v>2055</v>
      </c>
      <c r="O481" t="s">
        <v>2056</v>
      </c>
      <c r="R481" t="s">
        <v>2057</v>
      </c>
      <c r="S481" s="34" t="s">
        <v>2058</v>
      </c>
    </row>
    <row r="482" spans="1:19" x14ac:dyDescent="0.15">
      <c r="A482" t="s">
        <v>2027</v>
      </c>
      <c r="B482" s="61">
        <v>46844</v>
      </c>
      <c r="E482" t="s">
        <v>355</v>
      </c>
      <c r="F482" t="s">
        <v>364</v>
      </c>
      <c r="H482" t="s">
        <v>365</v>
      </c>
      <c r="I482">
        <v>2801845</v>
      </c>
      <c r="J482" t="s">
        <v>2059</v>
      </c>
      <c r="K482" t="s">
        <v>2060</v>
      </c>
      <c r="L482" t="s">
        <v>2061</v>
      </c>
      <c r="N482" t="s">
        <v>2062</v>
      </c>
      <c r="O482" t="s">
        <v>2063</v>
      </c>
    </row>
    <row r="483" spans="1:19" x14ac:dyDescent="0.15">
      <c r="A483" t="s">
        <v>2027</v>
      </c>
      <c r="B483" s="61">
        <v>47119</v>
      </c>
      <c r="E483" t="s">
        <v>355</v>
      </c>
      <c r="F483" t="s">
        <v>364</v>
      </c>
      <c r="H483" t="s">
        <v>353</v>
      </c>
      <c r="I483">
        <v>2800634</v>
      </c>
      <c r="J483" t="s">
        <v>2064</v>
      </c>
      <c r="L483" t="s">
        <v>833</v>
      </c>
      <c r="N483" t="s">
        <v>2065</v>
      </c>
      <c r="O483" t="s">
        <v>2066</v>
      </c>
    </row>
    <row r="484" spans="1:19" x14ac:dyDescent="0.15">
      <c r="A484" t="s">
        <v>2027</v>
      </c>
      <c r="B484" s="61">
        <v>47635</v>
      </c>
      <c r="E484" t="s">
        <v>355</v>
      </c>
      <c r="F484" t="s">
        <v>364</v>
      </c>
      <c r="H484" t="s">
        <v>310</v>
      </c>
      <c r="I484">
        <v>2800300</v>
      </c>
      <c r="J484" t="s">
        <v>2044</v>
      </c>
      <c r="K484" t="s">
        <v>2045</v>
      </c>
      <c r="L484" t="s">
        <v>833</v>
      </c>
      <c r="N484" t="s">
        <v>2046</v>
      </c>
      <c r="O484" t="s">
        <v>2047</v>
      </c>
    </row>
    <row r="485" spans="1:19" x14ac:dyDescent="0.15">
      <c r="A485" t="s">
        <v>2027</v>
      </c>
      <c r="B485" s="61">
        <v>47635</v>
      </c>
      <c r="E485" t="s">
        <v>355</v>
      </c>
      <c r="F485" t="s">
        <v>364</v>
      </c>
      <c r="H485" t="s">
        <v>310</v>
      </c>
      <c r="I485">
        <v>2800300</v>
      </c>
      <c r="J485" t="s">
        <v>2044</v>
      </c>
      <c r="K485" t="s">
        <v>2045</v>
      </c>
      <c r="L485" t="s">
        <v>833</v>
      </c>
      <c r="N485" t="s">
        <v>2048</v>
      </c>
      <c r="O485" t="s">
        <v>2047</v>
      </c>
    </row>
    <row r="486" spans="1:19" x14ac:dyDescent="0.15">
      <c r="A486" t="s">
        <v>2027</v>
      </c>
      <c r="B486" s="61">
        <v>47969</v>
      </c>
      <c r="E486" t="s">
        <v>355</v>
      </c>
      <c r="F486" t="s">
        <v>364</v>
      </c>
      <c r="H486" t="s">
        <v>365</v>
      </c>
      <c r="I486">
        <v>2801057</v>
      </c>
      <c r="J486" t="s">
        <v>2033</v>
      </c>
      <c r="K486" t="s">
        <v>1813</v>
      </c>
      <c r="L486" t="s">
        <v>2034</v>
      </c>
      <c r="N486" t="s">
        <v>2035</v>
      </c>
      <c r="O486" t="s">
        <v>2036</v>
      </c>
    </row>
    <row r="487" spans="1:19" x14ac:dyDescent="0.15">
      <c r="A487" t="s">
        <v>2027</v>
      </c>
      <c r="B487" s="61">
        <v>48000</v>
      </c>
      <c r="E487" t="s">
        <v>355</v>
      </c>
      <c r="F487" t="s">
        <v>364</v>
      </c>
      <c r="H487" t="s">
        <v>353</v>
      </c>
      <c r="I487">
        <v>2802381</v>
      </c>
      <c r="J487" t="s">
        <v>2040</v>
      </c>
      <c r="K487" t="s">
        <v>1350</v>
      </c>
      <c r="L487" t="s">
        <v>2041</v>
      </c>
      <c r="N487" t="s">
        <v>2042</v>
      </c>
      <c r="O487" t="s">
        <v>2043</v>
      </c>
    </row>
    <row r="488" spans="1:19" x14ac:dyDescent="0.15">
      <c r="A488" t="s">
        <v>2027</v>
      </c>
      <c r="B488" s="61">
        <v>48000</v>
      </c>
      <c r="E488" t="s">
        <v>355</v>
      </c>
      <c r="F488" t="s">
        <v>364</v>
      </c>
      <c r="H488" t="s">
        <v>310</v>
      </c>
      <c r="I488">
        <v>2800300</v>
      </c>
      <c r="J488" t="s">
        <v>2044</v>
      </c>
      <c r="K488" t="s">
        <v>2045</v>
      </c>
      <c r="L488" t="s">
        <v>833</v>
      </c>
      <c r="N488" t="s">
        <v>2046</v>
      </c>
      <c r="O488" t="s">
        <v>2047</v>
      </c>
    </row>
    <row r="489" spans="1:19" x14ac:dyDescent="0.15">
      <c r="A489" t="s">
        <v>2027</v>
      </c>
      <c r="B489" s="61">
        <v>48000</v>
      </c>
      <c r="E489" t="s">
        <v>355</v>
      </c>
      <c r="F489" t="s">
        <v>364</v>
      </c>
      <c r="H489" t="s">
        <v>310</v>
      </c>
      <c r="I489">
        <v>2800300</v>
      </c>
      <c r="J489" t="s">
        <v>2044</v>
      </c>
      <c r="K489" t="s">
        <v>2045</v>
      </c>
      <c r="L489" t="s">
        <v>833</v>
      </c>
      <c r="N489" t="s">
        <v>2048</v>
      </c>
      <c r="O489" t="s">
        <v>2047</v>
      </c>
    </row>
    <row r="490" spans="1:19" ht="270" x14ac:dyDescent="0.15">
      <c r="A490" t="s">
        <v>2067</v>
      </c>
      <c r="B490" s="61">
        <v>46082</v>
      </c>
      <c r="E490" t="s">
        <v>355</v>
      </c>
      <c r="F490" t="s">
        <v>385</v>
      </c>
      <c r="H490" t="s">
        <v>353</v>
      </c>
      <c r="I490">
        <v>2200413</v>
      </c>
      <c r="J490" t="s">
        <v>5029</v>
      </c>
      <c r="L490" t="s">
        <v>718</v>
      </c>
      <c r="N490" t="s">
        <v>5030</v>
      </c>
      <c r="O490" t="s">
        <v>5031</v>
      </c>
      <c r="Q490" s="34" t="s">
        <v>5200</v>
      </c>
      <c r="R490" s="34" t="s">
        <v>768</v>
      </c>
      <c r="S490" s="34" t="s">
        <v>5032</v>
      </c>
    </row>
    <row r="491" spans="1:19" ht="229.5" x14ac:dyDescent="0.15">
      <c r="A491" t="s">
        <v>2067</v>
      </c>
      <c r="B491" s="61">
        <v>46357</v>
      </c>
      <c r="E491" t="s">
        <v>355</v>
      </c>
      <c r="F491" t="s">
        <v>356</v>
      </c>
      <c r="H491" t="s">
        <v>353</v>
      </c>
      <c r="I491">
        <v>2202532</v>
      </c>
      <c r="J491" t="s">
        <v>2068</v>
      </c>
      <c r="L491" t="s">
        <v>390</v>
      </c>
      <c r="N491" t="s">
        <v>2069</v>
      </c>
      <c r="O491" t="s">
        <v>2070</v>
      </c>
      <c r="R491" t="s">
        <v>362</v>
      </c>
      <c r="S491" s="34" t="s">
        <v>2071</v>
      </c>
    </row>
    <row r="492" spans="1:19" x14ac:dyDescent="0.15">
      <c r="A492" t="s">
        <v>2067</v>
      </c>
      <c r="B492" s="61">
        <v>46419</v>
      </c>
      <c r="E492" t="s">
        <v>355</v>
      </c>
      <c r="F492" t="s">
        <v>364</v>
      </c>
      <c r="H492" t="s">
        <v>365</v>
      </c>
      <c r="I492">
        <v>2200347</v>
      </c>
      <c r="J492" t="s">
        <v>2072</v>
      </c>
      <c r="L492" t="s">
        <v>2073</v>
      </c>
      <c r="N492" t="s">
        <v>2074</v>
      </c>
      <c r="O492" t="s">
        <v>2075</v>
      </c>
    </row>
    <row r="493" spans="1:19" x14ac:dyDescent="0.15">
      <c r="A493" t="s">
        <v>2067</v>
      </c>
      <c r="B493" s="61">
        <v>46419</v>
      </c>
      <c r="E493" t="s">
        <v>355</v>
      </c>
      <c r="F493" t="s">
        <v>364</v>
      </c>
      <c r="H493" t="s">
        <v>365</v>
      </c>
      <c r="I493">
        <v>2200347</v>
      </c>
      <c r="J493" t="s">
        <v>2072</v>
      </c>
      <c r="L493" t="s">
        <v>2076</v>
      </c>
      <c r="N493" t="s">
        <v>2077</v>
      </c>
      <c r="O493" t="s">
        <v>2075</v>
      </c>
    </row>
    <row r="494" spans="1:19" x14ac:dyDescent="0.15">
      <c r="A494" t="s">
        <v>2067</v>
      </c>
      <c r="B494" s="61">
        <v>46508</v>
      </c>
      <c r="E494" t="s">
        <v>355</v>
      </c>
      <c r="F494" t="s">
        <v>356</v>
      </c>
      <c r="H494" t="s">
        <v>353</v>
      </c>
      <c r="I494">
        <v>2200420</v>
      </c>
      <c r="J494" t="s">
        <v>2078</v>
      </c>
      <c r="L494" t="s">
        <v>390</v>
      </c>
      <c r="N494" t="s">
        <v>5103</v>
      </c>
      <c r="O494" t="s">
        <v>2079</v>
      </c>
    </row>
    <row r="495" spans="1:19" x14ac:dyDescent="0.15">
      <c r="A495" t="s">
        <v>2067</v>
      </c>
      <c r="B495" s="61">
        <v>46753</v>
      </c>
      <c r="E495" t="s">
        <v>355</v>
      </c>
      <c r="F495" t="s">
        <v>364</v>
      </c>
      <c r="H495" t="s">
        <v>365</v>
      </c>
      <c r="I495">
        <v>2202432</v>
      </c>
      <c r="J495" t="s">
        <v>2080</v>
      </c>
      <c r="K495" t="s">
        <v>2081</v>
      </c>
      <c r="L495" t="s">
        <v>2082</v>
      </c>
      <c r="N495" t="s">
        <v>2083</v>
      </c>
      <c r="O495" t="s">
        <v>2084</v>
      </c>
    </row>
    <row r="496" spans="1:19" x14ac:dyDescent="0.15">
      <c r="A496" t="s">
        <v>2067</v>
      </c>
      <c r="B496" s="61">
        <v>47027</v>
      </c>
      <c r="E496" t="s">
        <v>355</v>
      </c>
      <c r="F496" t="s">
        <v>364</v>
      </c>
      <c r="H496" t="s">
        <v>353</v>
      </c>
      <c r="I496">
        <v>2200310</v>
      </c>
      <c r="J496" t="s">
        <v>2085</v>
      </c>
      <c r="K496" t="s">
        <v>2086</v>
      </c>
      <c r="L496" t="s">
        <v>2087</v>
      </c>
      <c r="N496" t="s">
        <v>2088</v>
      </c>
      <c r="O496" t="s">
        <v>2089</v>
      </c>
    </row>
    <row r="497" spans="1:19" ht="409.5" x14ac:dyDescent="0.15">
      <c r="A497" t="s">
        <v>2067</v>
      </c>
      <c r="B497" s="61">
        <v>47453</v>
      </c>
      <c r="E497" t="s">
        <v>355</v>
      </c>
      <c r="F497" t="s">
        <v>385</v>
      </c>
      <c r="H497" t="s">
        <v>365</v>
      </c>
      <c r="I497">
        <v>2202544</v>
      </c>
      <c r="J497" t="s">
        <v>2090</v>
      </c>
      <c r="K497" t="s">
        <v>2091</v>
      </c>
      <c r="L497" t="s">
        <v>2092</v>
      </c>
      <c r="N497" t="s">
        <v>2093</v>
      </c>
      <c r="O497" t="s">
        <v>2094</v>
      </c>
      <c r="R497" t="s">
        <v>395</v>
      </c>
      <c r="S497" s="34" t="s">
        <v>2095</v>
      </c>
    </row>
    <row r="498" spans="1:19" ht="229.5" x14ac:dyDescent="0.15">
      <c r="A498" t="s">
        <v>2067</v>
      </c>
      <c r="B498" s="61">
        <v>47818</v>
      </c>
      <c r="E498" t="s">
        <v>355</v>
      </c>
      <c r="F498" t="s">
        <v>385</v>
      </c>
      <c r="H498" t="s">
        <v>353</v>
      </c>
      <c r="I498">
        <v>2202532</v>
      </c>
      <c r="J498" t="s">
        <v>2068</v>
      </c>
      <c r="L498" t="s">
        <v>390</v>
      </c>
      <c r="N498" t="s">
        <v>2069</v>
      </c>
      <c r="O498" t="s">
        <v>2070</v>
      </c>
      <c r="R498" t="s">
        <v>386</v>
      </c>
      <c r="S498" s="34" t="s">
        <v>2071</v>
      </c>
    </row>
    <row r="499" spans="1:19" x14ac:dyDescent="0.15">
      <c r="A499" t="s">
        <v>2067</v>
      </c>
      <c r="B499" s="61">
        <v>47969</v>
      </c>
      <c r="E499" t="s">
        <v>355</v>
      </c>
      <c r="F499" t="s">
        <v>385</v>
      </c>
      <c r="H499" t="s">
        <v>353</v>
      </c>
      <c r="I499">
        <v>2200420</v>
      </c>
      <c r="J499" t="s">
        <v>2078</v>
      </c>
      <c r="L499" t="s">
        <v>390</v>
      </c>
      <c r="N499" t="s">
        <v>5103</v>
      </c>
      <c r="O499" t="s">
        <v>2079</v>
      </c>
    </row>
    <row r="500" spans="1:19" ht="256.5" x14ac:dyDescent="0.15">
      <c r="A500" t="s">
        <v>2096</v>
      </c>
      <c r="B500" s="61">
        <v>46266</v>
      </c>
      <c r="E500" t="s">
        <v>355</v>
      </c>
      <c r="F500" t="s">
        <v>385</v>
      </c>
      <c r="H500" t="s">
        <v>310</v>
      </c>
      <c r="I500">
        <v>400331</v>
      </c>
      <c r="J500" t="s">
        <v>2106</v>
      </c>
      <c r="K500" t="s">
        <v>2107</v>
      </c>
      <c r="L500" t="s">
        <v>1176</v>
      </c>
      <c r="N500" t="s">
        <v>2108</v>
      </c>
      <c r="O500" t="s">
        <v>2109</v>
      </c>
      <c r="R500" t="s">
        <v>395</v>
      </c>
      <c r="S500" s="34" t="s">
        <v>2110</v>
      </c>
    </row>
    <row r="501" spans="1:19" ht="229.5" x14ac:dyDescent="0.15">
      <c r="A501" t="s">
        <v>2096</v>
      </c>
      <c r="B501" s="61">
        <v>46327</v>
      </c>
      <c r="E501" t="s">
        <v>355</v>
      </c>
      <c r="F501" t="s">
        <v>356</v>
      </c>
      <c r="H501" t="s">
        <v>353</v>
      </c>
      <c r="I501">
        <v>400521</v>
      </c>
      <c r="J501" t="s">
        <v>2111</v>
      </c>
      <c r="K501" t="s">
        <v>2112</v>
      </c>
      <c r="L501" t="s">
        <v>718</v>
      </c>
      <c r="N501" s="34" t="s">
        <v>2113</v>
      </c>
      <c r="O501" t="s">
        <v>2114</v>
      </c>
      <c r="R501" t="s">
        <v>362</v>
      </c>
      <c r="S501" s="34" t="s">
        <v>2115</v>
      </c>
    </row>
    <row r="502" spans="1:19" ht="409.5" x14ac:dyDescent="0.15">
      <c r="A502" t="s">
        <v>2096</v>
      </c>
      <c r="B502" s="61">
        <v>46327</v>
      </c>
      <c r="E502" t="s">
        <v>355</v>
      </c>
      <c r="F502" t="s">
        <v>356</v>
      </c>
      <c r="H502" t="s">
        <v>353</v>
      </c>
      <c r="I502">
        <v>400385</v>
      </c>
      <c r="J502" t="s">
        <v>2116</v>
      </c>
      <c r="K502" t="s">
        <v>1251</v>
      </c>
      <c r="L502" t="s">
        <v>2117</v>
      </c>
      <c r="N502" t="s">
        <v>2118</v>
      </c>
      <c r="O502" t="s">
        <v>2119</v>
      </c>
      <c r="R502" t="s">
        <v>362</v>
      </c>
      <c r="S502" s="34" t="s">
        <v>2120</v>
      </c>
    </row>
    <row r="503" spans="1:19" ht="409.5" x14ac:dyDescent="0.15">
      <c r="A503" t="s">
        <v>2096</v>
      </c>
      <c r="B503" s="61">
        <v>46327</v>
      </c>
      <c r="E503" t="s">
        <v>355</v>
      </c>
      <c r="F503" t="s">
        <v>356</v>
      </c>
      <c r="H503" t="s">
        <v>353</v>
      </c>
      <c r="I503">
        <v>400385</v>
      </c>
      <c r="J503" t="s">
        <v>2116</v>
      </c>
      <c r="K503" t="s">
        <v>1251</v>
      </c>
      <c r="L503" t="s">
        <v>2121</v>
      </c>
      <c r="N503" t="s">
        <v>2122</v>
      </c>
      <c r="O503" t="s">
        <v>2119</v>
      </c>
      <c r="R503" t="s">
        <v>362</v>
      </c>
      <c r="S503" s="34" t="s">
        <v>2123</v>
      </c>
    </row>
    <row r="504" spans="1:19" ht="243" x14ac:dyDescent="0.15">
      <c r="A504" t="s">
        <v>2096</v>
      </c>
      <c r="B504" s="61">
        <v>46357</v>
      </c>
      <c r="E504" t="s">
        <v>355</v>
      </c>
      <c r="F504" t="s">
        <v>385</v>
      </c>
      <c r="H504" t="s">
        <v>353</v>
      </c>
      <c r="I504">
        <v>600192</v>
      </c>
      <c r="J504" t="s">
        <v>2124</v>
      </c>
      <c r="K504" t="s">
        <v>2125</v>
      </c>
      <c r="L504" t="s">
        <v>1087</v>
      </c>
      <c r="N504" t="s">
        <v>2126</v>
      </c>
      <c r="O504" t="s">
        <v>2127</v>
      </c>
      <c r="R504" s="34" t="s">
        <v>768</v>
      </c>
      <c r="S504" s="34" t="s">
        <v>2128</v>
      </c>
    </row>
    <row r="505" spans="1:19" x14ac:dyDescent="0.15">
      <c r="A505" t="s">
        <v>2096</v>
      </c>
      <c r="B505" s="61">
        <v>46447</v>
      </c>
      <c r="E505" t="s">
        <v>355</v>
      </c>
      <c r="F505" t="s">
        <v>364</v>
      </c>
      <c r="H505" t="s">
        <v>353</v>
      </c>
      <c r="I505">
        <v>400352</v>
      </c>
      <c r="J505" t="s">
        <v>2129</v>
      </c>
      <c r="K505" t="s">
        <v>2130</v>
      </c>
      <c r="L505" t="s">
        <v>2131</v>
      </c>
      <c r="N505" t="s">
        <v>2132</v>
      </c>
      <c r="O505" t="s">
        <v>2133</v>
      </c>
    </row>
    <row r="506" spans="1:19" x14ac:dyDescent="0.15">
      <c r="A506" t="s">
        <v>2096</v>
      </c>
      <c r="B506" s="61">
        <v>46508</v>
      </c>
      <c r="E506" t="s">
        <v>355</v>
      </c>
      <c r="F506" t="s">
        <v>385</v>
      </c>
      <c r="H506" t="s">
        <v>353</v>
      </c>
      <c r="I506">
        <v>600160</v>
      </c>
      <c r="J506" t="s">
        <v>2134</v>
      </c>
      <c r="K506" t="s">
        <v>2135</v>
      </c>
      <c r="L506" t="s">
        <v>390</v>
      </c>
      <c r="N506" t="s">
        <v>2136</v>
      </c>
      <c r="O506" t="s">
        <v>2137</v>
      </c>
    </row>
    <row r="507" spans="1:19" x14ac:dyDescent="0.15">
      <c r="A507" t="s">
        <v>2096</v>
      </c>
      <c r="B507" s="61">
        <v>46661</v>
      </c>
      <c r="E507" t="s">
        <v>355</v>
      </c>
      <c r="F507" t="s">
        <v>385</v>
      </c>
      <c r="H507" t="s">
        <v>365</v>
      </c>
      <c r="I507">
        <v>500002</v>
      </c>
      <c r="J507" t="s">
        <v>2138</v>
      </c>
      <c r="K507" t="s">
        <v>2139</v>
      </c>
      <c r="L507" t="s">
        <v>390</v>
      </c>
      <c r="N507" t="s">
        <v>2140</v>
      </c>
      <c r="O507" t="s">
        <v>2141</v>
      </c>
    </row>
    <row r="508" spans="1:19" x14ac:dyDescent="0.15">
      <c r="A508" t="s">
        <v>2096</v>
      </c>
      <c r="B508" s="61">
        <v>46874</v>
      </c>
      <c r="E508" t="s">
        <v>355</v>
      </c>
      <c r="F508" t="s">
        <v>385</v>
      </c>
      <c r="H508" t="s">
        <v>353</v>
      </c>
      <c r="I508">
        <v>400492</v>
      </c>
      <c r="J508" t="s">
        <v>2142</v>
      </c>
      <c r="K508" t="s">
        <v>2143</v>
      </c>
      <c r="L508" t="s">
        <v>1148</v>
      </c>
      <c r="N508" t="s">
        <v>2144</v>
      </c>
      <c r="O508" t="s">
        <v>2145</v>
      </c>
    </row>
    <row r="509" spans="1:19" x14ac:dyDescent="0.15">
      <c r="A509" t="s">
        <v>2096</v>
      </c>
      <c r="B509" s="61">
        <v>46935</v>
      </c>
      <c r="E509" t="s">
        <v>355</v>
      </c>
      <c r="F509" t="s">
        <v>364</v>
      </c>
      <c r="H509" t="s">
        <v>353</v>
      </c>
      <c r="I509">
        <v>600175</v>
      </c>
      <c r="J509" t="s">
        <v>2146</v>
      </c>
      <c r="L509" t="s">
        <v>718</v>
      </c>
      <c r="N509" t="s">
        <v>2147</v>
      </c>
      <c r="O509" t="s">
        <v>2148</v>
      </c>
    </row>
    <row r="510" spans="1:19" x14ac:dyDescent="0.15">
      <c r="A510" t="s">
        <v>2096</v>
      </c>
      <c r="B510" s="61">
        <v>46935</v>
      </c>
      <c r="E510" t="s">
        <v>355</v>
      </c>
      <c r="F510" t="s">
        <v>364</v>
      </c>
      <c r="H510" t="s">
        <v>353</v>
      </c>
      <c r="I510">
        <v>400506</v>
      </c>
      <c r="J510" t="s">
        <v>2149</v>
      </c>
      <c r="K510" t="s">
        <v>1542</v>
      </c>
      <c r="L510" t="s">
        <v>390</v>
      </c>
      <c r="N510" t="s">
        <v>2150</v>
      </c>
      <c r="O510" t="s">
        <v>2151</v>
      </c>
    </row>
    <row r="511" spans="1:19" ht="337.5" x14ac:dyDescent="0.15">
      <c r="A511" t="s">
        <v>2096</v>
      </c>
      <c r="B511" s="61">
        <v>47362</v>
      </c>
      <c r="E511" t="s">
        <v>355</v>
      </c>
      <c r="F511" t="s">
        <v>385</v>
      </c>
      <c r="H511" t="s">
        <v>353</v>
      </c>
      <c r="I511">
        <v>400260</v>
      </c>
      <c r="J511" t="s">
        <v>371</v>
      </c>
      <c r="K511" t="s">
        <v>2097</v>
      </c>
      <c r="L511" t="s">
        <v>1340</v>
      </c>
      <c r="N511" t="s">
        <v>2100</v>
      </c>
      <c r="O511" t="s">
        <v>2099</v>
      </c>
      <c r="R511" s="34" t="s">
        <v>768</v>
      </c>
      <c r="S511" s="34" t="s">
        <v>2101</v>
      </c>
    </row>
    <row r="512" spans="1:19" ht="229.5" x14ac:dyDescent="0.15">
      <c r="A512" t="s">
        <v>2096</v>
      </c>
      <c r="B512" s="61">
        <v>47788</v>
      </c>
      <c r="E512" t="s">
        <v>355</v>
      </c>
      <c r="F512" t="s">
        <v>385</v>
      </c>
      <c r="H512" t="s">
        <v>353</v>
      </c>
      <c r="I512">
        <v>400521</v>
      </c>
      <c r="J512" t="s">
        <v>2111</v>
      </c>
      <c r="K512" t="s">
        <v>2112</v>
      </c>
      <c r="L512" t="s">
        <v>718</v>
      </c>
      <c r="N512" s="34" t="s">
        <v>2113</v>
      </c>
      <c r="O512" t="s">
        <v>2114</v>
      </c>
      <c r="R512" t="s">
        <v>386</v>
      </c>
      <c r="S512" s="34" t="s">
        <v>2115</v>
      </c>
    </row>
    <row r="513" spans="1:19" ht="409.5" x14ac:dyDescent="0.15">
      <c r="A513" t="s">
        <v>2096</v>
      </c>
      <c r="B513" s="61">
        <v>47788</v>
      </c>
      <c r="E513" t="s">
        <v>355</v>
      </c>
      <c r="F513" t="s">
        <v>385</v>
      </c>
      <c r="H513" t="s">
        <v>353</v>
      </c>
      <c r="I513">
        <v>400385</v>
      </c>
      <c r="J513" t="s">
        <v>2116</v>
      </c>
      <c r="K513" t="s">
        <v>1251</v>
      </c>
      <c r="L513" t="s">
        <v>2117</v>
      </c>
      <c r="N513" t="s">
        <v>2118</v>
      </c>
      <c r="O513" t="s">
        <v>2119</v>
      </c>
      <c r="R513" t="s">
        <v>386</v>
      </c>
      <c r="S513" s="34" t="s">
        <v>2120</v>
      </c>
    </row>
    <row r="514" spans="1:19" ht="409.5" x14ac:dyDescent="0.15">
      <c r="A514" t="s">
        <v>2096</v>
      </c>
      <c r="B514" s="61">
        <v>47788</v>
      </c>
      <c r="E514" t="s">
        <v>355</v>
      </c>
      <c r="F514" t="s">
        <v>385</v>
      </c>
      <c r="H514" t="s">
        <v>353</v>
      </c>
      <c r="I514">
        <v>400385</v>
      </c>
      <c r="J514" t="s">
        <v>2116</v>
      </c>
      <c r="K514" t="s">
        <v>1251</v>
      </c>
      <c r="L514" t="s">
        <v>2121</v>
      </c>
      <c r="N514" t="s">
        <v>2122</v>
      </c>
      <c r="O514" t="s">
        <v>2119</v>
      </c>
      <c r="R514" t="s">
        <v>386</v>
      </c>
      <c r="S514" s="34" t="s">
        <v>2123</v>
      </c>
    </row>
    <row r="515" spans="1:19" ht="243" x14ac:dyDescent="0.15">
      <c r="A515" t="s">
        <v>2160</v>
      </c>
      <c r="B515" s="61">
        <v>46266</v>
      </c>
      <c r="E515" t="s">
        <v>355</v>
      </c>
      <c r="F515" t="s">
        <v>385</v>
      </c>
      <c r="H515" t="s">
        <v>365</v>
      </c>
      <c r="I515">
        <v>1201464</v>
      </c>
      <c r="J515" t="s">
        <v>2161</v>
      </c>
      <c r="K515" t="s">
        <v>2162</v>
      </c>
      <c r="L515" t="s">
        <v>718</v>
      </c>
      <c r="N515" t="s">
        <v>2163</v>
      </c>
      <c r="O515" t="s">
        <v>2164</v>
      </c>
      <c r="R515" t="s">
        <v>395</v>
      </c>
      <c r="S515" s="34" t="s">
        <v>2165</v>
      </c>
    </row>
    <row r="516" spans="1:19" ht="216" x14ac:dyDescent="0.15">
      <c r="A516" t="s">
        <v>2152</v>
      </c>
      <c r="B516" s="61">
        <v>46266</v>
      </c>
      <c r="E516" t="s">
        <v>355</v>
      </c>
      <c r="F516" t="s">
        <v>356</v>
      </c>
      <c r="H516" t="s">
        <v>353</v>
      </c>
      <c r="I516">
        <v>1200777</v>
      </c>
      <c r="J516" t="s">
        <v>2166</v>
      </c>
      <c r="K516" t="s">
        <v>2167</v>
      </c>
      <c r="L516" t="s">
        <v>2168</v>
      </c>
      <c r="N516" t="s">
        <v>2169</v>
      </c>
      <c r="O516" t="s">
        <v>2170</v>
      </c>
      <c r="R516" t="s">
        <v>362</v>
      </c>
      <c r="S516" s="34" t="s">
        <v>2171</v>
      </c>
    </row>
    <row r="517" spans="1:19" ht="409.5" x14ac:dyDescent="0.15">
      <c r="A517" t="s">
        <v>2160</v>
      </c>
      <c r="B517" s="61">
        <v>46296</v>
      </c>
      <c r="E517" t="s">
        <v>355</v>
      </c>
      <c r="F517" t="s">
        <v>385</v>
      </c>
      <c r="H517" t="s">
        <v>353</v>
      </c>
      <c r="I517">
        <v>1201464</v>
      </c>
      <c r="J517" t="s">
        <v>2161</v>
      </c>
      <c r="K517" t="s">
        <v>2162</v>
      </c>
      <c r="L517" t="s">
        <v>718</v>
      </c>
      <c r="N517" t="s">
        <v>2172</v>
      </c>
      <c r="O517" t="s">
        <v>2164</v>
      </c>
      <c r="R517" t="s">
        <v>386</v>
      </c>
      <c r="S517" s="34" t="s">
        <v>2173</v>
      </c>
    </row>
    <row r="518" spans="1:19" x14ac:dyDescent="0.15">
      <c r="A518" t="s">
        <v>2152</v>
      </c>
      <c r="B518" s="61">
        <v>46447</v>
      </c>
      <c r="E518" t="s">
        <v>355</v>
      </c>
      <c r="F518" t="s">
        <v>356</v>
      </c>
      <c r="H518" t="s">
        <v>353</v>
      </c>
      <c r="I518">
        <v>1200777</v>
      </c>
      <c r="J518" t="s">
        <v>2166</v>
      </c>
      <c r="K518" t="s">
        <v>2167</v>
      </c>
      <c r="L518" t="s">
        <v>2168</v>
      </c>
      <c r="N518" t="s">
        <v>2180</v>
      </c>
      <c r="O518" t="s">
        <v>2170</v>
      </c>
    </row>
    <row r="519" spans="1:19" x14ac:dyDescent="0.15">
      <c r="A519" t="s">
        <v>2152</v>
      </c>
      <c r="B519" s="61">
        <v>46508</v>
      </c>
      <c r="E519" t="s">
        <v>355</v>
      </c>
      <c r="F519" t="s">
        <v>364</v>
      </c>
      <c r="H519" t="s">
        <v>353</v>
      </c>
      <c r="I519">
        <v>1200120</v>
      </c>
      <c r="J519" t="s">
        <v>531</v>
      </c>
      <c r="K519" t="s">
        <v>2155</v>
      </c>
      <c r="L519" t="s">
        <v>2181</v>
      </c>
      <c r="N519" t="s">
        <v>2182</v>
      </c>
      <c r="O519" t="s">
        <v>2183</v>
      </c>
    </row>
    <row r="520" spans="1:19" x14ac:dyDescent="0.15">
      <c r="A520" t="s">
        <v>2152</v>
      </c>
      <c r="B520" s="61">
        <v>46539</v>
      </c>
      <c r="E520" t="s">
        <v>355</v>
      </c>
      <c r="F520" t="s">
        <v>364</v>
      </c>
      <c r="H520" t="s">
        <v>310</v>
      </c>
      <c r="I520">
        <v>1201079</v>
      </c>
      <c r="J520" t="s">
        <v>2184</v>
      </c>
      <c r="K520" t="s">
        <v>2185</v>
      </c>
      <c r="L520" t="s">
        <v>2186</v>
      </c>
      <c r="N520" t="s">
        <v>2187</v>
      </c>
      <c r="O520" t="s">
        <v>2188</v>
      </c>
    </row>
    <row r="521" spans="1:19" x14ac:dyDescent="0.15">
      <c r="A521" t="s">
        <v>2152</v>
      </c>
      <c r="B521" s="61">
        <v>46753</v>
      </c>
      <c r="E521" t="s">
        <v>355</v>
      </c>
      <c r="F521" t="s">
        <v>364</v>
      </c>
      <c r="H521" t="s">
        <v>365</v>
      </c>
      <c r="I521">
        <v>1200104</v>
      </c>
      <c r="J521" t="s">
        <v>2189</v>
      </c>
      <c r="K521" t="s">
        <v>2190</v>
      </c>
      <c r="L521" t="s">
        <v>413</v>
      </c>
      <c r="N521" t="s">
        <v>2191</v>
      </c>
      <c r="O521" t="s">
        <v>2192</v>
      </c>
    </row>
    <row r="522" spans="1:19" x14ac:dyDescent="0.15">
      <c r="A522" t="s">
        <v>2152</v>
      </c>
      <c r="B522" s="61">
        <v>46844</v>
      </c>
      <c r="E522" t="s">
        <v>355</v>
      </c>
      <c r="F522" t="s">
        <v>364</v>
      </c>
      <c r="H522" t="s">
        <v>365</v>
      </c>
      <c r="I522">
        <v>1201505</v>
      </c>
      <c r="J522" t="s">
        <v>2193</v>
      </c>
      <c r="K522" t="s">
        <v>2194</v>
      </c>
      <c r="L522" t="s">
        <v>2195</v>
      </c>
      <c r="N522" t="s">
        <v>2196</v>
      </c>
      <c r="O522" t="s">
        <v>2197</v>
      </c>
    </row>
    <row r="523" spans="1:19" x14ac:dyDescent="0.15">
      <c r="A523" t="s">
        <v>2152</v>
      </c>
      <c r="B523" s="61">
        <v>46874</v>
      </c>
      <c r="E523" t="s">
        <v>355</v>
      </c>
      <c r="F523" t="s">
        <v>364</v>
      </c>
      <c r="H523" t="s">
        <v>353</v>
      </c>
      <c r="I523">
        <v>1201227</v>
      </c>
      <c r="J523" t="s">
        <v>2198</v>
      </c>
      <c r="K523" t="s">
        <v>2155</v>
      </c>
      <c r="L523" t="s">
        <v>2199</v>
      </c>
      <c r="N523" t="s">
        <v>2200</v>
      </c>
      <c r="O523" t="s">
        <v>2201</v>
      </c>
    </row>
    <row r="524" spans="1:19" x14ac:dyDescent="0.15">
      <c r="A524" t="s">
        <v>2152</v>
      </c>
      <c r="B524" s="61">
        <v>46874</v>
      </c>
      <c r="E524" t="s">
        <v>355</v>
      </c>
      <c r="F524" t="s">
        <v>364</v>
      </c>
      <c r="H524" t="s">
        <v>353</v>
      </c>
      <c r="I524">
        <v>1201512</v>
      </c>
      <c r="J524" t="s">
        <v>2202</v>
      </c>
      <c r="L524" t="s">
        <v>2203</v>
      </c>
      <c r="N524" t="s">
        <v>2204</v>
      </c>
      <c r="O524" t="s">
        <v>2205</v>
      </c>
    </row>
    <row r="525" spans="1:19" x14ac:dyDescent="0.15">
      <c r="A525" t="s">
        <v>2152</v>
      </c>
      <c r="B525" s="61">
        <v>46905</v>
      </c>
      <c r="E525" t="s">
        <v>355</v>
      </c>
      <c r="F525" t="s">
        <v>364</v>
      </c>
      <c r="H525" t="s">
        <v>310</v>
      </c>
      <c r="I525">
        <v>1201079</v>
      </c>
      <c r="J525" t="s">
        <v>2184</v>
      </c>
      <c r="K525" t="s">
        <v>2185</v>
      </c>
      <c r="L525" t="s">
        <v>2186</v>
      </c>
      <c r="N525" t="s">
        <v>2187</v>
      </c>
      <c r="O525" t="s">
        <v>2188</v>
      </c>
    </row>
    <row r="526" spans="1:19" x14ac:dyDescent="0.15">
      <c r="A526" t="s">
        <v>2152</v>
      </c>
      <c r="B526" s="61">
        <v>46966</v>
      </c>
      <c r="E526" t="s">
        <v>355</v>
      </c>
      <c r="F526" t="s">
        <v>364</v>
      </c>
      <c r="H526" t="s">
        <v>353</v>
      </c>
      <c r="I526">
        <v>1201032</v>
      </c>
      <c r="J526" t="s">
        <v>2206</v>
      </c>
      <c r="K526" t="s">
        <v>2207</v>
      </c>
      <c r="L526" t="s">
        <v>2208</v>
      </c>
      <c r="N526" t="s">
        <v>2209</v>
      </c>
      <c r="O526" t="s">
        <v>2210</v>
      </c>
    </row>
    <row r="527" spans="1:19" x14ac:dyDescent="0.15">
      <c r="A527" t="s">
        <v>2152</v>
      </c>
      <c r="B527" s="61">
        <v>47058</v>
      </c>
      <c r="E527" t="s">
        <v>355</v>
      </c>
      <c r="F527" t="s">
        <v>364</v>
      </c>
      <c r="H527" t="s">
        <v>365</v>
      </c>
      <c r="I527">
        <v>1200043</v>
      </c>
      <c r="J527" t="s">
        <v>2211</v>
      </c>
      <c r="K527" t="s">
        <v>2212</v>
      </c>
      <c r="L527" t="s">
        <v>2181</v>
      </c>
      <c r="N527" t="s">
        <v>2213</v>
      </c>
      <c r="O527" t="s">
        <v>2214</v>
      </c>
    </row>
    <row r="528" spans="1:19" ht="409.5" x14ac:dyDescent="0.15">
      <c r="A528" t="s">
        <v>2152</v>
      </c>
      <c r="B528" s="61">
        <v>47209</v>
      </c>
      <c r="E528" t="s">
        <v>355</v>
      </c>
      <c r="F528" t="s">
        <v>385</v>
      </c>
      <c r="H528" t="s">
        <v>353</v>
      </c>
      <c r="I528">
        <v>1201548</v>
      </c>
      <c r="J528" t="s">
        <v>2215</v>
      </c>
      <c r="K528" t="s">
        <v>2216</v>
      </c>
      <c r="L528" t="s">
        <v>2217</v>
      </c>
      <c r="N528" t="s">
        <v>2218</v>
      </c>
      <c r="O528" t="s">
        <v>2219</v>
      </c>
      <c r="R528" t="s">
        <v>386</v>
      </c>
      <c r="S528" s="34" t="s">
        <v>2220</v>
      </c>
    </row>
    <row r="529" spans="1:19" ht="409.5" x14ac:dyDescent="0.15">
      <c r="A529" t="s">
        <v>2152</v>
      </c>
      <c r="B529" s="61">
        <v>47331</v>
      </c>
      <c r="E529" t="s">
        <v>355</v>
      </c>
      <c r="F529" t="s">
        <v>385</v>
      </c>
      <c r="H529" t="s">
        <v>365</v>
      </c>
      <c r="I529">
        <v>1200264</v>
      </c>
      <c r="J529" t="s">
        <v>2221</v>
      </c>
      <c r="K529" t="s">
        <v>2222</v>
      </c>
      <c r="L529" t="s">
        <v>2223</v>
      </c>
      <c r="N529" t="s">
        <v>2224</v>
      </c>
      <c r="O529" t="s">
        <v>2225</v>
      </c>
      <c r="P529" t="s">
        <v>7638</v>
      </c>
      <c r="R529" t="s">
        <v>395</v>
      </c>
      <c r="S529" s="34" t="s">
        <v>2226</v>
      </c>
    </row>
    <row r="530" spans="1:19" ht="216" x14ac:dyDescent="0.15">
      <c r="A530" t="s">
        <v>2152</v>
      </c>
      <c r="B530" s="61">
        <v>47727</v>
      </c>
      <c r="E530" t="s">
        <v>355</v>
      </c>
      <c r="F530" t="s">
        <v>385</v>
      </c>
      <c r="H530" t="s">
        <v>353</v>
      </c>
      <c r="I530">
        <v>1200777</v>
      </c>
      <c r="J530" t="s">
        <v>2166</v>
      </c>
      <c r="K530" t="s">
        <v>2167</v>
      </c>
      <c r="L530" t="s">
        <v>2168</v>
      </c>
      <c r="N530" t="s">
        <v>2169</v>
      </c>
      <c r="O530" t="s">
        <v>2170</v>
      </c>
      <c r="R530" t="s">
        <v>386</v>
      </c>
      <c r="S530" s="34" t="s">
        <v>2171</v>
      </c>
    </row>
    <row r="531" spans="1:19" x14ac:dyDescent="0.15">
      <c r="A531" t="s">
        <v>2152</v>
      </c>
      <c r="B531" s="61">
        <v>47908</v>
      </c>
      <c r="E531" t="s">
        <v>355</v>
      </c>
      <c r="F531" t="s">
        <v>385</v>
      </c>
      <c r="H531" t="s">
        <v>353</v>
      </c>
      <c r="I531">
        <v>1200777</v>
      </c>
      <c r="J531" t="s">
        <v>2166</v>
      </c>
      <c r="K531" t="s">
        <v>2167</v>
      </c>
      <c r="L531" t="s">
        <v>2168</v>
      </c>
      <c r="N531" t="s">
        <v>2180</v>
      </c>
      <c r="O531" t="s">
        <v>2170</v>
      </c>
    </row>
    <row r="532" spans="1:19" ht="409.5" x14ac:dyDescent="0.15">
      <c r="A532" t="s">
        <v>2160</v>
      </c>
      <c r="B532" s="61">
        <v>46204</v>
      </c>
      <c r="E532" t="s">
        <v>355</v>
      </c>
      <c r="F532" t="s">
        <v>356</v>
      </c>
      <c r="H532" t="s">
        <v>353</v>
      </c>
      <c r="I532">
        <v>1201580</v>
      </c>
      <c r="J532" t="s">
        <v>371</v>
      </c>
      <c r="K532" t="s">
        <v>2232</v>
      </c>
      <c r="L532" t="s">
        <v>2233</v>
      </c>
      <c r="N532" t="s">
        <v>2234</v>
      </c>
      <c r="O532" t="s">
        <v>2235</v>
      </c>
      <c r="R532" t="s">
        <v>362</v>
      </c>
      <c r="S532" s="34" t="s">
        <v>2236</v>
      </c>
    </row>
    <row r="533" spans="1:19" ht="216" x14ac:dyDescent="0.15">
      <c r="A533" t="s">
        <v>2160</v>
      </c>
      <c r="B533" s="61">
        <v>46235</v>
      </c>
      <c r="E533" t="s">
        <v>355</v>
      </c>
      <c r="F533" t="s">
        <v>356</v>
      </c>
      <c r="H533" t="s">
        <v>353</v>
      </c>
      <c r="I533">
        <v>1201590</v>
      </c>
      <c r="J533" t="s">
        <v>2237</v>
      </c>
      <c r="K533" t="s">
        <v>2238</v>
      </c>
      <c r="L533" t="s">
        <v>390</v>
      </c>
      <c r="N533" t="s">
        <v>2239</v>
      </c>
      <c r="O533" t="s">
        <v>2240</v>
      </c>
      <c r="R533" t="s">
        <v>362</v>
      </c>
      <c r="S533" s="34" t="s">
        <v>2241</v>
      </c>
    </row>
    <row r="534" spans="1:19" ht="202.5" x14ac:dyDescent="0.15">
      <c r="A534" t="s">
        <v>2160</v>
      </c>
      <c r="B534" s="61">
        <v>46266</v>
      </c>
      <c r="E534" t="s">
        <v>355</v>
      </c>
      <c r="F534" t="s">
        <v>356</v>
      </c>
      <c r="H534" t="s">
        <v>353</v>
      </c>
      <c r="I534">
        <v>1201588</v>
      </c>
      <c r="J534" t="s">
        <v>2242</v>
      </c>
      <c r="K534" t="s">
        <v>2243</v>
      </c>
      <c r="L534" t="s">
        <v>2244</v>
      </c>
      <c r="N534" t="s">
        <v>2245</v>
      </c>
      <c r="O534" t="s">
        <v>2246</v>
      </c>
      <c r="R534" t="s">
        <v>362</v>
      </c>
      <c r="S534" s="34" t="s">
        <v>2247</v>
      </c>
    </row>
    <row r="535" spans="1:19" ht="202.5" x14ac:dyDescent="0.15">
      <c r="A535" t="s">
        <v>2160</v>
      </c>
      <c r="B535" s="61">
        <v>46296</v>
      </c>
      <c r="E535" t="s">
        <v>355</v>
      </c>
      <c r="F535" t="s">
        <v>356</v>
      </c>
      <c r="H535" t="s">
        <v>353</v>
      </c>
      <c r="I535">
        <v>1201580</v>
      </c>
      <c r="J535" t="s">
        <v>371</v>
      </c>
      <c r="K535" t="s">
        <v>2232</v>
      </c>
      <c r="L535" t="s">
        <v>2233</v>
      </c>
      <c r="N535" t="s">
        <v>2248</v>
      </c>
      <c r="O535" t="s">
        <v>2235</v>
      </c>
      <c r="R535" t="s">
        <v>362</v>
      </c>
      <c r="S535" s="34" t="s">
        <v>2249</v>
      </c>
    </row>
    <row r="536" spans="1:19" x14ac:dyDescent="0.15">
      <c r="A536" t="s">
        <v>2160</v>
      </c>
      <c r="B536" s="61">
        <v>46419</v>
      </c>
      <c r="E536" t="s">
        <v>355</v>
      </c>
      <c r="F536" t="s">
        <v>364</v>
      </c>
      <c r="H536" t="s">
        <v>353</v>
      </c>
      <c r="I536">
        <v>1201485</v>
      </c>
      <c r="J536" t="s">
        <v>2250</v>
      </c>
      <c r="K536" t="s">
        <v>2251</v>
      </c>
      <c r="L536" t="s">
        <v>2252</v>
      </c>
      <c r="N536" t="s">
        <v>2253</v>
      </c>
      <c r="O536" t="s">
        <v>2254</v>
      </c>
    </row>
    <row r="537" spans="1:19" ht="409.5" x14ac:dyDescent="0.15">
      <c r="A537" t="s">
        <v>2160</v>
      </c>
      <c r="B537" s="61">
        <v>47665</v>
      </c>
      <c r="E537" t="s">
        <v>355</v>
      </c>
      <c r="F537" t="s">
        <v>385</v>
      </c>
      <c r="H537" t="s">
        <v>353</v>
      </c>
      <c r="I537">
        <v>1201580</v>
      </c>
      <c r="J537" t="s">
        <v>371</v>
      </c>
      <c r="K537" t="s">
        <v>2232</v>
      </c>
      <c r="L537" t="s">
        <v>2233</v>
      </c>
      <c r="N537" t="s">
        <v>2234</v>
      </c>
      <c r="O537" t="s">
        <v>2235</v>
      </c>
      <c r="R537" t="s">
        <v>386</v>
      </c>
      <c r="S537" s="34" t="s">
        <v>2236</v>
      </c>
    </row>
    <row r="538" spans="1:19" ht="216" x14ac:dyDescent="0.15">
      <c r="A538" t="s">
        <v>2160</v>
      </c>
      <c r="B538" s="61">
        <v>47696</v>
      </c>
      <c r="E538" t="s">
        <v>355</v>
      </c>
      <c r="F538" t="s">
        <v>385</v>
      </c>
      <c r="H538" t="s">
        <v>353</v>
      </c>
      <c r="I538">
        <v>1201590</v>
      </c>
      <c r="J538" t="s">
        <v>2237</v>
      </c>
      <c r="K538" t="s">
        <v>2238</v>
      </c>
      <c r="L538" t="s">
        <v>390</v>
      </c>
      <c r="N538" t="s">
        <v>2239</v>
      </c>
      <c r="O538" t="s">
        <v>2240</v>
      </c>
      <c r="R538" t="s">
        <v>386</v>
      </c>
      <c r="S538" s="34" t="s">
        <v>2241</v>
      </c>
    </row>
    <row r="539" spans="1:19" ht="202.5" x14ac:dyDescent="0.15">
      <c r="A539" t="s">
        <v>2160</v>
      </c>
      <c r="B539" s="61">
        <v>47727</v>
      </c>
      <c r="E539" t="s">
        <v>355</v>
      </c>
      <c r="F539" t="s">
        <v>385</v>
      </c>
      <c r="H539" t="s">
        <v>353</v>
      </c>
      <c r="I539">
        <v>1201588</v>
      </c>
      <c r="J539" t="s">
        <v>2242</v>
      </c>
      <c r="K539" t="s">
        <v>2243</v>
      </c>
      <c r="L539" t="s">
        <v>2244</v>
      </c>
      <c r="N539" t="s">
        <v>2245</v>
      </c>
      <c r="O539" t="s">
        <v>2246</v>
      </c>
      <c r="R539" t="s">
        <v>386</v>
      </c>
      <c r="S539" s="34" t="s">
        <v>2247</v>
      </c>
    </row>
    <row r="540" spans="1:19" ht="202.5" x14ac:dyDescent="0.15">
      <c r="A540" t="s">
        <v>2160</v>
      </c>
      <c r="B540" s="61">
        <v>47757</v>
      </c>
      <c r="E540" t="s">
        <v>355</v>
      </c>
      <c r="F540" t="s">
        <v>385</v>
      </c>
      <c r="H540" t="s">
        <v>353</v>
      </c>
      <c r="I540">
        <v>1201580</v>
      </c>
      <c r="J540" t="s">
        <v>371</v>
      </c>
      <c r="K540" t="s">
        <v>2232</v>
      </c>
      <c r="L540" t="s">
        <v>2233</v>
      </c>
      <c r="N540" t="s">
        <v>2248</v>
      </c>
      <c r="O540" t="s">
        <v>2235</v>
      </c>
      <c r="R540" t="s">
        <v>386</v>
      </c>
      <c r="S540" s="34" t="s">
        <v>2249</v>
      </c>
    </row>
    <row r="541" spans="1:19" ht="351" x14ac:dyDescent="0.15">
      <c r="A541" t="s">
        <v>2255</v>
      </c>
      <c r="B541" s="61">
        <v>46235</v>
      </c>
      <c r="E541" t="s">
        <v>355</v>
      </c>
      <c r="F541" t="s">
        <v>356</v>
      </c>
      <c r="H541" t="s">
        <v>353</v>
      </c>
      <c r="I541">
        <v>1101207</v>
      </c>
      <c r="J541" t="s">
        <v>2273</v>
      </c>
      <c r="K541" t="s">
        <v>2274</v>
      </c>
      <c r="L541" t="s">
        <v>390</v>
      </c>
      <c r="N541" t="s">
        <v>2275</v>
      </c>
      <c r="O541" t="s">
        <v>2276</v>
      </c>
      <c r="R541" t="s">
        <v>362</v>
      </c>
      <c r="S541" s="34" t="s">
        <v>2277</v>
      </c>
    </row>
    <row r="542" spans="1:19" x14ac:dyDescent="0.15">
      <c r="A542" t="s">
        <v>2255</v>
      </c>
      <c r="B542" s="61">
        <v>46478</v>
      </c>
      <c r="E542" t="s">
        <v>355</v>
      </c>
      <c r="F542" t="s">
        <v>356</v>
      </c>
      <c r="H542" t="s">
        <v>353</v>
      </c>
      <c r="I542">
        <v>1101362</v>
      </c>
      <c r="J542" t="s">
        <v>2278</v>
      </c>
      <c r="L542" t="s">
        <v>2279</v>
      </c>
      <c r="N542" t="s">
        <v>5035</v>
      </c>
      <c r="O542" t="s">
        <v>2280</v>
      </c>
    </row>
    <row r="543" spans="1:19" x14ac:dyDescent="0.15">
      <c r="A543" t="s">
        <v>2255</v>
      </c>
      <c r="B543" s="61">
        <v>46508</v>
      </c>
      <c r="E543" t="s">
        <v>355</v>
      </c>
      <c r="F543" t="s">
        <v>364</v>
      </c>
      <c r="H543" t="s">
        <v>353</v>
      </c>
      <c r="I543">
        <v>1102405</v>
      </c>
      <c r="J543" t="s">
        <v>2281</v>
      </c>
      <c r="K543" t="s">
        <v>2282</v>
      </c>
      <c r="L543" t="s">
        <v>692</v>
      </c>
      <c r="N543" t="s">
        <v>2283</v>
      </c>
      <c r="O543" t="s">
        <v>2284</v>
      </c>
    </row>
    <row r="544" spans="1:19" x14ac:dyDescent="0.15">
      <c r="A544" t="s">
        <v>2255</v>
      </c>
      <c r="B544" s="61">
        <v>46600</v>
      </c>
      <c r="E544" t="s">
        <v>355</v>
      </c>
      <c r="F544" t="s">
        <v>356</v>
      </c>
      <c r="H544" t="s">
        <v>353</v>
      </c>
      <c r="I544">
        <v>1101596</v>
      </c>
      <c r="J544" t="s">
        <v>2285</v>
      </c>
      <c r="K544" t="s">
        <v>2286</v>
      </c>
      <c r="L544" t="s">
        <v>2287</v>
      </c>
      <c r="N544" t="s">
        <v>5104</v>
      </c>
      <c r="O544" t="s">
        <v>2288</v>
      </c>
    </row>
    <row r="545" spans="1:19" x14ac:dyDescent="0.15">
      <c r="A545" t="s">
        <v>2255</v>
      </c>
      <c r="B545" s="61">
        <v>46600</v>
      </c>
      <c r="E545" t="s">
        <v>355</v>
      </c>
      <c r="F545" t="s">
        <v>364</v>
      </c>
      <c r="H545" t="s">
        <v>353</v>
      </c>
      <c r="I545">
        <v>1100224</v>
      </c>
      <c r="J545" t="s">
        <v>2289</v>
      </c>
      <c r="K545" t="s">
        <v>2290</v>
      </c>
      <c r="L545" t="s">
        <v>390</v>
      </c>
      <c r="N545" t="s">
        <v>2291</v>
      </c>
      <c r="O545" t="s">
        <v>2292</v>
      </c>
    </row>
    <row r="546" spans="1:19" x14ac:dyDescent="0.15">
      <c r="A546" t="s">
        <v>2255</v>
      </c>
      <c r="B546" s="61">
        <v>46661</v>
      </c>
      <c r="E546" t="s">
        <v>355</v>
      </c>
      <c r="F546" t="s">
        <v>364</v>
      </c>
      <c r="H546" t="s">
        <v>353</v>
      </c>
      <c r="I546">
        <v>1102407</v>
      </c>
      <c r="J546" t="s">
        <v>2293</v>
      </c>
      <c r="K546" t="s">
        <v>1251</v>
      </c>
      <c r="L546" t="s">
        <v>2294</v>
      </c>
      <c r="N546" t="s">
        <v>2295</v>
      </c>
      <c r="O546" t="s">
        <v>2296</v>
      </c>
    </row>
    <row r="547" spans="1:19" x14ac:dyDescent="0.15">
      <c r="A547" t="s">
        <v>2255</v>
      </c>
      <c r="B547" s="61">
        <v>46661</v>
      </c>
      <c r="E547" t="s">
        <v>355</v>
      </c>
      <c r="F547" t="s">
        <v>364</v>
      </c>
      <c r="H547" t="s">
        <v>365</v>
      </c>
      <c r="I547">
        <v>1102397</v>
      </c>
      <c r="J547" t="s">
        <v>2297</v>
      </c>
      <c r="K547" t="s">
        <v>2298</v>
      </c>
      <c r="L547" t="s">
        <v>2299</v>
      </c>
      <c r="N547" t="s">
        <v>2300</v>
      </c>
      <c r="O547" t="s">
        <v>2301</v>
      </c>
    </row>
    <row r="548" spans="1:19" x14ac:dyDescent="0.15">
      <c r="A548" t="s">
        <v>2255</v>
      </c>
      <c r="B548" s="61">
        <v>46692</v>
      </c>
      <c r="E548" t="s">
        <v>355</v>
      </c>
      <c r="F548" t="s">
        <v>364</v>
      </c>
      <c r="H548" t="s">
        <v>365</v>
      </c>
      <c r="I548">
        <v>1102410</v>
      </c>
      <c r="J548" t="s">
        <v>2264</v>
      </c>
      <c r="L548" t="s">
        <v>854</v>
      </c>
      <c r="N548" t="s">
        <v>2265</v>
      </c>
      <c r="O548" t="s">
        <v>2266</v>
      </c>
    </row>
    <row r="549" spans="1:19" x14ac:dyDescent="0.15">
      <c r="A549" t="s">
        <v>2255</v>
      </c>
      <c r="B549" s="61">
        <v>46753</v>
      </c>
      <c r="E549" t="s">
        <v>355</v>
      </c>
      <c r="F549" t="s">
        <v>364</v>
      </c>
      <c r="H549" t="s">
        <v>353</v>
      </c>
      <c r="I549">
        <v>1101840</v>
      </c>
      <c r="J549" t="s">
        <v>2302</v>
      </c>
      <c r="K549" t="s">
        <v>2303</v>
      </c>
      <c r="L549" t="s">
        <v>2304</v>
      </c>
      <c r="N549" t="s">
        <v>2305</v>
      </c>
      <c r="O549" t="s">
        <v>2306</v>
      </c>
    </row>
    <row r="550" spans="1:19" x14ac:dyDescent="0.15">
      <c r="A550" t="s">
        <v>2255</v>
      </c>
      <c r="B550" s="61">
        <v>46753</v>
      </c>
      <c r="E550" t="s">
        <v>355</v>
      </c>
      <c r="F550" t="s">
        <v>364</v>
      </c>
      <c r="H550" t="s">
        <v>353</v>
      </c>
      <c r="I550">
        <v>1100023</v>
      </c>
      <c r="J550" t="s">
        <v>2256</v>
      </c>
      <c r="L550" t="s">
        <v>390</v>
      </c>
      <c r="N550" t="s">
        <v>2257</v>
      </c>
      <c r="O550" t="s">
        <v>2258</v>
      </c>
    </row>
    <row r="551" spans="1:19" x14ac:dyDescent="0.15">
      <c r="A551" t="s">
        <v>2255</v>
      </c>
      <c r="B551" s="61">
        <v>46844</v>
      </c>
      <c r="E551" t="s">
        <v>355</v>
      </c>
      <c r="F551" t="s">
        <v>364</v>
      </c>
      <c r="H551" t="s">
        <v>353</v>
      </c>
      <c r="I551">
        <v>1102565</v>
      </c>
      <c r="J551" t="s">
        <v>1255</v>
      </c>
      <c r="K551" t="s">
        <v>2307</v>
      </c>
      <c r="L551" t="s">
        <v>2308</v>
      </c>
      <c r="N551" t="s">
        <v>2309</v>
      </c>
      <c r="O551" t="s">
        <v>2310</v>
      </c>
    </row>
    <row r="552" spans="1:19" x14ac:dyDescent="0.15">
      <c r="A552" t="s">
        <v>2255</v>
      </c>
      <c r="B552" s="61">
        <v>46966</v>
      </c>
      <c r="E552" t="s">
        <v>355</v>
      </c>
      <c r="F552" t="s">
        <v>364</v>
      </c>
      <c r="H552" t="s">
        <v>353</v>
      </c>
      <c r="I552">
        <v>1101615</v>
      </c>
      <c r="J552" t="s">
        <v>516</v>
      </c>
      <c r="K552" t="s">
        <v>897</v>
      </c>
      <c r="L552" t="s">
        <v>2311</v>
      </c>
      <c r="N552" t="s">
        <v>2312</v>
      </c>
      <c r="O552" t="s">
        <v>2313</v>
      </c>
    </row>
    <row r="553" spans="1:19" x14ac:dyDescent="0.15">
      <c r="A553" t="s">
        <v>2255</v>
      </c>
      <c r="B553" s="61">
        <v>46966</v>
      </c>
      <c r="E553" t="s">
        <v>355</v>
      </c>
      <c r="F553" t="s">
        <v>364</v>
      </c>
      <c r="H553" t="s">
        <v>365</v>
      </c>
      <c r="I553">
        <v>1102206</v>
      </c>
      <c r="J553" t="s">
        <v>2314</v>
      </c>
      <c r="L553" t="s">
        <v>390</v>
      </c>
      <c r="N553" t="s">
        <v>2315</v>
      </c>
      <c r="O553" t="s">
        <v>2316</v>
      </c>
    </row>
    <row r="554" spans="1:19" ht="409.5" x14ac:dyDescent="0.15">
      <c r="A554" t="s">
        <v>2255</v>
      </c>
      <c r="B554" s="61">
        <v>47239</v>
      </c>
      <c r="E554" t="s">
        <v>355</v>
      </c>
      <c r="F554" t="s">
        <v>385</v>
      </c>
      <c r="H554" t="s">
        <v>353</v>
      </c>
      <c r="I554">
        <v>1102476</v>
      </c>
      <c r="J554" t="s">
        <v>2317</v>
      </c>
      <c r="K554" t="s">
        <v>2274</v>
      </c>
      <c r="L554" t="s">
        <v>2318</v>
      </c>
      <c r="N554" t="s">
        <v>2319</v>
      </c>
      <c r="O554" t="s">
        <v>2320</v>
      </c>
      <c r="S554" s="34" t="s">
        <v>2321</v>
      </c>
    </row>
    <row r="555" spans="1:19" ht="378" x14ac:dyDescent="0.15">
      <c r="A555" t="s">
        <v>2255</v>
      </c>
      <c r="B555" s="61">
        <v>47300</v>
      </c>
      <c r="E555" t="s">
        <v>355</v>
      </c>
      <c r="F555" t="s">
        <v>385</v>
      </c>
      <c r="H555" t="s">
        <v>353</v>
      </c>
      <c r="I555">
        <v>1101698</v>
      </c>
      <c r="J555" t="s">
        <v>2322</v>
      </c>
      <c r="K555" t="s">
        <v>2323</v>
      </c>
      <c r="L555" t="s">
        <v>2324</v>
      </c>
      <c r="N555" t="s">
        <v>2325</v>
      </c>
      <c r="O555" t="s">
        <v>2326</v>
      </c>
      <c r="R555" t="s">
        <v>386</v>
      </c>
      <c r="S555" s="34" t="s">
        <v>2327</v>
      </c>
    </row>
    <row r="556" spans="1:19" ht="243" x14ac:dyDescent="0.15">
      <c r="A556" t="s">
        <v>2255</v>
      </c>
      <c r="B556" s="61">
        <v>47604</v>
      </c>
      <c r="E556" t="s">
        <v>355</v>
      </c>
      <c r="F556" t="s">
        <v>385</v>
      </c>
      <c r="H556" t="s">
        <v>365</v>
      </c>
      <c r="I556">
        <v>1102548</v>
      </c>
      <c r="J556" t="s">
        <v>2267</v>
      </c>
      <c r="K556" t="s">
        <v>2268</v>
      </c>
      <c r="L556" t="s">
        <v>2269</v>
      </c>
      <c r="N556" t="s">
        <v>2270</v>
      </c>
      <c r="O556" t="s">
        <v>2271</v>
      </c>
      <c r="R556" t="s">
        <v>395</v>
      </c>
      <c r="S556" s="34" t="s">
        <v>2272</v>
      </c>
    </row>
    <row r="557" spans="1:19" ht="351" x14ac:dyDescent="0.15">
      <c r="A557" t="s">
        <v>2255</v>
      </c>
      <c r="B557" s="61">
        <v>47696</v>
      </c>
      <c r="E557" t="s">
        <v>355</v>
      </c>
      <c r="F557" t="s">
        <v>385</v>
      </c>
      <c r="H557" t="s">
        <v>353</v>
      </c>
      <c r="I557">
        <v>1101207</v>
      </c>
      <c r="J557" t="s">
        <v>2273</v>
      </c>
      <c r="K557" t="s">
        <v>2274</v>
      </c>
      <c r="L557" t="s">
        <v>390</v>
      </c>
      <c r="N557" t="s">
        <v>2275</v>
      </c>
      <c r="O557" t="s">
        <v>2276</v>
      </c>
      <c r="R557" t="s">
        <v>386</v>
      </c>
      <c r="S557" s="34" t="s">
        <v>2277</v>
      </c>
    </row>
    <row r="558" spans="1:19" x14ac:dyDescent="0.15">
      <c r="A558" t="s">
        <v>2255</v>
      </c>
      <c r="B558" s="61">
        <v>47939</v>
      </c>
      <c r="E558" t="s">
        <v>355</v>
      </c>
      <c r="F558" t="s">
        <v>385</v>
      </c>
      <c r="H558" t="s">
        <v>353</v>
      </c>
      <c r="I558">
        <v>1101362</v>
      </c>
      <c r="J558" t="s">
        <v>2278</v>
      </c>
      <c r="L558" t="s">
        <v>2279</v>
      </c>
      <c r="N558" t="s">
        <v>5035</v>
      </c>
      <c r="O558" t="s">
        <v>2280</v>
      </c>
    </row>
    <row r="559" spans="1:19" x14ac:dyDescent="0.15">
      <c r="A559" t="s">
        <v>2255</v>
      </c>
      <c r="B559" s="61">
        <v>48061</v>
      </c>
      <c r="E559" t="s">
        <v>355</v>
      </c>
      <c r="F559" t="s">
        <v>385</v>
      </c>
      <c r="H559" t="s">
        <v>353</v>
      </c>
      <c r="I559">
        <v>1101596</v>
      </c>
      <c r="J559" t="s">
        <v>2285</v>
      </c>
      <c r="K559" t="s">
        <v>2286</v>
      </c>
      <c r="L559" t="s">
        <v>2287</v>
      </c>
      <c r="N559" t="s">
        <v>5104</v>
      </c>
      <c r="O559" t="s">
        <v>2288</v>
      </c>
    </row>
    <row r="560" spans="1:19" x14ac:dyDescent="0.15">
      <c r="A560" t="s">
        <v>2255</v>
      </c>
      <c r="B560" s="61">
        <v>48061</v>
      </c>
      <c r="E560" t="s">
        <v>355</v>
      </c>
      <c r="F560" t="s">
        <v>364</v>
      </c>
      <c r="H560" t="s">
        <v>353</v>
      </c>
      <c r="I560">
        <v>1100224</v>
      </c>
      <c r="J560" t="s">
        <v>2289</v>
      </c>
      <c r="K560" t="s">
        <v>2290</v>
      </c>
      <c r="L560" t="s">
        <v>390</v>
      </c>
      <c r="N560" t="s">
        <v>2291</v>
      </c>
      <c r="O560" t="s">
        <v>2292</v>
      </c>
    </row>
    <row r="561" spans="1:19" x14ac:dyDescent="0.15">
      <c r="A561" t="s">
        <v>2255</v>
      </c>
      <c r="B561" s="61">
        <v>48214</v>
      </c>
      <c r="E561" t="s">
        <v>355</v>
      </c>
      <c r="F561" t="s">
        <v>364</v>
      </c>
      <c r="H561" t="s">
        <v>353</v>
      </c>
      <c r="I561">
        <v>1101840</v>
      </c>
      <c r="J561" t="s">
        <v>2302</v>
      </c>
      <c r="K561" t="s">
        <v>2303</v>
      </c>
      <c r="L561" t="s">
        <v>2304</v>
      </c>
      <c r="N561" t="s">
        <v>2305</v>
      </c>
      <c r="O561" t="s">
        <v>2306</v>
      </c>
    </row>
    <row r="562" spans="1:19" x14ac:dyDescent="0.15">
      <c r="A562" t="s">
        <v>2255</v>
      </c>
      <c r="B562" s="61">
        <v>48214</v>
      </c>
      <c r="E562" t="s">
        <v>355</v>
      </c>
      <c r="F562" t="s">
        <v>364</v>
      </c>
      <c r="H562" t="s">
        <v>353</v>
      </c>
      <c r="I562">
        <v>1100023</v>
      </c>
      <c r="J562" t="s">
        <v>2256</v>
      </c>
      <c r="L562" t="s">
        <v>390</v>
      </c>
      <c r="N562" t="s">
        <v>2257</v>
      </c>
      <c r="O562" t="s">
        <v>2258</v>
      </c>
    </row>
    <row r="563" spans="1:19" x14ac:dyDescent="0.15">
      <c r="A563" t="s">
        <v>2255</v>
      </c>
      <c r="B563" s="61">
        <v>48305</v>
      </c>
      <c r="E563" t="s">
        <v>355</v>
      </c>
      <c r="F563" t="s">
        <v>364</v>
      </c>
      <c r="H563" t="s">
        <v>353</v>
      </c>
      <c r="I563">
        <v>1102565</v>
      </c>
      <c r="J563" t="s">
        <v>1255</v>
      </c>
      <c r="K563" t="s">
        <v>2307</v>
      </c>
      <c r="L563" t="s">
        <v>2308</v>
      </c>
      <c r="N563" t="s">
        <v>2309</v>
      </c>
      <c r="O563" t="s">
        <v>2310</v>
      </c>
    </row>
    <row r="564" spans="1:19" x14ac:dyDescent="0.15">
      <c r="A564" t="s">
        <v>2255</v>
      </c>
      <c r="B564" s="61">
        <v>48427</v>
      </c>
      <c r="E564" t="s">
        <v>355</v>
      </c>
      <c r="F564" t="s">
        <v>364</v>
      </c>
      <c r="H564" t="s">
        <v>365</v>
      </c>
      <c r="I564">
        <v>1102206</v>
      </c>
      <c r="J564" t="s">
        <v>2314</v>
      </c>
      <c r="L564" t="s">
        <v>390</v>
      </c>
      <c r="N564" t="s">
        <v>2315</v>
      </c>
      <c r="O564" t="s">
        <v>2316</v>
      </c>
    </row>
    <row r="565" spans="1:19" ht="243" x14ac:dyDescent="0.15">
      <c r="A565" t="s">
        <v>2328</v>
      </c>
      <c r="B565" s="61">
        <v>46204</v>
      </c>
      <c r="E565" t="s">
        <v>355</v>
      </c>
      <c r="F565" t="s">
        <v>385</v>
      </c>
      <c r="H565" t="s">
        <v>365</v>
      </c>
      <c r="I565">
        <v>1301342</v>
      </c>
      <c r="J565" t="s">
        <v>2329</v>
      </c>
      <c r="L565" t="s">
        <v>2330</v>
      </c>
      <c r="N565" t="s">
        <v>2331</v>
      </c>
      <c r="O565" t="s">
        <v>2332</v>
      </c>
      <c r="R565" t="s">
        <v>395</v>
      </c>
      <c r="S565" s="34" t="s">
        <v>2333</v>
      </c>
    </row>
    <row r="566" spans="1:19" x14ac:dyDescent="0.15">
      <c r="A566" t="s">
        <v>5524</v>
      </c>
      <c r="B566" s="61">
        <v>46447</v>
      </c>
      <c r="E566" t="s">
        <v>355</v>
      </c>
      <c r="F566" t="s">
        <v>364</v>
      </c>
      <c r="H566" t="s">
        <v>365</v>
      </c>
      <c r="I566">
        <v>1400233</v>
      </c>
      <c r="J566" t="s">
        <v>2334</v>
      </c>
      <c r="K566" t="s">
        <v>2335</v>
      </c>
      <c r="L566" t="s">
        <v>2336</v>
      </c>
      <c r="N566" t="s">
        <v>2337</v>
      </c>
      <c r="O566" t="s">
        <v>2338</v>
      </c>
    </row>
    <row r="567" spans="1:19" x14ac:dyDescent="0.15">
      <c r="A567" t="s">
        <v>2328</v>
      </c>
      <c r="B567" s="61">
        <v>46539</v>
      </c>
      <c r="E567" t="s">
        <v>355</v>
      </c>
      <c r="F567" t="s">
        <v>364</v>
      </c>
      <c r="H567" t="s">
        <v>365</v>
      </c>
      <c r="I567">
        <v>1401912</v>
      </c>
      <c r="J567" t="s">
        <v>2339</v>
      </c>
      <c r="K567" t="s">
        <v>2340</v>
      </c>
      <c r="L567" t="s">
        <v>2341</v>
      </c>
      <c r="N567" t="s">
        <v>2342</v>
      </c>
      <c r="O567" t="s">
        <v>2343</v>
      </c>
    </row>
    <row r="568" spans="1:19" x14ac:dyDescent="0.15">
      <c r="A568" t="s">
        <v>2328</v>
      </c>
      <c r="B568" s="61">
        <v>46539</v>
      </c>
      <c r="E568" t="s">
        <v>355</v>
      </c>
      <c r="F568" t="s">
        <v>364</v>
      </c>
      <c r="H568" t="s">
        <v>353</v>
      </c>
      <c r="I568">
        <v>1401905</v>
      </c>
      <c r="J568" t="s">
        <v>2344</v>
      </c>
      <c r="K568" t="s">
        <v>2345</v>
      </c>
      <c r="L568" t="s">
        <v>2346</v>
      </c>
      <c r="N568" t="s">
        <v>2347</v>
      </c>
      <c r="O568" t="s">
        <v>2348</v>
      </c>
    </row>
    <row r="569" spans="1:19" x14ac:dyDescent="0.15">
      <c r="A569" t="s">
        <v>2328</v>
      </c>
      <c r="B569" s="61">
        <v>46692</v>
      </c>
      <c r="E569" t="s">
        <v>355</v>
      </c>
      <c r="F569" t="s">
        <v>364</v>
      </c>
      <c r="H569" t="s">
        <v>353</v>
      </c>
      <c r="I569">
        <v>1401121</v>
      </c>
      <c r="J569" t="s">
        <v>2349</v>
      </c>
      <c r="L569" t="s">
        <v>2350</v>
      </c>
      <c r="N569" t="s">
        <v>2351</v>
      </c>
      <c r="O569" t="s">
        <v>2352</v>
      </c>
    </row>
    <row r="570" spans="1:19" x14ac:dyDescent="0.15">
      <c r="A570" t="s">
        <v>5524</v>
      </c>
      <c r="B570" s="61">
        <v>46874</v>
      </c>
      <c r="E570" t="s">
        <v>355</v>
      </c>
      <c r="F570" t="s">
        <v>364</v>
      </c>
      <c r="H570" t="s">
        <v>365</v>
      </c>
      <c r="I570">
        <v>1400662</v>
      </c>
      <c r="J570" t="s">
        <v>2353</v>
      </c>
      <c r="K570" t="s">
        <v>2354</v>
      </c>
      <c r="L570" t="s">
        <v>2355</v>
      </c>
      <c r="N570" t="s">
        <v>2356</v>
      </c>
      <c r="O570" t="s">
        <v>2357</v>
      </c>
    </row>
    <row r="571" spans="1:19" x14ac:dyDescent="0.15">
      <c r="A571" t="s">
        <v>5524</v>
      </c>
      <c r="B571" s="61">
        <v>46935</v>
      </c>
      <c r="E571" t="s">
        <v>355</v>
      </c>
      <c r="F571" t="s">
        <v>364</v>
      </c>
      <c r="H571" t="s">
        <v>353</v>
      </c>
      <c r="I571">
        <v>1402345</v>
      </c>
      <c r="J571" t="s">
        <v>1212</v>
      </c>
      <c r="K571" t="s">
        <v>2358</v>
      </c>
      <c r="L571" t="s">
        <v>2359</v>
      </c>
      <c r="N571" t="s">
        <v>2360</v>
      </c>
      <c r="O571" t="s">
        <v>2361</v>
      </c>
    </row>
    <row r="572" spans="1:19" x14ac:dyDescent="0.15">
      <c r="A572" t="s">
        <v>2328</v>
      </c>
      <c r="B572" s="61">
        <v>46966</v>
      </c>
      <c r="E572" t="s">
        <v>355</v>
      </c>
      <c r="F572" t="s">
        <v>364</v>
      </c>
      <c r="H572" t="s">
        <v>353</v>
      </c>
      <c r="I572">
        <v>1401905</v>
      </c>
      <c r="J572" t="s">
        <v>2344</v>
      </c>
      <c r="K572" t="s">
        <v>2345</v>
      </c>
      <c r="L572" t="s">
        <v>2346</v>
      </c>
      <c r="N572" t="s">
        <v>2362</v>
      </c>
      <c r="O572" t="s">
        <v>2348</v>
      </c>
    </row>
    <row r="573" spans="1:19" x14ac:dyDescent="0.15">
      <c r="A573" t="s">
        <v>5524</v>
      </c>
      <c r="B573" s="61">
        <v>47027</v>
      </c>
      <c r="E573" t="s">
        <v>355</v>
      </c>
      <c r="F573" t="s">
        <v>364</v>
      </c>
      <c r="H573" t="s">
        <v>353</v>
      </c>
      <c r="I573">
        <v>1401939</v>
      </c>
      <c r="J573" t="s">
        <v>2363</v>
      </c>
      <c r="K573" t="s">
        <v>2364</v>
      </c>
      <c r="L573" t="s">
        <v>2359</v>
      </c>
      <c r="N573" t="s">
        <v>2365</v>
      </c>
      <c r="O573" t="s">
        <v>2366</v>
      </c>
    </row>
    <row r="574" spans="1:19" x14ac:dyDescent="0.15">
      <c r="A574" t="s">
        <v>2328</v>
      </c>
      <c r="B574" s="61">
        <v>47150</v>
      </c>
      <c r="E574" t="s">
        <v>355</v>
      </c>
      <c r="F574" t="s">
        <v>364</v>
      </c>
      <c r="H574" t="s">
        <v>353</v>
      </c>
      <c r="I574">
        <v>1401841</v>
      </c>
      <c r="J574" t="s">
        <v>2367</v>
      </c>
      <c r="K574" t="s">
        <v>2368</v>
      </c>
      <c r="L574" t="s">
        <v>2369</v>
      </c>
      <c r="N574" t="s">
        <v>2370</v>
      </c>
      <c r="O574" t="s">
        <v>2371</v>
      </c>
    </row>
    <row r="575" spans="1:19" ht="409.5" x14ac:dyDescent="0.15">
      <c r="A575" t="s">
        <v>5524</v>
      </c>
      <c r="B575" s="61">
        <v>47209</v>
      </c>
      <c r="E575" t="s">
        <v>355</v>
      </c>
      <c r="F575" t="s">
        <v>385</v>
      </c>
      <c r="H575" t="s">
        <v>353</v>
      </c>
      <c r="I575">
        <v>1402843</v>
      </c>
      <c r="J575" t="s">
        <v>2372</v>
      </c>
      <c r="K575" t="s">
        <v>1769</v>
      </c>
      <c r="L575" t="s">
        <v>2373</v>
      </c>
      <c r="N575" t="s">
        <v>2374</v>
      </c>
      <c r="O575" t="s">
        <v>2375</v>
      </c>
      <c r="R575" t="s">
        <v>386</v>
      </c>
      <c r="S575" s="34" t="s">
        <v>2376</v>
      </c>
    </row>
    <row r="576" spans="1:19" x14ac:dyDescent="0.15">
      <c r="A576" t="s">
        <v>2328</v>
      </c>
      <c r="B576" s="61">
        <v>48000</v>
      </c>
      <c r="E576" t="s">
        <v>355</v>
      </c>
      <c r="F576" t="s">
        <v>364</v>
      </c>
      <c r="H576" t="s">
        <v>365</v>
      </c>
      <c r="I576">
        <v>1401912</v>
      </c>
      <c r="J576" t="s">
        <v>2339</v>
      </c>
      <c r="K576" t="s">
        <v>2340</v>
      </c>
      <c r="L576" t="s">
        <v>2341</v>
      </c>
      <c r="N576" t="s">
        <v>2342</v>
      </c>
      <c r="O576" t="s">
        <v>2343</v>
      </c>
    </row>
    <row r="577" spans="1:19" x14ac:dyDescent="0.15">
      <c r="A577" t="s">
        <v>2328</v>
      </c>
      <c r="B577" s="61">
        <v>48000</v>
      </c>
      <c r="E577" t="s">
        <v>355</v>
      </c>
      <c r="F577" t="s">
        <v>364</v>
      </c>
      <c r="H577" t="s">
        <v>353</v>
      </c>
      <c r="I577">
        <v>1401905</v>
      </c>
      <c r="J577" t="s">
        <v>2344</v>
      </c>
      <c r="K577" t="s">
        <v>2345</v>
      </c>
      <c r="L577" t="s">
        <v>2346</v>
      </c>
      <c r="N577" t="s">
        <v>2347</v>
      </c>
      <c r="O577" t="s">
        <v>2348</v>
      </c>
    </row>
    <row r="578" spans="1:19" x14ac:dyDescent="0.15">
      <c r="A578" t="s">
        <v>5524</v>
      </c>
      <c r="B578" s="61">
        <v>48335</v>
      </c>
      <c r="E578" t="s">
        <v>355</v>
      </c>
      <c r="F578" t="s">
        <v>364</v>
      </c>
      <c r="H578" t="s">
        <v>365</v>
      </c>
      <c r="I578">
        <v>1400662</v>
      </c>
      <c r="J578" t="s">
        <v>2353</v>
      </c>
      <c r="K578" t="s">
        <v>2354</v>
      </c>
      <c r="L578" t="s">
        <v>2355</v>
      </c>
      <c r="N578" t="s">
        <v>2356</v>
      </c>
      <c r="O578" t="s">
        <v>2357</v>
      </c>
    </row>
    <row r="579" spans="1:19" x14ac:dyDescent="0.15">
      <c r="A579" t="s">
        <v>5524</v>
      </c>
      <c r="B579" s="61">
        <v>48396</v>
      </c>
      <c r="E579" t="s">
        <v>355</v>
      </c>
      <c r="F579" t="s">
        <v>364</v>
      </c>
      <c r="H579" t="s">
        <v>353</v>
      </c>
      <c r="I579">
        <v>1402345</v>
      </c>
      <c r="J579" t="s">
        <v>1212</v>
      </c>
      <c r="K579" t="s">
        <v>2358</v>
      </c>
      <c r="L579" t="s">
        <v>2359</v>
      </c>
      <c r="N579" t="s">
        <v>2360</v>
      </c>
      <c r="O579" t="s">
        <v>2361</v>
      </c>
    </row>
    <row r="580" spans="1:19" ht="409.5" x14ac:dyDescent="0.15">
      <c r="A580" t="s">
        <v>2377</v>
      </c>
      <c r="B580" s="61">
        <v>46113</v>
      </c>
      <c r="E580" t="s">
        <v>355</v>
      </c>
      <c r="F580" t="s">
        <v>385</v>
      </c>
      <c r="H580" t="s">
        <v>365</v>
      </c>
      <c r="I580">
        <v>1101172</v>
      </c>
      <c r="J580" t="s">
        <v>2378</v>
      </c>
      <c r="L580" t="s">
        <v>1230</v>
      </c>
      <c r="N580" t="s">
        <v>2379</v>
      </c>
      <c r="O580" t="s">
        <v>2380</v>
      </c>
      <c r="R580" t="s">
        <v>395</v>
      </c>
      <c r="S580" s="34" t="s">
        <v>2381</v>
      </c>
    </row>
    <row r="581" spans="1:19" ht="229.5" x14ac:dyDescent="0.15">
      <c r="A581" t="s">
        <v>2377</v>
      </c>
      <c r="B581" s="61">
        <v>46204</v>
      </c>
      <c r="E581" t="s">
        <v>355</v>
      </c>
      <c r="F581" t="s">
        <v>356</v>
      </c>
      <c r="H581" t="s">
        <v>353</v>
      </c>
      <c r="I581">
        <v>1102508</v>
      </c>
      <c r="J581" t="s">
        <v>2382</v>
      </c>
      <c r="K581" t="s">
        <v>2383</v>
      </c>
      <c r="L581" t="s">
        <v>2384</v>
      </c>
      <c r="N581" t="s">
        <v>2385</v>
      </c>
      <c r="O581" t="s">
        <v>2386</v>
      </c>
      <c r="R581" t="s">
        <v>362</v>
      </c>
      <c r="S581" s="34" t="s">
        <v>2387</v>
      </c>
    </row>
    <row r="582" spans="1:19" ht="409.5" x14ac:dyDescent="0.15">
      <c r="A582" t="s">
        <v>2377</v>
      </c>
      <c r="B582" s="61">
        <v>46235</v>
      </c>
      <c r="E582" t="s">
        <v>355</v>
      </c>
      <c r="F582" t="s">
        <v>356</v>
      </c>
      <c r="H582" t="s">
        <v>353</v>
      </c>
      <c r="I582">
        <v>1102506</v>
      </c>
      <c r="J582" t="s">
        <v>2129</v>
      </c>
      <c r="K582" t="s">
        <v>2388</v>
      </c>
      <c r="L582" t="s">
        <v>833</v>
      </c>
      <c r="N582" t="s">
        <v>2389</v>
      </c>
      <c r="O582" t="s">
        <v>2390</v>
      </c>
      <c r="R582" t="s">
        <v>362</v>
      </c>
      <c r="S582" s="34" t="s">
        <v>2391</v>
      </c>
    </row>
    <row r="583" spans="1:19" x14ac:dyDescent="0.15">
      <c r="A583" t="s">
        <v>2377</v>
      </c>
      <c r="B583" s="61">
        <v>46569</v>
      </c>
      <c r="E583" t="s">
        <v>355</v>
      </c>
      <c r="F583" t="s">
        <v>364</v>
      </c>
      <c r="H583" t="s">
        <v>353</v>
      </c>
      <c r="I583">
        <v>1102153</v>
      </c>
      <c r="J583" t="s">
        <v>2392</v>
      </c>
      <c r="K583" t="s">
        <v>2393</v>
      </c>
      <c r="L583" t="s">
        <v>413</v>
      </c>
      <c r="N583" t="s">
        <v>2394</v>
      </c>
      <c r="O583" t="s">
        <v>2395</v>
      </c>
    </row>
    <row r="584" spans="1:19" x14ac:dyDescent="0.15">
      <c r="A584" t="s">
        <v>2377</v>
      </c>
      <c r="B584" s="61">
        <v>46600</v>
      </c>
      <c r="E584" t="s">
        <v>355</v>
      </c>
      <c r="F584" t="s">
        <v>356</v>
      </c>
      <c r="H584" t="s">
        <v>353</v>
      </c>
      <c r="I584">
        <v>1102153</v>
      </c>
      <c r="J584" t="s">
        <v>2392</v>
      </c>
      <c r="K584" t="s">
        <v>2393</v>
      </c>
      <c r="L584" t="s">
        <v>413</v>
      </c>
      <c r="N584" t="s">
        <v>5105</v>
      </c>
      <c r="O584" t="s">
        <v>2395</v>
      </c>
    </row>
    <row r="585" spans="1:19" x14ac:dyDescent="0.15">
      <c r="A585" t="s">
        <v>2377</v>
      </c>
      <c r="B585" s="61">
        <v>46844</v>
      </c>
      <c r="E585" t="s">
        <v>355</v>
      </c>
      <c r="F585" t="s">
        <v>364</v>
      </c>
      <c r="H585" t="s">
        <v>353</v>
      </c>
      <c r="I585">
        <v>1102177</v>
      </c>
      <c r="J585" t="s">
        <v>2396</v>
      </c>
      <c r="K585" t="s">
        <v>2397</v>
      </c>
      <c r="L585" t="s">
        <v>390</v>
      </c>
      <c r="N585" t="s">
        <v>2398</v>
      </c>
      <c r="O585" t="s">
        <v>2399</v>
      </c>
    </row>
    <row r="586" spans="1:19" x14ac:dyDescent="0.15">
      <c r="A586" t="s">
        <v>2377</v>
      </c>
      <c r="B586" s="61">
        <v>46935</v>
      </c>
      <c r="E586" t="s">
        <v>355</v>
      </c>
      <c r="F586" t="s">
        <v>364</v>
      </c>
      <c r="H586" t="s">
        <v>365</v>
      </c>
      <c r="I586">
        <v>1101329</v>
      </c>
      <c r="J586" t="s">
        <v>2400</v>
      </c>
      <c r="K586" t="s">
        <v>2401</v>
      </c>
      <c r="L586" t="s">
        <v>2041</v>
      </c>
      <c r="N586" t="s">
        <v>2402</v>
      </c>
      <c r="O586" t="s">
        <v>2403</v>
      </c>
    </row>
    <row r="587" spans="1:19" ht="229.5" x14ac:dyDescent="0.15">
      <c r="A587" t="s">
        <v>2377</v>
      </c>
      <c r="B587" s="61">
        <v>47665</v>
      </c>
      <c r="E587" t="s">
        <v>355</v>
      </c>
      <c r="F587" t="s">
        <v>385</v>
      </c>
      <c r="H587" t="s">
        <v>353</v>
      </c>
      <c r="I587">
        <v>1102508</v>
      </c>
      <c r="J587" t="s">
        <v>2382</v>
      </c>
      <c r="K587" t="s">
        <v>2383</v>
      </c>
      <c r="L587" t="s">
        <v>2384</v>
      </c>
      <c r="N587" t="s">
        <v>2385</v>
      </c>
      <c r="O587" t="s">
        <v>2386</v>
      </c>
      <c r="R587" t="s">
        <v>386</v>
      </c>
      <c r="S587" s="34" t="s">
        <v>2387</v>
      </c>
    </row>
    <row r="588" spans="1:19" ht="409.5" x14ac:dyDescent="0.15">
      <c r="A588" t="s">
        <v>2377</v>
      </c>
      <c r="B588" s="61">
        <v>47696</v>
      </c>
      <c r="E588" t="s">
        <v>355</v>
      </c>
      <c r="F588" t="s">
        <v>385</v>
      </c>
      <c r="H588" t="s">
        <v>353</v>
      </c>
      <c r="I588">
        <v>1102506</v>
      </c>
      <c r="J588" t="s">
        <v>2129</v>
      </c>
      <c r="K588" t="s">
        <v>2388</v>
      </c>
      <c r="L588" t="s">
        <v>833</v>
      </c>
      <c r="N588" t="s">
        <v>2389</v>
      </c>
      <c r="O588" t="s">
        <v>2390</v>
      </c>
      <c r="R588" t="s">
        <v>386</v>
      </c>
      <c r="S588" s="34" t="s">
        <v>2391</v>
      </c>
    </row>
    <row r="589" spans="1:19" x14ac:dyDescent="0.15">
      <c r="A589" t="s">
        <v>2377</v>
      </c>
      <c r="B589" s="61">
        <v>48061</v>
      </c>
      <c r="E589" t="s">
        <v>355</v>
      </c>
      <c r="F589" t="s">
        <v>385</v>
      </c>
      <c r="H589" t="s">
        <v>353</v>
      </c>
      <c r="I589">
        <v>1102153</v>
      </c>
      <c r="J589" t="s">
        <v>2392</v>
      </c>
      <c r="K589" t="s">
        <v>2393</v>
      </c>
      <c r="L589" t="s">
        <v>413</v>
      </c>
      <c r="N589" t="s">
        <v>5105</v>
      </c>
      <c r="O589" t="s">
        <v>2395</v>
      </c>
    </row>
    <row r="590" spans="1:19" ht="409.5" x14ac:dyDescent="0.15">
      <c r="A590" t="s">
        <v>2404</v>
      </c>
      <c r="B590" s="61">
        <v>45931</v>
      </c>
      <c r="E590" t="s">
        <v>355</v>
      </c>
      <c r="F590" t="s">
        <v>356</v>
      </c>
      <c r="H590" t="s">
        <v>353</v>
      </c>
      <c r="I590">
        <v>1201171</v>
      </c>
      <c r="J590" t="s">
        <v>2408</v>
      </c>
      <c r="K590" t="s">
        <v>2409</v>
      </c>
      <c r="L590" t="s">
        <v>390</v>
      </c>
      <c r="N590" t="s">
        <v>2410</v>
      </c>
      <c r="O590" t="s">
        <v>2411</v>
      </c>
      <c r="P590" t="s">
        <v>7532</v>
      </c>
      <c r="Q590" t="s">
        <v>7531</v>
      </c>
      <c r="R590" s="34" t="s">
        <v>7533</v>
      </c>
      <c r="S590" s="34" t="s">
        <v>2412</v>
      </c>
    </row>
    <row r="591" spans="1:19" ht="364.5" x14ac:dyDescent="0.15">
      <c r="A591" t="s">
        <v>2404</v>
      </c>
      <c r="B591" s="61">
        <v>46327</v>
      </c>
      <c r="E591" t="s">
        <v>355</v>
      </c>
      <c r="F591" t="s">
        <v>385</v>
      </c>
      <c r="H591" t="s">
        <v>365</v>
      </c>
      <c r="I591">
        <v>1102324</v>
      </c>
      <c r="J591" t="s">
        <v>2417</v>
      </c>
      <c r="L591" t="s">
        <v>2418</v>
      </c>
      <c r="N591" t="s">
        <v>2419</v>
      </c>
      <c r="O591" t="s">
        <v>2420</v>
      </c>
      <c r="R591" t="s">
        <v>395</v>
      </c>
      <c r="S591" s="34" t="s">
        <v>2421</v>
      </c>
    </row>
    <row r="592" spans="1:19" ht="229.5" x14ac:dyDescent="0.15">
      <c r="A592" t="s">
        <v>2404</v>
      </c>
      <c r="B592" s="61">
        <v>46357</v>
      </c>
      <c r="E592" t="s">
        <v>355</v>
      </c>
      <c r="F592" t="s">
        <v>356</v>
      </c>
      <c r="H592" t="s">
        <v>353</v>
      </c>
      <c r="I592">
        <v>1101483</v>
      </c>
      <c r="J592" t="s">
        <v>2413</v>
      </c>
      <c r="K592" t="s">
        <v>2153</v>
      </c>
      <c r="L592" t="s">
        <v>390</v>
      </c>
      <c r="N592" t="s">
        <v>2414</v>
      </c>
      <c r="O592" t="s">
        <v>2415</v>
      </c>
      <c r="R592" t="s">
        <v>362</v>
      </c>
      <c r="S592" s="34" t="s">
        <v>2416</v>
      </c>
    </row>
    <row r="593" spans="1:19" x14ac:dyDescent="0.15">
      <c r="A593" t="s">
        <v>2404</v>
      </c>
      <c r="B593" s="61">
        <v>46388</v>
      </c>
      <c r="E593" t="s">
        <v>355</v>
      </c>
      <c r="F593" t="s">
        <v>364</v>
      </c>
      <c r="H593" t="s">
        <v>353</v>
      </c>
      <c r="I593">
        <v>1102324</v>
      </c>
      <c r="J593" t="s">
        <v>2417</v>
      </c>
      <c r="L593" t="s">
        <v>2418</v>
      </c>
      <c r="N593" t="s">
        <v>2422</v>
      </c>
      <c r="O593" t="s">
        <v>2420</v>
      </c>
    </row>
    <row r="594" spans="1:19" x14ac:dyDescent="0.15">
      <c r="A594" t="s">
        <v>2404</v>
      </c>
      <c r="B594" s="61">
        <v>46419</v>
      </c>
      <c r="E594" t="s">
        <v>355</v>
      </c>
      <c r="F594" t="s">
        <v>364</v>
      </c>
      <c r="H594" t="s">
        <v>353</v>
      </c>
      <c r="I594">
        <v>1200483</v>
      </c>
      <c r="J594" t="s">
        <v>2423</v>
      </c>
      <c r="K594" t="s">
        <v>2260</v>
      </c>
      <c r="L594" t="s">
        <v>390</v>
      </c>
      <c r="N594" t="s">
        <v>2424</v>
      </c>
      <c r="O594" t="s">
        <v>2425</v>
      </c>
    </row>
    <row r="595" spans="1:19" x14ac:dyDescent="0.15">
      <c r="A595" t="s">
        <v>2404</v>
      </c>
      <c r="B595" s="61">
        <v>46478</v>
      </c>
      <c r="E595" t="s">
        <v>355</v>
      </c>
      <c r="F595" t="s">
        <v>364</v>
      </c>
      <c r="H595" t="s">
        <v>353</v>
      </c>
      <c r="I595">
        <v>1102152</v>
      </c>
      <c r="J595" t="s">
        <v>2426</v>
      </c>
      <c r="K595" t="s">
        <v>2427</v>
      </c>
      <c r="L595" t="s">
        <v>2428</v>
      </c>
      <c r="N595" t="s">
        <v>2429</v>
      </c>
      <c r="O595" t="s">
        <v>2430</v>
      </c>
    </row>
    <row r="596" spans="1:19" x14ac:dyDescent="0.15">
      <c r="A596" t="s">
        <v>2404</v>
      </c>
      <c r="B596" s="61">
        <v>46569</v>
      </c>
      <c r="E596" t="s">
        <v>355</v>
      </c>
      <c r="F596" t="s">
        <v>364</v>
      </c>
      <c r="H596" t="s">
        <v>365</v>
      </c>
      <c r="I596">
        <v>1101357</v>
      </c>
      <c r="J596" t="s">
        <v>1924</v>
      </c>
      <c r="K596" t="s">
        <v>2431</v>
      </c>
      <c r="L596" t="s">
        <v>390</v>
      </c>
      <c r="N596" t="s">
        <v>2432</v>
      </c>
      <c r="O596" t="s">
        <v>2433</v>
      </c>
    </row>
    <row r="597" spans="1:19" ht="409.5" x14ac:dyDescent="0.15">
      <c r="A597" t="s">
        <v>2404</v>
      </c>
      <c r="B597" s="61">
        <v>46966</v>
      </c>
      <c r="E597" t="s">
        <v>355</v>
      </c>
      <c r="F597" t="s">
        <v>385</v>
      </c>
      <c r="H597" t="s">
        <v>353</v>
      </c>
      <c r="I597">
        <v>1201171</v>
      </c>
      <c r="J597" t="s">
        <v>2408</v>
      </c>
      <c r="K597" t="s">
        <v>2409</v>
      </c>
      <c r="L597" t="s">
        <v>390</v>
      </c>
      <c r="N597" t="s">
        <v>4941</v>
      </c>
      <c r="O597" t="s">
        <v>2411</v>
      </c>
      <c r="S597" s="34" t="s">
        <v>4933</v>
      </c>
    </row>
    <row r="598" spans="1:19" ht="409.5" x14ac:dyDescent="0.15">
      <c r="A598" t="s">
        <v>2404</v>
      </c>
      <c r="B598" s="61">
        <v>47392</v>
      </c>
      <c r="E598" t="s">
        <v>355</v>
      </c>
      <c r="F598" t="s">
        <v>385</v>
      </c>
      <c r="H598" t="s">
        <v>353</v>
      </c>
      <c r="I598">
        <v>1201171</v>
      </c>
      <c r="J598" t="s">
        <v>2408</v>
      </c>
      <c r="K598" t="s">
        <v>2409</v>
      </c>
      <c r="L598" t="s">
        <v>390</v>
      </c>
      <c r="N598" t="s">
        <v>2410</v>
      </c>
      <c r="O598" t="s">
        <v>2411</v>
      </c>
      <c r="R598" s="34" t="s">
        <v>768</v>
      </c>
      <c r="S598" s="34" t="s">
        <v>2412</v>
      </c>
    </row>
    <row r="599" spans="1:19" ht="229.5" x14ac:dyDescent="0.15">
      <c r="A599" t="s">
        <v>2404</v>
      </c>
      <c r="B599" s="61">
        <v>47818</v>
      </c>
      <c r="E599" t="s">
        <v>355</v>
      </c>
      <c r="F599" t="s">
        <v>385</v>
      </c>
      <c r="H599" t="s">
        <v>353</v>
      </c>
      <c r="I599">
        <v>1101483</v>
      </c>
      <c r="J599" t="s">
        <v>2413</v>
      </c>
      <c r="K599" t="s">
        <v>2153</v>
      </c>
      <c r="L599" t="s">
        <v>390</v>
      </c>
      <c r="N599" t="s">
        <v>2414</v>
      </c>
      <c r="O599" t="s">
        <v>2415</v>
      </c>
      <c r="R599" s="34" t="s">
        <v>768</v>
      </c>
      <c r="S599" s="34" t="s">
        <v>2416</v>
      </c>
    </row>
    <row r="600" spans="1:19" x14ac:dyDescent="0.15">
      <c r="A600" t="s">
        <v>2404</v>
      </c>
      <c r="B600" s="61">
        <v>48030</v>
      </c>
      <c r="E600" t="s">
        <v>355</v>
      </c>
      <c r="F600" t="s">
        <v>364</v>
      </c>
      <c r="H600" t="s">
        <v>365</v>
      </c>
      <c r="I600">
        <v>1101357</v>
      </c>
      <c r="J600" t="s">
        <v>1924</v>
      </c>
      <c r="K600" t="s">
        <v>2431</v>
      </c>
      <c r="L600" t="s">
        <v>390</v>
      </c>
      <c r="N600" t="s">
        <v>2432</v>
      </c>
      <c r="O600" t="s">
        <v>2433</v>
      </c>
    </row>
    <row r="601" spans="1:19" x14ac:dyDescent="0.15">
      <c r="A601" t="s">
        <v>2434</v>
      </c>
      <c r="B601" s="61">
        <v>46569</v>
      </c>
      <c r="E601" t="s">
        <v>355</v>
      </c>
      <c r="F601" t="s">
        <v>364</v>
      </c>
      <c r="H601" t="s">
        <v>365</v>
      </c>
      <c r="I601">
        <v>1301802</v>
      </c>
      <c r="J601" t="s">
        <v>751</v>
      </c>
      <c r="K601" t="s">
        <v>2153</v>
      </c>
      <c r="L601" t="s">
        <v>2181</v>
      </c>
      <c r="N601" t="s">
        <v>2435</v>
      </c>
      <c r="O601" t="s">
        <v>2436</v>
      </c>
    </row>
    <row r="602" spans="1:19" x14ac:dyDescent="0.15">
      <c r="A602" t="s">
        <v>2434</v>
      </c>
      <c r="B602" s="61">
        <v>46661</v>
      </c>
      <c r="E602" t="s">
        <v>355</v>
      </c>
      <c r="F602" t="s">
        <v>364</v>
      </c>
      <c r="H602" t="s">
        <v>365</v>
      </c>
      <c r="I602">
        <v>1301802</v>
      </c>
      <c r="J602" t="s">
        <v>751</v>
      </c>
      <c r="K602" t="s">
        <v>2153</v>
      </c>
      <c r="L602" t="s">
        <v>2181</v>
      </c>
      <c r="N602" t="s">
        <v>2437</v>
      </c>
      <c r="O602" t="s">
        <v>2436</v>
      </c>
    </row>
    <row r="603" spans="1:19" x14ac:dyDescent="0.15">
      <c r="A603" t="s">
        <v>2434</v>
      </c>
      <c r="B603" s="61">
        <v>46692</v>
      </c>
      <c r="E603" t="s">
        <v>355</v>
      </c>
      <c r="F603" t="s">
        <v>364</v>
      </c>
      <c r="H603" t="s">
        <v>353</v>
      </c>
      <c r="I603">
        <v>1301170</v>
      </c>
      <c r="J603" t="s">
        <v>2438</v>
      </c>
      <c r="L603" t="s">
        <v>2439</v>
      </c>
      <c r="N603" t="s">
        <v>2440</v>
      </c>
      <c r="O603" t="s">
        <v>2441</v>
      </c>
    </row>
    <row r="604" spans="1:19" x14ac:dyDescent="0.15">
      <c r="A604" t="s">
        <v>2434</v>
      </c>
      <c r="B604" s="61">
        <v>46784</v>
      </c>
      <c r="E604" t="s">
        <v>355</v>
      </c>
      <c r="F604" t="s">
        <v>364</v>
      </c>
      <c r="H604" t="s">
        <v>353</v>
      </c>
      <c r="I604">
        <v>1301835</v>
      </c>
      <c r="J604" t="s">
        <v>2442</v>
      </c>
      <c r="K604" t="s">
        <v>2443</v>
      </c>
      <c r="L604" t="s">
        <v>2444</v>
      </c>
      <c r="N604" t="s">
        <v>2445</v>
      </c>
      <c r="O604" t="s">
        <v>2446</v>
      </c>
    </row>
    <row r="605" spans="1:19" x14ac:dyDescent="0.15">
      <c r="A605" t="s">
        <v>2434</v>
      </c>
      <c r="B605" s="61">
        <v>46784</v>
      </c>
      <c r="E605" t="s">
        <v>355</v>
      </c>
      <c r="F605" t="s">
        <v>364</v>
      </c>
      <c r="H605" t="s">
        <v>353</v>
      </c>
      <c r="I605">
        <v>1300230</v>
      </c>
      <c r="J605" t="s">
        <v>2447</v>
      </c>
      <c r="L605" t="s">
        <v>2448</v>
      </c>
      <c r="N605" t="s">
        <v>2449</v>
      </c>
      <c r="O605" t="s">
        <v>2450</v>
      </c>
    </row>
    <row r="606" spans="1:19" x14ac:dyDescent="0.15">
      <c r="A606" t="s">
        <v>2434</v>
      </c>
      <c r="B606" s="61">
        <v>46997</v>
      </c>
      <c r="E606" t="s">
        <v>355</v>
      </c>
      <c r="F606" t="s">
        <v>364</v>
      </c>
      <c r="H606" t="s">
        <v>353</v>
      </c>
      <c r="I606">
        <v>1301669</v>
      </c>
      <c r="J606" t="s">
        <v>2451</v>
      </c>
      <c r="K606" t="s">
        <v>2452</v>
      </c>
      <c r="L606" t="s">
        <v>2453</v>
      </c>
      <c r="N606" t="s">
        <v>2454</v>
      </c>
      <c r="O606" t="s">
        <v>2455</v>
      </c>
    </row>
    <row r="607" spans="1:19" x14ac:dyDescent="0.15">
      <c r="A607" t="s">
        <v>2434</v>
      </c>
      <c r="B607" s="61">
        <v>48030</v>
      </c>
      <c r="E607" t="s">
        <v>355</v>
      </c>
      <c r="F607" t="s">
        <v>364</v>
      </c>
      <c r="H607" t="s">
        <v>365</v>
      </c>
      <c r="I607">
        <v>1301802</v>
      </c>
      <c r="J607" t="s">
        <v>751</v>
      </c>
      <c r="K607" t="s">
        <v>2153</v>
      </c>
      <c r="L607" t="s">
        <v>2181</v>
      </c>
      <c r="N607" t="s">
        <v>2435</v>
      </c>
      <c r="O607" t="s">
        <v>2436</v>
      </c>
    </row>
    <row r="608" spans="1:19" x14ac:dyDescent="0.15">
      <c r="A608" t="s">
        <v>2434</v>
      </c>
      <c r="B608" s="61">
        <v>48122</v>
      </c>
      <c r="E608" t="s">
        <v>355</v>
      </c>
      <c r="F608" t="s">
        <v>364</v>
      </c>
      <c r="H608" t="s">
        <v>365</v>
      </c>
      <c r="I608">
        <v>1301802</v>
      </c>
      <c r="J608" t="s">
        <v>751</v>
      </c>
      <c r="K608" t="s">
        <v>2153</v>
      </c>
      <c r="L608" t="s">
        <v>2181</v>
      </c>
      <c r="N608" t="s">
        <v>2437</v>
      </c>
      <c r="O608" t="s">
        <v>2436</v>
      </c>
    </row>
    <row r="609" spans="1:19" x14ac:dyDescent="0.15">
      <c r="A609" t="s">
        <v>2434</v>
      </c>
      <c r="B609" s="61">
        <v>48153</v>
      </c>
      <c r="E609" t="s">
        <v>355</v>
      </c>
      <c r="F609" t="s">
        <v>364</v>
      </c>
      <c r="H609" t="s">
        <v>353</v>
      </c>
      <c r="I609">
        <v>1301170</v>
      </c>
      <c r="J609" t="s">
        <v>2438</v>
      </c>
      <c r="L609" t="s">
        <v>2439</v>
      </c>
      <c r="N609" t="s">
        <v>2440</v>
      </c>
      <c r="O609" t="s">
        <v>2441</v>
      </c>
    </row>
    <row r="610" spans="1:19" x14ac:dyDescent="0.15">
      <c r="A610" t="s">
        <v>2434</v>
      </c>
      <c r="B610" s="61">
        <v>48245</v>
      </c>
      <c r="E610" t="s">
        <v>355</v>
      </c>
      <c r="F610" t="s">
        <v>364</v>
      </c>
      <c r="H610" t="s">
        <v>353</v>
      </c>
      <c r="I610">
        <v>1300230</v>
      </c>
      <c r="J610" t="s">
        <v>2447</v>
      </c>
      <c r="L610" t="s">
        <v>2448</v>
      </c>
      <c r="N610" t="s">
        <v>2449</v>
      </c>
      <c r="O610" t="s">
        <v>2450</v>
      </c>
    </row>
    <row r="611" spans="1:19" ht="243" x14ac:dyDescent="0.15">
      <c r="A611" t="s">
        <v>2456</v>
      </c>
      <c r="B611" s="61">
        <v>46327</v>
      </c>
      <c r="E611" t="s">
        <v>355</v>
      </c>
      <c r="F611" t="s">
        <v>385</v>
      </c>
      <c r="H611" t="s">
        <v>353</v>
      </c>
      <c r="I611">
        <v>2201220</v>
      </c>
      <c r="J611" t="s">
        <v>2465</v>
      </c>
      <c r="L611" t="s">
        <v>2466</v>
      </c>
      <c r="N611" t="s">
        <v>2467</v>
      </c>
      <c r="O611" t="s">
        <v>2468</v>
      </c>
      <c r="R611" t="s">
        <v>386</v>
      </c>
      <c r="S611" s="34" t="s">
        <v>2469</v>
      </c>
    </row>
    <row r="612" spans="1:19" x14ac:dyDescent="0.15">
      <c r="A612" t="s">
        <v>2456</v>
      </c>
      <c r="B612" s="61">
        <v>46478</v>
      </c>
      <c r="E612" t="s">
        <v>355</v>
      </c>
      <c r="F612" t="s">
        <v>364</v>
      </c>
      <c r="H612" t="s">
        <v>353</v>
      </c>
      <c r="I612">
        <v>2200812</v>
      </c>
      <c r="J612" t="s">
        <v>2470</v>
      </c>
      <c r="K612" t="s">
        <v>2290</v>
      </c>
      <c r="L612" t="s">
        <v>965</v>
      </c>
      <c r="N612" t="s">
        <v>2471</v>
      </c>
      <c r="O612" t="s">
        <v>2472</v>
      </c>
    </row>
    <row r="613" spans="1:19" x14ac:dyDescent="0.15">
      <c r="A613" t="s">
        <v>2456</v>
      </c>
      <c r="B613" s="61">
        <v>46508</v>
      </c>
      <c r="E613" t="s">
        <v>355</v>
      </c>
      <c r="F613" t="s">
        <v>364</v>
      </c>
      <c r="H613" t="s">
        <v>353</v>
      </c>
      <c r="I613">
        <v>2201807</v>
      </c>
      <c r="J613" t="s">
        <v>2473</v>
      </c>
      <c r="K613" t="s">
        <v>7498</v>
      </c>
      <c r="L613" t="s">
        <v>413</v>
      </c>
      <c r="N613" t="s">
        <v>2474</v>
      </c>
      <c r="O613" t="s">
        <v>2475</v>
      </c>
    </row>
    <row r="614" spans="1:19" x14ac:dyDescent="0.15">
      <c r="A614" t="s">
        <v>2456</v>
      </c>
      <c r="B614" s="61">
        <v>46539</v>
      </c>
      <c r="E614" t="s">
        <v>355</v>
      </c>
      <c r="F614" t="s">
        <v>364</v>
      </c>
      <c r="H614" t="s">
        <v>353</v>
      </c>
      <c r="I614">
        <v>2201356</v>
      </c>
      <c r="J614" t="s">
        <v>2476</v>
      </c>
      <c r="L614" t="s">
        <v>2477</v>
      </c>
      <c r="N614" t="s">
        <v>2478</v>
      </c>
      <c r="O614" t="s">
        <v>2479</v>
      </c>
    </row>
    <row r="615" spans="1:19" x14ac:dyDescent="0.15">
      <c r="A615" t="s">
        <v>2456</v>
      </c>
      <c r="B615" s="61">
        <v>46569</v>
      </c>
      <c r="E615" t="s">
        <v>355</v>
      </c>
      <c r="F615" t="s">
        <v>2480</v>
      </c>
      <c r="H615" t="s">
        <v>365</v>
      </c>
      <c r="I615">
        <v>2202138</v>
      </c>
      <c r="J615" t="s">
        <v>2481</v>
      </c>
      <c r="K615" t="s">
        <v>2482</v>
      </c>
      <c r="L615" t="s">
        <v>2483</v>
      </c>
      <c r="N615" t="s">
        <v>2484</v>
      </c>
      <c r="O615" t="s">
        <v>2485</v>
      </c>
    </row>
    <row r="616" spans="1:19" ht="409.5" x14ac:dyDescent="0.15">
      <c r="A616" t="s">
        <v>2456</v>
      </c>
      <c r="B616" s="61">
        <v>46569</v>
      </c>
      <c r="E616" t="s">
        <v>355</v>
      </c>
      <c r="F616" t="s">
        <v>356</v>
      </c>
      <c r="H616" t="s">
        <v>353</v>
      </c>
      <c r="I616">
        <v>2201720</v>
      </c>
      <c r="J616" t="s">
        <v>2486</v>
      </c>
      <c r="K616" t="s">
        <v>2487</v>
      </c>
      <c r="L616" t="s">
        <v>2488</v>
      </c>
      <c r="N616" t="s">
        <v>2489</v>
      </c>
      <c r="O616" t="s">
        <v>2490</v>
      </c>
      <c r="R616" t="s">
        <v>362</v>
      </c>
      <c r="S616" s="34" t="s">
        <v>2491</v>
      </c>
    </row>
    <row r="617" spans="1:19" x14ac:dyDescent="0.15">
      <c r="A617" t="s">
        <v>2456</v>
      </c>
      <c r="B617" s="61">
        <v>46631</v>
      </c>
      <c r="E617" t="s">
        <v>355</v>
      </c>
      <c r="F617" t="s">
        <v>364</v>
      </c>
      <c r="H617" t="s">
        <v>365</v>
      </c>
      <c r="I617">
        <v>2200739</v>
      </c>
      <c r="J617" t="s">
        <v>775</v>
      </c>
      <c r="K617" t="s">
        <v>2492</v>
      </c>
      <c r="L617" t="s">
        <v>2493</v>
      </c>
      <c r="N617" t="s">
        <v>2494</v>
      </c>
      <c r="O617" t="s">
        <v>2495</v>
      </c>
    </row>
    <row r="618" spans="1:19" x14ac:dyDescent="0.15">
      <c r="A618" t="s">
        <v>2456</v>
      </c>
      <c r="B618" s="61">
        <v>46753</v>
      </c>
      <c r="E618" t="s">
        <v>355</v>
      </c>
      <c r="F618" t="s">
        <v>364</v>
      </c>
      <c r="H618" t="s">
        <v>353</v>
      </c>
      <c r="I618">
        <v>2200356</v>
      </c>
      <c r="J618" t="s">
        <v>2496</v>
      </c>
      <c r="K618" t="s">
        <v>2497</v>
      </c>
      <c r="L618" t="s">
        <v>2181</v>
      </c>
      <c r="N618" t="s">
        <v>2498</v>
      </c>
      <c r="O618" t="s">
        <v>2499</v>
      </c>
    </row>
    <row r="619" spans="1:19" x14ac:dyDescent="0.15">
      <c r="A619" t="s">
        <v>2456</v>
      </c>
      <c r="B619" s="61">
        <v>46813</v>
      </c>
      <c r="E619" t="s">
        <v>355</v>
      </c>
      <c r="F619" t="s">
        <v>364</v>
      </c>
      <c r="H619" t="s">
        <v>365</v>
      </c>
      <c r="I619">
        <v>2200293</v>
      </c>
      <c r="J619" t="s">
        <v>2500</v>
      </c>
      <c r="K619" t="s">
        <v>2492</v>
      </c>
      <c r="L619" t="s">
        <v>413</v>
      </c>
      <c r="N619" t="s">
        <v>2501</v>
      </c>
      <c r="O619" t="s">
        <v>2502</v>
      </c>
    </row>
    <row r="620" spans="1:19" x14ac:dyDescent="0.15">
      <c r="A620" t="s">
        <v>2456</v>
      </c>
      <c r="B620" s="61">
        <v>46813</v>
      </c>
      <c r="E620" t="s">
        <v>355</v>
      </c>
      <c r="F620" t="s">
        <v>364</v>
      </c>
      <c r="H620" t="s">
        <v>353</v>
      </c>
      <c r="I620">
        <v>2201813</v>
      </c>
      <c r="J620" t="s">
        <v>2503</v>
      </c>
      <c r="K620" t="s">
        <v>2504</v>
      </c>
      <c r="L620" t="s">
        <v>698</v>
      </c>
      <c r="N620" t="s">
        <v>2505</v>
      </c>
      <c r="O620" t="s">
        <v>2506</v>
      </c>
    </row>
    <row r="621" spans="1:19" x14ac:dyDescent="0.15">
      <c r="A621" t="s">
        <v>2456</v>
      </c>
      <c r="B621" s="61">
        <v>46966</v>
      </c>
      <c r="E621" t="s">
        <v>355</v>
      </c>
      <c r="F621" t="s">
        <v>364</v>
      </c>
      <c r="H621" t="s">
        <v>353</v>
      </c>
      <c r="I621">
        <v>2201953</v>
      </c>
      <c r="J621" t="s">
        <v>873</v>
      </c>
      <c r="K621" t="s">
        <v>2507</v>
      </c>
      <c r="L621" t="s">
        <v>2508</v>
      </c>
      <c r="N621" t="s">
        <v>2509</v>
      </c>
      <c r="O621" t="s">
        <v>2510</v>
      </c>
    </row>
    <row r="622" spans="1:19" ht="409.5" x14ac:dyDescent="0.15">
      <c r="A622" t="s">
        <v>2456</v>
      </c>
      <c r="B622" s="61">
        <v>47058</v>
      </c>
      <c r="E622" t="s">
        <v>355</v>
      </c>
      <c r="F622" t="s">
        <v>385</v>
      </c>
      <c r="H622" t="s">
        <v>353</v>
      </c>
      <c r="I622">
        <v>2202500</v>
      </c>
      <c r="J622" t="s">
        <v>2486</v>
      </c>
      <c r="K622" t="s">
        <v>2487</v>
      </c>
      <c r="L622" t="s">
        <v>2511</v>
      </c>
      <c r="N622" t="s">
        <v>2512</v>
      </c>
      <c r="O622" t="s">
        <v>2513</v>
      </c>
      <c r="S622" s="34" t="s">
        <v>2514</v>
      </c>
    </row>
    <row r="623" spans="1:19" x14ac:dyDescent="0.15">
      <c r="A623" t="s">
        <v>2456</v>
      </c>
      <c r="B623" s="61">
        <v>47088</v>
      </c>
      <c r="E623" t="s">
        <v>355</v>
      </c>
      <c r="F623" t="s">
        <v>364</v>
      </c>
      <c r="H623" t="s">
        <v>365</v>
      </c>
      <c r="I623">
        <v>2201771</v>
      </c>
      <c r="J623" t="s">
        <v>2515</v>
      </c>
      <c r="L623" t="s">
        <v>390</v>
      </c>
      <c r="N623" t="s">
        <v>2516</v>
      </c>
      <c r="O623" t="s">
        <v>2517</v>
      </c>
    </row>
    <row r="624" spans="1:19" ht="229.5" x14ac:dyDescent="0.15">
      <c r="A624" t="s">
        <v>2456</v>
      </c>
      <c r="B624" s="61">
        <v>47300</v>
      </c>
      <c r="E624" t="s">
        <v>355</v>
      </c>
      <c r="F624" t="s">
        <v>385</v>
      </c>
      <c r="H624" t="s">
        <v>353</v>
      </c>
      <c r="I624">
        <v>2200158</v>
      </c>
      <c r="J624" t="s">
        <v>2518</v>
      </c>
      <c r="K624" t="s">
        <v>2519</v>
      </c>
      <c r="L624" t="s">
        <v>413</v>
      </c>
      <c r="N624" t="s">
        <v>2520</v>
      </c>
      <c r="O624" t="s">
        <v>2521</v>
      </c>
      <c r="R624" s="34" t="s">
        <v>768</v>
      </c>
      <c r="S624" s="34" t="s">
        <v>2522</v>
      </c>
    </row>
    <row r="625" spans="1:20" ht="229.5" x14ac:dyDescent="0.15">
      <c r="A625" t="s">
        <v>2456</v>
      </c>
      <c r="B625" s="61">
        <v>47300</v>
      </c>
      <c r="E625" t="s">
        <v>355</v>
      </c>
      <c r="F625" t="s">
        <v>385</v>
      </c>
      <c r="G625" t="s">
        <v>7507</v>
      </c>
      <c r="H625" t="s">
        <v>365</v>
      </c>
      <c r="I625">
        <v>2202138</v>
      </c>
      <c r="J625" t="s">
        <v>2481</v>
      </c>
      <c r="K625" t="s">
        <v>2482</v>
      </c>
      <c r="L625" t="s">
        <v>2523</v>
      </c>
      <c r="N625" t="s">
        <v>2524</v>
      </c>
      <c r="O625" t="s">
        <v>2485</v>
      </c>
      <c r="P625" t="s">
        <v>7508</v>
      </c>
      <c r="Q625" s="34" t="s">
        <v>7506</v>
      </c>
      <c r="R625" t="s">
        <v>395</v>
      </c>
      <c r="S625" s="34" t="s">
        <v>2525</v>
      </c>
      <c r="T625" t="s">
        <v>7507</v>
      </c>
    </row>
    <row r="626" spans="1:20" ht="409.5" x14ac:dyDescent="0.15">
      <c r="A626" t="s">
        <v>2456</v>
      </c>
      <c r="B626" s="61">
        <v>47423</v>
      </c>
      <c r="E626" t="s">
        <v>355</v>
      </c>
      <c r="F626" t="s">
        <v>385</v>
      </c>
      <c r="H626" t="s">
        <v>353</v>
      </c>
      <c r="I626">
        <v>2200267</v>
      </c>
      <c r="J626" t="s">
        <v>2529</v>
      </c>
      <c r="L626" t="s">
        <v>390</v>
      </c>
      <c r="N626" t="s">
        <v>2530</v>
      </c>
      <c r="O626" t="s">
        <v>2531</v>
      </c>
      <c r="R626" t="s">
        <v>386</v>
      </c>
      <c r="S626" s="34" t="s">
        <v>2532</v>
      </c>
    </row>
    <row r="627" spans="1:20" x14ac:dyDescent="0.15">
      <c r="A627" t="s">
        <v>2456</v>
      </c>
      <c r="B627" s="61">
        <v>48000</v>
      </c>
      <c r="E627" t="s">
        <v>355</v>
      </c>
      <c r="F627" t="s">
        <v>364</v>
      </c>
      <c r="H627" t="s">
        <v>353</v>
      </c>
      <c r="I627">
        <v>2201356</v>
      </c>
      <c r="J627" t="s">
        <v>2476</v>
      </c>
      <c r="L627" t="s">
        <v>2477</v>
      </c>
      <c r="N627" t="s">
        <v>2478</v>
      </c>
      <c r="O627" t="s">
        <v>2479</v>
      </c>
    </row>
    <row r="628" spans="1:20" ht="409.5" x14ac:dyDescent="0.15">
      <c r="A628" t="s">
        <v>2456</v>
      </c>
      <c r="B628" s="61">
        <v>48030</v>
      </c>
      <c r="E628" t="s">
        <v>355</v>
      </c>
      <c r="F628" t="s">
        <v>385</v>
      </c>
      <c r="H628" t="s">
        <v>353</v>
      </c>
      <c r="I628">
        <v>2201720</v>
      </c>
      <c r="J628" t="s">
        <v>2486</v>
      </c>
      <c r="K628" t="s">
        <v>2487</v>
      </c>
      <c r="L628" t="s">
        <v>2533</v>
      </c>
      <c r="N628" t="s">
        <v>2489</v>
      </c>
      <c r="O628" t="s">
        <v>2490</v>
      </c>
      <c r="R628" t="s">
        <v>386</v>
      </c>
      <c r="S628" s="34" t="s">
        <v>2491</v>
      </c>
    </row>
    <row r="629" spans="1:20" x14ac:dyDescent="0.15">
      <c r="A629" t="s">
        <v>2456</v>
      </c>
      <c r="B629" s="61">
        <v>48214</v>
      </c>
      <c r="E629" t="s">
        <v>355</v>
      </c>
      <c r="F629" t="s">
        <v>364</v>
      </c>
      <c r="H629" t="s">
        <v>353</v>
      </c>
      <c r="I629">
        <v>2200356</v>
      </c>
      <c r="J629" t="s">
        <v>2496</v>
      </c>
      <c r="K629" t="s">
        <v>2497</v>
      </c>
      <c r="L629" t="s">
        <v>2181</v>
      </c>
      <c r="N629" t="s">
        <v>2498</v>
      </c>
      <c r="O629" t="s">
        <v>2499</v>
      </c>
    </row>
    <row r="630" spans="1:20" x14ac:dyDescent="0.15">
      <c r="A630" t="s">
        <v>2456</v>
      </c>
      <c r="B630" s="61">
        <v>48274</v>
      </c>
      <c r="E630" t="s">
        <v>355</v>
      </c>
      <c r="F630" t="s">
        <v>364</v>
      </c>
      <c r="H630" t="s">
        <v>353</v>
      </c>
      <c r="I630">
        <v>2201813</v>
      </c>
      <c r="J630" t="s">
        <v>2503</v>
      </c>
      <c r="K630" t="s">
        <v>2504</v>
      </c>
      <c r="L630" t="s">
        <v>698</v>
      </c>
      <c r="N630" t="s">
        <v>2505</v>
      </c>
      <c r="O630" t="s">
        <v>2506</v>
      </c>
    </row>
    <row r="631" spans="1:20" ht="216" x14ac:dyDescent="0.15">
      <c r="A631" t="s">
        <v>2534</v>
      </c>
      <c r="B631" s="61">
        <v>46266</v>
      </c>
      <c r="E631" t="s">
        <v>355</v>
      </c>
      <c r="F631" t="s">
        <v>969</v>
      </c>
      <c r="H631" t="s">
        <v>309</v>
      </c>
      <c r="I631">
        <v>2701670</v>
      </c>
      <c r="J631" t="s">
        <v>2549</v>
      </c>
      <c r="K631" t="s">
        <v>436</v>
      </c>
      <c r="L631" t="s">
        <v>2550</v>
      </c>
      <c r="N631" t="s">
        <v>2551</v>
      </c>
      <c r="O631" t="s">
        <v>2552</v>
      </c>
      <c r="R631" t="s">
        <v>2553</v>
      </c>
      <c r="S631" s="34" t="s">
        <v>2554</v>
      </c>
    </row>
    <row r="632" spans="1:20" x14ac:dyDescent="0.15">
      <c r="A632" t="s">
        <v>2534</v>
      </c>
      <c r="B632" s="61">
        <v>46447</v>
      </c>
      <c r="E632" t="s">
        <v>355</v>
      </c>
      <c r="F632" t="s">
        <v>364</v>
      </c>
      <c r="H632" t="s">
        <v>353</v>
      </c>
      <c r="I632">
        <v>2801277</v>
      </c>
      <c r="J632" t="s">
        <v>2555</v>
      </c>
      <c r="K632" t="s">
        <v>2556</v>
      </c>
      <c r="L632" t="s">
        <v>2557</v>
      </c>
      <c r="N632" t="s">
        <v>5033</v>
      </c>
      <c r="O632" t="s">
        <v>2558</v>
      </c>
      <c r="P632" t="s">
        <v>7458</v>
      </c>
      <c r="Q632" t="s">
        <v>7459</v>
      </c>
    </row>
    <row r="633" spans="1:20" x14ac:dyDescent="0.15">
      <c r="A633" t="s">
        <v>2534</v>
      </c>
      <c r="B633" s="61">
        <v>46478</v>
      </c>
      <c r="E633" t="s">
        <v>355</v>
      </c>
      <c r="F633" t="s">
        <v>364</v>
      </c>
      <c r="H633" t="s">
        <v>365</v>
      </c>
      <c r="I633">
        <v>2801555</v>
      </c>
      <c r="J633" t="s">
        <v>2559</v>
      </c>
      <c r="K633" t="s">
        <v>2560</v>
      </c>
      <c r="L633" t="s">
        <v>413</v>
      </c>
      <c r="N633" t="s">
        <v>2561</v>
      </c>
      <c r="O633" t="s">
        <v>2562</v>
      </c>
    </row>
    <row r="634" spans="1:20" x14ac:dyDescent="0.15">
      <c r="A634" t="s">
        <v>2534</v>
      </c>
      <c r="B634" s="61">
        <v>46508</v>
      </c>
      <c r="E634" t="s">
        <v>355</v>
      </c>
      <c r="F634" t="s">
        <v>364</v>
      </c>
      <c r="H634" t="s">
        <v>365</v>
      </c>
      <c r="I634">
        <v>2802250</v>
      </c>
      <c r="J634" t="s">
        <v>2563</v>
      </c>
      <c r="K634" t="s">
        <v>2564</v>
      </c>
      <c r="L634" t="s">
        <v>2565</v>
      </c>
      <c r="N634" t="s">
        <v>2566</v>
      </c>
      <c r="O634" t="s">
        <v>2567</v>
      </c>
    </row>
    <row r="635" spans="1:20" x14ac:dyDescent="0.15">
      <c r="A635" t="s">
        <v>2534</v>
      </c>
      <c r="B635" s="61">
        <v>46508</v>
      </c>
      <c r="E635" t="s">
        <v>355</v>
      </c>
      <c r="F635" t="s">
        <v>364</v>
      </c>
      <c r="H635" t="s">
        <v>353</v>
      </c>
      <c r="I635">
        <v>2802250</v>
      </c>
      <c r="J635" t="s">
        <v>2563</v>
      </c>
      <c r="K635" t="s">
        <v>2564</v>
      </c>
      <c r="L635" t="s">
        <v>2565</v>
      </c>
      <c r="N635" t="s">
        <v>2568</v>
      </c>
      <c r="O635" t="s">
        <v>2567</v>
      </c>
    </row>
    <row r="636" spans="1:20" ht="216" x14ac:dyDescent="0.15">
      <c r="A636" t="s">
        <v>2534</v>
      </c>
      <c r="B636" s="61">
        <v>46539</v>
      </c>
      <c r="E636" t="s">
        <v>355</v>
      </c>
      <c r="F636" t="s">
        <v>356</v>
      </c>
      <c r="H636" t="s">
        <v>353</v>
      </c>
      <c r="I636">
        <v>2802399</v>
      </c>
      <c r="J636" t="s">
        <v>2549</v>
      </c>
      <c r="K636" t="s">
        <v>2569</v>
      </c>
      <c r="L636" t="s">
        <v>2570</v>
      </c>
      <c r="N636" t="s">
        <v>2571</v>
      </c>
      <c r="O636" t="s">
        <v>2572</v>
      </c>
      <c r="R636" t="s">
        <v>362</v>
      </c>
      <c r="S636" s="34" t="s">
        <v>2573</v>
      </c>
    </row>
    <row r="637" spans="1:20" x14ac:dyDescent="0.15">
      <c r="A637" t="s">
        <v>2534</v>
      </c>
      <c r="B637" s="61">
        <v>46569</v>
      </c>
      <c r="E637" t="s">
        <v>355</v>
      </c>
      <c r="F637" t="s">
        <v>364</v>
      </c>
      <c r="H637" t="s">
        <v>309</v>
      </c>
      <c r="I637">
        <v>2801536</v>
      </c>
      <c r="J637" t="s">
        <v>2545</v>
      </c>
      <c r="L637" t="s">
        <v>413</v>
      </c>
      <c r="N637" t="s">
        <v>2574</v>
      </c>
      <c r="O637" t="s">
        <v>2547</v>
      </c>
      <c r="Q637" t="s">
        <v>7526</v>
      </c>
    </row>
    <row r="638" spans="1:20" x14ac:dyDescent="0.15">
      <c r="A638" t="s">
        <v>2534</v>
      </c>
      <c r="B638" s="61">
        <v>46600</v>
      </c>
      <c r="E638" t="s">
        <v>355</v>
      </c>
      <c r="F638" t="s">
        <v>364</v>
      </c>
      <c r="H638" t="s">
        <v>353</v>
      </c>
      <c r="I638">
        <v>2800115</v>
      </c>
      <c r="J638" t="s">
        <v>2545</v>
      </c>
      <c r="K638" t="s">
        <v>2575</v>
      </c>
      <c r="L638" t="s">
        <v>413</v>
      </c>
      <c r="N638" t="s">
        <v>2576</v>
      </c>
      <c r="O638" t="s">
        <v>2577</v>
      </c>
    </row>
    <row r="639" spans="1:20" x14ac:dyDescent="0.15">
      <c r="A639" t="s">
        <v>2534</v>
      </c>
      <c r="B639" s="61">
        <v>46692</v>
      </c>
      <c r="E639" t="s">
        <v>355</v>
      </c>
      <c r="F639" t="s">
        <v>364</v>
      </c>
      <c r="H639" t="s">
        <v>365</v>
      </c>
      <c r="I639">
        <v>2802244</v>
      </c>
      <c r="J639" t="s">
        <v>2578</v>
      </c>
      <c r="K639" t="s">
        <v>2579</v>
      </c>
      <c r="L639" t="s">
        <v>771</v>
      </c>
      <c r="N639" t="s">
        <v>2580</v>
      </c>
      <c r="O639" t="s">
        <v>2581</v>
      </c>
    </row>
    <row r="640" spans="1:20" x14ac:dyDescent="0.15">
      <c r="A640" t="s">
        <v>2534</v>
      </c>
      <c r="B640" s="61">
        <v>46753</v>
      </c>
      <c r="E640" t="s">
        <v>355</v>
      </c>
      <c r="F640" t="s">
        <v>364</v>
      </c>
      <c r="H640" t="s">
        <v>353</v>
      </c>
      <c r="I640">
        <v>2701670</v>
      </c>
      <c r="J640" t="s">
        <v>2549</v>
      </c>
      <c r="K640" t="s">
        <v>436</v>
      </c>
      <c r="L640" t="s">
        <v>2550</v>
      </c>
      <c r="N640" t="s">
        <v>2582</v>
      </c>
      <c r="O640" t="s">
        <v>2552</v>
      </c>
    </row>
    <row r="641" spans="1:19" x14ac:dyDescent="0.15">
      <c r="A641" t="s">
        <v>2534</v>
      </c>
      <c r="B641" s="61">
        <v>46935</v>
      </c>
      <c r="E641" t="s">
        <v>355</v>
      </c>
      <c r="F641" t="s">
        <v>364</v>
      </c>
      <c r="H641" t="s">
        <v>353</v>
      </c>
      <c r="I641">
        <v>2701229</v>
      </c>
      <c r="J641" t="s">
        <v>873</v>
      </c>
      <c r="K641" t="s">
        <v>2583</v>
      </c>
      <c r="L641" t="s">
        <v>2584</v>
      </c>
      <c r="N641" t="s">
        <v>2585</v>
      </c>
      <c r="O641" t="s">
        <v>2586</v>
      </c>
    </row>
    <row r="642" spans="1:19" ht="378" x14ac:dyDescent="0.15">
      <c r="A642" t="s">
        <v>2534</v>
      </c>
      <c r="B642" s="61">
        <v>47239</v>
      </c>
      <c r="E642" t="s">
        <v>355</v>
      </c>
      <c r="F642" t="s">
        <v>385</v>
      </c>
      <c r="H642" t="s">
        <v>353</v>
      </c>
      <c r="I642">
        <v>2702747</v>
      </c>
      <c r="J642" t="s">
        <v>464</v>
      </c>
      <c r="K642" t="s">
        <v>2587</v>
      </c>
      <c r="L642" t="s">
        <v>2588</v>
      </c>
      <c r="N642" t="s">
        <v>2589</v>
      </c>
      <c r="O642" t="s">
        <v>2590</v>
      </c>
      <c r="S642" s="34" t="s">
        <v>2591</v>
      </c>
    </row>
    <row r="643" spans="1:19" ht="216" x14ac:dyDescent="0.15">
      <c r="A643" t="s">
        <v>2534</v>
      </c>
      <c r="B643" s="61">
        <v>47331</v>
      </c>
      <c r="E643" t="s">
        <v>355</v>
      </c>
      <c r="F643" t="s">
        <v>385</v>
      </c>
      <c r="H643" t="s">
        <v>365</v>
      </c>
      <c r="I643">
        <v>2802343</v>
      </c>
      <c r="J643" t="s">
        <v>2592</v>
      </c>
      <c r="K643" t="s">
        <v>2593</v>
      </c>
      <c r="L643" t="s">
        <v>2459</v>
      </c>
      <c r="N643" t="s">
        <v>2594</v>
      </c>
      <c r="O643" t="s">
        <v>2595</v>
      </c>
      <c r="R643" t="s">
        <v>395</v>
      </c>
      <c r="S643" s="34" t="s">
        <v>2596</v>
      </c>
    </row>
    <row r="644" spans="1:19" ht="229.5" x14ac:dyDescent="0.15">
      <c r="A644" t="s">
        <v>2534</v>
      </c>
      <c r="B644" s="61">
        <v>47392</v>
      </c>
      <c r="E644" t="s">
        <v>355</v>
      </c>
      <c r="F644" t="s">
        <v>385</v>
      </c>
      <c r="H644" t="s">
        <v>353</v>
      </c>
      <c r="I644">
        <v>2802352</v>
      </c>
      <c r="J644" t="s">
        <v>2535</v>
      </c>
      <c r="K644" t="s">
        <v>2536</v>
      </c>
      <c r="L644" t="s">
        <v>833</v>
      </c>
      <c r="N644" t="s">
        <v>2537</v>
      </c>
      <c r="O644" t="s">
        <v>2538</v>
      </c>
      <c r="R644" s="34" t="s">
        <v>768</v>
      </c>
      <c r="S644" s="34" t="s">
        <v>2539</v>
      </c>
    </row>
    <row r="645" spans="1:19" ht="243" x14ac:dyDescent="0.15">
      <c r="A645" t="s">
        <v>2534</v>
      </c>
      <c r="B645" s="61">
        <v>47515</v>
      </c>
      <c r="E645" t="s">
        <v>355</v>
      </c>
      <c r="F645" t="s">
        <v>385</v>
      </c>
      <c r="H645" t="s">
        <v>365</v>
      </c>
      <c r="I645">
        <v>2802360</v>
      </c>
      <c r="J645" t="s">
        <v>2540</v>
      </c>
      <c r="L645" t="s">
        <v>2541</v>
      </c>
      <c r="N645" t="s">
        <v>2542</v>
      </c>
      <c r="O645" t="s">
        <v>2543</v>
      </c>
      <c r="R645" t="s">
        <v>395</v>
      </c>
      <c r="S645" s="34" t="s">
        <v>2544</v>
      </c>
    </row>
    <row r="646" spans="1:19" ht="409.5" x14ac:dyDescent="0.15">
      <c r="A646" t="s">
        <v>2534</v>
      </c>
      <c r="B646" s="61">
        <v>47696</v>
      </c>
      <c r="E646" t="s">
        <v>355</v>
      </c>
      <c r="F646" t="s">
        <v>385</v>
      </c>
      <c r="H646" t="s">
        <v>353</v>
      </c>
      <c r="I646">
        <v>2801536</v>
      </c>
      <c r="J646" t="s">
        <v>2545</v>
      </c>
      <c r="L646" t="s">
        <v>413</v>
      </c>
      <c r="N646" t="s">
        <v>2546</v>
      </c>
      <c r="O646" t="s">
        <v>2547</v>
      </c>
      <c r="R646" t="s">
        <v>386</v>
      </c>
      <c r="S646" s="34" t="s">
        <v>2548</v>
      </c>
    </row>
    <row r="647" spans="1:19" x14ac:dyDescent="0.15">
      <c r="A647" t="s">
        <v>2534</v>
      </c>
      <c r="B647" s="61">
        <v>47908</v>
      </c>
      <c r="E647" t="s">
        <v>355</v>
      </c>
      <c r="F647" t="s">
        <v>364</v>
      </c>
      <c r="H647" t="s">
        <v>353</v>
      </c>
      <c r="I647">
        <v>2801277</v>
      </c>
      <c r="J647" t="s">
        <v>2555</v>
      </c>
      <c r="K647" t="s">
        <v>2556</v>
      </c>
      <c r="L647" t="s">
        <v>2557</v>
      </c>
      <c r="N647" t="s">
        <v>5033</v>
      </c>
      <c r="O647" t="s">
        <v>2558</v>
      </c>
    </row>
    <row r="648" spans="1:19" ht="216" x14ac:dyDescent="0.15">
      <c r="A648" t="s">
        <v>2534</v>
      </c>
      <c r="B648" s="61">
        <v>48000</v>
      </c>
      <c r="E648" t="s">
        <v>355</v>
      </c>
      <c r="F648" t="s">
        <v>385</v>
      </c>
      <c r="H648" t="s">
        <v>353</v>
      </c>
      <c r="I648">
        <v>2802399</v>
      </c>
      <c r="J648" t="s">
        <v>2549</v>
      </c>
      <c r="K648" t="s">
        <v>2569</v>
      </c>
      <c r="L648" t="s">
        <v>2570</v>
      </c>
      <c r="N648" t="s">
        <v>2571</v>
      </c>
      <c r="O648" t="s">
        <v>2572</v>
      </c>
      <c r="R648" t="s">
        <v>386</v>
      </c>
      <c r="S648" s="34" t="s">
        <v>2573</v>
      </c>
    </row>
    <row r="649" spans="1:19" x14ac:dyDescent="0.15">
      <c r="A649" t="s">
        <v>2534</v>
      </c>
      <c r="B649" s="61">
        <v>48214</v>
      </c>
      <c r="E649" t="s">
        <v>355</v>
      </c>
      <c r="F649" t="s">
        <v>364</v>
      </c>
      <c r="H649" t="s">
        <v>353</v>
      </c>
      <c r="I649">
        <v>2701670</v>
      </c>
      <c r="J649" t="s">
        <v>2549</v>
      </c>
      <c r="K649" t="s">
        <v>436</v>
      </c>
      <c r="L649" t="s">
        <v>2550</v>
      </c>
      <c r="N649" t="s">
        <v>2582</v>
      </c>
      <c r="O649" t="s">
        <v>2552</v>
      </c>
    </row>
    <row r="650" spans="1:19" x14ac:dyDescent="0.15">
      <c r="A650" t="s">
        <v>2597</v>
      </c>
      <c r="B650" s="61">
        <v>46447</v>
      </c>
      <c r="E650" t="s">
        <v>355</v>
      </c>
      <c r="F650" t="s">
        <v>364</v>
      </c>
      <c r="H650" t="s">
        <v>365</v>
      </c>
      <c r="I650">
        <v>2702630</v>
      </c>
      <c r="J650" t="s">
        <v>2603</v>
      </c>
      <c r="K650" t="s">
        <v>2604</v>
      </c>
      <c r="L650" t="s">
        <v>2605</v>
      </c>
      <c r="N650" t="s">
        <v>2606</v>
      </c>
      <c r="O650" t="s">
        <v>2607</v>
      </c>
    </row>
    <row r="651" spans="1:19" x14ac:dyDescent="0.15">
      <c r="A651" t="s">
        <v>2597</v>
      </c>
      <c r="B651" s="61">
        <v>46539</v>
      </c>
      <c r="E651" t="s">
        <v>355</v>
      </c>
      <c r="F651" t="s">
        <v>364</v>
      </c>
      <c r="H651" t="s">
        <v>353</v>
      </c>
      <c r="I651">
        <v>2701640</v>
      </c>
      <c r="J651" t="s">
        <v>2608</v>
      </c>
      <c r="K651" t="s">
        <v>2609</v>
      </c>
      <c r="L651" t="s">
        <v>2610</v>
      </c>
      <c r="N651" t="s">
        <v>2611</v>
      </c>
      <c r="O651" t="s">
        <v>2612</v>
      </c>
    </row>
    <row r="652" spans="1:19" x14ac:dyDescent="0.15">
      <c r="A652" t="s">
        <v>2597</v>
      </c>
      <c r="B652" s="61">
        <v>46631</v>
      </c>
      <c r="E652" t="s">
        <v>355</v>
      </c>
      <c r="F652" t="s">
        <v>364</v>
      </c>
      <c r="H652" t="s">
        <v>353</v>
      </c>
      <c r="I652">
        <v>2700083</v>
      </c>
      <c r="J652" t="s">
        <v>2613</v>
      </c>
      <c r="K652" t="s">
        <v>532</v>
      </c>
      <c r="L652" t="s">
        <v>413</v>
      </c>
      <c r="N652" t="s">
        <v>2614</v>
      </c>
      <c r="O652" t="s">
        <v>2615</v>
      </c>
    </row>
    <row r="653" spans="1:19" x14ac:dyDescent="0.15">
      <c r="A653" t="s">
        <v>2597</v>
      </c>
      <c r="B653" s="61">
        <v>46661</v>
      </c>
      <c r="E653" t="s">
        <v>355</v>
      </c>
      <c r="F653" t="s">
        <v>364</v>
      </c>
      <c r="H653" t="s">
        <v>365</v>
      </c>
      <c r="I653">
        <v>2702539</v>
      </c>
      <c r="J653" t="s">
        <v>2616</v>
      </c>
      <c r="L653" t="s">
        <v>2617</v>
      </c>
      <c r="N653" t="s">
        <v>2618</v>
      </c>
      <c r="O653" t="s">
        <v>2619</v>
      </c>
    </row>
    <row r="654" spans="1:19" x14ac:dyDescent="0.15">
      <c r="A654" t="s">
        <v>2597</v>
      </c>
      <c r="B654" s="61">
        <v>46661</v>
      </c>
      <c r="E654" t="s">
        <v>355</v>
      </c>
      <c r="F654" t="s">
        <v>356</v>
      </c>
      <c r="H654" t="s">
        <v>353</v>
      </c>
      <c r="I654">
        <v>2700314</v>
      </c>
      <c r="J654" t="s">
        <v>2620</v>
      </c>
      <c r="K654" t="s">
        <v>2621</v>
      </c>
      <c r="L654" t="s">
        <v>833</v>
      </c>
      <c r="N654" t="s">
        <v>2622</v>
      </c>
      <c r="O654" t="s">
        <v>2623</v>
      </c>
    </row>
    <row r="655" spans="1:19" x14ac:dyDescent="0.15">
      <c r="A655" t="s">
        <v>2597</v>
      </c>
      <c r="B655" s="61">
        <v>46722</v>
      </c>
      <c r="E655" t="s">
        <v>355</v>
      </c>
      <c r="F655" t="s">
        <v>364</v>
      </c>
      <c r="H655" t="s">
        <v>353</v>
      </c>
      <c r="I655">
        <v>2702221</v>
      </c>
      <c r="J655" t="s">
        <v>2624</v>
      </c>
      <c r="L655" t="s">
        <v>413</v>
      </c>
      <c r="N655" t="s">
        <v>2625</v>
      </c>
      <c r="O655" t="s">
        <v>2626</v>
      </c>
    </row>
    <row r="656" spans="1:19" x14ac:dyDescent="0.15">
      <c r="A656" t="s">
        <v>2597</v>
      </c>
      <c r="B656" s="61">
        <v>46722</v>
      </c>
      <c r="E656" t="s">
        <v>355</v>
      </c>
      <c r="F656" t="s">
        <v>364</v>
      </c>
      <c r="H656" t="s">
        <v>365</v>
      </c>
      <c r="I656">
        <v>2701035</v>
      </c>
      <c r="J656" t="s">
        <v>2627</v>
      </c>
      <c r="L656" t="s">
        <v>2628</v>
      </c>
      <c r="N656" t="s">
        <v>2629</v>
      </c>
      <c r="O656" t="s">
        <v>2630</v>
      </c>
    </row>
    <row r="657" spans="1:19" x14ac:dyDescent="0.15">
      <c r="A657" t="s">
        <v>2597</v>
      </c>
      <c r="B657" s="61">
        <v>46753</v>
      </c>
      <c r="E657" t="s">
        <v>355</v>
      </c>
      <c r="F657" t="s">
        <v>364</v>
      </c>
      <c r="H657" t="s">
        <v>353</v>
      </c>
      <c r="I657">
        <v>2702644</v>
      </c>
      <c r="J657" t="s">
        <v>2631</v>
      </c>
      <c r="K657" t="s">
        <v>2632</v>
      </c>
      <c r="L657" t="s">
        <v>2633</v>
      </c>
      <c r="N657" t="s">
        <v>2634</v>
      </c>
      <c r="O657" t="s">
        <v>2635</v>
      </c>
    </row>
    <row r="658" spans="1:19" x14ac:dyDescent="0.15">
      <c r="A658" t="s">
        <v>2597</v>
      </c>
      <c r="B658" s="61">
        <v>46753</v>
      </c>
      <c r="E658" t="s">
        <v>355</v>
      </c>
      <c r="F658" t="s">
        <v>364</v>
      </c>
      <c r="H658" t="s">
        <v>353</v>
      </c>
      <c r="I658">
        <v>2700940</v>
      </c>
      <c r="J658" t="s">
        <v>2636</v>
      </c>
      <c r="L658" t="s">
        <v>2637</v>
      </c>
      <c r="N658" t="s">
        <v>2638</v>
      </c>
      <c r="O658" t="s">
        <v>2639</v>
      </c>
      <c r="P658" t="s">
        <v>2640</v>
      </c>
      <c r="Q658" t="s">
        <v>2641</v>
      </c>
    </row>
    <row r="659" spans="1:19" x14ac:dyDescent="0.15">
      <c r="A659" t="s">
        <v>2597</v>
      </c>
      <c r="B659" s="61">
        <v>46844</v>
      </c>
      <c r="E659" t="s">
        <v>355</v>
      </c>
      <c r="F659" t="s">
        <v>364</v>
      </c>
      <c r="H659" t="s">
        <v>353</v>
      </c>
      <c r="I659">
        <v>2700073</v>
      </c>
      <c r="J659" t="s">
        <v>2642</v>
      </c>
      <c r="K659" t="s">
        <v>2643</v>
      </c>
      <c r="L659" t="s">
        <v>413</v>
      </c>
      <c r="N659" t="s">
        <v>2644</v>
      </c>
      <c r="O659" t="s">
        <v>2645</v>
      </c>
    </row>
    <row r="660" spans="1:19" x14ac:dyDescent="0.15">
      <c r="A660" t="s">
        <v>2597</v>
      </c>
      <c r="B660" s="61">
        <v>46844</v>
      </c>
      <c r="E660" t="s">
        <v>355</v>
      </c>
      <c r="F660" t="s">
        <v>364</v>
      </c>
      <c r="H660" t="s">
        <v>365</v>
      </c>
      <c r="I660">
        <v>2702653</v>
      </c>
      <c r="J660" t="s">
        <v>2646</v>
      </c>
      <c r="K660" t="s">
        <v>2647</v>
      </c>
      <c r="L660" t="s">
        <v>2648</v>
      </c>
      <c r="N660" t="s">
        <v>2649</v>
      </c>
      <c r="O660" t="s">
        <v>2650</v>
      </c>
    </row>
    <row r="661" spans="1:19" x14ac:dyDescent="0.15">
      <c r="A661" t="s">
        <v>2597</v>
      </c>
      <c r="B661" s="61">
        <v>46844</v>
      </c>
      <c r="E661" t="s">
        <v>355</v>
      </c>
      <c r="F661" t="s">
        <v>364</v>
      </c>
      <c r="H661" t="s">
        <v>365</v>
      </c>
      <c r="I661">
        <v>2702722</v>
      </c>
      <c r="J661" t="s">
        <v>2651</v>
      </c>
      <c r="L661" t="s">
        <v>2652</v>
      </c>
      <c r="N661" t="s">
        <v>2653</v>
      </c>
      <c r="O661" t="s">
        <v>2654</v>
      </c>
    </row>
    <row r="662" spans="1:19" x14ac:dyDescent="0.15">
      <c r="A662" t="s">
        <v>2597</v>
      </c>
      <c r="B662" s="61">
        <v>46905</v>
      </c>
      <c r="E662" t="s">
        <v>355</v>
      </c>
      <c r="F662" t="s">
        <v>364</v>
      </c>
      <c r="H662" t="s">
        <v>365</v>
      </c>
      <c r="I662">
        <v>2702722</v>
      </c>
      <c r="J662" t="s">
        <v>2651</v>
      </c>
      <c r="L662" t="s">
        <v>2652</v>
      </c>
      <c r="N662" t="s">
        <v>2655</v>
      </c>
      <c r="O662" t="s">
        <v>2654</v>
      </c>
    </row>
    <row r="663" spans="1:19" x14ac:dyDescent="0.15">
      <c r="A663" t="s">
        <v>2597</v>
      </c>
      <c r="B663" s="61">
        <v>46935</v>
      </c>
      <c r="E663" t="s">
        <v>355</v>
      </c>
      <c r="F663" t="s">
        <v>364</v>
      </c>
      <c r="H663" t="s">
        <v>353</v>
      </c>
      <c r="I663">
        <v>2702022</v>
      </c>
      <c r="J663" t="s">
        <v>2656</v>
      </c>
      <c r="K663" t="s">
        <v>2657</v>
      </c>
      <c r="L663" t="s">
        <v>2658</v>
      </c>
      <c r="N663" t="s">
        <v>2659</v>
      </c>
      <c r="O663" t="s">
        <v>2660</v>
      </c>
    </row>
    <row r="664" spans="1:19" x14ac:dyDescent="0.15">
      <c r="A664" t="s">
        <v>2597</v>
      </c>
      <c r="B664" s="61">
        <v>46935</v>
      </c>
      <c r="E664" t="s">
        <v>355</v>
      </c>
      <c r="F664" t="s">
        <v>364</v>
      </c>
      <c r="H664" t="s">
        <v>365</v>
      </c>
      <c r="I664">
        <v>2702722</v>
      </c>
      <c r="J664" t="s">
        <v>2651</v>
      </c>
      <c r="L664" t="s">
        <v>2652</v>
      </c>
      <c r="N664" t="s">
        <v>2661</v>
      </c>
      <c r="O664" t="s">
        <v>2654</v>
      </c>
    </row>
    <row r="665" spans="1:19" x14ac:dyDescent="0.15">
      <c r="A665" t="s">
        <v>2597</v>
      </c>
      <c r="B665" s="61">
        <v>46997</v>
      </c>
      <c r="E665" t="s">
        <v>355</v>
      </c>
      <c r="F665" t="s">
        <v>364</v>
      </c>
      <c r="H665" t="s">
        <v>353</v>
      </c>
      <c r="I665">
        <v>2702732</v>
      </c>
      <c r="J665" t="s">
        <v>2662</v>
      </c>
      <c r="L665" t="s">
        <v>2663</v>
      </c>
      <c r="N665" t="s">
        <v>2664</v>
      </c>
      <c r="O665" t="s">
        <v>2665</v>
      </c>
    </row>
    <row r="666" spans="1:19" x14ac:dyDescent="0.15">
      <c r="A666" t="s">
        <v>2597</v>
      </c>
      <c r="B666" s="61">
        <v>47058</v>
      </c>
      <c r="E666" t="s">
        <v>355</v>
      </c>
      <c r="F666" t="s">
        <v>364</v>
      </c>
      <c r="H666" t="s">
        <v>365</v>
      </c>
      <c r="I666">
        <v>2701251</v>
      </c>
      <c r="J666" t="s">
        <v>1716</v>
      </c>
      <c r="K666" t="s">
        <v>2666</v>
      </c>
      <c r="L666" t="s">
        <v>413</v>
      </c>
      <c r="N666" t="s">
        <v>2667</v>
      </c>
      <c r="O666" t="s">
        <v>2668</v>
      </c>
    </row>
    <row r="667" spans="1:19" x14ac:dyDescent="0.15">
      <c r="A667" t="s">
        <v>2597</v>
      </c>
      <c r="B667" s="61">
        <v>47119</v>
      </c>
      <c r="E667" t="s">
        <v>355</v>
      </c>
      <c r="F667" t="s">
        <v>364</v>
      </c>
      <c r="H667" t="s">
        <v>365</v>
      </c>
      <c r="I667">
        <v>2700438</v>
      </c>
      <c r="J667" t="s">
        <v>2669</v>
      </c>
      <c r="L667" t="s">
        <v>2670</v>
      </c>
      <c r="N667" t="s">
        <v>2671</v>
      </c>
      <c r="O667" t="s">
        <v>2672</v>
      </c>
    </row>
    <row r="668" spans="1:19" x14ac:dyDescent="0.15">
      <c r="A668" t="s">
        <v>2597</v>
      </c>
      <c r="B668" s="61">
        <v>47119</v>
      </c>
      <c r="E668" t="s">
        <v>355</v>
      </c>
      <c r="F668" t="s">
        <v>364</v>
      </c>
      <c r="H668" t="s">
        <v>365</v>
      </c>
      <c r="I668">
        <v>2702789</v>
      </c>
      <c r="J668" t="s">
        <v>2673</v>
      </c>
      <c r="K668" t="s">
        <v>2674</v>
      </c>
      <c r="L668" t="s">
        <v>2675</v>
      </c>
      <c r="N668" t="s">
        <v>2676</v>
      </c>
      <c r="O668" t="s">
        <v>2677</v>
      </c>
    </row>
    <row r="669" spans="1:19" x14ac:dyDescent="0.15">
      <c r="A669" t="s">
        <v>2597</v>
      </c>
      <c r="B669" s="61">
        <v>47150</v>
      </c>
      <c r="E669" t="s">
        <v>355</v>
      </c>
      <c r="F669" t="s">
        <v>364</v>
      </c>
      <c r="H669" t="s">
        <v>353</v>
      </c>
      <c r="I669">
        <v>2702789</v>
      </c>
      <c r="J669" t="s">
        <v>2673</v>
      </c>
      <c r="K669" t="s">
        <v>2674</v>
      </c>
      <c r="L669" t="s">
        <v>2675</v>
      </c>
      <c r="N669" t="s">
        <v>2678</v>
      </c>
      <c r="O669" t="s">
        <v>2677</v>
      </c>
    </row>
    <row r="670" spans="1:19" ht="229.5" x14ac:dyDescent="0.15">
      <c r="A670" t="s">
        <v>2597</v>
      </c>
      <c r="B670" s="61">
        <v>47178</v>
      </c>
      <c r="E670" t="s">
        <v>355</v>
      </c>
      <c r="F670" t="s">
        <v>385</v>
      </c>
      <c r="H670" t="s">
        <v>353</v>
      </c>
      <c r="I670">
        <v>2701594</v>
      </c>
      <c r="J670" t="s">
        <v>2679</v>
      </c>
      <c r="K670" t="s">
        <v>428</v>
      </c>
      <c r="L670" t="s">
        <v>413</v>
      </c>
      <c r="N670" t="s">
        <v>2680</v>
      </c>
      <c r="O670" t="s">
        <v>2681</v>
      </c>
      <c r="R670" t="s">
        <v>386</v>
      </c>
      <c r="S670" s="34" t="s">
        <v>2682</v>
      </c>
    </row>
    <row r="671" spans="1:19" ht="229.5" x14ac:dyDescent="0.15">
      <c r="A671" t="s">
        <v>2597</v>
      </c>
      <c r="B671" s="61">
        <v>47239</v>
      </c>
      <c r="E671" t="s">
        <v>355</v>
      </c>
      <c r="F671" t="s">
        <v>385</v>
      </c>
      <c r="H671" t="s">
        <v>353</v>
      </c>
      <c r="I671">
        <v>2702753</v>
      </c>
      <c r="J671" t="s">
        <v>2683</v>
      </c>
      <c r="K671" t="s">
        <v>2684</v>
      </c>
      <c r="L671" t="s">
        <v>390</v>
      </c>
      <c r="N671" t="s">
        <v>2685</v>
      </c>
      <c r="O671" t="s">
        <v>2686</v>
      </c>
      <c r="S671" s="34" t="s">
        <v>2687</v>
      </c>
    </row>
    <row r="672" spans="1:19" ht="229.5" x14ac:dyDescent="0.15">
      <c r="A672" t="s">
        <v>2597</v>
      </c>
      <c r="B672" s="61">
        <v>47392</v>
      </c>
      <c r="E672" t="s">
        <v>355</v>
      </c>
      <c r="F672" t="s">
        <v>385</v>
      </c>
      <c r="H672" t="s">
        <v>353</v>
      </c>
      <c r="I672">
        <v>2700767</v>
      </c>
      <c r="J672" t="s">
        <v>2688</v>
      </c>
      <c r="K672" t="s">
        <v>2689</v>
      </c>
      <c r="L672" t="s">
        <v>413</v>
      </c>
      <c r="N672" t="s">
        <v>2690</v>
      </c>
      <c r="O672" t="s">
        <v>2691</v>
      </c>
      <c r="R672" s="34" t="s">
        <v>768</v>
      </c>
      <c r="S672" s="34" t="s">
        <v>2692</v>
      </c>
    </row>
    <row r="673" spans="1:19" x14ac:dyDescent="0.15">
      <c r="A673" t="s">
        <v>2597</v>
      </c>
      <c r="B673" s="61">
        <v>48122</v>
      </c>
      <c r="E673" t="s">
        <v>355</v>
      </c>
      <c r="F673" t="s">
        <v>385</v>
      </c>
      <c r="H673" t="s">
        <v>353</v>
      </c>
      <c r="I673">
        <v>2700314</v>
      </c>
      <c r="J673" t="s">
        <v>2620</v>
      </c>
      <c r="K673" t="s">
        <v>2621</v>
      </c>
      <c r="L673" t="s">
        <v>833</v>
      </c>
      <c r="N673" t="s">
        <v>2622</v>
      </c>
      <c r="O673" t="s">
        <v>2623</v>
      </c>
    </row>
    <row r="674" spans="1:19" x14ac:dyDescent="0.15">
      <c r="A674" t="s">
        <v>2597</v>
      </c>
      <c r="B674" s="61">
        <v>48183</v>
      </c>
      <c r="E674" t="s">
        <v>355</v>
      </c>
      <c r="F674" t="s">
        <v>364</v>
      </c>
      <c r="H674" t="s">
        <v>353</v>
      </c>
      <c r="I674">
        <v>2702221</v>
      </c>
      <c r="J674" t="s">
        <v>2624</v>
      </c>
      <c r="L674" t="s">
        <v>413</v>
      </c>
      <c r="N674" t="s">
        <v>2625</v>
      </c>
      <c r="O674" t="s">
        <v>2626</v>
      </c>
    </row>
    <row r="675" spans="1:19" x14ac:dyDescent="0.15">
      <c r="A675" t="s">
        <v>2597</v>
      </c>
      <c r="B675" s="61">
        <v>48214</v>
      </c>
      <c r="E675" t="s">
        <v>355</v>
      </c>
      <c r="F675" t="s">
        <v>364</v>
      </c>
      <c r="H675" t="s">
        <v>353</v>
      </c>
      <c r="I675">
        <v>2700940</v>
      </c>
      <c r="J675" t="s">
        <v>2636</v>
      </c>
      <c r="L675" t="s">
        <v>2637</v>
      </c>
      <c r="N675" t="s">
        <v>2638</v>
      </c>
      <c r="O675" t="s">
        <v>2639</v>
      </c>
    </row>
    <row r="676" spans="1:19" ht="409.5" x14ac:dyDescent="0.15">
      <c r="A676" t="s">
        <v>2693</v>
      </c>
      <c r="B676" s="61">
        <v>46235</v>
      </c>
      <c r="E676" t="s">
        <v>355</v>
      </c>
      <c r="F676" t="s">
        <v>356</v>
      </c>
      <c r="H676" t="s">
        <v>353</v>
      </c>
      <c r="I676">
        <v>2303781</v>
      </c>
      <c r="J676" t="s">
        <v>2694</v>
      </c>
      <c r="K676" t="s">
        <v>2715</v>
      </c>
      <c r="L676" t="s">
        <v>718</v>
      </c>
      <c r="N676" t="s">
        <v>5163</v>
      </c>
      <c r="O676" t="s">
        <v>2716</v>
      </c>
      <c r="R676" t="s">
        <v>362</v>
      </c>
      <c r="S676" s="34" t="s">
        <v>2717</v>
      </c>
    </row>
    <row r="677" spans="1:19" x14ac:dyDescent="0.15">
      <c r="A677" t="s">
        <v>2693</v>
      </c>
      <c r="B677" s="61">
        <v>46447</v>
      </c>
      <c r="E677" t="s">
        <v>355</v>
      </c>
      <c r="F677" t="s">
        <v>364</v>
      </c>
      <c r="H677" t="s">
        <v>365</v>
      </c>
      <c r="I677">
        <v>2303431</v>
      </c>
      <c r="J677" t="s">
        <v>2718</v>
      </c>
      <c r="K677" t="s">
        <v>2719</v>
      </c>
      <c r="L677" t="s">
        <v>390</v>
      </c>
      <c r="N677" t="s">
        <v>2720</v>
      </c>
      <c r="O677" t="s">
        <v>2721</v>
      </c>
    </row>
    <row r="678" spans="1:19" x14ac:dyDescent="0.15">
      <c r="A678" t="s">
        <v>2693</v>
      </c>
      <c r="B678" s="61">
        <v>46478</v>
      </c>
      <c r="E678" t="s">
        <v>355</v>
      </c>
      <c r="F678" t="s">
        <v>364</v>
      </c>
      <c r="H678" t="s">
        <v>353</v>
      </c>
      <c r="I678">
        <v>2300035</v>
      </c>
      <c r="J678" t="s">
        <v>2040</v>
      </c>
      <c r="K678" t="s">
        <v>2722</v>
      </c>
      <c r="L678" t="s">
        <v>2723</v>
      </c>
      <c r="N678" t="s">
        <v>2724</v>
      </c>
      <c r="O678" t="s">
        <v>2725</v>
      </c>
    </row>
    <row r="679" spans="1:19" x14ac:dyDescent="0.15">
      <c r="A679" t="s">
        <v>2693</v>
      </c>
      <c r="B679" s="61">
        <v>46478</v>
      </c>
      <c r="E679" t="s">
        <v>355</v>
      </c>
      <c r="F679" t="s">
        <v>364</v>
      </c>
      <c r="H679" t="s">
        <v>353</v>
      </c>
      <c r="I679">
        <v>2303812</v>
      </c>
      <c r="J679" t="s">
        <v>2726</v>
      </c>
      <c r="K679" t="s">
        <v>2727</v>
      </c>
      <c r="L679" t="s">
        <v>1006</v>
      </c>
      <c r="N679" t="s">
        <v>2728</v>
      </c>
      <c r="O679" t="s">
        <v>2729</v>
      </c>
    </row>
    <row r="680" spans="1:19" x14ac:dyDescent="0.15">
      <c r="A680" t="s">
        <v>2693</v>
      </c>
      <c r="B680" s="61">
        <v>46600</v>
      </c>
      <c r="E680" t="s">
        <v>355</v>
      </c>
      <c r="F680" t="s">
        <v>364</v>
      </c>
      <c r="H680" t="s">
        <v>365</v>
      </c>
      <c r="I680">
        <v>2303613</v>
      </c>
      <c r="J680" t="s">
        <v>2730</v>
      </c>
      <c r="K680" t="s">
        <v>2731</v>
      </c>
      <c r="L680" t="s">
        <v>2732</v>
      </c>
      <c r="N680" t="s">
        <v>2733</v>
      </c>
      <c r="O680" t="s">
        <v>2734</v>
      </c>
    </row>
    <row r="681" spans="1:19" x14ac:dyDescent="0.15">
      <c r="A681" t="s">
        <v>2693</v>
      </c>
      <c r="B681" s="61">
        <v>46600</v>
      </c>
      <c r="E681" t="s">
        <v>355</v>
      </c>
      <c r="F681" t="s">
        <v>356</v>
      </c>
      <c r="H681" t="s">
        <v>353</v>
      </c>
      <c r="I681">
        <v>2301207</v>
      </c>
      <c r="J681" t="s">
        <v>2735</v>
      </c>
      <c r="K681" t="s">
        <v>2736</v>
      </c>
      <c r="L681" t="s">
        <v>2737</v>
      </c>
      <c r="N681" t="s">
        <v>2738</v>
      </c>
      <c r="O681" t="s">
        <v>2739</v>
      </c>
    </row>
    <row r="682" spans="1:19" x14ac:dyDescent="0.15">
      <c r="A682" t="s">
        <v>2693</v>
      </c>
      <c r="B682" s="61">
        <v>46631</v>
      </c>
      <c r="E682" t="s">
        <v>355</v>
      </c>
      <c r="F682" t="s">
        <v>364</v>
      </c>
      <c r="H682" t="s">
        <v>365</v>
      </c>
      <c r="I682">
        <v>2303619</v>
      </c>
      <c r="J682" t="s">
        <v>2740</v>
      </c>
      <c r="L682" t="s">
        <v>1957</v>
      </c>
      <c r="N682" t="s">
        <v>2741</v>
      </c>
      <c r="O682" t="s">
        <v>2742</v>
      </c>
    </row>
    <row r="683" spans="1:19" x14ac:dyDescent="0.15">
      <c r="A683" t="s">
        <v>2693</v>
      </c>
      <c r="B683" s="61">
        <v>46661</v>
      </c>
      <c r="E683" t="s">
        <v>355</v>
      </c>
      <c r="F683" t="s">
        <v>356</v>
      </c>
      <c r="H683" t="s">
        <v>353</v>
      </c>
      <c r="I683">
        <v>2301034</v>
      </c>
      <c r="J683" t="s">
        <v>2743</v>
      </c>
      <c r="L683" t="s">
        <v>390</v>
      </c>
      <c r="N683" t="s">
        <v>5106</v>
      </c>
      <c r="O683" t="s">
        <v>2744</v>
      </c>
    </row>
    <row r="684" spans="1:19" x14ac:dyDescent="0.15">
      <c r="A684" t="s">
        <v>2771</v>
      </c>
      <c r="B684" s="61">
        <v>46661</v>
      </c>
      <c r="E684" t="s">
        <v>355</v>
      </c>
      <c r="F684" t="s">
        <v>356</v>
      </c>
      <c r="H684" t="s">
        <v>353</v>
      </c>
      <c r="I684">
        <v>2302327</v>
      </c>
      <c r="J684" t="s">
        <v>2745</v>
      </c>
      <c r="L684" t="s">
        <v>2746</v>
      </c>
      <c r="N684" t="s">
        <v>2747</v>
      </c>
      <c r="O684" t="s">
        <v>2748</v>
      </c>
    </row>
    <row r="685" spans="1:19" x14ac:dyDescent="0.15">
      <c r="A685" t="s">
        <v>2693</v>
      </c>
      <c r="B685" s="61">
        <v>46753</v>
      </c>
      <c r="E685" t="s">
        <v>355</v>
      </c>
      <c r="F685" t="s">
        <v>364</v>
      </c>
      <c r="H685" t="s">
        <v>353</v>
      </c>
      <c r="I685">
        <v>2300699</v>
      </c>
      <c r="J685" t="s">
        <v>2702</v>
      </c>
      <c r="K685" t="s">
        <v>2703</v>
      </c>
      <c r="L685" t="s">
        <v>390</v>
      </c>
      <c r="N685" t="s">
        <v>2704</v>
      </c>
      <c r="O685" t="s">
        <v>2705</v>
      </c>
    </row>
    <row r="686" spans="1:19" x14ac:dyDescent="0.15">
      <c r="A686" t="s">
        <v>2693</v>
      </c>
      <c r="B686" s="61">
        <v>46784</v>
      </c>
      <c r="E686" t="s">
        <v>355</v>
      </c>
      <c r="F686" t="s">
        <v>364</v>
      </c>
      <c r="H686" t="s">
        <v>365</v>
      </c>
      <c r="I686">
        <v>2300562</v>
      </c>
      <c r="J686" t="s">
        <v>2749</v>
      </c>
      <c r="K686" t="s">
        <v>2750</v>
      </c>
      <c r="L686" t="s">
        <v>2751</v>
      </c>
      <c r="N686" t="s">
        <v>2752</v>
      </c>
      <c r="O686" t="s">
        <v>2753</v>
      </c>
    </row>
    <row r="687" spans="1:19" x14ac:dyDescent="0.15">
      <c r="A687" t="s">
        <v>2693</v>
      </c>
      <c r="B687" s="61">
        <v>46874</v>
      </c>
      <c r="E687" t="s">
        <v>355</v>
      </c>
      <c r="F687" t="s">
        <v>364</v>
      </c>
      <c r="H687" t="s">
        <v>353</v>
      </c>
      <c r="I687">
        <v>2303254</v>
      </c>
      <c r="J687" t="s">
        <v>2754</v>
      </c>
      <c r="K687" t="s">
        <v>2755</v>
      </c>
      <c r="L687" t="s">
        <v>2756</v>
      </c>
      <c r="N687" t="s">
        <v>2757</v>
      </c>
      <c r="O687" t="s">
        <v>2758</v>
      </c>
    </row>
    <row r="688" spans="1:19" x14ac:dyDescent="0.15">
      <c r="A688" t="s">
        <v>2693</v>
      </c>
      <c r="B688" s="61">
        <v>46874</v>
      </c>
      <c r="E688" t="s">
        <v>355</v>
      </c>
      <c r="F688" t="s">
        <v>364</v>
      </c>
      <c r="H688" t="s">
        <v>353</v>
      </c>
      <c r="I688">
        <v>2303834</v>
      </c>
      <c r="J688" t="s">
        <v>974</v>
      </c>
      <c r="K688" t="s">
        <v>2759</v>
      </c>
      <c r="L688" t="s">
        <v>2760</v>
      </c>
      <c r="N688" t="s">
        <v>2761</v>
      </c>
      <c r="O688" t="s">
        <v>2762</v>
      </c>
    </row>
    <row r="689" spans="1:19" x14ac:dyDescent="0.15">
      <c r="A689" t="s">
        <v>2693</v>
      </c>
      <c r="B689" s="61">
        <v>46935</v>
      </c>
      <c r="E689" t="s">
        <v>355</v>
      </c>
      <c r="F689" t="s">
        <v>364</v>
      </c>
      <c r="H689" t="s">
        <v>353</v>
      </c>
      <c r="I689">
        <v>2303711</v>
      </c>
      <c r="J689" t="s">
        <v>2735</v>
      </c>
      <c r="K689" t="s">
        <v>2763</v>
      </c>
      <c r="L689" t="s">
        <v>2764</v>
      </c>
      <c r="N689" t="s">
        <v>2765</v>
      </c>
      <c r="O689" t="s">
        <v>2766</v>
      </c>
    </row>
    <row r="690" spans="1:19" ht="409.5" x14ac:dyDescent="0.15">
      <c r="A690" t="s">
        <v>2693</v>
      </c>
      <c r="B690" s="61">
        <v>47088</v>
      </c>
      <c r="E690" t="s">
        <v>355</v>
      </c>
      <c r="F690" t="s">
        <v>385</v>
      </c>
      <c r="H690" t="s">
        <v>353</v>
      </c>
      <c r="I690">
        <v>2301075</v>
      </c>
      <c r="J690" t="s">
        <v>2694</v>
      </c>
      <c r="K690" t="s">
        <v>2695</v>
      </c>
      <c r="L690" t="s">
        <v>2696</v>
      </c>
      <c r="N690" t="s">
        <v>2697</v>
      </c>
      <c r="O690" t="s">
        <v>2698</v>
      </c>
      <c r="R690" t="s">
        <v>386</v>
      </c>
      <c r="S690" s="34" t="s">
        <v>2699</v>
      </c>
    </row>
    <row r="691" spans="1:19" x14ac:dyDescent="0.15">
      <c r="A691" t="s">
        <v>2693</v>
      </c>
      <c r="B691" s="61">
        <v>47119</v>
      </c>
      <c r="E691" t="s">
        <v>355</v>
      </c>
      <c r="F691" t="s">
        <v>364</v>
      </c>
      <c r="H691" t="s">
        <v>353</v>
      </c>
      <c r="I691">
        <v>2300523</v>
      </c>
      <c r="J691" t="s">
        <v>2767</v>
      </c>
      <c r="K691" t="s">
        <v>2768</v>
      </c>
      <c r="L691" t="s">
        <v>390</v>
      </c>
      <c r="N691" t="s">
        <v>2769</v>
      </c>
      <c r="O691" t="s">
        <v>2770</v>
      </c>
    </row>
    <row r="692" spans="1:19" ht="243" x14ac:dyDescent="0.15">
      <c r="A692" t="s">
        <v>2693</v>
      </c>
      <c r="B692" s="61">
        <v>47484</v>
      </c>
      <c r="E692" t="s">
        <v>355</v>
      </c>
      <c r="F692" t="s">
        <v>385</v>
      </c>
      <c r="H692" t="s">
        <v>365</v>
      </c>
      <c r="I692">
        <v>2300146</v>
      </c>
      <c r="J692" t="s">
        <v>2706</v>
      </c>
      <c r="K692" t="s">
        <v>1251</v>
      </c>
      <c r="L692" t="s">
        <v>390</v>
      </c>
      <c r="N692" t="s">
        <v>2707</v>
      </c>
      <c r="O692" t="s">
        <v>2708</v>
      </c>
      <c r="R692" t="s">
        <v>395</v>
      </c>
      <c r="S692" s="34" t="s">
        <v>2710</v>
      </c>
    </row>
    <row r="693" spans="1:19" ht="409.5" x14ac:dyDescent="0.15">
      <c r="A693" t="s">
        <v>2693</v>
      </c>
      <c r="B693" s="61">
        <v>47696</v>
      </c>
      <c r="E693" t="s">
        <v>355</v>
      </c>
      <c r="F693" t="s">
        <v>385</v>
      </c>
      <c r="H693" t="s">
        <v>353</v>
      </c>
      <c r="I693">
        <v>2303781</v>
      </c>
      <c r="J693" t="s">
        <v>2694</v>
      </c>
      <c r="K693" t="s">
        <v>2715</v>
      </c>
      <c r="L693" t="s">
        <v>718</v>
      </c>
      <c r="N693" t="s">
        <v>5163</v>
      </c>
      <c r="O693" t="s">
        <v>2716</v>
      </c>
      <c r="R693" t="s">
        <v>386</v>
      </c>
      <c r="S693" s="34" t="s">
        <v>2717</v>
      </c>
    </row>
    <row r="694" spans="1:19" x14ac:dyDescent="0.15">
      <c r="A694" t="s">
        <v>2693</v>
      </c>
      <c r="B694" s="61">
        <v>47939</v>
      </c>
      <c r="E694" t="s">
        <v>355</v>
      </c>
      <c r="F694" t="s">
        <v>364</v>
      </c>
      <c r="H694" t="s">
        <v>353</v>
      </c>
      <c r="I694">
        <v>2303812</v>
      </c>
      <c r="J694" t="s">
        <v>2726</v>
      </c>
      <c r="K694" t="s">
        <v>2727</v>
      </c>
      <c r="L694" t="s">
        <v>1006</v>
      </c>
      <c r="N694" t="s">
        <v>2728</v>
      </c>
      <c r="O694" t="s">
        <v>2729</v>
      </c>
    </row>
    <row r="695" spans="1:19" x14ac:dyDescent="0.15">
      <c r="A695" t="s">
        <v>2693</v>
      </c>
      <c r="B695" s="61">
        <v>48061</v>
      </c>
      <c r="E695" t="s">
        <v>355</v>
      </c>
      <c r="F695" t="s">
        <v>385</v>
      </c>
      <c r="H695" t="s">
        <v>353</v>
      </c>
      <c r="I695">
        <v>2301207</v>
      </c>
      <c r="J695" t="s">
        <v>2735</v>
      </c>
      <c r="K695" t="s">
        <v>2736</v>
      </c>
      <c r="L695" t="s">
        <v>2737</v>
      </c>
      <c r="N695" t="s">
        <v>2738</v>
      </c>
      <c r="O695" t="s">
        <v>2739</v>
      </c>
    </row>
    <row r="696" spans="1:19" x14ac:dyDescent="0.15">
      <c r="A696" t="s">
        <v>2693</v>
      </c>
      <c r="B696" s="61">
        <v>48122</v>
      </c>
      <c r="E696" t="s">
        <v>355</v>
      </c>
      <c r="F696" t="s">
        <v>385</v>
      </c>
      <c r="H696" t="s">
        <v>353</v>
      </c>
      <c r="I696">
        <v>2301034</v>
      </c>
      <c r="J696" t="s">
        <v>2743</v>
      </c>
      <c r="L696" t="s">
        <v>390</v>
      </c>
      <c r="N696" t="s">
        <v>5106</v>
      </c>
      <c r="O696" t="s">
        <v>2744</v>
      </c>
    </row>
    <row r="697" spans="1:19" x14ac:dyDescent="0.15">
      <c r="A697" t="s">
        <v>2771</v>
      </c>
      <c r="B697" s="61">
        <v>48122</v>
      </c>
      <c r="E697" t="s">
        <v>355</v>
      </c>
      <c r="F697" t="s">
        <v>385</v>
      </c>
      <c r="H697" t="s">
        <v>353</v>
      </c>
      <c r="I697">
        <v>2302327</v>
      </c>
      <c r="J697" t="s">
        <v>2745</v>
      </c>
      <c r="L697" t="s">
        <v>2746</v>
      </c>
      <c r="N697" t="s">
        <v>2747</v>
      </c>
      <c r="O697" t="s">
        <v>2748</v>
      </c>
    </row>
    <row r="698" spans="1:19" x14ac:dyDescent="0.15">
      <c r="A698" t="s">
        <v>2693</v>
      </c>
      <c r="B698" s="61">
        <v>48214</v>
      </c>
      <c r="E698" t="s">
        <v>355</v>
      </c>
      <c r="F698" t="s">
        <v>364</v>
      </c>
      <c r="H698" t="s">
        <v>353</v>
      </c>
      <c r="I698">
        <v>2300699</v>
      </c>
      <c r="J698" t="s">
        <v>2702</v>
      </c>
      <c r="K698" t="s">
        <v>2703</v>
      </c>
      <c r="L698" t="s">
        <v>390</v>
      </c>
      <c r="N698" t="s">
        <v>2704</v>
      </c>
      <c r="O698" t="s">
        <v>2705</v>
      </c>
    </row>
    <row r="699" spans="1:19" x14ac:dyDescent="0.15">
      <c r="A699" t="s">
        <v>2693</v>
      </c>
      <c r="B699" s="61">
        <v>48335</v>
      </c>
      <c r="E699" t="s">
        <v>355</v>
      </c>
      <c r="F699" t="s">
        <v>364</v>
      </c>
      <c r="H699" t="s">
        <v>353</v>
      </c>
      <c r="I699">
        <v>2303834</v>
      </c>
      <c r="J699" t="s">
        <v>974</v>
      </c>
      <c r="K699" t="s">
        <v>2759</v>
      </c>
      <c r="L699" t="s">
        <v>2760</v>
      </c>
      <c r="N699" t="s">
        <v>2761</v>
      </c>
      <c r="O699" t="s">
        <v>2762</v>
      </c>
    </row>
    <row r="700" spans="1:19" x14ac:dyDescent="0.15">
      <c r="A700" t="s">
        <v>2771</v>
      </c>
      <c r="B700" s="61">
        <v>46478</v>
      </c>
      <c r="E700" t="s">
        <v>355</v>
      </c>
      <c r="F700" t="s">
        <v>364</v>
      </c>
      <c r="H700" t="s">
        <v>365</v>
      </c>
      <c r="I700">
        <v>2302658</v>
      </c>
      <c r="J700" t="s">
        <v>2789</v>
      </c>
      <c r="K700" t="s">
        <v>2790</v>
      </c>
      <c r="L700" t="s">
        <v>698</v>
      </c>
      <c r="N700" t="s">
        <v>2791</v>
      </c>
      <c r="O700" t="s">
        <v>2792</v>
      </c>
    </row>
    <row r="701" spans="1:19" x14ac:dyDescent="0.15">
      <c r="A701" t="s">
        <v>2771</v>
      </c>
      <c r="B701" s="61">
        <v>46692</v>
      </c>
      <c r="E701" t="s">
        <v>355</v>
      </c>
      <c r="F701" t="s">
        <v>364</v>
      </c>
      <c r="H701" t="s">
        <v>353</v>
      </c>
      <c r="I701">
        <v>2100310</v>
      </c>
      <c r="J701" t="s">
        <v>1212</v>
      </c>
      <c r="K701" t="s">
        <v>2793</v>
      </c>
      <c r="L701" t="s">
        <v>965</v>
      </c>
      <c r="N701" t="s">
        <v>2794</v>
      </c>
      <c r="O701" t="s">
        <v>2795</v>
      </c>
    </row>
    <row r="702" spans="1:19" x14ac:dyDescent="0.15">
      <c r="A702" t="s">
        <v>2771</v>
      </c>
      <c r="B702" s="61">
        <v>46753</v>
      </c>
      <c r="E702" t="s">
        <v>355</v>
      </c>
      <c r="F702" t="s">
        <v>364</v>
      </c>
      <c r="H702" t="s">
        <v>353</v>
      </c>
      <c r="I702">
        <v>2101064</v>
      </c>
      <c r="J702" t="s">
        <v>2796</v>
      </c>
      <c r="K702" t="s">
        <v>2797</v>
      </c>
      <c r="L702" t="s">
        <v>2798</v>
      </c>
      <c r="N702" t="s">
        <v>2799</v>
      </c>
      <c r="O702" t="s">
        <v>2800</v>
      </c>
    </row>
    <row r="703" spans="1:19" x14ac:dyDescent="0.15">
      <c r="A703" t="s">
        <v>2771</v>
      </c>
      <c r="B703" s="61">
        <v>46753</v>
      </c>
      <c r="E703" t="s">
        <v>355</v>
      </c>
      <c r="F703" t="s">
        <v>364</v>
      </c>
      <c r="H703" t="s">
        <v>365</v>
      </c>
      <c r="I703">
        <v>2100039</v>
      </c>
      <c r="J703" t="s">
        <v>2801</v>
      </c>
      <c r="K703" t="s">
        <v>2802</v>
      </c>
      <c r="L703" t="s">
        <v>2803</v>
      </c>
      <c r="N703" t="s">
        <v>2804</v>
      </c>
      <c r="O703" t="s">
        <v>2805</v>
      </c>
    </row>
    <row r="704" spans="1:19" x14ac:dyDescent="0.15">
      <c r="A704" t="s">
        <v>2771</v>
      </c>
      <c r="B704" s="61">
        <v>47088</v>
      </c>
      <c r="E704" t="s">
        <v>355</v>
      </c>
      <c r="F704" t="s">
        <v>364</v>
      </c>
      <c r="H704" t="s">
        <v>353</v>
      </c>
      <c r="I704">
        <v>2302732</v>
      </c>
      <c r="J704" t="s">
        <v>516</v>
      </c>
      <c r="K704" t="s">
        <v>744</v>
      </c>
      <c r="L704" t="s">
        <v>698</v>
      </c>
      <c r="N704" t="s">
        <v>2807</v>
      </c>
      <c r="O704" t="s">
        <v>2808</v>
      </c>
    </row>
    <row r="705" spans="1:19" ht="409.5" x14ac:dyDescent="0.15">
      <c r="A705" t="s">
        <v>2771</v>
      </c>
      <c r="B705" s="61">
        <v>47209</v>
      </c>
      <c r="E705" t="s">
        <v>355</v>
      </c>
      <c r="F705" t="s">
        <v>385</v>
      </c>
      <c r="H705" t="s">
        <v>353</v>
      </c>
      <c r="I705">
        <v>2302770</v>
      </c>
      <c r="J705" t="s">
        <v>2809</v>
      </c>
      <c r="L705" t="s">
        <v>1934</v>
      </c>
      <c r="N705" t="s">
        <v>2810</v>
      </c>
      <c r="O705" t="s">
        <v>2811</v>
      </c>
      <c r="R705" t="s">
        <v>386</v>
      </c>
      <c r="S705" s="34" t="s">
        <v>2812</v>
      </c>
    </row>
    <row r="706" spans="1:19" ht="391.5" x14ac:dyDescent="0.15">
      <c r="A706" t="s">
        <v>2771</v>
      </c>
      <c r="B706" s="61">
        <v>47604</v>
      </c>
      <c r="E706" t="s">
        <v>355</v>
      </c>
      <c r="F706" t="s">
        <v>385</v>
      </c>
      <c r="H706" t="s">
        <v>365</v>
      </c>
      <c r="I706">
        <v>2303791</v>
      </c>
      <c r="J706" t="s">
        <v>2772</v>
      </c>
      <c r="K706" t="s">
        <v>2773</v>
      </c>
      <c r="L706" t="s">
        <v>2774</v>
      </c>
      <c r="N706" t="s">
        <v>2775</v>
      </c>
      <c r="O706" t="s">
        <v>2776</v>
      </c>
      <c r="R706" t="s">
        <v>395</v>
      </c>
      <c r="S706" s="34" t="s">
        <v>2777</v>
      </c>
    </row>
    <row r="707" spans="1:19" ht="391.5" x14ac:dyDescent="0.15">
      <c r="A707" t="s">
        <v>2771</v>
      </c>
      <c r="B707" s="61">
        <v>47604</v>
      </c>
      <c r="E707" t="s">
        <v>355</v>
      </c>
      <c r="F707" t="s">
        <v>385</v>
      </c>
      <c r="H707" t="s">
        <v>365</v>
      </c>
      <c r="I707">
        <v>2303788</v>
      </c>
      <c r="J707" t="s">
        <v>2772</v>
      </c>
      <c r="K707" t="s">
        <v>2773</v>
      </c>
      <c r="L707" t="s">
        <v>2778</v>
      </c>
      <c r="N707" t="s">
        <v>2779</v>
      </c>
      <c r="O707" t="s">
        <v>2780</v>
      </c>
      <c r="R707" t="s">
        <v>395</v>
      </c>
      <c r="S707" s="34" t="s">
        <v>2781</v>
      </c>
    </row>
    <row r="708" spans="1:19" x14ac:dyDescent="0.15">
      <c r="A708" t="s">
        <v>2771</v>
      </c>
      <c r="B708" s="61">
        <v>48214</v>
      </c>
      <c r="E708" t="s">
        <v>355</v>
      </c>
      <c r="F708" t="s">
        <v>364</v>
      </c>
      <c r="H708" t="s">
        <v>365</v>
      </c>
      <c r="I708">
        <v>2100039</v>
      </c>
      <c r="J708" t="s">
        <v>2801</v>
      </c>
      <c r="K708" t="s">
        <v>2802</v>
      </c>
      <c r="L708" t="s">
        <v>2803</v>
      </c>
      <c r="N708" t="s">
        <v>2804</v>
      </c>
      <c r="O708" t="s">
        <v>2805</v>
      </c>
    </row>
    <row r="709" spans="1:19" ht="256.5" x14ac:dyDescent="0.15">
      <c r="A709" t="s">
        <v>2813</v>
      </c>
      <c r="B709" s="61">
        <v>46266</v>
      </c>
      <c r="E709" t="s">
        <v>355</v>
      </c>
      <c r="F709" t="s">
        <v>543</v>
      </c>
      <c r="H709" t="s">
        <v>310</v>
      </c>
      <c r="I709">
        <v>2300536</v>
      </c>
      <c r="J709" t="s">
        <v>2817</v>
      </c>
      <c r="K709" t="s">
        <v>2818</v>
      </c>
      <c r="L709" t="s">
        <v>378</v>
      </c>
      <c r="N709" t="s">
        <v>2819</v>
      </c>
      <c r="O709" t="s">
        <v>2820</v>
      </c>
      <c r="R709" t="s">
        <v>545</v>
      </c>
      <c r="S709" s="34" t="s">
        <v>2821</v>
      </c>
    </row>
    <row r="710" spans="1:19" ht="270" x14ac:dyDescent="0.15">
      <c r="A710" t="s">
        <v>2813</v>
      </c>
      <c r="B710" s="61">
        <v>46357</v>
      </c>
      <c r="E710" t="s">
        <v>355</v>
      </c>
      <c r="F710" t="s">
        <v>543</v>
      </c>
      <c r="H710" t="s">
        <v>310</v>
      </c>
      <c r="I710">
        <v>2303643</v>
      </c>
      <c r="J710" t="s">
        <v>2814</v>
      </c>
      <c r="K710" t="s">
        <v>2815</v>
      </c>
      <c r="L710" t="s">
        <v>1176</v>
      </c>
      <c r="N710" t="s">
        <v>2824</v>
      </c>
      <c r="O710" t="s">
        <v>2816</v>
      </c>
      <c r="R710" t="s">
        <v>755</v>
      </c>
      <c r="S710" s="34" t="s">
        <v>2825</v>
      </c>
    </row>
    <row r="711" spans="1:19" ht="409.5" x14ac:dyDescent="0.15">
      <c r="A711" t="s">
        <v>2813</v>
      </c>
      <c r="B711" s="61">
        <v>46357</v>
      </c>
      <c r="E711" t="s">
        <v>355</v>
      </c>
      <c r="F711" t="s">
        <v>356</v>
      </c>
      <c r="H711" t="s">
        <v>353</v>
      </c>
      <c r="I711">
        <v>2302127</v>
      </c>
      <c r="J711" t="s">
        <v>2166</v>
      </c>
      <c r="K711" t="s">
        <v>669</v>
      </c>
      <c r="L711" t="s">
        <v>2826</v>
      </c>
      <c r="N711" t="s">
        <v>2827</v>
      </c>
      <c r="O711" t="s">
        <v>2828</v>
      </c>
      <c r="R711" t="s">
        <v>362</v>
      </c>
      <c r="S711" s="34" t="s">
        <v>2829</v>
      </c>
    </row>
    <row r="712" spans="1:19" x14ac:dyDescent="0.15">
      <c r="A712" t="s">
        <v>2813</v>
      </c>
      <c r="B712" s="61">
        <v>46539</v>
      </c>
      <c r="E712" t="s">
        <v>355</v>
      </c>
      <c r="F712" t="s">
        <v>356</v>
      </c>
      <c r="H712" t="s">
        <v>353</v>
      </c>
      <c r="I712">
        <v>2301254</v>
      </c>
      <c r="J712" t="s">
        <v>654</v>
      </c>
      <c r="K712" t="s">
        <v>2830</v>
      </c>
      <c r="L712" t="s">
        <v>2831</v>
      </c>
      <c r="N712" t="s">
        <v>2832</v>
      </c>
      <c r="O712" t="s">
        <v>2833</v>
      </c>
    </row>
    <row r="713" spans="1:19" ht="256.5" x14ac:dyDescent="0.15">
      <c r="A713" t="s">
        <v>2813</v>
      </c>
      <c r="B713" s="61">
        <v>46631</v>
      </c>
      <c r="E713" t="s">
        <v>355</v>
      </c>
      <c r="F713" t="s">
        <v>385</v>
      </c>
      <c r="H713" t="s">
        <v>310</v>
      </c>
      <c r="I713">
        <v>2300536</v>
      </c>
      <c r="J713" t="s">
        <v>2817</v>
      </c>
      <c r="K713" t="s">
        <v>2818</v>
      </c>
      <c r="L713" t="s">
        <v>378</v>
      </c>
      <c r="N713" t="s">
        <v>2819</v>
      </c>
      <c r="O713" t="s">
        <v>2820</v>
      </c>
      <c r="R713" t="s">
        <v>395</v>
      </c>
      <c r="S713" s="34" t="s">
        <v>2821</v>
      </c>
    </row>
    <row r="714" spans="1:19" x14ac:dyDescent="0.15">
      <c r="A714" t="s">
        <v>2813</v>
      </c>
      <c r="B714" s="61">
        <v>46692</v>
      </c>
      <c r="E714" t="s">
        <v>355</v>
      </c>
      <c r="F714" t="s">
        <v>364</v>
      </c>
      <c r="H714" t="s">
        <v>365</v>
      </c>
      <c r="I714">
        <v>2303293</v>
      </c>
      <c r="J714" t="s">
        <v>2481</v>
      </c>
      <c r="K714" t="s">
        <v>2834</v>
      </c>
      <c r="L714" t="s">
        <v>413</v>
      </c>
      <c r="N714" t="s">
        <v>2835</v>
      </c>
      <c r="O714" t="s">
        <v>2836</v>
      </c>
    </row>
    <row r="715" spans="1:19" x14ac:dyDescent="0.15">
      <c r="A715" t="s">
        <v>2813</v>
      </c>
      <c r="B715" s="61">
        <v>46692</v>
      </c>
      <c r="E715" t="s">
        <v>355</v>
      </c>
      <c r="F715" t="s">
        <v>364</v>
      </c>
      <c r="H715" t="s">
        <v>353</v>
      </c>
      <c r="I715">
        <v>2302378</v>
      </c>
      <c r="J715" t="s">
        <v>2837</v>
      </c>
      <c r="K715" t="s">
        <v>2838</v>
      </c>
      <c r="L715" t="s">
        <v>413</v>
      </c>
      <c r="N715" t="s">
        <v>2839</v>
      </c>
      <c r="O715" t="s">
        <v>2840</v>
      </c>
    </row>
    <row r="716" spans="1:19" ht="270" x14ac:dyDescent="0.15">
      <c r="A716" t="s">
        <v>2813</v>
      </c>
      <c r="B716" s="61">
        <v>46722</v>
      </c>
      <c r="E716" t="s">
        <v>355</v>
      </c>
      <c r="F716" t="s">
        <v>385</v>
      </c>
      <c r="H716" t="s">
        <v>310</v>
      </c>
      <c r="I716">
        <v>2303643</v>
      </c>
      <c r="J716" t="s">
        <v>2814</v>
      </c>
      <c r="K716" t="s">
        <v>2815</v>
      </c>
      <c r="L716" t="s">
        <v>1176</v>
      </c>
      <c r="N716" t="s">
        <v>2824</v>
      </c>
      <c r="O716" t="s">
        <v>2816</v>
      </c>
      <c r="R716" t="s">
        <v>395</v>
      </c>
      <c r="S716" s="34" t="s">
        <v>2825</v>
      </c>
    </row>
    <row r="717" spans="1:19" x14ac:dyDescent="0.15">
      <c r="A717" t="s">
        <v>2813</v>
      </c>
      <c r="B717" s="61">
        <v>46722</v>
      </c>
      <c r="E717" t="s">
        <v>355</v>
      </c>
      <c r="F717" t="s">
        <v>364</v>
      </c>
      <c r="H717" t="s">
        <v>353</v>
      </c>
      <c r="I717">
        <v>2300556</v>
      </c>
      <c r="J717" t="s">
        <v>2841</v>
      </c>
      <c r="L717" t="s">
        <v>502</v>
      </c>
      <c r="N717" t="s">
        <v>2842</v>
      </c>
      <c r="O717" t="s">
        <v>2843</v>
      </c>
    </row>
    <row r="718" spans="1:19" x14ac:dyDescent="0.15">
      <c r="A718" t="s">
        <v>2813</v>
      </c>
      <c r="B718" s="61">
        <v>46844</v>
      </c>
      <c r="E718" t="s">
        <v>355</v>
      </c>
      <c r="F718" t="s">
        <v>364</v>
      </c>
      <c r="H718" t="s">
        <v>365</v>
      </c>
      <c r="I718">
        <v>2303593</v>
      </c>
      <c r="J718" t="s">
        <v>2822</v>
      </c>
      <c r="K718" t="s">
        <v>2823</v>
      </c>
      <c r="L718" t="s">
        <v>2844</v>
      </c>
      <c r="N718" t="s">
        <v>2845</v>
      </c>
      <c r="O718" t="s">
        <v>2846</v>
      </c>
    </row>
    <row r="719" spans="1:19" ht="409.5" x14ac:dyDescent="0.15">
      <c r="A719" t="s">
        <v>2813</v>
      </c>
      <c r="B719" s="61">
        <v>47818</v>
      </c>
      <c r="E719" t="s">
        <v>355</v>
      </c>
      <c r="F719" t="s">
        <v>385</v>
      </c>
      <c r="H719" t="s">
        <v>353</v>
      </c>
      <c r="I719">
        <v>2302127</v>
      </c>
      <c r="J719" t="s">
        <v>2166</v>
      </c>
      <c r="K719" t="s">
        <v>669</v>
      </c>
      <c r="L719" t="s">
        <v>2826</v>
      </c>
      <c r="N719" t="s">
        <v>2827</v>
      </c>
      <c r="O719" t="s">
        <v>2828</v>
      </c>
      <c r="R719" t="s">
        <v>386</v>
      </c>
      <c r="S719" s="34" t="s">
        <v>2829</v>
      </c>
    </row>
    <row r="720" spans="1:19" x14ac:dyDescent="0.15">
      <c r="A720" t="s">
        <v>2813</v>
      </c>
      <c r="B720" s="61">
        <v>48000</v>
      </c>
      <c r="E720" t="s">
        <v>355</v>
      </c>
      <c r="F720" t="s">
        <v>385</v>
      </c>
      <c r="H720" t="s">
        <v>353</v>
      </c>
      <c r="I720">
        <v>2301254</v>
      </c>
      <c r="J720" t="s">
        <v>654</v>
      </c>
      <c r="K720" t="s">
        <v>2830</v>
      </c>
      <c r="L720" t="s">
        <v>2831</v>
      </c>
      <c r="N720" t="s">
        <v>2832</v>
      </c>
      <c r="O720" t="s">
        <v>2833</v>
      </c>
    </row>
    <row r="721" spans="1:19" x14ac:dyDescent="0.15">
      <c r="A721" t="s">
        <v>2813</v>
      </c>
      <c r="B721" s="61">
        <v>48153</v>
      </c>
      <c r="E721" t="s">
        <v>355</v>
      </c>
      <c r="F721" t="s">
        <v>364</v>
      </c>
      <c r="H721" t="s">
        <v>353</v>
      </c>
      <c r="I721">
        <v>2302378</v>
      </c>
      <c r="J721" t="s">
        <v>2837</v>
      </c>
      <c r="K721" t="s">
        <v>2838</v>
      </c>
      <c r="L721" t="s">
        <v>413</v>
      </c>
      <c r="N721" t="s">
        <v>2839</v>
      </c>
      <c r="O721" t="s">
        <v>2840</v>
      </c>
    </row>
    <row r="722" spans="1:19" x14ac:dyDescent="0.15">
      <c r="A722" t="s">
        <v>2813</v>
      </c>
      <c r="B722" s="61">
        <v>48183</v>
      </c>
      <c r="E722" t="s">
        <v>355</v>
      </c>
      <c r="F722" t="s">
        <v>364</v>
      </c>
      <c r="H722" t="s">
        <v>353</v>
      </c>
      <c r="I722">
        <v>2300556</v>
      </c>
      <c r="J722" t="s">
        <v>2841</v>
      </c>
      <c r="L722" t="s">
        <v>502</v>
      </c>
      <c r="N722" t="s">
        <v>2842</v>
      </c>
      <c r="O722" t="s">
        <v>2843</v>
      </c>
    </row>
    <row r="723" spans="1:19" ht="409.5" x14ac:dyDescent="0.15">
      <c r="A723" t="s">
        <v>6766</v>
      </c>
      <c r="B723" s="61">
        <v>44044</v>
      </c>
      <c r="E723" t="s">
        <v>355</v>
      </c>
      <c r="F723" t="s">
        <v>356</v>
      </c>
      <c r="H723" t="s">
        <v>365</v>
      </c>
      <c r="I723">
        <v>4000088</v>
      </c>
      <c r="J723" t="s">
        <v>2631</v>
      </c>
      <c r="K723" t="s">
        <v>2847</v>
      </c>
      <c r="L723" t="s">
        <v>1769</v>
      </c>
      <c r="N723" t="s">
        <v>2848</v>
      </c>
      <c r="O723" t="s">
        <v>2849</v>
      </c>
      <c r="R723" t="s">
        <v>362</v>
      </c>
      <c r="S723" s="34" t="s">
        <v>2850</v>
      </c>
    </row>
    <row r="724" spans="1:19" ht="243" x14ac:dyDescent="0.15">
      <c r="A724" t="s">
        <v>6766</v>
      </c>
      <c r="B724" s="61">
        <v>47058</v>
      </c>
      <c r="E724" t="s">
        <v>355</v>
      </c>
      <c r="F724" t="s">
        <v>356</v>
      </c>
      <c r="H724" t="s">
        <v>353</v>
      </c>
      <c r="I724">
        <v>4100326</v>
      </c>
      <c r="J724" t="s">
        <v>2851</v>
      </c>
      <c r="K724" t="s">
        <v>2852</v>
      </c>
      <c r="L724" t="s">
        <v>373</v>
      </c>
      <c r="N724" t="s">
        <v>2853</v>
      </c>
      <c r="O724" t="s">
        <v>2854</v>
      </c>
      <c r="R724" t="s">
        <v>362</v>
      </c>
      <c r="S724" s="34" t="s">
        <v>2855</v>
      </c>
    </row>
    <row r="725" spans="1:19" ht="409.5" x14ac:dyDescent="0.15">
      <c r="A725" t="s">
        <v>6766</v>
      </c>
      <c r="B725" s="61">
        <v>46997</v>
      </c>
      <c r="E725" t="s">
        <v>355</v>
      </c>
      <c r="F725" t="s">
        <v>356</v>
      </c>
      <c r="H725" t="s">
        <v>353</v>
      </c>
      <c r="I725">
        <v>4100210</v>
      </c>
      <c r="J725" t="s">
        <v>2281</v>
      </c>
      <c r="K725" t="s">
        <v>2856</v>
      </c>
      <c r="L725" t="s">
        <v>390</v>
      </c>
      <c r="N725" t="s">
        <v>2857</v>
      </c>
      <c r="O725" t="s">
        <v>2858</v>
      </c>
      <c r="R725" s="34" t="s">
        <v>2859</v>
      </c>
      <c r="S725" s="34" t="s">
        <v>5187</v>
      </c>
    </row>
    <row r="726" spans="1:19" ht="409.5" x14ac:dyDescent="0.15">
      <c r="A726" t="s">
        <v>6766</v>
      </c>
      <c r="B726" s="61">
        <v>45505</v>
      </c>
      <c r="E726" t="s">
        <v>355</v>
      </c>
      <c r="F726" t="s">
        <v>385</v>
      </c>
      <c r="H726" t="s">
        <v>365</v>
      </c>
      <c r="I726">
        <v>4000088</v>
      </c>
      <c r="J726" t="s">
        <v>2631</v>
      </c>
      <c r="K726" t="s">
        <v>2847</v>
      </c>
      <c r="L726" t="s">
        <v>1769</v>
      </c>
      <c r="N726" t="s">
        <v>2848</v>
      </c>
      <c r="O726" t="s">
        <v>2849</v>
      </c>
      <c r="R726" t="s">
        <v>395</v>
      </c>
      <c r="S726" s="34" t="s">
        <v>2850</v>
      </c>
    </row>
    <row r="727" spans="1:19" ht="270" x14ac:dyDescent="0.15">
      <c r="A727" t="s">
        <v>6766</v>
      </c>
      <c r="B727" s="61">
        <v>45839</v>
      </c>
      <c r="E727" t="s">
        <v>355</v>
      </c>
      <c r="F727" t="s">
        <v>351</v>
      </c>
      <c r="G727" t="s">
        <v>354</v>
      </c>
      <c r="H727" t="s">
        <v>686</v>
      </c>
      <c r="I727">
        <v>4000698</v>
      </c>
      <c r="J727" t="s">
        <v>2864</v>
      </c>
      <c r="L727" t="s">
        <v>2865</v>
      </c>
      <c r="N727">
        <v>2165307</v>
      </c>
      <c r="O727" t="s">
        <v>2866</v>
      </c>
      <c r="P727" t="s">
        <v>2867</v>
      </c>
      <c r="Q727" t="s">
        <v>2868</v>
      </c>
      <c r="R727" s="34" t="s">
        <v>2869</v>
      </c>
      <c r="S727" s="34" t="s">
        <v>2870</v>
      </c>
    </row>
    <row r="728" spans="1:19" ht="243" x14ac:dyDescent="0.15">
      <c r="A728" t="s">
        <v>6766</v>
      </c>
      <c r="B728" s="61">
        <v>45962</v>
      </c>
      <c r="E728" t="s">
        <v>355</v>
      </c>
      <c r="F728" t="s">
        <v>351</v>
      </c>
      <c r="G728" t="s">
        <v>352</v>
      </c>
      <c r="H728" t="s">
        <v>365</v>
      </c>
      <c r="I728">
        <v>4100257</v>
      </c>
      <c r="J728" t="s">
        <v>775</v>
      </c>
      <c r="K728" t="s">
        <v>2871</v>
      </c>
      <c r="L728" t="s">
        <v>2872</v>
      </c>
      <c r="N728" t="s">
        <v>2873</v>
      </c>
      <c r="O728" t="s">
        <v>2874</v>
      </c>
      <c r="S728" s="34" t="s">
        <v>2875</v>
      </c>
    </row>
    <row r="729" spans="1:19" ht="256.5" x14ac:dyDescent="0.15">
      <c r="A729" t="s">
        <v>6766</v>
      </c>
      <c r="B729" s="61">
        <v>45992</v>
      </c>
      <c r="E729" t="s">
        <v>355</v>
      </c>
      <c r="F729" t="s">
        <v>351</v>
      </c>
      <c r="G729" t="s">
        <v>352</v>
      </c>
      <c r="H729" t="s">
        <v>365</v>
      </c>
      <c r="I729">
        <v>4100047</v>
      </c>
      <c r="J729" t="s">
        <v>775</v>
      </c>
      <c r="K729" t="s">
        <v>2876</v>
      </c>
      <c r="L729" t="s">
        <v>2872</v>
      </c>
      <c r="N729" t="s">
        <v>2877</v>
      </c>
      <c r="O729" t="s">
        <v>2878</v>
      </c>
      <c r="S729" s="34" t="s">
        <v>2879</v>
      </c>
    </row>
    <row r="730" spans="1:19" ht="243" x14ac:dyDescent="0.15">
      <c r="A730" t="s">
        <v>6766</v>
      </c>
      <c r="B730" s="61">
        <v>46174</v>
      </c>
      <c r="E730" t="s">
        <v>355</v>
      </c>
      <c r="F730" t="s">
        <v>385</v>
      </c>
      <c r="H730" t="s">
        <v>365</v>
      </c>
      <c r="I730">
        <v>4100216</v>
      </c>
      <c r="J730" t="s">
        <v>2880</v>
      </c>
      <c r="K730" t="s">
        <v>2881</v>
      </c>
      <c r="L730" t="s">
        <v>698</v>
      </c>
      <c r="N730" t="s">
        <v>2882</v>
      </c>
      <c r="O730" t="s">
        <v>2883</v>
      </c>
      <c r="R730" t="s">
        <v>395</v>
      </c>
      <c r="S730" s="34" t="s">
        <v>2884</v>
      </c>
    </row>
    <row r="731" spans="1:19" ht="243" x14ac:dyDescent="0.15">
      <c r="A731" t="s">
        <v>6766</v>
      </c>
      <c r="B731" s="61">
        <v>46235</v>
      </c>
      <c r="E731" t="s">
        <v>355</v>
      </c>
      <c r="F731" t="s">
        <v>385</v>
      </c>
      <c r="H731" t="s">
        <v>365</v>
      </c>
      <c r="I731">
        <v>4100257</v>
      </c>
      <c r="J731" t="s">
        <v>775</v>
      </c>
      <c r="K731" t="s">
        <v>2871</v>
      </c>
      <c r="L731" t="s">
        <v>2885</v>
      </c>
      <c r="N731" t="s">
        <v>2873</v>
      </c>
      <c r="O731" t="s">
        <v>2874</v>
      </c>
      <c r="R731" t="s">
        <v>395</v>
      </c>
      <c r="S731" s="34" t="s">
        <v>2875</v>
      </c>
    </row>
    <row r="732" spans="1:19" ht="256.5" x14ac:dyDescent="0.15">
      <c r="A732" t="s">
        <v>6766</v>
      </c>
      <c r="B732" s="61">
        <v>46235</v>
      </c>
      <c r="E732" t="s">
        <v>355</v>
      </c>
      <c r="F732" t="s">
        <v>385</v>
      </c>
      <c r="H732" t="s">
        <v>365</v>
      </c>
      <c r="I732">
        <v>4100047</v>
      </c>
      <c r="J732" t="s">
        <v>775</v>
      </c>
      <c r="K732" t="s">
        <v>2876</v>
      </c>
      <c r="L732" t="s">
        <v>2872</v>
      </c>
      <c r="N732" t="s">
        <v>2877</v>
      </c>
      <c r="O732" t="s">
        <v>2878</v>
      </c>
      <c r="R732" t="s">
        <v>395</v>
      </c>
      <c r="S732" s="34" t="s">
        <v>2879</v>
      </c>
    </row>
    <row r="733" spans="1:19" ht="409.5" x14ac:dyDescent="0.15">
      <c r="A733" t="s">
        <v>6766</v>
      </c>
      <c r="B733" s="61">
        <v>46266</v>
      </c>
      <c r="E733" t="s">
        <v>355</v>
      </c>
      <c r="F733" t="s">
        <v>385</v>
      </c>
      <c r="H733" t="s">
        <v>353</v>
      </c>
      <c r="I733">
        <v>4000004</v>
      </c>
      <c r="J733" t="s">
        <v>2860</v>
      </c>
      <c r="K733" t="s">
        <v>2861</v>
      </c>
      <c r="L733" t="s">
        <v>2862</v>
      </c>
      <c r="N733" t="s">
        <v>2891</v>
      </c>
      <c r="O733" t="s">
        <v>2863</v>
      </c>
      <c r="R733" t="s">
        <v>386</v>
      </c>
      <c r="S733" s="34" t="s">
        <v>2892</v>
      </c>
    </row>
    <row r="734" spans="1:19" ht="364.5" x14ac:dyDescent="0.15">
      <c r="A734" t="s">
        <v>6796</v>
      </c>
      <c r="B734" s="61">
        <v>46266</v>
      </c>
      <c r="E734" t="s">
        <v>355</v>
      </c>
      <c r="F734" t="s">
        <v>356</v>
      </c>
      <c r="H734" t="s">
        <v>353</v>
      </c>
      <c r="I734">
        <v>4200034</v>
      </c>
      <c r="J734" t="s">
        <v>2893</v>
      </c>
      <c r="K734" t="s">
        <v>2894</v>
      </c>
      <c r="L734" t="s">
        <v>2778</v>
      </c>
      <c r="N734" t="s">
        <v>2895</v>
      </c>
      <c r="O734" t="s">
        <v>2896</v>
      </c>
      <c r="R734" t="s">
        <v>362</v>
      </c>
      <c r="S734" s="34" t="s">
        <v>2897</v>
      </c>
    </row>
    <row r="735" spans="1:19" ht="409.5" x14ac:dyDescent="0.15">
      <c r="A735" t="s">
        <v>6766</v>
      </c>
      <c r="B735" s="61">
        <v>46327</v>
      </c>
      <c r="E735" t="s">
        <v>355</v>
      </c>
      <c r="F735" t="s">
        <v>356</v>
      </c>
      <c r="H735" t="s">
        <v>365</v>
      </c>
      <c r="I735">
        <v>4000382</v>
      </c>
      <c r="J735" t="s">
        <v>1063</v>
      </c>
      <c r="K735" t="s">
        <v>2898</v>
      </c>
      <c r="L735" t="s">
        <v>2899</v>
      </c>
      <c r="N735" t="s">
        <v>2900</v>
      </c>
      <c r="O735" t="s">
        <v>2901</v>
      </c>
      <c r="R735" t="s">
        <v>362</v>
      </c>
      <c r="S735" s="34" t="s">
        <v>2902</v>
      </c>
    </row>
    <row r="736" spans="1:19" ht="229.5" x14ac:dyDescent="0.15">
      <c r="A736" t="s">
        <v>6796</v>
      </c>
      <c r="B736" s="61">
        <v>46327</v>
      </c>
      <c r="E736" t="s">
        <v>355</v>
      </c>
      <c r="F736" t="s">
        <v>356</v>
      </c>
      <c r="H736" t="s">
        <v>353</v>
      </c>
      <c r="I736">
        <v>4200064</v>
      </c>
      <c r="J736" t="s">
        <v>2893</v>
      </c>
      <c r="K736" t="s">
        <v>2903</v>
      </c>
      <c r="L736" t="s">
        <v>2778</v>
      </c>
      <c r="N736" t="s">
        <v>2904</v>
      </c>
      <c r="O736" t="s">
        <v>2905</v>
      </c>
      <c r="R736" t="s">
        <v>362</v>
      </c>
      <c r="S736" s="34" t="s">
        <v>2906</v>
      </c>
    </row>
    <row r="737" spans="1:19" ht="409.5" x14ac:dyDescent="0.15">
      <c r="A737" t="s">
        <v>6766</v>
      </c>
      <c r="B737" s="61">
        <v>46419</v>
      </c>
      <c r="E737" t="s">
        <v>355</v>
      </c>
      <c r="F737" t="s">
        <v>356</v>
      </c>
      <c r="H737" t="s">
        <v>353</v>
      </c>
      <c r="I737">
        <v>4100089</v>
      </c>
      <c r="J737" t="s">
        <v>2886</v>
      </c>
      <c r="K737" t="s">
        <v>2887</v>
      </c>
      <c r="L737" t="s">
        <v>1769</v>
      </c>
      <c r="N737" t="s">
        <v>2907</v>
      </c>
      <c r="O737" t="s">
        <v>2889</v>
      </c>
      <c r="R737" s="34" t="s">
        <v>2908</v>
      </c>
      <c r="S737" s="34" t="s">
        <v>2909</v>
      </c>
    </row>
    <row r="738" spans="1:19" x14ac:dyDescent="0.15">
      <c r="A738" t="s">
        <v>6766</v>
      </c>
      <c r="B738" s="61">
        <v>46447</v>
      </c>
      <c r="E738" t="s">
        <v>355</v>
      </c>
      <c r="F738" t="s">
        <v>364</v>
      </c>
      <c r="H738" t="s">
        <v>353</v>
      </c>
      <c r="I738">
        <v>4400152</v>
      </c>
      <c r="J738" t="s">
        <v>2910</v>
      </c>
      <c r="K738" t="s">
        <v>2911</v>
      </c>
      <c r="L738" t="s">
        <v>2912</v>
      </c>
      <c r="N738" t="s">
        <v>2913</v>
      </c>
      <c r="O738" t="s">
        <v>2914</v>
      </c>
    </row>
    <row r="739" spans="1:19" x14ac:dyDescent="0.15">
      <c r="A739" t="s">
        <v>6766</v>
      </c>
      <c r="B739" s="61">
        <v>46478</v>
      </c>
      <c r="E739" t="s">
        <v>355</v>
      </c>
      <c r="F739" t="s">
        <v>364</v>
      </c>
      <c r="H739" t="s">
        <v>353</v>
      </c>
      <c r="I739">
        <v>4000964</v>
      </c>
      <c r="J739" t="s">
        <v>2915</v>
      </c>
      <c r="K739" t="s">
        <v>2916</v>
      </c>
      <c r="L739" t="s">
        <v>466</v>
      </c>
      <c r="N739" t="s">
        <v>2917</v>
      </c>
      <c r="O739" t="s">
        <v>2918</v>
      </c>
    </row>
    <row r="740" spans="1:19" ht="405" x14ac:dyDescent="0.15">
      <c r="A740" t="s">
        <v>6796</v>
      </c>
      <c r="B740" s="61">
        <v>46600</v>
      </c>
      <c r="E740" t="s">
        <v>355</v>
      </c>
      <c r="F740" t="s">
        <v>356</v>
      </c>
      <c r="H740" t="s">
        <v>353</v>
      </c>
      <c r="I740">
        <v>4100117</v>
      </c>
      <c r="J740" t="s">
        <v>2919</v>
      </c>
      <c r="L740" t="s">
        <v>1118</v>
      </c>
      <c r="N740" t="s">
        <v>2920</v>
      </c>
      <c r="O740" t="s">
        <v>2921</v>
      </c>
      <c r="R740" t="s">
        <v>362</v>
      </c>
      <c r="S740" s="34" t="s">
        <v>2922</v>
      </c>
    </row>
    <row r="741" spans="1:19" x14ac:dyDescent="0.15">
      <c r="A741" t="s">
        <v>6796</v>
      </c>
      <c r="B741" s="61">
        <v>46631</v>
      </c>
      <c r="E741" t="s">
        <v>355</v>
      </c>
      <c r="F741" t="s">
        <v>364</v>
      </c>
      <c r="H741" t="s">
        <v>365</v>
      </c>
      <c r="I741">
        <v>4100365</v>
      </c>
      <c r="J741" t="s">
        <v>995</v>
      </c>
      <c r="K741" t="s">
        <v>1656</v>
      </c>
      <c r="L741" t="s">
        <v>2923</v>
      </c>
      <c r="N741" t="s">
        <v>2924</v>
      </c>
      <c r="O741" t="s">
        <v>2925</v>
      </c>
    </row>
    <row r="742" spans="1:19" x14ac:dyDescent="0.15">
      <c r="A742" t="s">
        <v>6766</v>
      </c>
      <c r="B742" s="61">
        <v>46661</v>
      </c>
      <c r="E742" t="s">
        <v>355</v>
      </c>
      <c r="F742" t="s">
        <v>364</v>
      </c>
      <c r="H742" t="s">
        <v>353</v>
      </c>
      <c r="I742">
        <v>4000299</v>
      </c>
      <c r="J742" t="s">
        <v>2926</v>
      </c>
      <c r="L742" t="s">
        <v>2927</v>
      </c>
      <c r="N742" t="s">
        <v>2928</v>
      </c>
      <c r="O742" t="s">
        <v>2929</v>
      </c>
    </row>
    <row r="743" spans="1:19" ht="409.5" x14ac:dyDescent="0.15">
      <c r="A743" t="s">
        <v>6796</v>
      </c>
      <c r="B743" s="61">
        <v>47119</v>
      </c>
      <c r="E743" t="s">
        <v>355</v>
      </c>
      <c r="F743" t="s">
        <v>385</v>
      </c>
      <c r="H743" t="s">
        <v>365</v>
      </c>
      <c r="I743">
        <v>4200087</v>
      </c>
      <c r="J743" t="s">
        <v>2930</v>
      </c>
      <c r="K743" t="s">
        <v>2931</v>
      </c>
      <c r="L743" t="s">
        <v>2932</v>
      </c>
      <c r="N743" t="s">
        <v>2933</v>
      </c>
      <c r="O743" t="s">
        <v>2934</v>
      </c>
      <c r="R743" t="s">
        <v>395</v>
      </c>
      <c r="S743" s="34" t="s">
        <v>2935</v>
      </c>
    </row>
    <row r="744" spans="1:19" ht="409.5" x14ac:dyDescent="0.15">
      <c r="A744" t="s">
        <v>6796</v>
      </c>
      <c r="B744" s="61">
        <v>47119</v>
      </c>
      <c r="E744" t="s">
        <v>355</v>
      </c>
      <c r="F744" t="s">
        <v>385</v>
      </c>
      <c r="H744" t="s">
        <v>365</v>
      </c>
      <c r="I744">
        <v>4200085</v>
      </c>
      <c r="J744" t="s">
        <v>2930</v>
      </c>
      <c r="K744" t="s">
        <v>2931</v>
      </c>
      <c r="L744" t="s">
        <v>2936</v>
      </c>
      <c r="N744" t="s">
        <v>2937</v>
      </c>
      <c r="O744" t="s">
        <v>2938</v>
      </c>
      <c r="R744" t="s">
        <v>395</v>
      </c>
      <c r="S744" s="34" t="s">
        <v>2939</v>
      </c>
    </row>
    <row r="745" spans="1:19" ht="409.5" x14ac:dyDescent="0.15">
      <c r="A745" t="s">
        <v>6766</v>
      </c>
      <c r="B745" s="61">
        <v>47150</v>
      </c>
      <c r="E745" t="s">
        <v>355</v>
      </c>
      <c r="F745" t="s">
        <v>385</v>
      </c>
      <c r="H745" t="s">
        <v>353</v>
      </c>
      <c r="I745">
        <v>4000936</v>
      </c>
      <c r="J745" t="s">
        <v>2940</v>
      </c>
      <c r="K745" t="s">
        <v>2941</v>
      </c>
      <c r="L745" t="s">
        <v>2942</v>
      </c>
      <c r="N745" t="s">
        <v>2943</v>
      </c>
      <c r="O745" t="s">
        <v>2944</v>
      </c>
      <c r="S745" s="34" t="s">
        <v>2945</v>
      </c>
    </row>
    <row r="746" spans="1:19" ht="409.5" x14ac:dyDescent="0.15">
      <c r="A746" t="s">
        <v>6766</v>
      </c>
      <c r="B746" s="61">
        <v>47239</v>
      </c>
      <c r="E746" t="s">
        <v>355</v>
      </c>
      <c r="F746" t="s">
        <v>364</v>
      </c>
      <c r="H746" t="s">
        <v>353</v>
      </c>
      <c r="I746">
        <v>4000527</v>
      </c>
      <c r="J746" t="s">
        <v>2946</v>
      </c>
      <c r="K746" t="s">
        <v>2947</v>
      </c>
      <c r="L746" t="s">
        <v>390</v>
      </c>
      <c r="N746" t="s">
        <v>2948</v>
      </c>
      <c r="O746" t="s">
        <v>2949</v>
      </c>
      <c r="P746" t="s">
        <v>7469</v>
      </c>
      <c r="Q746" t="s">
        <v>7470</v>
      </c>
      <c r="R746" t="s">
        <v>723</v>
      </c>
      <c r="S746" s="34" t="s">
        <v>2950</v>
      </c>
    </row>
    <row r="747" spans="1:19" ht="229.5" x14ac:dyDescent="0.15">
      <c r="A747" t="s">
        <v>6766</v>
      </c>
      <c r="B747" s="61">
        <v>47392</v>
      </c>
      <c r="E747" t="s">
        <v>355</v>
      </c>
      <c r="F747" t="s">
        <v>385</v>
      </c>
      <c r="H747" t="s">
        <v>353</v>
      </c>
      <c r="I747">
        <v>4000543</v>
      </c>
      <c r="J747" t="s">
        <v>2951</v>
      </c>
      <c r="L747" t="s">
        <v>698</v>
      </c>
      <c r="N747" t="s">
        <v>2952</v>
      </c>
      <c r="O747" t="s">
        <v>2953</v>
      </c>
      <c r="R747" s="34" t="s">
        <v>768</v>
      </c>
      <c r="S747" s="34" t="s">
        <v>2954</v>
      </c>
    </row>
    <row r="748" spans="1:19" ht="364.5" x14ac:dyDescent="0.15">
      <c r="A748" t="s">
        <v>6796</v>
      </c>
      <c r="B748" s="61">
        <v>47727</v>
      </c>
      <c r="E748" t="s">
        <v>355</v>
      </c>
      <c r="F748" t="s">
        <v>385</v>
      </c>
      <c r="H748" t="s">
        <v>353</v>
      </c>
      <c r="I748">
        <v>4200034</v>
      </c>
      <c r="J748" t="s">
        <v>2893</v>
      </c>
      <c r="K748" t="s">
        <v>2894</v>
      </c>
      <c r="L748" t="s">
        <v>2778</v>
      </c>
      <c r="N748" t="s">
        <v>2895</v>
      </c>
      <c r="O748" t="s">
        <v>2896</v>
      </c>
      <c r="R748" t="s">
        <v>386</v>
      </c>
      <c r="S748" s="34" t="s">
        <v>2897</v>
      </c>
    </row>
    <row r="749" spans="1:19" ht="409.5" x14ac:dyDescent="0.15">
      <c r="A749" t="s">
        <v>6766</v>
      </c>
      <c r="B749" s="61">
        <v>47788</v>
      </c>
      <c r="E749" t="s">
        <v>355</v>
      </c>
      <c r="F749" t="s">
        <v>385</v>
      </c>
      <c r="H749" t="s">
        <v>365</v>
      </c>
      <c r="I749">
        <v>4000382</v>
      </c>
      <c r="J749" t="s">
        <v>1063</v>
      </c>
      <c r="K749" t="s">
        <v>2898</v>
      </c>
      <c r="L749" t="s">
        <v>2899</v>
      </c>
      <c r="N749" t="s">
        <v>2900</v>
      </c>
      <c r="O749" t="s">
        <v>2901</v>
      </c>
      <c r="R749" t="s">
        <v>395</v>
      </c>
      <c r="S749" s="34" t="s">
        <v>2902</v>
      </c>
    </row>
    <row r="750" spans="1:19" ht="229.5" x14ac:dyDescent="0.15">
      <c r="A750" t="s">
        <v>6796</v>
      </c>
      <c r="B750" s="61">
        <v>47788</v>
      </c>
      <c r="E750" t="s">
        <v>355</v>
      </c>
      <c r="F750" t="s">
        <v>385</v>
      </c>
      <c r="H750" t="s">
        <v>353</v>
      </c>
      <c r="I750">
        <v>4200064</v>
      </c>
      <c r="J750" t="s">
        <v>2893</v>
      </c>
      <c r="K750" t="s">
        <v>2903</v>
      </c>
      <c r="L750" t="s">
        <v>2778</v>
      </c>
      <c r="N750" t="s">
        <v>2904</v>
      </c>
      <c r="O750" t="s">
        <v>2905</v>
      </c>
      <c r="R750" t="s">
        <v>386</v>
      </c>
      <c r="S750" s="34" t="s">
        <v>2906</v>
      </c>
    </row>
    <row r="751" spans="1:19" ht="409.5" x14ac:dyDescent="0.15">
      <c r="A751" t="s">
        <v>6766</v>
      </c>
      <c r="B751" s="61">
        <v>47880</v>
      </c>
      <c r="E751" t="s">
        <v>355</v>
      </c>
      <c r="F751" t="s">
        <v>385</v>
      </c>
      <c r="H751" t="s">
        <v>353</v>
      </c>
      <c r="I751">
        <v>4100089</v>
      </c>
      <c r="J751" t="s">
        <v>2886</v>
      </c>
      <c r="K751" t="s">
        <v>2887</v>
      </c>
      <c r="L751" t="s">
        <v>1769</v>
      </c>
      <c r="N751" t="s">
        <v>2907</v>
      </c>
      <c r="O751" t="s">
        <v>2889</v>
      </c>
      <c r="R751" s="34" t="s">
        <v>2955</v>
      </c>
      <c r="S751" s="34" t="s">
        <v>2909</v>
      </c>
    </row>
    <row r="752" spans="1:19" x14ac:dyDescent="0.15">
      <c r="A752" t="s">
        <v>6766</v>
      </c>
      <c r="B752" s="61">
        <v>47939</v>
      </c>
      <c r="E752" t="s">
        <v>355</v>
      </c>
      <c r="F752" t="s">
        <v>364</v>
      </c>
      <c r="H752" t="s">
        <v>353</v>
      </c>
      <c r="I752">
        <v>4000964</v>
      </c>
      <c r="J752" t="s">
        <v>2915</v>
      </c>
      <c r="K752" t="s">
        <v>2916</v>
      </c>
      <c r="L752" t="s">
        <v>466</v>
      </c>
      <c r="N752" t="s">
        <v>2917</v>
      </c>
      <c r="O752" t="s">
        <v>2918</v>
      </c>
    </row>
    <row r="753" spans="1:19" ht="405" x14ac:dyDescent="0.15">
      <c r="A753" t="s">
        <v>6796</v>
      </c>
      <c r="B753" s="61">
        <v>48061</v>
      </c>
      <c r="E753" t="s">
        <v>355</v>
      </c>
      <c r="F753" t="s">
        <v>385</v>
      </c>
      <c r="H753" t="s">
        <v>353</v>
      </c>
      <c r="I753">
        <v>4100117</v>
      </c>
      <c r="J753" t="s">
        <v>2919</v>
      </c>
      <c r="L753" t="s">
        <v>1118</v>
      </c>
      <c r="N753" t="s">
        <v>2920</v>
      </c>
      <c r="O753" t="s">
        <v>2921</v>
      </c>
      <c r="R753" t="s">
        <v>386</v>
      </c>
      <c r="S753" s="34" t="s">
        <v>2922</v>
      </c>
    </row>
    <row r="754" spans="1:19" x14ac:dyDescent="0.15">
      <c r="A754" t="s">
        <v>6766</v>
      </c>
      <c r="B754" s="61">
        <v>48122</v>
      </c>
      <c r="E754" t="s">
        <v>355</v>
      </c>
      <c r="F754" t="s">
        <v>364</v>
      </c>
      <c r="H754" t="s">
        <v>353</v>
      </c>
      <c r="I754">
        <v>4000299</v>
      </c>
      <c r="J754" t="s">
        <v>2926</v>
      </c>
      <c r="L754" t="s">
        <v>2927</v>
      </c>
      <c r="N754" t="s">
        <v>2928</v>
      </c>
      <c r="O754" t="s">
        <v>2929</v>
      </c>
    </row>
    <row r="755" spans="1:19" ht="243" x14ac:dyDescent="0.15">
      <c r="A755" t="s">
        <v>2956</v>
      </c>
      <c r="B755" s="61">
        <v>46296</v>
      </c>
      <c r="E755" t="s">
        <v>355</v>
      </c>
      <c r="F755" t="s">
        <v>385</v>
      </c>
      <c r="H755" t="s">
        <v>365</v>
      </c>
      <c r="I755">
        <v>3300093</v>
      </c>
      <c r="J755" t="s">
        <v>2963</v>
      </c>
      <c r="K755" t="s">
        <v>2964</v>
      </c>
      <c r="L755" t="s">
        <v>1957</v>
      </c>
      <c r="N755" t="s">
        <v>2965</v>
      </c>
      <c r="O755" t="s">
        <v>2966</v>
      </c>
      <c r="R755" t="s">
        <v>395</v>
      </c>
      <c r="S755" s="34" t="s">
        <v>2967</v>
      </c>
    </row>
    <row r="756" spans="1:19" x14ac:dyDescent="0.15">
      <c r="A756" t="s">
        <v>2956</v>
      </c>
      <c r="B756" s="61">
        <v>46447</v>
      </c>
      <c r="E756" t="s">
        <v>355</v>
      </c>
      <c r="F756" t="s">
        <v>364</v>
      </c>
      <c r="H756" t="s">
        <v>365</v>
      </c>
      <c r="I756">
        <v>3300446</v>
      </c>
      <c r="J756" t="s">
        <v>2968</v>
      </c>
      <c r="K756" t="s">
        <v>2969</v>
      </c>
      <c r="L756" t="s">
        <v>698</v>
      </c>
      <c r="N756" t="s">
        <v>2970</v>
      </c>
      <c r="O756" t="s">
        <v>2971</v>
      </c>
    </row>
    <row r="757" spans="1:19" x14ac:dyDescent="0.15">
      <c r="A757" t="s">
        <v>1354</v>
      </c>
      <c r="B757" s="61">
        <v>46478</v>
      </c>
      <c r="E757" t="s">
        <v>355</v>
      </c>
      <c r="F757" t="s">
        <v>364</v>
      </c>
      <c r="H757" t="s">
        <v>353</v>
      </c>
      <c r="I757">
        <v>3100079</v>
      </c>
      <c r="J757" t="s">
        <v>1065</v>
      </c>
      <c r="K757" t="s">
        <v>2972</v>
      </c>
      <c r="L757" t="s">
        <v>2973</v>
      </c>
      <c r="N757" t="s">
        <v>2974</v>
      </c>
      <c r="O757" t="s">
        <v>2975</v>
      </c>
    </row>
    <row r="758" spans="1:19" x14ac:dyDescent="0.15">
      <c r="A758" t="s">
        <v>2956</v>
      </c>
      <c r="B758" s="61">
        <v>46508</v>
      </c>
      <c r="E758" t="s">
        <v>355</v>
      </c>
      <c r="F758" t="s">
        <v>364</v>
      </c>
      <c r="H758" t="s">
        <v>365</v>
      </c>
      <c r="I758">
        <v>3300186</v>
      </c>
      <c r="J758" t="s">
        <v>2822</v>
      </c>
      <c r="K758" t="s">
        <v>1914</v>
      </c>
      <c r="L758" t="s">
        <v>2976</v>
      </c>
      <c r="N758" t="s">
        <v>2977</v>
      </c>
      <c r="O758" t="s">
        <v>2978</v>
      </c>
    </row>
    <row r="759" spans="1:19" x14ac:dyDescent="0.15">
      <c r="A759" t="s">
        <v>2956</v>
      </c>
      <c r="B759" s="61">
        <v>46631</v>
      </c>
      <c r="E759" t="s">
        <v>355</v>
      </c>
      <c r="F759" t="s">
        <v>364</v>
      </c>
      <c r="H759" t="s">
        <v>353</v>
      </c>
      <c r="I759">
        <v>3300365</v>
      </c>
      <c r="J759" t="s">
        <v>2822</v>
      </c>
      <c r="K759" t="s">
        <v>1914</v>
      </c>
      <c r="L759" t="s">
        <v>2979</v>
      </c>
      <c r="N759" t="s">
        <v>2980</v>
      </c>
      <c r="O759" t="s">
        <v>2981</v>
      </c>
    </row>
    <row r="760" spans="1:19" x14ac:dyDescent="0.15">
      <c r="A760" t="s">
        <v>2956</v>
      </c>
      <c r="B760" s="61">
        <v>46692</v>
      </c>
      <c r="E760" t="s">
        <v>355</v>
      </c>
      <c r="F760" t="s">
        <v>364</v>
      </c>
      <c r="H760" t="s">
        <v>365</v>
      </c>
      <c r="I760">
        <v>3300186</v>
      </c>
      <c r="J760" t="s">
        <v>2822</v>
      </c>
      <c r="K760" t="s">
        <v>1914</v>
      </c>
      <c r="L760" t="s">
        <v>2976</v>
      </c>
      <c r="N760" t="s">
        <v>2982</v>
      </c>
      <c r="O760" t="s">
        <v>2978</v>
      </c>
    </row>
    <row r="761" spans="1:19" x14ac:dyDescent="0.15">
      <c r="A761" t="s">
        <v>2956</v>
      </c>
      <c r="B761" s="61">
        <v>46753</v>
      </c>
      <c r="E761" t="s">
        <v>355</v>
      </c>
      <c r="F761" t="s">
        <v>364</v>
      </c>
      <c r="H761" t="s">
        <v>353</v>
      </c>
      <c r="I761">
        <v>3300075</v>
      </c>
      <c r="J761" t="s">
        <v>2983</v>
      </c>
      <c r="K761" t="s">
        <v>1251</v>
      </c>
      <c r="L761" t="s">
        <v>1957</v>
      </c>
      <c r="N761" t="s">
        <v>2984</v>
      </c>
      <c r="O761" t="s">
        <v>2985</v>
      </c>
    </row>
    <row r="762" spans="1:19" x14ac:dyDescent="0.15">
      <c r="A762" t="s">
        <v>2956</v>
      </c>
      <c r="B762" s="61">
        <v>47058</v>
      </c>
      <c r="E762" t="s">
        <v>355</v>
      </c>
      <c r="F762" t="s">
        <v>364</v>
      </c>
      <c r="H762" t="s">
        <v>353</v>
      </c>
      <c r="I762">
        <v>3300631</v>
      </c>
      <c r="J762" t="s">
        <v>2134</v>
      </c>
      <c r="K762" t="s">
        <v>1071</v>
      </c>
      <c r="L762" t="s">
        <v>2986</v>
      </c>
      <c r="N762" t="s">
        <v>2987</v>
      </c>
      <c r="O762" t="s">
        <v>2988</v>
      </c>
    </row>
    <row r="763" spans="1:19" x14ac:dyDescent="0.15">
      <c r="A763" t="s">
        <v>2956</v>
      </c>
      <c r="B763" s="61">
        <v>47150</v>
      </c>
      <c r="E763" t="s">
        <v>355</v>
      </c>
      <c r="F763" t="s">
        <v>364</v>
      </c>
      <c r="H763" t="s">
        <v>353</v>
      </c>
      <c r="I763">
        <v>3300409</v>
      </c>
      <c r="J763" t="s">
        <v>2989</v>
      </c>
      <c r="K763" t="s">
        <v>1914</v>
      </c>
      <c r="L763" t="s">
        <v>2990</v>
      </c>
      <c r="N763" t="s">
        <v>2991</v>
      </c>
      <c r="O763" t="s">
        <v>2992</v>
      </c>
    </row>
    <row r="764" spans="1:19" ht="229.5" x14ac:dyDescent="0.15">
      <c r="A764" t="s">
        <v>2956</v>
      </c>
      <c r="B764" s="61">
        <v>47543</v>
      </c>
      <c r="E764" t="s">
        <v>355</v>
      </c>
      <c r="F764" t="s">
        <v>385</v>
      </c>
      <c r="H764" t="s">
        <v>353</v>
      </c>
      <c r="I764">
        <v>3300287</v>
      </c>
      <c r="J764" t="s">
        <v>2957</v>
      </c>
      <c r="K764" t="s">
        <v>2958</v>
      </c>
      <c r="L764" t="s">
        <v>2959</v>
      </c>
      <c r="N764" t="s">
        <v>2960</v>
      </c>
      <c r="O764" t="s">
        <v>2961</v>
      </c>
      <c r="R764" s="34" t="s">
        <v>768</v>
      </c>
      <c r="S764" s="34" t="s">
        <v>2962</v>
      </c>
    </row>
    <row r="765" spans="1:19" x14ac:dyDescent="0.15">
      <c r="A765" t="s">
        <v>2956</v>
      </c>
      <c r="B765" s="61">
        <v>47969</v>
      </c>
      <c r="E765" t="s">
        <v>355</v>
      </c>
      <c r="F765" t="s">
        <v>364</v>
      </c>
      <c r="H765" t="s">
        <v>365</v>
      </c>
      <c r="I765">
        <v>3300186</v>
      </c>
      <c r="J765" t="s">
        <v>2822</v>
      </c>
      <c r="K765" t="s">
        <v>1914</v>
      </c>
      <c r="L765" t="s">
        <v>2976</v>
      </c>
      <c r="N765" t="s">
        <v>2977</v>
      </c>
      <c r="O765" t="s">
        <v>2978</v>
      </c>
    </row>
    <row r="766" spans="1:19" x14ac:dyDescent="0.15">
      <c r="A766" t="s">
        <v>2956</v>
      </c>
      <c r="B766" s="61">
        <v>48153</v>
      </c>
      <c r="E766" t="s">
        <v>355</v>
      </c>
      <c r="F766" t="s">
        <v>364</v>
      </c>
      <c r="H766" t="s">
        <v>365</v>
      </c>
      <c r="I766">
        <v>3300186</v>
      </c>
      <c r="J766" t="s">
        <v>2822</v>
      </c>
      <c r="K766" t="s">
        <v>1914</v>
      </c>
      <c r="L766" t="s">
        <v>2976</v>
      </c>
      <c r="N766" t="s">
        <v>2982</v>
      </c>
      <c r="O766" t="s">
        <v>2978</v>
      </c>
    </row>
    <row r="767" spans="1:19" x14ac:dyDescent="0.15">
      <c r="A767" t="s">
        <v>2956</v>
      </c>
      <c r="B767" s="61">
        <v>48214</v>
      </c>
      <c r="E767" t="s">
        <v>355</v>
      </c>
      <c r="F767" t="s">
        <v>364</v>
      </c>
      <c r="H767" t="s">
        <v>353</v>
      </c>
      <c r="I767">
        <v>3300075</v>
      </c>
      <c r="J767" t="s">
        <v>2983</v>
      </c>
      <c r="K767" t="s">
        <v>1251</v>
      </c>
      <c r="L767" t="s">
        <v>1957</v>
      </c>
      <c r="N767" t="s">
        <v>2984</v>
      </c>
      <c r="O767" t="s">
        <v>2985</v>
      </c>
    </row>
    <row r="768" spans="1:19" ht="409.5" x14ac:dyDescent="0.15">
      <c r="A768" t="s">
        <v>2993</v>
      </c>
      <c r="B768" s="61">
        <v>46235</v>
      </c>
      <c r="E768" t="s">
        <v>355</v>
      </c>
      <c r="F768" t="s">
        <v>969</v>
      </c>
      <c r="H768" t="s">
        <v>970</v>
      </c>
      <c r="I768">
        <v>1300209</v>
      </c>
      <c r="J768" t="s">
        <v>3009</v>
      </c>
      <c r="K768" t="s">
        <v>3010</v>
      </c>
      <c r="L768" t="s">
        <v>3011</v>
      </c>
      <c r="N768" t="s">
        <v>3012</v>
      </c>
      <c r="O768" t="s">
        <v>3013</v>
      </c>
      <c r="R768" s="34" t="s">
        <v>3014</v>
      </c>
      <c r="S768" s="34" t="s">
        <v>3015</v>
      </c>
    </row>
    <row r="769" spans="1:19" ht="409.5" x14ac:dyDescent="0.15">
      <c r="A769" t="s">
        <v>2993</v>
      </c>
      <c r="B769" s="61">
        <v>46753</v>
      </c>
      <c r="E769" t="s">
        <v>355</v>
      </c>
      <c r="F769" t="s">
        <v>385</v>
      </c>
      <c r="H769" t="s">
        <v>365</v>
      </c>
      <c r="I769">
        <v>1301673</v>
      </c>
      <c r="J769" t="s">
        <v>2994</v>
      </c>
      <c r="K769" t="s">
        <v>2995</v>
      </c>
      <c r="L769" t="s">
        <v>2998</v>
      </c>
      <c r="N769" t="s">
        <v>2999</v>
      </c>
      <c r="O769" t="s">
        <v>2997</v>
      </c>
      <c r="R769" t="s">
        <v>395</v>
      </c>
      <c r="S769" s="34" t="s">
        <v>3000</v>
      </c>
    </row>
    <row r="770" spans="1:19" ht="409.5" x14ac:dyDescent="0.15">
      <c r="A770" t="s">
        <v>1424</v>
      </c>
      <c r="B770" s="61">
        <v>47119</v>
      </c>
      <c r="E770" t="s">
        <v>355</v>
      </c>
      <c r="F770" t="s">
        <v>385</v>
      </c>
      <c r="H770" t="s">
        <v>353</v>
      </c>
      <c r="I770">
        <v>1201546</v>
      </c>
      <c r="J770" t="s">
        <v>3016</v>
      </c>
      <c r="K770" t="s">
        <v>3017</v>
      </c>
      <c r="L770" t="s">
        <v>3018</v>
      </c>
      <c r="N770" t="s">
        <v>3019</v>
      </c>
      <c r="O770" t="s">
        <v>3020</v>
      </c>
      <c r="R770" t="s">
        <v>386</v>
      </c>
      <c r="S770" s="34" t="s">
        <v>5148</v>
      </c>
    </row>
    <row r="771" spans="1:19" x14ac:dyDescent="0.15">
      <c r="A771" t="s">
        <v>2993</v>
      </c>
      <c r="B771" s="61">
        <v>47150</v>
      </c>
      <c r="E771" t="s">
        <v>355</v>
      </c>
      <c r="F771" t="s">
        <v>364</v>
      </c>
      <c r="H771" t="s">
        <v>365</v>
      </c>
      <c r="I771">
        <v>1300144</v>
      </c>
      <c r="J771" t="s">
        <v>3005</v>
      </c>
      <c r="K771" t="s">
        <v>3006</v>
      </c>
      <c r="L771" t="s">
        <v>3007</v>
      </c>
      <c r="N771" t="s">
        <v>3021</v>
      </c>
      <c r="O771" t="s">
        <v>3008</v>
      </c>
    </row>
    <row r="772" spans="1:19" ht="216" x14ac:dyDescent="0.15">
      <c r="A772" t="s">
        <v>2993</v>
      </c>
      <c r="B772" s="61">
        <v>47300</v>
      </c>
      <c r="E772" t="s">
        <v>355</v>
      </c>
      <c r="F772" t="s">
        <v>385</v>
      </c>
      <c r="H772" t="s">
        <v>353</v>
      </c>
      <c r="I772">
        <v>1300209</v>
      </c>
      <c r="J772" t="s">
        <v>3009</v>
      </c>
      <c r="K772" t="s">
        <v>3010</v>
      </c>
      <c r="L772" t="s">
        <v>3011</v>
      </c>
      <c r="N772" t="s">
        <v>3022</v>
      </c>
      <c r="O772" t="s">
        <v>3013</v>
      </c>
      <c r="R772" s="34" t="s">
        <v>768</v>
      </c>
      <c r="S772" s="34" t="s">
        <v>3023</v>
      </c>
    </row>
    <row r="773" spans="1:19" x14ac:dyDescent="0.15">
      <c r="A773" t="s">
        <v>3024</v>
      </c>
      <c r="B773" s="61">
        <v>46600</v>
      </c>
      <c r="E773" t="s">
        <v>355</v>
      </c>
      <c r="F773" t="s">
        <v>364</v>
      </c>
      <c r="H773" t="s">
        <v>365</v>
      </c>
      <c r="I773">
        <v>1301371</v>
      </c>
      <c r="J773" t="s">
        <v>3025</v>
      </c>
      <c r="L773" t="s">
        <v>820</v>
      </c>
      <c r="N773" t="s">
        <v>3026</v>
      </c>
      <c r="O773" t="s">
        <v>3027</v>
      </c>
    </row>
    <row r="774" spans="1:19" ht="270" x14ac:dyDescent="0.15">
      <c r="A774" t="s">
        <v>3024</v>
      </c>
      <c r="B774" s="61">
        <v>46966</v>
      </c>
      <c r="E774" t="s">
        <v>355</v>
      </c>
      <c r="F774" t="s">
        <v>543</v>
      </c>
      <c r="H774" t="s">
        <v>310</v>
      </c>
      <c r="I774">
        <v>1301260</v>
      </c>
      <c r="J774" t="s">
        <v>3028</v>
      </c>
      <c r="K774" t="s">
        <v>3029</v>
      </c>
      <c r="L774" t="s">
        <v>3030</v>
      </c>
      <c r="N774" t="s">
        <v>3031</v>
      </c>
      <c r="O774" t="s">
        <v>3032</v>
      </c>
      <c r="R774" t="s">
        <v>545</v>
      </c>
      <c r="S774" s="34" t="s">
        <v>3033</v>
      </c>
    </row>
    <row r="775" spans="1:19" ht="229.5" x14ac:dyDescent="0.15">
      <c r="A775" t="s">
        <v>3024</v>
      </c>
      <c r="B775" s="61">
        <v>47331</v>
      </c>
      <c r="E775" t="s">
        <v>355</v>
      </c>
      <c r="F775" t="s">
        <v>385</v>
      </c>
      <c r="H775" t="s">
        <v>353</v>
      </c>
      <c r="I775">
        <v>1200885</v>
      </c>
      <c r="J775" t="s">
        <v>3034</v>
      </c>
      <c r="K775" t="s">
        <v>3035</v>
      </c>
      <c r="L775" t="s">
        <v>3036</v>
      </c>
      <c r="N775" t="s">
        <v>3037</v>
      </c>
      <c r="O775" t="s">
        <v>3038</v>
      </c>
      <c r="R775" t="s">
        <v>386</v>
      </c>
      <c r="S775" s="34" t="s">
        <v>3039</v>
      </c>
    </row>
    <row r="776" spans="1:19" ht="270" x14ac:dyDescent="0.15">
      <c r="A776" t="s">
        <v>3024</v>
      </c>
      <c r="B776" s="61">
        <v>47331</v>
      </c>
      <c r="E776" t="s">
        <v>355</v>
      </c>
      <c r="F776" t="s">
        <v>385</v>
      </c>
      <c r="H776" t="s">
        <v>310</v>
      </c>
      <c r="I776">
        <v>1301260</v>
      </c>
      <c r="J776" t="s">
        <v>3028</v>
      </c>
      <c r="K776" t="s">
        <v>3029</v>
      </c>
      <c r="L776" t="s">
        <v>3030</v>
      </c>
      <c r="N776" t="s">
        <v>3031</v>
      </c>
      <c r="O776" t="s">
        <v>3032</v>
      </c>
      <c r="R776" t="s">
        <v>395</v>
      </c>
      <c r="S776" s="34" t="s">
        <v>3033</v>
      </c>
    </row>
    <row r="777" spans="1:19" x14ac:dyDescent="0.15">
      <c r="A777" t="s">
        <v>3040</v>
      </c>
      <c r="B777" s="61">
        <v>46447</v>
      </c>
      <c r="E777" t="s">
        <v>355</v>
      </c>
      <c r="F777" t="s">
        <v>364</v>
      </c>
      <c r="H777" t="s">
        <v>353</v>
      </c>
      <c r="I777">
        <v>3600177</v>
      </c>
      <c r="J777" t="s">
        <v>3041</v>
      </c>
      <c r="K777" t="s">
        <v>3042</v>
      </c>
      <c r="L777" t="s">
        <v>466</v>
      </c>
      <c r="N777" t="s">
        <v>3043</v>
      </c>
      <c r="O777" t="s">
        <v>3044</v>
      </c>
    </row>
    <row r="778" spans="1:19" x14ac:dyDescent="0.15">
      <c r="A778" t="s">
        <v>3040</v>
      </c>
      <c r="B778" s="61">
        <v>46508</v>
      </c>
      <c r="E778" t="s">
        <v>355</v>
      </c>
      <c r="F778" t="s">
        <v>364</v>
      </c>
      <c r="H778" t="s">
        <v>353</v>
      </c>
      <c r="I778">
        <v>3600059</v>
      </c>
      <c r="J778" t="s">
        <v>3045</v>
      </c>
      <c r="L778" t="s">
        <v>3046</v>
      </c>
      <c r="N778" t="s">
        <v>3047</v>
      </c>
      <c r="O778" t="s">
        <v>3048</v>
      </c>
    </row>
    <row r="779" spans="1:19" ht="409.5" x14ac:dyDescent="0.15">
      <c r="A779" t="s">
        <v>3040</v>
      </c>
      <c r="B779" s="61">
        <v>47300</v>
      </c>
      <c r="E779" t="s">
        <v>355</v>
      </c>
      <c r="F779" t="s">
        <v>385</v>
      </c>
      <c r="H779" t="s">
        <v>353</v>
      </c>
      <c r="I779">
        <v>3600177</v>
      </c>
      <c r="J779" t="s">
        <v>3041</v>
      </c>
      <c r="K779" t="s">
        <v>3042</v>
      </c>
      <c r="L779" t="s">
        <v>466</v>
      </c>
      <c r="N779" t="s">
        <v>3049</v>
      </c>
      <c r="O779" t="s">
        <v>3044</v>
      </c>
      <c r="R779" s="34" t="s">
        <v>768</v>
      </c>
      <c r="S779" s="34" t="s">
        <v>3050</v>
      </c>
    </row>
    <row r="780" spans="1:19" x14ac:dyDescent="0.15">
      <c r="A780" t="s">
        <v>3040</v>
      </c>
      <c r="B780" s="61">
        <v>47908</v>
      </c>
      <c r="E780" t="s">
        <v>355</v>
      </c>
      <c r="F780" t="s">
        <v>364</v>
      </c>
      <c r="H780" t="s">
        <v>353</v>
      </c>
      <c r="I780">
        <v>3600177</v>
      </c>
      <c r="J780" t="s">
        <v>3041</v>
      </c>
      <c r="K780" t="s">
        <v>3042</v>
      </c>
      <c r="L780" t="s">
        <v>466</v>
      </c>
      <c r="N780" t="s">
        <v>3043</v>
      </c>
      <c r="O780" t="s">
        <v>3044</v>
      </c>
    </row>
    <row r="781" spans="1:19" x14ac:dyDescent="0.15">
      <c r="A781" t="s">
        <v>3040</v>
      </c>
      <c r="B781" s="61">
        <v>47969</v>
      </c>
      <c r="E781" t="s">
        <v>355</v>
      </c>
      <c r="F781" t="s">
        <v>364</v>
      </c>
      <c r="H781" t="s">
        <v>353</v>
      </c>
      <c r="I781">
        <v>3600059</v>
      </c>
      <c r="J781" t="s">
        <v>3045</v>
      </c>
      <c r="L781" t="s">
        <v>3046</v>
      </c>
      <c r="N781" t="s">
        <v>3047</v>
      </c>
      <c r="O781" t="s">
        <v>3048</v>
      </c>
    </row>
    <row r="782" spans="1:19" ht="409.5" x14ac:dyDescent="0.15">
      <c r="A782" t="s">
        <v>3051</v>
      </c>
      <c r="B782" s="61">
        <v>46327</v>
      </c>
      <c r="E782" t="s">
        <v>355</v>
      </c>
      <c r="F782" t="s">
        <v>356</v>
      </c>
      <c r="H782" t="s">
        <v>365</v>
      </c>
      <c r="I782">
        <v>801404</v>
      </c>
      <c r="J782" t="s">
        <v>3053</v>
      </c>
      <c r="K782" t="s">
        <v>403</v>
      </c>
      <c r="L782" t="s">
        <v>2041</v>
      </c>
      <c r="N782" t="s">
        <v>3054</v>
      </c>
      <c r="O782" t="s">
        <v>3055</v>
      </c>
      <c r="R782" t="s">
        <v>362</v>
      </c>
      <c r="S782" s="34" t="s">
        <v>3056</v>
      </c>
    </row>
    <row r="783" spans="1:19" x14ac:dyDescent="0.15">
      <c r="A783" t="s">
        <v>3051</v>
      </c>
      <c r="B783" s="61">
        <v>46478</v>
      </c>
      <c r="E783" t="s">
        <v>355</v>
      </c>
      <c r="F783" t="s">
        <v>364</v>
      </c>
      <c r="H783" t="s">
        <v>353</v>
      </c>
      <c r="I783">
        <v>900127</v>
      </c>
      <c r="J783" t="s">
        <v>3057</v>
      </c>
      <c r="K783" t="s">
        <v>3058</v>
      </c>
      <c r="L783" t="s">
        <v>3059</v>
      </c>
      <c r="N783" t="s">
        <v>3060</v>
      </c>
      <c r="O783" t="s">
        <v>3061</v>
      </c>
    </row>
    <row r="784" spans="1:19" x14ac:dyDescent="0.15">
      <c r="A784" t="s">
        <v>3051</v>
      </c>
      <c r="B784" s="61">
        <v>46569</v>
      </c>
      <c r="E784" t="s">
        <v>355</v>
      </c>
      <c r="F784" t="s">
        <v>364</v>
      </c>
      <c r="H784" t="s">
        <v>365</v>
      </c>
      <c r="I784">
        <v>800108</v>
      </c>
      <c r="J784" t="s">
        <v>3062</v>
      </c>
      <c r="K784" t="s">
        <v>3063</v>
      </c>
      <c r="L784" t="s">
        <v>3064</v>
      </c>
      <c r="N784" t="s">
        <v>3065</v>
      </c>
      <c r="O784" t="s">
        <v>3066</v>
      </c>
    </row>
    <row r="785" spans="1:19" x14ac:dyDescent="0.15">
      <c r="A785" t="s">
        <v>3051</v>
      </c>
      <c r="B785" s="61">
        <v>46600</v>
      </c>
      <c r="E785" t="s">
        <v>355</v>
      </c>
      <c r="F785" t="s">
        <v>364</v>
      </c>
      <c r="H785" t="s">
        <v>365</v>
      </c>
      <c r="I785">
        <v>900126</v>
      </c>
      <c r="J785" t="s">
        <v>3057</v>
      </c>
      <c r="K785" t="s">
        <v>3058</v>
      </c>
      <c r="L785" t="s">
        <v>3067</v>
      </c>
      <c r="N785" t="s">
        <v>3068</v>
      </c>
      <c r="O785" t="s">
        <v>3069</v>
      </c>
    </row>
    <row r="786" spans="1:19" x14ac:dyDescent="0.15">
      <c r="A786" t="s">
        <v>3051</v>
      </c>
      <c r="B786" s="61">
        <v>46600</v>
      </c>
      <c r="E786" t="s">
        <v>355</v>
      </c>
      <c r="F786" t="s">
        <v>364</v>
      </c>
      <c r="H786" t="s">
        <v>365</v>
      </c>
      <c r="I786">
        <v>900799</v>
      </c>
      <c r="J786" t="s">
        <v>3070</v>
      </c>
      <c r="K786" t="s">
        <v>3071</v>
      </c>
      <c r="L786" t="s">
        <v>390</v>
      </c>
      <c r="N786" t="s">
        <v>3072</v>
      </c>
      <c r="O786" t="s">
        <v>3073</v>
      </c>
    </row>
    <row r="787" spans="1:19" x14ac:dyDescent="0.15">
      <c r="A787" t="s">
        <v>3051</v>
      </c>
      <c r="B787" s="61">
        <v>46844</v>
      </c>
      <c r="E787" t="s">
        <v>355</v>
      </c>
      <c r="F787" t="s">
        <v>364</v>
      </c>
      <c r="H787" t="s">
        <v>353</v>
      </c>
      <c r="I787">
        <v>900127</v>
      </c>
      <c r="J787" t="s">
        <v>3057</v>
      </c>
      <c r="K787" t="s">
        <v>3058</v>
      </c>
      <c r="L787" t="s">
        <v>3059</v>
      </c>
      <c r="N787" t="s">
        <v>3074</v>
      </c>
      <c r="O787" t="s">
        <v>3061</v>
      </c>
    </row>
    <row r="788" spans="1:19" x14ac:dyDescent="0.15">
      <c r="A788" t="s">
        <v>3051</v>
      </c>
      <c r="B788" s="61">
        <v>46844</v>
      </c>
      <c r="E788" t="s">
        <v>355</v>
      </c>
      <c r="F788" t="s">
        <v>364</v>
      </c>
      <c r="H788" t="s">
        <v>365</v>
      </c>
      <c r="I788">
        <v>900969</v>
      </c>
      <c r="J788" t="s">
        <v>1525</v>
      </c>
      <c r="K788" t="s">
        <v>3052</v>
      </c>
      <c r="L788" t="s">
        <v>3075</v>
      </c>
      <c r="N788" t="s">
        <v>3076</v>
      </c>
      <c r="O788" t="s">
        <v>3077</v>
      </c>
    </row>
    <row r="789" spans="1:19" x14ac:dyDescent="0.15">
      <c r="A789" t="s">
        <v>3051</v>
      </c>
      <c r="B789" s="61">
        <v>46935</v>
      </c>
      <c r="E789" t="s">
        <v>355</v>
      </c>
      <c r="F789" t="s">
        <v>364</v>
      </c>
      <c r="H789" t="s">
        <v>365</v>
      </c>
      <c r="I789">
        <v>900126</v>
      </c>
      <c r="J789" t="s">
        <v>3057</v>
      </c>
      <c r="K789" t="s">
        <v>3058</v>
      </c>
      <c r="L789" t="s">
        <v>3067</v>
      </c>
      <c r="N789" t="s">
        <v>3078</v>
      </c>
      <c r="O789" t="s">
        <v>3069</v>
      </c>
    </row>
    <row r="790" spans="1:19" ht="351" x14ac:dyDescent="0.15">
      <c r="A790" t="s">
        <v>3051</v>
      </c>
      <c r="B790" s="61">
        <v>47362</v>
      </c>
      <c r="E790" t="s">
        <v>355</v>
      </c>
      <c r="F790" t="s">
        <v>385</v>
      </c>
      <c r="H790" t="s">
        <v>353</v>
      </c>
      <c r="I790">
        <v>900977</v>
      </c>
      <c r="J790" t="s">
        <v>3079</v>
      </c>
      <c r="K790" t="s">
        <v>3080</v>
      </c>
      <c r="L790" t="s">
        <v>3081</v>
      </c>
      <c r="N790" t="s">
        <v>3082</v>
      </c>
      <c r="O790" t="s">
        <v>3083</v>
      </c>
      <c r="R790" s="34" t="s">
        <v>768</v>
      </c>
      <c r="S790" s="34" t="s">
        <v>3084</v>
      </c>
    </row>
    <row r="791" spans="1:19" ht="409.5" x14ac:dyDescent="0.15">
      <c r="A791" t="s">
        <v>3051</v>
      </c>
      <c r="B791" s="61">
        <v>47392</v>
      </c>
      <c r="E791" t="s">
        <v>355</v>
      </c>
      <c r="F791" t="s">
        <v>385</v>
      </c>
      <c r="H791" t="s">
        <v>365</v>
      </c>
      <c r="I791">
        <v>801404</v>
      </c>
      <c r="J791" t="s">
        <v>3053</v>
      </c>
      <c r="K791" t="s">
        <v>403</v>
      </c>
      <c r="L791" t="s">
        <v>2041</v>
      </c>
      <c r="N791" t="s">
        <v>3085</v>
      </c>
      <c r="O791" t="s">
        <v>3055</v>
      </c>
      <c r="R791" t="s">
        <v>395</v>
      </c>
      <c r="S791" s="34" t="s">
        <v>3086</v>
      </c>
    </row>
    <row r="792" spans="1:19" ht="364.5" x14ac:dyDescent="0.15">
      <c r="A792" t="s">
        <v>3051</v>
      </c>
      <c r="B792" s="61">
        <v>47515</v>
      </c>
      <c r="E792" t="s">
        <v>355</v>
      </c>
      <c r="F792" t="s">
        <v>385</v>
      </c>
      <c r="H792" t="s">
        <v>353</v>
      </c>
      <c r="I792">
        <v>900126</v>
      </c>
      <c r="J792" t="s">
        <v>3057</v>
      </c>
      <c r="K792" t="s">
        <v>3058</v>
      </c>
      <c r="L792" t="s">
        <v>3067</v>
      </c>
      <c r="N792" t="s">
        <v>3087</v>
      </c>
      <c r="O792" t="s">
        <v>3069</v>
      </c>
      <c r="R792" s="34" t="s">
        <v>768</v>
      </c>
      <c r="S792" s="34" t="s">
        <v>3088</v>
      </c>
    </row>
    <row r="793" spans="1:19" ht="409.5" x14ac:dyDescent="0.15">
      <c r="A793" t="s">
        <v>3051</v>
      </c>
      <c r="B793" s="61">
        <v>47788</v>
      </c>
      <c r="E793" t="s">
        <v>355</v>
      </c>
      <c r="F793" t="s">
        <v>385</v>
      </c>
      <c r="H793" t="s">
        <v>365</v>
      </c>
      <c r="I793">
        <v>801404</v>
      </c>
      <c r="J793" t="s">
        <v>3053</v>
      </c>
      <c r="K793" t="s">
        <v>403</v>
      </c>
      <c r="L793" t="s">
        <v>2041</v>
      </c>
      <c r="N793" t="s">
        <v>3054</v>
      </c>
      <c r="O793" t="s">
        <v>3055</v>
      </c>
      <c r="R793" t="s">
        <v>395</v>
      </c>
      <c r="S793" s="34" t="s">
        <v>3056</v>
      </c>
    </row>
    <row r="794" spans="1:19" x14ac:dyDescent="0.15">
      <c r="A794" t="s">
        <v>3051</v>
      </c>
      <c r="B794" s="61">
        <v>47939</v>
      </c>
      <c r="E794" t="s">
        <v>355</v>
      </c>
      <c r="F794" t="s">
        <v>364</v>
      </c>
      <c r="H794" t="s">
        <v>353</v>
      </c>
      <c r="I794">
        <v>900127</v>
      </c>
      <c r="J794" t="s">
        <v>3057</v>
      </c>
      <c r="K794" t="s">
        <v>3058</v>
      </c>
      <c r="L794" t="s">
        <v>3059</v>
      </c>
      <c r="N794" t="s">
        <v>3060</v>
      </c>
      <c r="O794" t="s">
        <v>3061</v>
      </c>
    </row>
    <row r="795" spans="1:19" x14ac:dyDescent="0.15">
      <c r="A795" t="s">
        <v>3051</v>
      </c>
      <c r="B795" s="61">
        <v>48030</v>
      </c>
      <c r="E795" t="s">
        <v>355</v>
      </c>
      <c r="F795" t="s">
        <v>364</v>
      </c>
      <c r="H795" t="s">
        <v>365</v>
      </c>
      <c r="I795">
        <v>800108</v>
      </c>
      <c r="J795" t="s">
        <v>3062</v>
      </c>
      <c r="K795" t="s">
        <v>3063</v>
      </c>
      <c r="L795" t="s">
        <v>3064</v>
      </c>
      <c r="N795" t="s">
        <v>3065</v>
      </c>
      <c r="O795" t="s">
        <v>3066</v>
      </c>
    </row>
    <row r="796" spans="1:19" x14ac:dyDescent="0.15">
      <c r="A796" t="s">
        <v>3051</v>
      </c>
      <c r="B796" s="61">
        <v>48061</v>
      </c>
      <c r="E796" t="s">
        <v>355</v>
      </c>
      <c r="F796" t="s">
        <v>364</v>
      </c>
      <c r="H796" t="s">
        <v>365</v>
      </c>
      <c r="I796">
        <v>900799</v>
      </c>
      <c r="J796" t="s">
        <v>3070</v>
      </c>
      <c r="K796" t="s">
        <v>3071</v>
      </c>
      <c r="L796" t="s">
        <v>390</v>
      </c>
      <c r="N796" t="s">
        <v>3072</v>
      </c>
      <c r="O796" t="s">
        <v>3073</v>
      </c>
    </row>
    <row r="797" spans="1:19" ht="409.5" x14ac:dyDescent="0.15">
      <c r="A797" t="s">
        <v>3089</v>
      </c>
      <c r="B797" s="61">
        <v>46327</v>
      </c>
      <c r="E797" t="s">
        <v>355</v>
      </c>
      <c r="F797" t="s">
        <v>356</v>
      </c>
      <c r="H797" t="s">
        <v>353</v>
      </c>
      <c r="I797">
        <v>900989</v>
      </c>
      <c r="J797" t="s">
        <v>3098</v>
      </c>
      <c r="K797" t="s">
        <v>3092</v>
      </c>
      <c r="L797" t="s">
        <v>3099</v>
      </c>
      <c r="N797" s="34" t="s">
        <v>7479</v>
      </c>
      <c r="O797" t="s">
        <v>3101</v>
      </c>
      <c r="R797" s="34" t="s">
        <v>3108</v>
      </c>
      <c r="S797" s="34" t="s">
        <v>7480</v>
      </c>
    </row>
    <row r="798" spans="1:19" x14ac:dyDescent="0.15">
      <c r="A798" t="s">
        <v>3089</v>
      </c>
      <c r="B798" s="61">
        <v>46388</v>
      </c>
      <c r="E798" t="s">
        <v>355</v>
      </c>
      <c r="F798" t="s">
        <v>364</v>
      </c>
      <c r="H798" t="s">
        <v>365</v>
      </c>
      <c r="I798">
        <v>900491</v>
      </c>
      <c r="J798" t="s">
        <v>3109</v>
      </c>
      <c r="K798" t="s">
        <v>3090</v>
      </c>
      <c r="L798" t="s">
        <v>820</v>
      </c>
      <c r="N798" t="s">
        <v>3110</v>
      </c>
      <c r="O798" t="s">
        <v>3111</v>
      </c>
    </row>
    <row r="799" spans="1:19" x14ac:dyDescent="0.15">
      <c r="A799" t="s">
        <v>3089</v>
      </c>
      <c r="B799" s="61">
        <v>46419</v>
      </c>
      <c r="E799" t="s">
        <v>355</v>
      </c>
      <c r="F799" t="s">
        <v>356</v>
      </c>
      <c r="H799" t="s">
        <v>353</v>
      </c>
      <c r="I799">
        <v>900118</v>
      </c>
      <c r="J799" t="s">
        <v>435</v>
      </c>
      <c r="K799" t="s">
        <v>2260</v>
      </c>
      <c r="L799" t="s">
        <v>3112</v>
      </c>
      <c r="N799" t="s">
        <v>5059</v>
      </c>
      <c r="O799" t="s">
        <v>3113</v>
      </c>
    </row>
    <row r="800" spans="1:19" ht="409.5" x14ac:dyDescent="0.15">
      <c r="A800" t="s">
        <v>3089</v>
      </c>
      <c r="B800" s="61">
        <v>46478</v>
      </c>
      <c r="E800" t="s">
        <v>355</v>
      </c>
      <c r="F800" t="s">
        <v>356</v>
      </c>
      <c r="H800" t="s">
        <v>353</v>
      </c>
      <c r="I800">
        <v>900989</v>
      </c>
      <c r="J800" t="s">
        <v>3098</v>
      </c>
      <c r="K800" t="s">
        <v>3092</v>
      </c>
      <c r="L800" t="s">
        <v>3099</v>
      </c>
      <c r="N800" s="34" t="s">
        <v>3100</v>
      </c>
      <c r="O800" t="s">
        <v>3101</v>
      </c>
      <c r="R800" t="s">
        <v>362</v>
      </c>
      <c r="S800" s="34" t="s">
        <v>7477</v>
      </c>
    </row>
    <row r="801" spans="1:19" x14ac:dyDescent="0.15">
      <c r="A801" t="s">
        <v>3089</v>
      </c>
      <c r="B801" s="61">
        <v>46539</v>
      </c>
      <c r="E801" t="s">
        <v>355</v>
      </c>
      <c r="F801" t="s">
        <v>385</v>
      </c>
      <c r="H801" t="s">
        <v>365</v>
      </c>
      <c r="I801">
        <v>900953</v>
      </c>
      <c r="J801" t="s">
        <v>3114</v>
      </c>
      <c r="K801" t="s">
        <v>3115</v>
      </c>
      <c r="L801" t="s">
        <v>390</v>
      </c>
      <c r="N801" t="s">
        <v>3116</v>
      </c>
      <c r="O801" t="s">
        <v>3117</v>
      </c>
    </row>
    <row r="802" spans="1:19" x14ac:dyDescent="0.15">
      <c r="A802" t="s">
        <v>3089</v>
      </c>
      <c r="B802" s="61">
        <v>46631</v>
      </c>
      <c r="E802" t="s">
        <v>355</v>
      </c>
      <c r="F802" t="s">
        <v>364</v>
      </c>
      <c r="H802" t="s">
        <v>353</v>
      </c>
      <c r="I802">
        <v>900689</v>
      </c>
      <c r="J802" t="s">
        <v>3118</v>
      </c>
      <c r="K802" t="s">
        <v>3119</v>
      </c>
      <c r="L802" t="s">
        <v>390</v>
      </c>
      <c r="N802" t="s">
        <v>3120</v>
      </c>
      <c r="O802" t="s">
        <v>3121</v>
      </c>
    </row>
    <row r="803" spans="1:19" x14ac:dyDescent="0.15">
      <c r="A803" t="s">
        <v>3089</v>
      </c>
      <c r="B803" s="61">
        <v>46722</v>
      </c>
      <c r="E803" t="s">
        <v>355</v>
      </c>
      <c r="F803" t="s">
        <v>364</v>
      </c>
      <c r="H803" t="s">
        <v>365</v>
      </c>
      <c r="I803">
        <v>901012</v>
      </c>
      <c r="J803" t="s">
        <v>3122</v>
      </c>
      <c r="K803" t="s">
        <v>3090</v>
      </c>
      <c r="L803" t="s">
        <v>390</v>
      </c>
      <c r="N803" t="s">
        <v>3123</v>
      </c>
      <c r="O803" t="s">
        <v>3124</v>
      </c>
    </row>
    <row r="804" spans="1:19" x14ac:dyDescent="0.15">
      <c r="A804" t="s">
        <v>3089</v>
      </c>
      <c r="B804" s="61">
        <v>46722</v>
      </c>
      <c r="E804" t="s">
        <v>355</v>
      </c>
      <c r="F804" t="s">
        <v>364</v>
      </c>
      <c r="H804" t="s">
        <v>353</v>
      </c>
      <c r="I804">
        <v>900533</v>
      </c>
      <c r="J804" t="s">
        <v>3125</v>
      </c>
      <c r="K804" t="s">
        <v>3126</v>
      </c>
      <c r="L804" t="s">
        <v>1968</v>
      </c>
      <c r="N804" t="s">
        <v>3127</v>
      </c>
      <c r="O804" t="s">
        <v>3128</v>
      </c>
    </row>
    <row r="805" spans="1:19" x14ac:dyDescent="0.15">
      <c r="A805" t="s">
        <v>3089</v>
      </c>
      <c r="B805" s="61">
        <v>46966</v>
      </c>
      <c r="E805" t="s">
        <v>355</v>
      </c>
      <c r="F805" t="s">
        <v>364</v>
      </c>
      <c r="H805" t="s">
        <v>353</v>
      </c>
      <c r="I805">
        <v>900260</v>
      </c>
      <c r="J805" t="s">
        <v>873</v>
      </c>
      <c r="K805" t="s">
        <v>3129</v>
      </c>
      <c r="L805" t="s">
        <v>3130</v>
      </c>
      <c r="N805" t="s">
        <v>3131</v>
      </c>
      <c r="O805" t="s">
        <v>3132</v>
      </c>
    </row>
    <row r="806" spans="1:19" x14ac:dyDescent="0.15">
      <c r="A806" t="s">
        <v>3089</v>
      </c>
      <c r="B806" s="61">
        <v>46966</v>
      </c>
      <c r="E806" t="s">
        <v>355</v>
      </c>
      <c r="F806" t="s">
        <v>364</v>
      </c>
      <c r="H806" t="s">
        <v>353</v>
      </c>
      <c r="I806">
        <v>1102458</v>
      </c>
      <c r="J806" t="s">
        <v>2037</v>
      </c>
      <c r="K806" t="s">
        <v>3103</v>
      </c>
      <c r="L806" t="s">
        <v>3133</v>
      </c>
      <c r="N806" t="s">
        <v>3134</v>
      </c>
      <c r="O806" t="s">
        <v>3135</v>
      </c>
    </row>
    <row r="807" spans="1:19" x14ac:dyDescent="0.15">
      <c r="A807" t="s">
        <v>3089</v>
      </c>
      <c r="B807" s="61">
        <v>46997</v>
      </c>
      <c r="E807" t="s">
        <v>355</v>
      </c>
      <c r="F807" t="s">
        <v>364</v>
      </c>
      <c r="H807" t="s">
        <v>365</v>
      </c>
      <c r="I807">
        <v>1102458</v>
      </c>
      <c r="J807" t="s">
        <v>2037</v>
      </c>
      <c r="K807" t="s">
        <v>3103</v>
      </c>
      <c r="L807" t="s">
        <v>3133</v>
      </c>
      <c r="N807" t="s">
        <v>3136</v>
      </c>
      <c r="O807" t="s">
        <v>3135</v>
      </c>
    </row>
    <row r="808" spans="1:19" x14ac:dyDescent="0.15">
      <c r="A808" t="s">
        <v>3089</v>
      </c>
      <c r="B808" s="61">
        <v>47058</v>
      </c>
      <c r="E808" t="s">
        <v>355</v>
      </c>
      <c r="F808" t="s">
        <v>364</v>
      </c>
      <c r="H808" t="s">
        <v>353</v>
      </c>
      <c r="I808">
        <v>900854</v>
      </c>
      <c r="J808" t="s">
        <v>3091</v>
      </c>
      <c r="K808" t="s">
        <v>3092</v>
      </c>
      <c r="L808" t="s">
        <v>3137</v>
      </c>
      <c r="N808" t="s">
        <v>3138</v>
      </c>
      <c r="O808" t="s">
        <v>3093</v>
      </c>
    </row>
    <row r="809" spans="1:19" x14ac:dyDescent="0.15">
      <c r="A809" t="s">
        <v>3089</v>
      </c>
      <c r="B809" s="61">
        <v>47088</v>
      </c>
      <c r="E809" t="s">
        <v>355</v>
      </c>
      <c r="F809" t="s">
        <v>364</v>
      </c>
      <c r="H809" t="s">
        <v>365</v>
      </c>
      <c r="I809">
        <v>900476</v>
      </c>
      <c r="J809" t="s">
        <v>3139</v>
      </c>
      <c r="K809" t="s">
        <v>3140</v>
      </c>
      <c r="L809" t="s">
        <v>698</v>
      </c>
      <c r="N809" t="s">
        <v>3141</v>
      </c>
      <c r="O809" t="s">
        <v>3142</v>
      </c>
    </row>
    <row r="810" spans="1:19" ht="409.5" x14ac:dyDescent="0.15">
      <c r="A810" t="s">
        <v>3089</v>
      </c>
      <c r="B810" s="61">
        <v>47178</v>
      </c>
      <c r="E810" t="s">
        <v>355</v>
      </c>
      <c r="F810" t="s">
        <v>385</v>
      </c>
      <c r="H810" t="s">
        <v>353</v>
      </c>
      <c r="I810">
        <v>900689</v>
      </c>
      <c r="J810" t="s">
        <v>3118</v>
      </c>
      <c r="K810" t="s">
        <v>3119</v>
      </c>
      <c r="L810" t="s">
        <v>390</v>
      </c>
      <c r="N810" t="s">
        <v>3143</v>
      </c>
      <c r="O810" t="s">
        <v>3121</v>
      </c>
      <c r="R810" t="s">
        <v>386</v>
      </c>
      <c r="S810" s="34" t="s">
        <v>3144</v>
      </c>
    </row>
    <row r="811" spans="1:19" ht="409.5" x14ac:dyDescent="0.15">
      <c r="A811" t="s">
        <v>3089</v>
      </c>
      <c r="B811" s="61">
        <v>47209</v>
      </c>
      <c r="E811" t="s">
        <v>355</v>
      </c>
      <c r="F811" t="s">
        <v>385</v>
      </c>
      <c r="H811" t="s">
        <v>365</v>
      </c>
      <c r="I811">
        <v>900784</v>
      </c>
      <c r="J811" t="s">
        <v>3145</v>
      </c>
      <c r="K811" t="s">
        <v>3146</v>
      </c>
      <c r="L811" t="s">
        <v>3147</v>
      </c>
      <c r="N811" t="s">
        <v>3148</v>
      </c>
      <c r="O811" t="s">
        <v>3149</v>
      </c>
      <c r="R811" t="s">
        <v>395</v>
      </c>
      <c r="S811" s="34" t="s">
        <v>3150</v>
      </c>
    </row>
    <row r="812" spans="1:19" ht="409.5" x14ac:dyDescent="0.15">
      <c r="A812" t="s">
        <v>3089</v>
      </c>
      <c r="B812" s="61">
        <v>47270</v>
      </c>
      <c r="E812" t="s">
        <v>355</v>
      </c>
      <c r="F812" t="s">
        <v>385</v>
      </c>
      <c r="H812" t="s">
        <v>365</v>
      </c>
      <c r="I812">
        <v>900784</v>
      </c>
      <c r="J812" t="s">
        <v>3145</v>
      </c>
      <c r="K812" t="s">
        <v>3146</v>
      </c>
      <c r="L812" t="s">
        <v>3151</v>
      </c>
      <c r="N812" t="s">
        <v>3152</v>
      </c>
      <c r="O812" t="s">
        <v>3149</v>
      </c>
      <c r="S812" s="34" t="s">
        <v>3153</v>
      </c>
    </row>
    <row r="813" spans="1:19" ht="229.5" x14ac:dyDescent="0.15">
      <c r="A813" t="s">
        <v>3089</v>
      </c>
      <c r="B813" s="61">
        <v>47392</v>
      </c>
      <c r="E813" t="s">
        <v>355</v>
      </c>
      <c r="F813" t="s">
        <v>385</v>
      </c>
      <c r="H813" t="s">
        <v>353</v>
      </c>
      <c r="I813">
        <v>900980</v>
      </c>
      <c r="J813" t="s">
        <v>2683</v>
      </c>
      <c r="K813" t="s">
        <v>3154</v>
      </c>
      <c r="L813" t="s">
        <v>3155</v>
      </c>
      <c r="N813" t="s">
        <v>3156</v>
      </c>
      <c r="O813" t="s">
        <v>3157</v>
      </c>
      <c r="R813" s="34" t="s">
        <v>768</v>
      </c>
      <c r="S813" s="34" t="s">
        <v>3158</v>
      </c>
    </row>
    <row r="814" spans="1:19" ht="270" x14ac:dyDescent="0.15">
      <c r="A814" t="s">
        <v>3089</v>
      </c>
      <c r="B814" s="61">
        <v>47543</v>
      </c>
      <c r="E814" t="s">
        <v>355</v>
      </c>
      <c r="F814" t="s">
        <v>385</v>
      </c>
      <c r="H814" t="s">
        <v>365</v>
      </c>
      <c r="I814">
        <v>900682</v>
      </c>
      <c r="J814" t="s">
        <v>3159</v>
      </c>
      <c r="L814" t="s">
        <v>390</v>
      </c>
      <c r="N814" t="s">
        <v>3160</v>
      </c>
      <c r="O814" t="s">
        <v>3161</v>
      </c>
      <c r="R814" t="s">
        <v>395</v>
      </c>
      <c r="S814" s="34" t="s">
        <v>3162</v>
      </c>
    </row>
    <row r="815" spans="1:19" ht="243" x14ac:dyDescent="0.15">
      <c r="A815" t="s">
        <v>3089</v>
      </c>
      <c r="B815" s="61">
        <v>47604</v>
      </c>
      <c r="E815" t="s">
        <v>355</v>
      </c>
      <c r="F815" t="s">
        <v>385</v>
      </c>
      <c r="H815" t="s">
        <v>365</v>
      </c>
      <c r="I815">
        <v>900984</v>
      </c>
      <c r="J815" t="s">
        <v>3094</v>
      </c>
      <c r="L815" t="s">
        <v>1148</v>
      </c>
      <c r="N815" t="s">
        <v>3095</v>
      </c>
      <c r="O815" t="s">
        <v>3096</v>
      </c>
      <c r="R815" t="s">
        <v>395</v>
      </c>
      <c r="S815" s="34" t="s">
        <v>3097</v>
      </c>
    </row>
    <row r="816" spans="1:19" ht="409.5" x14ac:dyDescent="0.15">
      <c r="A816" t="s">
        <v>3089</v>
      </c>
      <c r="B816" s="61">
        <v>47788</v>
      </c>
      <c r="E816" t="s">
        <v>355</v>
      </c>
      <c r="F816" t="s">
        <v>385</v>
      </c>
      <c r="H816" t="s">
        <v>353</v>
      </c>
      <c r="I816">
        <v>900989</v>
      </c>
      <c r="J816" t="s">
        <v>3098</v>
      </c>
      <c r="K816" t="s">
        <v>3092</v>
      </c>
      <c r="L816" t="s">
        <v>3099</v>
      </c>
      <c r="N816" s="34" t="s">
        <v>7479</v>
      </c>
      <c r="O816" t="s">
        <v>3101</v>
      </c>
      <c r="R816" t="s">
        <v>386</v>
      </c>
      <c r="S816" s="34" t="s">
        <v>7480</v>
      </c>
    </row>
    <row r="817" spans="1:19" x14ac:dyDescent="0.15">
      <c r="A817" t="s">
        <v>3089</v>
      </c>
      <c r="B817" s="61">
        <v>47849</v>
      </c>
      <c r="E817" t="s">
        <v>355</v>
      </c>
      <c r="F817" t="s">
        <v>364</v>
      </c>
      <c r="H817" t="s">
        <v>365</v>
      </c>
      <c r="I817">
        <v>900491</v>
      </c>
      <c r="J817" t="s">
        <v>3109</v>
      </c>
      <c r="K817" t="s">
        <v>3090</v>
      </c>
      <c r="L817" t="s">
        <v>820</v>
      </c>
      <c r="N817" t="s">
        <v>3110</v>
      </c>
      <c r="O817" t="s">
        <v>3111</v>
      </c>
    </row>
    <row r="818" spans="1:19" x14ac:dyDescent="0.15">
      <c r="A818" t="s">
        <v>3089</v>
      </c>
      <c r="B818" s="61">
        <v>47880</v>
      </c>
      <c r="E818" t="s">
        <v>355</v>
      </c>
      <c r="F818" t="s">
        <v>385</v>
      </c>
      <c r="H818" t="s">
        <v>353</v>
      </c>
      <c r="I818">
        <v>900118</v>
      </c>
      <c r="J818" t="s">
        <v>435</v>
      </c>
      <c r="K818" t="s">
        <v>2260</v>
      </c>
      <c r="L818" t="s">
        <v>3112</v>
      </c>
      <c r="N818" t="s">
        <v>5059</v>
      </c>
      <c r="O818" t="s">
        <v>3113</v>
      </c>
    </row>
    <row r="819" spans="1:19" ht="409.5" x14ac:dyDescent="0.15">
      <c r="A819" t="s">
        <v>3089</v>
      </c>
      <c r="B819" s="61">
        <v>47939</v>
      </c>
      <c r="E819" t="s">
        <v>355</v>
      </c>
      <c r="F819" t="s">
        <v>356</v>
      </c>
      <c r="H819" t="s">
        <v>353</v>
      </c>
      <c r="I819">
        <v>900989</v>
      </c>
      <c r="J819" t="s">
        <v>3098</v>
      </c>
      <c r="K819" t="s">
        <v>3092</v>
      </c>
      <c r="L819" t="s">
        <v>3099</v>
      </c>
      <c r="N819" t="s">
        <v>7478</v>
      </c>
      <c r="O819" t="s">
        <v>3101</v>
      </c>
      <c r="R819" t="s">
        <v>386</v>
      </c>
      <c r="S819" s="34" t="s">
        <v>7477</v>
      </c>
    </row>
    <row r="820" spans="1:19" x14ac:dyDescent="0.15">
      <c r="A820" t="s">
        <v>3089</v>
      </c>
      <c r="B820" s="61">
        <v>48092</v>
      </c>
      <c r="E820" t="s">
        <v>355</v>
      </c>
      <c r="F820" t="s">
        <v>364</v>
      </c>
      <c r="H820" t="s">
        <v>353</v>
      </c>
      <c r="I820">
        <v>900689</v>
      </c>
      <c r="J820" t="s">
        <v>3118</v>
      </c>
      <c r="K820" t="s">
        <v>3119</v>
      </c>
      <c r="L820" t="s">
        <v>390</v>
      </c>
      <c r="N820" t="s">
        <v>3120</v>
      </c>
      <c r="O820" t="s">
        <v>3121</v>
      </c>
    </row>
    <row r="821" spans="1:19" x14ac:dyDescent="0.15">
      <c r="A821" t="s">
        <v>3089</v>
      </c>
      <c r="B821" s="61">
        <v>48183</v>
      </c>
      <c r="E821" t="s">
        <v>355</v>
      </c>
      <c r="F821" t="s">
        <v>364</v>
      </c>
      <c r="H821" t="s">
        <v>365</v>
      </c>
      <c r="I821">
        <v>901012</v>
      </c>
      <c r="J821" t="s">
        <v>3122</v>
      </c>
      <c r="K821" t="s">
        <v>3090</v>
      </c>
      <c r="L821" t="s">
        <v>390</v>
      </c>
      <c r="N821" t="s">
        <v>3123</v>
      </c>
      <c r="O821" t="s">
        <v>3124</v>
      </c>
    </row>
    <row r="822" spans="1:19" x14ac:dyDescent="0.15">
      <c r="A822" t="s">
        <v>3089</v>
      </c>
      <c r="B822" s="61">
        <v>48183</v>
      </c>
      <c r="E822" t="s">
        <v>355</v>
      </c>
      <c r="F822" t="s">
        <v>364</v>
      </c>
      <c r="H822" t="s">
        <v>353</v>
      </c>
      <c r="I822">
        <v>900533</v>
      </c>
      <c r="J822" t="s">
        <v>3125</v>
      </c>
      <c r="K822" t="s">
        <v>3126</v>
      </c>
      <c r="L822" t="s">
        <v>1968</v>
      </c>
      <c r="N822" t="s">
        <v>3127</v>
      </c>
      <c r="O822" t="s">
        <v>3128</v>
      </c>
    </row>
    <row r="823" spans="1:19" x14ac:dyDescent="0.15">
      <c r="A823" t="s">
        <v>3163</v>
      </c>
      <c r="B823" s="61">
        <v>46753</v>
      </c>
      <c r="E823" t="s">
        <v>355</v>
      </c>
      <c r="F823" t="s">
        <v>364</v>
      </c>
      <c r="H823" t="s">
        <v>353</v>
      </c>
      <c r="I823">
        <v>2900300</v>
      </c>
      <c r="J823" t="s">
        <v>3164</v>
      </c>
      <c r="L823" t="s">
        <v>3165</v>
      </c>
      <c r="N823" t="s">
        <v>3166</v>
      </c>
      <c r="O823" t="s">
        <v>3167</v>
      </c>
    </row>
    <row r="824" spans="1:19" x14ac:dyDescent="0.15">
      <c r="A824" t="s">
        <v>3163</v>
      </c>
      <c r="B824" s="61">
        <v>48214</v>
      </c>
      <c r="E824" t="s">
        <v>355</v>
      </c>
      <c r="F824" t="s">
        <v>364</v>
      </c>
      <c r="H824" t="s">
        <v>353</v>
      </c>
      <c r="I824">
        <v>2900300</v>
      </c>
      <c r="J824" t="s">
        <v>3164</v>
      </c>
      <c r="L824" t="s">
        <v>3165</v>
      </c>
      <c r="N824" t="s">
        <v>3166</v>
      </c>
      <c r="O824" t="s">
        <v>3167</v>
      </c>
    </row>
    <row r="825" spans="1:19" ht="391.5" x14ac:dyDescent="0.15">
      <c r="A825" t="s">
        <v>3168</v>
      </c>
      <c r="B825" s="61">
        <v>46327</v>
      </c>
      <c r="E825" t="s">
        <v>355</v>
      </c>
      <c r="F825" t="s">
        <v>385</v>
      </c>
      <c r="H825" t="s">
        <v>365</v>
      </c>
      <c r="I825">
        <v>4600138</v>
      </c>
      <c r="J825" t="s">
        <v>3169</v>
      </c>
      <c r="L825" t="s">
        <v>698</v>
      </c>
      <c r="N825" t="s">
        <v>3170</v>
      </c>
      <c r="O825" t="s">
        <v>3171</v>
      </c>
      <c r="R825" t="s">
        <v>395</v>
      </c>
      <c r="S825" s="34" t="s">
        <v>3172</v>
      </c>
    </row>
    <row r="826" spans="1:19" ht="351" x14ac:dyDescent="0.15">
      <c r="A826" t="s">
        <v>3168</v>
      </c>
      <c r="B826" s="61">
        <v>47362</v>
      </c>
      <c r="E826" t="s">
        <v>355</v>
      </c>
      <c r="F826" t="s">
        <v>385</v>
      </c>
      <c r="H826" t="s">
        <v>353</v>
      </c>
      <c r="I826">
        <v>4700100</v>
      </c>
      <c r="J826" t="s">
        <v>663</v>
      </c>
      <c r="K826" t="s">
        <v>3173</v>
      </c>
      <c r="L826" t="s">
        <v>404</v>
      </c>
      <c r="N826" t="s">
        <v>3174</v>
      </c>
      <c r="O826" t="s">
        <v>3175</v>
      </c>
      <c r="R826" s="34" t="s">
        <v>768</v>
      </c>
      <c r="S826" s="34" t="s">
        <v>3176</v>
      </c>
    </row>
    <row r="827" spans="1:19" ht="409.5" x14ac:dyDescent="0.15">
      <c r="A827" t="s">
        <v>3177</v>
      </c>
      <c r="B827" s="61">
        <v>46388</v>
      </c>
      <c r="E827" t="s">
        <v>355</v>
      </c>
      <c r="F827" t="s">
        <v>356</v>
      </c>
      <c r="H827" t="s">
        <v>353</v>
      </c>
      <c r="I827">
        <v>2702291</v>
      </c>
      <c r="J827" t="s">
        <v>3178</v>
      </c>
      <c r="K827" t="s">
        <v>3179</v>
      </c>
      <c r="L827" t="s">
        <v>390</v>
      </c>
      <c r="N827" t="s">
        <v>3180</v>
      </c>
      <c r="O827" t="s">
        <v>3181</v>
      </c>
      <c r="P827" t="s">
        <v>3182</v>
      </c>
      <c r="Q827" t="s">
        <v>3183</v>
      </c>
      <c r="R827" t="s">
        <v>3184</v>
      </c>
      <c r="S827" s="34" t="s">
        <v>3185</v>
      </c>
    </row>
    <row r="828" spans="1:19" ht="409.5" x14ac:dyDescent="0.15">
      <c r="A828" t="s">
        <v>3177</v>
      </c>
      <c r="B828" s="61">
        <v>46661</v>
      </c>
      <c r="E828" t="s">
        <v>355</v>
      </c>
      <c r="F828" t="s">
        <v>385</v>
      </c>
      <c r="H828" t="s">
        <v>353</v>
      </c>
      <c r="I828">
        <v>2702291</v>
      </c>
      <c r="J828" t="s">
        <v>3178</v>
      </c>
      <c r="K828" t="s">
        <v>3179</v>
      </c>
      <c r="L828" t="s">
        <v>390</v>
      </c>
      <c r="N828" t="s">
        <v>3180</v>
      </c>
      <c r="O828" t="s">
        <v>3181</v>
      </c>
      <c r="S828" s="34" t="s">
        <v>3186</v>
      </c>
    </row>
    <row r="829" spans="1:19" x14ac:dyDescent="0.15">
      <c r="A829" t="s">
        <v>3177</v>
      </c>
      <c r="B829" s="61">
        <v>46508</v>
      </c>
      <c r="E829" t="s">
        <v>355</v>
      </c>
      <c r="F829" t="s">
        <v>364</v>
      </c>
      <c r="H829" t="s">
        <v>353</v>
      </c>
      <c r="I829">
        <v>2700569</v>
      </c>
      <c r="J829" t="s">
        <v>3187</v>
      </c>
      <c r="K829" t="s">
        <v>436</v>
      </c>
      <c r="L829" t="s">
        <v>833</v>
      </c>
      <c r="N829" t="s">
        <v>3188</v>
      </c>
      <c r="O829" t="s">
        <v>3189</v>
      </c>
    </row>
    <row r="830" spans="1:19" x14ac:dyDescent="0.15">
      <c r="A830" t="s">
        <v>3177</v>
      </c>
      <c r="B830" s="61">
        <v>46508</v>
      </c>
      <c r="E830" t="s">
        <v>355</v>
      </c>
      <c r="F830" t="s">
        <v>364</v>
      </c>
      <c r="H830" t="s">
        <v>353</v>
      </c>
      <c r="I830">
        <v>3000042</v>
      </c>
      <c r="J830" t="s">
        <v>3190</v>
      </c>
      <c r="K830" t="s">
        <v>3191</v>
      </c>
      <c r="L830" t="s">
        <v>833</v>
      </c>
      <c r="N830" t="s">
        <v>3192</v>
      </c>
      <c r="O830" t="s">
        <v>3193</v>
      </c>
    </row>
    <row r="831" spans="1:19" x14ac:dyDescent="0.15">
      <c r="A831" t="s">
        <v>3177</v>
      </c>
      <c r="B831" s="61">
        <v>46539</v>
      </c>
      <c r="E831" t="s">
        <v>355</v>
      </c>
      <c r="F831" t="s">
        <v>364</v>
      </c>
      <c r="H831" t="s">
        <v>353</v>
      </c>
      <c r="I831">
        <v>2702654</v>
      </c>
      <c r="J831" t="s">
        <v>582</v>
      </c>
      <c r="K831" t="s">
        <v>3194</v>
      </c>
      <c r="L831" t="s">
        <v>3195</v>
      </c>
      <c r="N831" t="s">
        <v>3196</v>
      </c>
      <c r="O831" t="s">
        <v>3197</v>
      </c>
    </row>
    <row r="832" spans="1:19" x14ac:dyDescent="0.15">
      <c r="A832" t="s">
        <v>3177</v>
      </c>
      <c r="B832" s="61">
        <v>46569</v>
      </c>
      <c r="E832" t="s">
        <v>355</v>
      </c>
      <c r="F832" t="s">
        <v>364</v>
      </c>
      <c r="H832" t="s">
        <v>365</v>
      </c>
      <c r="I832">
        <v>3000187</v>
      </c>
      <c r="J832" t="s">
        <v>3190</v>
      </c>
      <c r="K832" t="s">
        <v>3198</v>
      </c>
      <c r="L832" t="s">
        <v>3199</v>
      </c>
      <c r="N832" t="s">
        <v>3200</v>
      </c>
      <c r="O832" t="s">
        <v>3201</v>
      </c>
    </row>
    <row r="833" spans="1:19" x14ac:dyDescent="0.15">
      <c r="A833" t="s">
        <v>3177</v>
      </c>
      <c r="B833" s="61">
        <v>46569</v>
      </c>
      <c r="E833" t="s">
        <v>355</v>
      </c>
      <c r="F833" t="s">
        <v>364</v>
      </c>
      <c r="H833" t="s">
        <v>353</v>
      </c>
      <c r="I833">
        <v>3000187</v>
      </c>
      <c r="J833" t="s">
        <v>3190</v>
      </c>
      <c r="K833" t="s">
        <v>3198</v>
      </c>
      <c r="L833" t="s">
        <v>3199</v>
      </c>
      <c r="N833" t="s">
        <v>3202</v>
      </c>
      <c r="O833" t="s">
        <v>3201</v>
      </c>
    </row>
    <row r="834" spans="1:19" x14ac:dyDescent="0.15">
      <c r="A834" t="s">
        <v>3177</v>
      </c>
      <c r="B834" s="61">
        <v>46661</v>
      </c>
      <c r="E834" t="s">
        <v>355</v>
      </c>
      <c r="F834" t="s">
        <v>364</v>
      </c>
      <c r="H834" t="s">
        <v>353</v>
      </c>
      <c r="I834">
        <v>2702655</v>
      </c>
      <c r="J834" t="s">
        <v>3203</v>
      </c>
      <c r="K834" t="s">
        <v>1542</v>
      </c>
      <c r="L834" t="s">
        <v>3204</v>
      </c>
      <c r="N834" t="s">
        <v>3205</v>
      </c>
      <c r="O834" t="s">
        <v>3206</v>
      </c>
    </row>
    <row r="835" spans="1:19" x14ac:dyDescent="0.15">
      <c r="A835" t="s">
        <v>3177</v>
      </c>
      <c r="B835" s="61">
        <v>46692</v>
      </c>
      <c r="E835" t="s">
        <v>355</v>
      </c>
      <c r="F835" t="s">
        <v>364</v>
      </c>
      <c r="H835" t="s">
        <v>365</v>
      </c>
      <c r="I835">
        <v>2702655</v>
      </c>
      <c r="J835" t="s">
        <v>3203</v>
      </c>
      <c r="K835" t="s">
        <v>1542</v>
      </c>
      <c r="L835" t="s">
        <v>3204</v>
      </c>
      <c r="N835" t="s">
        <v>3207</v>
      </c>
      <c r="O835" t="s">
        <v>3206</v>
      </c>
    </row>
    <row r="836" spans="1:19" ht="229.5" x14ac:dyDescent="0.15">
      <c r="A836" t="s">
        <v>3177</v>
      </c>
      <c r="B836" s="61">
        <v>46753</v>
      </c>
      <c r="E836" t="s">
        <v>355</v>
      </c>
      <c r="F836" t="s">
        <v>385</v>
      </c>
      <c r="H836" t="s">
        <v>353</v>
      </c>
      <c r="I836">
        <v>2702053</v>
      </c>
      <c r="J836" t="s">
        <v>427</v>
      </c>
      <c r="K836" t="s">
        <v>1350</v>
      </c>
      <c r="L836" t="s">
        <v>698</v>
      </c>
      <c r="N836" t="s">
        <v>3208</v>
      </c>
      <c r="O836" t="s">
        <v>3209</v>
      </c>
      <c r="R836" t="s">
        <v>386</v>
      </c>
      <c r="S836" s="34" t="s">
        <v>3210</v>
      </c>
    </row>
    <row r="837" spans="1:19" x14ac:dyDescent="0.15">
      <c r="A837" t="s">
        <v>3177</v>
      </c>
      <c r="B837" s="61">
        <v>46813</v>
      </c>
      <c r="E837" t="s">
        <v>355</v>
      </c>
      <c r="F837" t="s">
        <v>364</v>
      </c>
      <c r="H837" t="s">
        <v>353</v>
      </c>
      <c r="I837">
        <v>2702634</v>
      </c>
      <c r="J837" t="s">
        <v>3211</v>
      </c>
      <c r="K837" t="s">
        <v>3212</v>
      </c>
      <c r="L837" t="s">
        <v>390</v>
      </c>
      <c r="N837" t="s">
        <v>3213</v>
      </c>
      <c r="O837" t="s">
        <v>3214</v>
      </c>
    </row>
    <row r="838" spans="1:19" x14ac:dyDescent="0.15">
      <c r="A838" t="s">
        <v>3177</v>
      </c>
      <c r="B838" s="61">
        <v>46997</v>
      </c>
      <c r="E838" t="s">
        <v>355</v>
      </c>
      <c r="F838" t="s">
        <v>364</v>
      </c>
      <c r="H838" t="s">
        <v>365</v>
      </c>
      <c r="I838">
        <v>2702701</v>
      </c>
      <c r="J838" t="s">
        <v>3215</v>
      </c>
      <c r="K838" t="s">
        <v>3216</v>
      </c>
      <c r="L838" t="s">
        <v>3217</v>
      </c>
      <c r="N838" t="s">
        <v>3218</v>
      </c>
      <c r="O838" t="s">
        <v>3219</v>
      </c>
    </row>
    <row r="839" spans="1:19" x14ac:dyDescent="0.15">
      <c r="A839" t="s">
        <v>3177</v>
      </c>
      <c r="B839" s="61">
        <v>47027</v>
      </c>
      <c r="E839" t="s">
        <v>355</v>
      </c>
      <c r="F839" t="s">
        <v>364</v>
      </c>
      <c r="H839" t="s">
        <v>353</v>
      </c>
      <c r="I839">
        <v>2702736</v>
      </c>
      <c r="J839" t="s">
        <v>3220</v>
      </c>
      <c r="L839" t="s">
        <v>3221</v>
      </c>
      <c r="N839" t="s">
        <v>3222</v>
      </c>
      <c r="O839" t="s">
        <v>3223</v>
      </c>
    </row>
    <row r="840" spans="1:19" ht="243" x14ac:dyDescent="0.15">
      <c r="A840" t="s">
        <v>3177</v>
      </c>
      <c r="B840" s="61">
        <v>47088</v>
      </c>
      <c r="E840" t="s">
        <v>355</v>
      </c>
      <c r="F840" t="s">
        <v>385</v>
      </c>
      <c r="H840" t="s">
        <v>365</v>
      </c>
      <c r="I840">
        <v>2702736</v>
      </c>
      <c r="J840" t="s">
        <v>3220</v>
      </c>
      <c r="L840" t="s">
        <v>3221</v>
      </c>
      <c r="N840" t="s">
        <v>3224</v>
      </c>
      <c r="O840" t="s">
        <v>3223</v>
      </c>
      <c r="R840" t="s">
        <v>395</v>
      </c>
      <c r="S840" s="34" t="s">
        <v>3225</v>
      </c>
    </row>
    <row r="841" spans="1:19" ht="229.5" x14ac:dyDescent="0.15">
      <c r="A841" t="s">
        <v>3226</v>
      </c>
      <c r="B841" s="61">
        <v>46235</v>
      </c>
      <c r="E841" t="s">
        <v>355</v>
      </c>
      <c r="F841" t="s">
        <v>356</v>
      </c>
      <c r="H841" t="s">
        <v>353</v>
      </c>
      <c r="I841">
        <v>2303786</v>
      </c>
      <c r="J841" t="s">
        <v>3227</v>
      </c>
      <c r="L841" t="s">
        <v>2778</v>
      </c>
      <c r="N841" t="s">
        <v>3228</v>
      </c>
      <c r="O841" t="s">
        <v>3229</v>
      </c>
      <c r="R841" t="s">
        <v>362</v>
      </c>
      <c r="S841" s="34" t="s">
        <v>3230</v>
      </c>
    </row>
    <row r="842" spans="1:19" ht="243" x14ac:dyDescent="0.15">
      <c r="A842" t="s">
        <v>3226</v>
      </c>
      <c r="B842" s="61">
        <v>46357</v>
      </c>
      <c r="E842" t="s">
        <v>355</v>
      </c>
      <c r="F842" t="s">
        <v>720</v>
      </c>
      <c r="H842" t="s">
        <v>353</v>
      </c>
      <c r="I842">
        <v>2303697</v>
      </c>
      <c r="J842" t="s">
        <v>3231</v>
      </c>
      <c r="K842" t="s">
        <v>2719</v>
      </c>
      <c r="L842" t="s">
        <v>3217</v>
      </c>
      <c r="N842" t="s">
        <v>3232</v>
      </c>
      <c r="O842" t="s">
        <v>3233</v>
      </c>
      <c r="R842" t="s">
        <v>723</v>
      </c>
      <c r="S842" s="34" t="s">
        <v>3234</v>
      </c>
    </row>
    <row r="843" spans="1:19" x14ac:dyDescent="0.15">
      <c r="A843" t="s">
        <v>3226</v>
      </c>
      <c r="B843" s="61">
        <v>46508</v>
      </c>
      <c r="E843" t="s">
        <v>355</v>
      </c>
      <c r="F843" t="s">
        <v>364</v>
      </c>
      <c r="H843" t="s">
        <v>365</v>
      </c>
      <c r="I843">
        <v>2300571</v>
      </c>
      <c r="J843" t="s">
        <v>2481</v>
      </c>
      <c r="K843" t="s">
        <v>3235</v>
      </c>
      <c r="L843" t="s">
        <v>3236</v>
      </c>
      <c r="N843" t="s">
        <v>3237</v>
      </c>
      <c r="O843" t="s">
        <v>3238</v>
      </c>
    </row>
    <row r="844" spans="1:19" x14ac:dyDescent="0.15">
      <c r="A844" t="s">
        <v>3226</v>
      </c>
      <c r="B844" s="61">
        <v>46966</v>
      </c>
      <c r="E844" t="s">
        <v>355</v>
      </c>
      <c r="F844" t="s">
        <v>364</v>
      </c>
      <c r="H844" t="s">
        <v>353</v>
      </c>
      <c r="I844">
        <v>2300564</v>
      </c>
      <c r="J844" t="s">
        <v>2817</v>
      </c>
      <c r="K844" t="s">
        <v>3239</v>
      </c>
      <c r="L844" t="s">
        <v>1957</v>
      </c>
      <c r="N844" t="s">
        <v>3240</v>
      </c>
      <c r="O844" t="s">
        <v>3241</v>
      </c>
    </row>
    <row r="845" spans="1:19" x14ac:dyDescent="0.15">
      <c r="A845" t="s">
        <v>3226</v>
      </c>
      <c r="B845" s="61">
        <v>47027</v>
      </c>
      <c r="E845" t="s">
        <v>355</v>
      </c>
      <c r="F845" t="s">
        <v>364</v>
      </c>
      <c r="H845" t="s">
        <v>365</v>
      </c>
      <c r="I845">
        <v>2303694</v>
      </c>
      <c r="J845" t="s">
        <v>3242</v>
      </c>
      <c r="K845" t="s">
        <v>3243</v>
      </c>
      <c r="L845" t="s">
        <v>1769</v>
      </c>
      <c r="N845" t="s">
        <v>3244</v>
      </c>
      <c r="O845" t="s">
        <v>3245</v>
      </c>
    </row>
    <row r="846" spans="1:19" ht="229.5" x14ac:dyDescent="0.15">
      <c r="A846" t="s">
        <v>3226</v>
      </c>
      <c r="B846" s="61">
        <v>47300</v>
      </c>
      <c r="E846" t="s">
        <v>355</v>
      </c>
      <c r="F846" t="s">
        <v>385</v>
      </c>
      <c r="H846" t="s">
        <v>353</v>
      </c>
      <c r="I846">
        <v>2301037</v>
      </c>
      <c r="J846" t="s">
        <v>3246</v>
      </c>
      <c r="K846" t="s">
        <v>3247</v>
      </c>
      <c r="L846" t="s">
        <v>3248</v>
      </c>
      <c r="N846" t="s">
        <v>3249</v>
      </c>
      <c r="O846" t="s">
        <v>3250</v>
      </c>
      <c r="R846" s="34" t="s">
        <v>768</v>
      </c>
      <c r="S846" s="34" t="s">
        <v>3251</v>
      </c>
    </row>
    <row r="847" spans="1:19" ht="229.5" x14ac:dyDescent="0.15">
      <c r="A847" t="s">
        <v>3226</v>
      </c>
      <c r="B847" s="61">
        <v>47696</v>
      </c>
      <c r="E847" t="s">
        <v>355</v>
      </c>
      <c r="F847" t="s">
        <v>385</v>
      </c>
      <c r="H847" t="s">
        <v>353</v>
      </c>
      <c r="I847">
        <v>2303786</v>
      </c>
      <c r="J847" t="s">
        <v>3227</v>
      </c>
      <c r="L847" t="s">
        <v>2778</v>
      </c>
      <c r="N847" t="s">
        <v>3228</v>
      </c>
      <c r="O847" t="s">
        <v>3229</v>
      </c>
      <c r="R847" t="s">
        <v>386</v>
      </c>
      <c r="S847" s="34" t="s">
        <v>3230</v>
      </c>
    </row>
    <row r="848" spans="1:19" x14ac:dyDescent="0.15">
      <c r="A848" t="s">
        <v>3226</v>
      </c>
      <c r="B848" s="61">
        <v>47969</v>
      </c>
      <c r="E848" t="s">
        <v>355</v>
      </c>
      <c r="F848" t="s">
        <v>364</v>
      </c>
      <c r="H848" t="s">
        <v>365</v>
      </c>
      <c r="I848">
        <v>2300571</v>
      </c>
      <c r="J848" t="s">
        <v>2481</v>
      </c>
      <c r="K848" t="s">
        <v>3235</v>
      </c>
      <c r="L848" t="s">
        <v>3236</v>
      </c>
      <c r="N848" t="s">
        <v>3237</v>
      </c>
      <c r="O848" t="s">
        <v>3238</v>
      </c>
    </row>
    <row r="849" spans="1:19" ht="391.5" x14ac:dyDescent="0.15">
      <c r="A849" t="s">
        <v>3252</v>
      </c>
      <c r="B849" s="61">
        <v>46143</v>
      </c>
      <c r="E849" t="s">
        <v>355</v>
      </c>
      <c r="F849" t="s">
        <v>356</v>
      </c>
      <c r="H849" t="s">
        <v>365</v>
      </c>
      <c r="I849">
        <v>2303818</v>
      </c>
      <c r="J849" t="s">
        <v>3254</v>
      </c>
      <c r="K849" t="s">
        <v>3255</v>
      </c>
      <c r="L849" t="s">
        <v>413</v>
      </c>
      <c r="N849" t="s">
        <v>3256</v>
      </c>
      <c r="O849" t="s">
        <v>3257</v>
      </c>
      <c r="R849" t="s">
        <v>362</v>
      </c>
      <c r="S849" s="34" t="s">
        <v>3258</v>
      </c>
    </row>
    <row r="850" spans="1:19" x14ac:dyDescent="0.15">
      <c r="A850" t="s">
        <v>3252</v>
      </c>
      <c r="B850" s="61">
        <v>46478</v>
      </c>
      <c r="E850" t="s">
        <v>355</v>
      </c>
      <c r="F850" t="s">
        <v>364</v>
      </c>
      <c r="H850" t="s">
        <v>365</v>
      </c>
      <c r="I850">
        <v>2303651</v>
      </c>
      <c r="J850" t="s">
        <v>3259</v>
      </c>
      <c r="K850" t="s">
        <v>1251</v>
      </c>
      <c r="L850" t="s">
        <v>413</v>
      </c>
      <c r="N850" t="s">
        <v>3260</v>
      </c>
      <c r="O850" t="s">
        <v>3261</v>
      </c>
    </row>
    <row r="851" spans="1:19" x14ac:dyDescent="0.15">
      <c r="A851" t="s">
        <v>3252</v>
      </c>
      <c r="B851" s="61">
        <v>46508</v>
      </c>
      <c r="E851" t="s">
        <v>355</v>
      </c>
      <c r="F851" t="s">
        <v>364</v>
      </c>
      <c r="H851" t="s">
        <v>365</v>
      </c>
      <c r="I851">
        <v>2303651</v>
      </c>
      <c r="J851" t="s">
        <v>3259</v>
      </c>
      <c r="K851" t="s">
        <v>1251</v>
      </c>
      <c r="L851" t="s">
        <v>413</v>
      </c>
      <c r="N851" t="s">
        <v>3262</v>
      </c>
      <c r="O851" t="s">
        <v>3261</v>
      </c>
    </row>
    <row r="852" spans="1:19" ht="243" x14ac:dyDescent="0.15">
      <c r="A852" t="s">
        <v>3252</v>
      </c>
      <c r="B852" s="61">
        <v>46631</v>
      </c>
      <c r="E852" t="s">
        <v>355</v>
      </c>
      <c r="F852" t="s">
        <v>385</v>
      </c>
      <c r="H852" t="s">
        <v>365</v>
      </c>
      <c r="I852">
        <v>2303628</v>
      </c>
      <c r="J852" t="s">
        <v>3254</v>
      </c>
      <c r="K852" t="s">
        <v>3255</v>
      </c>
      <c r="L852" t="s">
        <v>3263</v>
      </c>
      <c r="N852" t="s">
        <v>3264</v>
      </c>
      <c r="O852" t="s">
        <v>3265</v>
      </c>
      <c r="R852" t="s">
        <v>395</v>
      </c>
      <c r="S852" s="34" t="s">
        <v>3266</v>
      </c>
    </row>
    <row r="853" spans="1:19" x14ac:dyDescent="0.15">
      <c r="A853" t="s">
        <v>3252</v>
      </c>
      <c r="B853" s="61">
        <v>46661</v>
      </c>
      <c r="E853" t="s">
        <v>355</v>
      </c>
      <c r="F853" t="s">
        <v>364</v>
      </c>
      <c r="H853" t="s">
        <v>353</v>
      </c>
      <c r="I853">
        <v>2300535</v>
      </c>
      <c r="J853" t="s">
        <v>531</v>
      </c>
      <c r="K853" t="s">
        <v>3267</v>
      </c>
      <c r="L853" t="s">
        <v>3268</v>
      </c>
      <c r="N853" t="s">
        <v>3269</v>
      </c>
      <c r="O853" t="s">
        <v>3270</v>
      </c>
    </row>
    <row r="854" spans="1:19" ht="229.5" x14ac:dyDescent="0.15">
      <c r="A854" t="s">
        <v>3252</v>
      </c>
      <c r="B854" s="61">
        <v>47239</v>
      </c>
      <c r="E854" t="s">
        <v>355</v>
      </c>
      <c r="F854" t="s">
        <v>385</v>
      </c>
      <c r="H854" t="s">
        <v>353</v>
      </c>
      <c r="I854">
        <v>2302797</v>
      </c>
      <c r="J854" t="s">
        <v>3271</v>
      </c>
      <c r="K854" t="s">
        <v>3272</v>
      </c>
      <c r="L854" t="s">
        <v>3273</v>
      </c>
      <c r="N854" t="s">
        <v>3274</v>
      </c>
      <c r="O854" t="s">
        <v>3275</v>
      </c>
      <c r="S854" s="34" t="s">
        <v>3276</v>
      </c>
    </row>
    <row r="855" spans="1:19" ht="243" x14ac:dyDescent="0.15">
      <c r="A855" t="s">
        <v>3252</v>
      </c>
      <c r="B855" s="61">
        <v>47362</v>
      </c>
      <c r="E855" t="s">
        <v>355</v>
      </c>
      <c r="F855" t="s">
        <v>385</v>
      </c>
      <c r="H855" t="s">
        <v>365</v>
      </c>
      <c r="I855">
        <v>2303764</v>
      </c>
      <c r="J855" t="s">
        <v>618</v>
      </c>
      <c r="K855" t="s">
        <v>3277</v>
      </c>
      <c r="L855" t="s">
        <v>3278</v>
      </c>
      <c r="N855" t="s">
        <v>3279</v>
      </c>
      <c r="O855" t="s">
        <v>3280</v>
      </c>
      <c r="R855" t="s">
        <v>395</v>
      </c>
      <c r="S855" s="34" t="s">
        <v>3281</v>
      </c>
    </row>
    <row r="856" spans="1:19" ht="391.5" x14ac:dyDescent="0.15">
      <c r="A856" t="s">
        <v>3252</v>
      </c>
      <c r="B856" s="61">
        <v>47604</v>
      </c>
      <c r="E856" t="s">
        <v>355</v>
      </c>
      <c r="F856" t="s">
        <v>385</v>
      </c>
      <c r="H856" t="s">
        <v>365</v>
      </c>
      <c r="I856">
        <v>2303818</v>
      </c>
      <c r="J856" t="s">
        <v>3254</v>
      </c>
      <c r="K856" t="s">
        <v>3255</v>
      </c>
      <c r="L856" t="s">
        <v>413</v>
      </c>
      <c r="N856" t="s">
        <v>3256</v>
      </c>
      <c r="O856" t="s">
        <v>3257</v>
      </c>
      <c r="R856" t="s">
        <v>395</v>
      </c>
      <c r="S856" s="34" t="s">
        <v>3258</v>
      </c>
    </row>
    <row r="857" spans="1:19" x14ac:dyDescent="0.15">
      <c r="A857" t="s">
        <v>3282</v>
      </c>
      <c r="B857" s="61">
        <v>46447</v>
      </c>
      <c r="E857" t="s">
        <v>355</v>
      </c>
      <c r="F857" t="s">
        <v>364</v>
      </c>
      <c r="H857" t="s">
        <v>353</v>
      </c>
      <c r="I857">
        <v>3400355</v>
      </c>
      <c r="J857" t="s">
        <v>2044</v>
      </c>
      <c r="K857" t="s">
        <v>3284</v>
      </c>
      <c r="L857" t="s">
        <v>1276</v>
      </c>
      <c r="N857" t="s">
        <v>3285</v>
      </c>
      <c r="O857" t="s">
        <v>3286</v>
      </c>
    </row>
    <row r="858" spans="1:19" x14ac:dyDescent="0.15">
      <c r="A858" t="s">
        <v>3282</v>
      </c>
      <c r="B858" s="61">
        <v>46569</v>
      </c>
      <c r="E858" t="s">
        <v>355</v>
      </c>
      <c r="F858" t="s">
        <v>364</v>
      </c>
      <c r="H858" t="s">
        <v>353</v>
      </c>
      <c r="I858">
        <v>3400787</v>
      </c>
      <c r="J858" t="s">
        <v>743</v>
      </c>
      <c r="K858" t="s">
        <v>3283</v>
      </c>
      <c r="L858" t="s">
        <v>413</v>
      </c>
      <c r="N858" t="s">
        <v>3287</v>
      </c>
      <c r="O858" t="s">
        <v>3288</v>
      </c>
    </row>
    <row r="859" spans="1:19" x14ac:dyDescent="0.15">
      <c r="A859" t="s">
        <v>3282</v>
      </c>
      <c r="B859" s="61">
        <v>46722</v>
      </c>
      <c r="E859" t="s">
        <v>355</v>
      </c>
      <c r="F859" t="s">
        <v>364</v>
      </c>
      <c r="H859" t="s">
        <v>353</v>
      </c>
      <c r="I859">
        <v>3400249</v>
      </c>
      <c r="J859" t="s">
        <v>3289</v>
      </c>
      <c r="L859" t="s">
        <v>3290</v>
      </c>
      <c r="N859" t="s">
        <v>3291</v>
      </c>
      <c r="O859" t="s">
        <v>3292</v>
      </c>
    </row>
    <row r="860" spans="1:19" x14ac:dyDescent="0.15">
      <c r="A860" t="s">
        <v>3282</v>
      </c>
      <c r="B860" s="61">
        <v>47058</v>
      </c>
      <c r="E860" t="s">
        <v>355</v>
      </c>
      <c r="F860" t="s">
        <v>364</v>
      </c>
      <c r="H860" t="s">
        <v>353</v>
      </c>
      <c r="I860">
        <v>3400916</v>
      </c>
      <c r="J860" t="s">
        <v>775</v>
      </c>
      <c r="K860" t="s">
        <v>3293</v>
      </c>
      <c r="L860" t="s">
        <v>3294</v>
      </c>
      <c r="N860" t="s">
        <v>3295</v>
      </c>
      <c r="O860" t="s">
        <v>3296</v>
      </c>
    </row>
    <row r="861" spans="1:19" x14ac:dyDescent="0.15">
      <c r="A861" t="s">
        <v>3282</v>
      </c>
      <c r="B861" s="61">
        <v>48030</v>
      </c>
      <c r="E861" t="s">
        <v>355</v>
      </c>
      <c r="F861" t="s">
        <v>364</v>
      </c>
      <c r="H861" t="s">
        <v>353</v>
      </c>
      <c r="I861">
        <v>3400787</v>
      </c>
      <c r="J861" t="s">
        <v>743</v>
      </c>
      <c r="K861" t="s">
        <v>3283</v>
      </c>
      <c r="L861" t="s">
        <v>413</v>
      </c>
      <c r="N861" t="s">
        <v>3287</v>
      </c>
      <c r="O861" t="s">
        <v>3288</v>
      </c>
    </row>
    <row r="862" spans="1:19" x14ac:dyDescent="0.15">
      <c r="A862" t="s">
        <v>3297</v>
      </c>
      <c r="B862" s="61">
        <v>46388</v>
      </c>
      <c r="E862" t="s">
        <v>355</v>
      </c>
      <c r="F862" t="s">
        <v>364</v>
      </c>
      <c r="H862" t="s">
        <v>353</v>
      </c>
      <c r="I862">
        <v>2802382</v>
      </c>
      <c r="J862" t="s">
        <v>3298</v>
      </c>
      <c r="K862" t="s">
        <v>3299</v>
      </c>
      <c r="L862" t="s">
        <v>3300</v>
      </c>
      <c r="N862" t="s">
        <v>3301</v>
      </c>
      <c r="O862" t="s">
        <v>3302</v>
      </c>
    </row>
    <row r="863" spans="1:19" x14ac:dyDescent="0.15">
      <c r="A863" t="s">
        <v>3297</v>
      </c>
      <c r="B863" s="61">
        <v>46419</v>
      </c>
      <c r="E863" t="s">
        <v>355</v>
      </c>
      <c r="F863" t="s">
        <v>364</v>
      </c>
      <c r="H863" t="s">
        <v>365</v>
      </c>
      <c r="I863">
        <v>2802382</v>
      </c>
      <c r="J863" t="s">
        <v>3298</v>
      </c>
      <c r="K863" t="s">
        <v>3299</v>
      </c>
      <c r="L863" t="s">
        <v>3300</v>
      </c>
      <c r="N863" t="s">
        <v>3303</v>
      </c>
      <c r="O863" t="s">
        <v>3302</v>
      </c>
    </row>
    <row r="864" spans="1:19" x14ac:dyDescent="0.15">
      <c r="A864" t="s">
        <v>3297</v>
      </c>
      <c r="B864" s="61">
        <v>46539</v>
      </c>
      <c r="E864" t="s">
        <v>355</v>
      </c>
      <c r="F864" t="s">
        <v>364</v>
      </c>
      <c r="H864" t="s">
        <v>365</v>
      </c>
      <c r="I864">
        <v>2800440</v>
      </c>
      <c r="J864" t="s">
        <v>3304</v>
      </c>
      <c r="K864" t="s">
        <v>3305</v>
      </c>
      <c r="L864" t="s">
        <v>833</v>
      </c>
      <c r="N864" t="s">
        <v>3306</v>
      </c>
      <c r="O864" t="s">
        <v>3307</v>
      </c>
    </row>
    <row r="865" spans="1:19" x14ac:dyDescent="0.15">
      <c r="A865" t="s">
        <v>3297</v>
      </c>
      <c r="B865" s="61">
        <v>46692</v>
      </c>
      <c r="E865" t="s">
        <v>355</v>
      </c>
      <c r="F865" t="s">
        <v>364</v>
      </c>
      <c r="H865" t="s">
        <v>353</v>
      </c>
      <c r="I865">
        <v>2801233</v>
      </c>
      <c r="J865" t="s">
        <v>3308</v>
      </c>
      <c r="K865" t="s">
        <v>3309</v>
      </c>
      <c r="L865" t="s">
        <v>3310</v>
      </c>
      <c r="N865" t="s">
        <v>3311</v>
      </c>
      <c r="O865" t="s">
        <v>3312</v>
      </c>
    </row>
    <row r="866" spans="1:19" x14ac:dyDescent="0.15">
      <c r="A866" t="s">
        <v>3297</v>
      </c>
      <c r="B866" s="61">
        <v>46692</v>
      </c>
      <c r="E866" t="s">
        <v>355</v>
      </c>
      <c r="F866" t="s">
        <v>364</v>
      </c>
      <c r="H866" t="s">
        <v>353</v>
      </c>
      <c r="I866">
        <v>2801805</v>
      </c>
      <c r="J866" t="s">
        <v>3308</v>
      </c>
      <c r="K866" t="s">
        <v>3309</v>
      </c>
      <c r="L866" t="s">
        <v>3313</v>
      </c>
      <c r="N866" t="s">
        <v>3314</v>
      </c>
      <c r="O866" t="s">
        <v>3315</v>
      </c>
    </row>
    <row r="867" spans="1:19" x14ac:dyDescent="0.15">
      <c r="A867" t="s">
        <v>3297</v>
      </c>
      <c r="B867" s="61">
        <v>46784</v>
      </c>
      <c r="E867" t="s">
        <v>355</v>
      </c>
      <c r="F867" t="s">
        <v>364</v>
      </c>
      <c r="H867" t="s">
        <v>353</v>
      </c>
      <c r="I867">
        <v>2801597</v>
      </c>
      <c r="J867" t="s">
        <v>587</v>
      </c>
      <c r="K867" t="s">
        <v>3316</v>
      </c>
      <c r="L867" t="s">
        <v>3317</v>
      </c>
      <c r="N867" t="s">
        <v>3318</v>
      </c>
      <c r="O867" t="s">
        <v>3319</v>
      </c>
    </row>
    <row r="868" spans="1:19" x14ac:dyDescent="0.15">
      <c r="A868" t="s">
        <v>3297</v>
      </c>
      <c r="B868" s="61">
        <v>46935</v>
      </c>
      <c r="E868" t="s">
        <v>355</v>
      </c>
      <c r="F868" t="s">
        <v>364</v>
      </c>
      <c r="H868" t="s">
        <v>353</v>
      </c>
      <c r="I868">
        <v>2800298</v>
      </c>
      <c r="J868" t="s">
        <v>3320</v>
      </c>
      <c r="K868" t="s">
        <v>3321</v>
      </c>
      <c r="L868" t="s">
        <v>2181</v>
      </c>
      <c r="N868" t="s">
        <v>3322</v>
      </c>
      <c r="O868" t="s">
        <v>3323</v>
      </c>
    </row>
    <row r="869" spans="1:19" x14ac:dyDescent="0.15">
      <c r="A869" t="s">
        <v>3297</v>
      </c>
      <c r="B869" s="61">
        <v>46966</v>
      </c>
      <c r="E869" t="s">
        <v>355</v>
      </c>
      <c r="F869" t="s">
        <v>364</v>
      </c>
      <c r="H869" t="s">
        <v>353</v>
      </c>
      <c r="I869">
        <v>2802251</v>
      </c>
      <c r="J869" t="s">
        <v>587</v>
      </c>
      <c r="K869" t="s">
        <v>3316</v>
      </c>
      <c r="L869" t="s">
        <v>3324</v>
      </c>
      <c r="N869" t="s">
        <v>3325</v>
      </c>
      <c r="O869" t="s">
        <v>3326</v>
      </c>
    </row>
    <row r="870" spans="1:19" ht="229.5" x14ac:dyDescent="0.15">
      <c r="A870" t="s">
        <v>3297</v>
      </c>
      <c r="B870" s="61">
        <v>47088</v>
      </c>
      <c r="E870" t="s">
        <v>355</v>
      </c>
      <c r="F870" t="s">
        <v>385</v>
      </c>
      <c r="H870" t="s">
        <v>353</v>
      </c>
      <c r="I870">
        <v>2801761</v>
      </c>
      <c r="J870" t="s">
        <v>3327</v>
      </c>
      <c r="K870" t="s">
        <v>1769</v>
      </c>
      <c r="L870" t="s">
        <v>854</v>
      </c>
      <c r="N870" t="s">
        <v>3328</v>
      </c>
      <c r="O870" t="s">
        <v>3329</v>
      </c>
      <c r="R870" t="s">
        <v>386</v>
      </c>
      <c r="S870" s="34" t="s">
        <v>3330</v>
      </c>
    </row>
    <row r="871" spans="1:19" ht="409.5" x14ac:dyDescent="0.15">
      <c r="A871" t="s">
        <v>3297</v>
      </c>
      <c r="B871" s="61">
        <v>47300</v>
      </c>
      <c r="E871" t="s">
        <v>355</v>
      </c>
      <c r="F871" t="s">
        <v>385</v>
      </c>
      <c r="H871" t="s">
        <v>353</v>
      </c>
      <c r="I871">
        <v>2802309</v>
      </c>
      <c r="J871" t="s">
        <v>587</v>
      </c>
      <c r="K871" t="s">
        <v>3316</v>
      </c>
      <c r="L871" t="s">
        <v>3331</v>
      </c>
      <c r="N871" t="s">
        <v>3332</v>
      </c>
      <c r="O871" t="s">
        <v>3333</v>
      </c>
      <c r="R871" s="34" t="s">
        <v>768</v>
      </c>
      <c r="S871" s="34" t="s">
        <v>3334</v>
      </c>
    </row>
    <row r="872" spans="1:19" ht="351" x14ac:dyDescent="0.15">
      <c r="A872" t="s">
        <v>3297</v>
      </c>
      <c r="B872" s="61">
        <v>47453</v>
      </c>
      <c r="E872" t="s">
        <v>355</v>
      </c>
      <c r="F872" t="s">
        <v>385</v>
      </c>
      <c r="H872" t="s">
        <v>353</v>
      </c>
      <c r="I872">
        <v>2801822</v>
      </c>
      <c r="J872" t="s">
        <v>3308</v>
      </c>
      <c r="K872" t="s">
        <v>3309</v>
      </c>
      <c r="L872" t="s">
        <v>3335</v>
      </c>
      <c r="N872" t="s">
        <v>3336</v>
      </c>
      <c r="O872" t="s">
        <v>3337</v>
      </c>
      <c r="R872" s="34" t="s">
        <v>768</v>
      </c>
      <c r="S872" s="34" t="s">
        <v>3338</v>
      </c>
    </row>
    <row r="873" spans="1:19" ht="409.5" x14ac:dyDescent="0.15">
      <c r="A873" t="s">
        <v>3297</v>
      </c>
      <c r="B873" s="61">
        <v>47484</v>
      </c>
      <c r="E873" t="s">
        <v>355</v>
      </c>
      <c r="F873" t="s">
        <v>385</v>
      </c>
      <c r="H873" t="s">
        <v>353</v>
      </c>
      <c r="I873">
        <v>2801650</v>
      </c>
      <c r="J873" t="s">
        <v>587</v>
      </c>
      <c r="K873" t="s">
        <v>3316</v>
      </c>
      <c r="L873" t="s">
        <v>3339</v>
      </c>
      <c r="N873" t="s">
        <v>3340</v>
      </c>
      <c r="O873" t="s">
        <v>3341</v>
      </c>
      <c r="R873" s="34" t="s">
        <v>768</v>
      </c>
      <c r="S873" s="34" t="s">
        <v>3342</v>
      </c>
    </row>
    <row r="874" spans="1:19" ht="229.5" x14ac:dyDescent="0.15">
      <c r="A874" t="s">
        <v>3297</v>
      </c>
      <c r="B874" s="61">
        <v>47543</v>
      </c>
      <c r="E874" t="s">
        <v>355</v>
      </c>
      <c r="F874" t="s">
        <v>385</v>
      </c>
      <c r="H874" t="s">
        <v>353</v>
      </c>
      <c r="I874">
        <v>2802354</v>
      </c>
      <c r="J874" t="s">
        <v>3343</v>
      </c>
      <c r="K874" t="s">
        <v>3344</v>
      </c>
      <c r="L874" t="s">
        <v>3345</v>
      </c>
      <c r="N874" t="s">
        <v>3346</v>
      </c>
      <c r="O874" t="s">
        <v>3347</v>
      </c>
      <c r="R874" s="34" t="s">
        <v>768</v>
      </c>
      <c r="S874" s="34" t="s">
        <v>3348</v>
      </c>
    </row>
    <row r="875" spans="1:19" x14ac:dyDescent="0.15">
      <c r="A875" t="s">
        <v>3297</v>
      </c>
      <c r="B875" s="61">
        <v>47849</v>
      </c>
      <c r="E875" t="s">
        <v>355</v>
      </c>
      <c r="F875" t="s">
        <v>364</v>
      </c>
      <c r="H875" t="s">
        <v>353</v>
      </c>
      <c r="I875">
        <v>2802382</v>
      </c>
      <c r="J875" t="s">
        <v>3298</v>
      </c>
      <c r="K875" t="s">
        <v>3299</v>
      </c>
      <c r="L875" t="s">
        <v>3300</v>
      </c>
      <c r="N875" t="s">
        <v>3301</v>
      </c>
      <c r="O875" t="s">
        <v>3302</v>
      </c>
    </row>
    <row r="876" spans="1:19" x14ac:dyDescent="0.15">
      <c r="A876" t="s">
        <v>3297</v>
      </c>
      <c r="B876" s="61">
        <v>47880</v>
      </c>
      <c r="E876" t="s">
        <v>355</v>
      </c>
      <c r="F876" t="s">
        <v>364</v>
      </c>
      <c r="H876" t="s">
        <v>365</v>
      </c>
      <c r="I876">
        <v>2802382</v>
      </c>
      <c r="J876" t="s">
        <v>3298</v>
      </c>
      <c r="K876" t="s">
        <v>3299</v>
      </c>
      <c r="L876" t="s">
        <v>3300</v>
      </c>
      <c r="N876" t="s">
        <v>3303</v>
      </c>
      <c r="O876" t="s">
        <v>3302</v>
      </c>
    </row>
    <row r="877" spans="1:19" x14ac:dyDescent="0.15">
      <c r="A877" t="s">
        <v>3297</v>
      </c>
      <c r="B877" s="61">
        <v>48245</v>
      </c>
      <c r="E877" t="s">
        <v>355</v>
      </c>
      <c r="F877" t="s">
        <v>364</v>
      </c>
      <c r="H877" t="s">
        <v>353</v>
      </c>
      <c r="I877">
        <v>2801597</v>
      </c>
      <c r="J877" t="s">
        <v>587</v>
      </c>
      <c r="K877" t="s">
        <v>3316</v>
      </c>
      <c r="L877" t="s">
        <v>3317</v>
      </c>
      <c r="N877" t="s">
        <v>3318</v>
      </c>
      <c r="O877" t="s">
        <v>3319</v>
      </c>
    </row>
    <row r="878" spans="1:19" ht="409.5" x14ac:dyDescent="0.15">
      <c r="A878" t="s">
        <v>3349</v>
      </c>
      <c r="B878" s="61">
        <v>46204</v>
      </c>
      <c r="E878" t="s">
        <v>355</v>
      </c>
      <c r="F878" t="s">
        <v>385</v>
      </c>
      <c r="H878" t="s">
        <v>365</v>
      </c>
      <c r="I878">
        <v>1600483</v>
      </c>
      <c r="J878" t="s">
        <v>3369</v>
      </c>
      <c r="K878" t="s">
        <v>3370</v>
      </c>
      <c r="L878" t="s">
        <v>413</v>
      </c>
      <c r="N878" t="s">
        <v>3371</v>
      </c>
      <c r="O878" t="s">
        <v>3372</v>
      </c>
      <c r="R878" t="s">
        <v>395</v>
      </c>
      <c r="S878" s="34" t="s">
        <v>3373</v>
      </c>
    </row>
    <row r="879" spans="1:19" ht="229.5" x14ac:dyDescent="0.15">
      <c r="A879" t="s">
        <v>3349</v>
      </c>
      <c r="B879" s="61">
        <v>46266</v>
      </c>
      <c r="E879" t="s">
        <v>355</v>
      </c>
      <c r="F879" t="s">
        <v>356</v>
      </c>
      <c r="H879" t="s">
        <v>353</v>
      </c>
      <c r="I879">
        <v>1600687</v>
      </c>
      <c r="J879" t="s">
        <v>3374</v>
      </c>
      <c r="L879" t="s">
        <v>413</v>
      </c>
      <c r="N879" t="s">
        <v>5107</v>
      </c>
      <c r="O879" t="s">
        <v>3375</v>
      </c>
      <c r="R879" t="s">
        <v>362</v>
      </c>
      <c r="S879" s="34" t="s">
        <v>3376</v>
      </c>
    </row>
    <row r="880" spans="1:19" ht="270" x14ac:dyDescent="0.15">
      <c r="A880" t="s">
        <v>3349</v>
      </c>
      <c r="B880" s="61">
        <v>46235</v>
      </c>
      <c r="E880" t="s">
        <v>355</v>
      </c>
      <c r="F880" t="s">
        <v>356</v>
      </c>
      <c r="H880" t="s">
        <v>365</v>
      </c>
      <c r="I880">
        <v>1600669</v>
      </c>
      <c r="J880" t="s">
        <v>3364</v>
      </c>
      <c r="L880" t="s">
        <v>3365</v>
      </c>
      <c r="N880" t="s">
        <v>3377</v>
      </c>
      <c r="O880" t="s">
        <v>3367</v>
      </c>
      <c r="R880" t="s">
        <v>362</v>
      </c>
      <c r="S880" s="34" t="s">
        <v>3378</v>
      </c>
    </row>
    <row r="881" spans="1:19" ht="243" x14ac:dyDescent="0.15">
      <c r="A881" t="s">
        <v>3349</v>
      </c>
      <c r="B881" s="61">
        <v>46296</v>
      </c>
      <c r="E881" t="s">
        <v>355</v>
      </c>
      <c r="F881" t="s">
        <v>385</v>
      </c>
      <c r="H881" t="s">
        <v>365</v>
      </c>
      <c r="I881">
        <v>1600601</v>
      </c>
      <c r="J881" t="s">
        <v>2481</v>
      </c>
      <c r="K881" t="s">
        <v>3379</v>
      </c>
      <c r="L881" t="s">
        <v>3380</v>
      </c>
      <c r="N881" t="s">
        <v>3381</v>
      </c>
      <c r="O881" t="s">
        <v>3382</v>
      </c>
      <c r="R881" t="s">
        <v>395</v>
      </c>
      <c r="S881" s="34" t="s">
        <v>3383</v>
      </c>
    </row>
    <row r="882" spans="1:19" ht="409.5" x14ac:dyDescent="0.15">
      <c r="A882" t="s">
        <v>3349</v>
      </c>
      <c r="B882" s="61">
        <v>46296</v>
      </c>
      <c r="E882" t="s">
        <v>355</v>
      </c>
      <c r="F882" t="s">
        <v>385</v>
      </c>
      <c r="H882" t="s">
        <v>353</v>
      </c>
      <c r="I882">
        <v>1600601</v>
      </c>
      <c r="J882" t="s">
        <v>2481</v>
      </c>
      <c r="K882" t="s">
        <v>3379</v>
      </c>
      <c r="L882" t="s">
        <v>3380</v>
      </c>
      <c r="N882" t="s">
        <v>3384</v>
      </c>
      <c r="O882" t="s">
        <v>3382</v>
      </c>
      <c r="R882" t="s">
        <v>386</v>
      </c>
      <c r="S882" s="34" t="s">
        <v>3385</v>
      </c>
    </row>
    <row r="883" spans="1:19" ht="243" x14ac:dyDescent="0.15">
      <c r="A883" t="s">
        <v>3349</v>
      </c>
      <c r="B883" s="61">
        <v>46327</v>
      </c>
      <c r="E883" t="s">
        <v>355</v>
      </c>
      <c r="F883" t="s">
        <v>385</v>
      </c>
      <c r="H883" t="s">
        <v>353</v>
      </c>
      <c r="I883">
        <v>1600004</v>
      </c>
      <c r="J883" t="s">
        <v>3386</v>
      </c>
      <c r="L883" t="s">
        <v>413</v>
      </c>
      <c r="N883" t="s">
        <v>3387</v>
      </c>
      <c r="O883" t="s">
        <v>3388</v>
      </c>
      <c r="R883" t="s">
        <v>386</v>
      </c>
      <c r="S883" s="34" t="s">
        <v>3389</v>
      </c>
    </row>
    <row r="884" spans="1:19" ht="216" x14ac:dyDescent="0.15">
      <c r="A884" t="s">
        <v>3349</v>
      </c>
      <c r="B884" s="61">
        <v>46327</v>
      </c>
      <c r="E884" t="s">
        <v>355</v>
      </c>
      <c r="F884" t="s">
        <v>385</v>
      </c>
      <c r="H884" t="s">
        <v>365</v>
      </c>
      <c r="I884">
        <v>1600628</v>
      </c>
      <c r="J884" t="s">
        <v>3350</v>
      </c>
      <c r="K884" t="s">
        <v>3351</v>
      </c>
      <c r="L884" t="s">
        <v>3390</v>
      </c>
      <c r="N884" t="s">
        <v>3391</v>
      </c>
      <c r="O884" t="s">
        <v>3392</v>
      </c>
      <c r="R884" t="s">
        <v>395</v>
      </c>
      <c r="S884" s="34" t="s">
        <v>3393</v>
      </c>
    </row>
    <row r="885" spans="1:19" ht="409.5" x14ac:dyDescent="0.15">
      <c r="A885" t="s">
        <v>3349</v>
      </c>
      <c r="B885" s="61">
        <v>46357</v>
      </c>
      <c r="E885" t="s">
        <v>355</v>
      </c>
      <c r="F885" t="s">
        <v>385</v>
      </c>
      <c r="H885" t="s">
        <v>353</v>
      </c>
      <c r="I885">
        <v>1600336</v>
      </c>
      <c r="J885" t="s">
        <v>3394</v>
      </c>
      <c r="K885" t="s">
        <v>3395</v>
      </c>
      <c r="L885" t="s">
        <v>1289</v>
      </c>
      <c r="N885" t="s">
        <v>3396</v>
      </c>
      <c r="O885" t="s">
        <v>3397</v>
      </c>
      <c r="R885" s="34" t="s">
        <v>768</v>
      </c>
      <c r="S885" s="34" t="s">
        <v>3398</v>
      </c>
    </row>
    <row r="886" spans="1:19" x14ac:dyDescent="0.15">
      <c r="A886" t="s">
        <v>3349</v>
      </c>
      <c r="B886" s="61">
        <v>46388</v>
      </c>
      <c r="E886" t="s">
        <v>355</v>
      </c>
      <c r="F886" t="s">
        <v>385</v>
      </c>
      <c r="H886" t="s">
        <v>353</v>
      </c>
      <c r="I886">
        <v>1600628</v>
      </c>
      <c r="J886" t="s">
        <v>3350</v>
      </c>
      <c r="K886" t="s">
        <v>3351</v>
      </c>
      <c r="L886" t="s">
        <v>3390</v>
      </c>
      <c r="N886" t="s">
        <v>3399</v>
      </c>
      <c r="O886" t="s">
        <v>3392</v>
      </c>
    </row>
    <row r="887" spans="1:19" ht="229.5" x14ac:dyDescent="0.15">
      <c r="A887" t="s">
        <v>3349</v>
      </c>
      <c r="B887" s="61">
        <v>46539</v>
      </c>
      <c r="E887" t="s">
        <v>355</v>
      </c>
      <c r="F887" t="s">
        <v>385</v>
      </c>
      <c r="H887" t="s">
        <v>365</v>
      </c>
      <c r="I887">
        <v>1600668</v>
      </c>
      <c r="J887" t="s">
        <v>3350</v>
      </c>
      <c r="K887" t="s">
        <v>3351</v>
      </c>
      <c r="L887" t="s">
        <v>3400</v>
      </c>
      <c r="N887" t="s">
        <v>3401</v>
      </c>
      <c r="O887" t="s">
        <v>3402</v>
      </c>
      <c r="R887" t="s">
        <v>395</v>
      </c>
      <c r="S887" s="34" t="s">
        <v>3403</v>
      </c>
    </row>
    <row r="888" spans="1:19" ht="216" x14ac:dyDescent="0.15">
      <c r="A888" t="s">
        <v>3349</v>
      </c>
      <c r="B888" s="61">
        <v>46600</v>
      </c>
      <c r="E888" t="s">
        <v>355</v>
      </c>
      <c r="F888" t="s">
        <v>385</v>
      </c>
      <c r="H888" t="s">
        <v>353</v>
      </c>
      <c r="I888">
        <v>1600668</v>
      </c>
      <c r="J888" t="s">
        <v>3350</v>
      </c>
      <c r="K888" t="s">
        <v>3351</v>
      </c>
      <c r="L888" t="s">
        <v>3400</v>
      </c>
      <c r="N888" t="s">
        <v>3404</v>
      </c>
      <c r="O888" t="s">
        <v>3402</v>
      </c>
      <c r="R888" t="s">
        <v>386</v>
      </c>
      <c r="S888" s="34" t="s">
        <v>3405</v>
      </c>
    </row>
    <row r="889" spans="1:19" ht="409.5" x14ac:dyDescent="0.15">
      <c r="A889" t="s">
        <v>3349</v>
      </c>
      <c r="B889" s="61">
        <v>46600</v>
      </c>
      <c r="E889" t="s">
        <v>355</v>
      </c>
      <c r="F889" t="s">
        <v>356</v>
      </c>
      <c r="H889" t="s">
        <v>353</v>
      </c>
      <c r="I889">
        <v>1600689</v>
      </c>
      <c r="J889" t="s">
        <v>1444</v>
      </c>
      <c r="K889" t="s">
        <v>3406</v>
      </c>
      <c r="L889" t="s">
        <v>413</v>
      </c>
      <c r="N889" t="s">
        <v>3407</v>
      </c>
      <c r="O889" t="s">
        <v>3408</v>
      </c>
      <c r="R889" t="s">
        <v>362</v>
      </c>
      <c r="S889" s="34" t="s">
        <v>3409</v>
      </c>
    </row>
    <row r="890" spans="1:19" ht="229.5" x14ac:dyDescent="0.15">
      <c r="A890" t="s">
        <v>3349</v>
      </c>
      <c r="B890" s="61">
        <v>46631</v>
      </c>
      <c r="E890" t="s">
        <v>355</v>
      </c>
      <c r="F890" t="s">
        <v>385</v>
      </c>
      <c r="H890" t="s">
        <v>365</v>
      </c>
      <c r="I890">
        <v>1600668</v>
      </c>
      <c r="J890" t="s">
        <v>3350</v>
      </c>
      <c r="K890" t="s">
        <v>3351</v>
      </c>
      <c r="L890" t="s">
        <v>3410</v>
      </c>
      <c r="N890" t="s">
        <v>3411</v>
      </c>
      <c r="O890" t="s">
        <v>3402</v>
      </c>
      <c r="R890" t="s">
        <v>395</v>
      </c>
      <c r="S890" s="34" t="s">
        <v>3412</v>
      </c>
    </row>
    <row r="891" spans="1:19" ht="229.5" x14ac:dyDescent="0.15">
      <c r="A891" t="s">
        <v>3349</v>
      </c>
      <c r="B891" s="61">
        <v>46661</v>
      </c>
      <c r="E891" t="s">
        <v>355</v>
      </c>
      <c r="F891" t="s">
        <v>385</v>
      </c>
      <c r="H891" t="s">
        <v>353</v>
      </c>
      <c r="I891">
        <v>1600668</v>
      </c>
      <c r="J891" t="s">
        <v>3350</v>
      </c>
      <c r="K891" t="s">
        <v>3351</v>
      </c>
      <c r="L891" t="s">
        <v>3413</v>
      </c>
      <c r="N891" t="s">
        <v>3414</v>
      </c>
      <c r="O891" t="s">
        <v>3402</v>
      </c>
      <c r="R891" t="s">
        <v>386</v>
      </c>
      <c r="S891" s="34" t="s">
        <v>3415</v>
      </c>
    </row>
    <row r="892" spans="1:19" x14ac:dyDescent="0.15">
      <c r="A892" t="s">
        <v>3349</v>
      </c>
      <c r="B892" s="61">
        <v>46692</v>
      </c>
      <c r="E892" t="s">
        <v>355</v>
      </c>
      <c r="F892" t="s">
        <v>364</v>
      </c>
      <c r="H892" t="s">
        <v>353</v>
      </c>
      <c r="I892">
        <v>1600694</v>
      </c>
      <c r="J892" t="s">
        <v>3416</v>
      </c>
      <c r="L892" t="s">
        <v>3417</v>
      </c>
      <c r="N892" t="s">
        <v>3418</v>
      </c>
      <c r="O892" t="s">
        <v>3419</v>
      </c>
    </row>
    <row r="893" spans="1:19" x14ac:dyDescent="0.15">
      <c r="A893" t="s">
        <v>3349</v>
      </c>
      <c r="B893" s="61">
        <v>46784</v>
      </c>
      <c r="E893" t="s">
        <v>355</v>
      </c>
      <c r="F893" t="s">
        <v>364</v>
      </c>
      <c r="H893" t="s">
        <v>353</v>
      </c>
      <c r="I893">
        <v>1600418</v>
      </c>
      <c r="J893" t="s">
        <v>3420</v>
      </c>
      <c r="L893" t="s">
        <v>698</v>
      </c>
      <c r="N893" t="s">
        <v>3421</v>
      </c>
      <c r="O893" t="s">
        <v>3422</v>
      </c>
    </row>
    <row r="894" spans="1:19" x14ac:dyDescent="0.15">
      <c r="A894" t="s">
        <v>3349</v>
      </c>
      <c r="B894" s="61">
        <v>46784</v>
      </c>
      <c r="E894" t="s">
        <v>355</v>
      </c>
      <c r="F894" t="s">
        <v>364</v>
      </c>
      <c r="H894" t="s">
        <v>353</v>
      </c>
      <c r="I894">
        <v>1600693</v>
      </c>
      <c r="J894" t="s">
        <v>3423</v>
      </c>
      <c r="L894" t="s">
        <v>413</v>
      </c>
      <c r="N894" t="s">
        <v>3424</v>
      </c>
      <c r="O894" t="s">
        <v>3425</v>
      </c>
    </row>
    <row r="895" spans="1:19" ht="243" x14ac:dyDescent="0.15">
      <c r="A895" t="s">
        <v>3349</v>
      </c>
      <c r="B895" s="61">
        <v>46935</v>
      </c>
      <c r="E895" t="s">
        <v>355</v>
      </c>
      <c r="F895" t="s">
        <v>385</v>
      </c>
      <c r="H895" t="s">
        <v>365</v>
      </c>
      <c r="I895">
        <v>1600659</v>
      </c>
      <c r="J895" t="s">
        <v>3426</v>
      </c>
      <c r="K895" t="s">
        <v>3427</v>
      </c>
      <c r="L895" t="s">
        <v>3428</v>
      </c>
      <c r="N895" t="s">
        <v>3429</v>
      </c>
      <c r="O895" t="s">
        <v>3430</v>
      </c>
      <c r="R895" t="s">
        <v>395</v>
      </c>
      <c r="S895" s="34" t="s">
        <v>3431</v>
      </c>
    </row>
    <row r="896" spans="1:19" ht="229.5" x14ac:dyDescent="0.15">
      <c r="A896" t="s">
        <v>3349</v>
      </c>
      <c r="B896" s="61">
        <v>47515</v>
      </c>
      <c r="E896" t="s">
        <v>355</v>
      </c>
      <c r="F896" t="s">
        <v>385</v>
      </c>
      <c r="H896" t="s">
        <v>353</v>
      </c>
      <c r="I896">
        <v>1600681</v>
      </c>
      <c r="J896" t="s">
        <v>3354</v>
      </c>
      <c r="K896" t="s">
        <v>3355</v>
      </c>
      <c r="L896" t="s">
        <v>3356</v>
      </c>
      <c r="N896" t="s">
        <v>3357</v>
      </c>
      <c r="O896" t="s">
        <v>3358</v>
      </c>
      <c r="R896" s="34" t="s">
        <v>768</v>
      </c>
      <c r="S896" s="34" t="s">
        <v>3359</v>
      </c>
    </row>
    <row r="897" spans="1:19" ht="409.5" x14ac:dyDescent="0.15">
      <c r="A897" t="s">
        <v>3349</v>
      </c>
      <c r="B897" s="61">
        <v>47604</v>
      </c>
      <c r="E897" t="s">
        <v>355</v>
      </c>
      <c r="F897" t="s">
        <v>385</v>
      </c>
      <c r="H897" t="s">
        <v>353</v>
      </c>
      <c r="I897">
        <v>1600669</v>
      </c>
      <c r="J897" t="s">
        <v>3364</v>
      </c>
      <c r="L897" t="s">
        <v>3365</v>
      </c>
      <c r="N897" t="s">
        <v>3366</v>
      </c>
      <c r="O897" t="s">
        <v>3367</v>
      </c>
      <c r="R897" t="s">
        <v>386</v>
      </c>
      <c r="S897" s="34" t="s">
        <v>3368</v>
      </c>
    </row>
    <row r="898" spans="1:19" ht="229.5" x14ac:dyDescent="0.15">
      <c r="A898" t="s">
        <v>3349</v>
      </c>
      <c r="B898" s="61">
        <v>47727</v>
      </c>
      <c r="E898" t="s">
        <v>355</v>
      </c>
      <c r="F898" t="s">
        <v>385</v>
      </c>
      <c r="H898" t="s">
        <v>353</v>
      </c>
      <c r="I898">
        <v>1600687</v>
      </c>
      <c r="J898" t="s">
        <v>3374</v>
      </c>
      <c r="L898" t="s">
        <v>413</v>
      </c>
      <c r="N898" t="s">
        <v>5107</v>
      </c>
      <c r="O898" t="s">
        <v>3375</v>
      </c>
      <c r="R898" t="s">
        <v>386</v>
      </c>
      <c r="S898" s="34" t="s">
        <v>3376</v>
      </c>
    </row>
    <row r="899" spans="1:19" ht="270" x14ac:dyDescent="0.15">
      <c r="A899" t="s">
        <v>3349</v>
      </c>
      <c r="B899" s="61">
        <v>47696</v>
      </c>
      <c r="E899" t="s">
        <v>355</v>
      </c>
      <c r="F899" t="s">
        <v>385</v>
      </c>
      <c r="H899" t="s">
        <v>365</v>
      </c>
      <c r="I899">
        <v>1600669</v>
      </c>
      <c r="J899" t="s">
        <v>3364</v>
      </c>
      <c r="L899" t="s">
        <v>3365</v>
      </c>
      <c r="N899" t="s">
        <v>3377</v>
      </c>
      <c r="O899" t="s">
        <v>3367</v>
      </c>
      <c r="R899" t="s">
        <v>395</v>
      </c>
      <c r="S899" s="34" t="s">
        <v>3378</v>
      </c>
    </row>
    <row r="900" spans="1:19" ht="409.5" x14ac:dyDescent="0.15">
      <c r="A900" t="s">
        <v>3349</v>
      </c>
      <c r="B900" s="61">
        <v>48061</v>
      </c>
      <c r="E900" t="s">
        <v>355</v>
      </c>
      <c r="F900" t="s">
        <v>385</v>
      </c>
      <c r="H900" t="s">
        <v>353</v>
      </c>
      <c r="I900">
        <v>1600689</v>
      </c>
      <c r="J900" t="s">
        <v>1444</v>
      </c>
      <c r="K900" t="s">
        <v>3406</v>
      </c>
      <c r="L900" t="s">
        <v>413</v>
      </c>
      <c r="N900" t="s">
        <v>3407</v>
      </c>
      <c r="O900" t="s">
        <v>3408</v>
      </c>
      <c r="R900" t="s">
        <v>386</v>
      </c>
      <c r="S900" s="34" t="s">
        <v>3409</v>
      </c>
    </row>
    <row r="901" spans="1:19" x14ac:dyDescent="0.15">
      <c r="A901" t="s">
        <v>3349</v>
      </c>
      <c r="B901" s="61">
        <v>48153</v>
      </c>
      <c r="E901" t="s">
        <v>355</v>
      </c>
      <c r="F901" t="s">
        <v>364</v>
      </c>
      <c r="H901" t="s">
        <v>353</v>
      </c>
      <c r="I901">
        <v>1600694</v>
      </c>
      <c r="J901" t="s">
        <v>3416</v>
      </c>
      <c r="L901" t="s">
        <v>3417</v>
      </c>
      <c r="N901" t="s">
        <v>3418</v>
      </c>
      <c r="O901" t="s">
        <v>3419</v>
      </c>
    </row>
    <row r="902" spans="1:19" x14ac:dyDescent="0.15">
      <c r="A902" t="s">
        <v>3349</v>
      </c>
      <c r="B902" s="61">
        <v>48245</v>
      </c>
      <c r="E902" t="s">
        <v>355</v>
      </c>
      <c r="F902" t="s">
        <v>364</v>
      </c>
      <c r="H902" t="s">
        <v>353</v>
      </c>
      <c r="I902">
        <v>1600693</v>
      </c>
      <c r="J902" t="s">
        <v>3423</v>
      </c>
      <c r="L902" t="s">
        <v>413</v>
      </c>
      <c r="N902" t="s">
        <v>3424</v>
      </c>
      <c r="O902" t="s">
        <v>3425</v>
      </c>
    </row>
    <row r="903" spans="1:19" ht="409.5" x14ac:dyDescent="0.15">
      <c r="A903" t="s">
        <v>3432</v>
      </c>
      <c r="B903" s="61">
        <v>47150</v>
      </c>
      <c r="E903" t="s">
        <v>355</v>
      </c>
      <c r="F903" t="s">
        <v>385</v>
      </c>
      <c r="H903" t="s">
        <v>365</v>
      </c>
      <c r="I903">
        <v>2200685</v>
      </c>
      <c r="J903" t="s">
        <v>1391</v>
      </c>
      <c r="K903" t="s">
        <v>3433</v>
      </c>
      <c r="L903" t="s">
        <v>3434</v>
      </c>
      <c r="N903" t="s">
        <v>5381</v>
      </c>
      <c r="O903" t="s">
        <v>3435</v>
      </c>
      <c r="R903" t="s">
        <v>362</v>
      </c>
      <c r="S903" s="34" t="s">
        <v>5382</v>
      </c>
    </row>
    <row r="904" spans="1:19" ht="409.5" x14ac:dyDescent="0.15">
      <c r="A904" t="s">
        <v>3432</v>
      </c>
      <c r="B904" s="61">
        <v>46204</v>
      </c>
      <c r="E904" t="s">
        <v>355</v>
      </c>
      <c r="F904" t="s">
        <v>385</v>
      </c>
      <c r="H904" t="s">
        <v>353</v>
      </c>
      <c r="I904">
        <v>2200589</v>
      </c>
      <c r="J904" t="s">
        <v>3442</v>
      </c>
      <c r="K904" t="s">
        <v>1769</v>
      </c>
      <c r="L904" t="s">
        <v>3443</v>
      </c>
      <c r="N904" t="s">
        <v>3444</v>
      </c>
      <c r="O904" t="s">
        <v>3445</v>
      </c>
      <c r="R904" t="s">
        <v>386</v>
      </c>
      <c r="S904" s="34" t="s">
        <v>3446</v>
      </c>
    </row>
    <row r="905" spans="1:19" x14ac:dyDescent="0.15">
      <c r="A905" t="s">
        <v>3432</v>
      </c>
      <c r="B905" s="61">
        <v>46388</v>
      </c>
      <c r="E905" t="s">
        <v>355</v>
      </c>
      <c r="F905" t="s">
        <v>364</v>
      </c>
      <c r="H905" t="s">
        <v>365</v>
      </c>
      <c r="I905">
        <v>2200685</v>
      </c>
      <c r="J905" t="s">
        <v>1391</v>
      </c>
      <c r="K905" t="s">
        <v>3433</v>
      </c>
      <c r="L905" t="s">
        <v>3434</v>
      </c>
      <c r="N905" t="s">
        <v>3451</v>
      </c>
      <c r="O905" t="s">
        <v>3435</v>
      </c>
    </row>
    <row r="906" spans="1:19" x14ac:dyDescent="0.15">
      <c r="A906" t="s">
        <v>3432</v>
      </c>
      <c r="B906" s="61">
        <v>46419</v>
      </c>
      <c r="E906" t="s">
        <v>355</v>
      </c>
      <c r="F906" t="s">
        <v>364</v>
      </c>
      <c r="H906" t="s">
        <v>353</v>
      </c>
      <c r="I906">
        <v>2202395</v>
      </c>
      <c r="J906" t="s">
        <v>3452</v>
      </c>
      <c r="L906" t="s">
        <v>2082</v>
      </c>
      <c r="N906" t="s">
        <v>3453</v>
      </c>
      <c r="O906" t="s">
        <v>3454</v>
      </c>
    </row>
    <row r="907" spans="1:19" x14ac:dyDescent="0.15">
      <c r="A907" t="s">
        <v>3432</v>
      </c>
      <c r="B907" s="61">
        <v>46419</v>
      </c>
      <c r="E907" t="s">
        <v>355</v>
      </c>
      <c r="F907" t="s">
        <v>364</v>
      </c>
      <c r="H907" t="s">
        <v>365</v>
      </c>
      <c r="I907">
        <v>2202395</v>
      </c>
      <c r="J907" t="s">
        <v>3452</v>
      </c>
      <c r="L907" t="s">
        <v>2082</v>
      </c>
      <c r="N907" t="s">
        <v>3455</v>
      </c>
      <c r="O907" t="s">
        <v>3454</v>
      </c>
    </row>
    <row r="908" spans="1:19" x14ac:dyDescent="0.15">
      <c r="A908" t="s">
        <v>3432</v>
      </c>
      <c r="B908" s="61">
        <v>46508</v>
      </c>
      <c r="E908" t="s">
        <v>355</v>
      </c>
      <c r="F908" t="s">
        <v>364</v>
      </c>
      <c r="H908" t="s">
        <v>365</v>
      </c>
      <c r="I908">
        <v>2201034</v>
      </c>
      <c r="J908" t="s">
        <v>3456</v>
      </c>
      <c r="L908" t="s">
        <v>3457</v>
      </c>
      <c r="N908" t="s">
        <v>3458</v>
      </c>
      <c r="O908" t="s">
        <v>3459</v>
      </c>
    </row>
    <row r="909" spans="1:19" x14ac:dyDescent="0.15">
      <c r="A909" t="s">
        <v>3432</v>
      </c>
      <c r="B909" s="61">
        <v>46631</v>
      </c>
      <c r="E909" t="s">
        <v>355</v>
      </c>
      <c r="F909" t="s">
        <v>364</v>
      </c>
      <c r="H909" t="s">
        <v>365</v>
      </c>
      <c r="I909">
        <v>2200274</v>
      </c>
      <c r="J909" t="s">
        <v>1391</v>
      </c>
      <c r="K909" t="s">
        <v>3460</v>
      </c>
      <c r="L909" t="s">
        <v>413</v>
      </c>
      <c r="N909" t="s">
        <v>3461</v>
      </c>
      <c r="O909" t="s">
        <v>3462</v>
      </c>
    </row>
    <row r="910" spans="1:19" x14ac:dyDescent="0.15">
      <c r="A910" t="s">
        <v>3432</v>
      </c>
      <c r="B910" s="61">
        <v>47027</v>
      </c>
      <c r="E910" t="s">
        <v>355</v>
      </c>
      <c r="F910" t="s">
        <v>364</v>
      </c>
      <c r="H910" t="s">
        <v>353</v>
      </c>
      <c r="I910">
        <v>2202543</v>
      </c>
      <c r="J910" t="s">
        <v>3463</v>
      </c>
      <c r="L910" t="s">
        <v>3464</v>
      </c>
      <c r="N910" t="s">
        <v>3465</v>
      </c>
      <c r="O910" t="s">
        <v>3466</v>
      </c>
    </row>
    <row r="911" spans="1:19" ht="256.5" x14ac:dyDescent="0.15">
      <c r="A911" t="s">
        <v>3432</v>
      </c>
      <c r="B911" s="61">
        <v>47270</v>
      </c>
      <c r="E911" t="s">
        <v>355</v>
      </c>
      <c r="F911" t="s">
        <v>385</v>
      </c>
      <c r="H911" t="s">
        <v>365</v>
      </c>
      <c r="I911">
        <v>2202187</v>
      </c>
      <c r="J911" t="s">
        <v>3467</v>
      </c>
      <c r="K911" t="s">
        <v>3468</v>
      </c>
      <c r="L911" t="s">
        <v>390</v>
      </c>
      <c r="N911" t="s">
        <v>3469</v>
      </c>
      <c r="O911" t="s">
        <v>3470</v>
      </c>
      <c r="S911" s="34" t="s">
        <v>3471</v>
      </c>
    </row>
    <row r="912" spans="1:19" ht="409.5" x14ac:dyDescent="0.15">
      <c r="A912" t="s">
        <v>3432</v>
      </c>
      <c r="B912" s="61">
        <v>47696</v>
      </c>
      <c r="E912" t="s">
        <v>355</v>
      </c>
      <c r="F912" t="s">
        <v>385</v>
      </c>
      <c r="H912" t="s">
        <v>353</v>
      </c>
      <c r="I912">
        <v>2202563</v>
      </c>
      <c r="J912" t="s">
        <v>1391</v>
      </c>
      <c r="K912" t="s">
        <v>3433</v>
      </c>
      <c r="L912" t="s">
        <v>3447</v>
      </c>
      <c r="N912" t="s">
        <v>3448</v>
      </c>
      <c r="O912" t="s">
        <v>3449</v>
      </c>
      <c r="R912" t="s">
        <v>386</v>
      </c>
      <c r="S912" s="34" t="s">
        <v>3450</v>
      </c>
    </row>
    <row r="913" spans="1:19" x14ac:dyDescent="0.15">
      <c r="A913" t="s">
        <v>3432</v>
      </c>
      <c r="B913" s="61">
        <v>47849</v>
      </c>
      <c r="E913" t="s">
        <v>355</v>
      </c>
      <c r="F913" t="s">
        <v>364</v>
      </c>
      <c r="H913" t="s">
        <v>365</v>
      </c>
      <c r="I913">
        <v>2200685</v>
      </c>
      <c r="J913" t="s">
        <v>1391</v>
      </c>
      <c r="K913" t="s">
        <v>3433</v>
      </c>
      <c r="L913" t="s">
        <v>3434</v>
      </c>
      <c r="N913" t="s">
        <v>3451</v>
      </c>
      <c r="O913" t="s">
        <v>3435</v>
      </c>
    </row>
    <row r="914" spans="1:19" x14ac:dyDescent="0.15">
      <c r="A914" t="s">
        <v>3432</v>
      </c>
      <c r="B914" s="61">
        <v>47969</v>
      </c>
      <c r="E914" t="s">
        <v>355</v>
      </c>
      <c r="F914" t="s">
        <v>364</v>
      </c>
      <c r="H914" t="s">
        <v>365</v>
      </c>
      <c r="I914">
        <v>2201034</v>
      </c>
      <c r="J914" t="s">
        <v>3456</v>
      </c>
      <c r="L914" t="s">
        <v>3457</v>
      </c>
      <c r="N914" t="s">
        <v>3458</v>
      </c>
      <c r="O914" t="s">
        <v>3459</v>
      </c>
    </row>
    <row r="915" spans="1:19" x14ac:dyDescent="0.15">
      <c r="A915" t="s">
        <v>3432</v>
      </c>
      <c r="B915" s="61">
        <v>48092</v>
      </c>
      <c r="E915" t="s">
        <v>355</v>
      </c>
      <c r="F915" t="s">
        <v>364</v>
      </c>
      <c r="H915" t="s">
        <v>365</v>
      </c>
      <c r="I915">
        <v>2200274</v>
      </c>
      <c r="J915" t="s">
        <v>1391</v>
      </c>
      <c r="K915" t="s">
        <v>3460</v>
      </c>
      <c r="L915" t="s">
        <v>413</v>
      </c>
      <c r="N915" t="s">
        <v>3461</v>
      </c>
      <c r="O915" t="s">
        <v>3462</v>
      </c>
    </row>
    <row r="916" spans="1:19" ht="409.5" x14ac:dyDescent="0.15">
      <c r="A916" t="s">
        <v>3472</v>
      </c>
      <c r="B916" s="61">
        <v>46204</v>
      </c>
      <c r="E916" t="s">
        <v>355</v>
      </c>
      <c r="F916" t="s">
        <v>385</v>
      </c>
      <c r="H916" t="s">
        <v>353</v>
      </c>
      <c r="I916">
        <v>4000138</v>
      </c>
      <c r="J916" t="s">
        <v>2044</v>
      </c>
      <c r="K916" t="s">
        <v>3473</v>
      </c>
      <c r="L916" t="s">
        <v>3474</v>
      </c>
      <c r="N916" t="s">
        <v>3475</v>
      </c>
      <c r="O916" t="s">
        <v>3476</v>
      </c>
      <c r="R916" t="s">
        <v>386</v>
      </c>
      <c r="S916" s="34" t="s">
        <v>3477</v>
      </c>
    </row>
    <row r="917" spans="1:19" x14ac:dyDescent="0.15">
      <c r="A917" t="s">
        <v>3472</v>
      </c>
      <c r="B917" s="61">
        <v>46753</v>
      </c>
      <c r="E917" t="s">
        <v>355</v>
      </c>
      <c r="F917" t="s">
        <v>364</v>
      </c>
      <c r="H917" t="s">
        <v>353</v>
      </c>
      <c r="I917">
        <v>4000982</v>
      </c>
      <c r="J917" t="s">
        <v>974</v>
      </c>
      <c r="K917" t="s">
        <v>3479</v>
      </c>
      <c r="L917" t="s">
        <v>2041</v>
      </c>
      <c r="N917" t="s">
        <v>3480</v>
      </c>
      <c r="O917" t="s">
        <v>3481</v>
      </c>
    </row>
    <row r="918" spans="1:19" x14ac:dyDescent="0.15">
      <c r="A918" t="s">
        <v>3472</v>
      </c>
      <c r="B918" s="61">
        <v>46753</v>
      </c>
      <c r="E918" t="s">
        <v>355</v>
      </c>
      <c r="F918" t="s">
        <v>364</v>
      </c>
      <c r="H918" t="s">
        <v>353</v>
      </c>
      <c r="I918">
        <v>4000982</v>
      </c>
      <c r="J918" t="s">
        <v>974</v>
      </c>
      <c r="K918" t="s">
        <v>3479</v>
      </c>
      <c r="L918" t="s">
        <v>2041</v>
      </c>
      <c r="N918" t="s">
        <v>3482</v>
      </c>
      <c r="O918" t="s">
        <v>3481</v>
      </c>
    </row>
    <row r="919" spans="1:19" x14ac:dyDescent="0.15">
      <c r="A919" t="s">
        <v>3472</v>
      </c>
      <c r="B919" s="61">
        <v>48214</v>
      </c>
      <c r="E919" t="s">
        <v>355</v>
      </c>
      <c r="F919" t="s">
        <v>364</v>
      </c>
      <c r="H919" t="s">
        <v>353</v>
      </c>
      <c r="I919">
        <v>4000982</v>
      </c>
      <c r="J919" t="s">
        <v>974</v>
      </c>
      <c r="K919" t="s">
        <v>3479</v>
      </c>
      <c r="L919" t="s">
        <v>2041</v>
      </c>
      <c r="N919" t="s">
        <v>3482</v>
      </c>
      <c r="O919" t="s">
        <v>3481</v>
      </c>
    </row>
    <row r="920" spans="1:19" x14ac:dyDescent="0.15">
      <c r="A920" t="s">
        <v>3472</v>
      </c>
      <c r="B920" s="61">
        <v>48274</v>
      </c>
      <c r="E920" t="s">
        <v>355</v>
      </c>
      <c r="F920" t="s">
        <v>364</v>
      </c>
      <c r="H920" t="s">
        <v>353</v>
      </c>
      <c r="I920">
        <v>4000982</v>
      </c>
      <c r="J920" t="s">
        <v>974</v>
      </c>
      <c r="K920" t="s">
        <v>3479</v>
      </c>
      <c r="L920" t="s">
        <v>2041</v>
      </c>
      <c r="N920" t="s">
        <v>3480</v>
      </c>
      <c r="O920" t="s">
        <v>3481</v>
      </c>
    </row>
    <row r="921" spans="1:19" ht="229.5" x14ac:dyDescent="0.15">
      <c r="A921" t="s">
        <v>3483</v>
      </c>
      <c r="B921" s="61">
        <v>46296</v>
      </c>
      <c r="E921" t="s">
        <v>355</v>
      </c>
      <c r="F921" t="s">
        <v>356</v>
      </c>
      <c r="H921" t="s">
        <v>353</v>
      </c>
      <c r="I921">
        <v>2301093</v>
      </c>
      <c r="J921" t="s">
        <v>3484</v>
      </c>
      <c r="K921" t="s">
        <v>3485</v>
      </c>
      <c r="L921" t="s">
        <v>3486</v>
      </c>
      <c r="N921" t="s">
        <v>3487</v>
      </c>
      <c r="O921" t="s">
        <v>3488</v>
      </c>
      <c r="R921" t="s">
        <v>362</v>
      </c>
      <c r="S921" s="34" t="s">
        <v>3489</v>
      </c>
    </row>
    <row r="922" spans="1:19" x14ac:dyDescent="0.15">
      <c r="A922" t="s">
        <v>3483</v>
      </c>
      <c r="B922" s="61">
        <v>46661</v>
      </c>
      <c r="E922" t="s">
        <v>355</v>
      </c>
      <c r="F922" t="s">
        <v>364</v>
      </c>
      <c r="H922" t="s">
        <v>353</v>
      </c>
      <c r="I922">
        <v>2300735</v>
      </c>
      <c r="J922" t="s">
        <v>3490</v>
      </c>
      <c r="K922" t="s">
        <v>3491</v>
      </c>
      <c r="L922" t="s">
        <v>3492</v>
      </c>
      <c r="N922" t="s">
        <v>3493</v>
      </c>
      <c r="O922" t="s">
        <v>3494</v>
      </c>
    </row>
    <row r="923" spans="1:19" x14ac:dyDescent="0.15">
      <c r="A923" t="s">
        <v>3483</v>
      </c>
      <c r="B923" s="61">
        <v>46722</v>
      </c>
      <c r="E923" t="s">
        <v>355</v>
      </c>
      <c r="F923" t="s">
        <v>364</v>
      </c>
      <c r="H923" t="s">
        <v>353</v>
      </c>
      <c r="I923">
        <v>2303216</v>
      </c>
      <c r="J923" t="s">
        <v>3495</v>
      </c>
      <c r="K923" t="s">
        <v>3496</v>
      </c>
      <c r="L923" t="s">
        <v>3497</v>
      </c>
      <c r="N923" t="s">
        <v>3498</v>
      </c>
      <c r="O923" t="s">
        <v>3499</v>
      </c>
    </row>
    <row r="924" spans="1:19" x14ac:dyDescent="0.15">
      <c r="A924" t="s">
        <v>3483</v>
      </c>
      <c r="B924" s="61">
        <v>46844</v>
      </c>
      <c r="E924" t="s">
        <v>355</v>
      </c>
      <c r="F924" t="s">
        <v>364</v>
      </c>
      <c r="H924" t="s">
        <v>353</v>
      </c>
      <c r="I924">
        <v>2300154</v>
      </c>
      <c r="J924" t="s">
        <v>3500</v>
      </c>
      <c r="L924" t="s">
        <v>3501</v>
      </c>
      <c r="N924" t="s">
        <v>3502</v>
      </c>
      <c r="O924" t="s">
        <v>3503</v>
      </c>
    </row>
    <row r="925" spans="1:19" x14ac:dyDescent="0.15">
      <c r="A925" t="s">
        <v>3483</v>
      </c>
      <c r="B925" s="61">
        <v>46935</v>
      </c>
      <c r="E925" t="s">
        <v>355</v>
      </c>
      <c r="F925" t="s">
        <v>364</v>
      </c>
      <c r="H925" t="s">
        <v>353</v>
      </c>
      <c r="I925">
        <v>2302486</v>
      </c>
      <c r="J925" t="s">
        <v>3504</v>
      </c>
      <c r="L925" t="s">
        <v>413</v>
      </c>
      <c r="N925" t="s">
        <v>3505</v>
      </c>
      <c r="O925" t="s">
        <v>3506</v>
      </c>
    </row>
    <row r="926" spans="1:19" ht="378" x14ac:dyDescent="0.15">
      <c r="A926" t="s">
        <v>3483</v>
      </c>
      <c r="B926" s="61">
        <v>46997</v>
      </c>
      <c r="E926" t="s">
        <v>355</v>
      </c>
      <c r="F926" t="s">
        <v>385</v>
      </c>
      <c r="H926" t="s">
        <v>353</v>
      </c>
      <c r="I926">
        <v>2302326</v>
      </c>
      <c r="J926" t="s">
        <v>3507</v>
      </c>
      <c r="K926" t="s">
        <v>3508</v>
      </c>
      <c r="L926" t="s">
        <v>2628</v>
      </c>
      <c r="N926" t="s">
        <v>3509</v>
      </c>
      <c r="O926" t="s">
        <v>3510</v>
      </c>
      <c r="R926" t="s">
        <v>386</v>
      </c>
      <c r="S926" s="34" t="s">
        <v>3511</v>
      </c>
    </row>
    <row r="927" spans="1:19" x14ac:dyDescent="0.15">
      <c r="A927" t="s">
        <v>3483</v>
      </c>
      <c r="B927" s="61">
        <v>47058</v>
      </c>
      <c r="E927" t="s">
        <v>355</v>
      </c>
      <c r="F927" t="s">
        <v>364</v>
      </c>
      <c r="H927" t="s">
        <v>353</v>
      </c>
      <c r="I927">
        <v>2302344</v>
      </c>
      <c r="J927" t="s">
        <v>1578</v>
      </c>
      <c r="K927" t="s">
        <v>3512</v>
      </c>
      <c r="L927" t="s">
        <v>3513</v>
      </c>
      <c r="N927" t="s">
        <v>3514</v>
      </c>
      <c r="O927" t="s">
        <v>3515</v>
      </c>
    </row>
    <row r="928" spans="1:19" ht="229.5" x14ac:dyDescent="0.15">
      <c r="A928" t="s">
        <v>3483</v>
      </c>
      <c r="B928" s="61">
        <v>47058</v>
      </c>
      <c r="E928" t="s">
        <v>355</v>
      </c>
      <c r="F928" t="s">
        <v>385</v>
      </c>
      <c r="H928" t="s">
        <v>353</v>
      </c>
      <c r="I928">
        <v>2303771</v>
      </c>
      <c r="J928" t="s">
        <v>3516</v>
      </c>
      <c r="K928" t="s">
        <v>3517</v>
      </c>
      <c r="L928" t="s">
        <v>3518</v>
      </c>
      <c r="N928" t="s">
        <v>3519</v>
      </c>
      <c r="O928" t="s">
        <v>3520</v>
      </c>
      <c r="R928" t="s">
        <v>386</v>
      </c>
      <c r="S928" s="34" t="s">
        <v>3521</v>
      </c>
    </row>
    <row r="929" spans="1:19" ht="409.5" x14ac:dyDescent="0.15">
      <c r="A929" t="s">
        <v>3483</v>
      </c>
      <c r="B929" s="61">
        <v>47058</v>
      </c>
      <c r="E929" t="s">
        <v>355</v>
      </c>
      <c r="F929" t="s">
        <v>385</v>
      </c>
      <c r="H929" t="s">
        <v>365</v>
      </c>
      <c r="I929">
        <v>2303748</v>
      </c>
      <c r="J929" t="s">
        <v>3522</v>
      </c>
      <c r="K929" t="s">
        <v>1251</v>
      </c>
      <c r="L929" t="s">
        <v>390</v>
      </c>
      <c r="N929" t="s">
        <v>3523</v>
      </c>
      <c r="O929" t="s">
        <v>3524</v>
      </c>
      <c r="R929" t="s">
        <v>395</v>
      </c>
      <c r="S929" s="34" t="s">
        <v>3525</v>
      </c>
    </row>
    <row r="930" spans="1:19" ht="409.5" x14ac:dyDescent="0.15">
      <c r="A930" t="s">
        <v>3483</v>
      </c>
      <c r="B930" s="61">
        <v>47239</v>
      </c>
      <c r="E930" t="s">
        <v>355</v>
      </c>
      <c r="F930" t="s">
        <v>385</v>
      </c>
      <c r="H930" t="s">
        <v>353</v>
      </c>
      <c r="I930">
        <v>2201035</v>
      </c>
      <c r="J930" t="s">
        <v>3526</v>
      </c>
      <c r="L930" t="s">
        <v>3527</v>
      </c>
      <c r="N930" t="s">
        <v>3528</v>
      </c>
      <c r="O930" t="s">
        <v>3529</v>
      </c>
      <c r="S930" s="34" t="s">
        <v>3530</v>
      </c>
    </row>
    <row r="931" spans="1:19" ht="229.5" x14ac:dyDescent="0.15">
      <c r="A931" t="s">
        <v>3483</v>
      </c>
      <c r="B931" s="61">
        <v>47757</v>
      </c>
      <c r="E931" t="s">
        <v>355</v>
      </c>
      <c r="F931" t="s">
        <v>385</v>
      </c>
      <c r="H931" t="s">
        <v>353</v>
      </c>
      <c r="I931">
        <v>2301093</v>
      </c>
      <c r="J931" t="s">
        <v>3484</v>
      </c>
      <c r="K931" t="s">
        <v>3485</v>
      </c>
      <c r="L931" t="s">
        <v>3486</v>
      </c>
      <c r="N931" t="s">
        <v>3487</v>
      </c>
      <c r="O931" t="s">
        <v>3488</v>
      </c>
      <c r="R931" t="s">
        <v>386</v>
      </c>
      <c r="S931" s="34" t="s">
        <v>3489</v>
      </c>
    </row>
    <row r="932" spans="1:19" ht="229.5" x14ac:dyDescent="0.15">
      <c r="A932" t="s">
        <v>5612</v>
      </c>
      <c r="B932" s="61">
        <v>46357</v>
      </c>
      <c r="E932" t="s">
        <v>355</v>
      </c>
      <c r="F932" t="s">
        <v>356</v>
      </c>
      <c r="H932" t="s">
        <v>353</v>
      </c>
      <c r="I932">
        <v>1101330</v>
      </c>
      <c r="J932" t="s">
        <v>3546</v>
      </c>
      <c r="K932" t="s">
        <v>3547</v>
      </c>
      <c r="L932" t="s">
        <v>698</v>
      </c>
      <c r="N932" t="s">
        <v>3548</v>
      </c>
      <c r="O932" t="s">
        <v>3549</v>
      </c>
      <c r="R932" t="s">
        <v>362</v>
      </c>
      <c r="S932" s="34" t="s">
        <v>3550</v>
      </c>
    </row>
    <row r="933" spans="1:19" ht="243" x14ac:dyDescent="0.15">
      <c r="A933" t="s">
        <v>5612</v>
      </c>
      <c r="B933" s="61">
        <v>46357</v>
      </c>
      <c r="E933" t="s">
        <v>355</v>
      </c>
      <c r="F933" t="s">
        <v>356</v>
      </c>
      <c r="H933" t="s">
        <v>365</v>
      </c>
      <c r="I933">
        <v>900530</v>
      </c>
      <c r="J933" t="s">
        <v>3551</v>
      </c>
      <c r="L933" t="s">
        <v>698</v>
      </c>
      <c r="N933" t="s">
        <v>3552</v>
      </c>
      <c r="O933" t="s">
        <v>3553</v>
      </c>
      <c r="R933" t="s">
        <v>362</v>
      </c>
      <c r="S933" s="34" t="s">
        <v>3554</v>
      </c>
    </row>
    <row r="934" spans="1:19" x14ac:dyDescent="0.15">
      <c r="A934" t="s">
        <v>5612</v>
      </c>
      <c r="B934" s="61">
        <v>46388</v>
      </c>
      <c r="E934" t="s">
        <v>355</v>
      </c>
      <c r="F934" t="s">
        <v>364</v>
      </c>
      <c r="H934" t="s">
        <v>353</v>
      </c>
      <c r="I934">
        <v>900060</v>
      </c>
      <c r="J934" t="s">
        <v>1720</v>
      </c>
      <c r="K934" t="s">
        <v>3555</v>
      </c>
      <c r="L934" t="s">
        <v>378</v>
      </c>
      <c r="N934" t="s">
        <v>3556</v>
      </c>
      <c r="O934" t="s">
        <v>3557</v>
      </c>
    </row>
    <row r="935" spans="1:19" x14ac:dyDescent="0.15">
      <c r="A935" t="s">
        <v>5612</v>
      </c>
      <c r="B935" s="61">
        <v>46447</v>
      </c>
      <c r="E935" t="s">
        <v>355</v>
      </c>
      <c r="F935" t="s">
        <v>364</v>
      </c>
      <c r="H935" t="s">
        <v>365</v>
      </c>
      <c r="I935">
        <v>1100566</v>
      </c>
      <c r="J935" t="s">
        <v>279</v>
      </c>
      <c r="K935" t="s">
        <v>3538</v>
      </c>
      <c r="L935" t="s">
        <v>413</v>
      </c>
      <c r="N935" t="s">
        <v>3539</v>
      </c>
      <c r="O935" t="s">
        <v>3540</v>
      </c>
    </row>
    <row r="936" spans="1:19" x14ac:dyDescent="0.15">
      <c r="A936" t="s">
        <v>5612</v>
      </c>
      <c r="B936" s="61">
        <v>46447</v>
      </c>
      <c r="E936" t="s">
        <v>355</v>
      </c>
      <c r="F936" t="s">
        <v>364</v>
      </c>
      <c r="H936" t="s">
        <v>365</v>
      </c>
      <c r="I936">
        <v>1100579</v>
      </c>
      <c r="J936" t="s">
        <v>3558</v>
      </c>
      <c r="K936" t="s">
        <v>3559</v>
      </c>
      <c r="L936" t="s">
        <v>1394</v>
      </c>
      <c r="N936" t="s">
        <v>3560</v>
      </c>
      <c r="O936" t="s">
        <v>3561</v>
      </c>
    </row>
    <row r="937" spans="1:19" x14ac:dyDescent="0.15">
      <c r="A937" t="s">
        <v>5612</v>
      </c>
      <c r="B937" s="61">
        <v>46569</v>
      </c>
      <c r="E937" t="s">
        <v>355</v>
      </c>
      <c r="F937" t="s">
        <v>364</v>
      </c>
      <c r="H937" t="s">
        <v>365</v>
      </c>
      <c r="I937">
        <v>1101430</v>
      </c>
      <c r="J937" t="s">
        <v>3562</v>
      </c>
      <c r="K937" t="s">
        <v>3563</v>
      </c>
      <c r="L937" t="s">
        <v>3564</v>
      </c>
      <c r="N937" t="s">
        <v>3565</v>
      </c>
      <c r="O937" t="s">
        <v>3566</v>
      </c>
    </row>
    <row r="938" spans="1:19" ht="391.5" x14ac:dyDescent="0.15">
      <c r="A938" t="s">
        <v>5612</v>
      </c>
      <c r="B938" s="61">
        <v>46722</v>
      </c>
      <c r="E938" t="s">
        <v>355</v>
      </c>
      <c r="F938" t="s">
        <v>385</v>
      </c>
      <c r="H938" t="s">
        <v>365</v>
      </c>
      <c r="I938">
        <v>1100045</v>
      </c>
      <c r="J938" t="s">
        <v>3567</v>
      </c>
      <c r="L938" t="s">
        <v>3568</v>
      </c>
      <c r="N938" t="s">
        <v>3569</v>
      </c>
      <c r="O938" t="s">
        <v>3570</v>
      </c>
      <c r="R938" t="s">
        <v>395</v>
      </c>
      <c r="S938" s="34" t="s">
        <v>3571</v>
      </c>
    </row>
    <row r="939" spans="1:19" ht="216" x14ac:dyDescent="0.15">
      <c r="A939" t="s">
        <v>5612</v>
      </c>
      <c r="B939" s="61">
        <v>46753</v>
      </c>
      <c r="E939" t="s">
        <v>355</v>
      </c>
      <c r="F939" t="s">
        <v>385</v>
      </c>
      <c r="H939" t="s">
        <v>353</v>
      </c>
      <c r="I939">
        <v>1100045</v>
      </c>
      <c r="J939" t="s">
        <v>3567</v>
      </c>
      <c r="L939" t="s">
        <v>3568</v>
      </c>
      <c r="N939" t="s">
        <v>3572</v>
      </c>
      <c r="O939" t="s">
        <v>3570</v>
      </c>
      <c r="R939" t="s">
        <v>386</v>
      </c>
      <c r="S939" s="34" t="s">
        <v>3573</v>
      </c>
    </row>
    <row r="940" spans="1:19" x14ac:dyDescent="0.15">
      <c r="A940" t="s">
        <v>5612</v>
      </c>
      <c r="B940" s="61">
        <v>47119</v>
      </c>
      <c r="E940" t="s">
        <v>355</v>
      </c>
      <c r="F940" t="s">
        <v>364</v>
      </c>
      <c r="H940" t="s">
        <v>365</v>
      </c>
      <c r="I940">
        <v>1102470</v>
      </c>
      <c r="J940" t="s">
        <v>3574</v>
      </c>
      <c r="K940" t="s">
        <v>3575</v>
      </c>
      <c r="L940" t="s">
        <v>3576</v>
      </c>
      <c r="N940" t="s">
        <v>3577</v>
      </c>
      <c r="O940" t="s">
        <v>3578</v>
      </c>
    </row>
    <row r="941" spans="1:19" ht="409.5" x14ac:dyDescent="0.15">
      <c r="A941" t="s">
        <v>5612</v>
      </c>
      <c r="B941" s="61">
        <v>47178</v>
      </c>
      <c r="E941" t="s">
        <v>355</v>
      </c>
      <c r="F941" t="s">
        <v>385</v>
      </c>
      <c r="H941" t="s">
        <v>353</v>
      </c>
      <c r="I941">
        <v>1102423</v>
      </c>
      <c r="J941" t="s">
        <v>672</v>
      </c>
      <c r="K941" t="s">
        <v>3532</v>
      </c>
      <c r="L941" t="s">
        <v>413</v>
      </c>
      <c r="N941" t="s">
        <v>3579</v>
      </c>
      <c r="O941" t="s">
        <v>3580</v>
      </c>
      <c r="R941" t="s">
        <v>386</v>
      </c>
      <c r="S941" s="34" t="s">
        <v>3581</v>
      </c>
    </row>
    <row r="942" spans="1:19" ht="409.5" x14ac:dyDescent="0.15">
      <c r="A942" t="s">
        <v>5612</v>
      </c>
      <c r="B942" s="61">
        <v>47300</v>
      </c>
      <c r="E942" t="s">
        <v>355</v>
      </c>
      <c r="F942" t="s">
        <v>385</v>
      </c>
      <c r="H942" t="s">
        <v>353</v>
      </c>
      <c r="I942">
        <v>1100235</v>
      </c>
      <c r="J942" t="s">
        <v>3582</v>
      </c>
      <c r="K942" t="s">
        <v>897</v>
      </c>
      <c r="L942" t="s">
        <v>3583</v>
      </c>
      <c r="N942" t="s">
        <v>3584</v>
      </c>
      <c r="O942" t="s">
        <v>3585</v>
      </c>
      <c r="R942" s="34" t="s">
        <v>768</v>
      </c>
      <c r="S942" s="34" t="s">
        <v>3586</v>
      </c>
    </row>
    <row r="943" spans="1:19" ht="409.5" x14ac:dyDescent="0.15">
      <c r="A943" t="s">
        <v>5612</v>
      </c>
      <c r="B943" s="61">
        <v>47604</v>
      </c>
      <c r="E943" t="s">
        <v>355</v>
      </c>
      <c r="F943" t="s">
        <v>385</v>
      </c>
      <c r="H943" t="s">
        <v>353</v>
      </c>
      <c r="I943">
        <v>1001031</v>
      </c>
      <c r="J943" t="s">
        <v>743</v>
      </c>
      <c r="K943" t="s">
        <v>3541</v>
      </c>
      <c r="L943" t="s">
        <v>390</v>
      </c>
      <c r="N943" t="s">
        <v>3542</v>
      </c>
      <c r="O943" t="s">
        <v>3543</v>
      </c>
      <c r="R943" t="s">
        <v>386</v>
      </c>
      <c r="S943" s="34" t="s">
        <v>3544</v>
      </c>
    </row>
    <row r="944" spans="1:19" ht="243" x14ac:dyDescent="0.15">
      <c r="A944" t="s">
        <v>5612</v>
      </c>
      <c r="B944" s="61">
        <v>47635</v>
      </c>
      <c r="E944" t="s">
        <v>355</v>
      </c>
      <c r="F944" t="s">
        <v>385</v>
      </c>
      <c r="H944" t="s">
        <v>365</v>
      </c>
      <c r="I944">
        <v>1102194</v>
      </c>
      <c r="J944" t="s">
        <v>3531</v>
      </c>
      <c r="K944" t="s">
        <v>3532</v>
      </c>
      <c r="L944" t="s">
        <v>390</v>
      </c>
      <c r="N944" t="s">
        <v>3533</v>
      </c>
      <c r="O944" t="s">
        <v>3534</v>
      </c>
      <c r="R944" t="s">
        <v>395</v>
      </c>
      <c r="S944" s="34" t="s">
        <v>3545</v>
      </c>
    </row>
    <row r="945" spans="1:19" ht="229.5" x14ac:dyDescent="0.15">
      <c r="A945" t="s">
        <v>5612</v>
      </c>
      <c r="B945" s="61">
        <v>47818</v>
      </c>
      <c r="E945" t="s">
        <v>355</v>
      </c>
      <c r="F945" t="s">
        <v>385</v>
      </c>
      <c r="H945" t="s">
        <v>353</v>
      </c>
      <c r="I945">
        <v>1101330</v>
      </c>
      <c r="J945" t="s">
        <v>3546</v>
      </c>
      <c r="K945" t="s">
        <v>3547</v>
      </c>
      <c r="L945" t="s">
        <v>698</v>
      </c>
      <c r="N945" t="s">
        <v>3548</v>
      </c>
      <c r="O945" t="s">
        <v>3549</v>
      </c>
      <c r="R945" s="34" t="s">
        <v>768</v>
      </c>
      <c r="S945" s="34" t="s">
        <v>3550</v>
      </c>
    </row>
    <row r="946" spans="1:19" ht="243" x14ac:dyDescent="0.15">
      <c r="A946" t="s">
        <v>5612</v>
      </c>
      <c r="B946" s="61">
        <v>47818</v>
      </c>
      <c r="E946" t="s">
        <v>355</v>
      </c>
      <c r="F946" t="s">
        <v>385</v>
      </c>
      <c r="H946" t="s">
        <v>365</v>
      </c>
      <c r="I946">
        <v>900530</v>
      </c>
      <c r="J946" t="s">
        <v>3551</v>
      </c>
      <c r="L946" t="s">
        <v>698</v>
      </c>
      <c r="N946" t="s">
        <v>3552</v>
      </c>
      <c r="O946" t="s">
        <v>3553</v>
      </c>
      <c r="R946" t="s">
        <v>395</v>
      </c>
      <c r="S946" s="34" t="s">
        <v>3554</v>
      </c>
    </row>
    <row r="947" spans="1:19" x14ac:dyDescent="0.15">
      <c r="A947" t="s">
        <v>5612</v>
      </c>
      <c r="B947" s="61">
        <v>47908</v>
      </c>
      <c r="E947" t="s">
        <v>355</v>
      </c>
      <c r="F947" t="s">
        <v>364</v>
      </c>
      <c r="H947" t="s">
        <v>365</v>
      </c>
      <c r="I947">
        <v>1100579</v>
      </c>
      <c r="J947" t="s">
        <v>3558</v>
      </c>
      <c r="K947" t="s">
        <v>3559</v>
      </c>
      <c r="L947" t="s">
        <v>1394</v>
      </c>
      <c r="N947" t="s">
        <v>3560</v>
      </c>
      <c r="O947" t="s">
        <v>3561</v>
      </c>
    </row>
    <row r="948" spans="1:19" x14ac:dyDescent="0.15">
      <c r="A948" t="s">
        <v>5831</v>
      </c>
      <c r="B948" s="61">
        <v>46935</v>
      </c>
      <c r="E948" t="s">
        <v>355</v>
      </c>
      <c r="F948" t="s">
        <v>364</v>
      </c>
      <c r="H948" t="s">
        <v>353</v>
      </c>
      <c r="I948">
        <v>1102404</v>
      </c>
      <c r="J948" t="s">
        <v>1851</v>
      </c>
      <c r="K948" t="s">
        <v>897</v>
      </c>
      <c r="L948" t="s">
        <v>3587</v>
      </c>
      <c r="N948" t="s">
        <v>3588</v>
      </c>
      <c r="O948" t="s">
        <v>3589</v>
      </c>
    </row>
    <row r="949" spans="1:19" ht="409.5" x14ac:dyDescent="0.15">
      <c r="A949" t="s">
        <v>5845</v>
      </c>
      <c r="B949" s="61">
        <v>46174</v>
      </c>
      <c r="E949" t="s">
        <v>355</v>
      </c>
      <c r="F949" t="s">
        <v>356</v>
      </c>
      <c r="H949" t="s">
        <v>353</v>
      </c>
      <c r="I949">
        <v>1000454</v>
      </c>
      <c r="J949" t="s">
        <v>3531</v>
      </c>
      <c r="K949" t="s">
        <v>3590</v>
      </c>
      <c r="L949" t="s">
        <v>3591</v>
      </c>
      <c r="N949" t="s">
        <v>3592</v>
      </c>
      <c r="O949" t="s">
        <v>3593</v>
      </c>
      <c r="R949" t="s">
        <v>362</v>
      </c>
      <c r="S949" s="34" t="s">
        <v>3594</v>
      </c>
    </row>
    <row r="950" spans="1:19" ht="409.5" x14ac:dyDescent="0.15">
      <c r="A950" t="s">
        <v>5845</v>
      </c>
      <c r="B950" s="61">
        <v>46235</v>
      </c>
      <c r="E950" t="s">
        <v>355</v>
      </c>
      <c r="F950" t="s">
        <v>356</v>
      </c>
      <c r="H950" t="s">
        <v>353</v>
      </c>
      <c r="I950">
        <v>1000454</v>
      </c>
      <c r="J950" t="s">
        <v>3531</v>
      </c>
      <c r="K950" t="s">
        <v>3590</v>
      </c>
      <c r="L950" t="s">
        <v>3595</v>
      </c>
      <c r="N950" t="s">
        <v>3596</v>
      </c>
      <c r="O950" t="s">
        <v>3593</v>
      </c>
      <c r="R950" t="s">
        <v>362</v>
      </c>
      <c r="S950" s="34" t="s">
        <v>3597</v>
      </c>
    </row>
    <row r="951" spans="1:19" x14ac:dyDescent="0.15">
      <c r="A951" t="s">
        <v>5845</v>
      </c>
      <c r="B951" s="61">
        <v>46419</v>
      </c>
      <c r="E951" t="s">
        <v>355</v>
      </c>
      <c r="F951" t="s">
        <v>364</v>
      </c>
      <c r="H951" t="s">
        <v>365</v>
      </c>
      <c r="I951">
        <v>1000993</v>
      </c>
      <c r="J951" t="s">
        <v>3598</v>
      </c>
      <c r="K951" t="s">
        <v>891</v>
      </c>
      <c r="L951" t="s">
        <v>3599</v>
      </c>
      <c r="N951" t="s">
        <v>3600</v>
      </c>
      <c r="O951" t="s">
        <v>3601</v>
      </c>
    </row>
    <row r="952" spans="1:19" x14ac:dyDescent="0.15">
      <c r="A952" t="s">
        <v>5845</v>
      </c>
      <c r="B952" s="61">
        <v>46419</v>
      </c>
      <c r="E952" t="s">
        <v>355</v>
      </c>
      <c r="F952" t="s">
        <v>364</v>
      </c>
      <c r="H952" t="s">
        <v>365</v>
      </c>
      <c r="I952">
        <v>1101272</v>
      </c>
      <c r="J952" t="s">
        <v>2033</v>
      </c>
      <c r="K952" t="s">
        <v>897</v>
      </c>
      <c r="L952" t="s">
        <v>3602</v>
      </c>
      <c r="N952" t="s">
        <v>3603</v>
      </c>
      <c r="O952" t="s">
        <v>3604</v>
      </c>
    </row>
    <row r="953" spans="1:19" x14ac:dyDescent="0.15">
      <c r="A953" t="s">
        <v>5845</v>
      </c>
      <c r="B953" s="61">
        <v>46478</v>
      </c>
      <c r="E953" t="s">
        <v>355</v>
      </c>
      <c r="F953" t="s">
        <v>364</v>
      </c>
      <c r="H953" t="s">
        <v>353</v>
      </c>
      <c r="I953">
        <v>1000993</v>
      </c>
      <c r="J953" t="s">
        <v>3598</v>
      </c>
      <c r="K953" t="s">
        <v>891</v>
      </c>
      <c r="L953" t="s">
        <v>3599</v>
      </c>
      <c r="N953" t="s">
        <v>3605</v>
      </c>
      <c r="O953" t="s">
        <v>3601</v>
      </c>
    </row>
    <row r="954" spans="1:19" x14ac:dyDescent="0.15">
      <c r="A954" t="s">
        <v>5845</v>
      </c>
      <c r="B954" s="61">
        <v>46753</v>
      </c>
      <c r="E954" t="s">
        <v>355</v>
      </c>
      <c r="F954" t="s">
        <v>364</v>
      </c>
      <c r="H954" t="s">
        <v>365</v>
      </c>
      <c r="I954">
        <v>1001002</v>
      </c>
      <c r="J954" t="s">
        <v>3598</v>
      </c>
      <c r="K954" t="s">
        <v>891</v>
      </c>
      <c r="L954" t="s">
        <v>3606</v>
      </c>
      <c r="N954" t="s">
        <v>3607</v>
      </c>
      <c r="O954" t="s">
        <v>3608</v>
      </c>
    </row>
    <row r="955" spans="1:19" x14ac:dyDescent="0.15">
      <c r="A955" t="s">
        <v>5845</v>
      </c>
      <c r="B955" s="61">
        <v>46784</v>
      </c>
      <c r="E955" t="s">
        <v>355</v>
      </c>
      <c r="F955" t="s">
        <v>364</v>
      </c>
      <c r="H955" t="s">
        <v>365</v>
      </c>
      <c r="I955">
        <v>1102452</v>
      </c>
      <c r="J955" t="s">
        <v>3609</v>
      </c>
      <c r="K955" t="s">
        <v>3610</v>
      </c>
      <c r="L955" t="s">
        <v>3611</v>
      </c>
      <c r="N955" t="s">
        <v>3612</v>
      </c>
      <c r="O955" t="s">
        <v>3613</v>
      </c>
    </row>
    <row r="956" spans="1:19" x14ac:dyDescent="0.15">
      <c r="A956" t="s">
        <v>5845</v>
      </c>
      <c r="B956" s="61">
        <v>46874</v>
      </c>
      <c r="E956" t="s">
        <v>355</v>
      </c>
      <c r="F956" t="s">
        <v>364</v>
      </c>
      <c r="H956" t="s">
        <v>365</v>
      </c>
      <c r="I956">
        <v>1102437</v>
      </c>
      <c r="J956" t="s">
        <v>3609</v>
      </c>
      <c r="K956" t="s">
        <v>3610</v>
      </c>
      <c r="L956" t="s">
        <v>2082</v>
      </c>
      <c r="N956" t="s">
        <v>3614</v>
      </c>
      <c r="O956" t="s">
        <v>3615</v>
      </c>
    </row>
    <row r="957" spans="1:19" x14ac:dyDescent="0.15">
      <c r="A957" t="s">
        <v>5845</v>
      </c>
      <c r="B957" s="61">
        <v>46905</v>
      </c>
      <c r="E957" t="s">
        <v>355</v>
      </c>
      <c r="F957" t="s">
        <v>364</v>
      </c>
      <c r="H957" t="s">
        <v>365</v>
      </c>
      <c r="I957">
        <v>1102437</v>
      </c>
      <c r="J957" t="s">
        <v>3609</v>
      </c>
      <c r="K957" t="s">
        <v>3610</v>
      </c>
      <c r="L957" t="s">
        <v>2082</v>
      </c>
      <c r="N957" t="s">
        <v>3616</v>
      </c>
      <c r="O957" t="s">
        <v>3615</v>
      </c>
    </row>
    <row r="958" spans="1:19" ht="409.5" x14ac:dyDescent="0.15">
      <c r="A958" t="s">
        <v>5845</v>
      </c>
      <c r="B958" s="61">
        <v>47635</v>
      </c>
      <c r="E958" t="s">
        <v>355</v>
      </c>
      <c r="F958" t="s">
        <v>385</v>
      </c>
      <c r="H958" t="s">
        <v>353</v>
      </c>
      <c r="I958">
        <v>1000454</v>
      </c>
      <c r="J958" t="s">
        <v>3531</v>
      </c>
      <c r="K958" t="s">
        <v>3590</v>
      </c>
      <c r="L958" t="s">
        <v>3591</v>
      </c>
      <c r="N958" t="s">
        <v>3592</v>
      </c>
      <c r="O958" t="s">
        <v>3593</v>
      </c>
      <c r="R958" s="34" t="s">
        <v>768</v>
      </c>
      <c r="S958" s="34" t="s">
        <v>3594</v>
      </c>
    </row>
    <row r="959" spans="1:19" ht="409.5" x14ac:dyDescent="0.15">
      <c r="A959" t="s">
        <v>5845</v>
      </c>
      <c r="B959" s="61">
        <v>47696</v>
      </c>
      <c r="E959" t="s">
        <v>355</v>
      </c>
      <c r="F959" t="s">
        <v>385</v>
      </c>
      <c r="H959" t="s">
        <v>353</v>
      </c>
      <c r="I959">
        <v>1000454</v>
      </c>
      <c r="J959" t="s">
        <v>3531</v>
      </c>
      <c r="K959" t="s">
        <v>3590</v>
      </c>
      <c r="L959" t="s">
        <v>3595</v>
      </c>
      <c r="N959" t="s">
        <v>3596</v>
      </c>
      <c r="O959" t="s">
        <v>3593</v>
      </c>
      <c r="R959" s="34" t="s">
        <v>768</v>
      </c>
      <c r="S959" s="34" t="s">
        <v>3597</v>
      </c>
    </row>
    <row r="960" spans="1:19" x14ac:dyDescent="0.15">
      <c r="A960" t="s">
        <v>5845</v>
      </c>
      <c r="B960" s="61">
        <v>47880</v>
      </c>
      <c r="E960" t="s">
        <v>355</v>
      </c>
      <c r="F960" t="s">
        <v>364</v>
      </c>
      <c r="H960" t="s">
        <v>365</v>
      </c>
      <c r="I960">
        <v>1101272</v>
      </c>
      <c r="J960" t="s">
        <v>2033</v>
      </c>
      <c r="K960" t="s">
        <v>897</v>
      </c>
      <c r="L960" t="s">
        <v>3602</v>
      </c>
      <c r="N960" t="s">
        <v>3603</v>
      </c>
      <c r="O960" t="s">
        <v>3604</v>
      </c>
    </row>
    <row r="961" spans="1:19" ht="256.5" x14ac:dyDescent="0.15">
      <c r="A961" t="s">
        <v>3617</v>
      </c>
      <c r="B961" s="61">
        <v>46235</v>
      </c>
      <c r="E961" t="s">
        <v>355</v>
      </c>
      <c r="F961" t="s">
        <v>385</v>
      </c>
      <c r="H961" t="s">
        <v>310</v>
      </c>
      <c r="I961">
        <v>4000861</v>
      </c>
      <c r="J961" t="s">
        <v>1264</v>
      </c>
      <c r="K961" t="s">
        <v>3623</v>
      </c>
      <c r="L961" t="s">
        <v>3624</v>
      </c>
      <c r="N961" t="s">
        <v>3625</v>
      </c>
      <c r="O961" t="s">
        <v>3626</v>
      </c>
      <c r="R961" t="s">
        <v>395</v>
      </c>
      <c r="S961" s="34" t="s">
        <v>3627</v>
      </c>
    </row>
    <row r="962" spans="1:19" ht="243" x14ac:dyDescent="0.15">
      <c r="A962" t="s">
        <v>3617</v>
      </c>
      <c r="B962" s="61">
        <v>46296</v>
      </c>
      <c r="E962" t="s">
        <v>355</v>
      </c>
      <c r="F962" t="s">
        <v>385</v>
      </c>
      <c r="H962" t="s">
        <v>353</v>
      </c>
      <c r="I962">
        <v>4000073</v>
      </c>
      <c r="J962" t="s">
        <v>3628</v>
      </c>
      <c r="K962" t="s">
        <v>3629</v>
      </c>
      <c r="L962" t="s">
        <v>3630</v>
      </c>
      <c r="N962" t="s">
        <v>3631</v>
      </c>
      <c r="O962" t="s">
        <v>3632</v>
      </c>
      <c r="R962" t="s">
        <v>386</v>
      </c>
      <c r="S962" s="34" t="s">
        <v>3633</v>
      </c>
    </row>
    <row r="963" spans="1:19" ht="409.5" x14ac:dyDescent="0.15">
      <c r="A963" t="s">
        <v>3617</v>
      </c>
      <c r="B963" s="61">
        <v>46296</v>
      </c>
      <c r="E963" t="s">
        <v>355</v>
      </c>
      <c r="F963" t="s">
        <v>385</v>
      </c>
      <c r="H963" t="s">
        <v>365</v>
      </c>
      <c r="I963">
        <v>4000838</v>
      </c>
      <c r="J963" t="s">
        <v>3634</v>
      </c>
      <c r="K963" t="s">
        <v>3635</v>
      </c>
      <c r="L963" t="s">
        <v>3636</v>
      </c>
      <c r="N963" t="s">
        <v>3637</v>
      </c>
      <c r="O963" t="s">
        <v>3638</v>
      </c>
      <c r="R963" t="s">
        <v>395</v>
      </c>
      <c r="S963" s="34" t="s">
        <v>3639</v>
      </c>
    </row>
    <row r="964" spans="1:19" ht="391.5" x14ac:dyDescent="0.15">
      <c r="A964" t="s">
        <v>3617</v>
      </c>
      <c r="B964" s="61">
        <v>46296</v>
      </c>
      <c r="E964" t="s">
        <v>355</v>
      </c>
      <c r="F964" t="s">
        <v>356</v>
      </c>
      <c r="H964" t="s">
        <v>365</v>
      </c>
      <c r="I964">
        <v>4000324</v>
      </c>
      <c r="J964" t="s">
        <v>371</v>
      </c>
      <c r="K964" t="s">
        <v>3640</v>
      </c>
      <c r="L964" t="s">
        <v>3641</v>
      </c>
      <c r="N964" t="s">
        <v>3642</v>
      </c>
      <c r="O964" t="s">
        <v>3643</v>
      </c>
      <c r="R964" t="s">
        <v>362</v>
      </c>
      <c r="S964" s="34" t="s">
        <v>3644</v>
      </c>
    </row>
    <row r="965" spans="1:19" ht="364.5" x14ac:dyDescent="0.15">
      <c r="A965" t="s">
        <v>3617</v>
      </c>
      <c r="B965" s="61">
        <v>46327</v>
      </c>
      <c r="E965" t="s">
        <v>355</v>
      </c>
      <c r="F965" t="s">
        <v>385</v>
      </c>
      <c r="H965" t="s">
        <v>353</v>
      </c>
      <c r="I965">
        <v>4000838</v>
      </c>
      <c r="J965" t="s">
        <v>3634</v>
      </c>
      <c r="K965" t="s">
        <v>3635</v>
      </c>
      <c r="L965" t="s">
        <v>3636</v>
      </c>
      <c r="N965" t="s">
        <v>3645</v>
      </c>
      <c r="O965" t="s">
        <v>3638</v>
      </c>
      <c r="R965" t="s">
        <v>386</v>
      </c>
      <c r="S965" s="34" t="s">
        <v>3646</v>
      </c>
    </row>
    <row r="966" spans="1:19" ht="243" x14ac:dyDescent="0.15">
      <c r="A966" t="s">
        <v>3617</v>
      </c>
      <c r="B966" s="61">
        <v>46357</v>
      </c>
      <c r="E966" t="s">
        <v>355</v>
      </c>
      <c r="F966" t="s">
        <v>356</v>
      </c>
      <c r="H966" t="s">
        <v>365</v>
      </c>
      <c r="I966">
        <v>4000324</v>
      </c>
      <c r="J966" t="s">
        <v>371</v>
      </c>
      <c r="K966" t="s">
        <v>3640</v>
      </c>
      <c r="L966" t="s">
        <v>3641</v>
      </c>
      <c r="N966" t="s">
        <v>3647</v>
      </c>
      <c r="O966" t="s">
        <v>3643</v>
      </c>
      <c r="R966" t="s">
        <v>362</v>
      </c>
      <c r="S966" s="34" t="s">
        <v>3648</v>
      </c>
    </row>
    <row r="967" spans="1:19" ht="409.5" x14ac:dyDescent="0.15">
      <c r="A967" t="s">
        <v>3617</v>
      </c>
      <c r="B967" s="61">
        <v>46357</v>
      </c>
      <c r="E967" t="s">
        <v>355</v>
      </c>
      <c r="F967" t="s">
        <v>356</v>
      </c>
      <c r="H967" t="s">
        <v>353</v>
      </c>
      <c r="I967">
        <v>4000958</v>
      </c>
      <c r="J967" t="s">
        <v>3649</v>
      </c>
      <c r="K967" t="s">
        <v>3650</v>
      </c>
      <c r="L967" t="s">
        <v>2082</v>
      </c>
      <c r="N967" t="s">
        <v>3651</v>
      </c>
      <c r="O967" t="s">
        <v>3652</v>
      </c>
      <c r="R967" t="s">
        <v>362</v>
      </c>
      <c r="S967" s="34" t="s">
        <v>3653</v>
      </c>
    </row>
    <row r="968" spans="1:19" x14ac:dyDescent="0.15">
      <c r="A968" t="s">
        <v>3617</v>
      </c>
      <c r="B968" s="61">
        <v>46447</v>
      </c>
      <c r="E968" t="s">
        <v>355</v>
      </c>
      <c r="F968" t="s">
        <v>364</v>
      </c>
      <c r="H968" t="s">
        <v>353</v>
      </c>
      <c r="I968">
        <v>4000117</v>
      </c>
      <c r="J968" t="s">
        <v>3654</v>
      </c>
      <c r="K968" t="s">
        <v>3655</v>
      </c>
      <c r="L968" t="s">
        <v>3656</v>
      </c>
      <c r="N968" t="s">
        <v>3657</v>
      </c>
      <c r="O968" t="s">
        <v>3658</v>
      </c>
    </row>
    <row r="969" spans="1:19" x14ac:dyDescent="0.15">
      <c r="A969" t="s">
        <v>3617</v>
      </c>
      <c r="B969" s="61">
        <v>46478</v>
      </c>
      <c r="E969" t="s">
        <v>355</v>
      </c>
      <c r="F969" t="s">
        <v>364</v>
      </c>
      <c r="H969" t="s">
        <v>365</v>
      </c>
      <c r="I969">
        <v>4000885</v>
      </c>
      <c r="J969" t="s">
        <v>3659</v>
      </c>
      <c r="K969" t="s">
        <v>2861</v>
      </c>
      <c r="L969" t="s">
        <v>3660</v>
      </c>
      <c r="N969" t="s">
        <v>3661</v>
      </c>
      <c r="O969" t="s">
        <v>3662</v>
      </c>
    </row>
    <row r="970" spans="1:19" x14ac:dyDescent="0.15">
      <c r="A970" t="s">
        <v>3617</v>
      </c>
      <c r="B970" s="61">
        <v>46508</v>
      </c>
      <c r="E970" t="s">
        <v>355</v>
      </c>
      <c r="F970" t="s">
        <v>364</v>
      </c>
      <c r="H970" t="s">
        <v>365</v>
      </c>
      <c r="I970">
        <v>4000885</v>
      </c>
      <c r="J970" t="s">
        <v>3659</v>
      </c>
      <c r="K970" t="s">
        <v>2861</v>
      </c>
      <c r="L970" t="s">
        <v>3660</v>
      </c>
      <c r="N970" t="s">
        <v>3663</v>
      </c>
      <c r="O970" t="s">
        <v>3662</v>
      </c>
    </row>
    <row r="971" spans="1:19" ht="283.5" x14ac:dyDescent="0.15">
      <c r="A971" t="s">
        <v>3617</v>
      </c>
      <c r="B971" s="61">
        <v>46631</v>
      </c>
      <c r="E971" t="s">
        <v>355</v>
      </c>
      <c r="F971" t="s">
        <v>385</v>
      </c>
      <c r="H971" t="s">
        <v>365</v>
      </c>
      <c r="I971">
        <v>4000838</v>
      </c>
      <c r="J971" t="s">
        <v>3634</v>
      </c>
      <c r="K971" t="s">
        <v>3635</v>
      </c>
      <c r="L971" t="s">
        <v>3636</v>
      </c>
      <c r="N971" t="s">
        <v>3664</v>
      </c>
      <c r="O971" t="s">
        <v>3638</v>
      </c>
      <c r="R971" t="s">
        <v>395</v>
      </c>
      <c r="S971" s="34" t="s">
        <v>3665</v>
      </c>
    </row>
    <row r="972" spans="1:19" ht="243" x14ac:dyDescent="0.15">
      <c r="A972" t="s">
        <v>3617</v>
      </c>
      <c r="B972" s="61">
        <v>46631</v>
      </c>
      <c r="E972" t="s">
        <v>355</v>
      </c>
      <c r="F972" t="s">
        <v>385</v>
      </c>
      <c r="H972" t="s">
        <v>353</v>
      </c>
      <c r="I972">
        <v>4000073</v>
      </c>
      <c r="J972" t="s">
        <v>3628</v>
      </c>
      <c r="K972" t="s">
        <v>3629</v>
      </c>
      <c r="L972" t="s">
        <v>3630</v>
      </c>
      <c r="N972" t="s">
        <v>3666</v>
      </c>
      <c r="O972" t="s">
        <v>3632</v>
      </c>
      <c r="R972" t="s">
        <v>386</v>
      </c>
      <c r="S972" s="34" t="s">
        <v>3667</v>
      </c>
    </row>
    <row r="973" spans="1:19" x14ac:dyDescent="0.15">
      <c r="A973" t="s">
        <v>3617</v>
      </c>
      <c r="B973" s="61">
        <v>46661</v>
      </c>
      <c r="E973" t="s">
        <v>355</v>
      </c>
      <c r="F973" t="s">
        <v>364</v>
      </c>
      <c r="H973" t="s">
        <v>365</v>
      </c>
      <c r="I973">
        <v>3500323</v>
      </c>
      <c r="J973" t="s">
        <v>3668</v>
      </c>
      <c r="L973" t="s">
        <v>3669</v>
      </c>
      <c r="N973" t="s">
        <v>3670</v>
      </c>
      <c r="O973" t="s">
        <v>3671</v>
      </c>
    </row>
    <row r="974" spans="1:19" ht="243" x14ac:dyDescent="0.15">
      <c r="A974" t="s">
        <v>3617</v>
      </c>
      <c r="B974" s="61">
        <v>46692</v>
      </c>
      <c r="E974" t="s">
        <v>355</v>
      </c>
      <c r="F974" t="s">
        <v>385</v>
      </c>
      <c r="H974" t="s">
        <v>353</v>
      </c>
      <c r="I974">
        <v>4000722</v>
      </c>
      <c r="J974" t="s">
        <v>3628</v>
      </c>
      <c r="K974" t="s">
        <v>3629</v>
      </c>
      <c r="L974" t="s">
        <v>3672</v>
      </c>
      <c r="N974" t="s">
        <v>3673</v>
      </c>
      <c r="O974" t="s">
        <v>3674</v>
      </c>
      <c r="R974" t="s">
        <v>386</v>
      </c>
      <c r="S974" s="34" t="s">
        <v>3675</v>
      </c>
    </row>
    <row r="975" spans="1:19" ht="229.5" x14ac:dyDescent="0.15">
      <c r="A975" t="s">
        <v>3617</v>
      </c>
      <c r="B975" s="61">
        <v>46874</v>
      </c>
      <c r="E975" t="s">
        <v>355</v>
      </c>
      <c r="F975" t="s">
        <v>356</v>
      </c>
      <c r="H975" t="s">
        <v>353</v>
      </c>
      <c r="I975">
        <v>4000722</v>
      </c>
      <c r="J975" t="s">
        <v>3628</v>
      </c>
      <c r="K975" t="s">
        <v>3629</v>
      </c>
      <c r="L975" t="s">
        <v>3672</v>
      </c>
      <c r="N975" t="s">
        <v>3679</v>
      </c>
      <c r="O975" t="s">
        <v>3674</v>
      </c>
      <c r="R975" t="s">
        <v>362</v>
      </c>
      <c r="S975" s="34" t="s">
        <v>3680</v>
      </c>
    </row>
    <row r="976" spans="1:19" x14ac:dyDescent="0.15">
      <c r="A976" t="s">
        <v>3617</v>
      </c>
      <c r="B976" s="61">
        <v>47484</v>
      </c>
      <c r="E976" t="s">
        <v>355</v>
      </c>
      <c r="F976" t="s">
        <v>364</v>
      </c>
      <c r="H976" t="s">
        <v>353</v>
      </c>
      <c r="I976">
        <v>3500215</v>
      </c>
      <c r="J976" t="s">
        <v>3681</v>
      </c>
      <c r="L976" t="s">
        <v>748</v>
      </c>
      <c r="N976" t="s">
        <v>3682</v>
      </c>
      <c r="O976" t="s">
        <v>3683</v>
      </c>
    </row>
    <row r="977" spans="1:19" ht="229.5" x14ac:dyDescent="0.15">
      <c r="A977" t="s">
        <v>3617</v>
      </c>
      <c r="B977" s="61">
        <v>47574</v>
      </c>
      <c r="E977" t="s">
        <v>355</v>
      </c>
      <c r="F977" t="s">
        <v>385</v>
      </c>
      <c r="H977" t="s">
        <v>353</v>
      </c>
      <c r="I977">
        <v>4000029</v>
      </c>
      <c r="J977" t="s">
        <v>1497</v>
      </c>
      <c r="K977" t="s">
        <v>3618</v>
      </c>
      <c r="L977" t="s">
        <v>3619</v>
      </c>
      <c r="N977" t="s">
        <v>3620</v>
      </c>
      <c r="O977" t="s">
        <v>3621</v>
      </c>
      <c r="R977" t="s">
        <v>386</v>
      </c>
      <c r="S977" s="34" t="s">
        <v>3622</v>
      </c>
    </row>
    <row r="978" spans="1:19" ht="391.5" x14ac:dyDescent="0.15">
      <c r="A978" t="s">
        <v>3617</v>
      </c>
      <c r="B978" s="61">
        <v>47757</v>
      </c>
      <c r="E978" t="s">
        <v>355</v>
      </c>
      <c r="F978" t="s">
        <v>385</v>
      </c>
      <c r="H978" t="s">
        <v>365</v>
      </c>
      <c r="I978">
        <v>4000324</v>
      </c>
      <c r="J978" t="s">
        <v>371</v>
      </c>
      <c r="K978" t="s">
        <v>3640</v>
      </c>
      <c r="L978" t="s">
        <v>3641</v>
      </c>
      <c r="N978" t="s">
        <v>3642</v>
      </c>
      <c r="O978" t="s">
        <v>3643</v>
      </c>
      <c r="R978" t="s">
        <v>395</v>
      </c>
      <c r="S978" s="34" t="s">
        <v>3644</v>
      </c>
    </row>
    <row r="979" spans="1:19" ht="243" x14ac:dyDescent="0.15">
      <c r="A979" t="s">
        <v>3617</v>
      </c>
      <c r="B979" s="61">
        <v>47818</v>
      </c>
      <c r="E979" t="s">
        <v>355</v>
      </c>
      <c r="F979" t="s">
        <v>385</v>
      </c>
      <c r="H979" t="s">
        <v>365</v>
      </c>
      <c r="I979">
        <v>4000324</v>
      </c>
      <c r="J979" t="s">
        <v>371</v>
      </c>
      <c r="K979" t="s">
        <v>3640</v>
      </c>
      <c r="L979" t="s">
        <v>3641</v>
      </c>
      <c r="N979" t="s">
        <v>3647</v>
      </c>
      <c r="O979" t="s">
        <v>3643</v>
      </c>
      <c r="R979" t="s">
        <v>395</v>
      </c>
      <c r="S979" s="34" t="s">
        <v>3648</v>
      </c>
    </row>
    <row r="980" spans="1:19" ht="409.5" x14ac:dyDescent="0.15">
      <c r="A980" t="s">
        <v>3617</v>
      </c>
      <c r="B980" s="61">
        <v>47818</v>
      </c>
      <c r="E980" t="s">
        <v>355</v>
      </c>
      <c r="F980" t="s">
        <v>385</v>
      </c>
      <c r="H980" t="s">
        <v>353</v>
      </c>
      <c r="I980">
        <v>4000958</v>
      </c>
      <c r="J980" t="s">
        <v>3649</v>
      </c>
      <c r="K980" t="s">
        <v>3650</v>
      </c>
      <c r="L980" t="s">
        <v>2082</v>
      </c>
      <c r="N980" t="s">
        <v>3651</v>
      </c>
      <c r="O980" t="s">
        <v>3652</v>
      </c>
      <c r="R980" s="34" t="s">
        <v>768</v>
      </c>
      <c r="S980" s="34" t="s">
        <v>3653</v>
      </c>
    </row>
    <row r="981" spans="1:19" x14ac:dyDescent="0.15">
      <c r="A981" t="s">
        <v>3617</v>
      </c>
      <c r="B981" s="61">
        <v>47908</v>
      </c>
      <c r="E981" t="s">
        <v>355</v>
      </c>
      <c r="F981" t="s">
        <v>364</v>
      </c>
      <c r="H981" t="s">
        <v>353</v>
      </c>
      <c r="I981">
        <v>4000117</v>
      </c>
      <c r="J981" t="s">
        <v>3654</v>
      </c>
      <c r="K981" t="s">
        <v>3655</v>
      </c>
      <c r="L981" t="s">
        <v>3656</v>
      </c>
      <c r="N981" t="s">
        <v>3657</v>
      </c>
      <c r="O981" t="s">
        <v>3658</v>
      </c>
    </row>
    <row r="982" spans="1:19" ht="229.5" x14ac:dyDescent="0.15">
      <c r="A982" t="s">
        <v>3617</v>
      </c>
      <c r="B982" s="61">
        <v>48335</v>
      </c>
      <c r="E982" t="s">
        <v>355</v>
      </c>
      <c r="F982" t="s">
        <v>385</v>
      </c>
      <c r="H982" t="s">
        <v>353</v>
      </c>
      <c r="I982">
        <v>4000722</v>
      </c>
      <c r="J982" t="s">
        <v>3628</v>
      </c>
      <c r="K982" t="s">
        <v>3629</v>
      </c>
      <c r="L982" t="s">
        <v>3672</v>
      </c>
      <c r="N982" t="s">
        <v>3679</v>
      </c>
      <c r="O982" t="s">
        <v>3674</v>
      </c>
      <c r="R982" t="s">
        <v>386</v>
      </c>
      <c r="S982" s="34" t="s">
        <v>3680</v>
      </c>
    </row>
    <row r="983" spans="1:19" x14ac:dyDescent="0.15">
      <c r="A983" t="s">
        <v>3684</v>
      </c>
      <c r="B983" s="61">
        <v>46478</v>
      </c>
      <c r="E983" t="s">
        <v>355</v>
      </c>
      <c r="F983" t="s">
        <v>364</v>
      </c>
      <c r="H983" t="s">
        <v>365</v>
      </c>
      <c r="I983">
        <v>2702746</v>
      </c>
      <c r="J983" t="s">
        <v>3686</v>
      </c>
      <c r="K983" t="s">
        <v>3687</v>
      </c>
      <c r="L983" t="s">
        <v>3688</v>
      </c>
      <c r="N983" t="s">
        <v>3689</v>
      </c>
      <c r="O983" t="s">
        <v>3690</v>
      </c>
    </row>
    <row r="984" spans="1:19" x14ac:dyDescent="0.15">
      <c r="A984" t="s">
        <v>3684</v>
      </c>
      <c r="B984" s="61">
        <v>46631</v>
      </c>
      <c r="E984" t="s">
        <v>355</v>
      </c>
      <c r="F984" t="s">
        <v>364</v>
      </c>
      <c r="H984" t="s">
        <v>353</v>
      </c>
      <c r="I984">
        <v>2701496</v>
      </c>
      <c r="J984" t="s">
        <v>3691</v>
      </c>
      <c r="K984" t="s">
        <v>3692</v>
      </c>
      <c r="L984" t="s">
        <v>413</v>
      </c>
      <c r="N984" t="s">
        <v>3693</v>
      </c>
      <c r="O984" t="s">
        <v>3694</v>
      </c>
    </row>
    <row r="985" spans="1:19" x14ac:dyDescent="0.15">
      <c r="A985" t="s">
        <v>3684</v>
      </c>
      <c r="B985" s="61">
        <v>46753</v>
      </c>
      <c r="E985" t="s">
        <v>355</v>
      </c>
      <c r="F985" t="s">
        <v>364</v>
      </c>
      <c r="H985" t="s">
        <v>353</v>
      </c>
      <c r="I985">
        <v>2701704</v>
      </c>
      <c r="J985" t="s">
        <v>3695</v>
      </c>
      <c r="K985" t="s">
        <v>3696</v>
      </c>
      <c r="L985" t="s">
        <v>698</v>
      </c>
      <c r="N985" t="s">
        <v>3697</v>
      </c>
      <c r="O985" t="s">
        <v>3698</v>
      </c>
    </row>
    <row r="986" spans="1:19" x14ac:dyDescent="0.15">
      <c r="A986" t="s">
        <v>3684</v>
      </c>
      <c r="B986" s="61">
        <v>46784</v>
      </c>
      <c r="E986" t="s">
        <v>355</v>
      </c>
      <c r="F986" t="s">
        <v>364</v>
      </c>
      <c r="H986" t="s">
        <v>353</v>
      </c>
      <c r="I986">
        <v>2702410</v>
      </c>
      <c r="J986" t="s">
        <v>974</v>
      </c>
      <c r="K986" t="s">
        <v>3699</v>
      </c>
      <c r="L986" t="s">
        <v>3700</v>
      </c>
      <c r="N986" t="s">
        <v>3701</v>
      </c>
      <c r="O986" t="s">
        <v>3702</v>
      </c>
    </row>
    <row r="987" spans="1:19" x14ac:dyDescent="0.15">
      <c r="A987" t="s">
        <v>3684</v>
      </c>
      <c r="B987" s="61">
        <v>46813</v>
      </c>
      <c r="E987" t="s">
        <v>355</v>
      </c>
      <c r="F987" t="s">
        <v>364</v>
      </c>
      <c r="H987" t="s">
        <v>353</v>
      </c>
      <c r="I987">
        <v>2700027</v>
      </c>
      <c r="J987" t="s">
        <v>3703</v>
      </c>
      <c r="K987" t="s">
        <v>428</v>
      </c>
      <c r="L987" t="s">
        <v>413</v>
      </c>
      <c r="N987" t="s">
        <v>3704</v>
      </c>
      <c r="O987" t="s">
        <v>3705</v>
      </c>
    </row>
    <row r="988" spans="1:19" x14ac:dyDescent="0.15">
      <c r="A988" t="s">
        <v>3684</v>
      </c>
      <c r="B988" s="61">
        <v>46935</v>
      </c>
      <c r="E988" t="s">
        <v>355</v>
      </c>
      <c r="F988" t="s">
        <v>364</v>
      </c>
      <c r="H988" t="s">
        <v>365</v>
      </c>
      <c r="I988">
        <v>2702712</v>
      </c>
      <c r="J988" t="s">
        <v>3706</v>
      </c>
      <c r="L988" t="s">
        <v>1276</v>
      </c>
      <c r="N988" t="s">
        <v>3707</v>
      </c>
      <c r="O988" t="s">
        <v>3708</v>
      </c>
    </row>
    <row r="989" spans="1:19" x14ac:dyDescent="0.15">
      <c r="A989" t="s">
        <v>3684</v>
      </c>
      <c r="B989" s="61">
        <v>46997</v>
      </c>
      <c r="E989" t="s">
        <v>355</v>
      </c>
      <c r="F989" t="s">
        <v>364</v>
      </c>
      <c r="H989" t="s">
        <v>365</v>
      </c>
      <c r="I989">
        <v>2702355</v>
      </c>
      <c r="J989" t="s">
        <v>3685</v>
      </c>
      <c r="K989" t="s">
        <v>3709</v>
      </c>
      <c r="L989" t="s">
        <v>413</v>
      </c>
      <c r="N989" t="s">
        <v>3710</v>
      </c>
      <c r="O989" t="s">
        <v>3711</v>
      </c>
    </row>
    <row r="990" spans="1:19" x14ac:dyDescent="0.15">
      <c r="A990" t="s">
        <v>3684</v>
      </c>
      <c r="B990" s="61">
        <v>47027</v>
      </c>
      <c r="E990" t="s">
        <v>355</v>
      </c>
      <c r="F990" t="s">
        <v>364</v>
      </c>
      <c r="H990" t="s">
        <v>353</v>
      </c>
      <c r="I990">
        <v>2702723</v>
      </c>
      <c r="J990" t="s">
        <v>3712</v>
      </c>
      <c r="K990" t="s">
        <v>440</v>
      </c>
      <c r="L990" t="s">
        <v>466</v>
      </c>
      <c r="N990" t="s">
        <v>3713</v>
      </c>
      <c r="O990" t="s">
        <v>3714</v>
      </c>
    </row>
    <row r="991" spans="1:19" x14ac:dyDescent="0.15">
      <c r="A991" t="s">
        <v>3684</v>
      </c>
      <c r="B991" s="61">
        <v>47178</v>
      </c>
      <c r="E991" t="s">
        <v>355</v>
      </c>
      <c r="F991" t="s">
        <v>364</v>
      </c>
      <c r="H991" t="s">
        <v>353</v>
      </c>
      <c r="I991">
        <v>2702754</v>
      </c>
      <c r="J991" t="s">
        <v>780</v>
      </c>
      <c r="K991" t="s">
        <v>3715</v>
      </c>
      <c r="L991" t="s">
        <v>3716</v>
      </c>
      <c r="N991" t="s">
        <v>3717</v>
      </c>
      <c r="O991" t="s">
        <v>3718</v>
      </c>
    </row>
    <row r="992" spans="1:19" x14ac:dyDescent="0.15">
      <c r="A992" t="s">
        <v>3684</v>
      </c>
      <c r="B992" s="61">
        <v>47178</v>
      </c>
      <c r="E992" t="s">
        <v>355</v>
      </c>
      <c r="F992" t="s">
        <v>364</v>
      </c>
      <c r="H992" t="s">
        <v>365</v>
      </c>
      <c r="I992">
        <v>2702339</v>
      </c>
      <c r="J992" t="s">
        <v>3719</v>
      </c>
      <c r="L992" t="s">
        <v>413</v>
      </c>
      <c r="N992" t="s">
        <v>3720</v>
      </c>
      <c r="O992" t="s">
        <v>3721</v>
      </c>
    </row>
    <row r="993" spans="1:19" ht="216" x14ac:dyDescent="0.15">
      <c r="A993" t="s">
        <v>3684</v>
      </c>
      <c r="B993" s="61">
        <v>47331</v>
      </c>
      <c r="E993" t="s">
        <v>355</v>
      </c>
      <c r="F993" t="s">
        <v>385</v>
      </c>
      <c r="H993" t="s">
        <v>353</v>
      </c>
      <c r="I993">
        <v>2702101</v>
      </c>
      <c r="J993" t="s">
        <v>3722</v>
      </c>
      <c r="L993" t="s">
        <v>413</v>
      </c>
      <c r="N993" t="s">
        <v>3723</v>
      </c>
      <c r="O993" t="s">
        <v>3724</v>
      </c>
      <c r="R993" s="34" t="s">
        <v>768</v>
      </c>
      <c r="S993" s="34" t="s">
        <v>3725</v>
      </c>
    </row>
    <row r="994" spans="1:19" ht="409.5" x14ac:dyDescent="0.15">
      <c r="A994" t="s">
        <v>3684</v>
      </c>
      <c r="B994" s="61">
        <v>47453</v>
      </c>
      <c r="E994" t="s">
        <v>355</v>
      </c>
      <c r="F994" t="s">
        <v>385</v>
      </c>
      <c r="H994" t="s">
        <v>353</v>
      </c>
      <c r="I994">
        <v>2700758</v>
      </c>
      <c r="J994" t="s">
        <v>3726</v>
      </c>
      <c r="K994" t="s">
        <v>2290</v>
      </c>
      <c r="L994" t="s">
        <v>3727</v>
      </c>
      <c r="N994" t="s">
        <v>3728</v>
      </c>
      <c r="O994" t="s">
        <v>3729</v>
      </c>
      <c r="R994" s="34" t="s">
        <v>768</v>
      </c>
      <c r="S994" s="34" t="s">
        <v>3730</v>
      </c>
    </row>
    <row r="995" spans="1:19" x14ac:dyDescent="0.15">
      <c r="A995" t="s">
        <v>3684</v>
      </c>
      <c r="B995" s="61">
        <v>48092</v>
      </c>
      <c r="E995" t="s">
        <v>355</v>
      </c>
      <c r="F995" t="s">
        <v>364</v>
      </c>
      <c r="H995" t="s">
        <v>353</v>
      </c>
      <c r="I995">
        <v>2701496</v>
      </c>
      <c r="J995" t="s">
        <v>3691</v>
      </c>
      <c r="K995" t="s">
        <v>3692</v>
      </c>
      <c r="L995" t="s">
        <v>413</v>
      </c>
      <c r="N995" t="s">
        <v>3693</v>
      </c>
      <c r="O995" t="s">
        <v>3694</v>
      </c>
    </row>
    <row r="996" spans="1:19" x14ac:dyDescent="0.15">
      <c r="A996" t="s">
        <v>3684</v>
      </c>
      <c r="B996" s="61">
        <v>48214</v>
      </c>
      <c r="E996" t="s">
        <v>355</v>
      </c>
      <c r="F996" t="s">
        <v>364</v>
      </c>
      <c r="H996" t="s">
        <v>353</v>
      </c>
      <c r="I996">
        <v>2701704</v>
      </c>
      <c r="J996" t="s">
        <v>3695</v>
      </c>
      <c r="K996" t="s">
        <v>3696</v>
      </c>
      <c r="L996" t="s">
        <v>698</v>
      </c>
      <c r="N996" t="s">
        <v>3697</v>
      </c>
      <c r="O996" t="s">
        <v>3698</v>
      </c>
    </row>
    <row r="997" spans="1:19" x14ac:dyDescent="0.15">
      <c r="A997" t="s">
        <v>3684</v>
      </c>
      <c r="B997" s="61">
        <v>48274</v>
      </c>
      <c r="E997" t="s">
        <v>355</v>
      </c>
      <c r="F997" t="s">
        <v>364</v>
      </c>
      <c r="H997" t="s">
        <v>353</v>
      </c>
      <c r="I997">
        <v>2700027</v>
      </c>
      <c r="J997" t="s">
        <v>3703</v>
      </c>
      <c r="K997" t="s">
        <v>428</v>
      </c>
      <c r="L997" t="s">
        <v>413</v>
      </c>
      <c r="N997" t="s">
        <v>3704</v>
      </c>
      <c r="O997" t="s">
        <v>3705</v>
      </c>
    </row>
    <row r="998" spans="1:19" ht="229.5" x14ac:dyDescent="0.15">
      <c r="A998" t="s">
        <v>3163</v>
      </c>
      <c r="B998" s="61">
        <v>46266</v>
      </c>
      <c r="E998" t="s">
        <v>355</v>
      </c>
      <c r="F998" t="s">
        <v>356</v>
      </c>
      <c r="H998" t="s">
        <v>353</v>
      </c>
      <c r="I998">
        <v>2600213</v>
      </c>
      <c r="J998" t="s">
        <v>3736</v>
      </c>
      <c r="K998" t="s">
        <v>3737</v>
      </c>
      <c r="L998" t="s">
        <v>3738</v>
      </c>
      <c r="N998" t="s">
        <v>3739</v>
      </c>
      <c r="O998" t="s">
        <v>3740</v>
      </c>
      <c r="R998" t="s">
        <v>362</v>
      </c>
      <c r="S998" s="34" t="s">
        <v>3741</v>
      </c>
    </row>
    <row r="999" spans="1:19" ht="351" x14ac:dyDescent="0.15">
      <c r="A999" t="s">
        <v>3731</v>
      </c>
      <c r="B999" s="61">
        <v>46296</v>
      </c>
      <c r="E999" t="s">
        <v>355</v>
      </c>
      <c r="F999" t="s">
        <v>356</v>
      </c>
      <c r="H999" t="s">
        <v>353</v>
      </c>
      <c r="I999">
        <v>2701769</v>
      </c>
      <c r="J999" t="s">
        <v>3742</v>
      </c>
      <c r="K999" t="s">
        <v>428</v>
      </c>
      <c r="L999" t="s">
        <v>3743</v>
      </c>
      <c r="N999" t="s">
        <v>3744</v>
      </c>
      <c r="O999" t="s">
        <v>3745</v>
      </c>
      <c r="R999" t="s">
        <v>362</v>
      </c>
      <c r="S999" s="34" t="s">
        <v>3746</v>
      </c>
    </row>
    <row r="1000" spans="1:19" x14ac:dyDescent="0.15">
      <c r="A1000" t="s">
        <v>3731</v>
      </c>
      <c r="B1000" s="61">
        <v>46388</v>
      </c>
      <c r="E1000" t="s">
        <v>355</v>
      </c>
      <c r="F1000" t="s">
        <v>364</v>
      </c>
      <c r="H1000" t="s">
        <v>310</v>
      </c>
      <c r="I1000">
        <v>2600293</v>
      </c>
      <c r="J1000" t="s">
        <v>2423</v>
      </c>
      <c r="K1000" t="s">
        <v>3747</v>
      </c>
      <c r="L1000" t="s">
        <v>3748</v>
      </c>
      <c r="N1000" t="s">
        <v>3749</v>
      </c>
      <c r="O1000" t="s">
        <v>3750</v>
      </c>
    </row>
    <row r="1001" spans="1:19" x14ac:dyDescent="0.15">
      <c r="A1001" t="s">
        <v>3731</v>
      </c>
      <c r="B1001" s="61">
        <v>46388</v>
      </c>
      <c r="E1001" t="s">
        <v>355</v>
      </c>
      <c r="F1001" t="s">
        <v>364</v>
      </c>
      <c r="H1001" t="s">
        <v>353</v>
      </c>
      <c r="I1001">
        <v>2600058</v>
      </c>
      <c r="J1001" t="s">
        <v>3751</v>
      </c>
      <c r="L1001" t="s">
        <v>390</v>
      </c>
      <c r="N1001" t="s">
        <v>3752</v>
      </c>
      <c r="O1001" t="s">
        <v>3753</v>
      </c>
    </row>
    <row r="1002" spans="1:19" x14ac:dyDescent="0.15">
      <c r="A1002" t="s">
        <v>3731</v>
      </c>
      <c r="B1002" s="61">
        <v>46692</v>
      </c>
      <c r="E1002" t="s">
        <v>355</v>
      </c>
      <c r="F1002" t="s">
        <v>364</v>
      </c>
      <c r="H1002" t="s">
        <v>365</v>
      </c>
      <c r="I1002">
        <v>2600152</v>
      </c>
      <c r="J1002" t="s">
        <v>2174</v>
      </c>
      <c r="K1002" t="s">
        <v>3754</v>
      </c>
      <c r="L1002" t="s">
        <v>390</v>
      </c>
      <c r="N1002" t="s">
        <v>3755</v>
      </c>
      <c r="O1002" t="s">
        <v>3756</v>
      </c>
    </row>
    <row r="1003" spans="1:19" x14ac:dyDescent="0.15">
      <c r="A1003" t="s">
        <v>3731</v>
      </c>
      <c r="B1003" s="61">
        <v>46692</v>
      </c>
      <c r="E1003" t="s">
        <v>355</v>
      </c>
      <c r="F1003" t="s">
        <v>364</v>
      </c>
      <c r="H1003" t="s">
        <v>365</v>
      </c>
      <c r="I1003">
        <v>2702704</v>
      </c>
      <c r="J1003" t="s">
        <v>3757</v>
      </c>
      <c r="K1003" t="s">
        <v>3758</v>
      </c>
      <c r="L1003" t="s">
        <v>3759</v>
      </c>
      <c r="N1003" t="s">
        <v>3760</v>
      </c>
      <c r="O1003" t="s">
        <v>3761</v>
      </c>
    </row>
    <row r="1004" spans="1:19" x14ac:dyDescent="0.15">
      <c r="A1004" t="s">
        <v>3731</v>
      </c>
      <c r="B1004" s="61">
        <v>46722</v>
      </c>
      <c r="E1004" t="s">
        <v>355</v>
      </c>
      <c r="F1004" t="s">
        <v>364</v>
      </c>
      <c r="H1004" t="s">
        <v>353</v>
      </c>
      <c r="I1004">
        <v>2600492</v>
      </c>
      <c r="J1004" t="s">
        <v>3762</v>
      </c>
      <c r="K1004" t="s">
        <v>3763</v>
      </c>
      <c r="L1004" t="s">
        <v>3464</v>
      </c>
      <c r="N1004" t="s">
        <v>3764</v>
      </c>
      <c r="O1004" t="s">
        <v>3765</v>
      </c>
    </row>
    <row r="1005" spans="1:19" x14ac:dyDescent="0.15">
      <c r="A1005" t="s">
        <v>3731</v>
      </c>
      <c r="B1005" s="61">
        <v>46753</v>
      </c>
      <c r="E1005" t="s">
        <v>355</v>
      </c>
      <c r="F1005" t="s">
        <v>364</v>
      </c>
      <c r="H1005" t="s">
        <v>365</v>
      </c>
      <c r="I1005">
        <v>2600496</v>
      </c>
      <c r="J1005" t="s">
        <v>3766</v>
      </c>
      <c r="K1005" t="s">
        <v>1071</v>
      </c>
      <c r="L1005" t="s">
        <v>390</v>
      </c>
      <c r="N1005" t="s">
        <v>3767</v>
      </c>
      <c r="O1005" t="s">
        <v>3768</v>
      </c>
    </row>
    <row r="1006" spans="1:19" x14ac:dyDescent="0.15">
      <c r="A1006" t="s">
        <v>3731</v>
      </c>
      <c r="B1006" s="61">
        <v>46753</v>
      </c>
      <c r="E1006" t="s">
        <v>355</v>
      </c>
      <c r="F1006" t="s">
        <v>364</v>
      </c>
      <c r="H1006" t="s">
        <v>310</v>
      </c>
      <c r="I1006">
        <v>2600293</v>
      </c>
      <c r="J1006" t="s">
        <v>2423</v>
      </c>
      <c r="K1006" t="s">
        <v>3747</v>
      </c>
      <c r="L1006" t="s">
        <v>3748</v>
      </c>
      <c r="N1006" t="s">
        <v>3749</v>
      </c>
      <c r="O1006" t="s">
        <v>3750</v>
      </c>
    </row>
    <row r="1007" spans="1:19" x14ac:dyDescent="0.15">
      <c r="A1007" t="s">
        <v>3731</v>
      </c>
      <c r="B1007" s="61">
        <v>46753</v>
      </c>
      <c r="E1007" t="s">
        <v>355</v>
      </c>
      <c r="F1007" t="s">
        <v>364</v>
      </c>
      <c r="H1007" t="s">
        <v>365</v>
      </c>
      <c r="I1007">
        <v>2702691</v>
      </c>
      <c r="J1007" t="s">
        <v>3769</v>
      </c>
      <c r="K1007" t="s">
        <v>1251</v>
      </c>
      <c r="L1007" t="s">
        <v>390</v>
      </c>
      <c r="N1007" t="s">
        <v>3770</v>
      </c>
      <c r="O1007" t="s">
        <v>3771</v>
      </c>
    </row>
    <row r="1008" spans="1:19" x14ac:dyDescent="0.15">
      <c r="A1008" t="s">
        <v>3731</v>
      </c>
      <c r="B1008" s="61">
        <v>46784</v>
      </c>
      <c r="E1008" t="s">
        <v>355</v>
      </c>
      <c r="F1008" t="s">
        <v>364</v>
      </c>
      <c r="H1008" t="s">
        <v>353</v>
      </c>
      <c r="I1008">
        <v>2700222</v>
      </c>
      <c r="J1008" t="s">
        <v>3772</v>
      </c>
      <c r="K1008" t="s">
        <v>428</v>
      </c>
      <c r="L1008" t="s">
        <v>390</v>
      </c>
      <c r="N1008" t="s">
        <v>3773</v>
      </c>
      <c r="O1008" t="s">
        <v>3774</v>
      </c>
    </row>
    <row r="1009" spans="1:19" x14ac:dyDescent="0.15">
      <c r="A1009" t="s">
        <v>3731</v>
      </c>
      <c r="B1009" s="61">
        <v>46844</v>
      </c>
      <c r="E1009" t="s">
        <v>355</v>
      </c>
      <c r="F1009" t="s">
        <v>364</v>
      </c>
      <c r="H1009" t="s">
        <v>353</v>
      </c>
      <c r="I1009">
        <v>2600491</v>
      </c>
      <c r="J1009" t="s">
        <v>3775</v>
      </c>
      <c r="K1009" t="s">
        <v>3776</v>
      </c>
      <c r="L1009" t="s">
        <v>1148</v>
      </c>
      <c r="N1009" t="s">
        <v>3777</v>
      </c>
      <c r="O1009" t="s">
        <v>3778</v>
      </c>
    </row>
    <row r="1010" spans="1:19" x14ac:dyDescent="0.15">
      <c r="A1010" t="s">
        <v>3731</v>
      </c>
      <c r="B1010" s="61">
        <v>46905</v>
      </c>
      <c r="E1010" t="s">
        <v>355</v>
      </c>
      <c r="F1010" t="s">
        <v>364</v>
      </c>
      <c r="H1010" t="s">
        <v>365</v>
      </c>
      <c r="I1010">
        <v>2600503</v>
      </c>
      <c r="J1010" t="s">
        <v>3779</v>
      </c>
      <c r="L1010" t="s">
        <v>1148</v>
      </c>
      <c r="N1010" t="s">
        <v>3780</v>
      </c>
      <c r="O1010" t="s">
        <v>3781</v>
      </c>
    </row>
    <row r="1011" spans="1:19" x14ac:dyDescent="0.15">
      <c r="A1011" t="s">
        <v>3731</v>
      </c>
      <c r="B1011" s="61">
        <v>46935</v>
      </c>
      <c r="E1011" t="s">
        <v>355</v>
      </c>
      <c r="F1011" t="s">
        <v>364</v>
      </c>
      <c r="H1011" t="s">
        <v>353</v>
      </c>
      <c r="I1011">
        <v>2600441</v>
      </c>
      <c r="J1011" t="s">
        <v>873</v>
      </c>
      <c r="K1011" t="s">
        <v>3782</v>
      </c>
      <c r="L1011" t="s">
        <v>3783</v>
      </c>
      <c r="N1011" t="s">
        <v>3784</v>
      </c>
      <c r="O1011" t="s">
        <v>3785</v>
      </c>
    </row>
    <row r="1012" spans="1:19" x14ac:dyDescent="0.15">
      <c r="A1012" t="s">
        <v>3731</v>
      </c>
      <c r="B1012" s="61">
        <v>46966</v>
      </c>
      <c r="E1012" t="s">
        <v>355</v>
      </c>
      <c r="F1012" t="s">
        <v>364</v>
      </c>
      <c r="H1012" t="s">
        <v>353</v>
      </c>
      <c r="I1012">
        <v>2701730</v>
      </c>
      <c r="J1012" t="s">
        <v>2718</v>
      </c>
      <c r="K1012" t="s">
        <v>3786</v>
      </c>
      <c r="L1012" t="s">
        <v>3787</v>
      </c>
      <c r="N1012" t="s">
        <v>3788</v>
      </c>
      <c r="O1012" t="s">
        <v>3789</v>
      </c>
    </row>
    <row r="1013" spans="1:19" x14ac:dyDescent="0.15">
      <c r="A1013" t="s">
        <v>3731</v>
      </c>
      <c r="B1013" s="61">
        <v>46966</v>
      </c>
      <c r="E1013" t="s">
        <v>355</v>
      </c>
      <c r="F1013" t="s">
        <v>364</v>
      </c>
      <c r="H1013" t="s">
        <v>353</v>
      </c>
      <c r="I1013">
        <v>2701870</v>
      </c>
      <c r="J1013" t="s">
        <v>2718</v>
      </c>
      <c r="K1013" t="s">
        <v>3786</v>
      </c>
      <c r="L1013" t="s">
        <v>3790</v>
      </c>
      <c r="N1013" t="s">
        <v>3791</v>
      </c>
      <c r="O1013" t="s">
        <v>3792</v>
      </c>
    </row>
    <row r="1014" spans="1:19" x14ac:dyDescent="0.15">
      <c r="A1014" t="s">
        <v>3731</v>
      </c>
      <c r="B1014" s="61">
        <v>47027</v>
      </c>
      <c r="E1014" t="s">
        <v>355</v>
      </c>
      <c r="F1014" t="s">
        <v>364</v>
      </c>
      <c r="H1014" t="s">
        <v>353</v>
      </c>
      <c r="I1014">
        <v>2600440</v>
      </c>
      <c r="J1014" t="s">
        <v>3762</v>
      </c>
      <c r="K1014" t="s">
        <v>3793</v>
      </c>
      <c r="L1014" t="s">
        <v>390</v>
      </c>
      <c r="N1014" t="s">
        <v>3794</v>
      </c>
      <c r="O1014" t="s">
        <v>3795</v>
      </c>
    </row>
    <row r="1015" spans="1:19" ht="243" x14ac:dyDescent="0.15">
      <c r="A1015" t="s">
        <v>3731</v>
      </c>
      <c r="B1015" s="61">
        <v>47027</v>
      </c>
      <c r="E1015" t="s">
        <v>355</v>
      </c>
      <c r="F1015" t="s">
        <v>385</v>
      </c>
      <c r="H1015" t="s">
        <v>365</v>
      </c>
      <c r="I1015">
        <v>2702001</v>
      </c>
      <c r="J1015" t="s">
        <v>3757</v>
      </c>
      <c r="K1015" t="s">
        <v>3758</v>
      </c>
      <c r="L1015" t="s">
        <v>3796</v>
      </c>
      <c r="N1015" t="s">
        <v>3797</v>
      </c>
      <c r="O1015" t="s">
        <v>3798</v>
      </c>
      <c r="R1015" t="s">
        <v>395</v>
      </c>
      <c r="S1015" s="34" t="s">
        <v>3799</v>
      </c>
    </row>
    <row r="1016" spans="1:19" ht="297" x14ac:dyDescent="0.15">
      <c r="A1016" t="s">
        <v>3731</v>
      </c>
      <c r="B1016" s="61">
        <v>47027</v>
      </c>
      <c r="E1016" t="s">
        <v>355</v>
      </c>
      <c r="F1016" t="s">
        <v>385</v>
      </c>
      <c r="H1016" t="s">
        <v>353</v>
      </c>
      <c r="I1016">
        <v>2701155</v>
      </c>
      <c r="J1016" t="s">
        <v>582</v>
      </c>
      <c r="K1016" t="s">
        <v>3800</v>
      </c>
      <c r="L1016" t="s">
        <v>3253</v>
      </c>
      <c r="N1016" t="s">
        <v>3801</v>
      </c>
      <c r="O1016" t="s">
        <v>3802</v>
      </c>
      <c r="R1016" t="s">
        <v>386</v>
      </c>
      <c r="S1016" s="34" t="s">
        <v>3803</v>
      </c>
    </row>
    <row r="1017" spans="1:19" x14ac:dyDescent="0.15">
      <c r="A1017" t="s">
        <v>3731</v>
      </c>
      <c r="B1017" s="61">
        <v>47058</v>
      </c>
      <c r="E1017" t="s">
        <v>355</v>
      </c>
      <c r="F1017" t="s">
        <v>364</v>
      </c>
      <c r="H1017" t="s">
        <v>353</v>
      </c>
      <c r="I1017">
        <v>2600341</v>
      </c>
      <c r="J1017" t="s">
        <v>3804</v>
      </c>
      <c r="K1017" t="s">
        <v>3805</v>
      </c>
      <c r="L1017" t="s">
        <v>3806</v>
      </c>
      <c r="N1017" t="s">
        <v>3807</v>
      </c>
      <c r="O1017" t="s">
        <v>3808</v>
      </c>
    </row>
    <row r="1018" spans="1:19" ht="409.5" x14ac:dyDescent="0.15">
      <c r="A1018" t="s">
        <v>3731</v>
      </c>
      <c r="B1018" s="61">
        <v>47270</v>
      </c>
      <c r="E1018" t="s">
        <v>355</v>
      </c>
      <c r="F1018" t="s">
        <v>364</v>
      </c>
      <c r="H1018" t="s">
        <v>353</v>
      </c>
      <c r="I1018">
        <v>2600339</v>
      </c>
      <c r="J1018" t="s">
        <v>402</v>
      </c>
      <c r="K1018" t="s">
        <v>3809</v>
      </c>
      <c r="L1018" t="s">
        <v>390</v>
      </c>
      <c r="N1018" t="s">
        <v>3810</v>
      </c>
      <c r="O1018" t="s">
        <v>3811</v>
      </c>
      <c r="R1018" t="s">
        <v>723</v>
      </c>
      <c r="S1018" s="34" t="s">
        <v>3812</v>
      </c>
    </row>
    <row r="1019" spans="1:19" ht="351" x14ac:dyDescent="0.15">
      <c r="A1019" t="s">
        <v>3731</v>
      </c>
      <c r="B1019" s="61">
        <v>47392</v>
      </c>
      <c r="E1019" t="s">
        <v>355</v>
      </c>
      <c r="F1019" t="s">
        <v>385</v>
      </c>
      <c r="H1019" t="s">
        <v>353</v>
      </c>
      <c r="I1019">
        <v>2702771</v>
      </c>
      <c r="J1019" t="s">
        <v>2718</v>
      </c>
      <c r="K1019" t="s">
        <v>3786</v>
      </c>
      <c r="L1019" t="s">
        <v>3813</v>
      </c>
      <c r="N1019" t="s">
        <v>3814</v>
      </c>
      <c r="O1019" t="s">
        <v>3815</v>
      </c>
      <c r="R1019" s="34" t="s">
        <v>768</v>
      </c>
      <c r="S1019" s="34" t="s">
        <v>3816</v>
      </c>
    </row>
    <row r="1020" spans="1:19" ht="409.5" x14ac:dyDescent="0.15">
      <c r="A1020" t="s">
        <v>3731</v>
      </c>
      <c r="B1020" s="61">
        <v>47574</v>
      </c>
      <c r="E1020" t="s">
        <v>355</v>
      </c>
      <c r="F1020" t="s">
        <v>385</v>
      </c>
      <c r="H1020" t="s">
        <v>365</v>
      </c>
      <c r="I1020">
        <v>2600060</v>
      </c>
      <c r="J1020" t="s">
        <v>3817</v>
      </c>
      <c r="K1020" t="s">
        <v>3818</v>
      </c>
      <c r="L1020" t="s">
        <v>390</v>
      </c>
      <c r="N1020" t="s">
        <v>3819</v>
      </c>
      <c r="O1020" t="s">
        <v>3820</v>
      </c>
      <c r="R1020" t="s">
        <v>395</v>
      </c>
      <c r="S1020" s="34" t="s">
        <v>3821</v>
      </c>
    </row>
    <row r="1021" spans="1:19" ht="229.5" x14ac:dyDescent="0.15">
      <c r="A1021" t="s">
        <v>3163</v>
      </c>
      <c r="B1021" s="61">
        <v>47727</v>
      </c>
      <c r="E1021" t="s">
        <v>355</v>
      </c>
      <c r="F1021" t="s">
        <v>385</v>
      </c>
      <c r="H1021" t="s">
        <v>353</v>
      </c>
      <c r="I1021">
        <v>2600213</v>
      </c>
      <c r="J1021" t="s">
        <v>3736</v>
      </c>
      <c r="K1021" t="s">
        <v>3737</v>
      </c>
      <c r="L1021" t="s">
        <v>3738</v>
      </c>
      <c r="N1021" t="s">
        <v>3739</v>
      </c>
      <c r="O1021" t="s">
        <v>3740</v>
      </c>
      <c r="R1021" t="s">
        <v>386</v>
      </c>
      <c r="S1021" s="34" t="s">
        <v>3741</v>
      </c>
    </row>
    <row r="1022" spans="1:19" ht="351" x14ac:dyDescent="0.15">
      <c r="A1022" t="s">
        <v>3731</v>
      </c>
      <c r="B1022" s="61">
        <v>47757</v>
      </c>
      <c r="E1022" t="s">
        <v>355</v>
      </c>
      <c r="F1022" t="s">
        <v>385</v>
      </c>
      <c r="H1022" t="s">
        <v>353</v>
      </c>
      <c r="I1022">
        <v>2701769</v>
      </c>
      <c r="J1022" t="s">
        <v>3742</v>
      </c>
      <c r="K1022" t="s">
        <v>428</v>
      </c>
      <c r="L1022" t="s">
        <v>3743</v>
      </c>
      <c r="N1022" t="s">
        <v>3744</v>
      </c>
      <c r="O1022" t="s">
        <v>3745</v>
      </c>
      <c r="R1022" t="s">
        <v>386</v>
      </c>
      <c r="S1022" s="34" t="s">
        <v>3746</v>
      </c>
    </row>
    <row r="1023" spans="1:19" x14ac:dyDescent="0.15">
      <c r="A1023" t="s">
        <v>3731</v>
      </c>
      <c r="B1023" s="61">
        <v>47849</v>
      </c>
      <c r="E1023" t="s">
        <v>355</v>
      </c>
      <c r="F1023" t="s">
        <v>364</v>
      </c>
      <c r="H1023" t="s">
        <v>353</v>
      </c>
      <c r="I1023">
        <v>2600058</v>
      </c>
      <c r="J1023" t="s">
        <v>3751</v>
      </c>
      <c r="L1023" t="s">
        <v>390</v>
      </c>
      <c r="N1023" t="s">
        <v>3752</v>
      </c>
      <c r="O1023" t="s">
        <v>3753</v>
      </c>
    </row>
    <row r="1024" spans="1:19" ht="256.5" x14ac:dyDescent="0.15">
      <c r="A1024" t="s">
        <v>3822</v>
      </c>
      <c r="B1024" s="61">
        <v>46296</v>
      </c>
      <c r="E1024" t="s">
        <v>355</v>
      </c>
      <c r="F1024" t="s">
        <v>385</v>
      </c>
      <c r="H1024" t="s">
        <v>365</v>
      </c>
      <c r="I1024">
        <v>1800198</v>
      </c>
      <c r="J1024" t="s">
        <v>3844</v>
      </c>
      <c r="K1024" t="s">
        <v>3845</v>
      </c>
      <c r="L1024" t="s">
        <v>390</v>
      </c>
      <c r="N1024" t="s">
        <v>3846</v>
      </c>
      <c r="O1024" t="s">
        <v>3847</v>
      </c>
      <c r="R1024" t="s">
        <v>3848</v>
      </c>
      <c r="S1024" s="34" t="s">
        <v>3849</v>
      </c>
    </row>
    <row r="1025" spans="1:19" x14ac:dyDescent="0.15">
      <c r="A1025" t="s">
        <v>3822</v>
      </c>
      <c r="B1025" s="61">
        <v>46388</v>
      </c>
      <c r="E1025" t="s">
        <v>355</v>
      </c>
      <c r="F1025" t="s">
        <v>364</v>
      </c>
      <c r="H1025" t="s">
        <v>353</v>
      </c>
      <c r="I1025">
        <v>1800266</v>
      </c>
      <c r="J1025" t="s">
        <v>2730</v>
      </c>
      <c r="K1025" t="s">
        <v>3850</v>
      </c>
      <c r="L1025" t="s">
        <v>3851</v>
      </c>
      <c r="N1025" t="s">
        <v>3852</v>
      </c>
      <c r="O1025" t="s">
        <v>3853</v>
      </c>
    </row>
    <row r="1026" spans="1:19" x14ac:dyDescent="0.15">
      <c r="A1026" t="s">
        <v>3822</v>
      </c>
      <c r="B1026" s="61">
        <v>46539</v>
      </c>
      <c r="E1026" t="s">
        <v>355</v>
      </c>
      <c r="F1026" t="s">
        <v>364</v>
      </c>
      <c r="H1026" t="s">
        <v>365</v>
      </c>
      <c r="I1026">
        <v>1800313</v>
      </c>
      <c r="J1026" t="s">
        <v>2730</v>
      </c>
      <c r="K1026" t="s">
        <v>3850</v>
      </c>
      <c r="L1026" t="s">
        <v>3854</v>
      </c>
      <c r="N1026" t="s">
        <v>3855</v>
      </c>
      <c r="O1026" t="s">
        <v>3856</v>
      </c>
    </row>
    <row r="1027" spans="1:19" x14ac:dyDescent="0.15">
      <c r="A1027" t="s">
        <v>3822</v>
      </c>
      <c r="B1027" s="61">
        <v>46569</v>
      </c>
      <c r="E1027" t="s">
        <v>355</v>
      </c>
      <c r="F1027" t="s">
        <v>364</v>
      </c>
      <c r="H1027" t="s">
        <v>353</v>
      </c>
      <c r="I1027">
        <v>1700063</v>
      </c>
      <c r="J1027" t="s">
        <v>3857</v>
      </c>
      <c r="L1027" t="s">
        <v>390</v>
      </c>
      <c r="N1027" t="s">
        <v>3858</v>
      </c>
      <c r="O1027" t="s">
        <v>3859</v>
      </c>
    </row>
    <row r="1028" spans="1:19" ht="256.5" x14ac:dyDescent="0.15">
      <c r="A1028" t="s">
        <v>3822</v>
      </c>
      <c r="B1028" s="61">
        <v>46631</v>
      </c>
      <c r="E1028" t="s">
        <v>355</v>
      </c>
      <c r="F1028" t="s">
        <v>385</v>
      </c>
      <c r="H1028" t="s">
        <v>365</v>
      </c>
      <c r="I1028">
        <v>1800198</v>
      </c>
      <c r="J1028" t="s">
        <v>3844</v>
      </c>
      <c r="K1028" t="s">
        <v>3845</v>
      </c>
      <c r="L1028" t="s">
        <v>3860</v>
      </c>
      <c r="N1028" t="s">
        <v>3861</v>
      </c>
      <c r="O1028" t="s">
        <v>3847</v>
      </c>
      <c r="R1028" t="s">
        <v>395</v>
      </c>
      <c r="S1028" s="34" t="s">
        <v>3862</v>
      </c>
    </row>
    <row r="1029" spans="1:19" x14ac:dyDescent="0.15">
      <c r="A1029" t="s">
        <v>3822</v>
      </c>
      <c r="B1029" s="61">
        <v>46631</v>
      </c>
      <c r="E1029" t="s">
        <v>355</v>
      </c>
      <c r="F1029" t="s">
        <v>364</v>
      </c>
      <c r="H1029" t="s">
        <v>365</v>
      </c>
      <c r="I1029">
        <v>1700456</v>
      </c>
      <c r="J1029" t="s">
        <v>3863</v>
      </c>
      <c r="L1029" t="s">
        <v>3864</v>
      </c>
      <c r="N1029" t="s">
        <v>3865</v>
      </c>
      <c r="O1029" t="s">
        <v>3866</v>
      </c>
    </row>
    <row r="1030" spans="1:19" x14ac:dyDescent="0.15">
      <c r="A1030" t="s">
        <v>3822</v>
      </c>
      <c r="B1030" s="61">
        <v>46631</v>
      </c>
      <c r="E1030" t="s">
        <v>355</v>
      </c>
      <c r="F1030" t="s">
        <v>364</v>
      </c>
      <c r="H1030" t="s">
        <v>353</v>
      </c>
      <c r="I1030">
        <v>1800035</v>
      </c>
      <c r="J1030" t="s">
        <v>1690</v>
      </c>
      <c r="L1030" t="s">
        <v>3867</v>
      </c>
      <c r="N1030" t="s">
        <v>3868</v>
      </c>
      <c r="O1030" t="s">
        <v>3869</v>
      </c>
    </row>
    <row r="1031" spans="1:19" x14ac:dyDescent="0.15">
      <c r="A1031" t="s">
        <v>3822</v>
      </c>
      <c r="B1031" s="61">
        <v>46661</v>
      </c>
      <c r="E1031" t="s">
        <v>355</v>
      </c>
      <c r="F1031" t="s">
        <v>364</v>
      </c>
      <c r="H1031" t="s">
        <v>365</v>
      </c>
      <c r="I1031">
        <v>1700304</v>
      </c>
      <c r="J1031" t="s">
        <v>3870</v>
      </c>
      <c r="L1031" t="s">
        <v>1605</v>
      </c>
      <c r="N1031" t="s">
        <v>3871</v>
      </c>
      <c r="O1031" t="s">
        <v>3872</v>
      </c>
    </row>
    <row r="1032" spans="1:19" x14ac:dyDescent="0.15">
      <c r="A1032" t="s">
        <v>3822</v>
      </c>
      <c r="B1032" s="61">
        <v>46813</v>
      </c>
      <c r="E1032" t="s">
        <v>355</v>
      </c>
      <c r="F1032" t="s">
        <v>364</v>
      </c>
      <c r="H1032" t="s">
        <v>365</v>
      </c>
      <c r="I1032">
        <v>1700457</v>
      </c>
      <c r="J1032" t="s">
        <v>3873</v>
      </c>
      <c r="L1032" t="s">
        <v>390</v>
      </c>
      <c r="N1032" t="s">
        <v>3874</v>
      </c>
      <c r="O1032" t="s">
        <v>3875</v>
      </c>
    </row>
    <row r="1033" spans="1:19" x14ac:dyDescent="0.15">
      <c r="A1033" t="s">
        <v>3822</v>
      </c>
      <c r="B1033" s="61">
        <v>46997</v>
      </c>
      <c r="E1033" t="s">
        <v>355</v>
      </c>
      <c r="F1033" t="s">
        <v>364</v>
      </c>
      <c r="H1033" t="s">
        <v>353</v>
      </c>
      <c r="I1033">
        <v>1800202</v>
      </c>
      <c r="J1033" t="s">
        <v>2730</v>
      </c>
      <c r="K1033" t="s">
        <v>3850</v>
      </c>
      <c r="L1033" t="s">
        <v>3876</v>
      </c>
      <c r="N1033" t="s">
        <v>3877</v>
      </c>
      <c r="O1033" t="s">
        <v>3878</v>
      </c>
    </row>
    <row r="1034" spans="1:19" x14ac:dyDescent="0.15">
      <c r="A1034" t="s">
        <v>3822</v>
      </c>
      <c r="B1034" s="61">
        <v>47209</v>
      </c>
      <c r="E1034" t="s">
        <v>355</v>
      </c>
      <c r="F1034" t="s">
        <v>364</v>
      </c>
      <c r="H1034" t="s">
        <v>365</v>
      </c>
      <c r="I1034">
        <v>1700465</v>
      </c>
      <c r="J1034" t="s">
        <v>3879</v>
      </c>
      <c r="K1034" t="s">
        <v>3880</v>
      </c>
      <c r="L1034" t="s">
        <v>1276</v>
      </c>
      <c r="N1034" t="s">
        <v>3881</v>
      </c>
      <c r="O1034" t="s">
        <v>3882</v>
      </c>
    </row>
    <row r="1035" spans="1:19" ht="409.5" x14ac:dyDescent="0.15">
      <c r="A1035" t="s">
        <v>3822</v>
      </c>
      <c r="B1035" s="61">
        <v>47362</v>
      </c>
      <c r="E1035" t="s">
        <v>355</v>
      </c>
      <c r="F1035" t="s">
        <v>385</v>
      </c>
      <c r="H1035" t="s">
        <v>353</v>
      </c>
      <c r="I1035">
        <v>1800318</v>
      </c>
      <c r="J1035" t="s">
        <v>3883</v>
      </c>
      <c r="K1035" t="s">
        <v>3884</v>
      </c>
      <c r="L1035" t="s">
        <v>3885</v>
      </c>
      <c r="N1035" t="s">
        <v>3886</v>
      </c>
      <c r="O1035" t="s">
        <v>3887</v>
      </c>
      <c r="R1035" s="34" t="s">
        <v>768</v>
      </c>
      <c r="S1035" s="34" t="s">
        <v>3888</v>
      </c>
    </row>
    <row r="1036" spans="1:19" ht="216" x14ac:dyDescent="0.15">
      <c r="A1036" t="s">
        <v>3822</v>
      </c>
      <c r="B1036" s="61">
        <v>47665</v>
      </c>
      <c r="E1036" t="s">
        <v>355</v>
      </c>
      <c r="F1036" t="s">
        <v>385</v>
      </c>
      <c r="H1036" t="s">
        <v>365</v>
      </c>
      <c r="I1036">
        <v>1700246</v>
      </c>
      <c r="J1036" t="s">
        <v>3825</v>
      </c>
      <c r="K1036" t="s">
        <v>3826</v>
      </c>
      <c r="L1036" t="s">
        <v>3195</v>
      </c>
      <c r="N1036" t="s">
        <v>3827</v>
      </c>
      <c r="O1036" t="s">
        <v>3828</v>
      </c>
      <c r="R1036" t="s">
        <v>395</v>
      </c>
      <c r="S1036" s="34" t="s">
        <v>3829</v>
      </c>
    </row>
    <row r="1037" spans="1:19" ht="243" x14ac:dyDescent="0.15">
      <c r="A1037" t="s">
        <v>3822</v>
      </c>
      <c r="B1037" s="61">
        <v>47696</v>
      </c>
      <c r="E1037" t="s">
        <v>355</v>
      </c>
      <c r="F1037" t="s">
        <v>385</v>
      </c>
      <c r="H1037" t="s">
        <v>365</v>
      </c>
      <c r="I1037">
        <v>1700425</v>
      </c>
      <c r="J1037" t="s">
        <v>3830</v>
      </c>
      <c r="K1037" t="s">
        <v>3831</v>
      </c>
      <c r="L1037" t="s">
        <v>390</v>
      </c>
      <c r="N1037" t="s">
        <v>3832</v>
      </c>
      <c r="O1037" t="s">
        <v>3833</v>
      </c>
      <c r="R1037" t="s">
        <v>395</v>
      </c>
      <c r="S1037" s="34" t="s">
        <v>3834</v>
      </c>
    </row>
    <row r="1038" spans="1:19" ht="351" x14ac:dyDescent="0.15">
      <c r="A1038" t="s">
        <v>3822</v>
      </c>
      <c r="B1038" s="61">
        <v>47696</v>
      </c>
      <c r="E1038" t="s">
        <v>355</v>
      </c>
      <c r="F1038" t="s">
        <v>385</v>
      </c>
      <c r="H1038" t="s">
        <v>353</v>
      </c>
      <c r="I1038">
        <v>1800097</v>
      </c>
      <c r="J1038" t="s">
        <v>1655</v>
      </c>
      <c r="K1038" t="s">
        <v>3835</v>
      </c>
      <c r="L1038" t="s">
        <v>390</v>
      </c>
      <c r="N1038" t="s">
        <v>3836</v>
      </c>
      <c r="O1038" t="s">
        <v>3837</v>
      </c>
      <c r="R1038" s="34" t="s">
        <v>768</v>
      </c>
      <c r="S1038" s="34" t="s">
        <v>3838</v>
      </c>
    </row>
    <row r="1039" spans="1:19" ht="391.5" x14ac:dyDescent="0.15">
      <c r="A1039" t="s">
        <v>3822</v>
      </c>
      <c r="B1039" s="61">
        <v>47727</v>
      </c>
      <c r="E1039" t="s">
        <v>355</v>
      </c>
      <c r="F1039" t="s">
        <v>385</v>
      </c>
      <c r="H1039" t="s">
        <v>365</v>
      </c>
      <c r="I1039">
        <v>1700473</v>
      </c>
      <c r="J1039" t="s">
        <v>3839</v>
      </c>
      <c r="K1039" t="s">
        <v>1023</v>
      </c>
      <c r="L1039" t="s">
        <v>3840</v>
      </c>
      <c r="N1039" t="s">
        <v>3841</v>
      </c>
      <c r="O1039" t="s">
        <v>3842</v>
      </c>
      <c r="R1039" t="s">
        <v>395</v>
      </c>
      <c r="S1039" s="34" t="s">
        <v>3843</v>
      </c>
    </row>
    <row r="1040" spans="1:19" x14ac:dyDescent="0.15">
      <c r="A1040" t="s">
        <v>3822</v>
      </c>
      <c r="B1040" s="61">
        <v>48092</v>
      </c>
      <c r="E1040" t="s">
        <v>355</v>
      </c>
      <c r="F1040" t="s">
        <v>364</v>
      </c>
      <c r="H1040" t="s">
        <v>353</v>
      </c>
      <c r="I1040">
        <v>1800035</v>
      </c>
      <c r="J1040" t="s">
        <v>1690</v>
      </c>
      <c r="L1040" t="s">
        <v>3867</v>
      </c>
      <c r="N1040" t="s">
        <v>3868</v>
      </c>
      <c r="O1040" t="s">
        <v>3869</v>
      </c>
    </row>
    <row r="1041" spans="1:19" x14ac:dyDescent="0.15">
      <c r="A1041" t="s">
        <v>5393</v>
      </c>
      <c r="B1041" s="61">
        <v>46447</v>
      </c>
      <c r="E1041" t="s">
        <v>355</v>
      </c>
      <c r="F1041" t="s">
        <v>364</v>
      </c>
      <c r="H1041" t="s">
        <v>353</v>
      </c>
      <c r="I1041">
        <v>1201359</v>
      </c>
      <c r="J1041" t="s">
        <v>3890</v>
      </c>
      <c r="K1041" t="s">
        <v>3891</v>
      </c>
      <c r="L1041" t="s">
        <v>3892</v>
      </c>
      <c r="N1041" t="s">
        <v>3893</v>
      </c>
      <c r="O1041" t="s">
        <v>3894</v>
      </c>
    </row>
    <row r="1042" spans="1:19" ht="256.5" x14ac:dyDescent="0.15">
      <c r="A1042" t="s">
        <v>5393</v>
      </c>
      <c r="B1042" s="61">
        <v>46327</v>
      </c>
      <c r="E1042" t="s">
        <v>355</v>
      </c>
      <c r="F1042" t="s">
        <v>385</v>
      </c>
      <c r="H1042" t="s">
        <v>310</v>
      </c>
      <c r="I1042">
        <v>1201461</v>
      </c>
      <c r="J1042" t="s">
        <v>3901</v>
      </c>
      <c r="L1042" t="s">
        <v>390</v>
      </c>
      <c r="N1042" t="s">
        <v>3902</v>
      </c>
      <c r="O1042" t="s">
        <v>3903</v>
      </c>
      <c r="R1042" t="s">
        <v>395</v>
      </c>
      <c r="S1042" s="34" t="s">
        <v>3904</v>
      </c>
    </row>
    <row r="1043" spans="1:19" x14ac:dyDescent="0.15">
      <c r="A1043" t="s">
        <v>5393</v>
      </c>
      <c r="B1043" s="61">
        <v>46692</v>
      </c>
      <c r="E1043" t="s">
        <v>355</v>
      </c>
      <c r="F1043" t="s">
        <v>364</v>
      </c>
      <c r="H1043" t="s">
        <v>353</v>
      </c>
      <c r="I1043">
        <v>1201180</v>
      </c>
      <c r="J1043" t="s">
        <v>974</v>
      </c>
      <c r="K1043" t="s">
        <v>3905</v>
      </c>
      <c r="L1043" t="s">
        <v>390</v>
      </c>
      <c r="N1043" t="s">
        <v>3906</v>
      </c>
      <c r="O1043" t="s">
        <v>3907</v>
      </c>
    </row>
    <row r="1044" spans="1:19" ht="310.5" x14ac:dyDescent="0.15">
      <c r="A1044" t="s">
        <v>3895</v>
      </c>
      <c r="B1044" s="61">
        <v>47331</v>
      </c>
      <c r="E1044" t="s">
        <v>355</v>
      </c>
      <c r="F1044" t="s">
        <v>385</v>
      </c>
      <c r="H1044" t="s">
        <v>353</v>
      </c>
      <c r="I1044">
        <v>1201556</v>
      </c>
      <c r="J1044" t="s">
        <v>3908</v>
      </c>
      <c r="K1044" t="s">
        <v>3909</v>
      </c>
      <c r="L1044" t="s">
        <v>1087</v>
      </c>
      <c r="N1044" t="s">
        <v>3910</v>
      </c>
      <c r="O1044" t="s">
        <v>3911</v>
      </c>
      <c r="R1044" s="34" t="s">
        <v>768</v>
      </c>
      <c r="S1044" s="34" t="s">
        <v>3912</v>
      </c>
    </row>
    <row r="1045" spans="1:19" ht="409.5" x14ac:dyDescent="0.15">
      <c r="A1045" t="s">
        <v>819</v>
      </c>
      <c r="B1045" s="61">
        <v>46023</v>
      </c>
      <c r="E1045" t="s">
        <v>355</v>
      </c>
      <c r="F1045" t="s">
        <v>351</v>
      </c>
      <c r="G1045" t="s">
        <v>352</v>
      </c>
      <c r="H1045" t="s">
        <v>353</v>
      </c>
      <c r="I1045">
        <v>4000496</v>
      </c>
      <c r="J1045" t="s">
        <v>821</v>
      </c>
      <c r="K1045" t="s">
        <v>822</v>
      </c>
      <c r="L1045" t="s">
        <v>613</v>
      </c>
      <c r="N1045" t="s">
        <v>823</v>
      </c>
      <c r="O1045" t="s">
        <v>824</v>
      </c>
      <c r="Q1045" t="s">
        <v>5034</v>
      </c>
      <c r="S1045" s="34" t="s">
        <v>3921</v>
      </c>
    </row>
    <row r="1046" spans="1:19" ht="297" x14ac:dyDescent="0.15">
      <c r="A1046" t="s">
        <v>1390</v>
      </c>
      <c r="B1046" s="61">
        <v>46569</v>
      </c>
      <c r="E1046" t="s">
        <v>355</v>
      </c>
      <c r="F1046" t="s">
        <v>385</v>
      </c>
      <c r="H1046" t="s">
        <v>365</v>
      </c>
      <c r="I1046">
        <v>1900433</v>
      </c>
      <c r="J1046" t="s">
        <v>1851</v>
      </c>
      <c r="K1046" t="s">
        <v>3925</v>
      </c>
      <c r="L1046" t="s">
        <v>3926</v>
      </c>
      <c r="N1046" t="s">
        <v>3927</v>
      </c>
      <c r="O1046" t="s">
        <v>3928</v>
      </c>
      <c r="R1046" t="s">
        <v>395</v>
      </c>
      <c r="S1046" s="34" t="s">
        <v>3929</v>
      </c>
    </row>
    <row r="1047" spans="1:19" ht="216" x14ac:dyDescent="0.15">
      <c r="A1047" t="s">
        <v>5524</v>
      </c>
      <c r="B1047" s="61">
        <v>46935</v>
      </c>
      <c r="E1047" t="s">
        <v>355</v>
      </c>
      <c r="F1047" t="s">
        <v>356</v>
      </c>
      <c r="H1047" t="s">
        <v>365</v>
      </c>
      <c r="I1047">
        <v>1401359</v>
      </c>
      <c r="J1047" t="s">
        <v>3922</v>
      </c>
      <c r="K1047" t="s">
        <v>3923</v>
      </c>
      <c r="L1047" t="s">
        <v>373</v>
      </c>
      <c r="N1047" t="s">
        <v>3930</v>
      </c>
      <c r="O1047" t="s">
        <v>3924</v>
      </c>
      <c r="R1047" t="s">
        <v>362</v>
      </c>
      <c r="S1047" s="34" t="s">
        <v>3931</v>
      </c>
    </row>
    <row r="1048" spans="1:19" ht="202.5" x14ac:dyDescent="0.15">
      <c r="A1048" t="s">
        <v>5524</v>
      </c>
      <c r="B1048" s="61">
        <v>48396</v>
      </c>
      <c r="E1048" t="s">
        <v>355</v>
      </c>
      <c r="F1048" t="s">
        <v>385</v>
      </c>
      <c r="H1048" t="s">
        <v>365</v>
      </c>
      <c r="I1048">
        <v>1401359</v>
      </c>
      <c r="J1048" t="s">
        <v>3922</v>
      </c>
      <c r="K1048" t="s">
        <v>3923</v>
      </c>
      <c r="L1048" t="s">
        <v>373</v>
      </c>
      <c r="N1048" t="s">
        <v>3930</v>
      </c>
      <c r="O1048" t="s">
        <v>3924</v>
      </c>
      <c r="R1048" t="s">
        <v>395</v>
      </c>
      <c r="S1048" s="34" t="s">
        <v>3932</v>
      </c>
    </row>
    <row r="1049" spans="1:19" ht="409.5" x14ac:dyDescent="0.15">
      <c r="A1049" t="s">
        <v>2597</v>
      </c>
      <c r="B1049" s="61">
        <v>46388</v>
      </c>
      <c r="E1049" t="s">
        <v>355</v>
      </c>
      <c r="F1049" t="s">
        <v>356</v>
      </c>
      <c r="H1049" t="s">
        <v>353</v>
      </c>
      <c r="I1049">
        <v>2702866</v>
      </c>
      <c r="J1049" t="s">
        <v>3933</v>
      </c>
      <c r="K1049" t="s">
        <v>3934</v>
      </c>
      <c r="L1049" t="s">
        <v>718</v>
      </c>
      <c r="N1049" t="s">
        <v>3935</v>
      </c>
      <c r="O1049" t="s">
        <v>3936</v>
      </c>
      <c r="R1049" t="s">
        <v>362</v>
      </c>
      <c r="S1049" s="34" t="s">
        <v>3937</v>
      </c>
    </row>
    <row r="1050" spans="1:19" ht="409.5" x14ac:dyDescent="0.15">
      <c r="A1050" t="s">
        <v>2597</v>
      </c>
      <c r="B1050" s="61">
        <v>48030</v>
      </c>
      <c r="E1050" t="s">
        <v>355</v>
      </c>
      <c r="F1050" t="s">
        <v>385</v>
      </c>
      <c r="H1050" t="s">
        <v>353</v>
      </c>
      <c r="I1050">
        <v>2702866</v>
      </c>
      <c r="J1050" t="s">
        <v>3933</v>
      </c>
      <c r="K1050" t="s">
        <v>3934</v>
      </c>
      <c r="L1050" t="s">
        <v>718</v>
      </c>
      <c r="N1050" t="s">
        <v>3935</v>
      </c>
      <c r="O1050" t="s">
        <v>3936</v>
      </c>
      <c r="R1050" t="s">
        <v>386</v>
      </c>
      <c r="S1050" s="34" t="s">
        <v>3937</v>
      </c>
    </row>
    <row r="1051" spans="1:19" ht="364.5" x14ac:dyDescent="0.15">
      <c r="A1051" t="s">
        <v>5524</v>
      </c>
      <c r="B1051" s="61">
        <v>46569</v>
      </c>
      <c r="E1051" t="s">
        <v>355</v>
      </c>
      <c r="F1051" t="s">
        <v>356</v>
      </c>
      <c r="H1051" t="s">
        <v>353</v>
      </c>
      <c r="I1051">
        <v>1400845</v>
      </c>
      <c r="J1051" t="s">
        <v>971</v>
      </c>
      <c r="K1051" t="s">
        <v>972</v>
      </c>
      <c r="L1051" t="s">
        <v>373</v>
      </c>
      <c r="N1051" t="s">
        <v>3938</v>
      </c>
      <c r="O1051" t="s">
        <v>973</v>
      </c>
      <c r="R1051" t="s">
        <v>362</v>
      </c>
      <c r="S1051" s="34" t="s">
        <v>3939</v>
      </c>
    </row>
    <row r="1052" spans="1:19" ht="364.5" x14ac:dyDescent="0.15">
      <c r="A1052" t="s">
        <v>5524</v>
      </c>
      <c r="B1052" s="61">
        <v>48030</v>
      </c>
      <c r="E1052" t="s">
        <v>355</v>
      </c>
      <c r="F1052" t="s">
        <v>385</v>
      </c>
      <c r="H1052" t="s">
        <v>353</v>
      </c>
      <c r="I1052">
        <v>1400845</v>
      </c>
      <c r="J1052" t="s">
        <v>971</v>
      </c>
      <c r="K1052" t="s">
        <v>972</v>
      </c>
      <c r="L1052" t="s">
        <v>373</v>
      </c>
      <c r="N1052" t="s">
        <v>3938</v>
      </c>
      <c r="O1052" t="s">
        <v>973</v>
      </c>
      <c r="R1052" t="s">
        <v>386</v>
      </c>
      <c r="S1052" s="34" t="s">
        <v>3939</v>
      </c>
    </row>
    <row r="1053" spans="1:19" ht="229.5" x14ac:dyDescent="0.15">
      <c r="A1053" t="s">
        <v>1297</v>
      </c>
      <c r="B1053" s="61">
        <v>46661</v>
      </c>
      <c r="E1053" t="s">
        <v>355</v>
      </c>
      <c r="F1053" t="s">
        <v>356</v>
      </c>
      <c r="H1053" t="s">
        <v>353</v>
      </c>
      <c r="I1053">
        <v>2401248</v>
      </c>
      <c r="J1053" t="s">
        <v>3940</v>
      </c>
      <c r="K1053" t="s">
        <v>1542</v>
      </c>
      <c r="L1053" t="s">
        <v>2082</v>
      </c>
      <c r="N1053" t="s">
        <v>3941</v>
      </c>
      <c r="O1053" t="s">
        <v>3942</v>
      </c>
      <c r="R1053" t="s">
        <v>362</v>
      </c>
      <c r="S1053" s="34" t="s">
        <v>3943</v>
      </c>
    </row>
    <row r="1054" spans="1:19" ht="229.5" x14ac:dyDescent="0.15">
      <c r="A1054" t="s">
        <v>1297</v>
      </c>
      <c r="B1054" s="61">
        <v>48122</v>
      </c>
      <c r="E1054" t="s">
        <v>355</v>
      </c>
      <c r="F1054" t="s">
        <v>385</v>
      </c>
      <c r="H1054" t="s">
        <v>353</v>
      </c>
      <c r="I1054">
        <v>2401248</v>
      </c>
      <c r="J1054" t="s">
        <v>3940</v>
      </c>
      <c r="K1054" t="s">
        <v>1542</v>
      </c>
      <c r="L1054" t="s">
        <v>2082</v>
      </c>
      <c r="N1054" t="s">
        <v>3941</v>
      </c>
      <c r="O1054" t="s">
        <v>3942</v>
      </c>
      <c r="R1054" t="s">
        <v>386</v>
      </c>
      <c r="S1054" s="34" t="s">
        <v>3943</v>
      </c>
    </row>
    <row r="1055" spans="1:19" ht="409.5" x14ac:dyDescent="0.15">
      <c r="A1055" t="s">
        <v>3051</v>
      </c>
      <c r="B1055" s="61">
        <v>46631</v>
      </c>
      <c r="E1055" t="s">
        <v>355</v>
      </c>
      <c r="F1055" t="s">
        <v>356</v>
      </c>
      <c r="H1055" t="s">
        <v>353</v>
      </c>
      <c r="I1055">
        <v>900995</v>
      </c>
      <c r="J1055" t="s">
        <v>3944</v>
      </c>
      <c r="K1055" t="s">
        <v>3052</v>
      </c>
      <c r="L1055" t="s">
        <v>413</v>
      </c>
      <c r="N1055" t="s">
        <v>3945</v>
      </c>
      <c r="O1055" t="s">
        <v>3946</v>
      </c>
      <c r="R1055" t="s">
        <v>362</v>
      </c>
      <c r="S1055" s="34" t="s">
        <v>3947</v>
      </c>
    </row>
    <row r="1056" spans="1:19" ht="409.5" x14ac:dyDescent="0.15">
      <c r="A1056" t="s">
        <v>3051</v>
      </c>
      <c r="B1056" s="61">
        <v>48092</v>
      </c>
      <c r="E1056" t="s">
        <v>355</v>
      </c>
      <c r="F1056" t="s">
        <v>385</v>
      </c>
      <c r="H1056" t="s">
        <v>353</v>
      </c>
      <c r="I1056">
        <v>900995</v>
      </c>
      <c r="J1056" t="s">
        <v>3944</v>
      </c>
      <c r="K1056" t="s">
        <v>3052</v>
      </c>
      <c r="L1056" t="s">
        <v>413</v>
      </c>
      <c r="N1056" t="s">
        <v>3945</v>
      </c>
      <c r="O1056" t="s">
        <v>3946</v>
      </c>
      <c r="R1056" t="s">
        <v>386</v>
      </c>
      <c r="S1056" s="34" t="s">
        <v>3947</v>
      </c>
    </row>
    <row r="1057" spans="1:19" ht="409.5" x14ac:dyDescent="0.15">
      <c r="A1057" t="s">
        <v>387</v>
      </c>
      <c r="B1057" s="61">
        <v>46935</v>
      </c>
      <c r="E1057" t="s">
        <v>355</v>
      </c>
      <c r="F1057" t="s">
        <v>356</v>
      </c>
      <c r="H1057" t="s">
        <v>353</v>
      </c>
      <c r="I1057">
        <v>800962</v>
      </c>
      <c r="J1057" t="s">
        <v>1851</v>
      </c>
      <c r="K1057" t="s">
        <v>403</v>
      </c>
      <c r="L1057" t="s">
        <v>368</v>
      </c>
      <c r="N1057" t="s">
        <v>3948</v>
      </c>
      <c r="O1057" t="s">
        <v>3949</v>
      </c>
      <c r="R1057" t="s">
        <v>362</v>
      </c>
      <c r="S1057" s="34" t="s">
        <v>3950</v>
      </c>
    </row>
    <row r="1058" spans="1:19" ht="409.5" x14ac:dyDescent="0.15">
      <c r="A1058" t="s">
        <v>387</v>
      </c>
      <c r="B1058" s="61">
        <v>48396</v>
      </c>
      <c r="E1058" t="s">
        <v>355</v>
      </c>
      <c r="F1058" t="s">
        <v>385</v>
      </c>
      <c r="H1058" t="s">
        <v>353</v>
      </c>
      <c r="I1058">
        <v>800962</v>
      </c>
      <c r="J1058" t="s">
        <v>1851</v>
      </c>
      <c r="K1058" t="s">
        <v>403</v>
      </c>
      <c r="L1058" t="s">
        <v>368</v>
      </c>
      <c r="N1058" t="s">
        <v>3948</v>
      </c>
      <c r="O1058" t="s">
        <v>3949</v>
      </c>
      <c r="R1058" t="s">
        <v>386</v>
      </c>
      <c r="S1058" s="34" t="s">
        <v>3950</v>
      </c>
    </row>
    <row r="1059" spans="1:19" ht="256.5" x14ac:dyDescent="0.15">
      <c r="A1059" t="s">
        <v>2027</v>
      </c>
      <c r="B1059" s="61">
        <v>46054</v>
      </c>
      <c r="E1059" t="s">
        <v>355</v>
      </c>
      <c r="F1059" t="s">
        <v>351</v>
      </c>
      <c r="G1059" t="s">
        <v>352</v>
      </c>
      <c r="H1059" t="s">
        <v>353</v>
      </c>
      <c r="I1059">
        <v>2801491</v>
      </c>
      <c r="J1059" t="s">
        <v>3742</v>
      </c>
      <c r="K1059" t="s">
        <v>3959</v>
      </c>
      <c r="L1059" t="s">
        <v>390</v>
      </c>
      <c r="N1059" t="s">
        <v>3960</v>
      </c>
      <c r="O1059" t="s">
        <v>3961</v>
      </c>
      <c r="S1059" s="34" t="s">
        <v>3962</v>
      </c>
    </row>
    <row r="1060" spans="1:19" ht="409.5" x14ac:dyDescent="0.15">
      <c r="A1060" t="s">
        <v>1234</v>
      </c>
      <c r="B1060" s="61">
        <v>46631</v>
      </c>
      <c r="E1060" t="s">
        <v>355</v>
      </c>
      <c r="F1060" t="s">
        <v>356</v>
      </c>
      <c r="H1060" t="s">
        <v>353</v>
      </c>
      <c r="I1060">
        <v>2401254</v>
      </c>
      <c r="J1060" t="s">
        <v>1250</v>
      </c>
      <c r="K1060" t="s">
        <v>1256</v>
      </c>
      <c r="L1060" t="s">
        <v>1276</v>
      </c>
      <c r="N1060" t="s">
        <v>3963</v>
      </c>
      <c r="O1060" t="s">
        <v>3964</v>
      </c>
      <c r="R1060" t="s">
        <v>362</v>
      </c>
      <c r="S1060" s="34" t="s">
        <v>3965</v>
      </c>
    </row>
    <row r="1061" spans="1:19" ht="409.5" x14ac:dyDescent="0.15">
      <c r="A1061" t="s">
        <v>1234</v>
      </c>
      <c r="B1061" s="61">
        <v>48092</v>
      </c>
      <c r="E1061" t="s">
        <v>355</v>
      </c>
      <c r="F1061" t="s">
        <v>385</v>
      </c>
      <c r="H1061" t="s">
        <v>353</v>
      </c>
      <c r="I1061">
        <v>2401254</v>
      </c>
      <c r="J1061" t="s">
        <v>1250</v>
      </c>
      <c r="K1061" t="s">
        <v>1256</v>
      </c>
      <c r="L1061" t="s">
        <v>1276</v>
      </c>
      <c r="N1061" t="s">
        <v>3963</v>
      </c>
      <c r="O1061" t="s">
        <v>3964</v>
      </c>
      <c r="R1061" t="s">
        <v>386</v>
      </c>
      <c r="S1061" s="34" t="s">
        <v>3965</v>
      </c>
    </row>
    <row r="1062" spans="1:19" ht="409.5" x14ac:dyDescent="0.15">
      <c r="A1062" t="s">
        <v>2534</v>
      </c>
      <c r="B1062" s="61">
        <v>46844</v>
      </c>
      <c r="E1062" t="s">
        <v>355</v>
      </c>
      <c r="F1062" t="s">
        <v>356</v>
      </c>
      <c r="H1062" t="s">
        <v>353</v>
      </c>
      <c r="I1062">
        <v>2800046</v>
      </c>
      <c r="J1062" t="s">
        <v>2555</v>
      </c>
      <c r="K1062" t="s">
        <v>2556</v>
      </c>
      <c r="L1062" t="s">
        <v>3966</v>
      </c>
      <c r="N1062" t="s">
        <v>3967</v>
      </c>
      <c r="O1062" t="s">
        <v>3968</v>
      </c>
      <c r="R1062" t="s">
        <v>362</v>
      </c>
      <c r="S1062" s="34" t="s">
        <v>3969</v>
      </c>
    </row>
    <row r="1063" spans="1:19" ht="409.5" x14ac:dyDescent="0.15">
      <c r="A1063" t="s">
        <v>2534</v>
      </c>
      <c r="B1063" s="61">
        <v>48305</v>
      </c>
      <c r="E1063" t="s">
        <v>355</v>
      </c>
      <c r="F1063" t="s">
        <v>385</v>
      </c>
      <c r="H1063" t="s">
        <v>353</v>
      </c>
      <c r="I1063">
        <v>2800046</v>
      </c>
      <c r="J1063" t="s">
        <v>2555</v>
      </c>
      <c r="K1063" t="s">
        <v>2556</v>
      </c>
      <c r="L1063" t="s">
        <v>3966</v>
      </c>
      <c r="N1063" t="s">
        <v>3967</v>
      </c>
      <c r="O1063" t="s">
        <v>3968</v>
      </c>
      <c r="R1063" t="s">
        <v>386</v>
      </c>
      <c r="S1063" s="34" t="s">
        <v>3969</v>
      </c>
    </row>
    <row r="1064" spans="1:19" ht="409.5" x14ac:dyDescent="0.15">
      <c r="A1064" t="s">
        <v>3168</v>
      </c>
      <c r="B1064" s="61">
        <v>46813</v>
      </c>
      <c r="E1064" t="s">
        <v>355</v>
      </c>
      <c r="F1064" t="s">
        <v>356</v>
      </c>
      <c r="H1064" t="s">
        <v>353</v>
      </c>
      <c r="I1064">
        <v>4600214</v>
      </c>
      <c r="J1064" t="s">
        <v>2915</v>
      </c>
      <c r="K1064" t="s">
        <v>1251</v>
      </c>
      <c r="L1064" t="s">
        <v>3700</v>
      </c>
      <c r="N1064" t="s">
        <v>3970</v>
      </c>
      <c r="O1064" t="s">
        <v>3971</v>
      </c>
      <c r="R1064" t="s">
        <v>362</v>
      </c>
      <c r="S1064" s="34" t="s">
        <v>3972</v>
      </c>
    </row>
    <row r="1065" spans="1:19" ht="409.5" x14ac:dyDescent="0.15">
      <c r="A1065" t="s">
        <v>3168</v>
      </c>
      <c r="B1065" s="61">
        <v>48274</v>
      </c>
      <c r="E1065" t="s">
        <v>355</v>
      </c>
      <c r="F1065" t="s">
        <v>385</v>
      </c>
      <c r="H1065" t="s">
        <v>353</v>
      </c>
      <c r="I1065">
        <v>4600214</v>
      </c>
      <c r="J1065" t="s">
        <v>2915</v>
      </c>
      <c r="K1065" t="s">
        <v>1251</v>
      </c>
      <c r="L1065" t="s">
        <v>3700</v>
      </c>
      <c r="N1065" t="s">
        <v>3970</v>
      </c>
      <c r="O1065" t="s">
        <v>3971</v>
      </c>
      <c r="R1065" t="s">
        <v>386</v>
      </c>
      <c r="S1065" s="34" t="s">
        <v>3972</v>
      </c>
    </row>
    <row r="1066" spans="1:19" ht="364.5" x14ac:dyDescent="0.15">
      <c r="A1066" t="s">
        <v>1234</v>
      </c>
      <c r="B1066" s="61">
        <v>46631</v>
      </c>
      <c r="E1066" t="s">
        <v>355</v>
      </c>
      <c r="F1066" t="s">
        <v>356</v>
      </c>
      <c r="H1066" t="s">
        <v>353</v>
      </c>
      <c r="I1066">
        <v>2401255</v>
      </c>
      <c r="J1066" t="s">
        <v>1250</v>
      </c>
      <c r="K1066" t="s">
        <v>1256</v>
      </c>
      <c r="L1066" t="s">
        <v>1006</v>
      </c>
      <c r="N1066" t="s">
        <v>3973</v>
      </c>
      <c r="O1066" t="s">
        <v>3974</v>
      </c>
      <c r="R1066" t="s">
        <v>362</v>
      </c>
      <c r="S1066" s="34" t="s">
        <v>3975</v>
      </c>
    </row>
    <row r="1067" spans="1:19" ht="364.5" x14ac:dyDescent="0.15">
      <c r="A1067" t="s">
        <v>1234</v>
      </c>
      <c r="B1067" s="61">
        <v>48092</v>
      </c>
      <c r="E1067" t="s">
        <v>355</v>
      </c>
      <c r="F1067" t="s">
        <v>385</v>
      </c>
      <c r="H1067" t="s">
        <v>353</v>
      </c>
      <c r="I1067">
        <v>2401255</v>
      </c>
      <c r="J1067" t="s">
        <v>1250</v>
      </c>
      <c r="K1067" t="s">
        <v>1256</v>
      </c>
      <c r="L1067" t="s">
        <v>1006</v>
      </c>
      <c r="N1067" t="s">
        <v>3973</v>
      </c>
      <c r="O1067" t="s">
        <v>3974</v>
      </c>
      <c r="R1067" t="s">
        <v>386</v>
      </c>
      <c r="S1067" s="34" t="s">
        <v>3975</v>
      </c>
    </row>
    <row r="1068" spans="1:19" ht="378" x14ac:dyDescent="0.15">
      <c r="A1068" t="s">
        <v>2027</v>
      </c>
      <c r="B1068" s="61">
        <v>46569</v>
      </c>
      <c r="E1068" t="s">
        <v>355</v>
      </c>
      <c r="F1068" t="s">
        <v>356</v>
      </c>
      <c r="H1068" t="s">
        <v>353</v>
      </c>
      <c r="I1068">
        <v>2802398</v>
      </c>
      <c r="J1068" t="s">
        <v>2598</v>
      </c>
      <c r="K1068" t="s">
        <v>3976</v>
      </c>
      <c r="L1068" t="s">
        <v>413</v>
      </c>
      <c r="N1068" t="s">
        <v>3977</v>
      </c>
      <c r="O1068" t="s">
        <v>3978</v>
      </c>
      <c r="R1068" t="s">
        <v>362</v>
      </c>
      <c r="S1068" s="34" t="s">
        <v>3979</v>
      </c>
    </row>
    <row r="1069" spans="1:19" ht="378" x14ac:dyDescent="0.15">
      <c r="A1069" t="s">
        <v>2027</v>
      </c>
      <c r="B1069" s="61">
        <v>48030</v>
      </c>
      <c r="E1069" t="s">
        <v>355</v>
      </c>
      <c r="F1069" t="s">
        <v>385</v>
      </c>
      <c r="H1069" t="s">
        <v>353</v>
      </c>
      <c r="I1069">
        <v>2802398</v>
      </c>
      <c r="J1069" t="s">
        <v>2598</v>
      </c>
      <c r="K1069" t="s">
        <v>3976</v>
      </c>
      <c r="L1069" t="s">
        <v>413</v>
      </c>
      <c r="N1069" t="s">
        <v>3977</v>
      </c>
      <c r="O1069" t="s">
        <v>3978</v>
      </c>
      <c r="R1069" t="s">
        <v>386</v>
      </c>
      <c r="S1069" s="34" t="s">
        <v>3979</v>
      </c>
    </row>
    <row r="1070" spans="1:19" ht="243" x14ac:dyDescent="0.15">
      <c r="A1070" t="s">
        <v>1524</v>
      </c>
      <c r="B1070" s="61">
        <v>46844</v>
      </c>
      <c r="E1070" t="s">
        <v>355</v>
      </c>
      <c r="F1070" t="s">
        <v>356</v>
      </c>
      <c r="H1070" t="s">
        <v>310</v>
      </c>
      <c r="I1070">
        <v>2501149</v>
      </c>
      <c r="J1070" t="s">
        <v>3980</v>
      </c>
      <c r="L1070" t="s">
        <v>3981</v>
      </c>
      <c r="N1070" t="s">
        <v>3982</v>
      </c>
      <c r="O1070" t="s">
        <v>3983</v>
      </c>
      <c r="R1070" t="s">
        <v>362</v>
      </c>
      <c r="S1070" s="34" t="s">
        <v>3984</v>
      </c>
    </row>
    <row r="1071" spans="1:19" ht="243" x14ac:dyDescent="0.15">
      <c r="A1071" t="s">
        <v>1524</v>
      </c>
      <c r="B1071" s="61">
        <v>47939</v>
      </c>
      <c r="E1071" t="s">
        <v>355</v>
      </c>
      <c r="F1071" t="s">
        <v>543</v>
      </c>
      <c r="H1071" t="s">
        <v>310</v>
      </c>
      <c r="I1071">
        <v>2501149</v>
      </c>
      <c r="J1071" t="s">
        <v>3980</v>
      </c>
      <c r="L1071" t="s">
        <v>3981</v>
      </c>
      <c r="N1071" t="s">
        <v>3982</v>
      </c>
      <c r="O1071" t="s">
        <v>3983</v>
      </c>
      <c r="R1071" t="s">
        <v>755</v>
      </c>
      <c r="S1071" s="34" t="s">
        <v>3984</v>
      </c>
    </row>
    <row r="1072" spans="1:19" ht="243" x14ac:dyDescent="0.15">
      <c r="A1072" t="s">
        <v>1524</v>
      </c>
      <c r="B1072" s="61">
        <v>48305</v>
      </c>
      <c r="E1072" t="s">
        <v>355</v>
      </c>
      <c r="F1072" t="s">
        <v>385</v>
      </c>
      <c r="H1072" t="s">
        <v>310</v>
      </c>
      <c r="I1072">
        <v>2501149</v>
      </c>
      <c r="J1072" t="s">
        <v>3980</v>
      </c>
      <c r="L1072" t="s">
        <v>3981</v>
      </c>
      <c r="N1072" t="s">
        <v>3982</v>
      </c>
      <c r="O1072" t="s">
        <v>3983</v>
      </c>
      <c r="R1072" t="s">
        <v>395</v>
      </c>
      <c r="S1072" s="34" t="s">
        <v>3984</v>
      </c>
    </row>
    <row r="1073" spans="1:19" ht="409.5" x14ac:dyDescent="0.15">
      <c r="A1073" t="s">
        <v>1993</v>
      </c>
      <c r="B1073" s="61">
        <v>46082</v>
      </c>
      <c r="E1073" t="s">
        <v>355</v>
      </c>
      <c r="F1073" t="s">
        <v>351</v>
      </c>
      <c r="G1073" t="s">
        <v>5193</v>
      </c>
      <c r="H1073" t="s">
        <v>365</v>
      </c>
      <c r="I1073">
        <v>300038</v>
      </c>
      <c r="J1073" t="s">
        <v>1994</v>
      </c>
      <c r="K1073" t="s">
        <v>2018</v>
      </c>
      <c r="L1073" t="s">
        <v>692</v>
      </c>
      <c r="N1073" t="s">
        <v>1995</v>
      </c>
      <c r="O1073" t="s">
        <v>1996</v>
      </c>
      <c r="P1073" t="s">
        <v>5194</v>
      </c>
      <c r="Q1073" t="s">
        <v>5195</v>
      </c>
      <c r="R1073" t="s">
        <v>3985</v>
      </c>
      <c r="S1073" s="34" t="s">
        <v>1997</v>
      </c>
    </row>
    <row r="1074" spans="1:19" ht="270" x14ac:dyDescent="0.15">
      <c r="A1074" t="s">
        <v>2067</v>
      </c>
      <c r="B1074" s="61">
        <v>46082</v>
      </c>
      <c r="C1074" s="40">
        <v>46130</v>
      </c>
      <c r="E1074" t="s">
        <v>355</v>
      </c>
      <c r="F1074" t="s">
        <v>351</v>
      </c>
      <c r="G1074" t="s">
        <v>5193</v>
      </c>
      <c r="H1074" t="s">
        <v>353</v>
      </c>
      <c r="I1074">
        <v>2200413</v>
      </c>
      <c r="J1074" t="s">
        <v>5029</v>
      </c>
      <c r="L1074" t="s">
        <v>718</v>
      </c>
      <c r="N1074" t="s">
        <v>5030</v>
      </c>
      <c r="O1074" t="s">
        <v>5031</v>
      </c>
      <c r="Q1074" s="34" t="s">
        <v>5200</v>
      </c>
      <c r="R1074" t="s">
        <v>3985</v>
      </c>
      <c r="S1074" s="34" t="s">
        <v>5032</v>
      </c>
    </row>
    <row r="1075" spans="1:19" ht="229.5" x14ac:dyDescent="0.15">
      <c r="A1075" t="s">
        <v>2597</v>
      </c>
      <c r="B1075" s="61">
        <v>46327</v>
      </c>
      <c r="E1075" t="s">
        <v>355</v>
      </c>
      <c r="F1075" t="s">
        <v>351</v>
      </c>
      <c r="H1075" t="s">
        <v>353</v>
      </c>
      <c r="I1075">
        <v>2700767</v>
      </c>
      <c r="J1075" t="s">
        <v>2688</v>
      </c>
      <c r="K1075" t="s">
        <v>2689</v>
      </c>
      <c r="L1075" t="s">
        <v>413</v>
      </c>
      <c r="N1075" t="s">
        <v>2690</v>
      </c>
      <c r="O1075" t="s">
        <v>2691</v>
      </c>
      <c r="R1075" t="s">
        <v>3986</v>
      </c>
      <c r="S1075" s="34" t="s">
        <v>2692</v>
      </c>
    </row>
    <row r="1076" spans="1:19" ht="405" x14ac:dyDescent="0.15">
      <c r="A1076" t="s">
        <v>6796</v>
      </c>
      <c r="B1076" s="61">
        <v>46082</v>
      </c>
      <c r="E1076" t="s">
        <v>355</v>
      </c>
      <c r="F1076" t="s">
        <v>351</v>
      </c>
      <c r="H1076" t="s">
        <v>353</v>
      </c>
      <c r="I1076">
        <v>4100117</v>
      </c>
      <c r="J1076" t="s">
        <v>2919</v>
      </c>
      <c r="L1076" t="s">
        <v>1118</v>
      </c>
      <c r="N1076" t="s">
        <v>2920</v>
      </c>
      <c r="O1076" t="s">
        <v>2921</v>
      </c>
      <c r="P1076" s="34" t="s">
        <v>5149</v>
      </c>
      <c r="Q1076" t="s">
        <v>5150</v>
      </c>
      <c r="R1076" t="s">
        <v>3986</v>
      </c>
      <c r="S1076" s="34" t="s">
        <v>2922</v>
      </c>
    </row>
    <row r="1077" spans="1:19" ht="283.5" x14ac:dyDescent="0.15">
      <c r="A1077" t="s">
        <v>3472</v>
      </c>
      <c r="B1077" s="61">
        <v>46539</v>
      </c>
      <c r="E1077" t="s">
        <v>355</v>
      </c>
      <c r="F1077" t="s">
        <v>2480</v>
      </c>
      <c r="H1077" t="s">
        <v>365</v>
      </c>
      <c r="I1077">
        <v>4000873</v>
      </c>
      <c r="J1077" t="s">
        <v>4001</v>
      </c>
      <c r="K1077" t="s">
        <v>4002</v>
      </c>
      <c r="L1077" t="s">
        <v>4003</v>
      </c>
      <c r="N1077" s="34" t="s">
        <v>4004</v>
      </c>
      <c r="O1077" t="s">
        <v>4005</v>
      </c>
      <c r="R1077" s="34" t="s">
        <v>4006</v>
      </c>
      <c r="S1077" s="34" t="s">
        <v>4007</v>
      </c>
    </row>
    <row r="1078" spans="1:19" ht="409.5" x14ac:dyDescent="0.15">
      <c r="A1078" t="s">
        <v>5394</v>
      </c>
      <c r="B1078" s="61">
        <v>46113</v>
      </c>
      <c r="E1078" t="s">
        <v>355</v>
      </c>
      <c r="F1078" t="s">
        <v>351</v>
      </c>
      <c r="H1078" t="s">
        <v>686</v>
      </c>
      <c r="I1078">
        <v>1402368</v>
      </c>
      <c r="J1078" t="s">
        <v>974</v>
      </c>
      <c r="K1078" t="s">
        <v>4038</v>
      </c>
      <c r="L1078" t="s">
        <v>4039</v>
      </c>
      <c r="N1078" t="s">
        <v>7645</v>
      </c>
      <c r="O1078" t="s">
        <v>4041</v>
      </c>
      <c r="R1078" s="34" t="s">
        <v>4042</v>
      </c>
      <c r="S1078" s="34" t="s">
        <v>5400</v>
      </c>
    </row>
    <row r="1079" spans="1:19" ht="409.5" x14ac:dyDescent="0.15">
      <c r="A1079" t="s">
        <v>5394</v>
      </c>
      <c r="B1079" s="61">
        <v>46113</v>
      </c>
      <c r="E1079" t="s">
        <v>355</v>
      </c>
      <c r="F1079" t="s">
        <v>351</v>
      </c>
      <c r="H1079" t="s">
        <v>686</v>
      </c>
      <c r="I1079">
        <v>1402836</v>
      </c>
      <c r="J1079" t="s">
        <v>963</v>
      </c>
      <c r="K1079" t="s">
        <v>964</v>
      </c>
      <c r="L1079" t="s">
        <v>965</v>
      </c>
      <c r="N1079">
        <v>2131449</v>
      </c>
      <c r="O1079" t="s">
        <v>967</v>
      </c>
      <c r="S1079" s="34" t="s">
        <v>4044</v>
      </c>
    </row>
    <row r="1080" spans="1:19" ht="409.5" x14ac:dyDescent="0.15">
      <c r="A1080" t="s">
        <v>4047</v>
      </c>
      <c r="B1080" s="61">
        <v>46266</v>
      </c>
      <c r="E1080" t="s">
        <v>355</v>
      </c>
      <c r="F1080" t="s">
        <v>351</v>
      </c>
      <c r="H1080" t="s">
        <v>686</v>
      </c>
      <c r="I1080">
        <v>2702685</v>
      </c>
      <c r="J1080" t="s">
        <v>4037</v>
      </c>
      <c r="K1080" t="s">
        <v>4048</v>
      </c>
      <c r="L1080" t="s">
        <v>466</v>
      </c>
      <c r="N1080">
        <v>2163514</v>
      </c>
      <c r="O1080" t="s">
        <v>4049</v>
      </c>
      <c r="R1080" t="s">
        <v>4050</v>
      </c>
      <c r="S1080" s="34" t="s">
        <v>4051</v>
      </c>
    </row>
    <row r="1081" spans="1:19" ht="351" x14ac:dyDescent="0.15">
      <c r="A1081" t="s">
        <v>3297</v>
      </c>
      <c r="B1081" s="61">
        <v>46113</v>
      </c>
      <c r="E1081" t="s">
        <v>355</v>
      </c>
      <c r="F1081" t="s">
        <v>351</v>
      </c>
      <c r="H1081" t="s">
        <v>353</v>
      </c>
      <c r="I1081">
        <v>2800298</v>
      </c>
      <c r="J1081" t="s">
        <v>3320</v>
      </c>
      <c r="K1081" t="s">
        <v>3321</v>
      </c>
      <c r="L1081" t="s">
        <v>2181</v>
      </c>
      <c r="N1081" t="s">
        <v>4055</v>
      </c>
      <c r="O1081" t="s">
        <v>3323</v>
      </c>
      <c r="R1081" t="s">
        <v>3987</v>
      </c>
      <c r="S1081" s="34" t="s">
        <v>4056</v>
      </c>
    </row>
    <row r="1082" spans="1:19" ht="229.5" x14ac:dyDescent="0.15">
      <c r="A1082" t="s">
        <v>1359</v>
      </c>
      <c r="B1082" s="61">
        <v>46113</v>
      </c>
      <c r="E1082" t="s">
        <v>355</v>
      </c>
      <c r="F1082" t="s">
        <v>351</v>
      </c>
      <c r="H1082" t="s">
        <v>353</v>
      </c>
      <c r="I1082">
        <v>3500053</v>
      </c>
      <c r="J1082" t="s">
        <v>1371</v>
      </c>
      <c r="K1082" t="s">
        <v>1372</v>
      </c>
      <c r="L1082" t="s">
        <v>390</v>
      </c>
      <c r="N1082" t="s">
        <v>1373</v>
      </c>
      <c r="O1082" t="s">
        <v>1374</v>
      </c>
      <c r="R1082" t="s">
        <v>3986</v>
      </c>
      <c r="S1082" s="34" t="s">
        <v>1375</v>
      </c>
    </row>
    <row r="1083" spans="1:19" ht="256.5" x14ac:dyDescent="0.15">
      <c r="A1083" t="s">
        <v>3472</v>
      </c>
      <c r="B1083" s="61">
        <v>46113</v>
      </c>
      <c r="E1083" t="s">
        <v>355</v>
      </c>
      <c r="F1083" t="s">
        <v>351</v>
      </c>
      <c r="H1083" t="s">
        <v>353</v>
      </c>
      <c r="I1083">
        <v>4000908</v>
      </c>
      <c r="J1083" t="s">
        <v>4001</v>
      </c>
      <c r="K1083" t="s">
        <v>7135</v>
      </c>
      <c r="L1083" t="s">
        <v>7520</v>
      </c>
      <c r="N1083" t="s">
        <v>7521</v>
      </c>
      <c r="O1083" t="s">
        <v>7522</v>
      </c>
      <c r="P1083" t="s">
        <v>7523</v>
      </c>
      <c r="Q1083" t="s">
        <v>7524</v>
      </c>
      <c r="R1083" t="s">
        <v>3987</v>
      </c>
      <c r="S1083" s="34" t="s">
        <v>7525</v>
      </c>
    </row>
    <row r="1084" spans="1:19" x14ac:dyDescent="0.15">
      <c r="A1084" t="s">
        <v>3051</v>
      </c>
      <c r="B1084" s="61">
        <v>46600</v>
      </c>
      <c r="E1084" t="s">
        <v>355</v>
      </c>
      <c r="F1084" t="s">
        <v>356</v>
      </c>
      <c r="H1084" t="s">
        <v>353</v>
      </c>
      <c r="I1084">
        <v>800528</v>
      </c>
      <c r="J1084" t="s">
        <v>2281</v>
      </c>
      <c r="K1084" t="s">
        <v>3988</v>
      </c>
      <c r="L1084" t="s">
        <v>3989</v>
      </c>
      <c r="N1084" t="s">
        <v>3990</v>
      </c>
      <c r="O1084" t="s">
        <v>3991</v>
      </c>
      <c r="R1084" t="s">
        <v>362</v>
      </c>
    </row>
    <row r="1085" spans="1:19" x14ac:dyDescent="0.15">
      <c r="A1085" t="s">
        <v>3051</v>
      </c>
      <c r="B1085" s="61">
        <v>48061</v>
      </c>
      <c r="E1085" t="s">
        <v>355</v>
      </c>
      <c r="F1085" t="s">
        <v>385</v>
      </c>
      <c r="H1085" t="s">
        <v>353</v>
      </c>
      <c r="I1085">
        <v>800528</v>
      </c>
      <c r="J1085" t="s">
        <v>2281</v>
      </c>
      <c r="K1085" t="s">
        <v>3988</v>
      </c>
      <c r="L1085" t="s">
        <v>3989</v>
      </c>
      <c r="N1085" t="s">
        <v>3990</v>
      </c>
      <c r="O1085" t="s">
        <v>3991</v>
      </c>
      <c r="R1085" t="s">
        <v>386</v>
      </c>
    </row>
    <row r="1086" spans="1:19" ht="364.5" x14ac:dyDescent="0.15">
      <c r="A1086" t="s">
        <v>1297</v>
      </c>
      <c r="B1086" s="61">
        <v>46784</v>
      </c>
      <c r="E1086" t="s">
        <v>355</v>
      </c>
      <c r="F1086" t="s">
        <v>356</v>
      </c>
      <c r="H1086" t="s">
        <v>353</v>
      </c>
      <c r="I1086">
        <v>2400519</v>
      </c>
      <c r="J1086" t="s">
        <v>4061</v>
      </c>
      <c r="K1086" t="s">
        <v>4062</v>
      </c>
      <c r="L1086" t="s">
        <v>4063</v>
      </c>
      <c r="N1086" t="s">
        <v>4064</v>
      </c>
      <c r="O1086" t="s">
        <v>4065</v>
      </c>
      <c r="R1086" t="s">
        <v>362</v>
      </c>
      <c r="S1086" s="34" t="s">
        <v>7356</v>
      </c>
    </row>
    <row r="1087" spans="1:19" ht="364.5" x14ac:dyDescent="0.15">
      <c r="A1087" t="s">
        <v>1297</v>
      </c>
      <c r="B1087" s="61">
        <v>48245</v>
      </c>
      <c r="E1087" t="s">
        <v>355</v>
      </c>
      <c r="F1087" t="s">
        <v>385</v>
      </c>
      <c r="H1087" t="s">
        <v>353</v>
      </c>
      <c r="I1087">
        <v>2400519</v>
      </c>
      <c r="J1087" t="s">
        <v>4061</v>
      </c>
      <c r="K1087" t="s">
        <v>4062</v>
      </c>
      <c r="L1087" t="s">
        <v>4063</v>
      </c>
      <c r="N1087" t="s">
        <v>4064</v>
      </c>
      <c r="O1087" t="s">
        <v>4065</v>
      </c>
      <c r="R1087" t="s">
        <v>386</v>
      </c>
      <c r="S1087" s="34" t="s">
        <v>7356</v>
      </c>
    </row>
    <row r="1088" spans="1:19" x14ac:dyDescent="0.15">
      <c r="A1088" t="s">
        <v>2693</v>
      </c>
      <c r="B1088" s="61">
        <v>46966</v>
      </c>
      <c r="E1088" t="s">
        <v>355</v>
      </c>
      <c r="F1088" t="s">
        <v>356</v>
      </c>
      <c r="H1088" t="s">
        <v>353</v>
      </c>
      <c r="I1088">
        <v>2302999</v>
      </c>
      <c r="J1088" t="s">
        <v>2711</v>
      </c>
      <c r="K1088" t="s">
        <v>2712</v>
      </c>
      <c r="L1088" t="s">
        <v>2713</v>
      </c>
      <c r="N1088" t="s">
        <v>4066</v>
      </c>
      <c r="O1088" t="s">
        <v>2714</v>
      </c>
      <c r="R1088" t="s">
        <v>362</v>
      </c>
    </row>
    <row r="1089" spans="1:18" x14ac:dyDescent="0.15">
      <c r="A1089" t="s">
        <v>2693</v>
      </c>
      <c r="B1089" s="61">
        <v>48427</v>
      </c>
      <c r="E1089" t="s">
        <v>355</v>
      </c>
      <c r="F1089" t="s">
        <v>385</v>
      </c>
      <c r="H1089" t="s">
        <v>353</v>
      </c>
      <c r="I1089">
        <v>2302999</v>
      </c>
      <c r="J1089" t="s">
        <v>2711</v>
      </c>
      <c r="K1089" t="s">
        <v>2712</v>
      </c>
      <c r="L1089" t="s">
        <v>2713</v>
      </c>
      <c r="N1089" t="s">
        <v>4066</v>
      </c>
      <c r="O1089" t="s">
        <v>2714</v>
      </c>
      <c r="R1089" t="s">
        <v>386</v>
      </c>
    </row>
    <row r="1090" spans="1:18" x14ac:dyDescent="0.15">
      <c r="A1090" t="s">
        <v>5612</v>
      </c>
      <c r="B1090" s="61">
        <v>46905</v>
      </c>
      <c r="E1090" t="s">
        <v>355</v>
      </c>
      <c r="F1090" t="s">
        <v>356</v>
      </c>
      <c r="H1090" t="s">
        <v>353</v>
      </c>
      <c r="I1090">
        <v>1001036</v>
      </c>
      <c r="J1090" t="s">
        <v>743</v>
      </c>
      <c r="K1090" t="s">
        <v>3541</v>
      </c>
      <c r="L1090" t="s">
        <v>4067</v>
      </c>
      <c r="N1090" t="s">
        <v>4068</v>
      </c>
      <c r="O1090" t="s">
        <v>4069</v>
      </c>
      <c r="R1090" t="s">
        <v>362</v>
      </c>
    </row>
    <row r="1091" spans="1:18" x14ac:dyDescent="0.15">
      <c r="A1091" t="s">
        <v>5612</v>
      </c>
      <c r="B1091" s="61">
        <v>48366</v>
      </c>
      <c r="E1091" t="s">
        <v>355</v>
      </c>
      <c r="F1091" t="s">
        <v>385</v>
      </c>
      <c r="H1091" t="s">
        <v>353</v>
      </c>
      <c r="I1091">
        <v>1001036</v>
      </c>
      <c r="J1091" t="s">
        <v>743</v>
      </c>
      <c r="K1091" t="s">
        <v>3541</v>
      </c>
      <c r="L1091" t="s">
        <v>4067</v>
      </c>
      <c r="N1091" t="s">
        <v>4068</v>
      </c>
      <c r="O1091" t="s">
        <v>4069</v>
      </c>
      <c r="R1091" t="s">
        <v>386</v>
      </c>
    </row>
    <row r="1092" spans="1:18" x14ac:dyDescent="0.15">
      <c r="A1092" t="s">
        <v>350</v>
      </c>
      <c r="B1092" s="61">
        <v>47027</v>
      </c>
      <c r="E1092" t="s">
        <v>355</v>
      </c>
      <c r="F1092" t="s">
        <v>356</v>
      </c>
      <c r="H1092" t="s">
        <v>353</v>
      </c>
      <c r="I1092">
        <v>801386</v>
      </c>
      <c r="J1092" t="s">
        <v>4070</v>
      </c>
      <c r="K1092" t="s">
        <v>377</v>
      </c>
      <c r="L1092" t="s">
        <v>833</v>
      </c>
      <c r="N1092" t="s">
        <v>4071</v>
      </c>
      <c r="R1092" t="s">
        <v>362</v>
      </c>
    </row>
    <row r="1093" spans="1:18" x14ac:dyDescent="0.15">
      <c r="A1093" t="s">
        <v>350</v>
      </c>
      <c r="B1093" s="61">
        <v>48488</v>
      </c>
      <c r="E1093" t="s">
        <v>355</v>
      </c>
      <c r="F1093" t="s">
        <v>385</v>
      </c>
      <c r="H1093" t="s">
        <v>353</v>
      </c>
      <c r="I1093">
        <v>801386</v>
      </c>
      <c r="J1093" t="s">
        <v>4070</v>
      </c>
      <c r="K1093" t="s">
        <v>377</v>
      </c>
      <c r="L1093" t="s">
        <v>833</v>
      </c>
      <c r="N1093" t="s">
        <v>4071</v>
      </c>
      <c r="R1093" t="s">
        <v>386</v>
      </c>
    </row>
    <row r="1094" spans="1:18" x14ac:dyDescent="0.15">
      <c r="A1094" t="s">
        <v>2255</v>
      </c>
      <c r="B1094" s="61">
        <v>46539</v>
      </c>
      <c r="E1094" t="s">
        <v>355</v>
      </c>
      <c r="F1094" t="s">
        <v>356</v>
      </c>
      <c r="H1094" t="s">
        <v>353</v>
      </c>
      <c r="I1094">
        <v>1102559</v>
      </c>
      <c r="J1094" t="s">
        <v>4072</v>
      </c>
      <c r="K1094" t="s">
        <v>897</v>
      </c>
      <c r="L1094" t="s">
        <v>413</v>
      </c>
      <c r="N1094" t="s">
        <v>4073</v>
      </c>
      <c r="O1094" t="s">
        <v>4074</v>
      </c>
      <c r="R1094" t="s">
        <v>362</v>
      </c>
    </row>
    <row r="1095" spans="1:18" x14ac:dyDescent="0.15">
      <c r="A1095" t="s">
        <v>2255</v>
      </c>
      <c r="B1095" s="61">
        <v>48000</v>
      </c>
      <c r="E1095" t="s">
        <v>355</v>
      </c>
      <c r="F1095" t="s">
        <v>385</v>
      </c>
      <c r="H1095" t="s">
        <v>353</v>
      </c>
      <c r="I1095">
        <v>1102559</v>
      </c>
      <c r="J1095" t="s">
        <v>4072</v>
      </c>
      <c r="K1095" t="s">
        <v>897</v>
      </c>
      <c r="L1095" t="s">
        <v>413</v>
      </c>
      <c r="N1095" t="s">
        <v>4073</v>
      </c>
      <c r="O1095" t="s">
        <v>4074</v>
      </c>
      <c r="R1095" t="s">
        <v>386</v>
      </c>
    </row>
    <row r="1096" spans="1:18" x14ac:dyDescent="0.15">
      <c r="A1096" t="s">
        <v>3349</v>
      </c>
      <c r="B1096" s="61">
        <v>46874</v>
      </c>
      <c r="E1096" t="s">
        <v>355</v>
      </c>
      <c r="F1096" t="s">
        <v>356</v>
      </c>
      <c r="H1096" t="s">
        <v>353</v>
      </c>
      <c r="I1096">
        <v>1600669</v>
      </c>
      <c r="J1096" t="s">
        <v>3364</v>
      </c>
      <c r="L1096" t="s">
        <v>3365</v>
      </c>
      <c r="N1096" t="s">
        <v>4075</v>
      </c>
      <c r="O1096" t="s">
        <v>3367</v>
      </c>
      <c r="R1096" t="s">
        <v>362</v>
      </c>
    </row>
    <row r="1097" spans="1:18" x14ac:dyDescent="0.15">
      <c r="A1097" t="s">
        <v>3349</v>
      </c>
      <c r="B1097" s="61">
        <v>48335</v>
      </c>
      <c r="E1097" t="s">
        <v>355</v>
      </c>
      <c r="F1097" t="s">
        <v>385</v>
      </c>
      <c r="H1097" t="s">
        <v>353</v>
      </c>
      <c r="I1097">
        <v>1600669</v>
      </c>
      <c r="J1097" t="s">
        <v>3364</v>
      </c>
      <c r="L1097" t="s">
        <v>3365</v>
      </c>
      <c r="N1097" t="s">
        <v>4075</v>
      </c>
      <c r="O1097" t="s">
        <v>3367</v>
      </c>
      <c r="R1097" t="s">
        <v>386</v>
      </c>
    </row>
    <row r="1098" spans="1:18" x14ac:dyDescent="0.15">
      <c r="A1098" t="s">
        <v>422</v>
      </c>
      <c r="B1098" s="61">
        <v>46905</v>
      </c>
      <c r="E1098" t="s">
        <v>355</v>
      </c>
      <c r="F1098" t="s">
        <v>356</v>
      </c>
      <c r="H1098" t="s">
        <v>353</v>
      </c>
      <c r="I1098">
        <v>2701867</v>
      </c>
      <c r="J1098" t="s">
        <v>427</v>
      </c>
      <c r="K1098" t="s">
        <v>428</v>
      </c>
      <c r="L1098" t="s">
        <v>4076</v>
      </c>
      <c r="N1098" t="s">
        <v>4077</v>
      </c>
      <c r="O1098" t="s">
        <v>4078</v>
      </c>
      <c r="R1098" t="s">
        <v>362</v>
      </c>
    </row>
    <row r="1099" spans="1:18" x14ac:dyDescent="0.15">
      <c r="A1099" t="s">
        <v>422</v>
      </c>
      <c r="B1099" s="61">
        <v>48366</v>
      </c>
      <c r="E1099" t="s">
        <v>355</v>
      </c>
      <c r="F1099" t="s">
        <v>385</v>
      </c>
      <c r="H1099" t="s">
        <v>353</v>
      </c>
      <c r="I1099">
        <v>2701867</v>
      </c>
      <c r="J1099" t="s">
        <v>427</v>
      </c>
      <c r="K1099" t="s">
        <v>428</v>
      </c>
      <c r="L1099" t="s">
        <v>4076</v>
      </c>
      <c r="N1099" t="s">
        <v>4077</v>
      </c>
      <c r="O1099" t="s">
        <v>4078</v>
      </c>
      <c r="R1099" t="s">
        <v>386</v>
      </c>
    </row>
    <row r="1100" spans="1:18" x14ac:dyDescent="0.15">
      <c r="A1100" t="s">
        <v>819</v>
      </c>
      <c r="B1100" s="61">
        <v>46722</v>
      </c>
      <c r="E1100" t="s">
        <v>355</v>
      </c>
      <c r="F1100" t="s">
        <v>356</v>
      </c>
      <c r="H1100" t="s">
        <v>353</v>
      </c>
      <c r="I1100">
        <v>4300087</v>
      </c>
      <c r="J1100" t="s">
        <v>4079</v>
      </c>
      <c r="K1100" t="s">
        <v>4080</v>
      </c>
      <c r="L1100" t="s">
        <v>4081</v>
      </c>
      <c r="N1100" t="s">
        <v>4082</v>
      </c>
      <c r="O1100" t="s">
        <v>4083</v>
      </c>
      <c r="R1100" t="s">
        <v>362</v>
      </c>
    </row>
    <row r="1101" spans="1:18" x14ac:dyDescent="0.15">
      <c r="A1101" t="s">
        <v>819</v>
      </c>
      <c r="B1101" s="61">
        <v>48183</v>
      </c>
      <c r="E1101" t="s">
        <v>355</v>
      </c>
      <c r="F1101" t="s">
        <v>385</v>
      </c>
      <c r="H1101" t="s">
        <v>353</v>
      </c>
      <c r="I1101">
        <v>4300087</v>
      </c>
      <c r="J1101" t="s">
        <v>4079</v>
      </c>
      <c r="K1101" t="s">
        <v>4080</v>
      </c>
      <c r="L1101" t="s">
        <v>4081</v>
      </c>
      <c r="N1101" t="s">
        <v>4082</v>
      </c>
      <c r="O1101" t="s">
        <v>4083</v>
      </c>
      <c r="R1101" t="s">
        <v>386</v>
      </c>
    </row>
    <row r="1102" spans="1:18" x14ac:dyDescent="0.15">
      <c r="A1102" t="s">
        <v>914</v>
      </c>
      <c r="B1102" s="61">
        <v>46966</v>
      </c>
      <c r="E1102" t="s">
        <v>355</v>
      </c>
      <c r="F1102" t="s">
        <v>356</v>
      </c>
      <c r="H1102" t="s">
        <v>353</v>
      </c>
      <c r="I1102">
        <v>700699</v>
      </c>
      <c r="J1102" t="s">
        <v>923</v>
      </c>
      <c r="K1102" t="s">
        <v>4084</v>
      </c>
      <c r="L1102" t="s">
        <v>413</v>
      </c>
      <c r="N1102" t="s">
        <v>4085</v>
      </c>
      <c r="O1102" t="s">
        <v>4086</v>
      </c>
      <c r="R1102" t="s">
        <v>362</v>
      </c>
    </row>
    <row r="1103" spans="1:18" x14ac:dyDescent="0.15">
      <c r="A1103" t="s">
        <v>914</v>
      </c>
      <c r="B1103" s="61">
        <v>48427</v>
      </c>
      <c r="E1103" t="s">
        <v>355</v>
      </c>
      <c r="F1103" t="s">
        <v>385</v>
      </c>
      <c r="H1103" t="s">
        <v>353</v>
      </c>
      <c r="I1103">
        <v>700699</v>
      </c>
      <c r="J1103" t="s">
        <v>923</v>
      </c>
      <c r="K1103" t="s">
        <v>4084</v>
      </c>
      <c r="L1103" t="s">
        <v>413</v>
      </c>
      <c r="N1103" t="s">
        <v>4085</v>
      </c>
      <c r="O1103" t="s">
        <v>4086</v>
      </c>
      <c r="R1103" t="s">
        <v>386</v>
      </c>
    </row>
    <row r="1104" spans="1:18" x14ac:dyDescent="0.15">
      <c r="A1104" t="s">
        <v>2993</v>
      </c>
      <c r="B1104" s="61">
        <v>46569</v>
      </c>
      <c r="E1104" t="s">
        <v>355</v>
      </c>
      <c r="F1104" t="s">
        <v>356</v>
      </c>
      <c r="H1104" t="s">
        <v>353</v>
      </c>
      <c r="I1104">
        <v>1300634</v>
      </c>
      <c r="J1104" t="s">
        <v>4087</v>
      </c>
      <c r="L1104" t="s">
        <v>4088</v>
      </c>
      <c r="N1104" t="s">
        <v>4089</v>
      </c>
      <c r="O1104" t="s">
        <v>4090</v>
      </c>
      <c r="R1104" t="s">
        <v>362</v>
      </c>
    </row>
    <row r="1105" spans="1:19" x14ac:dyDescent="0.15">
      <c r="A1105" t="s">
        <v>2993</v>
      </c>
      <c r="B1105" s="61">
        <v>48030</v>
      </c>
      <c r="E1105" t="s">
        <v>355</v>
      </c>
      <c r="F1105" t="s">
        <v>385</v>
      </c>
      <c r="H1105" t="s">
        <v>353</v>
      </c>
      <c r="I1105">
        <v>1300634</v>
      </c>
      <c r="J1105" t="s">
        <v>4087</v>
      </c>
      <c r="L1105" t="s">
        <v>4088</v>
      </c>
      <c r="N1105" t="s">
        <v>4089</v>
      </c>
      <c r="O1105" t="s">
        <v>4090</v>
      </c>
      <c r="R1105" t="s">
        <v>386</v>
      </c>
    </row>
    <row r="1106" spans="1:19" ht="216" x14ac:dyDescent="0.15">
      <c r="A1106" t="s">
        <v>2993</v>
      </c>
      <c r="B1106" s="61">
        <v>46266</v>
      </c>
      <c r="E1106" t="s">
        <v>355</v>
      </c>
      <c r="F1106" t="s">
        <v>356</v>
      </c>
      <c r="H1106" t="s">
        <v>353</v>
      </c>
      <c r="I1106">
        <v>1300146</v>
      </c>
      <c r="J1106" t="s">
        <v>2817</v>
      </c>
      <c r="K1106" t="s">
        <v>4091</v>
      </c>
      <c r="L1106" t="s">
        <v>390</v>
      </c>
      <c r="N1106" t="s">
        <v>4092</v>
      </c>
      <c r="O1106" t="s">
        <v>4093</v>
      </c>
      <c r="R1106" t="s">
        <v>362</v>
      </c>
      <c r="S1106" s="34" t="s">
        <v>4094</v>
      </c>
    </row>
    <row r="1107" spans="1:19" ht="216" x14ac:dyDescent="0.15">
      <c r="A1107" t="s">
        <v>2993</v>
      </c>
      <c r="B1107" s="61">
        <v>47727</v>
      </c>
      <c r="E1107" t="s">
        <v>355</v>
      </c>
      <c r="F1107" t="s">
        <v>385</v>
      </c>
      <c r="H1107" t="s">
        <v>353</v>
      </c>
      <c r="I1107">
        <v>1300146</v>
      </c>
      <c r="J1107" t="s">
        <v>2817</v>
      </c>
      <c r="K1107" t="s">
        <v>4091</v>
      </c>
      <c r="L1107" t="s">
        <v>390</v>
      </c>
      <c r="N1107" t="s">
        <v>4092</v>
      </c>
      <c r="O1107" t="s">
        <v>4093</v>
      </c>
      <c r="R1107" t="s">
        <v>386</v>
      </c>
      <c r="S1107" s="34" t="s">
        <v>4094</v>
      </c>
    </row>
    <row r="1108" spans="1:19" x14ac:dyDescent="0.15">
      <c r="A1108" t="s">
        <v>617</v>
      </c>
      <c r="B1108" s="61">
        <v>46966</v>
      </c>
      <c r="E1108" t="s">
        <v>355</v>
      </c>
      <c r="F1108" t="s">
        <v>356</v>
      </c>
      <c r="H1108" t="s">
        <v>353</v>
      </c>
      <c r="I1108">
        <v>2300485</v>
      </c>
      <c r="J1108" t="s">
        <v>4095</v>
      </c>
      <c r="K1108" t="s">
        <v>3255</v>
      </c>
      <c r="L1108" t="s">
        <v>4096</v>
      </c>
      <c r="N1108" t="s">
        <v>4097</v>
      </c>
      <c r="O1108" t="s">
        <v>4098</v>
      </c>
      <c r="R1108" t="s">
        <v>362</v>
      </c>
    </row>
    <row r="1109" spans="1:19" x14ac:dyDescent="0.15">
      <c r="A1109" t="s">
        <v>617</v>
      </c>
      <c r="B1109" s="61">
        <v>48427</v>
      </c>
      <c r="E1109" t="s">
        <v>355</v>
      </c>
      <c r="F1109" t="s">
        <v>385</v>
      </c>
      <c r="H1109" t="s">
        <v>353</v>
      </c>
      <c r="I1109">
        <v>2300485</v>
      </c>
      <c r="J1109" t="s">
        <v>4095</v>
      </c>
      <c r="K1109" t="s">
        <v>3255</v>
      </c>
      <c r="L1109" t="s">
        <v>4096</v>
      </c>
      <c r="N1109" t="s">
        <v>4097</v>
      </c>
      <c r="O1109" t="s">
        <v>4098</v>
      </c>
      <c r="R1109" t="s">
        <v>386</v>
      </c>
    </row>
    <row r="1110" spans="1:19" x14ac:dyDescent="0.15">
      <c r="A1110" t="s">
        <v>2456</v>
      </c>
      <c r="B1110" s="61">
        <v>46813</v>
      </c>
      <c r="E1110" t="s">
        <v>355</v>
      </c>
      <c r="F1110" t="s">
        <v>356</v>
      </c>
      <c r="H1110" t="s">
        <v>353</v>
      </c>
      <c r="I1110">
        <v>2201563</v>
      </c>
      <c r="J1110" t="s">
        <v>2476</v>
      </c>
      <c r="L1110" t="s">
        <v>4099</v>
      </c>
      <c r="N1110" t="s">
        <v>4100</v>
      </c>
      <c r="O1110" t="s">
        <v>4101</v>
      </c>
      <c r="R1110" t="s">
        <v>362</v>
      </c>
    </row>
    <row r="1111" spans="1:19" x14ac:dyDescent="0.15">
      <c r="A1111" t="s">
        <v>2456</v>
      </c>
      <c r="B1111" s="61">
        <v>48274</v>
      </c>
      <c r="E1111" t="s">
        <v>355</v>
      </c>
      <c r="F1111" t="s">
        <v>385</v>
      </c>
      <c r="H1111" t="s">
        <v>353</v>
      </c>
      <c r="I1111">
        <v>2201563</v>
      </c>
      <c r="J1111" t="s">
        <v>2476</v>
      </c>
      <c r="L1111" t="s">
        <v>4099</v>
      </c>
      <c r="N1111" t="s">
        <v>4100</v>
      </c>
      <c r="O1111" t="s">
        <v>4101</v>
      </c>
      <c r="R1111" t="s">
        <v>386</v>
      </c>
    </row>
    <row r="1112" spans="1:19" x14ac:dyDescent="0.15">
      <c r="A1112" t="s">
        <v>2693</v>
      </c>
      <c r="B1112" s="61">
        <v>46935</v>
      </c>
      <c r="E1112" t="s">
        <v>355</v>
      </c>
      <c r="F1112" t="s">
        <v>356</v>
      </c>
      <c r="H1112" t="s">
        <v>353</v>
      </c>
      <c r="I1112">
        <v>2302557</v>
      </c>
      <c r="J1112" t="s">
        <v>4102</v>
      </c>
      <c r="L1112" t="s">
        <v>390</v>
      </c>
      <c r="N1112" t="s">
        <v>4103</v>
      </c>
      <c r="O1112" t="s">
        <v>4104</v>
      </c>
      <c r="R1112" t="s">
        <v>362</v>
      </c>
    </row>
    <row r="1113" spans="1:19" x14ac:dyDescent="0.15">
      <c r="A1113" t="s">
        <v>2693</v>
      </c>
      <c r="B1113" s="61">
        <v>48396</v>
      </c>
      <c r="E1113" t="s">
        <v>355</v>
      </c>
      <c r="F1113" t="s">
        <v>385</v>
      </c>
      <c r="H1113" t="s">
        <v>353</v>
      </c>
      <c r="I1113">
        <v>2302557</v>
      </c>
      <c r="J1113" t="s">
        <v>4102</v>
      </c>
      <c r="L1113" t="s">
        <v>390</v>
      </c>
      <c r="N1113" t="s">
        <v>4103</v>
      </c>
      <c r="O1113" t="s">
        <v>4104</v>
      </c>
      <c r="R1113" t="s">
        <v>386</v>
      </c>
    </row>
    <row r="1114" spans="1:19" x14ac:dyDescent="0.15">
      <c r="A1114" t="s">
        <v>6275</v>
      </c>
      <c r="B1114" s="61">
        <v>46784</v>
      </c>
      <c r="E1114" t="s">
        <v>355</v>
      </c>
      <c r="F1114" t="s">
        <v>356</v>
      </c>
      <c r="H1114" t="s">
        <v>353</v>
      </c>
      <c r="I1114">
        <v>1200505</v>
      </c>
      <c r="J1114" t="s">
        <v>4105</v>
      </c>
      <c r="K1114" t="s">
        <v>4106</v>
      </c>
      <c r="L1114" t="s">
        <v>4107</v>
      </c>
      <c r="N1114" t="s">
        <v>4108</v>
      </c>
      <c r="O1114" t="s">
        <v>4109</v>
      </c>
      <c r="R1114" t="s">
        <v>362</v>
      </c>
    </row>
    <row r="1115" spans="1:19" x14ac:dyDescent="0.15">
      <c r="A1115" t="s">
        <v>6275</v>
      </c>
      <c r="B1115" s="61">
        <v>48245</v>
      </c>
      <c r="E1115" t="s">
        <v>355</v>
      </c>
      <c r="F1115" t="s">
        <v>385</v>
      </c>
      <c r="H1115" t="s">
        <v>353</v>
      </c>
      <c r="I1115">
        <v>1200505</v>
      </c>
      <c r="J1115" t="s">
        <v>4105</v>
      </c>
      <c r="K1115" t="s">
        <v>4106</v>
      </c>
      <c r="L1115" t="s">
        <v>4107</v>
      </c>
      <c r="N1115" t="s">
        <v>4108</v>
      </c>
      <c r="O1115" t="s">
        <v>4109</v>
      </c>
      <c r="R1115" t="s">
        <v>386</v>
      </c>
    </row>
    <row r="1116" spans="1:19" x14ac:dyDescent="0.15">
      <c r="A1116" t="s">
        <v>2534</v>
      </c>
      <c r="B1116" s="61">
        <v>46661</v>
      </c>
      <c r="E1116" t="s">
        <v>355</v>
      </c>
      <c r="F1116" t="s">
        <v>356</v>
      </c>
      <c r="H1116" t="s">
        <v>353</v>
      </c>
      <c r="I1116">
        <v>2700410</v>
      </c>
      <c r="J1116" t="s">
        <v>4110</v>
      </c>
      <c r="K1116" t="s">
        <v>428</v>
      </c>
      <c r="L1116" t="s">
        <v>413</v>
      </c>
      <c r="N1116" t="s">
        <v>4111</v>
      </c>
      <c r="O1116" t="s">
        <v>4112</v>
      </c>
      <c r="R1116" t="s">
        <v>4113</v>
      </c>
    </row>
    <row r="1117" spans="1:19" x14ac:dyDescent="0.15">
      <c r="A1117" t="s">
        <v>2534</v>
      </c>
      <c r="B1117" s="61">
        <v>48122</v>
      </c>
      <c r="E1117" t="s">
        <v>355</v>
      </c>
      <c r="F1117" t="s">
        <v>385</v>
      </c>
      <c r="H1117" t="s">
        <v>353</v>
      </c>
      <c r="I1117">
        <v>2700410</v>
      </c>
      <c r="J1117" t="s">
        <v>4110</v>
      </c>
      <c r="K1117" t="s">
        <v>428</v>
      </c>
      <c r="L1117" t="s">
        <v>413</v>
      </c>
      <c r="N1117" t="s">
        <v>4111</v>
      </c>
      <c r="O1117" t="s">
        <v>4112</v>
      </c>
      <c r="R1117" t="s">
        <v>4114</v>
      </c>
    </row>
    <row r="1118" spans="1:19" x14ac:dyDescent="0.15">
      <c r="A1118" t="s">
        <v>2534</v>
      </c>
      <c r="B1118" s="61">
        <v>46661</v>
      </c>
      <c r="E1118" t="s">
        <v>355</v>
      </c>
      <c r="F1118" t="s">
        <v>356</v>
      </c>
      <c r="H1118" t="s">
        <v>353</v>
      </c>
      <c r="I1118">
        <v>2700410</v>
      </c>
      <c r="J1118" t="s">
        <v>4110</v>
      </c>
      <c r="K1118" t="s">
        <v>428</v>
      </c>
      <c r="L1118" t="s">
        <v>413</v>
      </c>
      <c r="N1118" t="s">
        <v>4115</v>
      </c>
      <c r="O1118" t="s">
        <v>4112</v>
      </c>
      <c r="R1118" t="s">
        <v>4116</v>
      </c>
    </row>
    <row r="1119" spans="1:19" x14ac:dyDescent="0.15">
      <c r="A1119" t="s">
        <v>2534</v>
      </c>
      <c r="B1119" s="61">
        <v>48122</v>
      </c>
      <c r="E1119" t="s">
        <v>355</v>
      </c>
      <c r="F1119" t="s">
        <v>385</v>
      </c>
      <c r="H1119" t="s">
        <v>353</v>
      </c>
      <c r="I1119">
        <v>2700410</v>
      </c>
      <c r="J1119" t="s">
        <v>4110</v>
      </c>
      <c r="K1119" t="s">
        <v>428</v>
      </c>
      <c r="L1119" t="s">
        <v>413</v>
      </c>
      <c r="N1119" t="s">
        <v>4115</v>
      </c>
      <c r="O1119" t="s">
        <v>4112</v>
      </c>
      <c r="R1119" t="s">
        <v>4117</v>
      </c>
    </row>
    <row r="1120" spans="1:19" x14ac:dyDescent="0.15">
      <c r="A1120" t="s">
        <v>5612</v>
      </c>
      <c r="B1120" s="61">
        <v>46935</v>
      </c>
      <c r="E1120" t="s">
        <v>355</v>
      </c>
      <c r="F1120" t="s">
        <v>356</v>
      </c>
      <c r="H1120" t="s">
        <v>353</v>
      </c>
      <c r="I1120">
        <v>1000624</v>
      </c>
      <c r="J1120" t="s">
        <v>4118</v>
      </c>
      <c r="K1120" t="s">
        <v>4119</v>
      </c>
      <c r="L1120" t="s">
        <v>1064</v>
      </c>
      <c r="N1120" t="s">
        <v>4120</v>
      </c>
      <c r="O1120" t="s">
        <v>4121</v>
      </c>
      <c r="R1120" t="s">
        <v>362</v>
      </c>
    </row>
    <row r="1121" spans="1:19" x14ac:dyDescent="0.15">
      <c r="A1121" t="s">
        <v>5612</v>
      </c>
      <c r="B1121" s="61">
        <v>48396</v>
      </c>
      <c r="E1121" t="s">
        <v>355</v>
      </c>
      <c r="F1121" t="s">
        <v>385</v>
      </c>
      <c r="H1121" t="s">
        <v>353</v>
      </c>
      <c r="I1121">
        <v>1000624</v>
      </c>
      <c r="J1121" t="s">
        <v>4118</v>
      </c>
      <c r="K1121" t="s">
        <v>4119</v>
      </c>
      <c r="L1121" t="s">
        <v>1064</v>
      </c>
      <c r="N1121" t="s">
        <v>4120</v>
      </c>
      <c r="O1121" t="s">
        <v>4121</v>
      </c>
      <c r="R1121" t="s">
        <v>386</v>
      </c>
    </row>
    <row r="1122" spans="1:19" ht="409.5" x14ac:dyDescent="0.15">
      <c r="A1122" t="s">
        <v>5393</v>
      </c>
      <c r="B1122" s="61">
        <v>46508</v>
      </c>
      <c r="E1122" t="s">
        <v>355</v>
      </c>
      <c r="F1122" t="s">
        <v>2480</v>
      </c>
      <c r="H1122" t="s">
        <v>365</v>
      </c>
      <c r="I1122">
        <v>1201456</v>
      </c>
      <c r="J1122" t="s">
        <v>3890</v>
      </c>
      <c r="K1122" t="s">
        <v>3896</v>
      </c>
      <c r="L1122" t="s">
        <v>3897</v>
      </c>
      <c r="N1122" s="34" t="s">
        <v>4122</v>
      </c>
      <c r="O1122" t="s">
        <v>3899</v>
      </c>
      <c r="R1122" s="34" t="s">
        <v>4123</v>
      </c>
      <c r="S1122" s="34" t="s">
        <v>4124</v>
      </c>
    </row>
    <row r="1123" spans="1:19" ht="202.5" x14ac:dyDescent="0.15">
      <c r="A1123" t="s">
        <v>819</v>
      </c>
      <c r="B1123" s="61">
        <v>45931</v>
      </c>
      <c r="E1123" t="s">
        <v>355</v>
      </c>
      <c r="F1123" t="s">
        <v>351</v>
      </c>
      <c r="G1123" t="s">
        <v>354</v>
      </c>
      <c r="H1123" t="s">
        <v>353</v>
      </c>
      <c r="I1123">
        <v>4300209</v>
      </c>
      <c r="J1123" t="s">
        <v>481</v>
      </c>
      <c r="K1123" t="s">
        <v>4126</v>
      </c>
      <c r="L1123" t="s">
        <v>4127</v>
      </c>
      <c r="N1123" t="s">
        <v>4128</v>
      </c>
      <c r="O1123" t="s">
        <v>4129</v>
      </c>
      <c r="R1123" t="s">
        <v>3986</v>
      </c>
      <c r="S1123" s="34" t="s">
        <v>4130</v>
      </c>
    </row>
    <row r="1124" spans="1:19" ht="409.5" x14ac:dyDescent="0.15">
      <c r="A1124" t="s">
        <v>2377</v>
      </c>
      <c r="B1124" s="61">
        <v>46143</v>
      </c>
      <c r="E1124" t="s">
        <v>355</v>
      </c>
      <c r="F1124" t="s">
        <v>351</v>
      </c>
      <c r="H1124" t="s">
        <v>686</v>
      </c>
      <c r="I1124">
        <v>1101329</v>
      </c>
      <c r="J1124" t="s">
        <v>2400</v>
      </c>
      <c r="K1124" t="s">
        <v>2401</v>
      </c>
      <c r="L1124" t="s">
        <v>2041</v>
      </c>
      <c r="N1124">
        <v>2120666</v>
      </c>
      <c r="O1124" t="s">
        <v>2403</v>
      </c>
      <c r="S1124" s="34" t="s">
        <v>4143</v>
      </c>
    </row>
    <row r="1125" spans="1:19" x14ac:dyDescent="0.15">
      <c r="A1125" t="s">
        <v>1062</v>
      </c>
      <c r="B1125" s="61">
        <v>46844</v>
      </c>
      <c r="E1125" t="s">
        <v>355</v>
      </c>
      <c r="F1125" t="s">
        <v>356</v>
      </c>
      <c r="H1125" t="s">
        <v>353</v>
      </c>
      <c r="I1125">
        <v>3400789</v>
      </c>
      <c r="J1125" t="s">
        <v>481</v>
      </c>
      <c r="K1125" t="s">
        <v>4166</v>
      </c>
      <c r="L1125" t="s">
        <v>4127</v>
      </c>
      <c r="N1125" t="s">
        <v>4167</v>
      </c>
      <c r="O1125" t="s">
        <v>4168</v>
      </c>
      <c r="R1125" t="s">
        <v>362</v>
      </c>
    </row>
    <row r="1126" spans="1:19" x14ac:dyDescent="0.15">
      <c r="A1126" t="s">
        <v>1062</v>
      </c>
      <c r="B1126" s="61">
        <v>48305</v>
      </c>
      <c r="E1126" t="s">
        <v>355</v>
      </c>
      <c r="F1126" t="s">
        <v>385</v>
      </c>
      <c r="H1126" t="s">
        <v>353</v>
      </c>
      <c r="I1126">
        <v>3400789</v>
      </c>
      <c r="J1126" t="s">
        <v>481</v>
      </c>
      <c r="K1126" t="s">
        <v>4166</v>
      </c>
      <c r="L1126" t="s">
        <v>4127</v>
      </c>
      <c r="N1126" t="s">
        <v>4167</v>
      </c>
      <c r="O1126" t="s">
        <v>4168</v>
      </c>
      <c r="R1126" t="s">
        <v>386</v>
      </c>
    </row>
    <row r="1127" spans="1:19" x14ac:dyDescent="0.15">
      <c r="A1127" t="s">
        <v>819</v>
      </c>
      <c r="B1127" s="61">
        <v>46844</v>
      </c>
      <c r="E1127" t="s">
        <v>355</v>
      </c>
      <c r="F1127" t="s">
        <v>356</v>
      </c>
      <c r="H1127" t="s">
        <v>353</v>
      </c>
      <c r="I1127">
        <v>4300209</v>
      </c>
      <c r="J1127" t="s">
        <v>481</v>
      </c>
      <c r="K1127" t="s">
        <v>4126</v>
      </c>
      <c r="L1127" t="s">
        <v>4127</v>
      </c>
      <c r="N1127" t="s">
        <v>4128</v>
      </c>
      <c r="O1127" t="s">
        <v>4129</v>
      </c>
      <c r="R1127" t="s">
        <v>362</v>
      </c>
    </row>
    <row r="1128" spans="1:19" x14ac:dyDescent="0.15">
      <c r="A1128" t="s">
        <v>819</v>
      </c>
      <c r="B1128" s="61">
        <v>48305</v>
      </c>
      <c r="E1128" t="s">
        <v>355</v>
      </c>
      <c r="F1128" t="s">
        <v>385</v>
      </c>
      <c r="H1128" t="s">
        <v>353</v>
      </c>
      <c r="I1128">
        <v>4300209</v>
      </c>
      <c r="J1128" t="s">
        <v>481</v>
      </c>
      <c r="K1128" t="s">
        <v>4126</v>
      </c>
      <c r="L1128" t="s">
        <v>4127</v>
      </c>
      <c r="N1128" t="s">
        <v>4128</v>
      </c>
      <c r="O1128" t="s">
        <v>4129</v>
      </c>
      <c r="R1128" t="s">
        <v>386</v>
      </c>
    </row>
    <row r="1129" spans="1:19" x14ac:dyDescent="0.15">
      <c r="A1129" t="s">
        <v>3895</v>
      </c>
      <c r="B1129" s="61">
        <v>46844</v>
      </c>
      <c r="E1129" t="s">
        <v>355</v>
      </c>
      <c r="F1129" t="s">
        <v>356</v>
      </c>
      <c r="H1129" t="s">
        <v>353</v>
      </c>
      <c r="I1129">
        <v>1102100</v>
      </c>
      <c r="J1129" t="s">
        <v>481</v>
      </c>
      <c r="K1129" t="s">
        <v>1021</v>
      </c>
      <c r="L1129" t="s">
        <v>4127</v>
      </c>
      <c r="N1129" t="s">
        <v>4169</v>
      </c>
      <c r="O1129" t="s">
        <v>4170</v>
      </c>
      <c r="R1129" t="s">
        <v>362</v>
      </c>
    </row>
    <row r="1130" spans="1:19" x14ac:dyDescent="0.15">
      <c r="A1130" t="s">
        <v>3895</v>
      </c>
      <c r="B1130" s="61">
        <v>48305</v>
      </c>
      <c r="E1130" t="s">
        <v>355</v>
      </c>
      <c r="F1130" t="s">
        <v>385</v>
      </c>
      <c r="H1130" t="s">
        <v>353</v>
      </c>
      <c r="I1130">
        <v>1102100</v>
      </c>
      <c r="J1130" t="s">
        <v>481</v>
      </c>
      <c r="K1130" t="s">
        <v>1021</v>
      </c>
      <c r="L1130" t="s">
        <v>4127</v>
      </c>
      <c r="N1130" t="s">
        <v>4169</v>
      </c>
      <c r="O1130" t="s">
        <v>4170</v>
      </c>
      <c r="R1130" t="s">
        <v>386</v>
      </c>
    </row>
    <row r="1131" spans="1:19" x14ac:dyDescent="0.15">
      <c r="A1131" t="s">
        <v>5524</v>
      </c>
      <c r="B1131" s="61">
        <v>46844</v>
      </c>
      <c r="E1131" t="s">
        <v>355</v>
      </c>
      <c r="F1131" t="s">
        <v>356</v>
      </c>
      <c r="H1131" t="s">
        <v>353</v>
      </c>
      <c r="I1131">
        <v>1402261</v>
      </c>
      <c r="J1131" t="s">
        <v>481</v>
      </c>
      <c r="K1131" t="s">
        <v>4171</v>
      </c>
      <c r="L1131" t="s">
        <v>4127</v>
      </c>
      <c r="N1131" t="s">
        <v>4172</v>
      </c>
      <c r="O1131" t="s">
        <v>4173</v>
      </c>
      <c r="R1131" t="s">
        <v>362</v>
      </c>
    </row>
    <row r="1132" spans="1:19" x14ac:dyDescent="0.15">
      <c r="A1132" t="s">
        <v>5524</v>
      </c>
      <c r="B1132" s="61">
        <v>48305</v>
      </c>
      <c r="E1132" t="s">
        <v>355</v>
      </c>
      <c r="F1132" t="s">
        <v>385</v>
      </c>
      <c r="H1132" t="s">
        <v>353</v>
      </c>
      <c r="I1132">
        <v>1402261</v>
      </c>
      <c r="J1132" t="s">
        <v>481</v>
      </c>
      <c r="K1132" t="s">
        <v>4171</v>
      </c>
      <c r="L1132" t="s">
        <v>4127</v>
      </c>
      <c r="N1132" t="s">
        <v>4172</v>
      </c>
      <c r="O1132" t="s">
        <v>4173</v>
      </c>
      <c r="R1132" t="s">
        <v>386</v>
      </c>
    </row>
    <row r="1133" spans="1:19" x14ac:dyDescent="0.15">
      <c r="A1133" t="s">
        <v>2160</v>
      </c>
      <c r="B1133" s="61">
        <v>46844</v>
      </c>
      <c r="E1133" t="s">
        <v>355</v>
      </c>
      <c r="F1133" t="s">
        <v>356</v>
      </c>
      <c r="H1133" t="s">
        <v>353</v>
      </c>
      <c r="I1133">
        <v>1201672</v>
      </c>
      <c r="J1133" t="s">
        <v>481</v>
      </c>
      <c r="K1133" t="s">
        <v>4174</v>
      </c>
      <c r="L1133" t="s">
        <v>4127</v>
      </c>
      <c r="N1133" t="s">
        <v>4175</v>
      </c>
      <c r="O1133" t="s">
        <v>4176</v>
      </c>
      <c r="R1133" t="s">
        <v>362</v>
      </c>
    </row>
    <row r="1134" spans="1:19" x14ac:dyDescent="0.15">
      <c r="A1134" t="s">
        <v>2160</v>
      </c>
      <c r="B1134" s="61">
        <v>48305</v>
      </c>
      <c r="E1134" t="s">
        <v>355</v>
      </c>
      <c r="F1134" t="s">
        <v>385</v>
      </c>
      <c r="H1134" t="s">
        <v>353</v>
      </c>
      <c r="I1134">
        <v>1201672</v>
      </c>
      <c r="J1134" t="s">
        <v>481</v>
      </c>
      <c r="K1134" t="s">
        <v>4174</v>
      </c>
      <c r="L1134" t="s">
        <v>4127</v>
      </c>
      <c r="N1134" t="s">
        <v>4175</v>
      </c>
      <c r="O1134" t="s">
        <v>4176</v>
      </c>
      <c r="R1134" t="s">
        <v>386</v>
      </c>
    </row>
    <row r="1135" spans="1:19" x14ac:dyDescent="0.15">
      <c r="A1135" t="s">
        <v>3822</v>
      </c>
      <c r="B1135" s="61">
        <v>46844</v>
      </c>
      <c r="E1135" t="s">
        <v>355</v>
      </c>
      <c r="F1135" t="s">
        <v>356</v>
      </c>
      <c r="H1135" t="s">
        <v>353</v>
      </c>
      <c r="I1135">
        <v>1700398</v>
      </c>
      <c r="J1135" t="s">
        <v>481</v>
      </c>
      <c r="K1135" t="s">
        <v>4177</v>
      </c>
      <c r="L1135" t="s">
        <v>4127</v>
      </c>
      <c r="N1135" t="s">
        <v>4178</v>
      </c>
      <c r="O1135" t="s">
        <v>4179</v>
      </c>
      <c r="R1135" t="s">
        <v>362</v>
      </c>
    </row>
    <row r="1136" spans="1:19" x14ac:dyDescent="0.15">
      <c r="A1136" t="s">
        <v>3822</v>
      </c>
      <c r="B1136" s="61">
        <v>48305</v>
      </c>
      <c r="E1136" t="s">
        <v>355</v>
      </c>
      <c r="F1136" t="s">
        <v>385</v>
      </c>
      <c r="H1136" t="s">
        <v>353</v>
      </c>
      <c r="I1136">
        <v>1700398</v>
      </c>
      <c r="J1136" t="s">
        <v>481</v>
      </c>
      <c r="K1136" t="s">
        <v>4177</v>
      </c>
      <c r="L1136" t="s">
        <v>4127</v>
      </c>
      <c r="N1136" t="s">
        <v>4178</v>
      </c>
      <c r="O1136" t="s">
        <v>4179</v>
      </c>
      <c r="R1136" t="s">
        <v>386</v>
      </c>
    </row>
    <row r="1137" spans="1:18" x14ac:dyDescent="0.15">
      <c r="A1137" t="s">
        <v>2693</v>
      </c>
      <c r="B1137" s="61">
        <v>46844</v>
      </c>
      <c r="E1137" t="s">
        <v>355</v>
      </c>
      <c r="F1137" t="s">
        <v>356</v>
      </c>
      <c r="H1137" t="s">
        <v>353</v>
      </c>
      <c r="I1137">
        <v>2303132</v>
      </c>
      <c r="J1137" t="s">
        <v>481</v>
      </c>
      <c r="K1137" t="s">
        <v>4180</v>
      </c>
      <c r="L1137" t="s">
        <v>4127</v>
      </c>
      <c r="N1137" t="s">
        <v>4181</v>
      </c>
      <c r="O1137" t="s">
        <v>4182</v>
      </c>
      <c r="R1137" t="s">
        <v>362</v>
      </c>
    </row>
    <row r="1138" spans="1:18" x14ac:dyDescent="0.15">
      <c r="A1138" t="s">
        <v>2693</v>
      </c>
      <c r="B1138" s="61">
        <v>48305</v>
      </c>
      <c r="E1138" t="s">
        <v>355</v>
      </c>
      <c r="F1138" t="s">
        <v>385</v>
      </c>
      <c r="H1138" t="s">
        <v>353</v>
      </c>
      <c r="I1138">
        <v>2303132</v>
      </c>
      <c r="J1138" t="s">
        <v>481</v>
      </c>
      <c r="K1138" t="s">
        <v>4180</v>
      </c>
      <c r="L1138" t="s">
        <v>4127</v>
      </c>
      <c r="N1138" t="s">
        <v>4181</v>
      </c>
      <c r="O1138" t="s">
        <v>4182</v>
      </c>
      <c r="R1138" t="s">
        <v>386</v>
      </c>
    </row>
    <row r="1139" spans="1:18" x14ac:dyDescent="0.15">
      <c r="A1139" t="s">
        <v>3731</v>
      </c>
      <c r="B1139" s="61">
        <v>46569</v>
      </c>
      <c r="E1139" t="s">
        <v>355</v>
      </c>
      <c r="F1139" t="s">
        <v>356</v>
      </c>
      <c r="H1139" t="s">
        <v>353</v>
      </c>
      <c r="I1139">
        <v>2600293</v>
      </c>
      <c r="J1139" t="s">
        <v>2423</v>
      </c>
      <c r="K1139" t="s">
        <v>3747</v>
      </c>
      <c r="L1139" t="s">
        <v>3748</v>
      </c>
      <c r="N1139" t="s">
        <v>4183</v>
      </c>
      <c r="O1139" t="s">
        <v>3750</v>
      </c>
      <c r="R1139" t="s">
        <v>4184</v>
      </c>
    </row>
    <row r="1140" spans="1:18" x14ac:dyDescent="0.15">
      <c r="A1140" t="s">
        <v>3731</v>
      </c>
      <c r="B1140" s="61">
        <v>48030</v>
      </c>
      <c r="E1140" t="s">
        <v>355</v>
      </c>
      <c r="F1140" t="s">
        <v>385</v>
      </c>
      <c r="H1140" t="s">
        <v>353</v>
      </c>
      <c r="I1140">
        <v>2600293</v>
      </c>
      <c r="J1140" t="s">
        <v>2423</v>
      </c>
      <c r="K1140" t="s">
        <v>3747</v>
      </c>
      <c r="L1140" t="s">
        <v>3748</v>
      </c>
      <c r="N1140" t="s">
        <v>4183</v>
      </c>
      <c r="O1140" t="s">
        <v>3750</v>
      </c>
      <c r="R1140" t="s">
        <v>4185</v>
      </c>
    </row>
    <row r="1141" spans="1:18" x14ac:dyDescent="0.15">
      <c r="A1141" t="s">
        <v>3731</v>
      </c>
      <c r="B1141" s="61">
        <v>46569</v>
      </c>
      <c r="E1141" t="s">
        <v>355</v>
      </c>
      <c r="F1141" t="s">
        <v>356</v>
      </c>
      <c r="H1141" t="s">
        <v>353</v>
      </c>
      <c r="I1141">
        <v>2600293</v>
      </c>
      <c r="J1141" t="s">
        <v>2423</v>
      </c>
      <c r="K1141" t="s">
        <v>3747</v>
      </c>
      <c r="L1141" t="s">
        <v>3748</v>
      </c>
      <c r="N1141" t="s">
        <v>4186</v>
      </c>
      <c r="O1141" t="s">
        <v>3750</v>
      </c>
      <c r="R1141" t="s">
        <v>4187</v>
      </c>
    </row>
    <row r="1142" spans="1:18" x14ac:dyDescent="0.15">
      <c r="A1142" t="s">
        <v>3731</v>
      </c>
      <c r="B1142" s="61">
        <v>48030</v>
      </c>
      <c r="E1142" t="s">
        <v>355</v>
      </c>
      <c r="F1142" t="s">
        <v>385</v>
      </c>
      <c r="H1142" t="s">
        <v>353</v>
      </c>
      <c r="I1142">
        <v>2600293</v>
      </c>
      <c r="J1142" t="s">
        <v>2423</v>
      </c>
      <c r="K1142" t="s">
        <v>3747</v>
      </c>
      <c r="L1142" t="s">
        <v>3748</v>
      </c>
      <c r="N1142" t="s">
        <v>4186</v>
      </c>
      <c r="O1142" t="s">
        <v>3750</v>
      </c>
      <c r="R1142" t="s">
        <v>4188</v>
      </c>
    </row>
    <row r="1143" spans="1:18" x14ac:dyDescent="0.15">
      <c r="A1143" t="s">
        <v>1614</v>
      </c>
      <c r="B1143" s="61">
        <v>46508</v>
      </c>
      <c r="E1143" t="s">
        <v>355</v>
      </c>
      <c r="F1143" t="s">
        <v>356</v>
      </c>
      <c r="H1143" t="s">
        <v>353</v>
      </c>
      <c r="I1143">
        <v>2000959</v>
      </c>
      <c r="J1143" t="s">
        <v>1664</v>
      </c>
      <c r="K1143" t="s">
        <v>4189</v>
      </c>
      <c r="L1143" t="s">
        <v>390</v>
      </c>
      <c r="N1143" t="s">
        <v>4190</v>
      </c>
      <c r="O1143" t="s">
        <v>4191</v>
      </c>
      <c r="R1143" t="s">
        <v>362</v>
      </c>
    </row>
    <row r="1144" spans="1:18" x14ac:dyDescent="0.15">
      <c r="A1144" t="s">
        <v>1614</v>
      </c>
      <c r="B1144" s="61">
        <v>47969</v>
      </c>
      <c r="E1144" t="s">
        <v>355</v>
      </c>
      <c r="F1144" t="s">
        <v>385</v>
      </c>
      <c r="H1144" t="s">
        <v>353</v>
      </c>
      <c r="I1144">
        <v>2000959</v>
      </c>
      <c r="J1144" t="s">
        <v>1664</v>
      </c>
      <c r="K1144" t="s">
        <v>4189</v>
      </c>
      <c r="L1144" t="s">
        <v>390</v>
      </c>
      <c r="N1144" t="s">
        <v>4190</v>
      </c>
      <c r="O1144" t="s">
        <v>4191</v>
      </c>
      <c r="R1144" t="s">
        <v>386</v>
      </c>
    </row>
    <row r="1145" spans="1:18" x14ac:dyDescent="0.15">
      <c r="A1145" t="s">
        <v>3472</v>
      </c>
      <c r="B1145" s="61">
        <v>46874</v>
      </c>
      <c r="E1145" t="s">
        <v>355</v>
      </c>
      <c r="F1145" t="s">
        <v>356</v>
      </c>
      <c r="H1145" t="s">
        <v>353</v>
      </c>
      <c r="I1145">
        <v>4000756</v>
      </c>
      <c r="J1145" t="s">
        <v>4132</v>
      </c>
      <c r="K1145" t="s">
        <v>1542</v>
      </c>
      <c r="L1145" t="s">
        <v>4133</v>
      </c>
      <c r="N1145" t="s">
        <v>4134</v>
      </c>
      <c r="O1145" t="s">
        <v>4135</v>
      </c>
      <c r="R1145" t="s">
        <v>362</v>
      </c>
    </row>
    <row r="1146" spans="1:18" x14ac:dyDescent="0.15">
      <c r="A1146" t="s">
        <v>3472</v>
      </c>
      <c r="B1146" s="61">
        <v>48335</v>
      </c>
      <c r="E1146" t="s">
        <v>355</v>
      </c>
      <c r="F1146" t="s">
        <v>385</v>
      </c>
      <c r="H1146" t="s">
        <v>353</v>
      </c>
      <c r="I1146">
        <v>4000756</v>
      </c>
      <c r="J1146" t="s">
        <v>4132</v>
      </c>
      <c r="K1146" t="s">
        <v>1542</v>
      </c>
      <c r="L1146" t="s">
        <v>4133</v>
      </c>
      <c r="N1146" t="s">
        <v>4134</v>
      </c>
      <c r="O1146" t="s">
        <v>4135</v>
      </c>
      <c r="R1146" t="s">
        <v>386</v>
      </c>
    </row>
    <row r="1147" spans="1:18" x14ac:dyDescent="0.15">
      <c r="A1147" t="s">
        <v>1797</v>
      </c>
      <c r="B1147" s="61">
        <v>46966</v>
      </c>
      <c r="E1147" t="s">
        <v>355</v>
      </c>
      <c r="F1147" t="s">
        <v>356</v>
      </c>
      <c r="H1147" t="s">
        <v>353</v>
      </c>
      <c r="I1147">
        <v>2801386</v>
      </c>
      <c r="J1147" t="s">
        <v>4192</v>
      </c>
      <c r="L1147" t="s">
        <v>4193</v>
      </c>
      <c r="N1147" t="s">
        <v>4194</v>
      </c>
      <c r="O1147" t="s">
        <v>4195</v>
      </c>
      <c r="R1147" t="s">
        <v>362</v>
      </c>
    </row>
    <row r="1148" spans="1:18" x14ac:dyDescent="0.15">
      <c r="A1148" t="s">
        <v>1797</v>
      </c>
      <c r="B1148" s="61">
        <v>48427</v>
      </c>
      <c r="E1148" t="s">
        <v>355</v>
      </c>
      <c r="F1148" t="s">
        <v>385</v>
      </c>
      <c r="H1148" t="s">
        <v>353</v>
      </c>
      <c r="I1148">
        <v>2801386</v>
      </c>
      <c r="J1148" t="s">
        <v>4192</v>
      </c>
      <c r="L1148" t="s">
        <v>4193</v>
      </c>
      <c r="N1148" t="s">
        <v>4194</v>
      </c>
      <c r="O1148" t="s">
        <v>4195</v>
      </c>
      <c r="R1148" t="s">
        <v>386</v>
      </c>
    </row>
    <row r="1149" spans="1:18" x14ac:dyDescent="0.15">
      <c r="A1149" t="s">
        <v>3617</v>
      </c>
      <c r="B1149" s="61">
        <v>46569</v>
      </c>
      <c r="E1149" t="s">
        <v>355</v>
      </c>
      <c r="F1149" t="s">
        <v>356</v>
      </c>
      <c r="H1149" t="s">
        <v>353</v>
      </c>
      <c r="I1149">
        <v>4000966</v>
      </c>
      <c r="J1149" t="s">
        <v>1497</v>
      </c>
      <c r="K1149" t="s">
        <v>4196</v>
      </c>
      <c r="L1149" t="s">
        <v>4197</v>
      </c>
      <c r="N1149" t="s">
        <v>4198</v>
      </c>
      <c r="O1149" t="s">
        <v>4199</v>
      </c>
      <c r="R1149" t="s">
        <v>362</v>
      </c>
    </row>
    <row r="1150" spans="1:18" x14ac:dyDescent="0.15">
      <c r="A1150" t="s">
        <v>3617</v>
      </c>
      <c r="B1150" s="61">
        <v>48030</v>
      </c>
      <c r="E1150" t="s">
        <v>355</v>
      </c>
      <c r="F1150" t="s">
        <v>385</v>
      </c>
      <c r="H1150" t="s">
        <v>353</v>
      </c>
      <c r="I1150">
        <v>4000966</v>
      </c>
      <c r="J1150" t="s">
        <v>1497</v>
      </c>
      <c r="K1150" t="s">
        <v>4196</v>
      </c>
      <c r="L1150" t="s">
        <v>4197</v>
      </c>
      <c r="N1150" t="s">
        <v>4198</v>
      </c>
      <c r="O1150" t="s">
        <v>4199</v>
      </c>
      <c r="R1150" t="s">
        <v>386</v>
      </c>
    </row>
    <row r="1151" spans="1:18" x14ac:dyDescent="0.15">
      <c r="A1151" t="s">
        <v>3472</v>
      </c>
      <c r="B1151" s="61">
        <v>46569</v>
      </c>
      <c r="E1151" t="s">
        <v>355</v>
      </c>
      <c r="F1151" t="s">
        <v>356</v>
      </c>
      <c r="H1151" t="s">
        <v>353</v>
      </c>
      <c r="I1151">
        <v>4000409</v>
      </c>
      <c r="J1151" t="s">
        <v>2250</v>
      </c>
      <c r="K1151" t="s">
        <v>3919</v>
      </c>
      <c r="L1151" t="s">
        <v>584</v>
      </c>
      <c r="N1151" t="s">
        <v>4125</v>
      </c>
      <c r="O1151" t="s">
        <v>3920</v>
      </c>
      <c r="R1151" t="s">
        <v>362</v>
      </c>
    </row>
    <row r="1152" spans="1:18" x14ac:dyDescent="0.15">
      <c r="A1152" t="s">
        <v>3472</v>
      </c>
      <c r="B1152" s="61">
        <v>48030</v>
      </c>
      <c r="E1152" t="s">
        <v>355</v>
      </c>
      <c r="F1152" t="s">
        <v>385</v>
      </c>
      <c r="H1152" t="s">
        <v>353</v>
      </c>
      <c r="I1152">
        <v>4000409</v>
      </c>
      <c r="J1152" t="s">
        <v>2250</v>
      </c>
      <c r="K1152" t="s">
        <v>3919</v>
      </c>
      <c r="L1152" t="s">
        <v>584</v>
      </c>
      <c r="N1152" t="s">
        <v>4125</v>
      </c>
      <c r="O1152" t="s">
        <v>3920</v>
      </c>
      <c r="R1152" t="s">
        <v>386</v>
      </c>
    </row>
    <row r="1153" spans="1:19" x14ac:dyDescent="0.15">
      <c r="A1153" t="s">
        <v>1435</v>
      </c>
      <c r="B1153" s="61">
        <v>47088</v>
      </c>
      <c r="E1153" t="s">
        <v>355</v>
      </c>
      <c r="F1153" t="s">
        <v>356</v>
      </c>
      <c r="H1153" t="s">
        <v>353</v>
      </c>
      <c r="I1153">
        <v>2500504</v>
      </c>
      <c r="J1153" t="s">
        <v>1436</v>
      </c>
      <c r="K1153" t="s">
        <v>1437</v>
      </c>
      <c r="L1153" t="s">
        <v>390</v>
      </c>
      <c r="N1153" t="s">
        <v>4200</v>
      </c>
      <c r="O1153" t="s">
        <v>1438</v>
      </c>
      <c r="R1153" t="s">
        <v>362</v>
      </c>
    </row>
    <row r="1154" spans="1:19" x14ac:dyDescent="0.15">
      <c r="A1154" t="s">
        <v>1435</v>
      </c>
      <c r="B1154" s="61">
        <v>48549</v>
      </c>
      <c r="E1154" t="s">
        <v>355</v>
      </c>
      <c r="F1154" t="s">
        <v>385</v>
      </c>
      <c r="H1154" t="s">
        <v>353</v>
      </c>
      <c r="I1154">
        <v>2500504</v>
      </c>
      <c r="J1154" t="s">
        <v>1436</v>
      </c>
      <c r="K1154" t="s">
        <v>1437</v>
      </c>
      <c r="L1154" t="s">
        <v>390</v>
      </c>
      <c r="N1154" t="s">
        <v>4200</v>
      </c>
      <c r="O1154" t="s">
        <v>1438</v>
      </c>
      <c r="R1154" t="s">
        <v>386</v>
      </c>
    </row>
    <row r="1155" spans="1:19" x14ac:dyDescent="0.15">
      <c r="A1155" t="s">
        <v>3024</v>
      </c>
      <c r="B1155" s="61">
        <v>46508</v>
      </c>
      <c r="E1155" t="s">
        <v>355</v>
      </c>
      <c r="F1155" t="s">
        <v>356</v>
      </c>
      <c r="H1155" t="s">
        <v>353</v>
      </c>
      <c r="I1155">
        <v>1201226</v>
      </c>
      <c r="J1155" t="s">
        <v>4201</v>
      </c>
      <c r="K1155" t="s">
        <v>2153</v>
      </c>
      <c r="L1155" t="s">
        <v>2199</v>
      </c>
      <c r="N1155" t="s">
        <v>4202</v>
      </c>
      <c r="O1155" t="s">
        <v>4203</v>
      </c>
      <c r="R1155" t="s">
        <v>362</v>
      </c>
    </row>
    <row r="1156" spans="1:19" x14ac:dyDescent="0.15">
      <c r="A1156" t="s">
        <v>3024</v>
      </c>
      <c r="B1156" s="61">
        <v>47969</v>
      </c>
      <c r="E1156" t="s">
        <v>355</v>
      </c>
      <c r="F1156" t="s">
        <v>385</v>
      </c>
      <c r="H1156" t="s">
        <v>353</v>
      </c>
      <c r="I1156">
        <v>1201226</v>
      </c>
      <c r="J1156" t="s">
        <v>4201</v>
      </c>
      <c r="K1156" t="s">
        <v>2153</v>
      </c>
      <c r="L1156" t="s">
        <v>2199</v>
      </c>
      <c r="N1156" t="s">
        <v>4202</v>
      </c>
      <c r="O1156" t="s">
        <v>4203</v>
      </c>
      <c r="R1156" t="s">
        <v>386</v>
      </c>
    </row>
    <row r="1157" spans="1:19" x14ac:dyDescent="0.15">
      <c r="A1157" t="s">
        <v>837</v>
      </c>
      <c r="B1157" s="61">
        <v>46753</v>
      </c>
      <c r="E1157" t="s">
        <v>355</v>
      </c>
      <c r="F1157" t="s">
        <v>356</v>
      </c>
      <c r="H1157" t="s">
        <v>353</v>
      </c>
      <c r="I1157">
        <v>1000762</v>
      </c>
      <c r="J1157" t="s">
        <v>4204</v>
      </c>
      <c r="K1157" t="s">
        <v>4205</v>
      </c>
      <c r="L1157" t="s">
        <v>2186</v>
      </c>
      <c r="N1157" t="s">
        <v>4206</v>
      </c>
      <c r="O1157" t="s">
        <v>4207</v>
      </c>
      <c r="R1157" t="s">
        <v>4113</v>
      </c>
    </row>
    <row r="1158" spans="1:19" x14ac:dyDescent="0.15">
      <c r="A1158" t="s">
        <v>837</v>
      </c>
      <c r="B1158" s="61">
        <v>48214</v>
      </c>
      <c r="E1158" t="s">
        <v>355</v>
      </c>
      <c r="F1158" t="s">
        <v>385</v>
      </c>
      <c r="H1158" t="s">
        <v>353</v>
      </c>
      <c r="I1158">
        <v>1000762</v>
      </c>
      <c r="J1158" t="s">
        <v>4204</v>
      </c>
      <c r="K1158" t="s">
        <v>4205</v>
      </c>
      <c r="L1158" t="s">
        <v>2186</v>
      </c>
      <c r="N1158" t="s">
        <v>4206</v>
      </c>
      <c r="O1158" t="s">
        <v>4207</v>
      </c>
      <c r="R1158" t="s">
        <v>4114</v>
      </c>
    </row>
    <row r="1159" spans="1:19" x14ac:dyDescent="0.15">
      <c r="A1159" t="s">
        <v>5612</v>
      </c>
      <c r="B1159" s="61">
        <v>46874</v>
      </c>
      <c r="E1159" t="s">
        <v>355</v>
      </c>
      <c r="F1159" t="s">
        <v>356</v>
      </c>
      <c r="H1159" t="s">
        <v>353</v>
      </c>
      <c r="I1159">
        <v>1100722</v>
      </c>
      <c r="J1159" t="s">
        <v>4136</v>
      </c>
      <c r="L1159" t="s">
        <v>4208</v>
      </c>
      <c r="N1159" t="s">
        <v>4209</v>
      </c>
      <c r="O1159" t="s">
        <v>4210</v>
      </c>
      <c r="R1159" t="s">
        <v>4211</v>
      </c>
    </row>
    <row r="1160" spans="1:19" x14ac:dyDescent="0.15">
      <c r="A1160" t="s">
        <v>5612</v>
      </c>
      <c r="B1160" s="61">
        <v>48335</v>
      </c>
      <c r="E1160" t="s">
        <v>355</v>
      </c>
      <c r="F1160" t="s">
        <v>385</v>
      </c>
      <c r="H1160" t="s">
        <v>353</v>
      </c>
      <c r="I1160">
        <v>1100722</v>
      </c>
      <c r="J1160" t="s">
        <v>4136</v>
      </c>
      <c r="L1160" t="s">
        <v>4208</v>
      </c>
      <c r="N1160" t="s">
        <v>4209</v>
      </c>
      <c r="O1160" t="s">
        <v>4210</v>
      </c>
      <c r="R1160" t="s">
        <v>4212</v>
      </c>
    </row>
    <row r="1161" spans="1:19" x14ac:dyDescent="0.15">
      <c r="A1161" t="s">
        <v>5612</v>
      </c>
      <c r="B1161" s="61">
        <v>46722</v>
      </c>
      <c r="E1161" t="s">
        <v>355</v>
      </c>
      <c r="F1161" t="s">
        <v>356</v>
      </c>
      <c r="H1161" t="s">
        <v>353</v>
      </c>
      <c r="I1161">
        <v>1100722</v>
      </c>
      <c r="J1161" t="s">
        <v>4136</v>
      </c>
      <c r="L1161" t="s">
        <v>4208</v>
      </c>
      <c r="N1161" t="s">
        <v>4209</v>
      </c>
      <c r="O1161" t="s">
        <v>4210</v>
      </c>
      <c r="R1161" t="s">
        <v>4213</v>
      </c>
    </row>
    <row r="1162" spans="1:19" x14ac:dyDescent="0.15">
      <c r="A1162" t="s">
        <v>5612</v>
      </c>
      <c r="B1162" s="61">
        <v>48183</v>
      </c>
      <c r="E1162" t="s">
        <v>355</v>
      </c>
      <c r="F1162" t="s">
        <v>385</v>
      </c>
      <c r="H1162" t="s">
        <v>353</v>
      </c>
      <c r="I1162">
        <v>1100722</v>
      </c>
      <c r="J1162" t="s">
        <v>4136</v>
      </c>
      <c r="L1162" t="s">
        <v>4208</v>
      </c>
      <c r="N1162" t="s">
        <v>4209</v>
      </c>
      <c r="O1162" t="s">
        <v>4210</v>
      </c>
      <c r="R1162" t="s">
        <v>4214</v>
      </c>
    </row>
    <row r="1163" spans="1:19" ht="243" x14ac:dyDescent="0.15">
      <c r="A1163" t="s">
        <v>2096</v>
      </c>
      <c r="B1163" s="61">
        <v>46874</v>
      </c>
      <c r="E1163" t="s">
        <v>355</v>
      </c>
      <c r="F1163" t="s">
        <v>356</v>
      </c>
      <c r="H1163" t="s">
        <v>353</v>
      </c>
      <c r="I1163">
        <v>600160</v>
      </c>
      <c r="J1163" t="s">
        <v>2134</v>
      </c>
      <c r="K1163" t="s">
        <v>2135</v>
      </c>
      <c r="L1163" t="s">
        <v>390</v>
      </c>
      <c r="N1163" t="s">
        <v>4215</v>
      </c>
      <c r="O1163" t="s">
        <v>2137</v>
      </c>
      <c r="R1163" t="s">
        <v>362</v>
      </c>
      <c r="S1163" s="34" t="s">
        <v>4216</v>
      </c>
    </row>
    <row r="1164" spans="1:19" ht="243" x14ac:dyDescent="0.15">
      <c r="A1164" t="s">
        <v>2096</v>
      </c>
      <c r="B1164" s="61">
        <v>48335</v>
      </c>
      <c r="E1164" t="s">
        <v>355</v>
      </c>
      <c r="F1164" t="s">
        <v>385</v>
      </c>
      <c r="H1164" t="s">
        <v>353</v>
      </c>
      <c r="I1164">
        <v>600160</v>
      </c>
      <c r="J1164" t="s">
        <v>2134</v>
      </c>
      <c r="K1164" t="s">
        <v>2135</v>
      </c>
      <c r="L1164" t="s">
        <v>390</v>
      </c>
      <c r="N1164" t="s">
        <v>4215</v>
      </c>
      <c r="O1164" t="s">
        <v>2137</v>
      </c>
      <c r="R1164" t="s">
        <v>386</v>
      </c>
      <c r="S1164" s="34" t="s">
        <v>4216</v>
      </c>
    </row>
    <row r="1165" spans="1:19" ht="391.5" x14ac:dyDescent="0.15">
      <c r="A1165" t="s">
        <v>2096</v>
      </c>
      <c r="B1165" s="61">
        <v>46357</v>
      </c>
      <c r="E1165" t="s">
        <v>355</v>
      </c>
      <c r="F1165" t="s">
        <v>356</v>
      </c>
      <c r="H1165" t="s">
        <v>353</v>
      </c>
      <c r="I1165">
        <v>600160</v>
      </c>
      <c r="J1165" t="s">
        <v>2134</v>
      </c>
      <c r="K1165" t="s">
        <v>2135</v>
      </c>
      <c r="L1165" t="s">
        <v>390</v>
      </c>
      <c r="N1165" t="s">
        <v>4215</v>
      </c>
      <c r="O1165" t="s">
        <v>2137</v>
      </c>
      <c r="R1165" t="s">
        <v>362</v>
      </c>
      <c r="S1165" s="34" t="s">
        <v>4217</v>
      </c>
    </row>
    <row r="1166" spans="1:19" ht="391.5" x14ac:dyDescent="0.15">
      <c r="A1166" t="s">
        <v>2096</v>
      </c>
      <c r="B1166" s="61">
        <v>47818</v>
      </c>
      <c r="E1166" t="s">
        <v>355</v>
      </c>
      <c r="F1166" t="s">
        <v>385</v>
      </c>
      <c r="H1166" t="s">
        <v>353</v>
      </c>
      <c r="I1166">
        <v>600160</v>
      </c>
      <c r="J1166" t="s">
        <v>2134</v>
      </c>
      <c r="K1166" t="s">
        <v>2135</v>
      </c>
      <c r="L1166" t="s">
        <v>390</v>
      </c>
      <c r="N1166" t="s">
        <v>4215</v>
      </c>
      <c r="O1166" t="s">
        <v>2137</v>
      </c>
      <c r="R1166" t="s">
        <v>386</v>
      </c>
      <c r="S1166" s="34" t="s">
        <v>4217</v>
      </c>
    </row>
    <row r="1167" spans="1:19" ht="409.5" x14ac:dyDescent="0.15">
      <c r="A1167" t="s">
        <v>2096</v>
      </c>
      <c r="B1167" s="61">
        <v>46508</v>
      </c>
      <c r="E1167" t="s">
        <v>355</v>
      </c>
      <c r="F1167" t="s">
        <v>356</v>
      </c>
      <c r="H1167" t="s">
        <v>353</v>
      </c>
      <c r="I1167">
        <v>600160</v>
      </c>
      <c r="J1167" t="s">
        <v>2134</v>
      </c>
      <c r="K1167" t="s">
        <v>2135</v>
      </c>
      <c r="L1167" t="s">
        <v>390</v>
      </c>
      <c r="N1167" t="s">
        <v>4215</v>
      </c>
      <c r="O1167" t="s">
        <v>2137</v>
      </c>
      <c r="R1167" t="s">
        <v>4218</v>
      </c>
      <c r="S1167" s="34" t="s">
        <v>4219</v>
      </c>
    </row>
    <row r="1168" spans="1:19" ht="409.5" x14ac:dyDescent="0.15">
      <c r="A1168" t="s">
        <v>2096</v>
      </c>
      <c r="B1168" s="61">
        <v>47969</v>
      </c>
      <c r="E1168" t="s">
        <v>355</v>
      </c>
      <c r="F1168" t="s">
        <v>385</v>
      </c>
      <c r="H1168" t="s">
        <v>353</v>
      </c>
      <c r="I1168">
        <v>600160</v>
      </c>
      <c r="J1168" t="s">
        <v>2134</v>
      </c>
      <c r="K1168" t="s">
        <v>2135</v>
      </c>
      <c r="L1168" t="s">
        <v>390</v>
      </c>
      <c r="N1168" t="s">
        <v>4215</v>
      </c>
      <c r="O1168" t="s">
        <v>2137</v>
      </c>
      <c r="R1168" t="s">
        <v>4220</v>
      </c>
      <c r="S1168" s="34" t="s">
        <v>4219</v>
      </c>
    </row>
    <row r="1169" spans="1:19" x14ac:dyDescent="0.15">
      <c r="A1169" t="s">
        <v>837</v>
      </c>
      <c r="B1169" s="61">
        <v>47088</v>
      </c>
      <c r="E1169" t="s">
        <v>355</v>
      </c>
      <c r="F1169" t="s">
        <v>356</v>
      </c>
      <c r="H1169" t="s">
        <v>4221</v>
      </c>
      <c r="I1169">
        <v>1000221</v>
      </c>
      <c r="J1169" t="s">
        <v>847</v>
      </c>
      <c r="L1169" t="s">
        <v>4222</v>
      </c>
      <c r="N1169" t="s">
        <v>4223</v>
      </c>
      <c r="O1169" t="s">
        <v>848</v>
      </c>
      <c r="R1169" t="s">
        <v>4224</v>
      </c>
      <c r="S1169" t="s">
        <v>4225</v>
      </c>
    </row>
    <row r="1170" spans="1:19" x14ac:dyDescent="0.15">
      <c r="A1170" t="s">
        <v>837</v>
      </c>
      <c r="B1170" s="61">
        <v>47818</v>
      </c>
      <c r="E1170" t="s">
        <v>355</v>
      </c>
      <c r="F1170" t="s">
        <v>4226</v>
      </c>
      <c r="H1170" t="s">
        <v>4221</v>
      </c>
      <c r="I1170">
        <v>1000221</v>
      </c>
      <c r="J1170" t="s">
        <v>847</v>
      </c>
      <c r="L1170" t="s">
        <v>4222</v>
      </c>
      <c r="N1170" t="s">
        <v>4223</v>
      </c>
      <c r="O1170" t="s">
        <v>848</v>
      </c>
      <c r="R1170" t="s">
        <v>4227</v>
      </c>
      <c r="S1170" t="s">
        <v>4225</v>
      </c>
    </row>
    <row r="1171" spans="1:19" x14ac:dyDescent="0.15">
      <c r="A1171" t="s">
        <v>837</v>
      </c>
      <c r="B1171" s="61">
        <v>48549</v>
      </c>
      <c r="E1171" t="s">
        <v>355</v>
      </c>
      <c r="F1171" t="s">
        <v>385</v>
      </c>
      <c r="H1171" t="s">
        <v>4221</v>
      </c>
      <c r="I1171">
        <v>1000221</v>
      </c>
      <c r="J1171" t="s">
        <v>847</v>
      </c>
      <c r="L1171" t="s">
        <v>4222</v>
      </c>
      <c r="N1171" t="s">
        <v>4223</v>
      </c>
      <c r="O1171" t="s">
        <v>848</v>
      </c>
      <c r="R1171" t="s">
        <v>4228</v>
      </c>
      <c r="S1171" t="s">
        <v>4225</v>
      </c>
    </row>
    <row r="1172" spans="1:19" ht="409.5" x14ac:dyDescent="0.15">
      <c r="A1172" t="s">
        <v>3177</v>
      </c>
      <c r="B1172" s="61">
        <v>46296</v>
      </c>
      <c r="E1172" t="s">
        <v>355</v>
      </c>
      <c r="F1172" t="s">
        <v>356</v>
      </c>
      <c r="H1172" t="s">
        <v>310</v>
      </c>
      <c r="I1172">
        <v>2702855</v>
      </c>
      <c r="J1172" t="s">
        <v>1004</v>
      </c>
      <c r="K1172" t="s">
        <v>4229</v>
      </c>
      <c r="L1172" t="s">
        <v>4230</v>
      </c>
      <c r="N1172" t="s">
        <v>4231</v>
      </c>
      <c r="O1172" t="s">
        <v>4232</v>
      </c>
      <c r="R1172" t="s">
        <v>362</v>
      </c>
      <c r="S1172" s="34" t="s">
        <v>4233</v>
      </c>
    </row>
    <row r="1173" spans="1:19" ht="409.5" x14ac:dyDescent="0.15">
      <c r="A1173" t="s">
        <v>3177</v>
      </c>
      <c r="B1173" s="61">
        <v>47392</v>
      </c>
      <c r="E1173" t="s">
        <v>355</v>
      </c>
      <c r="F1173" t="s">
        <v>543</v>
      </c>
      <c r="H1173" t="s">
        <v>310</v>
      </c>
      <c r="I1173">
        <v>2702855</v>
      </c>
      <c r="J1173" t="s">
        <v>1004</v>
      </c>
      <c r="K1173" t="s">
        <v>4229</v>
      </c>
      <c r="L1173" t="s">
        <v>4230</v>
      </c>
      <c r="N1173" t="s">
        <v>4231</v>
      </c>
      <c r="O1173" t="s">
        <v>4232</v>
      </c>
      <c r="R1173" t="s">
        <v>755</v>
      </c>
      <c r="S1173" s="34" t="s">
        <v>4233</v>
      </c>
    </row>
    <row r="1174" spans="1:19" ht="409.5" x14ac:dyDescent="0.15">
      <c r="A1174" t="s">
        <v>3177</v>
      </c>
      <c r="B1174" s="61">
        <v>47757</v>
      </c>
      <c r="E1174" t="s">
        <v>355</v>
      </c>
      <c r="F1174" t="s">
        <v>385</v>
      </c>
      <c r="H1174" t="s">
        <v>310</v>
      </c>
      <c r="I1174">
        <v>2702855</v>
      </c>
      <c r="J1174" t="s">
        <v>1004</v>
      </c>
      <c r="K1174" t="s">
        <v>4229</v>
      </c>
      <c r="L1174" t="s">
        <v>4230</v>
      </c>
      <c r="N1174" t="s">
        <v>4231</v>
      </c>
      <c r="O1174" t="s">
        <v>4232</v>
      </c>
      <c r="R1174" t="s">
        <v>395</v>
      </c>
      <c r="S1174" s="34" t="s">
        <v>4233</v>
      </c>
    </row>
    <row r="1175" spans="1:19" x14ac:dyDescent="0.15">
      <c r="A1175" t="s">
        <v>6275</v>
      </c>
      <c r="B1175" s="61">
        <v>46539</v>
      </c>
      <c r="E1175" t="s">
        <v>355</v>
      </c>
      <c r="F1175" t="s">
        <v>356</v>
      </c>
      <c r="H1175" t="s">
        <v>365</v>
      </c>
      <c r="I1175">
        <v>1201606</v>
      </c>
      <c r="J1175" t="s">
        <v>4234</v>
      </c>
      <c r="K1175" t="s">
        <v>4235</v>
      </c>
      <c r="L1175" t="s">
        <v>466</v>
      </c>
      <c r="N1175" t="s">
        <v>4236</v>
      </c>
      <c r="O1175" t="s">
        <v>4237</v>
      </c>
      <c r="R1175" t="s">
        <v>362</v>
      </c>
    </row>
    <row r="1176" spans="1:19" x14ac:dyDescent="0.15">
      <c r="A1176" t="s">
        <v>6275</v>
      </c>
      <c r="B1176" s="61">
        <v>48000</v>
      </c>
      <c r="E1176" t="s">
        <v>355</v>
      </c>
      <c r="F1176" t="s">
        <v>385</v>
      </c>
      <c r="H1176" t="s">
        <v>365</v>
      </c>
      <c r="I1176">
        <v>1201606</v>
      </c>
      <c r="J1176" t="s">
        <v>4234</v>
      </c>
      <c r="K1176" t="s">
        <v>4235</v>
      </c>
      <c r="L1176" t="s">
        <v>466</v>
      </c>
      <c r="N1176" t="s">
        <v>4236</v>
      </c>
      <c r="O1176" t="s">
        <v>4237</v>
      </c>
      <c r="R1176" t="s">
        <v>395</v>
      </c>
    </row>
    <row r="1177" spans="1:19" x14ac:dyDescent="0.15">
      <c r="A1177" t="s">
        <v>3349</v>
      </c>
      <c r="B1177" s="61">
        <v>46600</v>
      </c>
      <c r="E1177" t="s">
        <v>355</v>
      </c>
      <c r="F1177" t="s">
        <v>356</v>
      </c>
      <c r="H1177" t="s">
        <v>365</v>
      </c>
      <c r="I1177">
        <v>1600691</v>
      </c>
      <c r="J1177" t="s">
        <v>3350</v>
      </c>
      <c r="K1177" t="s">
        <v>3351</v>
      </c>
      <c r="L1177" t="s">
        <v>4238</v>
      </c>
      <c r="N1177" t="s">
        <v>4239</v>
      </c>
      <c r="O1177" t="s">
        <v>4240</v>
      </c>
      <c r="R1177" t="s">
        <v>362</v>
      </c>
    </row>
    <row r="1178" spans="1:19" x14ac:dyDescent="0.15">
      <c r="A1178" t="s">
        <v>3349</v>
      </c>
      <c r="B1178" s="61">
        <v>48061</v>
      </c>
      <c r="E1178" t="s">
        <v>355</v>
      </c>
      <c r="F1178" t="s">
        <v>385</v>
      </c>
      <c r="H1178" t="s">
        <v>365</v>
      </c>
      <c r="I1178">
        <v>1600691</v>
      </c>
      <c r="J1178" t="s">
        <v>3350</v>
      </c>
      <c r="K1178" t="s">
        <v>3351</v>
      </c>
      <c r="L1178" t="s">
        <v>4238</v>
      </c>
      <c r="N1178" t="s">
        <v>4239</v>
      </c>
      <c r="O1178" t="s">
        <v>4240</v>
      </c>
      <c r="R1178" t="s">
        <v>395</v>
      </c>
    </row>
    <row r="1179" spans="1:19" x14ac:dyDescent="0.15">
      <c r="A1179" t="s">
        <v>2152</v>
      </c>
      <c r="B1179" s="61">
        <v>46753</v>
      </c>
      <c r="E1179" t="s">
        <v>355</v>
      </c>
      <c r="F1179" t="s">
        <v>356</v>
      </c>
      <c r="H1179" t="s">
        <v>365</v>
      </c>
      <c r="I1179">
        <v>1201616</v>
      </c>
      <c r="J1179" t="s">
        <v>4241</v>
      </c>
      <c r="L1179" t="s">
        <v>4242</v>
      </c>
      <c r="N1179" t="s">
        <v>4243</v>
      </c>
      <c r="O1179" t="s">
        <v>4244</v>
      </c>
      <c r="R1179" t="s">
        <v>362</v>
      </c>
    </row>
    <row r="1180" spans="1:19" x14ac:dyDescent="0.15">
      <c r="A1180" t="s">
        <v>2152</v>
      </c>
      <c r="B1180" s="61">
        <v>48214</v>
      </c>
      <c r="E1180" t="s">
        <v>355</v>
      </c>
      <c r="F1180" t="s">
        <v>385</v>
      </c>
      <c r="H1180" t="s">
        <v>365</v>
      </c>
      <c r="I1180">
        <v>1201616</v>
      </c>
      <c r="J1180" t="s">
        <v>4241</v>
      </c>
      <c r="L1180" t="s">
        <v>4242</v>
      </c>
      <c r="N1180" t="s">
        <v>4243</v>
      </c>
      <c r="O1180" t="s">
        <v>4244</v>
      </c>
      <c r="R1180" t="s">
        <v>395</v>
      </c>
    </row>
    <row r="1181" spans="1:19" x14ac:dyDescent="0.15">
      <c r="A1181" t="s">
        <v>3349</v>
      </c>
      <c r="B1181" s="61">
        <v>46784</v>
      </c>
      <c r="E1181" t="s">
        <v>355</v>
      </c>
      <c r="F1181" t="s">
        <v>356</v>
      </c>
      <c r="H1181" t="s">
        <v>365</v>
      </c>
      <c r="I1181">
        <v>1600622</v>
      </c>
      <c r="J1181" t="s">
        <v>3350</v>
      </c>
      <c r="K1181" t="s">
        <v>3351</v>
      </c>
      <c r="L1181" t="s">
        <v>3352</v>
      </c>
      <c r="N1181" t="s">
        <v>4245</v>
      </c>
      <c r="O1181" t="s">
        <v>3353</v>
      </c>
      <c r="R1181" t="s">
        <v>362</v>
      </c>
    </row>
    <row r="1182" spans="1:19" x14ac:dyDescent="0.15">
      <c r="A1182" t="s">
        <v>3349</v>
      </c>
      <c r="B1182" s="61">
        <v>48245</v>
      </c>
      <c r="E1182" t="s">
        <v>355</v>
      </c>
      <c r="F1182" t="s">
        <v>385</v>
      </c>
      <c r="H1182" t="s">
        <v>365</v>
      </c>
      <c r="I1182">
        <v>1600622</v>
      </c>
      <c r="J1182" t="s">
        <v>3350</v>
      </c>
      <c r="K1182" t="s">
        <v>3351</v>
      </c>
      <c r="L1182" t="s">
        <v>3352</v>
      </c>
      <c r="N1182" t="s">
        <v>4245</v>
      </c>
      <c r="O1182" t="s">
        <v>3353</v>
      </c>
      <c r="R1182" t="s">
        <v>395</v>
      </c>
    </row>
    <row r="1183" spans="1:19" ht="409.5" x14ac:dyDescent="0.15">
      <c r="A1183" t="s">
        <v>6766</v>
      </c>
      <c r="B1183" s="61">
        <v>47574</v>
      </c>
      <c r="E1183" t="s">
        <v>355</v>
      </c>
      <c r="F1183" t="s">
        <v>385</v>
      </c>
      <c r="H1183" t="s">
        <v>365</v>
      </c>
      <c r="I1183">
        <v>4000940</v>
      </c>
      <c r="J1183" t="s">
        <v>4246</v>
      </c>
      <c r="K1183" t="s">
        <v>3635</v>
      </c>
      <c r="L1183" t="s">
        <v>466</v>
      </c>
      <c r="N1183" t="s">
        <v>4247</v>
      </c>
      <c r="O1183" t="s">
        <v>4248</v>
      </c>
      <c r="R1183" t="s">
        <v>395</v>
      </c>
      <c r="S1183" s="34" t="s">
        <v>4249</v>
      </c>
    </row>
    <row r="1184" spans="1:19" x14ac:dyDescent="0.15">
      <c r="A1184" t="s">
        <v>2096</v>
      </c>
      <c r="B1184" s="61">
        <v>46997</v>
      </c>
      <c r="E1184" t="s">
        <v>355</v>
      </c>
      <c r="F1184" t="s">
        <v>356</v>
      </c>
      <c r="H1184" t="s">
        <v>365</v>
      </c>
      <c r="I1184">
        <v>400408</v>
      </c>
      <c r="J1184" t="s">
        <v>4250</v>
      </c>
      <c r="K1184" t="s">
        <v>1542</v>
      </c>
      <c r="L1184" t="s">
        <v>1176</v>
      </c>
      <c r="N1184" t="s">
        <v>4251</v>
      </c>
      <c r="O1184" t="s">
        <v>4252</v>
      </c>
      <c r="R1184" t="s">
        <v>362</v>
      </c>
    </row>
    <row r="1185" spans="1:19" x14ac:dyDescent="0.15">
      <c r="A1185" t="s">
        <v>2096</v>
      </c>
      <c r="B1185" s="61">
        <v>48458</v>
      </c>
      <c r="E1185" t="s">
        <v>355</v>
      </c>
      <c r="F1185" t="s">
        <v>385</v>
      </c>
      <c r="H1185" t="s">
        <v>365</v>
      </c>
      <c r="I1185">
        <v>400408</v>
      </c>
      <c r="J1185" t="s">
        <v>4250</v>
      </c>
      <c r="K1185" t="s">
        <v>1542</v>
      </c>
      <c r="L1185" t="s">
        <v>1176</v>
      </c>
      <c r="N1185" t="s">
        <v>4251</v>
      </c>
      <c r="O1185" t="s">
        <v>4252</v>
      </c>
      <c r="R1185" t="s">
        <v>395</v>
      </c>
    </row>
    <row r="1186" spans="1:19" x14ac:dyDescent="0.15">
      <c r="A1186" t="s">
        <v>422</v>
      </c>
      <c r="B1186" s="61">
        <v>47027</v>
      </c>
      <c r="E1186" t="s">
        <v>355</v>
      </c>
      <c r="F1186" t="s">
        <v>356</v>
      </c>
      <c r="H1186" t="s">
        <v>365</v>
      </c>
      <c r="I1186">
        <v>2702767</v>
      </c>
      <c r="J1186" t="s">
        <v>423</v>
      </c>
      <c r="K1186" t="s">
        <v>424</v>
      </c>
      <c r="L1186" t="s">
        <v>4253</v>
      </c>
      <c r="N1186" t="s">
        <v>4254</v>
      </c>
      <c r="O1186" t="s">
        <v>4255</v>
      </c>
      <c r="R1186" t="s">
        <v>4256</v>
      </c>
    </row>
    <row r="1187" spans="1:19" x14ac:dyDescent="0.15">
      <c r="A1187" t="s">
        <v>422</v>
      </c>
      <c r="B1187" s="61">
        <v>48488</v>
      </c>
      <c r="E1187" t="s">
        <v>355</v>
      </c>
      <c r="F1187" t="s">
        <v>385</v>
      </c>
      <c r="H1187" t="s">
        <v>365</v>
      </c>
      <c r="I1187">
        <v>2702767</v>
      </c>
      <c r="J1187" t="s">
        <v>423</v>
      </c>
      <c r="K1187" t="s">
        <v>424</v>
      </c>
      <c r="L1187" t="s">
        <v>4253</v>
      </c>
      <c r="N1187" t="s">
        <v>4254</v>
      </c>
      <c r="O1187" t="s">
        <v>4255</v>
      </c>
      <c r="R1187" t="s">
        <v>4257</v>
      </c>
    </row>
    <row r="1188" spans="1:19" x14ac:dyDescent="0.15">
      <c r="A1188" t="s">
        <v>422</v>
      </c>
      <c r="B1188" s="61">
        <v>47027</v>
      </c>
      <c r="E1188" t="s">
        <v>355</v>
      </c>
      <c r="F1188" t="s">
        <v>356</v>
      </c>
      <c r="H1188" t="s">
        <v>365</v>
      </c>
      <c r="I1188">
        <v>2702767</v>
      </c>
      <c r="J1188" t="s">
        <v>423</v>
      </c>
      <c r="K1188" t="s">
        <v>424</v>
      </c>
      <c r="L1188" t="s">
        <v>4253</v>
      </c>
      <c r="N1188" t="s">
        <v>4258</v>
      </c>
      <c r="O1188" t="s">
        <v>4255</v>
      </c>
      <c r="R1188" t="s">
        <v>4259</v>
      </c>
    </row>
    <row r="1189" spans="1:19" x14ac:dyDescent="0.15">
      <c r="A1189" t="s">
        <v>422</v>
      </c>
      <c r="B1189" s="61">
        <v>48488</v>
      </c>
      <c r="E1189" t="s">
        <v>355</v>
      </c>
      <c r="F1189" t="s">
        <v>385</v>
      </c>
      <c r="H1189" t="s">
        <v>365</v>
      </c>
      <c r="I1189">
        <v>2702767</v>
      </c>
      <c r="J1189" t="s">
        <v>423</v>
      </c>
      <c r="K1189" t="s">
        <v>424</v>
      </c>
      <c r="L1189" t="s">
        <v>4253</v>
      </c>
      <c r="N1189" t="s">
        <v>4258</v>
      </c>
      <c r="O1189" t="s">
        <v>4255</v>
      </c>
      <c r="R1189" t="s">
        <v>4260</v>
      </c>
    </row>
    <row r="1190" spans="1:19" x14ac:dyDescent="0.15">
      <c r="A1190" t="s">
        <v>1817</v>
      </c>
      <c r="B1190" s="61">
        <v>46661</v>
      </c>
      <c r="E1190" t="s">
        <v>355</v>
      </c>
      <c r="F1190" t="s">
        <v>356</v>
      </c>
      <c r="H1190" t="s">
        <v>365</v>
      </c>
      <c r="I1190">
        <v>2801073</v>
      </c>
      <c r="J1190" t="s">
        <v>4261</v>
      </c>
      <c r="K1190" t="s">
        <v>4262</v>
      </c>
      <c r="L1190" t="s">
        <v>4263</v>
      </c>
      <c r="N1190" t="s">
        <v>4264</v>
      </c>
      <c r="O1190" t="s">
        <v>4265</v>
      </c>
      <c r="R1190" t="s">
        <v>362</v>
      </c>
    </row>
    <row r="1191" spans="1:19" x14ac:dyDescent="0.15">
      <c r="A1191" t="s">
        <v>1817</v>
      </c>
      <c r="B1191" s="61">
        <v>48122</v>
      </c>
      <c r="E1191" t="s">
        <v>355</v>
      </c>
      <c r="F1191" t="s">
        <v>385</v>
      </c>
      <c r="H1191" t="s">
        <v>365</v>
      </c>
      <c r="I1191">
        <v>2801073</v>
      </c>
      <c r="J1191" t="s">
        <v>4261</v>
      </c>
      <c r="K1191" t="s">
        <v>4262</v>
      </c>
      <c r="L1191" t="s">
        <v>4263</v>
      </c>
      <c r="N1191" t="s">
        <v>4264</v>
      </c>
      <c r="O1191" t="s">
        <v>4265</v>
      </c>
      <c r="R1191" t="s">
        <v>395</v>
      </c>
    </row>
    <row r="1192" spans="1:19" x14ac:dyDescent="0.15">
      <c r="A1192" t="s">
        <v>914</v>
      </c>
      <c r="B1192" s="61">
        <v>46692</v>
      </c>
      <c r="E1192" t="s">
        <v>355</v>
      </c>
      <c r="F1192" t="s">
        <v>356</v>
      </c>
      <c r="H1192" t="s">
        <v>365</v>
      </c>
      <c r="I1192">
        <v>700414</v>
      </c>
      <c r="J1192" t="s">
        <v>931</v>
      </c>
      <c r="K1192" t="s">
        <v>932</v>
      </c>
      <c r="L1192" t="s">
        <v>373</v>
      </c>
      <c r="N1192" t="s">
        <v>4266</v>
      </c>
      <c r="O1192" t="s">
        <v>934</v>
      </c>
      <c r="R1192" t="s">
        <v>362</v>
      </c>
    </row>
    <row r="1193" spans="1:19" x14ac:dyDescent="0.15">
      <c r="A1193" t="s">
        <v>914</v>
      </c>
      <c r="B1193" s="61">
        <v>48153</v>
      </c>
      <c r="E1193" t="s">
        <v>355</v>
      </c>
      <c r="F1193" t="s">
        <v>385</v>
      </c>
      <c r="H1193" t="s">
        <v>365</v>
      </c>
      <c r="I1193">
        <v>700414</v>
      </c>
      <c r="J1193" t="s">
        <v>931</v>
      </c>
      <c r="K1193" t="s">
        <v>932</v>
      </c>
      <c r="L1193" t="s">
        <v>373</v>
      </c>
      <c r="N1193" t="s">
        <v>4266</v>
      </c>
      <c r="O1193" t="s">
        <v>934</v>
      </c>
      <c r="R1193" t="s">
        <v>395</v>
      </c>
    </row>
    <row r="1194" spans="1:19" x14ac:dyDescent="0.15">
      <c r="A1194" t="s">
        <v>1860</v>
      </c>
      <c r="B1194" s="61">
        <v>46874</v>
      </c>
      <c r="E1194" t="s">
        <v>355</v>
      </c>
      <c r="F1194" t="s">
        <v>356</v>
      </c>
      <c r="H1194" t="s">
        <v>365</v>
      </c>
      <c r="I1194">
        <v>801205</v>
      </c>
      <c r="J1194" t="s">
        <v>1900</v>
      </c>
      <c r="L1194" t="s">
        <v>4267</v>
      </c>
      <c r="N1194" t="s">
        <v>4268</v>
      </c>
      <c r="O1194" t="s">
        <v>4269</v>
      </c>
      <c r="R1194" t="s">
        <v>4270</v>
      </c>
    </row>
    <row r="1195" spans="1:19" x14ac:dyDescent="0.15">
      <c r="A1195" t="s">
        <v>1860</v>
      </c>
      <c r="B1195" s="61">
        <v>48335</v>
      </c>
      <c r="E1195" t="s">
        <v>355</v>
      </c>
      <c r="F1195" t="s">
        <v>385</v>
      </c>
      <c r="H1195" t="s">
        <v>365</v>
      </c>
      <c r="I1195">
        <v>801205</v>
      </c>
      <c r="J1195" t="s">
        <v>1900</v>
      </c>
      <c r="L1195" t="s">
        <v>4267</v>
      </c>
      <c r="N1195" t="s">
        <v>4268</v>
      </c>
      <c r="O1195" t="s">
        <v>4269</v>
      </c>
      <c r="R1195" t="s">
        <v>4271</v>
      </c>
    </row>
    <row r="1196" spans="1:19" x14ac:dyDescent="0.15">
      <c r="A1196" t="s">
        <v>1860</v>
      </c>
      <c r="B1196" s="61">
        <v>47058</v>
      </c>
      <c r="E1196" t="s">
        <v>355</v>
      </c>
      <c r="F1196" t="s">
        <v>356</v>
      </c>
      <c r="H1196" t="s">
        <v>365</v>
      </c>
      <c r="I1196">
        <v>801205</v>
      </c>
      <c r="J1196" t="s">
        <v>1900</v>
      </c>
      <c r="L1196" t="s">
        <v>4267</v>
      </c>
      <c r="N1196" t="s">
        <v>4272</v>
      </c>
      <c r="O1196" t="s">
        <v>4269</v>
      </c>
      <c r="R1196" t="s">
        <v>4273</v>
      </c>
    </row>
    <row r="1197" spans="1:19" x14ac:dyDescent="0.15">
      <c r="A1197" t="s">
        <v>1860</v>
      </c>
      <c r="B1197" s="61">
        <v>48519</v>
      </c>
      <c r="E1197" t="s">
        <v>355</v>
      </c>
      <c r="F1197" t="s">
        <v>385</v>
      </c>
      <c r="H1197" t="s">
        <v>365</v>
      </c>
      <c r="I1197">
        <v>801205</v>
      </c>
      <c r="J1197" t="s">
        <v>1900</v>
      </c>
      <c r="L1197" t="s">
        <v>4267</v>
      </c>
      <c r="N1197" t="s">
        <v>4272</v>
      </c>
      <c r="O1197" t="s">
        <v>4269</v>
      </c>
      <c r="R1197" t="s">
        <v>4274</v>
      </c>
    </row>
    <row r="1198" spans="1:19" x14ac:dyDescent="0.15">
      <c r="A1198" t="s">
        <v>1860</v>
      </c>
      <c r="B1198" s="61">
        <v>46874</v>
      </c>
      <c r="E1198" t="s">
        <v>355</v>
      </c>
      <c r="F1198" t="s">
        <v>356</v>
      </c>
      <c r="H1198" t="s">
        <v>365</v>
      </c>
      <c r="I1198">
        <v>801205</v>
      </c>
      <c r="J1198" t="s">
        <v>1900</v>
      </c>
      <c r="L1198" t="s">
        <v>4267</v>
      </c>
      <c r="N1198" t="s">
        <v>4275</v>
      </c>
      <c r="O1198" t="s">
        <v>4269</v>
      </c>
      <c r="R1198" t="s">
        <v>4273</v>
      </c>
    </row>
    <row r="1199" spans="1:19" x14ac:dyDescent="0.15">
      <c r="A1199" t="s">
        <v>1860</v>
      </c>
      <c r="B1199" s="61">
        <v>48335</v>
      </c>
      <c r="E1199" t="s">
        <v>355</v>
      </c>
      <c r="F1199" t="s">
        <v>385</v>
      </c>
      <c r="H1199" t="s">
        <v>365</v>
      </c>
      <c r="I1199">
        <v>801205</v>
      </c>
      <c r="J1199" t="s">
        <v>1900</v>
      </c>
      <c r="L1199" t="s">
        <v>4267</v>
      </c>
      <c r="N1199" t="s">
        <v>4275</v>
      </c>
      <c r="O1199" t="s">
        <v>4269</v>
      </c>
      <c r="R1199" t="s">
        <v>4274</v>
      </c>
    </row>
    <row r="1200" spans="1:19" ht="243" x14ac:dyDescent="0.15">
      <c r="A1200" t="s">
        <v>5612</v>
      </c>
      <c r="B1200" s="61">
        <v>46357</v>
      </c>
      <c r="E1200" t="s">
        <v>355</v>
      </c>
      <c r="F1200" t="s">
        <v>356</v>
      </c>
      <c r="H1200" t="s">
        <v>365</v>
      </c>
      <c r="I1200">
        <v>1101259</v>
      </c>
      <c r="J1200" t="s">
        <v>3914</v>
      </c>
      <c r="K1200" t="s">
        <v>3915</v>
      </c>
      <c r="L1200" t="s">
        <v>390</v>
      </c>
      <c r="N1200" t="s">
        <v>4008</v>
      </c>
      <c r="O1200" t="s">
        <v>3916</v>
      </c>
      <c r="R1200" t="s">
        <v>362</v>
      </c>
      <c r="S1200" s="34" t="s">
        <v>4009</v>
      </c>
    </row>
    <row r="1201" spans="1:19" ht="243" x14ac:dyDescent="0.15">
      <c r="A1201" t="s">
        <v>5612</v>
      </c>
      <c r="B1201" s="61">
        <v>47818</v>
      </c>
      <c r="E1201" t="s">
        <v>355</v>
      </c>
      <c r="F1201" t="s">
        <v>385</v>
      </c>
      <c r="H1201" t="s">
        <v>365</v>
      </c>
      <c r="I1201">
        <v>1101259</v>
      </c>
      <c r="J1201" t="s">
        <v>3914</v>
      </c>
      <c r="K1201" t="s">
        <v>3915</v>
      </c>
      <c r="L1201" t="s">
        <v>390</v>
      </c>
      <c r="N1201" t="s">
        <v>4008</v>
      </c>
      <c r="O1201" t="s">
        <v>3916</v>
      </c>
      <c r="R1201" t="s">
        <v>395</v>
      </c>
      <c r="S1201" s="34" t="s">
        <v>4009</v>
      </c>
    </row>
    <row r="1202" spans="1:19" x14ac:dyDescent="0.15">
      <c r="A1202" t="s">
        <v>2067</v>
      </c>
      <c r="B1202" s="61">
        <v>47058</v>
      </c>
      <c r="E1202" t="s">
        <v>355</v>
      </c>
      <c r="F1202" t="s">
        <v>356</v>
      </c>
      <c r="H1202" t="s">
        <v>353</v>
      </c>
      <c r="I1202">
        <v>2202581</v>
      </c>
      <c r="J1202" t="s">
        <v>4276</v>
      </c>
      <c r="K1202" t="s">
        <v>4277</v>
      </c>
      <c r="L1202" t="s">
        <v>4278</v>
      </c>
      <c r="N1202" t="s">
        <v>4279</v>
      </c>
      <c r="O1202" t="s">
        <v>4280</v>
      </c>
      <c r="R1202" t="s">
        <v>362</v>
      </c>
    </row>
    <row r="1203" spans="1:19" x14ac:dyDescent="0.15">
      <c r="A1203" t="s">
        <v>2067</v>
      </c>
      <c r="B1203" s="61">
        <v>48519</v>
      </c>
      <c r="E1203" t="s">
        <v>355</v>
      </c>
      <c r="F1203" t="s">
        <v>385</v>
      </c>
      <c r="H1203" t="s">
        <v>353</v>
      </c>
      <c r="I1203">
        <v>2202581</v>
      </c>
      <c r="J1203" t="s">
        <v>4276</v>
      </c>
      <c r="K1203" t="s">
        <v>4277</v>
      </c>
      <c r="L1203" t="s">
        <v>4278</v>
      </c>
      <c r="N1203" t="s">
        <v>4279</v>
      </c>
      <c r="O1203" t="s">
        <v>4280</v>
      </c>
      <c r="R1203" t="s">
        <v>386</v>
      </c>
    </row>
    <row r="1204" spans="1:19" x14ac:dyDescent="0.15">
      <c r="A1204" t="s">
        <v>6263</v>
      </c>
      <c r="B1204" s="61">
        <v>46997</v>
      </c>
      <c r="E1204" t="s">
        <v>355</v>
      </c>
      <c r="F1204" t="s">
        <v>356</v>
      </c>
      <c r="H1204" t="s">
        <v>353</v>
      </c>
      <c r="I1204">
        <v>3300762</v>
      </c>
      <c r="J1204" t="s">
        <v>531</v>
      </c>
      <c r="K1204" t="s">
        <v>4281</v>
      </c>
      <c r="L1204" t="s">
        <v>4282</v>
      </c>
      <c r="N1204" t="s">
        <v>4283</v>
      </c>
      <c r="O1204" t="s">
        <v>4284</v>
      </c>
      <c r="R1204" t="s">
        <v>362</v>
      </c>
    </row>
    <row r="1205" spans="1:19" x14ac:dyDescent="0.15">
      <c r="A1205" t="s">
        <v>6263</v>
      </c>
      <c r="B1205" s="61">
        <v>48458</v>
      </c>
      <c r="E1205" t="s">
        <v>355</v>
      </c>
      <c r="F1205" t="s">
        <v>385</v>
      </c>
      <c r="H1205" t="s">
        <v>353</v>
      </c>
      <c r="I1205">
        <v>3300762</v>
      </c>
      <c r="J1205" t="s">
        <v>531</v>
      </c>
      <c r="K1205" t="s">
        <v>4281</v>
      </c>
      <c r="L1205" t="s">
        <v>4282</v>
      </c>
      <c r="N1205" t="s">
        <v>4283</v>
      </c>
      <c r="O1205" t="s">
        <v>4284</v>
      </c>
      <c r="R1205" t="s">
        <v>386</v>
      </c>
    </row>
    <row r="1206" spans="1:19" x14ac:dyDescent="0.15">
      <c r="A1206" t="s">
        <v>2597</v>
      </c>
      <c r="B1206" s="61">
        <v>46935</v>
      </c>
      <c r="E1206" t="s">
        <v>355</v>
      </c>
      <c r="F1206" t="s">
        <v>356</v>
      </c>
      <c r="H1206" t="s">
        <v>353</v>
      </c>
      <c r="I1206">
        <v>2701893</v>
      </c>
      <c r="J1206" t="s">
        <v>2688</v>
      </c>
      <c r="K1206" t="s">
        <v>4285</v>
      </c>
      <c r="L1206" t="s">
        <v>413</v>
      </c>
      <c r="N1206" t="s">
        <v>4286</v>
      </c>
      <c r="O1206" t="s">
        <v>4287</v>
      </c>
      <c r="R1206" t="s">
        <v>362</v>
      </c>
    </row>
    <row r="1207" spans="1:19" x14ac:dyDescent="0.15">
      <c r="A1207" t="s">
        <v>2597</v>
      </c>
      <c r="B1207" s="61">
        <v>48396</v>
      </c>
      <c r="E1207" t="s">
        <v>355</v>
      </c>
      <c r="F1207" t="s">
        <v>385</v>
      </c>
      <c r="H1207" t="s">
        <v>353</v>
      </c>
      <c r="I1207">
        <v>2701893</v>
      </c>
      <c r="J1207" t="s">
        <v>2688</v>
      </c>
      <c r="K1207" t="s">
        <v>4285</v>
      </c>
      <c r="L1207" t="s">
        <v>413</v>
      </c>
      <c r="N1207" t="s">
        <v>4286</v>
      </c>
      <c r="O1207" t="s">
        <v>4287</v>
      </c>
      <c r="R1207" t="s">
        <v>386</v>
      </c>
    </row>
    <row r="1208" spans="1:19" x14ac:dyDescent="0.15">
      <c r="A1208" t="s">
        <v>2152</v>
      </c>
      <c r="B1208" s="61">
        <v>46661</v>
      </c>
      <c r="E1208" t="s">
        <v>355</v>
      </c>
      <c r="F1208" t="s">
        <v>356</v>
      </c>
      <c r="H1208" t="s">
        <v>353</v>
      </c>
      <c r="I1208">
        <v>1200914</v>
      </c>
      <c r="J1208" t="s">
        <v>454</v>
      </c>
      <c r="K1208" t="s">
        <v>4288</v>
      </c>
      <c r="L1208" t="s">
        <v>4289</v>
      </c>
      <c r="N1208" t="s">
        <v>4290</v>
      </c>
      <c r="O1208" t="s">
        <v>4291</v>
      </c>
      <c r="R1208" t="s">
        <v>362</v>
      </c>
    </row>
    <row r="1209" spans="1:19" x14ac:dyDescent="0.15">
      <c r="A1209" t="s">
        <v>2152</v>
      </c>
      <c r="B1209" s="61">
        <v>48122</v>
      </c>
      <c r="E1209" t="s">
        <v>355</v>
      </c>
      <c r="F1209" t="s">
        <v>385</v>
      </c>
      <c r="H1209" t="s">
        <v>353</v>
      </c>
      <c r="I1209">
        <v>1200914</v>
      </c>
      <c r="J1209" t="s">
        <v>454</v>
      </c>
      <c r="K1209" t="s">
        <v>4288</v>
      </c>
      <c r="L1209" t="s">
        <v>4289</v>
      </c>
      <c r="N1209" t="s">
        <v>4290</v>
      </c>
      <c r="O1209" t="s">
        <v>4291</v>
      </c>
      <c r="R1209" t="s">
        <v>386</v>
      </c>
    </row>
    <row r="1210" spans="1:19" x14ac:dyDescent="0.15">
      <c r="A1210" t="s">
        <v>2693</v>
      </c>
      <c r="B1210" s="61">
        <v>46905</v>
      </c>
      <c r="E1210" t="s">
        <v>355</v>
      </c>
      <c r="F1210" t="s">
        <v>356</v>
      </c>
      <c r="H1210" t="s">
        <v>353</v>
      </c>
      <c r="I1210">
        <v>2302301</v>
      </c>
      <c r="J1210" t="s">
        <v>4292</v>
      </c>
      <c r="K1210" t="s">
        <v>4293</v>
      </c>
      <c r="L1210" t="s">
        <v>4294</v>
      </c>
      <c r="N1210" t="s">
        <v>4295</v>
      </c>
      <c r="O1210" t="s">
        <v>4296</v>
      </c>
      <c r="R1210" t="s">
        <v>362</v>
      </c>
    </row>
    <row r="1211" spans="1:19" x14ac:dyDescent="0.15">
      <c r="A1211" t="s">
        <v>2693</v>
      </c>
      <c r="B1211" s="61">
        <v>48366</v>
      </c>
      <c r="E1211" t="s">
        <v>355</v>
      </c>
      <c r="F1211" t="s">
        <v>385</v>
      </c>
      <c r="H1211" t="s">
        <v>353</v>
      </c>
      <c r="I1211">
        <v>2302301</v>
      </c>
      <c r="J1211" t="s">
        <v>4292</v>
      </c>
      <c r="K1211" t="s">
        <v>4293</v>
      </c>
      <c r="L1211" t="s">
        <v>4294</v>
      </c>
      <c r="N1211" t="s">
        <v>4295</v>
      </c>
      <c r="O1211" t="s">
        <v>4296</v>
      </c>
      <c r="R1211" t="s">
        <v>386</v>
      </c>
    </row>
    <row r="1212" spans="1:19" x14ac:dyDescent="0.15">
      <c r="A1212" t="s">
        <v>3024</v>
      </c>
      <c r="B1212" s="61">
        <v>46692</v>
      </c>
      <c r="E1212" t="s">
        <v>355</v>
      </c>
      <c r="F1212" t="s">
        <v>356</v>
      </c>
      <c r="H1212" t="s">
        <v>353</v>
      </c>
      <c r="I1212">
        <v>1200857</v>
      </c>
      <c r="J1212" t="s">
        <v>4297</v>
      </c>
      <c r="K1212" t="s">
        <v>4298</v>
      </c>
      <c r="L1212" t="s">
        <v>4299</v>
      </c>
      <c r="N1212" t="s">
        <v>4300</v>
      </c>
      <c r="O1212" t="s">
        <v>4301</v>
      </c>
      <c r="R1212" t="s">
        <v>362</v>
      </c>
    </row>
    <row r="1213" spans="1:19" x14ac:dyDescent="0.15">
      <c r="A1213" t="s">
        <v>3024</v>
      </c>
      <c r="B1213" s="61">
        <v>48153</v>
      </c>
      <c r="E1213" t="s">
        <v>355</v>
      </c>
      <c r="F1213" t="s">
        <v>385</v>
      </c>
      <c r="H1213" t="s">
        <v>353</v>
      </c>
      <c r="I1213">
        <v>1200857</v>
      </c>
      <c r="J1213" t="s">
        <v>4297</v>
      </c>
      <c r="K1213" t="s">
        <v>4298</v>
      </c>
      <c r="L1213" t="s">
        <v>4299</v>
      </c>
      <c r="N1213" t="s">
        <v>4300</v>
      </c>
      <c r="O1213" t="s">
        <v>4301</v>
      </c>
      <c r="R1213" t="s">
        <v>386</v>
      </c>
    </row>
    <row r="1214" spans="1:19" x14ac:dyDescent="0.15">
      <c r="A1214" t="s">
        <v>3822</v>
      </c>
      <c r="B1214" s="61">
        <v>46844</v>
      </c>
      <c r="E1214" t="s">
        <v>355</v>
      </c>
      <c r="F1214" t="s">
        <v>356</v>
      </c>
      <c r="H1214" t="s">
        <v>353</v>
      </c>
      <c r="I1214">
        <v>1800329</v>
      </c>
      <c r="J1214" t="s">
        <v>4302</v>
      </c>
      <c r="K1214" t="s">
        <v>3918</v>
      </c>
      <c r="L1214" t="s">
        <v>413</v>
      </c>
      <c r="N1214" t="s">
        <v>4303</v>
      </c>
      <c r="O1214" t="s">
        <v>4304</v>
      </c>
      <c r="R1214" t="s">
        <v>362</v>
      </c>
    </row>
    <row r="1215" spans="1:19" x14ac:dyDescent="0.15">
      <c r="A1215" t="s">
        <v>3822</v>
      </c>
      <c r="B1215" s="61">
        <v>48305</v>
      </c>
      <c r="E1215" t="s">
        <v>355</v>
      </c>
      <c r="F1215" t="s">
        <v>385</v>
      </c>
      <c r="H1215" t="s">
        <v>353</v>
      </c>
      <c r="I1215">
        <v>1800329</v>
      </c>
      <c r="J1215" t="s">
        <v>4302</v>
      </c>
      <c r="K1215" t="s">
        <v>3918</v>
      </c>
      <c r="L1215" t="s">
        <v>413</v>
      </c>
      <c r="N1215" t="s">
        <v>4303</v>
      </c>
      <c r="O1215" t="s">
        <v>4304</v>
      </c>
      <c r="R1215" t="s">
        <v>386</v>
      </c>
    </row>
    <row r="1216" spans="1:19" x14ac:dyDescent="0.15">
      <c r="A1216" t="s">
        <v>2434</v>
      </c>
      <c r="B1216" s="61">
        <v>46997</v>
      </c>
      <c r="E1216" t="s">
        <v>355</v>
      </c>
      <c r="F1216" t="s">
        <v>356</v>
      </c>
      <c r="H1216" t="s">
        <v>353</v>
      </c>
      <c r="I1216">
        <v>1301879</v>
      </c>
      <c r="J1216" t="s">
        <v>4305</v>
      </c>
      <c r="K1216" t="s">
        <v>4306</v>
      </c>
      <c r="L1216" t="s">
        <v>2617</v>
      </c>
      <c r="N1216" t="s">
        <v>4307</v>
      </c>
      <c r="O1216" t="s">
        <v>4308</v>
      </c>
      <c r="R1216" t="s">
        <v>362</v>
      </c>
    </row>
    <row r="1217" spans="1:19" x14ac:dyDescent="0.15">
      <c r="A1217" t="s">
        <v>2434</v>
      </c>
      <c r="B1217" s="61">
        <v>48458</v>
      </c>
      <c r="E1217" t="s">
        <v>355</v>
      </c>
      <c r="F1217" t="s">
        <v>385</v>
      </c>
      <c r="H1217" t="s">
        <v>353</v>
      </c>
      <c r="I1217">
        <v>1301879</v>
      </c>
      <c r="J1217" t="s">
        <v>4305</v>
      </c>
      <c r="K1217" t="s">
        <v>4306</v>
      </c>
      <c r="L1217" t="s">
        <v>2617</v>
      </c>
      <c r="N1217" t="s">
        <v>4307</v>
      </c>
      <c r="O1217" t="s">
        <v>4308</v>
      </c>
      <c r="R1217" t="s">
        <v>386</v>
      </c>
    </row>
    <row r="1218" spans="1:19" x14ac:dyDescent="0.15">
      <c r="A1218" t="s">
        <v>1354</v>
      </c>
      <c r="B1218" s="61">
        <v>46692</v>
      </c>
      <c r="E1218" t="s">
        <v>355</v>
      </c>
      <c r="F1218" t="s">
        <v>356</v>
      </c>
      <c r="H1218" t="s">
        <v>353</v>
      </c>
      <c r="I1218">
        <v>3100141</v>
      </c>
      <c r="J1218" t="s">
        <v>4309</v>
      </c>
      <c r="K1218" t="s">
        <v>4310</v>
      </c>
      <c r="L1218" t="s">
        <v>390</v>
      </c>
      <c r="N1218" t="s">
        <v>4311</v>
      </c>
      <c r="O1218" t="s">
        <v>4312</v>
      </c>
      <c r="R1218" t="s">
        <v>362</v>
      </c>
    </row>
    <row r="1219" spans="1:19" x14ac:dyDescent="0.15">
      <c r="A1219" t="s">
        <v>1354</v>
      </c>
      <c r="B1219" s="61">
        <v>48153</v>
      </c>
      <c r="E1219" t="s">
        <v>355</v>
      </c>
      <c r="F1219" t="s">
        <v>385</v>
      </c>
      <c r="H1219" t="s">
        <v>353</v>
      </c>
      <c r="I1219">
        <v>3100141</v>
      </c>
      <c r="J1219" t="s">
        <v>4309</v>
      </c>
      <c r="K1219" t="s">
        <v>4310</v>
      </c>
      <c r="L1219" t="s">
        <v>390</v>
      </c>
      <c r="N1219" t="s">
        <v>4311</v>
      </c>
      <c r="O1219" t="s">
        <v>4312</v>
      </c>
      <c r="R1219" t="s">
        <v>386</v>
      </c>
    </row>
    <row r="1220" spans="1:19" ht="409.5" x14ac:dyDescent="0.15">
      <c r="A1220" t="s">
        <v>2027</v>
      </c>
      <c r="B1220" s="61">
        <v>46143</v>
      </c>
      <c r="E1220" t="s">
        <v>355</v>
      </c>
      <c r="F1220" t="s">
        <v>351</v>
      </c>
      <c r="H1220" t="s">
        <v>686</v>
      </c>
      <c r="I1220">
        <v>2802381</v>
      </c>
      <c r="J1220" t="s">
        <v>2040</v>
      </c>
      <c r="K1220" t="s">
        <v>1350</v>
      </c>
      <c r="L1220" t="s">
        <v>2041</v>
      </c>
      <c r="N1220">
        <v>2158366</v>
      </c>
      <c r="O1220" t="s">
        <v>2043</v>
      </c>
      <c r="S1220" s="34" t="s">
        <v>4343</v>
      </c>
    </row>
    <row r="1221" spans="1:19" ht="229.5" x14ac:dyDescent="0.15">
      <c r="A1221" t="s">
        <v>914</v>
      </c>
      <c r="B1221" s="61">
        <v>46174</v>
      </c>
      <c r="E1221" t="s">
        <v>355</v>
      </c>
      <c r="F1221" t="s">
        <v>351</v>
      </c>
      <c r="H1221" t="s">
        <v>353</v>
      </c>
      <c r="I1221">
        <v>700576</v>
      </c>
      <c r="J1221" t="s">
        <v>743</v>
      </c>
      <c r="K1221" t="s">
        <v>949</v>
      </c>
      <c r="L1221" t="s">
        <v>950</v>
      </c>
      <c r="N1221" t="s">
        <v>951</v>
      </c>
      <c r="O1221" t="s">
        <v>952</v>
      </c>
      <c r="R1221" t="s">
        <v>3986</v>
      </c>
      <c r="S1221" s="34" t="s">
        <v>4357</v>
      </c>
    </row>
    <row r="1222" spans="1:19" ht="351" x14ac:dyDescent="0.15">
      <c r="A1222" t="s">
        <v>2255</v>
      </c>
      <c r="B1222" s="61">
        <v>46174</v>
      </c>
      <c r="E1222" t="s">
        <v>355</v>
      </c>
      <c r="F1222" t="s">
        <v>351</v>
      </c>
      <c r="G1222" t="s">
        <v>352</v>
      </c>
      <c r="H1222" t="s">
        <v>353</v>
      </c>
      <c r="I1222">
        <v>1101207</v>
      </c>
      <c r="J1222" t="s">
        <v>2273</v>
      </c>
      <c r="K1222" t="s">
        <v>2274</v>
      </c>
      <c r="L1222" t="s">
        <v>390</v>
      </c>
      <c r="N1222" t="s">
        <v>2275</v>
      </c>
      <c r="O1222" t="s">
        <v>2276</v>
      </c>
      <c r="R1222" t="s">
        <v>3985</v>
      </c>
      <c r="S1222" s="34" t="s">
        <v>2277</v>
      </c>
    </row>
    <row r="1223" spans="1:19" ht="216" x14ac:dyDescent="0.15">
      <c r="A1223" t="s">
        <v>2255</v>
      </c>
      <c r="B1223" s="61">
        <v>46174</v>
      </c>
      <c r="E1223" t="s">
        <v>355</v>
      </c>
      <c r="F1223" t="s">
        <v>351</v>
      </c>
      <c r="H1223" t="s">
        <v>686</v>
      </c>
      <c r="I1223">
        <v>1101207</v>
      </c>
      <c r="J1223" t="s">
        <v>2273</v>
      </c>
      <c r="K1223" t="s">
        <v>2274</v>
      </c>
      <c r="L1223" t="s">
        <v>390</v>
      </c>
      <c r="N1223">
        <v>2139871</v>
      </c>
      <c r="O1223" t="s">
        <v>2276</v>
      </c>
      <c r="S1223" s="34" t="s">
        <v>5206</v>
      </c>
    </row>
    <row r="1224" spans="1:19" ht="256.5" x14ac:dyDescent="0.15">
      <c r="A1224" t="s">
        <v>5845</v>
      </c>
      <c r="B1224" s="61">
        <v>46174</v>
      </c>
      <c r="E1224" t="s">
        <v>355</v>
      </c>
      <c r="F1224" t="s">
        <v>351</v>
      </c>
      <c r="H1224" t="s">
        <v>353</v>
      </c>
      <c r="I1224">
        <v>1102205</v>
      </c>
      <c r="J1224" t="s">
        <v>4383</v>
      </c>
      <c r="K1224" t="s">
        <v>4384</v>
      </c>
      <c r="L1224" t="s">
        <v>4385</v>
      </c>
      <c r="N1224" t="s">
        <v>4386</v>
      </c>
      <c r="O1224" t="s">
        <v>4387</v>
      </c>
      <c r="R1224" t="s">
        <v>4012</v>
      </c>
      <c r="S1224" s="34" t="s">
        <v>5209</v>
      </c>
    </row>
    <row r="1225" spans="1:19" ht="378" x14ac:dyDescent="0.15">
      <c r="A1225" t="s">
        <v>5612</v>
      </c>
      <c r="B1225" s="61">
        <v>46174</v>
      </c>
      <c r="E1225" t="s">
        <v>355</v>
      </c>
      <c r="F1225" t="s">
        <v>351</v>
      </c>
      <c r="H1225" t="s">
        <v>353</v>
      </c>
      <c r="I1225">
        <v>1102263</v>
      </c>
      <c r="J1225" t="s">
        <v>3478</v>
      </c>
      <c r="K1225" t="s">
        <v>4388</v>
      </c>
      <c r="L1225" t="s">
        <v>413</v>
      </c>
      <c r="N1225" t="s">
        <v>4389</v>
      </c>
      <c r="O1225" t="s">
        <v>4390</v>
      </c>
      <c r="R1225" t="s">
        <v>3987</v>
      </c>
      <c r="S1225" s="34" t="s">
        <v>5210</v>
      </c>
    </row>
    <row r="1226" spans="1:19" ht="229.5" x14ac:dyDescent="0.15">
      <c r="A1226" t="s">
        <v>2255</v>
      </c>
      <c r="B1226" s="61">
        <v>46174</v>
      </c>
      <c r="E1226" t="s">
        <v>355</v>
      </c>
      <c r="F1226" t="s">
        <v>351</v>
      </c>
      <c r="H1226" t="s">
        <v>353</v>
      </c>
      <c r="I1226">
        <v>1102407</v>
      </c>
      <c r="J1226" t="s">
        <v>2293</v>
      </c>
      <c r="K1226" t="s">
        <v>1251</v>
      </c>
      <c r="L1226" t="s">
        <v>2294</v>
      </c>
      <c r="N1226" t="s">
        <v>2295</v>
      </c>
      <c r="O1226" t="s">
        <v>2296</v>
      </c>
      <c r="R1226" t="s">
        <v>3987</v>
      </c>
      <c r="S1226" s="34" t="s">
        <v>5213</v>
      </c>
    </row>
    <row r="1227" spans="1:19" ht="391.5" x14ac:dyDescent="0.15">
      <c r="A1227" t="s">
        <v>5612</v>
      </c>
      <c r="B1227" s="61">
        <v>46174</v>
      </c>
      <c r="E1227" t="s">
        <v>355</v>
      </c>
      <c r="F1227" t="s">
        <v>351</v>
      </c>
      <c r="H1227" t="s">
        <v>365</v>
      </c>
      <c r="I1227">
        <v>1102470</v>
      </c>
      <c r="J1227" t="s">
        <v>3574</v>
      </c>
      <c r="K1227" t="s">
        <v>3575</v>
      </c>
      <c r="L1227" t="s">
        <v>3576</v>
      </c>
      <c r="N1227" t="s">
        <v>3577</v>
      </c>
      <c r="O1227" t="s">
        <v>3578</v>
      </c>
      <c r="R1227" t="s">
        <v>3987</v>
      </c>
      <c r="S1227" s="34" t="s">
        <v>5214</v>
      </c>
    </row>
    <row r="1228" spans="1:19" ht="243" x14ac:dyDescent="0.15">
      <c r="A1228" t="s">
        <v>2152</v>
      </c>
      <c r="B1228" s="61">
        <v>46174</v>
      </c>
      <c r="E1228" t="s">
        <v>355</v>
      </c>
      <c r="F1228" t="s">
        <v>351</v>
      </c>
      <c r="H1228" t="s">
        <v>310</v>
      </c>
      <c r="I1228">
        <v>1201079</v>
      </c>
      <c r="J1228" t="s">
        <v>2184</v>
      </c>
      <c r="K1228" t="s">
        <v>2185</v>
      </c>
      <c r="L1228" t="s">
        <v>2186</v>
      </c>
      <c r="N1228" t="s">
        <v>2187</v>
      </c>
      <c r="O1228" t="s">
        <v>2188</v>
      </c>
      <c r="R1228" t="s">
        <v>3986</v>
      </c>
      <c r="S1228" s="34" t="s">
        <v>5221</v>
      </c>
    </row>
    <row r="1229" spans="1:19" ht="409.5" x14ac:dyDescent="0.15">
      <c r="A1229" t="s">
        <v>1715</v>
      </c>
      <c r="B1229" s="61">
        <v>46174</v>
      </c>
      <c r="E1229" t="s">
        <v>355</v>
      </c>
      <c r="F1229" t="s">
        <v>351</v>
      </c>
      <c r="H1229" t="s">
        <v>353</v>
      </c>
      <c r="I1229">
        <v>1500845</v>
      </c>
      <c r="J1229" t="s">
        <v>1768</v>
      </c>
      <c r="K1229" t="s">
        <v>4417</v>
      </c>
      <c r="L1229" t="s">
        <v>4418</v>
      </c>
      <c r="N1229" t="s">
        <v>4419</v>
      </c>
      <c r="O1229" t="s">
        <v>4420</v>
      </c>
      <c r="R1229" t="s">
        <v>3987</v>
      </c>
      <c r="S1229" s="34" t="s">
        <v>5230</v>
      </c>
    </row>
    <row r="1230" spans="1:19" ht="405" x14ac:dyDescent="0.15">
      <c r="A1230" t="s">
        <v>2456</v>
      </c>
      <c r="B1230" s="61">
        <v>46174</v>
      </c>
      <c r="E1230" t="s">
        <v>355</v>
      </c>
      <c r="F1230" t="s">
        <v>351</v>
      </c>
      <c r="G1230" t="s">
        <v>352</v>
      </c>
      <c r="H1230" t="s">
        <v>353</v>
      </c>
      <c r="I1230">
        <v>2201704</v>
      </c>
      <c r="J1230" t="s">
        <v>2129</v>
      </c>
      <c r="K1230" t="s">
        <v>4435</v>
      </c>
      <c r="L1230" t="s">
        <v>1114</v>
      </c>
      <c r="N1230" t="s">
        <v>4436</v>
      </c>
      <c r="O1230" t="s">
        <v>4437</v>
      </c>
      <c r="R1230" t="s">
        <v>3985</v>
      </c>
      <c r="S1230" s="34" t="s">
        <v>5236</v>
      </c>
    </row>
    <row r="1231" spans="1:19" ht="229.5" x14ac:dyDescent="0.15">
      <c r="A1231" t="s">
        <v>2813</v>
      </c>
      <c r="B1231" s="61">
        <v>46174</v>
      </c>
      <c r="E1231" t="s">
        <v>355</v>
      </c>
      <c r="F1231" t="s">
        <v>351</v>
      </c>
      <c r="H1231" t="s">
        <v>353</v>
      </c>
      <c r="I1231">
        <v>2303094</v>
      </c>
      <c r="J1231" t="s">
        <v>4155</v>
      </c>
      <c r="K1231" t="s">
        <v>4445</v>
      </c>
      <c r="L1231" t="s">
        <v>4446</v>
      </c>
      <c r="N1231" t="s">
        <v>4447</v>
      </c>
      <c r="O1231" t="s">
        <v>4448</v>
      </c>
      <c r="R1231" t="s">
        <v>4012</v>
      </c>
      <c r="S1231" s="34" t="s">
        <v>5240</v>
      </c>
    </row>
    <row r="1232" spans="1:19" ht="409.5" x14ac:dyDescent="0.15">
      <c r="A1232" t="s">
        <v>2813</v>
      </c>
      <c r="B1232" s="61">
        <v>46174</v>
      </c>
      <c r="E1232" t="s">
        <v>355</v>
      </c>
      <c r="F1232" t="s">
        <v>351</v>
      </c>
      <c r="H1232" t="s">
        <v>686</v>
      </c>
      <c r="I1232">
        <v>2303094</v>
      </c>
      <c r="J1232" t="s">
        <v>4155</v>
      </c>
      <c r="K1232" t="s">
        <v>4445</v>
      </c>
      <c r="L1232" t="s">
        <v>4446</v>
      </c>
      <c r="N1232">
        <v>2116689</v>
      </c>
      <c r="O1232" t="s">
        <v>4448</v>
      </c>
      <c r="S1232" s="34" t="s">
        <v>5241</v>
      </c>
    </row>
    <row r="1233" spans="1:19" ht="409.5" x14ac:dyDescent="0.15">
      <c r="A1233" t="s">
        <v>3252</v>
      </c>
      <c r="B1233" s="61">
        <v>46174</v>
      </c>
      <c r="E1233" t="s">
        <v>355</v>
      </c>
      <c r="F1233" t="s">
        <v>351</v>
      </c>
      <c r="H1233" t="s">
        <v>353</v>
      </c>
      <c r="I1233">
        <v>2303265</v>
      </c>
      <c r="J1233" t="s">
        <v>2129</v>
      </c>
      <c r="K1233" t="s">
        <v>4450</v>
      </c>
      <c r="L1233" t="s">
        <v>4029</v>
      </c>
      <c r="N1233" t="s">
        <v>4451</v>
      </c>
      <c r="O1233" t="s">
        <v>4452</v>
      </c>
      <c r="R1233" t="s">
        <v>4012</v>
      </c>
      <c r="S1233" s="34" t="s">
        <v>5243</v>
      </c>
    </row>
    <row r="1234" spans="1:19" ht="409.5" x14ac:dyDescent="0.15">
      <c r="A1234" t="s">
        <v>6263</v>
      </c>
      <c r="B1234" s="61">
        <v>46174</v>
      </c>
      <c r="E1234" t="s">
        <v>355</v>
      </c>
      <c r="F1234" t="s">
        <v>351</v>
      </c>
      <c r="H1234" t="s">
        <v>353</v>
      </c>
      <c r="I1234">
        <v>3300320</v>
      </c>
      <c r="J1234" t="s">
        <v>1065</v>
      </c>
      <c r="K1234" t="s">
        <v>1947</v>
      </c>
      <c r="L1234" t="s">
        <v>1114</v>
      </c>
      <c r="N1234" t="s">
        <v>1948</v>
      </c>
      <c r="O1234" t="s">
        <v>1949</v>
      </c>
      <c r="R1234" t="s">
        <v>3987</v>
      </c>
      <c r="S1234" s="34" t="s">
        <v>5251</v>
      </c>
    </row>
    <row r="1235" spans="1:19" ht="409.5" x14ac:dyDescent="0.15">
      <c r="A1235" t="s">
        <v>800</v>
      </c>
      <c r="B1235" s="61">
        <v>46174</v>
      </c>
      <c r="E1235" t="s">
        <v>355</v>
      </c>
      <c r="F1235" t="s">
        <v>351</v>
      </c>
      <c r="H1235" t="s">
        <v>686</v>
      </c>
      <c r="I1235">
        <v>4500152</v>
      </c>
      <c r="J1235" t="s">
        <v>4503</v>
      </c>
      <c r="L1235" t="s">
        <v>4504</v>
      </c>
      <c r="N1235">
        <v>2162830</v>
      </c>
      <c r="O1235" t="s">
        <v>4505</v>
      </c>
      <c r="S1235" s="34" t="s">
        <v>4506</v>
      </c>
    </row>
    <row r="1236" spans="1:19" ht="364.5" x14ac:dyDescent="0.15">
      <c r="A1236" t="s">
        <v>2534</v>
      </c>
      <c r="B1236" s="61">
        <v>46174</v>
      </c>
      <c r="E1236" t="s">
        <v>355</v>
      </c>
      <c r="F1236" t="s">
        <v>351</v>
      </c>
      <c r="G1236" t="s">
        <v>354</v>
      </c>
      <c r="H1236" t="s">
        <v>353</v>
      </c>
      <c r="I1236">
        <v>2800837</v>
      </c>
      <c r="J1236" t="s">
        <v>4525</v>
      </c>
      <c r="L1236" t="s">
        <v>413</v>
      </c>
      <c r="N1236" t="s">
        <v>4526</v>
      </c>
      <c r="O1236" t="s">
        <v>4527</v>
      </c>
      <c r="R1236" t="s">
        <v>3986</v>
      </c>
      <c r="S1236" s="34" t="s">
        <v>5262</v>
      </c>
    </row>
    <row r="1237" spans="1:19" ht="243" x14ac:dyDescent="0.15">
      <c r="A1237" t="s">
        <v>1145</v>
      </c>
      <c r="B1237" s="61">
        <v>46204</v>
      </c>
      <c r="E1237" t="s">
        <v>355</v>
      </c>
      <c r="F1237" t="s">
        <v>351</v>
      </c>
      <c r="G1237" t="s">
        <v>352</v>
      </c>
      <c r="H1237" t="s">
        <v>365</v>
      </c>
      <c r="I1237">
        <v>100510</v>
      </c>
      <c r="J1237" t="s">
        <v>4528</v>
      </c>
      <c r="K1237" t="s">
        <v>4529</v>
      </c>
      <c r="L1237" t="s">
        <v>4530</v>
      </c>
      <c r="N1237" t="s">
        <v>4531</v>
      </c>
      <c r="O1237" t="s">
        <v>4532</v>
      </c>
      <c r="R1237" t="s">
        <v>3985</v>
      </c>
      <c r="S1237" s="34" t="s">
        <v>5264</v>
      </c>
    </row>
    <row r="1238" spans="1:19" ht="409.5" x14ac:dyDescent="0.15">
      <c r="A1238" t="s">
        <v>1145</v>
      </c>
      <c r="B1238" s="61">
        <v>46204</v>
      </c>
      <c r="E1238" t="s">
        <v>355</v>
      </c>
      <c r="F1238" t="s">
        <v>351</v>
      </c>
      <c r="G1238" t="s">
        <v>354</v>
      </c>
      <c r="H1238" t="s">
        <v>353</v>
      </c>
      <c r="I1238">
        <v>100885</v>
      </c>
      <c r="J1238" t="s">
        <v>1170</v>
      </c>
      <c r="L1238" t="s">
        <v>1171</v>
      </c>
      <c r="N1238" t="s">
        <v>4533</v>
      </c>
      <c r="O1238" t="s">
        <v>1173</v>
      </c>
      <c r="R1238" t="s">
        <v>3987</v>
      </c>
      <c r="S1238" s="34" t="s">
        <v>5265</v>
      </c>
    </row>
    <row r="1239" spans="1:19" ht="189" x14ac:dyDescent="0.15">
      <c r="A1239" t="s">
        <v>1993</v>
      </c>
      <c r="B1239" s="61">
        <v>46204</v>
      </c>
      <c r="E1239" t="s">
        <v>355</v>
      </c>
      <c r="F1239" t="s">
        <v>351</v>
      </c>
      <c r="G1239" t="s">
        <v>354</v>
      </c>
      <c r="H1239" t="s">
        <v>686</v>
      </c>
      <c r="I1239">
        <v>200073</v>
      </c>
      <c r="J1239" t="s">
        <v>4013</v>
      </c>
      <c r="K1239" t="s">
        <v>4014</v>
      </c>
      <c r="L1239" t="s">
        <v>4015</v>
      </c>
      <c r="N1239">
        <v>2097339</v>
      </c>
      <c r="O1239" t="s">
        <v>4016</v>
      </c>
      <c r="R1239" t="s">
        <v>4534</v>
      </c>
      <c r="S1239" s="34" t="s">
        <v>4017</v>
      </c>
    </row>
    <row r="1240" spans="1:19" ht="243" x14ac:dyDescent="0.15">
      <c r="A1240" t="s">
        <v>1993</v>
      </c>
      <c r="B1240" s="61">
        <v>46204</v>
      </c>
      <c r="E1240" t="s">
        <v>355</v>
      </c>
      <c r="F1240" t="s">
        <v>351</v>
      </c>
      <c r="G1240" t="s">
        <v>354</v>
      </c>
      <c r="H1240" t="s">
        <v>365</v>
      </c>
      <c r="I1240">
        <v>300240</v>
      </c>
      <c r="J1240" t="s">
        <v>1264</v>
      </c>
      <c r="K1240" t="s">
        <v>2018</v>
      </c>
      <c r="L1240" t="s">
        <v>373</v>
      </c>
      <c r="N1240" t="s">
        <v>2019</v>
      </c>
      <c r="O1240" t="s">
        <v>2020</v>
      </c>
      <c r="R1240" t="s">
        <v>3987</v>
      </c>
      <c r="S1240" s="34" t="s">
        <v>5266</v>
      </c>
    </row>
    <row r="1241" spans="1:19" ht="409.5" x14ac:dyDescent="0.15">
      <c r="A1241" t="s">
        <v>2096</v>
      </c>
      <c r="B1241" s="61">
        <v>46204</v>
      </c>
      <c r="E1241" t="s">
        <v>355</v>
      </c>
      <c r="F1241" t="s">
        <v>351</v>
      </c>
      <c r="G1241" t="s">
        <v>354</v>
      </c>
      <c r="H1241" t="s">
        <v>3996</v>
      </c>
      <c r="I1241">
        <v>400260</v>
      </c>
      <c r="J1241" t="s">
        <v>371</v>
      </c>
      <c r="K1241" t="s">
        <v>2097</v>
      </c>
      <c r="L1241" t="s">
        <v>1340</v>
      </c>
      <c r="N1241" t="s">
        <v>4535</v>
      </c>
      <c r="O1241" t="s">
        <v>2099</v>
      </c>
      <c r="R1241" t="s">
        <v>4012</v>
      </c>
      <c r="S1241" s="34" t="s">
        <v>5267</v>
      </c>
    </row>
    <row r="1242" spans="1:19" ht="409.5" x14ac:dyDescent="0.15">
      <c r="A1242" t="s">
        <v>2096</v>
      </c>
      <c r="B1242" s="61">
        <v>46204</v>
      </c>
      <c r="E1242" t="s">
        <v>355</v>
      </c>
      <c r="F1242" t="s">
        <v>351</v>
      </c>
      <c r="G1242" t="s">
        <v>354</v>
      </c>
      <c r="H1242" t="s">
        <v>686</v>
      </c>
      <c r="I1242">
        <v>400443</v>
      </c>
      <c r="J1242" t="s">
        <v>3954</v>
      </c>
      <c r="K1242" t="s">
        <v>4022</v>
      </c>
      <c r="L1242" t="s">
        <v>1087</v>
      </c>
      <c r="N1242">
        <v>2178416</v>
      </c>
      <c r="O1242" t="s">
        <v>4023</v>
      </c>
      <c r="R1242" t="s">
        <v>3987</v>
      </c>
      <c r="S1242" s="34" t="s">
        <v>5268</v>
      </c>
    </row>
    <row r="1243" spans="1:19" ht="229.5" x14ac:dyDescent="0.15">
      <c r="A1243" t="s">
        <v>2096</v>
      </c>
      <c r="B1243" s="61">
        <v>46204</v>
      </c>
      <c r="E1243" t="s">
        <v>355</v>
      </c>
      <c r="F1243" t="s">
        <v>351</v>
      </c>
      <c r="G1243" t="s">
        <v>354</v>
      </c>
      <c r="H1243" t="s">
        <v>353</v>
      </c>
      <c r="I1243">
        <v>400506</v>
      </c>
      <c r="J1243" t="s">
        <v>2149</v>
      </c>
      <c r="K1243" t="s">
        <v>1542</v>
      </c>
      <c r="L1243" t="s">
        <v>390</v>
      </c>
      <c r="N1243" t="s">
        <v>2150</v>
      </c>
      <c r="O1243" t="s">
        <v>2151</v>
      </c>
      <c r="R1243" t="s">
        <v>3987</v>
      </c>
      <c r="S1243" s="34" t="s">
        <v>5269</v>
      </c>
    </row>
    <row r="1244" spans="1:19" ht="243" x14ac:dyDescent="0.15">
      <c r="A1244" t="s">
        <v>2096</v>
      </c>
      <c r="B1244" s="61">
        <v>46204</v>
      </c>
      <c r="E1244" t="s">
        <v>355</v>
      </c>
      <c r="F1244" t="s">
        <v>351</v>
      </c>
      <c r="G1244" t="s">
        <v>352</v>
      </c>
      <c r="H1244" t="s">
        <v>353</v>
      </c>
      <c r="I1244">
        <v>600175</v>
      </c>
      <c r="J1244" t="s">
        <v>2146</v>
      </c>
      <c r="L1244" t="s">
        <v>718</v>
      </c>
      <c r="N1244" t="s">
        <v>2147</v>
      </c>
      <c r="O1244" t="s">
        <v>2148</v>
      </c>
      <c r="R1244" t="s">
        <v>3985</v>
      </c>
      <c r="S1244" s="34" t="s">
        <v>5270</v>
      </c>
    </row>
    <row r="1245" spans="1:19" ht="409.5" x14ac:dyDescent="0.15">
      <c r="A1245" t="s">
        <v>914</v>
      </c>
      <c r="B1245" s="61">
        <v>46204</v>
      </c>
      <c r="E1245" t="s">
        <v>355</v>
      </c>
      <c r="F1245" t="s">
        <v>351</v>
      </c>
      <c r="G1245" t="s">
        <v>354</v>
      </c>
      <c r="H1245" t="s">
        <v>353</v>
      </c>
      <c r="I1245">
        <v>700499</v>
      </c>
      <c r="J1245" t="s">
        <v>923</v>
      </c>
      <c r="L1245" t="s">
        <v>916</v>
      </c>
      <c r="N1245" t="s">
        <v>4536</v>
      </c>
      <c r="O1245" t="s">
        <v>924</v>
      </c>
      <c r="R1245" t="s">
        <v>3987</v>
      </c>
      <c r="S1245" s="34" t="s">
        <v>5192</v>
      </c>
    </row>
    <row r="1246" spans="1:19" ht="409.5" x14ac:dyDescent="0.15">
      <c r="A1246" t="s">
        <v>3089</v>
      </c>
      <c r="B1246" s="61">
        <v>46204</v>
      </c>
      <c r="E1246" t="s">
        <v>355</v>
      </c>
      <c r="F1246" t="s">
        <v>351</v>
      </c>
      <c r="G1246" t="s">
        <v>354</v>
      </c>
      <c r="H1246" t="s">
        <v>365</v>
      </c>
      <c r="I1246">
        <v>900784</v>
      </c>
      <c r="J1246" t="s">
        <v>3145</v>
      </c>
      <c r="K1246" t="s">
        <v>3146</v>
      </c>
      <c r="L1246" t="s">
        <v>4546</v>
      </c>
      <c r="N1246" t="s">
        <v>3148</v>
      </c>
      <c r="O1246" t="s">
        <v>3149</v>
      </c>
      <c r="R1246" t="s">
        <v>3986</v>
      </c>
      <c r="S1246" s="34" t="s">
        <v>3150</v>
      </c>
    </row>
    <row r="1247" spans="1:19" ht="229.5" x14ac:dyDescent="0.15">
      <c r="A1247" t="s">
        <v>837</v>
      </c>
      <c r="B1247" s="61">
        <v>46204</v>
      </c>
      <c r="E1247" t="s">
        <v>355</v>
      </c>
      <c r="F1247" t="s">
        <v>351</v>
      </c>
      <c r="G1247" t="s">
        <v>354</v>
      </c>
      <c r="H1247" t="s">
        <v>353</v>
      </c>
      <c r="I1247">
        <v>1000762</v>
      </c>
      <c r="J1247" t="s">
        <v>4204</v>
      </c>
      <c r="K1247" t="s">
        <v>4205</v>
      </c>
      <c r="L1247" t="s">
        <v>2186</v>
      </c>
      <c r="N1247" t="s">
        <v>4206</v>
      </c>
      <c r="O1247" t="s">
        <v>4207</v>
      </c>
      <c r="R1247" t="s">
        <v>3987</v>
      </c>
      <c r="S1247" s="34" t="s">
        <v>5275</v>
      </c>
    </row>
    <row r="1248" spans="1:19" ht="243" x14ac:dyDescent="0.15">
      <c r="A1248" t="s">
        <v>2255</v>
      </c>
      <c r="B1248" s="61">
        <v>46204</v>
      </c>
      <c r="E1248" t="s">
        <v>355</v>
      </c>
      <c r="F1248" t="s">
        <v>351</v>
      </c>
      <c r="G1248" t="s">
        <v>352</v>
      </c>
      <c r="H1248" t="s">
        <v>365</v>
      </c>
      <c r="I1248">
        <v>1100411</v>
      </c>
      <c r="J1248" t="s">
        <v>4547</v>
      </c>
      <c r="K1248" t="s">
        <v>897</v>
      </c>
      <c r="L1248" t="s">
        <v>390</v>
      </c>
      <c r="N1248" t="s">
        <v>4548</v>
      </c>
      <c r="O1248" t="s">
        <v>4549</v>
      </c>
      <c r="R1248" t="s">
        <v>3958</v>
      </c>
      <c r="S1248" s="34" t="s">
        <v>5277</v>
      </c>
    </row>
    <row r="1249" spans="1:19" ht="409.5" x14ac:dyDescent="0.15">
      <c r="A1249" t="s">
        <v>5845</v>
      </c>
      <c r="B1249" s="61">
        <v>46204</v>
      </c>
      <c r="E1249" t="s">
        <v>355</v>
      </c>
      <c r="F1249" t="s">
        <v>351</v>
      </c>
      <c r="G1249" t="s">
        <v>354</v>
      </c>
      <c r="H1249" t="s">
        <v>365</v>
      </c>
      <c r="I1249">
        <v>1101272</v>
      </c>
      <c r="J1249" t="s">
        <v>2033</v>
      </c>
      <c r="K1249" t="s">
        <v>897</v>
      </c>
      <c r="L1249" t="s">
        <v>3602</v>
      </c>
      <c r="N1249" t="s">
        <v>3603</v>
      </c>
      <c r="O1249" t="s">
        <v>3604</v>
      </c>
      <c r="R1249" t="s">
        <v>3986</v>
      </c>
      <c r="S1249" s="34" t="s">
        <v>5280</v>
      </c>
    </row>
    <row r="1250" spans="1:19" ht="409.5" x14ac:dyDescent="0.15">
      <c r="A1250" t="s">
        <v>5845</v>
      </c>
      <c r="B1250" s="61">
        <v>46204</v>
      </c>
      <c r="E1250" t="s">
        <v>355</v>
      </c>
      <c r="F1250" t="s">
        <v>351</v>
      </c>
      <c r="G1250" t="s">
        <v>352</v>
      </c>
      <c r="H1250" t="s">
        <v>365</v>
      </c>
      <c r="I1250">
        <v>1101360</v>
      </c>
      <c r="J1250" t="s">
        <v>2033</v>
      </c>
      <c r="K1250" t="s">
        <v>897</v>
      </c>
      <c r="L1250" t="s">
        <v>4551</v>
      </c>
      <c r="N1250" t="s">
        <v>4552</v>
      </c>
      <c r="O1250" t="s">
        <v>4553</v>
      </c>
      <c r="R1250" t="s">
        <v>3985</v>
      </c>
      <c r="S1250" s="34" t="s">
        <v>5281</v>
      </c>
    </row>
    <row r="1251" spans="1:19" ht="409.5" x14ac:dyDescent="0.15">
      <c r="A1251" t="s">
        <v>2255</v>
      </c>
      <c r="B1251" s="61">
        <v>46204</v>
      </c>
      <c r="E1251" t="s">
        <v>355</v>
      </c>
      <c r="F1251" t="s">
        <v>351</v>
      </c>
      <c r="G1251" t="s">
        <v>354</v>
      </c>
      <c r="H1251" t="s">
        <v>353</v>
      </c>
      <c r="I1251">
        <v>1101596</v>
      </c>
      <c r="J1251" t="s">
        <v>2285</v>
      </c>
      <c r="K1251" t="s">
        <v>2286</v>
      </c>
      <c r="L1251" t="s">
        <v>4554</v>
      </c>
      <c r="N1251" t="s">
        <v>5104</v>
      </c>
      <c r="O1251" t="s">
        <v>2288</v>
      </c>
      <c r="R1251" t="s">
        <v>3986</v>
      </c>
      <c r="S1251" s="34" t="s">
        <v>5282</v>
      </c>
    </row>
    <row r="1252" spans="1:19" ht="409.5" x14ac:dyDescent="0.15">
      <c r="A1252" t="s">
        <v>2255</v>
      </c>
      <c r="B1252" s="61">
        <v>46204</v>
      </c>
      <c r="E1252" t="s">
        <v>355</v>
      </c>
      <c r="F1252" t="s">
        <v>351</v>
      </c>
      <c r="G1252" t="s">
        <v>352</v>
      </c>
      <c r="H1252" t="s">
        <v>353</v>
      </c>
      <c r="I1252">
        <v>1102113</v>
      </c>
      <c r="J1252" t="s">
        <v>1620</v>
      </c>
      <c r="K1252" t="s">
        <v>4025</v>
      </c>
      <c r="L1252" t="s">
        <v>2942</v>
      </c>
      <c r="N1252" t="s">
        <v>4555</v>
      </c>
      <c r="O1252" t="s">
        <v>4026</v>
      </c>
      <c r="R1252" t="s">
        <v>3985</v>
      </c>
      <c r="S1252" s="34" t="s">
        <v>5283</v>
      </c>
    </row>
    <row r="1253" spans="1:19" ht="378" x14ac:dyDescent="0.15">
      <c r="A1253" t="s">
        <v>2377</v>
      </c>
      <c r="B1253" s="61">
        <v>46204</v>
      </c>
      <c r="E1253" t="s">
        <v>355</v>
      </c>
      <c r="F1253" t="s">
        <v>351</v>
      </c>
      <c r="G1253" t="s">
        <v>352</v>
      </c>
      <c r="H1253" t="s">
        <v>353</v>
      </c>
      <c r="I1253">
        <v>1102153</v>
      </c>
      <c r="J1253" t="s">
        <v>2392</v>
      </c>
      <c r="K1253" t="s">
        <v>2393</v>
      </c>
      <c r="L1253" t="s">
        <v>413</v>
      </c>
      <c r="N1253" t="s">
        <v>5168</v>
      </c>
      <c r="O1253" t="s">
        <v>2395</v>
      </c>
      <c r="R1253" t="s">
        <v>3985</v>
      </c>
      <c r="S1253" s="34" t="s">
        <v>5284</v>
      </c>
    </row>
    <row r="1254" spans="1:19" ht="409.5" x14ac:dyDescent="0.15">
      <c r="A1254" t="s">
        <v>5612</v>
      </c>
      <c r="B1254" s="61">
        <v>46204</v>
      </c>
      <c r="E1254" t="s">
        <v>355</v>
      </c>
      <c r="F1254" t="s">
        <v>351</v>
      </c>
      <c r="G1254" t="s">
        <v>354</v>
      </c>
      <c r="H1254" t="s">
        <v>353</v>
      </c>
      <c r="I1254">
        <v>1102162</v>
      </c>
      <c r="J1254" t="s">
        <v>1349</v>
      </c>
      <c r="K1254" t="s">
        <v>2217</v>
      </c>
      <c r="L1254" t="s">
        <v>4558</v>
      </c>
      <c r="N1254" t="s">
        <v>4559</v>
      </c>
      <c r="O1254" t="s">
        <v>4560</v>
      </c>
      <c r="R1254" t="s">
        <v>3987</v>
      </c>
      <c r="S1254" s="34" t="s">
        <v>5285</v>
      </c>
    </row>
    <row r="1255" spans="1:19" ht="391.5" x14ac:dyDescent="0.15">
      <c r="A1255" t="s">
        <v>2255</v>
      </c>
      <c r="B1255" s="61">
        <v>46204</v>
      </c>
      <c r="E1255" t="s">
        <v>355</v>
      </c>
      <c r="F1255" t="s">
        <v>351</v>
      </c>
      <c r="G1255" t="s">
        <v>352</v>
      </c>
      <c r="H1255" t="s">
        <v>365</v>
      </c>
      <c r="I1255">
        <v>1102260</v>
      </c>
      <c r="J1255" t="s">
        <v>4547</v>
      </c>
      <c r="K1255" t="s">
        <v>897</v>
      </c>
      <c r="L1255" t="s">
        <v>4561</v>
      </c>
      <c r="N1255" t="s">
        <v>4562</v>
      </c>
      <c r="O1255" t="s">
        <v>4563</v>
      </c>
      <c r="R1255" t="s">
        <v>3985</v>
      </c>
      <c r="S1255" s="34" t="s">
        <v>5286</v>
      </c>
    </row>
    <row r="1256" spans="1:19" ht="351" x14ac:dyDescent="0.15">
      <c r="A1256" t="s">
        <v>2404</v>
      </c>
      <c r="B1256" s="61">
        <v>46204</v>
      </c>
      <c r="E1256" t="s">
        <v>355</v>
      </c>
      <c r="F1256" t="s">
        <v>351</v>
      </c>
      <c r="G1256" t="s">
        <v>354</v>
      </c>
      <c r="H1256" t="s">
        <v>353</v>
      </c>
      <c r="I1256">
        <v>1102324</v>
      </c>
      <c r="J1256" t="s">
        <v>2417</v>
      </c>
      <c r="L1256" t="s">
        <v>2418</v>
      </c>
      <c r="N1256" t="s">
        <v>5287</v>
      </c>
      <c r="O1256" t="s">
        <v>2420</v>
      </c>
      <c r="R1256" t="s">
        <v>3987</v>
      </c>
      <c r="S1256" s="34" t="s">
        <v>5288</v>
      </c>
    </row>
    <row r="1257" spans="1:19" ht="364.5" x14ac:dyDescent="0.15">
      <c r="A1257" t="s">
        <v>2404</v>
      </c>
      <c r="B1257" s="61">
        <v>46204</v>
      </c>
      <c r="E1257" t="s">
        <v>355</v>
      </c>
      <c r="F1257" t="s">
        <v>351</v>
      </c>
      <c r="G1257" t="s">
        <v>354</v>
      </c>
      <c r="H1257" t="s">
        <v>365</v>
      </c>
      <c r="I1257">
        <v>1102324</v>
      </c>
      <c r="J1257" t="s">
        <v>2417</v>
      </c>
      <c r="L1257" t="s">
        <v>2418</v>
      </c>
      <c r="N1257" t="s">
        <v>2419</v>
      </c>
      <c r="O1257" t="s">
        <v>2420</v>
      </c>
      <c r="R1257" t="s">
        <v>3987</v>
      </c>
      <c r="S1257" s="34" t="s">
        <v>2421</v>
      </c>
    </row>
    <row r="1258" spans="1:19" ht="283.5" x14ac:dyDescent="0.15">
      <c r="A1258" t="s">
        <v>6294</v>
      </c>
      <c r="B1258" s="61">
        <v>46204</v>
      </c>
      <c r="E1258" t="s">
        <v>355</v>
      </c>
      <c r="F1258" t="s">
        <v>351</v>
      </c>
      <c r="G1258" t="s">
        <v>354</v>
      </c>
      <c r="H1258" t="s">
        <v>686</v>
      </c>
      <c r="I1258">
        <v>1200268</v>
      </c>
      <c r="J1258" t="s">
        <v>4568</v>
      </c>
      <c r="K1258" t="s">
        <v>4569</v>
      </c>
      <c r="L1258" t="s">
        <v>4570</v>
      </c>
      <c r="N1258">
        <v>2137575</v>
      </c>
      <c r="O1258" t="s">
        <v>4571</v>
      </c>
      <c r="R1258" t="s">
        <v>3992</v>
      </c>
      <c r="S1258" s="34" t="s">
        <v>5292</v>
      </c>
    </row>
    <row r="1259" spans="1:19" ht="409.5" x14ac:dyDescent="0.15">
      <c r="A1259" t="s">
        <v>2404</v>
      </c>
      <c r="B1259" s="61">
        <v>46204</v>
      </c>
      <c r="E1259" t="s">
        <v>355</v>
      </c>
      <c r="F1259" t="s">
        <v>351</v>
      </c>
      <c r="G1259" t="s">
        <v>354</v>
      </c>
      <c r="H1259" t="s">
        <v>309</v>
      </c>
      <c r="I1259">
        <v>1200483</v>
      </c>
      <c r="J1259" t="s">
        <v>2423</v>
      </c>
      <c r="K1259" t="s">
        <v>2260</v>
      </c>
      <c r="L1259" t="s">
        <v>390</v>
      </c>
      <c r="N1259" t="s">
        <v>4572</v>
      </c>
      <c r="O1259" t="s">
        <v>2425</v>
      </c>
      <c r="R1259" t="s">
        <v>3992</v>
      </c>
      <c r="S1259" s="34" t="s">
        <v>5293</v>
      </c>
    </row>
    <row r="1260" spans="1:19" ht="405" x14ac:dyDescent="0.15">
      <c r="A1260" t="s">
        <v>5393</v>
      </c>
      <c r="B1260" s="61">
        <v>46204</v>
      </c>
      <c r="E1260" t="s">
        <v>355</v>
      </c>
      <c r="F1260" t="s">
        <v>351</v>
      </c>
      <c r="G1260" t="s">
        <v>354</v>
      </c>
      <c r="H1260" t="s">
        <v>686</v>
      </c>
      <c r="I1260">
        <v>1200968</v>
      </c>
      <c r="J1260" t="s">
        <v>1212</v>
      </c>
      <c r="K1260" t="s">
        <v>4031</v>
      </c>
      <c r="L1260" t="s">
        <v>1018</v>
      </c>
      <c r="N1260" t="s">
        <v>4573</v>
      </c>
      <c r="O1260" t="s">
        <v>4032</v>
      </c>
      <c r="R1260" t="s">
        <v>4052</v>
      </c>
      <c r="S1260" s="34" t="s">
        <v>5294</v>
      </c>
    </row>
    <row r="1261" spans="1:19" ht="409.5" x14ac:dyDescent="0.15">
      <c r="A1261" t="s">
        <v>5393</v>
      </c>
      <c r="B1261" s="61">
        <v>46204</v>
      </c>
      <c r="E1261" t="s">
        <v>355</v>
      </c>
      <c r="F1261" t="s">
        <v>351</v>
      </c>
      <c r="G1261" t="s">
        <v>354</v>
      </c>
      <c r="H1261" t="s">
        <v>309</v>
      </c>
      <c r="I1261">
        <v>1200968</v>
      </c>
      <c r="J1261" t="s">
        <v>1212</v>
      </c>
      <c r="K1261" t="s">
        <v>4031</v>
      </c>
      <c r="L1261" t="s">
        <v>1018</v>
      </c>
      <c r="N1261" t="s">
        <v>5169</v>
      </c>
      <c r="O1261" t="s">
        <v>4032</v>
      </c>
      <c r="R1261" t="s">
        <v>4052</v>
      </c>
      <c r="S1261" s="34" t="s">
        <v>5170</v>
      </c>
    </row>
    <row r="1262" spans="1:19" ht="229.5" x14ac:dyDescent="0.15">
      <c r="A1262" t="s">
        <v>1424</v>
      </c>
      <c r="B1262" s="61">
        <v>46204</v>
      </c>
      <c r="E1262" t="s">
        <v>355</v>
      </c>
      <c r="F1262" t="s">
        <v>351</v>
      </c>
      <c r="G1262" t="s">
        <v>352</v>
      </c>
      <c r="H1262" t="s">
        <v>365</v>
      </c>
      <c r="I1262">
        <v>1201016</v>
      </c>
      <c r="J1262" t="s">
        <v>371</v>
      </c>
      <c r="K1262" t="s">
        <v>4574</v>
      </c>
      <c r="L1262" t="s">
        <v>1114</v>
      </c>
      <c r="N1262" t="s">
        <v>4575</v>
      </c>
      <c r="O1262" t="s">
        <v>4576</v>
      </c>
      <c r="R1262" t="s">
        <v>3985</v>
      </c>
      <c r="S1262" s="34" t="s">
        <v>5295</v>
      </c>
    </row>
    <row r="1263" spans="1:19" ht="202.5" x14ac:dyDescent="0.15">
      <c r="A1263" t="s">
        <v>1424</v>
      </c>
      <c r="B1263" s="61">
        <v>46204</v>
      </c>
      <c r="E1263" t="s">
        <v>355</v>
      </c>
      <c r="F1263" t="s">
        <v>351</v>
      </c>
      <c r="G1263" t="s">
        <v>354</v>
      </c>
      <c r="H1263" t="s">
        <v>3996</v>
      </c>
      <c r="I1263">
        <v>1201016</v>
      </c>
      <c r="J1263" t="s">
        <v>371</v>
      </c>
      <c r="K1263" t="s">
        <v>4574</v>
      </c>
      <c r="L1263" t="s">
        <v>1114</v>
      </c>
      <c r="N1263">
        <v>201004230</v>
      </c>
      <c r="O1263" t="s">
        <v>4576</v>
      </c>
      <c r="R1263" t="s">
        <v>3985</v>
      </c>
      <c r="S1263" s="34" t="s">
        <v>5296</v>
      </c>
    </row>
    <row r="1264" spans="1:19" ht="409.5" x14ac:dyDescent="0.15">
      <c r="A1264" t="s">
        <v>2404</v>
      </c>
      <c r="B1264" s="61">
        <v>46204</v>
      </c>
      <c r="E1264" t="s">
        <v>355</v>
      </c>
      <c r="F1264" t="s">
        <v>351</v>
      </c>
      <c r="G1264" t="s">
        <v>354</v>
      </c>
      <c r="H1264" t="s">
        <v>3996</v>
      </c>
      <c r="I1264">
        <v>1201080</v>
      </c>
      <c r="J1264" t="s">
        <v>1212</v>
      </c>
      <c r="K1264" t="s">
        <v>4577</v>
      </c>
      <c r="L1264" t="s">
        <v>2041</v>
      </c>
      <c r="N1264">
        <v>5925</v>
      </c>
      <c r="O1264" t="s">
        <v>4578</v>
      </c>
      <c r="R1264" t="s">
        <v>4052</v>
      </c>
      <c r="S1264" s="34" t="s">
        <v>5297</v>
      </c>
    </row>
    <row r="1265" spans="1:19" ht="409.5" x14ac:dyDescent="0.15">
      <c r="A1265" t="s">
        <v>5393</v>
      </c>
      <c r="B1265" s="61">
        <v>46204</v>
      </c>
      <c r="E1265" t="s">
        <v>355</v>
      </c>
      <c r="F1265" t="s">
        <v>351</v>
      </c>
      <c r="G1265" t="s">
        <v>354</v>
      </c>
      <c r="H1265" t="s">
        <v>686</v>
      </c>
      <c r="I1265">
        <v>1201362</v>
      </c>
      <c r="J1265" t="s">
        <v>2227</v>
      </c>
      <c r="K1265" t="s">
        <v>4033</v>
      </c>
      <c r="L1265" t="s">
        <v>3885</v>
      </c>
      <c r="N1265" t="s">
        <v>7646</v>
      </c>
      <c r="O1265" t="s">
        <v>4035</v>
      </c>
      <c r="R1265" t="s">
        <v>4550</v>
      </c>
      <c r="S1265" s="34" t="s">
        <v>4036</v>
      </c>
    </row>
    <row r="1266" spans="1:19" ht="409.5" x14ac:dyDescent="0.15">
      <c r="A1266" t="s">
        <v>5393</v>
      </c>
      <c r="B1266" s="61">
        <v>46204</v>
      </c>
      <c r="E1266" t="s">
        <v>355</v>
      </c>
      <c r="F1266" t="s">
        <v>351</v>
      </c>
      <c r="G1266" t="s">
        <v>354</v>
      </c>
      <c r="H1266" t="s">
        <v>365</v>
      </c>
      <c r="I1266">
        <v>1201456</v>
      </c>
      <c r="J1266" t="s">
        <v>3890</v>
      </c>
      <c r="K1266" t="s">
        <v>3896</v>
      </c>
      <c r="L1266" t="s">
        <v>3897</v>
      </c>
      <c r="N1266" t="s">
        <v>3898</v>
      </c>
      <c r="O1266" t="s">
        <v>3899</v>
      </c>
      <c r="R1266" t="s">
        <v>4052</v>
      </c>
      <c r="S1266" s="34" t="s">
        <v>3900</v>
      </c>
    </row>
    <row r="1267" spans="1:19" ht="256.5" x14ac:dyDescent="0.15">
      <c r="A1267" t="s">
        <v>6275</v>
      </c>
      <c r="B1267" s="61">
        <v>46204</v>
      </c>
      <c r="E1267" t="s">
        <v>355</v>
      </c>
      <c r="F1267" t="s">
        <v>351</v>
      </c>
      <c r="G1267" t="s">
        <v>352</v>
      </c>
      <c r="H1267" t="s">
        <v>353</v>
      </c>
      <c r="I1267">
        <v>1201525</v>
      </c>
      <c r="J1267" t="s">
        <v>1360</v>
      </c>
      <c r="K1267" t="s">
        <v>1956</v>
      </c>
      <c r="L1267" t="s">
        <v>4579</v>
      </c>
      <c r="N1267" t="s">
        <v>4580</v>
      </c>
      <c r="O1267" t="s">
        <v>4581</v>
      </c>
      <c r="R1267" t="s">
        <v>3985</v>
      </c>
      <c r="S1267" s="34" t="s">
        <v>5298</v>
      </c>
    </row>
    <row r="1268" spans="1:19" ht="409.5" x14ac:dyDescent="0.15">
      <c r="A1268" t="s">
        <v>3895</v>
      </c>
      <c r="B1268" s="61">
        <v>46204</v>
      </c>
      <c r="E1268" t="s">
        <v>355</v>
      </c>
      <c r="F1268" t="s">
        <v>351</v>
      </c>
      <c r="G1268" t="s">
        <v>354</v>
      </c>
      <c r="H1268" t="s">
        <v>353</v>
      </c>
      <c r="I1268">
        <v>1201594</v>
      </c>
      <c r="J1268" t="s">
        <v>4155</v>
      </c>
      <c r="K1268" t="s">
        <v>4156</v>
      </c>
      <c r="L1268" t="s">
        <v>466</v>
      </c>
      <c r="N1268" t="s">
        <v>4582</v>
      </c>
      <c r="O1268" t="s">
        <v>4157</v>
      </c>
      <c r="R1268" t="s">
        <v>3987</v>
      </c>
      <c r="S1268" s="34" t="s">
        <v>5299</v>
      </c>
    </row>
    <row r="1269" spans="1:19" ht="409.5" x14ac:dyDescent="0.15">
      <c r="A1269" t="s">
        <v>3895</v>
      </c>
      <c r="B1269" s="61">
        <v>46204</v>
      </c>
      <c r="E1269" t="s">
        <v>355</v>
      </c>
      <c r="F1269" t="s">
        <v>351</v>
      </c>
      <c r="G1269" t="s">
        <v>354</v>
      </c>
      <c r="H1269" t="s">
        <v>4583</v>
      </c>
      <c r="I1269">
        <v>1201594</v>
      </c>
      <c r="J1269" t="s">
        <v>4155</v>
      </c>
      <c r="K1269" t="s">
        <v>4156</v>
      </c>
      <c r="L1269" t="s">
        <v>466</v>
      </c>
      <c r="N1269" t="s">
        <v>4584</v>
      </c>
      <c r="O1269" t="s">
        <v>4157</v>
      </c>
      <c r="R1269" s="34" t="s">
        <v>4585</v>
      </c>
      <c r="S1269" s="34" t="s">
        <v>5300</v>
      </c>
    </row>
    <row r="1270" spans="1:19" ht="270" x14ac:dyDescent="0.15">
      <c r="A1270" t="s">
        <v>3024</v>
      </c>
      <c r="B1270" s="61">
        <v>46204</v>
      </c>
      <c r="E1270" t="s">
        <v>355</v>
      </c>
      <c r="F1270" t="s">
        <v>351</v>
      </c>
      <c r="G1270" t="s">
        <v>354</v>
      </c>
      <c r="H1270" t="s">
        <v>310</v>
      </c>
      <c r="I1270">
        <v>1301260</v>
      </c>
      <c r="J1270" t="s">
        <v>3028</v>
      </c>
      <c r="K1270" t="s">
        <v>3029</v>
      </c>
      <c r="L1270" t="s">
        <v>3030</v>
      </c>
      <c r="N1270" t="s">
        <v>3031</v>
      </c>
      <c r="O1270" t="s">
        <v>3032</v>
      </c>
      <c r="R1270" t="s">
        <v>3987</v>
      </c>
      <c r="S1270" s="34" t="s">
        <v>3033</v>
      </c>
    </row>
    <row r="1271" spans="1:19" ht="364.5" x14ac:dyDescent="0.15">
      <c r="A1271" t="s">
        <v>2434</v>
      </c>
      <c r="B1271" s="61">
        <v>46204</v>
      </c>
      <c r="E1271" t="s">
        <v>355</v>
      </c>
      <c r="F1271" t="s">
        <v>351</v>
      </c>
      <c r="G1271" t="s">
        <v>354</v>
      </c>
      <c r="H1271" t="s">
        <v>686</v>
      </c>
      <c r="I1271">
        <v>1301669</v>
      </c>
      <c r="J1271" t="s">
        <v>2451</v>
      </c>
      <c r="K1271" t="s">
        <v>2452</v>
      </c>
      <c r="L1271" t="s">
        <v>2453</v>
      </c>
      <c r="N1271">
        <v>2187836</v>
      </c>
      <c r="O1271" t="s">
        <v>2455</v>
      </c>
      <c r="R1271" t="s">
        <v>5167</v>
      </c>
      <c r="S1271" s="34" t="s">
        <v>6540</v>
      </c>
    </row>
    <row r="1272" spans="1:19" ht="409.5" x14ac:dyDescent="0.15">
      <c r="A1272" t="s">
        <v>2993</v>
      </c>
      <c r="B1272" s="61">
        <v>46204</v>
      </c>
      <c r="E1272" t="s">
        <v>355</v>
      </c>
      <c r="F1272" t="s">
        <v>351</v>
      </c>
      <c r="G1272" t="s">
        <v>354</v>
      </c>
      <c r="H1272" t="s">
        <v>365</v>
      </c>
      <c r="I1272">
        <v>1301673</v>
      </c>
      <c r="J1272" t="s">
        <v>2994</v>
      </c>
      <c r="K1272" t="s">
        <v>2995</v>
      </c>
      <c r="L1272" t="s">
        <v>2459</v>
      </c>
      <c r="N1272" t="s">
        <v>2996</v>
      </c>
      <c r="O1272" t="s">
        <v>2997</v>
      </c>
      <c r="R1272" t="s">
        <v>3987</v>
      </c>
      <c r="S1272" s="34" t="s">
        <v>5301</v>
      </c>
    </row>
    <row r="1273" spans="1:19" ht="409.5" x14ac:dyDescent="0.15">
      <c r="A1273" t="s">
        <v>2993</v>
      </c>
      <c r="B1273" s="61">
        <v>46204</v>
      </c>
      <c r="E1273" t="s">
        <v>355</v>
      </c>
      <c r="F1273" t="s">
        <v>351</v>
      </c>
      <c r="G1273" t="s">
        <v>354</v>
      </c>
      <c r="H1273" t="s">
        <v>353</v>
      </c>
      <c r="I1273">
        <v>1301673</v>
      </c>
      <c r="J1273" t="s">
        <v>2994</v>
      </c>
      <c r="K1273" t="s">
        <v>2995</v>
      </c>
      <c r="L1273" t="s">
        <v>2459</v>
      </c>
      <c r="N1273" t="s">
        <v>7517</v>
      </c>
      <c r="O1273" t="s">
        <v>2997</v>
      </c>
      <c r="R1273" s="34" t="s">
        <v>7518</v>
      </c>
      <c r="S1273" s="34" t="s">
        <v>7519</v>
      </c>
    </row>
    <row r="1274" spans="1:19" ht="409.5" x14ac:dyDescent="0.15">
      <c r="A1274" t="s">
        <v>501</v>
      </c>
      <c r="B1274" s="61">
        <v>46204</v>
      </c>
      <c r="E1274" t="s">
        <v>355</v>
      </c>
      <c r="F1274" t="s">
        <v>351</v>
      </c>
      <c r="G1274" t="s">
        <v>354</v>
      </c>
      <c r="H1274" t="s">
        <v>353</v>
      </c>
      <c r="I1274">
        <v>1401490</v>
      </c>
      <c r="J1274" t="s">
        <v>550</v>
      </c>
      <c r="K1274" t="s">
        <v>551</v>
      </c>
      <c r="L1274" t="s">
        <v>512</v>
      </c>
      <c r="N1274" t="s">
        <v>4587</v>
      </c>
      <c r="O1274" t="s">
        <v>553</v>
      </c>
      <c r="R1274" t="s">
        <v>4430</v>
      </c>
      <c r="S1274" s="34" t="s">
        <v>5303</v>
      </c>
    </row>
    <row r="1275" spans="1:19" ht="243" x14ac:dyDescent="0.15">
      <c r="A1275" t="s">
        <v>5524</v>
      </c>
      <c r="B1275" s="61">
        <v>46204</v>
      </c>
      <c r="E1275" t="s">
        <v>355</v>
      </c>
      <c r="F1275" t="s">
        <v>351</v>
      </c>
      <c r="G1275" t="s">
        <v>352</v>
      </c>
      <c r="H1275" t="s">
        <v>365</v>
      </c>
      <c r="I1275">
        <v>1401675</v>
      </c>
      <c r="J1275" t="s">
        <v>4241</v>
      </c>
      <c r="K1275" t="s">
        <v>4588</v>
      </c>
      <c r="L1275" t="s">
        <v>4589</v>
      </c>
      <c r="N1275" t="s">
        <v>4590</v>
      </c>
      <c r="O1275" t="s">
        <v>4591</v>
      </c>
      <c r="R1275" t="s">
        <v>3985</v>
      </c>
      <c r="S1275" s="34" t="s">
        <v>5304</v>
      </c>
    </row>
    <row r="1276" spans="1:19" ht="391.5" x14ac:dyDescent="0.15">
      <c r="A1276" t="s">
        <v>1715</v>
      </c>
      <c r="B1276" s="61">
        <v>46204</v>
      </c>
      <c r="E1276" t="s">
        <v>355</v>
      </c>
      <c r="F1276" t="s">
        <v>351</v>
      </c>
      <c r="G1276" t="s">
        <v>352</v>
      </c>
      <c r="H1276" t="s">
        <v>365</v>
      </c>
      <c r="I1276">
        <v>1500552</v>
      </c>
      <c r="J1276" t="s">
        <v>1726</v>
      </c>
      <c r="K1276" t="s">
        <v>1727</v>
      </c>
      <c r="L1276" t="s">
        <v>4592</v>
      </c>
      <c r="N1276" t="s">
        <v>4593</v>
      </c>
      <c r="O1276" t="s">
        <v>4594</v>
      </c>
      <c r="R1276" t="s">
        <v>3985</v>
      </c>
      <c r="S1276" s="34" t="s">
        <v>5305</v>
      </c>
    </row>
    <row r="1277" spans="1:19" ht="409.5" x14ac:dyDescent="0.15">
      <c r="A1277" t="s">
        <v>1715</v>
      </c>
      <c r="B1277" s="61">
        <v>46204</v>
      </c>
      <c r="E1277" t="s">
        <v>355</v>
      </c>
      <c r="F1277" t="s">
        <v>351</v>
      </c>
      <c r="G1277" t="s">
        <v>354</v>
      </c>
      <c r="H1277" t="s">
        <v>353</v>
      </c>
      <c r="I1277">
        <v>1500578</v>
      </c>
      <c r="J1277" t="s">
        <v>1759</v>
      </c>
      <c r="L1277" t="s">
        <v>698</v>
      </c>
      <c r="N1277" t="s">
        <v>4595</v>
      </c>
      <c r="O1277" t="s">
        <v>1761</v>
      </c>
      <c r="R1277" t="s">
        <v>3986</v>
      </c>
      <c r="S1277" s="34" t="s">
        <v>5306</v>
      </c>
    </row>
    <row r="1278" spans="1:19" ht="409.5" x14ac:dyDescent="0.15">
      <c r="A1278" t="s">
        <v>1614</v>
      </c>
      <c r="B1278" s="61">
        <v>46204</v>
      </c>
      <c r="E1278" t="s">
        <v>355</v>
      </c>
      <c r="F1278" t="s">
        <v>351</v>
      </c>
      <c r="G1278" t="s">
        <v>352</v>
      </c>
      <c r="H1278" t="s">
        <v>365</v>
      </c>
      <c r="I1278">
        <v>2000056</v>
      </c>
      <c r="J1278" t="s">
        <v>4596</v>
      </c>
      <c r="K1278" t="s">
        <v>4597</v>
      </c>
      <c r="L1278" t="s">
        <v>4598</v>
      </c>
      <c r="N1278" t="s">
        <v>4599</v>
      </c>
      <c r="O1278" t="s">
        <v>4600</v>
      </c>
      <c r="R1278" t="s">
        <v>3985</v>
      </c>
      <c r="S1278" s="34" t="s">
        <v>5307</v>
      </c>
    </row>
    <row r="1279" spans="1:19" ht="243" x14ac:dyDescent="0.15">
      <c r="A1279" t="s">
        <v>1614</v>
      </c>
      <c r="B1279" s="61">
        <v>46204</v>
      </c>
      <c r="E1279" t="s">
        <v>355</v>
      </c>
      <c r="F1279" t="s">
        <v>351</v>
      </c>
      <c r="G1279" t="s">
        <v>354</v>
      </c>
      <c r="H1279" t="s">
        <v>353</v>
      </c>
      <c r="I1279">
        <v>2000602</v>
      </c>
      <c r="J1279" t="s">
        <v>4601</v>
      </c>
      <c r="L1279" t="s">
        <v>4602</v>
      </c>
      <c r="N1279" t="s">
        <v>4603</v>
      </c>
      <c r="O1279" t="s">
        <v>4604</v>
      </c>
      <c r="R1279" t="s">
        <v>3987</v>
      </c>
      <c r="S1279" s="34" t="s">
        <v>5308</v>
      </c>
    </row>
    <row r="1280" spans="1:19" ht="351" x14ac:dyDescent="0.15">
      <c r="A1280" t="s">
        <v>1614</v>
      </c>
      <c r="B1280" s="61">
        <v>46204</v>
      </c>
      <c r="E1280" t="s">
        <v>355</v>
      </c>
      <c r="F1280" t="s">
        <v>351</v>
      </c>
      <c r="G1280" t="s">
        <v>354</v>
      </c>
      <c r="H1280" t="s">
        <v>353</v>
      </c>
      <c r="I1280">
        <v>2000710</v>
      </c>
      <c r="J1280" t="s">
        <v>1695</v>
      </c>
      <c r="K1280" t="s">
        <v>1700</v>
      </c>
      <c r="L1280" t="s">
        <v>1701</v>
      </c>
      <c r="N1280" t="s">
        <v>1702</v>
      </c>
      <c r="O1280" t="s">
        <v>1703</v>
      </c>
      <c r="R1280" t="s">
        <v>3986</v>
      </c>
      <c r="S1280" s="34" t="s">
        <v>1704</v>
      </c>
    </row>
    <row r="1281" spans="1:19" ht="351" x14ac:dyDescent="0.15">
      <c r="A1281" t="s">
        <v>1614</v>
      </c>
      <c r="B1281" s="61">
        <v>46204</v>
      </c>
      <c r="E1281" t="s">
        <v>355</v>
      </c>
      <c r="F1281" t="s">
        <v>351</v>
      </c>
      <c r="G1281" t="s">
        <v>354</v>
      </c>
      <c r="H1281" t="s">
        <v>353</v>
      </c>
      <c r="I1281">
        <v>2000795</v>
      </c>
      <c r="J1281" t="s">
        <v>1695</v>
      </c>
      <c r="K1281" t="s">
        <v>1696</v>
      </c>
      <c r="L1281" t="s">
        <v>390</v>
      </c>
      <c r="N1281" t="s">
        <v>4605</v>
      </c>
      <c r="O1281" t="s">
        <v>1698</v>
      </c>
      <c r="R1281" t="s">
        <v>3986</v>
      </c>
      <c r="S1281" s="34" t="s">
        <v>5309</v>
      </c>
    </row>
    <row r="1282" spans="1:19" ht="364.5" x14ac:dyDescent="0.15">
      <c r="A1282" t="s">
        <v>2456</v>
      </c>
      <c r="B1282" s="61">
        <v>46204</v>
      </c>
      <c r="E1282" t="s">
        <v>355</v>
      </c>
      <c r="F1282" t="s">
        <v>351</v>
      </c>
      <c r="G1282" t="s">
        <v>354</v>
      </c>
      <c r="H1282" t="s">
        <v>353</v>
      </c>
      <c r="I1282">
        <v>2201563</v>
      </c>
      <c r="J1282" t="s">
        <v>2476</v>
      </c>
      <c r="L1282" t="s">
        <v>4099</v>
      </c>
      <c r="N1282" t="s">
        <v>4100</v>
      </c>
      <c r="O1282" t="s">
        <v>4101</v>
      </c>
      <c r="R1282" t="s">
        <v>3986</v>
      </c>
      <c r="S1282" s="34" t="s">
        <v>5315</v>
      </c>
    </row>
    <row r="1283" spans="1:19" ht="409.5" x14ac:dyDescent="0.15">
      <c r="A1283" t="s">
        <v>2456</v>
      </c>
      <c r="B1283" s="61">
        <v>46204</v>
      </c>
      <c r="E1283" t="s">
        <v>355</v>
      </c>
      <c r="F1283" t="s">
        <v>351</v>
      </c>
      <c r="G1283" t="s">
        <v>352</v>
      </c>
      <c r="H1283" t="s">
        <v>310</v>
      </c>
      <c r="I1283">
        <v>2202178</v>
      </c>
      <c r="J1283" t="s">
        <v>4613</v>
      </c>
      <c r="L1283" t="s">
        <v>4614</v>
      </c>
      <c r="N1283" t="s">
        <v>4615</v>
      </c>
      <c r="O1283" t="s">
        <v>4616</v>
      </c>
      <c r="R1283" t="s">
        <v>3985</v>
      </c>
      <c r="S1283" s="34" t="s">
        <v>5316</v>
      </c>
    </row>
    <row r="1284" spans="1:19" ht="409.5" x14ac:dyDescent="0.15">
      <c r="A1284" t="s">
        <v>2456</v>
      </c>
      <c r="B1284" s="61">
        <v>46204</v>
      </c>
      <c r="E1284" t="s">
        <v>355</v>
      </c>
      <c r="F1284" t="s">
        <v>351</v>
      </c>
      <c r="G1284" t="s">
        <v>354</v>
      </c>
      <c r="H1284" t="s">
        <v>686</v>
      </c>
      <c r="I1284">
        <v>2202285</v>
      </c>
      <c r="J1284" t="s">
        <v>2694</v>
      </c>
      <c r="K1284" t="s">
        <v>4617</v>
      </c>
      <c r="L1284" t="s">
        <v>1114</v>
      </c>
      <c r="N1284">
        <v>2154588</v>
      </c>
      <c r="O1284" t="s">
        <v>4618</v>
      </c>
      <c r="R1284" t="s">
        <v>4534</v>
      </c>
      <c r="S1284" s="34" t="s">
        <v>5317</v>
      </c>
    </row>
    <row r="1285" spans="1:19" ht="409.5" x14ac:dyDescent="0.15">
      <c r="A1285" t="s">
        <v>617</v>
      </c>
      <c r="B1285" s="61">
        <v>46204</v>
      </c>
      <c r="E1285" t="s">
        <v>355</v>
      </c>
      <c r="F1285" t="s">
        <v>351</v>
      </c>
      <c r="G1285" t="s">
        <v>354</v>
      </c>
      <c r="H1285" t="s">
        <v>353</v>
      </c>
      <c r="I1285">
        <v>2300508</v>
      </c>
      <c r="J1285" t="s">
        <v>657</v>
      </c>
      <c r="K1285" t="s">
        <v>658</v>
      </c>
      <c r="L1285" t="s">
        <v>661</v>
      </c>
      <c r="N1285" t="s">
        <v>5098</v>
      </c>
      <c r="O1285" t="s">
        <v>662</v>
      </c>
      <c r="R1285" t="s">
        <v>3987</v>
      </c>
      <c r="S1285" s="34" t="s">
        <v>5318</v>
      </c>
    </row>
    <row r="1286" spans="1:19" ht="409.5" x14ac:dyDescent="0.15">
      <c r="A1286" t="s">
        <v>3252</v>
      </c>
      <c r="B1286" s="61">
        <v>46204</v>
      </c>
      <c r="E1286" t="s">
        <v>355</v>
      </c>
      <c r="F1286" t="s">
        <v>351</v>
      </c>
      <c r="G1286" t="s">
        <v>354</v>
      </c>
      <c r="H1286" t="s">
        <v>353</v>
      </c>
      <c r="I1286">
        <v>2300535</v>
      </c>
      <c r="J1286" t="s">
        <v>531</v>
      </c>
      <c r="K1286" t="s">
        <v>3267</v>
      </c>
      <c r="L1286" t="s">
        <v>3268</v>
      </c>
      <c r="N1286" t="s">
        <v>3269</v>
      </c>
      <c r="O1286" t="s">
        <v>3270</v>
      </c>
      <c r="R1286" t="s">
        <v>3992</v>
      </c>
      <c r="S1286" s="34" t="s">
        <v>5319</v>
      </c>
    </row>
    <row r="1287" spans="1:19" ht="409.5" x14ac:dyDescent="0.15">
      <c r="A1287" t="s">
        <v>3252</v>
      </c>
      <c r="B1287" s="61">
        <v>46204</v>
      </c>
      <c r="E1287" t="s">
        <v>355</v>
      </c>
      <c r="F1287" t="s">
        <v>351</v>
      </c>
      <c r="G1287" t="s">
        <v>354</v>
      </c>
      <c r="H1287" t="s">
        <v>309</v>
      </c>
      <c r="I1287">
        <v>2300535</v>
      </c>
      <c r="J1287" t="s">
        <v>531</v>
      </c>
      <c r="K1287" t="s">
        <v>3267</v>
      </c>
      <c r="L1287" t="s">
        <v>3268</v>
      </c>
      <c r="N1287" t="s">
        <v>4619</v>
      </c>
      <c r="O1287" t="s">
        <v>3270</v>
      </c>
      <c r="R1287" t="s">
        <v>3992</v>
      </c>
      <c r="S1287" s="34" t="s">
        <v>5320</v>
      </c>
    </row>
    <row r="1288" spans="1:19" ht="229.5" x14ac:dyDescent="0.15">
      <c r="A1288" t="s">
        <v>3226</v>
      </c>
      <c r="B1288" s="61">
        <v>46204</v>
      </c>
      <c r="E1288" t="s">
        <v>355</v>
      </c>
      <c r="F1288" t="s">
        <v>351</v>
      </c>
      <c r="G1288" t="s">
        <v>354</v>
      </c>
      <c r="H1288" t="s">
        <v>353</v>
      </c>
      <c r="I1288">
        <v>2301037</v>
      </c>
      <c r="J1288" t="s">
        <v>3246</v>
      </c>
      <c r="K1288" t="s">
        <v>3247</v>
      </c>
      <c r="L1288" t="s">
        <v>3248</v>
      </c>
      <c r="N1288" t="s">
        <v>3249</v>
      </c>
      <c r="O1288" t="s">
        <v>3250</v>
      </c>
      <c r="R1288" t="s">
        <v>3987</v>
      </c>
      <c r="S1288" s="34" t="s">
        <v>3251</v>
      </c>
    </row>
    <row r="1289" spans="1:19" ht="216" x14ac:dyDescent="0.15">
      <c r="A1289" t="s">
        <v>3226</v>
      </c>
      <c r="B1289" s="61">
        <v>46204</v>
      </c>
      <c r="E1289" t="s">
        <v>355</v>
      </c>
      <c r="F1289" t="s">
        <v>351</v>
      </c>
      <c r="G1289" t="s">
        <v>354</v>
      </c>
      <c r="H1289" t="s">
        <v>686</v>
      </c>
      <c r="I1289">
        <v>2301037</v>
      </c>
      <c r="J1289" t="s">
        <v>3246</v>
      </c>
      <c r="K1289" t="s">
        <v>3247</v>
      </c>
      <c r="L1289" t="s">
        <v>3248</v>
      </c>
      <c r="N1289">
        <v>2125867</v>
      </c>
      <c r="O1289" t="s">
        <v>3250</v>
      </c>
      <c r="R1289" t="s">
        <v>3987</v>
      </c>
      <c r="S1289" s="34" t="s">
        <v>5322</v>
      </c>
    </row>
    <row r="1290" spans="1:19" ht="243" x14ac:dyDescent="0.15">
      <c r="A1290" t="s">
        <v>617</v>
      </c>
      <c r="B1290" s="61">
        <v>46204</v>
      </c>
      <c r="E1290" t="s">
        <v>355</v>
      </c>
      <c r="F1290" t="s">
        <v>351</v>
      </c>
      <c r="G1290" t="s">
        <v>354</v>
      </c>
      <c r="H1290" t="s">
        <v>365</v>
      </c>
      <c r="I1290">
        <v>2301188</v>
      </c>
      <c r="J1290" t="s">
        <v>4429</v>
      </c>
      <c r="K1290" t="s">
        <v>4624</v>
      </c>
      <c r="L1290" t="s">
        <v>413</v>
      </c>
      <c r="N1290" t="s">
        <v>4625</v>
      </c>
      <c r="O1290" t="s">
        <v>4626</v>
      </c>
      <c r="R1290" t="s">
        <v>4430</v>
      </c>
      <c r="S1290" s="34" t="s">
        <v>5323</v>
      </c>
    </row>
    <row r="1291" spans="1:19" ht="351" x14ac:dyDescent="0.15">
      <c r="A1291" t="s">
        <v>3226</v>
      </c>
      <c r="B1291" s="61">
        <v>46204</v>
      </c>
      <c r="E1291" t="s">
        <v>355</v>
      </c>
      <c r="F1291" t="s">
        <v>351</v>
      </c>
      <c r="G1291" t="s">
        <v>352</v>
      </c>
      <c r="H1291" t="s">
        <v>353</v>
      </c>
      <c r="I1291">
        <v>2301417</v>
      </c>
      <c r="J1291" t="s">
        <v>4627</v>
      </c>
      <c r="K1291" t="s">
        <v>4628</v>
      </c>
      <c r="L1291" t="s">
        <v>1148</v>
      </c>
      <c r="N1291" t="s">
        <v>4629</v>
      </c>
      <c r="O1291" t="s">
        <v>4630</v>
      </c>
      <c r="R1291" t="s">
        <v>3985</v>
      </c>
      <c r="S1291" s="34" t="s">
        <v>5324</v>
      </c>
    </row>
    <row r="1292" spans="1:19" ht="364.5" x14ac:dyDescent="0.15">
      <c r="A1292" t="s">
        <v>617</v>
      </c>
      <c r="B1292" s="61">
        <v>46204</v>
      </c>
      <c r="E1292" t="s">
        <v>355</v>
      </c>
      <c r="F1292" t="s">
        <v>351</v>
      </c>
      <c r="G1292" t="s">
        <v>354</v>
      </c>
      <c r="H1292" t="s">
        <v>353</v>
      </c>
      <c r="I1292">
        <v>2302235</v>
      </c>
      <c r="J1292" t="s">
        <v>654</v>
      </c>
      <c r="L1292" t="s">
        <v>613</v>
      </c>
      <c r="N1292" t="s">
        <v>655</v>
      </c>
      <c r="O1292" t="s">
        <v>656</v>
      </c>
      <c r="R1292" t="s">
        <v>3987</v>
      </c>
      <c r="S1292" s="34" t="s">
        <v>5325</v>
      </c>
    </row>
    <row r="1293" spans="1:19" ht="243" x14ac:dyDescent="0.15">
      <c r="A1293" t="s">
        <v>3483</v>
      </c>
      <c r="B1293" s="61">
        <v>46204</v>
      </c>
      <c r="E1293" t="s">
        <v>355</v>
      </c>
      <c r="F1293" t="s">
        <v>351</v>
      </c>
      <c r="G1293" t="s">
        <v>352</v>
      </c>
      <c r="H1293" t="s">
        <v>353</v>
      </c>
      <c r="I1293">
        <v>2302486</v>
      </c>
      <c r="J1293" t="s">
        <v>3504</v>
      </c>
      <c r="L1293" t="s">
        <v>413</v>
      </c>
      <c r="N1293" t="s">
        <v>3505</v>
      </c>
      <c r="O1293" t="s">
        <v>3506</v>
      </c>
      <c r="R1293" t="s">
        <v>3985</v>
      </c>
      <c r="S1293" s="34" t="s">
        <v>5326</v>
      </c>
    </row>
    <row r="1294" spans="1:19" ht="409.5" x14ac:dyDescent="0.15">
      <c r="A1294" t="s">
        <v>617</v>
      </c>
      <c r="B1294" s="61">
        <v>46204</v>
      </c>
      <c r="E1294" t="s">
        <v>355</v>
      </c>
      <c r="F1294" t="s">
        <v>351</v>
      </c>
      <c r="G1294" t="s">
        <v>354</v>
      </c>
      <c r="H1294" t="s">
        <v>353</v>
      </c>
      <c r="I1294">
        <v>2303262</v>
      </c>
      <c r="J1294" t="s">
        <v>641</v>
      </c>
      <c r="K1294" t="s">
        <v>642</v>
      </c>
      <c r="L1294" t="s">
        <v>643</v>
      </c>
      <c r="N1294" t="s">
        <v>4631</v>
      </c>
      <c r="O1294" t="s">
        <v>645</v>
      </c>
      <c r="R1294" t="s">
        <v>4012</v>
      </c>
      <c r="S1294" s="34" t="s">
        <v>5328</v>
      </c>
    </row>
    <row r="1295" spans="1:19" ht="243" x14ac:dyDescent="0.15">
      <c r="A1295" t="s">
        <v>3252</v>
      </c>
      <c r="B1295" s="61">
        <v>46204</v>
      </c>
      <c r="E1295" t="s">
        <v>355</v>
      </c>
      <c r="F1295" t="s">
        <v>351</v>
      </c>
      <c r="G1295" t="s">
        <v>352</v>
      </c>
      <c r="H1295" t="s">
        <v>365</v>
      </c>
      <c r="I1295">
        <v>2303280</v>
      </c>
      <c r="J1295" t="s">
        <v>4632</v>
      </c>
      <c r="K1295" t="s">
        <v>4633</v>
      </c>
      <c r="L1295" t="s">
        <v>4634</v>
      </c>
      <c r="N1295" t="s">
        <v>4635</v>
      </c>
      <c r="O1295" t="s">
        <v>4636</v>
      </c>
      <c r="R1295" t="s">
        <v>3985</v>
      </c>
      <c r="S1295" s="34" t="s">
        <v>5329</v>
      </c>
    </row>
    <row r="1296" spans="1:19" ht="409.5" x14ac:dyDescent="0.15">
      <c r="A1296" t="s">
        <v>2693</v>
      </c>
      <c r="B1296" s="61">
        <v>46204</v>
      </c>
      <c r="E1296" t="s">
        <v>355</v>
      </c>
      <c r="F1296" t="s">
        <v>351</v>
      </c>
      <c r="G1296" t="s">
        <v>354</v>
      </c>
      <c r="H1296" t="s">
        <v>353</v>
      </c>
      <c r="I1296">
        <v>2303781</v>
      </c>
      <c r="J1296" t="s">
        <v>2694</v>
      </c>
      <c r="K1296" t="s">
        <v>2715</v>
      </c>
      <c r="L1296" t="s">
        <v>718</v>
      </c>
      <c r="N1296" t="s">
        <v>5163</v>
      </c>
      <c r="O1296" t="s">
        <v>2716</v>
      </c>
      <c r="R1296" t="s">
        <v>3987</v>
      </c>
      <c r="S1296" s="34" t="s">
        <v>2717</v>
      </c>
    </row>
    <row r="1297" spans="1:19" ht="337.5" x14ac:dyDescent="0.15">
      <c r="A1297" t="s">
        <v>2693</v>
      </c>
      <c r="B1297" s="61">
        <v>46204</v>
      </c>
      <c r="E1297" t="s">
        <v>355</v>
      </c>
      <c r="F1297" t="s">
        <v>351</v>
      </c>
      <c r="G1297" t="s">
        <v>354</v>
      </c>
      <c r="H1297" t="s">
        <v>686</v>
      </c>
      <c r="I1297">
        <v>2303834</v>
      </c>
      <c r="J1297" t="s">
        <v>974</v>
      </c>
      <c r="K1297" t="s">
        <v>2759</v>
      </c>
      <c r="L1297" t="s">
        <v>4053</v>
      </c>
      <c r="N1297">
        <v>2165185</v>
      </c>
      <c r="O1297" t="s">
        <v>2762</v>
      </c>
      <c r="R1297" t="s">
        <v>3986</v>
      </c>
      <c r="S1297" s="34" t="s">
        <v>5330</v>
      </c>
    </row>
    <row r="1298" spans="1:19" ht="405" x14ac:dyDescent="0.15">
      <c r="A1298" t="s">
        <v>1234</v>
      </c>
      <c r="B1298" s="61">
        <v>46204</v>
      </c>
      <c r="E1298" t="s">
        <v>355</v>
      </c>
      <c r="F1298" t="s">
        <v>351</v>
      </c>
      <c r="G1298" t="s">
        <v>352</v>
      </c>
      <c r="H1298" t="s">
        <v>310</v>
      </c>
      <c r="I1298">
        <v>2400067</v>
      </c>
      <c r="J1298" t="s">
        <v>1246</v>
      </c>
      <c r="L1298" t="s">
        <v>413</v>
      </c>
      <c r="N1298" t="s">
        <v>1247</v>
      </c>
      <c r="O1298" t="s">
        <v>1248</v>
      </c>
      <c r="R1298" t="s">
        <v>3985</v>
      </c>
      <c r="S1298" s="34" t="s">
        <v>1249</v>
      </c>
    </row>
    <row r="1299" spans="1:19" ht="409.5" x14ac:dyDescent="0.15">
      <c r="A1299" t="s">
        <v>1297</v>
      </c>
      <c r="B1299" s="61">
        <v>46204</v>
      </c>
      <c r="E1299" t="s">
        <v>355</v>
      </c>
      <c r="F1299" t="s">
        <v>351</v>
      </c>
      <c r="G1299" t="s">
        <v>354</v>
      </c>
      <c r="H1299" t="s">
        <v>686</v>
      </c>
      <c r="I1299">
        <v>2400326</v>
      </c>
      <c r="J1299" t="s">
        <v>1298</v>
      </c>
      <c r="K1299" t="s">
        <v>1299</v>
      </c>
      <c r="L1299" t="s">
        <v>1300</v>
      </c>
      <c r="N1299">
        <v>2088857</v>
      </c>
      <c r="O1299" t="s">
        <v>1301</v>
      </c>
      <c r="R1299" t="s">
        <v>4052</v>
      </c>
      <c r="S1299" s="34" t="s">
        <v>5331</v>
      </c>
    </row>
    <row r="1300" spans="1:19" ht="409.5" x14ac:dyDescent="0.15">
      <c r="A1300" t="s">
        <v>1297</v>
      </c>
      <c r="B1300" s="61">
        <v>46204</v>
      </c>
      <c r="E1300" t="s">
        <v>355</v>
      </c>
      <c r="F1300" t="s">
        <v>351</v>
      </c>
      <c r="G1300" t="s">
        <v>354</v>
      </c>
      <c r="H1300" t="s">
        <v>353</v>
      </c>
      <c r="I1300">
        <v>2400526</v>
      </c>
      <c r="J1300" t="s">
        <v>4637</v>
      </c>
      <c r="K1300" t="s">
        <v>4638</v>
      </c>
      <c r="L1300" t="s">
        <v>4639</v>
      </c>
      <c r="N1300" t="s">
        <v>4640</v>
      </c>
      <c r="O1300" t="s">
        <v>4641</v>
      </c>
      <c r="R1300" t="s">
        <v>4012</v>
      </c>
      <c r="S1300" s="34" t="s">
        <v>5332</v>
      </c>
    </row>
    <row r="1301" spans="1:19" ht="409.5" x14ac:dyDescent="0.15">
      <c r="A1301" t="s">
        <v>1297</v>
      </c>
      <c r="B1301" s="61">
        <v>46204</v>
      </c>
      <c r="E1301" t="s">
        <v>355</v>
      </c>
      <c r="F1301" t="s">
        <v>351</v>
      </c>
      <c r="G1301" t="s">
        <v>354</v>
      </c>
      <c r="H1301" t="s">
        <v>686</v>
      </c>
      <c r="I1301">
        <v>2400543</v>
      </c>
      <c r="J1301" t="s">
        <v>2735</v>
      </c>
      <c r="K1301" t="s">
        <v>4642</v>
      </c>
      <c r="L1301" t="s">
        <v>413</v>
      </c>
      <c r="N1301">
        <v>2159383</v>
      </c>
      <c r="O1301" t="s">
        <v>4643</v>
      </c>
      <c r="R1301" t="s">
        <v>4318</v>
      </c>
      <c r="S1301" s="34" t="s">
        <v>5333</v>
      </c>
    </row>
    <row r="1302" spans="1:19" ht="229.5" x14ac:dyDescent="0.15">
      <c r="A1302" t="s">
        <v>1297</v>
      </c>
      <c r="B1302" s="61">
        <v>46204</v>
      </c>
      <c r="E1302" t="s">
        <v>355</v>
      </c>
      <c r="F1302" t="s">
        <v>351</v>
      </c>
      <c r="G1302" t="s">
        <v>354</v>
      </c>
      <c r="H1302" t="s">
        <v>353</v>
      </c>
      <c r="I1302">
        <v>2401248</v>
      </c>
      <c r="J1302" t="s">
        <v>3940</v>
      </c>
      <c r="K1302" t="s">
        <v>1542</v>
      </c>
      <c r="L1302" t="s">
        <v>2082</v>
      </c>
      <c r="N1302" t="s">
        <v>3941</v>
      </c>
      <c r="O1302" t="s">
        <v>3942</v>
      </c>
      <c r="R1302" t="s">
        <v>3987</v>
      </c>
      <c r="S1302" s="34" t="s">
        <v>3943</v>
      </c>
    </row>
    <row r="1303" spans="1:19" ht="243" x14ac:dyDescent="0.15">
      <c r="A1303" t="s">
        <v>1524</v>
      </c>
      <c r="B1303" s="61">
        <v>46204</v>
      </c>
      <c r="E1303" t="s">
        <v>355</v>
      </c>
      <c r="F1303" t="s">
        <v>351</v>
      </c>
      <c r="G1303" t="s">
        <v>354</v>
      </c>
      <c r="H1303" t="s">
        <v>353</v>
      </c>
      <c r="I1303">
        <v>2500745</v>
      </c>
      <c r="J1303" t="s">
        <v>1562</v>
      </c>
      <c r="K1303" t="s">
        <v>1563</v>
      </c>
      <c r="L1303" t="s">
        <v>390</v>
      </c>
      <c r="N1303" t="s">
        <v>1564</v>
      </c>
      <c r="O1303" t="s">
        <v>1565</v>
      </c>
      <c r="R1303" t="s">
        <v>3986</v>
      </c>
      <c r="S1303" s="34" t="s">
        <v>5334</v>
      </c>
    </row>
    <row r="1304" spans="1:19" ht="409.5" x14ac:dyDescent="0.15">
      <c r="A1304" t="s">
        <v>3731</v>
      </c>
      <c r="B1304" s="61">
        <v>46204</v>
      </c>
      <c r="E1304" t="s">
        <v>355</v>
      </c>
      <c r="F1304" t="s">
        <v>351</v>
      </c>
      <c r="G1304" t="s">
        <v>354</v>
      </c>
      <c r="H1304" t="s">
        <v>686</v>
      </c>
      <c r="I1304">
        <v>2600486</v>
      </c>
      <c r="J1304" t="s">
        <v>1212</v>
      </c>
      <c r="K1304" t="s">
        <v>4645</v>
      </c>
      <c r="L1304" t="s">
        <v>4646</v>
      </c>
      <c r="N1304">
        <v>2112301</v>
      </c>
      <c r="O1304" t="s">
        <v>4647</v>
      </c>
      <c r="R1304" t="s">
        <v>3987</v>
      </c>
      <c r="S1304" s="34" t="s">
        <v>5336</v>
      </c>
    </row>
    <row r="1305" spans="1:19" ht="409.5" x14ac:dyDescent="0.15">
      <c r="A1305" t="s">
        <v>3684</v>
      </c>
      <c r="B1305" s="61">
        <v>46204</v>
      </c>
      <c r="E1305" t="s">
        <v>355</v>
      </c>
      <c r="F1305" t="s">
        <v>351</v>
      </c>
      <c r="G1305" t="s">
        <v>354</v>
      </c>
      <c r="H1305" t="s">
        <v>353</v>
      </c>
      <c r="I1305">
        <v>2700027</v>
      </c>
      <c r="J1305" t="s">
        <v>3703</v>
      </c>
      <c r="K1305" t="s">
        <v>428</v>
      </c>
      <c r="L1305" t="s">
        <v>413</v>
      </c>
      <c r="N1305" t="s">
        <v>3704</v>
      </c>
      <c r="O1305" t="s">
        <v>3705</v>
      </c>
      <c r="R1305" t="s">
        <v>3986</v>
      </c>
      <c r="S1305" s="34" t="s">
        <v>5337</v>
      </c>
    </row>
    <row r="1306" spans="1:19" ht="405" x14ac:dyDescent="0.15">
      <c r="A1306" t="s">
        <v>3684</v>
      </c>
      <c r="B1306" s="61">
        <v>46204</v>
      </c>
      <c r="E1306" t="s">
        <v>355</v>
      </c>
      <c r="F1306" t="s">
        <v>351</v>
      </c>
      <c r="G1306" t="s">
        <v>352</v>
      </c>
      <c r="H1306" t="s">
        <v>310</v>
      </c>
      <c r="I1306">
        <v>2701589</v>
      </c>
      <c r="J1306" t="s">
        <v>963</v>
      </c>
      <c r="K1306" t="s">
        <v>4648</v>
      </c>
      <c r="L1306" t="s">
        <v>965</v>
      </c>
      <c r="N1306" t="s">
        <v>4649</v>
      </c>
      <c r="O1306" t="s">
        <v>4650</v>
      </c>
      <c r="R1306" t="s">
        <v>3958</v>
      </c>
      <c r="S1306" s="34" t="s">
        <v>5338</v>
      </c>
    </row>
    <row r="1307" spans="1:19" ht="256.5" x14ac:dyDescent="0.15">
      <c r="A1307" t="s">
        <v>2597</v>
      </c>
      <c r="B1307" s="61">
        <v>46204</v>
      </c>
      <c r="E1307" t="s">
        <v>355</v>
      </c>
      <c r="F1307" t="s">
        <v>351</v>
      </c>
      <c r="G1307" t="s">
        <v>352</v>
      </c>
      <c r="H1307" t="s">
        <v>353</v>
      </c>
      <c r="I1307">
        <v>2702022</v>
      </c>
      <c r="J1307" t="s">
        <v>2656</v>
      </c>
      <c r="K1307" t="s">
        <v>2657</v>
      </c>
      <c r="L1307" t="s">
        <v>2658</v>
      </c>
      <c r="N1307" t="s">
        <v>2659</v>
      </c>
      <c r="O1307" t="s">
        <v>2660</v>
      </c>
      <c r="R1307" t="s">
        <v>3985</v>
      </c>
      <c r="S1307" s="34" t="s">
        <v>5339</v>
      </c>
    </row>
    <row r="1308" spans="1:19" ht="409.5" x14ac:dyDescent="0.15">
      <c r="A1308" t="s">
        <v>1797</v>
      </c>
      <c r="B1308" s="61">
        <v>46204</v>
      </c>
      <c r="E1308" t="s">
        <v>355</v>
      </c>
      <c r="F1308" t="s">
        <v>351</v>
      </c>
      <c r="G1308" t="s">
        <v>354</v>
      </c>
      <c r="H1308" t="s">
        <v>353</v>
      </c>
      <c r="I1308">
        <v>2800720</v>
      </c>
      <c r="J1308" t="s">
        <v>1807</v>
      </c>
      <c r="K1308" t="s">
        <v>1808</v>
      </c>
      <c r="L1308" t="s">
        <v>1809</v>
      </c>
      <c r="N1308" t="s">
        <v>4656</v>
      </c>
      <c r="O1308" t="s">
        <v>1811</v>
      </c>
      <c r="R1308" t="s">
        <v>3986</v>
      </c>
      <c r="S1308" s="34" t="s">
        <v>5342</v>
      </c>
    </row>
    <row r="1309" spans="1:19" ht="409.5" x14ac:dyDescent="0.15">
      <c r="A1309" t="s">
        <v>2956</v>
      </c>
      <c r="B1309" s="61">
        <v>46204</v>
      </c>
      <c r="E1309" t="s">
        <v>355</v>
      </c>
      <c r="F1309" t="s">
        <v>351</v>
      </c>
      <c r="G1309" t="s">
        <v>354</v>
      </c>
      <c r="H1309" t="s">
        <v>353</v>
      </c>
      <c r="I1309">
        <v>3300409</v>
      </c>
      <c r="J1309" t="s">
        <v>2989</v>
      </c>
      <c r="K1309" t="s">
        <v>1914</v>
      </c>
      <c r="L1309" t="s">
        <v>2990</v>
      </c>
      <c r="N1309" t="s">
        <v>4659</v>
      </c>
      <c r="O1309" t="s">
        <v>2992</v>
      </c>
      <c r="R1309" t="s">
        <v>3986</v>
      </c>
      <c r="S1309" s="34" t="s">
        <v>5345</v>
      </c>
    </row>
    <row r="1310" spans="1:19" ht="283.5" x14ac:dyDescent="0.15">
      <c r="A1310" t="s">
        <v>6252</v>
      </c>
      <c r="B1310" s="61">
        <v>46204</v>
      </c>
      <c r="E1310" t="s">
        <v>355</v>
      </c>
      <c r="F1310" t="s">
        <v>351</v>
      </c>
      <c r="G1310" t="s">
        <v>354</v>
      </c>
      <c r="H1310" t="s">
        <v>686</v>
      </c>
      <c r="I1310">
        <v>3300435</v>
      </c>
      <c r="J1310" t="s">
        <v>1212</v>
      </c>
      <c r="K1310" t="s">
        <v>4660</v>
      </c>
      <c r="L1310" t="s">
        <v>390</v>
      </c>
      <c r="N1310">
        <v>2156273</v>
      </c>
      <c r="O1310" t="s">
        <v>4661</v>
      </c>
      <c r="R1310" t="s">
        <v>4052</v>
      </c>
      <c r="S1310" s="34" t="s">
        <v>5346</v>
      </c>
    </row>
    <row r="1311" spans="1:19" ht="256.5" x14ac:dyDescent="0.15">
      <c r="A1311" t="s">
        <v>2956</v>
      </c>
      <c r="B1311" s="61">
        <v>46204</v>
      </c>
      <c r="E1311" t="s">
        <v>355</v>
      </c>
      <c r="F1311" t="s">
        <v>351</v>
      </c>
      <c r="G1311" t="s">
        <v>354</v>
      </c>
      <c r="H1311" t="s">
        <v>365</v>
      </c>
      <c r="I1311">
        <v>3300446</v>
      </c>
      <c r="J1311" t="s">
        <v>2968</v>
      </c>
      <c r="K1311" t="s">
        <v>2969</v>
      </c>
      <c r="L1311" t="s">
        <v>4662</v>
      </c>
      <c r="N1311" t="s">
        <v>2970</v>
      </c>
      <c r="O1311" t="s">
        <v>2971</v>
      </c>
      <c r="R1311" t="s">
        <v>3986</v>
      </c>
      <c r="S1311" s="34" t="s">
        <v>5347</v>
      </c>
    </row>
    <row r="1312" spans="1:19" ht="409.5" x14ac:dyDescent="0.15">
      <c r="A1312" t="s">
        <v>6263</v>
      </c>
      <c r="B1312" s="61">
        <v>46204</v>
      </c>
      <c r="E1312" t="s">
        <v>355</v>
      </c>
      <c r="F1312" t="s">
        <v>351</v>
      </c>
      <c r="G1312" t="s">
        <v>354</v>
      </c>
      <c r="H1312" t="s">
        <v>353</v>
      </c>
      <c r="I1312">
        <v>3300475</v>
      </c>
      <c r="J1312" t="s">
        <v>743</v>
      </c>
      <c r="K1312" t="s">
        <v>1933</v>
      </c>
      <c r="L1312" t="s">
        <v>1276</v>
      </c>
      <c r="N1312" t="s">
        <v>1935</v>
      </c>
      <c r="O1312" t="s">
        <v>1936</v>
      </c>
      <c r="R1312" t="s">
        <v>3987</v>
      </c>
      <c r="S1312" s="34" t="s">
        <v>1937</v>
      </c>
    </row>
    <row r="1313" spans="1:19" ht="409.5" x14ac:dyDescent="0.15">
      <c r="A1313" t="s">
        <v>1062</v>
      </c>
      <c r="B1313" s="61">
        <v>46204</v>
      </c>
      <c r="E1313" t="s">
        <v>355</v>
      </c>
      <c r="F1313" t="s">
        <v>351</v>
      </c>
      <c r="G1313" t="s">
        <v>352</v>
      </c>
      <c r="H1313" t="s">
        <v>310</v>
      </c>
      <c r="I1313">
        <v>3400676</v>
      </c>
      <c r="J1313" t="s">
        <v>4663</v>
      </c>
      <c r="K1313" t="s">
        <v>4664</v>
      </c>
      <c r="L1313" t="s">
        <v>390</v>
      </c>
      <c r="N1313" t="s">
        <v>4665</v>
      </c>
      <c r="O1313" t="s">
        <v>4666</v>
      </c>
      <c r="R1313" t="s">
        <v>3985</v>
      </c>
      <c r="S1313" s="34" t="s">
        <v>5348</v>
      </c>
    </row>
    <row r="1314" spans="1:19" ht="409.5" x14ac:dyDescent="0.15">
      <c r="A1314" t="s">
        <v>1062</v>
      </c>
      <c r="B1314" s="61">
        <v>46204</v>
      </c>
      <c r="E1314" t="s">
        <v>355</v>
      </c>
      <c r="F1314" t="s">
        <v>351</v>
      </c>
      <c r="G1314" t="s">
        <v>354</v>
      </c>
      <c r="H1314" t="s">
        <v>686</v>
      </c>
      <c r="I1314">
        <v>3400822</v>
      </c>
      <c r="J1314" t="s">
        <v>3994</v>
      </c>
      <c r="K1314" t="s">
        <v>4057</v>
      </c>
      <c r="L1314" t="s">
        <v>466</v>
      </c>
      <c r="N1314">
        <v>2188409</v>
      </c>
      <c r="O1314" t="s">
        <v>4058</v>
      </c>
      <c r="R1314" t="s">
        <v>3987</v>
      </c>
      <c r="S1314" s="34" t="s">
        <v>5349</v>
      </c>
    </row>
    <row r="1315" spans="1:19" ht="409.5" x14ac:dyDescent="0.15">
      <c r="A1315" t="s">
        <v>6766</v>
      </c>
      <c r="B1315" s="61">
        <v>46204</v>
      </c>
      <c r="E1315" t="s">
        <v>355</v>
      </c>
      <c r="F1315" t="s">
        <v>351</v>
      </c>
      <c r="G1315" t="s">
        <v>354</v>
      </c>
      <c r="H1315" t="s">
        <v>365</v>
      </c>
      <c r="I1315">
        <v>4000088</v>
      </c>
      <c r="J1315" t="s">
        <v>2631</v>
      </c>
      <c r="K1315" t="s">
        <v>2847</v>
      </c>
      <c r="L1315" t="s">
        <v>1769</v>
      </c>
      <c r="N1315" t="s">
        <v>4668</v>
      </c>
      <c r="O1315" t="s">
        <v>2849</v>
      </c>
      <c r="R1315" t="s">
        <v>3987</v>
      </c>
      <c r="S1315" s="34" t="s">
        <v>5350</v>
      </c>
    </row>
    <row r="1316" spans="1:19" ht="409.5" x14ac:dyDescent="0.15">
      <c r="A1316" t="s">
        <v>6766</v>
      </c>
      <c r="B1316" s="61">
        <v>46204</v>
      </c>
      <c r="E1316" t="s">
        <v>355</v>
      </c>
      <c r="F1316" t="s">
        <v>351</v>
      </c>
      <c r="G1316" t="s">
        <v>354</v>
      </c>
      <c r="H1316" t="s">
        <v>353</v>
      </c>
      <c r="I1316">
        <v>4000088</v>
      </c>
      <c r="J1316" t="s">
        <v>2631</v>
      </c>
      <c r="K1316" t="s">
        <v>2847</v>
      </c>
      <c r="L1316" t="s">
        <v>1769</v>
      </c>
      <c r="N1316" t="s">
        <v>4669</v>
      </c>
      <c r="O1316" t="s">
        <v>2849</v>
      </c>
      <c r="R1316" t="s">
        <v>3987</v>
      </c>
      <c r="S1316" s="34" t="s">
        <v>5351</v>
      </c>
    </row>
    <row r="1317" spans="1:19" ht="409.5" x14ac:dyDescent="0.15">
      <c r="A1317" t="s">
        <v>3472</v>
      </c>
      <c r="B1317" s="61">
        <v>46204</v>
      </c>
      <c r="E1317" t="s">
        <v>355</v>
      </c>
      <c r="F1317" t="s">
        <v>351</v>
      </c>
      <c r="G1317" t="s">
        <v>354</v>
      </c>
      <c r="H1317" t="s">
        <v>686</v>
      </c>
      <c r="I1317">
        <v>4000409</v>
      </c>
      <c r="J1317" t="s">
        <v>2250</v>
      </c>
      <c r="K1317" t="s">
        <v>3919</v>
      </c>
      <c r="L1317" t="s">
        <v>584</v>
      </c>
      <c r="N1317" t="s">
        <v>4670</v>
      </c>
      <c r="O1317" t="s">
        <v>3920</v>
      </c>
      <c r="R1317" t="s">
        <v>3986</v>
      </c>
      <c r="S1317" s="34" t="s">
        <v>5352</v>
      </c>
    </row>
    <row r="1318" spans="1:19" ht="243" x14ac:dyDescent="0.15">
      <c r="A1318" t="s">
        <v>6766</v>
      </c>
      <c r="B1318" s="61">
        <v>46204</v>
      </c>
      <c r="E1318" t="s">
        <v>355</v>
      </c>
      <c r="F1318" t="s">
        <v>351</v>
      </c>
      <c r="G1318" t="s">
        <v>354</v>
      </c>
      <c r="H1318" t="s">
        <v>353</v>
      </c>
      <c r="I1318">
        <v>4000612</v>
      </c>
      <c r="J1318" t="s">
        <v>3997</v>
      </c>
      <c r="K1318" t="s">
        <v>4671</v>
      </c>
      <c r="L1318" t="s">
        <v>1276</v>
      </c>
      <c r="N1318" t="s">
        <v>4672</v>
      </c>
      <c r="O1318" t="s">
        <v>4673</v>
      </c>
      <c r="R1318" t="s">
        <v>4012</v>
      </c>
      <c r="S1318" s="34" t="s">
        <v>4674</v>
      </c>
    </row>
    <row r="1319" spans="1:19" ht="229.5" x14ac:dyDescent="0.15">
      <c r="A1319" t="s">
        <v>6766</v>
      </c>
      <c r="B1319" s="61">
        <v>46204</v>
      </c>
      <c r="E1319" t="s">
        <v>355</v>
      </c>
      <c r="F1319" t="s">
        <v>351</v>
      </c>
      <c r="G1319" t="s">
        <v>354</v>
      </c>
      <c r="H1319" t="s">
        <v>686</v>
      </c>
      <c r="I1319">
        <v>4000698</v>
      </c>
      <c r="J1319" t="s">
        <v>2864</v>
      </c>
      <c r="L1319" t="s">
        <v>2865</v>
      </c>
      <c r="N1319">
        <v>2165307</v>
      </c>
      <c r="O1319" t="s">
        <v>2866</v>
      </c>
      <c r="R1319" t="s">
        <v>4012</v>
      </c>
      <c r="S1319" s="34" t="s">
        <v>2870</v>
      </c>
    </row>
    <row r="1320" spans="1:19" ht="409.5" x14ac:dyDescent="0.15">
      <c r="A1320" t="s">
        <v>2096</v>
      </c>
      <c r="B1320" s="61">
        <v>46204</v>
      </c>
      <c r="E1320" t="s">
        <v>355</v>
      </c>
      <c r="F1320" t="s">
        <v>351</v>
      </c>
      <c r="G1320" t="s">
        <v>354</v>
      </c>
      <c r="H1320" t="s">
        <v>353</v>
      </c>
      <c r="I1320">
        <v>400260</v>
      </c>
      <c r="J1320" t="s">
        <v>371</v>
      </c>
      <c r="K1320" t="s">
        <v>2097</v>
      </c>
      <c r="L1320" t="s">
        <v>1340</v>
      </c>
      <c r="N1320" t="s">
        <v>2098</v>
      </c>
      <c r="O1320" t="s">
        <v>2099</v>
      </c>
      <c r="R1320" t="s">
        <v>4012</v>
      </c>
      <c r="S1320" s="34" t="s">
        <v>5354</v>
      </c>
    </row>
    <row r="1321" spans="1:19" ht="202.5" x14ac:dyDescent="0.15">
      <c r="A1321" t="s">
        <v>3089</v>
      </c>
      <c r="B1321" s="61">
        <v>46204</v>
      </c>
      <c r="E1321" t="s">
        <v>355</v>
      </c>
      <c r="F1321" t="s">
        <v>351</v>
      </c>
      <c r="G1321" t="s">
        <v>354</v>
      </c>
      <c r="H1321" t="s">
        <v>686</v>
      </c>
      <c r="I1321">
        <v>900854</v>
      </c>
      <c r="J1321" t="s">
        <v>3091</v>
      </c>
      <c r="K1321" t="s">
        <v>3092</v>
      </c>
      <c r="L1321" t="s">
        <v>4676</v>
      </c>
      <c r="N1321">
        <v>2144063</v>
      </c>
      <c r="O1321" t="s">
        <v>3093</v>
      </c>
      <c r="R1321" t="s">
        <v>4677</v>
      </c>
      <c r="S1321" s="34" t="s">
        <v>5355</v>
      </c>
    </row>
    <row r="1322" spans="1:19" ht="310.5" x14ac:dyDescent="0.15">
      <c r="A1322" t="s">
        <v>3089</v>
      </c>
      <c r="B1322" s="61">
        <v>46204</v>
      </c>
      <c r="E1322" t="s">
        <v>355</v>
      </c>
      <c r="F1322" t="s">
        <v>351</v>
      </c>
      <c r="G1322" t="s">
        <v>354</v>
      </c>
      <c r="H1322" t="s">
        <v>686</v>
      </c>
      <c r="I1322">
        <v>900854</v>
      </c>
      <c r="J1322" t="s">
        <v>3091</v>
      </c>
      <c r="K1322" t="s">
        <v>3092</v>
      </c>
      <c r="L1322" t="s">
        <v>4676</v>
      </c>
      <c r="N1322">
        <v>2144103</v>
      </c>
      <c r="O1322" t="s">
        <v>3093</v>
      </c>
      <c r="R1322" t="s">
        <v>4678</v>
      </c>
      <c r="S1322" s="34" t="s">
        <v>5356</v>
      </c>
    </row>
    <row r="1323" spans="1:19" ht="409.5" x14ac:dyDescent="0.15">
      <c r="A1323" t="s">
        <v>800</v>
      </c>
      <c r="B1323" s="61">
        <v>46204</v>
      </c>
      <c r="E1323" t="s">
        <v>355</v>
      </c>
      <c r="F1323" t="s">
        <v>351</v>
      </c>
      <c r="G1323" t="s">
        <v>352</v>
      </c>
      <c r="H1323" t="s">
        <v>365</v>
      </c>
      <c r="I1323">
        <v>4500014</v>
      </c>
      <c r="J1323" t="s">
        <v>801</v>
      </c>
      <c r="K1323" t="s">
        <v>802</v>
      </c>
      <c r="L1323" t="s">
        <v>803</v>
      </c>
      <c r="N1323" t="s">
        <v>804</v>
      </c>
      <c r="O1323" t="s">
        <v>805</v>
      </c>
      <c r="R1323" t="s">
        <v>3985</v>
      </c>
      <c r="S1323" s="34" t="s">
        <v>806</v>
      </c>
    </row>
    <row r="1324" spans="1:19" x14ac:dyDescent="0.15">
      <c r="A1324" t="s">
        <v>2534</v>
      </c>
      <c r="B1324" s="61">
        <v>47209</v>
      </c>
      <c r="E1324" t="s">
        <v>355</v>
      </c>
      <c r="F1324" t="s">
        <v>356</v>
      </c>
      <c r="G1324" t="s">
        <v>354</v>
      </c>
      <c r="H1324" t="s">
        <v>353</v>
      </c>
      <c r="I1324">
        <v>2702415</v>
      </c>
      <c r="J1324" t="s">
        <v>4682</v>
      </c>
      <c r="L1324" t="s">
        <v>2617</v>
      </c>
      <c r="N1324" t="s">
        <v>4683</v>
      </c>
      <c r="O1324" t="s">
        <v>4684</v>
      </c>
      <c r="R1324" t="s">
        <v>362</v>
      </c>
    </row>
    <row r="1325" spans="1:19" x14ac:dyDescent="0.15">
      <c r="A1325" t="s">
        <v>2534</v>
      </c>
      <c r="B1325" s="61">
        <v>48670</v>
      </c>
      <c r="E1325" t="s">
        <v>355</v>
      </c>
      <c r="F1325" t="s">
        <v>385</v>
      </c>
      <c r="G1325" t="s">
        <v>354</v>
      </c>
      <c r="H1325" t="s">
        <v>353</v>
      </c>
      <c r="I1325">
        <v>2702415</v>
      </c>
      <c r="J1325" t="s">
        <v>4682</v>
      </c>
      <c r="L1325" t="s">
        <v>2617</v>
      </c>
      <c r="N1325" t="s">
        <v>4683</v>
      </c>
      <c r="O1325" t="s">
        <v>4684</v>
      </c>
      <c r="R1325" t="s">
        <v>386</v>
      </c>
    </row>
    <row r="1326" spans="1:19" x14ac:dyDescent="0.15">
      <c r="A1326" t="s">
        <v>2693</v>
      </c>
      <c r="B1326" s="61">
        <v>46997</v>
      </c>
      <c r="E1326" t="s">
        <v>355</v>
      </c>
      <c r="F1326" t="s">
        <v>356</v>
      </c>
      <c r="G1326" t="s">
        <v>354</v>
      </c>
      <c r="H1326" t="s">
        <v>353</v>
      </c>
      <c r="I1326">
        <v>2301343</v>
      </c>
      <c r="J1326" t="s">
        <v>2700</v>
      </c>
      <c r="K1326" t="s">
        <v>1542</v>
      </c>
      <c r="L1326" t="s">
        <v>390</v>
      </c>
      <c r="N1326" t="s">
        <v>4685</v>
      </c>
      <c r="O1326" t="s">
        <v>2701</v>
      </c>
      <c r="R1326" t="s">
        <v>362</v>
      </c>
    </row>
    <row r="1327" spans="1:19" x14ac:dyDescent="0.15">
      <c r="A1327" t="s">
        <v>2693</v>
      </c>
      <c r="B1327" s="61">
        <v>48458</v>
      </c>
      <c r="E1327" t="s">
        <v>355</v>
      </c>
      <c r="F1327" t="s">
        <v>385</v>
      </c>
      <c r="G1327" t="s">
        <v>354</v>
      </c>
      <c r="H1327" t="s">
        <v>353</v>
      </c>
      <c r="I1327">
        <v>2301343</v>
      </c>
      <c r="J1327" t="s">
        <v>2700</v>
      </c>
      <c r="K1327" t="s">
        <v>1542</v>
      </c>
      <c r="L1327" t="s">
        <v>390</v>
      </c>
      <c r="N1327" t="s">
        <v>4685</v>
      </c>
      <c r="O1327" t="s">
        <v>2701</v>
      </c>
      <c r="R1327" t="s">
        <v>386</v>
      </c>
    </row>
    <row r="1328" spans="1:19" x14ac:dyDescent="0.15">
      <c r="A1328" t="s">
        <v>2534</v>
      </c>
      <c r="B1328" s="61">
        <v>47209</v>
      </c>
      <c r="E1328" t="s">
        <v>355</v>
      </c>
      <c r="F1328" t="s">
        <v>356</v>
      </c>
      <c r="G1328" t="s">
        <v>354</v>
      </c>
      <c r="H1328" t="s">
        <v>353</v>
      </c>
      <c r="I1328">
        <v>2800837</v>
      </c>
      <c r="J1328" t="s">
        <v>4525</v>
      </c>
      <c r="L1328" t="s">
        <v>413</v>
      </c>
      <c r="N1328" t="s">
        <v>4526</v>
      </c>
      <c r="O1328" t="s">
        <v>4527</v>
      </c>
      <c r="R1328" t="s">
        <v>362</v>
      </c>
    </row>
    <row r="1329" spans="1:18" x14ac:dyDescent="0.15">
      <c r="A1329" t="s">
        <v>2534</v>
      </c>
      <c r="B1329" s="61">
        <v>48670</v>
      </c>
      <c r="E1329" t="s">
        <v>355</v>
      </c>
      <c r="F1329" t="s">
        <v>385</v>
      </c>
      <c r="G1329" t="s">
        <v>354</v>
      </c>
      <c r="H1329" t="s">
        <v>353</v>
      </c>
      <c r="I1329">
        <v>2800837</v>
      </c>
      <c r="J1329" t="s">
        <v>4525</v>
      </c>
      <c r="L1329" t="s">
        <v>413</v>
      </c>
      <c r="N1329" t="s">
        <v>4526</v>
      </c>
      <c r="O1329" t="s">
        <v>4527</v>
      </c>
      <c r="R1329" t="s">
        <v>386</v>
      </c>
    </row>
    <row r="1330" spans="1:18" x14ac:dyDescent="0.15">
      <c r="A1330" t="s">
        <v>422</v>
      </c>
      <c r="B1330" s="61">
        <v>46722</v>
      </c>
      <c r="E1330" t="s">
        <v>355</v>
      </c>
      <c r="F1330" t="s">
        <v>356</v>
      </c>
      <c r="G1330" t="s">
        <v>354</v>
      </c>
      <c r="H1330" t="s">
        <v>353</v>
      </c>
      <c r="I1330">
        <v>2702868</v>
      </c>
      <c r="J1330" t="s">
        <v>4511</v>
      </c>
      <c r="K1330" t="s">
        <v>4512</v>
      </c>
      <c r="L1330" t="s">
        <v>4513</v>
      </c>
      <c r="N1330" t="s">
        <v>4514</v>
      </c>
      <c r="O1330" t="s">
        <v>4515</v>
      </c>
      <c r="R1330" t="s">
        <v>362</v>
      </c>
    </row>
    <row r="1331" spans="1:18" x14ac:dyDescent="0.15">
      <c r="A1331" t="s">
        <v>422</v>
      </c>
      <c r="B1331" s="61">
        <v>48183</v>
      </c>
      <c r="E1331" t="s">
        <v>355</v>
      </c>
      <c r="F1331" t="s">
        <v>385</v>
      </c>
      <c r="G1331" t="s">
        <v>354</v>
      </c>
      <c r="H1331" t="s">
        <v>353</v>
      </c>
      <c r="I1331">
        <v>2702868</v>
      </c>
      <c r="J1331" t="s">
        <v>4511</v>
      </c>
      <c r="K1331" t="s">
        <v>4512</v>
      </c>
      <c r="L1331" t="s">
        <v>4513</v>
      </c>
      <c r="N1331" t="s">
        <v>4514</v>
      </c>
      <c r="O1331" t="s">
        <v>4515</v>
      </c>
      <c r="R1331" t="s">
        <v>386</v>
      </c>
    </row>
    <row r="1332" spans="1:18" x14ac:dyDescent="0.15">
      <c r="A1332" t="s">
        <v>1435</v>
      </c>
      <c r="B1332" s="61">
        <v>46966</v>
      </c>
      <c r="E1332" t="s">
        <v>355</v>
      </c>
      <c r="F1332" t="s">
        <v>356</v>
      </c>
      <c r="G1332" t="s">
        <v>354</v>
      </c>
      <c r="H1332" t="s">
        <v>353</v>
      </c>
      <c r="I1332">
        <v>2500819</v>
      </c>
      <c r="J1332" t="s">
        <v>4686</v>
      </c>
      <c r="K1332" t="s">
        <v>4687</v>
      </c>
      <c r="L1332" t="s">
        <v>4688</v>
      </c>
      <c r="N1332" t="s">
        <v>4689</v>
      </c>
      <c r="O1332" t="s">
        <v>4690</v>
      </c>
      <c r="R1332" t="s">
        <v>362</v>
      </c>
    </row>
    <row r="1333" spans="1:18" x14ac:dyDescent="0.15">
      <c r="A1333" t="s">
        <v>1435</v>
      </c>
      <c r="B1333" s="61">
        <v>48427</v>
      </c>
      <c r="E1333" t="s">
        <v>355</v>
      </c>
      <c r="F1333" t="s">
        <v>385</v>
      </c>
      <c r="G1333" t="s">
        <v>354</v>
      </c>
      <c r="H1333" t="s">
        <v>353</v>
      </c>
      <c r="I1333">
        <v>2500819</v>
      </c>
      <c r="J1333" t="s">
        <v>4686</v>
      </c>
      <c r="K1333" t="s">
        <v>4687</v>
      </c>
      <c r="L1333" t="s">
        <v>4688</v>
      </c>
      <c r="N1333" t="s">
        <v>4689</v>
      </c>
      <c r="O1333" t="s">
        <v>4690</v>
      </c>
      <c r="R1333" t="s">
        <v>386</v>
      </c>
    </row>
    <row r="1334" spans="1:18" x14ac:dyDescent="0.15">
      <c r="A1334" t="s">
        <v>1234</v>
      </c>
      <c r="B1334" s="61">
        <v>46784</v>
      </c>
      <c r="E1334" t="s">
        <v>355</v>
      </c>
      <c r="F1334" t="s">
        <v>356</v>
      </c>
      <c r="G1334" t="s">
        <v>354</v>
      </c>
      <c r="H1334" t="s">
        <v>353</v>
      </c>
      <c r="I1334">
        <v>2400673</v>
      </c>
      <c r="J1334" t="s">
        <v>376</v>
      </c>
      <c r="K1334" t="s">
        <v>4516</v>
      </c>
      <c r="L1334" t="s">
        <v>4517</v>
      </c>
      <c r="N1334" t="s">
        <v>4518</v>
      </c>
      <c r="O1334" t="s">
        <v>4519</v>
      </c>
      <c r="R1334" t="s">
        <v>362</v>
      </c>
    </row>
    <row r="1335" spans="1:18" x14ac:dyDescent="0.15">
      <c r="A1335" t="s">
        <v>1234</v>
      </c>
      <c r="B1335" s="61">
        <v>48245</v>
      </c>
      <c r="E1335" t="s">
        <v>355</v>
      </c>
      <c r="F1335" t="s">
        <v>385</v>
      </c>
      <c r="G1335" t="s">
        <v>354</v>
      </c>
      <c r="H1335" t="s">
        <v>353</v>
      </c>
      <c r="I1335">
        <v>2400673</v>
      </c>
      <c r="J1335" t="s">
        <v>376</v>
      </c>
      <c r="K1335" t="s">
        <v>4516</v>
      </c>
      <c r="L1335" t="s">
        <v>4517</v>
      </c>
      <c r="N1335" t="s">
        <v>4518</v>
      </c>
      <c r="O1335" t="s">
        <v>4519</v>
      </c>
      <c r="R1335" t="s">
        <v>386</v>
      </c>
    </row>
    <row r="1336" spans="1:18" x14ac:dyDescent="0.15">
      <c r="A1336" t="s">
        <v>2067</v>
      </c>
      <c r="B1336" s="61">
        <v>47119</v>
      </c>
      <c r="E1336" t="s">
        <v>355</v>
      </c>
      <c r="F1336" t="s">
        <v>356</v>
      </c>
      <c r="G1336" t="s">
        <v>354</v>
      </c>
      <c r="H1336" t="s">
        <v>353</v>
      </c>
      <c r="I1336">
        <v>2200358</v>
      </c>
      <c r="J1336" t="s">
        <v>1909</v>
      </c>
      <c r="K1336" t="s">
        <v>4521</v>
      </c>
      <c r="L1336" t="s">
        <v>4522</v>
      </c>
      <c r="N1336" t="s">
        <v>4523</v>
      </c>
      <c r="O1336" t="s">
        <v>4524</v>
      </c>
      <c r="R1336" t="s">
        <v>362</v>
      </c>
    </row>
    <row r="1337" spans="1:18" x14ac:dyDescent="0.15">
      <c r="A1337" t="s">
        <v>2067</v>
      </c>
      <c r="B1337" s="61">
        <v>48580</v>
      </c>
      <c r="E1337" t="s">
        <v>355</v>
      </c>
      <c r="F1337" t="s">
        <v>385</v>
      </c>
      <c r="G1337" t="s">
        <v>354</v>
      </c>
      <c r="H1337" t="s">
        <v>353</v>
      </c>
      <c r="I1337">
        <v>2200358</v>
      </c>
      <c r="J1337" t="s">
        <v>1909</v>
      </c>
      <c r="K1337" t="s">
        <v>4521</v>
      </c>
      <c r="L1337" t="s">
        <v>4522</v>
      </c>
      <c r="N1337" t="s">
        <v>4523</v>
      </c>
      <c r="O1337" t="s">
        <v>4524</v>
      </c>
      <c r="R1337" t="s">
        <v>386</v>
      </c>
    </row>
    <row r="1338" spans="1:18" x14ac:dyDescent="0.15">
      <c r="A1338" t="s">
        <v>6546</v>
      </c>
      <c r="B1338" s="61">
        <v>46722</v>
      </c>
      <c r="E1338" t="s">
        <v>355</v>
      </c>
      <c r="F1338" t="s">
        <v>356</v>
      </c>
      <c r="G1338" t="s">
        <v>354</v>
      </c>
      <c r="H1338" t="s">
        <v>353</v>
      </c>
      <c r="I1338">
        <v>100009</v>
      </c>
      <c r="J1338" t="s">
        <v>4344</v>
      </c>
      <c r="K1338" t="s">
        <v>4691</v>
      </c>
      <c r="L1338" t="s">
        <v>1191</v>
      </c>
      <c r="N1338" t="s">
        <v>4692</v>
      </c>
      <c r="O1338" t="s">
        <v>4693</v>
      </c>
      <c r="R1338" t="s">
        <v>362</v>
      </c>
    </row>
    <row r="1339" spans="1:18" x14ac:dyDescent="0.15">
      <c r="A1339" t="s">
        <v>6546</v>
      </c>
      <c r="B1339" s="61">
        <v>48183</v>
      </c>
      <c r="E1339" t="s">
        <v>355</v>
      </c>
      <c r="F1339" t="s">
        <v>385</v>
      </c>
      <c r="G1339" t="s">
        <v>354</v>
      </c>
      <c r="H1339" t="s">
        <v>353</v>
      </c>
      <c r="I1339">
        <v>100009</v>
      </c>
      <c r="J1339" t="s">
        <v>4344</v>
      </c>
      <c r="K1339" t="s">
        <v>4691</v>
      </c>
      <c r="L1339" t="s">
        <v>1191</v>
      </c>
      <c r="N1339" t="s">
        <v>4692</v>
      </c>
      <c r="O1339" t="s">
        <v>4693</v>
      </c>
      <c r="R1339" t="s">
        <v>386</v>
      </c>
    </row>
    <row r="1340" spans="1:18" x14ac:dyDescent="0.15">
      <c r="A1340" t="s">
        <v>2404</v>
      </c>
      <c r="B1340" s="61">
        <v>46661</v>
      </c>
      <c r="E1340" t="s">
        <v>355</v>
      </c>
      <c r="F1340" t="s">
        <v>356</v>
      </c>
      <c r="G1340" t="s">
        <v>354</v>
      </c>
      <c r="H1340" t="s">
        <v>353</v>
      </c>
      <c r="I1340">
        <v>1100725</v>
      </c>
      <c r="J1340" t="s">
        <v>565</v>
      </c>
      <c r="K1340" t="s">
        <v>4694</v>
      </c>
      <c r="L1340" t="s">
        <v>390</v>
      </c>
      <c r="N1340" t="s">
        <v>4695</v>
      </c>
      <c r="O1340" t="s">
        <v>4696</v>
      </c>
      <c r="R1340" t="s">
        <v>362</v>
      </c>
    </row>
    <row r="1341" spans="1:18" x14ac:dyDescent="0.15">
      <c r="A1341" t="s">
        <v>2404</v>
      </c>
      <c r="B1341" s="61">
        <v>48122</v>
      </c>
      <c r="E1341" t="s">
        <v>355</v>
      </c>
      <c r="F1341" t="s">
        <v>385</v>
      </c>
      <c r="G1341" t="s">
        <v>354</v>
      </c>
      <c r="H1341" t="s">
        <v>353</v>
      </c>
      <c r="I1341">
        <v>1100725</v>
      </c>
      <c r="J1341" t="s">
        <v>565</v>
      </c>
      <c r="K1341" t="s">
        <v>4694</v>
      </c>
      <c r="L1341" t="s">
        <v>390</v>
      </c>
      <c r="N1341" t="s">
        <v>4695</v>
      </c>
      <c r="O1341" t="s">
        <v>4696</v>
      </c>
      <c r="R1341" t="s">
        <v>386</v>
      </c>
    </row>
    <row r="1342" spans="1:18" x14ac:dyDescent="0.15">
      <c r="A1342" t="s">
        <v>2771</v>
      </c>
      <c r="B1342" s="61">
        <v>46874</v>
      </c>
      <c r="E1342" t="s">
        <v>355</v>
      </c>
      <c r="F1342" t="s">
        <v>356</v>
      </c>
      <c r="G1342" t="s">
        <v>354</v>
      </c>
      <c r="H1342" t="s">
        <v>353</v>
      </c>
      <c r="I1342">
        <v>2100505</v>
      </c>
      <c r="J1342" t="s">
        <v>4697</v>
      </c>
      <c r="K1342" t="s">
        <v>4698</v>
      </c>
      <c r="L1342" t="s">
        <v>4699</v>
      </c>
      <c r="N1342" t="s">
        <v>4700</v>
      </c>
      <c r="O1342" t="s">
        <v>4701</v>
      </c>
      <c r="R1342" t="s">
        <v>362</v>
      </c>
    </row>
    <row r="1343" spans="1:18" x14ac:dyDescent="0.15">
      <c r="A1343" t="s">
        <v>2771</v>
      </c>
      <c r="B1343" s="61">
        <v>48335</v>
      </c>
      <c r="E1343" t="s">
        <v>355</v>
      </c>
      <c r="F1343" t="s">
        <v>385</v>
      </c>
      <c r="G1343" t="s">
        <v>354</v>
      </c>
      <c r="H1343" t="s">
        <v>353</v>
      </c>
      <c r="I1343">
        <v>2100505</v>
      </c>
      <c r="J1343" t="s">
        <v>4697</v>
      </c>
      <c r="K1343" t="s">
        <v>4698</v>
      </c>
      <c r="L1343" t="s">
        <v>4699</v>
      </c>
      <c r="N1343" t="s">
        <v>4700</v>
      </c>
      <c r="O1343" t="s">
        <v>4701</v>
      </c>
      <c r="R1343" t="s">
        <v>386</v>
      </c>
    </row>
    <row r="1344" spans="1:18" x14ac:dyDescent="0.15">
      <c r="A1344" t="s">
        <v>3731</v>
      </c>
      <c r="B1344" s="61">
        <v>47119</v>
      </c>
      <c r="E1344" t="s">
        <v>355</v>
      </c>
      <c r="F1344" t="s">
        <v>356</v>
      </c>
      <c r="G1344" t="s">
        <v>354</v>
      </c>
      <c r="H1344" t="s">
        <v>353</v>
      </c>
      <c r="I1344">
        <v>2600009</v>
      </c>
      <c r="J1344" t="s">
        <v>4702</v>
      </c>
      <c r="K1344" t="s">
        <v>4703</v>
      </c>
      <c r="L1344" t="s">
        <v>390</v>
      </c>
      <c r="N1344" t="s">
        <v>4704</v>
      </c>
      <c r="O1344" t="s">
        <v>4705</v>
      </c>
      <c r="R1344" t="s">
        <v>362</v>
      </c>
    </row>
    <row r="1345" spans="1:18" x14ac:dyDescent="0.15">
      <c r="A1345" t="s">
        <v>3731</v>
      </c>
      <c r="B1345" s="61">
        <v>48580</v>
      </c>
      <c r="E1345" t="s">
        <v>355</v>
      </c>
      <c r="F1345" t="s">
        <v>385</v>
      </c>
      <c r="G1345" t="s">
        <v>354</v>
      </c>
      <c r="H1345" t="s">
        <v>353</v>
      </c>
      <c r="I1345">
        <v>2600009</v>
      </c>
      <c r="J1345" t="s">
        <v>4702</v>
      </c>
      <c r="K1345" t="s">
        <v>4703</v>
      </c>
      <c r="L1345" t="s">
        <v>390</v>
      </c>
      <c r="N1345" t="s">
        <v>4704</v>
      </c>
      <c r="O1345" t="s">
        <v>4705</v>
      </c>
      <c r="R1345" t="s">
        <v>386</v>
      </c>
    </row>
    <row r="1346" spans="1:18" x14ac:dyDescent="0.15">
      <c r="A1346" t="s">
        <v>350</v>
      </c>
      <c r="B1346" s="61">
        <v>47027</v>
      </c>
      <c r="E1346" t="s">
        <v>355</v>
      </c>
      <c r="F1346" t="s">
        <v>356</v>
      </c>
      <c r="G1346" t="s">
        <v>354</v>
      </c>
      <c r="H1346" t="s">
        <v>353</v>
      </c>
      <c r="I1346">
        <v>801198</v>
      </c>
      <c r="J1346" t="s">
        <v>821</v>
      </c>
      <c r="K1346" t="s">
        <v>4706</v>
      </c>
      <c r="L1346" t="s">
        <v>4707</v>
      </c>
      <c r="N1346" t="s">
        <v>4708</v>
      </c>
      <c r="O1346" t="s">
        <v>4709</v>
      </c>
      <c r="R1346" t="s">
        <v>362</v>
      </c>
    </row>
    <row r="1347" spans="1:18" x14ac:dyDescent="0.15">
      <c r="A1347" t="s">
        <v>350</v>
      </c>
      <c r="B1347" s="61">
        <v>48488</v>
      </c>
      <c r="E1347" t="s">
        <v>355</v>
      </c>
      <c r="F1347" t="s">
        <v>385</v>
      </c>
      <c r="G1347" t="s">
        <v>354</v>
      </c>
      <c r="H1347" t="s">
        <v>353</v>
      </c>
      <c r="I1347">
        <v>801198</v>
      </c>
      <c r="J1347" t="s">
        <v>821</v>
      </c>
      <c r="K1347" t="s">
        <v>4706</v>
      </c>
      <c r="L1347" t="s">
        <v>4707</v>
      </c>
      <c r="N1347" t="s">
        <v>4708</v>
      </c>
      <c r="O1347" t="s">
        <v>4709</v>
      </c>
      <c r="R1347" t="s">
        <v>386</v>
      </c>
    </row>
    <row r="1348" spans="1:18" x14ac:dyDescent="0.15">
      <c r="A1348" t="s">
        <v>3177</v>
      </c>
      <c r="B1348" s="61">
        <v>46722</v>
      </c>
      <c r="E1348" t="s">
        <v>355</v>
      </c>
      <c r="F1348" t="s">
        <v>356</v>
      </c>
      <c r="G1348" t="s">
        <v>354</v>
      </c>
      <c r="H1348" t="s">
        <v>353</v>
      </c>
      <c r="I1348">
        <v>2702862</v>
      </c>
      <c r="J1348" t="s">
        <v>4710</v>
      </c>
      <c r="K1348" t="s">
        <v>4711</v>
      </c>
      <c r="L1348" t="s">
        <v>4712</v>
      </c>
      <c r="N1348" t="s">
        <v>4713</v>
      </c>
      <c r="O1348" t="s">
        <v>4714</v>
      </c>
      <c r="R1348" t="s">
        <v>362</v>
      </c>
    </row>
    <row r="1349" spans="1:18" x14ac:dyDescent="0.15">
      <c r="A1349" t="s">
        <v>3177</v>
      </c>
      <c r="B1349" s="61">
        <v>48183</v>
      </c>
      <c r="E1349" t="s">
        <v>355</v>
      </c>
      <c r="F1349" t="s">
        <v>385</v>
      </c>
      <c r="G1349" t="s">
        <v>354</v>
      </c>
      <c r="H1349" t="s">
        <v>353</v>
      </c>
      <c r="I1349">
        <v>2702862</v>
      </c>
      <c r="J1349" t="s">
        <v>4710</v>
      </c>
      <c r="K1349" t="s">
        <v>4711</v>
      </c>
      <c r="L1349" t="s">
        <v>4712</v>
      </c>
      <c r="N1349" t="s">
        <v>4713</v>
      </c>
      <c r="O1349" t="s">
        <v>4714</v>
      </c>
      <c r="R1349" t="s">
        <v>386</v>
      </c>
    </row>
    <row r="1350" spans="1:18" x14ac:dyDescent="0.15">
      <c r="A1350" t="s">
        <v>1297</v>
      </c>
      <c r="B1350" s="61">
        <v>46753</v>
      </c>
      <c r="E1350" t="s">
        <v>355</v>
      </c>
      <c r="F1350" t="s">
        <v>356</v>
      </c>
      <c r="G1350" t="s">
        <v>354</v>
      </c>
      <c r="H1350" t="s">
        <v>353</v>
      </c>
      <c r="I1350">
        <v>2400136</v>
      </c>
      <c r="J1350" t="s">
        <v>896</v>
      </c>
      <c r="K1350" t="s">
        <v>1265</v>
      </c>
      <c r="L1350" t="s">
        <v>4715</v>
      </c>
      <c r="N1350" t="s">
        <v>4716</v>
      </c>
      <c r="O1350" t="s">
        <v>4717</v>
      </c>
      <c r="R1350" t="s">
        <v>362</v>
      </c>
    </row>
    <row r="1351" spans="1:18" x14ac:dyDescent="0.15">
      <c r="A1351" t="s">
        <v>1297</v>
      </c>
      <c r="B1351" s="61">
        <v>48214</v>
      </c>
      <c r="E1351" t="s">
        <v>355</v>
      </c>
      <c r="F1351" t="s">
        <v>385</v>
      </c>
      <c r="G1351" t="s">
        <v>354</v>
      </c>
      <c r="H1351" t="s">
        <v>353</v>
      </c>
      <c r="I1351">
        <v>2400136</v>
      </c>
      <c r="J1351" t="s">
        <v>896</v>
      </c>
      <c r="K1351" t="s">
        <v>1265</v>
      </c>
      <c r="L1351" t="s">
        <v>4715</v>
      </c>
      <c r="N1351" t="s">
        <v>4716</v>
      </c>
      <c r="O1351" t="s">
        <v>4717</v>
      </c>
      <c r="R1351" t="s">
        <v>386</v>
      </c>
    </row>
    <row r="1352" spans="1:18" x14ac:dyDescent="0.15">
      <c r="A1352" t="s">
        <v>1145</v>
      </c>
      <c r="B1352" s="61">
        <v>46631</v>
      </c>
      <c r="E1352" t="s">
        <v>355</v>
      </c>
      <c r="F1352" t="s">
        <v>356</v>
      </c>
      <c r="G1352" t="s">
        <v>354</v>
      </c>
      <c r="H1352" t="s">
        <v>353</v>
      </c>
      <c r="I1352">
        <v>100882</v>
      </c>
      <c r="J1352" t="s">
        <v>4718</v>
      </c>
      <c r="K1352" t="s">
        <v>4719</v>
      </c>
      <c r="L1352" t="s">
        <v>4720</v>
      </c>
      <c r="N1352" t="s">
        <v>4721</v>
      </c>
      <c r="O1352" t="s">
        <v>4722</v>
      </c>
      <c r="R1352" t="s">
        <v>4723</v>
      </c>
    </row>
    <row r="1353" spans="1:18" x14ac:dyDescent="0.15">
      <c r="A1353" t="s">
        <v>1145</v>
      </c>
      <c r="B1353" s="61">
        <v>48092</v>
      </c>
      <c r="E1353" t="s">
        <v>355</v>
      </c>
      <c r="F1353" t="s">
        <v>385</v>
      </c>
      <c r="G1353" t="s">
        <v>354</v>
      </c>
      <c r="H1353" t="s">
        <v>353</v>
      </c>
      <c r="I1353">
        <v>100882</v>
      </c>
      <c r="J1353" t="s">
        <v>4718</v>
      </c>
      <c r="K1353" t="s">
        <v>4719</v>
      </c>
      <c r="L1353" t="s">
        <v>4720</v>
      </c>
      <c r="N1353" t="s">
        <v>4721</v>
      </c>
      <c r="O1353" t="s">
        <v>4722</v>
      </c>
      <c r="R1353" t="s">
        <v>4724</v>
      </c>
    </row>
    <row r="1354" spans="1:18" x14ac:dyDescent="0.15">
      <c r="A1354" t="s">
        <v>1435</v>
      </c>
      <c r="B1354" s="61">
        <v>46692</v>
      </c>
      <c r="E1354" t="s">
        <v>355</v>
      </c>
      <c r="F1354" t="s">
        <v>356</v>
      </c>
      <c r="G1354" t="s">
        <v>354</v>
      </c>
      <c r="H1354" t="s">
        <v>353</v>
      </c>
      <c r="I1354">
        <v>2501141</v>
      </c>
      <c r="J1354" t="s">
        <v>1449</v>
      </c>
      <c r="K1354" t="s">
        <v>1450</v>
      </c>
      <c r="L1354" t="s">
        <v>1451</v>
      </c>
      <c r="N1354" t="s">
        <v>4725</v>
      </c>
      <c r="O1354" t="s">
        <v>1453</v>
      </c>
      <c r="R1354" t="s">
        <v>4726</v>
      </c>
    </row>
    <row r="1355" spans="1:18" x14ac:dyDescent="0.15">
      <c r="A1355" t="s">
        <v>1435</v>
      </c>
      <c r="B1355" s="61">
        <v>48153</v>
      </c>
      <c r="E1355" t="s">
        <v>355</v>
      </c>
      <c r="F1355" t="s">
        <v>385</v>
      </c>
      <c r="G1355" t="s">
        <v>354</v>
      </c>
      <c r="H1355" t="s">
        <v>353</v>
      </c>
      <c r="I1355">
        <v>2501141</v>
      </c>
      <c r="J1355" t="s">
        <v>1449</v>
      </c>
      <c r="K1355" t="s">
        <v>1450</v>
      </c>
      <c r="L1355" t="s">
        <v>1451</v>
      </c>
      <c r="N1355" t="s">
        <v>4725</v>
      </c>
      <c r="O1355" t="s">
        <v>1453</v>
      </c>
      <c r="R1355" t="s">
        <v>4727</v>
      </c>
    </row>
    <row r="1356" spans="1:18" x14ac:dyDescent="0.15">
      <c r="A1356" t="s">
        <v>6766</v>
      </c>
      <c r="B1356" s="61">
        <v>46692</v>
      </c>
      <c r="E1356" t="s">
        <v>355</v>
      </c>
      <c r="F1356" t="s">
        <v>356</v>
      </c>
      <c r="G1356" t="s">
        <v>354</v>
      </c>
      <c r="H1356" t="s">
        <v>353</v>
      </c>
      <c r="I1356">
        <v>4100089</v>
      </c>
      <c r="J1356" t="s">
        <v>2886</v>
      </c>
      <c r="K1356" t="s">
        <v>2887</v>
      </c>
      <c r="L1356" t="s">
        <v>1769</v>
      </c>
      <c r="N1356" t="s">
        <v>4728</v>
      </c>
      <c r="O1356" t="s">
        <v>2889</v>
      </c>
      <c r="R1356" t="s">
        <v>4729</v>
      </c>
    </row>
    <row r="1357" spans="1:18" x14ac:dyDescent="0.15">
      <c r="A1357" t="s">
        <v>6766</v>
      </c>
      <c r="B1357" s="61">
        <v>48153</v>
      </c>
      <c r="E1357" t="s">
        <v>355</v>
      </c>
      <c r="F1357" t="s">
        <v>385</v>
      </c>
      <c r="G1357" t="s">
        <v>354</v>
      </c>
      <c r="H1357" t="s">
        <v>353</v>
      </c>
      <c r="I1357">
        <v>4100089</v>
      </c>
      <c r="J1357" t="s">
        <v>2886</v>
      </c>
      <c r="K1357" t="s">
        <v>2887</v>
      </c>
      <c r="L1357" t="s">
        <v>1769</v>
      </c>
      <c r="N1357" t="s">
        <v>4728</v>
      </c>
      <c r="O1357" t="s">
        <v>2889</v>
      </c>
      <c r="R1357" t="s">
        <v>4730</v>
      </c>
    </row>
    <row r="1358" spans="1:18" x14ac:dyDescent="0.15">
      <c r="A1358" t="s">
        <v>800</v>
      </c>
      <c r="B1358" s="61">
        <v>47058</v>
      </c>
      <c r="E1358" t="s">
        <v>355</v>
      </c>
      <c r="F1358" t="s">
        <v>356</v>
      </c>
      <c r="G1358" t="s">
        <v>354</v>
      </c>
      <c r="H1358" t="s">
        <v>353</v>
      </c>
      <c r="I1358">
        <v>4500156</v>
      </c>
      <c r="J1358" t="s">
        <v>1302</v>
      </c>
      <c r="K1358" t="s">
        <v>4731</v>
      </c>
      <c r="L1358" t="s">
        <v>4732</v>
      </c>
      <c r="N1358" t="s">
        <v>4733</v>
      </c>
      <c r="O1358" t="s">
        <v>4734</v>
      </c>
      <c r="R1358" t="s">
        <v>362</v>
      </c>
    </row>
    <row r="1359" spans="1:18" x14ac:dyDescent="0.15">
      <c r="A1359" t="s">
        <v>800</v>
      </c>
      <c r="B1359" s="61">
        <v>48519</v>
      </c>
      <c r="E1359" t="s">
        <v>355</v>
      </c>
      <c r="F1359" t="s">
        <v>385</v>
      </c>
      <c r="G1359" t="s">
        <v>354</v>
      </c>
      <c r="H1359" t="s">
        <v>353</v>
      </c>
      <c r="I1359">
        <v>4500156</v>
      </c>
      <c r="J1359" t="s">
        <v>1302</v>
      </c>
      <c r="K1359" t="s">
        <v>4731</v>
      </c>
      <c r="L1359" t="s">
        <v>4732</v>
      </c>
      <c r="N1359" t="s">
        <v>4733</v>
      </c>
      <c r="O1359" t="s">
        <v>4734</v>
      </c>
      <c r="R1359" t="s">
        <v>386</v>
      </c>
    </row>
    <row r="1360" spans="1:18" x14ac:dyDescent="0.15">
      <c r="A1360" t="s">
        <v>3177</v>
      </c>
      <c r="B1360" s="61">
        <v>46722</v>
      </c>
      <c r="E1360" t="s">
        <v>355</v>
      </c>
      <c r="F1360" t="s">
        <v>356</v>
      </c>
      <c r="G1360" t="s">
        <v>354</v>
      </c>
      <c r="H1360" t="s">
        <v>353</v>
      </c>
      <c r="I1360">
        <v>2702864</v>
      </c>
      <c r="J1360" t="s">
        <v>4710</v>
      </c>
      <c r="K1360" t="s">
        <v>4711</v>
      </c>
      <c r="L1360" t="s">
        <v>4735</v>
      </c>
      <c r="N1360" t="s">
        <v>4736</v>
      </c>
      <c r="O1360" t="s">
        <v>4737</v>
      </c>
      <c r="R1360" t="s">
        <v>362</v>
      </c>
    </row>
    <row r="1361" spans="1:19" x14ac:dyDescent="0.15">
      <c r="A1361" t="s">
        <v>3177</v>
      </c>
      <c r="B1361" s="61">
        <v>48183</v>
      </c>
      <c r="E1361" t="s">
        <v>355</v>
      </c>
      <c r="F1361" t="s">
        <v>385</v>
      </c>
      <c r="G1361" t="s">
        <v>354</v>
      </c>
      <c r="H1361" t="s">
        <v>353</v>
      </c>
      <c r="I1361">
        <v>2702864</v>
      </c>
      <c r="J1361" t="s">
        <v>4710</v>
      </c>
      <c r="K1361" t="s">
        <v>4711</v>
      </c>
      <c r="L1361" t="s">
        <v>4735</v>
      </c>
      <c r="N1361" t="s">
        <v>4736</v>
      </c>
      <c r="O1361" t="s">
        <v>4737</v>
      </c>
      <c r="R1361" t="s">
        <v>386</v>
      </c>
    </row>
    <row r="1362" spans="1:19" x14ac:dyDescent="0.15">
      <c r="A1362" t="s">
        <v>2027</v>
      </c>
      <c r="B1362" s="61">
        <v>46935</v>
      </c>
      <c r="E1362" t="s">
        <v>355</v>
      </c>
      <c r="F1362" t="s">
        <v>356</v>
      </c>
      <c r="G1362" t="s">
        <v>354</v>
      </c>
      <c r="H1362" t="s">
        <v>353</v>
      </c>
      <c r="I1362">
        <v>2801025</v>
      </c>
      <c r="J1362" t="s">
        <v>4738</v>
      </c>
      <c r="K1362" t="s">
        <v>4739</v>
      </c>
      <c r="L1362" t="s">
        <v>413</v>
      </c>
      <c r="N1362" t="s">
        <v>4740</v>
      </c>
      <c r="O1362" t="s">
        <v>4741</v>
      </c>
      <c r="R1362" t="s">
        <v>362</v>
      </c>
    </row>
    <row r="1363" spans="1:19" x14ac:dyDescent="0.15">
      <c r="A1363" t="s">
        <v>2027</v>
      </c>
      <c r="B1363" s="61">
        <v>48396</v>
      </c>
      <c r="E1363" t="s">
        <v>355</v>
      </c>
      <c r="F1363" t="s">
        <v>385</v>
      </c>
      <c r="G1363" t="s">
        <v>354</v>
      </c>
      <c r="H1363" t="s">
        <v>353</v>
      </c>
      <c r="I1363">
        <v>2801025</v>
      </c>
      <c r="J1363" t="s">
        <v>4738</v>
      </c>
      <c r="K1363" t="s">
        <v>4739</v>
      </c>
      <c r="L1363" t="s">
        <v>413</v>
      </c>
      <c r="N1363" t="s">
        <v>4740</v>
      </c>
      <c r="O1363" t="s">
        <v>4741</v>
      </c>
      <c r="R1363" t="s">
        <v>386</v>
      </c>
    </row>
    <row r="1364" spans="1:19" x14ac:dyDescent="0.15">
      <c r="A1364" t="s">
        <v>3297</v>
      </c>
      <c r="B1364" s="61">
        <v>47178</v>
      </c>
      <c r="E1364" t="s">
        <v>355</v>
      </c>
      <c r="F1364" t="s">
        <v>356</v>
      </c>
      <c r="G1364" t="s">
        <v>354</v>
      </c>
      <c r="H1364" t="s">
        <v>353</v>
      </c>
      <c r="I1364">
        <v>2801821</v>
      </c>
      <c r="J1364" t="s">
        <v>4742</v>
      </c>
      <c r="K1364" t="s">
        <v>4743</v>
      </c>
      <c r="L1364" t="s">
        <v>4744</v>
      </c>
      <c r="N1364" t="s">
        <v>4745</v>
      </c>
      <c r="O1364" t="s">
        <v>4746</v>
      </c>
      <c r="R1364" t="s">
        <v>362</v>
      </c>
    </row>
    <row r="1365" spans="1:19" x14ac:dyDescent="0.15">
      <c r="A1365" t="s">
        <v>3297</v>
      </c>
      <c r="B1365" s="61">
        <v>48639</v>
      </c>
      <c r="E1365" t="s">
        <v>355</v>
      </c>
      <c r="F1365" t="s">
        <v>385</v>
      </c>
      <c r="G1365" t="s">
        <v>354</v>
      </c>
      <c r="H1365" t="s">
        <v>353</v>
      </c>
      <c r="I1365">
        <v>2801821</v>
      </c>
      <c r="J1365" t="s">
        <v>4742</v>
      </c>
      <c r="K1365" t="s">
        <v>4743</v>
      </c>
      <c r="L1365" t="s">
        <v>4744</v>
      </c>
      <c r="N1365" t="s">
        <v>4745</v>
      </c>
      <c r="O1365" t="s">
        <v>4746</v>
      </c>
      <c r="R1365" t="s">
        <v>386</v>
      </c>
    </row>
    <row r="1366" spans="1:19" x14ac:dyDescent="0.15">
      <c r="A1366" t="s">
        <v>769</v>
      </c>
      <c r="B1366" s="61">
        <v>46997</v>
      </c>
      <c r="E1366" t="s">
        <v>355</v>
      </c>
      <c r="F1366" t="s">
        <v>356</v>
      </c>
      <c r="H1366" t="s">
        <v>365</v>
      </c>
      <c r="I1366">
        <v>1102005</v>
      </c>
      <c r="J1366" t="s">
        <v>775</v>
      </c>
      <c r="K1366" t="s">
        <v>776</v>
      </c>
      <c r="L1366" t="s">
        <v>4747</v>
      </c>
      <c r="N1366" t="s">
        <v>4748</v>
      </c>
      <c r="O1366" t="s">
        <v>4749</v>
      </c>
      <c r="R1366" t="s">
        <v>362</v>
      </c>
    </row>
    <row r="1367" spans="1:19" x14ac:dyDescent="0.15">
      <c r="A1367" t="s">
        <v>769</v>
      </c>
      <c r="B1367" s="61">
        <v>48458</v>
      </c>
      <c r="E1367" t="s">
        <v>355</v>
      </c>
      <c r="F1367" t="s">
        <v>385</v>
      </c>
      <c r="H1367" t="s">
        <v>365</v>
      </c>
      <c r="I1367">
        <v>1102005</v>
      </c>
      <c r="J1367" t="s">
        <v>775</v>
      </c>
      <c r="K1367" t="s">
        <v>776</v>
      </c>
      <c r="L1367" t="s">
        <v>4747</v>
      </c>
      <c r="N1367" t="s">
        <v>4748</v>
      </c>
      <c r="O1367" t="s">
        <v>4749</v>
      </c>
      <c r="R1367" t="s">
        <v>395</v>
      </c>
    </row>
    <row r="1368" spans="1:19" ht="256.5" x14ac:dyDescent="0.15">
      <c r="A1368" t="s">
        <v>3822</v>
      </c>
      <c r="B1368" s="61">
        <v>47150</v>
      </c>
      <c r="E1368" t="s">
        <v>355</v>
      </c>
      <c r="F1368" t="s">
        <v>356</v>
      </c>
      <c r="H1368" t="s">
        <v>365</v>
      </c>
      <c r="I1368">
        <v>1800198</v>
      </c>
      <c r="J1368" t="s">
        <v>3844</v>
      </c>
      <c r="K1368" t="s">
        <v>3845</v>
      </c>
      <c r="L1368" t="s">
        <v>4750</v>
      </c>
      <c r="N1368" t="s">
        <v>4751</v>
      </c>
      <c r="O1368" t="s">
        <v>3847</v>
      </c>
      <c r="R1368" t="s">
        <v>362</v>
      </c>
      <c r="S1368" s="34" t="s">
        <v>4752</v>
      </c>
    </row>
    <row r="1369" spans="1:19" ht="256.5" x14ac:dyDescent="0.15">
      <c r="A1369" t="s">
        <v>3822</v>
      </c>
      <c r="B1369" s="61">
        <v>48611</v>
      </c>
      <c r="E1369" t="s">
        <v>355</v>
      </c>
      <c r="F1369" t="s">
        <v>385</v>
      </c>
      <c r="H1369" t="s">
        <v>365</v>
      </c>
      <c r="I1369">
        <v>1800198</v>
      </c>
      <c r="J1369" t="s">
        <v>3844</v>
      </c>
      <c r="K1369" t="s">
        <v>3845</v>
      </c>
      <c r="L1369" t="s">
        <v>4750</v>
      </c>
      <c r="N1369" t="s">
        <v>4751</v>
      </c>
      <c r="O1369" t="s">
        <v>3847</v>
      </c>
      <c r="R1369" t="s">
        <v>395</v>
      </c>
      <c r="S1369" s="34" t="s">
        <v>4752</v>
      </c>
    </row>
    <row r="1370" spans="1:19" x14ac:dyDescent="0.15">
      <c r="A1370" t="s">
        <v>2993</v>
      </c>
      <c r="B1370" s="61">
        <v>46844</v>
      </c>
      <c r="E1370" t="s">
        <v>355</v>
      </c>
      <c r="F1370" t="s">
        <v>356</v>
      </c>
      <c r="H1370" t="s">
        <v>365</v>
      </c>
      <c r="I1370">
        <v>1301584</v>
      </c>
      <c r="J1370" t="s">
        <v>3001</v>
      </c>
      <c r="K1370" t="s">
        <v>2153</v>
      </c>
      <c r="L1370" t="s">
        <v>3002</v>
      </c>
      <c r="N1370" t="s">
        <v>4753</v>
      </c>
      <c r="O1370" t="s">
        <v>3003</v>
      </c>
      <c r="R1370" t="s">
        <v>362</v>
      </c>
    </row>
    <row r="1371" spans="1:19" x14ac:dyDescent="0.15">
      <c r="A1371" t="s">
        <v>2993</v>
      </c>
      <c r="B1371" s="61">
        <v>48305</v>
      </c>
      <c r="E1371" t="s">
        <v>355</v>
      </c>
      <c r="F1371" t="s">
        <v>385</v>
      </c>
      <c r="H1371" t="s">
        <v>365</v>
      </c>
      <c r="I1371">
        <v>1301584</v>
      </c>
      <c r="J1371" t="s">
        <v>3001</v>
      </c>
      <c r="K1371" t="s">
        <v>2153</v>
      </c>
      <c r="L1371" t="s">
        <v>3002</v>
      </c>
      <c r="N1371" t="s">
        <v>4753</v>
      </c>
      <c r="O1371" t="s">
        <v>3003</v>
      </c>
      <c r="R1371" t="s">
        <v>395</v>
      </c>
    </row>
    <row r="1372" spans="1:19" x14ac:dyDescent="0.15">
      <c r="A1372" t="s">
        <v>2993</v>
      </c>
      <c r="B1372" s="61">
        <v>46844</v>
      </c>
      <c r="E1372" t="s">
        <v>355</v>
      </c>
      <c r="F1372" t="s">
        <v>356</v>
      </c>
      <c r="H1372" t="s">
        <v>365</v>
      </c>
      <c r="I1372">
        <v>1301585</v>
      </c>
      <c r="J1372" t="s">
        <v>3001</v>
      </c>
      <c r="K1372" t="s">
        <v>2153</v>
      </c>
      <c r="L1372" t="s">
        <v>4754</v>
      </c>
      <c r="N1372" t="s">
        <v>4755</v>
      </c>
      <c r="O1372" t="s">
        <v>3004</v>
      </c>
      <c r="R1372" t="s">
        <v>362</v>
      </c>
    </row>
    <row r="1373" spans="1:19" x14ac:dyDescent="0.15">
      <c r="A1373" t="s">
        <v>2993</v>
      </c>
      <c r="B1373" s="61">
        <v>48305</v>
      </c>
      <c r="E1373" t="s">
        <v>355</v>
      </c>
      <c r="F1373" t="s">
        <v>385</v>
      </c>
      <c r="H1373" t="s">
        <v>365</v>
      </c>
      <c r="I1373">
        <v>1301585</v>
      </c>
      <c r="J1373" t="s">
        <v>3001</v>
      </c>
      <c r="K1373" t="s">
        <v>2153</v>
      </c>
      <c r="L1373" t="s">
        <v>4754</v>
      </c>
      <c r="N1373" t="s">
        <v>4755</v>
      </c>
      <c r="O1373" t="s">
        <v>3004</v>
      </c>
      <c r="R1373" t="s">
        <v>395</v>
      </c>
    </row>
    <row r="1374" spans="1:19" x14ac:dyDescent="0.15">
      <c r="A1374" t="s">
        <v>387</v>
      </c>
      <c r="B1374" s="61">
        <v>47178</v>
      </c>
      <c r="E1374" t="s">
        <v>355</v>
      </c>
      <c r="F1374" t="s">
        <v>356</v>
      </c>
      <c r="H1374" t="s">
        <v>365</v>
      </c>
      <c r="I1374">
        <v>801231</v>
      </c>
      <c r="J1374" t="s">
        <v>4756</v>
      </c>
      <c r="L1374" t="s">
        <v>4757</v>
      </c>
      <c r="N1374" t="s">
        <v>4758</v>
      </c>
      <c r="O1374" t="s">
        <v>4759</v>
      </c>
      <c r="R1374" t="s">
        <v>362</v>
      </c>
    </row>
    <row r="1375" spans="1:19" x14ac:dyDescent="0.15">
      <c r="A1375" t="s">
        <v>387</v>
      </c>
      <c r="B1375" s="61">
        <v>48639</v>
      </c>
      <c r="E1375" t="s">
        <v>355</v>
      </c>
      <c r="F1375" t="s">
        <v>385</v>
      </c>
      <c r="H1375" t="s">
        <v>365</v>
      </c>
      <c r="I1375">
        <v>801231</v>
      </c>
      <c r="J1375" t="s">
        <v>4756</v>
      </c>
      <c r="L1375" t="s">
        <v>4757</v>
      </c>
      <c r="N1375" t="s">
        <v>4758</v>
      </c>
      <c r="O1375" t="s">
        <v>4759</v>
      </c>
      <c r="R1375" t="s">
        <v>395</v>
      </c>
    </row>
    <row r="1376" spans="1:19" x14ac:dyDescent="0.15">
      <c r="A1376" t="s">
        <v>5612</v>
      </c>
      <c r="B1376" s="61">
        <v>46753</v>
      </c>
      <c r="E1376" t="s">
        <v>355</v>
      </c>
      <c r="F1376" t="s">
        <v>356</v>
      </c>
      <c r="H1376" t="s">
        <v>365</v>
      </c>
      <c r="I1376">
        <v>1101430</v>
      </c>
      <c r="J1376" t="s">
        <v>3562</v>
      </c>
      <c r="K1376" t="s">
        <v>3563</v>
      </c>
      <c r="L1376" t="s">
        <v>3564</v>
      </c>
      <c r="N1376" t="s">
        <v>4760</v>
      </c>
      <c r="O1376" t="s">
        <v>3566</v>
      </c>
      <c r="R1376" t="s">
        <v>362</v>
      </c>
    </row>
    <row r="1377" spans="1:19" x14ac:dyDescent="0.15">
      <c r="A1377" t="s">
        <v>5612</v>
      </c>
      <c r="B1377" s="61">
        <v>48214</v>
      </c>
      <c r="E1377" t="s">
        <v>355</v>
      </c>
      <c r="F1377" t="s">
        <v>385</v>
      </c>
      <c r="H1377" t="s">
        <v>365</v>
      </c>
      <c r="I1377">
        <v>1101430</v>
      </c>
      <c r="J1377" t="s">
        <v>3562</v>
      </c>
      <c r="K1377" t="s">
        <v>3563</v>
      </c>
      <c r="L1377" t="s">
        <v>3564</v>
      </c>
      <c r="N1377" t="s">
        <v>4760</v>
      </c>
      <c r="O1377" t="s">
        <v>3566</v>
      </c>
      <c r="R1377" t="s">
        <v>395</v>
      </c>
    </row>
    <row r="1378" spans="1:19" x14ac:dyDescent="0.15">
      <c r="A1378" t="s">
        <v>2404</v>
      </c>
      <c r="B1378" s="61">
        <v>47088</v>
      </c>
      <c r="E1378" t="s">
        <v>355</v>
      </c>
      <c r="F1378" t="s">
        <v>356</v>
      </c>
      <c r="H1378" t="s">
        <v>365</v>
      </c>
      <c r="I1378">
        <v>1101228</v>
      </c>
      <c r="J1378" t="s">
        <v>2405</v>
      </c>
      <c r="L1378" t="s">
        <v>390</v>
      </c>
      <c r="N1378" t="s">
        <v>4761</v>
      </c>
      <c r="O1378" t="s">
        <v>2406</v>
      </c>
      <c r="R1378" t="s">
        <v>362</v>
      </c>
    </row>
    <row r="1379" spans="1:19" x14ac:dyDescent="0.15">
      <c r="A1379" t="s">
        <v>2404</v>
      </c>
      <c r="B1379" s="61">
        <v>48549</v>
      </c>
      <c r="E1379" t="s">
        <v>355</v>
      </c>
      <c r="F1379" t="s">
        <v>385</v>
      </c>
      <c r="H1379" t="s">
        <v>365</v>
      </c>
      <c r="I1379">
        <v>1101228</v>
      </c>
      <c r="J1379" t="s">
        <v>2405</v>
      </c>
      <c r="L1379" t="s">
        <v>390</v>
      </c>
      <c r="N1379" t="s">
        <v>4761</v>
      </c>
      <c r="O1379" t="s">
        <v>2406</v>
      </c>
      <c r="R1379" t="s">
        <v>395</v>
      </c>
    </row>
    <row r="1380" spans="1:19" x14ac:dyDescent="0.15">
      <c r="A1380" t="s">
        <v>1354</v>
      </c>
      <c r="B1380" s="61">
        <v>46722</v>
      </c>
      <c r="E1380" t="s">
        <v>355</v>
      </c>
      <c r="F1380" t="s">
        <v>356</v>
      </c>
      <c r="H1380" t="s">
        <v>365</v>
      </c>
      <c r="I1380">
        <v>3100141</v>
      </c>
      <c r="J1380" t="s">
        <v>4309</v>
      </c>
      <c r="K1380" t="s">
        <v>4310</v>
      </c>
      <c r="L1380" t="s">
        <v>390</v>
      </c>
      <c r="N1380" t="s">
        <v>4762</v>
      </c>
      <c r="O1380" t="s">
        <v>4312</v>
      </c>
      <c r="R1380" t="s">
        <v>362</v>
      </c>
    </row>
    <row r="1381" spans="1:19" x14ac:dyDescent="0.15">
      <c r="A1381" t="s">
        <v>1354</v>
      </c>
      <c r="B1381" s="61">
        <v>48183</v>
      </c>
      <c r="E1381" t="s">
        <v>355</v>
      </c>
      <c r="F1381" t="s">
        <v>385</v>
      </c>
      <c r="H1381" t="s">
        <v>365</v>
      </c>
      <c r="I1381">
        <v>3100141</v>
      </c>
      <c r="J1381" t="s">
        <v>4309</v>
      </c>
      <c r="K1381" t="s">
        <v>4310</v>
      </c>
      <c r="L1381" t="s">
        <v>390</v>
      </c>
      <c r="N1381" t="s">
        <v>4762</v>
      </c>
      <c r="O1381" t="s">
        <v>4312</v>
      </c>
      <c r="R1381" t="s">
        <v>395</v>
      </c>
    </row>
    <row r="1382" spans="1:19" x14ac:dyDescent="0.15">
      <c r="A1382" t="s">
        <v>3089</v>
      </c>
      <c r="B1382" s="61">
        <v>47119</v>
      </c>
      <c r="E1382" t="s">
        <v>355</v>
      </c>
      <c r="F1382" t="s">
        <v>356</v>
      </c>
      <c r="H1382" t="s">
        <v>365</v>
      </c>
      <c r="I1382">
        <v>900682</v>
      </c>
      <c r="J1382" t="s">
        <v>3159</v>
      </c>
      <c r="L1382" t="s">
        <v>390</v>
      </c>
      <c r="N1382" t="s">
        <v>4763</v>
      </c>
      <c r="O1382" t="s">
        <v>3161</v>
      </c>
      <c r="R1382" t="s">
        <v>362</v>
      </c>
    </row>
    <row r="1383" spans="1:19" x14ac:dyDescent="0.15">
      <c r="A1383" t="s">
        <v>3089</v>
      </c>
      <c r="B1383" s="61">
        <v>48580</v>
      </c>
      <c r="E1383" t="s">
        <v>355</v>
      </c>
      <c r="F1383" t="s">
        <v>385</v>
      </c>
      <c r="H1383" t="s">
        <v>365</v>
      </c>
      <c r="I1383">
        <v>900682</v>
      </c>
      <c r="J1383" t="s">
        <v>3159</v>
      </c>
      <c r="L1383" t="s">
        <v>390</v>
      </c>
      <c r="N1383" t="s">
        <v>4763</v>
      </c>
      <c r="O1383" t="s">
        <v>3161</v>
      </c>
      <c r="R1383" t="s">
        <v>395</v>
      </c>
    </row>
    <row r="1384" spans="1:19" x14ac:dyDescent="0.15">
      <c r="A1384" t="s">
        <v>3297</v>
      </c>
      <c r="B1384" s="61">
        <v>47119</v>
      </c>
      <c r="E1384" t="s">
        <v>355</v>
      </c>
      <c r="F1384" t="s">
        <v>356</v>
      </c>
      <c r="H1384" t="s">
        <v>365</v>
      </c>
      <c r="I1384">
        <v>2800647</v>
      </c>
      <c r="J1384" t="s">
        <v>3343</v>
      </c>
      <c r="K1384" t="s">
        <v>4764</v>
      </c>
      <c r="L1384" t="s">
        <v>4765</v>
      </c>
      <c r="N1384" t="s">
        <v>4766</v>
      </c>
      <c r="O1384" t="s">
        <v>4767</v>
      </c>
      <c r="R1384" t="s">
        <v>362</v>
      </c>
    </row>
    <row r="1385" spans="1:19" x14ac:dyDescent="0.15">
      <c r="A1385" t="s">
        <v>3297</v>
      </c>
      <c r="B1385" s="61">
        <v>48580</v>
      </c>
      <c r="E1385" t="s">
        <v>355</v>
      </c>
      <c r="F1385" t="s">
        <v>385</v>
      </c>
      <c r="H1385" t="s">
        <v>365</v>
      </c>
      <c r="I1385">
        <v>2800647</v>
      </c>
      <c r="J1385" t="s">
        <v>3343</v>
      </c>
      <c r="K1385" t="s">
        <v>4764</v>
      </c>
      <c r="L1385" t="s">
        <v>4765</v>
      </c>
      <c r="N1385" t="s">
        <v>4766</v>
      </c>
      <c r="O1385" t="s">
        <v>4767</v>
      </c>
      <c r="R1385" t="s">
        <v>395</v>
      </c>
    </row>
    <row r="1386" spans="1:19" x14ac:dyDescent="0.15">
      <c r="A1386" t="s">
        <v>2027</v>
      </c>
      <c r="B1386" s="61">
        <v>46569</v>
      </c>
      <c r="E1386" t="s">
        <v>355</v>
      </c>
      <c r="F1386" t="s">
        <v>356</v>
      </c>
      <c r="H1386" t="s">
        <v>365</v>
      </c>
      <c r="I1386">
        <v>2600525</v>
      </c>
      <c r="J1386" t="s">
        <v>4507</v>
      </c>
      <c r="K1386" t="s">
        <v>4508</v>
      </c>
      <c r="L1386" t="s">
        <v>4323</v>
      </c>
      <c r="N1386" t="s">
        <v>4509</v>
      </c>
      <c r="O1386" t="s">
        <v>4510</v>
      </c>
      <c r="R1386" t="s">
        <v>362</v>
      </c>
    </row>
    <row r="1387" spans="1:19" x14ac:dyDescent="0.15">
      <c r="A1387" t="s">
        <v>2027</v>
      </c>
      <c r="B1387" s="61">
        <v>48030</v>
      </c>
      <c r="E1387" t="s">
        <v>355</v>
      </c>
      <c r="F1387" t="s">
        <v>385</v>
      </c>
      <c r="H1387" t="s">
        <v>365</v>
      </c>
      <c r="I1387">
        <v>2600525</v>
      </c>
      <c r="J1387" t="s">
        <v>4507</v>
      </c>
      <c r="K1387" t="s">
        <v>4508</v>
      </c>
      <c r="L1387" t="s">
        <v>4323</v>
      </c>
      <c r="N1387" t="s">
        <v>4509</v>
      </c>
      <c r="O1387" t="s">
        <v>4510</v>
      </c>
      <c r="R1387" t="s">
        <v>395</v>
      </c>
    </row>
    <row r="1388" spans="1:19" x14ac:dyDescent="0.15">
      <c r="A1388" t="s">
        <v>2027</v>
      </c>
      <c r="B1388" s="61">
        <v>46600</v>
      </c>
      <c r="E1388" t="s">
        <v>355</v>
      </c>
      <c r="F1388" t="s">
        <v>356</v>
      </c>
      <c r="H1388" t="s">
        <v>365</v>
      </c>
      <c r="I1388">
        <v>2600526</v>
      </c>
      <c r="J1388" t="s">
        <v>4507</v>
      </c>
      <c r="K1388" t="s">
        <v>4508</v>
      </c>
      <c r="L1388" t="s">
        <v>2082</v>
      </c>
      <c r="N1388" t="s">
        <v>4768</v>
      </c>
      <c r="O1388" t="s">
        <v>4769</v>
      </c>
      <c r="R1388" t="s">
        <v>362</v>
      </c>
    </row>
    <row r="1389" spans="1:19" x14ac:dyDescent="0.15">
      <c r="A1389" t="s">
        <v>2027</v>
      </c>
      <c r="B1389" s="61">
        <v>48061</v>
      </c>
      <c r="E1389" t="s">
        <v>355</v>
      </c>
      <c r="F1389" t="s">
        <v>385</v>
      </c>
      <c r="H1389" t="s">
        <v>365</v>
      </c>
      <c r="I1389">
        <v>2600526</v>
      </c>
      <c r="J1389" t="s">
        <v>4507</v>
      </c>
      <c r="K1389" t="s">
        <v>4508</v>
      </c>
      <c r="L1389" t="s">
        <v>2082</v>
      </c>
      <c r="N1389" t="s">
        <v>4768</v>
      </c>
      <c r="O1389" t="s">
        <v>4769</v>
      </c>
      <c r="R1389" t="s">
        <v>395</v>
      </c>
    </row>
    <row r="1390" spans="1:19" x14ac:dyDescent="0.15">
      <c r="A1390" t="s">
        <v>350</v>
      </c>
      <c r="B1390" s="61">
        <v>47119</v>
      </c>
      <c r="E1390" t="s">
        <v>355</v>
      </c>
      <c r="F1390" t="s">
        <v>356</v>
      </c>
      <c r="H1390" t="s">
        <v>365</v>
      </c>
      <c r="I1390">
        <v>801437</v>
      </c>
      <c r="J1390" t="s">
        <v>4770</v>
      </c>
      <c r="K1390" t="s">
        <v>389</v>
      </c>
      <c r="L1390" t="s">
        <v>4771</v>
      </c>
      <c r="N1390" t="s">
        <v>4772</v>
      </c>
      <c r="O1390" t="s">
        <v>4773</v>
      </c>
      <c r="R1390" t="s">
        <v>362</v>
      </c>
    </row>
    <row r="1391" spans="1:19" x14ac:dyDescent="0.15">
      <c r="A1391" t="s">
        <v>350</v>
      </c>
      <c r="B1391" s="61">
        <v>48580</v>
      </c>
      <c r="E1391" t="s">
        <v>355</v>
      </c>
      <c r="F1391" t="s">
        <v>385</v>
      </c>
      <c r="H1391" t="s">
        <v>365</v>
      </c>
      <c r="I1391">
        <v>801437</v>
      </c>
      <c r="J1391" t="s">
        <v>4770</v>
      </c>
      <c r="K1391" t="s">
        <v>389</v>
      </c>
      <c r="L1391" t="s">
        <v>4771</v>
      </c>
      <c r="N1391" t="s">
        <v>4772</v>
      </c>
      <c r="O1391" t="s">
        <v>4773</v>
      </c>
      <c r="R1391" t="s">
        <v>395</v>
      </c>
    </row>
    <row r="1392" spans="1:19" ht="378" x14ac:dyDescent="0.15">
      <c r="A1392" t="s">
        <v>2771</v>
      </c>
      <c r="B1392" s="61">
        <v>46204</v>
      </c>
      <c r="E1392" t="s">
        <v>355</v>
      </c>
      <c r="F1392" t="s">
        <v>351</v>
      </c>
      <c r="H1392" t="s">
        <v>353</v>
      </c>
      <c r="I1392">
        <v>2100505</v>
      </c>
      <c r="J1392" t="s">
        <v>4697</v>
      </c>
      <c r="K1392" t="s">
        <v>4698</v>
      </c>
      <c r="L1392" t="s">
        <v>4699</v>
      </c>
      <c r="N1392" t="s">
        <v>4700</v>
      </c>
      <c r="O1392" t="s">
        <v>4701</v>
      </c>
      <c r="S1392" s="34" t="s">
        <v>5360</v>
      </c>
    </row>
    <row r="1393" spans="1:19" ht="409.5" x14ac:dyDescent="0.15">
      <c r="A1393" t="s">
        <v>1297</v>
      </c>
      <c r="B1393" s="61">
        <v>46631</v>
      </c>
      <c r="E1393" t="s">
        <v>355</v>
      </c>
      <c r="F1393" t="s">
        <v>356</v>
      </c>
      <c r="H1393" t="s">
        <v>365</v>
      </c>
      <c r="I1393">
        <v>2400922</v>
      </c>
      <c r="J1393" t="s">
        <v>1314</v>
      </c>
      <c r="K1393" t="s">
        <v>1315</v>
      </c>
      <c r="L1393" t="s">
        <v>373</v>
      </c>
      <c r="N1393" t="s">
        <v>4779</v>
      </c>
      <c r="O1393" t="s">
        <v>1318</v>
      </c>
      <c r="R1393" t="s">
        <v>362</v>
      </c>
      <c r="S1393" s="34" t="s">
        <v>4780</v>
      </c>
    </row>
    <row r="1394" spans="1:19" ht="409.5" x14ac:dyDescent="0.15">
      <c r="A1394" t="s">
        <v>1297</v>
      </c>
      <c r="B1394" s="61">
        <v>48092</v>
      </c>
      <c r="E1394" t="s">
        <v>355</v>
      </c>
      <c r="F1394" t="s">
        <v>385</v>
      </c>
      <c r="H1394" t="s">
        <v>365</v>
      </c>
      <c r="I1394">
        <v>2400922</v>
      </c>
      <c r="J1394" t="s">
        <v>1314</v>
      </c>
      <c r="K1394" t="s">
        <v>1315</v>
      </c>
      <c r="L1394" t="s">
        <v>373</v>
      </c>
      <c r="N1394" t="s">
        <v>4779</v>
      </c>
      <c r="O1394" t="s">
        <v>1318</v>
      </c>
      <c r="R1394" t="s">
        <v>395</v>
      </c>
      <c r="S1394" s="34" t="s">
        <v>4780</v>
      </c>
    </row>
    <row r="1395" spans="1:19" ht="409.5" x14ac:dyDescent="0.15">
      <c r="A1395" t="s">
        <v>1297</v>
      </c>
      <c r="B1395" s="61">
        <v>46631</v>
      </c>
      <c r="E1395" t="s">
        <v>355</v>
      </c>
      <c r="F1395" t="s">
        <v>356</v>
      </c>
      <c r="H1395" t="s">
        <v>365</v>
      </c>
      <c r="I1395">
        <v>2400922</v>
      </c>
      <c r="J1395" t="s">
        <v>1314</v>
      </c>
      <c r="K1395" t="s">
        <v>1315</v>
      </c>
      <c r="L1395" t="s">
        <v>4781</v>
      </c>
      <c r="N1395" t="s">
        <v>4782</v>
      </c>
      <c r="O1395" t="s">
        <v>1318</v>
      </c>
      <c r="R1395" t="s">
        <v>4783</v>
      </c>
      <c r="S1395" s="34" t="s">
        <v>4784</v>
      </c>
    </row>
    <row r="1396" spans="1:19" ht="409.5" x14ac:dyDescent="0.15">
      <c r="A1396" t="s">
        <v>1297</v>
      </c>
      <c r="B1396" s="61">
        <v>48092</v>
      </c>
      <c r="E1396" t="s">
        <v>355</v>
      </c>
      <c r="F1396" t="s">
        <v>385</v>
      </c>
      <c r="H1396" t="s">
        <v>365</v>
      </c>
      <c r="I1396">
        <v>2400922</v>
      </c>
      <c r="J1396" t="s">
        <v>1314</v>
      </c>
      <c r="K1396" t="s">
        <v>1315</v>
      </c>
      <c r="L1396" t="s">
        <v>4781</v>
      </c>
      <c r="N1396" t="s">
        <v>4782</v>
      </c>
      <c r="O1396" t="s">
        <v>1318</v>
      </c>
      <c r="R1396" t="s">
        <v>4785</v>
      </c>
      <c r="S1396" s="34" t="s">
        <v>4784</v>
      </c>
    </row>
    <row r="1397" spans="1:19" ht="229.5" x14ac:dyDescent="0.15">
      <c r="A1397" t="s">
        <v>1297</v>
      </c>
      <c r="B1397" s="61">
        <v>46204</v>
      </c>
      <c r="E1397" t="s">
        <v>355</v>
      </c>
      <c r="F1397" t="s">
        <v>351</v>
      </c>
      <c r="G1397" t="s">
        <v>354</v>
      </c>
      <c r="H1397" t="s">
        <v>353</v>
      </c>
      <c r="I1397">
        <v>2400543</v>
      </c>
      <c r="J1397" t="s">
        <v>2735</v>
      </c>
      <c r="K1397" t="s">
        <v>4642</v>
      </c>
      <c r="L1397" t="s">
        <v>413</v>
      </c>
      <c r="N1397" t="s">
        <v>4786</v>
      </c>
      <c r="O1397" t="s">
        <v>4643</v>
      </c>
      <c r="R1397" t="s">
        <v>4318</v>
      </c>
      <c r="S1397" s="34" t="s">
        <v>5361</v>
      </c>
    </row>
    <row r="1398" spans="1:19" ht="409.5" x14ac:dyDescent="0.15">
      <c r="A1398" t="s">
        <v>5394</v>
      </c>
      <c r="B1398" s="61">
        <v>46174</v>
      </c>
      <c r="E1398" t="s">
        <v>355</v>
      </c>
      <c r="F1398" t="s">
        <v>351</v>
      </c>
      <c r="G1398" t="s">
        <v>354</v>
      </c>
      <c r="H1398" t="s">
        <v>353</v>
      </c>
      <c r="I1398">
        <v>1402906</v>
      </c>
      <c r="J1398" t="s">
        <v>4789</v>
      </c>
      <c r="K1398" t="s">
        <v>4790</v>
      </c>
      <c r="L1398" t="s">
        <v>4791</v>
      </c>
      <c r="N1398" t="s">
        <v>4792</v>
      </c>
      <c r="O1398" t="s">
        <v>4793</v>
      </c>
      <c r="R1398" t="s">
        <v>4318</v>
      </c>
      <c r="S1398" s="34" t="s">
        <v>5364</v>
      </c>
    </row>
    <row r="1399" spans="1:19" x14ac:dyDescent="0.15">
      <c r="A1399" t="s">
        <v>1524</v>
      </c>
      <c r="B1399" s="61">
        <v>46600</v>
      </c>
      <c r="E1399" t="s">
        <v>355</v>
      </c>
      <c r="F1399" t="s">
        <v>356</v>
      </c>
      <c r="H1399" t="s">
        <v>353</v>
      </c>
      <c r="I1399">
        <v>2501111</v>
      </c>
      <c r="J1399" t="s">
        <v>1460</v>
      </c>
      <c r="K1399" t="s">
        <v>1558</v>
      </c>
      <c r="L1399" t="s">
        <v>1566</v>
      </c>
      <c r="N1399" t="s">
        <v>4788</v>
      </c>
      <c r="O1399" t="s">
        <v>1568</v>
      </c>
      <c r="R1399" t="s">
        <v>362</v>
      </c>
    </row>
    <row r="1400" spans="1:19" x14ac:dyDescent="0.15">
      <c r="A1400" t="s">
        <v>1524</v>
      </c>
      <c r="B1400" s="61">
        <v>48061</v>
      </c>
      <c r="E1400" t="s">
        <v>355</v>
      </c>
      <c r="F1400" t="s">
        <v>385</v>
      </c>
      <c r="H1400" t="s">
        <v>353</v>
      </c>
      <c r="I1400">
        <v>2501111</v>
      </c>
      <c r="J1400" t="s">
        <v>1460</v>
      </c>
      <c r="K1400" t="s">
        <v>1558</v>
      </c>
      <c r="L1400" t="s">
        <v>1566</v>
      </c>
      <c r="N1400" t="s">
        <v>4788</v>
      </c>
      <c r="O1400" t="s">
        <v>1568</v>
      </c>
      <c r="R1400" t="s">
        <v>386</v>
      </c>
    </row>
    <row r="1401" spans="1:19" x14ac:dyDescent="0.15">
      <c r="A1401" t="s">
        <v>5394</v>
      </c>
      <c r="B1401" s="61">
        <v>46966</v>
      </c>
      <c r="E1401" t="s">
        <v>355</v>
      </c>
      <c r="F1401" t="s">
        <v>356</v>
      </c>
      <c r="H1401" t="s">
        <v>353</v>
      </c>
      <c r="I1401">
        <v>1402906</v>
      </c>
      <c r="J1401" t="s">
        <v>4789</v>
      </c>
      <c r="K1401" t="s">
        <v>4790</v>
      </c>
      <c r="L1401" t="s">
        <v>4791</v>
      </c>
      <c r="N1401" t="s">
        <v>4802</v>
      </c>
      <c r="O1401" t="s">
        <v>4793</v>
      </c>
      <c r="R1401" t="s">
        <v>362</v>
      </c>
    </row>
    <row r="1402" spans="1:19" x14ac:dyDescent="0.15">
      <c r="A1402" t="s">
        <v>5394</v>
      </c>
      <c r="B1402" s="61">
        <v>48427</v>
      </c>
      <c r="E1402" t="s">
        <v>355</v>
      </c>
      <c r="F1402" t="s">
        <v>385</v>
      </c>
      <c r="H1402" t="s">
        <v>353</v>
      </c>
      <c r="I1402">
        <v>1402906</v>
      </c>
      <c r="J1402" t="s">
        <v>4789</v>
      </c>
      <c r="K1402" t="s">
        <v>4790</v>
      </c>
      <c r="L1402" t="s">
        <v>4791</v>
      </c>
      <c r="N1402" t="s">
        <v>4802</v>
      </c>
      <c r="O1402" t="s">
        <v>4793</v>
      </c>
      <c r="R1402" t="s">
        <v>386</v>
      </c>
    </row>
    <row r="1403" spans="1:19" x14ac:dyDescent="0.15">
      <c r="A1403" t="s">
        <v>2456</v>
      </c>
      <c r="B1403" s="61">
        <v>46905</v>
      </c>
      <c r="E1403" t="s">
        <v>355</v>
      </c>
      <c r="F1403" t="s">
        <v>356</v>
      </c>
      <c r="H1403" t="s">
        <v>353</v>
      </c>
      <c r="I1403">
        <v>2201827</v>
      </c>
      <c r="J1403" t="s">
        <v>4803</v>
      </c>
      <c r="K1403" t="s">
        <v>4804</v>
      </c>
      <c r="L1403" t="s">
        <v>4805</v>
      </c>
      <c r="N1403" t="s">
        <v>4806</v>
      </c>
      <c r="O1403" t="s">
        <v>4807</v>
      </c>
      <c r="R1403" t="s">
        <v>362</v>
      </c>
    </row>
    <row r="1404" spans="1:19" x14ac:dyDescent="0.15">
      <c r="A1404" t="s">
        <v>2456</v>
      </c>
      <c r="B1404" s="61">
        <v>48366</v>
      </c>
      <c r="E1404" t="s">
        <v>355</v>
      </c>
      <c r="F1404" t="s">
        <v>385</v>
      </c>
      <c r="H1404" t="s">
        <v>353</v>
      </c>
      <c r="I1404">
        <v>2201827</v>
      </c>
      <c r="J1404" t="s">
        <v>4803</v>
      </c>
      <c r="K1404" t="s">
        <v>4804</v>
      </c>
      <c r="L1404" t="s">
        <v>4805</v>
      </c>
      <c r="N1404" t="s">
        <v>4806</v>
      </c>
      <c r="O1404" t="s">
        <v>4807</v>
      </c>
      <c r="R1404" t="s">
        <v>386</v>
      </c>
    </row>
    <row r="1405" spans="1:19" x14ac:dyDescent="0.15">
      <c r="A1405" t="s">
        <v>3684</v>
      </c>
      <c r="B1405" s="61">
        <v>46692</v>
      </c>
      <c r="E1405" t="s">
        <v>355</v>
      </c>
      <c r="F1405" t="s">
        <v>356</v>
      </c>
      <c r="H1405" t="s">
        <v>353</v>
      </c>
      <c r="I1405">
        <v>2700124</v>
      </c>
      <c r="J1405" t="s">
        <v>4808</v>
      </c>
      <c r="L1405" t="s">
        <v>413</v>
      </c>
      <c r="N1405" t="s">
        <v>4809</v>
      </c>
      <c r="O1405" t="s">
        <v>4810</v>
      </c>
      <c r="R1405" t="s">
        <v>362</v>
      </c>
    </row>
    <row r="1406" spans="1:19" x14ac:dyDescent="0.15">
      <c r="A1406" t="s">
        <v>3684</v>
      </c>
      <c r="B1406" s="61">
        <v>48153</v>
      </c>
      <c r="E1406" t="s">
        <v>355</v>
      </c>
      <c r="F1406" t="s">
        <v>385</v>
      </c>
      <c r="H1406" t="s">
        <v>353</v>
      </c>
      <c r="I1406">
        <v>2700124</v>
      </c>
      <c r="J1406" t="s">
        <v>4808</v>
      </c>
      <c r="L1406" t="s">
        <v>413</v>
      </c>
      <c r="N1406" t="s">
        <v>4809</v>
      </c>
      <c r="O1406" t="s">
        <v>4810</v>
      </c>
      <c r="R1406" t="s">
        <v>386</v>
      </c>
    </row>
    <row r="1407" spans="1:19" x14ac:dyDescent="0.15">
      <c r="A1407" t="s">
        <v>1993</v>
      </c>
      <c r="B1407" s="61">
        <v>46661</v>
      </c>
      <c r="E1407" t="s">
        <v>355</v>
      </c>
      <c r="F1407" t="s">
        <v>356</v>
      </c>
      <c r="H1407" t="s">
        <v>353</v>
      </c>
      <c r="I1407">
        <v>500044</v>
      </c>
      <c r="J1407" t="s">
        <v>1070</v>
      </c>
      <c r="K1407" t="s">
        <v>4811</v>
      </c>
      <c r="L1407" t="s">
        <v>373</v>
      </c>
      <c r="N1407" t="s">
        <v>4812</v>
      </c>
      <c r="O1407" t="s">
        <v>4813</v>
      </c>
      <c r="R1407" t="s">
        <v>362</v>
      </c>
    </row>
    <row r="1408" spans="1:19" x14ac:dyDescent="0.15">
      <c r="A1408" t="s">
        <v>1993</v>
      </c>
      <c r="B1408" s="61">
        <v>48122</v>
      </c>
      <c r="E1408" t="s">
        <v>355</v>
      </c>
      <c r="F1408" t="s">
        <v>385</v>
      </c>
      <c r="H1408" t="s">
        <v>353</v>
      </c>
      <c r="I1408">
        <v>500044</v>
      </c>
      <c r="J1408" t="s">
        <v>1070</v>
      </c>
      <c r="K1408" t="s">
        <v>4811</v>
      </c>
      <c r="L1408" t="s">
        <v>373</v>
      </c>
      <c r="N1408" t="s">
        <v>4812</v>
      </c>
      <c r="O1408" t="s">
        <v>4813</v>
      </c>
      <c r="R1408" t="s">
        <v>386</v>
      </c>
    </row>
    <row r="1409" spans="1:19" x14ac:dyDescent="0.15">
      <c r="A1409" t="s">
        <v>1993</v>
      </c>
      <c r="B1409" s="61">
        <v>46661</v>
      </c>
      <c r="E1409" t="s">
        <v>355</v>
      </c>
      <c r="F1409" t="s">
        <v>356</v>
      </c>
      <c r="H1409" t="s">
        <v>353</v>
      </c>
      <c r="I1409">
        <v>500026</v>
      </c>
      <c r="J1409" t="s">
        <v>1070</v>
      </c>
      <c r="K1409" t="s">
        <v>4814</v>
      </c>
      <c r="L1409" t="s">
        <v>692</v>
      </c>
      <c r="N1409" t="s">
        <v>4815</v>
      </c>
      <c r="O1409" t="s">
        <v>4816</v>
      </c>
      <c r="R1409" t="s">
        <v>362</v>
      </c>
    </row>
    <row r="1410" spans="1:19" x14ac:dyDescent="0.15">
      <c r="A1410" t="s">
        <v>1993</v>
      </c>
      <c r="B1410" s="61">
        <v>48122</v>
      </c>
      <c r="E1410" t="s">
        <v>355</v>
      </c>
      <c r="F1410" t="s">
        <v>385</v>
      </c>
      <c r="H1410" t="s">
        <v>353</v>
      </c>
      <c r="I1410">
        <v>500026</v>
      </c>
      <c r="J1410" t="s">
        <v>1070</v>
      </c>
      <c r="K1410" t="s">
        <v>4814</v>
      </c>
      <c r="L1410" t="s">
        <v>692</v>
      </c>
      <c r="N1410" t="s">
        <v>4815</v>
      </c>
      <c r="O1410" t="s">
        <v>4816</v>
      </c>
      <c r="R1410" t="s">
        <v>386</v>
      </c>
    </row>
    <row r="1411" spans="1:19" ht="202.5" x14ac:dyDescent="0.15">
      <c r="A1411" t="s">
        <v>914</v>
      </c>
      <c r="B1411" s="61">
        <v>46296</v>
      </c>
      <c r="E1411" t="s">
        <v>355</v>
      </c>
      <c r="F1411" t="s">
        <v>356</v>
      </c>
      <c r="H1411" t="s">
        <v>353</v>
      </c>
      <c r="I1411">
        <v>700003</v>
      </c>
      <c r="J1411" t="s">
        <v>4817</v>
      </c>
      <c r="K1411" t="s">
        <v>926</v>
      </c>
      <c r="L1411" t="s">
        <v>2308</v>
      </c>
      <c r="N1411" t="s">
        <v>4818</v>
      </c>
      <c r="O1411" t="s">
        <v>4819</v>
      </c>
      <c r="R1411" t="s">
        <v>362</v>
      </c>
      <c r="S1411" s="34" t="s">
        <v>4820</v>
      </c>
    </row>
    <row r="1412" spans="1:19" ht="202.5" x14ac:dyDescent="0.15">
      <c r="A1412" t="s">
        <v>914</v>
      </c>
      <c r="B1412" s="61">
        <v>47757</v>
      </c>
      <c r="E1412" t="s">
        <v>355</v>
      </c>
      <c r="F1412" t="s">
        <v>385</v>
      </c>
      <c r="H1412" t="s">
        <v>353</v>
      </c>
      <c r="I1412">
        <v>700003</v>
      </c>
      <c r="J1412" t="s">
        <v>4817</v>
      </c>
      <c r="K1412" t="s">
        <v>926</v>
      </c>
      <c r="L1412" t="s">
        <v>2308</v>
      </c>
      <c r="N1412" t="s">
        <v>4818</v>
      </c>
      <c r="O1412" t="s">
        <v>4819</v>
      </c>
      <c r="R1412" t="s">
        <v>386</v>
      </c>
      <c r="S1412" s="34" t="s">
        <v>4820</v>
      </c>
    </row>
    <row r="1413" spans="1:19" x14ac:dyDescent="0.15">
      <c r="A1413" t="s">
        <v>1297</v>
      </c>
      <c r="B1413" s="61">
        <v>46722</v>
      </c>
      <c r="E1413" t="s">
        <v>355</v>
      </c>
      <c r="F1413" t="s">
        <v>356</v>
      </c>
      <c r="H1413" t="s">
        <v>353</v>
      </c>
      <c r="I1413">
        <v>2400543</v>
      </c>
      <c r="J1413" t="s">
        <v>2735</v>
      </c>
      <c r="K1413" t="s">
        <v>4642</v>
      </c>
      <c r="L1413" t="s">
        <v>413</v>
      </c>
      <c r="N1413" t="s">
        <v>4786</v>
      </c>
      <c r="O1413" t="s">
        <v>4643</v>
      </c>
      <c r="R1413" t="s">
        <v>362</v>
      </c>
    </row>
    <row r="1414" spans="1:19" x14ac:dyDescent="0.15">
      <c r="A1414" t="s">
        <v>1297</v>
      </c>
      <c r="B1414" s="61">
        <v>48183</v>
      </c>
      <c r="E1414" t="s">
        <v>355</v>
      </c>
      <c r="F1414" t="s">
        <v>385</v>
      </c>
      <c r="H1414" t="s">
        <v>353</v>
      </c>
      <c r="I1414">
        <v>2400543</v>
      </c>
      <c r="J1414" t="s">
        <v>2735</v>
      </c>
      <c r="K1414" t="s">
        <v>4642</v>
      </c>
      <c r="L1414" t="s">
        <v>413</v>
      </c>
      <c r="N1414" t="s">
        <v>4786</v>
      </c>
      <c r="O1414" t="s">
        <v>4643</v>
      </c>
      <c r="R1414" t="s">
        <v>386</v>
      </c>
    </row>
    <row r="1415" spans="1:19" x14ac:dyDescent="0.15">
      <c r="A1415" t="s">
        <v>2255</v>
      </c>
      <c r="B1415" s="61">
        <v>46997</v>
      </c>
      <c r="E1415" t="s">
        <v>355</v>
      </c>
      <c r="F1415" t="s">
        <v>356</v>
      </c>
      <c r="H1415" t="s">
        <v>353</v>
      </c>
      <c r="I1415">
        <v>1102593</v>
      </c>
      <c r="J1415" t="s">
        <v>2417</v>
      </c>
      <c r="K1415" t="s">
        <v>2268</v>
      </c>
      <c r="L1415" t="s">
        <v>4821</v>
      </c>
      <c r="N1415" t="s">
        <v>4822</v>
      </c>
      <c r="O1415" t="s">
        <v>4823</v>
      </c>
      <c r="R1415" t="s">
        <v>362</v>
      </c>
    </row>
    <row r="1416" spans="1:19" x14ac:dyDescent="0.15">
      <c r="A1416" t="s">
        <v>2255</v>
      </c>
      <c r="B1416" s="61">
        <v>48458</v>
      </c>
      <c r="E1416" t="s">
        <v>355</v>
      </c>
      <c r="F1416" t="s">
        <v>385</v>
      </c>
      <c r="H1416" t="s">
        <v>353</v>
      </c>
      <c r="I1416">
        <v>1102593</v>
      </c>
      <c r="J1416" t="s">
        <v>2417</v>
      </c>
      <c r="K1416" t="s">
        <v>2268</v>
      </c>
      <c r="L1416" t="s">
        <v>4821</v>
      </c>
      <c r="N1416" t="s">
        <v>4822</v>
      </c>
      <c r="O1416" t="s">
        <v>4823</v>
      </c>
      <c r="R1416" t="s">
        <v>386</v>
      </c>
    </row>
    <row r="1417" spans="1:19" x14ac:dyDescent="0.15">
      <c r="A1417" t="s">
        <v>3226</v>
      </c>
      <c r="B1417" s="61">
        <v>47027</v>
      </c>
      <c r="E1417" t="s">
        <v>355</v>
      </c>
      <c r="F1417" t="s">
        <v>356</v>
      </c>
      <c r="H1417" t="s">
        <v>353</v>
      </c>
      <c r="I1417">
        <v>2303870</v>
      </c>
      <c r="J1417" t="s">
        <v>4824</v>
      </c>
      <c r="L1417" t="s">
        <v>4825</v>
      </c>
      <c r="N1417" t="s">
        <v>4826</v>
      </c>
      <c r="O1417" t="s">
        <v>4827</v>
      </c>
      <c r="R1417" t="s">
        <v>362</v>
      </c>
    </row>
    <row r="1418" spans="1:19" x14ac:dyDescent="0.15">
      <c r="A1418" t="s">
        <v>3226</v>
      </c>
      <c r="B1418" s="61">
        <v>48488</v>
      </c>
      <c r="E1418" t="s">
        <v>355</v>
      </c>
      <c r="F1418" t="s">
        <v>385</v>
      </c>
      <c r="H1418" t="s">
        <v>353</v>
      </c>
      <c r="I1418">
        <v>2303870</v>
      </c>
      <c r="J1418" t="s">
        <v>4824</v>
      </c>
      <c r="L1418" t="s">
        <v>4825</v>
      </c>
      <c r="N1418" t="s">
        <v>4826</v>
      </c>
      <c r="O1418" t="s">
        <v>4827</v>
      </c>
      <c r="R1418" t="s">
        <v>386</v>
      </c>
    </row>
    <row r="1419" spans="1:19" x14ac:dyDescent="0.15">
      <c r="A1419" t="s">
        <v>1359</v>
      </c>
      <c r="B1419" s="61">
        <v>47058</v>
      </c>
      <c r="E1419" t="s">
        <v>355</v>
      </c>
      <c r="F1419" t="s">
        <v>356</v>
      </c>
      <c r="H1419" t="s">
        <v>353</v>
      </c>
      <c r="I1419">
        <v>3500228</v>
      </c>
      <c r="J1419" t="s">
        <v>1362</v>
      </c>
      <c r="K1419" t="s">
        <v>1363</v>
      </c>
      <c r="L1419" t="s">
        <v>1364</v>
      </c>
      <c r="N1419" t="s">
        <v>4787</v>
      </c>
      <c r="O1419" t="s">
        <v>1365</v>
      </c>
      <c r="R1419" t="s">
        <v>362</v>
      </c>
    </row>
    <row r="1420" spans="1:19" x14ac:dyDescent="0.15">
      <c r="A1420" t="s">
        <v>1359</v>
      </c>
      <c r="B1420" s="61">
        <v>48519</v>
      </c>
      <c r="E1420" t="s">
        <v>355</v>
      </c>
      <c r="F1420" t="s">
        <v>385</v>
      </c>
      <c r="H1420" t="s">
        <v>353</v>
      </c>
      <c r="I1420">
        <v>3500228</v>
      </c>
      <c r="J1420" t="s">
        <v>1362</v>
      </c>
      <c r="K1420" t="s">
        <v>1363</v>
      </c>
      <c r="L1420" t="s">
        <v>1364</v>
      </c>
      <c r="N1420" t="s">
        <v>4787</v>
      </c>
      <c r="O1420" t="s">
        <v>1365</v>
      </c>
      <c r="R1420" t="s">
        <v>386</v>
      </c>
    </row>
    <row r="1421" spans="1:19" x14ac:dyDescent="0.15">
      <c r="A1421" t="s">
        <v>1715</v>
      </c>
      <c r="B1421" s="61">
        <v>47088</v>
      </c>
      <c r="E1421" t="s">
        <v>355</v>
      </c>
      <c r="F1421" t="s">
        <v>356</v>
      </c>
      <c r="H1421" t="s">
        <v>365</v>
      </c>
      <c r="I1421">
        <v>1500748</v>
      </c>
      <c r="J1421" t="s">
        <v>1716</v>
      </c>
      <c r="K1421" t="s">
        <v>1717</v>
      </c>
      <c r="L1421" t="s">
        <v>1718</v>
      </c>
      <c r="N1421" t="s">
        <v>4828</v>
      </c>
      <c r="O1421" t="s">
        <v>1719</v>
      </c>
      <c r="R1421" t="s">
        <v>362</v>
      </c>
    </row>
    <row r="1422" spans="1:19" x14ac:dyDescent="0.15">
      <c r="A1422" t="s">
        <v>1715</v>
      </c>
      <c r="B1422" s="61">
        <v>48549</v>
      </c>
      <c r="E1422" t="s">
        <v>355</v>
      </c>
      <c r="F1422" t="s">
        <v>385</v>
      </c>
      <c r="H1422" t="s">
        <v>365</v>
      </c>
      <c r="I1422">
        <v>1500748</v>
      </c>
      <c r="J1422" t="s">
        <v>1716</v>
      </c>
      <c r="K1422" t="s">
        <v>1717</v>
      </c>
      <c r="L1422" t="s">
        <v>1718</v>
      </c>
      <c r="N1422" t="s">
        <v>4828</v>
      </c>
      <c r="O1422" t="s">
        <v>1719</v>
      </c>
      <c r="R1422" t="s">
        <v>395</v>
      </c>
    </row>
    <row r="1423" spans="1:19" x14ac:dyDescent="0.15">
      <c r="A1423" t="s">
        <v>2096</v>
      </c>
      <c r="B1423" s="61">
        <v>47088</v>
      </c>
      <c r="E1423" t="s">
        <v>355</v>
      </c>
      <c r="F1423" t="s">
        <v>356</v>
      </c>
      <c r="H1423" t="s">
        <v>365</v>
      </c>
      <c r="I1423">
        <v>600170</v>
      </c>
      <c r="J1423" t="s">
        <v>4829</v>
      </c>
      <c r="K1423" t="s">
        <v>4830</v>
      </c>
      <c r="L1423" t="s">
        <v>390</v>
      </c>
      <c r="N1423" t="s">
        <v>4831</v>
      </c>
      <c r="O1423" t="s">
        <v>4832</v>
      </c>
      <c r="R1423" t="s">
        <v>362</v>
      </c>
    </row>
    <row r="1424" spans="1:19" x14ac:dyDescent="0.15">
      <c r="A1424" t="s">
        <v>2096</v>
      </c>
      <c r="B1424" s="61">
        <v>48549</v>
      </c>
      <c r="E1424" t="s">
        <v>355</v>
      </c>
      <c r="F1424" t="s">
        <v>385</v>
      </c>
      <c r="H1424" t="s">
        <v>365</v>
      </c>
      <c r="I1424">
        <v>600170</v>
      </c>
      <c r="J1424" t="s">
        <v>4829</v>
      </c>
      <c r="K1424" t="s">
        <v>4830</v>
      </c>
      <c r="L1424" t="s">
        <v>390</v>
      </c>
      <c r="N1424" t="s">
        <v>4831</v>
      </c>
      <c r="O1424" t="s">
        <v>4832</v>
      </c>
      <c r="R1424" t="s">
        <v>395</v>
      </c>
    </row>
    <row r="1425" spans="1:18" x14ac:dyDescent="0.15">
      <c r="A1425" t="s">
        <v>6766</v>
      </c>
      <c r="B1425" s="61">
        <v>46784</v>
      </c>
      <c r="E1425" t="s">
        <v>355</v>
      </c>
      <c r="F1425" t="s">
        <v>356</v>
      </c>
      <c r="H1425" t="s">
        <v>365</v>
      </c>
      <c r="I1425">
        <v>4000971</v>
      </c>
      <c r="J1425" t="s">
        <v>4833</v>
      </c>
      <c r="K1425" t="s">
        <v>4834</v>
      </c>
      <c r="L1425" t="s">
        <v>3356</v>
      </c>
      <c r="N1425" t="s">
        <v>4835</v>
      </c>
      <c r="O1425" t="s">
        <v>4836</v>
      </c>
      <c r="R1425" t="s">
        <v>362</v>
      </c>
    </row>
    <row r="1426" spans="1:18" x14ac:dyDescent="0.15">
      <c r="A1426" t="s">
        <v>6766</v>
      </c>
      <c r="B1426" s="61">
        <v>48245</v>
      </c>
      <c r="E1426" t="s">
        <v>355</v>
      </c>
      <c r="F1426" t="s">
        <v>385</v>
      </c>
      <c r="H1426" t="s">
        <v>365</v>
      </c>
      <c r="I1426">
        <v>4000971</v>
      </c>
      <c r="J1426" t="s">
        <v>4833</v>
      </c>
      <c r="K1426" t="s">
        <v>4834</v>
      </c>
      <c r="L1426" t="s">
        <v>3356</v>
      </c>
      <c r="N1426" t="s">
        <v>4835</v>
      </c>
      <c r="O1426" t="s">
        <v>4836</v>
      </c>
      <c r="R1426" t="s">
        <v>395</v>
      </c>
    </row>
    <row r="1427" spans="1:18" x14ac:dyDescent="0.15">
      <c r="A1427" t="s">
        <v>5393</v>
      </c>
      <c r="B1427" s="61">
        <v>47239</v>
      </c>
      <c r="E1427" t="s">
        <v>355</v>
      </c>
      <c r="F1427" t="s">
        <v>356</v>
      </c>
      <c r="H1427" t="s">
        <v>365</v>
      </c>
      <c r="I1427">
        <v>1201422</v>
      </c>
      <c r="J1427" t="s">
        <v>4837</v>
      </c>
      <c r="K1427" t="s">
        <v>4838</v>
      </c>
      <c r="L1427" t="s">
        <v>1114</v>
      </c>
      <c r="N1427" t="s">
        <v>4839</v>
      </c>
      <c r="O1427" t="s">
        <v>4840</v>
      </c>
      <c r="R1427" t="s">
        <v>362</v>
      </c>
    </row>
    <row r="1428" spans="1:18" x14ac:dyDescent="0.15">
      <c r="A1428" t="s">
        <v>5393</v>
      </c>
      <c r="B1428" s="61">
        <v>48700</v>
      </c>
      <c r="E1428" t="s">
        <v>355</v>
      </c>
      <c r="F1428" t="s">
        <v>385</v>
      </c>
      <c r="H1428" t="s">
        <v>365</v>
      </c>
      <c r="I1428">
        <v>1201422</v>
      </c>
      <c r="J1428" t="s">
        <v>4837</v>
      </c>
      <c r="K1428" t="s">
        <v>4838</v>
      </c>
      <c r="L1428" t="s">
        <v>1114</v>
      </c>
      <c r="N1428" t="s">
        <v>4839</v>
      </c>
      <c r="O1428" t="s">
        <v>4840</v>
      </c>
      <c r="R1428" t="s">
        <v>395</v>
      </c>
    </row>
    <row r="1429" spans="1:18" x14ac:dyDescent="0.15">
      <c r="A1429" t="s">
        <v>2597</v>
      </c>
      <c r="B1429" s="61">
        <v>46813</v>
      </c>
      <c r="E1429" t="s">
        <v>355</v>
      </c>
      <c r="F1429" t="s">
        <v>356</v>
      </c>
      <c r="H1429" t="s">
        <v>365</v>
      </c>
      <c r="I1429">
        <v>2702414</v>
      </c>
      <c r="J1429" t="s">
        <v>3933</v>
      </c>
      <c r="K1429" t="s">
        <v>4841</v>
      </c>
      <c r="L1429" t="s">
        <v>4842</v>
      </c>
      <c r="N1429" t="s">
        <v>4843</v>
      </c>
      <c r="O1429" t="s">
        <v>4844</v>
      </c>
      <c r="R1429" t="s">
        <v>362</v>
      </c>
    </row>
    <row r="1430" spans="1:18" x14ac:dyDescent="0.15">
      <c r="A1430" t="s">
        <v>2597</v>
      </c>
      <c r="B1430" s="61">
        <v>48274</v>
      </c>
      <c r="E1430" t="s">
        <v>355</v>
      </c>
      <c r="F1430" t="s">
        <v>385</v>
      </c>
      <c r="H1430" t="s">
        <v>365</v>
      </c>
      <c r="I1430">
        <v>2702414</v>
      </c>
      <c r="J1430" t="s">
        <v>3933</v>
      </c>
      <c r="K1430" t="s">
        <v>4841</v>
      </c>
      <c r="L1430" t="s">
        <v>4842</v>
      </c>
      <c r="N1430" t="s">
        <v>4843</v>
      </c>
      <c r="O1430" t="s">
        <v>4844</v>
      </c>
      <c r="R1430" t="s">
        <v>395</v>
      </c>
    </row>
    <row r="1431" spans="1:18" x14ac:dyDescent="0.15">
      <c r="A1431" t="s">
        <v>1860</v>
      </c>
      <c r="B1431" s="61">
        <v>46966</v>
      </c>
      <c r="E1431" t="s">
        <v>355</v>
      </c>
      <c r="F1431" t="s">
        <v>356</v>
      </c>
      <c r="H1431" t="s">
        <v>365</v>
      </c>
      <c r="I1431">
        <v>800433</v>
      </c>
      <c r="J1431" t="s">
        <v>4845</v>
      </c>
      <c r="K1431" t="s">
        <v>4846</v>
      </c>
      <c r="L1431" t="s">
        <v>4847</v>
      </c>
      <c r="N1431" t="s">
        <v>4848</v>
      </c>
      <c r="O1431" t="s">
        <v>4849</v>
      </c>
      <c r="R1431" t="s">
        <v>362</v>
      </c>
    </row>
    <row r="1432" spans="1:18" x14ac:dyDescent="0.15">
      <c r="A1432" t="s">
        <v>1860</v>
      </c>
      <c r="B1432" s="61">
        <v>48427</v>
      </c>
      <c r="E1432" t="s">
        <v>355</v>
      </c>
      <c r="F1432" t="s">
        <v>385</v>
      </c>
      <c r="H1432" t="s">
        <v>365</v>
      </c>
      <c r="I1432">
        <v>800433</v>
      </c>
      <c r="J1432" t="s">
        <v>4845</v>
      </c>
      <c r="K1432" t="s">
        <v>4846</v>
      </c>
      <c r="L1432" t="s">
        <v>4847</v>
      </c>
      <c r="N1432" t="s">
        <v>4848</v>
      </c>
      <c r="O1432" t="s">
        <v>4849</v>
      </c>
      <c r="R1432" t="s">
        <v>395</v>
      </c>
    </row>
    <row r="1433" spans="1:18" x14ac:dyDescent="0.15">
      <c r="A1433" t="s">
        <v>914</v>
      </c>
      <c r="B1433" s="61">
        <v>47331</v>
      </c>
      <c r="E1433" t="s">
        <v>355</v>
      </c>
      <c r="F1433" t="s">
        <v>356</v>
      </c>
      <c r="H1433" t="s">
        <v>353</v>
      </c>
      <c r="I1433">
        <v>700345</v>
      </c>
      <c r="J1433" t="s">
        <v>921</v>
      </c>
      <c r="K1433" t="s">
        <v>915</v>
      </c>
      <c r="L1433" t="s">
        <v>373</v>
      </c>
      <c r="N1433" t="s">
        <v>4850</v>
      </c>
      <c r="O1433" t="s">
        <v>922</v>
      </c>
      <c r="R1433" t="s">
        <v>362</v>
      </c>
    </row>
    <row r="1434" spans="1:18" x14ac:dyDescent="0.15">
      <c r="A1434" t="s">
        <v>914</v>
      </c>
      <c r="B1434" s="61">
        <v>48792</v>
      </c>
      <c r="E1434" t="s">
        <v>355</v>
      </c>
      <c r="F1434" t="s">
        <v>385</v>
      </c>
      <c r="H1434" t="s">
        <v>353</v>
      </c>
      <c r="I1434">
        <v>700345</v>
      </c>
      <c r="J1434" t="s">
        <v>921</v>
      </c>
      <c r="K1434" t="s">
        <v>915</v>
      </c>
      <c r="L1434" t="s">
        <v>373</v>
      </c>
      <c r="N1434" t="s">
        <v>4850</v>
      </c>
      <c r="O1434" t="s">
        <v>922</v>
      </c>
      <c r="R1434" t="s">
        <v>386</v>
      </c>
    </row>
    <row r="1435" spans="1:18" x14ac:dyDescent="0.15">
      <c r="A1435" t="s">
        <v>1435</v>
      </c>
      <c r="B1435" s="61">
        <v>46966</v>
      </c>
      <c r="E1435" t="s">
        <v>355</v>
      </c>
      <c r="F1435" t="s">
        <v>356</v>
      </c>
      <c r="H1435" t="s">
        <v>353</v>
      </c>
      <c r="I1435">
        <v>2501145</v>
      </c>
      <c r="J1435" t="s">
        <v>4851</v>
      </c>
      <c r="K1435" t="s">
        <v>4852</v>
      </c>
      <c r="L1435" t="s">
        <v>4853</v>
      </c>
      <c r="N1435" t="s">
        <v>4854</v>
      </c>
      <c r="O1435" t="s">
        <v>4855</v>
      </c>
      <c r="R1435" t="s">
        <v>362</v>
      </c>
    </row>
    <row r="1436" spans="1:18" x14ac:dyDescent="0.15">
      <c r="A1436" t="s">
        <v>1435</v>
      </c>
      <c r="B1436" s="61">
        <v>48427</v>
      </c>
      <c r="E1436" t="s">
        <v>355</v>
      </c>
      <c r="F1436" t="s">
        <v>385</v>
      </c>
      <c r="H1436" t="s">
        <v>353</v>
      </c>
      <c r="I1436">
        <v>2501145</v>
      </c>
      <c r="J1436" t="s">
        <v>4851</v>
      </c>
      <c r="K1436" t="s">
        <v>4852</v>
      </c>
      <c r="L1436" t="s">
        <v>4853</v>
      </c>
      <c r="N1436" t="s">
        <v>4854</v>
      </c>
      <c r="O1436" t="s">
        <v>4855</v>
      </c>
      <c r="R1436" t="s">
        <v>386</v>
      </c>
    </row>
    <row r="1437" spans="1:18" x14ac:dyDescent="0.15">
      <c r="A1437" t="s">
        <v>1062</v>
      </c>
      <c r="B1437" s="61">
        <v>47300</v>
      </c>
      <c r="E1437" t="s">
        <v>355</v>
      </c>
      <c r="F1437" t="s">
        <v>356</v>
      </c>
      <c r="H1437" t="s">
        <v>353</v>
      </c>
      <c r="I1437">
        <v>3400948</v>
      </c>
      <c r="J1437" t="s">
        <v>4856</v>
      </c>
      <c r="K1437" t="s">
        <v>4857</v>
      </c>
      <c r="L1437" t="s">
        <v>390</v>
      </c>
      <c r="N1437" t="s">
        <v>4858</v>
      </c>
      <c r="O1437" t="s">
        <v>4859</v>
      </c>
      <c r="R1437" t="s">
        <v>362</v>
      </c>
    </row>
    <row r="1438" spans="1:18" x14ac:dyDescent="0.15">
      <c r="A1438" t="s">
        <v>1062</v>
      </c>
      <c r="B1438" s="61">
        <v>48761</v>
      </c>
      <c r="E1438" t="s">
        <v>355</v>
      </c>
      <c r="F1438" t="s">
        <v>385</v>
      </c>
      <c r="H1438" t="s">
        <v>353</v>
      </c>
      <c r="I1438">
        <v>3400948</v>
      </c>
      <c r="J1438" t="s">
        <v>4856</v>
      </c>
      <c r="K1438" t="s">
        <v>4857</v>
      </c>
      <c r="L1438" t="s">
        <v>390</v>
      </c>
      <c r="N1438" t="s">
        <v>4858</v>
      </c>
      <c r="O1438" t="s">
        <v>4859</v>
      </c>
      <c r="R1438" t="s">
        <v>386</v>
      </c>
    </row>
    <row r="1439" spans="1:18" x14ac:dyDescent="0.15">
      <c r="A1439" t="s">
        <v>3617</v>
      </c>
      <c r="B1439" s="61">
        <v>47027</v>
      </c>
      <c r="E1439" t="s">
        <v>355</v>
      </c>
      <c r="F1439" t="s">
        <v>356</v>
      </c>
      <c r="H1439" t="s">
        <v>353</v>
      </c>
      <c r="I1439">
        <v>4000505</v>
      </c>
      <c r="J1439" t="s">
        <v>3676</v>
      </c>
      <c r="K1439" t="s">
        <v>3677</v>
      </c>
      <c r="L1439" t="s">
        <v>1718</v>
      </c>
      <c r="N1439" t="s">
        <v>4860</v>
      </c>
      <c r="O1439" t="s">
        <v>3678</v>
      </c>
      <c r="R1439" t="s">
        <v>362</v>
      </c>
    </row>
    <row r="1440" spans="1:18" x14ac:dyDescent="0.15">
      <c r="A1440" t="s">
        <v>3617</v>
      </c>
      <c r="B1440" s="61">
        <v>48488</v>
      </c>
      <c r="E1440" t="s">
        <v>355</v>
      </c>
      <c r="F1440" t="s">
        <v>385</v>
      </c>
      <c r="H1440" t="s">
        <v>353</v>
      </c>
      <c r="I1440">
        <v>4000505</v>
      </c>
      <c r="J1440" t="s">
        <v>3676</v>
      </c>
      <c r="K1440" t="s">
        <v>3677</v>
      </c>
      <c r="L1440" t="s">
        <v>1718</v>
      </c>
      <c r="N1440" t="s">
        <v>4860</v>
      </c>
      <c r="O1440" t="s">
        <v>3678</v>
      </c>
      <c r="R1440" t="s">
        <v>386</v>
      </c>
    </row>
    <row r="1441" spans="1:18" x14ac:dyDescent="0.15">
      <c r="A1441" t="s">
        <v>3822</v>
      </c>
      <c r="B1441" s="61">
        <v>47088</v>
      </c>
      <c r="E1441" t="s">
        <v>355</v>
      </c>
      <c r="F1441" t="s">
        <v>356</v>
      </c>
      <c r="H1441" t="s">
        <v>353</v>
      </c>
      <c r="I1441">
        <v>1700473</v>
      </c>
      <c r="J1441" t="s">
        <v>3839</v>
      </c>
      <c r="K1441" t="s">
        <v>1023</v>
      </c>
      <c r="L1441" t="s">
        <v>3840</v>
      </c>
      <c r="N1441" t="s">
        <v>4861</v>
      </c>
      <c r="O1441" t="s">
        <v>3842</v>
      </c>
      <c r="R1441" t="s">
        <v>362</v>
      </c>
    </row>
    <row r="1442" spans="1:18" x14ac:dyDescent="0.15">
      <c r="A1442" t="s">
        <v>3822</v>
      </c>
      <c r="B1442" s="61">
        <v>48549</v>
      </c>
      <c r="E1442" t="s">
        <v>355</v>
      </c>
      <c r="F1442" t="s">
        <v>385</v>
      </c>
      <c r="H1442" t="s">
        <v>353</v>
      </c>
      <c r="I1442">
        <v>1700473</v>
      </c>
      <c r="J1442" t="s">
        <v>3839</v>
      </c>
      <c r="K1442" t="s">
        <v>1023</v>
      </c>
      <c r="L1442" t="s">
        <v>3840</v>
      </c>
      <c r="N1442" t="s">
        <v>4861</v>
      </c>
      <c r="O1442" t="s">
        <v>3842</v>
      </c>
      <c r="R1442" t="s">
        <v>386</v>
      </c>
    </row>
    <row r="1443" spans="1:18" x14ac:dyDescent="0.15">
      <c r="A1443" t="s">
        <v>3432</v>
      </c>
      <c r="B1443" s="61">
        <v>47178</v>
      </c>
      <c r="E1443" t="s">
        <v>355</v>
      </c>
      <c r="F1443" t="s">
        <v>356</v>
      </c>
      <c r="H1443" t="s">
        <v>353</v>
      </c>
      <c r="I1443">
        <v>2202611</v>
      </c>
      <c r="J1443" t="s">
        <v>974</v>
      </c>
      <c r="K1443" t="s">
        <v>4862</v>
      </c>
      <c r="L1443" t="s">
        <v>4863</v>
      </c>
      <c r="N1443" t="s">
        <v>4864</v>
      </c>
      <c r="O1443" t="s">
        <v>4865</v>
      </c>
      <c r="R1443" t="s">
        <v>362</v>
      </c>
    </row>
    <row r="1444" spans="1:18" x14ac:dyDescent="0.15">
      <c r="A1444" t="s">
        <v>3432</v>
      </c>
      <c r="B1444" s="61">
        <v>48639</v>
      </c>
      <c r="E1444" t="s">
        <v>355</v>
      </c>
      <c r="F1444" t="s">
        <v>385</v>
      </c>
      <c r="H1444" t="s">
        <v>353</v>
      </c>
      <c r="I1444">
        <v>2202611</v>
      </c>
      <c r="J1444" t="s">
        <v>974</v>
      </c>
      <c r="K1444" t="s">
        <v>4862</v>
      </c>
      <c r="L1444" t="s">
        <v>4863</v>
      </c>
      <c r="N1444" t="s">
        <v>4864</v>
      </c>
      <c r="O1444" t="s">
        <v>4865</v>
      </c>
      <c r="R1444" t="s">
        <v>386</v>
      </c>
    </row>
    <row r="1445" spans="1:18" x14ac:dyDescent="0.15">
      <c r="A1445" t="s">
        <v>1614</v>
      </c>
      <c r="B1445" s="61">
        <v>46661</v>
      </c>
      <c r="E1445" t="s">
        <v>355</v>
      </c>
      <c r="F1445" t="s">
        <v>356</v>
      </c>
      <c r="H1445" t="s">
        <v>353</v>
      </c>
      <c r="I1445">
        <v>2000958</v>
      </c>
      <c r="J1445" t="s">
        <v>1570</v>
      </c>
      <c r="K1445" t="s">
        <v>1630</v>
      </c>
      <c r="L1445" t="s">
        <v>390</v>
      </c>
      <c r="N1445" t="s">
        <v>4866</v>
      </c>
      <c r="O1445" t="s">
        <v>4867</v>
      </c>
      <c r="R1445" t="s">
        <v>362</v>
      </c>
    </row>
    <row r="1446" spans="1:18" x14ac:dyDescent="0.15">
      <c r="A1446" t="s">
        <v>1614</v>
      </c>
      <c r="B1446" s="61">
        <v>48122</v>
      </c>
      <c r="E1446" t="s">
        <v>355</v>
      </c>
      <c r="F1446" t="s">
        <v>385</v>
      </c>
      <c r="H1446" t="s">
        <v>353</v>
      </c>
      <c r="I1446">
        <v>2000958</v>
      </c>
      <c r="J1446" t="s">
        <v>1570</v>
      </c>
      <c r="K1446" t="s">
        <v>1630</v>
      </c>
      <c r="L1446" t="s">
        <v>390</v>
      </c>
      <c r="N1446" t="s">
        <v>4866</v>
      </c>
      <c r="O1446" t="s">
        <v>4867</v>
      </c>
      <c r="R1446" t="s">
        <v>386</v>
      </c>
    </row>
    <row r="1447" spans="1:18" x14ac:dyDescent="0.15">
      <c r="A1447" t="s">
        <v>5612</v>
      </c>
      <c r="B1447" s="61">
        <v>47150</v>
      </c>
      <c r="E1447" t="s">
        <v>355</v>
      </c>
      <c r="F1447" t="s">
        <v>356</v>
      </c>
      <c r="H1447" t="s">
        <v>365</v>
      </c>
      <c r="I1447">
        <v>1000196</v>
      </c>
      <c r="J1447" t="s">
        <v>3535</v>
      </c>
      <c r="K1447" t="s">
        <v>1251</v>
      </c>
      <c r="L1447" t="s">
        <v>3536</v>
      </c>
      <c r="N1447" t="s">
        <v>4868</v>
      </c>
      <c r="O1447" t="s">
        <v>3537</v>
      </c>
      <c r="R1447" t="s">
        <v>362</v>
      </c>
    </row>
    <row r="1448" spans="1:18" x14ac:dyDescent="0.15">
      <c r="A1448" t="s">
        <v>5612</v>
      </c>
      <c r="B1448" s="61">
        <v>48611</v>
      </c>
      <c r="E1448" t="s">
        <v>355</v>
      </c>
      <c r="F1448" t="s">
        <v>385</v>
      </c>
      <c r="H1448" t="s">
        <v>365</v>
      </c>
      <c r="I1448">
        <v>1000196</v>
      </c>
      <c r="J1448" t="s">
        <v>3535</v>
      </c>
      <c r="K1448" t="s">
        <v>1251</v>
      </c>
      <c r="L1448" t="s">
        <v>3536</v>
      </c>
      <c r="N1448" t="s">
        <v>4868</v>
      </c>
      <c r="O1448" t="s">
        <v>3537</v>
      </c>
      <c r="R1448" t="s">
        <v>395</v>
      </c>
    </row>
    <row r="1449" spans="1:18" x14ac:dyDescent="0.15">
      <c r="A1449" t="s">
        <v>3822</v>
      </c>
      <c r="B1449" s="61">
        <v>46753</v>
      </c>
      <c r="E1449" t="s">
        <v>355</v>
      </c>
      <c r="F1449" t="s">
        <v>356</v>
      </c>
      <c r="H1449" t="s">
        <v>365</v>
      </c>
      <c r="I1449">
        <v>1800036</v>
      </c>
      <c r="J1449" t="s">
        <v>4869</v>
      </c>
      <c r="K1449" t="s">
        <v>4870</v>
      </c>
      <c r="L1449" t="s">
        <v>4871</v>
      </c>
      <c r="N1449" t="s">
        <v>4872</v>
      </c>
      <c r="O1449" t="s">
        <v>4873</v>
      </c>
      <c r="R1449" t="s">
        <v>362</v>
      </c>
    </row>
    <row r="1450" spans="1:18" x14ac:dyDescent="0.15">
      <c r="A1450" t="s">
        <v>3822</v>
      </c>
      <c r="B1450" s="61">
        <v>48214</v>
      </c>
      <c r="E1450" t="s">
        <v>355</v>
      </c>
      <c r="F1450" t="s">
        <v>385</v>
      </c>
      <c r="H1450" t="s">
        <v>365</v>
      </c>
      <c r="I1450">
        <v>1800036</v>
      </c>
      <c r="J1450" t="s">
        <v>4869</v>
      </c>
      <c r="K1450" t="s">
        <v>4870</v>
      </c>
      <c r="L1450" t="s">
        <v>4871</v>
      </c>
      <c r="N1450" t="s">
        <v>4872</v>
      </c>
      <c r="O1450" t="s">
        <v>4873</v>
      </c>
      <c r="R1450" t="s">
        <v>395</v>
      </c>
    </row>
    <row r="1451" spans="1:18" x14ac:dyDescent="0.15">
      <c r="A1451" t="s">
        <v>2027</v>
      </c>
      <c r="B1451" s="61">
        <v>46631</v>
      </c>
      <c r="E1451" t="s">
        <v>355</v>
      </c>
      <c r="F1451" t="s">
        <v>356</v>
      </c>
      <c r="H1451" t="s">
        <v>365</v>
      </c>
      <c r="I1451">
        <v>2801533</v>
      </c>
      <c r="J1451" t="s">
        <v>2028</v>
      </c>
      <c r="K1451" t="s">
        <v>2029</v>
      </c>
      <c r="L1451" t="s">
        <v>833</v>
      </c>
      <c r="N1451" t="s">
        <v>4874</v>
      </c>
      <c r="O1451" t="s">
        <v>2031</v>
      </c>
      <c r="R1451" t="s">
        <v>362</v>
      </c>
    </row>
    <row r="1452" spans="1:18" x14ac:dyDescent="0.15">
      <c r="A1452" t="s">
        <v>2027</v>
      </c>
      <c r="B1452" s="61">
        <v>48092</v>
      </c>
      <c r="E1452" t="s">
        <v>355</v>
      </c>
      <c r="F1452" t="s">
        <v>385</v>
      </c>
      <c r="H1452" t="s">
        <v>365</v>
      </c>
      <c r="I1452">
        <v>2801533</v>
      </c>
      <c r="J1452" t="s">
        <v>2028</v>
      </c>
      <c r="K1452" t="s">
        <v>2029</v>
      </c>
      <c r="L1452" t="s">
        <v>833</v>
      </c>
      <c r="N1452" t="s">
        <v>4874</v>
      </c>
      <c r="O1452" t="s">
        <v>2031</v>
      </c>
      <c r="R1452" t="s">
        <v>395</v>
      </c>
    </row>
    <row r="1453" spans="1:18" x14ac:dyDescent="0.15">
      <c r="A1453" t="s">
        <v>3483</v>
      </c>
      <c r="B1453" s="61">
        <v>47150</v>
      </c>
      <c r="E1453" t="s">
        <v>355</v>
      </c>
      <c r="F1453" t="s">
        <v>356</v>
      </c>
      <c r="H1453" t="s">
        <v>365</v>
      </c>
      <c r="I1453">
        <v>2303839</v>
      </c>
      <c r="J1453" t="s">
        <v>4458</v>
      </c>
      <c r="K1453" t="s">
        <v>4459</v>
      </c>
      <c r="L1453" t="s">
        <v>4460</v>
      </c>
      <c r="N1453" t="s">
        <v>4875</v>
      </c>
      <c r="O1453" t="s">
        <v>4461</v>
      </c>
      <c r="R1453" t="s">
        <v>362</v>
      </c>
    </row>
    <row r="1454" spans="1:18" x14ac:dyDescent="0.15">
      <c r="A1454" t="s">
        <v>3483</v>
      </c>
      <c r="B1454" s="61">
        <v>48611</v>
      </c>
      <c r="E1454" t="s">
        <v>355</v>
      </c>
      <c r="F1454" t="s">
        <v>385</v>
      </c>
      <c r="H1454" t="s">
        <v>365</v>
      </c>
      <c r="I1454">
        <v>2303839</v>
      </c>
      <c r="J1454" t="s">
        <v>4458</v>
      </c>
      <c r="K1454" t="s">
        <v>4459</v>
      </c>
      <c r="L1454" t="s">
        <v>4460</v>
      </c>
      <c r="N1454" t="s">
        <v>4875</v>
      </c>
      <c r="O1454" t="s">
        <v>4461</v>
      </c>
      <c r="R1454" t="s">
        <v>395</v>
      </c>
    </row>
    <row r="1455" spans="1:18" x14ac:dyDescent="0.15">
      <c r="A1455" t="s">
        <v>1062</v>
      </c>
      <c r="B1455" s="61">
        <v>47300</v>
      </c>
      <c r="E1455" t="s">
        <v>355</v>
      </c>
      <c r="F1455" t="s">
        <v>356</v>
      </c>
      <c r="H1455" t="s">
        <v>365</v>
      </c>
      <c r="I1455">
        <v>3400948</v>
      </c>
      <c r="J1455" t="s">
        <v>4856</v>
      </c>
      <c r="K1455" t="s">
        <v>4857</v>
      </c>
      <c r="L1455" t="s">
        <v>390</v>
      </c>
      <c r="N1455" t="s">
        <v>4876</v>
      </c>
      <c r="O1455" t="s">
        <v>4859</v>
      </c>
      <c r="R1455" t="s">
        <v>362</v>
      </c>
    </row>
    <row r="1456" spans="1:18" x14ac:dyDescent="0.15">
      <c r="A1456" t="s">
        <v>1062</v>
      </c>
      <c r="B1456" s="61">
        <v>48761</v>
      </c>
      <c r="E1456" t="s">
        <v>355</v>
      </c>
      <c r="F1456" t="s">
        <v>385</v>
      </c>
      <c r="H1456" t="s">
        <v>365</v>
      </c>
      <c r="I1456">
        <v>3400948</v>
      </c>
      <c r="J1456" t="s">
        <v>4856</v>
      </c>
      <c r="K1456" t="s">
        <v>4857</v>
      </c>
      <c r="L1456" t="s">
        <v>390</v>
      </c>
      <c r="N1456" t="s">
        <v>4876</v>
      </c>
      <c r="O1456" t="s">
        <v>4859</v>
      </c>
      <c r="R1456" t="s">
        <v>395</v>
      </c>
    </row>
    <row r="1457" spans="1:19" x14ac:dyDescent="0.15">
      <c r="A1457" t="s">
        <v>914</v>
      </c>
      <c r="B1457" s="61">
        <v>46784</v>
      </c>
      <c r="E1457" t="s">
        <v>355</v>
      </c>
      <c r="F1457" t="s">
        <v>356</v>
      </c>
      <c r="H1457" t="s">
        <v>365</v>
      </c>
      <c r="I1457">
        <v>700109</v>
      </c>
      <c r="J1457" t="s">
        <v>4877</v>
      </c>
      <c r="K1457" t="s">
        <v>4878</v>
      </c>
      <c r="L1457" t="s">
        <v>4879</v>
      </c>
      <c r="N1457" t="s">
        <v>4880</v>
      </c>
      <c r="O1457" t="s">
        <v>4881</v>
      </c>
      <c r="R1457" t="s">
        <v>362</v>
      </c>
    </row>
    <row r="1458" spans="1:19" x14ac:dyDescent="0.15">
      <c r="A1458" t="s">
        <v>914</v>
      </c>
      <c r="B1458" s="61">
        <v>48245</v>
      </c>
      <c r="E1458" t="s">
        <v>355</v>
      </c>
      <c r="F1458" t="s">
        <v>385</v>
      </c>
      <c r="H1458" t="s">
        <v>365</v>
      </c>
      <c r="I1458">
        <v>700109</v>
      </c>
      <c r="J1458" t="s">
        <v>4877</v>
      </c>
      <c r="K1458" t="s">
        <v>4878</v>
      </c>
      <c r="L1458" t="s">
        <v>4879</v>
      </c>
      <c r="N1458" t="s">
        <v>4880</v>
      </c>
      <c r="O1458" t="s">
        <v>4881</v>
      </c>
      <c r="R1458" t="s">
        <v>395</v>
      </c>
    </row>
    <row r="1459" spans="1:19" x14ac:dyDescent="0.15">
      <c r="A1459" t="s">
        <v>914</v>
      </c>
      <c r="B1459" s="61">
        <v>46692</v>
      </c>
      <c r="E1459" t="s">
        <v>355</v>
      </c>
      <c r="F1459" t="s">
        <v>356</v>
      </c>
      <c r="H1459" t="s">
        <v>365</v>
      </c>
      <c r="I1459">
        <v>700109</v>
      </c>
      <c r="J1459" t="s">
        <v>4877</v>
      </c>
      <c r="K1459" t="s">
        <v>4878</v>
      </c>
      <c r="L1459" t="s">
        <v>4882</v>
      </c>
      <c r="N1459" t="s">
        <v>4883</v>
      </c>
      <c r="O1459" t="s">
        <v>4881</v>
      </c>
      <c r="R1459" t="s">
        <v>362</v>
      </c>
    </row>
    <row r="1460" spans="1:19" x14ac:dyDescent="0.15">
      <c r="A1460" t="s">
        <v>914</v>
      </c>
      <c r="B1460" s="61">
        <v>48153</v>
      </c>
      <c r="E1460" t="s">
        <v>355</v>
      </c>
      <c r="F1460" t="s">
        <v>385</v>
      </c>
      <c r="H1460" t="s">
        <v>365</v>
      </c>
      <c r="I1460">
        <v>700109</v>
      </c>
      <c r="J1460" t="s">
        <v>4877</v>
      </c>
      <c r="K1460" t="s">
        <v>4878</v>
      </c>
      <c r="L1460" t="s">
        <v>4882</v>
      </c>
      <c r="N1460" t="s">
        <v>4883</v>
      </c>
      <c r="O1460" t="s">
        <v>4881</v>
      </c>
      <c r="R1460" t="s">
        <v>395</v>
      </c>
    </row>
    <row r="1461" spans="1:19" x14ac:dyDescent="0.15">
      <c r="A1461" t="s">
        <v>914</v>
      </c>
      <c r="B1461" s="61">
        <v>46753</v>
      </c>
      <c r="E1461" t="s">
        <v>355</v>
      </c>
      <c r="F1461" t="s">
        <v>356</v>
      </c>
      <c r="H1461" t="s">
        <v>365</v>
      </c>
      <c r="I1461">
        <v>700109</v>
      </c>
      <c r="J1461" t="s">
        <v>4877</v>
      </c>
      <c r="K1461" t="s">
        <v>4878</v>
      </c>
      <c r="L1461" t="s">
        <v>4884</v>
      </c>
      <c r="N1461" t="s">
        <v>4885</v>
      </c>
      <c r="O1461" t="s">
        <v>4881</v>
      </c>
      <c r="R1461" t="s">
        <v>362</v>
      </c>
    </row>
    <row r="1462" spans="1:19" x14ac:dyDescent="0.15">
      <c r="A1462" t="s">
        <v>914</v>
      </c>
      <c r="B1462" s="61">
        <v>48214</v>
      </c>
      <c r="E1462" t="s">
        <v>355</v>
      </c>
      <c r="F1462" t="s">
        <v>385</v>
      </c>
      <c r="H1462" t="s">
        <v>365</v>
      </c>
      <c r="I1462">
        <v>700109</v>
      </c>
      <c r="J1462" t="s">
        <v>4877</v>
      </c>
      <c r="K1462" t="s">
        <v>4878</v>
      </c>
      <c r="L1462" t="s">
        <v>4884</v>
      </c>
      <c r="N1462" t="s">
        <v>4885</v>
      </c>
      <c r="O1462" t="s">
        <v>4881</v>
      </c>
      <c r="R1462" t="s">
        <v>395</v>
      </c>
    </row>
    <row r="1463" spans="1:19" x14ac:dyDescent="0.15">
      <c r="A1463" t="s">
        <v>1359</v>
      </c>
      <c r="B1463" s="61">
        <v>47423</v>
      </c>
      <c r="E1463" t="s">
        <v>355</v>
      </c>
      <c r="F1463" t="s">
        <v>969</v>
      </c>
      <c r="H1463" t="s">
        <v>309</v>
      </c>
      <c r="I1463">
        <v>3500228</v>
      </c>
      <c r="J1463" t="s">
        <v>1362</v>
      </c>
      <c r="K1463" t="s">
        <v>1363</v>
      </c>
      <c r="L1463" t="s">
        <v>1364</v>
      </c>
      <c r="N1463" t="s">
        <v>4886</v>
      </c>
      <c r="O1463" t="s">
        <v>1365</v>
      </c>
      <c r="R1463" t="s">
        <v>2553</v>
      </c>
    </row>
    <row r="1464" spans="1:19" x14ac:dyDescent="0.15">
      <c r="A1464" t="s">
        <v>1095</v>
      </c>
      <c r="B1464" s="61">
        <v>47300</v>
      </c>
      <c r="E1464" t="s">
        <v>355</v>
      </c>
      <c r="F1464" t="s">
        <v>969</v>
      </c>
      <c r="H1464" t="s">
        <v>309</v>
      </c>
      <c r="I1464">
        <v>3900054</v>
      </c>
      <c r="J1464" t="s">
        <v>1594</v>
      </c>
      <c r="L1464" t="s">
        <v>390</v>
      </c>
      <c r="N1464" t="s">
        <v>4887</v>
      </c>
      <c r="O1464" t="s">
        <v>1595</v>
      </c>
      <c r="R1464" t="s">
        <v>2553</v>
      </c>
    </row>
    <row r="1465" spans="1:19" x14ac:dyDescent="0.15">
      <c r="A1465" t="s">
        <v>3483</v>
      </c>
      <c r="B1465" s="61">
        <v>45962</v>
      </c>
      <c r="E1465" t="s">
        <v>355</v>
      </c>
      <c r="F1465" t="s">
        <v>351</v>
      </c>
      <c r="G1465" t="s">
        <v>354</v>
      </c>
      <c r="H1465" t="s">
        <v>353</v>
      </c>
      <c r="I1465">
        <v>2303839</v>
      </c>
      <c r="J1465" t="s">
        <v>4458</v>
      </c>
      <c r="K1465" t="s">
        <v>4459</v>
      </c>
      <c r="L1465" t="s">
        <v>4460</v>
      </c>
      <c r="N1465" t="s">
        <v>4888</v>
      </c>
      <c r="O1465" t="s">
        <v>4461</v>
      </c>
      <c r="S1465" t="s">
        <v>4889</v>
      </c>
    </row>
    <row r="1466" spans="1:19" ht="229.5" x14ac:dyDescent="0.15">
      <c r="A1466" t="s">
        <v>1614</v>
      </c>
      <c r="B1466" s="61">
        <v>46204</v>
      </c>
      <c r="E1466" t="s">
        <v>355</v>
      </c>
      <c r="F1466" t="s">
        <v>351</v>
      </c>
      <c r="H1466" t="s">
        <v>353</v>
      </c>
      <c r="I1466">
        <v>2000958</v>
      </c>
      <c r="J1466" t="s">
        <v>1570</v>
      </c>
      <c r="K1466" t="s">
        <v>1630</v>
      </c>
      <c r="L1466" t="s">
        <v>390</v>
      </c>
      <c r="N1466" t="s">
        <v>4866</v>
      </c>
      <c r="O1466" t="s">
        <v>4867</v>
      </c>
      <c r="S1466" s="34" t="s">
        <v>5366</v>
      </c>
    </row>
    <row r="1467" spans="1:19" ht="409.5" x14ac:dyDescent="0.15">
      <c r="A1467" t="s">
        <v>3432</v>
      </c>
      <c r="B1467" s="61">
        <v>46082</v>
      </c>
      <c r="E1467" t="s">
        <v>355</v>
      </c>
      <c r="F1467" t="s">
        <v>351</v>
      </c>
      <c r="H1467" t="s">
        <v>353</v>
      </c>
      <c r="I1467">
        <v>2202611</v>
      </c>
      <c r="J1467" t="s">
        <v>974</v>
      </c>
      <c r="K1467" t="s">
        <v>4862</v>
      </c>
      <c r="L1467" t="s">
        <v>3700</v>
      </c>
      <c r="N1467" t="s">
        <v>4894</v>
      </c>
      <c r="O1467" t="s">
        <v>4865</v>
      </c>
      <c r="S1467" s="34" t="s">
        <v>4895</v>
      </c>
    </row>
    <row r="1468" spans="1:19" ht="409.5" x14ac:dyDescent="0.15">
      <c r="A1468" t="s">
        <v>3432</v>
      </c>
      <c r="B1468" s="61">
        <v>46082</v>
      </c>
      <c r="E1468" t="s">
        <v>355</v>
      </c>
      <c r="F1468" t="s">
        <v>351</v>
      </c>
      <c r="H1468" t="s">
        <v>686</v>
      </c>
      <c r="I1468">
        <v>2202611</v>
      </c>
      <c r="J1468" t="s">
        <v>974</v>
      </c>
      <c r="K1468" t="s">
        <v>4862</v>
      </c>
      <c r="L1468" t="s">
        <v>3700</v>
      </c>
      <c r="N1468">
        <v>2179113</v>
      </c>
      <c r="O1468" t="s">
        <v>4865</v>
      </c>
      <c r="S1468" s="34" t="s">
        <v>4896</v>
      </c>
    </row>
    <row r="1469" spans="1:19" x14ac:dyDescent="0.15">
      <c r="A1469" t="s">
        <v>2096</v>
      </c>
      <c r="B1469" s="61">
        <v>46631</v>
      </c>
      <c r="E1469" t="s">
        <v>355</v>
      </c>
      <c r="F1469" t="s">
        <v>356</v>
      </c>
      <c r="H1469" t="s">
        <v>353</v>
      </c>
      <c r="I1469">
        <v>400141</v>
      </c>
      <c r="J1469" t="s">
        <v>4904</v>
      </c>
      <c r="L1469" t="s">
        <v>1176</v>
      </c>
      <c r="N1469" t="s">
        <v>4905</v>
      </c>
      <c r="O1469" t="s">
        <v>4906</v>
      </c>
      <c r="R1469" t="s">
        <v>362</v>
      </c>
    </row>
    <row r="1470" spans="1:19" x14ac:dyDescent="0.15">
      <c r="A1470" t="s">
        <v>2096</v>
      </c>
      <c r="B1470" s="61">
        <v>48092</v>
      </c>
      <c r="E1470" t="s">
        <v>355</v>
      </c>
      <c r="F1470" t="s">
        <v>385</v>
      </c>
      <c r="H1470" t="s">
        <v>353</v>
      </c>
      <c r="I1470">
        <v>400141</v>
      </c>
      <c r="J1470" t="s">
        <v>4904</v>
      </c>
      <c r="L1470" t="s">
        <v>1176</v>
      </c>
      <c r="N1470" t="s">
        <v>4905</v>
      </c>
      <c r="O1470" t="s">
        <v>4906</v>
      </c>
      <c r="R1470" t="s">
        <v>386</v>
      </c>
    </row>
    <row r="1471" spans="1:19" x14ac:dyDescent="0.15">
      <c r="A1471" t="s">
        <v>1860</v>
      </c>
      <c r="B1471" s="61">
        <v>46631</v>
      </c>
      <c r="E1471" t="s">
        <v>355</v>
      </c>
      <c r="F1471" t="s">
        <v>356</v>
      </c>
      <c r="H1471" t="s">
        <v>353</v>
      </c>
      <c r="I1471">
        <v>801429</v>
      </c>
      <c r="J1471" t="s">
        <v>1881</v>
      </c>
      <c r="K1471" t="s">
        <v>4900</v>
      </c>
      <c r="L1471" t="s">
        <v>4901</v>
      </c>
      <c r="N1471" t="s">
        <v>4902</v>
      </c>
      <c r="O1471" t="s">
        <v>4903</v>
      </c>
      <c r="R1471" t="s">
        <v>362</v>
      </c>
    </row>
    <row r="1472" spans="1:19" x14ac:dyDescent="0.15">
      <c r="A1472" t="s">
        <v>1860</v>
      </c>
      <c r="B1472" s="61">
        <v>48092</v>
      </c>
      <c r="E1472" t="s">
        <v>355</v>
      </c>
      <c r="F1472" t="s">
        <v>385</v>
      </c>
      <c r="H1472" t="s">
        <v>353</v>
      </c>
      <c r="I1472">
        <v>801429</v>
      </c>
      <c r="J1472" t="s">
        <v>1881</v>
      </c>
      <c r="K1472" t="s">
        <v>4900</v>
      </c>
      <c r="L1472" t="s">
        <v>4901</v>
      </c>
      <c r="N1472" t="s">
        <v>4902</v>
      </c>
      <c r="O1472" t="s">
        <v>4903</v>
      </c>
      <c r="R1472" t="s">
        <v>386</v>
      </c>
    </row>
    <row r="1473" spans="1:18" x14ac:dyDescent="0.15">
      <c r="A1473" t="s">
        <v>1860</v>
      </c>
      <c r="B1473" s="61">
        <v>46722</v>
      </c>
      <c r="E1473" t="s">
        <v>355</v>
      </c>
      <c r="F1473" t="s">
        <v>356</v>
      </c>
      <c r="H1473" t="s">
        <v>353</v>
      </c>
      <c r="I1473">
        <v>801438</v>
      </c>
      <c r="J1473" t="s">
        <v>4907</v>
      </c>
      <c r="K1473" t="s">
        <v>4908</v>
      </c>
      <c r="L1473" t="s">
        <v>4909</v>
      </c>
      <c r="N1473" t="s">
        <v>4910</v>
      </c>
      <c r="O1473" t="s">
        <v>4911</v>
      </c>
      <c r="R1473" t="s">
        <v>362</v>
      </c>
    </row>
    <row r="1474" spans="1:18" x14ac:dyDescent="0.15">
      <c r="A1474" t="s">
        <v>1860</v>
      </c>
      <c r="B1474" s="61">
        <v>48183</v>
      </c>
      <c r="E1474" t="s">
        <v>355</v>
      </c>
      <c r="F1474" t="s">
        <v>385</v>
      </c>
      <c r="H1474" t="s">
        <v>353</v>
      </c>
      <c r="I1474">
        <v>801438</v>
      </c>
      <c r="J1474" t="s">
        <v>4907</v>
      </c>
      <c r="K1474" t="s">
        <v>4908</v>
      </c>
      <c r="L1474" t="s">
        <v>4909</v>
      </c>
      <c r="N1474" t="s">
        <v>4910</v>
      </c>
      <c r="O1474" t="s">
        <v>4911</v>
      </c>
      <c r="R1474" t="s">
        <v>386</v>
      </c>
    </row>
    <row r="1475" spans="1:18" x14ac:dyDescent="0.15">
      <c r="A1475" t="s">
        <v>3889</v>
      </c>
      <c r="B1475" s="61">
        <v>46997</v>
      </c>
      <c r="E1475" t="s">
        <v>355</v>
      </c>
      <c r="F1475" t="s">
        <v>356</v>
      </c>
      <c r="H1475" t="s">
        <v>353</v>
      </c>
      <c r="I1475">
        <v>1101227</v>
      </c>
      <c r="J1475" t="s">
        <v>1052</v>
      </c>
      <c r="K1475" t="s">
        <v>1053</v>
      </c>
      <c r="L1475" t="s">
        <v>390</v>
      </c>
      <c r="N1475" t="s">
        <v>4912</v>
      </c>
      <c r="O1475" t="s">
        <v>1055</v>
      </c>
      <c r="R1475" t="s">
        <v>362</v>
      </c>
    </row>
    <row r="1476" spans="1:18" x14ac:dyDescent="0.15">
      <c r="A1476" t="s">
        <v>3889</v>
      </c>
      <c r="B1476" s="61">
        <v>48458</v>
      </c>
      <c r="E1476" t="s">
        <v>355</v>
      </c>
      <c r="F1476" t="s">
        <v>385</v>
      </c>
      <c r="H1476" t="s">
        <v>353</v>
      </c>
      <c r="I1476">
        <v>1101227</v>
      </c>
      <c r="J1476" t="s">
        <v>1052</v>
      </c>
      <c r="K1476" t="s">
        <v>1053</v>
      </c>
      <c r="L1476" t="s">
        <v>390</v>
      </c>
      <c r="N1476" t="s">
        <v>4912</v>
      </c>
      <c r="O1476" t="s">
        <v>1055</v>
      </c>
      <c r="R1476" t="s">
        <v>386</v>
      </c>
    </row>
    <row r="1477" spans="1:18" x14ac:dyDescent="0.15">
      <c r="A1477" t="s">
        <v>914</v>
      </c>
      <c r="B1477" s="61">
        <v>46569</v>
      </c>
      <c r="E1477" t="s">
        <v>355</v>
      </c>
      <c r="F1477" t="s">
        <v>356</v>
      </c>
      <c r="H1477" t="s">
        <v>353</v>
      </c>
      <c r="I1477">
        <v>700689</v>
      </c>
      <c r="J1477" t="s">
        <v>925</v>
      </c>
      <c r="K1477" t="s">
        <v>926</v>
      </c>
      <c r="L1477" t="s">
        <v>927</v>
      </c>
      <c r="N1477" t="s">
        <v>4913</v>
      </c>
      <c r="O1477" t="s">
        <v>929</v>
      </c>
      <c r="R1477" t="s">
        <v>362</v>
      </c>
    </row>
    <row r="1478" spans="1:18" x14ac:dyDescent="0.15">
      <c r="A1478" t="s">
        <v>914</v>
      </c>
      <c r="B1478" s="61">
        <v>48030</v>
      </c>
      <c r="E1478" t="s">
        <v>355</v>
      </c>
      <c r="F1478" t="s">
        <v>385</v>
      </c>
      <c r="H1478" t="s">
        <v>353</v>
      </c>
      <c r="I1478">
        <v>700689</v>
      </c>
      <c r="J1478" t="s">
        <v>925</v>
      </c>
      <c r="K1478" t="s">
        <v>926</v>
      </c>
      <c r="L1478" t="s">
        <v>927</v>
      </c>
      <c r="N1478" t="s">
        <v>4913</v>
      </c>
      <c r="O1478" t="s">
        <v>929</v>
      </c>
      <c r="R1478" t="s">
        <v>386</v>
      </c>
    </row>
    <row r="1479" spans="1:18" x14ac:dyDescent="0.15">
      <c r="A1479" t="s">
        <v>1145</v>
      </c>
      <c r="B1479" s="61">
        <v>46478</v>
      </c>
      <c r="E1479" t="s">
        <v>355</v>
      </c>
      <c r="F1479" t="s">
        <v>356</v>
      </c>
      <c r="H1479" t="s">
        <v>353</v>
      </c>
      <c r="I1479">
        <v>100874</v>
      </c>
      <c r="J1479" t="s">
        <v>4718</v>
      </c>
      <c r="K1479" t="s">
        <v>4719</v>
      </c>
      <c r="L1479" t="s">
        <v>4897</v>
      </c>
      <c r="N1479" t="s">
        <v>4914</v>
      </c>
      <c r="O1479" t="s">
        <v>4898</v>
      </c>
      <c r="R1479" t="s">
        <v>362</v>
      </c>
    </row>
    <row r="1480" spans="1:18" x14ac:dyDescent="0.15">
      <c r="A1480" t="s">
        <v>1145</v>
      </c>
      <c r="B1480" s="61">
        <v>47939</v>
      </c>
      <c r="E1480" t="s">
        <v>355</v>
      </c>
      <c r="F1480" t="s">
        <v>385</v>
      </c>
      <c r="H1480" t="s">
        <v>353</v>
      </c>
      <c r="I1480">
        <v>100874</v>
      </c>
      <c r="J1480" t="s">
        <v>4718</v>
      </c>
      <c r="K1480" t="s">
        <v>4719</v>
      </c>
      <c r="L1480" t="s">
        <v>4897</v>
      </c>
      <c r="N1480" t="s">
        <v>4914</v>
      </c>
      <c r="O1480" t="s">
        <v>4898</v>
      </c>
      <c r="R1480" t="s">
        <v>386</v>
      </c>
    </row>
    <row r="1481" spans="1:18" x14ac:dyDescent="0.15">
      <c r="A1481" t="s">
        <v>1145</v>
      </c>
      <c r="B1481" s="61">
        <v>46844</v>
      </c>
      <c r="E1481" t="s">
        <v>355</v>
      </c>
      <c r="F1481" t="s">
        <v>356</v>
      </c>
      <c r="H1481" t="s">
        <v>353</v>
      </c>
      <c r="I1481">
        <v>100874</v>
      </c>
      <c r="J1481" t="s">
        <v>4718</v>
      </c>
      <c r="K1481" t="s">
        <v>4719</v>
      </c>
      <c r="L1481" t="s">
        <v>4899</v>
      </c>
      <c r="N1481" t="s">
        <v>4915</v>
      </c>
      <c r="O1481" t="s">
        <v>4898</v>
      </c>
      <c r="R1481" t="s">
        <v>362</v>
      </c>
    </row>
    <row r="1482" spans="1:18" x14ac:dyDescent="0.15">
      <c r="A1482" t="s">
        <v>1145</v>
      </c>
      <c r="B1482" s="61">
        <v>48305</v>
      </c>
      <c r="E1482" t="s">
        <v>355</v>
      </c>
      <c r="F1482" t="s">
        <v>385</v>
      </c>
      <c r="H1482" t="s">
        <v>353</v>
      </c>
      <c r="I1482">
        <v>100874</v>
      </c>
      <c r="J1482" t="s">
        <v>4718</v>
      </c>
      <c r="K1482" t="s">
        <v>4719</v>
      </c>
      <c r="L1482" t="s">
        <v>4899</v>
      </c>
      <c r="N1482" t="s">
        <v>4915</v>
      </c>
      <c r="O1482" t="s">
        <v>4898</v>
      </c>
      <c r="R1482" t="s">
        <v>386</v>
      </c>
    </row>
    <row r="1483" spans="1:18" x14ac:dyDescent="0.15">
      <c r="A1483" t="s">
        <v>3617</v>
      </c>
      <c r="B1483" s="61">
        <v>46966</v>
      </c>
      <c r="E1483" t="s">
        <v>355</v>
      </c>
      <c r="F1483" t="s">
        <v>356</v>
      </c>
      <c r="H1483" t="s">
        <v>365</v>
      </c>
      <c r="I1483">
        <v>4000985</v>
      </c>
      <c r="J1483" t="s">
        <v>3914</v>
      </c>
      <c r="K1483" t="s">
        <v>4916</v>
      </c>
      <c r="L1483" t="s">
        <v>413</v>
      </c>
      <c r="N1483" t="s">
        <v>4917</v>
      </c>
      <c r="O1483" t="s">
        <v>4918</v>
      </c>
      <c r="R1483" t="s">
        <v>362</v>
      </c>
    </row>
    <row r="1484" spans="1:18" x14ac:dyDescent="0.15">
      <c r="A1484" t="s">
        <v>3617</v>
      </c>
      <c r="B1484" s="61">
        <v>48427</v>
      </c>
      <c r="E1484" t="s">
        <v>355</v>
      </c>
      <c r="F1484" t="s">
        <v>385</v>
      </c>
      <c r="H1484" t="s">
        <v>365</v>
      </c>
      <c r="I1484">
        <v>4000985</v>
      </c>
      <c r="J1484" t="s">
        <v>3914</v>
      </c>
      <c r="K1484" t="s">
        <v>4916</v>
      </c>
      <c r="L1484" t="s">
        <v>413</v>
      </c>
      <c r="N1484" t="s">
        <v>4917</v>
      </c>
      <c r="O1484" t="s">
        <v>4918</v>
      </c>
      <c r="R1484" t="s">
        <v>395</v>
      </c>
    </row>
    <row r="1485" spans="1:18" x14ac:dyDescent="0.15">
      <c r="A1485" t="s">
        <v>1860</v>
      </c>
      <c r="B1485" s="61">
        <v>47119</v>
      </c>
      <c r="E1485" t="s">
        <v>355</v>
      </c>
      <c r="F1485" t="s">
        <v>356</v>
      </c>
      <c r="H1485" t="s">
        <v>365</v>
      </c>
      <c r="I1485">
        <v>800271</v>
      </c>
      <c r="J1485" t="s">
        <v>1874</v>
      </c>
      <c r="K1485" t="s">
        <v>403</v>
      </c>
      <c r="L1485" t="s">
        <v>1875</v>
      </c>
      <c r="N1485" t="s">
        <v>4919</v>
      </c>
      <c r="O1485" t="s">
        <v>1876</v>
      </c>
      <c r="R1485" t="s">
        <v>362</v>
      </c>
    </row>
    <row r="1486" spans="1:18" x14ac:dyDescent="0.15">
      <c r="A1486" t="s">
        <v>1860</v>
      </c>
      <c r="B1486" s="61">
        <v>48580</v>
      </c>
      <c r="E1486" t="s">
        <v>355</v>
      </c>
      <c r="F1486" t="s">
        <v>385</v>
      </c>
      <c r="H1486" t="s">
        <v>365</v>
      </c>
      <c r="I1486">
        <v>800271</v>
      </c>
      <c r="J1486" t="s">
        <v>1874</v>
      </c>
      <c r="K1486" t="s">
        <v>403</v>
      </c>
      <c r="L1486" t="s">
        <v>1875</v>
      </c>
      <c r="N1486" t="s">
        <v>4919</v>
      </c>
      <c r="O1486" t="s">
        <v>1876</v>
      </c>
      <c r="R1486" t="s">
        <v>395</v>
      </c>
    </row>
    <row r="1487" spans="1:18" x14ac:dyDescent="0.15">
      <c r="A1487" t="s">
        <v>1860</v>
      </c>
      <c r="B1487" s="61">
        <v>47119</v>
      </c>
      <c r="E1487" t="s">
        <v>355</v>
      </c>
      <c r="F1487" t="s">
        <v>356</v>
      </c>
      <c r="H1487" t="s">
        <v>365</v>
      </c>
      <c r="I1487">
        <v>800271</v>
      </c>
      <c r="J1487" t="s">
        <v>1874</v>
      </c>
      <c r="K1487" t="s">
        <v>403</v>
      </c>
      <c r="L1487" t="s">
        <v>4920</v>
      </c>
      <c r="N1487" t="s">
        <v>4921</v>
      </c>
      <c r="O1487" t="s">
        <v>1876</v>
      </c>
      <c r="R1487" t="s">
        <v>362</v>
      </c>
    </row>
    <row r="1488" spans="1:18" x14ac:dyDescent="0.15">
      <c r="A1488" t="s">
        <v>1860</v>
      </c>
      <c r="B1488" s="61">
        <v>48580</v>
      </c>
      <c r="E1488" t="s">
        <v>355</v>
      </c>
      <c r="F1488" t="s">
        <v>385</v>
      </c>
      <c r="H1488" t="s">
        <v>365</v>
      </c>
      <c r="I1488">
        <v>800271</v>
      </c>
      <c r="J1488" t="s">
        <v>1874</v>
      </c>
      <c r="K1488" t="s">
        <v>403</v>
      </c>
      <c r="L1488" t="s">
        <v>4920</v>
      </c>
      <c r="N1488" t="s">
        <v>4921</v>
      </c>
      <c r="O1488" t="s">
        <v>1876</v>
      </c>
      <c r="R1488" t="s">
        <v>395</v>
      </c>
    </row>
    <row r="1489" spans="1:19" x14ac:dyDescent="0.15">
      <c r="A1489" t="s">
        <v>1062</v>
      </c>
      <c r="B1489" s="61">
        <v>46966</v>
      </c>
      <c r="E1489" t="s">
        <v>355</v>
      </c>
      <c r="F1489" t="s">
        <v>356</v>
      </c>
      <c r="H1489" t="s">
        <v>365</v>
      </c>
      <c r="I1489">
        <v>3400618</v>
      </c>
      <c r="J1489" t="s">
        <v>4922</v>
      </c>
      <c r="K1489" t="s">
        <v>4923</v>
      </c>
      <c r="L1489" t="s">
        <v>390</v>
      </c>
      <c r="N1489" t="s">
        <v>4924</v>
      </c>
      <c r="O1489" t="s">
        <v>4925</v>
      </c>
      <c r="R1489" t="s">
        <v>362</v>
      </c>
    </row>
    <row r="1490" spans="1:19" x14ac:dyDescent="0.15">
      <c r="A1490" t="s">
        <v>1062</v>
      </c>
      <c r="B1490" s="61">
        <v>48427</v>
      </c>
      <c r="E1490" t="s">
        <v>355</v>
      </c>
      <c r="F1490" t="s">
        <v>385</v>
      </c>
      <c r="H1490" t="s">
        <v>365</v>
      </c>
      <c r="I1490">
        <v>3400618</v>
      </c>
      <c r="J1490" t="s">
        <v>4922</v>
      </c>
      <c r="K1490" t="s">
        <v>4923</v>
      </c>
      <c r="L1490" t="s">
        <v>390</v>
      </c>
      <c r="N1490" t="s">
        <v>4924</v>
      </c>
      <c r="O1490" t="s">
        <v>4925</v>
      </c>
      <c r="R1490" t="s">
        <v>395</v>
      </c>
    </row>
    <row r="1491" spans="1:19" ht="216" x14ac:dyDescent="0.15">
      <c r="A1491" t="s">
        <v>1062</v>
      </c>
      <c r="B1491" s="61">
        <v>46204</v>
      </c>
      <c r="E1491" t="s">
        <v>355</v>
      </c>
      <c r="F1491" t="s">
        <v>351</v>
      </c>
      <c r="G1491" t="s">
        <v>354</v>
      </c>
      <c r="H1491" t="s">
        <v>365</v>
      </c>
      <c r="I1491">
        <v>3400618</v>
      </c>
      <c r="J1491" t="s">
        <v>4922</v>
      </c>
      <c r="K1491" t="s">
        <v>4923</v>
      </c>
      <c r="L1491" t="s">
        <v>390</v>
      </c>
      <c r="N1491" t="s">
        <v>4924</v>
      </c>
      <c r="O1491" t="s">
        <v>4925</v>
      </c>
      <c r="R1491" t="s">
        <v>4318</v>
      </c>
      <c r="S1491" s="34" t="s">
        <v>5367</v>
      </c>
    </row>
    <row r="1492" spans="1:19" ht="409.5" x14ac:dyDescent="0.15">
      <c r="A1492" t="s">
        <v>1145</v>
      </c>
      <c r="B1492" s="61">
        <v>46174</v>
      </c>
      <c r="E1492" t="s">
        <v>355</v>
      </c>
      <c r="F1492" t="s">
        <v>351</v>
      </c>
      <c r="G1492" t="s">
        <v>354</v>
      </c>
      <c r="H1492" t="s">
        <v>353</v>
      </c>
      <c r="I1492">
        <v>100874</v>
      </c>
      <c r="J1492" t="s">
        <v>4718</v>
      </c>
      <c r="K1492" t="s">
        <v>4719</v>
      </c>
      <c r="L1492" t="s">
        <v>4897</v>
      </c>
      <c r="N1492" t="s">
        <v>4926</v>
      </c>
      <c r="O1492" t="s">
        <v>4898</v>
      </c>
      <c r="R1492" t="s">
        <v>4318</v>
      </c>
      <c r="S1492" s="34" t="s">
        <v>5368</v>
      </c>
    </row>
    <row r="1493" spans="1:19" ht="409.5" x14ac:dyDescent="0.15">
      <c r="A1493" t="s">
        <v>1145</v>
      </c>
      <c r="B1493" s="61">
        <v>46174</v>
      </c>
      <c r="E1493" t="s">
        <v>355</v>
      </c>
      <c r="F1493" t="s">
        <v>351</v>
      </c>
      <c r="G1493" t="s">
        <v>354</v>
      </c>
      <c r="H1493" t="s">
        <v>353</v>
      </c>
      <c r="I1493">
        <v>100874</v>
      </c>
      <c r="J1493" t="s">
        <v>4718</v>
      </c>
      <c r="K1493" t="s">
        <v>4719</v>
      </c>
      <c r="L1493" t="s">
        <v>4899</v>
      </c>
      <c r="N1493" t="s">
        <v>4927</v>
      </c>
      <c r="O1493" t="s">
        <v>4898</v>
      </c>
      <c r="R1493" t="s">
        <v>4318</v>
      </c>
      <c r="S1493" s="34" t="s">
        <v>5369</v>
      </c>
    </row>
    <row r="1494" spans="1:19" ht="409.5" x14ac:dyDescent="0.15">
      <c r="A1494" t="s">
        <v>1095</v>
      </c>
      <c r="B1494" s="61">
        <v>46054</v>
      </c>
      <c r="E1494" t="s">
        <v>355</v>
      </c>
      <c r="F1494" t="s">
        <v>351</v>
      </c>
      <c r="G1494" t="s">
        <v>354</v>
      </c>
      <c r="H1494" t="s">
        <v>353</v>
      </c>
      <c r="I1494">
        <v>3900113</v>
      </c>
      <c r="J1494" t="s">
        <v>4667</v>
      </c>
      <c r="K1494" t="s">
        <v>1542</v>
      </c>
      <c r="L1494" t="s">
        <v>413</v>
      </c>
      <c r="N1494" t="s">
        <v>7561</v>
      </c>
      <c r="O1494" t="s">
        <v>4929</v>
      </c>
      <c r="R1494" s="34" t="s">
        <v>4930</v>
      </c>
      <c r="S1494" s="34" t="s">
        <v>4931</v>
      </c>
    </row>
    <row r="1495" spans="1:19" x14ac:dyDescent="0.15">
      <c r="A1495" t="s">
        <v>2027</v>
      </c>
      <c r="B1495" s="61">
        <v>46753</v>
      </c>
      <c r="E1495" t="s">
        <v>355</v>
      </c>
      <c r="F1495" t="s">
        <v>356</v>
      </c>
      <c r="H1495" t="s">
        <v>353</v>
      </c>
      <c r="I1495">
        <v>2801335</v>
      </c>
      <c r="J1495" t="s">
        <v>3951</v>
      </c>
      <c r="K1495" t="s">
        <v>1450</v>
      </c>
      <c r="L1495" t="s">
        <v>613</v>
      </c>
      <c r="N1495" t="s">
        <v>4932</v>
      </c>
      <c r="O1495" t="s">
        <v>3953</v>
      </c>
      <c r="R1495" t="s">
        <v>362</v>
      </c>
    </row>
    <row r="1496" spans="1:19" x14ac:dyDescent="0.15">
      <c r="A1496" t="s">
        <v>2027</v>
      </c>
      <c r="B1496" s="61">
        <v>48214</v>
      </c>
      <c r="E1496" t="s">
        <v>355</v>
      </c>
      <c r="F1496" t="s">
        <v>385</v>
      </c>
      <c r="H1496" t="s">
        <v>353</v>
      </c>
      <c r="I1496">
        <v>2801335</v>
      </c>
      <c r="J1496" t="s">
        <v>3951</v>
      </c>
      <c r="K1496" t="s">
        <v>1450</v>
      </c>
      <c r="L1496" t="s">
        <v>613</v>
      </c>
      <c r="N1496" t="s">
        <v>4932</v>
      </c>
      <c r="O1496" t="s">
        <v>3953</v>
      </c>
    </row>
    <row r="1497" spans="1:19" ht="270" x14ac:dyDescent="0.15">
      <c r="A1497" t="s">
        <v>1359</v>
      </c>
      <c r="B1497" s="61">
        <v>46174</v>
      </c>
      <c r="E1497" t="s">
        <v>355</v>
      </c>
      <c r="F1497" t="s">
        <v>351</v>
      </c>
      <c r="H1497" t="s">
        <v>365</v>
      </c>
      <c r="I1497">
        <v>3500317</v>
      </c>
      <c r="J1497" t="s">
        <v>5056</v>
      </c>
      <c r="K1497" t="s">
        <v>1363</v>
      </c>
      <c r="L1497" t="s">
        <v>390</v>
      </c>
      <c r="N1497" t="s">
        <v>5057</v>
      </c>
      <c r="O1497" t="s">
        <v>5058</v>
      </c>
      <c r="S1497" s="34" t="s">
        <v>5372</v>
      </c>
    </row>
    <row r="1498" spans="1:19" ht="409.5" x14ac:dyDescent="0.15">
      <c r="A1498" t="s">
        <v>1817</v>
      </c>
      <c r="B1498" s="61">
        <v>46296</v>
      </c>
      <c r="E1498" t="s">
        <v>355</v>
      </c>
      <c r="F1498" t="s">
        <v>351</v>
      </c>
      <c r="H1498" t="s">
        <v>353</v>
      </c>
      <c r="I1498">
        <v>2800108</v>
      </c>
      <c r="J1498" t="s">
        <v>5083</v>
      </c>
      <c r="K1498" t="s">
        <v>5084</v>
      </c>
      <c r="L1498" t="s">
        <v>413</v>
      </c>
      <c r="N1498" t="s">
        <v>5085</v>
      </c>
      <c r="O1498" t="s">
        <v>5086</v>
      </c>
      <c r="S1498" s="34" t="s">
        <v>5374</v>
      </c>
    </row>
    <row r="1499" spans="1:19" ht="216" x14ac:dyDescent="0.15">
      <c r="A1499" t="s">
        <v>1817</v>
      </c>
      <c r="B1499" s="61">
        <v>46296</v>
      </c>
      <c r="E1499" t="s">
        <v>355</v>
      </c>
      <c r="F1499" t="s">
        <v>351</v>
      </c>
      <c r="H1499" t="s">
        <v>686</v>
      </c>
      <c r="I1499">
        <v>2800108</v>
      </c>
      <c r="J1499" t="s">
        <v>5083</v>
      </c>
      <c r="K1499" t="s">
        <v>5084</v>
      </c>
      <c r="L1499" t="s">
        <v>413</v>
      </c>
      <c r="N1499">
        <v>2181447</v>
      </c>
      <c r="O1499" t="s">
        <v>5086</v>
      </c>
      <c r="S1499" s="34" t="s">
        <v>5375</v>
      </c>
    </row>
    <row r="1500" spans="1:19" x14ac:dyDescent="0.15">
      <c r="A1500" t="s">
        <v>1424</v>
      </c>
      <c r="B1500" s="61">
        <v>47150</v>
      </c>
      <c r="E1500" t="s">
        <v>355</v>
      </c>
      <c r="F1500" t="s">
        <v>356</v>
      </c>
      <c r="H1500" t="s">
        <v>353</v>
      </c>
      <c r="I1500">
        <v>1201651</v>
      </c>
      <c r="J1500" t="s">
        <v>5108</v>
      </c>
      <c r="K1500" t="s">
        <v>4142</v>
      </c>
      <c r="L1500" t="s">
        <v>466</v>
      </c>
      <c r="N1500" t="s">
        <v>5109</v>
      </c>
      <c r="O1500" t="s">
        <v>5110</v>
      </c>
      <c r="R1500" t="s">
        <v>362</v>
      </c>
    </row>
    <row r="1501" spans="1:19" x14ac:dyDescent="0.15">
      <c r="A1501" t="s">
        <v>1424</v>
      </c>
      <c r="B1501" s="61">
        <v>48611</v>
      </c>
      <c r="E1501" t="s">
        <v>355</v>
      </c>
      <c r="F1501" t="s">
        <v>385</v>
      </c>
      <c r="H1501" t="s">
        <v>353</v>
      </c>
      <c r="I1501">
        <v>1201651</v>
      </c>
      <c r="J1501" t="s">
        <v>5108</v>
      </c>
      <c r="K1501" t="s">
        <v>4142</v>
      </c>
      <c r="L1501" t="s">
        <v>466</v>
      </c>
      <c r="N1501" t="s">
        <v>5109</v>
      </c>
      <c r="O1501" t="s">
        <v>5110</v>
      </c>
      <c r="R1501" t="s">
        <v>386</v>
      </c>
    </row>
    <row r="1502" spans="1:19" x14ac:dyDescent="0.15">
      <c r="A1502" t="s">
        <v>819</v>
      </c>
      <c r="B1502" s="61">
        <v>46844</v>
      </c>
      <c r="E1502" t="s">
        <v>355</v>
      </c>
      <c r="F1502" t="s">
        <v>356</v>
      </c>
      <c r="H1502" t="s">
        <v>353</v>
      </c>
      <c r="I1502">
        <v>4300119</v>
      </c>
      <c r="J1502" t="s">
        <v>5036</v>
      </c>
      <c r="K1502" t="s">
        <v>5037</v>
      </c>
      <c r="L1502" t="s">
        <v>2199</v>
      </c>
      <c r="N1502" t="s">
        <v>5063</v>
      </c>
      <c r="O1502" t="s">
        <v>5038</v>
      </c>
      <c r="R1502" t="s">
        <v>362</v>
      </c>
    </row>
    <row r="1503" spans="1:19" x14ac:dyDescent="0.15">
      <c r="A1503" t="s">
        <v>819</v>
      </c>
      <c r="B1503" s="61">
        <v>48305</v>
      </c>
      <c r="E1503" t="s">
        <v>355</v>
      </c>
      <c r="F1503" t="s">
        <v>385</v>
      </c>
      <c r="H1503" t="s">
        <v>353</v>
      </c>
      <c r="I1503">
        <v>4300119</v>
      </c>
      <c r="J1503" t="s">
        <v>5036</v>
      </c>
      <c r="K1503" t="s">
        <v>5037</v>
      </c>
      <c r="L1503" t="s">
        <v>2199</v>
      </c>
      <c r="N1503" t="s">
        <v>5063</v>
      </c>
      <c r="O1503" t="s">
        <v>5038</v>
      </c>
      <c r="R1503" t="s">
        <v>386</v>
      </c>
    </row>
    <row r="1504" spans="1:19" x14ac:dyDescent="0.15">
      <c r="A1504" t="s">
        <v>1234</v>
      </c>
      <c r="B1504" s="61">
        <v>47119</v>
      </c>
      <c r="E1504" t="s">
        <v>355</v>
      </c>
      <c r="F1504" t="s">
        <v>356</v>
      </c>
      <c r="H1504" t="s">
        <v>353</v>
      </c>
      <c r="I1504">
        <v>2401263</v>
      </c>
      <c r="J1504" t="s">
        <v>5111</v>
      </c>
      <c r="K1504" t="s">
        <v>5112</v>
      </c>
      <c r="L1504" t="s">
        <v>5113</v>
      </c>
      <c r="N1504" t="s">
        <v>5114</v>
      </c>
      <c r="O1504" t="s">
        <v>5115</v>
      </c>
      <c r="R1504" t="s">
        <v>362</v>
      </c>
    </row>
    <row r="1505" spans="1:19" x14ac:dyDescent="0.15">
      <c r="A1505" t="s">
        <v>1234</v>
      </c>
      <c r="B1505" s="61">
        <v>48580</v>
      </c>
      <c r="E1505" t="s">
        <v>355</v>
      </c>
      <c r="F1505" t="s">
        <v>385</v>
      </c>
      <c r="H1505" t="s">
        <v>353</v>
      </c>
      <c r="I1505">
        <v>2401263</v>
      </c>
      <c r="J1505" t="s">
        <v>5111</v>
      </c>
      <c r="K1505" t="s">
        <v>5112</v>
      </c>
      <c r="L1505" t="s">
        <v>5113</v>
      </c>
      <c r="N1505" t="s">
        <v>5114</v>
      </c>
      <c r="O1505" t="s">
        <v>5115</v>
      </c>
      <c r="R1505" t="s">
        <v>386</v>
      </c>
    </row>
    <row r="1506" spans="1:19" x14ac:dyDescent="0.15">
      <c r="A1506" t="s">
        <v>1095</v>
      </c>
      <c r="B1506" s="61">
        <v>47058</v>
      </c>
      <c r="E1506" t="s">
        <v>355</v>
      </c>
      <c r="F1506" t="s">
        <v>356</v>
      </c>
      <c r="H1506" t="s">
        <v>353</v>
      </c>
      <c r="I1506">
        <v>3900113</v>
      </c>
      <c r="J1506" t="s">
        <v>4667</v>
      </c>
      <c r="K1506" t="s">
        <v>1542</v>
      </c>
      <c r="L1506" t="s">
        <v>413</v>
      </c>
      <c r="N1506" t="s">
        <v>5116</v>
      </c>
      <c r="O1506" t="s">
        <v>4929</v>
      </c>
      <c r="R1506" t="s">
        <v>362</v>
      </c>
    </row>
    <row r="1507" spans="1:19" x14ac:dyDescent="0.15">
      <c r="A1507" t="s">
        <v>1095</v>
      </c>
      <c r="B1507" s="61">
        <v>48519</v>
      </c>
      <c r="E1507" t="s">
        <v>355</v>
      </c>
      <c r="F1507" t="s">
        <v>385</v>
      </c>
      <c r="H1507" t="s">
        <v>353</v>
      </c>
      <c r="I1507">
        <v>3900113</v>
      </c>
      <c r="J1507" t="s">
        <v>4667</v>
      </c>
      <c r="K1507" t="s">
        <v>1542</v>
      </c>
      <c r="L1507" t="s">
        <v>413</v>
      </c>
      <c r="N1507" t="s">
        <v>5116</v>
      </c>
      <c r="O1507" t="s">
        <v>4929</v>
      </c>
      <c r="R1507" t="s">
        <v>386</v>
      </c>
    </row>
    <row r="1508" spans="1:19" x14ac:dyDescent="0.15">
      <c r="A1508" t="s">
        <v>3051</v>
      </c>
      <c r="B1508" s="61">
        <v>47027</v>
      </c>
      <c r="E1508" t="s">
        <v>355</v>
      </c>
      <c r="F1508" t="s">
        <v>356</v>
      </c>
      <c r="H1508" t="s">
        <v>353</v>
      </c>
      <c r="I1508">
        <v>900594</v>
      </c>
      <c r="J1508" t="s">
        <v>5075</v>
      </c>
      <c r="K1508" t="s">
        <v>5076</v>
      </c>
      <c r="L1508" t="s">
        <v>2181</v>
      </c>
      <c r="N1508" t="s">
        <v>5077</v>
      </c>
      <c r="O1508" t="s">
        <v>5078</v>
      </c>
      <c r="R1508" t="s">
        <v>362</v>
      </c>
    </row>
    <row r="1509" spans="1:19" x14ac:dyDescent="0.15">
      <c r="A1509" t="s">
        <v>3051</v>
      </c>
      <c r="B1509" s="61">
        <v>48488</v>
      </c>
      <c r="E1509" t="s">
        <v>355</v>
      </c>
      <c r="F1509" t="s">
        <v>385</v>
      </c>
      <c r="H1509" t="s">
        <v>353</v>
      </c>
      <c r="I1509">
        <v>900594</v>
      </c>
      <c r="J1509" t="s">
        <v>5075</v>
      </c>
      <c r="K1509" t="s">
        <v>5076</v>
      </c>
      <c r="L1509" t="s">
        <v>2181</v>
      </c>
      <c r="N1509" t="s">
        <v>5077</v>
      </c>
      <c r="O1509" t="s">
        <v>5078</v>
      </c>
      <c r="R1509" t="s">
        <v>386</v>
      </c>
    </row>
    <row r="1510" spans="1:19" x14ac:dyDescent="0.15">
      <c r="A1510" t="s">
        <v>2160</v>
      </c>
      <c r="B1510" s="61">
        <v>46692</v>
      </c>
      <c r="E1510" t="s">
        <v>355</v>
      </c>
      <c r="F1510" t="s">
        <v>356</v>
      </c>
      <c r="H1510" t="s">
        <v>353</v>
      </c>
      <c r="I1510">
        <v>1201645</v>
      </c>
      <c r="J1510" t="s">
        <v>5117</v>
      </c>
      <c r="K1510" t="s">
        <v>5118</v>
      </c>
      <c r="L1510" t="s">
        <v>718</v>
      </c>
      <c r="N1510" t="s">
        <v>5119</v>
      </c>
      <c r="O1510" t="s">
        <v>5120</v>
      </c>
      <c r="R1510" t="s">
        <v>362</v>
      </c>
    </row>
    <row r="1511" spans="1:19" x14ac:dyDescent="0.15">
      <c r="A1511" t="s">
        <v>2160</v>
      </c>
      <c r="B1511" s="61">
        <v>48153</v>
      </c>
      <c r="E1511" t="s">
        <v>355</v>
      </c>
      <c r="F1511" t="s">
        <v>385</v>
      </c>
      <c r="H1511" t="s">
        <v>353</v>
      </c>
      <c r="I1511">
        <v>1201645</v>
      </c>
      <c r="J1511" t="s">
        <v>5117</v>
      </c>
      <c r="K1511" t="s">
        <v>5118</v>
      </c>
      <c r="L1511" t="s">
        <v>718</v>
      </c>
      <c r="N1511" t="s">
        <v>5119</v>
      </c>
      <c r="O1511" t="s">
        <v>5120</v>
      </c>
      <c r="R1511" t="s">
        <v>386</v>
      </c>
    </row>
    <row r="1512" spans="1:19" x14ac:dyDescent="0.15">
      <c r="A1512" t="s">
        <v>2993</v>
      </c>
      <c r="B1512" s="61">
        <v>47058</v>
      </c>
      <c r="E1512" t="s">
        <v>355</v>
      </c>
      <c r="F1512" t="s">
        <v>356</v>
      </c>
      <c r="H1512" t="s">
        <v>353</v>
      </c>
      <c r="I1512">
        <v>1300048</v>
      </c>
      <c r="J1512" t="s">
        <v>5079</v>
      </c>
      <c r="K1512" t="s">
        <v>5080</v>
      </c>
      <c r="L1512" t="s">
        <v>413</v>
      </c>
      <c r="N1512" t="s">
        <v>5081</v>
      </c>
      <c r="O1512" t="s">
        <v>5082</v>
      </c>
      <c r="R1512" t="s">
        <v>362</v>
      </c>
    </row>
    <row r="1513" spans="1:19" x14ac:dyDescent="0.15">
      <c r="A1513" t="s">
        <v>2993</v>
      </c>
      <c r="B1513" s="61">
        <v>48519</v>
      </c>
      <c r="E1513" t="s">
        <v>355</v>
      </c>
      <c r="F1513" t="s">
        <v>385</v>
      </c>
      <c r="H1513" t="s">
        <v>353</v>
      </c>
      <c r="I1513">
        <v>1300048</v>
      </c>
      <c r="J1513" t="s">
        <v>5079</v>
      </c>
      <c r="K1513" t="s">
        <v>5080</v>
      </c>
      <c r="L1513" t="s">
        <v>413</v>
      </c>
      <c r="N1513" t="s">
        <v>5081</v>
      </c>
      <c r="O1513" t="s">
        <v>5082</v>
      </c>
      <c r="R1513" t="s">
        <v>386</v>
      </c>
    </row>
    <row r="1514" spans="1:19" x14ac:dyDescent="0.15">
      <c r="A1514" t="s">
        <v>1817</v>
      </c>
      <c r="B1514" s="61">
        <v>46844</v>
      </c>
      <c r="E1514" t="s">
        <v>355</v>
      </c>
      <c r="F1514" t="s">
        <v>356</v>
      </c>
      <c r="H1514" t="s">
        <v>353</v>
      </c>
      <c r="I1514">
        <v>2800108</v>
      </c>
      <c r="J1514" t="s">
        <v>5083</v>
      </c>
      <c r="K1514" t="s">
        <v>5084</v>
      </c>
      <c r="L1514" t="s">
        <v>413</v>
      </c>
      <c r="N1514" t="s">
        <v>5121</v>
      </c>
      <c r="O1514" t="s">
        <v>5086</v>
      </c>
      <c r="R1514" t="s">
        <v>362</v>
      </c>
    </row>
    <row r="1515" spans="1:19" x14ac:dyDescent="0.15">
      <c r="A1515" t="s">
        <v>1817</v>
      </c>
      <c r="B1515" s="61">
        <v>48305</v>
      </c>
      <c r="E1515" t="s">
        <v>355</v>
      </c>
      <c r="F1515" t="s">
        <v>385</v>
      </c>
      <c r="H1515" t="s">
        <v>353</v>
      </c>
      <c r="I1515">
        <v>2800108</v>
      </c>
      <c r="J1515" t="s">
        <v>5083</v>
      </c>
      <c r="K1515" t="s">
        <v>5084</v>
      </c>
      <c r="L1515" t="s">
        <v>413</v>
      </c>
      <c r="N1515" t="s">
        <v>5121</v>
      </c>
      <c r="O1515" t="s">
        <v>5086</v>
      </c>
      <c r="R1515" t="s">
        <v>386</v>
      </c>
    </row>
    <row r="1516" spans="1:19" x14ac:dyDescent="0.15">
      <c r="A1516" t="s">
        <v>1145</v>
      </c>
      <c r="B1516" s="61">
        <v>47058</v>
      </c>
      <c r="E1516" t="s">
        <v>355</v>
      </c>
      <c r="F1516" t="s">
        <v>356</v>
      </c>
      <c r="H1516" t="s">
        <v>353</v>
      </c>
      <c r="I1516">
        <v>100905</v>
      </c>
      <c r="J1516" t="s">
        <v>5072</v>
      </c>
      <c r="K1516" t="s">
        <v>1251</v>
      </c>
      <c r="L1516" t="s">
        <v>413</v>
      </c>
      <c r="N1516" t="s">
        <v>5073</v>
      </c>
      <c r="O1516" t="s">
        <v>5074</v>
      </c>
      <c r="R1516" t="s">
        <v>362</v>
      </c>
    </row>
    <row r="1517" spans="1:19" x14ac:dyDescent="0.15">
      <c r="A1517" t="s">
        <v>1145</v>
      </c>
      <c r="B1517" s="61">
        <v>48519</v>
      </c>
      <c r="E1517" t="s">
        <v>355</v>
      </c>
      <c r="F1517" t="s">
        <v>385</v>
      </c>
      <c r="H1517" t="s">
        <v>353</v>
      </c>
      <c r="I1517">
        <v>100905</v>
      </c>
      <c r="J1517" t="s">
        <v>5072</v>
      </c>
      <c r="K1517" t="s">
        <v>1251</v>
      </c>
      <c r="L1517" t="s">
        <v>413</v>
      </c>
      <c r="N1517" t="s">
        <v>5073</v>
      </c>
      <c r="O1517" t="s">
        <v>5074</v>
      </c>
      <c r="R1517" t="s">
        <v>386</v>
      </c>
    </row>
    <row r="1518" spans="1:19" ht="409.5" x14ac:dyDescent="0.15">
      <c r="A1518" t="s">
        <v>3617</v>
      </c>
      <c r="B1518" s="61">
        <v>47178</v>
      </c>
      <c r="E1518" t="s">
        <v>355</v>
      </c>
      <c r="F1518" t="s">
        <v>356</v>
      </c>
      <c r="H1518" t="s">
        <v>353</v>
      </c>
      <c r="I1518">
        <v>4000991</v>
      </c>
      <c r="J1518" t="s">
        <v>5087</v>
      </c>
      <c r="K1518" t="s">
        <v>5088</v>
      </c>
      <c r="L1518" t="s">
        <v>5089</v>
      </c>
      <c r="N1518" t="s">
        <v>5090</v>
      </c>
      <c r="O1518" t="s">
        <v>5091</v>
      </c>
      <c r="R1518" t="s">
        <v>362</v>
      </c>
      <c r="S1518" s="34" t="s">
        <v>5175</v>
      </c>
    </row>
    <row r="1519" spans="1:19" ht="409.5" x14ac:dyDescent="0.15">
      <c r="A1519" t="s">
        <v>3617</v>
      </c>
      <c r="B1519" s="61">
        <v>48639</v>
      </c>
      <c r="E1519" t="s">
        <v>355</v>
      </c>
      <c r="F1519" t="s">
        <v>385</v>
      </c>
      <c r="H1519" t="s">
        <v>353</v>
      </c>
      <c r="I1519">
        <v>4000991</v>
      </c>
      <c r="J1519" t="s">
        <v>5087</v>
      </c>
      <c r="K1519" t="s">
        <v>5088</v>
      </c>
      <c r="L1519" t="s">
        <v>5089</v>
      </c>
      <c r="N1519" t="s">
        <v>5090</v>
      </c>
      <c r="O1519" t="s">
        <v>5091</v>
      </c>
      <c r="R1519" t="s">
        <v>386</v>
      </c>
      <c r="S1519" s="34" t="s">
        <v>5175</v>
      </c>
    </row>
    <row r="1520" spans="1:19" x14ac:dyDescent="0.15">
      <c r="A1520" t="s">
        <v>501</v>
      </c>
      <c r="B1520" s="61">
        <v>47209</v>
      </c>
      <c r="E1520" t="s">
        <v>355</v>
      </c>
      <c r="F1520" t="s">
        <v>356</v>
      </c>
      <c r="H1520" t="s">
        <v>353</v>
      </c>
      <c r="I1520">
        <v>1401834</v>
      </c>
      <c r="J1520" t="s">
        <v>5122</v>
      </c>
      <c r="K1520" t="s">
        <v>5123</v>
      </c>
      <c r="L1520" t="s">
        <v>502</v>
      </c>
      <c r="N1520" t="s">
        <v>5124</v>
      </c>
      <c r="O1520" t="s">
        <v>5125</v>
      </c>
      <c r="R1520" t="s">
        <v>362</v>
      </c>
    </row>
    <row r="1521" spans="1:19" x14ac:dyDescent="0.15">
      <c r="A1521" t="s">
        <v>501</v>
      </c>
      <c r="B1521" s="61">
        <v>48670</v>
      </c>
      <c r="E1521" t="s">
        <v>355</v>
      </c>
      <c r="F1521" t="s">
        <v>385</v>
      </c>
      <c r="H1521" t="s">
        <v>353</v>
      </c>
      <c r="I1521">
        <v>1401834</v>
      </c>
      <c r="J1521" t="s">
        <v>5122</v>
      </c>
      <c r="K1521" t="s">
        <v>5123</v>
      </c>
      <c r="L1521" t="s">
        <v>502</v>
      </c>
      <c r="N1521" t="s">
        <v>5124</v>
      </c>
      <c r="O1521" t="s">
        <v>5125</v>
      </c>
      <c r="R1521" t="s">
        <v>386</v>
      </c>
    </row>
    <row r="1522" spans="1:19" x14ac:dyDescent="0.15">
      <c r="A1522" t="s">
        <v>837</v>
      </c>
      <c r="B1522" s="61">
        <v>46357</v>
      </c>
      <c r="E1522" t="s">
        <v>355</v>
      </c>
      <c r="F1522" t="s">
        <v>356</v>
      </c>
      <c r="H1522" t="s">
        <v>353</v>
      </c>
      <c r="I1522">
        <v>1000847</v>
      </c>
      <c r="J1522" t="s">
        <v>906</v>
      </c>
      <c r="K1522" t="s">
        <v>5126</v>
      </c>
      <c r="L1522" t="s">
        <v>908</v>
      </c>
      <c r="N1522" t="s">
        <v>5127</v>
      </c>
      <c r="O1522" t="s">
        <v>909</v>
      </c>
      <c r="R1522" t="s">
        <v>362</v>
      </c>
      <c r="S1522" t="s">
        <v>5128</v>
      </c>
    </row>
    <row r="1523" spans="1:19" x14ac:dyDescent="0.15">
      <c r="A1523" t="s">
        <v>837</v>
      </c>
      <c r="B1523" s="61">
        <v>47818</v>
      </c>
      <c r="E1523" t="s">
        <v>355</v>
      </c>
      <c r="F1523" t="s">
        <v>385</v>
      </c>
      <c r="H1523" t="s">
        <v>353</v>
      </c>
      <c r="I1523">
        <v>1000847</v>
      </c>
      <c r="J1523" t="s">
        <v>906</v>
      </c>
      <c r="K1523" t="s">
        <v>5126</v>
      </c>
      <c r="L1523" t="s">
        <v>908</v>
      </c>
      <c r="N1523" t="s">
        <v>5127</v>
      </c>
      <c r="O1523" t="s">
        <v>909</v>
      </c>
      <c r="R1523" t="s">
        <v>386</v>
      </c>
      <c r="S1523" t="s">
        <v>5128</v>
      </c>
    </row>
    <row r="1524" spans="1:19" x14ac:dyDescent="0.15">
      <c r="A1524" t="s">
        <v>837</v>
      </c>
      <c r="B1524" s="61">
        <v>46722</v>
      </c>
      <c r="E1524" t="s">
        <v>355</v>
      </c>
      <c r="F1524" t="s">
        <v>356</v>
      </c>
      <c r="H1524" t="s">
        <v>353</v>
      </c>
      <c r="I1524">
        <v>1000847</v>
      </c>
      <c r="J1524" t="s">
        <v>906</v>
      </c>
      <c r="K1524" t="s">
        <v>5126</v>
      </c>
      <c r="L1524" t="s">
        <v>908</v>
      </c>
      <c r="N1524" t="s">
        <v>5129</v>
      </c>
      <c r="O1524" t="s">
        <v>909</v>
      </c>
      <c r="R1524" t="s">
        <v>362</v>
      </c>
      <c r="S1524" t="s">
        <v>5130</v>
      </c>
    </row>
    <row r="1525" spans="1:19" x14ac:dyDescent="0.15">
      <c r="A1525" t="s">
        <v>837</v>
      </c>
      <c r="B1525" s="61">
        <v>48183</v>
      </c>
      <c r="E1525" t="s">
        <v>355</v>
      </c>
      <c r="F1525" t="s">
        <v>385</v>
      </c>
      <c r="H1525" t="s">
        <v>353</v>
      </c>
      <c r="I1525">
        <v>1000847</v>
      </c>
      <c r="J1525" t="s">
        <v>906</v>
      </c>
      <c r="K1525" t="s">
        <v>5126</v>
      </c>
      <c r="L1525" t="s">
        <v>908</v>
      </c>
      <c r="N1525" t="s">
        <v>5129</v>
      </c>
      <c r="O1525" t="s">
        <v>909</v>
      </c>
      <c r="R1525" t="s">
        <v>386</v>
      </c>
      <c r="S1525" t="s">
        <v>5130</v>
      </c>
    </row>
    <row r="1526" spans="1:19" x14ac:dyDescent="0.15">
      <c r="A1526" t="s">
        <v>3895</v>
      </c>
      <c r="B1526" s="61">
        <v>46935</v>
      </c>
      <c r="E1526" t="s">
        <v>355</v>
      </c>
      <c r="F1526" t="s">
        <v>356</v>
      </c>
      <c r="H1526" t="s">
        <v>353</v>
      </c>
      <c r="I1526">
        <v>1100690</v>
      </c>
      <c r="J1526" t="s">
        <v>1212</v>
      </c>
      <c r="K1526" t="s">
        <v>4010</v>
      </c>
      <c r="L1526" t="s">
        <v>1018</v>
      </c>
      <c r="N1526" t="s">
        <v>5131</v>
      </c>
      <c r="O1526" t="s">
        <v>1019</v>
      </c>
      <c r="R1526" t="s">
        <v>362</v>
      </c>
    </row>
    <row r="1527" spans="1:19" x14ac:dyDescent="0.15">
      <c r="A1527" t="s">
        <v>3895</v>
      </c>
      <c r="B1527" s="61">
        <v>48396</v>
      </c>
      <c r="E1527" t="s">
        <v>355</v>
      </c>
      <c r="F1527" t="s">
        <v>385</v>
      </c>
      <c r="H1527" t="s">
        <v>353</v>
      </c>
      <c r="I1527">
        <v>1100690</v>
      </c>
      <c r="J1527" t="s">
        <v>1212</v>
      </c>
      <c r="K1527" t="s">
        <v>4010</v>
      </c>
      <c r="L1527" t="s">
        <v>1018</v>
      </c>
      <c r="N1527" t="s">
        <v>5131</v>
      </c>
      <c r="O1527" t="s">
        <v>1019</v>
      </c>
      <c r="R1527" t="s">
        <v>386</v>
      </c>
    </row>
    <row r="1528" spans="1:19" x14ac:dyDescent="0.15">
      <c r="A1528" t="s">
        <v>2255</v>
      </c>
      <c r="B1528" s="61">
        <v>47300</v>
      </c>
      <c r="E1528" t="s">
        <v>355</v>
      </c>
      <c r="F1528" t="s">
        <v>356</v>
      </c>
      <c r="H1528" t="s">
        <v>365</v>
      </c>
      <c r="I1528">
        <v>1100913</v>
      </c>
      <c r="J1528" t="s">
        <v>2281</v>
      </c>
      <c r="K1528" t="s">
        <v>3955</v>
      </c>
      <c r="L1528" t="s">
        <v>3956</v>
      </c>
      <c r="N1528" t="s">
        <v>5132</v>
      </c>
      <c r="O1528" t="s">
        <v>3957</v>
      </c>
      <c r="R1528" t="s">
        <v>362</v>
      </c>
    </row>
    <row r="1529" spans="1:19" x14ac:dyDescent="0.15">
      <c r="A1529" t="s">
        <v>2255</v>
      </c>
      <c r="B1529" s="61">
        <v>48761</v>
      </c>
      <c r="E1529" t="s">
        <v>355</v>
      </c>
      <c r="F1529" t="s">
        <v>385</v>
      </c>
      <c r="H1529" t="s">
        <v>365</v>
      </c>
      <c r="I1529">
        <v>1100913</v>
      </c>
      <c r="J1529" t="s">
        <v>2281</v>
      </c>
      <c r="K1529" t="s">
        <v>3955</v>
      </c>
      <c r="L1529" t="s">
        <v>3956</v>
      </c>
      <c r="N1529" t="s">
        <v>5132</v>
      </c>
      <c r="O1529" t="s">
        <v>3957</v>
      </c>
      <c r="R1529" t="s">
        <v>395</v>
      </c>
    </row>
    <row r="1530" spans="1:19" x14ac:dyDescent="0.15">
      <c r="A1530" t="s">
        <v>2597</v>
      </c>
      <c r="B1530" s="61">
        <v>46388</v>
      </c>
      <c r="E1530" t="s">
        <v>355</v>
      </c>
      <c r="F1530" t="s">
        <v>356</v>
      </c>
      <c r="H1530" t="s">
        <v>365</v>
      </c>
      <c r="I1530">
        <v>2702832</v>
      </c>
      <c r="J1530" t="s">
        <v>5133</v>
      </c>
      <c r="L1530" t="s">
        <v>3864</v>
      </c>
      <c r="N1530" t="s">
        <v>5134</v>
      </c>
      <c r="O1530" t="s">
        <v>5135</v>
      </c>
      <c r="R1530" t="s">
        <v>362</v>
      </c>
    </row>
    <row r="1531" spans="1:19" x14ac:dyDescent="0.15">
      <c r="A1531" t="s">
        <v>2597</v>
      </c>
      <c r="B1531" s="61">
        <v>47849</v>
      </c>
      <c r="E1531" t="s">
        <v>355</v>
      </c>
      <c r="F1531" t="s">
        <v>385</v>
      </c>
      <c r="H1531" t="s">
        <v>365</v>
      </c>
      <c r="I1531">
        <v>2702832</v>
      </c>
      <c r="J1531" t="s">
        <v>5133</v>
      </c>
      <c r="L1531" t="s">
        <v>3864</v>
      </c>
      <c r="N1531" t="s">
        <v>5134</v>
      </c>
      <c r="O1531" t="s">
        <v>5135</v>
      </c>
      <c r="R1531" t="s">
        <v>395</v>
      </c>
    </row>
    <row r="1532" spans="1:19" x14ac:dyDescent="0.15">
      <c r="A1532" t="s">
        <v>5394</v>
      </c>
      <c r="B1532" s="61">
        <v>47178</v>
      </c>
      <c r="E1532" t="s">
        <v>355</v>
      </c>
      <c r="F1532" t="s">
        <v>356</v>
      </c>
      <c r="H1532" t="s">
        <v>365</v>
      </c>
      <c r="I1532">
        <v>1400815</v>
      </c>
      <c r="J1532" t="s">
        <v>3917</v>
      </c>
      <c r="K1532" t="s">
        <v>5136</v>
      </c>
      <c r="L1532" t="s">
        <v>413</v>
      </c>
      <c r="N1532" t="s">
        <v>5137</v>
      </c>
      <c r="O1532" t="s">
        <v>5138</v>
      </c>
      <c r="R1532" t="s">
        <v>362</v>
      </c>
    </row>
    <row r="1533" spans="1:19" x14ac:dyDescent="0.15">
      <c r="A1533" t="s">
        <v>5394</v>
      </c>
      <c r="B1533" s="61">
        <v>48639</v>
      </c>
      <c r="E1533" t="s">
        <v>355</v>
      </c>
      <c r="F1533" t="s">
        <v>385</v>
      </c>
      <c r="H1533" t="s">
        <v>365</v>
      </c>
      <c r="I1533">
        <v>1400815</v>
      </c>
      <c r="J1533" t="s">
        <v>3917</v>
      </c>
      <c r="K1533" t="s">
        <v>5136</v>
      </c>
      <c r="L1533" t="s">
        <v>413</v>
      </c>
      <c r="N1533" t="s">
        <v>5137</v>
      </c>
      <c r="O1533" t="s">
        <v>5138</v>
      </c>
      <c r="R1533" t="s">
        <v>395</v>
      </c>
    </row>
    <row r="1534" spans="1:19" x14ac:dyDescent="0.15">
      <c r="A1534" t="s">
        <v>5394</v>
      </c>
      <c r="B1534" s="61">
        <v>47178</v>
      </c>
      <c r="E1534" t="s">
        <v>355</v>
      </c>
      <c r="F1534" t="s">
        <v>356</v>
      </c>
      <c r="H1534" t="s">
        <v>365</v>
      </c>
      <c r="I1534">
        <v>1400559</v>
      </c>
      <c r="J1534" t="s">
        <v>3917</v>
      </c>
      <c r="K1534" t="s">
        <v>5139</v>
      </c>
      <c r="L1534" t="s">
        <v>373</v>
      </c>
      <c r="N1534" t="s">
        <v>5140</v>
      </c>
      <c r="O1534" t="s">
        <v>5141</v>
      </c>
      <c r="R1534" t="s">
        <v>362</v>
      </c>
    </row>
    <row r="1535" spans="1:19" x14ac:dyDescent="0.15">
      <c r="A1535" t="s">
        <v>5394</v>
      </c>
      <c r="B1535" s="61">
        <v>48639</v>
      </c>
      <c r="E1535" t="s">
        <v>355</v>
      </c>
      <c r="F1535" t="s">
        <v>385</v>
      </c>
      <c r="H1535" t="s">
        <v>365</v>
      </c>
      <c r="I1535">
        <v>1400559</v>
      </c>
      <c r="J1535" t="s">
        <v>3917</v>
      </c>
      <c r="K1535" t="s">
        <v>5139</v>
      </c>
      <c r="L1535" t="s">
        <v>373</v>
      </c>
      <c r="N1535" t="s">
        <v>5140</v>
      </c>
      <c r="O1535" t="s">
        <v>5141</v>
      </c>
      <c r="R1535" t="s">
        <v>395</v>
      </c>
    </row>
    <row r="1536" spans="1:19" x14ac:dyDescent="0.15">
      <c r="A1536" t="s">
        <v>501</v>
      </c>
      <c r="B1536" s="61">
        <v>47423</v>
      </c>
      <c r="E1536" t="s">
        <v>355</v>
      </c>
      <c r="F1536" t="s">
        <v>356</v>
      </c>
      <c r="H1536" t="s">
        <v>310</v>
      </c>
      <c r="I1536">
        <v>1401834</v>
      </c>
      <c r="J1536" t="s">
        <v>5122</v>
      </c>
      <c r="K1536" t="s">
        <v>5123</v>
      </c>
      <c r="L1536" t="s">
        <v>502</v>
      </c>
      <c r="N1536" t="s">
        <v>5142</v>
      </c>
      <c r="O1536" t="s">
        <v>5125</v>
      </c>
      <c r="R1536" t="s">
        <v>362</v>
      </c>
    </row>
    <row r="1537" spans="1:19" x14ac:dyDescent="0.15">
      <c r="A1537" t="s">
        <v>501</v>
      </c>
      <c r="B1537" s="61">
        <v>48519</v>
      </c>
      <c r="E1537" t="s">
        <v>355</v>
      </c>
      <c r="F1537" t="s">
        <v>543</v>
      </c>
      <c r="H1537" t="s">
        <v>310</v>
      </c>
      <c r="I1537">
        <v>1401834</v>
      </c>
      <c r="J1537" t="s">
        <v>5122</v>
      </c>
      <c r="K1537" t="s">
        <v>5123</v>
      </c>
      <c r="L1537" t="s">
        <v>502</v>
      </c>
      <c r="N1537" t="s">
        <v>5142</v>
      </c>
      <c r="O1537" t="s">
        <v>5125</v>
      </c>
      <c r="R1537" t="s">
        <v>755</v>
      </c>
    </row>
    <row r="1538" spans="1:19" x14ac:dyDescent="0.15">
      <c r="A1538" t="s">
        <v>501</v>
      </c>
      <c r="B1538" s="61">
        <v>48884</v>
      </c>
      <c r="E1538" t="s">
        <v>355</v>
      </c>
      <c r="F1538" t="s">
        <v>385</v>
      </c>
      <c r="H1538" t="s">
        <v>310</v>
      </c>
      <c r="I1538">
        <v>1401834</v>
      </c>
      <c r="J1538" t="s">
        <v>5122</v>
      </c>
      <c r="K1538" t="s">
        <v>5123</v>
      </c>
      <c r="L1538" t="s">
        <v>502</v>
      </c>
      <c r="N1538" t="s">
        <v>5142</v>
      </c>
      <c r="O1538" t="s">
        <v>5125</v>
      </c>
      <c r="R1538" t="s">
        <v>395</v>
      </c>
    </row>
    <row r="1539" spans="1:19" ht="364.5" x14ac:dyDescent="0.15">
      <c r="A1539" t="s">
        <v>3731</v>
      </c>
      <c r="B1539" s="61">
        <v>46753</v>
      </c>
      <c r="E1539" t="s">
        <v>355</v>
      </c>
      <c r="F1539" t="s">
        <v>385</v>
      </c>
      <c r="H1539" t="s">
        <v>365</v>
      </c>
      <c r="I1539">
        <v>2600496</v>
      </c>
      <c r="J1539" t="s">
        <v>5145</v>
      </c>
      <c r="K1539" t="s">
        <v>1071</v>
      </c>
      <c r="L1539" t="s">
        <v>390</v>
      </c>
      <c r="N1539" t="s">
        <v>3767</v>
      </c>
      <c r="O1539" t="s">
        <v>3768</v>
      </c>
      <c r="R1539" t="s">
        <v>395</v>
      </c>
      <c r="S1539" s="34" t="s">
        <v>5146</v>
      </c>
    </row>
    <row r="1540" spans="1:19" ht="189" x14ac:dyDescent="0.15">
      <c r="A1540" t="s">
        <v>2597</v>
      </c>
      <c r="B1540" s="61">
        <v>46357</v>
      </c>
      <c r="E1540" t="s">
        <v>355</v>
      </c>
      <c r="F1540" t="s">
        <v>351</v>
      </c>
      <c r="H1540" t="s">
        <v>5176</v>
      </c>
      <c r="I1540">
        <v>2701893</v>
      </c>
      <c r="J1540" t="s">
        <v>2688</v>
      </c>
      <c r="K1540" t="s">
        <v>4285</v>
      </c>
      <c r="L1540" t="s">
        <v>413</v>
      </c>
      <c r="N1540" t="s">
        <v>7376</v>
      </c>
      <c r="O1540" t="s">
        <v>4287</v>
      </c>
      <c r="S1540" s="34" t="s">
        <v>5153</v>
      </c>
    </row>
    <row r="1541" spans="1:19" ht="175.5" x14ac:dyDescent="0.15">
      <c r="A1541" t="s">
        <v>1797</v>
      </c>
      <c r="B1541" s="61">
        <v>46327</v>
      </c>
      <c r="E1541" t="s">
        <v>355</v>
      </c>
      <c r="F1541" t="s">
        <v>351</v>
      </c>
      <c r="H1541" t="s">
        <v>5152</v>
      </c>
      <c r="I1541">
        <v>2802371</v>
      </c>
      <c r="J1541" t="s">
        <v>4341</v>
      </c>
      <c r="K1541" t="s">
        <v>440</v>
      </c>
      <c r="L1541" t="s">
        <v>916</v>
      </c>
      <c r="N1541" t="s">
        <v>5154</v>
      </c>
      <c r="O1541" t="s">
        <v>4342</v>
      </c>
      <c r="S1541" s="34" t="s">
        <v>5155</v>
      </c>
    </row>
    <row r="1542" spans="1:19" ht="202.5" x14ac:dyDescent="0.15">
      <c r="A1542" t="s">
        <v>1145</v>
      </c>
      <c r="B1542" s="61">
        <v>46174</v>
      </c>
      <c r="E1542" t="s">
        <v>355</v>
      </c>
      <c r="F1542" t="s">
        <v>351</v>
      </c>
      <c r="H1542" t="s">
        <v>5152</v>
      </c>
      <c r="I1542">
        <v>100874</v>
      </c>
      <c r="J1542" t="s">
        <v>4718</v>
      </c>
      <c r="K1542" t="s">
        <v>4719</v>
      </c>
      <c r="L1542" t="s">
        <v>5156</v>
      </c>
      <c r="N1542" t="s">
        <v>5157</v>
      </c>
      <c r="O1542" t="s">
        <v>4898</v>
      </c>
      <c r="S1542" s="34" t="s">
        <v>5158</v>
      </c>
    </row>
    <row r="1543" spans="1:19" ht="175.5" x14ac:dyDescent="0.15">
      <c r="A1543" t="s">
        <v>1234</v>
      </c>
      <c r="B1543" s="61">
        <v>46296</v>
      </c>
      <c r="E1543" t="s">
        <v>355</v>
      </c>
      <c r="F1543" t="s">
        <v>351</v>
      </c>
      <c r="H1543" t="s">
        <v>5152</v>
      </c>
      <c r="I1543">
        <v>2401259</v>
      </c>
      <c r="J1543" t="s">
        <v>1274</v>
      </c>
      <c r="K1543" t="s">
        <v>1275</v>
      </c>
      <c r="L1543" t="s">
        <v>1276</v>
      </c>
      <c r="N1543" t="s">
        <v>5159</v>
      </c>
      <c r="O1543" t="s">
        <v>1278</v>
      </c>
      <c r="S1543" s="34" t="s">
        <v>5160</v>
      </c>
    </row>
    <row r="1544" spans="1:19" ht="409.5" x14ac:dyDescent="0.15">
      <c r="A1544" t="s">
        <v>3297</v>
      </c>
      <c r="B1544" s="61">
        <v>46143</v>
      </c>
      <c r="E1544" t="s">
        <v>355</v>
      </c>
      <c r="F1544" t="s">
        <v>351</v>
      </c>
      <c r="G1544" t="s">
        <v>354</v>
      </c>
      <c r="H1544" t="s">
        <v>353</v>
      </c>
      <c r="I1544">
        <v>2801479</v>
      </c>
      <c r="J1544" t="s">
        <v>5177</v>
      </c>
      <c r="K1544" t="s">
        <v>1769</v>
      </c>
      <c r="L1544" t="s">
        <v>698</v>
      </c>
      <c r="N1544" t="s">
        <v>5178</v>
      </c>
      <c r="O1544" t="s">
        <v>5179</v>
      </c>
      <c r="S1544" s="34" t="s">
        <v>5199</v>
      </c>
    </row>
    <row r="1545" spans="1:19" x14ac:dyDescent="0.15">
      <c r="A1545" t="s">
        <v>2693</v>
      </c>
      <c r="B1545" s="61">
        <v>46266</v>
      </c>
      <c r="E1545" t="s">
        <v>355</v>
      </c>
      <c r="F1545" t="s">
        <v>351</v>
      </c>
      <c r="H1545" t="s">
        <v>5176</v>
      </c>
      <c r="I1545">
        <v>2303834</v>
      </c>
      <c r="J1545" t="s">
        <v>974</v>
      </c>
      <c r="K1545" t="s">
        <v>2759</v>
      </c>
      <c r="L1545" t="s">
        <v>2760</v>
      </c>
      <c r="N1545" t="s">
        <v>5161</v>
      </c>
      <c r="O1545" t="s">
        <v>2762</v>
      </c>
      <c r="R1545" t="s">
        <v>5379</v>
      </c>
      <c r="S1545" t="s">
        <v>5380</v>
      </c>
    </row>
    <row r="1546" spans="1:19" ht="216" x14ac:dyDescent="0.15">
      <c r="A1546" t="s">
        <v>5394</v>
      </c>
      <c r="B1546" s="61">
        <v>46235</v>
      </c>
      <c r="E1546" t="s">
        <v>355</v>
      </c>
      <c r="F1546" t="s">
        <v>351</v>
      </c>
      <c r="G1546" t="s">
        <v>354</v>
      </c>
      <c r="H1546" t="s">
        <v>353</v>
      </c>
      <c r="I1546">
        <v>1401437</v>
      </c>
      <c r="J1546" t="s">
        <v>958</v>
      </c>
      <c r="K1546" t="s">
        <v>959</v>
      </c>
      <c r="L1546" t="s">
        <v>373</v>
      </c>
      <c r="N1546" t="s">
        <v>960</v>
      </c>
      <c r="O1546" t="s">
        <v>961</v>
      </c>
      <c r="R1546" t="s">
        <v>3986</v>
      </c>
      <c r="S1546" s="34" t="s">
        <v>5395</v>
      </c>
    </row>
    <row r="1547" spans="1:19" ht="409.5" x14ac:dyDescent="0.15">
      <c r="A1547" t="s">
        <v>5394</v>
      </c>
      <c r="B1547" s="61">
        <v>46235</v>
      </c>
      <c r="E1547" t="s">
        <v>355</v>
      </c>
      <c r="F1547" t="s">
        <v>351</v>
      </c>
      <c r="G1547" t="s">
        <v>352</v>
      </c>
      <c r="H1547" t="s">
        <v>365</v>
      </c>
      <c r="I1547">
        <v>1401483</v>
      </c>
      <c r="J1547" t="s">
        <v>4789</v>
      </c>
      <c r="K1547" t="s">
        <v>4790</v>
      </c>
      <c r="L1547" t="s">
        <v>373</v>
      </c>
      <c r="N1547" t="s">
        <v>5396</v>
      </c>
      <c r="O1547" t="s">
        <v>5397</v>
      </c>
      <c r="R1547" t="s">
        <v>3985</v>
      </c>
      <c r="S1547" s="34" t="s">
        <v>5398</v>
      </c>
    </row>
    <row r="1548" spans="1:19" ht="409.5" x14ac:dyDescent="0.15">
      <c r="A1548" t="s">
        <v>5394</v>
      </c>
      <c r="B1548" s="61">
        <v>46296</v>
      </c>
      <c r="E1548" t="s">
        <v>355</v>
      </c>
      <c r="F1548" t="s">
        <v>351</v>
      </c>
      <c r="G1548" t="s">
        <v>354</v>
      </c>
      <c r="H1548" t="s">
        <v>686</v>
      </c>
      <c r="I1548">
        <v>1402368</v>
      </c>
      <c r="J1548" t="s">
        <v>974</v>
      </c>
      <c r="K1548" t="s">
        <v>4038</v>
      </c>
      <c r="L1548" t="s">
        <v>4039</v>
      </c>
      <c r="N1548" t="s">
        <v>7645</v>
      </c>
      <c r="O1548" t="s">
        <v>4041</v>
      </c>
      <c r="R1548" t="s">
        <v>5399</v>
      </c>
      <c r="S1548" s="34" t="s">
        <v>5400</v>
      </c>
    </row>
    <row r="1549" spans="1:19" ht="409.5" x14ac:dyDescent="0.15">
      <c r="A1549" t="s">
        <v>5394</v>
      </c>
      <c r="B1549" s="61">
        <v>46296</v>
      </c>
      <c r="E1549" t="s">
        <v>355</v>
      </c>
      <c r="F1549" t="s">
        <v>351</v>
      </c>
      <c r="G1549" t="s">
        <v>354</v>
      </c>
      <c r="H1549" t="s">
        <v>353</v>
      </c>
      <c r="I1549">
        <v>1402375</v>
      </c>
      <c r="J1549" t="s">
        <v>5401</v>
      </c>
      <c r="K1549" t="s">
        <v>5402</v>
      </c>
      <c r="L1549" t="s">
        <v>2330</v>
      </c>
      <c r="N1549" t="s">
        <v>5403</v>
      </c>
      <c r="O1549" t="s">
        <v>5404</v>
      </c>
      <c r="R1549" t="s">
        <v>3987</v>
      </c>
      <c r="S1549" s="34" t="s">
        <v>5405</v>
      </c>
    </row>
    <row r="1550" spans="1:19" ht="409.5" x14ac:dyDescent="0.15">
      <c r="A1550" t="s">
        <v>5394</v>
      </c>
      <c r="B1550" s="61">
        <v>46296</v>
      </c>
      <c r="E1550" t="s">
        <v>355</v>
      </c>
      <c r="F1550" t="s">
        <v>351</v>
      </c>
      <c r="G1550" t="s">
        <v>354</v>
      </c>
      <c r="H1550" t="s">
        <v>686</v>
      </c>
      <c r="I1550">
        <v>1402836</v>
      </c>
      <c r="J1550" t="s">
        <v>963</v>
      </c>
      <c r="K1550" t="s">
        <v>964</v>
      </c>
      <c r="L1550" t="s">
        <v>965</v>
      </c>
      <c r="N1550">
        <v>2131449</v>
      </c>
      <c r="O1550" t="s">
        <v>967</v>
      </c>
      <c r="R1550" t="s">
        <v>3987</v>
      </c>
      <c r="S1550" s="34" t="s">
        <v>5407</v>
      </c>
    </row>
    <row r="1551" spans="1:19" ht="409.5" x14ac:dyDescent="0.15">
      <c r="A1551" t="s">
        <v>5394</v>
      </c>
      <c r="B1551" s="61">
        <v>46296</v>
      </c>
      <c r="E1551" t="s">
        <v>355</v>
      </c>
      <c r="F1551" t="s">
        <v>351</v>
      </c>
      <c r="G1551" t="s">
        <v>354</v>
      </c>
      <c r="H1551" t="s">
        <v>353</v>
      </c>
      <c r="I1551">
        <v>1402836</v>
      </c>
      <c r="J1551" t="s">
        <v>963</v>
      </c>
      <c r="K1551" t="s">
        <v>964</v>
      </c>
      <c r="L1551" t="s">
        <v>965</v>
      </c>
      <c r="N1551" t="s">
        <v>7359</v>
      </c>
      <c r="O1551" t="s">
        <v>967</v>
      </c>
      <c r="S1551" s="34" t="s">
        <v>5408</v>
      </c>
    </row>
    <row r="1552" spans="1:19" ht="364.5" x14ac:dyDescent="0.15">
      <c r="A1552" t="s">
        <v>5394</v>
      </c>
      <c r="B1552" s="61">
        <v>46296</v>
      </c>
      <c r="E1552" t="s">
        <v>355</v>
      </c>
      <c r="F1552" t="s">
        <v>351</v>
      </c>
      <c r="G1552" t="s">
        <v>354</v>
      </c>
      <c r="H1552" t="s">
        <v>353</v>
      </c>
      <c r="I1552">
        <v>1402879</v>
      </c>
      <c r="J1552" t="s">
        <v>984</v>
      </c>
      <c r="K1552" t="s">
        <v>985</v>
      </c>
      <c r="L1552" t="s">
        <v>986</v>
      </c>
      <c r="N1552" t="s">
        <v>5409</v>
      </c>
      <c r="O1552" t="s">
        <v>988</v>
      </c>
      <c r="R1552" t="s">
        <v>3987</v>
      </c>
      <c r="S1552" s="34" t="s">
        <v>5410</v>
      </c>
    </row>
    <row r="1553" spans="1:19" ht="409.5" x14ac:dyDescent="0.15">
      <c r="A1553" t="s">
        <v>5394</v>
      </c>
      <c r="B1553" s="61">
        <v>46296</v>
      </c>
      <c r="E1553" t="s">
        <v>355</v>
      </c>
      <c r="F1553" t="s">
        <v>351</v>
      </c>
      <c r="G1553" t="s">
        <v>354</v>
      </c>
      <c r="H1553" t="s">
        <v>365</v>
      </c>
      <c r="I1553">
        <v>1402879</v>
      </c>
      <c r="J1553" t="s">
        <v>984</v>
      </c>
      <c r="K1553" t="s">
        <v>985</v>
      </c>
      <c r="L1553" t="s">
        <v>986</v>
      </c>
      <c r="N1553" t="s">
        <v>987</v>
      </c>
      <c r="O1553" t="s">
        <v>988</v>
      </c>
      <c r="R1553" t="s">
        <v>3987</v>
      </c>
      <c r="S1553" s="34" t="s">
        <v>5411</v>
      </c>
    </row>
    <row r="1554" spans="1:19" ht="243" x14ac:dyDescent="0.15">
      <c r="A1554" t="s">
        <v>350</v>
      </c>
      <c r="B1554" s="61">
        <v>46266</v>
      </c>
      <c r="E1554" t="s">
        <v>355</v>
      </c>
      <c r="F1554" t="s">
        <v>351</v>
      </c>
      <c r="G1554" t="s">
        <v>354</v>
      </c>
      <c r="H1554" t="s">
        <v>686</v>
      </c>
      <c r="I1554">
        <v>800406</v>
      </c>
      <c r="J1554" t="s">
        <v>371</v>
      </c>
      <c r="K1554" t="s">
        <v>372</v>
      </c>
      <c r="L1554" t="s">
        <v>373</v>
      </c>
      <c r="N1554">
        <v>2063622</v>
      </c>
      <c r="O1554" t="s">
        <v>375</v>
      </c>
      <c r="R1554" t="s">
        <v>4366</v>
      </c>
      <c r="S1554" s="34" t="s">
        <v>5412</v>
      </c>
    </row>
    <row r="1555" spans="1:19" ht="409.5" x14ac:dyDescent="0.15">
      <c r="A1555" t="s">
        <v>350</v>
      </c>
      <c r="B1555" s="61">
        <v>46266</v>
      </c>
      <c r="E1555" t="s">
        <v>355</v>
      </c>
      <c r="F1555" t="s">
        <v>351</v>
      </c>
      <c r="G1555" t="s">
        <v>354</v>
      </c>
      <c r="H1555" t="s">
        <v>353</v>
      </c>
      <c r="I1555">
        <v>801215</v>
      </c>
      <c r="J1555" t="s">
        <v>376</v>
      </c>
      <c r="K1555" t="s">
        <v>377</v>
      </c>
      <c r="L1555" t="s">
        <v>378</v>
      </c>
      <c r="N1555" t="s">
        <v>379</v>
      </c>
      <c r="O1555" t="s">
        <v>380</v>
      </c>
      <c r="S1555" s="34" t="s">
        <v>5413</v>
      </c>
    </row>
    <row r="1556" spans="1:19" ht="216" x14ac:dyDescent="0.15">
      <c r="A1556" t="s">
        <v>350</v>
      </c>
      <c r="B1556" s="61">
        <v>46296</v>
      </c>
      <c r="E1556" t="s">
        <v>355</v>
      </c>
      <c r="F1556" t="s">
        <v>351</v>
      </c>
      <c r="G1556" t="s">
        <v>354</v>
      </c>
      <c r="H1556" t="s">
        <v>353</v>
      </c>
      <c r="I1556">
        <v>800895</v>
      </c>
      <c r="J1556" t="s">
        <v>381</v>
      </c>
      <c r="K1556" t="s">
        <v>377</v>
      </c>
      <c r="L1556" t="s">
        <v>382</v>
      </c>
      <c r="N1556" t="s">
        <v>383</v>
      </c>
      <c r="O1556" t="s">
        <v>384</v>
      </c>
      <c r="R1556" t="s">
        <v>3986</v>
      </c>
      <c r="S1556" s="34" t="s">
        <v>5414</v>
      </c>
    </row>
    <row r="1557" spans="1:19" ht="243" x14ac:dyDescent="0.15">
      <c r="A1557" t="s">
        <v>350</v>
      </c>
      <c r="B1557" s="61">
        <v>46357</v>
      </c>
      <c r="E1557" t="s">
        <v>355</v>
      </c>
      <c r="F1557" t="s">
        <v>351</v>
      </c>
      <c r="G1557" t="s">
        <v>354</v>
      </c>
      <c r="H1557" t="s">
        <v>686</v>
      </c>
      <c r="I1557">
        <v>800406</v>
      </c>
      <c r="J1557" t="s">
        <v>371</v>
      </c>
      <c r="K1557" t="s">
        <v>372</v>
      </c>
      <c r="L1557" t="s">
        <v>373</v>
      </c>
      <c r="N1557">
        <v>2063622</v>
      </c>
      <c r="O1557" t="s">
        <v>375</v>
      </c>
      <c r="R1557" t="s">
        <v>4366</v>
      </c>
      <c r="S1557" s="34" t="s">
        <v>5412</v>
      </c>
    </row>
    <row r="1558" spans="1:19" ht="409.5" x14ac:dyDescent="0.15">
      <c r="A1558" t="s">
        <v>387</v>
      </c>
      <c r="B1558" s="61">
        <v>46266</v>
      </c>
      <c r="E1558" t="s">
        <v>355</v>
      </c>
      <c r="F1558" t="s">
        <v>351</v>
      </c>
      <c r="G1558" t="s">
        <v>354</v>
      </c>
      <c r="H1558" t="s">
        <v>365</v>
      </c>
      <c r="I1558">
        <v>800845</v>
      </c>
      <c r="J1558" t="s">
        <v>412</v>
      </c>
      <c r="K1558" t="s">
        <v>403</v>
      </c>
      <c r="L1558" t="s">
        <v>413</v>
      </c>
      <c r="N1558" t="s">
        <v>414</v>
      </c>
      <c r="O1558" t="s">
        <v>415</v>
      </c>
      <c r="S1558" s="34" t="s">
        <v>5415</v>
      </c>
    </row>
    <row r="1559" spans="1:19" ht="378" x14ac:dyDescent="0.15">
      <c r="A1559" t="s">
        <v>387</v>
      </c>
      <c r="B1559" s="61">
        <v>46266</v>
      </c>
      <c r="E1559" t="s">
        <v>355</v>
      </c>
      <c r="F1559" t="s">
        <v>351</v>
      </c>
      <c r="G1559" t="s">
        <v>352</v>
      </c>
      <c r="H1559" t="s">
        <v>365</v>
      </c>
      <c r="I1559">
        <v>801368</v>
      </c>
      <c r="J1559" t="s">
        <v>397</v>
      </c>
      <c r="K1559" t="s">
        <v>398</v>
      </c>
      <c r="L1559" t="s">
        <v>399</v>
      </c>
      <c r="N1559" t="s">
        <v>400</v>
      </c>
      <c r="O1559" t="s">
        <v>401</v>
      </c>
      <c r="R1559" t="s">
        <v>3985</v>
      </c>
      <c r="S1559" s="34" t="s">
        <v>5416</v>
      </c>
    </row>
    <row r="1560" spans="1:19" ht="409.5" x14ac:dyDescent="0.15">
      <c r="A1560" t="s">
        <v>387</v>
      </c>
      <c r="B1560" s="61">
        <v>46296</v>
      </c>
      <c r="E1560" t="s">
        <v>355</v>
      </c>
      <c r="F1560" t="s">
        <v>351</v>
      </c>
      <c r="G1560" t="s">
        <v>352</v>
      </c>
      <c r="H1560" t="s">
        <v>353</v>
      </c>
      <c r="I1560">
        <v>800959</v>
      </c>
      <c r="J1560" t="s">
        <v>5417</v>
      </c>
      <c r="K1560" t="s">
        <v>5418</v>
      </c>
      <c r="L1560" t="s">
        <v>698</v>
      </c>
      <c r="N1560" t="s">
        <v>5419</v>
      </c>
      <c r="O1560" t="s">
        <v>5420</v>
      </c>
      <c r="R1560" t="s">
        <v>3985</v>
      </c>
      <c r="S1560" s="34" t="s">
        <v>5421</v>
      </c>
    </row>
    <row r="1561" spans="1:19" ht="243" x14ac:dyDescent="0.15">
      <c r="A1561" t="s">
        <v>387</v>
      </c>
      <c r="B1561" s="61">
        <v>46357</v>
      </c>
      <c r="E1561" t="s">
        <v>355</v>
      </c>
      <c r="F1561" t="s">
        <v>351</v>
      </c>
      <c r="G1561" t="s">
        <v>354</v>
      </c>
      <c r="H1561" t="s">
        <v>365</v>
      </c>
      <c r="I1561">
        <v>801231</v>
      </c>
      <c r="J1561" t="s">
        <v>4756</v>
      </c>
      <c r="L1561" t="s">
        <v>4757</v>
      </c>
      <c r="N1561" t="s">
        <v>4758</v>
      </c>
      <c r="O1561" t="s">
        <v>4759</v>
      </c>
      <c r="R1561" t="s">
        <v>3986</v>
      </c>
      <c r="S1561" s="34" t="s">
        <v>5422</v>
      </c>
    </row>
    <row r="1562" spans="1:19" ht="229.5" x14ac:dyDescent="0.15">
      <c r="A1562" t="s">
        <v>387</v>
      </c>
      <c r="B1562" s="61">
        <v>46357</v>
      </c>
      <c r="E1562" t="s">
        <v>355</v>
      </c>
      <c r="F1562" t="s">
        <v>351</v>
      </c>
      <c r="G1562" t="s">
        <v>352</v>
      </c>
      <c r="H1562" t="s">
        <v>353</v>
      </c>
      <c r="I1562">
        <v>801248</v>
      </c>
      <c r="J1562" t="s">
        <v>402</v>
      </c>
      <c r="K1562" t="s">
        <v>403</v>
      </c>
      <c r="L1562" t="s">
        <v>404</v>
      </c>
      <c r="N1562" t="s">
        <v>405</v>
      </c>
      <c r="O1562" t="s">
        <v>406</v>
      </c>
      <c r="R1562" t="s">
        <v>3985</v>
      </c>
      <c r="S1562" s="34" t="s">
        <v>5423</v>
      </c>
    </row>
    <row r="1563" spans="1:19" ht="409.5" x14ac:dyDescent="0.15">
      <c r="A1563" t="s">
        <v>422</v>
      </c>
      <c r="B1563" s="61">
        <v>46266</v>
      </c>
      <c r="E1563" t="s">
        <v>355</v>
      </c>
      <c r="F1563" t="s">
        <v>351</v>
      </c>
      <c r="G1563" t="s">
        <v>352</v>
      </c>
      <c r="H1563" t="s">
        <v>353</v>
      </c>
      <c r="I1563">
        <v>2701559</v>
      </c>
      <c r="J1563" t="s">
        <v>427</v>
      </c>
      <c r="K1563" t="s">
        <v>428</v>
      </c>
      <c r="L1563" t="s">
        <v>5426</v>
      </c>
      <c r="N1563" t="s">
        <v>5427</v>
      </c>
      <c r="O1563" t="s">
        <v>5428</v>
      </c>
      <c r="R1563" t="s">
        <v>3985</v>
      </c>
      <c r="S1563" s="34" t="s">
        <v>5429</v>
      </c>
    </row>
    <row r="1564" spans="1:19" ht="216" x14ac:dyDescent="0.15">
      <c r="A1564" t="s">
        <v>422</v>
      </c>
      <c r="B1564" s="61">
        <v>46266</v>
      </c>
      <c r="E1564" t="s">
        <v>355</v>
      </c>
      <c r="F1564" t="s">
        <v>351</v>
      </c>
      <c r="G1564" t="s">
        <v>354</v>
      </c>
      <c r="H1564" t="s">
        <v>353</v>
      </c>
      <c r="I1564">
        <v>2701867</v>
      </c>
      <c r="J1564" t="s">
        <v>427</v>
      </c>
      <c r="K1564" t="s">
        <v>428</v>
      </c>
      <c r="L1564" t="s">
        <v>4076</v>
      </c>
      <c r="N1564" t="s">
        <v>4077</v>
      </c>
      <c r="O1564" t="s">
        <v>4078</v>
      </c>
      <c r="S1564" s="34" t="s">
        <v>5430</v>
      </c>
    </row>
    <row r="1565" spans="1:19" ht="378" x14ac:dyDescent="0.15">
      <c r="A1565" t="s">
        <v>422</v>
      </c>
      <c r="B1565" s="61">
        <v>46266</v>
      </c>
      <c r="E1565" t="s">
        <v>355</v>
      </c>
      <c r="F1565" t="s">
        <v>351</v>
      </c>
      <c r="G1565" t="s">
        <v>354</v>
      </c>
      <c r="H1565" t="s">
        <v>365</v>
      </c>
      <c r="I1565">
        <v>2702797</v>
      </c>
      <c r="J1565" t="s">
        <v>427</v>
      </c>
      <c r="K1565" t="s">
        <v>428</v>
      </c>
      <c r="L1565" t="s">
        <v>496</v>
      </c>
      <c r="N1565" t="s">
        <v>497</v>
      </c>
      <c r="O1565" t="s">
        <v>498</v>
      </c>
      <c r="S1565" s="34" t="s">
        <v>5431</v>
      </c>
    </row>
    <row r="1566" spans="1:19" ht="409.5" x14ac:dyDescent="0.15">
      <c r="A1566" t="s">
        <v>422</v>
      </c>
      <c r="B1566" s="61">
        <v>46235</v>
      </c>
      <c r="E1566" t="s">
        <v>355</v>
      </c>
      <c r="F1566" t="s">
        <v>351</v>
      </c>
      <c r="G1566" t="s">
        <v>354</v>
      </c>
      <c r="H1566" t="s">
        <v>353</v>
      </c>
      <c r="I1566">
        <v>2700428</v>
      </c>
      <c r="J1566" t="s">
        <v>476</v>
      </c>
      <c r="K1566" t="s">
        <v>477</v>
      </c>
      <c r="L1566" t="s">
        <v>390</v>
      </c>
      <c r="N1566" t="s">
        <v>478</v>
      </c>
      <c r="O1566" t="s">
        <v>479</v>
      </c>
      <c r="R1566" t="s">
        <v>3986</v>
      </c>
      <c r="S1566" s="34" t="s">
        <v>5432</v>
      </c>
    </row>
    <row r="1567" spans="1:19" ht="409.5" x14ac:dyDescent="0.15">
      <c r="A1567" t="s">
        <v>422</v>
      </c>
      <c r="B1567" s="61">
        <v>46235</v>
      </c>
      <c r="E1567" t="s">
        <v>355</v>
      </c>
      <c r="F1567" t="s">
        <v>351</v>
      </c>
      <c r="G1567" t="s">
        <v>354</v>
      </c>
      <c r="H1567" t="s">
        <v>686</v>
      </c>
      <c r="I1567">
        <v>2700428</v>
      </c>
      <c r="J1567" t="s">
        <v>476</v>
      </c>
      <c r="K1567" t="s">
        <v>477</v>
      </c>
      <c r="L1567" t="s">
        <v>390</v>
      </c>
      <c r="N1567">
        <v>2130069</v>
      </c>
      <c r="O1567" t="s">
        <v>479</v>
      </c>
      <c r="R1567" t="s">
        <v>3986</v>
      </c>
      <c r="S1567" s="34" t="s">
        <v>5433</v>
      </c>
    </row>
    <row r="1568" spans="1:19" ht="229.5" x14ac:dyDescent="0.15">
      <c r="A1568" t="s">
        <v>422</v>
      </c>
      <c r="B1568" s="61">
        <v>46235</v>
      </c>
      <c r="E1568" t="s">
        <v>355</v>
      </c>
      <c r="F1568" t="s">
        <v>351</v>
      </c>
      <c r="G1568" t="s">
        <v>354</v>
      </c>
      <c r="H1568" t="s">
        <v>365</v>
      </c>
      <c r="I1568">
        <v>2700428</v>
      </c>
      <c r="J1568" t="s">
        <v>476</v>
      </c>
      <c r="K1568" t="s">
        <v>477</v>
      </c>
      <c r="L1568" t="s">
        <v>390</v>
      </c>
      <c r="N1568" t="s">
        <v>487</v>
      </c>
      <c r="O1568" t="s">
        <v>479</v>
      </c>
      <c r="R1568" t="s">
        <v>3986</v>
      </c>
      <c r="S1568" s="34" t="s">
        <v>5434</v>
      </c>
    </row>
    <row r="1569" spans="1:19" ht="409.5" x14ac:dyDescent="0.15">
      <c r="A1569" t="s">
        <v>422</v>
      </c>
      <c r="B1569" s="61">
        <v>46296</v>
      </c>
      <c r="E1569" t="s">
        <v>355</v>
      </c>
      <c r="F1569" t="s">
        <v>351</v>
      </c>
      <c r="G1569" t="s">
        <v>352</v>
      </c>
      <c r="H1569" t="s">
        <v>353</v>
      </c>
      <c r="I1569">
        <v>2701960</v>
      </c>
      <c r="J1569" t="s">
        <v>439</v>
      </c>
      <c r="K1569" t="s">
        <v>440</v>
      </c>
      <c r="L1569" t="s">
        <v>390</v>
      </c>
      <c r="N1569" t="s">
        <v>5435</v>
      </c>
      <c r="O1569" t="s">
        <v>442</v>
      </c>
      <c r="R1569" t="s">
        <v>3985</v>
      </c>
      <c r="S1569" s="34" t="s">
        <v>5436</v>
      </c>
    </row>
    <row r="1570" spans="1:19" ht="409.5" x14ac:dyDescent="0.15">
      <c r="A1570" t="s">
        <v>422</v>
      </c>
      <c r="B1570" s="61">
        <v>46296</v>
      </c>
      <c r="E1570" t="s">
        <v>355</v>
      </c>
      <c r="F1570" t="s">
        <v>351</v>
      </c>
      <c r="G1570" t="s">
        <v>354</v>
      </c>
      <c r="H1570" t="s">
        <v>353</v>
      </c>
      <c r="I1570">
        <v>2702049</v>
      </c>
      <c r="J1570" t="s">
        <v>3997</v>
      </c>
      <c r="K1570" t="s">
        <v>5437</v>
      </c>
      <c r="L1570" t="s">
        <v>390</v>
      </c>
      <c r="N1570" t="s">
        <v>5438</v>
      </c>
      <c r="O1570" t="s">
        <v>5439</v>
      </c>
      <c r="R1570" t="s">
        <v>4012</v>
      </c>
      <c r="S1570" s="34" t="s">
        <v>5440</v>
      </c>
    </row>
    <row r="1571" spans="1:19" ht="202.5" x14ac:dyDescent="0.15">
      <c r="A1571" t="s">
        <v>422</v>
      </c>
      <c r="B1571" s="61">
        <v>46296</v>
      </c>
      <c r="E1571" t="s">
        <v>355</v>
      </c>
      <c r="F1571" t="s">
        <v>351</v>
      </c>
      <c r="G1571" t="s">
        <v>354</v>
      </c>
      <c r="H1571" t="s">
        <v>365</v>
      </c>
      <c r="I1571">
        <v>2702665</v>
      </c>
      <c r="J1571" t="s">
        <v>427</v>
      </c>
      <c r="K1571" t="s">
        <v>428</v>
      </c>
      <c r="L1571" t="s">
        <v>429</v>
      </c>
      <c r="N1571" t="s">
        <v>433</v>
      </c>
      <c r="O1571" t="s">
        <v>431</v>
      </c>
      <c r="R1571" t="s">
        <v>3987</v>
      </c>
      <c r="S1571" s="34" t="s">
        <v>5441</v>
      </c>
    </row>
    <row r="1572" spans="1:19" ht="409.5" x14ac:dyDescent="0.15">
      <c r="A1572" t="s">
        <v>422</v>
      </c>
      <c r="B1572" s="61">
        <v>46296</v>
      </c>
      <c r="E1572" t="s">
        <v>355</v>
      </c>
      <c r="F1572" t="s">
        <v>351</v>
      </c>
      <c r="G1572" t="s">
        <v>354</v>
      </c>
      <c r="H1572" t="s">
        <v>353</v>
      </c>
      <c r="I1572">
        <v>2702665</v>
      </c>
      <c r="J1572" t="s">
        <v>427</v>
      </c>
      <c r="K1572" t="s">
        <v>428</v>
      </c>
      <c r="L1572" t="s">
        <v>429</v>
      </c>
      <c r="N1572" t="s">
        <v>5442</v>
      </c>
      <c r="O1572" t="s">
        <v>431</v>
      </c>
      <c r="R1572" t="s">
        <v>3987</v>
      </c>
      <c r="S1572" s="34" t="s">
        <v>5443</v>
      </c>
    </row>
    <row r="1573" spans="1:19" ht="229.5" x14ac:dyDescent="0.15">
      <c r="A1573" t="s">
        <v>422</v>
      </c>
      <c r="B1573" s="61">
        <v>46327</v>
      </c>
      <c r="E1573" t="s">
        <v>355</v>
      </c>
      <c r="F1573" t="s">
        <v>351</v>
      </c>
      <c r="G1573" t="s">
        <v>352</v>
      </c>
      <c r="H1573" t="s">
        <v>353</v>
      </c>
      <c r="I1573">
        <v>2700535</v>
      </c>
      <c r="J1573" t="s">
        <v>5444</v>
      </c>
      <c r="K1573" t="s">
        <v>5445</v>
      </c>
      <c r="L1573" t="s">
        <v>390</v>
      </c>
      <c r="N1573" t="s">
        <v>5446</v>
      </c>
      <c r="O1573" t="s">
        <v>5447</v>
      </c>
      <c r="R1573" t="s">
        <v>3985</v>
      </c>
      <c r="S1573" s="34" t="s">
        <v>5448</v>
      </c>
    </row>
    <row r="1574" spans="1:19" ht="409.5" x14ac:dyDescent="0.15">
      <c r="A1574" t="s">
        <v>422</v>
      </c>
      <c r="B1574" s="61">
        <v>46327</v>
      </c>
      <c r="E1574" t="s">
        <v>355</v>
      </c>
      <c r="F1574" t="s">
        <v>351</v>
      </c>
      <c r="G1574" t="s">
        <v>354</v>
      </c>
      <c r="H1574" t="s">
        <v>686</v>
      </c>
      <c r="I1574">
        <v>2702793</v>
      </c>
      <c r="J1574" t="s">
        <v>481</v>
      </c>
      <c r="K1574" t="s">
        <v>482</v>
      </c>
      <c r="L1574" t="s">
        <v>483</v>
      </c>
      <c r="N1574">
        <v>2132332</v>
      </c>
      <c r="O1574" t="s">
        <v>485</v>
      </c>
      <c r="R1574" t="s">
        <v>3987</v>
      </c>
      <c r="S1574" s="34" t="s">
        <v>5449</v>
      </c>
    </row>
    <row r="1575" spans="1:19" ht="364.5" x14ac:dyDescent="0.15">
      <c r="A1575" t="s">
        <v>422</v>
      </c>
      <c r="B1575" s="61">
        <v>46357</v>
      </c>
      <c r="E1575" t="s">
        <v>355</v>
      </c>
      <c r="F1575" t="s">
        <v>351</v>
      </c>
      <c r="G1575" t="s">
        <v>354</v>
      </c>
      <c r="H1575" t="s">
        <v>353</v>
      </c>
      <c r="I1575">
        <v>2700391</v>
      </c>
      <c r="J1575" t="s">
        <v>435</v>
      </c>
      <c r="K1575" t="s">
        <v>436</v>
      </c>
      <c r="L1575" t="s">
        <v>390</v>
      </c>
      <c r="N1575" t="s">
        <v>5094</v>
      </c>
      <c r="O1575" t="s">
        <v>437</v>
      </c>
      <c r="R1575" t="s">
        <v>3987</v>
      </c>
      <c r="S1575" s="34" t="s">
        <v>5450</v>
      </c>
    </row>
    <row r="1576" spans="1:19" ht="409.5" x14ac:dyDescent="0.15">
      <c r="A1576" t="s">
        <v>4047</v>
      </c>
      <c r="B1576" s="61">
        <v>46296</v>
      </c>
      <c r="E1576" t="s">
        <v>355</v>
      </c>
      <c r="F1576" t="s">
        <v>351</v>
      </c>
      <c r="G1576" t="s">
        <v>354</v>
      </c>
      <c r="H1576" t="s">
        <v>686</v>
      </c>
      <c r="I1576">
        <v>2702800</v>
      </c>
      <c r="J1576" t="s">
        <v>5451</v>
      </c>
      <c r="K1576" t="s">
        <v>5452</v>
      </c>
      <c r="L1576" t="s">
        <v>5453</v>
      </c>
      <c r="N1576">
        <v>2151714</v>
      </c>
      <c r="O1576" t="s">
        <v>5454</v>
      </c>
      <c r="R1576" t="s">
        <v>5455</v>
      </c>
      <c r="S1576" s="34" t="s">
        <v>5456</v>
      </c>
    </row>
    <row r="1577" spans="1:19" ht="409.5" x14ac:dyDescent="0.15">
      <c r="A1577" t="s">
        <v>501</v>
      </c>
      <c r="B1577" s="61">
        <v>46235</v>
      </c>
      <c r="E1577" t="s">
        <v>355</v>
      </c>
      <c r="F1577" t="s">
        <v>351</v>
      </c>
      <c r="G1577" t="s">
        <v>354</v>
      </c>
      <c r="H1577" t="s">
        <v>365</v>
      </c>
      <c r="I1577">
        <v>1400113</v>
      </c>
      <c r="J1577" t="s">
        <v>523</v>
      </c>
      <c r="K1577" t="s">
        <v>504</v>
      </c>
      <c r="L1577" t="s">
        <v>524</v>
      </c>
      <c r="N1577" t="s">
        <v>525</v>
      </c>
      <c r="O1577" t="s">
        <v>526</v>
      </c>
      <c r="R1577" t="s">
        <v>3986</v>
      </c>
      <c r="S1577" s="34" t="s">
        <v>5457</v>
      </c>
    </row>
    <row r="1578" spans="1:19" ht="409.5" x14ac:dyDescent="0.15">
      <c r="A1578" t="s">
        <v>501</v>
      </c>
      <c r="B1578" s="61">
        <v>46266</v>
      </c>
      <c r="E1578" t="s">
        <v>355</v>
      </c>
      <c r="F1578" t="s">
        <v>351</v>
      </c>
      <c r="G1578" t="s">
        <v>354</v>
      </c>
      <c r="H1578" t="s">
        <v>365</v>
      </c>
      <c r="I1578">
        <v>1402151</v>
      </c>
      <c r="J1578" t="s">
        <v>535</v>
      </c>
      <c r="K1578" t="s">
        <v>536</v>
      </c>
      <c r="L1578" t="s">
        <v>512</v>
      </c>
      <c r="N1578" t="s">
        <v>537</v>
      </c>
      <c r="O1578" t="s">
        <v>538</v>
      </c>
      <c r="R1578" t="s">
        <v>3986</v>
      </c>
      <c r="S1578" s="34" t="s">
        <v>5458</v>
      </c>
    </row>
    <row r="1579" spans="1:19" ht="364.5" x14ac:dyDescent="0.15">
      <c r="A1579" t="s">
        <v>501</v>
      </c>
      <c r="B1579" s="61">
        <v>46327</v>
      </c>
      <c r="E1579" t="s">
        <v>355</v>
      </c>
      <c r="F1579" t="s">
        <v>351</v>
      </c>
      <c r="G1579" t="s">
        <v>352</v>
      </c>
      <c r="H1579" t="s">
        <v>365</v>
      </c>
      <c r="I1579">
        <v>1400838</v>
      </c>
      <c r="J1579" t="s">
        <v>1052</v>
      </c>
      <c r="K1579" t="s">
        <v>5459</v>
      </c>
      <c r="L1579" t="s">
        <v>5460</v>
      </c>
      <c r="N1579" t="s">
        <v>5461</v>
      </c>
      <c r="O1579" t="s">
        <v>5462</v>
      </c>
      <c r="R1579" t="s">
        <v>5463</v>
      </c>
      <c r="S1579" s="34" t="s">
        <v>5464</v>
      </c>
    </row>
    <row r="1580" spans="1:19" ht="409.5" x14ac:dyDescent="0.15">
      <c r="A1580" t="s">
        <v>501</v>
      </c>
      <c r="B1580" s="61">
        <v>46327</v>
      </c>
      <c r="E1580" t="s">
        <v>355</v>
      </c>
      <c r="F1580" t="s">
        <v>351</v>
      </c>
      <c r="G1580" t="s">
        <v>354</v>
      </c>
      <c r="H1580" t="s">
        <v>353</v>
      </c>
      <c r="I1580">
        <v>1401834</v>
      </c>
      <c r="J1580" t="s">
        <v>5122</v>
      </c>
      <c r="K1580" t="s">
        <v>5123</v>
      </c>
      <c r="L1580" t="s">
        <v>502</v>
      </c>
      <c r="N1580" t="s">
        <v>5124</v>
      </c>
      <c r="O1580" t="s">
        <v>5125</v>
      </c>
      <c r="S1580" s="34" t="s">
        <v>5465</v>
      </c>
    </row>
    <row r="1581" spans="1:19" ht="243" x14ac:dyDescent="0.15">
      <c r="A1581" t="s">
        <v>501</v>
      </c>
      <c r="B1581" s="61">
        <v>46327</v>
      </c>
      <c r="E1581" t="s">
        <v>355</v>
      </c>
      <c r="F1581" t="s">
        <v>351</v>
      </c>
      <c r="G1581" t="s">
        <v>354</v>
      </c>
      <c r="H1581" t="s">
        <v>310</v>
      </c>
      <c r="I1581">
        <v>1401834</v>
      </c>
      <c r="J1581" t="s">
        <v>5122</v>
      </c>
      <c r="K1581" t="s">
        <v>5123</v>
      </c>
      <c r="L1581" t="s">
        <v>502</v>
      </c>
      <c r="N1581" t="s">
        <v>5142</v>
      </c>
      <c r="O1581" t="s">
        <v>5125</v>
      </c>
      <c r="S1581" s="34" t="s">
        <v>5466</v>
      </c>
    </row>
    <row r="1582" spans="1:19" ht="409.5" x14ac:dyDescent="0.15">
      <c r="A1582" t="s">
        <v>501</v>
      </c>
      <c r="B1582" s="61">
        <v>46327</v>
      </c>
      <c r="E1582" t="s">
        <v>355</v>
      </c>
      <c r="F1582" t="s">
        <v>351</v>
      </c>
      <c r="G1582" t="s">
        <v>354</v>
      </c>
      <c r="H1582" t="s">
        <v>353</v>
      </c>
      <c r="I1582">
        <v>1402768</v>
      </c>
      <c r="J1582" t="s">
        <v>582</v>
      </c>
      <c r="K1582" t="s">
        <v>583</v>
      </c>
      <c r="L1582" t="s">
        <v>584</v>
      </c>
      <c r="N1582" t="s">
        <v>5467</v>
      </c>
      <c r="O1582" t="s">
        <v>586</v>
      </c>
      <c r="R1582" t="s">
        <v>4012</v>
      </c>
      <c r="S1582" s="34" t="s">
        <v>5468</v>
      </c>
    </row>
    <row r="1583" spans="1:19" ht="409.5" x14ac:dyDescent="0.15">
      <c r="A1583" t="s">
        <v>501</v>
      </c>
      <c r="B1583" s="61">
        <v>46327</v>
      </c>
      <c r="E1583" t="s">
        <v>355</v>
      </c>
      <c r="F1583" t="s">
        <v>351</v>
      </c>
      <c r="G1583" t="s">
        <v>354</v>
      </c>
      <c r="H1583" t="s">
        <v>686</v>
      </c>
      <c r="I1583">
        <v>1402768</v>
      </c>
      <c r="J1583" t="s">
        <v>582</v>
      </c>
      <c r="K1583" t="s">
        <v>583</v>
      </c>
      <c r="L1583" t="s">
        <v>584</v>
      </c>
      <c r="N1583">
        <v>2178411</v>
      </c>
      <c r="O1583" t="s">
        <v>586</v>
      </c>
      <c r="R1583" t="s">
        <v>4012</v>
      </c>
      <c r="S1583" s="34" t="s">
        <v>5469</v>
      </c>
    </row>
    <row r="1584" spans="1:19" ht="409.5" x14ac:dyDescent="0.15">
      <c r="A1584" t="s">
        <v>564</v>
      </c>
      <c r="B1584" s="61">
        <v>46235</v>
      </c>
      <c r="E1584" t="s">
        <v>355</v>
      </c>
      <c r="F1584" t="s">
        <v>351</v>
      </c>
      <c r="G1584" t="s">
        <v>354</v>
      </c>
      <c r="H1584" t="s">
        <v>686</v>
      </c>
      <c r="I1584">
        <v>1402863</v>
      </c>
      <c r="J1584" t="s">
        <v>5470</v>
      </c>
      <c r="K1584" t="s">
        <v>5471</v>
      </c>
      <c r="L1584" t="s">
        <v>833</v>
      </c>
      <c r="N1584">
        <v>2159680</v>
      </c>
      <c r="O1584" t="s">
        <v>5472</v>
      </c>
      <c r="R1584" t="s">
        <v>3987</v>
      </c>
      <c r="S1584" s="34" t="s">
        <v>5473</v>
      </c>
    </row>
    <row r="1585" spans="1:19" ht="409.5" x14ac:dyDescent="0.15">
      <c r="A1585" t="s">
        <v>564</v>
      </c>
      <c r="B1585" s="61">
        <v>46235</v>
      </c>
      <c r="E1585" t="s">
        <v>355</v>
      </c>
      <c r="F1585" t="s">
        <v>351</v>
      </c>
      <c r="G1585" t="s">
        <v>352</v>
      </c>
      <c r="H1585" t="s">
        <v>353</v>
      </c>
      <c r="I1585">
        <v>1402863</v>
      </c>
      <c r="J1585" t="s">
        <v>5470</v>
      </c>
      <c r="K1585" t="s">
        <v>5471</v>
      </c>
      <c r="L1585" t="s">
        <v>833</v>
      </c>
      <c r="N1585" t="s">
        <v>5474</v>
      </c>
      <c r="O1585" t="s">
        <v>5472</v>
      </c>
      <c r="R1585" t="s">
        <v>3987</v>
      </c>
      <c r="S1585" s="34" t="s">
        <v>5475</v>
      </c>
    </row>
    <row r="1586" spans="1:19" ht="409.5" x14ac:dyDescent="0.15">
      <c r="A1586" t="s">
        <v>564</v>
      </c>
      <c r="B1586" s="61">
        <v>46266</v>
      </c>
      <c r="E1586" t="s">
        <v>355</v>
      </c>
      <c r="F1586" t="s">
        <v>351</v>
      </c>
      <c r="G1586" t="s">
        <v>354</v>
      </c>
      <c r="H1586" t="s">
        <v>5476</v>
      </c>
      <c r="I1586">
        <v>1400389</v>
      </c>
      <c r="J1586" t="s">
        <v>567</v>
      </c>
      <c r="L1586" t="s">
        <v>568</v>
      </c>
      <c r="N1586" t="s">
        <v>5477</v>
      </c>
      <c r="O1586" t="s">
        <v>570</v>
      </c>
      <c r="R1586" t="s">
        <v>3985</v>
      </c>
      <c r="S1586" s="34" t="s">
        <v>5478</v>
      </c>
    </row>
    <row r="1587" spans="1:19" ht="216" x14ac:dyDescent="0.15">
      <c r="A1587" t="s">
        <v>564</v>
      </c>
      <c r="B1587" s="61">
        <v>46266</v>
      </c>
      <c r="E1587" t="s">
        <v>355</v>
      </c>
      <c r="F1587" t="s">
        <v>351</v>
      </c>
      <c r="G1587" t="s">
        <v>354</v>
      </c>
      <c r="H1587" t="s">
        <v>353</v>
      </c>
      <c r="I1587">
        <v>1401568</v>
      </c>
      <c r="J1587" t="s">
        <v>603</v>
      </c>
      <c r="K1587" t="s">
        <v>604</v>
      </c>
      <c r="L1587" t="s">
        <v>605</v>
      </c>
      <c r="N1587" t="s">
        <v>606</v>
      </c>
      <c r="O1587" t="s">
        <v>607</v>
      </c>
      <c r="S1587" s="34" t="s">
        <v>5479</v>
      </c>
    </row>
    <row r="1588" spans="1:19" ht="409.5" x14ac:dyDescent="0.15">
      <c r="A1588" t="s">
        <v>564</v>
      </c>
      <c r="B1588" s="61">
        <v>46296</v>
      </c>
      <c r="E1588" t="s">
        <v>355</v>
      </c>
      <c r="F1588" t="s">
        <v>351</v>
      </c>
      <c r="G1588" t="s">
        <v>354</v>
      </c>
      <c r="H1588" t="s">
        <v>353</v>
      </c>
      <c r="I1588">
        <v>1402138</v>
      </c>
      <c r="J1588" t="s">
        <v>608</v>
      </c>
      <c r="L1588" t="s">
        <v>512</v>
      </c>
      <c r="N1588" t="s">
        <v>609</v>
      </c>
      <c r="O1588" t="s">
        <v>610</v>
      </c>
      <c r="R1588" t="s">
        <v>3986</v>
      </c>
      <c r="S1588" s="34" t="s">
        <v>5480</v>
      </c>
    </row>
    <row r="1589" spans="1:19" ht="229.5" x14ac:dyDescent="0.15">
      <c r="A1589" t="s">
        <v>564</v>
      </c>
      <c r="B1589" s="61">
        <v>46296</v>
      </c>
      <c r="E1589" t="s">
        <v>355</v>
      </c>
      <c r="F1589" t="s">
        <v>351</v>
      </c>
      <c r="G1589" t="s">
        <v>354</v>
      </c>
      <c r="H1589" t="s">
        <v>310</v>
      </c>
      <c r="I1589">
        <v>1402450</v>
      </c>
      <c r="J1589" t="s">
        <v>591</v>
      </c>
      <c r="K1589" t="s">
        <v>592</v>
      </c>
      <c r="L1589" t="s">
        <v>593</v>
      </c>
      <c r="N1589" t="s">
        <v>594</v>
      </c>
      <c r="O1589" t="s">
        <v>595</v>
      </c>
      <c r="R1589" t="s">
        <v>3986</v>
      </c>
      <c r="S1589" s="34" t="s">
        <v>5481</v>
      </c>
    </row>
    <row r="1590" spans="1:19" ht="351" x14ac:dyDescent="0.15">
      <c r="A1590" t="s">
        <v>564</v>
      </c>
      <c r="B1590" s="61">
        <v>46327</v>
      </c>
      <c r="E1590" t="s">
        <v>355</v>
      </c>
      <c r="F1590" t="s">
        <v>351</v>
      </c>
      <c r="G1590" t="s">
        <v>354</v>
      </c>
      <c r="H1590" t="s">
        <v>310</v>
      </c>
      <c r="I1590">
        <v>1401839</v>
      </c>
      <c r="J1590" t="s">
        <v>596</v>
      </c>
      <c r="K1590" t="s">
        <v>597</v>
      </c>
      <c r="L1590" t="s">
        <v>502</v>
      </c>
      <c r="N1590" t="s">
        <v>598</v>
      </c>
      <c r="O1590" t="s">
        <v>599</v>
      </c>
      <c r="R1590" t="s">
        <v>4430</v>
      </c>
      <c r="S1590" s="34" t="s">
        <v>5482</v>
      </c>
    </row>
    <row r="1591" spans="1:19" ht="337.5" x14ac:dyDescent="0.15">
      <c r="A1591" t="s">
        <v>564</v>
      </c>
      <c r="B1591" s="61">
        <v>46357</v>
      </c>
      <c r="E1591" t="s">
        <v>355</v>
      </c>
      <c r="F1591" t="s">
        <v>351</v>
      </c>
      <c r="G1591" t="s">
        <v>352</v>
      </c>
      <c r="H1591" t="s">
        <v>353</v>
      </c>
      <c r="I1591">
        <v>1401591</v>
      </c>
      <c r="J1591" t="s">
        <v>572</v>
      </c>
      <c r="L1591" t="s">
        <v>573</v>
      </c>
      <c r="N1591" t="s">
        <v>5483</v>
      </c>
      <c r="O1591" t="s">
        <v>575</v>
      </c>
      <c r="R1591" t="s">
        <v>3986</v>
      </c>
      <c r="S1591" s="34" t="s">
        <v>5484</v>
      </c>
    </row>
    <row r="1592" spans="1:19" ht="409.5" x14ac:dyDescent="0.15">
      <c r="A1592" t="s">
        <v>515</v>
      </c>
      <c r="B1592" s="61">
        <v>46235</v>
      </c>
      <c r="E1592" t="s">
        <v>355</v>
      </c>
      <c r="F1592" t="s">
        <v>351</v>
      </c>
      <c r="G1592" t="s">
        <v>352</v>
      </c>
      <c r="H1592" t="s">
        <v>365</v>
      </c>
      <c r="I1592">
        <v>1402778</v>
      </c>
      <c r="J1592" t="s">
        <v>1425</v>
      </c>
      <c r="K1592" t="s">
        <v>5485</v>
      </c>
      <c r="L1592" t="s">
        <v>5486</v>
      </c>
      <c r="N1592" t="s">
        <v>5487</v>
      </c>
      <c r="O1592" t="s">
        <v>5488</v>
      </c>
      <c r="R1592" t="s">
        <v>3992</v>
      </c>
      <c r="S1592" s="34" t="s">
        <v>5489</v>
      </c>
    </row>
    <row r="1593" spans="1:19" ht="409.5" x14ac:dyDescent="0.15">
      <c r="A1593" t="s">
        <v>515</v>
      </c>
      <c r="B1593" s="61">
        <v>46235</v>
      </c>
      <c r="E1593" t="s">
        <v>355</v>
      </c>
      <c r="F1593" t="s">
        <v>351</v>
      </c>
      <c r="G1593" t="s">
        <v>354</v>
      </c>
      <c r="H1593" t="s">
        <v>686</v>
      </c>
      <c r="I1593">
        <v>1402778</v>
      </c>
      <c r="J1593" t="s">
        <v>1425</v>
      </c>
      <c r="K1593" t="s">
        <v>5485</v>
      </c>
      <c r="L1593" t="s">
        <v>5486</v>
      </c>
      <c r="N1593">
        <v>2117183</v>
      </c>
      <c r="O1593" t="s">
        <v>5488</v>
      </c>
      <c r="R1593" t="s">
        <v>3992</v>
      </c>
      <c r="S1593" s="34" t="s">
        <v>5490</v>
      </c>
    </row>
    <row r="1594" spans="1:19" ht="409.5" x14ac:dyDescent="0.15">
      <c r="A1594" t="s">
        <v>515</v>
      </c>
      <c r="B1594" s="61">
        <v>46296</v>
      </c>
      <c r="E1594" t="s">
        <v>355</v>
      </c>
      <c r="F1594" t="s">
        <v>351</v>
      </c>
      <c r="G1594" t="s">
        <v>354</v>
      </c>
      <c r="H1594" t="s">
        <v>353</v>
      </c>
      <c r="I1594">
        <v>1401569</v>
      </c>
      <c r="J1594" t="s">
        <v>2407</v>
      </c>
      <c r="K1594" t="s">
        <v>5491</v>
      </c>
      <c r="L1594" t="s">
        <v>4299</v>
      </c>
      <c r="N1594" t="s">
        <v>5492</v>
      </c>
      <c r="O1594" t="s">
        <v>5493</v>
      </c>
      <c r="R1594" t="s">
        <v>4012</v>
      </c>
      <c r="S1594" s="34" t="s">
        <v>5494</v>
      </c>
    </row>
    <row r="1595" spans="1:19" ht="409.5" x14ac:dyDescent="0.15">
      <c r="A1595" t="s">
        <v>515</v>
      </c>
      <c r="B1595" s="61">
        <v>46296</v>
      </c>
      <c r="E1595" t="s">
        <v>355</v>
      </c>
      <c r="F1595" t="s">
        <v>351</v>
      </c>
      <c r="G1595" t="s">
        <v>354</v>
      </c>
      <c r="H1595" t="s">
        <v>353</v>
      </c>
      <c r="I1595">
        <v>1402913</v>
      </c>
      <c r="J1595" t="s">
        <v>3242</v>
      </c>
      <c r="K1595" t="s">
        <v>5495</v>
      </c>
      <c r="L1595" t="s">
        <v>5496</v>
      </c>
      <c r="N1595" t="s">
        <v>5497</v>
      </c>
      <c r="O1595" t="s">
        <v>5498</v>
      </c>
      <c r="R1595" t="s">
        <v>3987</v>
      </c>
      <c r="S1595" s="34" t="s">
        <v>5499</v>
      </c>
    </row>
    <row r="1596" spans="1:19" ht="409.5" x14ac:dyDescent="0.15">
      <c r="A1596" t="s">
        <v>617</v>
      </c>
      <c r="B1596" s="61">
        <v>46266</v>
      </c>
      <c r="E1596" t="s">
        <v>355</v>
      </c>
      <c r="F1596" t="s">
        <v>351</v>
      </c>
      <c r="G1596" t="s">
        <v>354</v>
      </c>
      <c r="H1596" t="s">
        <v>365</v>
      </c>
      <c r="I1596">
        <v>2300166</v>
      </c>
      <c r="J1596" t="s">
        <v>618</v>
      </c>
      <c r="K1596" t="s">
        <v>619</v>
      </c>
      <c r="L1596" t="s">
        <v>620</v>
      </c>
      <c r="N1596" t="s">
        <v>621</v>
      </c>
      <c r="O1596" t="s">
        <v>622</v>
      </c>
      <c r="S1596" s="34" t="s">
        <v>5500</v>
      </c>
    </row>
    <row r="1597" spans="1:19" ht="409.5" x14ac:dyDescent="0.15">
      <c r="A1597" t="s">
        <v>617</v>
      </c>
      <c r="B1597" s="61">
        <v>46266</v>
      </c>
      <c r="E1597" t="s">
        <v>355</v>
      </c>
      <c r="F1597" t="s">
        <v>351</v>
      </c>
      <c r="G1597" t="s">
        <v>354</v>
      </c>
      <c r="H1597" t="s">
        <v>365</v>
      </c>
      <c r="I1597">
        <v>2300496</v>
      </c>
      <c r="J1597" t="s">
        <v>649</v>
      </c>
      <c r="K1597" t="s">
        <v>650</v>
      </c>
      <c r="L1597" t="s">
        <v>651</v>
      </c>
      <c r="N1597" t="s">
        <v>652</v>
      </c>
      <c r="O1597" t="s">
        <v>653</v>
      </c>
      <c r="R1597" t="s">
        <v>3986</v>
      </c>
      <c r="S1597" s="34" t="s">
        <v>5501</v>
      </c>
    </row>
    <row r="1598" spans="1:19" ht="409.5" x14ac:dyDescent="0.15">
      <c r="A1598" t="s">
        <v>617</v>
      </c>
      <c r="B1598" s="61">
        <v>46266</v>
      </c>
      <c r="E1598" t="s">
        <v>355</v>
      </c>
      <c r="F1598" t="s">
        <v>351</v>
      </c>
      <c r="G1598" t="s">
        <v>354</v>
      </c>
      <c r="H1598" t="s">
        <v>353</v>
      </c>
      <c r="I1598">
        <v>2302215</v>
      </c>
      <c r="J1598" t="s">
        <v>668</v>
      </c>
      <c r="K1598" t="s">
        <v>669</v>
      </c>
      <c r="L1598" t="s">
        <v>670</v>
      </c>
      <c r="N1598" t="s">
        <v>7351</v>
      </c>
      <c r="O1598" t="s">
        <v>671</v>
      </c>
      <c r="S1598" s="34" t="s">
        <v>5502</v>
      </c>
    </row>
    <row r="1599" spans="1:19" ht="243" x14ac:dyDescent="0.15">
      <c r="A1599" t="s">
        <v>617</v>
      </c>
      <c r="B1599" s="61">
        <v>46266</v>
      </c>
      <c r="E1599" t="s">
        <v>355</v>
      </c>
      <c r="F1599" t="s">
        <v>351</v>
      </c>
      <c r="G1599" t="s">
        <v>352</v>
      </c>
      <c r="H1599" t="s">
        <v>353</v>
      </c>
      <c r="I1599">
        <v>2303319</v>
      </c>
      <c r="J1599" t="s">
        <v>5503</v>
      </c>
      <c r="K1599" t="s">
        <v>5504</v>
      </c>
      <c r="L1599" t="s">
        <v>413</v>
      </c>
      <c r="N1599" t="s">
        <v>5505</v>
      </c>
      <c r="O1599" t="s">
        <v>5506</v>
      </c>
      <c r="R1599" t="s">
        <v>3985</v>
      </c>
      <c r="S1599" s="34" t="s">
        <v>5507</v>
      </c>
    </row>
    <row r="1600" spans="1:19" ht="229.5" x14ac:dyDescent="0.15">
      <c r="A1600" t="s">
        <v>617</v>
      </c>
      <c r="B1600" s="61">
        <v>46266</v>
      </c>
      <c r="E1600" t="s">
        <v>355</v>
      </c>
      <c r="F1600" t="s">
        <v>351</v>
      </c>
      <c r="G1600" t="s">
        <v>354</v>
      </c>
      <c r="H1600" t="s">
        <v>365</v>
      </c>
      <c r="I1600">
        <v>2303759</v>
      </c>
      <c r="J1600" t="s">
        <v>681</v>
      </c>
      <c r="L1600" t="s">
        <v>413</v>
      </c>
      <c r="N1600" t="s">
        <v>682</v>
      </c>
      <c r="O1600" t="s">
        <v>683</v>
      </c>
      <c r="S1600" s="34" t="s">
        <v>5508</v>
      </c>
    </row>
    <row r="1601" spans="1:19" ht="409.5" x14ac:dyDescent="0.15">
      <c r="A1601" t="s">
        <v>617</v>
      </c>
      <c r="B1601" s="61">
        <v>46327</v>
      </c>
      <c r="E1601" t="s">
        <v>355</v>
      </c>
      <c r="F1601" t="s">
        <v>351</v>
      </c>
      <c r="G1601" t="s">
        <v>354</v>
      </c>
      <c r="H1601" t="s">
        <v>353</v>
      </c>
      <c r="I1601">
        <v>2300558</v>
      </c>
      <c r="J1601" t="s">
        <v>5509</v>
      </c>
      <c r="K1601" t="s">
        <v>673</v>
      </c>
      <c r="L1601" t="s">
        <v>5510</v>
      </c>
      <c r="N1601" t="s">
        <v>5511</v>
      </c>
      <c r="O1601" t="s">
        <v>5512</v>
      </c>
      <c r="R1601" t="s">
        <v>3986</v>
      </c>
      <c r="S1601" s="34" t="s">
        <v>5513</v>
      </c>
    </row>
    <row r="1602" spans="1:19" ht="229.5" x14ac:dyDescent="0.15">
      <c r="A1602" t="s">
        <v>617</v>
      </c>
      <c r="B1602" s="61">
        <v>46327</v>
      </c>
      <c r="E1602" t="s">
        <v>355</v>
      </c>
      <c r="F1602" t="s">
        <v>351</v>
      </c>
      <c r="G1602" t="s">
        <v>354</v>
      </c>
      <c r="H1602" t="s">
        <v>365</v>
      </c>
      <c r="I1602">
        <v>2302268</v>
      </c>
      <c r="J1602" t="s">
        <v>624</v>
      </c>
      <c r="K1602" t="s">
        <v>625</v>
      </c>
      <c r="L1602" t="s">
        <v>626</v>
      </c>
      <c r="N1602" t="s">
        <v>627</v>
      </c>
      <c r="O1602" t="s">
        <v>628</v>
      </c>
      <c r="R1602" t="s">
        <v>3987</v>
      </c>
      <c r="S1602" s="34" t="s">
        <v>5514</v>
      </c>
    </row>
    <row r="1603" spans="1:19" ht="243" x14ac:dyDescent="0.15">
      <c r="A1603" t="s">
        <v>617</v>
      </c>
      <c r="B1603" s="61">
        <v>46327</v>
      </c>
      <c r="E1603" t="s">
        <v>355</v>
      </c>
      <c r="F1603" t="s">
        <v>351</v>
      </c>
      <c r="G1603" t="s">
        <v>354</v>
      </c>
      <c r="H1603" t="s">
        <v>353</v>
      </c>
      <c r="I1603">
        <v>2302614</v>
      </c>
      <c r="J1603" t="s">
        <v>5515</v>
      </c>
      <c r="L1603" t="s">
        <v>2865</v>
      </c>
      <c r="N1603" t="s">
        <v>5516</v>
      </c>
      <c r="O1603" t="s">
        <v>5517</v>
      </c>
      <c r="R1603" t="s">
        <v>4012</v>
      </c>
      <c r="S1603" s="34" t="s">
        <v>5518</v>
      </c>
    </row>
    <row r="1604" spans="1:19" ht="409.5" x14ac:dyDescent="0.15">
      <c r="A1604" t="s">
        <v>617</v>
      </c>
      <c r="B1604" s="61">
        <v>46327</v>
      </c>
      <c r="E1604" t="s">
        <v>355</v>
      </c>
      <c r="F1604" t="s">
        <v>351</v>
      </c>
      <c r="G1604" t="s">
        <v>354</v>
      </c>
      <c r="H1604" t="s">
        <v>353</v>
      </c>
      <c r="I1604">
        <v>2303689</v>
      </c>
      <c r="J1604" t="s">
        <v>672</v>
      </c>
      <c r="K1604" t="s">
        <v>673</v>
      </c>
      <c r="L1604" t="s">
        <v>674</v>
      </c>
      <c r="N1604" t="s">
        <v>5519</v>
      </c>
      <c r="O1604" t="s">
        <v>676</v>
      </c>
      <c r="S1604" s="34" t="s">
        <v>5520</v>
      </c>
    </row>
    <row r="1605" spans="1:19" ht="409.5" x14ac:dyDescent="0.15">
      <c r="A1605" t="s">
        <v>617</v>
      </c>
      <c r="B1605" s="61">
        <v>46357</v>
      </c>
      <c r="E1605" t="s">
        <v>355</v>
      </c>
      <c r="F1605" t="s">
        <v>351</v>
      </c>
      <c r="G1605" t="s">
        <v>354</v>
      </c>
      <c r="H1605" t="s">
        <v>353</v>
      </c>
      <c r="I1605">
        <v>2300485</v>
      </c>
      <c r="J1605" t="s">
        <v>4095</v>
      </c>
      <c r="K1605" t="s">
        <v>3255</v>
      </c>
      <c r="L1605" t="s">
        <v>4096</v>
      </c>
      <c r="N1605" t="s">
        <v>5521</v>
      </c>
      <c r="O1605" t="s">
        <v>4098</v>
      </c>
      <c r="R1605" t="s">
        <v>3987</v>
      </c>
      <c r="S1605" s="34" t="s">
        <v>5522</v>
      </c>
    </row>
    <row r="1606" spans="1:19" ht="229.5" x14ac:dyDescent="0.15">
      <c r="A1606" t="s">
        <v>617</v>
      </c>
      <c r="B1606" s="61">
        <v>46357</v>
      </c>
      <c r="E1606" t="s">
        <v>355</v>
      </c>
      <c r="F1606" t="s">
        <v>351</v>
      </c>
      <c r="G1606" t="s">
        <v>354</v>
      </c>
      <c r="H1606" t="s">
        <v>365</v>
      </c>
      <c r="I1606">
        <v>2303719</v>
      </c>
      <c r="J1606" t="s">
        <v>677</v>
      </c>
      <c r="K1606" t="s">
        <v>678</v>
      </c>
      <c r="L1606" t="s">
        <v>390</v>
      </c>
      <c r="N1606" t="s">
        <v>679</v>
      </c>
      <c r="O1606" t="s">
        <v>680</v>
      </c>
      <c r="R1606" t="s">
        <v>3987</v>
      </c>
      <c r="S1606" s="34" t="s">
        <v>5523</v>
      </c>
    </row>
    <row r="1607" spans="1:19" ht="409.5" x14ac:dyDescent="0.15">
      <c r="A1607" t="s">
        <v>5524</v>
      </c>
      <c r="B1607" s="61">
        <v>46235</v>
      </c>
      <c r="E1607" t="s">
        <v>355</v>
      </c>
      <c r="F1607" t="s">
        <v>351</v>
      </c>
      <c r="G1607" t="s">
        <v>354</v>
      </c>
      <c r="H1607" t="s">
        <v>353</v>
      </c>
      <c r="I1607">
        <v>1402843</v>
      </c>
      <c r="J1607" t="s">
        <v>2372</v>
      </c>
      <c r="K1607" t="s">
        <v>1769</v>
      </c>
      <c r="L1607" t="s">
        <v>2373</v>
      </c>
      <c r="N1607" t="s">
        <v>2374</v>
      </c>
      <c r="O1607" t="s">
        <v>2375</v>
      </c>
      <c r="R1607" t="s">
        <v>3987</v>
      </c>
      <c r="S1607" s="34" t="s">
        <v>5525</v>
      </c>
    </row>
    <row r="1608" spans="1:19" ht="409.5" x14ac:dyDescent="0.15">
      <c r="A1608" t="s">
        <v>5524</v>
      </c>
      <c r="B1608" s="61">
        <v>46266</v>
      </c>
      <c r="E1608" t="s">
        <v>355</v>
      </c>
      <c r="F1608" t="s">
        <v>351</v>
      </c>
      <c r="G1608" t="s">
        <v>354</v>
      </c>
      <c r="H1608" t="s">
        <v>353</v>
      </c>
      <c r="I1608">
        <v>1400845</v>
      </c>
      <c r="J1608" t="s">
        <v>971</v>
      </c>
      <c r="K1608" t="s">
        <v>972</v>
      </c>
      <c r="L1608" t="s">
        <v>373</v>
      </c>
      <c r="N1608" t="s">
        <v>5526</v>
      </c>
      <c r="O1608" t="s">
        <v>973</v>
      </c>
      <c r="S1608" s="34" t="s">
        <v>5527</v>
      </c>
    </row>
    <row r="1609" spans="1:19" ht="409.5" x14ac:dyDescent="0.15">
      <c r="A1609" t="s">
        <v>5524</v>
      </c>
      <c r="B1609" s="61">
        <v>46266</v>
      </c>
      <c r="E1609" t="s">
        <v>355</v>
      </c>
      <c r="F1609" t="s">
        <v>351</v>
      </c>
      <c r="G1609" t="s">
        <v>354</v>
      </c>
      <c r="H1609" t="s">
        <v>365</v>
      </c>
      <c r="I1609">
        <v>1400845</v>
      </c>
      <c r="J1609" t="s">
        <v>971</v>
      </c>
      <c r="K1609" t="s">
        <v>972</v>
      </c>
      <c r="L1609" t="s">
        <v>373</v>
      </c>
      <c r="N1609" t="s">
        <v>5528</v>
      </c>
      <c r="O1609" t="s">
        <v>973</v>
      </c>
      <c r="S1609" s="34" t="s">
        <v>5529</v>
      </c>
    </row>
    <row r="1610" spans="1:19" ht="351" x14ac:dyDescent="0.15">
      <c r="A1610" t="s">
        <v>5524</v>
      </c>
      <c r="B1610" s="61">
        <v>46266</v>
      </c>
      <c r="E1610" t="s">
        <v>355</v>
      </c>
      <c r="F1610" t="s">
        <v>351</v>
      </c>
      <c r="G1610" t="s">
        <v>354</v>
      </c>
      <c r="H1610" t="s">
        <v>353</v>
      </c>
      <c r="I1610">
        <v>1400845</v>
      </c>
      <c r="J1610" t="s">
        <v>971</v>
      </c>
      <c r="K1610" t="s">
        <v>972</v>
      </c>
      <c r="L1610" t="s">
        <v>373</v>
      </c>
      <c r="N1610" t="s">
        <v>3938</v>
      </c>
      <c r="O1610" t="s">
        <v>973</v>
      </c>
      <c r="S1610" s="34" t="s">
        <v>5530</v>
      </c>
    </row>
    <row r="1611" spans="1:19" ht="409.5" x14ac:dyDescent="0.15">
      <c r="A1611" t="s">
        <v>5524</v>
      </c>
      <c r="B1611" s="61">
        <v>46266</v>
      </c>
      <c r="E1611" t="s">
        <v>355</v>
      </c>
      <c r="F1611" t="s">
        <v>351</v>
      </c>
      <c r="G1611" t="s">
        <v>354</v>
      </c>
      <c r="H1611" t="s">
        <v>365</v>
      </c>
      <c r="I1611">
        <v>1400845</v>
      </c>
      <c r="J1611" t="s">
        <v>971</v>
      </c>
      <c r="K1611" t="s">
        <v>972</v>
      </c>
      <c r="L1611" t="s">
        <v>373</v>
      </c>
      <c r="N1611" t="s">
        <v>1010</v>
      </c>
      <c r="O1611" t="s">
        <v>973</v>
      </c>
      <c r="S1611" s="34" t="s">
        <v>5531</v>
      </c>
    </row>
    <row r="1612" spans="1:19" ht="351" x14ac:dyDescent="0.15">
      <c r="A1612" t="s">
        <v>5524</v>
      </c>
      <c r="B1612" s="61">
        <v>46266</v>
      </c>
      <c r="E1612" t="s">
        <v>355</v>
      </c>
      <c r="F1612" t="s">
        <v>351</v>
      </c>
      <c r="G1612" t="s">
        <v>354</v>
      </c>
      <c r="H1612" t="s">
        <v>365</v>
      </c>
      <c r="I1612">
        <v>1402761</v>
      </c>
      <c r="J1612" t="s">
        <v>995</v>
      </c>
      <c r="K1612" t="s">
        <v>996</v>
      </c>
      <c r="L1612" t="s">
        <v>997</v>
      </c>
      <c r="N1612" t="s">
        <v>998</v>
      </c>
      <c r="O1612" t="s">
        <v>999</v>
      </c>
      <c r="R1612" t="s">
        <v>3987</v>
      </c>
      <c r="S1612" s="34" t="s">
        <v>5532</v>
      </c>
    </row>
    <row r="1613" spans="1:19" ht="409.5" x14ac:dyDescent="0.15">
      <c r="A1613" t="s">
        <v>5524</v>
      </c>
      <c r="B1613" s="61">
        <v>46296</v>
      </c>
      <c r="E1613" t="s">
        <v>355</v>
      </c>
      <c r="F1613" t="s">
        <v>351</v>
      </c>
      <c r="G1613" t="s">
        <v>354</v>
      </c>
      <c r="H1613" t="s">
        <v>365</v>
      </c>
      <c r="I1613">
        <v>1400662</v>
      </c>
      <c r="J1613" t="s">
        <v>2353</v>
      </c>
      <c r="K1613" t="s">
        <v>2354</v>
      </c>
      <c r="L1613" t="s">
        <v>2355</v>
      </c>
      <c r="N1613" t="s">
        <v>2356</v>
      </c>
      <c r="O1613" t="s">
        <v>2357</v>
      </c>
      <c r="R1613" t="s">
        <v>3986</v>
      </c>
      <c r="S1613" s="34" t="s">
        <v>5533</v>
      </c>
    </row>
    <row r="1614" spans="1:19" ht="409.5" x14ac:dyDescent="0.15">
      <c r="A1614" t="s">
        <v>5524</v>
      </c>
      <c r="B1614" s="61">
        <v>46296</v>
      </c>
      <c r="E1614" t="s">
        <v>355</v>
      </c>
      <c r="F1614" t="s">
        <v>351</v>
      </c>
      <c r="G1614" t="s">
        <v>354</v>
      </c>
      <c r="H1614" t="s">
        <v>353</v>
      </c>
      <c r="I1614">
        <v>1401939</v>
      </c>
      <c r="J1614" t="s">
        <v>2363</v>
      </c>
      <c r="K1614" t="s">
        <v>2364</v>
      </c>
      <c r="L1614" t="s">
        <v>2359</v>
      </c>
      <c r="N1614" t="s">
        <v>5534</v>
      </c>
      <c r="O1614" t="s">
        <v>2366</v>
      </c>
      <c r="S1614" s="34" t="s">
        <v>5535</v>
      </c>
    </row>
    <row r="1615" spans="1:19" ht="189" x14ac:dyDescent="0.15">
      <c r="A1615" t="s">
        <v>5524</v>
      </c>
      <c r="B1615" s="61">
        <v>46296</v>
      </c>
      <c r="E1615" t="s">
        <v>355</v>
      </c>
      <c r="F1615" t="s">
        <v>351</v>
      </c>
      <c r="G1615" t="s">
        <v>354</v>
      </c>
      <c r="H1615" t="s">
        <v>353</v>
      </c>
      <c r="I1615">
        <v>1402261</v>
      </c>
      <c r="J1615" t="s">
        <v>481</v>
      </c>
      <c r="K1615" t="s">
        <v>4171</v>
      </c>
      <c r="L1615" t="s">
        <v>4127</v>
      </c>
      <c r="N1615" t="s">
        <v>4172</v>
      </c>
      <c r="O1615" t="s">
        <v>4173</v>
      </c>
      <c r="R1615" t="s">
        <v>3986</v>
      </c>
      <c r="S1615" s="34" t="s">
        <v>5536</v>
      </c>
    </row>
    <row r="1616" spans="1:19" ht="409.5" x14ac:dyDescent="0.15">
      <c r="A1616" t="s">
        <v>5524</v>
      </c>
      <c r="B1616" s="61">
        <v>46327</v>
      </c>
      <c r="E1616" t="s">
        <v>355</v>
      </c>
      <c r="F1616" t="s">
        <v>351</v>
      </c>
      <c r="G1616" t="s">
        <v>354</v>
      </c>
      <c r="H1616" t="s">
        <v>365</v>
      </c>
      <c r="I1616">
        <v>1402866</v>
      </c>
      <c r="J1616" t="s">
        <v>974</v>
      </c>
      <c r="K1616" t="s">
        <v>975</v>
      </c>
      <c r="L1616" t="s">
        <v>466</v>
      </c>
      <c r="N1616" t="s">
        <v>7360</v>
      </c>
      <c r="O1616" t="s">
        <v>977</v>
      </c>
      <c r="S1616" s="34" t="s">
        <v>5537</v>
      </c>
    </row>
    <row r="1617" spans="1:19" ht="409.5" x14ac:dyDescent="0.15">
      <c r="A1617" t="s">
        <v>5524</v>
      </c>
      <c r="B1617" s="61">
        <v>46327</v>
      </c>
      <c r="E1617" t="s">
        <v>355</v>
      </c>
      <c r="F1617" t="s">
        <v>351</v>
      </c>
      <c r="G1617" t="s">
        <v>354</v>
      </c>
      <c r="H1617" t="s">
        <v>353</v>
      </c>
      <c r="I1617">
        <v>1400751</v>
      </c>
      <c r="J1617" t="s">
        <v>3997</v>
      </c>
      <c r="K1617" t="s">
        <v>5538</v>
      </c>
      <c r="L1617" t="s">
        <v>390</v>
      </c>
      <c r="N1617" t="s">
        <v>5539</v>
      </c>
      <c r="O1617" t="s">
        <v>5540</v>
      </c>
      <c r="R1617" t="s">
        <v>4012</v>
      </c>
      <c r="S1617" s="34" t="s">
        <v>5541</v>
      </c>
    </row>
    <row r="1618" spans="1:19" ht="405" x14ac:dyDescent="0.15">
      <c r="A1618" t="s">
        <v>5524</v>
      </c>
      <c r="B1618" s="61">
        <v>46327</v>
      </c>
      <c r="E1618" t="s">
        <v>355</v>
      </c>
      <c r="F1618" t="s">
        <v>351</v>
      </c>
      <c r="G1618" t="s">
        <v>354</v>
      </c>
      <c r="H1618" t="s">
        <v>686</v>
      </c>
      <c r="I1618">
        <v>1400845</v>
      </c>
      <c r="J1618" t="s">
        <v>971</v>
      </c>
      <c r="K1618" t="s">
        <v>972</v>
      </c>
      <c r="L1618" t="s">
        <v>373</v>
      </c>
      <c r="N1618">
        <v>2127376</v>
      </c>
      <c r="O1618" t="s">
        <v>973</v>
      </c>
      <c r="R1618" t="s">
        <v>3992</v>
      </c>
      <c r="S1618" s="34" t="s">
        <v>5542</v>
      </c>
    </row>
    <row r="1619" spans="1:19" ht="364.5" x14ac:dyDescent="0.15">
      <c r="A1619" t="s">
        <v>5524</v>
      </c>
      <c r="B1619" s="61">
        <v>46327</v>
      </c>
      <c r="E1619" t="s">
        <v>355</v>
      </c>
      <c r="F1619" t="s">
        <v>351</v>
      </c>
      <c r="G1619" t="s">
        <v>354</v>
      </c>
      <c r="H1619" t="s">
        <v>353</v>
      </c>
      <c r="I1619">
        <v>1401869</v>
      </c>
      <c r="J1619" t="s">
        <v>2129</v>
      </c>
      <c r="K1619" t="s">
        <v>5543</v>
      </c>
      <c r="L1619" t="s">
        <v>2459</v>
      </c>
      <c r="N1619" t="s">
        <v>5544</v>
      </c>
      <c r="O1619" t="s">
        <v>5545</v>
      </c>
      <c r="R1619" t="s">
        <v>4012</v>
      </c>
      <c r="S1619" s="34" t="s">
        <v>5546</v>
      </c>
    </row>
    <row r="1620" spans="1:19" ht="409.5" x14ac:dyDescent="0.15">
      <c r="A1620" t="s">
        <v>5524</v>
      </c>
      <c r="B1620" s="61">
        <v>46327</v>
      </c>
      <c r="E1620" t="s">
        <v>355</v>
      </c>
      <c r="F1620" t="s">
        <v>351</v>
      </c>
      <c r="G1620" t="s">
        <v>354</v>
      </c>
      <c r="H1620" t="s">
        <v>353</v>
      </c>
      <c r="I1620">
        <v>1402866</v>
      </c>
      <c r="J1620" t="s">
        <v>974</v>
      </c>
      <c r="K1620" t="s">
        <v>975</v>
      </c>
      <c r="L1620" t="s">
        <v>466</v>
      </c>
      <c r="N1620" t="s">
        <v>976</v>
      </c>
      <c r="O1620" t="s">
        <v>977</v>
      </c>
      <c r="R1620" t="s">
        <v>3987</v>
      </c>
      <c r="S1620" s="34" t="s">
        <v>5547</v>
      </c>
    </row>
    <row r="1621" spans="1:19" ht="351" x14ac:dyDescent="0.15">
      <c r="A1621" t="s">
        <v>5524</v>
      </c>
      <c r="B1621" s="61">
        <v>46327</v>
      </c>
      <c r="E1621" t="s">
        <v>355</v>
      </c>
      <c r="F1621" t="s">
        <v>351</v>
      </c>
      <c r="G1621" t="s">
        <v>354</v>
      </c>
      <c r="H1621" t="s">
        <v>686</v>
      </c>
      <c r="I1621">
        <v>1402866</v>
      </c>
      <c r="J1621" t="s">
        <v>974</v>
      </c>
      <c r="K1621" t="s">
        <v>975</v>
      </c>
      <c r="L1621" t="s">
        <v>466</v>
      </c>
      <c r="N1621">
        <v>2146281</v>
      </c>
      <c r="O1621" t="s">
        <v>977</v>
      </c>
      <c r="R1621" t="s">
        <v>3987</v>
      </c>
      <c r="S1621" s="34" t="s">
        <v>5548</v>
      </c>
    </row>
    <row r="1622" spans="1:19" ht="189" x14ac:dyDescent="0.15">
      <c r="A1622" t="s">
        <v>5524</v>
      </c>
      <c r="B1622" s="61">
        <v>46357</v>
      </c>
      <c r="E1622" t="s">
        <v>355</v>
      </c>
      <c r="F1622" t="s">
        <v>351</v>
      </c>
      <c r="G1622" t="s">
        <v>354</v>
      </c>
      <c r="H1622" t="s">
        <v>686</v>
      </c>
      <c r="I1622">
        <v>1401359</v>
      </c>
      <c r="J1622" t="s">
        <v>3922</v>
      </c>
      <c r="K1622" t="s">
        <v>3923</v>
      </c>
      <c r="L1622" t="s">
        <v>373</v>
      </c>
      <c r="N1622">
        <v>2167341</v>
      </c>
      <c r="O1622" t="s">
        <v>3924</v>
      </c>
      <c r="R1622" t="s">
        <v>3987</v>
      </c>
      <c r="S1622" s="34" t="s">
        <v>5549</v>
      </c>
    </row>
    <row r="1623" spans="1:19" ht="229.5" x14ac:dyDescent="0.15">
      <c r="A1623" t="s">
        <v>5524</v>
      </c>
      <c r="B1623" s="61">
        <v>46357</v>
      </c>
      <c r="E1623" t="s">
        <v>355</v>
      </c>
      <c r="F1623" t="s">
        <v>351</v>
      </c>
      <c r="G1623" t="s">
        <v>354</v>
      </c>
      <c r="H1623" t="s">
        <v>365</v>
      </c>
      <c r="I1623">
        <v>1401359</v>
      </c>
      <c r="J1623" t="s">
        <v>3922</v>
      </c>
      <c r="K1623" t="s">
        <v>3923</v>
      </c>
      <c r="L1623" t="s">
        <v>373</v>
      </c>
      <c r="N1623" t="s">
        <v>3930</v>
      </c>
      <c r="O1623" t="s">
        <v>3924</v>
      </c>
      <c r="R1623" t="s">
        <v>3987</v>
      </c>
      <c r="S1623" s="34" t="s">
        <v>5550</v>
      </c>
    </row>
    <row r="1624" spans="1:19" ht="409.5" x14ac:dyDescent="0.15">
      <c r="A1624" t="s">
        <v>5524</v>
      </c>
      <c r="B1624" s="61">
        <v>46357</v>
      </c>
      <c r="E1624" t="s">
        <v>355</v>
      </c>
      <c r="F1624" t="s">
        <v>351</v>
      </c>
      <c r="G1624" t="s">
        <v>354</v>
      </c>
      <c r="H1624" t="s">
        <v>353</v>
      </c>
      <c r="I1624">
        <v>1402786</v>
      </c>
      <c r="J1624" t="s">
        <v>2184</v>
      </c>
      <c r="K1624" t="s">
        <v>4774</v>
      </c>
      <c r="L1624" t="s">
        <v>4775</v>
      </c>
      <c r="N1624" t="s">
        <v>4776</v>
      </c>
      <c r="O1624" t="s">
        <v>4777</v>
      </c>
      <c r="S1624" s="34" t="s">
        <v>5551</v>
      </c>
    </row>
    <row r="1625" spans="1:19" ht="351" x14ac:dyDescent="0.15">
      <c r="A1625" t="s">
        <v>685</v>
      </c>
      <c r="B1625" s="61">
        <v>46235</v>
      </c>
      <c r="E1625" t="s">
        <v>355</v>
      </c>
      <c r="F1625" t="s">
        <v>351</v>
      </c>
      <c r="G1625" t="s">
        <v>354</v>
      </c>
      <c r="H1625" t="s">
        <v>353</v>
      </c>
      <c r="I1625">
        <v>2100169</v>
      </c>
      <c r="J1625" t="s">
        <v>5552</v>
      </c>
      <c r="L1625" t="s">
        <v>413</v>
      </c>
      <c r="N1625" t="s">
        <v>5553</v>
      </c>
      <c r="O1625" t="s">
        <v>5554</v>
      </c>
      <c r="R1625" t="s">
        <v>3987</v>
      </c>
      <c r="S1625" s="34" t="s">
        <v>5555</v>
      </c>
    </row>
    <row r="1626" spans="1:19" ht="229.5" x14ac:dyDescent="0.15">
      <c r="A1626" t="s">
        <v>685</v>
      </c>
      <c r="B1626" s="61">
        <v>46235</v>
      </c>
      <c r="E1626" t="s">
        <v>355</v>
      </c>
      <c r="F1626" t="s">
        <v>351</v>
      </c>
      <c r="G1626" t="s">
        <v>352</v>
      </c>
      <c r="H1626" t="s">
        <v>353</v>
      </c>
      <c r="I1626">
        <v>2100206</v>
      </c>
      <c r="J1626" t="s">
        <v>5557</v>
      </c>
      <c r="K1626" t="s">
        <v>5558</v>
      </c>
      <c r="L1626" t="s">
        <v>5559</v>
      </c>
      <c r="N1626" t="s">
        <v>5560</v>
      </c>
      <c r="O1626" t="s">
        <v>5561</v>
      </c>
      <c r="R1626" t="s">
        <v>3985</v>
      </c>
      <c r="S1626" s="34" t="s">
        <v>5562</v>
      </c>
    </row>
    <row r="1627" spans="1:19" ht="337.5" x14ac:dyDescent="0.15">
      <c r="A1627" t="s">
        <v>685</v>
      </c>
      <c r="B1627" s="61">
        <v>46235</v>
      </c>
      <c r="E1627" t="s">
        <v>355</v>
      </c>
      <c r="F1627" t="s">
        <v>351</v>
      </c>
      <c r="G1627" t="s">
        <v>354</v>
      </c>
      <c r="H1627" t="s">
        <v>353</v>
      </c>
      <c r="I1627">
        <v>2100414</v>
      </c>
      <c r="J1627" t="s">
        <v>757</v>
      </c>
      <c r="K1627" t="s">
        <v>758</v>
      </c>
      <c r="L1627" t="s">
        <v>759</v>
      </c>
      <c r="N1627" t="s">
        <v>5563</v>
      </c>
      <c r="O1627" t="s">
        <v>761</v>
      </c>
      <c r="R1627" t="s">
        <v>3986</v>
      </c>
      <c r="S1627" s="34" t="s">
        <v>5564</v>
      </c>
    </row>
    <row r="1628" spans="1:19" ht="243" x14ac:dyDescent="0.15">
      <c r="A1628" t="s">
        <v>685</v>
      </c>
      <c r="B1628" s="61">
        <v>46235</v>
      </c>
      <c r="E1628" t="s">
        <v>355</v>
      </c>
      <c r="F1628" t="s">
        <v>351</v>
      </c>
      <c r="G1628" t="s">
        <v>354</v>
      </c>
      <c r="H1628" t="s">
        <v>365</v>
      </c>
      <c r="I1628">
        <v>2100800</v>
      </c>
      <c r="J1628" t="s">
        <v>696</v>
      </c>
      <c r="K1628" t="s">
        <v>697</v>
      </c>
      <c r="L1628" t="s">
        <v>698</v>
      </c>
      <c r="N1628" t="s">
        <v>699</v>
      </c>
      <c r="O1628" t="s">
        <v>700</v>
      </c>
      <c r="R1628" t="s">
        <v>3986</v>
      </c>
      <c r="S1628" s="34" t="s">
        <v>5565</v>
      </c>
    </row>
    <row r="1629" spans="1:19" ht="229.5" x14ac:dyDescent="0.15">
      <c r="A1629" t="s">
        <v>685</v>
      </c>
      <c r="B1629" s="61">
        <v>46235</v>
      </c>
      <c r="E1629" t="s">
        <v>355</v>
      </c>
      <c r="F1629" t="s">
        <v>351</v>
      </c>
      <c r="G1629" t="s">
        <v>352</v>
      </c>
      <c r="H1629" t="s">
        <v>353</v>
      </c>
      <c r="I1629">
        <v>2100802</v>
      </c>
      <c r="J1629" t="s">
        <v>747</v>
      </c>
      <c r="L1629" t="s">
        <v>748</v>
      </c>
      <c r="N1629" t="s">
        <v>749</v>
      </c>
      <c r="O1629" t="s">
        <v>750</v>
      </c>
      <c r="R1629" t="s">
        <v>3985</v>
      </c>
      <c r="S1629" s="34" t="s">
        <v>5566</v>
      </c>
    </row>
    <row r="1630" spans="1:19" ht="229.5" x14ac:dyDescent="0.15">
      <c r="A1630" t="s">
        <v>685</v>
      </c>
      <c r="B1630" s="61">
        <v>46266</v>
      </c>
      <c r="E1630" t="s">
        <v>355</v>
      </c>
      <c r="F1630" t="s">
        <v>351</v>
      </c>
      <c r="G1630" t="s">
        <v>354</v>
      </c>
      <c r="H1630" t="s">
        <v>365</v>
      </c>
      <c r="I1630">
        <v>2101060</v>
      </c>
      <c r="J1630" t="s">
        <v>5567</v>
      </c>
      <c r="K1630" t="s">
        <v>5568</v>
      </c>
      <c r="L1630" t="s">
        <v>5569</v>
      </c>
      <c r="N1630" t="s">
        <v>5570</v>
      </c>
      <c r="O1630" t="s">
        <v>5571</v>
      </c>
      <c r="R1630" t="s">
        <v>3992</v>
      </c>
      <c r="S1630" s="34" t="s">
        <v>5572</v>
      </c>
    </row>
    <row r="1631" spans="1:19" ht="229.5" x14ac:dyDescent="0.15">
      <c r="A1631" t="s">
        <v>685</v>
      </c>
      <c r="B1631" s="61">
        <v>46296</v>
      </c>
      <c r="E1631" t="s">
        <v>355</v>
      </c>
      <c r="F1631" t="s">
        <v>351</v>
      </c>
      <c r="G1631" t="s">
        <v>352</v>
      </c>
      <c r="H1631" t="s">
        <v>365</v>
      </c>
      <c r="I1631">
        <v>2100771</v>
      </c>
      <c r="J1631" t="s">
        <v>5573</v>
      </c>
      <c r="L1631" t="s">
        <v>698</v>
      </c>
      <c r="N1631" t="s">
        <v>5574</v>
      </c>
      <c r="O1631" t="s">
        <v>5575</v>
      </c>
      <c r="R1631" t="s">
        <v>3985</v>
      </c>
      <c r="S1631" s="34" t="s">
        <v>5576</v>
      </c>
    </row>
    <row r="1632" spans="1:19" ht="409.5" x14ac:dyDescent="0.15">
      <c r="A1632" t="s">
        <v>685</v>
      </c>
      <c r="B1632" s="61">
        <v>46296</v>
      </c>
      <c r="E1632" t="s">
        <v>355</v>
      </c>
      <c r="F1632" t="s">
        <v>351</v>
      </c>
      <c r="G1632" t="s">
        <v>354</v>
      </c>
      <c r="H1632" t="s">
        <v>365</v>
      </c>
      <c r="I1632">
        <v>2100945</v>
      </c>
      <c r="J1632" t="s">
        <v>5577</v>
      </c>
      <c r="K1632" t="s">
        <v>5578</v>
      </c>
      <c r="L1632" t="s">
        <v>854</v>
      </c>
      <c r="N1632" t="s">
        <v>5579</v>
      </c>
      <c r="O1632" t="s">
        <v>5580</v>
      </c>
      <c r="R1632" t="s">
        <v>3987</v>
      </c>
      <c r="S1632" s="34" t="s">
        <v>5581</v>
      </c>
    </row>
    <row r="1633" spans="1:19" ht="229.5" x14ac:dyDescent="0.15">
      <c r="A1633" t="s">
        <v>685</v>
      </c>
      <c r="B1633" s="61">
        <v>46296</v>
      </c>
      <c r="E1633" t="s">
        <v>355</v>
      </c>
      <c r="F1633" t="s">
        <v>351</v>
      </c>
      <c r="G1633" t="s">
        <v>354</v>
      </c>
      <c r="H1633" t="s">
        <v>365</v>
      </c>
      <c r="I1633">
        <v>2101079</v>
      </c>
      <c r="J1633" t="s">
        <v>696</v>
      </c>
      <c r="K1633" t="s">
        <v>763</v>
      </c>
      <c r="L1633" t="s">
        <v>764</v>
      </c>
      <c r="N1633" t="s">
        <v>765</v>
      </c>
      <c r="O1633" t="s">
        <v>766</v>
      </c>
      <c r="R1633" t="s">
        <v>3987</v>
      </c>
      <c r="S1633" s="34" t="s">
        <v>5584</v>
      </c>
    </row>
    <row r="1634" spans="1:19" ht="409.5" x14ac:dyDescent="0.15">
      <c r="A1634" t="s">
        <v>685</v>
      </c>
      <c r="B1634" s="61">
        <v>46327</v>
      </c>
      <c r="E1634" t="s">
        <v>355</v>
      </c>
      <c r="F1634" t="s">
        <v>351</v>
      </c>
      <c r="G1634" t="s">
        <v>354</v>
      </c>
      <c r="H1634" t="s">
        <v>353</v>
      </c>
      <c r="I1634">
        <v>2100354</v>
      </c>
      <c r="J1634" t="s">
        <v>743</v>
      </c>
      <c r="K1634" t="s">
        <v>744</v>
      </c>
      <c r="L1634" t="s">
        <v>466</v>
      </c>
      <c r="N1634" t="s">
        <v>5585</v>
      </c>
      <c r="O1634" t="s">
        <v>746</v>
      </c>
      <c r="R1634" t="s">
        <v>3986</v>
      </c>
      <c r="S1634" s="34" t="s">
        <v>5586</v>
      </c>
    </row>
    <row r="1635" spans="1:19" ht="409.5" x14ac:dyDescent="0.15">
      <c r="A1635" t="s">
        <v>685</v>
      </c>
      <c r="B1635" s="61">
        <v>46327</v>
      </c>
      <c r="E1635" t="s">
        <v>355</v>
      </c>
      <c r="F1635" t="s">
        <v>351</v>
      </c>
      <c r="G1635" t="s">
        <v>354</v>
      </c>
      <c r="H1635" t="s">
        <v>686</v>
      </c>
      <c r="I1635">
        <v>2100354</v>
      </c>
      <c r="J1635" t="s">
        <v>743</v>
      </c>
      <c r="K1635" t="s">
        <v>744</v>
      </c>
      <c r="L1635" t="s">
        <v>466</v>
      </c>
      <c r="N1635" t="s">
        <v>5587</v>
      </c>
      <c r="O1635" t="s">
        <v>746</v>
      </c>
      <c r="R1635" t="s">
        <v>3986</v>
      </c>
      <c r="S1635" s="34" t="s">
        <v>5588</v>
      </c>
    </row>
    <row r="1636" spans="1:19" ht="216" x14ac:dyDescent="0.15">
      <c r="A1636" t="s">
        <v>685</v>
      </c>
      <c r="B1636" s="61">
        <v>46327</v>
      </c>
      <c r="E1636" t="s">
        <v>355</v>
      </c>
      <c r="F1636" t="s">
        <v>351</v>
      </c>
      <c r="G1636" t="s">
        <v>354</v>
      </c>
      <c r="H1636" t="s">
        <v>353</v>
      </c>
      <c r="I1636">
        <v>2100960</v>
      </c>
      <c r="J1636" t="s">
        <v>702</v>
      </c>
      <c r="K1636" t="s">
        <v>703</v>
      </c>
      <c r="L1636" t="s">
        <v>704</v>
      </c>
      <c r="N1636" t="s">
        <v>705</v>
      </c>
      <c r="O1636" t="s">
        <v>706</v>
      </c>
      <c r="R1636" t="s">
        <v>3987</v>
      </c>
      <c r="S1636" s="34" t="s">
        <v>5589</v>
      </c>
    </row>
    <row r="1637" spans="1:19" ht="337.5" x14ac:dyDescent="0.15">
      <c r="A1637" t="s">
        <v>685</v>
      </c>
      <c r="B1637" s="61">
        <v>46327</v>
      </c>
      <c r="E1637" t="s">
        <v>355</v>
      </c>
      <c r="F1637" t="s">
        <v>351</v>
      </c>
      <c r="G1637" t="s">
        <v>354</v>
      </c>
      <c r="H1637" t="s">
        <v>353</v>
      </c>
      <c r="I1637">
        <v>2101095</v>
      </c>
      <c r="J1637" t="s">
        <v>687</v>
      </c>
      <c r="K1637" t="s">
        <v>688</v>
      </c>
      <c r="L1637" t="s">
        <v>689</v>
      </c>
      <c r="N1637" t="s">
        <v>7361</v>
      </c>
      <c r="O1637" t="s">
        <v>690</v>
      </c>
      <c r="S1637" s="34" t="s">
        <v>5590</v>
      </c>
    </row>
    <row r="1638" spans="1:19" ht="409.5" x14ac:dyDescent="0.15">
      <c r="A1638" t="s">
        <v>685</v>
      </c>
      <c r="B1638" s="61">
        <v>46357</v>
      </c>
      <c r="E1638" t="s">
        <v>355</v>
      </c>
      <c r="F1638" t="s">
        <v>351</v>
      </c>
      <c r="G1638" t="s">
        <v>354</v>
      </c>
      <c r="H1638" t="s">
        <v>309</v>
      </c>
      <c r="I1638">
        <v>2100013</v>
      </c>
      <c r="J1638" t="s">
        <v>5591</v>
      </c>
      <c r="K1638" t="s">
        <v>1251</v>
      </c>
      <c r="L1638" t="s">
        <v>413</v>
      </c>
      <c r="N1638" t="s">
        <v>7362</v>
      </c>
      <c r="O1638" t="s">
        <v>5592</v>
      </c>
      <c r="S1638" s="34" t="s">
        <v>5593</v>
      </c>
    </row>
    <row r="1639" spans="1:19" ht="243" x14ac:dyDescent="0.15">
      <c r="A1639" t="s">
        <v>685</v>
      </c>
      <c r="B1639" s="61">
        <v>46357</v>
      </c>
      <c r="E1639" t="s">
        <v>355</v>
      </c>
      <c r="F1639" t="s">
        <v>351</v>
      </c>
      <c r="G1639" t="s">
        <v>354</v>
      </c>
      <c r="H1639" t="s">
        <v>365</v>
      </c>
      <c r="I1639">
        <v>2100020</v>
      </c>
      <c r="J1639" t="s">
        <v>735</v>
      </c>
      <c r="L1639" t="s">
        <v>736</v>
      </c>
      <c r="N1639" t="s">
        <v>737</v>
      </c>
      <c r="O1639" t="s">
        <v>738</v>
      </c>
      <c r="R1639" t="s">
        <v>3986</v>
      </c>
      <c r="S1639" s="34" t="s">
        <v>5594</v>
      </c>
    </row>
    <row r="1640" spans="1:19" ht="409.5" x14ac:dyDescent="0.15">
      <c r="A1640" t="s">
        <v>685</v>
      </c>
      <c r="B1640" s="61">
        <v>46357</v>
      </c>
      <c r="E1640" t="s">
        <v>355</v>
      </c>
      <c r="F1640" t="s">
        <v>351</v>
      </c>
      <c r="G1640" t="s">
        <v>354</v>
      </c>
      <c r="H1640" t="s">
        <v>310</v>
      </c>
      <c r="I1640">
        <v>2100627</v>
      </c>
      <c r="J1640" t="s">
        <v>751</v>
      </c>
      <c r="K1640" t="s">
        <v>752</v>
      </c>
      <c r="L1640" t="s">
        <v>698</v>
      </c>
      <c r="N1640" t="s">
        <v>753</v>
      </c>
      <c r="O1640" t="s">
        <v>754</v>
      </c>
      <c r="R1640" t="s">
        <v>3987</v>
      </c>
      <c r="S1640" s="34" t="s">
        <v>5595</v>
      </c>
    </row>
    <row r="1641" spans="1:19" ht="409.5" x14ac:dyDescent="0.15">
      <c r="A1641" t="s">
        <v>769</v>
      </c>
      <c r="B1641" s="61">
        <v>46266</v>
      </c>
      <c r="E1641" t="s">
        <v>355</v>
      </c>
      <c r="F1641" t="s">
        <v>351</v>
      </c>
      <c r="G1641" t="s">
        <v>352</v>
      </c>
      <c r="H1641" t="s">
        <v>353</v>
      </c>
      <c r="I1641">
        <v>1100039</v>
      </c>
      <c r="J1641" t="s">
        <v>780</v>
      </c>
      <c r="K1641" t="s">
        <v>781</v>
      </c>
      <c r="L1641" t="s">
        <v>5596</v>
      </c>
      <c r="N1641" t="s">
        <v>782</v>
      </c>
      <c r="O1641" t="s">
        <v>783</v>
      </c>
      <c r="R1641" t="s">
        <v>3985</v>
      </c>
      <c r="S1641" s="34" t="s">
        <v>5597</v>
      </c>
    </row>
    <row r="1642" spans="1:19" ht="409.5" x14ac:dyDescent="0.15">
      <c r="A1642" t="s">
        <v>769</v>
      </c>
      <c r="B1642" s="61">
        <v>46266</v>
      </c>
      <c r="E1642" t="s">
        <v>355</v>
      </c>
      <c r="F1642" t="s">
        <v>351</v>
      </c>
      <c r="G1642" t="s">
        <v>354</v>
      </c>
      <c r="H1642" t="s">
        <v>686</v>
      </c>
      <c r="I1642">
        <v>1102043</v>
      </c>
      <c r="J1642" t="s">
        <v>3994</v>
      </c>
      <c r="K1642" t="s">
        <v>5598</v>
      </c>
      <c r="L1642" t="s">
        <v>390</v>
      </c>
      <c r="N1642" t="s">
        <v>5599</v>
      </c>
      <c r="O1642" t="s">
        <v>5600</v>
      </c>
      <c r="S1642" s="34" t="s">
        <v>5601</v>
      </c>
    </row>
    <row r="1643" spans="1:19" ht="378" x14ac:dyDescent="0.15">
      <c r="A1643" t="s">
        <v>769</v>
      </c>
      <c r="B1643" s="61">
        <v>46296</v>
      </c>
      <c r="E1643" t="s">
        <v>355</v>
      </c>
      <c r="F1643" t="s">
        <v>351</v>
      </c>
      <c r="G1643" t="s">
        <v>354</v>
      </c>
      <c r="H1643" t="s">
        <v>365</v>
      </c>
      <c r="I1643">
        <v>1102486</v>
      </c>
      <c r="J1643" t="s">
        <v>790</v>
      </c>
      <c r="K1643" t="s">
        <v>776</v>
      </c>
      <c r="L1643" t="s">
        <v>791</v>
      </c>
      <c r="N1643" t="s">
        <v>792</v>
      </c>
      <c r="O1643" t="s">
        <v>793</v>
      </c>
      <c r="R1643" t="s">
        <v>3987</v>
      </c>
      <c r="S1643" s="34" t="s">
        <v>5602</v>
      </c>
    </row>
    <row r="1644" spans="1:19" ht="364.5" x14ac:dyDescent="0.15">
      <c r="A1644" t="s">
        <v>800</v>
      </c>
      <c r="B1644" s="61">
        <v>46235</v>
      </c>
      <c r="E1644" t="s">
        <v>355</v>
      </c>
      <c r="F1644" t="s">
        <v>351</v>
      </c>
      <c r="G1644" t="s">
        <v>354</v>
      </c>
      <c r="H1644" t="s">
        <v>365</v>
      </c>
      <c r="I1644">
        <v>4500043</v>
      </c>
      <c r="J1644" t="s">
        <v>807</v>
      </c>
      <c r="K1644" t="s">
        <v>808</v>
      </c>
      <c r="L1644" t="s">
        <v>809</v>
      </c>
      <c r="N1644" t="s">
        <v>5604</v>
      </c>
      <c r="O1644" t="s">
        <v>811</v>
      </c>
      <c r="S1644" s="34" t="s">
        <v>5605</v>
      </c>
    </row>
    <row r="1645" spans="1:19" ht="216" x14ac:dyDescent="0.15">
      <c r="A1645" t="s">
        <v>800</v>
      </c>
      <c r="B1645" s="61">
        <v>46235</v>
      </c>
      <c r="E1645" t="s">
        <v>355</v>
      </c>
      <c r="F1645" t="s">
        <v>351</v>
      </c>
      <c r="G1645" t="s">
        <v>354</v>
      </c>
      <c r="H1645" t="s">
        <v>353</v>
      </c>
      <c r="I1645">
        <v>4500043</v>
      </c>
      <c r="J1645" t="s">
        <v>807</v>
      </c>
      <c r="K1645" t="s">
        <v>808</v>
      </c>
      <c r="L1645" t="s">
        <v>809</v>
      </c>
      <c r="N1645" t="s">
        <v>810</v>
      </c>
      <c r="O1645" t="s">
        <v>811</v>
      </c>
      <c r="S1645" s="34" t="s">
        <v>5606</v>
      </c>
    </row>
    <row r="1646" spans="1:19" ht="409.5" x14ac:dyDescent="0.15">
      <c r="A1646" t="s">
        <v>800</v>
      </c>
      <c r="B1646" s="61">
        <v>46235</v>
      </c>
      <c r="E1646" t="s">
        <v>355</v>
      </c>
      <c r="F1646" t="s">
        <v>351</v>
      </c>
      <c r="G1646" t="s">
        <v>352</v>
      </c>
      <c r="H1646" t="s">
        <v>365</v>
      </c>
      <c r="I1646">
        <v>4500120</v>
      </c>
      <c r="J1646" t="s">
        <v>5607</v>
      </c>
      <c r="L1646" t="s">
        <v>2778</v>
      </c>
      <c r="N1646" t="s">
        <v>5608</v>
      </c>
      <c r="O1646" t="s">
        <v>5609</v>
      </c>
      <c r="R1646" t="s">
        <v>3985</v>
      </c>
      <c r="S1646" s="34" t="s">
        <v>5610</v>
      </c>
    </row>
    <row r="1647" spans="1:19" ht="409.5" x14ac:dyDescent="0.15">
      <c r="A1647" t="s">
        <v>800</v>
      </c>
      <c r="B1647" s="61">
        <v>46357</v>
      </c>
      <c r="E1647" t="s">
        <v>355</v>
      </c>
      <c r="F1647" t="s">
        <v>351</v>
      </c>
      <c r="G1647" t="s">
        <v>354</v>
      </c>
      <c r="H1647" t="s">
        <v>686</v>
      </c>
      <c r="I1647">
        <v>4500152</v>
      </c>
      <c r="J1647" t="s">
        <v>4503</v>
      </c>
      <c r="L1647" t="s">
        <v>4504</v>
      </c>
      <c r="N1647">
        <v>2162830</v>
      </c>
      <c r="O1647" t="s">
        <v>4505</v>
      </c>
      <c r="S1647" s="34" t="s">
        <v>5611</v>
      </c>
    </row>
    <row r="1648" spans="1:19" ht="378" x14ac:dyDescent="0.15">
      <c r="A1648" t="s">
        <v>5612</v>
      </c>
      <c r="B1648" s="61">
        <v>46235</v>
      </c>
      <c r="E1648" t="s">
        <v>355</v>
      </c>
      <c r="F1648" t="s">
        <v>351</v>
      </c>
      <c r="G1648" t="s">
        <v>352</v>
      </c>
      <c r="H1648" t="s">
        <v>365</v>
      </c>
      <c r="I1648">
        <v>1100171</v>
      </c>
      <c r="J1648" t="s">
        <v>5613</v>
      </c>
      <c r="K1648" t="s">
        <v>5614</v>
      </c>
      <c r="L1648" t="s">
        <v>413</v>
      </c>
      <c r="N1648" t="s">
        <v>5615</v>
      </c>
      <c r="O1648" t="s">
        <v>5616</v>
      </c>
      <c r="R1648" t="s">
        <v>3985</v>
      </c>
      <c r="S1648" s="34" t="s">
        <v>5617</v>
      </c>
    </row>
    <row r="1649" spans="1:19" ht="216" x14ac:dyDescent="0.15">
      <c r="A1649" t="s">
        <v>5612</v>
      </c>
      <c r="B1649" s="61">
        <v>46235</v>
      </c>
      <c r="E1649" t="s">
        <v>355</v>
      </c>
      <c r="F1649" t="s">
        <v>351</v>
      </c>
      <c r="G1649" t="s">
        <v>352</v>
      </c>
      <c r="H1649" t="s">
        <v>353</v>
      </c>
      <c r="I1649">
        <v>1101330</v>
      </c>
      <c r="J1649" t="s">
        <v>3546</v>
      </c>
      <c r="K1649" t="s">
        <v>3547</v>
      </c>
      <c r="L1649" t="s">
        <v>698</v>
      </c>
      <c r="N1649" t="s">
        <v>3548</v>
      </c>
      <c r="O1649" t="s">
        <v>3549</v>
      </c>
      <c r="R1649" t="s">
        <v>3985</v>
      </c>
      <c r="S1649" s="34" t="s">
        <v>5618</v>
      </c>
    </row>
    <row r="1650" spans="1:19" ht="409.5" x14ac:dyDescent="0.15">
      <c r="A1650" t="s">
        <v>5612</v>
      </c>
      <c r="B1650" s="61">
        <v>46235</v>
      </c>
      <c r="E1650" t="s">
        <v>355</v>
      </c>
      <c r="F1650" t="s">
        <v>351</v>
      </c>
      <c r="G1650" t="s">
        <v>354</v>
      </c>
      <c r="H1650" t="s">
        <v>353</v>
      </c>
      <c r="I1650">
        <v>1102439</v>
      </c>
      <c r="J1650" t="s">
        <v>2407</v>
      </c>
      <c r="K1650" t="s">
        <v>5619</v>
      </c>
      <c r="L1650" t="s">
        <v>5620</v>
      </c>
      <c r="N1650" t="s">
        <v>5621</v>
      </c>
      <c r="O1650" t="s">
        <v>5622</v>
      </c>
      <c r="S1650" s="34" t="s">
        <v>5623</v>
      </c>
    </row>
    <row r="1651" spans="1:19" ht="409.5" x14ac:dyDescent="0.15">
      <c r="A1651" t="s">
        <v>5612</v>
      </c>
      <c r="B1651" s="61">
        <v>46266</v>
      </c>
      <c r="E1651" t="s">
        <v>355</v>
      </c>
      <c r="F1651" t="s">
        <v>351</v>
      </c>
      <c r="G1651" t="s">
        <v>354</v>
      </c>
      <c r="H1651" t="s">
        <v>353</v>
      </c>
      <c r="I1651">
        <v>1001036</v>
      </c>
      <c r="J1651" t="s">
        <v>743</v>
      </c>
      <c r="K1651" t="s">
        <v>3541</v>
      </c>
      <c r="L1651" t="s">
        <v>4067</v>
      </c>
      <c r="N1651" t="s">
        <v>5624</v>
      </c>
      <c r="O1651" t="s">
        <v>4069</v>
      </c>
      <c r="S1651" s="34" t="s">
        <v>5625</v>
      </c>
    </row>
    <row r="1652" spans="1:19" ht="409.5" x14ac:dyDescent="0.15">
      <c r="A1652" t="s">
        <v>5612</v>
      </c>
      <c r="B1652" s="61">
        <v>46266</v>
      </c>
      <c r="E1652" t="s">
        <v>355</v>
      </c>
      <c r="F1652" t="s">
        <v>351</v>
      </c>
      <c r="G1652" t="s">
        <v>354</v>
      </c>
      <c r="H1652" t="s">
        <v>353</v>
      </c>
      <c r="I1652">
        <v>1101347</v>
      </c>
      <c r="J1652" t="s">
        <v>2407</v>
      </c>
      <c r="L1652" t="s">
        <v>5626</v>
      </c>
      <c r="N1652" t="s">
        <v>5627</v>
      </c>
      <c r="O1652" t="s">
        <v>5628</v>
      </c>
      <c r="S1652" s="34" t="s">
        <v>5629</v>
      </c>
    </row>
    <row r="1653" spans="1:19" ht="409.5" x14ac:dyDescent="0.15">
      <c r="A1653" t="s">
        <v>5612</v>
      </c>
      <c r="B1653" s="61">
        <v>46296</v>
      </c>
      <c r="E1653" t="s">
        <v>355</v>
      </c>
      <c r="F1653" t="s">
        <v>351</v>
      </c>
      <c r="G1653" t="s">
        <v>354</v>
      </c>
      <c r="H1653" t="s">
        <v>365</v>
      </c>
      <c r="I1653">
        <v>1001025</v>
      </c>
      <c r="J1653" t="s">
        <v>890</v>
      </c>
      <c r="K1653" t="s">
        <v>891</v>
      </c>
      <c r="L1653" t="s">
        <v>892</v>
      </c>
      <c r="N1653" t="s">
        <v>893</v>
      </c>
      <c r="O1653" t="s">
        <v>894</v>
      </c>
      <c r="R1653" t="s">
        <v>3987</v>
      </c>
      <c r="S1653" s="34" t="s">
        <v>5630</v>
      </c>
    </row>
    <row r="1654" spans="1:19" ht="202.5" x14ac:dyDescent="0.15">
      <c r="A1654" t="s">
        <v>5612</v>
      </c>
      <c r="B1654" s="61">
        <v>46296</v>
      </c>
      <c r="E1654" t="s">
        <v>355</v>
      </c>
      <c r="F1654" t="s">
        <v>351</v>
      </c>
      <c r="G1654" t="s">
        <v>354</v>
      </c>
      <c r="H1654" t="s">
        <v>353</v>
      </c>
      <c r="I1654">
        <v>1100579</v>
      </c>
      <c r="J1654" t="s">
        <v>3558</v>
      </c>
      <c r="K1654" t="s">
        <v>3559</v>
      </c>
      <c r="L1654" t="s">
        <v>1394</v>
      </c>
      <c r="N1654" t="s">
        <v>5631</v>
      </c>
      <c r="O1654" t="s">
        <v>3561</v>
      </c>
      <c r="R1654" t="s">
        <v>3987</v>
      </c>
      <c r="S1654" s="34" t="s">
        <v>5632</v>
      </c>
    </row>
    <row r="1655" spans="1:19" ht="229.5" x14ac:dyDescent="0.15">
      <c r="A1655" t="s">
        <v>5612</v>
      </c>
      <c r="B1655" s="61">
        <v>46296</v>
      </c>
      <c r="E1655" t="s">
        <v>355</v>
      </c>
      <c r="F1655" t="s">
        <v>351</v>
      </c>
      <c r="G1655" t="s">
        <v>354</v>
      </c>
      <c r="H1655" t="s">
        <v>365</v>
      </c>
      <c r="I1655">
        <v>1100579</v>
      </c>
      <c r="J1655" t="s">
        <v>3558</v>
      </c>
      <c r="K1655" t="s">
        <v>3559</v>
      </c>
      <c r="L1655" t="s">
        <v>1394</v>
      </c>
      <c r="N1655" t="s">
        <v>3560</v>
      </c>
      <c r="O1655" t="s">
        <v>3561</v>
      </c>
      <c r="R1655" t="s">
        <v>3987</v>
      </c>
      <c r="S1655" s="34" t="s">
        <v>5633</v>
      </c>
    </row>
    <row r="1656" spans="1:19" ht="409.5" x14ac:dyDescent="0.15">
      <c r="A1656" t="s">
        <v>5612</v>
      </c>
      <c r="B1656" s="61">
        <v>46296</v>
      </c>
      <c r="E1656" t="s">
        <v>355</v>
      </c>
      <c r="F1656" t="s">
        <v>351</v>
      </c>
      <c r="G1656" t="s">
        <v>354</v>
      </c>
      <c r="H1656" t="s">
        <v>353</v>
      </c>
      <c r="I1656">
        <v>1100699</v>
      </c>
      <c r="J1656" t="s">
        <v>4136</v>
      </c>
      <c r="L1656" t="s">
        <v>4137</v>
      </c>
      <c r="N1656" t="s">
        <v>4209</v>
      </c>
      <c r="O1656" t="s">
        <v>4138</v>
      </c>
      <c r="R1656" t="s">
        <v>3992</v>
      </c>
      <c r="S1656" s="34" t="s">
        <v>5634</v>
      </c>
    </row>
    <row r="1657" spans="1:19" ht="175.5" x14ac:dyDescent="0.15">
      <c r="A1657" t="s">
        <v>5612</v>
      </c>
      <c r="B1657" s="61">
        <v>46296</v>
      </c>
      <c r="E1657" t="s">
        <v>355</v>
      </c>
      <c r="F1657" t="s">
        <v>351</v>
      </c>
      <c r="G1657" t="s">
        <v>354</v>
      </c>
      <c r="H1657" t="s">
        <v>686</v>
      </c>
      <c r="I1657">
        <v>1100699</v>
      </c>
      <c r="J1657" t="s">
        <v>4136</v>
      </c>
      <c r="L1657" t="s">
        <v>4137</v>
      </c>
      <c r="N1657">
        <v>2172716</v>
      </c>
      <c r="O1657" t="s">
        <v>4138</v>
      </c>
      <c r="R1657" t="s">
        <v>3992</v>
      </c>
      <c r="S1657" s="34" t="s">
        <v>5635</v>
      </c>
    </row>
    <row r="1658" spans="1:19" ht="409.5" x14ac:dyDescent="0.15">
      <c r="A1658" t="s">
        <v>5612</v>
      </c>
      <c r="B1658" s="61">
        <v>46296</v>
      </c>
      <c r="E1658" t="s">
        <v>355</v>
      </c>
      <c r="F1658" t="s">
        <v>351</v>
      </c>
      <c r="G1658" t="s">
        <v>354</v>
      </c>
      <c r="H1658" t="s">
        <v>309</v>
      </c>
      <c r="I1658">
        <v>1100699</v>
      </c>
      <c r="J1658" t="s">
        <v>4136</v>
      </c>
      <c r="L1658" t="s">
        <v>4137</v>
      </c>
      <c r="N1658" t="s">
        <v>5636</v>
      </c>
      <c r="O1658" t="s">
        <v>4138</v>
      </c>
      <c r="R1658" t="s">
        <v>3992</v>
      </c>
      <c r="S1658" s="34" t="s">
        <v>5637</v>
      </c>
    </row>
    <row r="1659" spans="1:19" ht="351" x14ac:dyDescent="0.15">
      <c r="A1659" t="s">
        <v>5612</v>
      </c>
      <c r="B1659" s="61">
        <v>46296</v>
      </c>
      <c r="E1659" t="s">
        <v>355</v>
      </c>
      <c r="F1659" t="s">
        <v>351</v>
      </c>
      <c r="G1659" t="s">
        <v>352</v>
      </c>
      <c r="H1659" t="s">
        <v>353</v>
      </c>
      <c r="I1659">
        <v>1102170</v>
      </c>
      <c r="J1659" t="s">
        <v>974</v>
      </c>
      <c r="K1659" t="s">
        <v>5638</v>
      </c>
      <c r="L1659" t="s">
        <v>3195</v>
      </c>
      <c r="N1659" t="s">
        <v>5639</v>
      </c>
      <c r="O1659" t="s">
        <v>5640</v>
      </c>
      <c r="R1659" t="s">
        <v>3985</v>
      </c>
      <c r="S1659" s="34" t="s">
        <v>5641</v>
      </c>
    </row>
    <row r="1660" spans="1:19" ht="378" x14ac:dyDescent="0.15">
      <c r="A1660" t="s">
        <v>5612</v>
      </c>
      <c r="B1660" s="61">
        <v>46327</v>
      </c>
      <c r="E1660" t="s">
        <v>355</v>
      </c>
      <c r="F1660" t="s">
        <v>351</v>
      </c>
      <c r="G1660" t="s">
        <v>354</v>
      </c>
      <c r="H1660" t="s">
        <v>365</v>
      </c>
      <c r="I1660">
        <v>1000196</v>
      </c>
      <c r="J1660" t="s">
        <v>3535</v>
      </c>
      <c r="K1660" t="s">
        <v>1251</v>
      </c>
      <c r="L1660" t="s">
        <v>3536</v>
      </c>
      <c r="N1660" t="s">
        <v>4868</v>
      </c>
      <c r="O1660" t="s">
        <v>3537</v>
      </c>
      <c r="S1660" s="34" t="s">
        <v>5642</v>
      </c>
    </row>
    <row r="1661" spans="1:19" ht="409.5" x14ac:dyDescent="0.15">
      <c r="A1661" t="s">
        <v>5612</v>
      </c>
      <c r="B1661" s="61">
        <v>46327</v>
      </c>
      <c r="E1661" t="s">
        <v>355</v>
      </c>
      <c r="F1661" t="s">
        <v>351</v>
      </c>
      <c r="G1661" t="s">
        <v>352</v>
      </c>
      <c r="H1661" t="s">
        <v>353</v>
      </c>
      <c r="I1661">
        <v>1000624</v>
      </c>
      <c r="J1661" t="s">
        <v>4118</v>
      </c>
      <c r="K1661" t="s">
        <v>4119</v>
      </c>
      <c r="L1661" t="s">
        <v>1064</v>
      </c>
      <c r="N1661" t="s">
        <v>5643</v>
      </c>
      <c r="O1661" t="s">
        <v>4121</v>
      </c>
      <c r="S1661" s="34" t="s">
        <v>5644</v>
      </c>
    </row>
    <row r="1662" spans="1:19" ht="391.5" x14ac:dyDescent="0.15">
      <c r="A1662" t="s">
        <v>5612</v>
      </c>
      <c r="B1662" s="61">
        <v>46327</v>
      </c>
      <c r="E1662" t="s">
        <v>355</v>
      </c>
      <c r="F1662" t="s">
        <v>351</v>
      </c>
      <c r="G1662" t="s">
        <v>354</v>
      </c>
      <c r="H1662" t="s">
        <v>365</v>
      </c>
      <c r="I1662">
        <v>1100566</v>
      </c>
      <c r="J1662" t="s">
        <v>279</v>
      </c>
      <c r="K1662" t="s">
        <v>3538</v>
      </c>
      <c r="L1662" t="s">
        <v>413</v>
      </c>
      <c r="N1662" t="s">
        <v>3539</v>
      </c>
      <c r="O1662" t="s">
        <v>3540</v>
      </c>
      <c r="R1662" t="s">
        <v>3986</v>
      </c>
      <c r="S1662" s="34" t="s">
        <v>5645</v>
      </c>
    </row>
    <row r="1663" spans="1:19" ht="409.5" x14ac:dyDescent="0.15">
      <c r="A1663" t="s">
        <v>5612</v>
      </c>
      <c r="B1663" s="61">
        <v>46327</v>
      </c>
      <c r="E1663" t="s">
        <v>355</v>
      </c>
      <c r="F1663" t="s">
        <v>351</v>
      </c>
      <c r="G1663" t="s">
        <v>354</v>
      </c>
      <c r="H1663" t="s">
        <v>353</v>
      </c>
      <c r="I1663">
        <v>1102091</v>
      </c>
      <c r="J1663" t="s">
        <v>3997</v>
      </c>
      <c r="K1663" t="s">
        <v>5646</v>
      </c>
      <c r="L1663" t="s">
        <v>390</v>
      </c>
      <c r="N1663" t="s">
        <v>5647</v>
      </c>
      <c r="O1663" t="s">
        <v>5648</v>
      </c>
      <c r="R1663" t="s">
        <v>4012</v>
      </c>
      <c r="S1663" s="34" t="s">
        <v>5649</v>
      </c>
    </row>
    <row r="1664" spans="1:19" ht="409.5" x14ac:dyDescent="0.15">
      <c r="A1664" t="s">
        <v>5612</v>
      </c>
      <c r="B1664" s="61">
        <v>46357</v>
      </c>
      <c r="E1664" t="s">
        <v>355</v>
      </c>
      <c r="F1664" t="s">
        <v>351</v>
      </c>
      <c r="G1664" t="s">
        <v>354</v>
      </c>
      <c r="H1664" t="s">
        <v>686</v>
      </c>
      <c r="I1664">
        <v>1001031</v>
      </c>
      <c r="J1664" t="s">
        <v>743</v>
      </c>
      <c r="K1664" t="s">
        <v>3541</v>
      </c>
      <c r="L1664" t="s">
        <v>390</v>
      </c>
      <c r="N1664">
        <v>2152526</v>
      </c>
      <c r="O1664" t="s">
        <v>3543</v>
      </c>
      <c r="R1664" t="s">
        <v>3987</v>
      </c>
      <c r="S1664" s="34" t="s">
        <v>5650</v>
      </c>
    </row>
    <row r="1665" spans="1:19" ht="229.5" x14ac:dyDescent="0.15">
      <c r="A1665" t="s">
        <v>5612</v>
      </c>
      <c r="B1665" s="61">
        <v>46357</v>
      </c>
      <c r="E1665" t="s">
        <v>355</v>
      </c>
      <c r="F1665" t="s">
        <v>351</v>
      </c>
      <c r="G1665" t="s">
        <v>354</v>
      </c>
      <c r="H1665" t="s">
        <v>365</v>
      </c>
      <c r="I1665">
        <v>1101259</v>
      </c>
      <c r="J1665" t="s">
        <v>3914</v>
      </c>
      <c r="K1665" t="s">
        <v>3915</v>
      </c>
      <c r="L1665" t="s">
        <v>390</v>
      </c>
      <c r="N1665" t="s">
        <v>4008</v>
      </c>
      <c r="O1665" t="s">
        <v>3916</v>
      </c>
      <c r="R1665" t="s">
        <v>3987</v>
      </c>
      <c r="S1665" s="34" t="s">
        <v>5651</v>
      </c>
    </row>
    <row r="1666" spans="1:19" ht="409.5" x14ac:dyDescent="0.15">
      <c r="A1666" t="s">
        <v>5612</v>
      </c>
      <c r="B1666" s="61">
        <v>46357</v>
      </c>
      <c r="E1666" t="s">
        <v>355</v>
      </c>
      <c r="F1666" t="s">
        <v>351</v>
      </c>
      <c r="G1666" t="s">
        <v>354</v>
      </c>
      <c r="H1666" t="s">
        <v>365</v>
      </c>
      <c r="I1666">
        <v>1101430</v>
      </c>
      <c r="J1666" t="s">
        <v>3562</v>
      </c>
      <c r="K1666" t="s">
        <v>3563</v>
      </c>
      <c r="L1666" t="s">
        <v>3564</v>
      </c>
      <c r="N1666" t="s">
        <v>5652</v>
      </c>
      <c r="O1666" t="s">
        <v>3566</v>
      </c>
      <c r="R1666" t="s">
        <v>3987</v>
      </c>
      <c r="S1666" s="34" t="s">
        <v>5653</v>
      </c>
    </row>
    <row r="1667" spans="1:19" ht="409.5" x14ac:dyDescent="0.15">
      <c r="A1667" t="s">
        <v>819</v>
      </c>
      <c r="B1667" s="61">
        <v>46235</v>
      </c>
      <c r="E1667" t="s">
        <v>355</v>
      </c>
      <c r="F1667" t="s">
        <v>351</v>
      </c>
      <c r="G1667" t="s">
        <v>354</v>
      </c>
      <c r="H1667" t="s">
        <v>353</v>
      </c>
      <c r="I1667">
        <v>4300153</v>
      </c>
      <c r="J1667" t="s">
        <v>825</v>
      </c>
      <c r="K1667" t="s">
        <v>826</v>
      </c>
      <c r="L1667" t="s">
        <v>827</v>
      </c>
      <c r="N1667" t="s">
        <v>5654</v>
      </c>
      <c r="O1667" t="s">
        <v>829</v>
      </c>
      <c r="S1667" s="34" t="s">
        <v>5655</v>
      </c>
    </row>
    <row r="1668" spans="1:19" ht="256.5" x14ac:dyDescent="0.15">
      <c r="A1668" t="s">
        <v>819</v>
      </c>
      <c r="B1668" s="61">
        <v>46235</v>
      </c>
      <c r="E1668" t="s">
        <v>355</v>
      </c>
      <c r="F1668" t="s">
        <v>351</v>
      </c>
      <c r="G1668" t="s">
        <v>354</v>
      </c>
      <c r="H1668" t="s">
        <v>309</v>
      </c>
      <c r="I1668">
        <v>4300153</v>
      </c>
      <c r="J1668" t="s">
        <v>825</v>
      </c>
      <c r="K1668" t="s">
        <v>826</v>
      </c>
      <c r="L1668" t="s">
        <v>827</v>
      </c>
      <c r="N1668" t="s">
        <v>5656</v>
      </c>
      <c r="O1668" t="s">
        <v>829</v>
      </c>
      <c r="S1668" s="34" t="s">
        <v>5657</v>
      </c>
    </row>
    <row r="1669" spans="1:19" ht="229.5" x14ac:dyDescent="0.15">
      <c r="A1669" t="s">
        <v>819</v>
      </c>
      <c r="B1669" s="61">
        <v>46266</v>
      </c>
      <c r="E1669" t="s">
        <v>355</v>
      </c>
      <c r="F1669" t="s">
        <v>351</v>
      </c>
      <c r="G1669" t="s">
        <v>354</v>
      </c>
      <c r="H1669" t="s">
        <v>365</v>
      </c>
      <c r="I1669">
        <v>4000947</v>
      </c>
      <c r="J1669" t="s">
        <v>831</v>
      </c>
      <c r="K1669" t="s">
        <v>832</v>
      </c>
      <c r="L1669" t="s">
        <v>833</v>
      </c>
      <c r="N1669" t="s">
        <v>834</v>
      </c>
      <c r="O1669" t="s">
        <v>835</v>
      </c>
      <c r="S1669" s="34" t="s">
        <v>5658</v>
      </c>
    </row>
    <row r="1670" spans="1:19" ht="409.5" x14ac:dyDescent="0.15">
      <c r="A1670" t="s">
        <v>819</v>
      </c>
      <c r="B1670" s="61">
        <v>46266</v>
      </c>
      <c r="E1670" t="s">
        <v>355</v>
      </c>
      <c r="F1670" t="s">
        <v>351</v>
      </c>
      <c r="G1670" t="s">
        <v>354</v>
      </c>
      <c r="H1670" t="s">
        <v>686</v>
      </c>
      <c r="I1670">
        <v>4300345</v>
      </c>
      <c r="J1670" t="s">
        <v>2940</v>
      </c>
      <c r="K1670" t="s">
        <v>5659</v>
      </c>
      <c r="L1670" t="s">
        <v>2942</v>
      </c>
      <c r="N1670" t="s">
        <v>5660</v>
      </c>
      <c r="O1670" t="s">
        <v>5661</v>
      </c>
      <c r="S1670" s="34" t="s">
        <v>5662</v>
      </c>
    </row>
    <row r="1671" spans="1:19" ht="409.5" x14ac:dyDescent="0.15">
      <c r="A1671" t="s">
        <v>819</v>
      </c>
      <c r="B1671" s="61">
        <v>46266</v>
      </c>
      <c r="E1671" t="s">
        <v>355</v>
      </c>
      <c r="F1671" t="s">
        <v>351</v>
      </c>
      <c r="G1671" t="s">
        <v>354</v>
      </c>
      <c r="H1671" t="s">
        <v>353</v>
      </c>
      <c r="I1671">
        <v>4300345</v>
      </c>
      <c r="J1671" t="s">
        <v>2940</v>
      </c>
      <c r="K1671" t="s">
        <v>5659</v>
      </c>
      <c r="L1671" t="s">
        <v>2942</v>
      </c>
      <c r="N1671" t="s">
        <v>5663</v>
      </c>
      <c r="O1671" t="s">
        <v>5661</v>
      </c>
      <c r="S1671" s="34" t="s">
        <v>5664</v>
      </c>
    </row>
    <row r="1672" spans="1:19" ht="216" x14ac:dyDescent="0.15">
      <c r="A1672" t="s">
        <v>819</v>
      </c>
      <c r="B1672" s="61">
        <v>46296</v>
      </c>
      <c r="E1672" t="s">
        <v>355</v>
      </c>
      <c r="F1672" t="s">
        <v>351</v>
      </c>
      <c r="G1672" t="s">
        <v>354</v>
      </c>
      <c r="H1672" t="s">
        <v>353</v>
      </c>
      <c r="I1672">
        <v>4300087</v>
      </c>
      <c r="J1672" t="s">
        <v>4079</v>
      </c>
      <c r="K1672" t="s">
        <v>4080</v>
      </c>
      <c r="L1672" t="s">
        <v>4081</v>
      </c>
      <c r="N1672" t="s">
        <v>4082</v>
      </c>
      <c r="O1672" t="s">
        <v>4083</v>
      </c>
      <c r="S1672" s="34" t="s">
        <v>5665</v>
      </c>
    </row>
    <row r="1673" spans="1:19" ht="189" x14ac:dyDescent="0.15">
      <c r="A1673" t="s">
        <v>819</v>
      </c>
      <c r="B1673" s="61">
        <v>46296</v>
      </c>
      <c r="E1673" t="s">
        <v>355</v>
      </c>
      <c r="F1673" t="s">
        <v>351</v>
      </c>
      <c r="G1673" t="s">
        <v>354</v>
      </c>
      <c r="H1673" t="s">
        <v>353</v>
      </c>
      <c r="I1673">
        <v>4300209</v>
      </c>
      <c r="J1673" t="s">
        <v>481</v>
      </c>
      <c r="K1673" t="s">
        <v>4126</v>
      </c>
      <c r="L1673" t="s">
        <v>4127</v>
      </c>
      <c r="N1673" t="s">
        <v>4128</v>
      </c>
      <c r="O1673" t="s">
        <v>4129</v>
      </c>
      <c r="S1673" s="34" t="s">
        <v>5666</v>
      </c>
    </row>
    <row r="1674" spans="1:19" ht="409.5" x14ac:dyDescent="0.15">
      <c r="A1674" t="s">
        <v>837</v>
      </c>
      <c r="B1674" s="61">
        <v>46266</v>
      </c>
      <c r="E1674" t="s">
        <v>355</v>
      </c>
      <c r="F1674" t="s">
        <v>351</v>
      </c>
      <c r="G1674" t="s">
        <v>354</v>
      </c>
      <c r="H1674" t="s">
        <v>353</v>
      </c>
      <c r="I1674">
        <v>1000113</v>
      </c>
      <c r="J1674" t="s">
        <v>5667</v>
      </c>
      <c r="K1674" t="s">
        <v>891</v>
      </c>
      <c r="L1674" t="s">
        <v>2082</v>
      </c>
      <c r="N1674" t="s">
        <v>5668</v>
      </c>
      <c r="O1674" t="s">
        <v>5669</v>
      </c>
      <c r="R1674" t="s">
        <v>3992</v>
      </c>
      <c r="S1674" s="34" t="s">
        <v>5670</v>
      </c>
    </row>
    <row r="1675" spans="1:19" ht="229.5" x14ac:dyDescent="0.15">
      <c r="A1675" t="s">
        <v>837</v>
      </c>
      <c r="B1675" s="61">
        <v>46266</v>
      </c>
      <c r="E1675" t="s">
        <v>355</v>
      </c>
      <c r="F1675" t="s">
        <v>351</v>
      </c>
      <c r="G1675" t="s">
        <v>354</v>
      </c>
      <c r="H1675" t="s">
        <v>309</v>
      </c>
      <c r="I1675">
        <v>1000113</v>
      </c>
      <c r="J1675" t="s">
        <v>5667</v>
      </c>
      <c r="K1675" t="s">
        <v>891</v>
      </c>
      <c r="L1675" t="s">
        <v>2082</v>
      </c>
      <c r="N1675" t="s">
        <v>5671</v>
      </c>
      <c r="O1675" t="s">
        <v>5669</v>
      </c>
      <c r="R1675" t="s">
        <v>3992</v>
      </c>
      <c r="S1675" s="34" t="s">
        <v>5672</v>
      </c>
    </row>
    <row r="1676" spans="1:19" ht="409.5" x14ac:dyDescent="0.15">
      <c r="A1676" t="s">
        <v>837</v>
      </c>
      <c r="B1676" s="61">
        <v>46266</v>
      </c>
      <c r="E1676" t="s">
        <v>355</v>
      </c>
      <c r="F1676" t="s">
        <v>351</v>
      </c>
      <c r="G1676" t="s">
        <v>354</v>
      </c>
      <c r="H1676" t="s">
        <v>353</v>
      </c>
      <c r="I1676">
        <v>1000847</v>
      </c>
      <c r="J1676" t="s">
        <v>906</v>
      </c>
      <c r="K1676" t="s">
        <v>5126</v>
      </c>
      <c r="L1676" t="s">
        <v>908</v>
      </c>
      <c r="M1676" s="62">
        <v>46012.708333333336</v>
      </c>
      <c r="N1676" t="s">
        <v>5101</v>
      </c>
      <c r="O1676" t="s">
        <v>909</v>
      </c>
      <c r="R1676" s="34" t="s">
        <v>5673</v>
      </c>
      <c r="S1676" s="34" t="s">
        <v>5674</v>
      </c>
    </row>
    <row r="1677" spans="1:19" ht="202.5" x14ac:dyDescent="0.15">
      <c r="A1677" t="s">
        <v>837</v>
      </c>
      <c r="B1677" s="61">
        <v>46266</v>
      </c>
      <c r="E1677" t="s">
        <v>355</v>
      </c>
      <c r="F1677" t="s">
        <v>351</v>
      </c>
      <c r="G1677" t="s">
        <v>354</v>
      </c>
      <c r="H1677" t="s">
        <v>353</v>
      </c>
      <c r="I1677">
        <v>1000847</v>
      </c>
      <c r="J1677" t="s">
        <v>906</v>
      </c>
      <c r="K1677" t="s">
        <v>5126</v>
      </c>
      <c r="L1677" t="s">
        <v>908</v>
      </c>
      <c r="M1677" s="62">
        <v>46012.708333333336</v>
      </c>
      <c r="N1677" t="s">
        <v>911</v>
      </c>
      <c r="O1677" t="s">
        <v>909</v>
      </c>
      <c r="R1677" s="34" t="s">
        <v>5673</v>
      </c>
      <c r="S1677" s="34" t="s">
        <v>5675</v>
      </c>
    </row>
    <row r="1678" spans="1:19" ht="405" x14ac:dyDescent="0.15">
      <c r="A1678" t="s">
        <v>837</v>
      </c>
      <c r="B1678" s="61">
        <v>46266</v>
      </c>
      <c r="E1678" t="s">
        <v>355</v>
      </c>
      <c r="F1678" t="s">
        <v>351</v>
      </c>
      <c r="G1678" t="s">
        <v>354</v>
      </c>
      <c r="H1678" t="s">
        <v>686</v>
      </c>
      <c r="I1678">
        <v>1000919</v>
      </c>
      <c r="J1678" t="s">
        <v>843</v>
      </c>
      <c r="K1678" t="s">
        <v>844</v>
      </c>
      <c r="L1678" t="s">
        <v>845</v>
      </c>
      <c r="N1678">
        <v>2094660</v>
      </c>
      <c r="O1678" t="s">
        <v>846</v>
      </c>
      <c r="R1678" t="s">
        <v>4534</v>
      </c>
      <c r="S1678" s="34" t="s">
        <v>5676</v>
      </c>
    </row>
    <row r="1679" spans="1:19" ht="409.5" x14ac:dyDescent="0.15">
      <c r="A1679" t="s">
        <v>837</v>
      </c>
      <c r="B1679" s="61">
        <v>46266</v>
      </c>
      <c r="E1679" t="s">
        <v>355</v>
      </c>
      <c r="F1679" t="s">
        <v>351</v>
      </c>
      <c r="G1679" t="s">
        <v>352</v>
      </c>
      <c r="H1679" t="s">
        <v>353</v>
      </c>
      <c r="I1679">
        <v>1000919</v>
      </c>
      <c r="J1679" t="s">
        <v>843</v>
      </c>
      <c r="K1679" t="s">
        <v>844</v>
      </c>
      <c r="L1679" t="s">
        <v>845</v>
      </c>
      <c r="N1679" t="s">
        <v>5677</v>
      </c>
      <c r="O1679" t="s">
        <v>846</v>
      </c>
      <c r="R1679" t="s">
        <v>3985</v>
      </c>
      <c r="S1679" s="34" t="s">
        <v>5678</v>
      </c>
    </row>
    <row r="1680" spans="1:19" ht="229.5" x14ac:dyDescent="0.15">
      <c r="A1680" t="s">
        <v>837</v>
      </c>
      <c r="B1680" s="61">
        <v>46266</v>
      </c>
      <c r="E1680" t="s">
        <v>355</v>
      </c>
      <c r="F1680" t="s">
        <v>351</v>
      </c>
      <c r="G1680" t="s">
        <v>354</v>
      </c>
      <c r="H1680" t="s">
        <v>353</v>
      </c>
      <c r="I1680">
        <v>1001012</v>
      </c>
      <c r="J1680" t="s">
        <v>862</v>
      </c>
      <c r="K1680" t="s">
        <v>863</v>
      </c>
      <c r="L1680" t="s">
        <v>864</v>
      </c>
      <c r="N1680" t="s">
        <v>872</v>
      </c>
      <c r="O1680" t="s">
        <v>866</v>
      </c>
      <c r="R1680" t="s">
        <v>5679</v>
      </c>
      <c r="S1680" s="34" t="s">
        <v>5680</v>
      </c>
    </row>
    <row r="1681" spans="1:19" ht="405" x14ac:dyDescent="0.15">
      <c r="A1681" t="s">
        <v>837</v>
      </c>
      <c r="B1681" s="61">
        <v>46266</v>
      </c>
      <c r="E1681" t="s">
        <v>355</v>
      </c>
      <c r="F1681" t="s">
        <v>351</v>
      </c>
      <c r="G1681" t="s">
        <v>354</v>
      </c>
      <c r="H1681" t="s">
        <v>365</v>
      </c>
      <c r="I1681">
        <v>1001012</v>
      </c>
      <c r="J1681" t="s">
        <v>862</v>
      </c>
      <c r="K1681" t="s">
        <v>863</v>
      </c>
      <c r="L1681" t="s">
        <v>864</v>
      </c>
      <c r="N1681" t="s">
        <v>865</v>
      </c>
      <c r="O1681" t="s">
        <v>866</v>
      </c>
      <c r="S1681" s="34" t="s">
        <v>5681</v>
      </c>
    </row>
    <row r="1682" spans="1:19" ht="409.5" x14ac:dyDescent="0.15">
      <c r="A1682" t="s">
        <v>837</v>
      </c>
      <c r="B1682" s="61">
        <v>46266</v>
      </c>
      <c r="E1682" t="s">
        <v>355</v>
      </c>
      <c r="F1682" t="s">
        <v>351</v>
      </c>
      <c r="G1682" t="s">
        <v>354</v>
      </c>
      <c r="H1682" t="s">
        <v>353</v>
      </c>
      <c r="I1682">
        <v>1001022</v>
      </c>
      <c r="J1682" t="s">
        <v>878</v>
      </c>
      <c r="K1682" t="s">
        <v>5682</v>
      </c>
      <c r="L1682" t="s">
        <v>880</v>
      </c>
      <c r="N1682" t="s">
        <v>888</v>
      </c>
      <c r="O1682" t="s">
        <v>882</v>
      </c>
      <c r="S1682" s="34" t="s">
        <v>5683</v>
      </c>
    </row>
    <row r="1683" spans="1:19" ht="202.5" x14ac:dyDescent="0.15">
      <c r="A1683" t="s">
        <v>837</v>
      </c>
      <c r="B1683" s="61">
        <v>46266</v>
      </c>
      <c r="E1683" t="s">
        <v>355</v>
      </c>
      <c r="F1683" t="s">
        <v>351</v>
      </c>
      <c r="G1683" t="s">
        <v>354</v>
      </c>
      <c r="H1683" t="s">
        <v>365</v>
      </c>
      <c r="I1683">
        <v>1001022</v>
      </c>
      <c r="J1683" t="s">
        <v>878</v>
      </c>
      <c r="K1683" t="s">
        <v>5682</v>
      </c>
      <c r="L1683" t="s">
        <v>880</v>
      </c>
      <c r="N1683" t="s">
        <v>881</v>
      </c>
      <c r="O1683" t="s">
        <v>882</v>
      </c>
      <c r="S1683" s="34" t="s">
        <v>5684</v>
      </c>
    </row>
    <row r="1684" spans="1:19" ht="409.5" x14ac:dyDescent="0.15">
      <c r="A1684" t="s">
        <v>837</v>
      </c>
      <c r="B1684" s="61">
        <v>46266</v>
      </c>
      <c r="E1684" t="s">
        <v>355</v>
      </c>
      <c r="F1684" t="s">
        <v>351</v>
      </c>
      <c r="G1684" t="s">
        <v>354</v>
      </c>
      <c r="H1684" t="s">
        <v>353</v>
      </c>
      <c r="I1684">
        <v>1001026</v>
      </c>
      <c r="J1684" t="s">
        <v>901</v>
      </c>
      <c r="K1684" t="s">
        <v>902</v>
      </c>
      <c r="L1684" t="s">
        <v>466</v>
      </c>
      <c r="N1684" t="s">
        <v>5685</v>
      </c>
      <c r="O1684" t="s">
        <v>904</v>
      </c>
      <c r="S1684" s="34" t="s">
        <v>5686</v>
      </c>
    </row>
    <row r="1685" spans="1:19" ht="409.5" x14ac:dyDescent="0.15">
      <c r="A1685" t="s">
        <v>837</v>
      </c>
      <c r="B1685" s="61">
        <v>46266</v>
      </c>
      <c r="E1685" t="s">
        <v>355</v>
      </c>
      <c r="F1685" t="s">
        <v>351</v>
      </c>
      <c r="G1685" t="s">
        <v>354</v>
      </c>
      <c r="H1685" t="s">
        <v>686</v>
      </c>
      <c r="I1685">
        <v>1001026</v>
      </c>
      <c r="J1685" t="s">
        <v>901</v>
      </c>
      <c r="K1685" t="s">
        <v>902</v>
      </c>
      <c r="L1685" t="s">
        <v>466</v>
      </c>
      <c r="N1685">
        <v>2144108</v>
      </c>
      <c r="O1685" t="s">
        <v>904</v>
      </c>
      <c r="S1685" s="34" t="s">
        <v>5687</v>
      </c>
    </row>
    <row r="1686" spans="1:19" ht="216" x14ac:dyDescent="0.15">
      <c r="A1686" t="s">
        <v>837</v>
      </c>
      <c r="B1686" s="61">
        <v>46296</v>
      </c>
      <c r="E1686" t="s">
        <v>355</v>
      </c>
      <c r="F1686" t="s">
        <v>351</v>
      </c>
      <c r="G1686" t="s">
        <v>352</v>
      </c>
      <c r="H1686" t="s">
        <v>353</v>
      </c>
      <c r="I1686">
        <v>1000862</v>
      </c>
      <c r="J1686" t="s">
        <v>5688</v>
      </c>
      <c r="K1686" t="s">
        <v>5689</v>
      </c>
      <c r="L1686" t="s">
        <v>1718</v>
      </c>
      <c r="N1686" t="s">
        <v>5690</v>
      </c>
      <c r="O1686" t="s">
        <v>5691</v>
      </c>
      <c r="R1686" t="s">
        <v>3985</v>
      </c>
      <c r="S1686" s="34" t="s">
        <v>5692</v>
      </c>
    </row>
    <row r="1687" spans="1:19" ht="202.5" x14ac:dyDescent="0.15">
      <c r="A1687" t="s">
        <v>837</v>
      </c>
      <c r="B1687" s="61">
        <v>46296</v>
      </c>
      <c r="E1687" t="s">
        <v>355</v>
      </c>
      <c r="F1687" t="s">
        <v>351</v>
      </c>
      <c r="G1687" t="s">
        <v>352</v>
      </c>
      <c r="H1687" t="s">
        <v>353</v>
      </c>
      <c r="I1687">
        <v>1000917</v>
      </c>
      <c r="J1687" t="s">
        <v>5688</v>
      </c>
      <c r="K1687" t="s">
        <v>5693</v>
      </c>
      <c r="L1687" t="s">
        <v>5694</v>
      </c>
      <c r="N1687" t="s">
        <v>5695</v>
      </c>
      <c r="O1687" t="s">
        <v>5696</v>
      </c>
      <c r="R1687" t="s">
        <v>3985</v>
      </c>
      <c r="S1687" s="34" t="s">
        <v>5697</v>
      </c>
    </row>
    <row r="1688" spans="1:19" ht="162" x14ac:dyDescent="0.15">
      <c r="A1688" t="s">
        <v>837</v>
      </c>
      <c r="B1688" s="61">
        <v>46296</v>
      </c>
      <c r="E1688" t="s">
        <v>355</v>
      </c>
      <c r="F1688" t="s">
        <v>351</v>
      </c>
      <c r="G1688" t="s">
        <v>354</v>
      </c>
      <c r="H1688" t="s">
        <v>353</v>
      </c>
      <c r="I1688">
        <v>1001021</v>
      </c>
      <c r="J1688" t="s">
        <v>884</v>
      </c>
      <c r="K1688" t="s">
        <v>885</v>
      </c>
      <c r="L1688" t="s">
        <v>378</v>
      </c>
      <c r="N1688" t="s">
        <v>5698</v>
      </c>
      <c r="O1688" t="s">
        <v>887</v>
      </c>
      <c r="R1688" t="s">
        <v>3987</v>
      </c>
      <c r="S1688" s="34" t="s">
        <v>5699</v>
      </c>
    </row>
    <row r="1689" spans="1:19" ht="391.5" x14ac:dyDescent="0.15">
      <c r="A1689" t="s">
        <v>837</v>
      </c>
      <c r="B1689" s="61">
        <v>46296</v>
      </c>
      <c r="E1689" t="s">
        <v>355</v>
      </c>
      <c r="F1689" t="s">
        <v>351</v>
      </c>
      <c r="G1689" t="s">
        <v>354</v>
      </c>
      <c r="H1689" t="s">
        <v>365</v>
      </c>
      <c r="I1689">
        <v>1001021</v>
      </c>
      <c r="J1689" t="s">
        <v>884</v>
      </c>
      <c r="K1689" t="s">
        <v>885</v>
      </c>
      <c r="L1689" t="s">
        <v>378</v>
      </c>
      <c r="N1689" t="s">
        <v>886</v>
      </c>
      <c r="O1689" t="s">
        <v>887</v>
      </c>
      <c r="R1689" t="s">
        <v>3987</v>
      </c>
      <c r="S1689" s="34" t="s">
        <v>5700</v>
      </c>
    </row>
    <row r="1690" spans="1:19" ht="409.5" x14ac:dyDescent="0.15">
      <c r="A1690" t="s">
        <v>837</v>
      </c>
      <c r="B1690" s="61">
        <v>46296</v>
      </c>
      <c r="E1690" t="s">
        <v>355</v>
      </c>
      <c r="F1690" t="s">
        <v>351</v>
      </c>
      <c r="G1690" t="s">
        <v>354</v>
      </c>
      <c r="H1690" t="s">
        <v>353</v>
      </c>
      <c r="I1690">
        <v>1102044</v>
      </c>
      <c r="J1690" t="s">
        <v>857</v>
      </c>
      <c r="K1690" t="s">
        <v>858</v>
      </c>
      <c r="L1690" t="s">
        <v>390</v>
      </c>
      <c r="N1690" t="s">
        <v>5701</v>
      </c>
      <c r="O1690" t="s">
        <v>860</v>
      </c>
      <c r="S1690" s="34" t="s">
        <v>5702</v>
      </c>
    </row>
    <row r="1691" spans="1:19" ht="409.5" x14ac:dyDescent="0.15">
      <c r="A1691" t="s">
        <v>837</v>
      </c>
      <c r="B1691" s="61">
        <v>46296</v>
      </c>
      <c r="E1691" t="s">
        <v>355</v>
      </c>
      <c r="F1691" t="s">
        <v>351</v>
      </c>
      <c r="G1691" t="s">
        <v>354</v>
      </c>
      <c r="H1691" t="s">
        <v>353</v>
      </c>
      <c r="I1691">
        <v>1102513</v>
      </c>
      <c r="J1691" t="s">
        <v>849</v>
      </c>
      <c r="K1691" t="s">
        <v>850</v>
      </c>
      <c r="L1691" t="s">
        <v>718</v>
      </c>
      <c r="N1691" t="s">
        <v>5703</v>
      </c>
      <c r="O1691" t="s">
        <v>852</v>
      </c>
      <c r="R1691" t="s">
        <v>3987</v>
      </c>
      <c r="S1691" s="34" t="s">
        <v>5704</v>
      </c>
    </row>
    <row r="1692" spans="1:19" ht="378" x14ac:dyDescent="0.15">
      <c r="A1692" t="s">
        <v>837</v>
      </c>
      <c r="B1692" s="61">
        <v>46296</v>
      </c>
      <c r="E1692" t="s">
        <v>355</v>
      </c>
      <c r="F1692" t="s">
        <v>351</v>
      </c>
      <c r="G1692" t="s">
        <v>354</v>
      </c>
      <c r="H1692" t="s">
        <v>365</v>
      </c>
      <c r="I1692">
        <v>1102513</v>
      </c>
      <c r="J1692" t="s">
        <v>849</v>
      </c>
      <c r="K1692" t="s">
        <v>850</v>
      </c>
      <c r="L1692" t="s">
        <v>718</v>
      </c>
      <c r="N1692" t="s">
        <v>855</v>
      </c>
      <c r="O1692" t="s">
        <v>852</v>
      </c>
      <c r="R1692" t="s">
        <v>3987</v>
      </c>
      <c r="S1692" s="34" t="s">
        <v>5705</v>
      </c>
    </row>
    <row r="1693" spans="1:19" ht="409.5" x14ac:dyDescent="0.15">
      <c r="A1693" t="s">
        <v>837</v>
      </c>
      <c r="B1693" s="61">
        <v>46327</v>
      </c>
      <c r="E1693" t="s">
        <v>355</v>
      </c>
      <c r="F1693" t="s">
        <v>351</v>
      </c>
      <c r="G1693" t="s">
        <v>352</v>
      </c>
      <c r="H1693" t="s">
        <v>353</v>
      </c>
      <c r="I1693">
        <v>1000162</v>
      </c>
      <c r="J1693" t="s">
        <v>821</v>
      </c>
      <c r="K1693" t="s">
        <v>838</v>
      </c>
      <c r="L1693" t="s">
        <v>390</v>
      </c>
      <c r="N1693" t="s">
        <v>839</v>
      </c>
      <c r="O1693" t="s">
        <v>840</v>
      </c>
      <c r="R1693" t="s">
        <v>3985</v>
      </c>
      <c r="S1693" s="34" t="s">
        <v>5706</v>
      </c>
    </row>
    <row r="1694" spans="1:19" ht="409.5" x14ac:dyDescent="0.15">
      <c r="A1694" t="s">
        <v>837</v>
      </c>
      <c r="B1694" s="61">
        <v>46327</v>
      </c>
      <c r="E1694" t="s">
        <v>355</v>
      </c>
      <c r="F1694" t="s">
        <v>351</v>
      </c>
      <c r="G1694" t="s">
        <v>354</v>
      </c>
      <c r="H1694" t="s">
        <v>353</v>
      </c>
      <c r="I1694">
        <v>1000315</v>
      </c>
      <c r="J1694" t="s">
        <v>873</v>
      </c>
      <c r="K1694" t="s">
        <v>874</v>
      </c>
      <c r="L1694" t="s">
        <v>875</v>
      </c>
      <c r="N1694" t="s">
        <v>876</v>
      </c>
      <c r="O1694" t="s">
        <v>877</v>
      </c>
      <c r="R1694" t="s">
        <v>3986</v>
      </c>
      <c r="S1694" s="34" t="s">
        <v>5707</v>
      </c>
    </row>
    <row r="1695" spans="1:19" ht="405" x14ac:dyDescent="0.15">
      <c r="A1695" t="s">
        <v>837</v>
      </c>
      <c r="B1695" s="61">
        <v>46357</v>
      </c>
      <c r="E1695" t="s">
        <v>355</v>
      </c>
      <c r="F1695" t="s">
        <v>351</v>
      </c>
      <c r="G1695" t="s">
        <v>354</v>
      </c>
      <c r="H1695" t="s">
        <v>686</v>
      </c>
      <c r="I1695">
        <v>1000919</v>
      </c>
      <c r="J1695" t="s">
        <v>843</v>
      </c>
      <c r="K1695" t="s">
        <v>844</v>
      </c>
      <c r="L1695" t="s">
        <v>845</v>
      </c>
      <c r="N1695">
        <v>2094660</v>
      </c>
      <c r="O1695" t="s">
        <v>846</v>
      </c>
      <c r="R1695" t="s">
        <v>4534</v>
      </c>
      <c r="S1695" s="34" t="s">
        <v>5676</v>
      </c>
    </row>
    <row r="1696" spans="1:19" ht="243" x14ac:dyDescent="0.15">
      <c r="A1696" t="s">
        <v>914</v>
      </c>
      <c r="B1696" s="61">
        <v>46235</v>
      </c>
      <c r="E1696" t="s">
        <v>355</v>
      </c>
      <c r="F1696" t="s">
        <v>351</v>
      </c>
      <c r="G1696" t="s">
        <v>352</v>
      </c>
      <c r="H1696" t="s">
        <v>310</v>
      </c>
      <c r="I1696">
        <v>700496</v>
      </c>
      <c r="J1696" t="s">
        <v>5708</v>
      </c>
      <c r="K1696" t="s">
        <v>5709</v>
      </c>
      <c r="L1696" t="s">
        <v>5710</v>
      </c>
      <c r="N1696" t="s">
        <v>5711</v>
      </c>
      <c r="O1696" t="s">
        <v>5712</v>
      </c>
      <c r="R1696" t="s">
        <v>3985</v>
      </c>
      <c r="S1696" s="34" t="s">
        <v>5713</v>
      </c>
    </row>
    <row r="1697" spans="1:19" ht="229.5" x14ac:dyDescent="0.15">
      <c r="A1697" t="s">
        <v>914</v>
      </c>
      <c r="B1697" s="61">
        <v>46266</v>
      </c>
      <c r="E1697" t="s">
        <v>355</v>
      </c>
      <c r="F1697" t="s">
        <v>351</v>
      </c>
      <c r="G1697" t="s">
        <v>352</v>
      </c>
      <c r="H1697" t="s">
        <v>365</v>
      </c>
      <c r="I1697">
        <v>700622</v>
      </c>
      <c r="J1697" t="s">
        <v>5714</v>
      </c>
      <c r="K1697" t="s">
        <v>5715</v>
      </c>
      <c r="L1697" t="s">
        <v>5716</v>
      </c>
      <c r="N1697" t="s">
        <v>5717</v>
      </c>
      <c r="O1697" t="s">
        <v>5718</v>
      </c>
      <c r="R1697" t="s">
        <v>3985</v>
      </c>
      <c r="S1697" s="34" t="s">
        <v>5719</v>
      </c>
    </row>
    <row r="1698" spans="1:19" ht="229.5" x14ac:dyDescent="0.15">
      <c r="A1698" t="s">
        <v>914</v>
      </c>
      <c r="B1698" s="61">
        <v>46266</v>
      </c>
      <c r="E1698" t="s">
        <v>355</v>
      </c>
      <c r="F1698" t="s">
        <v>351</v>
      </c>
      <c r="G1698" t="s">
        <v>352</v>
      </c>
      <c r="H1698" t="s">
        <v>365</v>
      </c>
      <c r="I1698">
        <v>700623</v>
      </c>
      <c r="J1698" t="s">
        <v>5714</v>
      </c>
      <c r="K1698" t="s">
        <v>5715</v>
      </c>
      <c r="L1698" t="s">
        <v>5720</v>
      </c>
      <c r="N1698" t="s">
        <v>5721</v>
      </c>
      <c r="O1698" t="s">
        <v>5722</v>
      </c>
      <c r="R1698" t="s">
        <v>3985</v>
      </c>
      <c r="S1698" s="34" t="s">
        <v>5723</v>
      </c>
    </row>
    <row r="1699" spans="1:19" ht="229.5" x14ac:dyDescent="0.15">
      <c r="A1699" t="s">
        <v>914</v>
      </c>
      <c r="B1699" s="61">
        <v>46266</v>
      </c>
      <c r="E1699" t="s">
        <v>355</v>
      </c>
      <c r="F1699" t="s">
        <v>351</v>
      </c>
      <c r="G1699" t="s">
        <v>352</v>
      </c>
      <c r="H1699" t="s">
        <v>365</v>
      </c>
      <c r="I1699">
        <v>700660</v>
      </c>
      <c r="J1699" t="s">
        <v>5714</v>
      </c>
      <c r="K1699" t="s">
        <v>5715</v>
      </c>
      <c r="L1699" t="s">
        <v>5724</v>
      </c>
      <c r="N1699" t="s">
        <v>5725</v>
      </c>
      <c r="O1699" t="s">
        <v>5726</v>
      </c>
      <c r="R1699" t="s">
        <v>3985</v>
      </c>
      <c r="S1699" s="34" t="s">
        <v>5727</v>
      </c>
    </row>
    <row r="1700" spans="1:19" ht="216" x14ac:dyDescent="0.15">
      <c r="A1700" t="s">
        <v>914</v>
      </c>
      <c r="B1700" s="61">
        <v>46296</v>
      </c>
      <c r="E1700" t="s">
        <v>355</v>
      </c>
      <c r="F1700" t="s">
        <v>351</v>
      </c>
      <c r="G1700" t="s">
        <v>352</v>
      </c>
      <c r="H1700" t="s">
        <v>353</v>
      </c>
      <c r="I1700">
        <v>700345</v>
      </c>
      <c r="J1700" t="s">
        <v>921</v>
      </c>
      <c r="K1700" t="s">
        <v>915</v>
      </c>
      <c r="L1700" t="s">
        <v>373</v>
      </c>
      <c r="N1700" t="s">
        <v>4850</v>
      </c>
      <c r="O1700" t="s">
        <v>922</v>
      </c>
      <c r="R1700" t="s">
        <v>5728</v>
      </c>
      <c r="S1700" s="34" t="s">
        <v>5729</v>
      </c>
    </row>
    <row r="1701" spans="1:19" ht="243" x14ac:dyDescent="0.15">
      <c r="A1701" t="s">
        <v>914</v>
      </c>
      <c r="B1701" s="61">
        <v>46296</v>
      </c>
      <c r="E1701" t="s">
        <v>355</v>
      </c>
      <c r="F1701" t="s">
        <v>351</v>
      </c>
      <c r="G1701" t="s">
        <v>352</v>
      </c>
      <c r="H1701" t="s">
        <v>365</v>
      </c>
      <c r="I1701">
        <v>700606</v>
      </c>
      <c r="J1701" t="s">
        <v>5714</v>
      </c>
      <c r="K1701" t="s">
        <v>5715</v>
      </c>
      <c r="L1701" t="s">
        <v>5730</v>
      </c>
      <c r="N1701" t="s">
        <v>5731</v>
      </c>
      <c r="O1701" t="s">
        <v>5732</v>
      </c>
      <c r="R1701" t="s">
        <v>3985</v>
      </c>
      <c r="S1701" s="34" t="s">
        <v>5733</v>
      </c>
    </row>
    <row r="1702" spans="1:19" ht="243" x14ac:dyDescent="0.15">
      <c r="A1702" t="s">
        <v>914</v>
      </c>
      <c r="B1702" s="61">
        <v>46296</v>
      </c>
      <c r="E1702" t="s">
        <v>355</v>
      </c>
      <c r="F1702" t="s">
        <v>351</v>
      </c>
      <c r="G1702" t="s">
        <v>352</v>
      </c>
      <c r="H1702" t="s">
        <v>365</v>
      </c>
      <c r="I1702">
        <v>700607</v>
      </c>
      <c r="J1702" t="s">
        <v>5714</v>
      </c>
      <c r="K1702" t="s">
        <v>5715</v>
      </c>
      <c r="L1702" t="s">
        <v>5734</v>
      </c>
      <c r="N1702" t="s">
        <v>5735</v>
      </c>
      <c r="O1702" t="s">
        <v>5736</v>
      </c>
      <c r="R1702" t="s">
        <v>3985</v>
      </c>
      <c r="S1702" s="34" t="s">
        <v>5737</v>
      </c>
    </row>
    <row r="1703" spans="1:19" ht="409.5" x14ac:dyDescent="0.15">
      <c r="A1703" t="s">
        <v>914</v>
      </c>
      <c r="B1703" s="61">
        <v>46296</v>
      </c>
      <c r="E1703" t="s">
        <v>355</v>
      </c>
      <c r="F1703" t="s">
        <v>351</v>
      </c>
      <c r="G1703" t="s">
        <v>354</v>
      </c>
      <c r="H1703" t="s">
        <v>353</v>
      </c>
      <c r="I1703">
        <v>700691</v>
      </c>
      <c r="J1703" t="s">
        <v>984</v>
      </c>
      <c r="K1703" t="s">
        <v>5738</v>
      </c>
      <c r="L1703" t="s">
        <v>5739</v>
      </c>
      <c r="N1703" t="s">
        <v>5740</v>
      </c>
      <c r="O1703" t="s">
        <v>5741</v>
      </c>
      <c r="R1703" t="s">
        <v>3987</v>
      </c>
      <c r="S1703" s="34" t="s">
        <v>5742</v>
      </c>
    </row>
    <row r="1704" spans="1:19" ht="409.5" x14ac:dyDescent="0.15">
      <c r="A1704" t="s">
        <v>914</v>
      </c>
      <c r="B1704" s="61">
        <v>46327</v>
      </c>
      <c r="E1704" t="s">
        <v>355</v>
      </c>
      <c r="F1704" t="s">
        <v>351</v>
      </c>
      <c r="G1704" t="s">
        <v>354</v>
      </c>
      <c r="H1704" t="s">
        <v>353</v>
      </c>
      <c r="I1704">
        <v>700003</v>
      </c>
      <c r="J1704" t="s">
        <v>4817</v>
      </c>
      <c r="K1704" t="s">
        <v>926</v>
      </c>
      <c r="L1704" t="s">
        <v>2308</v>
      </c>
      <c r="N1704" t="s">
        <v>7346</v>
      </c>
      <c r="O1704" t="s">
        <v>4819</v>
      </c>
      <c r="S1704" s="34" t="s">
        <v>5743</v>
      </c>
    </row>
    <row r="1705" spans="1:19" ht="409.5" x14ac:dyDescent="0.15">
      <c r="A1705" t="s">
        <v>914</v>
      </c>
      <c r="B1705" s="61">
        <v>46327</v>
      </c>
      <c r="E1705" t="s">
        <v>355</v>
      </c>
      <c r="F1705" t="s">
        <v>351</v>
      </c>
      <c r="G1705" t="s">
        <v>354</v>
      </c>
      <c r="H1705" t="s">
        <v>309</v>
      </c>
      <c r="I1705">
        <v>700003</v>
      </c>
      <c r="J1705" t="s">
        <v>4817</v>
      </c>
      <c r="K1705" t="s">
        <v>926</v>
      </c>
      <c r="L1705" t="s">
        <v>2308</v>
      </c>
      <c r="N1705" t="s">
        <v>7347</v>
      </c>
      <c r="O1705" t="s">
        <v>4819</v>
      </c>
      <c r="S1705" s="34" t="s">
        <v>5744</v>
      </c>
    </row>
    <row r="1706" spans="1:19" ht="229.5" x14ac:dyDescent="0.15">
      <c r="A1706" t="s">
        <v>914</v>
      </c>
      <c r="B1706" s="61">
        <v>46327</v>
      </c>
      <c r="E1706" t="s">
        <v>355</v>
      </c>
      <c r="F1706" t="s">
        <v>351</v>
      </c>
      <c r="G1706" t="s">
        <v>352</v>
      </c>
      <c r="H1706" t="s">
        <v>353</v>
      </c>
      <c r="I1706">
        <v>700007</v>
      </c>
      <c r="J1706" t="s">
        <v>821</v>
      </c>
      <c r="K1706" t="s">
        <v>936</v>
      </c>
      <c r="L1706" t="s">
        <v>373</v>
      </c>
      <c r="N1706" t="s">
        <v>937</v>
      </c>
      <c r="O1706" t="s">
        <v>938</v>
      </c>
      <c r="R1706" t="s">
        <v>3985</v>
      </c>
      <c r="S1706" s="34" t="s">
        <v>5745</v>
      </c>
    </row>
    <row r="1707" spans="1:19" ht="409.5" x14ac:dyDescent="0.15">
      <c r="A1707" t="s">
        <v>914</v>
      </c>
      <c r="B1707" s="61">
        <v>46327</v>
      </c>
      <c r="E1707" t="s">
        <v>355</v>
      </c>
      <c r="F1707" t="s">
        <v>351</v>
      </c>
      <c r="G1707" t="s">
        <v>354</v>
      </c>
      <c r="H1707" t="s">
        <v>365</v>
      </c>
      <c r="I1707">
        <v>700330</v>
      </c>
      <c r="J1707" t="s">
        <v>939</v>
      </c>
      <c r="K1707" t="s">
        <v>940</v>
      </c>
      <c r="L1707" t="s">
        <v>941</v>
      </c>
      <c r="N1707" t="s">
        <v>942</v>
      </c>
      <c r="O1707" t="s">
        <v>943</v>
      </c>
      <c r="R1707" t="s">
        <v>3986</v>
      </c>
      <c r="S1707" s="34" t="s">
        <v>5746</v>
      </c>
    </row>
    <row r="1708" spans="1:19" ht="216" x14ac:dyDescent="0.15">
      <c r="A1708" t="s">
        <v>914</v>
      </c>
      <c r="B1708" s="61">
        <v>46327</v>
      </c>
      <c r="E1708" t="s">
        <v>355</v>
      </c>
      <c r="F1708" t="s">
        <v>351</v>
      </c>
      <c r="G1708" t="s">
        <v>352</v>
      </c>
      <c r="H1708" t="s">
        <v>353</v>
      </c>
      <c r="I1708">
        <v>700345</v>
      </c>
      <c r="J1708" t="s">
        <v>921</v>
      </c>
      <c r="K1708" t="s">
        <v>915</v>
      </c>
      <c r="L1708" t="s">
        <v>373</v>
      </c>
      <c r="N1708" t="s">
        <v>944</v>
      </c>
      <c r="O1708" t="s">
        <v>922</v>
      </c>
      <c r="R1708" t="s">
        <v>5747</v>
      </c>
      <c r="S1708" s="34" t="s">
        <v>5748</v>
      </c>
    </row>
    <row r="1709" spans="1:19" ht="229.5" x14ac:dyDescent="0.15">
      <c r="A1709" t="s">
        <v>914</v>
      </c>
      <c r="B1709" s="61">
        <v>46327</v>
      </c>
      <c r="E1709" t="s">
        <v>355</v>
      </c>
      <c r="F1709" t="s">
        <v>351</v>
      </c>
      <c r="G1709" t="s">
        <v>354</v>
      </c>
      <c r="H1709" t="s">
        <v>365</v>
      </c>
      <c r="I1709">
        <v>700680</v>
      </c>
      <c r="J1709" t="s">
        <v>953</v>
      </c>
      <c r="K1709" t="s">
        <v>954</v>
      </c>
      <c r="L1709" t="s">
        <v>955</v>
      </c>
      <c r="N1709" t="s">
        <v>956</v>
      </c>
      <c r="O1709" t="s">
        <v>957</v>
      </c>
      <c r="R1709" t="s">
        <v>3987</v>
      </c>
      <c r="S1709" s="34" t="s">
        <v>5749</v>
      </c>
    </row>
    <row r="1710" spans="1:19" ht="351" x14ac:dyDescent="0.15">
      <c r="A1710" t="s">
        <v>914</v>
      </c>
      <c r="B1710" s="61">
        <v>46327</v>
      </c>
      <c r="E1710" t="s">
        <v>355</v>
      </c>
      <c r="F1710" t="s">
        <v>351</v>
      </c>
      <c r="G1710" t="s">
        <v>354</v>
      </c>
      <c r="H1710" t="s">
        <v>353</v>
      </c>
      <c r="I1710">
        <v>700699</v>
      </c>
      <c r="J1710" t="s">
        <v>923</v>
      </c>
      <c r="K1710" t="s">
        <v>4084</v>
      </c>
      <c r="L1710" t="s">
        <v>413</v>
      </c>
      <c r="N1710" t="s">
        <v>4085</v>
      </c>
      <c r="O1710" t="s">
        <v>4086</v>
      </c>
      <c r="R1710" t="s">
        <v>3987</v>
      </c>
      <c r="S1710" s="34" t="s">
        <v>5750</v>
      </c>
    </row>
    <row r="1711" spans="1:19" ht="216" x14ac:dyDescent="0.15">
      <c r="A1711" t="s">
        <v>914</v>
      </c>
      <c r="B1711" s="61">
        <v>46357</v>
      </c>
      <c r="E1711" t="s">
        <v>355</v>
      </c>
      <c r="F1711" t="s">
        <v>351</v>
      </c>
      <c r="G1711" t="s">
        <v>354</v>
      </c>
      <c r="H1711" t="s">
        <v>365</v>
      </c>
      <c r="I1711">
        <v>700139</v>
      </c>
      <c r="J1711" t="s">
        <v>3817</v>
      </c>
      <c r="K1711" t="s">
        <v>5751</v>
      </c>
      <c r="L1711" t="s">
        <v>5752</v>
      </c>
      <c r="N1711" t="s">
        <v>5753</v>
      </c>
      <c r="O1711" t="s">
        <v>5754</v>
      </c>
      <c r="R1711" t="s">
        <v>3987</v>
      </c>
      <c r="S1711" s="34" t="s">
        <v>5755</v>
      </c>
    </row>
    <row r="1712" spans="1:19" ht="409.5" x14ac:dyDescent="0.15">
      <c r="A1712" t="s">
        <v>914</v>
      </c>
      <c r="B1712" s="61">
        <v>46357</v>
      </c>
      <c r="E1712" t="s">
        <v>355</v>
      </c>
      <c r="F1712" t="s">
        <v>351</v>
      </c>
      <c r="G1712" t="s">
        <v>352</v>
      </c>
      <c r="H1712" t="s">
        <v>353</v>
      </c>
      <c r="I1712">
        <v>700343</v>
      </c>
      <c r="J1712" t="s">
        <v>5756</v>
      </c>
      <c r="K1712" t="s">
        <v>5757</v>
      </c>
      <c r="L1712" t="s">
        <v>5758</v>
      </c>
      <c r="N1712" t="s">
        <v>5759</v>
      </c>
      <c r="O1712" t="s">
        <v>5760</v>
      </c>
      <c r="R1712" t="s">
        <v>3958</v>
      </c>
      <c r="S1712" s="34" t="s">
        <v>5761</v>
      </c>
    </row>
    <row r="1713" spans="1:19" ht="229.5" x14ac:dyDescent="0.15">
      <c r="A1713" t="s">
        <v>1062</v>
      </c>
      <c r="B1713" s="61">
        <v>46235</v>
      </c>
      <c r="E1713" t="s">
        <v>355</v>
      </c>
      <c r="F1713" t="s">
        <v>351</v>
      </c>
      <c r="G1713" t="s">
        <v>354</v>
      </c>
      <c r="H1713" t="s">
        <v>365</v>
      </c>
      <c r="I1713">
        <v>3400140</v>
      </c>
      <c r="J1713" t="s">
        <v>1067</v>
      </c>
      <c r="L1713" t="s">
        <v>390</v>
      </c>
      <c r="N1713" t="s">
        <v>1068</v>
      </c>
      <c r="O1713" t="s">
        <v>1069</v>
      </c>
      <c r="S1713" s="34" t="s">
        <v>5762</v>
      </c>
    </row>
    <row r="1714" spans="1:19" ht="351" x14ac:dyDescent="0.15">
      <c r="A1714" t="s">
        <v>1062</v>
      </c>
      <c r="B1714" s="61">
        <v>46235</v>
      </c>
      <c r="E1714" t="s">
        <v>355</v>
      </c>
      <c r="F1714" t="s">
        <v>351</v>
      </c>
      <c r="G1714" t="s">
        <v>354</v>
      </c>
      <c r="H1714" t="s">
        <v>353</v>
      </c>
      <c r="I1714">
        <v>3400360</v>
      </c>
      <c r="J1714" t="s">
        <v>5763</v>
      </c>
      <c r="K1714" t="s">
        <v>5764</v>
      </c>
      <c r="L1714" t="s">
        <v>390</v>
      </c>
      <c r="N1714" t="s">
        <v>5765</v>
      </c>
      <c r="O1714" t="s">
        <v>5766</v>
      </c>
      <c r="S1714" s="34" t="s">
        <v>5767</v>
      </c>
    </row>
    <row r="1715" spans="1:19" ht="351" x14ac:dyDescent="0.15">
      <c r="A1715" t="s">
        <v>1062</v>
      </c>
      <c r="B1715" s="61">
        <v>46235</v>
      </c>
      <c r="E1715" t="s">
        <v>355</v>
      </c>
      <c r="F1715" t="s">
        <v>351</v>
      </c>
      <c r="G1715" t="s">
        <v>352</v>
      </c>
      <c r="H1715" t="s">
        <v>353</v>
      </c>
      <c r="I1715">
        <v>3400415</v>
      </c>
      <c r="J1715" t="s">
        <v>5768</v>
      </c>
      <c r="K1715" t="s">
        <v>5769</v>
      </c>
      <c r="L1715" t="s">
        <v>5770</v>
      </c>
      <c r="N1715" t="s">
        <v>5771</v>
      </c>
      <c r="O1715" t="s">
        <v>5772</v>
      </c>
      <c r="R1715" t="s">
        <v>3985</v>
      </c>
      <c r="S1715" s="34" t="s">
        <v>5773</v>
      </c>
    </row>
    <row r="1716" spans="1:19" ht="229.5" x14ac:dyDescent="0.15">
      <c r="A1716" t="s">
        <v>1062</v>
      </c>
      <c r="B1716" s="61">
        <v>46235</v>
      </c>
      <c r="E1716" t="s">
        <v>355</v>
      </c>
      <c r="F1716" t="s">
        <v>351</v>
      </c>
      <c r="G1716" t="s">
        <v>354</v>
      </c>
      <c r="H1716" t="s">
        <v>353</v>
      </c>
      <c r="I1716">
        <v>3400597</v>
      </c>
      <c r="J1716" t="s">
        <v>3997</v>
      </c>
      <c r="K1716" t="s">
        <v>5774</v>
      </c>
      <c r="L1716" t="s">
        <v>390</v>
      </c>
      <c r="N1716" t="s">
        <v>5775</v>
      </c>
      <c r="O1716" t="s">
        <v>5776</v>
      </c>
      <c r="R1716" t="s">
        <v>5777</v>
      </c>
      <c r="S1716" s="34" t="s">
        <v>5778</v>
      </c>
    </row>
    <row r="1717" spans="1:19" ht="243" x14ac:dyDescent="0.15">
      <c r="A1717" t="s">
        <v>1062</v>
      </c>
      <c r="B1717" s="61">
        <v>46266</v>
      </c>
      <c r="E1717" t="s">
        <v>355</v>
      </c>
      <c r="F1717" t="s">
        <v>351</v>
      </c>
      <c r="G1717" t="s">
        <v>352</v>
      </c>
      <c r="H1717" t="s">
        <v>5779</v>
      </c>
      <c r="I1717">
        <v>3400767</v>
      </c>
      <c r="J1717" t="s">
        <v>1063</v>
      </c>
      <c r="K1717" t="s">
        <v>5780</v>
      </c>
      <c r="L1717" t="s">
        <v>1064</v>
      </c>
      <c r="N1717" t="s">
        <v>5781</v>
      </c>
      <c r="O1717" t="s">
        <v>5782</v>
      </c>
      <c r="R1717" t="s">
        <v>3985</v>
      </c>
      <c r="S1717" s="34" t="s">
        <v>5783</v>
      </c>
    </row>
    <row r="1718" spans="1:19" ht="409.5" x14ac:dyDescent="0.15">
      <c r="A1718" t="s">
        <v>1062</v>
      </c>
      <c r="B1718" s="61">
        <v>46266</v>
      </c>
      <c r="E1718" t="s">
        <v>355</v>
      </c>
      <c r="F1718" t="s">
        <v>351</v>
      </c>
      <c r="G1718" t="s">
        <v>354</v>
      </c>
      <c r="H1718" t="s">
        <v>353</v>
      </c>
      <c r="I1718">
        <v>3400948</v>
      </c>
      <c r="J1718" t="s">
        <v>4856</v>
      </c>
      <c r="K1718" t="s">
        <v>4857</v>
      </c>
      <c r="L1718" t="s">
        <v>390</v>
      </c>
      <c r="N1718" t="s">
        <v>5784</v>
      </c>
      <c r="O1718" t="s">
        <v>4859</v>
      </c>
      <c r="S1718" s="34" t="s">
        <v>5785</v>
      </c>
    </row>
    <row r="1719" spans="1:19" ht="409.5" x14ac:dyDescent="0.15">
      <c r="A1719" t="s">
        <v>1062</v>
      </c>
      <c r="B1719" s="61">
        <v>46296</v>
      </c>
      <c r="E1719" t="s">
        <v>355</v>
      </c>
      <c r="F1719" t="s">
        <v>351</v>
      </c>
      <c r="G1719" t="s">
        <v>354</v>
      </c>
      <c r="H1719" t="s">
        <v>353</v>
      </c>
      <c r="I1719">
        <v>3400096</v>
      </c>
      <c r="J1719" t="s">
        <v>1089</v>
      </c>
      <c r="K1719" t="s">
        <v>1090</v>
      </c>
      <c r="L1719" t="s">
        <v>1091</v>
      </c>
      <c r="N1719" t="s">
        <v>5786</v>
      </c>
      <c r="O1719" t="s">
        <v>1093</v>
      </c>
      <c r="S1719" s="34" t="s">
        <v>5787</v>
      </c>
    </row>
    <row r="1720" spans="1:19" ht="409.5" x14ac:dyDescent="0.15">
      <c r="A1720" t="s">
        <v>1062</v>
      </c>
      <c r="B1720" s="61">
        <v>46296</v>
      </c>
      <c r="E1720" t="s">
        <v>355</v>
      </c>
      <c r="F1720" t="s">
        <v>351</v>
      </c>
      <c r="G1720" t="s">
        <v>354</v>
      </c>
      <c r="H1720" t="s">
        <v>309</v>
      </c>
      <c r="I1720">
        <v>3400118</v>
      </c>
      <c r="J1720" t="s">
        <v>5788</v>
      </c>
      <c r="K1720" t="s">
        <v>1071</v>
      </c>
      <c r="L1720" t="s">
        <v>5789</v>
      </c>
      <c r="N1720" t="s">
        <v>5790</v>
      </c>
      <c r="O1720" t="s">
        <v>5791</v>
      </c>
      <c r="S1720" s="34" t="s">
        <v>5792</v>
      </c>
    </row>
    <row r="1721" spans="1:19" ht="189" x14ac:dyDescent="0.15">
      <c r="A1721" t="s">
        <v>1062</v>
      </c>
      <c r="B1721" s="61">
        <v>46296</v>
      </c>
      <c r="E1721" t="s">
        <v>355</v>
      </c>
      <c r="F1721" t="s">
        <v>351</v>
      </c>
      <c r="G1721" t="s">
        <v>354</v>
      </c>
      <c r="H1721" t="s">
        <v>353</v>
      </c>
      <c r="I1721">
        <v>3400789</v>
      </c>
      <c r="J1721" t="s">
        <v>481</v>
      </c>
      <c r="K1721" t="s">
        <v>4166</v>
      </c>
      <c r="L1721" t="s">
        <v>4127</v>
      </c>
      <c r="N1721" t="s">
        <v>4167</v>
      </c>
      <c r="O1721" t="s">
        <v>4168</v>
      </c>
      <c r="S1721" s="34" t="s">
        <v>5793</v>
      </c>
    </row>
    <row r="1722" spans="1:19" ht="409.5" x14ac:dyDescent="0.15">
      <c r="A1722" t="s">
        <v>1062</v>
      </c>
      <c r="B1722" s="61">
        <v>46327</v>
      </c>
      <c r="E1722" t="s">
        <v>355</v>
      </c>
      <c r="F1722" t="s">
        <v>351</v>
      </c>
      <c r="G1722" t="s">
        <v>354</v>
      </c>
      <c r="H1722" t="s">
        <v>353</v>
      </c>
      <c r="I1722">
        <v>3400228</v>
      </c>
      <c r="J1722" t="s">
        <v>1074</v>
      </c>
      <c r="K1722" t="s">
        <v>1075</v>
      </c>
      <c r="L1722" t="s">
        <v>1076</v>
      </c>
      <c r="N1722" t="s">
        <v>5794</v>
      </c>
      <c r="O1722" t="s">
        <v>1078</v>
      </c>
      <c r="S1722" s="34" t="s">
        <v>5795</v>
      </c>
    </row>
    <row r="1723" spans="1:19" ht="409.5" x14ac:dyDescent="0.15">
      <c r="A1723" t="s">
        <v>1062</v>
      </c>
      <c r="B1723" s="61">
        <v>46327</v>
      </c>
      <c r="E1723" t="s">
        <v>355</v>
      </c>
      <c r="F1723" t="s">
        <v>351</v>
      </c>
      <c r="G1723" t="s">
        <v>354</v>
      </c>
      <c r="H1723" t="s">
        <v>686</v>
      </c>
      <c r="I1723">
        <v>3400228</v>
      </c>
      <c r="J1723" t="s">
        <v>1074</v>
      </c>
      <c r="K1723" t="s">
        <v>1075</v>
      </c>
      <c r="L1723" t="s">
        <v>1076</v>
      </c>
      <c r="N1723">
        <v>2151324</v>
      </c>
      <c r="O1723" t="s">
        <v>1078</v>
      </c>
      <c r="R1723" t="s">
        <v>3992</v>
      </c>
      <c r="S1723" s="34" t="s">
        <v>5796</v>
      </c>
    </row>
    <row r="1724" spans="1:19" ht="337.5" x14ac:dyDescent="0.15">
      <c r="A1724" t="s">
        <v>1062</v>
      </c>
      <c r="B1724" s="61">
        <v>46327</v>
      </c>
      <c r="E1724" t="s">
        <v>355</v>
      </c>
      <c r="F1724" t="s">
        <v>351</v>
      </c>
      <c r="G1724" t="s">
        <v>354</v>
      </c>
      <c r="H1724" t="s">
        <v>309</v>
      </c>
      <c r="I1724">
        <v>3400228</v>
      </c>
      <c r="J1724" t="s">
        <v>1074</v>
      </c>
      <c r="K1724" t="s">
        <v>1075</v>
      </c>
      <c r="L1724" t="s">
        <v>1076</v>
      </c>
      <c r="N1724" t="s">
        <v>5797</v>
      </c>
      <c r="O1724" t="s">
        <v>1078</v>
      </c>
      <c r="R1724" t="s">
        <v>3992</v>
      </c>
      <c r="S1724" s="34" t="s">
        <v>5798</v>
      </c>
    </row>
    <row r="1725" spans="1:19" ht="409.5" x14ac:dyDescent="0.15">
      <c r="A1725" t="s">
        <v>1062</v>
      </c>
      <c r="B1725" s="61">
        <v>46327</v>
      </c>
      <c r="E1725" t="s">
        <v>355</v>
      </c>
      <c r="F1725" t="s">
        <v>351</v>
      </c>
      <c r="G1725" t="s">
        <v>354</v>
      </c>
      <c r="H1725" t="s">
        <v>365</v>
      </c>
      <c r="I1725">
        <v>3400914</v>
      </c>
      <c r="J1725" t="s">
        <v>1083</v>
      </c>
      <c r="L1725" t="s">
        <v>1084</v>
      </c>
      <c r="N1725" t="s">
        <v>5799</v>
      </c>
      <c r="O1725" t="s">
        <v>1086</v>
      </c>
      <c r="R1725" t="s">
        <v>3987</v>
      </c>
      <c r="S1725" s="34" t="s">
        <v>5800</v>
      </c>
    </row>
    <row r="1726" spans="1:19" ht="229.5" x14ac:dyDescent="0.15">
      <c r="A1726" t="s">
        <v>1095</v>
      </c>
      <c r="B1726" s="61">
        <v>46235</v>
      </c>
      <c r="E1726" t="s">
        <v>355</v>
      </c>
      <c r="F1726" t="s">
        <v>351</v>
      </c>
      <c r="G1726" t="s">
        <v>352</v>
      </c>
      <c r="H1726" t="s">
        <v>353</v>
      </c>
      <c r="I1726">
        <v>3900037</v>
      </c>
      <c r="J1726" t="s">
        <v>4667</v>
      </c>
      <c r="K1726" t="s">
        <v>1542</v>
      </c>
      <c r="L1726" t="s">
        <v>390</v>
      </c>
      <c r="N1726" t="s">
        <v>5801</v>
      </c>
      <c r="O1726" t="s">
        <v>5802</v>
      </c>
      <c r="R1726" t="s">
        <v>3985</v>
      </c>
      <c r="S1726" s="34" t="s">
        <v>5803</v>
      </c>
    </row>
    <row r="1727" spans="1:19" ht="351" x14ac:dyDescent="0.15">
      <c r="A1727" t="s">
        <v>1095</v>
      </c>
      <c r="B1727" s="61">
        <v>46296</v>
      </c>
      <c r="E1727" t="s">
        <v>355</v>
      </c>
      <c r="F1727" t="s">
        <v>351</v>
      </c>
      <c r="G1727" t="s">
        <v>354</v>
      </c>
      <c r="H1727" t="s">
        <v>365</v>
      </c>
      <c r="I1727">
        <v>3700344</v>
      </c>
      <c r="J1727" t="s">
        <v>1112</v>
      </c>
      <c r="K1727" t="s">
        <v>1113</v>
      </c>
      <c r="L1727" t="s">
        <v>1114</v>
      </c>
      <c r="N1727" t="s">
        <v>5804</v>
      </c>
      <c r="O1727" t="s">
        <v>1116</v>
      </c>
      <c r="S1727" s="34" t="s">
        <v>5805</v>
      </c>
    </row>
    <row r="1728" spans="1:19" ht="409.5" x14ac:dyDescent="0.15">
      <c r="A1728" t="s">
        <v>1095</v>
      </c>
      <c r="B1728" s="61">
        <v>46327</v>
      </c>
      <c r="E1728" t="s">
        <v>355</v>
      </c>
      <c r="F1728" t="s">
        <v>351</v>
      </c>
      <c r="G1728" t="s">
        <v>354</v>
      </c>
      <c r="H1728" t="s">
        <v>353</v>
      </c>
      <c r="I1728">
        <v>3700150</v>
      </c>
      <c r="J1728" t="s">
        <v>873</v>
      </c>
      <c r="K1728" t="s">
        <v>1123</v>
      </c>
      <c r="L1728" t="s">
        <v>1114</v>
      </c>
      <c r="N1728" t="s">
        <v>1124</v>
      </c>
      <c r="O1728" t="s">
        <v>1125</v>
      </c>
      <c r="R1728" t="s">
        <v>3986</v>
      </c>
      <c r="S1728" s="34" t="s">
        <v>5806</v>
      </c>
    </row>
    <row r="1729" spans="1:19" ht="409.5" x14ac:dyDescent="0.15">
      <c r="A1729" t="s">
        <v>1095</v>
      </c>
      <c r="B1729" s="61">
        <v>46327</v>
      </c>
      <c r="E1729" t="s">
        <v>355</v>
      </c>
      <c r="F1729" t="s">
        <v>351</v>
      </c>
      <c r="G1729" t="s">
        <v>354</v>
      </c>
      <c r="H1729" t="s">
        <v>353</v>
      </c>
      <c r="I1729">
        <v>3700372</v>
      </c>
      <c r="J1729" t="s">
        <v>1128</v>
      </c>
      <c r="K1729" t="s">
        <v>1129</v>
      </c>
      <c r="L1729" t="s">
        <v>5807</v>
      </c>
      <c r="N1729" t="s">
        <v>5808</v>
      </c>
      <c r="O1729" t="s">
        <v>1132</v>
      </c>
      <c r="S1729" s="34" t="s">
        <v>5809</v>
      </c>
    </row>
    <row r="1730" spans="1:19" ht="364.5" x14ac:dyDescent="0.15">
      <c r="A1730" t="s">
        <v>1095</v>
      </c>
      <c r="B1730" s="61">
        <v>46327</v>
      </c>
      <c r="E1730" t="s">
        <v>355</v>
      </c>
      <c r="F1730" t="s">
        <v>351</v>
      </c>
      <c r="G1730" t="s">
        <v>354</v>
      </c>
      <c r="H1730" t="s">
        <v>353</v>
      </c>
      <c r="I1730">
        <v>3700372</v>
      </c>
      <c r="J1730" t="s">
        <v>1128</v>
      </c>
      <c r="K1730" t="s">
        <v>1129</v>
      </c>
      <c r="L1730" t="s">
        <v>5807</v>
      </c>
      <c r="N1730" t="s">
        <v>5810</v>
      </c>
      <c r="O1730" t="s">
        <v>1132</v>
      </c>
      <c r="R1730" t="s">
        <v>5811</v>
      </c>
      <c r="S1730" s="34" t="s">
        <v>5812</v>
      </c>
    </row>
    <row r="1731" spans="1:19" ht="364.5" x14ac:dyDescent="0.15">
      <c r="A1731" t="s">
        <v>1095</v>
      </c>
      <c r="B1731" s="61">
        <v>46327</v>
      </c>
      <c r="E1731" t="s">
        <v>355</v>
      </c>
      <c r="F1731" t="s">
        <v>351</v>
      </c>
      <c r="G1731" t="s">
        <v>354</v>
      </c>
      <c r="H1731" t="s">
        <v>353</v>
      </c>
      <c r="I1731">
        <v>3700372</v>
      </c>
      <c r="J1731" t="s">
        <v>1128</v>
      </c>
      <c r="K1731" t="s">
        <v>1129</v>
      </c>
      <c r="L1731" t="s">
        <v>5807</v>
      </c>
      <c r="N1731" t="s">
        <v>5813</v>
      </c>
      <c r="O1731" t="s">
        <v>1132</v>
      </c>
      <c r="R1731" t="s">
        <v>5814</v>
      </c>
      <c r="S1731" s="34" t="s">
        <v>5815</v>
      </c>
    </row>
    <row r="1732" spans="1:19" ht="409.5" x14ac:dyDescent="0.15">
      <c r="A1732" t="s">
        <v>1095</v>
      </c>
      <c r="B1732" s="61">
        <v>46327</v>
      </c>
      <c r="E1732" t="s">
        <v>355</v>
      </c>
      <c r="F1732" t="s">
        <v>351</v>
      </c>
      <c r="G1732" t="s">
        <v>354</v>
      </c>
      <c r="H1732" t="s">
        <v>353</v>
      </c>
      <c r="I1732">
        <v>3700380</v>
      </c>
      <c r="J1732" t="s">
        <v>1128</v>
      </c>
      <c r="K1732" t="s">
        <v>1129</v>
      </c>
      <c r="L1732" t="s">
        <v>5816</v>
      </c>
      <c r="N1732" t="s">
        <v>5817</v>
      </c>
      <c r="O1732" t="s">
        <v>5818</v>
      </c>
      <c r="S1732" s="34" t="s">
        <v>5819</v>
      </c>
    </row>
    <row r="1733" spans="1:19" ht="324" x14ac:dyDescent="0.15">
      <c r="A1733" t="s">
        <v>1095</v>
      </c>
      <c r="B1733" s="61">
        <v>46327</v>
      </c>
      <c r="E1733" t="s">
        <v>355</v>
      </c>
      <c r="F1733" t="s">
        <v>351</v>
      </c>
      <c r="G1733" t="s">
        <v>354</v>
      </c>
      <c r="H1733" t="s">
        <v>353</v>
      </c>
      <c r="I1733">
        <v>3700381</v>
      </c>
      <c r="J1733" t="s">
        <v>1128</v>
      </c>
      <c r="K1733" t="s">
        <v>1129</v>
      </c>
      <c r="L1733" t="s">
        <v>5820</v>
      </c>
      <c r="N1733" t="s">
        <v>5821</v>
      </c>
      <c r="O1733" t="s">
        <v>1135</v>
      </c>
      <c r="R1733" t="s">
        <v>3987</v>
      </c>
      <c r="S1733" s="34" t="s">
        <v>5822</v>
      </c>
    </row>
    <row r="1734" spans="1:19" ht="409.5" x14ac:dyDescent="0.15">
      <c r="A1734" t="s">
        <v>1095</v>
      </c>
      <c r="B1734" s="61">
        <v>46357</v>
      </c>
      <c r="E1734" t="s">
        <v>355</v>
      </c>
      <c r="F1734" t="s">
        <v>351</v>
      </c>
      <c r="G1734" t="s">
        <v>352</v>
      </c>
      <c r="H1734" t="s">
        <v>353</v>
      </c>
      <c r="I1734">
        <v>3700242</v>
      </c>
      <c r="J1734" t="s">
        <v>1065</v>
      </c>
      <c r="K1734" t="s">
        <v>5823</v>
      </c>
      <c r="L1734" t="s">
        <v>1114</v>
      </c>
      <c r="N1734" t="s">
        <v>5824</v>
      </c>
      <c r="O1734" t="s">
        <v>5825</v>
      </c>
      <c r="R1734" t="s">
        <v>3985</v>
      </c>
      <c r="S1734" s="34" t="s">
        <v>5826</v>
      </c>
    </row>
    <row r="1735" spans="1:19" ht="189" x14ac:dyDescent="0.15">
      <c r="A1735" t="s">
        <v>1095</v>
      </c>
      <c r="B1735" s="61">
        <v>46357</v>
      </c>
      <c r="E1735" t="s">
        <v>355</v>
      </c>
      <c r="F1735" t="s">
        <v>351</v>
      </c>
      <c r="G1735" t="s">
        <v>354</v>
      </c>
      <c r="H1735" t="s">
        <v>353</v>
      </c>
      <c r="I1735">
        <v>3900054</v>
      </c>
      <c r="J1735" t="s">
        <v>1594</v>
      </c>
      <c r="L1735" t="s">
        <v>390</v>
      </c>
      <c r="N1735" t="s">
        <v>5827</v>
      </c>
      <c r="O1735" t="s">
        <v>1595</v>
      </c>
      <c r="S1735" s="34" t="s">
        <v>5828</v>
      </c>
    </row>
    <row r="1736" spans="1:19" ht="409.5" x14ac:dyDescent="0.15">
      <c r="A1736" t="s">
        <v>1095</v>
      </c>
      <c r="B1736" s="61">
        <v>46357</v>
      </c>
      <c r="E1736" t="s">
        <v>355</v>
      </c>
      <c r="F1736" t="s">
        <v>351</v>
      </c>
      <c r="G1736" t="s">
        <v>354</v>
      </c>
      <c r="H1736" t="s">
        <v>309</v>
      </c>
      <c r="I1736">
        <v>3900054</v>
      </c>
      <c r="J1736" t="s">
        <v>1594</v>
      </c>
      <c r="L1736" t="s">
        <v>390</v>
      </c>
      <c r="N1736" t="s">
        <v>5829</v>
      </c>
      <c r="O1736" t="s">
        <v>1595</v>
      </c>
      <c r="S1736" s="34" t="s">
        <v>5830</v>
      </c>
    </row>
    <row r="1737" spans="1:19" ht="391.5" x14ac:dyDescent="0.15">
      <c r="A1737" t="s">
        <v>5831</v>
      </c>
      <c r="B1737" s="61">
        <v>46296</v>
      </c>
      <c r="E1737" t="s">
        <v>355</v>
      </c>
      <c r="F1737" t="s">
        <v>351</v>
      </c>
      <c r="G1737" t="s">
        <v>352</v>
      </c>
      <c r="H1737" t="s">
        <v>365</v>
      </c>
      <c r="I1737">
        <v>1100918</v>
      </c>
      <c r="J1737" t="s">
        <v>5836</v>
      </c>
      <c r="K1737" t="s">
        <v>5837</v>
      </c>
      <c r="L1737" t="s">
        <v>413</v>
      </c>
      <c r="N1737" t="s">
        <v>5838</v>
      </c>
      <c r="O1737" t="s">
        <v>5839</v>
      </c>
      <c r="R1737" t="s">
        <v>3985</v>
      </c>
      <c r="S1737" s="34" t="s">
        <v>5840</v>
      </c>
    </row>
    <row r="1738" spans="1:19" ht="216" x14ac:dyDescent="0.15">
      <c r="A1738" t="s">
        <v>5831</v>
      </c>
      <c r="B1738" s="61">
        <v>46296</v>
      </c>
      <c r="E1738" t="s">
        <v>355</v>
      </c>
      <c r="F1738" t="s">
        <v>351</v>
      </c>
      <c r="G1738" t="s">
        <v>352</v>
      </c>
      <c r="H1738" t="s">
        <v>353</v>
      </c>
      <c r="I1738">
        <v>1100918</v>
      </c>
      <c r="J1738" t="s">
        <v>5836</v>
      </c>
      <c r="K1738" t="s">
        <v>5837</v>
      </c>
      <c r="L1738" t="s">
        <v>413</v>
      </c>
      <c r="N1738" t="s">
        <v>5841</v>
      </c>
      <c r="O1738" t="s">
        <v>5839</v>
      </c>
      <c r="R1738" t="s">
        <v>3985</v>
      </c>
      <c r="S1738" s="34" t="s">
        <v>5842</v>
      </c>
    </row>
    <row r="1739" spans="1:19" ht="409.5" x14ac:dyDescent="0.15">
      <c r="A1739" t="s">
        <v>5831</v>
      </c>
      <c r="B1739" s="61">
        <v>46357</v>
      </c>
      <c r="E1739" t="s">
        <v>355</v>
      </c>
      <c r="F1739" t="s">
        <v>351</v>
      </c>
      <c r="G1739" t="s">
        <v>354</v>
      </c>
      <c r="H1739" t="s">
        <v>353</v>
      </c>
      <c r="I1739">
        <v>1102404</v>
      </c>
      <c r="J1739" t="s">
        <v>1851</v>
      </c>
      <c r="K1739" t="s">
        <v>897</v>
      </c>
      <c r="L1739" t="s">
        <v>3587</v>
      </c>
      <c r="N1739" t="s">
        <v>5843</v>
      </c>
      <c r="O1739" t="s">
        <v>3589</v>
      </c>
      <c r="S1739" s="34" t="s">
        <v>5844</v>
      </c>
    </row>
    <row r="1740" spans="1:19" ht="409.5" x14ac:dyDescent="0.15">
      <c r="A1740" t="s">
        <v>5845</v>
      </c>
      <c r="B1740" s="61">
        <v>46266</v>
      </c>
      <c r="E1740" t="s">
        <v>355</v>
      </c>
      <c r="F1740" t="s">
        <v>351</v>
      </c>
      <c r="G1740" t="s">
        <v>354</v>
      </c>
      <c r="H1740" t="s">
        <v>353</v>
      </c>
      <c r="I1740">
        <v>1000454</v>
      </c>
      <c r="J1740" t="s">
        <v>3531</v>
      </c>
      <c r="K1740" t="s">
        <v>3590</v>
      </c>
      <c r="L1740" t="s">
        <v>5846</v>
      </c>
      <c r="N1740" t="s">
        <v>3592</v>
      </c>
      <c r="O1740" t="s">
        <v>3593</v>
      </c>
      <c r="S1740" s="34" t="s">
        <v>5847</v>
      </c>
    </row>
    <row r="1741" spans="1:19" ht="409.5" x14ac:dyDescent="0.15">
      <c r="A1741" t="s">
        <v>5845</v>
      </c>
      <c r="B1741" s="61">
        <v>46266</v>
      </c>
      <c r="E1741" t="s">
        <v>355</v>
      </c>
      <c r="F1741" t="s">
        <v>351</v>
      </c>
      <c r="G1741" t="s">
        <v>354</v>
      </c>
      <c r="H1741" t="s">
        <v>686</v>
      </c>
      <c r="I1741">
        <v>1101606</v>
      </c>
      <c r="J1741" t="s">
        <v>5848</v>
      </c>
      <c r="K1741" t="s">
        <v>5849</v>
      </c>
      <c r="L1741" t="s">
        <v>5850</v>
      </c>
      <c r="N1741" t="s">
        <v>5851</v>
      </c>
      <c r="O1741" t="s">
        <v>5852</v>
      </c>
      <c r="S1741" s="34" t="s">
        <v>5853</v>
      </c>
    </row>
    <row r="1742" spans="1:19" ht="243" x14ac:dyDescent="0.15">
      <c r="A1742" t="s">
        <v>5845</v>
      </c>
      <c r="B1742" s="61">
        <v>46296</v>
      </c>
      <c r="E1742" t="s">
        <v>355</v>
      </c>
      <c r="F1742" t="s">
        <v>351</v>
      </c>
      <c r="G1742" t="s">
        <v>354</v>
      </c>
      <c r="H1742" t="s">
        <v>353</v>
      </c>
      <c r="I1742">
        <v>1000993</v>
      </c>
      <c r="J1742" t="s">
        <v>3598</v>
      </c>
      <c r="K1742" t="s">
        <v>891</v>
      </c>
      <c r="L1742" t="s">
        <v>3599</v>
      </c>
      <c r="N1742" t="s">
        <v>3605</v>
      </c>
      <c r="O1742" t="s">
        <v>3601</v>
      </c>
      <c r="R1742" t="s">
        <v>3987</v>
      </c>
      <c r="S1742" s="34" t="s">
        <v>5854</v>
      </c>
    </row>
    <row r="1743" spans="1:19" ht="216" x14ac:dyDescent="0.15">
      <c r="A1743" t="s">
        <v>5845</v>
      </c>
      <c r="B1743" s="61">
        <v>46296</v>
      </c>
      <c r="E1743" t="s">
        <v>355</v>
      </c>
      <c r="F1743" t="s">
        <v>351</v>
      </c>
      <c r="G1743" t="s">
        <v>354</v>
      </c>
      <c r="H1743" t="s">
        <v>365</v>
      </c>
      <c r="I1743">
        <v>1000993</v>
      </c>
      <c r="J1743" t="s">
        <v>3598</v>
      </c>
      <c r="K1743" t="s">
        <v>891</v>
      </c>
      <c r="L1743" t="s">
        <v>3599</v>
      </c>
      <c r="N1743" t="s">
        <v>3600</v>
      </c>
      <c r="O1743" t="s">
        <v>3601</v>
      </c>
      <c r="R1743" t="s">
        <v>3987</v>
      </c>
      <c r="S1743" s="34" t="s">
        <v>5855</v>
      </c>
    </row>
    <row r="1744" spans="1:19" ht="189" x14ac:dyDescent="0.15">
      <c r="A1744" t="s">
        <v>5845</v>
      </c>
      <c r="B1744" s="61">
        <v>46296</v>
      </c>
      <c r="E1744" t="s">
        <v>355</v>
      </c>
      <c r="F1744" t="s">
        <v>351</v>
      </c>
      <c r="G1744" t="s">
        <v>354</v>
      </c>
      <c r="H1744" t="s">
        <v>353</v>
      </c>
      <c r="I1744">
        <v>1102437</v>
      </c>
      <c r="J1744" t="s">
        <v>3609</v>
      </c>
      <c r="K1744" t="s">
        <v>3610</v>
      </c>
      <c r="L1744" t="s">
        <v>2082</v>
      </c>
      <c r="N1744" t="s">
        <v>5856</v>
      </c>
      <c r="O1744" t="s">
        <v>3615</v>
      </c>
      <c r="R1744" t="s">
        <v>3987</v>
      </c>
      <c r="S1744" s="34" t="s">
        <v>5857</v>
      </c>
    </row>
    <row r="1745" spans="1:19" ht="409.5" x14ac:dyDescent="0.15">
      <c r="A1745" t="s">
        <v>5845</v>
      </c>
      <c r="B1745" s="61">
        <v>46296</v>
      </c>
      <c r="E1745" t="s">
        <v>355</v>
      </c>
      <c r="F1745" t="s">
        <v>351</v>
      </c>
      <c r="G1745" t="s">
        <v>354</v>
      </c>
      <c r="H1745" t="s">
        <v>365</v>
      </c>
      <c r="I1745">
        <v>1102437</v>
      </c>
      <c r="J1745" t="s">
        <v>3609</v>
      </c>
      <c r="K1745" t="s">
        <v>3610</v>
      </c>
      <c r="L1745" t="s">
        <v>2082</v>
      </c>
      <c r="N1745" t="s">
        <v>5858</v>
      </c>
      <c r="O1745" t="s">
        <v>3615</v>
      </c>
      <c r="R1745" t="s">
        <v>3987</v>
      </c>
      <c r="S1745" s="34" t="s">
        <v>5859</v>
      </c>
    </row>
    <row r="1746" spans="1:19" ht="378" x14ac:dyDescent="0.15">
      <c r="A1746" t="s">
        <v>5845</v>
      </c>
      <c r="B1746" s="61">
        <v>46327</v>
      </c>
      <c r="E1746" t="s">
        <v>355</v>
      </c>
      <c r="F1746" t="s">
        <v>351</v>
      </c>
      <c r="G1746" t="s">
        <v>354</v>
      </c>
      <c r="H1746" t="s">
        <v>309</v>
      </c>
      <c r="I1746">
        <v>1100271</v>
      </c>
      <c r="J1746" t="s">
        <v>2033</v>
      </c>
      <c r="K1746" t="s">
        <v>897</v>
      </c>
      <c r="L1746" t="s">
        <v>5860</v>
      </c>
      <c r="N1746" t="s">
        <v>5861</v>
      </c>
      <c r="O1746" t="s">
        <v>5862</v>
      </c>
      <c r="R1746" t="s">
        <v>3992</v>
      </c>
      <c r="S1746" s="34" t="s">
        <v>5863</v>
      </c>
    </row>
    <row r="1747" spans="1:19" ht="256.5" x14ac:dyDescent="0.15">
      <c r="A1747" t="s">
        <v>5845</v>
      </c>
      <c r="B1747" s="61">
        <v>46327</v>
      </c>
      <c r="E1747" t="s">
        <v>355</v>
      </c>
      <c r="F1747" t="s">
        <v>351</v>
      </c>
      <c r="G1747" t="s">
        <v>354</v>
      </c>
      <c r="H1747" t="s">
        <v>353</v>
      </c>
      <c r="I1747">
        <v>1102171</v>
      </c>
      <c r="J1747" t="s">
        <v>4383</v>
      </c>
      <c r="K1747" t="s">
        <v>4384</v>
      </c>
      <c r="L1747" t="s">
        <v>5864</v>
      </c>
      <c r="N1747" t="s">
        <v>5865</v>
      </c>
      <c r="O1747" t="s">
        <v>5866</v>
      </c>
      <c r="R1747" t="s">
        <v>4012</v>
      </c>
      <c r="S1747" s="34" t="s">
        <v>5867</v>
      </c>
    </row>
    <row r="1748" spans="1:19" ht="409.5" x14ac:dyDescent="0.15">
      <c r="A1748" t="s">
        <v>5845</v>
      </c>
      <c r="B1748" s="61">
        <v>46357</v>
      </c>
      <c r="E1748" t="s">
        <v>355</v>
      </c>
      <c r="F1748" t="s">
        <v>351</v>
      </c>
      <c r="G1748" t="s">
        <v>354</v>
      </c>
      <c r="H1748" t="s">
        <v>353</v>
      </c>
      <c r="I1748">
        <v>1000454</v>
      </c>
      <c r="J1748" t="s">
        <v>3531</v>
      </c>
      <c r="K1748" t="s">
        <v>3590</v>
      </c>
      <c r="L1748" t="s">
        <v>5846</v>
      </c>
      <c r="N1748" t="s">
        <v>5868</v>
      </c>
      <c r="O1748" t="s">
        <v>3593</v>
      </c>
      <c r="R1748" t="s">
        <v>5869</v>
      </c>
      <c r="S1748" s="34" t="s">
        <v>5870</v>
      </c>
    </row>
    <row r="1749" spans="1:19" ht="229.5" x14ac:dyDescent="0.15">
      <c r="A1749" t="s">
        <v>1145</v>
      </c>
      <c r="B1749" s="61">
        <v>46235</v>
      </c>
      <c r="E1749" t="s">
        <v>355</v>
      </c>
      <c r="F1749" t="s">
        <v>351</v>
      </c>
      <c r="G1749" t="s">
        <v>352</v>
      </c>
      <c r="H1749" t="s">
        <v>365</v>
      </c>
      <c r="I1749">
        <v>100766</v>
      </c>
      <c r="J1749" t="s">
        <v>5871</v>
      </c>
      <c r="K1749" t="s">
        <v>5872</v>
      </c>
      <c r="L1749" t="s">
        <v>1148</v>
      </c>
      <c r="N1749" t="s">
        <v>5873</v>
      </c>
      <c r="O1749" t="s">
        <v>5874</v>
      </c>
      <c r="R1749" t="s">
        <v>3985</v>
      </c>
      <c r="S1749" s="34" t="s">
        <v>5875</v>
      </c>
    </row>
    <row r="1750" spans="1:19" ht="229.5" x14ac:dyDescent="0.15">
      <c r="A1750" t="s">
        <v>1145</v>
      </c>
      <c r="B1750" s="61">
        <v>46235</v>
      </c>
      <c r="E1750" t="s">
        <v>355</v>
      </c>
      <c r="F1750" t="s">
        <v>351</v>
      </c>
      <c r="G1750" t="s">
        <v>354</v>
      </c>
      <c r="H1750" t="s">
        <v>365</v>
      </c>
      <c r="I1750">
        <v>100810</v>
      </c>
      <c r="J1750" t="s">
        <v>1174</v>
      </c>
      <c r="K1750" t="s">
        <v>1175</v>
      </c>
      <c r="L1750" t="s">
        <v>1176</v>
      </c>
      <c r="N1750" t="s">
        <v>1177</v>
      </c>
      <c r="O1750" t="s">
        <v>1178</v>
      </c>
      <c r="R1750" t="s">
        <v>3986</v>
      </c>
      <c r="S1750" s="34" t="s">
        <v>5876</v>
      </c>
    </row>
    <row r="1751" spans="1:19" ht="409.5" x14ac:dyDescent="0.15">
      <c r="A1751" t="s">
        <v>1145</v>
      </c>
      <c r="B1751" s="61">
        <v>46235</v>
      </c>
      <c r="E1751" t="s">
        <v>355</v>
      </c>
      <c r="F1751" t="s">
        <v>351</v>
      </c>
      <c r="G1751" t="s">
        <v>354</v>
      </c>
      <c r="H1751" t="s">
        <v>686</v>
      </c>
      <c r="I1751">
        <v>100874</v>
      </c>
      <c r="J1751" t="s">
        <v>4718</v>
      </c>
      <c r="K1751" t="s">
        <v>4719</v>
      </c>
      <c r="L1751" t="s">
        <v>5156</v>
      </c>
      <c r="N1751">
        <v>2180214</v>
      </c>
      <c r="O1751" t="s">
        <v>4898</v>
      </c>
      <c r="S1751" s="34" t="s">
        <v>5878</v>
      </c>
    </row>
    <row r="1752" spans="1:19" ht="409.5" x14ac:dyDescent="0.15">
      <c r="A1752" t="s">
        <v>1145</v>
      </c>
      <c r="B1752" s="61">
        <v>46266</v>
      </c>
      <c r="E1752" t="s">
        <v>355</v>
      </c>
      <c r="F1752" t="s">
        <v>351</v>
      </c>
      <c r="G1752" t="s">
        <v>352</v>
      </c>
      <c r="H1752" t="s">
        <v>353</v>
      </c>
      <c r="I1752">
        <v>100002</v>
      </c>
      <c r="J1752" t="s">
        <v>1212</v>
      </c>
      <c r="K1752" t="s">
        <v>4011</v>
      </c>
      <c r="L1752" t="s">
        <v>1214</v>
      </c>
      <c r="N1752" t="s">
        <v>5879</v>
      </c>
      <c r="O1752" t="s">
        <v>1216</v>
      </c>
      <c r="R1752" t="s">
        <v>3985</v>
      </c>
      <c r="S1752" s="34" t="s">
        <v>5880</v>
      </c>
    </row>
    <row r="1753" spans="1:19" ht="391.5" x14ac:dyDescent="0.15">
      <c r="A1753" t="s">
        <v>1145</v>
      </c>
      <c r="B1753" s="61">
        <v>46266</v>
      </c>
      <c r="E1753" t="s">
        <v>355</v>
      </c>
      <c r="F1753" t="s">
        <v>351</v>
      </c>
      <c r="G1753" t="s">
        <v>352</v>
      </c>
      <c r="H1753" t="s">
        <v>353</v>
      </c>
      <c r="I1753">
        <v>100721</v>
      </c>
      <c r="J1753" t="s">
        <v>1201</v>
      </c>
      <c r="L1753" t="s">
        <v>833</v>
      </c>
      <c r="N1753" t="s">
        <v>5881</v>
      </c>
      <c r="O1753" t="s">
        <v>1203</v>
      </c>
      <c r="R1753" t="s">
        <v>3985</v>
      </c>
      <c r="S1753" s="34" t="s">
        <v>5882</v>
      </c>
    </row>
    <row r="1754" spans="1:19" ht="243" x14ac:dyDescent="0.15">
      <c r="A1754" t="s">
        <v>1145</v>
      </c>
      <c r="B1754" s="61">
        <v>46266</v>
      </c>
      <c r="E1754" t="s">
        <v>355</v>
      </c>
      <c r="F1754" t="s">
        <v>351</v>
      </c>
      <c r="G1754" t="s">
        <v>354</v>
      </c>
      <c r="H1754" t="s">
        <v>353</v>
      </c>
      <c r="I1754">
        <v>100820</v>
      </c>
      <c r="J1754" t="s">
        <v>5883</v>
      </c>
      <c r="K1754" t="s">
        <v>5884</v>
      </c>
      <c r="L1754" t="s">
        <v>390</v>
      </c>
      <c r="N1754" t="s">
        <v>5885</v>
      </c>
      <c r="O1754" t="s">
        <v>5886</v>
      </c>
      <c r="R1754" t="s">
        <v>3987</v>
      </c>
      <c r="S1754" s="34" t="s">
        <v>5887</v>
      </c>
    </row>
    <row r="1755" spans="1:19" ht="202.5" x14ac:dyDescent="0.15">
      <c r="A1755" t="s">
        <v>1145</v>
      </c>
      <c r="B1755" s="61">
        <v>46266</v>
      </c>
      <c r="E1755" t="s">
        <v>355</v>
      </c>
      <c r="F1755" t="s">
        <v>351</v>
      </c>
      <c r="G1755" t="s">
        <v>354</v>
      </c>
      <c r="H1755" t="s">
        <v>353</v>
      </c>
      <c r="I1755">
        <v>100859</v>
      </c>
      <c r="J1755" t="s">
        <v>427</v>
      </c>
      <c r="K1755" t="s">
        <v>5888</v>
      </c>
      <c r="L1755" t="s">
        <v>466</v>
      </c>
      <c r="N1755" t="s">
        <v>5889</v>
      </c>
      <c r="O1755" t="s">
        <v>5890</v>
      </c>
      <c r="S1755" s="34" t="s">
        <v>5891</v>
      </c>
    </row>
    <row r="1756" spans="1:19" ht="409.5" x14ac:dyDescent="0.15">
      <c r="A1756" t="s">
        <v>1145</v>
      </c>
      <c r="B1756" s="61">
        <v>46266</v>
      </c>
      <c r="E1756" t="s">
        <v>355</v>
      </c>
      <c r="F1756" t="s">
        <v>351</v>
      </c>
      <c r="G1756" t="s">
        <v>354</v>
      </c>
      <c r="H1756" t="s">
        <v>353</v>
      </c>
      <c r="I1756">
        <v>100859</v>
      </c>
      <c r="J1756" t="s">
        <v>427</v>
      </c>
      <c r="K1756" t="s">
        <v>5888</v>
      </c>
      <c r="L1756" t="s">
        <v>466</v>
      </c>
      <c r="N1756" t="s">
        <v>5892</v>
      </c>
      <c r="O1756" t="s">
        <v>5890</v>
      </c>
      <c r="S1756" s="34" t="s">
        <v>5893</v>
      </c>
    </row>
    <row r="1757" spans="1:19" ht="270" x14ac:dyDescent="0.15">
      <c r="A1757" t="s">
        <v>1145</v>
      </c>
      <c r="B1757" s="61">
        <v>46266</v>
      </c>
      <c r="E1757" t="s">
        <v>355</v>
      </c>
      <c r="F1757" t="s">
        <v>351</v>
      </c>
      <c r="G1757" t="s">
        <v>354</v>
      </c>
      <c r="H1757" t="s">
        <v>686</v>
      </c>
      <c r="I1757">
        <v>100859</v>
      </c>
      <c r="J1757" t="s">
        <v>427</v>
      </c>
      <c r="K1757" t="s">
        <v>5888</v>
      </c>
      <c r="L1757" t="s">
        <v>466</v>
      </c>
      <c r="N1757">
        <v>2140558</v>
      </c>
      <c r="O1757" t="s">
        <v>5890</v>
      </c>
      <c r="S1757" s="34" t="s">
        <v>5894</v>
      </c>
    </row>
    <row r="1758" spans="1:19" ht="409.5" x14ac:dyDescent="0.15">
      <c r="A1758" t="s">
        <v>1145</v>
      </c>
      <c r="B1758" s="61">
        <v>46266</v>
      </c>
      <c r="E1758" t="s">
        <v>355</v>
      </c>
      <c r="F1758" t="s">
        <v>351</v>
      </c>
      <c r="G1758" t="s">
        <v>354</v>
      </c>
      <c r="H1758" t="s">
        <v>686</v>
      </c>
      <c r="I1758">
        <v>100882</v>
      </c>
      <c r="J1758" t="s">
        <v>4718</v>
      </c>
      <c r="K1758" t="s">
        <v>4719</v>
      </c>
      <c r="L1758" t="s">
        <v>4720</v>
      </c>
      <c r="N1758">
        <v>2176272</v>
      </c>
      <c r="O1758" t="s">
        <v>4722</v>
      </c>
      <c r="S1758" s="34" t="s">
        <v>5895</v>
      </c>
    </row>
    <row r="1759" spans="1:19" ht="409.5" x14ac:dyDescent="0.15">
      <c r="A1759" t="s">
        <v>1145</v>
      </c>
      <c r="B1759" s="61">
        <v>46296</v>
      </c>
      <c r="E1759" t="s">
        <v>355</v>
      </c>
      <c r="F1759" t="s">
        <v>351</v>
      </c>
      <c r="G1759" t="s">
        <v>354</v>
      </c>
      <c r="H1759" t="s">
        <v>686</v>
      </c>
      <c r="I1759">
        <v>100385</v>
      </c>
      <c r="J1759" t="s">
        <v>974</v>
      </c>
      <c r="K1759" t="s">
        <v>5896</v>
      </c>
      <c r="L1759" t="s">
        <v>2233</v>
      </c>
      <c r="N1759">
        <v>2158272</v>
      </c>
      <c r="O1759" t="s">
        <v>5897</v>
      </c>
      <c r="R1759" t="s">
        <v>3992</v>
      </c>
      <c r="S1759" s="34" t="s">
        <v>5898</v>
      </c>
    </row>
    <row r="1760" spans="1:19" ht="409.5" x14ac:dyDescent="0.15">
      <c r="A1760" t="s">
        <v>1145</v>
      </c>
      <c r="B1760" s="61">
        <v>46296</v>
      </c>
      <c r="E1760" t="s">
        <v>355</v>
      </c>
      <c r="F1760" t="s">
        <v>351</v>
      </c>
      <c r="G1760" t="s">
        <v>354</v>
      </c>
      <c r="H1760" t="s">
        <v>365</v>
      </c>
      <c r="I1760">
        <v>100571</v>
      </c>
      <c r="J1760" t="s">
        <v>5899</v>
      </c>
      <c r="K1760" t="s">
        <v>5900</v>
      </c>
      <c r="L1760" t="s">
        <v>5901</v>
      </c>
      <c r="N1760" t="s">
        <v>5902</v>
      </c>
      <c r="O1760" t="s">
        <v>5903</v>
      </c>
      <c r="R1760" t="s">
        <v>5904</v>
      </c>
      <c r="S1760" s="34" t="s">
        <v>5905</v>
      </c>
    </row>
    <row r="1761" spans="1:19" ht="189" x14ac:dyDescent="0.15">
      <c r="A1761" t="s">
        <v>1145</v>
      </c>
      <c r="B1761" s="61">
        <v>46296</v>
      </c>
      <c r="E1761" t="s">
        <v>355</v>
      </c>
      <c r="F1761" t="s">
        <v>351</v>
      </c>
      <c r="G1761" t="s">
        <v>354</v>
      </c>
      <c r="H1761" t="s">
        <v>353</v>
      </c>
      <c r="I1761">
        <v>100831</v>
      </c>
      <c r="J1761" t="s">
        <v>5899</v>
      </c>
      <c r="K1761" t="s">
        <v>5900</v>
      </c>
      <c r="L1761" t="s">
        <v>5906</v>
      </c>
      <c r="N1761" t="s">
        <v>5907</v>
      </c>
      <c r="O1761" t="s">
        <v>5908</v>
      </c>
      <c r="R1761" t="s">
        <v>3987</v>
      </c>
      <c r="S1761" s="34" t="s">
        <v>5909</v>
      </c>
    </row>
    <row r="1762" spans="1:19" ht="409.5" x14ac:dyDescent="0.15">
      <c r="A1762" t="s">
        <v>1145</v>
      </c>
      <c r="B1762" s="61">
        <v>46296</v>
      </c>
      <c r="E1762" t="s">
        <v>355</v>
      </c>
      <c r="F1762" t="s">
        <v>351</v>
      </c>
      <c r="G1762" t="s">
        <v>354</v>
      </c>
      <c r="H1762" t="s">
        <v>686</v>
      </c>
      <c r="I1762">
        <v>100864</v>
      </c>
      <c r="J1762" t="s">
        <v>1212</v>
      </c>
      <c r="K1762" t="s">
        <v>4011</v>
      </c>
      <c r="L1762" t="s">
        <v>1222</v>
      </c>
      <c r="N1762">
        <v>2132477</v>
      </c>
      <c r="O1762" t="s">
        <v>1224</v>
      </c>
      <c r="R1762" t="s">
        <v>3987</v>
      </c>
      <c r="S1762" s="34" t="s">
        <v>5910</v>
      </c>
    </row>
    <row r="1763" spans="1:19" ht="409.5" x14ac:dyDescent="0.15">
      <c r="A1763" t="s">
        <v>1145</v>
      </c>
      <c r="B1763" s="61">
        <v>46296</v>
      </c>
      <c r="E1763" t="s">
        <v>355</v>
      </c>
      <c r="F1763" t="s">
        <v>351</v>
      </c>
      <c r="G1763" t="s">
        <v>354</v>
      </c>
      <c r="H1763" t="s">
        <v>353</v>
      </c>
      <c r="I1763">
        <v>100864</v>
      </c>
      <c r="J1763" t="s">
        <v>1212</v>
      </c>
      <c r="K1763" t="s">
        <v>4011</v>
      </c>
      <c r="L1763" t="s">
        <v>1222</v>
      </c>
      <c r="N1763" t="s">
        <v>5911</v>
      </c>
      <c r="O1763" t="s">
        <v>1224</v>
      </c>
      <c r="R1763" t="s">
        <v>3987</v>
      </c>
      <c r="S1763" s="34" t="s">
        <v>5912</v>
      </c>
    </row>
    <row r="1764" spans="1:19" ht="256.5" x14ac:dyDescent="0.15">
      <c r="A1764" t="s">
        <v>1145</v>
      </c>
      <c r="B1764" s="61">
        <v>46327</v>
      </c>
      <c r="E1764" t="s">
        <v>355</v>
      </c>
      <c r="F1764" t="s">
        <v>351</v>
      </c>
      <c r="G1764" t="s">
        <v>354</v>
      </c>
      <c r="H1764" t="s">
        <v>353</v>
      </c>
      <c r="I1764">
        <v>100058</v>
      </c>
      <c r="J1764" t="s">
        <v>5913</v>
      </c>
      <c r="K1764" t="s">
        <v>451</v>
      </c>
      <c r="L1764" t="s">
        <v>390</v>
      </c>
      <c r="N1764" t="s">
        <v>5914</v>
      </c>
      <c r="O1764" t="s">
        <v>5915</v>
      </c>
      <c r="R1764" t="s">
        <v>4052</v>
      </c>
      <c r="S1764" s="34" t="s">
        <v>5916</v>
      </c>
    </row>
    <row r="1765" spans="1:19" ht="324" x14ac:dyDescent="0.15">
      <c r="A1765" t="s">
        <v>1145</v>
      </c>
      <c r="B1765" s="61">
        <v>46327</v>
      </c>
      <c r="E1765" t="s">
        <v>355</v>
      </c>
      <c r="F1765" t="s">
        <v>351</v>
      </c>
      <c r="G1765" t="s">
        <v>354</v>
      </c>
      <c r="H1765" t="s">
        <v>686</v>
      </c>
      <c r="I1765">
        <v>100058</v>
      </c>
      <c r="J1765" t="s">
        <v>5913</v>
      </c>
      <c r="K1765" t="s">
        <v>451</v>
      </c>
      <c r="L1765" t="s">
        <v>390</v>
      </c>
      <c r="N1765">
        <v>2178405</v>
      </c>
      <c r="O1765" t="s">
        <v>5915</v>
      </c>
      <c r="R1765" t="s">
        <v>4052</v>
      </c>
      <c r="S1765" s="34" t="s">
        <v>5917</v>
      </c>
    </row>
    <row r="1766" spans="1:19" ht="229.5" x14ac:dyDescent="0.15">
      <c r="A1766" t="s">
        <v>1145</v>
      </c>
      <c r="B1766" s="61">
        <v>46327</v>
      </c>
      <c r="E1766" t="s">
        <v>355</v>
      </c>
      <c r="F1766" t="s">
        <v>351</v>
      </c>
      <c r="G1766" t="s">
        <v>354</v>
      </c>
      <c r="H1766" t="s">
        <v>365</v>
      </c>
      <c r="I1766">
        <v>100060</v>
      </c>
      <c r="J1766" t="s">
        <v>1189</v>
      </c>
      <c r="K1766" t="s">
        <v>1190</v>
      </c>
      <c r="L1766" t="s">
        <v>1191</v>
      </c>
      <c r="N1766" t="s">
        <v>1192</v>
      </c>
      <c r="O1766" t="s">
        <v>1193</v>
      </c>
      <c r="R1766" t="s">
        <v>3987</v>
      </c>
      <c r="S1766" s="34" t="s">
        <v>5918</v>
      </c>
    </row>
    <row r="1767" spans="1:19" ht="409.5" x14ac:dyDescent="0.15">
      <c r="A1767" t="s">
        <v>1145</v>
      </c>
      <c r="B1767" s="61">
        <v>46327</v>
      </c>
      <c r="E1767" t="s">
        <v>355</v>
      </c>
      <c r="F1767" t="s">
        <v>351</v>
      </c>
      <c r="G1767" t="s">
        <v>354</v>
      </c>
      <c r="H1767" t="s">
        <v>353</v>
      </c>
      <c r="I1767">
        <v>100882</v>
      </c>
      <c r="J1767" t="s">
        <v>4718</v>
      </c>
      <c r="K1767" t="s">
        <v>4719</v>
      </c>
      <c r="L1767" t="s">
        <v>4720</v>
      </c>
      <c r="N1767" t="s">
        <v>5919</v>
      </c>
      <c r="O1767" t="s">
        <v>4722</v>
      </c>
      <c r="S1767" s="34" t="s">
        <v>5920</v>
      </c>
    </row>
    <row r="1768" spans="1:19" ht="409.5" x14ac:dyDescent="0.15">
      <c r="A1768" t="s">
        <v>1145</v>
      </c>
      <c r="B1768" s="61">
        <v>46327</v>
      </c>
      <c r="E1768" t="s">
        <v>355</v>
      </c>
      <c r="F1768" t="s">
        <v>351</v>
      </c>
      <c r="G1768" t="s">
        <v>354</v>
      </c>
      <c r="H1768" t="s">
        <v>686</v>
      </c>
      <c r="I1768">
        <v>100882</v>
      </c>
      <c r="J1768" t="s">
        <v>4718</v>
      </c>
      <c r="K1768" t="s">
        <v>4719</v>
      </c>
      <c r="L1768" t="s">
        <v>4720</v>
      </c>
      <c r="N1768">
        <v>2176272</v>
      </c>
      <c r="O1768" t="s">
        <v>4722</v>
      </c>
      <c r="S1768" s="34" t="s">
        <v>5921</v>
      </c>
    </row>
    <row r="1769" spans="1:19" ht="409.5" x14ac:dyDescent="0.15">
      <c r="A1769" t="s">
        <v>1145</v>
      </c>
      <c r="B1769" s="61">
        <v>46357</v>
      </c>
      <c r="E1769" t="s">
        <v>355</v>
      </c>
      <c r="F1769" t="s">
        <v>351</v>
      </c>
      <c r="G1769" t="s">
        <v>354</v>
      </c>
      <c r="H1769" t="s">
        <v>365</v>
      </c>
      <c r="I1769">
        <v>100115</v>
      </c>
      <c r="J1769" t="s">
        <v>1159</v>
      </c>
      <c r="K1769" t="s">
        <v>1160</v>
      </c>
      <c r="L1769" t="s">
        <v>1161</v>
      </c>
      <c r="N1769" t="s">
        <v>5922</v>
      </c>
      <c r="O1769" t="s">
        <v>1163</v>
      </c>
      <c r="R1769" t="s">
        <v>3987</v>
      </c>
      <c r="S1769" s="34" t="s">
        <v>5923</v>
      </c>
    </row>
    <row r="1770" spans="1:19" ht="409.5" x14ac:dyDescent="0.15">
      <c r="A1770" t="s">
        <v>1145</v>
      </c>
      <c r="B1770" s="61">
        <v>46357</v>
      </c>
      <c r="E1770" t="s">
        <v>355</v>
      </c>
      <c r="F1770" t="s">
        <v>351</v>
      </c>
      <c r="G1770" t="s">
        <v>354</v>
      </c>
      <c r="H1770" t="s">
        <v>353</v>
      </c>
      <c r="I1770">
        <v>100854</v>
      </c>
      <c r="J1770" t="s">
        <v>5924</v>
      </c>
      <c r="K1770" t="s">
        <v>5925</v>
      </c>
      <c r="L1770" t="s">
        <v>5926</v>
      </c>
      <c r="N1770" t="s">
        <v>5927</v>
      </c>
      <c r="O1770" t="s">
        <v>5928</v>
      </c>
      <c r="R1770" t="s">
        <v>3987</v>
      </c>
      <c r="S1770" s="34" t="s">
        <v>5929</v>
      </c>
    </row>
    <row r="1771" spans="1:19" ht="409.5" x14ac:dyDescent="0.15">
      <c r="A1771" t="s">
        <v>1234</v>
      </c>
      <c r="B1771" s="61">
        <v>46235</v>
      </c>
      <c r="E1771" t="s">
        <v>355</v>
      </c>
      <c r="F1771" t="s">
        <v>351</v>
      </c>
      <c r="G1771" t="s">
        <v>352</v>
      </c>
      <c r="H1771" t="s">
        <v>310</v>
      </c>
      <c r="I1771">
        <v>2400763</v>
      </c>
      <c r="J1771" t="s">
        <v>5930</v>
      </c>
      <c r="L1771" t="s">
        <v>5931</v>
      </c>
      <c r="N1771" t="s">
        <v>5932</v>
      </c>
      <c r="O1771" t="s">
        <v>5933</v>
      </c>
      <c r="R1771" t="s">
        <v>3958</v>
      </c>
      <c r="S1771" s="34" t="s">
        <v>5934</v>
      </c>
    </row>
    <row r="1772" spans="1:19" ht="229.5" x14ac:dyDescent="0.15">
      <c r="A1772" t="s">
        <v>1234</v>
      </c>
      <c r="B1772" s="61">
        <v>46296</v>
      </c>
      <c r="E1772" t="s">
        <v>355</v>
      </c>
      <c r="F1772" t="s">
        <v>351</v>
      </c>
      <c r="G1772" t="s">
        <v>354</v>
      </c>
      <c r="H1772" t="s">
        <v>365</v>
      </c>
      <c r="I1772">
        <v>2401224</v>
      </c>
      <c r="J1772" t="s">
        <v>1279</v>
      </c>
      <c r="K1772" t="s">
        <v>1280</v>
      </c>
      <c r="L1772" t="s">
        <v>1281</v>
      </c>
      <c r="N1772" t="s">
        <v>1282</v>
      </c>
      <c r="O1772" t="s">
        <v>1283</v>
      </c>
      <c r="R1772" t="s">
        <v>3987</v>
      </c>
      <c r="S1772" s="34" t="s">
        <v>5948</v>
      </c>
    </row>
    <row r="1773" spans="1:19" ht="409.5" x14ac:dyDescent="0.15">
      <c r="A1773" t="s">
        <v>1234</v>
      </c>
      <c r="B1773" s="61">
        <v>46296</v>
      </c>
      <c r="E1773" t="s">
        <v>355</v>
      </c>
      <c r="F1773" t="s">
        <v>351</v>
      </c>
      <c r="G1773" t="s">
        <v>354</v>
      </c>
      <c r="H1773" t="s">
        <v>353</v>
      </c>
      <c r="I1773">
        <v>2401259</v>
      </c>
      <c r="J1773" t="s">
        <v>1274</v>
      </c>
      <c r="K1773" t="s">
        <v>1275</v>
      </c>
      <c r="L1773" t="s">
        <v>5949</v>
      </c>
      <c r="N1773" t="s">
        <v>5950</v>
      </c>
      <c r="O1773" t="s">
        <v>1278</v>
      </c>
      <c r="R1773" t="s">
        <v>3987</v>
      </c>
      <c r="S1773" s="34" t="s">
        <v>5951</v>
      </c>
    </row>
    <row r="1774" spans="1:19" ht="409.5" x14ac:dyDescent="0.15">
      <c r="A1774" t="s">
        <v>1234</v>
      </c>
      <c r="B1774" s="61">
        <v>46296</v>
      </c>
      <c r="E1774" t="s">
        <v>355</v>
      </c>
      <c r="F1774" t="s">
        <v>351</v>
      </c>
      <c r="G1774" t="s">
        <v>354</v>
      </c>
      <c r="H1774" t="s">
        <v>686</v>
      </c>
      <c r="I1774">
        <v>2401259</v>
      </c>
      <c r="J1774" t="s">
        <v>1274</v>
      </c>
      <c r="K1774" t="s">
        <v>1275</v>
      </c>
      <c r="L1774" t="s">
        <v>5949</v>
      </c>
      <c r="N1774">
        <v>2164244</v>
      </c>
      <c r="O1774" t="s">
        <v>1278</v>
      </c>
      <c r="R1774" t="s">
        <v>3987</v>
      </c>
      <c r="S1774" s="34" t="s">
        <v>5952</v>
      </c>
    </row>
    <row r="1775" spans="1:19" ht="409.5" x14ac:dyDescent="0.15">
      <c r="A1775" t="s">
        <v>1234</v>
      </c>
      <c r="B1775" s="61">
        <v>46327</v>
      </c>
      <c r="E1775" t="s">
        <v>355</v>
      </c>
      <c r="F1775" t="s">
        <v>351</v>
      </c>
      <c r="G1775" t="s">
        <v>354</v>
      </c>
      <c r="H1775" t="s">
        <v>353</v>
      </c>
      <c r="I1775">
        <v>2401238</v>
      </c>
      <c r="J1775" t="s">
        <v>1255</v>
      </c>
      <c r="K1775" t="s">
        <v>1256</v>
      </c>
      <c r="L1775" t="s">
        <v>466</v>
      </c>
      <c r="N1775" t="s">
        <v>5953</v>
      </c>
      <c r="O1775" t="s">
        <v>1258</v>
      </c>
      <c r="R1775" t="s">
        <v>3987</v>
      </c>
      <c r="S1775" s="34" t="s">
        <v>5954</v>
      </c>
    </row>
    <row r="1776" spans="1:19" ht="409.5" x14ac:dyDescent="0.15">
      <c r="A1776" t="s">
        <v>1234</v>
      </c>
      <c r="B1776" s="61">
        <v>46327</v>
      </c>
      <c r="E1776" t="s">
        <v>355</v>
      </c>
      <c r="F1776" t="s">
        <v>351</v>
      </c>
      <c r="G1776" t="s">
        <v>354</v>
      </c>
      <c r="H1776" t="s">
        <v>686</v>
      </c>
      <c r="I1776">
        <v>2401238</v>
      </c>
      <c r="J1776" t="s">
        <v>1255</v>
      </c>
      <c r="K1776" t="s">
        <v>1256</v>
      </c>
      <c r="L1776" t="s">
        <v>466</v>
      </c>
      <c r="N1776">
        <v>2169778</v>
      </c>
      <c r="O1776" t="s">
        <v>1258</v>
      </c>
      <c r="R1776" t="s">
        <v>3987</v>
      </c>
      <c r="S1776" s="34" t="s">
        <v>5955</v>
      </c>
    </row>
    <row r="1777" spans="1:19" ht="409.5" x14ac:dyDescent="0.15">
      <c r="A1777" t="s">
        <v>1234</v>
      </c>
      <c r="B1777" s="61">
        <v>46357</v>
      </c>
      <c r="E1777" t="s">
        <v>355</v>
      </c>
      <c r="F1777" t="s">
        <v>351</v>
      </c>
      <c r="G1777" t="s">
        <v>354</v>
      </c>
      <c r="H1777" t="s">
        <v>365</v>
      </c>
      <c r="I1777">
        <v>2303217</v>
      </c>
      <c r="J1777" t="s">
        <v>1284</v>
      </c>
      <c r="K1777" t="s">
        <v>1285</v>
      </c>
      <c r="L1777" t="s">
        <v>1087</v>
      </c>
      <c r="N1777" t="s">
        <v>5956</v>
      </c>
      <c r="O1777" t="s">
        <v>1287</v>
      </c>
      <c r="R1777" t="s">
        <v>4052</v>
      </c>
      <c r="S1777" s="34" t="s">
        <v>5957</v>
      </c>
    </row>
    <row r="1778" spans="1:19" ht="409.5" x14ac:dyDescent="0.15">
      <c r="A1778" t="s">
        <v>1234</v>
      </c>
      <c r="B1778" s="61">
        <v>46357</v>
      </c>
      <c r="E1778" t="s">
        <v>355</v>
      </c>
      <c r="F1778" t="s">
        <v>351</v>
      </c>
      <c r="G1778" t="s">
        <v>354</v>
      </c>
      <c r="H1778" t="s">
        <v>686</v>
      </c>
      <c r="I1778">
        <v>2303217</v>
      </c>
      <c r="J1778" t="s">
        <v>1284</v>
      </c>
      <c r="K1778" t="s">
        <v>1285</v>
      </c>
      <c r="L1778" t="s">
        <v>1087</v>
      </c>
      <c r="N1778" t="s">
        <v>7647</v>
      </c>
      <c r="O1778" t="s">
        <v>1287</v>
      </c>
      <c r="R1778" t="s">
        <v>4052</v>
      </c>
      <c r="S1778" s="34" t="s">
        <v>7648</v>
      </c>
    </row>
    <row r="1779" spans="1:19" ht="409.5" x14ac:dyDescent="0.15">
      <c r="A1779" t="s">
        <v>1234</v>
      </c>
      <c r="B1779" s="61">
        <v>46357</v>
      </c>
      <c r="E1779" t="s">
        <v>355</v>
      </c>
      <c r="F1779" t="s">
        <v>351</v>
      </c>
      <c r="G1779" t="s">
        <v>354</v>
      </c>
      <c r="H1779" t="s">
        <v>353</v>
      </c>
      <c r="I1779">
        <v>2401254</v>
      </c>
      <c r="J1779" t="s">
        <v>1250</v>
      </c>
      <c r="K1779" t="s">
        <v>1256</v>
      </c>
      <c r="L1779" t="s">
        <v>1276</v>
      </c>
      <c r="N1779" t="s">
        <v>5959</v>
      </c>
      <c r="O1779" t="s">
        <v>3964</v>
      </c>
      <c r="R1779" t="s">
        <v>3987</v>
      </c>
      <c r="S1779" s="34" t="s">
        <v>5960</v>
      </c>
    </row>
    <row r="1780" spans="1:19" ht="409.5" x14ac:dyDescent="0.15">
      <c r="A1780" t="s">
        <v>1297</v>
      </c>
      <c r="B1780" s="61">
        <v>46235</v>
      </c>
      <c r="E1780" t="s">
        <v>355</v>
      </c>
      <c r="F1780" t="s">
        <v>351</v>
      </c>
      <c r="G1780" t="s">
        <v>352</v>
      </c>
      <c r="H1780" t="s">
        <v>353</v>
      </c>
      <c r="I1780">
        <v>2400318</v>
      </c>
      <c r="J1780" t="s">
        <v>1333</v>
      </c>
      <c r="K1780" t="s">
        <v>1334</v>
      </c>
      <c r="L1780" t="s">
        <v>1335</v>
      </c>
      <c r="N1780" t="s">
        <v>1336</v>
      </c>
      <c r="O1780" t="s">
        <v>1337</v>
      </c>
      <c r="R1780" t="s">
        <v>3985</v>
      </c>
      <c r="S1780" s="34" t="s">
        <v>5961</v>
      </c>
    </row>
    <row r="1781" spans="1:19" ht="409.5" x14ac:dyDescent="0.15">
      <c r="A1781" t="s">
        <v>1297</v>
      </c>
      <c r="B1781" s="61">
        <v>46235</v>
      </c>
      <c r="E1781" t="s">
        <v>355</v>
      </c>
      <c r="F1781" t="s">
        <v>351</v>
      </c>
      <c r="G1781" t="s">
        <v>354</v>
      </c>
      <c r="H1781" t="s">
        <v>686</v>
      </c>
      <c r="I1781">
        <v>2400318</v>
      </c>
      <c r="J1781" t="s">
        <v>1333</v>
      </c>
      <c r="K1781" t="s">
        <v>1334</v>
      </c>
      <c r="L1781" t="s">
        <v>1335</v>
      </c>
      <c r="N1781">
        <v>2162683</v>
      </c>
      <c r="O1781" t="s">
        <v>1337</v>
      </c>
      <c r="R1781" t="s">
        <v>3985</v>
      </c>
      <c r="S1781" s="34" t="s">
        <v>5962</v>
      </c>
    </row>
    <row r="1782" spans="1:19" ht="409.5" x14ac:dyDescent="0.15">
      <c r="A1782" t="s">
        <v>1297</v>
      </c>
      <c r="B1782" s="61">
        <v>46235</v>
      </c>
      <c r="E1782" t="s">
        <v>355</v>
      </c>
      <c r="F1782" t="s">
        <v>351</v>
      </c>
      <c r="G1782" t="s">
        <v>354</v>
      </c>
      <c r="H1782" t="s">
        <v>353</v>
      </c>
      <c r="I1782">
        <v>2400890</v>
      </c>
      <c r="J1782" t="s">
        <v>1302</v>
      </c>
      <c r="K1782" t="s">
        <v>1303</v>
      </c>
      <c r="L1782" t="s">
        <v>1304</v>
      </c>
      <c r="N1782" t="s">
        <v>5963</v>
      </c>
      <c r="O1782" t="s">
        <v>1306</v>
      </c>
      <c r="R1782" t="s">
        <v>4012</v>
      </c>
      <c r="S1782" s="34" t="s">
        <v>5964</v>
      </c>
    </row>
    <row r="1783" spans="1:19" ht="409.5" x14ac:dyDescent="0.15">
      <c r="A1783" t="s">
        <v>1297</v>
      </c>
      <c r="B1783" s="61">
        <v>46266</v>
      </c>
      <c r="E1783" t="s">
        <v>355</v>
      </c>
      <c r="F1783" t="s">
        <v>351</v>
      </c>
      <c r="G1783" t="s">
        <v>354</v>
      </c>
      <c r="H1783" t="s">
        <v>353</v>
      </c>
      <c r="I1783">
        <v>2400722</v>
      </c>
      <c r="J1783" t="s">
        <v>1338</v>
      </c>
      <c r="K1783" t="s">
        <v>1339</v>
      </c>
      <c r="L1783" t="s">
        <v>1340</v>
      </c>
      <c r="N1783" t="s">
        <v>5965</v>
      </c>
      <c r="O1783" t="s">
        <v>1342</v>
      </c>
      <c r="R1783" t="s">
        <v>4012</v>
      </c>
      <c r="S1783" s="34" t="s">
        <v>5966</v>
      </c>
    </row>
    <row r="1784" spans="1:19" ht="243" x14ac:dyDescent="0.15">
      <c r="A1784" t="s">
        <v>1297</v>
      </c>
      <c r="B1784" s="61">
        <v>46266</v>
      </c>
      <c r="E1784" t="s">
        <v>355</v>
      </c>
      <c r="F1784" t="s">
        <v>351</v>
      </c>
      <c r="G1784" t="s">
        <v>354</v>
      </c>
      <c r="H1784" t="s">
        <v>353</v>
      </c>
      <c r="I1784">
        <v>2400851</v>
      </c>
      <c r="J1784" t="s">
        <v>1349</v>
      </c>
      <c r="K1784" t="s">
        <v>1350</v>
      </c>
      <c r="L1784" t="s">
        <v>413</v>
      </c>
      <c r="N1784" t="s">
        <v>1351</v>
      </c>
      <c r="O1784" t="s">
        <v>1352</v>
      </c>
      <c r="R1784" t="s">
        <v>3986</v>
      </c>
      <c r="S1784" s="34" t="s">
        <v>5967</v>
      </c>
    </row>
    <row r="1785" spans="1:19" ht="324" x14ac:dyDescent="0.15">
      <c r="A1785" t="s">
        <v>1297</v>
      </c>
      <c r="B1785" s="61">
        <v>46266</v>
      </c>
      <c r="E1785" t="s">
        <v>355</v>
      </c>
      <c r="F1785" t="s">
        <v>351</v>
      </c>
      <c r="G1785" t="s">
        <v>354</v>
      </c>
      <c r="H1785" t="s">
        <v>353</v>
      </c>
      <c r="I1785">
        <v>2401251</v>
      </c>
      <c r="J1785" t="s">
        <v>5968</v>
      </c>
      <c r="K1785" t="s">
        <v>5969</v>
      </c>
      <c r="L1785" t="s">
        <v>5970</v>
      </c>
      <c r="N1785" t="s">
        <v>5971</v>
      </c>
      <c r="O1785" t="s">
        <v>5972</v>
      </c>
      <c r="S1785" s="34" t="s">
        <v>5973</v>
      </c>
    </row>
    <row r="1786" spans="1:19" ht="229.5" x14ac:dyDescent="0.15">
      <c r="A1786" t="s">
        <v>1297</v>
      </c>
      <c r="B1786" s="61">
        <v>46296</v>
      </c>
      <c r="E1786" t="s">
        <v>355</v>
      </c>
      <c r="F1786" t="s">
        <v>351</v>
      </c>
      <c r="G1786" t="s">
        <v>352</v>
      </c>
      <c r="H1786" t="s">
        <v>353</v>
      </c>
      <c r="I1786">
        <v>2400134</v>
      </c>
      <c r="J1786" t="s">
        <v>5974</v>
      </c>
      <c r="K1786" t="s">
        <v>1071</v>
      </c>
      <c r="L1786" t="s">
        <v>5975</v>
      </c>
      <c r="N1786" t="s">
        <v>5976</v>
      </c>
      <c r="O1786" t="s">
        <v>5977</v>
      </c>
      <c r="R1786" t="s">
        <v>3985</v>
      </c>
      <c r="S1786" s="34" t="s">
        <v>5978</v>
      </c>
    </row>
    <row r="1787" spans="1:19" ht="409.5" x14ac:dyDescent="0.15">
      <c r="A1787" t="s">
        <v>1297</v>
      </c>
      <c r="B1787" s="61">
        <v>46296</v>
      </c>
      <c r="E1787" t="s">
        <v>355</v>
      </c>
      <c r="F1787" t="s">
        <v>351</v>
      </c>
      <c r="G1787" t="s">
        <v>352</v>
      </c>
      <c r="H1787" t="s">
        <v>353</v>
      </c>
      <c r="I1787">
        <v>2400143</v>
      </c>
      <c r="J1787" t="s">
        <v>1308</v>
      </c>
      <c r="K1787" t="s">
        <v>1309</v>
      </c>
      <c r="L1787" t="s">
        <v>1310</v>
      </c>
      <c r="N1787" t="s">
        <v>1311</v>
      </c>
      <c r="O1787" t="s">
        <v>1312</v>
      </c>
      <c r="R1787" t="s">
        <v>3985</v>
      </c>
      <c r="S1787" s="34" t="s">
        <v>5979</v>
      </c>
    </row>
    <row r="1788" spans="1:19" ht="409.5" x14ac:dyDescent="0.15">
      <c r="A1788" t="s">
        <v>1297</v>
      </c>
      <c r="B1788" s="61">
        <v>46296</v>
      </c>
      <c r="E1788" t="s">
        <v>355</v>
      </c>
      <c r="F1788" t="s">
        <v>351</v>
      </c>
      <c r="G1788" t="s">
        <v>354</v>
      </c>
      <c r="H1788" t="s">
        <v>353</v>
      </c>
      <c r="I1788">
        <v>2400519</v>
      </c>
      <c r="J1788" t="s">
        <v>4061</v>
      </c>
      <c r="K1788" t="s">
        <v>4062</v>
      </c>
      <c r="L1788" t="s">
        <v>4063</v>
      </c>
      <c r="N1788" t="s">
        <v>7363</v>
      </c>
      <c r="O1788" t="s">
        <v>4065</v>
      </c>
      <c r="R1788" t="s">
        <v>3987</v>
      </c>
      <c r="S1788" s="34" t="s">
        <v>5985</v>
      </c>
    </row>
    <row r="1789" spans="1:19" ht="189" x14ac:dyDescent="0.15">
      <c r="A1789" t="s">
        <v>1297</v>
      </c>
      <c r="B1789" s="61">
        <v>46296</v>
      </c>
      <c r="E1789" t="s">
        <v>355</v>
      </c>
      <c r="F1789" t="s">
        <v>351</v>
      </c>
      <c r="G1789" t="s">
        <v>354</v>
      </c>
      <c r="H1789" t="s">
        <v>686</v>
      </c>
      <c r="I1789">
        <v>2401227</v>
      </c>
      <c r="J1789" t="s">
        <v>503</v>
      </c>
      <c r="K1789" t="s">
        <v>1265</v>
      </c>
      <c r="L1789" t="s">
        <v>5986</v>
      </c>
      <c r="N1789">
        <v>2178432</v>
      </c>
      <c r="O1789" t="s">
        <v>5987</v>
      </c>
      <c r="R1789" t="s">
        <v>3987</v>
      </c>
      <c r="S1789" s="34" t="s">
        <v>5988</v>
      </c>
    </row>
    <row r="1790" spans="1:19" ht="216" x14ac:dyDescent="0.15">
      <c r="A1790" t="s">
        <v>1297</v>
      </c>
      <c r="B1790" s="61">
        <v>46357</v>
      </c>
      <c r="E1790" t="s">
        <v>355</v>
      </c>
      <c r="F1790" t="s">
        <v>351</v>
      </c>
      <c r="G1790" t="s">
        <v>354</v>
      </c>
      <c r="H1790" t="s">
        <v>353</v>
      </c>
      <c r="I1790">
        <v>2400136</v>
      </c>
      <c r="J1790" t="s">
        <v>896</v>
      </c>
      <c r="K1790" t="s">
        <v>1265</v>
      </c>
      <c r="L1790" t="s">
        <v>4715</v>
      </c>
      <c r="N1790" t="s">
        <v>4716</v>
      </c>
      <c r="O1790" t="s">
        <v>4717</v>
      </c>
      <c r="S1790" s="34" t="s">
        <v>5989</v>
      </c>
    </row>
    <row r="1791" spans="1:19" ht="216" x14ac:dyDescent="0.15">
      <c r="A1791" t="s">
        <v>1297</v>
      </c>
      <c r="B1791" s="61">
        <v>46357</v>
      </c>
      <c r="E1791" t="s">
        <v>355</v>
      </c>
      <c r="F1791" t="s">
        <v>351</v>
      </c>
      <c r="G1791" t="s">
        <v>354</v>
      </c>
      <c r="H1791" t="s">
        <v>686</v>
      </c>
      <c r="I1791">
        <v>2400136</v>
      </c>
      <c r="J1791" t="s">
        <v>896</v>
      </c>
      <c r="K1791" t="s">
        <v>1265</v>
      </c>
      <c r="L1791" t="s">
        <v>4715</v>
      </c>
      <c r="N1791">
        <v>2176257</v>
      </c>
      <c r="O1791" t="s">
        <v>4717</v>
      </c>
      <c r="S1791" s="34" t="s">
        <v>5990</v>
      </c>
    </row>
    <row r="1792" spans="1:19" ht="162" x14ac:dyDescent="0.15">
      <c r="A1792" t="s">
        <v>1354</v>
      </c>
      <c r="B1792" s="61">
        <v>46235</v>
      </c>
      <c r="E1792" t="s">
        <v>355</v>
      </c>
      <c r="F1792" t="s">
        <v>351</v>
      </c>
      <c r="G1792" t="s">
        <v>354</v>
      </c>
      <c r="H1792" t="s">
        <v>353</v>
      </c>
      <c r="I1792">
        <v>3200109</v>
      </c>
      <c r="J1792" t="s">
        <v>5991</v>
      </c>
      <c r="K1792" t="s">
        <v>5992</v>
      </c>
      <c r="L1792" t="s">
        <v>5993</v>
      </c>
      <c r="N1792" t="s">
        <v>5994</v>
      </c>
      <c r="O1792" t="s">
        <v>5995</v>
      </c>
      <c r="S1792" s="34" t="s">
        <v>5996</v>
      </c>
    </row>
    <row r="1793" spans="1:19" ht="409.5" x14ac:dyDescent="0.15">
      <c r="A1793" t="s">
        <v>1354</v>
      </c>
      <c r="B1793" s="61">
        <v>46357</v>
      </c>
      <c r="E1793" t="s">
        <v>355</v>
      </c>
      <c r="F1793" t="s">
        <v>351</v>
      </c>
      <c r="G1793" t="s">
        <v>354</v>
      </c>
      <c r="H1793" t="s">
        <v>353</v>
      </c>
      <c r="I1793">
        <v>3100079</v>
      </c>
      <c r="J1793" t="s">
        <v>1065</v>
      </c>
      <c r="K1793" t="s">
        <v>2972</v>
      </c>
      <c r="L1793" t="s">
        <v>2973</v>
      </c>
      <c r="N1793" t="s">
        <v>2974</v>
      </c>
      <c r="O1793" t="s">
        <v>2975</v>
      </c>
      <c r="S1793" s="34" t="s">
        <v>5997</v>
      </c>
    </row>
    <row r="1794" spans="1:19" ht="409.5" x14ac:dyDescent="0.15">
      <c r="A1794" t="s">
        <v>1354</v>
      </c>
      <c r="B1794" s="61">
        <v>46357</v>
      </c>
      <c r="E1794" t="s">
        <v>355</v>
      </c>
      <c r="F1794" t="s">
        <v>351</v>
      </c>
      <c r="G1794" t="s">
        <v>354</v>
      </c>
      <c r="H1794" t="s">
        <v>353</v>
      </c>
      <c r="I1794">
        <v>3100141</v>
      </c>
      <c r="J1794" t="s">
        <v>4309</v>
      </c>
      <c r="K1794" t="s">
        <v>4310</v>
      </c>
      <c r="L1794" t="s">
        <v>390</v>
      </c>
      <c r="N1794" t="s">
        <v>5998</v>
      </c>
      <c r="O1794" t="s">
        <v>4312</v>
      </c>
      <c r="S1794" s="34" t="s">
        <v>5999</v>
      </c>
    </row>
    <row r="1795" spans="1:19" ht="243" x14ac:dyDescent="0.15">
      <c r="A1795" t="s">
        <v>1354</v>
      </c>
      <c r="B1795" s="61">
        <v>46357</v>
      </c>
      <c r="E1795" t="s">
        <v>355</v>
      </c>
      <c r="F1795" t="s">
        <v>351</v>
      </c>
      <c r="G1795" t="s">
        <v>354</v>
      </c>
      <c r="H1795" t="s">
        <v>365</v>
      </c>
      <c r="I1795">
        <v>3100141</v>
      </c>
      <c r="J1795" t="s">
        <v>4309</v>
      </c>
      <c r="K1795" t="s">
        <v>4310</v>
      </c>
      <c r="L1795" t="s">
        <v>390</v>
      </c>
      <c r="N1795" t="s">
        <v>4762</v>
      </c>
      <c r="O1795" t="s">
        <v>4312</v>
      </c>
      <c r="S1795" s="34" t="s">
        <v>6000</v>
      </c>
    </row>
    <row r="1796" spans="1:19" ht="409.5" x14ac:dyDescent="0.15">
      <c r="A1796" t="s">
        <v>1359</v>
      </c>
      <c r="B1796" s="61">
        <v>46296</v>
      </c>
      <c r="E1796" t="s">
        <v>355</v>
      </c>
      <c r="F1796" t="s">
        <v>351</v>
      </c>
      <c r="G1796" t="s">
        <v>352</v>
      </c>
      <c r="H1796" t="s">
        <v>353</v>
      </c>
      <c r="I1796">
        <v>3500331</v>
      </c>
      <c r="J1796" t="s">
        <v>1376</v>
      </c>
      <c r="L1796" t="s">
        <v>6001</v>
      </c>
      <c r="N1796" t="s">
        <v>6002</v>
      </c>
      <c r="O1796" t="s">
        <v>6003</v>
      </c>
      <c r="R1796" t="s">
        <v>3985</v>
      </c>
      <c r="S1796" s="34" t="s">
        <v>6004</v>
      </c>
    </row>
    <row r="1797" spans="1:19" ht="202.5" x14ac:dyDescent="0.15">
      <c r="A1797" t="s">
        <v>1359</v>
      </c>
      <c r="B1797" s="61">
        <v>46296</v>
      </c>
      <c r="E1797" t="s">
        <v>355</v>
      </c>
      <c r="F1797" t="s">
        <v>351</v>
      </c>
      <c r="G1797" t="s">
        <v>354</v>
      </c>
      <c r="H1797" t="s">
        <v>686</v>
      </c>
      <c r="I1797">
        <v>3500331</v>
      </c>
      <c r="J1797" t="s">
        <v>1376</v>
      </c>
      <c r="L1797" t="s">
        <v>6001</v>
      </c>
      <c r="N1797">
        <v>2113204</v>
      </c>
      <c r="O1797" t="s">
        <v>6003</v>
      </c>
      <c r="S1797" s="34" t="s">
        <v>6005</v>
      </c>
    </row>
    <row r="1798" spans="1:19" ht="243" x14ac:dyDescent="0.15">
      <c r="A1798" t="s">
        <v>1390</v>
      </c>
      <c r="B1798" s="61">
        <v>46235</v>
      </c>
      <c r="E1798" t="s">
        <v>355</v>
      </c>
      <c r="F1798" t="s">
        <v>351</v>
      </c>
      <c r="G1798" t="s">
        <v>354</v>
      </c>
      <c r="H1798" t="s">
        <v>310</v>
      </c>
      <c r="I1798">
        <v>1900137</v>
      </c>
      <c r="J1798" t="s">
        <v>6006</v>
      </c>
      <c r="L1798" t="s">
        <v>6007</v>
      </c>
      <c r="N1798" t="s">
        <v>6008</v>
      </c>
      <c r="O1798" t="s">
        <v>6009</v>
      </c>
      <c r="R1798" t="s">
        <v>6010</v>
      </c>
      <c r="S1798" s="34" t="s">
        <v>6011</v>
      </c>
    </row>
    <row r="1799" spans="1:19" ht="243" x14ac:dyDescent="0.15">
      <c r="A1799" t="s">
        <v>1390</v>
      </c>
      <c r="B1799" s="61">
        <v>46235</v>
      </c>
      <c r="E1799" t="s">
        <v>355</v>
      </c>
      <c r="F1799" t="s">
        <v>351</v>
      </c>
      <c r="G1799" t="s">
        <v>354</v>
      </c>
      <c r="H1799" t="s">
        <v>310</v>
      </c>
      <c r="I1799">
        <v>1900206</v>
      </c>
      <c r="J1799" t="s">
        <v>6006</v>
      </c>
      <c r="L1799" t="s">
        <v>6012</v>
      </c>
      <c r="N1799" t="s">
        <v>6013</v>
      </c>
      <c r="O1799" t="s">
        <v>6014</v>
      </c>
      <c r="R1799" t="s">
        <v>6010</v>
      </c>
      <c r="S1799" s="34" t="s">
        <v>6015</v>
      </c>
    </row>
    <row r="1800" spans="1:19" ht="409.5" x14ac:dyDescent="0.15">
      <c r="A1800" t="s">
        <v>1390</v>
      </c>
      <c r="B1800" s="61">
        <v>46266</v>
      </c>
      <c r="E1800" t="s">
        <v>355</v>
      </c>
      <c r="F1800" t="s">
        <v>351</v>
      </c>
      <c r="G1800" t="s">
        <v>354</v>
      </c>
      <c r="H1800" t="s">
        <v>353</v>
      </c>
      <c r="I1800">
        <v>1900452</v>
      </c>
      <c r="J1800" t="s">
        <v>1400</v>
      </c>
      <c r="K1800" t="s">
        <v>1401</v>
      </c>
      <c r="L1800" t="s">
        <v>718</v>
      </c>
      <c r="N1800" t="s">
        <v>6016</v>
      </c>
      <c r="O1800" t="s">
        <v>1403</v>
      </c>
      <c r="S1800" s="34" t="s">
        <v>6017</v>
      </c>
    </row>
    <row r="1801" spans="1:19" ht="391.5" x14ac:dyDescent="0.15">
      <c r="A1801" t="s">
        <v>1390</v>
      </c>
      <c r="B1801" s="61">
        <v>46296</v>
      </c>
      <c r="E1801" t="s">
        <v>355</v>
      </c>
      <c r="F1801" t="s">
        <v>351</v>
      </c>
      <c r="G1801" t="s">
        <v>354</v>
      </c>
      <c r="H1801" t="s">
        <v>686</v>
      </c>
      <c r="I1801">
        <v>1900292</v>
      </c>
      <c r="J1801" t="s">
        <v>1212</v>
      </c>
      <c r="K1801" t="s">
        <v>4045</v>
      </c>
      <c r="L1801" t="s">
        <v>833</v>
      </c>
      <c r="N1801">
        <v>2144123</v>
      </c>
      <c r="O1801" t="s">
        <v>4046</v>
      </c>
      <c r="R1801" t="s">
        <v>4052</v>
      </c>
      <c r="S1801" s="34" t="s">
        <v>6018</v>
      </c>
    </row>
    <row r="1802" spans="1:19" ht="409.5" x14ac:dyDescent="0.15">
      <c r="A1802" t="s">
        <v>1390</v>
      </c>
      <c r="B1802" s="61">
        <v>46296</v>
      </c>
      <c r="E1802" t="s">
        <v>355</v>
      </c>
      <c r="F1802" t="s">
        <v>351</v>
      </c>
      <c r="G1802" t="s">
        <v>354</v>
      </c>
      <c r="H1802" t="s">
        <v>309</v>
      </c>
      <c r="I1802">
        <v>1900292</v>
      </c>
      <c r="J1802" t="s">
        <v>1212</v>
      </c>
      <c r="K1802" t="s">
        <v>4045</v>
      </c>
      <c r="L1802" t="s">
        <v>833</v>
      </c>
      <c r="N1802" t="s">
        <v>6019</v>
      </c>
      <c r="O1802" t="s">
        <v>4046</v>
      </c>
      <c r="R1802" t="s">
        <v>4052</v>
      </c>
      <c r="S1802" s="34" t="s">
        <v>6020</v>
      </c>
    </row>
    <row r="1803" spans="1:19" ht="378" x14ac:dyDescent="0.15">
      <c r="A1803" t="s">
        <v>1390</v>
      </c>
      <c r="B1803" s="61">
        <v>46327</v>
      </c>
      <c r="E1803" t="s">
        <v>355</v>
      </c>
      <c r="F1803" t="s">
        <v>351</v>
      </c>
      <c r="G1803" t="s">
        <v>354</v>
      </c>
      <c r="H1803" t="s">
        <v>365</v>
      </c>
      <c r="I1803">
        <v>1900242</v>
      </c>
      <c r="J1803" t="s">
        <v>1419</v>
      </c>
      <c r="L1803" t="s">
        <v>698</v>
      </c>
      <c r="N1803" t="s">
        <v>1420</v>
      </c>
      <c r="O1803" t="s">
        <v>1421</v>
      </c>
      <c r="S1803" s="34" t="s">
        <v>6021</v>
      </c>
    </row>
    <row r="1804" spans="1:19" ht="229.5" x14ac:dyDescent="0.15">
      <c r="A1804" t="s">
        <v>1390</v>
      </c>
      <c r="B1804" s="61">
        <v>46327</v>
      </c>
      <c r="E1804" t="s">
        <v>355</v>
      </c>
      <c r="F1804" t="s">
        <v>351</v>
      </c>
      <c r="G1804" t="s">
        <v>352</v>
      </c>
      <c r="H1804" t="s">
        <v>353</v>
      </c>
      <c r="I1804">
        <v>1900275</v>
      </c>
      <c r="J1804" t="s">
        <v>5036</v>
      </c>
      <c r="L1804" t="s">
        <v>6022</v>
      </c>
      <c r="N1804" t="s">
        <v>6023</v>
      </c>
      <c r="O1804" t="s">
        <v>6024</v>
      </c>
      <c r="R1804" t="s">
        <v>3985</v>
      </c>
      <c r="S1804" s="34" t="s">
        <v>6025</v>
      </c>
    </row>
    <row r="1805" spans="1:19" ht="229.5" x14ac:dyDescent="0.15">
      <c r="A1805" t="s">
        <v>1390</v>
      </c>
      <c r="B1805" s="61">
        <v>46327</v>
      </c>
      <c r="E1805" t="s">
        <v>355</v>
      </c>
      <c r="F1805" t="s">
        <v>351</v>
      </c>
      <c r="G1805" t="s">
        <v>352</v>
      </c>
      <c r="H1805" t="s">
        <v>365</v>
      </c>
      <c r="I1805">
        <v>1900394</v>
      </c>
      <c r="J1805" t="s">
        <v>6026</v>
      </c>
      <c r="K1805" t="s">
        <v>6027</v>
      </c>
      <c r="L1805" t="s">
        <v>6028</v>
      </c>
      <c r="N1805" t="s">
        <v>6029</v>
      </c>
      <c r="O1805" t="s">
        <v>6030</v>
      </c>
      <c r="R1805" t="s">
        <v>3985</v>
      </c>
      <c r="S1805" s="34" t="s">
        <v>6031</v>
      </c>
    </row>
    <row r="1806" spans="1:19" ht="409.5" x14ac:dyDescent="0.15">
      <c r="A1806" t="s">
        <v>1424</v>
      </c>
      <c r="B1806" s="61">
        <v>46235</v>
      </c>
      <c r="E1806" t="s">
        <v>355</v>
      </c>
      <c r="F1806" t="s">
        <v>351</v>
      </c>
      <c r="G1806" t="s">
        <v>354</v>
      </c>
      <c r="H1806" t="s">
        <v>353</v>
      </c>
      <c r="I1806">
        <v>1201546</v>
      </c>
      <c r="J1806" t="s">
        <v>3016</v>
      </c>
      <c r="K1806" t="s">
        <v>3017</v>
      </c>
      <c r="L1806" t="s">
        <v>3018</v>
      </c>
      <c r="N1806" t="s">
        <v>7364</v>
      </c>
      <c r="O1806" t="s">
        <v>3020</v>
      </c>
      <c r="R1806" t="s">
        <v>3987</v>
      </c>
      <c r="S1806" s="34" t="s">
        <v>6032</v>
      </c>
    </row>
    <row r="1807" spans="1:19" ht="270" x14ac:dyDescent="0.15">
      <c r="A1807" t="s">
        <v>1424</v>
      </c>
      <c r="B1807" s="61">
        <v>46235</v>
      </c>
      <c r="E1807" t="s">
        <v>355</v>
      </c>
      <c r="F1807" t="s">
        <v>351</v>
      </c>
      <c r="G1807" t="s">
        <v>354</v>
      </c>
      <c r="H1807" t="s">
        <v>686</v>
      </c>
      <c r="I1807">
        <v>1201611</v>
      </c>
      <c r="J1807" t="s">
        <v>1431</v>
      </c>
      <c r="K1807" t="s">
        <v>1432</v>
      </c>
      <c r="L1807" t="s">
        <v>413</v>
      </c>
      <c r="N1807">
        <v>2163885</v>
      </c>
      <c r="O1807" t="s">
        <v>1434</v>
      </c>
      <c r="R1807" t="s">
        <v>3987</v>
      </c>
      <c r="S1807" s="34" t="s">
        <v>6033</v>
      </c>
    </row>
    <row r="1808" spans="1:19" ht="409.5" x14ac:dyDescent="0.15">
      <c r="A1808" t="s">
        <v>1424</v>
      </c>
      <c r="B1808" s="61">
        <v>46235</v>
      </c>
      <c r="E1808" t="s">
        <v>355</v>
      </c>
      <c r="F1808" t="s">
        <v>351</v>
      </c>
      <c r="G1808" t="s">
        <v>354</v>
      </c>
      <c r="H1808" t="s">
        <v>353</v>
      </c>
      <c r="I1808">
        <v>1201651</v>
      </c>
      <c r="J1808" t="s">
        <v>5108</v>
      </c>
      <c r="K1808" t="s">
        <v>4142</v>
      </c>
      <c r="L1808" t="s">
        <v>6034</v>
      </c>
      <c r="N1808" t="s">
        <v>6035</v>
      </c>
      <c r="O1808" t="s">
        <v>5110</v>
      </c>
      <c r="S1808" s="34" t="s">
        <v>6036</v>
      </c>
    </row>
    <row r="1809" spans="1:19" ht="409.5" x14ac:dyDescent="0.15">
      <c r="A1809" t="s">
        <v>1424</v>
      </c>
      <c r="B1809" s="61">
        <v>46266</v>
      </c>
      <c r="E1809" t="s">
        <v>355</v>
      </c>
      <c r="F1809" t="s">
        <v>351</v>
      </c>
      <c r="G1809" t="s">
        <v>354</v>
      </c>
      <c r="H1809" t="s">
        <v>353</v>
      </c>
      <c r="I1809">
        <v>1201054</v>
      </c>
      <c r="J1809" t="s">
        <v>6037</v>
      </c>
      <c r="K1809" t="s">
        <v>1432</v>
      </c>
      <c r="L1809" t="s">
        <v>1114</v>
      </c>
      <c r="N1809" t="s">
        <v>6038</v>
      </c>
      <c r="O1809" t="s">
        <v>6039</v>
      </c>
      <c r="R1809" t="s">
        <v>4012</v>
      </c>
      <c r="S1809" s="34" t="s">
        <v>6040</v>
      </c>
    </row>
    <row r="1810" spans="1:19" ht="405" x14ac:dyDescent="0.15">
      <c r="A1810" t="s">
        <v>1424</v>
      </c>
      <c r="B1810" s="61">
        <v>46266</v>
      </c>
      <c r="E1810" t="s">
        <v>355</v>
      </c>
      <c r="F1810" t="s">
        <v>351</v>
      </c>
      <c r="G1810" t="s">
        <v>354</v>
      </c>
      <c r="H1810" t="s">
        <v>686</v>
      </c>
      <c r="I1810">
        <v>1201054</v>
      </c>
      <c r="J1810" t="s">
        <v>6037</v>
      </c>
      <c r="K1810" t="s">
        <v>1432</v>
      </c>
      <c r="L1810" t="s">
        <v>1114</v>
      </c>
      <c r="N1810">
        <v>2106855</v>
      </c>
      <c r="O1810" t="s">
        <v>6039</v>
      </c>
      <c r="R1810" t="s">
        <v>4012</v>
      </c>
      <c r="S1810" s="34" t="s">
        <v>6041</v>
      </c>
    </row>
    <row r="1811" spans="1:19" ht="229.5" x14ac:dyDescent="0.15">
      <c r="A1811" t="s">
        <v>1424</v>
      </c>
      <c r="B1811" s="61">
        <v>46296</v>
      </c>
      <c r="E1811" t="s">
        <v>355</v>
      </c>
      <c r="F1811" t="s">
        <v>351</v>
      </c>
      <c r="G1811" t="s">
        <v>354</v>
      </c>
      <c r="H1811" t="s">
        <v>365</v>
      </c>
      <c r="I1811">
        <v>1200115</v>
      </c>
      <c r="J1811" t="s">
        <v>3951</v>
      </c>
      <c r="K1811" t="s">
        <v>417</v>
      </c>
      <c r="L1811" t="s">
        <v>3007</v>
      </c>
      <c r="N1811" t="s">
        <v>6042</v>
      </c>
      <c r="O1811" t="s">
        <v>6043</v>
      </c>
      <c r="R1811" t="s">
        <v>3992</v>
      </c>
      <c r="S1811" s="34" t="s">
        <v>6044</v>
      </c>
    </row>
    <row r="1812" spans="1:19" ht="409.5" x14ac:dyDescent="0.15">
      <c r="A1812" t="s">
        <v>1424</v>
      </c>
      <c r="B1812" s="61">
        <v>46296</v>
      </c>
      <c r="E1812" t="s">
        <v>355</v>
      </c>
      <c r="F1812" t="s">
        <v>351</v>
      </c>
      <c r="G1812" t="s">
        <v>354</v>
      </c>
      <c r="H1812" t="s">
        <v>309</v>
      </c>
      <c r="I1812">
        <v>1200541</v>
      </c>
      <c r="J1812" t="s">
        <v>4890</v>
      </c>
      <c r="K1812" t="s">
        <v>4891</v>
      </c>
      <c r="L1812" t="s">
        <v>6045</v>
      </c>
      <c r="N1812" t="s">
        <v>6048</v>
      </c>
      <c r="O1812" t="s">
        <v>6046</v>
      </c>
      <c r="R1812" t="s">
        <v>4052</v>
      </c>
      <c r="S1812" s="34" t="s">
        <v>6049</v>
      </c>
    </row>
    <row r="1813" spans="1:19" ht="409.5" x14ac:dyDescent="0.15">
      <c r="A1813" t="s">
        <v>1424</v>
      </c>
      <c r="B1813" s="61">
        <v>46296</v>
      </c>
      <c r="E1813" t="s">
        <v>355</v>
      </c>
      <c r="F1813" t="s">
        <v>351</v>
      </c>
      <c r="G1813" t="s">
        <v>354</v>
      </c>
      <c r="H1813" t="s">
        <v>309</v>
      </c>
      <c r="I1813">
        <v>1201397</v>
      </c>
      <c r="J1813" t="s">
        <v>4890</v>
      </c>
      <c r="K1813" t="s">
        <v>4891</v>
      </c>
      <c r="L1813" t="s">
        <v>4892</v>
      </c>
      <c r="N1813" t="s">
        <v>6051</v>
      </c>
      <c r="O1813" t="s">
        <v>4893</v>
      </c>
      <c r="S1813" s="34" t="s">
        <v>6052</v>
      </c>
    </row>
    <row r="1814" spans="1:19" ht="297" x14ac:dyDescent="0.15">
      <c r="A1814" t="s">
        <v>1424</v>
      </c>
      <c r="B1814" s="61">
        <v>46327</v>
      </c>
      <c r="E1814" t="s">
        <v>355</v>
      </c>
      <c r="F1814" t="s">
        <v>351</v>
      </c>
      <c r="G1814" t="s">
        <v>354</v>
      </c>
      <c r="H1814" t="s">
        <v>686</v>
      </c>
      <c r="I1814">
        <v>1201397</v>
      </c>
      <c r="J1814" t="s">
        <v>4890</v>
      </c>
      <c r="K1814" t="s">
        <v>4891</v>
      </c>
      <c r="L1814" t="s">
        <v>4892</v>
      </c>
      <c r="N1814">
        <v>2179126</v>
      </c>
      <c r="O1814" t="s">
        <v>4893</v>
      </c>
      <c r="S1814" s="34" t="s">
        <v>6053</v>
      </c>
    </row>
    <row r="1815" spans="1:19" ht="409.5" x14ac:dyDescent="0.15">
      <c r="A1815" t="s">
        <v>1424</v>
      </c>
      <c r="B1815" s="61">
        <v>46327</v>
      </c>
      <c r="E1815" t="s">
        <v>355</v>
      </c>
      <c r="F1815" t="s">
        <v>351</v>
      </c>
      <c r="G1815" t="s">
        <v>354</v>
      </c>
      <c r="H1815" t="s">
        <v>353</v>
      </c>
      <c r="I1815">
        <v>1201587</v>
      </c>
      <c r="J1815" t="s">
        <v>1425</v>
      </c>
      <c r="K1815" t="s">
        <v>1426</v>
      </c>
      <c r="L1815" t="s">
        <v>1427</v>
      </c>
      <c r="N1815" t="s">
        <v>6054</v>
      </c>
      <c r="O1815" t="s">
        <v>1429</v>
      </c>
      <c r="S1815" s="34" t="s">
        <v>6055</v>
      </c>
    </row>
    <row r="1816" spans="1:19" ht="409.5" x14ac:dyDescent="0.15">
      <c r="A1816" t="s">
        <v>6056</v>
      </c>
      <c r="B1816" s="61">
        <v>46266</v>
      </c>
      <c r="E1816" t="s">
        <v>355</v>
      </c>
      <c r="F1816" t="s">
        <v>351</v>
      </c>
      <c r="G1816" t="s">
        <v>354</v>
      </c>
      <c r="H1816" t="s">
        <v>686</v>
      </c>
      <c r="I1816">
        <v>1201575</v>
      </c>
      <c r="J1816" t="s">
        <v>4037</v>
      </c>
      <c r="K1816" t="s">
        <v>6057</v>
      </c>
      <c r="L1816" t="s">
        <v>6058</v>
      </c>
      <c r="N1816">
        <v>2138410</v>
      </c>
      <c r="O1816" t="s">
        <v>6059</v>
      </c>
      <c r="S1816" s="34" t="s">
        <v>6060</v>
      </c>
    </row>
    <row r="1817" spans="1:19" ht="189" x14ac:dyDescent="0.15">
      <c r="A1817" t="s">
        <v>1435</v>
      </c>
      <c r="B1817" s="61">
        <v>46235</v>
      </c>
      <c r="E1817" t="s">
        <v>355</v>
      </c>
      <c r="F1817" t="s">
        <v>351</v>
      </c>
      <c r="G1817" t="s">
        <v>354</v>
      </c>
      <c r="H1817" t="s">
        <v>353</v>
      </c>
      <c r="I1817">
        <v>2500295</v>
      </c>
      <c r="J1817" t="s">
        <v>1511</v>
      </c>
      <c r="K1817" t="s">
        <v>6067</v>
      </c>
      <c r="L1817" t="s">
        <v>1512</v>
      </c>
      <c r="N1817" t="s">
        <v>1513</v>
      </c>
      <c r="O1817" t="s">
        <v>1514</v>
      </c>
      <c r="R1817" t="s">
        <v>3987</v>
      </c>
      <c r="S1817" s="34" t="s">
        <v>6068</v>
      </c>
    </row>
    <row r="1818" spans="1:19" ht="364.5" x14ac:dyDescent="0.15">
      <c r="A1818" t="s">
        <v>1435</v>
      </c>
      <c r="B1818" s="61">
        <v>46235</v>
      </c>
      <c r="E1818" t="s">
        <v>355</v>
      </c>
      <c r="F1818" t="s">
        <v>351</v>
      </c>
      <c r="G1818" t="s">
        <v>354</v>
      </c>
      <c r="H1818" t="s">
        <v>309</v>
      </c>
      <c r="I1818">
        <v>2500295</v>
      </c>
      <c r="J1818" t="s">
        <v>1511</v>
      </c>
      <c r="K1818" t="s">
        <v>6067</v>
      </c>
      <c r="L1818" t="s">
        <v>1512</v>
      </c>
      <c r="N1818" t="s">
        <v>6069</v>
      </c>
      <c r="O1818" t="s">
        <v>1514</v>
      </c>
      <c r="R1818" t="s">
        <v>3987</v>
      </c>
      <c r="S1818" s="34" t="s">
        <v>6070</v>
      </c>
    </row>
    <row r="1819" spans="1:19" ht="409.5" x14ac:dyDescent="0.15">
      <c r="A1819" t="s">
        <v>1435</v>
      </c>
      <c r="B1819" s="61">
        <v>46266</v>
      </c>
      <c r="E1819" t="s">
        <v>355</v>
      </c>
      <c r="F1819" t="s">
        <v>351</v>
      </c>
      <c r="G1819" t="s">
        <v>354</v>
      </c>
      <c r="H1819" t="s">
        <v>365</v>
      </c>
      <c r="I1819">
        <v>2500932</v>
      </c>
      <c r="J1819" t="s">
        <v>6073</v>
      </c>
      <c r="K1819" t="s">
        <v>6074</v>
      </c>
      <c r="L1819" t="s">
        <v>6075</v>
      </c>
      <c r="N1819" t="s">
        <v>6076</v>
      </c>
      <c r="O1819" t="s">
        <v>6077</v>
      </c>
      <c r="R1819" t="s">
        <v>4338</v>
      </c>
      <c r="S1819" s="34" t="s">
        <v>6078</v>
      </c>
    </row>
    <row r="1820" spans="1:19" ht="409.5" x14ac:dyDescent="0.15">
      <c r="A1820" t="s">
        <v>1435</v>
      </c>
      <c r="B1820" s="61">
        <v>46266</v>
      </c>
      <c r="E1820" t="s">
        <v>355</v>
      </c>
      <c r="F1820" t="s">
        <v>351</v>
      </c>
      <c r="G1820" t="s">
        <v>354</v>
      </c>
      <c r="H1820" t="s">
        <v>365</v>
      </c>
      <c r="I1820">
        <v>2500933</v>
      </c>
      <c r="J1820" t="s">
        <v>6073</v>
      </c>
      <c r="K1820" t="s">
        <v>6074</v>
      </c>
      <c r="L1820" t="s">
        <v>6079</v>
      </c>
      <c r="N1820" t="s">
        <v>6080</v>
      </c>
      <c r="O1820" t="s">
        <v>6081</v>
      </c>
      <c r="R1820" t="s">
        <v>6082</v>
      </c>
      <c r="S1820" s="34" t="s">
        <v>6083</v>
      </c>
    </row>
    <row r="1821" spans="1:19" ht="409.5" x14ac:dyDescent="0.15">
      <c r="A1821" t="s">
        <v>1435</v>
      </c>
      <c r="B1821" s="61">
        <v>46296</v>
      </c>
      <c r="E1821" t="s">
        <v>355</v>
      </c>
      <c r="F1821" t="s">
        <v>351</v>
      </c>
      <c r="G1821" t="s">
        <v>352</v>
      </c>
      <c r="H1821" t="s">
        <v>353</v>
      </c>
      <c r="I1821">
        <v>2500025</v>
      </c>
      <c r="J1821" t="s">
        <v>376</v>
      </c>
      <c r="K1821" t="s">
        <v>1455</v>
      </c>
      <c r="L1821" t="s">
        <v>1456</v>
      </c>
      <c r="N1821" t="s">
        <v>1457</v>
      </c>
      <c r="O1821" t="s">
        <v>1458</v>
      </c>
      <c r="R1821" t="s">
        <v>3985</v>
      </c>
      <c r="S1821" s="34" t="s">
        <v>6084</v>
      </c>
    </row>
    <row r="1822" spans="1:19" ht="409.5" x14ac:dyDescent="0.15">
      <c r="A1822" t="s">
        <v>1435</v>
      </c>
      <c r="B1822" s="61">
        <v>46296</v>
      </c>
      <c r="E1822" t="s">
        <v>355</v>
      </c>
      <c r="F1822" t="s">
        <v>351</v>
      </c>
      <c r="G1822" t="s">
        <v>352</v>
      </c>
      <c r="H1822" t="s">
        <v>365</v>
      </c>
      <c r="I1822">
        <v>2500154</v>
      </c>
      <c r="J1822" t="s">
        <v>1497</v>
      </c>
      <c r="K1822" t="s">
        <v>1502</v>
      </c>
      <c r="L1822" t="s">
        <v>1503</v>
      </c>
      <c r="N1822" t="s">
        <v>6085</v>
      </c>
      <c r="O1822" t="s">
        <v>1505</v>
      </c>
      <c r="R1822" t="s">
        <v>3992</v>
      </c>
      <c r="S1822" s="34" t="s">
        <v>6086</v>
      </c>
    </row>
    <row r="1823" spans="1:19" ht="216" x14ac:dyDescent="0.15">
      <c r="A1823" t="s">
        <v>1435</v>
      </c>
      <c r="B1823" s="61">
        <v>46327</v>
      </c>
      <c r="E1823" t="s">
        <v>355</v>
      </c>
      <c r="F1823" t="s">
        <v>351</v>
      </c>
      <c r="G1823" t="s">
        <v>354</v>
      </c>
      <c r="H1823" t="s">
        <v>353</v>
      </c>
      <c r="I1823">
        <v>2500504</v>
      </c>
      <c r="J1823" t="s">
        <v>1436</v>
      </c>
      <c r="K1823" t="s">
        <v>1437</v>
      </c>
      <c r="L1823" t="s">
        <v>390</v>
      </c>
      <c r="N1823" t="s">
        <v>4200</v>
      </c>
      <c r="O1823" t="s">
        <v>1438</v>
      </c>
      <c r="R1823" t="s">
        <v>3987</v>
      </c>
      <c r="S1823" s="34" t="s">
        <v>6087</v>
      </c>
    </row>
    <row r="1824" spans="1:19" ht="364.5" x14ac:dyDescent="0.15">
      <c r="A1824" t="s">
        <v>1435</v>
      </c>
      <c r="B1824" s="61">
        <v>46357</v>
      </c>
      <c r="E1824" t="s">
        <v>355</v>
      </c>
      <c r="F1824" t="s">
        <v>351</v>
      </c>
      <c r="G1824" t="s">
        <v>352</v>
      </c>
      <c r="H1824" t="s">
        <v>310</v>
      </c>
      <c r="I1824">
        <v>2500046</v>
      </c>
      <c r="J1824" t="s">
        <v>6088</v>
      </c>
      <c r="K1824" t="s">
        <v>6089</v>
      </c>
      <c r="L1824" t="s">
        <v>390</v>
      </c>
      <c r="N1824" t="s">
        <v>6090</v>
      </c>
      <c r="O1824" t="s">
        <v>6091</v>
      </c>
      <c r="R1824" t="s">
        <v>3985</v>
      </c>
      <c r="S1824" s="34" t="s">
        <v>6092</v>
      </c>
    </row>
    <row r="1825" spans="1:19" ht="409.5" x14ac:dyDescent="0.15">
      <c r="A1825" t="s">
        <v>1435</v>
      </c>
      <c r="B1825" s="61">
        <v>46357</v>
      </c>
      <c r="E1825" t="s">
        <v>355</v>
      </c>
      <c r="F1825" t="s">
        <v>351</v>
      </c>
      <c r="G1825" t="s">
        <v>354</v>
      </c>
      <c r="H1825" t="s">
        <v>353</v>
      </c>
      <c r="I1825">
        <v>2501141</v>
      </c>
      <c r="J1825" t="s">
        <v>1449</v>
      </c>
      <c r="K1825" t="s">
        <v>1450</v>
      </c>
      <c r="L1825" t="s">
        <v>1451</v>
      </c>
      <c r="N1825" t="s">
        <v>6093</v>
      </c>
      <c r="O1825" t="s">
        <v>1453</v>
      </c>
      <c r="S1825" s="34" t="s">
        <v>6094</v>
      </c>
    </row>
    <row r="1826" spans="1:19" ht="409.5" x14ac:dyDescent="0.15">
      <c r="A1826" t="s">
        <v>1435</v>
      </c>
      <c r="B1826" s="61">
        <v>46357</v>
      </c>
      <c r="E1826" t="s">
        <v>355</v>
      </c>
      <c r="F1826" t="s">
        <v>351</v>
      </c>
      <c r="G1826" t="s">
        <v>354</v>
      </c>
      <c r="H1826" t="s">
        <v>686</v>
      </c>
      <c r="I1826">
        <v>2501141</v>
      </c>
      <c r="J1826" t="s">
        <v>1449</v>
      </c>
      <c r="K1826" t="s">
        <v>1450</v>
      </c>
      <c r="L1826" t="s">
        <v>1451</v>
      </c>
      <c r="N1826" t="s">
        <v>6095</v>
      </c>
      <c r="O1826" t="s">
        <v>1453</v>
      </c>
      <c r="R1826" t="s">
        <v>6096</v>
      </c>
      <c r="S1826" s="34" t="s">
        <v>6097</v>
      </c>
    </row>
    <row r="1827" spans="1:19" ht="243" x14ac:dyDescent="0.15">
      <c r="A1827" t="s">
        <v>1524</v>
      </c>
      <c r="B1827" s="61">
        <v>46235</v>
      </c>
      <c r="E1827" t="s">
        <v>355</v>
      </c>
      <c r="F1827" t="s">
        <v>351</v>
      </c>
      <c r="G1827" t="s">
        <v>352</v>
      </c>
      <c r="H1827" t="s">
        <v>310</v>
      </c>
      <c r="I1827">
        <v>2500090</v>
      </c>
      <c r="J1827" t="s">
        <v>6098</v>
      </c>
      <c r="K1827" t="s">
        <v>1445</v>
      </c>
      <c r="L1827" t="s">
        <v>6099</v>
      </c>
      <c r="N1827" t="s">
        <v>6100</v>
      </c>
      <c r="O1827" t="s">
        <v>6101</v>
      </c>
      <c r="R1827" t="s">
        <v>3985</v>
      </c>
      <c r="S1827" s="34" t="s">
        <v>6102</v>
      </c>
    </row>
    <row r="1828" spans="1:19" ht="243" x14ac:dyDescent="0.15">
      <c r="A1828" t="s">
        <v>1524</v>
      </c>
      <c r="B1828" s="61">
        <v>46235</v>
      </c>
      <c r="E1828" t="s">
        <v>355</v>
      </c>
      <c r="F1828" t="s">
        <v>351</v>
      </c>
      <c r="G1828" t="s">
        <v>354</v>
      </c>
      <c r="H1828" t="s">
        <v>353</v>
      </c>
      <c r="I1828">
        <v>2501111</v>
      </c>
      <c r="J1828" t="s">
        <v>1460</v>
      </c>
      <c r="K1828" t="s">
        <v>1558</v>
      </c>
      <c r="L1828" t="s">
        <v>1566</v>
      </c>
      <c r="N1828" t="s">
        <v>6103</v>
      </c>
      <c r="O1828" t="s">
        <v>1568</v>
      </c>
      <c r="R1828" t="s">
        <v>4318</v>
      </c>
      <c r="S1828" s="34" t="s">
        <v>6104</v>
      </c>
    </row>
    <row r="1829" spans="1:19" ht="243" x14ac:dyDescent="0.15">
      <c r="A1829" t="s">
        <v>1524</v>
      </c>
      <c r="B1829" s="61">
        <v>46266</v>
      </c>
      <c r="E1829" t="s">
        <v>355</v>
      </c>
      <c r="F1829" t="s">
        <v>351</v>
      </c>
      <c r="G1829" t="s">
        <v>354</v>
      </c>
      <c r="H1829" t="s">
        <v>365</v>
      </c>
      <c r="I1829">
        <v>2500720</v>
      </c>
      <c r="J1829" t="s">
        <v>1534</v>
      </c>
      <c r="L1829" t="s">
        <v>373</v>
      </c>
      <c r="N1829" t="s">
        <v>1535</v>
      </c>
      <c r="O1829" t="s">
        <v>1536</v>
      </c>
      <c r="R1829" t="s">
        <v>3986</v>
      </c>
      <c r="S1829" s="34" t="s">
        <v>6105</v>
      </c>
    </row>
    <row r="1830" spans="1:19" ht="229.5" x14ac:dyDescent="0.15">
      <c r="A1830" t="s">
        <v>1524</v>
      </c>
      <c r="B1830" s="61">
        <v>46266</v>
      </c>
      <c r="E1830" t="s">
        <v>355</v>
      </c>
      <c r="F1830" t="s">
        <v>351</v>
      </c>
      <c r="G1830" t="s">
        <v>354</v>
      </c>
      <c r="H1830" t="s">
        <v>353</v>
      </c>
      <c r="I1830">
        <v>2500737</v>
      </c>
      <c r="J1830" t="s">
        <v>1578</v>
      </c>
      <c r="K1830" t="s">
        <v>1579</v>
      </c>
      <c r="L1830" t="s">
        <v>390</v>
      </c>
      <c r="N1830" t="s">
        <v>1580</v>
      </c>
      <c r="O1830" t="s">
        <v>1581</v>
      </c>
      <c r="R1830" t="s">
        <v>3986</v>
      </c>
      <c r="S1830" s="34" t="s">
        <v>6106</v>
      </c>
    </row>
    <row r="1831" spans="1:19" ht="378" x14ac:dyDescent="0.15">
      <c r="A1831" t="s">
        <v>1524</v>
      </c>
      <c r="B1831" s="61">
        <v>46266</v>
      </c>
      <c r="E1831" t="s">
        <v>355</v>
      </c>
      <c r="F1831" t="s">
        <v>351</v>
      </c>
      <c r="G1831" t="s">
        <v>354</v>
      </c>
      <c r="H1831" t="s">
        <v>365</v>
      </c>
      <c r="I1831">
        <v>2501152</v>
      </c>
      <c r="J1831" t="s">
        <v>1537</v>
      </c>
      <c r="K1831" t="s">
        <v>1538</v>
      </c>
      <c r="L1831" t="s">
        <v>1539</v>
      </c>
      <c r="N1831" t="s">
        <v>1540</v>
      </c>
      <c r="O1831" t="s">
        <v>1541</v>
      </c>
      <c r="S1831" s="34" t="s">
        <v>6108</v>
      </c>
    </row>
    <row r="1832" spans="1:19" ht="409.5" x14ac:dyDescent="0.15">
      <c r="A1832" t="s">
        <v>1524</v>
      </c>
      <c r="B1832" s="61">
        <v>46327</v>
      </c>
      <c r="E1832" t="s">
        <v>355</v>
      </c>
      <c r="F1832" t="s">
        <v>351</v>
      </c>
      <c r="G1832" t="s">
        <v>352</v>
      </c>
      <c r="H1832" t="s">
        <v>353</v>
      </c>
      <c r="I1832">
        <v>2500212</v>
      </c>
      <c r="J1832" t="s">
        <v>1302</v>
      </c>
      <c r="K1832" t="s">
        <v>1551</v>
      </c>
      <c r="L1832" t="s">
        <v>1552</v>
      </c>
      <c r="N1832" t="s">
        <v>1553</v>
      </c>
      <c r="O1832" t="s">
        <v>1554</v>
      </c>
      <c r="R1832" t="s">
        <v>6111</v>
      </c>
      <c r="S1832" s="34" t="s">
        <v>6112</v>
      </c>
    </row>
    <row r="1833" spans="1:19" ht="409.5" x14ac:dyDescent="0.15">
      <c r="A1833" t="s">
        <v>1524</v>
      </c>
      <c r="B1833" s="61">
        <v>46327</v>
      </c>
      <c r="E1833" t="s">
        <v>355</v>
      </c>
      <c r="F1833" t="s">
        <v>351</v>
      </c>
      <c r="G1833" t="s">
        <v>354</v>
      </c>
      <c r="H1833" t="s">
        <v>365</v>
      </c>
      <c r="I1833">
        <v>2500770</v>
      </c>
      <c r="J1833" t="s">
        <v>1537</v>
      </c>
      <c r="K1833" t="s">
        <v>1542</v>
      </c>
      <c r="L1833" t="s">
        <v>1543</v>
      </c>
      <c r="N1833" t="s">
        <v>6113</v>
      </c>
      <c r="O1833" t="s">
        <v>1545</v>
      </c>
      <c r="R1833" t="s">
        <v>3986</v>
      </c>
      <c r="S1833" s="34" t="s">
        <v>6114</v>
      </c>
    </row>
    <row r="1834" spans="1:19" ht="229.5" x14ac:dyDescent="0.15">
      <c r="A1834" t="s">
        <v>1524</v>
      </c>
      <c r="B1834" s="61">
        <v>46357</v>
      </c>
      <c r="E1834" t="s">
        <v>355</v>
      </c>
      <c r="F1834" t="s">
        <v>351</v>
      </c>
      <c r="G1834" t="s">
        <v>352</v>
      </c>
      <c r="H1834" t="s">
        <v>365</v>
      </c>
      <c r="I1834">
        <v>2501051</v>
      </c>
      <c r="J1834" t="s">
        <v>1525</v>
      </c>
      <c r="K1834" t="s">
        <v>1445</v>
      </c>
      <c r="L1834" t="s">
        <v>1526</v>
      </c>
      <c r="N1834" t="s">
        <v>1527</v>
      </c>
      <c r="O1834" t="s">
        <v>1528</v>
      </c>
      <c r="R1834" t="s">
        <v>6115</v>
      </c>
      <c r="S1834" s="34" t="s">
        <v>6116</v>
      </c>
    </row>
    <row r="1835" spans="1:19" ht="189" x14ac:dyDescent="0.15">
      <c r="A1835" t="s">
        <v>1524</v>
      </c>
      <c r="B1835" s="61">
        <v>46357</v>
      </c>
      <c r="E1835" t="s">
        <v>355</v>
      </c>
      <c r="F1835" t="s">
        <v>351</v>
      </c>
      <c r="G1835" t="s">
        <v>352</v>
      </c>
      <c r="H1835" t="s">
        <v>353</v>
      </c>
      <c r="I1835">
        <v>2501051</v>
      </c>
      <c r="J1835" t="s">
        <v>1525</v>
      </c>
      <c r="K1835" t="s">
        <v>1445</v>
      </c>
      <c r="L1835" t="s">
        <v>1526</v>
      </c>
      <c r="N1835" t="s">
        <v>6117</v>
      </c>
      <c r="O1835" t="s">
        <v>1528</v>
      </c>
      <c r="R1835" t="s">
        <v>6115</v>
      </c>
      <c r="S1835" s="34" t="s">
        <v>6118</v>
      </c>
    </row>
    <row r="1836" spans="1:19" ht="409.5" x14ac:dyDescent="0.15">
      <c r="A1836" t="s">
        <v>1524</v>
      </c>
      <c r="B1836" s="61">
        <v>46357</v>
      </c>
      <c r="E1836" t="s">
        <v>355</v>
      </c>
      <c r="F1836" t="s">
        <v>351</v>
      </c>
      <c r="G1836" t="s">
        <v>354</v>
      </c>
      <c r="H1836" t="s">
        <v>353</v>
      </c>
      <c r="I1836">
        <v>2501111</v>
      </c>
      <c r="J1836" t="s">
        <v>1460</v>
      </c>
      <c r="K1836" t="s">
        <v>1558</v>
      </c>
      <c r="L1836" t="s">
        <v>1566</v>
      </c>
      <c r="N1836" t="s">
        <v>1569</v>
      </c>
      <c r="O1836" t="s">
        <v>1568</v>
      </c>
      <c r="S1836" s="34" t="s">
        <v>6119</v>
      </c>
    </row>
    <row r="1837" spans="1:19" ht="310.5" x14ac:dyDescent="0.15">
      <c r="A1837" t="s">
        <v>1614</v>
      </c>
      <c r="B1837" s="61">
        <v>46235</v>
      </c>
      <c r="E1837" t="s">
        <v>355</v>
      </c>
      <c r="F1837" t="s">
        <v>351</v>
      </c>
      <c r="G1837" t="s">
        <v>352</v>
      </c>
      <c r="H1837" t="s">
        <v>353</v>
      </c>
      <c r="I1837">
        <v>2000291</v>
      </c>
      <c r="J1837" t="s">
        <v>1655</v>
      </c>
      <c r="K1837" t="s">
        <v>1656</v>
      </c>
      <c r="L1837" t="s">
        <v>1657</v>
      </c>
      <c r="N1837" t="s">
        <v>6120</v>
      </c>
      <c r="O1837" t="s">
        <v>1659</v>
      </c>
      <c r="R1837" t="s">
        <v>6115</v>
      </c>
      <c r="S1837" s="34" t="s">
        <v>6121</v>
      </c>
    </row>
    <row r="1838" spans="1:19" ht="409.5" x14ac:dyDescent="0.15">
      <c r="A1838" t="s">
        <v>1614</v>
      </c>
      <c r="B1838" s="61">
        <v>46235</v>
      </c>
      <c r="E1838" t="s">
        <v>355</v>
      </c>
      <c r="F1838" t="s">
        <v>351</v>
      </c>
      <c r="G1838" t="s">
        <v>352</v>
      </c>
      <c r="H1838" t="s">
        <v>365</v>
      </c>
      <c r="I1838">
        <v>2000291</v>
      </c>
      <c r="J1838" t="s">
        <v>1655</v>
      </c>
      <c r="K1838" t="s">
        <v>1656</v>
      </c>
      <c r="L1838" t="s">
        <v>1657</v>
      </c>
      <c r="N1838" t="s">
        <v>1658</v>
      </c>
      <c r="O1838" t="s">
        <v>1659</v>
      </c>
      <c r="R1838" t="s">
        <v>6115</v>
      </c>
      <c r="S1838" s="34" t="s">
        <v>6122</v>
      </c>
    </row>
    <row r="1839" spans="1:19" ht="229.5" x14ac:dyDescent="0.15">
      <c r="A1839" t="s">
        <v>1614</v>
      </c>
      <c r="B1839" s="61">
        <v>46235</v>
      </c>
      <c r="E1839" t="s">
        <v>355</v>
      </c>
      <c r="F1839" t="s">
        <v>351</v>
      </c>
      <c r="G1839" t="s">
        <v>354</v>
      </c>
      <c r="H1839" t="s">
        <v>365</v>
      </c>
      <c r="I1839">
        <v>2000677</v>
      </c>
      <c r="J1839" t="s">
        <v>1660</v>
      </c>
      <c r="K1839" t="s">
        <v>1661</v>
      </c>
      <c r="L1839" t="s">
        <v>698</v>
      </c>
      <c r="N1839" t="s">
        <v>1662</v>
      </c>
      <c r="O1839" t="s">
        <v>1663</v>
      </c>
      <c r="R1839" t="s">
        <v>3987</v>
      </c>
      <c r="S1839" s="34" t="s">
        <v>6123</v>
      </c>
    </row>
    <row r="1840" spans="1:19" ht="409.5" x14ac:dyDescent="0.15">
      <c r="A1840" t="s">
        <v>1614</v>
      </c>
      <c r="B1840" s="61">
        <v>46235</v>
      </c>
      <c r="E1840" t="s">
        <v>355</v>
      </c>
      <c r="F1840" t="s">
        <v>351</v>
      </c>
      <c r="G1840" t="s">
        <v>354</v>
      </c>
      <c r="H1840" t="s">
        <v>353</v>
      </c>
      <c r="I1840">
        <v>2000700</v>
      </c>
      <c r="J1840" t="s">
        <v>1648</v>
      </c>
      <c r="L1840" t="s">
        <v>1276</v>
      </c>
      <c r="N1840" t="s">
        <v>6124</v>
      </c>
      <c r="O1840" t="s">
        <v>1650</v>
      </c>
      <c r="R1840" t="s">
        <v>3987</v>
      </c>
      <c r="S1840" s="34" t="s">
        <v>6125</v>
      </c>
    </row>
    <row r="1841" spans="1:19" ht="229.5" x14ac:dyDescent="0.15">
      <c r="A1841" t="s">
        <v>1614</v>
      </c>
      <c r="B1841" s="61">
        <v>46235</v>
      </c>
      <c r="E1841" t="s">
        <v>355</v>
      </c>
      <c r="F1841" t="s">
        <v>351</v>
      </c>
      <c r="G1841" t="s">
        <v>352</v>
      </c>
      <c r="H1841" t="s">
        <v>353</v>
      </c>
      <c r="I1841">
        <v>2000842</v>
      </c>
      <c r="J1841" t="s">
        <v>1672</v>
      </c>
      <c r="L1841" t="s">
        <v>1673</v>
      </c>
      <c r="N1841" t="s">
        <v>1674</v>
      </c>
      <c r="O1841" t="s">
        <v>1675</v>
      </c>
      <c r="R1841" t="s">
        <v>3985</v>
      </c>
      <c r="S1841" s="34" t="s">
        <v>6126</v>
      </c>
    </row>
    <row r="1842" spans="1:19" ht="216" x14ac:dyDescent="0.15">
      <c r="A1842" t="s">
        <v>1614</v>
      </c>
      <c r="B1842" s="61">
        <v>46235</v>
      </c>
      <c r="E1842" t="s">
        <v>355</v>
      </c>
      <c r="F1842" t="s">
        <v>351</v>
      </c>
      <c r="G1842" t="s">
        <v>354</v>
      </c>
      <c r="H1842" t="s">
        <v>353</v>
      </c>
      <c r="I1842">
        <v>2000959</v>
      </c>
      <c r="J1842" t="s">
        <v>1664</v>
      </c>
      <c r="K1842" t="s">
        <v>4189</v>
      </c>
      <c r="L1842" t="s">
        <v>390</v>
      </c>
      <c r="N1842" t="s">
        <v>4190</v>
      </c>
      <c r="O1842" t="s">
        <v>4191</v>
      </c>
      <c r="R1842" t="s">
        <v>3987</v>
      </c>
      <c r="S1842" s="34" t="s">
        <v>6127</v>
      </c>
    </row>
    <row r="1843" spans="1:19" ht="409.5" x14ac:dyDescent="0.15">
      <c r="A1843" t="s">
        <v>1614</v>
      </c>
      <c r="B1843" s="61">
        <v>46266</v>
      </c>
      <c r="E1843" t="s">
        <v>355</v>
      </c>
      <c r="F1843" t="s">
        <v>351</v>
      </c>
      <c r="G1843" t="s">
        <v>352</v>
      </c>
      <c r="H1843" t="s">
        <v>353</v>
      </c>
      <c r="I1843">
        <v>2000245</v>
      </c>
      <c r="J1843" t="s">
        <v>1680</v>
      </c>
      <c r="K1843" t="s">
        <v>1681</v>
      </c>
      <c r="L1843" t="s">
        <v>1682</v>
      </c>
      <c r="N1843" t="s">
        <v>6128</v>
      </c>
      <c r="O1843" t="s">
        <v>1684</v>
      </c>
      <c r="R1843" t="s">
        <v>3985</v>
      </c>
      <c r="S1843" s="34" t="s">
        <v>6129</v>
      </c>
    </row>
    <row r="1844" spans="1:19" ht="216" x14ac:dyDescent="0.15">
      <c r="A1844" t="s">
        <v>1614</v>
      </c>
      <c r="B1844" s="61">
        <v>46266</v>
      </c>
      <c r="E1844" t="s">
        <v>355</v>
      </c>
      <c r="F1844" t="s">
        <v>351</v>
      </c>
      <c r="G1844" t="s">
        <v>352</v>
      </c>
      <c r="H1844" t="s">
        <v>353</v>
      </c>
      <c r="I1844">
        <v>2000907</v>
      </c>
      <c r="J1844" t="s">
        <v>1638</v>
      </c>
      <c r="L1844" t="s">
        <v>1639</v>
      </c>
      <c r="N1844" t="s">
        <v>1640</v>
      </c>
      <c r="O1844" t="s">
        <v>1641</v>
      </c>
      <c r="R1844" t="s">
        <v>3985</v>
      </c>
      <c r="S1844" s="34" t="s">
        <v>6130</v>
      </c>
    </row>
    <row r="1845" spans="1:19" ht="229.5" x14ac:dyDescent="0.15">
      <c r="A1845" t="s">
        <v>1614</v>
      </c>
      <c r="B1845" s="61">
        <v>46296</v>
      </c>
      <c r="E1845" t="s">
        <v>355</v>
      </c>
      <c r="F1845" t="s">
        <v>351</v>
      </c>
      <c r="G1845" t="s">
        <v>354</v>
      </c>
      <c r="H1845" t="s">
        <v>365</v>
      </c>
      <c r="I1845">
        <v>2000107</v>
      </c>
      <c r="J1845" t="s">
        <v>1651</v>
      </c>
      <c r="L1845" t="s">
        <v>1652</v>
      </c>
      <c r="N1845" t="s">
        <v>1653</v>
      </c>
      <c r="O1845" t="s">
        <v>1654</v>
      </c>
      <c r="R1845" t="s">
        <v>4430</v>
      </c>
      <c r="S1845" s="34" t="s">
        <v>6131</v>
      </c>
    </row>
    <row r="1846" spans="1:19" ht="337.5" x14ac:dyDescent="0.15">
      <c r="A1846" t="s">
        <v>1614</v>
      </c>
      <c r="B1846" s="61">
        <v>46296</v>
      </c>
      <c r="E1846" t="s">
        <v>355</v>
      </c>
      <c r="F1846" t="s">
        <v>351</v>
      </c>
      <c r="G1846" t="s">
        <v>352</v>
      </c>
      <c r="H1846" t="s">
        <v>353</v>
      </c>
      <c r="I1846">
        <v>2000443</v>
      </c>
      <c r="J1846" t="s">
        <v>1668</v>
      </c>
      <c r="L1846" t="s">
        <v>1669</v>
      </c>
      <c r="N1846" t="s">
        <v>1670</v>
      </c>
      <c r="O1846" t="s">
        <v>1671</v>
      </c>
      <c r="R1846" t="s">
        <v>3985</v>
      </c>
      <c r="S1846" s="34" t="s">
        <v>6132</v>
      </c>
    </row>
    <row r="1847" spans="1:19" ht="409.5" x14ac:dyDescent="0.15">
      <c r="A1847" t="s">
        <v>1614</v>
      </c>
      <c r="B1847" s="61">
        <v>46296</v>
      </c>
      <c r="E1847" t="s">
        <v>355</v>
      </c>
      <c r="F1847" t="s">
        <v>351</v>
      </c>
      <c r="G1847" t="s">
        <v>352</v>
      </c>
      <c r="H1847" t="s">
        <v>353</v>
      </c>
      <c r="I1847">
        <v>2000618</v>
      </c>
      <c r="J1847" t="s">
        <v>1664</v>
      </c>
      <c r="K1847" t="s">
        <v>1251</v>
      </c>
      <c r="L1847" t="s">
        <v>6133</v>
      </c>
      <c r="N1847" t="s">
        <v>6134</v>
      </c>
      <c r="O1847" t="s">
        <v>6135</v>
      </c>
      <c r="R1847" t="s">
        <v>4052</v>
      </c>
      <c r="S1847" s="34" t="s">
        <v>6136</v>
      </c>
    </row>
    <row r="1848" spans="1:19" ht="351" x14ac:dyDescent="0.15">
      <c r="A1848" t="s">
        <v>1614</v>
      </c>
      <c r="B1848" s="61">
        <v>46296</v>
      </c>
      <c r="E1848" t="s">
        <v>355</v>
      </c>
      <c r="F1848" t="s">
        <v>351</v>
      </c>
      <c r="G1848" t="s">
        <v>352</v>
      </c>
      <c r="H1848" t="s">
        <v>353</v>
      </c>
      <c r="I1848">
        <v>2000891</v>
      </c>
      <c r="J1848" t="s">
        <v>6137</v>
      </c>
      <c r="K1848" t="s">
        <v>1393</v>
      </c>
      <c r="L1848" t="s">
        <v>1616</v>
      </c>
      <c r="N1848" t="s">
        <v>6138</v>
      </c>
      <c r="O1848" t="s">
        <v>6139</v>
      </c>
      <c r="R1848" t="s">
        <v>3985</v>
      </c>
      <c r="S1848" s="34" t="s">
        <v>6140</v>
      </c>
    </row>
    <row r="1849" spans="1:19" ht="229.5" x14ac:dyDescent="0.15">
      <c r="A1849" t="s">
        <v>1614</v>
      </c>
      <c r="B1849" s="61">
        <v>46296</v>
      </c>
      <c r="E1849" t="s">
        <v>355</v>
      </c>
      <c r="F1849" t="s">
        <v>351</v>
      </c>
      <c r="G1849" t="s">
        <v>352</v>
      </c>
      <c r="H1849" t="s">
        <v>353</v>
      </c>
      <c r="I1849">
        <v>2000905</v>
      </c>
      <c r="J1849" t="s">
        <v>1570</v>
      </c>
      <c r="K1849" t="s">
        <v>1630</v>
      </c>
      <c r="L1849" t="s">
        <v>1631</v>
      </c>
      <c r="N1849" t="s">
        <v>1632</v>
      </c>
      <c r="O1849" t="s">
        <v>1633</v>
      </c>
      <c r="R1849" t="s">
        <v>3985</v>
      </c>
      <c r="S1849" s="34" t="s">
        <v>6141</v>
      </c>
    </row>
    <row r="1850" spans="1:19" ht="409.5" x14ac:dyDescent="0.15">
      <c r="A1850" t="s">
        <v>1614</v>
      </c>
      <c r="B1850" s="61">
        <v>46327</v>
      </c>
      <c r="E1850" t="s">
        <v>355</v>
      </c>
      <c r="F1850" t="s">
        <v>351</v>
      </c>
      <c r="G1850" t="s">
        <v>352</v>
      </c>
      <c r="H1850" t="s">
        <v>353</v>
      </c>
      <c r="I1850">
        <v>2000035</v>
      </c>
      <c r="J1850" t="s">
        <v>1685</v>
      </c>
      <c r="K1850" t="s">
        <v>1686</v>
      </c>
      <c r="L1850" t="s">
        <v>1687</v>
      </c>
      <c r="N1850" t="s">
        <v>6142</v>
      </c>
      <c r="O1850" t="s">
        <v>1689</v>
      </c>
      <c r="R1850" t="s">
        <v>3985</v>
      </c>
      <c r="S1850" s="34" t="s">
        <v>6143</v>
      </c>
    </row>
    <row r="1851" spans="1:19" ht="229.5" x14ac:dyDescent="0.15">
      <c r="A1851" t="s">
        <v>1614</v>
      </c>
      <c r="B1851" s="61">
        <v>46327</v>
      </c>
      <c r="E1851" t="s">
        <v>355</v>
      </c>
      <c r="F1851" t="s">
        <v>351</v>
      </c>
      <c r="G1851" t="s">
        <v>352</v>
      </c>
      <c r="H1851" t="s">
        <v>365</v>
      </c>
      <c r="I1851">
        <v>2000096</v>
      </c>
      <c r="J1851" t="s">
        <v>6144</v>
      </c>
      <c r="L1851" t="s">
        <v>6145</v>
      </c>
      <c r="N1851" t="s">
        <v>6146</v>
      </c>
      <c r="O1851" t="s">
        <v>6147</v>
      </c>
      <c r="R1851" t="s">
        <v>3985</v>
      </c>
      <c r="S1851" s="34" t="s">
        <v>6148</v>
      </c>
    </row>
    <row r="1852" spans="1:19" ht="409.5" x14ac:dyDescent="0.15">
      <c r="A1852" t="s">
        <v>1614</v>
      </c>
      <c r="B1852" s="61">
        <v>46327</v>
      </c>
      <c r="E1852" t="s">
        <v>355</v>
      </c>
      <c r="F1852" t="s">
        <v>351</v>
      </c>
      <c r="G1852" t="s">
        <v>354</v>
      </c>
      <c r="H1852" t="s">
        <v>353</v>
      </c>
      <c r="I1852">
        <v>2000230</v>
      </c>
      <c r="J1852" t="s">
        <v>873</v>
      </c>
      <c r="K1852" t="s">
        <v>1676</v>
      </c>
      <c r="L1852" t="s">
        <v>1087</v>
      </c>
      <c r="N1852" t="s">
        <v>1677</v>
      </c>
      <c r="O1852" t="s">
        <v>1678</v>
      </c>
      <c r="R1852" t="s">
        <v>3986</v>
      </c>
      <c r="S1852" s="34" t="s">
        <v>6149</v>
      </c>
    </row>
    <row r="1853" spans="1:19" ht="216" x14ac:dyDescent="0.15">
      <c r="A1853" t="s">
        <v>1614</v>
      </c>
      <c r="B1853" s="61">
        <v>46327</v>
      </c>
      <c r="E1853" t="s">
        <v>355</v>
      </c>
      <c r="F1853" t="s">
        <v>351</v>
      </c>
      <c r="G1853" t="s">
        <v>354</v>
      </c>
      <c r="H1853" t="s">
        <v>353</v>
      </c>
      <c r="I1853">
        <v>2000960</v>
      </c>
      <c r="J1853" t="s">
        <v>1644</v>
      </c>
      <c r="K1853" t="s">
        <v>1645</v>
      </c>
      <c r="L1853" t="s">
        <v>413</v>
      </c>
      <c r="N1853" t="s">
        <v>1646</v>
      </c>
      <c r="O1853" t="s">
        <v>1647</v>
      </c>
      <c r="R1853" t="s">
        <v>3987</v>
      </c>
      <c r="S1853" s="34" t="s">
        <v>6150</v>
      </c>
    </row>
    <row r="1854" spans="1:19" ht="216" x14ac:dyDescent="0.15">
      <c r="A1854" t="s">
        <v>1614</v>
      </c>
      <c r="B1854" s="61">
        <v>46357</v>
      </c>
      <c r="E1854" t="s">
        <v>355</v>
      </c>
      <c r="F1854" t="s">
        <v>351</v>
      </c>
      <c r="G1854" t="s">
        <v>352</v>
      </c>
      <c r="H1854" t="s">
        <v>353</v>
      </c>
      <c r="I1854">
        <v>2000099</v>
      </c>
      <c r="J1854" t="s">
        <v>1690</v>
      </c>
      <c r="K1854" t="s">
        <v>1691</v>
      </c>
      <c r="L1854" t="s">
        <v>854</v>
      </c>
      <c r="N1854" t="s">
        <v>6151</v>
      </c>
      <c r="O1854" t="s">
        <v>1693</v>
      </c>
      <c r="R1854" t="s">
        <v>6152</v>
      </c>
      <c r="S1854" s="34" t="s">
        <v>6153</v>
      </c>
    </row>
    <row r="1855" spans="1:19" ht="409.5" x14ac:dyDescent="0.15">
      <c r="A1855" t="s">
        <v>1614</v>
      </c>
      <c r="B1855" s="61">
        <v>46357</v>
      </c>
      <c r="E1855" t="s">
        <v>355</v>
      </c>
      <c r="F1855" t="s">
        <v>351</v>
      </c>
      <c r="G1855" t="s">
        <v>352</v>
      </c>
      <c r="H1855" t="s">
        <v>365</v>
      </c>
      <c r="I1855">
        <v>2000099</v>
      </c>
      <c r="J1855" t="s">
        <v>1690</v>
      </c>
      <c r="K1855" t="s">
        <v>1691</v>
      </c>
      <c r="L1855" t="s">
        <v>854</v>
      </c>
      <c r="N1855" t="s">
        <v>1692</v>
      </c>
      <c r="O1855" t="s">
        <v>1693</v>
      </c>
      <c r="R1855" t="s">
        <v>6152</v>
      </c>
      <c r="S1855" s="34" t="s">
        <v>6154</v>
      </c>
    </row>
    <row r="1856" spans="1:19" ht="409.5" x14ac:dyDescent="0.15">
      <c r="A1856" t="s">
        <v>1614</v>
      </c>
      <c r="B1856" s="61">
        <v>46357</v>
      </c>
      <c r="E1856" t="s">
        <v>355</v>
      </c>
      <c r="F1856" t="s">
        <v>351</v>
      </c>
      <c r="G1856" t="s">
        <v>352</v>
      </c>
      <c r="H1856" t="s">
        <v>365</v>
      </c>
      <c r="I1856">
        <v>2000099</v>
      </c>
      <c r="J1856" t="s">
        <v>1690</v>
      </c>
      <c r="K1856" t="s">
        <v>1691</v>
      </c>
      <c r="L1856" t="s">
        <v>854</v>
      </c>
      <c r="N1856" t="s">
        <v>6155</v>
      </c>
      <c r="O1856" t="s">
        <v>1693</v>
      </c>
      <c r="R1856" t="s">
        <v>6156</v>
      </c>
      <c r="S1856" s="34" t="s">
        <v>6157</v>
      </c>
    </row>
    <row r="1857" spans="1:19" ht="229.5" x14ac:dyDescent="0.15">
      <c r="A1857" t="s">
        <v>1614</v>
      </c>
      <c r="B1857" s="61">
        <v>46357</v>
      </c>
      <c r="E1857" t="s">
        <v>355</v>
      </c>
      <c r="F1857" t="s">
        <v>351</v>
      </c>
      <c r="G1857" t="s">
        <v>352</v>
      </c>
      <c r="H1857" t="s">
        <v>353</v>
      </c>
      <c r="I1857">
        <v>2000888</v>
      </c>
      <c r="J1857" t="s">
        <v>6158</v>
      </c>
      <c r="L1857" t="s">
        <v>1616</v>
      </c>
      <c r="N1857" t="s">
        <v>6159</v>
      </c>
      <c r="O1857" t="s">
        <v>6160</v>
      </c>
      <c r="R1857" t="s">
        <v>3985</v>
      </c>
      <c r="S1857" s="34" t="s">
        <v>6161</v>
      </c>
    </row>
    <row r="1858" spans="1:19" ht="378" x14ac:dyDescent="0.15">
      <c r="A1858" t="s">
        <v>1614</v>
      </c>
      <c r="B1858" s="61">
        <v>46357</v>
      </c>
      <c r="E1858" t="s">
        <v>355</v>
      </c>
      <c r="F1858" t="s">
        <v>351</v>
      </c>
      <c r="G1858" t="s">
        <v>354</v>
      </c>
      <c r="H1858" t="s">
        <v>365</v>
      </c>
      <c r="I1858">
        <v>2000948</v>
      </c>
      <c r="J1858" t="s">
        <v>1705</v>
      </c>
      <c r="K1858" t="s">
        <v>1706</v>
      </c>
      <c r="L1858" t="s">
        <v>1148</v>
      </c>
      <c r="N1858" t="s">
        <v>1707</v>
      </c>
      <c r="O1858" t="s">
        <v>1708</v>
      </c>
      <c r="R1858" t="s">
        <v>3987</v>
      </c>
      <c r="S1858" s="34" t="s">
        <v>6162</v>
      </c>
    </row>
    <row r="1859" spans="1:19" ht="409.5" x14ac:dyDescent="0.15">
      <c r="A1859" t="s">
        <v>1614</v>
      </c>
      <c r="B1859" s="61">
        <v>46357</v>
      </c>
      <c r="E1859" t="s">
        <v>355</v>
      </c>
      <c r="F1859" t="s">
        <v>351</v>
      </c>
      <c r="G1859" t="s">
        <v>354</v>
      </c>
      <c r="H1859" t="s">
        <v>353</v>
      </c>
      <c r="I1859">
        <v>2000954</v>
      </c>
      <c r="J1859" t="s">
        <v>1615</v>
      </c>
      <c r="K1859" t="s">
        <v>1251</v>
      </c>
      <c r="L1859" t="s">
        <v>1616</v>
      </c>
      <c r="N1859" t="s">
        <v>1617</v>
      </c>
      <c r="O1859" t="s">
        <v>1618</v>
      </c>
      <c r="R1859" t="s">
        <v>3987</v>
      </c>
      <c r="S1859" s="34" t="s">
        <v>6163</v>
      </c>
    </row>
    <row r="1860" spans="1:19" ht="409.5" x14ac:dyDescent="0.15">
      <c r="A1860" t="s">
        <v>1715</v>
      </c>
      <c r="B1860" s="61">
        <v>46235</v>
      </c>
      <c r="E1860" t="s">
        <v>355</v>
      </c>
      <c r="F1860" t="s">
        <v>351</v>
      </c>
      <c r="G1860" t="s">
        <v>354</v>
      </c>
      <c r="H1860" t="s">
        <v>365</v>
      </c>
      <c r="I1860">
        <v>1500733</v>
      </c>
      <c r="J1860" t="s">
        <v>1750</v>
      </c>
      <c r="K1860" t="s">
        <v>1751</v>
      </c>
      <c r="L1860" t="s">
        <v>390</v>
      </c>
      <c r="N1860" t="s">
        <v>6164</v>
      </c>
      <c r="O1860" t="s">
        <v>1753</v>
      </c>
      <c r="R1860" t="s">
        <v>3986</v>
      </c>
      <c r="S1860" s="34" t="s">
        <v>6165</v>
      </c>
    </row>
    <row r="1861" spans="1:19" ht="216" x14ac:dyDescent="0.15">
      <c r="A1861" t="s">
        <v>1715</v>
      </c>
      <c r="B1861" s="61">
        <v>46235</v>
      </c>
      <c r="E1861" t="s">
        <v>355</v>
      </c>
      <c r="F1861" t="s">
        <v>351</v>
      </c>
      <c r="G1861" t="s">
        <v>354</v>
      </c>
      <c r="H1861" t="s">
        <v>353</v>
      </c>
      <c r="I1861">
        <v>1500846</v>
      </c>
      <c r="J1861" t="s">
        <v>1755</v>
      </c>
      <c r="K1861" t="s">
        <v>1756</v>
      </c>
      <c r="L1861" t="s">
        <v>413</v>
      </c>
      <c r="N1861" t="s">
        <v>6166</v>
      </c>
      <c r="O1861" t="s">
        <v>1758</v>
      </c>
      <c r="R1861" t="s">
        <v>3987</v>
      </c>
      <c r="S1861" s="34" t="s">
        <v>6167</v>
      </c>
    </row>
    <row r="1862" spans="1:19" ht="409.5" x14ac:dyDescent="0.15">
      <c r="A1862" t="s">
        <v>1715</v>
      </c>
      <c r="B1862" s="61">
        <v>46235</v>
      </c>
      <c r="E1862" t="s">
        <v>355</v>
      </c>
      <c r="F1862" t="s">
        <v>351</v>
      </c>
      <c r="G1862" t="s">
        <v>354</v>
      </c>
      <c r="H1862" t="s">
        <v>365</v>
      </c>
      <c r="I1862">
        <v>1500846</v>
      </c>
      <c r="J1862" t="s">
        <v>1755</v>
      </c>
      <c r="K1862" t="s">
        <v>1756</v>
      </c>
      <c r="L1862" t="s">
        <v>413</v>
      </c>
      <c r="N1862" t="s">
        <v>1757</v>
      </c>
      <c r="O1862" t="s">
        <v>1758</v>
      </c>
      <c r="R1862" t="s">
        <v>3987</v>
      </c>
      <c r="S1862" s="34" t="s">
        <v>6168</v>
      </c>
    </row>
    <row r="1863" spans="1:19" ht="202.5" x14ac:dyDescent="0.15">
      <c r="A1863" t="s">
        <v>1715</v>
      </c>
      <c r="B1863" s="61">
        <v>46266</v>
      </c>
      <c r="E1863" t="s">
        <v>355</v>
      </c>
      <c r="F1863" t="s">
        <v>351</v>
      </c>
      <c r="G1863" t="s">
        <v>354</v>
      </c>
      <c r="H1863" t="s">
        <v>353</v>
      </c>
      <c r="I1863">
        <v>1500044</v>
      </c>
      <c r="J1863" t="s">
        <v>1781</v>
      </c>
      <c r="L1863" t="s">
        <v>512</v>
      </c>
      <c r="N1863" t="s">
        <v>1782</v>
      </c>
      <c r="O1863" t="s">
        <v>1783</v>
      </c>
      <c r="R1863" t="s">
        <v>6169</v>
      </c>
      <c r="S1863" s="34" t="s">
        <v>6170</v>
      </c>
    </row>
    <row r="1864" spans="1:19" ht="351" x14ac:dyDescent="0.15">
      <c r="A1864" t="s">
        <v>1715</v>
      </c>
      <c r="B1864" s="61">
        <v>46266</v>
      </c>
      <c r="E1864" t="s">
        <v>355</v>
      </c>
      <c r="F1864" t="s">
        <v>351</v>
      </c>
      <c r="G1864" t="s">
        <v>352</v>
      </c>
      <c r="H1864" t="s">
        <v>353</v>
      </c>
      <c r="I1864">
        <v>1500152</v>
      </c>
      <c r="J1864" t="s">
        <v>1720</v>
      </c>
      <c r="K1864" t="s">
        <v>6171</v>
      </c>
      <c r="L1864" t="s">
        <v>390</v>
      </c>
      <c r="N1864" t="s">
        <v>6172</v>
      </c>
      <c r="O1864" t="s">
        <v>6173</v>
      </c>
      <c r="R1864" t="s">
        <v>3985</v>
      </c>
      <c r="S1864" s="34" t="s">
        <v>6174</v>
      </c>
    </row>
    <row r="1865" spans="1:19" ht="364.5" x14ac:dyDescent="0.15">
      <c r="A1865" t="s">
        <v>1715</v>
      </c>
      <c r="B1865" s="61">
        <v>46266</v>
      </c>
      <c r="E1865" t="s">
        <v>355</v>
      </c>
      <c r="F1865" t="s">
        <v>351</v>
      </c>
      <c r="G1865" t="s">
        <v>354</v>
      </c>
      <c r="H1865" t="s">
        <v>353</v>
      </c>
      <c r="I1865">
        <v>1500647</v>
      </c>
      <c r="J1865" t="s">
        <v>1781</v>
      </c>
      <c r="L1865" t="s">
        <v>1769</v>
      </c>
      <c r="N1865" t="s">
        <v>6175</v>
      </c>
      <c r="O1865" t="s">
        <v>1785</v>
      </c>
      <c r="R1865" t="s">
        <v>6176</v>
      </c>
      <c r="S1865" s="34" t="s">
        <v>6177</v>
      </c>
    </row>
    <row r="1866" spans="1:19" ht="409.5" x14ac:dyDescent="0.15">
      <c r="A1866" t="s">
        <v>1715</v>
      </c>
      <c r="B1866" s="61">
        <v>46266</v>
      </c>
      <c r="E1866" t="s">
        <v>355</v>
      </c>
      <c r="F1866" t="s">
        <v>351</v>
      </c>
      <c r="G1866" t="s">
        <v>354</v>
      </c>
      <c r="H1866" t="s">
        <v>365</v>
      </c>
      <c r="I1866">
        <v>1500690</v>
      </c>
      <c r="J1866" t="s">
        <v>1726</v>
      </c>
      <c r="K1866" t="s">
        <v>1727</v>
      </c>
      <c r="L1866" t="s">
        <v>1728</v>
      </c>
      <c r="N1866" t="s">
        <v>1729</v>
      </c>
      <c r="O1866" t="s">
        <v>1730</v>
      </c>
      <c r="S1866" s="34" t="s">
        <v>6178</v>
      </c>
    </row>
    <row r="1867" spans="1:19" ht="243" x14ac:dyDescent="0.15">
      <c r="A1867" t="s">
        <v>1715</v>
      </c>
      <c r="B1867" s="61">
        <v>46266</v>
      </c>
      <c r="E1867" t="s">
        <v>355</v>
      </c>
      <c r="F1867" t="s">
        <v>351</v>
      </c>
      <c r="G1867" t="s">
        <v>352</v>
      </c>
      <c r="H1867" t="s">
        <v>5779</v>
      </c>
      <c r="I1867">
        <v>1500731</v>
      </c>
      <c r="J1867" t="s">
        <v>1063</v>
      </c>
      <c r="K1867" t="s">
        <v>6179</v>
      </c>
      <c r="L1867" t="s">
        <v>1114</v>
      </c>
      <c r="N1867" t="s">
        <v>6180</v>
      </c>
      <c r="O1867" t="s">
        <v>6181</v>
      </c>
      <c r="R1867" t="s">
        <v>3985</v>
      </c>
      <c r="S1867" s="34" t="s">
        <v>6182</v>
      </c>
    </row>
    <row r="1868" spans="1:19" ht="229.5" x14ac:dyDescent="0.15">
      <c r="A1868" t="s">
        <v>1715</v>
      </c>
      <c r="B1868" s="61">
        <v>46296</v>
      </c>
      <c r="E1868" t="s">
        <v>355</v>
      </c>
      <c r="F1868" t="s">
        <v>351</v>
      </c>
      <c r="G1868" t="s">
        <v>352</v>
      </c>
      <c r="H1868" t="s">
        <v>353</v>
      </c>
      <c r="I1868">
        <v>600184</v>
      </c>
      <c r="J1868" t="s">
        <v>1745</v>
      </c>
      <c r="K1868" t="s">
        <v>1746</v>
      </c>
      <c r="L1868" t="s">
        <v>6183</v>
      </c>
      <c r="N1868" t="s">
        <v>6184</v>
      </c>
      <c r="O1868" t="s">
        <v>6185</v>
      </c>
      <c r="R1868" t="s">
        <v>3985</v>
      </c>
      <c r="S1868" s="34" t="s">
        <v>6186</v>
      </c>
    </row>
    <row r="1869" spans="1:19" ht="378" x14ac:dyDescent="0.15">
      <c r="A1869" t="s">
        <v>1715</v>
      </c>
      <c r="B1869" s="61">
        <v>46296</v>
      </c>
      <c r="E1869" t="s">
        <v>355</v>
      </c>
      <c r="F1869" t="s">
        <v>351</v>
      </c>
      <c r="G1869" t="s">
        <v>352</v>
      </c>
      <c r="H1869" t="s">
        <v>365</v>
      </c>
      <c r="I1869">
        <v>1500566</v>
      </c>
      <c r="J1869" t="s">
        <v>1755</v>
      </c>
      <c r="L1869" t="s">
        <v>698</v>
      </c>
      <c r="N1869" t="s">
        <v>6187</v>
      </c>
      <c r="O1869" t="s">
        <v>6188</v>
      </c>
      <c r="R1869" t="s">
        <v>3985</v>
      </c>
      <c r="S1869" s="34" t="s">
        <v>6189</v>
      </c>
    </row>
    <row r="1870" spans="1:19" ht="409.5" x14ac:dyDescent="0.15">
      <c r="A1870" t="s">
        <v>1715</v>
      </c>
      <c r="B1870" s="61">
        <v>46296</v>
      </c>
      <c r="E1870" t="s">
        <v>355</v>
      </c>
      <c r="F1870" t="s">
        <v>351</v>
      </c>
      <c r="G1870" t="s">
        <v>354</v>
      </c>
      <c r="H1870" t="s">
        <v>353</v>
      </c>
      <c r="I1870">
        <v>1500581</v>
      </c>
      <c r="J1870" t="s">
        <v>1791</v>
      </c>
      <c r="K1870" t="s">
        <v>1792</v>
      </c>
      <c r="L1870" t="s">
        <v>1793</v>
      </c>
      <c r="N1870" t="s">
        <v>6190</v>
      </c>
      <c r="O1870" t="s">
        <v>1795</v>
      </c>
      <c r="R1870" t="s">
        <v>3986</v>
      </c>
      <c r="S1870" s="34" t="s">
        <v>6191</v>
      </c>
    </row>
    <row r="1871" spans="1:19" ht="202.5" x14ac:dyDescent="0.15">
      <c r="A1871" t="s">
        <v>1715</v>
      </c>
      <c r="B1871" s="61">
        <v>46296</v>
      </c>
      <c r="E1871" t="s">
        <v>355</v>
      </c>
      <c r="F1871" t="s">
        <v>351</v>
      </c>
      <c r="G1871" t="s">
        <v>354</v>
      </c>
      <c r="H1871" t="s">
        <v>686</v>
      </c>
      <c r="I1871">
        <v>1500581</v>
      </c>
      <c r="J1871" t="s">
        <v>1791</v>
      </c>
      <c r="K1871" t="s">
        <v>1792</v>
      </c>
      <c r="L1871" t="s">
        <v>1793</v>
      </c>
      <c r="N1871">
        <v>2140559</v>
      </c>
      <c r="O1871" t="s">
        <v>1795</v>
      </c>
      <c r="R1871" t="s">
        <v>3986</v>
      </c>
      <c r="S1871" s="34" t="s">
        <v>6192</v>
      </c>
    </row>
    <row r="1872" spans="1:19" ht="378" x14ac:dyDescent="0.15">
      <c r="A1872" t="s">
        <v>1715</v>
      </c>
      <c r="B1872" s="61">
        <v>46296</v>
      </c>
      <c r="E1872" t="s">
        <v>355</v>
      </c>
      <c r="F1872" t="s">
        <v>351</v>
      </c>
      <c r="G1872" t="s">
        <v>354</v>
      </c>
      <c r="H1872" t="s">
        <v>686</v>
      </c>
      <c r="I1872">
        <v>1500748</v>
      </c>
      <c r="J1872" t="s">
        <v>1716</v>
      </c>
      <c r="K1872" t="s">
        <v>1717</v>
      </c>
      <c r="L1872" t="s">
        <v>1718</v>
      </c>
      <c r="N1872">
        <v>2176199</v>
      </c>
      <c r="O1872" t="s">
        <v>1719</v>
      </c>
      <c r="S1872" s="34" t="s">
        <v>6193</v>
      </c>
    </row>
    <row r="1873" spans="1:19" ht="409.5" x14ac:dyDescent="0.15">
      <c r="A1873" t="s">
        <v>1715</v>
      </c>
      <c r="B1873" s="61">
        <v>46296</v>
      </c>
      <c r="E1873" t="s">
        <v>355</v>
      </c>
      <c r="F1873" t="s">
        <v>351</v>
      </c>
      <c r="G1873" t="s">
        <v>354</v>
      </c>
      <c r="H1873" t="s">
        <v>365</v>
      </c>
      <c r="I1873">
        <v>1500748</v>
      </c>
      <c r="J1873" t="s">
        <v>1716</v>
      </c>
      <c r="K1873" t="s">
        <v>1717</v>
      </c>
      <c r="L1873" t="s">
        <v>1718</v>
      </c>
      <c r="N1873" t="s">
        <v>4828</v>
      </c>
      <c r="O1873" t="s">
        <v>1719</v>
      </c>
      <c r="S1873" s="34" t="s">
        <v>6194</v>
      </c>
    </row>
    <row r="1874" spans="1:19" ht="216" x14ac:dyDescent="0.15">
      <c r="A1874" t="s">
        <v>1715</v>
      </c>
      <c r="B1874" s="61">
        <v>46327</v>
      </c>
      <c r="E1874" t="s">
        <v>355</v>
      </c>
      <c r="F1874" t="s">
        <v>351</v>
      </c>
      <c r="G1874" t="s">
        <v>354</v>
      </c>
      <c r="H1874" t="s">
        <v>365</v>
      </c>
      <c r="I1874">
        <v>600024</v>
      </c>
      <c r="J1874" t="s">
        <v>1745</v>
      </c>
      <c r="K1874" t="s">
        <v>1746</v>
      </c>
      <c r="L1874" t="s">
        <v>373</v>
      </c>
      <c r="N1874" t="s">
        <v>1788</v>
      </c>
      <c r="O1874" t="s">
        <v>1789</v>
      </c>
      <c r="R1874" t="s">
        <v>3986</v>
      </c>
      <c r="S1874" s="34" t="s">
        <v>6195</v>
      </c>
    </row>
    <row r="1875" spans="1:19" ht="409.5" x14ac:dyDescent="0.15">
      <c r="A1875" t="s">
        <v>1715</v>
      </c>
      <c r="B1875" s="61">
        <v>46357</v>
      </c>
      <c r="E1875" t="s">
        <v>355</v>
      </c>
      <c r="F1875" t="s">
        <v>351</v>
      </c>
      <c r="G1875" t="s">
        <v>354</v>
      </c>
      <c r="H1875" t="s">
        <v>686</v>
      </c>
      <c r="I1875">
        <v>1500748</v>
      </c>
      <c r="J1875" t="s">
        <v>1716</v>
      </c>
      <c r="K1875" t="s">
        <v>1717</v>
      </c>
      <c r="L1875" t="s">
        <v>1718</v>
      </c>
      <c r="N1875">
        <v>2174444</v>
      </c>
      <c r="O1875" t="s">
        <v>1719</v>
      </c>
      <c r="S1875" s="34" t="s">
        <v>6196</v>
      </c>
    </row>
    <row r="1876" spans="1:19" ht="409.5" x14ac:dyDescent="0.15">
      <c r="A1876" t="s">
        <v>1715</v>
      </c>
      <c r="B1876" s="61">
        <v>46357</v>
      </c>
      <c r="E1876" t="s">
        <v>355</v>
      </c>
      <c r="F1876" t="s">
        <v>351</v>
      </c>
      <c r="G1876" t="s">
        <v>354</v>
      </c>
      <c r="H1876" t="s">
        <v>686</v>
      </c>
      <c r="I1876">
        <v>1500776</v>
      </c>
      <c r="J1876" t="s">
        <v>1052</v>
      </c>
      <c r="K1876" t="s">
        <v>4414</v>
      </c>
      <c r="L1876" t="s">
        <v>4415</v>
      </c>
      <c r="N1876">
        <v>2062293</v>
      </c>
      <c r="O1876" t="s">
        <v>4416</v>
      </c>
      <c r="R1876" t="s">
        <v>4052</v>
      </c>
      <c r="S1876" s="34" t="s">
        <v>6197</v>
      </c>
    </row>
    <row r="1877" spans="1:19" ht="409.5" x14ac:dyDescent="0.15">
      <c r="A1877" t="s">
        <v>1715</v>
      </c>
      <c r="B1877" s="61">
        <v>46357</v>
      </c>
      <c r="E1877" t="s">
        <v>355</v>
      </c>
      <c r="F1877" t="s">
        <v>351</v>
      </c>
      <c r="G1877" t="s">
        <v>354</v>
      </c>
      <c r="H1877" t="s">
        <v>309</v>
      </c>
      <c r="I1877">
        <v>1500776</v>
      </c>
      <c r="J1877" t="s">
        <v>1052</v>
      </c>
      <c r="K1877" t="s">
        <v>4414</v>
      </c>
      <c r="L1877" t="s">
        <v>4415</v>
      </c>
      <c r="N1877" t="s">
        <v>6198</v>
      </c>
      <c r="O1877" t="s">
        <v>4416</v>
      </c>
      <c r="R1877" t="s">
        <v>4052</v>
      </c>
      <c r="S1877" s="34" t="s">
        <v>6199</v>
      </c>
    </row>
    <row r="1878" spans="1:19" ht="409.5" x14ac:dyDescent="0.15">
      <c r="A1878" t="s">
        <v>1797</v>
      </c>
      <c r="B1878" s="61">
        <v>46235</v>
      </c>
      <c r="E1878" t="s">
        <v>355</v>
      </c>
      <c r="F1878" t="s">
        <v>351</v>
      </c>
      <c r="G1878" t="s">
        <v>354</v>
      </c>
      <c r="H1878" t="s">
        <v>686</v>
      </c>
      <c r="I1878">
        <v>2802371</v>
      </c>
      <c r="J1878" t="s">
        <v>4341</v>
      </c>
      <c r="K1878" t="s">
        <v>440</v>
      </c>
      <c r="L1878" t="s">
        <v>916</v>
      </c>
      <c r="N1878">
        <v>2158503</v>
      </c>
      <c r="O1878" t="s">
        <v>4342</v>
      </c>
      <c r="R1878" t="s">
        <v>3987</v>
      </c>
      <c r="S1878" s="34" t="s">
        <v>6200</v>
      </c>
    </row>
    <row r="1879" spans="1:19" ht="409.5" x14ac:dyDescent="0.15">
      <c r="A1879" t="s">
        <v>1797</v>
      </c>
      <c r="B1879" s="61">
        <v>46266</v>
      </c>
      <c r="E1879" t="s">
        <v>355</v>
      </c>
      <c r="F1879" t="s">
        <v>351</v>
      </c>
      <c r="G1879" t="s">
        <v>354</v>
      </c>
      <c r="H1879" t="s">
        <v>686</v>
      </c>
      <c r="I1879">
        <v>2801283</v>
      </c>
      <c r="J1879" t="s">
        <v>1212</v>
      </c>
      <c r="K1879" t="s">
        <v>3999</v>
      </c>
      <c r="L1879" t="s">
        <v>1799</v>
      </c>
      <c r="N1879">
        <v>2188559</v>
      </c>
      <c r="O1879" t="s">
        <v>1801</v>
      </c>
      <c r="R1879" t="s">
        <v>3987</v>
      </c>
      <c r="S1879" s="34" t="s">
        <v>6201</v>
      </c>
    </row>
    <row r="1880" spans="1:19" ht="409.5" x14ac:dyDescent="0.15">
      <c r="A1880" t="s">
        <v>1797</v>
      </c>
      <c r="B1880" s="61">
        <v>46296</v>
      </c>
      <c r="E1880" t="s">
        <v>355</v>
      </c>
      <c r="F1880" t="s">
        <v>351</v>
      </c>
      <c r="G1880" t="s">
        <v>354</v>
      </c>
      <c r="H1880" t="s">
        <v>686</v>
      </c>
      <c r="I1880">
        <v>2801283</v>
      </c>
      <c r="J1880" t="s">
        <v>1212</v>
      </c>
      <c r="K1880" t="s">
        <v>3999</v>
      </c>
      <c r="L1880" t="s">
        <v>1799</v>
      </c>
      <c r="N1880">
        <v>2188559</v>
      </c>
      <c r="O1880" t="s">
        <v>1801</v>
      </c>
      <c r="S1880" s="34" t="s">
        <v>6203</v>
      </c>
    </row>
    <row r="1881" spans="1:19" ht="409.5" x14ac:dyDescent="0.15">
      <c r="A1881" t="s">
        <v>1797</v>
      </c>
      <c r="B1881" s="61">
        <v>46327</v>
      </c>
      <c r="E1881" t="s">
        <v>355</v>
      </c>
      <c r="F1881" t="s">
        <v>351</v>
      </c>
      <c r="G1881" t="s">
        <v>354</v>
      </c>
      <c r="H1881" t="s">
        <v>353</v>
      </c>
      <c r="I1881">
        <v>2802371</v>
      </c>
      <c r="J1881" t="s">
        <v>4341</v>
      </c>
      <c r="K1881" t="s">
        <v>440</v>
      </c>
      <c r="L1881" t="s">
        <v>916</v>
      </c>
      <c r="N1881" t="s">
        <v>6204</v>
      </c>
      <c r="O1881" t="s">
        <v>4342</v>
      </c>
      <c r="R1881" t="s">
        <v>3987</v>
      </c>
      <c r="S1881" s="34" t="s">
        <v>6205</v>
      </c>
    </row>
    <row r="1882" spans="1:19" ht="409.5" x14ac:dyDescent="0.15">
      <c r="A1882" t="s">
        <v>1797</v>
      </c>
      <c r="B1882" s="61">
        <v>46327</v>
      </c>
      <c r="E1882" t="s">
        <v>355</v>
      </c>
      <c r="F1882" t="s">
        <v>351</v>
      </c>
      <c r="G1882" t="s">
        <v>354</v>
      </c>
      <c r="H1882" t="s">
        <v>686</v>
      </c>
      <c r="I1882">
        <v>2802371</v>
      </c>
      <c r="J1882" t="s">
        <v>4341</v>
      </c>
      <c r="K1882" t="s">
        <v>440</v>
      </c>
      <c r="L1882" t="s">
        <v>916</v>
      </c>
      <c r="N1882">
        <v>2158503</v>
      </c>
      <c r="O1882" t="s">
        <v>4342</v>
      </c>
      <c r="R1882" t="s">
        <v>3987</v>
      </c>
      <c r="S1882" s="34" t="s">
        <v>6200</v>
      </c>
    </row>
    <row r="1883" spans="1:19" ht="409.5" x14ac:dyDescent="0.15">
      <c r="A1883" t="s">
        <v>1797</v>
      </c>
      <c r="B1883" s="61">
        <v>46357</v>
      </c>
      <c r="E1883" t="s">
        <v>355</v>
      </c>
      <c r="F1883" t="s">
        <v>351</v>
      </c>
      <c r="G1883" t="s">
        <v>354</v>
      </c>
      <c r="H1883" t="s">
        <v>686</v>
      </c>
      <c r="I1883">
        <v>2801283</v>
      </c>
      <c r="J1883" t="s">
        <v>1212</v>
      </c>
      <c r="K1883" t="s">
        <v>3999</v>
      </c>
      <c r="L1883" t="s">
        <v>1799</v>
      </c>
      <c r="N1883">
        <v>2144960</v>
      </c>
      <c r="O1883" t="s">
        <v>1801</v>
      </c>
      <c r="S1883" s="34" t="s">
        <v>6201</v>
      </c>
    </row>
    <row r="1884" spans="1:19" ht="409.5" x14ac:dyDescent="0.15">
      <c r="A1884" t="s">
        <v>1797</v>
      </c>
      <c r="B1884" s="61">
        <v>46357</v>
      </c>
      <c r="E1884" t="s">
        <v>355</v>
      </c>
      <c r="F1884" t="s">
        <v>351</v>
      </c>
      <c r="G1884" t="s">
        <v>354</v>
      </c>
      <c r="H1884" t="s">
        <v>309</v>
      </c>
      <c r="I1884">
        <v>2801416</v>
      </c>
      <c r="J1884" t="s">
        <v>531</v>
      </c>
      <c r="K1884" t="s">
        <v>6206</v>
      </c>
      <c r="L1884" t="s">
        <v>368</v>
      </c>
      <c r="N1884" t="s">
        <v>6207</v>
      </c>
      <c r="O1884" t="s">
        <v>6208</v>
      </c>
      <c r="S1884" s="34" t="s">
        <v>6209</v>
      </c>
    </row>
    <row r="1885" spans="1:19" ht="409.5" x14ac:dyDescent="0.15">
      <c r="A1885" t="s">
        <v>1797</v>
      </c>
      <c r="B1885" s="61">
        <v>46357</v>
      </c>
      <c r="E1885" t="s">
        <v>355</v>
      </c>
      <c r="F1885" t="s">
        <v>351</v>
      </c>
      <c r="G1885" t="s">
        <v>354</v>
      </c>
      <c r="H1885" t="s">
        <v>353</v>
      </c>
      <c r="I1885">
        <v>2801416</v>
      </c>
      <c r="J1885" t="s">
        <v>531</v>
      </c>
      <c r="K1885" t="s">
        <v>6206</v>
      </c>
      <c r="L1885" t="s">
        <v>368</v>
      </c>
      <c r="N1885" t="s">
        <v>6210</v>
      </c>
      <c r="O1885" t="s">
        <v>6208</v>
      </c>
      <c r="S1885" s="34" t="s">
        <v>6211</v>
      </c>
    </row>
    <row r="1886" spans="1:19" ht="216" x14ac:dyDescent="0.15">
      <c r="A1886" t="s">
        <v>1817</v>
      </c>
      <c r="B1886" s="61">
        <v>46235</v>
      </c>
      <c r="E1886" t="s">
        <v>355</v>
      </c>
      <c r="F1886" t="s">
        <v>351</v>
      </c>
      <c r="G1886" t="s">
        <v>354</v>
      </c>
      <c r="H1886" t="s">
        <v>365</v>
      </c>
      <c r="I1886">
        <v>2800113</v>
      </c>
      <c r="J1886" t="s">
        <v>1831</v>
      </c>
      <c r="L1886" t="s">
        <v>390</v>
      </c>
      <c r="N1886" t="s">
        <v>1832</v>
      </c>
      <c r="O1886" t="s">
        <v>1833</v>
      </c>
      <c r="R1886" t="s">
        <v>3986</v>
      </c>
      <c r="S1886" s="34" t="s">
        <v>6212</v>
      </c>
    </row>
    <row r="1887" spans="1:19" ht="216" x14ac:dyDescent="0.15">
      <c r="A1887" t="s">
        <v>1817</v>
      </c>
      <c r="B1887" s="61">
        <v>46266</v>
      </c>
      <c r="E1887" t="s">
        <v>355</v>
      </c>
      <c r="F1887" t="s">
        <v>351</v>
      </c>
      <c r="G1887" t="s">
        <v>354</v>
      </c>
      <c r="H1887" t="s">
        <v>353</v>
      </c>
      <c r="I1887">
        <v>2800240</v>
      </c>
      <c r="J1887" t="s">
        <v>1825</v>
      </c>
      <c r="K1887" t="s">
        <v>1826</v>
      </c>
      <c r="L1887" t="s">
        <v>1827</v>
      </c>
      <c r="N1887" t="s">
        <v>1828</v>
      </c>
      <c r="O1887" t="s">
        <v>1829</v>
      </c>
      <c r="S1887" s="34" t="s">
        <v>6215</v>
      </c>
    </row>
    <row r="1888" spans="1:19" ht="409.5" x14ac:dyDescent="0.15">
      <c r="A1888" t="s">
        <v>1817</v>
      </c>
      <c r="B1888" s="61">
        <v>46296</v>
      </c>
      <c r="E1888" t="s">
        <v>355</v>
      </c>
      <c r="F1888" t="s">
        <v>351</v>
      </c>
      <c r="G1888" t="s">
        <v>354</v>
      </c>
      <c r="H1888" t="s">
        <v>353</v>
      </c>
      <c r="I1888">
        <v>2802073</v>
      </c>
      <c r="J1888" t="s">
        <v>3187</v>
      </c>
      <c r="K1888" t="s">
        <v>6216</v>
      </c>
      <c r="L1888" t="s">
        <v>6216</v>
      </c>
      <c r="N1888" t="s">
        <v>6217</v>
      </c>
      <c r="O1888" t="s">
        <v>6218</v>
      </c>
      <c r="S1888" s="34" t="s">
        <v>6219</v>
      </c>
    </row>
    <row r="1889" spans="1:19" ht="409.5" x14ac:dyDescent="0.15">
      <c r="A1889" t="s">
        <v>1817</v>
      </c>
      <c r="B1889" s="61">
        <v>46296</v>
      </c>
      <c r="E1889" t="s">
        <v>355</v>
      </c>
      <c r="F1889" t="s">
        <v>351</v>
      </c>
      <c r="G1889" t="s">
        <v>354</v>
      </c>
      <c r="H1889" t="s">
        <v>686</v>
      </c>
      <c r="I1889">
        <v>2802310</v>
      </c>
      <c r="J1889" t="s">
        <v>1212</v>
      </c>
      <c r="K1889" t="s">
        <v>6213</v>
      </c>
      <c r="L1889" t="s">
        <v>1835</v>
      </c>
      <c r="N1889">
        <v>2143524</v>
      </c>
      <c r="O1889" t="s">
        <v>1837</v>
      </c>
      <c r="S1889" s="34" t="s">
        <v>6214</v>
      </c>
    </row>
    <row r="1890" spans="1:19" ht="409.5" x14ac:dyDescent="0.15">
      <c r="A1890" t="s">
        <v>1817</v>
      </c>
      <c r="B1890" s="61">
        <v>46327</v>
      </c>
      <c r="E1890" t="s">
        <v>355</v>
      </c>
      <c r="F1890" t="s">
        <v>351</v>
      </c>
      <c r="G1890" t="s">
        <v>354</v>
      </c>
      <c r="H1890" t="s">
        <v>353</v>
      </c>
      <c r="I1890">
        <v>2801506</v>
      </c>
      <c r="J1890" t="s">
        <v>2129</v>
      </c>
      <c r="K1890" t="s">
        <v>6220</v>
      </c>
      <c r="L1890" t="s">
        <v>6221</v>
      </c>
      <c r="N1890" t="s">
        <v>6222</v>
      </c>
      <c r="O1890" t="s">
        <v>6223</v>
      </c>
      <c r="R1890" t="s">
        <v>6224</v>
      </c>
      <c r="S1890" s="34" t="s">
        <v>6225</v>
      </c>
    </row>
    <row r="1891" spans="1:19" ht="409.5" x14ac:dyDescent="0.15">
      <c r="A1891" t="s">
        <v>1817</v>
      </c>
      <c r="B1891" s="61">
        <v>46327</v>
      </c>
      <c r="E1891" t="s">
        <v>355</v>
      </c>
      <c r="F1891" t="s">
        <v>351</v>
      </c>
      <c r="G1891" t="s">
        <v>354</v>
      </c>
      <c r="H1891" t="s">
        <v>686</v>
      </c>
      <c r="I1891">
        <v>2801506</v>
      </c>
      <c r="J1891" t="s">
        <v>2129</v>
      </c>
      <c r="K1891" t="s">
        <v>6220</v>
      </c>
      <c r="L1891" t="s">
        <v>6221</v>
      </c>
      <c r="N1891">
        <v>2152452</v>
      </c>
      <c r="O1891" t="s">
        <v>6223</v>
      </c>
      <c r="R1891" t="s">
        <v>6226</v>
      </c>
      <c r="S1891" s="34" t="s">
        <v>6227</v>
      </c>
    </row>
    <row r="1892" spans="1:19" ht="270" x14ac:dyDescent="0.15">
      <c r="A1892" t="s">
        <v>1817</v>
      </c>
      <c r="B1892" s="61">
        <v>46327</v>
      </c>
      <c r="E1892" t="s">
        <v>355</v>
      </c>
      <c r="F1892" t="s">
        <v>351</v>
      </c>
      <c r="G1892" t="s">
        <v>354</v>
      </c>
      <c r="H1892" t="s">
        <v>686</v>
      </c>
      <c r="I1892">
        <v>2802110</v>
      </c>
      <c r="J1892" t="s">
        <v>974</v>
      </c>
      <c r="K1892" t="s">
        <v>6228</v>
      </c>
      <c r="L1892" t="s">
        <v>584</v>
      </c>
      <c r="N1892">
        <v>2074577</v>
      </c>
      <c r="O1892" t="s">
        <v>6229</v>
      </c>
      <c r="R1892" t="s">
        <v>4564</v>
      </c>
      <c r="S1892" s="34" t="s">
        <v>6230</v>
      </c>
    </row>
    <row r="1893" spans="1:19" ht="409.5" x14ac:dyDescent="0.15">
      <c r="A1893" t="s">
        <v>1817</v>
      </c>
      <c r="B1893" s="61">
        <v>46327</v>
      </c>
      <c r="E1893" t="s">
        <v>355</v>
      </c>
      <c r="F1893" t="s">
        <v>351</v>
      </c>
      <c r="G1893" t="s">
        <v>354</v>
      </c>
      <c r="H1893" t="s">
        <v>686</v>
      </c>
      <c r="I1893">
        <v>2802310</v>
      </c>
      <c r="J1893" t="s">
        <v>1212</v>
      </c>
      <c r="K1893" t="s">
        <v>6213</v>
      </c>
      <c r="L1893" t="s">
        <v>1835</v>
      </c>
      <c r="N1893">
        <v>2143524</v>
      </c>
      <c r="O1893" t="s">
        <v>1837</v>
      </c>
      <c r="R1893" t="s">
        <v>3987</v>
      </c>
      <c r="S1893" s="34" t="s">
        <v>6214</v>
      </c>
    </row>
    <row r="1894" spans="1:19" ht="409.5" x14ac:dyDescent="0.15">
      <c r="A1894" t="s">
        <v>1817</v>
      </c>
      <c r="B1894" s="61">
        <v>46357</v>
      </c>
      <c r="E1894" t="s">
        <v>355</v>
      </c>
      <c r="F1894" t="s">
        <v>351</v>
      </c>
      <c r="G1894" t="s">
        <v>354</v>
      </c>
      <c r="H1894" t="s">
        <v>686</v>
      </c>
      <c r="I1894">
        <v>2802073</v>
      </c>
      <c r="J1894" t="s">
        <v>3187</v>
      </c>
      <c r="K1894" t="s">
        <v>6216</v>
      </c>
      <c r="L1894" t="s">
        <v>6216</v>
      </c>
      <c r="N1894">
        <v>2187934</v>
      </c>
      <c r="O1894" t="s">
        <v>6218</v>
      </c>
      <c r="S1894" s="34" t="s">
        <v>6231</v>
      </c>
    </row>
    <row r="1895" spans="1:19" ht="409.5" x14ac:dyDescent="0.15">
      <c r="A1895" t="s">
        <v>1842</v>
      </c>
      <c r="B1895" s="61">
        <v>46296</v>
      </c>
      <c r="E1895" t="s">
        <v>355</v>
      </c>
      <c r="F1895" t="s">
        <v>351</v>
      </c>
      <c r="G1895" t="s">
        <v>354</v>
      </c>
      <c r="H1895" t="s">
        <v>353</v>
      </c>
      <c r="I1895">
        <v>2801376</v>
      </c>
      <c r="J1895" t="s">
        <v>1851</v>
      </c>
      <c r="K1895" t="s">
        <v>1844</v>
      </c>
      <c r="L1895" t="s">
        <v>6232</v>
      </c>
      <c r="N1895" t="s">
        <v>6233</v>
      </c>
      <c r="O1895" t="s">
        <v>1854</v>
      </c>
      <c r="S1895" s="34" t="s">
        <v>6234</v>
      </c>
    </row>
    <row r="1896" spans="1:19" ht="409.5" x14ac:dyDescent="0.15">
      <c r="A1896" t="s">
        <v>1842</v>
      </c>
      <c r="B1896" s="61">
        <v>46357</v>
      </c>
      <c r="E1896" t="s">
        <v>355</v>
      </c>
      <c r="F1896" t="s">
        <v>351</v>
      </c>
      <c r="G1896" t="s">
        <v>352</v>
      </c>
      <c r="H1896" t="s">
        <v>365</v>
      </c>
      <c r="I1896">
        <v>2801591</v>
      </c>
      <c r="J1896" t="s">
        <v>3598</v>
      </c>
      <c r="K1896" t="s">
        <v>1844</v>
      </c>
      <c r="L1896" t="s">
        <v>3217</v>
      </c>
      <c r="N1896" t="s">
        <v>6235</v>
      </c>
      <c r="O1896" t="s">
        <v>6236</v>
      </c>
      <c r="R1896" t="s">
        <v>3985</v>
      </c>
      <c r="S1896" s="34" t="s">
        <v>6237</v>
      </c>
    </row>
    <row r="1897" spans="1:19" ht="409.5" x14ac:dyDescent="0.15">
      <c r="A1897" t="s">
        <v>1842</v>
      </c>
      <c r="B1897" s="61">
        <v>46357</v>
      </c>
      <c r="E1897" t="s">
        <v>355</v>
      </c>
      <c r="F1897" t="s">
        <v>351</v>
      </c>
      <c r="G1897" t="s">
        <v>354</v>
      </c>
      <c r="H1897" t="s">
        <v>353</v>
      </c>
      <c r="I1897">
        <v>2802322</v>
      </c>
      <c r="J1897" t="s">
        <v>1851</v>
      </c>
      <c r="K1897" t="s">
        <v>1844</v>
      </c>
      <c r="L1897" t="s">
        <v>6238</v>
      </c>
      <c r="N1897" t="s">
        <v>6239</v>
      </c>
      <c r="O1897" t="s">
        <v>1858</v>
      </c>
      <c r="S1897" s="34" t="s">
        <v>6240</v>
      </c>
    </row>
    <row r="1898" spans="1:19" ht="229.5" x14ac:dyDescent="0.15">
      <c r="A1898" t="s">
        <v>1860</v>
      </c>
      <c r="B1898" s="61">
        <v>46327</v>
      </c>
      <c r="E1898" t="s">
        <v>355</v>
      </c>
      <c r="F1898" t="s">
        <v>351</v>
      </c>
      <c r="G1898" t="s">
        <v>354</v>
      </c>
      <c r="H1898" t="s">
        <v>353</v>
      </c>
      <c r="I1898">
        <v>801372</v>
      </c>
      <c r="J1898" t="s">
        <v>1877</v>
      </c>
      <c r="K1898" t="s">
        <v>1878</v>
      </c>
      <c r="L1898" t="s">
        <v>413</v>
      </c>
      <c r="N1898" t="s">
        <v>1879</v>
      </c>
      <c r="O1898" t="s">
        <v>1880</v>
      </c>
      <c r="R1898" t="s">
        <v>3987</v>
      </c>
      <c r="S1898" s="34" t="s">
        <v>6246</v>
      </c>
    </row>
    <row r="1899" spans="1:19" ht="409.5" x14ac:dyDescent="0.15">
      <c r="A1899" t="s">
        <v>1860</v>
      </c>
      <c r="B1899" s="61">
        <v>46357</v>
      </c>
      <c r="E1899" t="s">
        <v>355</v>
      </c>
      <c r="F1899" t="s">
        <v>351</v>
      </c>
      <c r="G1899" t="s">
        <v>352</v>
      </c>
      <c r="H1899" t="s">
        <v>310</v>
      </c>
      <c r="I1899">
        <v>800392</v>
      </c>
      <c r="J1899" t="s">
        <v>1889</v>
      </c>
      <c r="K1899" t="s">
        <v>403</v>
      </c>
      <c r="L1899" t="s">
        <v>512</v>
      </c>
      <c r="N1899" t="s">
        <v>1890</v>
      </c>
      <c r="O1899" t="s">
        <v>1891</v>
      </c>
      <c r="R1899" t="s">
        <v>3985</v>
      </c>
      <c r="S1899" s="34" t="s">
        <v>6247</v>
      </c>
    </row>
    <row r="1900" spans="1:19" ht="409.5" x14ac:dyDescent="0.15">
      <c r="A1900" t="s">
        <v>1860</v>
      </c>
      <c r="B1900" s="61">
        <v>46357</v>
      </c>
      <c r="E1900" t="s">
        <v>355</v>
      </c>
      <c r="F1900" t="s">
        <v>351</v>
      </c>
      <c r="G1900" t="s">
        <v>354</v>
      </c>
      <c r="H1900" t="s">
        <v>365</v>
      </c>
      <c r="I1900">
        <v>800465</v>
      </c>
      <c r="J1900" t="s">
        <v>775</v>
      </c>
      <c r="K1900" t="s">
        <v>1868</v>
      </c>
      <c r="L1900" t="s">
        <v>1869</v>
      </c>
      <c r="N1900" t="s">
        <v>6248</v>
      </c>
      <c r="O1900" t="s">
        <v>1871</v>
      </c>
      <c r="R1900" t="s">
        <v>3992</v>
      </c>
      <c r="S1900" s="34" t="s">
        <v>6249</v>
      </c>
    </row>
    <row r="1901" spans="1:19" ht="324" x14ac:dyDescent="0.15">
      <c r="A1901" t="s">
        <v>1860</v>
      </c>
      <c r="B1901" s="61">
        <v>46357</v>
      </c>
      <c r="E1901" t="s">
        <v>355</v>
      </c>
      <c r="F1901" t="s">
        <v>351</v>
      </c>
      <c r="G1901" t="s">
        <v>354</v>
      </c>
      <c r="H1901" t="s">
        <v>353</v>
      </c>
      <c r="I1901">
        <v>800465</v>
      </c>
      <c r="J1901" t="s">
        <v>775</v>
      </c>
      <c r="K1901" t="s">
        <v>1868</v>
      </c>
      <c r="L1901" t="s">
        <v>1869</v>
      </c>
      <c r="N1901" t="s">
        <v>6250</v>
      </c>
      <c r="O1901" t="s">
        <v>1871</v>
      </c>
      <c r="R1901" t="s">
        <v>3992</v>
      </c>
      <c r="S1901" s="34" t="s">
        <v>6251</v>
      </c>
    </row>
    <row r="1902" spans="1:19" ht="409.5" x14ac:dyDescent="0.15">
      <c r="A1902" t="s">
        <v>6252</v>
      </c>
      <c r="B1902" s="61">
        <v>46235</v>
      </c>
      <c r="E1902" t="s">
        <v>355</v>
      </c>
      <c r="F1902" t="s">
        <v>351</v>
      </c>
      <c r="G1902" t="s">
        <v>354</v>
      </c>
      <c r="H1902" t="s">
        <v>365</v>
      </c>
      <c r="I1902">
        <v>3300581</v>
      </c>
      <c r="J1902" t="s">
        <v>6253</v>
      </c>
      <c r="L1902" t="s">
        <v>413</v>
      </c>
      <c r="N1902" t="s">
        <v>6254</v>
      </c>
      <c r="O1902" t="s">
        <v>6255</v>
      </c>
      <c r="S1902" s="34" t="s">
        <v>6256</v>
      </c>
    </row>
    <row r="1903" spans="1:19" ht="378" x14ac:dyDescent="0.15">
      <c r="A1903" t="s">
        <v>6263</v>
      </c>
      <c r="B1903" s="61">
        <v>46235</v>
      </c>
      <c r="E1903" t="s">
        <v>355</v>
      </c>
      <c r="F1903" t="s">
        <v>351</v>
      </c>
      <c r="G1903" t="s">
        <v>354</v>
      </c>
      <c r="H1903" t="s">
        <v>365</v>
      </c>
      <c r="I1903">
        <v>3300695</v>
      </c>
      <c r="J1903" t="s">
        <v>743</v>
      </c>
      <c r="K1903" t="s">
        <v>1928</v>
      </c>
      <c r="L1903" t="s">
        <v>6257</v>
      </c>
      <c r="N1903" t="s">
        <v>1930</v>
      </c>
      <c r="O1903" t="s">
        <v>1931</v>
      </c>
      <c r="S1903" s="34" t="s">
        <v>6258</v>
      </c>
    </row>
    <row r="1904" spans="1:19" ht="409.5" x14ac:dyDescent="0.15">
      <c r="A1904" t="s">
        <v>6252</v>
      </c>
      <c r="B1904" s="61">
        <v>46266</v>
      </c>
      <c r="E1904" t="s">
        <v>355</v>
      </c>
      <c r="F1904" t="s">
        <v>351</v>
      </c>
      <c r="G1904" t="s">
        <v>354</v>
      </c>
      <c r="H1904" t="s">
        <v>686</v>
      </c>
      <c r="I1904">
        <v>3300650</v>
      </c>
      <c r="J1904" t="s">
        <v>3825</v>
      </c>
      <c r="K1904" t="s">
        <v>6259</v>
      </c>
      <c r="L1904" t="s">
        <v>6260</v>
      </c>
      <c r="N1904">
        <v>2136655</v>
      </c>
      <c r="O1904" t="s">
        <v>6261</v>
      </c>
      <c r="S1904" s="34" t="s">
        <v>6262</v>
      </c>
    </row>
    <row r="1905" spans="1:19" ht="409.5" x14ac:dyDescent="0.15">
      <c r="A1905" t="s">
        <v>6263</v>
      </c>
      <c r="B1905" s="61">
        <v>46266</v>
      </c>
      <c r="E1905" t="s">
        <v>355</v>
      </c>
      <c r="F1905" t="s">
        <v>351</v>
      </c>
      <c r="G1905" t="s">
        <v>354</v>
      </c>
      <c r="H1905" t="s">
        <v>353</v>
      </c>
      <c r="I1905">
        <v>3300033</v>
      </c>
      <c r="J1905" t="s">
        <v>1924</v>
      </c>
      <c r="K1905" t="s">
        <v>1925</v>
      </c>
      <c r="L1905" t="s">
        <v>1926</v>
      </c>
      <c r="N1905" t="s">
        <v>7354</v>
      </c>
      <c r="O1905" t="s">
        <v>1927</v>
      </c>
      <c r="S1905" s="34" t="s">
        <v>6264</v>
      </c>
    </row>
    <row r="1906" spans="1:19" ht="216" x14ac:dyDescent="0.15">
      <c r="A1906" t="s">
        <v>6263</v>
      </c>
      <c r="B1906" s="61">
        <v>46296</v>
      </c>
      <c r="E1906" t="s">
        <v>355</v>
      </c>
      <c r="F1906" t="s">
        <v>351</v>
      </c>
      <c r="G1906" t="s">
        <v>354</v>
      </c>
      <c r="H1906" t="s">
        <v>353</v>
      </c>
      <c r="I1906">
        <v>3300578</v>
      </c>
      <c r="J1906" t="s">
        <v>1943</v>
      </c>
      <c r="K1906" t="s">
        <v>1944</v>
      </c>
      <c r="L1906" t="s">
        <v>413</v>
      </c>
      <c r="N1906" t="s">
        <v>1950</v>
      </c>
      <c r="O1906" t="s">
        <v>1951</v>
      </c>
      <c r="S1906" s="34" t="s">
        <v>6265</v>
      </c>
    </row>
    <row r="1907" spans="1:19" ht="229.5" x14ac:dyDescent="0.15">
      <c r="A1907" t="s">
        <v>6263</v>
      </c>
      <c r="B1907" s="61">
        <v>46357</v>
      </c>
      <c r="E1907" t="s">
        <v>355</v>
      </c>
      <c r="F1907" t="s">
        <v>351</v>
      </c>
      <c r="G1907" t="s">
        <v>354</v>
      </c>
      <c r="H1907" t="s">
        <v>353</v>
      </c>
      <c r="I1907">
        <v>3300403</v>
      </c>
      <c r="J1907" t="s">
        <v>1943</v>
      </c>
      <c r="K1907" t="s">
        <v>1944</v>
      </c>
      <c r="L1907" t="s">
        <v>698</v>
      </c>
      <c r="N1907" t="s">
        <v>1945</v>
      </c>
      <c r="O1907" t="s">
        <v>1946</v>
      </c>
      <c r="S1907" s="34" t="s">
        <v>6266</v>
      </c>
    </row>
    <row r="1908" spans="1:19" ht="351" x14ac:dyDescent="0.15">
      <c r="A1908" t="s">
        <v>6263</v>
      </c>
      <c r="B1908" s="61">
        <v>46357</v>
      </c>
      <c r="E1908" t="s">
        <v>355</v>
      </c>
      <c r="F1908" t="s">
        <v>351</v>
      </c>
      <c r="G1908" t="s">
        <v>354</v>
      </c>
      <c r="H1908" t="s">
        <v>353</v>
      </c>
      <c r="I1908">
        <v>3300600</v>
      </c>
      <c r="J1908" t="s">
        <v>6267</v>
      </c>
      <c r="K1908" t="s">
        <v>1915</v>
      </c>
      <c r="L1908" t="s">
        <v>6268</v>
      </c>
      <c r="N1908" t="s">
        <v>6269</v>
      </c>
      <c r="O1908" t="s">
        <v>6270</v>
      </c>
      <c r="S1908" s="34" t="s">
        <v>6271</v>
      </c>
    </row>
    <row r="1909" spans="1:19" ht="409.5" x14ac:dyDescent="0.15">
      <c r="A1909" t="s">
        <v>6263</v>
      </c>
      <c r="B1909" s="61">
        <v>46357</v>
      </c>
      <c r="E1909" t="s">
        <v>355</v>
      </c>
      <c r="F1909" t="s">
        <v>351</v>
      </c>
      <c r="G1909" t="s">
        <v>354</v>
      </c>
      <c r="H1909" t="s">
        <v>309</v>
      </c>
      <c r="I1909">
        <v>3300762</v>
      </c>
      <c r="J1909" t="s">
        <v>531</v>
      </c>
      <c r="K1909" t="s">
        <v>4281</v>
      </c>
      <c r="L1909" t="s">
        <v>4282</v>
      </c>
      <c r="N1909" t="s">
        <v>6272</v>
      </c>
      <c r="O1909" t="s">
        <v>4284</v>
      </c>
      <c r="R1909" t="s">
        <v>4320</v>
      </c>
      <c r="S1909" s="34" t="s">
        <v>6273</v>
      </c>
    </row>
    <row r="1910" spans="1:19" ht="409.5" x14ac:dyDescent="0.15">
      <c r="A1910" t="s">
        <v>6263</v>
      </c>
      <c r="B1910" s="61">
        <v>46357</v>
      </c>
      <c r="E1910" t="s">
        <v>355</v>
      </c>
      <c r="F1910" t="s">
        <v>351</v>
      </c>
      <c r="G1910" t="s">
        <v>354</v>
      </c>
      <c r="H1910" t="s">
        <v>353</v>
      </c>
      <c r="I1910">
        <v>3300762</v>
      </c>
      <c r="J1910" t="s">
        <v>531</v>
      </c>
      <c r="K1910" t="s">
        <v>4281</v>
      </c>
      <c r="L1910" t="s">
        <v>4282</v>
      </c>
      <c r="N1910" t="s">
        <v>4283</v>
      </c>
      <c r="O1910" t="s">
        <v>4284</v>
      </c>
      <c r="S1910" s="34" t="s">
        <v>6274</v>
      </c>
    </row>
    <row r="1911" spans="1:19" ht="216" x14ac:dyDescent="0.15">
      <c r="A1911" t="s">
        <v>6275</v>
      </c>
      <c r="B1911" s="61">
        <v>46235</v>
      </c>
      <c r="E1911" t="s">
        <v>355</v>
      </c>
      <c r="F1911" t="s">
        <v>351</v>
      </c>
      <c r="G1911" t="s">
        <v>352</v>
      </c>
      <c r="H1911" t="s">
        <v>365</v>
      </c>
      <c r="I1911">
        <v>1200025</v>
      </c>
      <c r="J1911" t="s">
        <v>6276</v>
      </c>
      <c r="L1911" t="s">
        <v>3217</v>
      </c>
      <c r="N1911" t="s">
        <v>6277</v>
      </c>
      <c r="O1911" t="s">
        <v>6278</v>
      </c>
      <c r="R1911" t="s">
        <v>3985</v>
      </c>
      <c r="S1911" s="34" t="s">
        <v>6279</v>
      </c>
    </row>
    <row r="1912" spans="1:19" ht="229.5" x14ac:dyDescent="0.15">
      <c r="A1912" t="s">
        <v>6275</v>
      </c>
      <c r="B1912" s="61">
        <v>46296</v>
      </c>
      <c r="E1912" t="s">
        <v>355</v>
      </c>
      <c r="F1912" t="s">
        <v>351</v>
      </c>
      <c r="G1912" t="s">
        <v>352</v>
      </c>
      <c r="H1912" t="s">
        <v>353</v>
      </c>
      <c r="I1912">
        <v>801260</v>
      </c>
      <c r="J1912" t="s">
        <v>6281</v>
      </c>
      <c r="K1912" t="s">
        <v>1967</v>
      </c>
      <c r="L1912" t="s">
        <v>6282</v>
      </c>
      <c r="N1912" t="s">
        <v>6283</v>
      </c>
      <c r="O1912" t="s">
        <v>6284</v>
      </c>
      <c r="R1912" t="s">
        <v>3985</v>
      </c>
      <c r="S1912" s="34" t="s">
        <v>6285</v>
      </c>
    </row>
    <row r="1913" spans="1:19" ht="229.5" x14ac:dyDescent="0.15">
      <c r="A1913" t="s">
        <v>6275</v>
      </c>
      <c r="B1913" s="61">
        <v>46296</v>
      </c>
      <c r="E1913" t="s">
        <v>355</v>
      </c>
      <c r="F1913" t="s">
        <v>351</v>
      </c>
      <c r="G1913" t="s">
        <v>352</v>
      </c>
      <c r="H1913" t="s">
        <v>353</v>
      </c>
      <c r="I1913">
        <v>801359</v>
      </c>
      <c r="J1913" t="s">
        <v>1966</v>
      </c>
      <c r="K1913" t="s">
        <v>1967</v>
      </c>
      <c r="L1913" t="s">
        <v>1968</v>
      </c>
      <c r="N1913" t="s">
        <v>1969</v>
      </c>
      <c r="O1913" t="s">
        <v>1970</v>
      </c>
      <c r="R1913" t="s">
        <v>3985</v>
      </c>
      <c r="S1913" s="34" t="s">
        <v>6286</v>
      </c>
    </row>
    <row r="1914" spans="1:19" ht="229.5" x14ac:dyDescent="0.15">
      <c r="A1914" t="s">
        <v>6275</v>
      </c>
      <c r="B1914" s="61">
        <v>46296</v>
      </c>
      <c r="E1914" t="s">
        <v>355</v>
      </c>
      <c r="F1914" t="s">
        <v>351</v>
      </c>
      <c r="G1914" t="s">
        <v>352</v>
      </c>
      <c r="H1914" t="s">
        <v>353</v>
      </c>
      <c r="I1914">
        <v>1201437</v>
      </c>
      <c r="J1914" t="s">
        <v>6287</v>
      </c>
      <c r="K1914" t="s">
        <v>6288</v>
      </c>
      <c r="L1914" t="s">
        <v>413</v>
      </c>
      <c r="N1914" t="s">
        <v>6289</v>
      </c>
      <c r="O1914" t="s">
        <v>6290</v>
      </c>
      <c r="R1914" t="s">
        <v>3985</v>
      </c>
      <c r="S1914" s="34" t="s">
        <v>6291</v>
      </c>
    </row>
    <row r="1915" spans="1:19" ht="409.5" x14ac:dyDescent="0.15">
      <c r="A1915" t="s">
        <v>6275</v>
      </c>
      <c r="B1915" s="61">
        <v>46327</v>
      </c>
      <c r="E1915" t="s">
        <v>355</v>
      </c>
      <c r="F1915" t="s">
        <v>351</v>
      </c>
      <c r="G1915" t="s">
        <v>354</v>
      </c>
      <c r="H1915" t="s">
        <v>353</v>
      </c>
      <c r="I1915">
        <v>1200505</v>
      </c>
      <c r="J1915" t="s">
        <v>4105</v>
      </c>
      <c r="K1915" t="s">
        <v>4106</v>
      </c>
      <c r="L1915" t="s">
        <v>4107</v>
      </c>
      <c r="N1915" t="s">
        <v>4108</v>
      </c>
      <c r="O1915" t="s">
        <v>4109</v>
      </c>
      <c r="R1915" t="s">
        <v>3986</v>
      </c>
      <c r="S1915" s="34" t="s">
        <v>6292</v>
      </c>
    </row>
    <row r="1916" spans="1:19" ht="243" x14ac:dyDescent="0.15">
      <c r="A1916" t="s">
        <v>6275</v>
      </c>
      <c r="B1916" s="61">
        <v>46327</v>
      </c>
      <c r="E1916" t="s">
        <v>355</v>
      </c>
      <c r="F1916" t="s">
        <v>351</v>
      </c>
      <c r="G1916" t="s">
        <v>352</v>
      </c>
      <c r="H1916" t="s">
        <v>353</v>
      </c>
      <c r="I1916">
        <v>1201320</v>
      </c>
      <c r="J1916" t="s">
        <v>1984</v>
      </c>
      <c r="K1916" t="s">
        <v>1985</v>
      </c>
      <c r="L1916" t="s">
        <v>413</v>
      </c>
      <c r="N1916" t="s">
        <v>1986</v>
      </c>
      <c r="O1916" t="s">
        <v>1987</v>
      </c>
      <c r="R1916" t="s">
        <v>3985</v>
      </c>
      <c r="S1916" s="34" t="s">
        <v>6293</v>
      </c>
    </row>
    <row r="1917" spans="1:19" ht="409.5" x14ac:dyDescent="0.15">
      <c r="A1917" t="s">
        <v>6294</v>
      </c>
      <c r="B1917" s="61">
        <v>46266</v>
      </c>
      <c r="E1917" t="s">
        <v>355</v>
      </c>
      <c r="F1917" t="s">
        <v>351</v>
      </c>
      <c r="G1917" t="s">
        <v>354</v>
      </c>
      <c r="H1917" t="s">
        <v>3913</v>
      </c>
      <c r="I1917">
        <v>1200268</v>
      </c>
      <c r="J1917" t="s">
        <v>4568</v>
      </c>
      <c r="K1917" t="s">
        <v>4569</v>
      </c>
      <c r="L1917" t="s">
        <v>4570</v>
      </c>
      <c r="N1917" t="s">
        <v>6295</v>
      </c>
      <c r="O1917" t="s">
        <v>4571</v>
      </c>
      <c r="S1917" s="34" t="s">
        <v>6296</v>
      </c>
    </row>
    <row r="1918" spans="1:19" ht="270" x14ac:dyDescent="0.15">
      <c r="A1918" t="s">
        <v>6294</v>
      </c>
      <c r="B1918" s="61">
        <v>46357</v>
      </c>
      <c r="E1918" t="s">
        <v>355</v>
      </c>
      <c r="F1918" t="s">
        <v>351</v>
      </c>
      <c r="G1918" t="s">
        <v>354</v>
      </c>
      <c r="H1918" t="s">
        <v>686</v>
      </c>
      <c r="I1918">
        <v>1200268</v>
      </c>
      <c r="J1918" t="s">
        <v>4568</v>
      </c>
      <c r="K1918" t="s">
        <v>4569</v>
      </c>
      <c r="L1918" t="s">
        <v>4570</v>
      </c>
      <c r="N1918">
        <v>2137575</v>
      </c>
      <c r="O1918" t="s">
        <v>4571</v>
      </c>
      <c r="R1918" t="s">
        <v>3992</v>
      </c>
      <c r="S1918" s="34" t="s">
        <v>6297</v>
      </c>
    </row>
    <row r="1919" spans="1:19" ht="175.5" x14ac:dyDescent="0.15">
      <c r="A1919" t="s">
        <v>1993</v>
      </c>
      <c r="B1919" s="61">
        <v>46266</v>
      </c>
      <c r="E1919" t="s">
        <v>355</v>
      </c>
      <c r="F1919" t="s">
        <v>351</v>
      </c>
      <c r="G1919" t="s">
        <v>354</v>
      </c>
      <c r="H1919" t="s">
        <v>686</v>
      </c>
      <c r="I1919">
        <v>200073</v>
      </c>
      <c r="J1919" t="s">
        <v>4013</v>
      </c>
      <c r="K1919" t="s">
        <v>4014</v>
      </c>
      <c r="L1919" t="s">
        <v>4015</v>
      </c>
      <c r="N1919">
        <v>2097339</v>
      </c>
      <c r="O1919" t="s">
        <v>4016</v>
      </c>
      <c r="R1919" t="s">
        <v>4534</v>
      </c>
      <c r="S1919" s="34" t="s">
        <v>6298</v>
      </c>
    </row>
    <row r="1920" spans="1:19" ht="229.5" x14ac:dyDescent="0.15">
      <c r="A1920" t="s">
        <v>1993</v>
      </c>
      <c r="B1920" s="61">
        <v>46296</v>
      </c>
      <c r="E1920" t="s">
        <v>355</v>
      </c>
      <c r="F1920" t="s">
        <v>351</v>
      </c>
      <c r="G1920" t="s">
        <v>354</v>
      </c>
      <c r="H1920" t="s">
        <v>365</v>
      </c>
      <c r="I1920">
        <v>500001</v>
      </c>
      <c r="J1920" t="s">
        <v>2021</v>
      </c>
      <c r="K1920" t="s">
        <v>2022</v>
      </c>
      <c r="L1920" t="s">
        <v>2023</v>
      </c>
      <c r="N1920" t="s">
        <v>2024</v>
      </c>
      <c r="O1920" t="s">
        <v>2025</v>
      </c>
      <c r="R1920" t="s">
        <v>3987</v>
      </c>
      <c r="S1920" s="34" t="s">
        <v>6299</v>
      </c>
    </row>
    <row r="1921" spans="1:19" ht="409.5" x14ac:dyDescent="0.15">
      <c r="A1921" t="s">
        <v>1993</v>
      </c>
      <c r="B1921" s="61">
        <v>46296</v>
      </c>
      <c r="E1921" t="s">
        <v>355</v>
      </c>
      <c r="F1921" t="s">
        <v>351</v>
      </c>
      <c r="G1921" t="s">
        <v>354</v>
      </c>
      <c r="H1921" t="s">
        <v>353</v>
      </c>
      <c r="I1921">
        <v>500111</v>
      </c>
      <c r="J1921" t="s">
        <v>1298</v>
      </c>
      <c r="K1921" t="s">
        <v>2010</v>
      </c>
      <c r="L1921" t="s">
        <v>2011</v>
      </c>
      <c r="N1921" t="s">
        <v>6300</v>
      </c>
      <c r="O1921" t="s">
        <v>2013</v>
      </c>
      <c r="R1921" t="s">
        <v>4052</v>
      </c>
      <c r="S1921" s="34" t="s">
        <v>6301</v>
      </c>
    </row>
    <row r="1922" spans="1:19" ht="175.5" x14ac:dyDescent="0.15">
      <c r="A1922" t="s">
        <v>1993</v>
      </c>
      <c r="B1922" s="61">
        <v>46327</v>
      </c>
      <c r="E1922" t="s">
        <v>355</v>
      </c>
      <c r="F1922" t="s">
        <v>351</v>
      </c>
      <c r="G1922" t="s">
        <v>354</v>
      </c>
      <c r="H1922" t="s">
        <v>686</v>
      </c>
      <c r="I1922">
        <v>200073</v>
      </c>
      <c r="J1922" t="s">
        <v>4013</v>
      </c>
      <c r="K1922" t="s">
        <v>4014</v>
      </c>
      <c r="L1922" t="s">
        <v>4015</v>
      </c>
      <c r="N1922">
        <v>2097339</v>
      </c>
      <c r="O1922" t="s">
        <v>4016</v>
      </c>
      <c r="R1922" t="s">
        <v>4534</v>
      </c>
      <c r="S1922" s="34" t="s">
        <v>6298</v>
      </c>
    </row>
    <row r="1923" spans="1:19" ht="409.5" x14ac:dyDescent="0.15">
      <c r="A1923" t="s">
        <v>1993</v>
      </c>
      <c r="B1923" s="61">
        <v>46327</v>
      </c>
      <c r="E1923" t="s">
        <v>355</v>
      </c>
      <c r="F1923" t="s">
        <v>351</v>
      </c>
      <c r="G1923" t="s">
        <v>352</v>
      </c>
      <c r="H1923" t="s">
        <v>353</v>
      </c>
      <c r="I1923">
        <v>300180</v>
      </c>
      <c r="J1923" t="s">
        <v>821</v>
      </c>
      <c r="K1923" t="s">
        <v>2014</v>
      </c>
      <c r="L1923" t="s">
        <v>2015</v>
      </c>
      <c r="N1923" t="s">
        <v>2016</v>
      </c>
      <c r="O1923" t="s">
        <v>2017</v>
      </c>
      <c r="R1923" t="s">
        <v>3985</v>
      </c>
      <c r="S1923" s="34" t="s">
        <v>6302</v>
      </c>
    </row>
    <row r="1924" spans="1:19" ht="229.5" x14ac:dyDescent="0.15">
      <c r="A1924" t="s">
        <v>1993</v>
      </c>
      <c r="B1924" s="61">
        <v>46327</v>
      </c>
      <c r="E1924" t="s">
        <v>355</v>
      </c>
      <c r="F1924" t="s">
        <v>351</v>
      </c>
      <c r="G1924" t="s">
        <v>352</v>
      </c>
      <c r="H1924" t="s">
        <v>365</v>
      </c>
      <c r="I1924">
        <v>500115</v>
      </c>
      <c r="J1924" t="s">
        <v>6303</v>
      </c>
      <c r="K1924" t="s">
        <v>6304</v>
      </c>
      <c r="L1924" t="s">
        <v>390</v>
      </c>
      <c r="N1924" t="s">
        <v>6305</v>
      </c>
      <c r="O1924" t="s">
        <v>6306</v>
      </c>
      <c r="R1924" t="s">
        <v>3985</v>
      </c>
      <c r="S1924" s="34" t="s">
        <v>6307</v>
      </c>
    </row>
    <row r="1925" spans="1:19" ht="229.5" x14ac:dyDescent="0.15">
      <c r="A1925" t="s">
        <v>1993</v>
      </c>
      <c r="B1925" s="61">
        <v>46357</v>
      </c>
      <c r="E1925" t="s">
        <v>355</v>
      </c>
      <c r="F1925" t="s">
        <v>351</v>
      </c>
      <c r="G1925" t="s">
        <v>354</v>
      </c>
      <c r="H1925" t="s">
        <v>365</v>
      </c>
      <c r="I1925">
        <v>200092</v>
      </c>
      <c r="J1925" t="s">
        <v>2004</v>
      </c>
      <c r="K1925" t="s">
        <v>2005</v>
      </c>
      <c r="L1925" t="s">
        <v>413</v>
      </c>
      <c r="N1925" t="s">
        <v>2006</v>
      </c>
      <c r="O1925" t="s">
        <v>2007</v>
      </c>
      <c r="R1925" t="s">
        <v>3987</v>
      </c>
      <c r="S1925" s="34" t="s">
        <v>6308</v>
      </c>
    </row>
    <row r="1926" spans="1:19" ht="409.5" x14ac:dyDescent="0.15">
      <c r="A1926" t="s">
        <v>1993</v>
      </c>
      <c r="B1926" s="61">
        <v>46357</v>
      </c>
      <c r="E1926" t="s">
        <v>355</v>
      </c>
      <c r="F1926" t="s">
        <v>351</v>
      </c>
      <c r="G1926" t="s">
        <v>354</v>
      </c>
      <c r="H1926" t="s">
        <v>365</v>
      </c>
      <c r="I1926">
        <v>500128</v>
      </c>
      <c r="J1926" t="s">
        <v>2009</v>
      </c>
      <c r="K1926" t="s">
        <v>1999</v>
      </c>
      <c r="L1926" t="s">
        <v>698</v>
      </c>
      <c r="N1926" t="s">
        <v>2000</v>
      </c>
      <c r="O1926" t="s">
        <v>2001</v>
      </c>
      <c r="R1926" t="s">
        <v>3986</v>
      </c>
      <c r="S1926" s="34" t="s">
        <v>6309</v>
      </c>
    </row>
    <row r="1927" spans="1:19" ht="216" x14ac:dyDescent="0.15">
      <c r="A1927" t="s">
        <v>2027</v>
      </c>
      <c r="B1927" s="61">
        <v>46266</v>
      </c>
      <c r="E1927" t="s">
        <v>355</v>
      </c>
      <c r="F1927" t="s">
        <v>351</v>
      </c>
      <c r="G1927" t="s">
        <v>354</v>
      </c>
      <c r="H1927" t="s">
        <v>353</v>
      </c>
      <c r="I1927">
        <v>2800634</v>
      </c>
      <c r="J1927" t="s">
        <v>2064</v>
      </c>
      <c r="L1927" t="s">
        <v>833</v>
      </c>
      <c r="N1927" t="s">
        <v>2065</v>
      </c>
      <c r="O1927" t="s">
        <v>2066</v>
      </c>
      <c r="R1927" t="s">
        <v>3987</v>
      </c>
      <c r="S1927" s="34" t="s">
        <v>6310</v>
      </c>
    </row>
    <row r="1928" spans="1:19" ht="229.5" x14ac:dyDescent="0.15">
      <c r="A1928" t="s">
        <v>2027</v>
      </c>
      <c r="B1928" s="61">
        <v>46266</v>
      </c>
      <c r="E1928" t="s">
        <v>355</v>
      </c>
      <c r="F1928" t="s">
        <v>351</v>
      </c>
      <c r="G1928" t="s">
        <v>354</v>
      </c>
      <c r="H1928" t="s">
        <v>365</v>
      </c>
      <c r="I1928">
        <v>2801335</v>
      </c>
      <c r="J1928" t="s">
        <v>3951</v>
      </c>
      <c r="K1928" t="s">
        <v>1450</v>
      </c>
      <c r="L1928" t="s">
        <v>613</v>
      </c>
      <c r="N1928" t="s">
        <v>3952</v>
      </c>
      <c r="O1928" t="s">
        <v>3953</v>
      </c>
      <c r="S1928" s="34" t="s">
        <v>6311</v>
      </c>
    </row>
    <row r="1929" spans="1:19" ht="409.5" x14ac:dyDescent="0.15">
      <c r="A1929" t="s">
        <v>2027</v>
      </c>
      <c r="B1929" s="61">
        <v>46266</v>
      </c>
      <c r="E1929" t="s">
        <v>355</v>
      </c>
      <c r="F1929" t="s">
        <v>351</v>
      </c>
      <c r="G1929" t="s">
        <v>354</v>
      </c>
      <c r="H1929" t="s">
        <v>353</v>
      </c>
      <c r="I1929">
        <v>2801335</v>
      </c>
      <c r="J1929" t="s">
        <v>3951</v>
      </c>
      <c r="K1929" t="s">
        <v>1450</v>
      </c>
      <c r="L1929" t="s">
        <v>613</v>
      </c>
      <c r="N1929" t="s">
        <v>4932</v>
      </c>
      <c r="O1929" t="s">
        <v>3953</v>
      </c>
      <c r="S1929" s="34" t="s">
        <v>6312</v>
      </c>
    </row>
    <row r="1930" spans="1:19" ht="243" x14ac:dyDescent="0.15">
      <c r="A1930" t="s">
        <v>2027</v>
      </c>
      <c r="B1930" s="61">
        <v>46266</v>
      </c>
      <c r="E1930" t="s">
        <v>355</v>
      </c>
      <c r="F1930" t="s">
        <v>351</v>
      </c>
      <c r="G1930" t="s">
        <v>354</v>
      </c>
      <c r="H1930" t="s">
        <v>365</v>
      </c>
      <c r="I1930">
        <v>2802245</v>
      </c>
      <c r="J1930" t="s">
        <v>2049</v>
      </c>
      <c r="K1930" t="s">
        <v>2050</v>
      </c>
      <c r="L1930" t="s">
        <v>2051</v>
      </c>
      <c r="N1930" t="s">
        <v>2052</v>
      </c>
      <c r="O1930" t="s">
        <v>2053</v>
      </c>
      <c r="R1930" t="s">
        <v>3986</v>
      </c>
      <c r="S1930" s="34" t="s">
        <v>6313</v>
      </c>
    </row>
    <row r="1931" spans="1:19" ht="409.5" x14ac:dyDescent="0.15">
      <c r="A1931" t="s">
        <v>2027</v>
      </c>
      <c r="B1931" s="61">
        <v>46296</v>
      </c>
      <c r="E1931" t="s">
        <v>355</v>
      </c>
      <c r="F1931" t="s">
        <v>351</v>
      </c>
      <c r="G1931" t="s">
        <v>354</v>
      </c>
      <c r="H1931" t="s">
        <v>353</v>
      </c>
      <c r="I1931">
        <v>2801344</v>
      </c>
      <c r="J1931" t="s">
        <v>464</v>
      </c>
      <c r="K1931" t="s">
        <v>4313</v>
      </c>
      <c r="L1931" t="s">
        <v>4314</v>
      </c>
      <c r="N1931" t="s">
        <v>4315</v>
      </c>
      <c r="O1931" t="s">
        <v>4316</v>
      </c>
      <c r="S1931" s="34" t="s">
        <v>6314</v>
      </c>
    </row>
    <row r="1932" spans="1:19" ht="409.5" x14ac:dyDescent="0.15">
      <c r="A1932" t="s">
        <v>2027</v>
      </c>
      <c r="B1932" s="61">
        <v>46296</v>
      </c>
      <c r="E1932" t="s">
        <v>355</v>
      </c>
      <c r="F1932" t="s">
        <v>351</v>
      </c>
      <c r="G1932" t="s">
        <v>354</v>
      </c>
      <c r="H1932" t="s">
        <v>353</v>
      </c>
      <c r="I1932">
        <v>2802381</v>
      </c>
      <c r="J1932" t="s">
        <v>2040</v>
      </c>
      <c r="K1932" t="s">
        <v>1350</v>
      </c>
      <c r="L1932" t="s">
        <v>2041</v>
      </c>
      <c r="N1932" t="s">
        <v>6315</v>
      </c>
      <c r="O1932" t="s">
        <v>2043</v>
      </c>
      <c r="S1932" s="34" t="s">
        <v>6316</v>
      </c>
    </row>
    <row r="1933" spans="1:19" ht="409.5" x14ac:dyDescent="0.15">
      <c r="A1933" t="s">
        <v>2027</v>
      </c>
      <c r="B1933" s="61">
        <v>46296</v>
      </c>
      <c r="E1933" t="s">
        <v>355</v>
      </c>
      <c r="F1933" t="s">
        <v>351</v>
      </c>
      <c r="G1933" t="s">
        <v>354</v>
      </c>
      <c r="H1933" t="s">
        <v>686</v>
      </c>
      <c r="I1933">
        <v>2802381</v>
      </c>
      <c r="J1933" t="s">
        <v>2040</v>
      </c>
      <c r="K1933" t="s">
        <v>1350</v>
      </c>
      <c r="L1933" t="s">
        <v>2041</v>
      </c>
      <c r="N1933">
        <v>2158366</v>
      </c>
      <c r="O1933" t="s">
        <v>2043</v>
      </c>
      <c r="S1933" s="34" t="s">
        <v>6317</v>
      </c>
    </row>
    <row r="1934" spans="1:19" ht="256.5" x14ac:dyDescent="0.15">
      <c r="A1934" t="s">
        <v>2027</v>
      </c>
      <c r="B1934" s="61">
        <v>46327</v>
      </c>
      <c r="E1934" t="s">
        <v>355</v>
      </c>
      <c r="F1934" t="s">
        <v>351</v>
      </c>
      <c r="G1934" t="s">
        <v>354</v>
      </c>
      <c r="H1934" t="s">
        <v>365</v>
      </c>
      <c r="I1934">
        <v>2600525</v>
      </c>
      <c r="J1934" t="s">
        <v>4507</v>
      </c>
      <c r="K1934" t="s">
        <v>4508</v>
      </c>
      <c r="L1934" t="s">
        <v>4323</v>
      </c>
      <c r="N1934" t="s">
        <v>4509</v>
      </c>
      <c r="O1934" t="s">
        <v>4510</v>
      </c>
      <c r="R1934" t="s">
        <v>3987</v>
      </c>
      <c r="S1934" s="34" t="s">
        <v>6318</v>
      </c>
    </row>
    <row r="1935" spans="1:19" ht="256.5" x14ac:dyDescent="0.15">
      <c r="A1935" t="s">
        <v>2027</v>
      </c>
      <c r="B1935" s="61">
        <v>46327</v>
      </c>
      <c r="E1935" t="s">
        <v>355</v>
      </c>
      <c r="F1935" t="s">
        <v>351</v>
      </c>
      <c r="G1935" t="s">
        <v>354</v>
      </c>
      <c r="H1935" t="s">
        <v>365</v>
      </c>
      <c r="I1935">
        <v>2600526</v>
      </c>
      <c r="J1935" t="s">
        <v>4507</v>
      </c>
      <c r="K1935" t="s">
        <v>4508</v>
      </c>
      <c r="L1935" t="s">
        <v>2082</v>
      </c>
      <c r="N1935" t="s">
        <v>4768</v>
      </c>
      <c r="O1935" t="s">
        <v>4769</v>
      </c>
      <c r="R1935" t="s">
        <v>3987</v>
      </c>
      <c r="S1935" s="34" t="s">
        <v>6319</v>
      </c>
    </row>
    <row r="1936" spans="1:19" ht="409.5" x14ac:dyDescent="0.15">
      <c r="A1936" t="s">
        <v>2027</v>
      </c>
      <c r="B1936" s="61">
        <v>46327</v>
      </c>
      <c r="E1936" t="s">
        <v>355</v>
      </c>
      <c r="F1936" t="s">
        <v>351</v>
      </c>
      <c r="G1936" t="s">
        <v>354</v>
      </c>
      <c r="H1936" t="s">
        <v>365</v>
      </c>
      <c r="I1936">
        <v>2801533</v>
      </c>
      <c r="J1936" t="s">
        <v>2028</v>
      </c>
      <c r="K1936" t="s">
        <v>2029</v>
      </c>
      <c r="L1936" t="s">
        <v>833</v>
      </c>
      <c r="N1936" t="s">
        <v>2038</v>
      </c>
      <c r="O1936" t="s">
        <v>2031</v>
      </c>
      <c r="S1936" s="34" t="s">
        <v>6320</v>
      </c>
    </row>
    <row r="1937" spans="1:19" ht="351" x14ac:dyDescent="0.15">
      <c r="A1937" t="s">
        <v>2067</v>
      </c>
      <c r="B1937" s="61">
        <v>46235</v>
      </c>
      <c r="E1937" t="s">
        <v>355</v>
      </c>
      <c r="F1937" t="s">
        <v>351</v>
      </c>
      <c r="G1937" t="s">
        <v>354</v>
      </c>
      <c r="H1937" t="s">
        <v>353</v>
      </c>
      <c r="I1937">
        <v>2200420</v>
      </c>
      <c r="J1937" t="s">
        <v>2078</v>
      </c>
      <c r="L1937" t="s">
        <v>390</v>
      </c>
      <c r="N1937" t="s">
        <v>7365</v>
      </c>
      <c r="O1937" t="s">
        <v>2079</v>
      </c>
      <c r="R1937" t="s">
        <v>3987</v>
      </c>
      <c r="S1937" s="34" t="s">
        <v>6321</v>
      </c>
    </row>
    <row r="1938" spans="1:19" ht="243" x14ac:dyDescent="0.15">
      <c r="A1938" t="s">
        <v>2067</v>
      </c>
      <c r="B1938" s="61">
        <v>46266</v>
      </c>
      <c r="E1938" t="s">
        <v>355</v>
      </c>
      <c r="F1938" t="s">
        <v>351</v>
      </c>
      <c r="G1938" t="s">
        <v>352</v>
      </c>
      <c r="H1938" t="s">
        <v>365</v>
      </c>
      <c r="I1938">
        <v>2200347</v>
      </c>
      <c r="J1938" t="s">
        <v>2072</v>
      </c>
      <c r="L1938" t="s">
        <v>390</v>
      </c>
      <c r="N1938" t="s">
        <v>2074</v>
      </c>
      <c r="O1938" t="s">
        <v>2075</v>
      </c>
      <c r="R1938" t="s">
        <v>6322</v>
      </c>
      <c r="S1938" s="34" t="s">
        <v>6323</v>
      </c>
    </row>
    <row r="1939" spans="1:19" ht="243" x14ac:dyDescent="0.15">
      <c r="A1939" t="s">
        <v>2067</v>
      </c>
      <c r="B1939" s="61">
        <v>46266</v>
      </c>
      <c r="E1939" t="s">
        <v>355</v>
      </c>
      <c r="F1939" t="s">
        <v>351</v>
      </c>
      <c r="G1939" t="s">
        <v>352</v>
      </c>
      <c r="H1939" t="s">
        <v>365</v>
      </c>
      <c r="I1939">
        <v>2200347</v>
      </c>
      <c r="J1939" t="s">
        <v>2072</v>
      </c>
      <c r="L1939" t="s">
        <v>390</v>
      </c>
      <c r="N1939" t="s">
        <v>2077</v>
      </c>
      <c r="O1939" t="s">
        <v>2075</v>
      </c>
      <c r="R1939" t="s">
        <v>6324</v>
      </c>
      <c r="S1939" s="34" t="s">
        <v>6325</v>
      </c>
    </row>
    <row r="1940" spans="1:19" ht="391.5" x14ac:dyDescent="0.15">
      <c r="A1940" t="s">
        <v>2067</v>
      </c>
      <c r="B1940" s="61">
        <v>46266</v>
      </c>
      <c r="E1940" t="s">
        <v>355</v>
      </c>
      <c r="F1940" t="s">
        <v>351</v>
      </c>
      <c r="G1940" t="s">
        <v>354</v>
      </c>
      <c r="H1940" t="s">
        <v>353</v>
      </c>
      <c r="I1940">
        <v>2202144</v>
      </c>
      <c r="J1940" t="s">
        <v>1909</v>
      </c>
      <c r="K1940" t="s">
        <v>6334</v>
      </c>
      <c r="L1940" t="s">
        <v>2359</v>
      </c>
      <c r="N1940" t="s">
        <v>6335</v>
      </c>
      <c r="O1940" t="s">
        <v>6336</v>
      </c>
      <c r="R1940" t="s">
        <v>6337</v>
      </c>
      <c r="S1940" s="34" t="s">
        <v>6338</v>
      </c>
    </row>
    <row r="1941" spans="1:19" ht="216" x14ac:dyDescent="0.15">
      <c r="A1941" t="s">
        <v>2067</v>
      </c>
      <c r="B1941" s="61">
        <v>46266</v>
      </c>
      <c r="E1941" t="s">
        <v>355</v>
      </c>
      <c r="F1941" t="s">
        <v>351</v>
      </c>
      <c r="G1941" t="s">
        <v>354</v>
      </c>
      <c r="H1941" t="s">
        <v>353</v>
      </c>
      <c r="I1941">
        <v>2202144</v>
      </c>
      <c r="J1941" t="s">
        <v>1909</v>
      </c>
      <c r="K1941" t="s">
        <v>6334</v>
      </c>
      <c r="L1941" t="s">
        <v>2359</v>
      </c>
      <c r="N1941" t="s">
        <v>6339</v>
      </c>
      <c r="O1941" t="s">
        <v>6336</v>
      </c>
      <c r="S1941" s="34" t="s">
        <v>6340</v>
      </c>
    </row>
    <row r="1942" spans="1:19" ht="270" x14ac:dyDescent="0.15">
      <c r="A1942" t="s">
        <v>2067</v>
      </c>
      <c r="B1942" s="61">
        <v>46266</v>
      </c>
      <c r="E1942" t="s">
        <v>355</v>
      </c>
      <c r="F1942" t="s">
        <v>351</v>
      </c>
      <c r="G1942" t="s">
        <v>354</v>
      </c>
      <c r="H1942" t="s">
        <v>3913</v>
      </c>
      <c r="I1942">
        <v>2202144</v>
      </c>
      <c r="J1942" t="s">
        <v>1909</v>
      </c>
      <c r="K1942" t="s">
        <v>6334</v>
      </c>
      <c r="L1942" t="s">
        <v>2359</v>
      </c>
      <c r="N1942" t="s">
        <v>6341</v>
      </c>
      <c r="O1942" t="s">
        <v>6336</v>
      </c>
      <c r="S1942" s="34" t="s">
        <v>6342</v>
      </c>
    </row>
    <row r="1943" spans="1:19" ht="409.5" x14ac:dyDescent="0.15">
      <c r="A1943" t="s">
        <v>2067</v>
      </c>
      <c r="B1943" s="61">
        <v>46327</v>
      </c>
      <c r="E1943" t="s">
        <v>355</v>
      </c>
      <c r="F1943" t="s">
        <v>351</v>
      </c>
      <c r="G1943" t="s">
        <v>354</v>
      </c>
      <c r="H1943" t="s">
        <v>365</v>
      </c>
      <c r="I1943">
        <v>2202432</v>
      </c>
      <c r="J1943" t="s">
        <v>2080</v>
      </c>
      <c r="K1943" t="s">
        <v>2081</v>
      </c>
      <c r="L1943" t="s">
        <v>2082</v>
      </c>
      <c r="N1943" t="s">
        <v>2083</v>
      </c>
      <c r="O1943" t="s">
        <v>2084</v>
      </c>
      <c r="R1943" t="s">
        <v>3986</v>
      </c>
      <c r="S1943" s="34" t="s">
        <v>6343</v>
      </c>
    </row>
    <row r="1944" spans="1:19" ht="409.5" x14ac:dyDescent="0.15">
      <c r="A1944" t="s">
        <v>2067</v>
      </c>
      <c r="B1944" s="61">
        <v>46357</v>
      </c>
      <c r="E1944" t="s">
        <v>355</v>
      </c>
      <c r="F1944" t="s">
        <v>351</v>
      </c>
      <c r="G1944" t="s">
        <v>354</v>
      </c>
      <c r="H1944" t="s">
        <v>3913</v>
      </c>
      <c r="I1944">
        <v>2200422</v>
      </c>
      <c r="J1944" t="s">
        <v>1909</v>
      </c>
      <c r="K1944" t="s">
        <v>4521</v>
      </c>
      <c r="L1944" t="s">
        <v>6344</v>
      </c>
      <c r="N1944" t="s">
        <v>7500</v>
      </c>
      <c r="O1944" t="s">
        <v>6345</v>
      </c>
      <c r="R1944" t="s">
        <v>3987</v>
      </c>
      <c r="S1944" s="34" t="s">
        <v>7501</v>
      </c>
    </row>
    <row r="1945" spans="1:19" ht="409.5" x14ac:dyDescent="0.15">
      <c r="A1945" t="s">
        <v>2096</v>
      </c>
      <c r="B1945" s="61">
        <v>46235</v>
      </c>
      <c r="E1945" t="s">
        <v>355</v>
      </c>
      <c r="F1945" t="s">
        <v>351</v>
      </c>
      <c r="G1945" t="s">
        <v>354</v>
      </c>
      <c r="H1945" t="s">
        <v>686</v>
      </c>
      <c r="I1945">
        <v>400361</v>
      </c>
      <c r="J1945" t="s">
        <v>4139</v>
      </c>
      <c r="K1945" t="s">
        <v>2125</v>
      </c>
      <c r="L1945" t="s">
        <v>4140</v>
      </c>
      <c r="N1945">
        <v>2147799</v>
      </c>
      <c r="O1945" t="s">
        <v>4141</v>
      </c>
      <c r="R1945" t="s">
        <v>3986</v>
      </c>
      <c r="S1945" s="34" t="s">
        <v>6346</v>
      </c>
    </row>
    <row r="1946" spans="1:19" ht="243" x14ac:dyDescent="0.15">
      <c r="A1946" t="s">
        <v>2096</v>
      </c>
      <c r="B1946" s="61">
        <v>46235</v>
      </c>
      <c r="E1946" t="s">
        <v>355</v>
      </c>
      <c r="F1946" t="s">
        <v>351</v>
      </c>
      <c r="G1946" t="s">
        <v>354</v>
      </c>
      <c r="H1946" t="s">
        <v>686</v>
      </c>
      <c r="I1946">
        <v>400414</v>
      </c>
      <c r="J1946" t="s">
        <v>3954</v>
      </c>
      <c r="K1946" t="s">
        <v>6347</v>
      </c>
      <c r="L1946" t="s">
        <v>6348</v>
      </c>
      <c r="N1946">
        <v>2178417</v>
      </c>
      <c r="O1946" t="s">
        <v>6349</v>
      </c>
      <c r="R1946" t="s">
        <v>4052</v>
      </c>
      <c r="S1946" s="34" t="s">
        <v>6350</v>
      </c>
    </row>
    <row r="1947" spans="1:19" ht="409.5" x14ac:dyDescent="0.15">
      <c r="A1947" t="s">
        <v>2096</v>
      </c>
      <c r="B1947" s="61">
        <v>46235</v>
      </c>
      <c r="E1947" t="s">
        <v>355</v>
      </c>
      <c r="F1947" t="s">
        <v>351</v>
      </c>
      <c r="G1947" t="s">
        <v>354</v>
      </c>
      <c r="H1947" t="s">
        <v>686</v>
      </c>
      <c r="I1947">
        <v>600160</v>
      </c>
      <c r="J1947" t="s">
        <v>2134</v>
      </c>
      <c r="K1947" t="s">
        <v>2135</v>
      </c>
      <c r="L1947" t="s">
        <v>390</v>
      </c>
      <c r="N1947" t="s">
        <v>6351</v>
      </c>
      <c r="O1947" t="s">
        <v>2137</v>
      </c>
      <c r="R1947" t="s">
        <v>4012</v>
      </c>
      <c r="S1947" s="34" t="s">
        <v>6352</v>
      </c>
    </row>
    <row r="1948" spans="1:19" ht="409.5" x14ac:dyDescent="0.15">
      <c r="A1948" t="s">
        <v>2096</v>
      </c>
      <c r="B1948" s="61">
        <v>46235</v>
      </c>
      <c r="E1948" t="s">
        <v>355</v>
      </c>
      <c r="F1948" t="s">
        <v>351</v>
      </c>
      <c r="G1948" t="s">
        <v>354</v>
      </c>
      <c r="H1948" t="s">
        <v>353</v>
      </c>
      <c r="I1948">
        <v>600160</v>
      </c>
      <c r="J1948" t="s">
        <v>2134</v>
      </c>
      <c r="K1948" t="s">
        <v>2135</v>
      </c>
      <c r="L1948" t="s">
        <v>390</v>
      </c>
      <c r="N1948" t="s">
        <v>6353</v>
      </c>
      <c r="O1948" t="s">
        <v>2137</v>
      </c>
      <c r="S1948" s="34" t="s">
        <v>6354</v>
      </c>
    </row>
    <row r="1949" spans="1:19" ht="409.5" x14ac:dyDescent="0.15">
      <c r="A1949" t="s">
        <v>2096</v>
      </c>
      <c r="B1949" s="61">
        <v>46266</v>
      </c>
      <c r="E1949" t="s">
        <v>355</v>
      </c>
      <c r="F1949" t="s">
        <v>351</v>
      </c>
      <c r="G1949" t="s">
        <v>354</v>
      </c>
      <c r="H1949" t="s">
        <v>686</v>
      </c>
      <c r="I1949">
        <v>400282</v>
      </c>
      <c r="J1949" t="s">
        <v>974</v>
      </c>
      <c r="K1949" t="s">
        <v>6355</v>
      </c>
      <c r="L1949" t="s">
        <v>1191</v>
      </c>
      <c r="N1949">
        <v>2157145</v>
      </c>
      <c r="O1949" t="s">
        <v>6356</v>
      </c>
      <c r="S1949" s="34" t="s">
        <v>6357</v>
      </c>
    </row>
    <row r="1950" spans="1:19" ht="243" x14ac:dyDescent="0.15">
      <c r="A1950" t="s">
        <v>2096</v>
      </c>
      <c r="B1950" s="61">
        <v>46266</v>
      </c>
      <c r="E1950" t="s">
        <v>355</v>
      </c>
      <c r="F1950" t="s">
        <v>351</v>
      </c>
      <c r="G1950" t="s">
        <v>352</v>
      </c>
      <c r="H1950" t="s">
        <v>310</v>
      </c>
      <c r="I1950">
        <v>400331</v>
      </c>
      <c r="J1950" t="s">
        <v>2106</v>
      </c>
      <c r="K1950" t="s">
        <v>2107</v>
      </c>
      <c r="L1950" t="s">
        <v>1176</v>
      </c>
      <c r="N1950" t="s">
        <v>2108</v>
      </c>
      <c r="O1950" t="s">
        <v>2109</v>
      </c>
      <c r="R1950" t="s">
        <v>3985</v>
      </c>
      <c r="S1950" s="34" t="s">
        <v>6358</v>
      </c>
    </row>
    <row r="1951" spans="1:19" ht="216" x14ac:dyDescent="0.15">
      <c r="A1951" t="s">
        <v>2096</v>
      </c>
      <c r="B1951" s="61">
        <v>46266</v>
      </c>
      <c r="E1951" t="s">
        <v>355</v>
      </c>
      <c r="F1951" t="s">
        <v>351</v>
      </c>
      <c r="G1951" t="s">
        <v>352</v>
      </c>
      <c r="H1951" t="s">
        <v>353</v>
      </c>
      <c r="I1951">
        <v>400448</v>
      </c>
      <c r="J1951" t="s">
        <v>6359</v>
      </c>
      <c r="L1951" t="s">
        <v>6360</v>
      </c>
      <c r="N1951" t="s">
        <v>6361</v>
      </c>
      <c r="O1951" t="s">
        <v>6362</v>
      </c>
      <c r="R1951" t="s">
        <v>3985</v>
      </c>
      <c r="S1951" s="34" t="s">
        <v>6363</v>
      </c>
    </row>
    <row r="1952" spans="1:19" ht="409.5" x14ac:dyDescent="0.15">
      <c r="A1952" t="s">
        <v>2096</v>
      </c>
      <c r="B1952" s="61">
        <v>46266</v>
      </c>
      <c r="E1952" t="s">
        <v>355</v>
      </c>
      <c r="F1952" t="s">
        <v>351</v>
      </c>
      <c r="G1952" t="s">
        <v>354</v>
      </c>
      <c r="H1952" t="s">
        <v>353</v>
      </c>
      <c r="I1952">
        <v>400492</v>
      </c>
      <c r="J1952" t="s">
        <v>2142</v>
      </c>
      <c r="K1952" t="s">
        <v>2143</v>
      </c>
      <c r="L1952" t="s">
        <v>1148</v>
      </c>
      <c r="N1952" t="s">
        <v>6364</v>
      </c>
      <c r="O1952" t="s">
        <v>2145</v>
      </c>
      <c r="S1952" s="34" t="s">
        <v>6365</v>
      </c>
    </row>
    <row r="1953" spans="1:19" ht="409.5" x14ac:dyDescent="0.15">
      <c r="A1953" t="s">
        <v>2096</v>
      </c>
      <c r="B1953" s="61">
        <v>46266</v>
      </c>
      <c r="E1953" t="s">
        <v>355</v>
      </c>
      <c r="F1953" t="s">
        <v>351</v>
      </c>
      <c r="G1953" t="s">
        <v>354</v>
      </c>
      <c r="H1953" t="s">
        <v>353</v>
      </c>
      <c r="I1953">
        <v>400517</v>
      </c>
      <c r="J1953" t="s">
        <v>1716</v>
      </c>
      <c r="K1953" t="s">
        <v>6366</v>
      </c>
      <c r="L1953" t="s">
        <v>466</v>
      </c>
      <c r="N1953" t="s">
        <v>6367</v>
      </c>
      <c r="O1953" t="s">
        <v>6368</v>
      </c>
      <c r="S1953" s="34" t="s">
        <v>6369</v>
      </c>
    </row>
    <row r="1954" spans="1:19" ht="310.5" x14ac:dyDescent="0.15">
      <c r="A1954" t="s">
        <v>2096</v>
      </c>
      <c r="B1954" s="61">
        <v>46266</v>
      </c>
      <c r="E1954" t="s">
        <v>355</v>
      </c>
      <c r="F1954" t="s">
        <v>351</v>
      </c>
      <c r="G1954" t="s">
        <v>354</v>
      </c>
      <c r="H1954" t="s">
        <v>686</v>
      </c>
      <c r="I1954">
        <v>400517</v>
      </c>
      <c r="J1954" t="s">
        <v>1716</v>
      </c>
      <c r="K1954" t="s">
        <v>6366</v>
      </c>
      <c r="L1954" t="s">
        <v>466</v>
      </c>
      <c r="N1954">
        <v>2155917</v>
      </c>
      <c r="O1954" t="s">
        <v>6368</v>
      </c>
      <c r="S1954" s="34" t="s">
        <v>6370</v>
      </c>
    </row>
    <row r="1955" spans="1:19" ht="409.5" x14ac:dyDescent="0.15">
      <c r="A1955" t="s">
        <v>2096</v>
      </c>
      <c r="B1955" s="61">
        <v>46296</v>
      </c>
      <c r="E1955" t="s">
        <v>355</v>
      </c>
      <c r="F1955" t="s">
        <v>351</v>
      </c>
      <c r="G1955" t="s">
        <v>354</v>
      </c>
      <c r="H1955" t="s">
        <v>353</v>
      </c>
      <c r="I1955">
        <v>400141</v>
      </c>
      <c r="J1955" t="s">
        <v>4904</v>
      </c>
      <c r="L1955" t="s">
        <v>1176</v>
      </c>
      <c r="N1955" t="s">
        <v>4905</v>
      </c>
      <c r="O1955" t="s">
        <v>4906</v>
      </c>
      <c r="S1955" s="34" t="s">
        <v>6371</v>
      </c>
    </row>
    <row r="1956" spans="1:19" ht="409.5" x14ac:dyDescent="0.15">
      <c r="A1956" t="s">
        <v>2096</v>
      </c>
      <c r="B1956" s="61">
        <v>46296</v>
      </c>
      <c r="E1956" t="s">
        <v>355</v>
      </c>
      <c r="F1956" t="s">
        <v>351</v>
      </c>
      <c r="G1956" t="s">
        <v>354</v>
      </c>
      <c r="H1956" t="s">
        <v>353</v>
      </c>
      <c r="I1956">
        <v>400282</v>
      </c>
      <c r="J1956" t="s">
        <v>974</v>
      </c>
      <c r="K1956" t="s">
        <v>6355</v>
      </c>
      <c r="L1956" t="s">
        <v>1191</v>
      </c>
      <c r="N1956" t="s">
        <v>6372</v>
      </c>
      <c r="O1956" t="s">
        <v>6356</v>
      </c>
      <c r="R1956" t="s">
        <v>5399</v>
      </c>
      <c r="S1956" s="34" t="s">
        <v>6373</v>
      </c>
    </row>
    <row r="1957" spans="1:19" ht="409.5" x14ac:dyDescent="0.15">
      <c r="A1957" t="s">
        <v>2096</v>
      </c>
      <c r="B1957" s="61">
        <v>46296</v>
      </c>
      <c r="E1957" t="s">
        <v>355</v>
      </c>
      <c r="F1957" t="s">
        <v>351</v>
      </c>
      <c r="G1957" t="s">
        <v>354</v>
      </c>
      <c r="H1957" t="s">
        <v>353</v>
      </c>
      <c r="I1957">
        <v>400385</v>
      </c>
      <c r="J1957" t="s">
        <v>2116</v>
      </c>
      <c r="K1957" t="s">
        <v>1251</v>
      </c>
      <c r="L1957" t="s">
        <v>6374</v>
      </c>
      <c r="N1957" t="s">
        <v>7366</v>
      </c>
      <c r="O1957" t="s">
        <v>2119</v>
      </c>
      <c r="R1957" t="s">
        <v>6375</v>
      </c>
      <c r="S1957" s="34" t="s">
        <v>6376</v>
      </c>
    </row>
    <row r="1958" spans="1:19" ht="405" x14ac:dyDescent="0.15">
      <c r="A1958" t="s">
        <v>2096</v>
      </c>
      <c r="B1958" s="61">
        <v>46296</v>
      </c>
      <c r="E1958" t="s">
        <v>355</v>
      </c>
      <c r="F1958" t="s">
        <v>351</v>
      </c>
      <c r="G1958" t="s">
        <v>354</v>
      </c>
      <c r="H1958" t="s">
        <v>353</v>
      </c>
      <c r="I1958">
        <v>400385</v>
      </c>
      <c r="J1958" t="s">
        <v>2116</v>
      </c>
      <c r="K1958" t="s">
        <v>1251</v>
      </c>
      <c r="L1958" t="s">
        <v>6374</v>
      </c>
      <c r="N1958" t="s">
        <v>6377</v>
      </c>
      <c r="O1958" t="s">
        <v>2119</v>
      </c>
      <c r="R1958" t="s">
        <v>6378</v>
      </c>
      <c r="S1958" s="34" t="s">
        <v>6379</v>
      </c>
    </row>
    <row r="1959" spans="1:19" ht="378" x14ac:dyDescent="0.15">
      <c r="A1959" t="s">
        <v>2096</v>
      </c>
      <c r="B1959" s="61">
        <v>46296</v>
      </c>
      <c r="E1959" t="s">
        <v>355</v>
      </c>
      <c r="F1959" t="s">
        <v>351</v>
      </c>
      <c r="G1959" t="s">
        <v>354</v>
      </c>
      <c r="H1959" t="s">
        <v>365</v>
      </c>
      <c r="I1959">
        <v>400408</v>
      </c>
      <c r="J1959" t="s">
        <v>4250</v>
      </c>
      <c r="K1959" t="s">
        <v>1542</v>
      </c>
      <c r="L1959" t="s">
        <v>1176</v>
      </c>
      <c r="N1959" t="s">
        <v>4251</v>
      </c>
      <c r="O1959" t="s">
        <v>4252</v>
      </c>
      <c r="R1959" t="s">
        <v>3986</v>
      </c>
      <c r="S1959" s="34" t="s">
        <v>6380</v>
      </c>
    </row>
    <row r="1960" spans="1:19" ht="409.5" x14ac:dyDescent="0.15">
      <c r="A1960" t="s">
        <v>2096</v>
      </c>
      <c r="B1960" s="61">
        <v>46296</v>
      </c>
      <c r="E1960" t="s">
        <v>355</v>
      </c>
      <c r="F1960" t="s">
        <v>351</v>
      </c>
      <c r="G1960" t="s">
        <v>354</v>
      </c>
      <c r="H1960" t="s">
        <v>686</v>
      </c>
      <c r="I1960">
        <v>400443</v>
      </c>
      <c r="J1960" t="s">
        <v>3954</v>
      </c>
      <c r="K1960" t="s">
        <v>4022</v>
      </c>
      <c r="L1960" t="s">
        <v>1087</v>
      </c>
      <c r="N1960">
        <v>2178416</v>
      </c>
      <c r="O1960" t="s">
        <v>4023</v>
      </c>
      <c r="R1960" t="s">
        <v>3987</v>
      </c>
      <c r="S1960" s="34" t="s">
        <v>6381</v>
      </c>
    </row>
    <row r="1961" spans="1:19" ht="243" x14ac:dyDescent="0.15">
      <c r="A1961" t="s">
        <v>2096</v>
      </c>
      <c r="B1961" s="61">
        <v>46296</v>
      </c>
      <c r="E1961" t="s">
        <v>355</v>
      </c>
      <c r="F1961" t="s">
        <v>351</v>
      </c>
      <c r="G1961" t="s">
        <v>354</v>
      </c>
      <c r="H1961" t="s">
        <v>365</v>
      </c>
      <c r="I1961">
        <v>500002</v>
      </c>
      <c r="J1961" t="s">
        <v>2138</v>
      </c>
      <c r="K1961" t="s">
        <v>2139</v>
      </c>
      <c r="L1961" t="s">
        <v>390</v>
      </c>
      <c r="N1961" t="s">
        <v>2140</v>
      </c>
      <c r="O1961" t="s">
        <v>2141</v>
      </c>
      <c r="R1961" t="s">
        <v>3986</v>
      </c>
      <c r="S1961" s="34" t="s">
        <v>6382</v>
      </c>
    </row>
    <row r="1962" spans="1:19" ht="409.5" x14ac:dyDescent="0.15">
      <c r="A1962" t="s">
        <v>2096</v>
      </c>
      <c r="B1962" s="61">
        <v>46327</v>
      </c>
      <c r="E1962" t="s">
        <v>355</v>
      </c>
      <c r="F1962" t="s">
        <v>351</v>
      </c>
      <c r="G1962" t="s">
        <v>354</v>
      </c>
      <c r="H1962" t="s">
        <v>686</v>
      </c>
      <c r="I1962">
        <v>400361</v>
      </c>
      <c r="J1962" t="s">
        <v>4139</v>
      </c>
      <c r="K1962" t="s">
        <v>2125</v>
      </c>
      <c r="L1962" t="s">
        <v>4140</v>
      </c>
      <c r="N1962">
        <v>2147799</v>
      </c>
      <c r="O1962" t="s">
        <v>4141</v>
      </c>
      <c r="R1962" t="s">
        <v>3986</v>
      </c>
      <c r="S1962" s="34" t="s">
        <v>6346</v>
      </c>
    </row>
    <row r="1963" spans="1:19" ht="243" x14ac:dyDescent="0.15">
      <c r="A1963" t="s">
        <v>2096</v>
      </c>
      <c r="B1963" s="61">
        <v>46327</v>
      </c>
      <c r="E1963" t="s">
        <v>355</v>
      </c>
      <c r="F1963" t="s">
        <v>351</v>
      </c>
      <c r="G1963" t="s">
        <v>354</v>
      </c>
      <c r="H1963" t="s">
        <v>310</v>
      </c>
      <c r="I1963">
        <v>400459</v>
      </c>
      <c r="J1963" t="s">
        <v>6383</v>
      </c>
      <c r="K1963" t="s">
        <v>1251</v>
      </c>
      <c r="L1963" t="s">
        <v>6384</v>
      </c>
      <c r="N1963" t="s">
        <v>6385</v>
      </c>
      <c r="O1963" t="s">
        <v>6386</v>
      </c>
      <c r="R1963" t="s">
        <v>3987</v>
      </c>
      <c r="S1963" s="34" t="s">
        <v>6387</v>
      </c>
    </row>
    <row r="1964" spans="1:19" ht="229.5" x14ac:dyDescent="0.15">
      <c r="A1964" t="s">
        <v>2152</v>
      </c>
      <c r="B1964" s="61">
        <v>46235</v>
      </c>
      <c r="E1964" t="s">
        <v>355</v>
      </c>
      <c r="F1964" t="s">
        <v>351</v>
      </c>
      <c r="G1964" t="s">
        <v>354</v>
      </c>
      <c r="H1964" t="s">
        <v>365</v>
      </c>
      <c r="I1964">
        <v>1200043</v>
      </c>
      <c r="J1964" t="s">
        <v>2211</v>
      </c>
      <c r="K1964" t="s">
        <v>2212</v>
      </c>
      <c r="L1964" t="s">
        <v>2181</v>
      </c>
      <c r="N1964" t="s">
        <v>2213</v>
      </c>
      <c r="O1964" t="s">
        <v>2214</v>
      </c>
      <c r="R1964" t="s">
        <v>3987</v>
      </c>
      <c r="S1964" s="34" t="s">
        <v>6388</v>
      </c>
    </row>
    <row r="1965" spans="1:19" ht="409.5" x14ac:dyDescent="0.15">
      <c r="A1965" t="s">
        <v>2152</v>
      </c>
      <c r="B1965" s="61">
        <v>46235</v>
      </c>
      <c r="E1965" t="s">
        <v>355</v>
      </c>
      <c r="F1965" t="s">
        <v>351</v>
      </c>
      <c r="G1965" t="s">
        <v>354</v>
      </c>
      <c r="H1965" t="s">
        <v>353</v>
      </c>
      <c r="I1965">
        <v>1200914</v>
      </c>
      <c r="J1965" t="s">
        <v>454</v>
      </c>
      <c r="K1965" t="s">
        <v>4288</v>
      </c>
      <c r="L1965" t="s">
        <v>4289</v>
      </c>
      <c r="N1965" t="s">
        <v>4290</v>
      </c>
      <c r="O1965" t="s">
        <v>4291</v>
      </c>
      <c r="R1965" t="s">
        <v>3986</v>
      </c>
      <c r="S1965" s="34" t="s">
        <v>6389</v>
      </c>
    </row>
    <row r="1966" spans="1:19" ht="229.5" x14ac:dyDescent="0.15">
      <c r="A1966" t="s">
        <v>2152</v>
      </c>
      <c r="B1966" s="61">
        <v>46235</v>
      </c>
      <c r="E1966" t="s">
        <v>355</v>
      </c>
      <c r="F1966" t="s">
        <v>351</v>
      </c>
      <c r="G1966" t="s">
        <v>352</v>
      </c>
      <c r="H1966" t="s">
        <v>353</v>
      </c>
      <c r="I1966">
        <v>1201311</v>
      </c>
      <c r="J1966" t="s">
        <v>6390</v>
      </c>
      <c r="L1966" t="s">
        <v>6391</v>
      </c>
      <c r="N1966" t="s">
        <v>6392</v>
      </c>
      <c r="O1966" t="s">
        <v>6393</v>
      </c>
      <c r="R1966" t="s">
        <v>3985</v>
      </c>
      <c r="S1966" s="34" t="s">
        <v>6394</v>
      </c>
    </row>
    <row r="1967" spans="1:19" ht="409.5" x14ac:dyDescent="0.15">
      <c r="A1967" t="s">
        <v>2152</v>
      </c>
      <c r="B1967" s="61">
        <v>46235</v>
      </c>
      <c r="E1967" t="s">
        <v>355</v>
      </c>
      <c r="F1967" t="s">
        <v>351</v>
      </c>
      <c r="G1967" t="s">
        <v>354</v>
      </c>
      <c r="H1967" t="s">
        <v>686</v>
      </c>
      <c r="I1967">
        <v>1201545</v>
      </c>
      <c r="J1967" t="s">
        <v>6395</v>
      </c>
      <c r="K1967" t="s">
        <v>6396</v>
      </c>
      <c r="L1967" t="s">
        <v>466</v>
      </c>
      <c r="N1967">
        <v>2132328</v>
      </c>
      <c r="O1967" t="s">
        <v>6397</v>
      </c>
      <c r="R1967" t="s">
        <v>3987</v>
      </c>
      <c r="S1967" s="34" t="s">
        <v>6398</v>
      </c>
    </row>
    <row r="1968" spans="1:19" ht="229.5" x14ac:dyDescent="0.15">
      <c r="A1968" t="s">
        <v>2152</v>
      </c>
      <c r="B1968" s="61">
        <v>46296</v>
      </c>
      <c r="E1968" t="s">
        <v>355</v>
      </c>
      <c r="F1968" t="s">
        <v>351</v>
      </c>
      <c r="G1968" t="s">
        <v>352</v>
      </c>
      <c r="H1968" t="s">
        <v>365</v>
      </c>
      <c r="I1968">
        <v>1200556</v>
      </c>
      <c r="J1968" t="s">
        <v>6399</v>
      </c>
      <c r="K1968" t="s">
        <v>2155</v>
      </c>
      <c r="L1968" t="s">
        <v>820</v>
      </c>
      <c r="N1968" t="s">
        <v>6400</v>
      </c>
      <c r="O1968" t="s">
        <v>6401</v>
      </c>
      <c r="R1968" t="s">
        <v>3958</v>
      </c>
      <c r="S1968" s="34" t="s">
        <v>6402</v>
      </c>
    </row>
    <row r="1969" spans="1:19" ht="229.5" x14ac:dyDescent="0.15">
      <c r="A1969" t="s">
        <v>2152</v>
      </c>
      <c r="B1969" s="61">
        <v>46296</v>
      </c>
      <c r="E1969" t="s">
        <v>355</v>
      </c>
      <c r="F1969" t="s">
        <v>351</v>
      </c>
      <c r="G1969" t="s">
        <v>352</v>
      </c>
      <c r="H1969" t="s">
        <v>365</v>
      </c>
      <c r="I1969">
        <v>1201418</v>
      </c>
      <c r="J1969" t="s">
        <v>4241</v>
      </c>
      <c r="L1969" t="s">
        <v>6403</v>
      </c>
      <c r="N1969" t="s">
        <v>6404</v>
      </c>
      <c r="O1969" t="s">
        <v>6405</v>
      </c>
      <c r="R1969" t="s">
        <v>3985</v>
      </c>
      <c r="S1969" s="34" t="s">
        <v>6406</v>
      </c>
    </row>
    <row r="1970" spans="1:19" ht="409.5" x14ac:dyDescent="0.15">
      <c r="A1970" t="s">
        <v>2152</v>
      </c>
      <c r="B1970" s="61">
        <v>46296</v>
      </c>
      <c r="E1970" t="s">
        <v>355</v>
      </c>
      <c r="F1970" t="s">
        <v>351</v>
      </c>
      <c r="G1970" t="s">
        <v>354</v>
      </c>
      <c r="H1970" t="s">
        <v>353</v>
      </c>
      <c r="I1970">
        <v>1201548</v>
      </c>
      <c r="J1970" t="s">
        <v>2215</v>
      </c>
      <c r="K1970" t="s">
        <v>2216</v>
      </c>
      <c r="L1970" t="s">
        <v>2217</v>
      </c>
      <c r="N1970" t="s">
        <v>6407</v>
      </c>
      <c r="O1970" t="s">
        <v>2219</v>
      </c>
      <c r="R1970" t="s">
        <v>3987</v>
      </c>
      <c r="S1970" s="34" t="s">
        <v>6408</v>
      </c>
    </row>
    <row r="1971" spans="1:19" ht="337.5" x14ac:dyDescent="0.15">
      <c r="A1971" t="s">
        <v>2152</v>
      </c>
      <c r="B1971" s="61">
        <v>46327</v>
      </c>
      <c r="E1971" t="s">
        <v>355</v>
      </c>
      <c r="F1971" t="s">
        <v>351</v>
      </c>
      <c r="G1971" t="s">
        <v>354</v>
      </c>
      <c r="H1971" t="s">
        <v>353</v>
      </c>
      <c r="I1971">
        <v>1201227</v>
      </c>
      <c r="J1971" t="s">
        <v>2198</v>
      </c>
      <c r="K1971" t="s">
        <v>2155</v>
      </c>
      <c r="L1971" t="s">
        <v>2199</v>
      </c>
      <c r="N1971" t="s">
        <v>2200</v>
      </c>
      <c r="O1971" t="s">
        <v>2201</v>
      </c>
      <c r="R1971" t="s">
        <v>3987</v>
      </c>
      <c r="S1971" s="34" t="s">
        <v>6409</v>
      </c>
    </row>
    <row r="1972" spans="1:19" ht="409.5" x14ac:dyDescent="0.15">
      <c r="A1972" t="s">
        <v>2152</v>
      </c>
      <c r="B1972" s="61">
        <v>46357</v>
      </c>
      <c r="E1972" t="s">
        <v>355</v>
      </c>
      <c r="F1972" t="s">
        <v>351</v>
      </c>
      <c r="G1972" t="s">
        <v>354</v>
      </c>
      <c r="H1972" t="s">
        <v>686</v>
      </c>
      <c r="I1972">
        <v>1200104</v>
      </c>
      <c r="J1972" t="s">
        <v>2189</v>
      </c>
      <c r="K1972" t="s">
        <v>2190</v>
      </c>
      <c r="L1972" t="s">
        <v>413</v>
      </c>
      <c r="N1972">
        <v>2110321</v>
      </c>
      <c r="O1972" t="s">
        <v>2192</v>
      </c>
      <c r="R1972" t="s">
        <v>3986</v>
      </c>
      <c r="S1972" s="34" t="s">
        <v>6410</v>
      </c>
    </row>
    <row r="1973" spans="1:19" ht="391.5" x14ac:dyDescent="0.15">
      <c r="A1973" t="s">
        <v>2152</v>
      </c>
      <c r="B1973" s="61">
        <v>46357</v>
      </c>
      <c r="E1973" t="s">
        <v>355</v>
      </c>
      <c r="F1973" t="s">
        <v>351</v>
      </c>
      <c r="G1973" t="s">
        <v>354</v>
      </c>
      <c r="H1973" t="s">
        <v>365</v>
      </c>
      <c r="I1973">
        <v>1201505</v>
      </c>
      <c r="J1973" t="s">
        <v>2193</v>
      </c>
      <c r="K1973" t="s">
        <v>2194</v>
      </c>
      <c r="L1973" t="s">
        <v>2195</v>
      </c>
      <c r="N1973" t="s">
        <v>2196</v>
      </c>
      <c r="O1973" t="s">
        <v>2197</v>
      </c>
      <c r="R1973" t="s">
        <v>3987</v>
      </c>
      <c r="S1973" s="34" t="s">
        <v>6411</v>
      </c>
    </row>
    <row r="1974" spans="1:19" ht="229.5" x14ac:dyDescent="0.15">
      <c r="A1974" t="s">
        <v>2160</v>
      </c>
      <c r="B1974" s="61">
        <v>46235</v>
      </c>
      <c r="E1974" t="s">
        <v>355</v>
      </c>
      <c r="F1974" t="s">
        <v>351</v>
      </c>
      <c r="G1974" t="s">
        <v>352</v>
      </c>
      <c r="H1974" t="s">
        <v>365</v>
      </c>
      <c r="I1974">
        <v>1201464</v>
      </c>
      <c r="J1974" t="s">
        <v>2161</v>
      </c>
      <c r="K1974" t="s">
        <v>2162</v>
      </c>
      <c r="L1974" t="s">
        <v>718</v>
      </c>
      <c r="N1974" t="s">
        <v>2163</v>
      </c>
      <c r="O1974" t="s">
        <v>2164</v>
      </c>
      <c r="R1974" t="s">
        <v>3985</v>
      </c>
      <c r="S1974" s="34" t="s">
        <v>6412</v>
      </c>
    </row>
    <row r="1975" spans="1:19" ht="409.5" x14ac:dyDescent="0.15">
      <c r="A1975" t="s">
        <v>2160</v>
      </c>
      <c r="B1975" s="61">
        <v>46235</v>
      </c>
      <c r="E1975" t="s">
        <v>355</v>
      </c>
      <c r="F1975" t="s">
        <v>351</v>
      </c>
      <c r="G1975" t="s">
        <v>352</v>
      </c>
      <c r="H1975" t="s">
        <v>353</v>
      </c>
      <c r="I1975">
        <v>1201464</v>
      </c>
      <c r="J1975" t="s">
        <v>2161</v>
      </c>
      <c r="K1975" t="s">
        <v>2162</v>
      </c>
      <c r="L1975" t="s">
        <v>718</v>
      </c>
      <c r="N1975" t="s">
        <v>2172</v>
      </c>
      <c r="O1975" t="s">
        <v>2164</v>
      </c>
      <c r="R1975" t="s">
        <v>3985</v>
      </c>
      <c r="S1975" s="34" t="s">
        <v>6413</v>
      </c>
    </row>
    <row r="1976" spans="1:19" ht="409.5" x14ac:dyDescent="0.15">
      <c r="A1976" t="s">
        <v>2160</v>
      </c>
      <c r="B1976" s="61">
        <v>46235</v>
      </c>
      <c r="E1976" t="s">
        <v>355</v>
      </c>
      <c r="F1976" t="s">
        <v>351</v>
      </c>
      <c r="G1976" t="s">
        <v>354</v>
      </c>
      <c r="H1976" t="s">
        <v>686</v>
      </c>
      <c r="I1976">
        <v>1201580</v>
      </c>
      <c r="J1976" t="s">
        <v>371</v>
      </c>
      <c r="K1976" t="s">
        <v>2232</v>
      </c>
      <c r="L1976" t="s">
        <v>2233</v>
      </c>
      <c r="N1976">
        <v>2149202</v>
      </c>
      <c r="O1976" t="s">
        <v>2235</v>
      </c>
      <c r="R1976" t="s">
        <v>3987</v>
      </c>
      <c r="S1976" s="34" t="s">
        <v>6414</v>
      </c>
    </row>
    <row r="1977" spans="1:19" ht="216" x14ac:dyDescent="0.15">
      <c r="A1977" t="s">
        <v>2160</v>
      </c>
      <c r="B1977" s="61">
        <v>46266</v>
      </c>
      <c r="E1977" t="s">
        <v>355</v>
      </c>
      <c r="F1977" t="s">
        <v>351</v>
      </c>
      <c r="G1977" t="s">
        <v>354</v>
      </c>
      <c r="H1977" t="s">
        <v>353</v>
      </c>
      <c r="I1977">
        <v>1201485</v>
      </c>
      <c r="J1977" t="s">
        <v>2250</v>
      </c>
      <c r="K1977" t="s">
        <v>2251</v>
      </c>
      <c r="L1977" t="s">
        <v>2252</v>
      </c>
      <c r="N1977" t="s">
        <v>2253</v>
      </c>
      <c r="O1977" t="s">
        <v>2254</v>
      </c>
      <c r="R1977" t="s">
        <v>3986</v>
      </c>
      <c r="S1977" s="34" t="s">
        <v>6415</v>
      </c>
    </row>
    <row r="1978" spans="1:19" ht="189" x14ac:dyDescent="0.15">
      <c r="A1978" t="s">
        <v>2160</v>
      </c>
      <c r="B1978" s="61">
        <v>46266</v>
      </c>
      <c r="E1978" t="s">
        <v>355</v>
      </c>
      <c r="F1978" t="s">
        <v>351</v>
      </c>
      <c r="G1978" t="s">
        <v>354</v>
      </c>
      <c r="H1978" t="s">
        <v>353</v>
      </c>
      <c r="I1978">
        <v>1201672</v>
      </c>
      <c r="J1978" t="s">
        <v>481</v>
      </c>
      <c r="K1978" t="s">
        <v>4174</v>
      </c>
      <c r="L1978" t="s">
        <v>4127</v>
      </c>
      <c r="N1978" t="s">
        <v>4175</v>
      </c>
      <c r="O1978" t="s">
        <v>4176</v>
      </c>
      <c r="S1978" s="34" t="s">
        <v>6416</v>
      </c>
    </row>
    <row r="1979" spans="1:19" ht="202.5" x14ac:dyDescent="0.15">
      <c r="A1979" t="s">
        <v>2160</v>
      </c>
      <c r="B1979" s="61">
        <v>46296</v>
      </c>
      <c r="E1979" t="s">
        <v>355</v>
      </c>
      <c r="F1979" t="s">
        <v>351</v>
      </c>
      <c r="G1979" t="s">
        <v>354</v>
      </c>
      <c r="H1979" t="s">
        <v>353</v>
      </c>
      <c r="I1979">
        <v>1200704</v>
      </c>
      <c r="J1979" t="s">
        <v>6417</v>
      </c>
      <c r="K1979" t="s">
        <v>6418</v>
      </c>
      <c r="L1979" t="s">
        <v>698</v>
      </c>
      <c r="N1979" t="s">
        <v>6419</v>
      </c>
      <c r="O1979" t="s">
        <v>6420</v>
      </c>
      <c r="R1979" t="s">
        <v>3987</v>
      </c>
      <c r="S1979" s="34" t="s">
        <v>6421</v>
      </c>
    </row>
    <row r="1980" spans="1:19" ht="409.5" x14ac:dyDescent="0.15">
      <c r="A1980" t="s">
        <v>2160</v>
      </c>
      <c r="B1980" s="61">
        <v>46327</v>
      </c>
      <c r="E1980" t="s">
        <v>355</v>
      </c>
      <c r="F1980" t="s">
        <v>351</v>
      </c>
      <c r="G1980" t="s">
        <v>354</v>
      </c>
      <c r="H1980" t="s">
        <v>365</v>
      </c>
      <c r="I1980">
        <v>1201387</v>
      </c>
      <c r="J1980" t="s">
        <v>2242</v>
      </c>
      <c r="K1980" t="s">
        <v>6422</v>
      </c>
      <c r="L1980" t="s">
        <v>3112</v>
      </c>
      <c r="N1980" t="s">
        <v>6423</v>
      </c>
      <c r="O1980" t="s">
        <v>6424</v>
      </c>
      <c r="R1980" t="s">
        <v>3987</v>
      </c>
      <c r="S1980" s="34" t="s">
        <v>6425</v>
      </c>
    </row>
    <row r="1981" spans="1:19" ht="409.5" x14ac:dyDescent="0.15">
      <c r="A1981" t="s">
        <v>2160</v>
      </c>
      <c r="B1981" s="61">
        <v>46327</v>
      </c>
      <c r="E1981" t="s">
        <v>355</v>
      </c>
      <c r="F1981" t="s">
        <v>351</v>
      </c>
      <c r="G1981" t="s">
        <v>354</v>
      </c>
      <c r="H1981" t="s">
        <v>353</v>
      </c>
      <c r="I1981">
        <v>1201387</v>
      </c>
      <c r="J1981" t="s">
        <v>2242</v>
      </c>
      <c r="K1981" t="s">
        <v>6422</v>
      </c>
      <c r="L1981" t="s">
        <v>3112</v>
      </c>
      <c r="N1981" t="s">
        <v>6426</v>
      </c>
      <c r="O1981" t="s">
        <v>6424</v>
      </c>
      <c r="R1981" t="s">
        <v>3987</v>
      </c>
      <c r="S1981" s="34" t="s">
        <v>6427</v>
      </c>
    </row>
    <row r="1982" spans="1:19" ht="409.5" x14ac:dyDescent="0.15">
      <c r="A1982" t="s">
        <v>2160</v>
      </c>
      <c r="B1982" s="61">
        <v>46327</v>
      </c>
      <c r="E1982" t="s">
        <v>355</v>
      </c>
      <c r="F1982" t="s">
        <v>351</v>
      </c>
      <c r="G1982" t="s">
        <v>354</v>
      </c>
      <c r="H1982" t="s">
        <v>686</v>
      </c>
      <c r="I1982">
        <v>1201580</v>
      </c>
      <c r="J1982" t="s">
        <v>371</v>
      </c>
      <c r="K1982" t="s">
        <v>2232</v>
      </c>
      <c r="L1982" t="s">
        <v>2233</v>
      </c>
      <c r="N1982">
        <v>2149202</v>
      </c>
      <c r="O1982" t="s">
        <v>2235</v>
      </c>
      <c r="R1982" t="s">
        <v>3987</v>
      </c>
      <c r="S1982" s="34" t="s">
        <v>6414</v>
      </c>
    </row>
    <row r="1983" spans="1:19" ht="243" x14ac:dyDescent="0.15">
      <c r="A1983" t="s">
        <v>2160</v>
      </c>
      <c r="B1983" s="61">
        <v>46357</v>
      </c>
      <c r="E1983" t="s">
        <v>355</v>
      </c>
      <c r="F1983" t="s">
        <v>351</v>
      </c>
      <c r="G1983" t="s">
        <v>354</v>
      </c>
      <c r="H1983" t="s">
        <v>353</v>
      </c>
      <c r="I1983">
        <v>1201416</v>
      </c>
      <c r="J1983" t="s">
        <v>1740</v>
      </c>
      <c r="K1983" t="s">
        <v>2155</v>
      </c>
      <c r="L1983" t="s">
        <v>6428</v>
      </c>
      <c r="N1983" t="s">
        <v>6429</v>
      </c>
      <c r="O1983" t="s">
        <v>6430</v>
      </c>
      <c r="R1983" t="s">
        <v>3987</v>
      </c>
      <c r="S1983" s="34" t="s">
        <v>6431</v>
      </c>
    </row>
    <row r="1984" spans="1:19" ht="409.5" x14ac:dyDescent="0.15">
      <c r="A1984" t="s">
        <v>2160</v>
      </c>
      <c r="B1984" s="61">
        <v>46357</v>
      </c>
      <c r="E1984" t="s">
        <v>355</v>
      </c>
      <c r="F1984" t="s">
        <v>351</v>
      </c>
      <c r="G1984" t="s">
        <v>354</v>
      </c>
      <c r="H1984" t="s">
        <v>353</v>
      </c>
      <c r="I1984">
        <v>1201590</v>
      </c>
      <c r="J1984" t="s">
        <v>2237</v>
      </c>
      <c r="K1984" t="s">
        <v>2238</v>
      </c>
      <c r="L1984" t="s">
        <v>390</v>
      </c>
      <c r="N1984" t="s">
        <v>6432</v>
      </c>
      <c r="O1984" t="s">
        <v>2240</v>
      </c>
      <c r="R1984" t="s">
        <v>3987</v>
      </c>
      <c r="S1984" s="34" t="s">
        <v>6433</v>
      </c>
    </row>
    <row r="1985" spans="1:19" ht="216" x14ac:dyDescent="0.15">
      <c r="A1985" t="s">
        <v>2255</v>
      </c>
      <c r="B1985" s="61">
        <v>46235</v>
      </c>
      <c r="E1985" t="s">
        <v>355</v>
      </c>
      <c r="F1985" t="s">
        <v>351</v>
      </c>
      <c r="G1985" t="s">
        <v>354</v>
      </c>
      <c r="H1985" t="s">
        <v>365</v>
      </c>
      <c r="I1985">
        <v>1100689</v>
      </c>
      <c r="J1985" t="s">
        <v>2273</v>
      </c>
      <c r="K1985" t="s">
        <v>6434</v>
      </c>
      <c r="L1985" t="s">
        <v>390</v>
      </c>
      <c r="N1985" t="s">
        <v>6435</v>
      </c>
      <c r="O1985" t="s">
        <v>6436</v>
      </c>
      <c r="R1985" t="s">
        <v>3992</v>
      </c>
      <c r="S1985" s="34" t="s">
        <v>6437</v>
      </c>
    </row>
    <row r="1986" spans="1:19" ht="409.5" x14ac:dyDescent="0.15">
      <c r="A1986" t="s">
        <v>2255</v>
      </c>
      <c r="B1986" s="61">
        <v>46235</v>
      </c>
      <c r="E1986" t="s">
        <v>355</v>
      </c>
      <c r="F1986" t="s">
        <v>351</v>
      </c>
      <c r="G1986" t="s">
        <v>354</v>
      </c>
      <c r="H1986" t="s">
        <v>353</v>
      </c>
      <c r="I1986">
        <v>1100689</v>
      </c>
      <c r="J1986" t="s">
        <v>2273</v>
      </c>
      <c r="K1986" t="s">
        <v>6434</v>
      </c>
      <c r="L1986" t="s">
        <v>390</v>
      </c>
      <c r="N1986" t="s">
        <v>6438</v>
      </c>
      <c r="O1986" t="s">
        <v>6436</v>
      </c>
      <c r="S1986" s="34" t="s">
        <v>6439</v>
      </c>
    </row>
    <row r="1987" spans="1:19" ht="351" x14ac:dyDescent="0.15">
      <c r="A1987" t="s">
        <v>2255</v>
      </c>
      <c r="B1987" s="61">
        <v>46235</v>
      </c>
      <c r="E1987" t="s">
        <v>355</v>
      </c>
      <c r="F1987" t="s">
        <v>351</v>
      </c>
      <c r="G1987" t="s">
        <v>354</v>
      </c>
      <c r="H1987" t="s">
        <v>686</v>
      </c>
      <c r="I1987">
        <v>1100689</v>
      </c>
      <c r="J1987" t="s">
        <v>2273</v>
      </c>
      <c r="K1987" t="s">
        <v>6434</v>
      </c>
      <c r="L1987" t="s">
        <v>390</v>
      </c>
      <c r="N1987">
        <v>2188560</v>
      </c>
      <c r="O1987" t="s">
        <v>6436</v>
      </c>
      <c r="S1987" s="34" t="s">
        <v>7649</v>
      </c>
    </row>
    <row r="1988" spans="1:19" ht="409.5" x14ac:dyDescent="0.15">
      <c r="A1988" t="s">
        <v>2255</v>
      </c>
      <c r="B1988" s="61">
        <v>46235</v>
      </c>
      <c r="E1988" t="s">
        <v>355</v>
      </c>
      <c r="F1988" t="s">
        <v>351</v>
      </c>
      <c r="G1988" t="s">
        <v>354</v>
      </c>
      <c r="H1988" t="s">
        <v>686</v>
      </c>
      <c r="I1988">
        <v>1100913</v>
      </c>
      <c r="J1988" t="s">
        <v>2281</v>
      </c>
      <c r="K1988" t="s">
        <v>3955</v>
      </c>
      <c r="L1988" t="s">
        <v>3956</v>
      </c>
      <c r="N1988" t="s">
        <v>6441</v>
      </c>
      <c r="O1988" t="s">
        <v>3957</v>
      </c>
      <c r="S1988" s="34" t="s">
        <v>6442</v>
      </c>
    </row>
    <row r="1989" spans="1:19" ht="409.5" x14ac:dyDescent="0.15">
      <c r="A1989" t="s">
        <v>2255</v>
      </c>
      <c r="B1989" s="61">
        <v>46235</v>
      </c>
      <c r="E1989" t="s">
        <v>355</v>
      </c>
      <c r="F1989" t="s">
        <v>351</v>
      </c>
      <c r="G1989" t="s">
        <v>352</v>
      </c>
      <c r="H1989" t="s">
        <v>353</v>
      </c>
      <c r="I1989">
        <v>1101615</v>
      </c>
      <c r="J1989" t="s">
        <v>516</v>
      </c>
      <c r="K1989" t="s">
        <v>897</v>
      </c>
      <c r="L1989" t="s">
        <v>2311</v>
      </c>
      <c r="N1989" t="s">
        <v>6443</v>
      </c>
      <c r="O1989" t="s">
        <v>2313</v>
      </c>
      <c r="R1989" t="s">
        <v>3985</v>
      </c>
      <c r="S1989" s="34" t="s">
        <v>6444</v>
      </c>
    </row>
    <row r="1990" spans="1:19" ht="364.5" x14ac:dyDescent="0.15">
      <c r="A1990" t="s">
        <v>2255</v>
      </c>
      <c r="B1990" s="61">
        <v>46235</v>
      </c>
      <c r="E1990" t="s">
        <v>355</v>
      </c>
      <c r="F1990" t="s">
        <v>351</v>
      </c>
      <c r="G1990" t="s">
        <v>354</v>
      </c>
      <c r="H1990" t="s">
        <v>353</v>
      </c>
      <c r="I1990">
        <v>1101698</v>
      </c>
      <c r="J1990" t="s">
        <v>2322</v>
      </c>
      <c r="K1990" t="s">
        <v>2323</v>
      </c>
      <c r="L1990" t="s">
        <v>2324</v>
      </c>
      <c r="N1990" t="s">
        <v>6445</v>
      </c>
      <c r="O1990" t="s">
        <v>2326</v>
      </c>
      <c r="R1990" t="s">
        <v>3986</v>
      </c>
      <c r="S1990" s="34" t="s">
        <v>6446</v>
      </c>
    </row>
    <row r="1991" spans="1:19" ht="229.5" x14ac:dyDescent="0.15">
      <c r="A1991" t="s">
        <v>2255</v>
      </c>
      <c r="B1991" s="61">
        <v>46266</v>
      </c>
      <c r="E1991" t="s">
        <v>355</v>
      </c>
      <c r="F1991" t="s">
        <v>351</v>
      </c>
      <c r="G1991" t="s">
        <v>354</v>
      </c>
      <c r="H1991" t="s">
        <v>309</v>
      </c>
      <c r="I1991">
        <v>1100246</v>
      </c>
      <c r="J1991" t="s">
        <v>6447</v>
      </c>
      <c r="L1991" t="s">
        <v>6448</v>
      </c>
      <c r="N1991" t="s">
        <v>6449</v>
      </c>
      <c r="O1991" t="s">
        <v>6450</v>
      </c>
      <c r="R1991" t="s">
        <v>3992</v>
      </c>
      <c r="S1991" s="34" t="s">
        <v>6451</v>
      </c>
    </row>
    <row r="1992" spans="1:19" ht="409.5" x14ac:dyDescent="0.15">
      <c r="A1992" t="s">
        <v>2255</v>
      </c>
      <c r="B1992" s="61">
        <v>46266</v>
      </c>
      <c r="E1992" t="s">
        <v>355</v>
      </c>
      <c r="F1992" t="s">
        <v>351</v>
      </c>
      <c r="G1992" t="s">
        <v>354</v>
      </c>
      <c r="H1992" t="s">
        <v>310</v>
      </c>
      <c r="I1992">
        <v>1100246</v>
      </c>
      <c r="J1992" t="s">
        <v>6447</v>
      </c>
      <c r="L1992" t="s">
        <v>6448</v>
      </c>
      <c r="N1992" t="s">
        <v>6452</v>
      </c>
      <c r="O1992" t="s">
        <v>6450</v>
      </c>
      <c r="R1992" t="s">
        <v>3992</v>
      </c>
      <c r="S1992" s="34" t="s">
        <v>6453</v>
      </c>
    </row>
    <row r="1993" spans="1:19" ht="243" x14ac:dyDescent="0.15">
      <c r="A1993" t="s">
        <v>2255</v>
      </c>
      <c r="B1993" s="61">
        <v>46266</v>
      </c>
      <c r="E1993" t="s">
        <v>355</v>
      </c>
      <c r="F1993" t="s">
        <v>351</v>
      </c>
      <c r="G1993" t="s">
        <v>352</v>
      </c>
      <c r="H1993" t="s">
        <v>365</v>
      </c>
      <c r="I1993">
        <v>1101763</v>
      </c>
      <c r="J1993" t="s">
        <v>6454</v>
      </c>
      <c r="L1993" t="s">
        <v>6455</v>
      </c>
      <c r="N1993" t="s">
        <v>6456</v>
      </c>
      <c r="O1993" t="s">
        <v>6457</v>
      </c>
      <c r="R1993" t="s">
        <v>6458</v>
      </c>
      <c r="S1993" s="34" t="s">
        <v>6459</v>
      </c>
    </row>
    <row r="1994" spans="1:19" ht="409.5" x14ac:dyDescent="0.15">
      <c r="A1994" t="s">
        <v>2255</v>
      </c>
      <c r="B1994" s="61">
        <v>46266</v>
      </c>
      <c r="E1994" t="s">
        <v>355</v>
      </c>
      <c r="F1994" t="s">
        <v>351</v>
      </c>
      <c r="G1994" t="s">
        <v>354</v>
      </c>
      <c r="H1994" t="s">
        <v>353</v>
      </c>
      <c r="I1994">
        <v>1102422</v>
      </c>
      <c r="J1994" t="s">
        <v>6460</v>
      </c>
      <c r="K1994" t="s">
        <v>6461</v>
      </c>
      <c r="L1994" t="s">
        <v>6462</v>
      </c>
      <c r="N1994" t="s">
        <v>6463</v>
      </c>
      <c r="O1994" t="s">
        <v>6464</v>
      </c>
      <c r="R1994" t="s">
        <v>3987</v>
      </c>
      <c r="S1994" s="34" t="s">
        <v>6465</v>
      </c>
    </row>
    <row r="1995" spans="1:19" ht="409.5" x14ac:dyDescent="0.15">
      <c r="A1995" t="s">
        <v>2255</v>
      </c>
      <c r="B1995" s="61">
        <v>46296</v>
      </c>
      <c r="E1995" t="s">
        <v>355</v>
      </c>
      <c r="F1995" t="s">
        <v>351</v>
      </c>
      <c r="G1995" t="s">
        <v>354</v>
      </c>
      <c r="H1995" t="s">
        <v>686</v>
      </c>
      <c r="I1995">
        <v>1102259</v>
      </c>
      <c r="J1995" t="s">
        <v>4027</v>
      </c>
      <c r="K1995" t="s">
        <v>4028</v>
      </c>
      <c r="L1995" t="s">
        <v>4029</v>
      </c>
      <c r="N1995">
        <v>2158493</v>
      </c>
      <c r="O1995" t="s">
        <v>4030</v>
      </c>
      <c r="R1995" t="s">
        <v>3987</v>
      </c>
      <c r="S1995" s="34" t="s">
        <v>6466</v>
      </c>
    </row>
    <row r="1996" spans="1:19" ht="409.5" x14ac:dyDescent="0.15">
      <c r="A1996" t="s">
        <v>2255</v>
      </c>
      <c r="B1996" s="61">
        <v>46296</v>
      </c>
      <c r="E1996" t="s">
        <v>355</v>
      </c>
      <c r="F1996" t="s">
        <v>351</v>
      </c>
      <c r="G1996" t="s">
        <v>354</v>
      </c>
      <c r="H1996" t="s">
        <v>353</v>
      </c>
      <c r="I1996">
        <v>1102476</v>
      </c>
      <c r="J1996" t="s">
        <v>2317</v>
      </c>
      <c r="K1996" t="s">
        <v>2274</v>
      </c>
      <c r="L1996" t="s">
        <v>2318</v>
      </c>
      <c r="N1996" t="s">
        <v>6467</v>
      </c>
      <c r="O1996" t="s">
        <v>2320</v>
      </c>
      <c r="R1996" t="s">
        <v>3987</v>
      </c>
      <c r="S1996" s="34" t="s">
        <v>6468</v>
      </c>
    </row>
    <row r="1997" spans="1:19" ht="216" x14ac:dyDescent="0.15">
      <c r="A1997" t="s">
        <v>2255</v>
      </c>
      <c r="B1997" s="61">
        <v>46296</v>
      </c>
      <c r="E1997" t="s">
        <v>355</v>
      </c>
      <c r="F1997" t="s">
        <v>351</v>
      </c>
      <c r="G1997" t="s">
        <v>354</v>
      </c>
      <c r="H1997" t="s">
        <v>353</v>
      </c>
      <c r="I1997">
        <v>1102559</v>
      </c>
      <c r="J1997" t="s">
        <v>4072</v>
      </c>
      <c r="K1997" t="s">
        <v>897</v>
      </c>
      <c r="L1997" t="s">
        <v>413</v>
      </c>
      <c r="N1997" t="s">
        <v>4073</v>
      </c>
      <c r="O1997" t="s">
        <v>4074</v>
      </c>
      <c r="R1997" t="s">
        <v>3987</v>
      </c>
      <c r="S1997" s="34" t="s">
        <v>6469</v>
      </c>
    </row>
    <row r="1998" spans="1:19" ht="216" x14ac:dyDescent="0.15">
      <c r="A1998" t="s">
        <v>2255</v>
      </c>
      <c r="B1998" s="61">
        <v>46327</v>
      </c>
      <c r="E1998" t="s">
        <v>355</v>
      </c>
      <c r="F1998" t="s">
        <v>351</v>
      </c>
      <c r="G1998" t="s">
        <v>354</v>
      </c>
      <c r="H1998" t="s">
        <v>353</v>
      </c>
      <c r="I1998">
        <v>1100023</v>
      </c>
      <c r="J1998" t="s">
        <v>2256</v>
      </c>
      <c r="L1998" t="s">
        <v>390</v>
      </c>
      <c r="N1998" t="s">
        <v>2257</v>
      </c>
      <c r="O1998" t="s">
        <v>2258</v>
      </c>
      <c r="R1998" t="s">
        <v>3987</v>
      </c>
      <c r="S1998" s="34" t="s">
        <v>6470</v>
      </c>
    </row>
    <row r="1999" spans="1:19" ht="391.5" x14ac:dyDescent="0.15">
      <c r="A1999" t="s">
        <v>2255</v>
      </c>
      <c r="B1999" s="61">
        <v>46357</v>
      </c>
      <c r="E1999" t="s">
        <v>355</v>
      </c>
      <c r="F1999" t="s">
        <v>351</v>
      </c>
      <c r="G1999" t="s">
        <v>352</v>
      </c>
      <c r="H1999" t="s">
        <v>353</v>
      </c>
      <c r="I1999">
        <v>1100700</v>
      </c>
      <c r="J1999" t="s">
        <v>2259</v>
      </c>
      <c r="K1999" t="s">
        <v>2260</v>
      </c>
      <c r="L1999" t="s">
        <v>854</v>
      </c>
      <c r="N1999" t="s">
        <v>6471</v>
      </c>
      <c r="O1999" t="s">
        <v>2262</v>
      </c>
      <c r="R1999" t="s">
        <v>3985</v>
      </c>
      <c r="S1999" s="34" t="s">
        <v>6472</v>
      </c>
    </row>
    <row r="2000" spans="1:19" ht="409.5" x14ac:dyDescent="0.15">
      <c r="A2000" t="s">
        <v>2255</v>
      </c>
      <c r="B2000" s="61">
        <v>46357</v>
      </c>
      <c r="E2000" t="s">
        <v>355</v>
      </c>
      <c r="F2000" t="s">
        <v>351</v>
      </c>
      <c r="G2000" t="s">
        <v>354</v>
      </c>
      <c r="H2000" t="s">
        <v>353</v>
      </c>
      <c r="I2000">
        <v>1101840</v>
      </c>
      <c r="J2000" t="s">
        <v>2302</v>
      </c>
      <c r="K2000" t="s">
        <v>2303</v>
      </c>
      <c r="L2000" t="s">
        <v>2304</v>
      </c>
      <c r="N2000" t="s">
        <v>6473</v>
      </c>
      <c r="O2000" t="s">
        <v>2306</v>
      </c>
      <c r="R2000" t="s">
        <v>3986</v>
      </c>
      <c r="S2000" s="34" t="s">
        <v>6474</v>
      </c>
    </row>
    <row r="2001" spans="1:19" ht="243" x14ac:dyDescent="0.15">
      <c r="A2001" t="s">
        <v>2255</v>
      </c>
      <c r="B2001" s="61">
        <v>46357</v>
      </c>
      <c r="E2001" t="s">
        <v>355</v>
      </c>
      <c r="F2001" t="s">
        <v>351</v>
      </c>
      <c r="G2001" t="s">
        <v>354</v>
      </c>
      <c r="H2001" t="s">
        <v>353</v>
      </c>
      <c r="I2001">
        <v>1102157</v>
      </c>
      <c r="J2001" t="s">
        <v>6475</v>
      </c>
      <c r="K2001" t="s">
        <v>6476</v>
      </c>
      <c r="L2001" t="s">
        <v>6477</v>
      </c>
      <c r="N2001" t="s">
        <v>6478</v>
      </c>
      <c r="O2001" t="s">
        <v>6479</v>
      </c>
      <c r="R2001" t="s">
        <v>3987</v>
      </c>
      <c r="S2001" s="34" t="s">
        <v>6480</v>
      </c>
    </row>
    <row r="2002" spans="1:19" ht="189" x14ac:dyDescent="0.15">
      <c r="A2002" t="s">
        <v>2255</v>
      </c>
      <c r="B2002" s="61">
        <v>46357</v>
      </c>
      <c r="E2002" t="s">
        <v>355</v>
      </c>
      <c r="F2002" t="s">
        <v>351</v>
      </c>
      <c r="G2002" t="s">
        <v>354</v>
      </c>
      <c r="H2002" t="s">
        <v>353</v>
      </c>
      <c r="I2002">
        <v>1102206</v>
      </c>
      <c r="J2002" t="s">
        <v>2314</v>
      </c>
      <c r="L2002" t="s">
        <v>390</v>
      </c>
      <c r="N2002" t="s">
        <v>6481</v>
      </c>
      <c r="O2002" t="s">
        <v>2316</v>
      </c>
      <c r="R2002" t="s">
        <v>3987</v>
      </c>
      <c r="S2002" s="34" t="s">
        <v>6482</v>
      </c>
    </row>
    <row r="2003" spans="1:19" ht="216" x14ac:dyDescent="0.15">
      <c r="A2003" t="s">
        <v>2255</v>
      </c>
      <c r="B2003" s="61">
        <v>46357</v>
      </c>
      <c r="E2003" t="s">
        <v>355</v>
      </c>
      <c r="F2003" t="s">
        <v>351</v>
      </c>
      <c r="G2003" t="s">
        <v>354</v>
      </c>
      <c r="H2003" t="s">
        <v>365</v>
      </c>
      <c r="I2003">
        <v>1102206</v>
      </c>
      <c r="J2003" t="s">
        <v>2314</v>
      </c>
      <c r="L2003" t="s">
        <v>390</v>
      </c>
      <c r="N2003" t="s">
        <v>2315</v>
      </c>
      <c r="O2003" t="s">
        <v>2316</v>
      </c>
      <c r="R2003" t="s">
        <v>3987</v>
      </c>
      <c r="S2003" s="34" t="s">
        <v>6483</v>
      </c>
    </row>
    <row r="2004" spans="1:19" ht="409.5" x14ac:dyDescent="0.15">
      <c r="A2004" t="s">
        <v>2255</v>
      </c>
      <c r="B2004" s="61">
        <v>46357</v>
      </c>
      <c r="E2004" t="s">
        <v>355</v>
      </c>
      <c r="F2004" t="s">
        <v>351</v>
      </c>
      <c r="G2004" t="s">
        <v>354</v>
      </c>
      <c r="H2004" t="s">
        <v>353</v>
      </c>
      <c r="I2004">
        <v>1102405</v>
      </c>
      <c r="J2004" t="s">
        <v>2281</v>
      </c>
      <c r="K2004" t="s">
        <v>2282</v>
      </c>
      <c r="L2004" t="s">
        <v>692</v>
      </c>
      <c r="N2004" t="s">
        <v>6484</v>
      </c>
      <c r="O2004" t="s">
        <v>2284</v>
      </c>
      <c r="R2004" t="s">
        <v>3987</v>
      </c>
      <c r="S2004" s="34" t="s">
        <v>6485</v>
      </c>
    </row>
    <row r="2005" spans="1:19" ht="216" x14ac:dyDescent="0.15">
      <c r="A2005" t="s">
        <v>2255</v>
      </c>
      <c r="B2005" s="61">
        <v>46357</v>
      </c>
      <c r="E2005" t="s">
        <v>355</v>
      </c>
      <c r="F2005" t="s">
        <v>351</v>
      </c>
      <c r="G2005" t="s">
        <v>354</v>
      </c>
      <c r="H2005" t="s">
        <v>686</v>
      </c>
      <c r="I2005">
        <v>1102405</v>
      </c>
      <c r="J2005" t="s">
        <v>2281</v>
      </c>
      <c r="K2005" t="s">
        <v>2282</v>
      </c>
      <c r="L2005" t="s">
        <v>692</v>
      </c>
      <c r="N2005">
        <v>2108751</v>
      </c>
      <c r="O2005" t="s">
        <v>2284</v>
      </c>
      <c r="R2005" t="s">
        <v>3987</v>
      </c>
      <c r="S2005" s="34" t="s">
        <v>6486</v>
      </c>
    </row>
    <row r="2006" spans="1:19" ht="229.5" x14ac:dyDescent="0.15">
      <c r="A2006" t="s">
        <v>2255</v>
      </c>
      <c r="B2006" s="61">
        <v>46357</v>
      </c>
      <c r="E2006" t="s">
        <v>355</v>
      </c>
      <c r="F2006" t="s">
        <v>351</v>
      </c>
      <c r="G2006" t="s">
        <v>354</v>
      </c>
      <c r="H2006" t="s">
        <v>365</v>
      </c>
      <c r="I2006">
        <v>1102410</v>
      </c>
      <c r="J2006" t="s">
        <v>2264</v>
      </c>
      <c r="L2006" t="s">
        <v>854</v>
      </c>
      <c r="N2006" t="s">
        <v>2265</v>
      </c>
      <c r="O2006" t="s">
        <v>2266</v>
      </c>
      <c r="R2006" t="s">
        <v>3987</v>
      </c>
      <c r="S2006" s="34" t="s">
        <v>6487</v>
      </c>
    </row>
    <row r="2007" spans="1:19" ht="229.5" x14ac:dyDescent="0.15">
      <c r="A2007" t="s">
        <v>2255</v>
      </c>
      <c r="B2007" s="61">
        <v>46357</v>
      </c>
      <c r="E2007" t="s">
        <v>355</v>
      </c>
      <c r="F2007" t="s">
        <v>351</v>
      </c>
      <c r="G2007" t="s">
        <v>354</v>
      </c>
      <c r="H2007" t="s">
        <v>365</v>
      </c>
      <c r="I2007">
        <v>1102548</v>
      </c>
      <c r="J2007" t="s">
        <v>2267</v>
      </c>
      <c r="K2007" t="s">
        <v>2268</v>
      </c>
      <c r="L2007" t="s">
        <v>2269</v>
      </c>
      <c r="N2007" t="s">
        <v>2270</v>
      </c>
      <c r="O2007" t="s">
        <v>2271</v>
      </c>
      <c r="R2007" t="s">
        <v>3987</v>
      </c>
      <c r="S2007" s="34" t="s">
        <v>6488</v>
      </c>
    </row>
    <row r="2008" spans="1:19" ht="409.5" x14ac:dyDescent="0.15">
      <c r="A2008" t="s">
        <v>2255</v>
      </c>
      <c r="B2008" s="61">
        <v>46357</v>
      </c>
      <c r="E2008" t="s">
        <v>355</v>
      </c>
      <c r="F2008" t="s">
        <v>351</v>
      </c>
      <c r="G2008" t="s">
        <v>354</v>
      </c>
      <c r="H2008" t="s">
        <v>686</v>
      </c>
      <c r="I2008">
        <v>1102565</v>
      </c>
      <c r="J2008" t="s">
        <v>1255</v>
      </c>
      <c r="K2008" t="s">
        <v>2307</v>
      </c>
      <c r="L2008" t="s">
        <v>4391</v>
      </c>
      <c r="N2008">
        <v>2166110</v>
      </c>
      <c r="O2008" t="s">
        <v>2310</v>
      </c>
      <c r="R2008" t="s">
        <v>4392</v>
      </c>
      <c r="S2008" s="34" t="s">
        <v>6489</v>
      </c>
    </row>
    <row r="2009" spans="1:19" ht="216" x14ac:dyDescent="0.15">
      <c r="A2009" t="s">
        <v>2255</v>
      </c>
      <c r="B2009" s="61">
        <v>46357</v>
      </c>
      <c r="E2009" t="s">
        <v>355</v>
      </c>
      <c r="F2009" t="s">
        <v>351</v>
      </c>
      <c r="G2009" t="s">
        <v>354</v>
      </c>
      <c r="H2009" t="s">
        <v>353</v>
      </c>
      <c r="I2009">
        <v>1102593</v>
      </c>
      <c r="J2009" t="s">
        <v>2417</v>
      </c>
      <c r="K2009" t="s">
        <v>2268</v>
      </c>
      <c r="L2009" t="s">
        <v>6490</v>
      </c>
      <c r="N2009" t="s">
        <v>4822</v>
      </c>
      <c r="O2009" t="s">
        <v>4823</v>
      </c>
      <c r="S2009" s="34" t="s">
        <v>6491</v>
      </c>
    </row>
    <row r="2010" spans="1:19" ht="409.5" x14ac:dyDescent="0.15">
      <c r="A2010" t="s">
        <v>2328</v>
      </c>
      <c r="B2010" s="61">
        <v>46266</v>
      </c>
      <c r="E2010" t="s">
        <v>355</v>
      </c>
      <c r="F2010" t="s">
        <v>351</v>
      </c>
      <c r="G2010" t="s">
        <v>354</v>
      </c>
      <c r="H2010" t="s">
        <v>686</v>
      </c>
      <c r="I2010">
        <v>1401841</v>
      </c>
      <c r="J2010" t="s">
        <v>2367</v>
      </c>
      <c r="K2010" t="s">
        <v>2368</v>
      </c>
      <c r="L2010" t="s">
        <v>2369</v>
      </c>
      <c r="N2010">
        <v>2094582</v>
      </c>
      <c r="O2010" t="s">
        <v>2371</v>
      </c>
      <c r="R2010" t="s">
        <v>6492</v>
      </c>
      <c r="S2010" s="34" t="s">
        <v>6493</v>
      </c>
    </row>
    <row r="2011" spans="1:19" ht="229.5" x14ac:dyDescent="0.15">
      <c r="A2011" t="s">
        <v>2328</v>
      </c>
      <c r="B2011" s="61">
        <v>46266</v>
      </c>
      <c r="E2011" t="s">
        <v>355</v>
      </c>
      <c r="F2011" t="s">
        <v>351</v>
      </c>
      <c r="G2011" t="s">
        <v>354</v>
      </c>
      <c r="H2011" t="s">
        <v>353</v>
      </c>
      <c r="I2011">
        <v>1401905</v>
      </c>
      <c r="J2011" t="s">
        <v>2344</v>
      </c>
      <c r="K2011" t="s">
        <v>2345</v>
      </c>
      <c r="L2011" t="s">
        <v>2346</v>
      </c>
      <c r="N2011" t="s">
        <v>2362</v>
      </c>
      <c r="O2011" t="s">
        <v>2348</v>
      </c>
      <c r="S2011" s="34" t="s">
        <v>6494</v>
      </c>
    </row>
    <row r="2012" spans="1:19" ht="409.5" x14ac:dyDescent="0.15">
      <c r="A2012" t="s">
        <v>2328</v>
      </c>
      <c r="B2012" s="61">
        <v>46266</v>
      </c>
      <c r="E2012" t="s">
        <v>355</v>
      </c>
      <c r="F2012" t="s">
        <v>351</v>
      </c>
      <c r="G2012" t="s">
        <v>354</v>
      </c>
      <c r="H2012" t="s">
        <v>353</v>
      </c>
      <c r="I2012">
        <v>1401905</v>
      </c>
      <c r="J2012" t="s">
        <v>2344</v>
      </c>
      <c r="K2012" t="s">
        <v>2345</v>
      </c>
      <c r="L2012" t="s">
        <v>2346</v>
      </c>
      <c r="N2012" t="s">
        <v>6495</v>
      </c>
      <c r="O2012" t="s">
        <v>2348</v>
      </c>
      <c r="S2012" s="34" t="s">
        <v>6496</v>
      </c>
    </row>
    <row r="2013" spans="1:19" ht="409.5" x14ac:dyDescent="0.15">
      <c r="A2013" t="s">
        <v>2328</v>
      </c>
      <c r="B2013" s="61">
        <v>46357</v>
      </c>
      <c r="E2013" t="s">
        <v>355</v>
      </c>
      <c r="F2013" t="s">
        <v>351</v>
      </c>
      <c r="G2013" t="s">
        <v>354</v>
      </c>
      <c r="H2013" t="s">
        <v>686</v>
      </c>
      <c r="I2013">
        <v>1401841</v>
      </c>
      <c r="J2013" t="s">
        <v>2367</v>
      </c>
      <c r="K2013" t="s">
        <v>2368</v>
      </c>
      <c r="L2013" t="s">
        <v>2369</v>
      </c>
      <c r="N2013">
        <v>2147116</v>
      </c>
      <c r="O2013" t="s">
        <v>2371</v>
      </c>
      <c r="R2013" t="s">
        <v>4534</v>
      </c>
      <c r="S2013" s="34" t="s">
        <v>6497</v>
      </c>
    </row>
    <row r="2014" spans="1:19" ht="378" x14ac:dyDescent="0.15">
      <c r="A2014" t="s">
        <v>2328</v>
      </c>
      <c r="B2014" s="61">
        <v>46357</v>
      </c>
      <c r="E2014" t="s">
        <v>355</v>
      </c>
      <c r="F2014" t="s">
        <v>351</v>
      </c>
      <c r="G2014" t="s">
        <v>354</v>
      </c>
      <c r="H2014" t="s">
        <v>365</v>
      </c>
      <c r="I2014">
        <v>1401912</v>
      </c>
      <c r="J2014" t="s">
        <v>2339</v>
      </c>
      <c r="K2014" t="s">
        <v>2340</v>
      </c>
      <c r="L2014" t="s">
        <v>2341</v>
      </c>
      <c r="N2014" t="s">
        <v>2342</v>
      </c>
      <c r="O2014" t="s">
        <v>2343</v>
      </c>
      <c r="R2014" t="s">
        <v>3987</v>
      </c>
      <c r="S2014" s="34" t="s">
        <v>6498</v>
      </c>
    </row>
    <row r="2015" spans="1:19" ht="409.5" x14ac:dyDescent="0.15">
      <c r="A2015" t="s">
        <v>2377</v>
      </c>
      <c r="B2015" s="61">
        <v>46235</v>
      </c>
      <c r="E2015" t="s">
        <v>355</v>
      </c>
      <c r="F2015" t="s">
        <v>351</v>
      </c>
      <c r="G2015" t="s">
        <v>354</v>
      </c>
      <c r="H2015" t="s">
        <v>365</v>
      </c>
      <c r="I2015">
        <v>1101172</v>
      </c>
      <c r="J2015" t="s">
        <v>2378</v>
      </c>
      <c r="L2015" t="s">
        <v>1230</v>
      </c>
      <c r="N2015" t="s">
        <v>2379</v>
      </c>
      <c r="O2015" t="s">
        <v>2380</v>
      </c>
      <c r="R2015" t="s">
        <v>6499</v>
      </c>
      <c r="S2015" s="34" t="s">
        <v>6500</v>
      </c>
    </row>
    <row r="2016" spans="1:19" ht="391.5" x14ac:dyDescent="0.15">
      <c r="A2016" t="s">
        <v>2377</v>
      </c>
      <c r="B2016" s="61">
        <v>46235</v>
      </c>
      <c r="E2016" t="s">
        <v>355</v>
      </c>
      <c r="F2016" t="s">
        <v>351</v>
      </c>
      <c r="G2016" t="s">
        <v>354</v>
      </c>
      <c r="H2016" t="s">
        <v>309</v>
      </c>
      <c r="I2016">
        <v>1101172</v>
      </c>
      <c r="J2016" t="s">
        <v>2378</v>
      </c>
      <c r="L2016" t="s">
        <v>1230</v>
      </c>
      <c r="N2016" t="s">
        <v>7348</v>
      </c>
      <c r="O2016" t="s">
        <v>2380</v>
      </c>
      <c r="R2016" t="s">
        <v>6499</v>
      </c>
      <c r="S2016" s="34" t="s">
        <v>6501</v>
      </c>
    </row>
    <row r="2017" spans="1:19" ht="256.5" x14ac:dyDescent="0.15">
      <c r="A2017" t="s">
        <v>2377</v>
      </c>
      <c r="B2017" s="61">
        <v>46235</v>
      </c>
      <c r="E2017" t="s">
        <v>355</v>
      </c>
      <c r="F2017" t="s">
        <v>351</v>
      </c>
      <c r="G2017" t="s">
        <v>352</v>
      </c>
      <c r="H2017" t="s">
        <v>353</v>
      </c>
      <c r="I2017">
        <v>1102177</v>
      </c>
      <c r="J2017" t="s">
        <v>2396</v>
      </c>
      <c r="K2017" t="s">
        <v>2397</v>
      </c>
      <c r="L2017" t="s">
        <v>390</v>
      </c>
      <c r="N2017" t="s">
        <v>2398</v>
      </c>
      <c r="O2017" t="s">
        <v>2399</v>
      </c>
      <c r="R2017" t="s">
        <v>3985</v>
      </c>
      <c r="S2017" s="34" t="s">
        <v>6502</v>
      </c>
    </row>
    <row r="2018" spans="1:19" ht="337.5" x14ac:dyDescent="0.15">
      <c r="A2018" t="s">
        <v>2377</v>
      </c>
      <c r="B2018" s="61">
        <v>46235</v>
      </c>
      <c r="E2018" t="s">
        <v>355</v>
      </c>
      <c r="F2018" t="s">
        <v>351</v>
      </c>
      <c r="G2018" t="s">
        <v>354</v>
      </c>
      <c r="H2018" t="s">
        <v>353</v>
      </c>
      <c r="I2018">
        <v>1102508</v>
      </c>
      <c r="J2018" t="s">
        <v>2382</v>
      </c>
      <c r="K2018" t="s">
        <v>2383</v>
      </c>
      <c r="L2018" t="s">
        <v>2384</v>
      </c>
      <c r="N2018" t="s">
        <v>6503</v>
      </c>
      <c r="O2018" t="s">
        <v>2386</v>
      </c>
      <c r="R2018" t="s">
        <v>3987</v>
      </c>
      <c r="S2018" s="34" t="s">
        <v>6504</v>
      </c>
    </row>
    <row r="2019" spans="1:19" ht="409.5" x14ac:dyDescent="0.15">
      <c r="A2019" t="s">
        <v>2377</v>
      </c>
      <c r="B2019" s="61">
        <v>46327</v>
      </c>
      <c r="E2019" t="s">
        <v>355</v>
      </c>
      <c r="F2019" t="s">
        <v>351</v>
      </c>
      <c r="G2019" t="s">
        <v>354</v>
      </c>
      <c r="H2019" t="s">
        <v>353</v>
      </c>
      <c r="I2019">
        <v>1101329</v>
      </c>
      <c r="J2019" t="s">
        <v>2400</v>
      </c>
      <c r="K2019" t="s">
        <v>2401</v>
      </c>
      <c r="L2019" t="s">
        <v>2041</v>
      </c>
      <c r="N2019" t="s">
        <v>6505</v>
      </c>
      <c r="O2019" t="s">
        <v>2403</v>
      </c>
      <c r="S2019" s="34" t="s">
        <v>6506</v>
      </c>
    </row>
    <row r="2020" spans="1:19" ht="409.5" x14ac:dyDescent="0.15">
      <c r="A2020" t="s">
        <v>2377</v>
      </c>
      <c r="B2020" s="61">
        <v>46327</v>
      </c>
      <c r="E2020" t="s">
        <v>355</v>
      </c>
      <c r="F2020" t="s">
        <v>351</v>
      </c>
      <c r="G2020" t="s">
        <v>354</v>
      </c>
      <c r="H2020" t="s">
        <v>365</v>
      </c>
      <c r="I2020">
        <v>1101329</v>
      </c>
      <c r="J2020" t="s">
        <v>2400</v>
      </c>
      <c r="K2020" t="s">
        <v>2401</v>
      </c>
      <c r="L2020" t="s">
        <v>2041</v>
      </c>
      <c r="N2020" t="s">
        <v>2402</v>
      </c>
      <c r="O2020" t="s">
        <v>2403</v>
      </c>
      <c r="S2020" s="34" t="s">
        <v>6507</v>
      </c>
    </row>
    <row r="2021" spans="1:19" ht="405" x14ac:dyDescent="0.15">
      <c r="A2021" t="s">
        <v>2377</v>
      </c>
      <c r="B2021" s="61">
        <v>46327</v>
      </c>
      <c r="E2021" t="s">
        <v>355</v>
      </c>
      <c r="F2021" t="s">
        <v>351</v>
      </c>
      <c r="G2021" t="s">
        <v>354</v>
      </c>
      <c r="H2021" t="s">
        <v>686</v>
      </c>
      <c r="I2021">
        <v>1101329</v>
      </c>
      <c r="J2021" t="s">
        <v>2400</v>
      </c>
      <c r="K2021" t="s">
        <v>2401</v>
      </c>
      <c r="L2021" t="s">
        <v>2041</v>
      </c>
      <c r="N2021">
        <v>2120666</v>
      </c>
      <c r="O2021" t="s">
        <v>2403</v>
      </c>
      <c r="S2021" s="34" t="s">
        <v>6508</v>
      </c>
    </row>
    <row r="2022" spans="1:19" ht="229.5" x14ac:dyDescent="0.15">
      <c r="A2022" t="s">
        <v>2404</v>
      </c>
      <c r="B2022" s="61">
        <v>46235</v>
      </c>
      <c r="E2022" t="s">
        <v>355</v>
      </c>
      <c r="F2022" t="s">
        <v>351</v>
      </c>
      <c r="G2022" t="s">
        <v>352</v>
      </c>
      <c r="H2022" t="s">
        <v>353</v>
      </c>
      <c r="I2022">
        <v>1102243</v>
      </c>
      <c r="J2022" t="s">
        <v>6509</v>
      </c>
      <c r="L2022" t="s">
        <v>390</v>
      </c>
      <c r="N2022" t="s">
        <v>6510</v>
      </c>
      <c r="O2022" t="s">
        <v>6511</v>
      </c>
      <c r="R2022" t="s">
        <v>3985</v>
      </c>
      <c r="S2022" s="34" t="s">
        <v>6512</v>
      </c>
    </row>
    <row r="2023" spans="1:19" ht="378" x14ac:dyDescent="0.15">
      <c r="A2023" t="s">
        <v>2404</v>
      </c>
      <c r="B2023" s="61">
        <v>46235</v>
      </c>
      <c r="E2023" t="s">
        <v>355</v>
      </c>
      <c r="F2023" t="s">
        <v>351</v>
      </c>
      <c r="G2023" t="s">
        <v>354</v>
      </c>
      <c r="H2023" t="s">
        <v>353</v>
      </c>
      <c r="I2023">
        <v>1200483</v>
      </c>
      <c r="J2023" t="s">
        <v>2423</v>
      </c>
      <c r="K2023" t="s">
        <v>2260</v>
      </c>
      <c r="L2023" t="s">
        <v>390</v>
      </c>
      <c r="N2023" t="s">
        <v>2424</v>
      </c>
      <c r="O2023" t="s">
        <v>2425</v>
      </c>
      <c r="R2023" t="s">
        <v>3992</v>
      </c>
      <c r="S2023" s="34" t="s">
        <v>6513</v>
      </c>
    </row>
    <row r="2024" spans="1:19" ht="270" x14ac:dyDescent="0.15">
      <c r="A2024" t="s">
        <v>2404</v>
      </c>
      <c r="B2024" s="61">
        <v>46296</v>
      </c>
      <c r="E2024" t="s">
        <v>355</v>
      </c>
      <c r="F2024" t="s">
        <v>351</v>
      </c>
      <c r="G2024" t="s">
        <v>354</v>
      </c>
      <c r="H2024" t="s">
        <v>353</v>
      </c>
      <c r="I2024">
        <v>1101868</v>
      </c>
      <c r="J2024" t="s">
        <v>2407</v>
      </c>
      <c r="K2024" t="s">
        <v>6514</v>
      </c>
      <c r="L2024" t="s">
        <v>6515</v>
      </c>
      <c r="N2024" t="s">
        <v>7367</v>
      </c>
      <c r="O2024" t="s">
        <v>6516</v>
      </c>
      <c r="S2024" s="34" t="s">
        <v>6517</v>
      </c>
    </row>
    <row r="2025" spans="1:19" ht="243" x14ac:dyDescent="0.15">
      <c r="A2025" t="s">
        <v>2404</v>
      </c>
      <c r="B2025" s="61">
        <v>46296</v>
      </c>
      <c r="E2025" t="s">
        <v>355</v>
      </c>
      <c r="F2025" t="s">
        <v>351</v>
      </c>
      <c r="G2025" t="s">
        <v>354</v>
      </c>
      <c r="H2025" t="s">
        <v>353</v>
      </c>
      <c r="I2025">
        <v>1101869</v>
      </c>
      <c r="J2025" t="s">
        <v>2407</v>
      </c>
      <c r="K2025" t="s">
        <v>6514</v>
      </c>
      <c r="L2025" t="s">
        <v>6518</v>
      </c>
      <c r="N2025" t="s">
        <v>7368</v>
      </c>
      <c r="O2025" t="s">
        <v>6519</v>
      </c>
      <c r="S2025" s="34" t="s">
        <v>6520</v>
      </c>
    </row>
    <row r="2026" spans="1:19" ht="409.5" x14ac:dyDescent="0.15">
      <c r="A2026" t="s">
        <v>2404</v>
      </c>
      <c r="B2026" s="61">
        <v>46296</v>
      </c>
      <c r="E2026" t="s">
        <v>355</v>
      </c>
      <c r="F2026" t="s">
        <v>351</v>
      </c>
      <c r="G2026" t="s">
        <v>354</v>
      </c>
      <c r="H2026" t="s">
        <v>309</v>
      </c>
      <c r="I2026">
        <v>1201080</v>
      </c>
      <c r="J2026" t="s">
        <v>1212</v>
      </c>
      <c r="K2026" t="s">
        <v>4577</v>
      </c>
      <c r="L2026" t="s">
        <v>2041</v>
      </c>
      <c r="N2026" t="s">
        <v>6521</v>
      </c>
      <c r="O2026" t="s">
        <v>4578</v>
      </c>
      <c r="S2026" s="34" t="s">
        <v>6522</v>
      </c>
    </row>
    <row r="2027" spans="1:19" ht="216" x14ac:dyDescent="0.15">
      <c r="A2027" t="s">
        <v>2404</v>
      </c>
      <c r="B2027" s="61">
        <v>46327</v>
      </c>
      <c r="E2027" t="s">
        <v>355</v>
      </c>
      <c r="F2027" t="s">
        <v>351</v>
      </c>
      <c r="G2027" t="s">
        <v>354</v>
      </c>
      <c r="H2027" t="s">
        <v>353</v>
      </c>
      <c r="I2027">
        <v>1101483</v>
      </c>
      <c r="J2027" t="s">
        <v>2413</v>
      </c>
      <c r="K2027" t="s">
        <v>2153</v>
      </c>
      <c r="L2027" t="s">
        <v>390</v>
      </c>
      <c r="N2027" t="s">
        <v>2414</v>
      </c>
      <c r="O2027" t="s">
        <v>2415</v>
      </c>
      <c r="R2027" t="s">
        <v>3986</v>
      </c>
      <c r="S2027" s="34" t="s">
        <v>6523</v>
      </c>
    </row>
    <row r="2028" spans="1:19" ht="378" x14ac:dyDescent="0.15">
      <c r="A2028" t="s">
        <v>2404</v>
      </c>
      <c r="B2028" s="61">
        <v>46357</v>
      </c>
      <c r="E2028" t="s">
        <v>355</v>
      </c>
      <c r="F2028" t="s">
        <v>351</v>
      </c>
      <c r="G2028" t="s">
        <v>354</v>
      </c>
      <c r="H2028" t="s">
        <v>686</v>
      </c>
      <c r="I2028">
        <v>1102101</v>
      </c>
      <c r="J2028" t="s">
        <v>2417</v>
      </c>
      <c r="L2028" t="s">
        <v>4380</v>
      </c>
      <c r="N2028">
        <v>2152662</v>
      </c>
      <c r="O2028" t="s">
        <v>4382</v>
      </c>
      <c r="R2028" t="s">
        <v>3985</v>
      </c>
      <c r="S2028" s="34" t="s">
        <v>6524</v>
      </c>
    </row>
    <row r="2029" spans="1:19" ht="189" x14ac:dyDescent="0.15">
      <c r="A2029" t="s">
        <v>2404</v>
      </c>
      <c r="B2029" s="61">
        <v>46357</v>
      </c>
      <c r="E2029" t="s">
        <v>355</v>
      </c>
      <c r="F2029" t="s">
        <v>351</v>
      </c>
      <c r="G2029" t="s">
        <v>354</v>
      </c>
      <c r="H2029" t="s">
        <v>686</v>
      </c>
      <c r="I2029">
        <v>1102324</v>
      </c>
      <c r="J2029" t="s">
        <v>2417</v>
      </c>
      <c r="L2029" t="s">
        <v>2418</v>
      </c>
      <c r="N2029">
        <v>2119850</v>
      </c>
      <c r="O2029" t="s">
        <v>2420</v>
      </c>
      <c r="R2029" t="s">
        <v>3987</v>
      </c>
      <c r="S2029" s="34" t="s">
        <v>6525</v>
      </c>
    </row>
    <row r="2030" spans="1:19" ht="405" x14ac:dyDescent="0.15">
      <c r="A2030" t="s">
        <v>2434</v>
      </c>
      <c r="B2030" s="61">
        <v>46235</v>
      </c>
      <c r="E2030" t="s">
        <v>355</v>
      </c>
      <c r="F2030" t="s">
        <v>351</v>
      </c>
      <c r="G2030" t="s">
        <v>354</v>
      </c>
      <c r="H2030" t="s">
        <v>309</v>
      </c>
      <c r="I2030">
        <v>1300253</v>
      </c>
      <c r="J2030" t="s">
        <v>6526</v>
      </c>
      <c r="K2030" t="s">
        <v>6527</v>
      </c>
      <c r="L2030" t="s">
        <v>6528</v>
      </c>
      <c r="N2030" t="s">
        <v>7349</v>
      </c>
      <c r="O2030" t="s">
        <v>6529</v>
      </c>
      <c r="S2030" s="34" t="s">
        <v>6530</v>
      </c>
    </row>
    <row r="2031" spans="1:19" ht="409.5" x14ac:dyDescent="0.15">
      <c r="A2031" t="s">
        <v>2434</v>
      </c>
      <c r="B2031" s="61">
        <v>46235</v>
      </c>
      <c r="E2031" t="s">
        <v>355</v>
      </c>
      <c r="F2031" t="s">
        <v>351</v>
      </c>
      <c r="G2031" t="s">
        <v>354</v>
      </c>
      <c r="H2031" t="s">
        <v>353</v>
      </c>
      <c r="I2031">
        <v>1301459</v>
      </c>
      <c r="J2031" t="s">
        <v>2407</v>
      </c>
      <c r="K2031" t="s">
        <v>4401</v>
      </c>
      <c r="L2031" t="s">
        <v>2041</v>
      </c>
      <c r="N2031" t="s">
        <v>6531</v>
      </c>
      <c r="O2031" t="s">
        <v>4402</v>
      </c>
      <c r="R2031" t="s">
        <v>4012</v>
      </c>
      <c r="S2031" s="34" t="s">
        <v>6532</v>
      </c>
    </row>
    <row r="2032" spans="1:19" ht="409.5" x14ac:dyDescent="0.15">
      <c r="A2032" t="s">
        <v>2434</v>
      </c>
      <c r="B2032" s="61">
        <v>46266</v>
      </c>
      <c r="E2032" t="s">
        <v>355</v>
      </c>
      <c r="F2032" t="s">
        <v>351</v>
      </c>
      <c r="G2032" t="s">
        <v>354</v>
      </c>
      <c r="H2032" t="s">
        <v>353</v>
      </c>
      <c r="I2032">
        <v>1301669</v>
      </c>
      <c r="J2032" t="s">
        <v>2451</v>
      </c>
      <c r="K2032" t="s">
        <v>2452</v>
      </c>
      <c r="L2032" t="s">
        <v>2453</v>
      </c>
      <c r="N2032" t="s">
        <v>6533</v>
      </c>
      <c r="O2032" t="s">
        <v>2455</v>
      </c>
      <c r="S2032" s="34" t="s">
        <v>6534</v>
      </c>
    </row>
    <row r="2033" spans="1:19" ht="378" x14ac:dyDescent="0.15">
      <c r="A2033" t="s">
        <v>2434</v>
      </c>
      <c r="B2033" s="61">
        <v>46327</v>
      </c>
      <c r="E2033" t="s">
        <v>355</v>
      </c>
      <c r="F2033" t="s">
        <v>351</v>
      </c>
      <c r="G2033" t="s">
        <v>352</v>
      </c>
      <c r="H2033" t="s">
        <v>365</v>
      </c>
      <c r="I2033">
        <v>1300042</v>
      </c>
      <c r="J2033" t="s">
        <v>6535</v>
      </c>
      <c r="K2033" t="s">
        <v>6536</v>
      </c>
      <c r="L2033" t="s">
        <v>3217</v>
      </c>
      <c r="N2033" t="s">
        <v>6537</v>
      </c>
      <c r="O2033" t="s">
        <v>6538</v>
      </c>
      <c r="R2033" t="s">
        <v>3985</v>
      </c>
      <c r="S2033" s="34" t="s">
        <v>6539</v>
      </c>
    </row>
    <row r="2034" spans="1:19" ht="364.5" x14ac:dyDescent="0.15">
      <c r="A2034" t="s">
        <v>2434</v>
      </c>
      <c r="B2034" s="61">
        <v>46327</v>
      </c>
      <c r="E2034" t="s">
        <v>355</v>
      </c>
      <c r="F2034" t="s">
        <v>351</v>
      </c>
      <c r="G2034" t="s">
        <v>354</v>
      </c>
      <c r="H2034" t="s">
        <v>686</v>
      </c>
      <c r="I2034">
        <v>1301669</v>
      </c>
      <c r="J2034" t="s">
        <v>2451</v>
      </c>
      <c r="K2034" t="s">
        <v>2452</v>
      </c>
      <c r="L2034" t="s">
        <v>2453</v>
      </c>
      <c r="N2034">
        <v>2187836</v>
      </c>
      <c r="O2034" t="s">
        <v>2455</v>
      </c>
      <c r="R2034" t="s">
        <v>3987</v>
      </c>
      <c r="S2034" s="34" t="s">
        <v>6540</v>
      </c>
    </row>
    <row r="2035" spans="1:19" ht="409.5" x14ac:dyDescent="0.15">
      <c r="A2035" t="s">
        <v>2434</v>
      </c>
      <c r="B2035" s="61">
        <v>46357</v>
      </c>
      <c r="E2035" t="s">
        <v>355</v>
      </c>
      <c r="F2035" t="s">
        <v>351</v>
      </c>
      <c r="G2035" t="s">
        <v>354</v>
      </c>
      <c r="H2035" t="s">
        <v>353</v>
      </c>
      <c r="I2035">
        <v>1300230</v>
      </c>
      <c r="J2035" t="s">
        <v>2447</v>
      </c>
      <c r="L2035" t="s">
        <v>2448</v>
      </c>
      <c r="N2035" t="s">
        <v>2449</v>
      </c>
      <c r="O2035" t="s">
        <v>2450</v>
      </c>
      <c r="R2035" t="s">
        <v>3986</v>
      </c>
      <c r="S2035" s="34" t="s">
        <v>6541</v>
      </c>
    </row>
    <row r="2036" spans="1:19" ht="405" x14ac:dyDescent="0.15">
      <c r="A2036" t="s">
        <v>2434</v>
      </c>
      <c r="B2036" s="61">
        <v>46357</v>
      </c>
      <c r="E2036" t="s">
        <v>355</v>
      </c>
      <c r="F2036" t="s">
        <v>351</v>
      </c>
      <c r="G2036" t="s">
        <v>354</v>
      </c>
      <c r="H2036" t="s">
        <v>365</v>
      </c>
      <c r="I2036">
        <v>1301802</v>
      </c>
      <c r="J2036" t="s">
        <v>751</v>
      </c>
      <c r="K2036" t="s">
        <v>2153</v>
      </c>
      <c r="L2036" t="s">
        <v>2181</v>
      </c>
      <c r="N2036" t="s">
        <v>2437</v>
      </c>
      <c r="O2036" t="s">
        <v>2436</v>
      </c>
      <c r="R2036" t="s">
        <v>6542</v>
      </c>
      <c r="S2036" s="34" t="s">
        <v>6543</v>
      </c>
    </row>
    <row r="2037" spans="1:19" ht="409.5" x14ac:dyDescent="0.15">
      <c r="A2037" t="s">
        <v>2434</v>
      </c>
      <c r="B2037" s="61">
        <v>46357</v>
      </c>
      <c r="E2037" t="s">
        <v>355</v>
      </c>
      <c r="F2037" t="s">
        <v>351</v>
      </c>
      <c r="G2037" t="s">
        <v>354</v>
      </c>
      <c r="H2037" t="s">
        <v>365</v>
      </c>
      <c r="I2037">
        <v>1301802</v>
      </c>
      <c r="J2037" t="s">
        <v>751</v>
      </c>
      <c r="K2037" t="s">
        <v>2153</v>
      </c>
      <c r="L2037" t="s">
        <v>2181</v>
      </c>
      <c r="N2037" t="s">
        <v>2435</v>
      </c>
      <c r="O2037" t="s">
        <v>2436</v>
      </c>
      <c r="R2037" t="s">
        <v>6544</v>
      </c>
      <c r="S2037" s="34" t="s">
        <v>6545</v>
      </c>
    </row>
    <row r="2038" spans="1:19" ht="337.5" x14ac:dyDescent="0.15">
      <c r="A2038" t="s">
        <v>6546</v>
      </c>
      <c r="B2038" s="61">
        <v>46235</v>
      </c>
      <c r="E2038" t="s">
        <v>355</v>
      </c>
      <c r="F2038" t="s">
        <v>351</v>
      </c>
      <c r="G2038" t="s">
        <v>354</v>
      </c>
      <c r="H2038" t="s">
        <v>353</v>
      </c>
      <c r="I2038">
        <v>100596</v>
      </c>
      <c r="J2038" t="s">
        <v>1225</v>
      </c>
      <c r="K2038" t="s">
        <v>1147</v>
      </c>
      <c r="L2038" t="s">
        <v>1191</v>
      </c>
      <c r="N2038" t="s">
        <v>1226</v>
      </c>
      <c r="O2038" t="s">
        <v>1227</v>
      </c>
      <c r="R2038" t="s">
        <v>3986</v>
      </c>
      <c r="S2038" s="34" t="s">
        <v>6548</v>
      </c>
    </row>
    <row r="2039" spans="1:19" ht="409.5" x14ac:dyDescent="0.15">
      <c r="A2039" t="s">
        <v>2456</v>
      </c>
      <c r="B2039" s="61">
        <v>46235</v>
      </c>
      <c r="E2039" t="s">
        <v>355</v>
      </c>
      <c r="F2039" t="s">
        <v>351</v>
      </c>
      <c r="G2039" t="s">
        <v>352</v>
      </c>
      <c r="H2039" t="s">
        <v>353</v>
      </c>
      <c r="I2039">
        <v>2201720</v>
      </c>
      <c r="J2039" t="s">
        <v>2486</v>
      </c>
      <c r="K2039" t="s">
        <v>2487</v>
      </c>
      <c r="L2039" t="s">
        <v>2533</v>
      </c>
      <c r="N2039" t="s">
        <v>2489</v>
      </c>
      <c r="O2039" t="s">
        <v>2490</v>
      </c>
      <c r="R2039" t="s">
        <v>6549</v>
      </c>
      <c r="S2039" s="34" t="s">
        <v>6550</v>
      </c>
    </row>
    <row r="2040" spans="1:19" ht="409.5" x14ac:dyDescent="0.15">
      <c r="A2040" t="s">
        <v>2456</v>
      </c>
      <c r="B2040" s="61">
        <v>46235</v>
      </c>
      <c r="E2040" t="s">
        <v>355</v>
      </c>
      <c r="F2040" t="s">
        <v>351</v>
      </c>
      <c r="G2040" t="s">
        <v>354</v>
      </c>
      <c r="H2040" t="s">
        <v>353</v>
      </c>
      <c r="I2040">
        <v>2201953</v>
      </c>
      <c r="J2040" t="s">
        <v>873</v>
      </c>
      <c r="K2040" t="s">
        <v>2507</v>
      </c>
      <c r="L2040" t="s">
        <v>2508</v>
      </c>
      <c r="N2040" t="s">
        <v>6551</v>
      </c>
      <c r="O2040" t="s">
        <v>2510</v>
      </c>
      <c r="S2040" s="34" t="s">
        <v>6552</v>
      </c>
    </row>
    <row r="2041" spans="1:19" ht="216" x14ac:dyDescent="0.15">
      <c r="A2041" t="s">
        <v>2456</v>
      </c>
      <c r="B2041" s="61">
        <v>46266</v>
      </c>
      <c r="E2041" t="s">
        <v>355</v>
      </c>
      <c r="F2041" t="s">
        <v>351</v>
      </c>
      <c r="G2041" t="s">
        <v>354</v>
      </c>
      <c r="H2041" t="s">
        <v>353</v>
      </c>
      <c r="I2041">
        <v>2200158</v>
      </c>
      <c r="J2041" t="s">
        <v>2518</v>
      </c>
      <c r="K2041" t="s">
        <v>2519</v>
      </c>
      <c r="L2041" t="s">
        <v>413</v>
      </c>
      <c r="N2041" t="s">
        <v>2520</v>
      </c>
      <c r="O2041" t="s">
        <v>2521</v>
      </c>
      <c r="R2041" t="s">
        <v>3987</v>
      </c>
      <c r="S2041" s="34" t="s">
        <v>6553</v>
      </c>
    </row>
    <row r="2042" spans="1:19" ht="229.5" x14ac:dyDescent="0.15">
      <c r="A2042" t="s">
        <v>2456</v>
      </c>
      <c r="B2042" s="61">
        <v>46266</v>
      </c>
      <c r="E2042" t="s">
        <v>355</v>
      </c>
      <c r="F2042" t="s">
        <v>351</v>
      </c>
      <c r="G2042" t="s">
        <v>352</v>
      </c>
      <c r="H2042" t="s">
        <v>353</v>
      </c>
      <c r="I2042">
        <v>2200239</v>
      </c>
      <c r="J2042" t="s">
        <v>6554</v>
      </c>
      <c r="K2042" t="s">
        <v>6555</v>
      </c>
      <c r="L2042" t="s">
        <v>1827</v>
      </c>
      <c r="N2042" t="s">
        <v>6556</v>
      </c>
      <c r="O2042" t="s">
        <v>6557</v>
      </c>
      <c r="R2042" t="s">
        <v>3985</v>
      </c>
      <c r="S2042" s="34" t="s">
        <v>6558</v>
      </c>
    </row>
    <row r="2043" spans="1:19" ht="216" x14ac:dyDescent="0.15">
      <c r="A2043" t="s">
        <v>2456</v>
      </c>
      <c r="B2043" s="61">
        <v>46296</v>
      </c>
      <c r="E2043" t="s">
        <v>355</v>
      </c>
      <c r="F2043" t="s">
        <v>351</v>
      </c>
      <c r="G2043" t="s">
        <v>354</v>
      </c>
      <c r="H2043" t="s">
        <v>353</v>
      </c>
      <c r="I2043">
        <v>2201827</v>
      </c>
      <c r="J2043" t="s">
        <v>4803</v>
      </c>
      <c r="K2043" t="s">
        <v>4804</v>
      </c>
      <c r="L2043" t="s">
        <v>4805</v>
      </c>
      <c r="N2043" t="s">
        <v>4806</v>
      </c>
      <c r="O2043" t="s">
        <v>4807</v>
      </c>
      <c r="S2043" s="34" t="s">
        <v>6559</v>
      </c>
    </row>
    <row r="2044" spans="1:19" ht="216" x14ac:dyDescent="0.15">
      <c r="A2044" t="s">
        <v>2456</v>
      </c>
      <c r="B2044" s="61">
        <v>46296</v>
      </c>
      <c r="E2044" t="s">
        <v>355</v>
      </c>
      <c r="F2044" t="s">
        <v>351</v>
      </c>
      <c r="G2044" t="s">
        <v>354</v>
      </c>
      <c r="H2044" t="s">
        <v>365</v>
      </c>
      <c r="I2044">
        <v>2202138</v>
      </c>
      <c r="J2044" t="s">
        <v>2481</v>
      </c>
      <c r="K2044" t="s">
        <v>2482</v>
      </c>
      <c r="L2044" t="s">
        <v>2483</v>
      </c>
      <c r="N2044" t="s">
        <v>2524</v>
      </c>
      <c r="O2044" t="s">
        <v>2485</v>
      </c>
      <c r="R2044" t="s">
        <v>6560</v>
      </c>
      <c r="S2044" s="34" t="s">
        <v>6561</v>
      </c>
    </row>
    <row r="2045" spans="1:19" ht="409.5" x14ac:dyDescent="0.15">
      <c r="A2045" t="s">
        <v>2456</v>
      </c>
      <c r="B2045" s="61">
        <v>46327</v>
      </c>
      <c r="E2045" t="s">
        <v>355</v>
      </c>
      <c r="F2045" t="s">
        <v>351</v>
      </c>
      <c r="G2045" t="s">
        <v>352</v>
      </c>
      <c r="H2045" t="s">
        <v>353</v>
      </c>
      <c r="I2045">
        <v>2201720</v>
      </c>
      <c r="J2045" t="s">
        <v>2486</v>
      </c>
      <c r="K2045" t="s">
        <v>2487</v>
      </c>
      <c r="L2045" t="s">
        <v>2533</v>
      </c>
      <c r="N2045" t="s">
        <v>6562</v>
      </c>
      <c r="O2045" t="s">
        <v>2490</v>
      </c>
      <c r="R2045" t="s">
        <v>6563</v>
      </c>
      <c r="S2045" s="34" t="s">
        <v>6564</v>
      </c>
    </row>
    <row r="2046" spans="1:19" ht="378" x14ac:dyDescent="0.15">
      <c r="A2046" t="s">
        <v>2456</v>
      </c>
      <c r="B2046" s="61">
        <v>46327</v>
      </c>
      <c r="E2046" t="s">
        <v>355</v>
      </c>
      <c r="F2046" t="s">
        <v>351</v>
      </c>
      <c r="G2046" t="s">
        <v>352</v>
      </c>
      <c r="H2046" t="s">
        <v>365</v>
      </c>
      <c r="I2046">
        <v>2202154</v>
      </c>
      <c r="J2046" t="s">
        <v>6565</v>
      </c>
      <c r="K2046" t="s">
        <v>5314</v>
      </c>
      <c r="L2046" t="s">
        <v>698</v>
      </c>
      <c r="N2046" t="s">
        <v>6566</v>
      </c>
      <c r="O2046" t="s">
        <v>6567</v>
      </c>
      <c r="R2046" t="s">
        <v>3985</v>
      </c>
      <c r="S2046" s="34" t="s">
        <v>6568</v>
      </c>
    </row>
    <row r="2047" spans="1:19" ht="378" x14ac:dyDescent="0.15">
      <c r="A2047" t="s">
        <v>2456</v>
      </c>
      <c r="B2047" s="61">
        <v>46327</v>
      </c>
      <c r="E2047" t="s">
        <v>355</v>
      </c>
      <c r="F2047" t="s">
        <v>351</v>
      </c>
      <c r="G2047" t="s">
        <v>352</v>
      </c>
      <c r="H2047" t="s">
        <v>365</v>
      </c>
      <c r="I2047">
        <v>2202168</v>
      </c>
      <c r="J2047" t="s">
        <v>6569</v>
      </c>
      <c r="K2047" t="s">
        <v>6570</v>
      </c>
      <c r="L2047" t="s">
        <v>6571</v>
      </c>
      <c r="N2047" t="s">
        <v>6572</v>
      </c>
      <c r="O2047" t="s">
        <v>6573</v>
      </c>
      <c r="R2047" t="s">
        <v>3985</v>
      </c>
      <c r="S2047" s="34" t="s">
        <v>6574</v>
      </c>
    </row>
    <row r="2048" spans="1:19" ht="229.5" x14ac:dyDescent="0.15">
      <c r="A2048" t="s">
        <v>2456</v>
      </c>
      <c r="B2048" s="61">
        <v>46327</v>
      </c>
      <c r="E2048" t="s">
        <v>355</v>
      </c>
      <c r="F2048" t="s">
        <v>351</v>
      </c>
      <c r="G2048" t="s">
        <v>352</v>
      </c>
      <c r="H2048" t="s">
        <v>353</v>
      </c>
      <c r="I2048">
        <v>2202268</v>
      </c>
      <c r="J2048" t="s">
        <v>6575</v>
      </c>
      <c r="L2048" t="s">
        <v>2082</v>
      </c>
      <c r="N2048" t="s">
        <v>6576</v>
      </c>
      <c r="O2048" t="s">
        <v>6577</v>
      </c>
      <c r="R2048" t="s">
        <v>3985</v>
      </c>
      <c r="S2048" s="34" t="s">
        <v>6578</v>
      </c>
    </row>
    <row r="2049" spans="1:19" ht="409.5" x14ac:dyDescent="0.15">
      <c r="A2049" t="s">
        <v>2456</v>
      </c>
      <c r="B2049" s="61">
        <v>46327</v>
      </c>
      <c r="E2049" t="s">
        <v>355</v>
      </c>
      <c r="F2049" t="s">
        <v>351</v>
      </c>
      <c r="G2049" t="s">
        <v>352</v>
      </c>
      <c r="H2049" t="s">
        <v>353</v>
      </c>
      <c r="I2049">
        <v>2202285</v>
      </c>
      <c r="J2049" t="s">
        <v>2694</v>
      </c>
      <c r="K2049" t="s">
        <v>4617</v>
      </c>
      <c r="L2049" t="s">
        <v>1114</v>
      </c>
      <c r="N2049" t="s">
        <v>6579</v>
      </c>
      <c r="O2049" t="s">
        <v>4618</v>
      </c>
      <c r="R2049" t="s">
        <v>3985</v>
      </c>
      <c r="S2049" s="34" t="s">
        <v>6580</v>
      </c>
    </row>
    <row r="2050" spans="1:19" ht="409.5" x14ac:dyDescent="0.15">
      <c r="A2050" t="s">
        <v>2456</v>
      </c>
      <c r="B2050" s="61">
        <v>46357</v>
      </c>
      <c r="E2050" t="s">
        <v>355</v>
      </c>
      <c r="F2050" t="s">
        <v>351</v>
      </c>
      <c r="G2050" t="s">
        <v>354</v>
      </c>
      <c r="H2050" t="s">
        <v>353</v>
      </c>
      <c r="I2050">
        <v>2200035</v>
      </c>
      <c r="J2050" t="s">
        <v>6581</v>
      </c>
      <c r="K2050" t="s">
        <v>6582</v>
      </c>
      <c r="L2050" t="s">
        <v>390</v>
      </c>
      <c r="N2050" t="s">
        <v>6583</v>
      </c>
      <c r="O2050" t="s">
        <v>6584</v>
      </c>
      <c r="R2050" t="s">
        <v>4052</v>
      </c>
      <c r="S2050" s="34" t="s">
        <v>6585</v>
      </c>
    </row>
    <row r="2051" spans="1:19" ht="229.5" x14ac:dyDescent="0.15">
      <c r="A2051" t="s">
        <v>2456</v>
      </c>
      <c r="B2051" s="61">
        <v>46357</v>
      </c>
      <c r="E2051" t="s">
        <v>355</v>
      </c>
      <c r="F2051" t="s">
        <v>351</v>
      </c>
      <c r="G2051" t="s">
        <v>354</v>
      </c>
      <c r="H2051" t="s">
        <v>365</v>
      </c>
      <c r="I2051">
        <v>2200732</v>
      </c>
      <c r="J2051" t="s">
        <v>775</v>
      </c>
      <c r="K2051" t="s">
        <v>2492</v>
      </c>
      <c r="L2051" t="s">
        <v>2181</v>
      </c>
      <c r="N2051" t="s">
        <v>6587</v>
      </c>
      <c r="O2051" t="s">
        <v>6588</v>
      </c>
      <c r="R2051" t="s">
        <v>3992</v>
      </c>
      <c r="S2051" s="34" t="s">
        <v>6589</v>
      </c>
    </row>
    <row r="2052" spans="1:19" ht="409.5" x14ac:dyDescent="0.15">
      <c r="A2052" t="s">
        <v>2456</v>
      </c>
      <c r="B2052" s="61">
        <v>46357</v>
      </c>
      <c r="E2052" t="s">
        <v>355</v>
      </c>
      <c r="F2052" t="s">
        <v>351</v>
      </c>
      <c r="G2052" t="s">
        <v>354</v>
      </c>
      <c r="H2052" t="s">
        <v>365</v>
      </c>
      <c r="I2052">
        <v>2200739</v>
      </c>
      <c r="J2052" t="s">
        <v>775</v>
      </c>
      <c r="K2052" t="s">
        <v>2492</v>
      </c>
      <c r="L2052" t="s">
        <v>2493</v>
      </c>
      <c r="N2052" t="s">
        <v>6590</v>
      </c>
      <c r="O2052" t="s">
        <v>2495</v>
      </c>
      <c r="R2052" t="s">
        <v>3992</v>
      </c>
      <c r="S2052" s="34" t="s">
        <v>6591</v>
      </c>
    </row>
    <row r="2053" spans="1:19" ht="409.5" x14ac:dyDescent="0.15">
      <c r="A2053" t="s">
        <v>2456</v>
      </c>
      <c r="B2053" s="61">
        <v>46357</v>
      </c>
      <c r="E2053" t="s">
        <v>355</v>
      </c>
      <c r="F2053" t="s">
        <v>351</v>
      </c>
      <c r="G2053" t="s">
        <v>354</v>
      </c>
      <c r="H2053" t="s">
        <v>686</v>
      </c>
      <c r="I2053">
        <v>2201799</v>
      </c>
      <c r="J2053" t="s">
        <v>2457</v>
      </c>
      <c r="K2053" t="s">
        <v>2458</v>
      </c>
      <c r="L2053" t="s">
        <v>2459</v>
      </c>
      <c r="N2053">
        <v>2153073</v>
      </c>
      <c r="O2053" t="s">
        <v>2460</v>
      </c>
      <c r="R2053" t="s">
        <v>4534</v>
      </c>
      <c r="S2053" s="34" t="s">
        <v>6592</v>
      </c>
    </row>
    <row r="2054" spans="1:19" ht="270" x14ac:dyDescent="0.15">
      <c r="A2054" t="s">
        <v>2456</v>
      </c>
      <c r="B2054" s="61">
        <v>46357</v>
      </c>
      <c r="E2054" t="s">
        <v>355</v>
      </c>
      <c r="F2054" t="s">
        <v>351</v>
      </c>
      <c r="G2054" t="s">
        <v>354</v>
      </c>
      <c r="H2054" t="s">
        <v>353</v>
      </c>
      <c r="I2054">
        <v>2201799</v>
      </c>
      <c r="J2054" t="s">
        <v>2457</v>
      </c>
      <c r="K2054" t="s">
        <v>2458</v>
      </c>
      <c r="L2054" t="s">
        <v>2459</v>
      </c>
      <c r="N2054" t="s">
        <v>6593</v>
      </c>
      <c r="O2054" t="s">
        <v>2460</v>
      </c>
      <c r="R2054" t="s">
        <v>3992</v>
      </c>
      <c r="S2054" s="34" t="s">
        <v>6594</v>
      </c>
    </row>
    <row r="2055" spans="1:19" ht="270" x14ac:dyDescent="0.15">
      <c r="A2055" t="s">
        <v>2534</v>
      </c>
      <c r="B2055" s="61">
        <v>46235</v>
      </c>
      <c r="E2055" t="s">
        <v>355</v>
      </c>
      <c r="F2055" t="s">
        <v>351</v>
      </c>
      <c r="G2055" t="s">
        <v>354</v>
      </c>
      <c r="H2055" t="s">
        <v>310</v>
      </c>
      <c r="I2055">
        <v>2702442</v>
      </c>
      <c r="J2055" t="s">
        <v>6595</v>
      </c>
      <c r="K2055" t="s">
        <v>6596</v>
      </c>
      <c r="L2055" t="s">
        <v>1148</v>
      </c>
      <c r="N2055" t="s">
        <v>6597</v>
      </c>
      <c r="O2055" t="s">
        <v>6598</v>
      </c>
      <c r="R2055" t="s">
        <v>3986</v>
      </c>
      <c r="S2055" s="34" t="s">
        <v>6599</v>
      </c>
    </row>
    <row r="2056" spans="1:19" ht="409.5" x14ac:dyDescent="0.15">
      <c r="A2056" t="s">
        <v>2534</v>
      </c>
      <c r="B2056" s="61">
        <v>46266</v>
      </c>
      <c r="E2056" t="s">
        <v>355</v>
      </c>
      <c r="F2056" t="s">
        <v>351</v>
      </c>
      <c r="G2056" t="s">
        <v>354</v>
      </c>
      <c r="H2056" t="s">
        <v>353</v>
      </c>
      <c r="I2056">
        <v>2802399</v>
      </c>
      <c r="J2056" t="s">
        <v>2549</v>
      </c>
      <c r="K2056" t="s">
        <v>2569</v>
      </c>
      <c r="L2056" t="s">
        <v>466</v>
      </c>
      <c r="N2056" t="s">
        <v>6613</v>
      </c>
      <c r="O2056" t="s">
        <v>2572</v>
      </c>
      <c r="S2056" s="34" t="s">
        <v>6614</v>
      </c>
    </row>
    <row r="2057" spans="1:19" ht="409.5" x14ac:dyDescent="0.15">
      <c r="A2057" t="s">
        <v>2534</v>
      </c>
      <c r="B2057" s="61">
        <v>46296</v>
      </c>
      <c r="E2057" t="s">
        <v>355</v>
      </c>
      <c r="F2057" t="s">
        <v>351</v>
      </c>
      <c r="G2057" t="s">
        <v>354</v>
      </c>
      <c r="H2057" t="s">
        <v>365</v>
      </c>
      <c r="I2057">
        <v>2801555</v>
      </c>
      <c r="J2057" t="s">
        <v>2559</v>
      </c>
      <c r="K2057" t="s">
        <v>2560</v>
      </c>
      <c r="L2057" t="s">
        <v>413</v>
      </c>
      <c r="N2057" t="s">
        <v>2561</v>
      </c>
      <c r="O2057" t="s">
        <v>2562</v>
      </c>
      <c r="S2057" s="34" t="s">
        <v>6617</v>
      </c>
    </row>
    <row r="2058" spans="1:19" ht="409.5" x14ac:dyDescent="0.15">
      <c r="A2058" t="s">
        <v>2534</v>
      </c>
      <c r="B2058" s="61">
        <v>46327</v>
      </c>
      <c r="E2058" t="s">
        <v>355</v>
      </c>
      <c r="F2058" t="s">
        <v>351</v>
      </c>
      <c r="G2058" t="s">
        <v>354</v>
      </c>
      <c r="H2058" t="s">
        <v>353</v>
      </c>
      <c r="I2058">
        <v>2701229</v>
      </c>
      <c r="J2058" t="s">
        <v>873</v>
      </c>
      <c r="K2058" t="s">
        <v>2583</v>
      </c>
      <c r="L2058" t="s">
        <v>2584</v>
      </c>
      <c r="N2058" t="s">
        <v>2585</v>
      </c>
      <c r="O2058" t="s">
        <v>2586</v>
      </c>
      <c r="S2058" s="34" t="s">
        <v>6618</v>
      </c>
    </row>
    <row r="2059" spans="1:19" ht="409.5" x14ac:dyDescent="0.15">
      <c r="A2059" t="s">
        <v>2534</v>
      </c>
      <c r="B2059" s="61">
        <v>46357</v>
      </c>
      <c r="E2059" t="s">
        <v>355</v>
      </c>
      <c r="F2059" t="s">
        <v>351</v>
      </c>
      <c r="G2059" t="s">
        <v>354</v>
      </c>
      <c r="H2059" t="s">
        <v>309</v>
      </c>
      <c r="I2059">
        <v>2701670</v>
      </c>
      <c r="J2059" t="s">
        <v>2549</v>
      </c>
      <c r="K2059" t="s">
        <v>436</v>
      </c>
      <c r="L2059" t="s">
        <v>2550</v>
      </c>
      <c r="N2059" t="s">
        <v>7369</v>
      </c>
      <c r="O2059" t="s">
        <v>2552</v>
      </c>
      <c r="S2059" s="34" t="s">
        <v>6619</v>
      </c>
    </row>
    <row r="2060" spans="1:19" ht="409.5" x14ac:dyDescent="0.15">
      <c r="A2060" t="s">
        <v>2534</v>
      </c>
      <c r="B2060" s="61">
        <v>46357</v>
      </c>
      <c r="E2060" t="s">
        <v>355</v>
      </c>
      <c r="F2060" t="s">
        <v>351</v>
      </c>
      <c r="G2060" t="s">
        <v>354</v>
      </c>
      <c r="H2060" t="s">
        <v>353</v>
      </c>
      <c r="I2060">
        <v>2701670</v>
      </c>
      <c r="J2060" t="s">
        <v>2549</v>
      </c>
      <c r="K2060" t="s">
        <v>436</v>
      </c>
      <c r="L2060" t="s">
        <v>2550</v>
      </c>
      <c r="N2060" t="s">
        <v>2582</v>
      </c>
      <c r="O2060" t="s">
        <v>2552</v>
      </c>
      <c r="S2060" s="34" t="s">
        <v>6620</v>
      </c>
    </row>
    <row r="2061" spans="1:19" ht="216" x14ac:dyDescent="0.15">
      <c r="A2061" t="s">
        <v>2597</v>
      </c>
      <c r="B2061" s="61">
        <v>46235</v>
      </c>
      <c r="E2061" t="s">
        <v>355</v>
      </c>
      <c r="F2061" t="s">
        <v>351</v>
      </c>
      <c r="G2061" t="s">
        <v>354</v>
      </c>
      <c r="H2061" t="s">
        <v>353</v>
      </c>
      <c r="I2061">
        <v>2700314</v>
      </c>
      <c r="J2061" t="s">
        <v>2620</v>
      </c>
      <c r="K2061" t="s">
        <v>2621</v>
      </c>
      <c r="L2061" t="s">
        <v>833</v>
      </c>
      <c r="N2061" t="s">
        <v>2622</v>
      </c>
      <c r="O2061" t="s">
        <v>2623</v>
      </c>
      <c r="R2061" t="s">
        <v>3987</v>
      </c>
      <c r="S2061" s="34" t="s">
        <v>6621</v>
      </c>
    </row>
    <row r="2062" spans="1:19" ht="409.5" x14ac:dyDescent="0.15">
      <c r="A2062" t="s">
        <v>2597</v>
      </c>
      <c r="B2062" s="61">
        <v>46235</v>
      </c>
      <c r="E2062" t="s">
        <v>355</v>
      </c>
      <c r="F2062" t="s">
        <v>351</v>
      </c>
      <c r="G2062" t="s">
        <v>354</v>
      </c>
      <c r="H2062" t="s">
        <v>686</v>
      </c>
      <c r="I2062">
        <v>2702402</v>
      </c>
      <c r="J2062" t="s">
        <v>2457</v>
      </c>
      <c r="K2062" t="s">
        <v>6622</v>
      </c>
      <c r="L2062" t="s">
        <v>1769</v>
      </c>
      <c r="N2062" t="s">
        <v>6623</v>
      </c>
      <c r="O2062" t="s">
        <v>6624</v>
      </c>
      <c r="R2062" t="s">
        <v>3987</v>
      </c>
      <c r="S2062" s="34" t="s">
        <v>6625</v>
      </c>
    </row>
    <row r="2063" spans="1:19" ht="409.5" x14ac:dyDescent="0.15">
      <c r="A2063" t="s">
        <v>2597</v>
      </c>
      <c r="B2063" s="61">
        <v>46235</v>
      </c>
      <c r="E2063" t="s">
        <v>355</v>
      </c>
      <c r="F2063" t="s">
        <v>351</v>
      </c>
      <c r="G2063" t="s">
        <v>354</v>
      </c>
      <c r="H2063" t="s">
        <v>365</v>
      </c>
      <c r="I2063">
        <v>2702722</v>
      </c>
      <c r="J2063" t="s">
        <v>2651</v>
      </c>
      <c r="L2063" t="s">
        <v>2652</v>
      </c>
      <c r="N2063" t="s">
        <v>6626</v>
      </c>
      <c r="O2063" t="s">
        <v>2654</v>
      </c>
      <c r="R2063" t="s">
        <v>3987</v>
      </c>
      <c r="S2063" s="34" t="s">
        <v>6627</v>
      </c>
    </row>
    <row r="2064" spans="1:19" ht="409.5" x14ac:dyDescent="0.15">
      <c r="A2064" t="s">
        <v>2597</v>
      </c>
      <c r="B2064" s="61">
        <v>46235</v>
      </c>
      <c r="E2064" t="s">
        <v>355</v>
      </c>
      <c r="F2064" t="s">
        <v>351</v>
      </c>
      <c r="G2064" t="s">
        <v>354</v>
      </c>
      <c r="H2064" t="s">
        <v>353</v>
      </c>
      <c r="I2064">
        <v>2702866</v>
      </c>
      <c r="J2064" t="s">
        <v>3933</v>
      </c>
      <c r="K2064" t="s">
        <v>3934</v>
      </c>
      <c r="L2064" t="s">
        <v>718</v>
      </c>
      <c r="N2064" t="s">
        <v>6628</v>
      </c>
      <c r="O2064" t="s">
        <v>3936</v>
      </c>
      <c r="R2064" t="s">
        <v>3987</v>
      </c>
      <c r="S2064" s="34" t="s">
        <v>6629</v>
      </c>
    </row>
    <row r="2065" spans="1:19" ht="337.5" x14ac:dyDescent="0.15">
      <c r="A2065" t="s">
        <v>2597</v>
      </c>
      <c r="B2065" s="61">
        <v>46266</v>
      </c>
      <c r="E2065" t="s">
        <v>355</v>
      </c>
      <c r="F2065" t="s">
        <v>351</v>
      </c>
      <c r="G2065" t="s">
        <v>354</v>
      </c>
      <c r="H2065" t="s">
        <v>353</v>
      </c>
      <c r="I2065">
        <v>2700073</v>
      </c>
      <c r="J2065" t="s">
        <v>2642</v>
      </c>
      <c r="K2065" t="s">
        <v>2643</v>
      </c>
      <c r="L2065" t="s">
        <v>413</v>
      </c>
      <c r="N2065" t="s">
        <v>2644</v>
      </c>
      <c r="O2065" t="s">
        <v>2645</v>
      </c>
      <c r="R2065" t="s">
        <v>3987</v>
      </c>
      <c r="S2065" s="34" t="s">
        <v>6630</v>
      </c>
    </row>
    <row r="2066" spans="1:19" ht="229.5" x14ac:dyDescent="0.15">
      <c r="A2066" t="s">
        <v>2597</v>
      </c>
      <c r="B2066" s="61">
        <v>46266</v>
      </c>
      <c r="E2066" t="s">
        <v>355</v>
      </c>
      <c r="F2066" t="s">
        <v>351</v>
      </c>
      <c r="G2066" t="s">
        <v>352</v>
      </c>
      <c r="H2066" t="s">
        <v>353</v>
      </c>
      <c r="I2066">
        <v>2700083</v>
      </c>
      <c r="J2066" t="s">
        <v>2613</v>
      </c>
      <c r="K2066" t="s">
        <v>532</v>
      </c>
      <c r="L2066" t="s">
        <v>413</v>
      </c>
      <c r="N2066" t="s">
        <v>2614</v>
      </c>
      <c r="O2066" t="s">
        <v>2615</v>
      </c>
      <c r="R2066" t="s">
        <v>3985</v>
      </c>
      <c r="S2066" s="34" t="s">
        <v>6631</v>
      </c>
    </row>
    <row r="2067" spans="1:19" ht="229.5" x14ac:dyDescent="0.15">
      <c r="A2067" t="s">
        <v>2597</v>
      </c>
      <c r="B2067" s="61">
        <v>46266</v>
      </c>
      <c r="E2067" t="s">
        <v>355</v>
      </c>
      <c r="F2067" t="s">
        <v>351</v>
      </c>
      <c r="G2067" t="s">
        <v>352</v>
      </c>
      <c r="H2067" t="s">
        <v>365</v>
      </c>
      <c r="I2067">
        <v>2702353</v>
      </c>
      <c r="J2067" t="s">
        <v>6632</v>
      </c>
      <c r="K2067" t="s">
        <v>6633</v>
      </c>
      <c r="L2067" t="s">
        <v>413</v>
      </c>
      <c r="N2067" t="s">
        <v>6634</v>
      </c>
      <c r="O2067" t="s">
        <v>6635</v>
      </c>
      <c r="R2067" t="s">
        <v>3985</v>
      </c>
      <c r="S2067" s="34" t="s">
        <v>6636</v>
      </c>
    </row>
    <row r="2068" spans="1:19" ht="202.5" x14ac:dyDescent="0.15">
      <c r="A2068" t="s">
        <v>2597</v>
      </c>
      <c r="B2068" s="61">
        <v>46296</v>
      </c>
      <c r="E2068" t="s">
        <v>355</v>
      </c>
      <c r="F2068" t="s">
        <v>351</v>
      </c>
      <c r="G2068" t="s">
        <v>352</v>
      </c>
      <c r="H2068" t="s">
        <v>353</v>
      </c>
      <c r="I2068">
        <v>2700131</v>
      </c>
      <c r="J2068" t="s">
        <v>6637</v>
      </c>
      <c r="L2068" t="s">
        <v>413</v>
      </c>
      <c r="N2068" t="s">
        <v>6638</v>
      </c>
      <c r="O2068" t="s">
        <v>6639</v>
      </c>
      <c r="R2068" t="s">
        <v>3985</v>
      </c>
      <c r="S2068" s="34" t="s">
        <v>6640</v>
      </c>
    </row>
    <row r="2069" spans="1:19" ht="409.5" x14ac:dyDescent="0.15">
      <c r="A2069" t="s">
        <v>2597</v>
      </c>
      <c r="B2069" s="61">
        <v>46296</v>
      </c>
      <c r="E2069" t="s">
        <v>355</v>
      </c>
      <c r="F2069" t="s">
        <v>351</v>
      </c>
      <c r="G2069" t="s">
        <v>352</v>
      </c>
      <c r="H2069" t="s">
        <v>310</v>
      </c>
      <c r="I2069">
        <v>2700131</v>
      </c>
      <c r="J2069" t="s">
        <v>6637</v>
      </c>
      <c r="L2069" t="s">
        <v>413</v>
      </c>
      <c r="N2069" t="s">
        <v>6641</v>
      </c>
      <c r="O2069" t="s">
        <v>6639</v>
      </c>
      <c r="R2069" t="s">
        <v>3985</v>
      </c>
      <c r="S2069" s="34" t="s">
        <v>6642</v>
      </c>
    </row>
    <row r="2070" spans="1:19" ht="229.5" x14ac:dyDescent="0.15">
      <c r="A2070" t="s">
        <v>2597</v>
      </c>
      <c r="B2070" s="61">
        <v>46296</v>
      </c>
      <c r="E2070" t="s">
        <v>355</v>
      </c>
      <c r="F2070" t="s">
        <v>351</v>
      </c>
      <c r="G2070" t="s">
        <v>354</v>
      </c>
      <c r="H2070" t="s">
        <v>365</v>
      </c>
      <c r="I2070">
        <v>2701251</v>
      </c>
      <c r="J2070" t="s">
        <v>1716</v>
      </c>
      <c r="K2070" t="s">
        <v>2666</v>
      </c>
      <c r="L2070" t="s">
        <v>413</v>
      </c>
      <c r="N2070" t="s">
        <v>2667</v>
      </c>
      <c r="O2070" t="s">
        <v>2668</v>
      </c>
      <c r="R2070" t="s">
        <v>3986</v>
      </c>
      <c r="S2070" s="34" t="s">
        <v>6643</v>
      </c>
    </row>
    <row r="2071" spans="1:19" ht="216" x14ac:dyDescent="0.15">
      <c r="A2071" t="s">
        <v>2597</v>
      </c>
      <c r="B2071" s="61">
        <v>46296</v>
      </c>
      <c r="E2071" t="s">
        <v>355</v>
      </c>
      <c r="F2071" t="s">
        <v>351</v>
      </c>
      <c r="G2071" t="s">
        <v>354</v>
      </c>
      <c r="H2071" t="s">
        <v>353</v>
      </c>
      <c r="I2071">
        <v>2702221</v>
      </c>
      <c r="J2071" t="s">
        <v>2624</v>
      </c>
      <c r="L2071" t="s">
        <v>6644</v>
      </c>
      <c r="N2071" t="s">
        <v>2625</v>
      </c>
      <c r="O2071" t="s">
        <v>2626</v>
      </c>
      <c r="R2071" t="s">
        <v>3987</v>
      </c>
      <c r="S2071" s="34" t="s">
        <v>6645</v>
      </c>
    </row>
    <row r="2072" spans="1:19" ht="216" x14ac:dyDescent="0.15">
      <c r="A2072" t="s">
        <v>2597</v>
      </c>
      <c r="B2072" s="61">
        <v>46296</v>
      </c>
      <c r="E2072" t="s">
        <v>355</v>
      </c>
      <c r="F2072" t="s">
        <v>351</v>
      </c>
      <c r="G2072" t="s">
        <v>354</v>
      </c>
      <c r="H2072" t="s">
        <v>365</v>
      </c>
      <c r="I2072">
        <v>2702414</v>
      </c>
      <c r="J2072" t="s">
        <v>3933</v>
      </c>
      <c r="K2072" t="s">
        <v>4841</v>
      </c>
      <c r="L2072" t="s">
        <v>4842</v>
      </c>
      <c r="N2072" t="s">
        <v>4843</v>
      </c>
      <c r="O2072" t="s">
        <v>4844</v>
      </c>
      <c r="S2072" s="34" t="s">
        <v>6646</v>
      </c>
    </row>
    <row r="2073" spans="1:19" ht="229.5" x14ac:dyDescent="0.15">
      <c r="A2073" t="s">
        <v>2597</v>
      </c>
      <c r="B2073" s="61">
        <v>46296</v>
      </c>
      <c r="E2073" t="s">
        <v>355</v>
      </c>
      <c r="F2073" t="s">
        <v>351</v>
      </c>
      <c r="G2073" t="s">
        <v>354</v>
      </c>
      <c r="H2073" t="s">
        <v>365</v>
      </c>
      <c r="I2073">
        <v>2702539</v>
      </c>
      <c r="J2073" t="s">
        <v>2616</v>
      </c>
      <c r="L2073" t="s">
        <v>2617</v>
      </c>
      <c r="N2073" t="s">
        <v>2618</v>
      </c>
      <c r="O2073" t="s">
        <v>2619</v>
      </c>
      <c r="R2073" t="s">
        <v>3987</v>
      </c>
      <c r="S2073" s="34" t="s">
        <v>6647</v>
      </c>
    </row>
    <row r="2074" spans="1:19" ht="216" x14ac:dyDescent="0.15">
      <c r="A2074" t="s">
        <v>2597</v>
      </c>
      <c r="B2074" s="61">
        <v>46296</v>
      </c>
      <c r="E2074" t="s">
        <v>355</v>
      </c>
      <c r="F2074" t="s">
        <v>351</v>
      </c>
      <c r="G2074" t="s">
        <v>354</v>
      </c>
      <c r="H2074" t="s">
        <v>353</v>
      </c>
      <c r="I2074">
        <v>2702644</v>
      </c>
      <c r="J2074" t="s">
        <v>2631</v>
      </c>
      <c r="K2074" t="s">
        <v>2632</v>
      </c>
      <c r="L2074" t="s">
        <v>2633</v>
      </c>
      <c r="N2074" t="s">
        <v>2634</v>
      </c>
      <c r="O2074" t="s">
        <v>2635</v>
      </c>
      <c r="R2074" t="s">
        <v>3986</v>
      </c>
      <c r="S2074" s="34" t="s">
        <v>6648</v>
      </c>
    </row>
    <row r="2075" spans="1:19" ht="297" x14ac:dyDescent="0.15">
      <c r="A2075" t="s">
        <v>2597</v>
      </c>
      <c r="B2075" s="61">
        <v>46296</v>
      </c>
      <c r="E2075" t="s">
        <v>355</v>
      </c>
      <c r="F2075" t="s">
        <v>351</v>
      </c>
      <c r="G2075" t="s">
        <v>354</v>
      </c>
      <c r="H2075" t="s">
        <v>686</v>
      </c>
      <c r="I2075">
        <v>2702644</v>
      </c>
      <c r="J2075" t="s">
        <v>2631</v>
      </c>
      <c r="K2075" t="s">
        <v>2632</v>
      </c>
      <c r="L2075" t="s">
        <v>2633</v>
      </c>
      <c r="N2075">
        <v>2119123</v>
      </c>
      <c r="O2075" t="s">
        <v>2635</v>
      </c>
      <c r="R2075" t="s">
        <v>3986</v>
      </c>
      <c r="S2075" s="34" t="s">
        <v>6649</v>
      </c>
    </row>
    <row r="2076" spans="1:19" ht="229.5" x14ac:dyDescent="0.15">
      <c r="A2076" t="s">
        <v>2597</v>
      </c>
      <c r="B2076" s="61">
        <v>46296</v>
      </c>
      <c r="E2076" t="s">
        <v>355</v>
      </c>
      <c r="F2076" t="s">
        <v>351</v>
      </c>
      <c r="G2076" t="s">
        <v>354</v>
      </c>
      <c r="H2076" t="s">
        <v>365</v>
      </c>
      <c r="I2076">
        <v>2702653</v>
      </c>
      <c r="J2076" t="s">
        <v>2646</v>
      </c>
      <c r="K2076" t="s">
        <v>2647</v>
      </c>
      <c r="L2076" t="s">
        <v>2648</v>
      </c>
      <c r="N2076" t="s">
        <v>2649</v>
      </c>
      <c r="O2076" t="s">
        <v>2650</v>
      </c>
      <c r="R2076" t="s">
        <v>3987</v>
      </c>
      <c r="S2076" s="34" t="s">
        <v>6650</v>
      </c>
    </row>
    <row r="2077" spans="1:19" ht="216" x14ac:dyDescent="0.15">
      <c r="A2077" t="s">
        <v>2597</v>
      </c>
      <c r="B2077" s="61">
        <v>46296</v>
      </c>
      <c r="E2077" t="s">
        <v>355</v>
      </c>
      <c r="F2077" t="s">
        <v>351</v>
      </c>
      <c r="G2077" t="s">
        <v>354</v>
      </c>
      <c r="H2077" t="s">
        <v>353</v>
      </c>
      <c r="I2077">
        <v>2702732</v>
      </c>
      <c r="J2077" t="s">
        <v>2662</v>
      </c>
      <c r="L2077" t="s">
        <v>2663</v>
      </c>
      <c r="N2077" t="s">
        <v>2664</v>
      </c>
      <c r="O2077" t="s">
        <v>2665</v>
      </c>
      <c r="R2077" t="s">
        <v>3987</v>
      </c>
      <c r="S2077" s="34" t="s">
        <v>6651</v>
      </c>
    </row>
    <row r="2078" spans="1:19" ht="409.5" x14ac:dyDescent="0.15">
      <c r="A2078" t="s">
        <v>2597</v>
      </c>
      <c r="B2078" s="61">
        <v>46296</v>
      </c>
      <c r="E2078" t="s">
        <v>355</v>
      </c>
      <c r="F2078" t="s">
        <v>351</v>
      </c>
      <c r="G2078" t="s">
        <v>354</v>
      </c>
      <c r="H2078" t="s">
        <v>353</v>
      </c>
      <c r="I2078">
        <v>2702753</v>
      </c>
      <c r="J2078" t="s">
        <v>2683</v>
      </c>
      <c r="K2078" t="s">
        <v>2684</v>
      </c>
      <c r="L2078" t="s">
        <v>390</v>
      </c>
      <c r="N2078" t="s">
        <v>6652</v>
      </c>
      <c r="O2078" t="s">
        <v>2686</v>
      </c>
      <c r="R2078" t="s">
        <v>3987</v>
      </c>
      <c r="S2078" s="34" t="s">
        <v>6653</v>
      </c>
    </row>
    <row r="2079" spans="1:19" ht="216" x14ac:dyDescent="0.15">
      <c r="A2079" t="s">
        <v>2597</v>
      </c>
      <c r="B2079" s="61">
        <v>46327</v>
      </c>
      <c r="E2079" t="s">
        <v>355</v>
      </c>
      <c r="F2079" t="s">
        <v>351</v>
      </c>
      <c r="G2079" t="s">
        <v>354</v>
      </c>
      <c r="H2079" t="s">
        <v>353</v>
      </c>
      <c r="I2079">
        <v>2701594</v>
      </c>
      <c r="J2079" t="s">
        <v>2679</v>
      </c>
      <c r="K2079" t="s">
        <v>428</v>
      </c>
      <c r="L2079" t="s">
        <v>413</v>
      </c>
      <c r="N2079" t="s">
        <v>2680</v>
      </c>
      <c r="O2079" t="s">
        <v>2681</v>
      </c>
      <c r="R2079" t="s">
        <v>3987</v>
      </c>
      <c r="S2079" s="34" t="s">
        <v>6654</v>
      </c>
    </row>
    <row r="2080" spans="1:19" ht="409.5" x14ac:dyDescent="0.15">
      <c r="A2080" t="s">
        <v>2597</v>
      </c>
      <c r="B2080" s="61">
        <v>46327</v>
      </c>
      <c r="E2080" t="s">
        <v>355</v>
      </c>
      <c r="F2080" t="s">
        <v>351</v>
      </c>
      <c r="G2080" t="s">
        <v>354</v>
      </c>
      <c r="H2080" t="s">
        <v>686</v>
      </c>
      <c r="I2080">
        <v>2701594</v>
      </c>
      <c r="J2080" t="s">
        <v>2679</v>
      </c>
      <c r="K2080" t="s">
        <v>428</v>
      </c>
      <c r="L2080" t="s">
        <v>413</v>
      </c>
      <c r="N2080">
        <v>2179116</v>
      </c>
      <c r="O2080" t="s">
        <v>2681</v>
      </c>
      <c r="R2080" t="s">
        <v>3987</v>
      </c>
      <c r="S2080" s="34" t="s">
        <v>6655</v>
      </c>
    </row>
    <row r="2081" spans="1:19" ht="409.5" x14ac:dyDescent="0.15">
      <c r="A2081" t="s">
        <v>2597</v>
      </c>
      <c r="B2081" s="61">
        <v>46327</v>
      </c>
      <c r="E2081" t="s">
        <v>355</v>
      </c>
      <c r="F2081" t="s">
        <v>351</v>
      </c>
      <c r="G2081" t="s">
        <v>354</v>
      </c>
      <c r="H2081" t="s">
        <v>353</v>
      </c>
      <c r="I2081">
        <v>2702606</v>
      </c>
      <c r="J2081" t="s">
        <v>2598</v>
      </c>
      <c r="K2081" t="s">
        <v>2599</v>
      </c>
      <c r="L2081" t="s">
        <v>1769</v>
      </c>
      <c r="N2081" t="s">
        <v>6656</v>
      </c>
      <c r="O2081" t="s">
        <v>2601</v>
      </c>
      <c r="R2081" t="s">
        <v>4012</v>
      </c>
      <c r="S2081" s="34" t="s">
        <v>6657</v>
      </c>
    </row>
    <row r="2082" spans="1:19" ht="229.5" x14ac:dyDescent="0.15">
      <c r="A2082" t="s">
        <v>2597</v>
      </c>
      <c r="B2082" s="61">
        <v>46327</v>
      </c>
      <c r="E2082" t="s">
        <v>355</v>
      </c>
      <c r="F2082" t="s">
        <v>351</v>
      </c>
      <c r="G2082" t="s">
        <v>352</v>
      </c>
      <c r="H2082" t="s">
        <v>365</v>
      </c>
      <c r="I2082">
        <v>2702630</v>
      </c>
      <c r="J2082" t="s">
        <v>2603</v>
      </c>
      <c r="K2082" t="s">
        <v>2604</v>
      </c>
      <c r="L2082" t="s">
        <v>2605</v>
      </c>
      <c r="N2082" t="s">
        <v>2606</v>
      </c>
      <c r="O2082" t="s">
        <v>2607</v>
      </c>
      <c r="R2082" t="s">
        <v>3985</v>
      </c>
      <c r="S2082" s="34" t="s">
        <v>6658</v>
      </c>
    </row>
    <row r="2083" spans="1:19" ht="409.5" x14ac:dyDescent="0.15">
      <c r="A2083" t="s">
        <v>2597</v>
      </c>
      <c r="B2083" s="61">
        <v>46357</v>
      </c>
      <c r="E2083" t="s">
        <v>355</v>
      </c>
      <c r="F2083" t="s">
        <v>351</v>
      </c>
      <c r="G2083" t="s">
        <v>354</v>
      </c>
      <c r="H2083" t="s">
        <v>353</v>
      </c>
      <c r="I2083">
        <v>2701893</v>
      </c>
      <c r="J2083" t="s">
        <v>2688</v>
      </c>
      <c r="K2083" t="s">
        <v>4285</v>
      </c>
      <c r="L2083" t="s">
        <v>413</v>
      </c>
      <c r="N2083" t="s">
        <v>6659</v>
      </c>
      <c r="O2083" t="s">
        <v>4287</v>
      </c>
      <c r="R2083" t="s">
        <v>5399</v>
      </c>
      <c r="S2083" s="34" t="s">
        <v>6660</v>
      </c>
    </row>
    <row r="2084" spans="1:19" ht="409.5" x14ac:dyDescent="0.15">
      <c r="A2084" t="s">
        <v>2771</v>
      </c>
      <c r="B2084" s="61">
        <v>46235</v>
      </c>
      <c r="E2084" t="s">
        <v>355</v>
      </c>
      <c r="F2084" t="s">
        <v>351</v>
      </c>
      <c r="G2084" t="s">
        <v>354</v>
      </c>
      <c r="H2084" t="s">
        <v>353</v>
      </c>
      <c r="I2084">
        <v>2302327</v>
      </c>
      <c r="J2084" t="s">
        <v>2745</v>
      </c>
      <c r="L2084" t="s">
        <v>2746</v>
      </c>
      <c r="N2084" t="s">
        <v>2747</v>
      </c>
      <c r="O2084" t="s">
        <v>2748</v>
      </c>
      <c r="R2084" t="s">
        <v>3987</v>
      </c>
      <c r="S2084" s="34" t="s">
        <v>6661</v>
      </c>
    </row>
    <row r="2085" spans="1:19" ht="409.5" x14ac:dyDescent="0.15">
      <c r="A2085" t="s">
        <v>2693</v>
      </c>
      <c r="B2085" s="61">
        <v>46235</v>
      </c>
      <c r="E2085" t="s">
        <v>355</v>
      </c>
      <c r="F2085" t="s">
        <v>351</v>
      </c>
      <c r="G2085" t="s">
        <v>354</v>
      </c>
      <c r="H2085" t="s">
        <v>365</v>
      </c>
      <c r="I2085">
        <v>2303613</v>
      </c>
      <c r="J2085" t="s">
        <v>2730</v>
      </c>
      <c r="K2085" t="s">
        <v>2731</v>
      </c>
      <c r="L2085" t="s">
        <v>2732</v>
      </c>
      <c r="N2085" t="s">
        <v>2733</v>
      </c>
      <c r="O2085" t="s">
        <v>2734</v>
      </c>
      <c r="R2085" t="s">
        <v>3986</v>
      </c>
      <c r="S2085" s="34" t="s">
        <v>6662</v>
      </c>
    </row>
    <row r="2086" spans="1:19" ht="229.5" x14ac:dyDescent="0.15">
      <c r="A2086" t="s">
        <v>2693</v>
      </c>
      <c r="B2086" s="61">
        <v>46266</v>
      </c>
      <c r="E2086" t="s">
        <v>355</v>
      </c>
      <c r="F2086" t="s">
        <v>351</v>
      </c>
      <c r="G2086" t="s">
        <v>354</v>
      </c>
      <c r="H2086" t="s">
        <v>353</v>
      </c>
      <c r="I2086">
        <v>2303464</v>
      </c>
      <c r="J2086" t="s">
        <v>6663</v>
      </c>
      <c r="K2086" t="s">
        <v>6664</v>
      </c>
      <c r="L2086" t="s">
        <v>6664</v>
      </c>
      <c r="N2086" t="s">
        <v>6665</v>
      </c>
      <c r="O2086" t="s">
        <v>6666</v>
      </c>
      <c r="R2086" t="s">
        <v>4052</v>
      </c>
      <c r="S2086" s="34" t="s">
        <v>6667</v>
      </c>
    </row>
    <row r="2087" spans="1:19" ht="409.5" x14ac:dyDescent="0.15">
      <c r="A2087" t="s">
        <v>2693</v>
      </c>
      <c r="B2087" s="61">
        <v>46266</v>
      </c>
      <c r="E2087" t="s">
        <v>355</v>
      </c>
      <c r="F2087" t="s">
        <v>351</v>
      </c>
      <c r="G2087" t="s">
        <v>354</v>
      </c>
      <c r="H2087" t="s">
        <v>4583</v>
      </c>
      <c r="I2087">
        <v>2303464</v>
      </c>
      <c r="J2087" t="s">
        <v>6663</v>
      </c>
      <c r="K2087" t="s">
        <v>6664</v>
      </c>
      <c r="L2087" t="s">
        <v>6664</v>
      </c>
      <c r="N2087" t="s">
        <v>6668</v>
      </c>
      <c r="O2087" t="s">
        <v>6666</v>
      </c>
      <c r="S2087" s="34" t="s">
        <v>6669</v>
      </c>
    </row>
    <row r="2088" spans="1:19" ht="409.5" x14ac:dyDescent="0.15">
      <c r="A2088" t="s">
        <v>2693</v>
      </c>
      <c r="B2088" s="61">
        <v>46266</v>
      </c>
      <c r="E2088" t="s">
        <v>355</v>
      </c>
      <c r="F2088" t="s">
        <v>351</v>
      </c>
      <c r="G2088" t="s">
        <v>354</v>
      </c>
      <c r="H2088" t="s">
        <v>365</v>
      </c>
      <c r="I2088">
        <v>2303464</v>
      </c>
      <c r="J2088" t="s">
        <v>6663</v>
      </c>
      <c r="K2088" t="s">
        <v>6664</v>
      </c>
      <c r="L2088" t="s">
        <v>6664</v>
      </c>
      <c r="N2088" t="s">
        <v>6670</v>
      </c>
      <c r="O2088" t="s">
        <v>6666</v>
      </c>
      <c r="S2088" s="34" t="s">
        <v>6671</v>
      </c>
    </row>
    <row r="2089" spans="1:19" ht="189" x14ac:dyDescent="0.15">
      <c r="A2089" t="s">
        <v>2693</v>
      </c>
      <c r="B2089" s="61">
        <v>46296</v>
      </c>
      <c r="E2089" t="s">
        <v>355</v>
      </c>
      <c r="F2089" t="s">
        <v>351</v>
      </c>
      <c r="G2089" t="s">
        <v>354</v>
      </c>
      <c r="H2089" t="s">
        <v>3913</v>
      </c>
      <c r="I2089">
        <v>2300869</v>
      </c>
      <c r="J2089" t="s">
        <v>2694</v>
      </c>
      <c r="K2089" t="s">
        <v>6672</v>
      </c>
      <c r="L2089" t="s">
        <v>6673</v>
      </c>
      <c r="N2089" t="s">
        <v>6674</v>
      </c>
      <c r="O2089" t="s">
        <v>6675</v>
      </c>
      <c r="R2089" t="s">
        <v>6676</v>
      </c>
      <c r="S2089" s="34" t="s">
        <v>6677</v>
      </c>
    </row>
    <row r="2090" spans="1:19" ht="409.5" x14ac:dyDescent="0.15">
      <c r="A2090" t="s">
        <v>2693</v>
      </c>
      <c r="B2090" s="61">
        <v>46296</v>
      </c>
      <c r="E2090" t="s">
        <v>355</v>
      </c>
      <c r="F2090" t="s">
        <v>351</v>
      </c>
      <c r="G2090" t="s">
        <v>354</v>
      </c>
      <c r="H2090" t="s">
        <v>353</v>
      </c>
      <c r="I2090">
        <v>2300869</v>
      </c>
      <c r="J2090" t="s">
        <v>2694</v>
      </c>
      <c r="K2090" t="s">
        <v>6672</v>
      </c>
      <c r="L2090" t="s">
        <v>6673</v>
      </c>
      <c r="N2090" t="s">
        <v>6678</v>
      </c>
      <c r="O2090" t="s">
        <v>6675</v>
      </c>
      <c r="R2090" t="s">
        <v>6676</v>
      </c>
      <c r="S2090" s="34" t="s">
        <v>6679</v>
      </c>
    </row>
    <row r="2091" spans="1:19" ht="202.5" x14ac:dyDescent="0.15">
      <c r="A2091" t="s">
        <v>2693</v>
      </c>
      <c r="B2091" s="61">
        <v>46296</v>
      </c>
      <c r="E2091" t="s">
        <v>355</v>
      </c>
      <c r="F2091" t="s">
        <v>351</v>
      </c>
      <c r="G2091" t="s">
        <v>354</v>
      </c>
      <c r="H2091" t="s">
        <v>6680</v>
      </c>
      <c r="I2091">
        <v>2300869</v>
      </c>
      <c r="J2091" t="s">
        <v>2694</v>
      </c>
      <c r="K2091" t="s">
        <v>6672</v>
      </c>
      <c r="L2091" t="s">
        <v>6673</v>
      </c>
      <c r="N2091" t="s">
        <v>6681</v>
      </c>
      <c r="O2091" t="s">
        <v>6675</v>
      </c>
      <c r="S2091" s="34" t="s">
        <v>7565</v>
      </c>
    </row>
    <row r="2092" spans="1:19" ht="364.5" x14ac:dyDescent="0.15">
      <c r="A2092" t="s">
        <v>2693</v>
      </c>
      <c r="B2092" s="61">
        <v>46296</v>
      </c>
      <c r="E2092" t="s">
        <v>355</v>
      </c>
      <c r="F2092" t="s">
        <v>351</v>
      </c>
      <c r="G2092" t="s">
        <v>352</v>
      </c>
      <c r="H2092" t="s">
        <v>353</v>
      </c>
      <c r="I2092">
        <v>2302999</v>
      </c>
      <c r="J2092" t="s">
        <v>2711</v>
      </c>
      <c r="K2092" t="s">
        <v>2712</v>
      </c>
      <c r="L2092" t="s">
        <v>2713</v>
      </c>
      <c r="N2092" t="s">
        <v>6682</v>
      </c>
      <c r="O2092" t="s">
        <v>2714</v>
      </c>
      <c r="R2092" t="s">
        <v>6683</v>
      </c>
      <c r="S2092" s="34" t="s">
        <v>6684</v>
      </c>
    </row>
    <row r="2093" spans="1:19" ht="351" x14ac:dyDescent="0.15">
      <c r="A2093" t="s">
        <v>2693</v>
      </c>
      <c r="B2093" s="61">
        <v>46296</v>
      </c>
      <c r="E2093" t="s">
        <v>355</v>
      </c>
      <c r="F2093" t="s">
        <v>351</v>
      </c>
      <c r="G2093" t="s">
        <v>352</v>
      </c>
      <c r="H2093" t="s">
        <v>353</v>
      </c>
      <c r="I2093">
        <v>2302999</v>
      </c>
      <c r="J2093" t="s">
        <v>2711</v>
      </c>
      <c r="K2093" t="s">
        <v>2712</v>
      </c>
      <c r="L2093" t="s">
        <v>2713</v>
      </c>
      <c r="N2093" t="s">
        <v>6685</v>
      </c>
      <c r="O2093" t="s">
        <v>2714</v>
      </c>
      <c r="R2093" t="s">
        <v>6686</v>
      </c>
      <c r="S2093" s="34" t="s">
        <v>6687</v>
      </c>
    </row>
    <row r="2094" spans="1:19" ht="189" x14ac:dyDescent="0.15">
      <c r="A2094" t="s">
        <v>2693</v>
      </c>
      <c r="B2094" s="61">
        <v>46296</v>
      </c>
      <c r="E2094" t="s">
        <v>355</v>
      </c>
      <c r="F2094" t="s">
        <v>351</v>
      </c>
      <c r="G2094" t="s">
        <v>354</v>
      </c>
      <c r="H2094" t="s">
        <v>353</v>
      </c>
      <c r="I2094">
        <v>2303132</v>
      </c>
      <c r="J2094" t="s">
        <v>481</v>
      </c>
      <c r="K2094" t="s">
        <v>4180</v>
      </c>
      <c r="L2094" t="s">
        <v>4127</v>
      </c>
      <c r="N2094" t="s">
        <v>4181</v>
      </c>
      <c r="O2094" t="s">
        <v>4182</v>
      </c>
      <c r="R2094" t="s">
        <v>3986</v>
      </c>
      <c r="S2094" s="34" t="s">
        <v>6688</v>
      </c>
    </row>
    <row r="2095" spans="1:19" ht="310.5" x14ac:dyDescent="0.15">
      <c r="A2095" t="s">
        <v>2693</v>
      </c>
      <c r="B2095" s="61">
        <v>46296</v>
      </c>
      <c r="E2095" t="s">
        <v>355</v>
      </c>
      <c r="F2095" t="s">
        <v>351</v>
      </c>
      <c r="G2095" t="s">
        <v>354</v>
      </c>
      <c r="H2095" t="s">
        <v>353</v>
      </c>
      <c r="I2095">
        <v>2303711</v>
      </c>
      <c r="J2095" t="s">
        <v>2735</v>
      </c>
      <c r="K2095" t="s">
        <v>2763</v>
      </c>
      <c r="L2095" t="s">
        <v>2764</v>
      </c>
      <c r="N2095" t="s">
        <v>6689</v>
      </c>
      <c r="O2095" t="s">
        <v>2766</v>
      </c>
      <c r="R2095" t="s">
        <v>3986</v>
      </c>
      <c r="S2095" s="34" t="s">
        <v>6690</v>
      </c>
    </row>
    <row r="2096" spans="1:19" ht="409.5" x14ac:dyDescent="0.15">
      <c r="A2096" t="s">
        <v>2693</v>
      </c>
      <c r="B2096" s="61">
        <v>46296</v>
      </c>
      <c r="E2096" t="s">
        <v>355</v>
      </c>
      <c r="F2096" t="s">
        <v>351</v>
      </c>
      <c r="G2096" t="s">
        <v>354</v>
      </c>
      <c r="H2096" t="s">
        <v>353</v>
      </c>
      <c r="I2096">
        <v>2303834</v>
      </c>
      <c r="J2096" t="s">
        <v>974</v>
      </c>
      <c r="K2096" t="s">
        <v>2759</v>
      </c>
      <c r="L2096" t="s">
        <v>4053</v>
      </c>
      <c r="N2096">
        <v>2165187</v>
      </c>
      <c r="O2096" t="s">
        <v>2762</v>
      </c>
      <c r="R2096" t="s">
        <v>4054</v>
      </c>
      <c r="S2096" s="34" t="s">
        <v>6691</v>
      </c>
    </row>
    <row r="2097" spans="1:19" ht="409.5" x14ac:dyDescent="0.15">
      <c r="A2097" t="s">
        <v>2693</v>
      </c>
      <c r="B2097" s="61">
        <v>46327</v>
      </c>
      <c r="E2097" t="s">
        <v>355</v>
      </c>
      <c r="F2097" t="s">
        <v>351</v>
      </c>
      <c r="G2097" t="s">
        <v>354</v>
      </c>
      <c r="H2097" t="s">
        <v>309</v>
      </c>
      <c r="I2097">
        <v>2100233</v>
      </c>
      <c r="J2097" t="s">
        <v>6692</v>
      </c>
      <c r="K2097" t="s">
        <v>752</v>
      </c>
      <c r="L2097" t="s">
        <v>6693</v>
      </c>
      <c r="N2097" t="s">
        <v>6694</v>
      </c>
      <c r="O2097" t="s">
        <v>6695</v>
      </c>
      <c r="R2097" t="s">
        <v>3992</v>
      </c>
      <c r="S2097" s="34" t="s">
        <v>6696</v>
      </c>
    </row>
    <row r="2098" spans="1:19" ht="202.5" x14ac:dyDescent="0.15">
      <c r="A2098" t="s">
        <v>2693</v>
      </c>
      <c r="B2098" s="61">
        <v>46327</v>
      </c>
      <c r="E2098" t="s">
        <v>355</v>
      </c>
      <c r="F2098" t="s">
        <v>351</v>
      </c>
      <c r="G2098" t="s">
        <v>354</v>
      </c>
      <c r="H2098" t="s">
        <v>353</v>
      </c>
      <c r="I2098">
        <v>2303372</v>
      </c>
      <c r="J2098" t="s">
        <v>6697</v>
      </c>
      <c r="K2098" t="s">
        <v>6698</v>
      </c>
      <c r="L2098" t="s">
        <v>6699</v>
      </c>
      <c r="N2098" t="s">
        <v>6700</v>
      </c>
      <c r="O2098" t="s">
        <v>6701</v>
      </c>
      <c r="R2098" t="s">
        <v>3987</v>
      </c>
      <c r="S2098" s="34" t="s">
        <v>6702</v>
      </c>
    </row>
    <row r="2099" spans="1:19" ht="229.5" x14ac:dyDescent="0.15">
      <c r="A2099" t="s">
        <v>2693</v>
      </c>
      <c r="B2099" s="61">
        <v>46327</v>
      </c>
      <c r="E2099" t="s">
        <v>355</v>
      </c>
      <c r="F2099" t="s">
        <v>351</v>
      </c>
      <c r="G2099" t="s">
        <v>354</v>
      </c>
      <c r="H2099" t="s">
        <v>365</v>
      </c>
      <c r="I2099">
        <v>2303431</v>
      </c>
      <c r="J2099" t="s">
        <v>2718</v>
      </c>
      <c r="K2099" t="s">
        <v>2719</v>
      </c>
      <c r="L2099" t="s">
        <v>390</v>
      </c>
      <c r="N2099" t="s">
        <v>2720</v>
      </c>
      <c r="O2099" t="s">
        <v>2721</v>
      </c>
      <c r="R2099" t="s">
        <v>3986</v>
      </c>
      <c r="S2099" s="34" t="s">
        <v>6703</v>
      </c>
    </row>
    <row r="2100" spans="1:19" ht="409.5" x14ac:dyDescent="0.15">
      <c r="A2100" t="s">
        <v>2693</v>
      </c>
      <c r="B2100" s="61">
        <v>46357</v>
      </c>
      <c r="E2100" t="s">
        <v>355</v>
      </c>
      <c r="F2100" t="s">
        <v>351</v>
      </c>
      <c r="G2100" t="s">
        <v>354</v>
      </c>
      <c r="H2100" t="s">
        <v>353</v>
      </c>
      <c r="I2100">
        <v>2301034</v>
      </c>
      <c r="J2100" t="s">
        <v>2743</v>
      </c>
      <c r="L2100" t="s">
        <v>390</v>
      </c>
      <c r="N2100" t="s">
        <v>5106</v>
      </c>
      <c r="O2100" t="s">
        <v>2744</v>
      </c>
      <c r="R2100" t="s">
        <v>3987</v>
      </c>
      <c r="S2100" s="34" t="s">
        <v>6704</v>
      </c>
    </row>
    <row r="2101" spans="1:19" ht="324" x14ac:dyDescent="0.15">
      <c r="A2101" t="s">
        <v>2693</v>
      </c>
      <c r="B2101" s="61">
        <v>46357</v>
      </c>
      <c r="E2101" t="s">
        <v>355</v>
      </c>
      <c r="F2101" t="s">
        <v>351</v>
      </c>
      <c r="G2101" t="s">
        <v>354</v>
      </c>
      <c r="H2101" t="s">
        <v>353</v>
      </c>
      <c r="I2101">
        <v>2301207</v>
      </c>
      <c r="J2101" t="s">
        <v>2735</v>
      </c>
      <c r="K2101" t="s">
        <v>2736</v>
      </c>
      <c r="L2101" t="s">
        <v>2737</v>
      </c>
      <c r="N2101" t="s">
        <v>2738</v>
      </c>
      <c r="O2101" t="s">
        <v>2739</v>
      </c>
      <c r="R2101" t="s">
        <v>3986</v>
      </c>
      <c r="S2101" s="34" t="s">
        <v>6705</v>
      </c>
    </row>
    <row r="2102" spans="1:19" ht="409.5" x14ac:dyDescent="0.15">
      <c r="A2102" t="s">
        <v>2693</v>
      </c>
      <c r="B2102" s="61">
        <v>46357</v>
      </c>
      <c r="E2102" t="s">
        <v>355</v>
      </c>
      <c r="F2102" t="s">
        <v>351</v>
      </c>
      <c r="G2102" t="s">
        <v>354</v>
      </c>
      <c r="H2102" t="s">
        <v>353</v>
      </c>
      <c r="I2102">
        <v>2303812</v>
      </c>
      <c r="J2102" t="s">
        <v>2726</v>
      </c>
      <c r="K2102" t="s">
        <v>6706</v>
      </c>
      <c r="L2102" t="s">
        <v>1006</v>
      </c>
      <c r="N2102" t="s">
        <v>6707</v>
      </c>
      <c r="O2102" t="s">
        <v>2729</v>
      </c>
      <c r="R2102" t="s">
        <v>3987</v>
      </c>
      <c r="S2102" s="34" t="s">
        <v>6708</v>
      </c>
    </row>
    <row r="2103" spans="1:19" ht="351" x14ac:dyDescent="0.15">
      <c r="A2103" t="s">
        <v>2771</v>
      </c>
      <c r="B2103" s="61">
        <v>46266</v>
      </c>
      <c r="E2103" t="s">
        <v>355</v>
      </c>
      <c r="F2103" t="s">
        <v>351</v>
      </c>
      <c r="G2103" t="s">
        <v>354</v>
      </c>
      <c r="H2103" t="s">
        <v>309</v>
      </c>
      <c r="I2103">
        <v>2100078</v>
      </c>
      <c r="J2103" t="s">
        <v>6709</v>
      </c>
      <c r="K2103" t="s">
        <v>6710</v>
      </c>
      <c r="L2103" t="s">
        <v>6711</v>
      </c>
      <c r="N2103" t="s">
        <v>6712</v>
      </c>
      <c r="O2103" t="s">
        <v>6713</v>
      </c>
      <c r="R2103" t="s">
        <v>6714</v>
      </c>
      <c r="S2103" s="34" t="s">
        <v>6715</v>
      </c>
    </row>
    <row r="2104" spans="1:19" ht="324" x14ac:dyDescent="0.15">
      <c r="A2104" t="s">
        <v>2771</v>
      </c>
      <c r="B2104" s="61">
        <v>46266</v>
      </c>
      <c r="E2104" t="s">
        <v>355</v>
      </c>
      <c r="F2104" t="s">
        <v>351</v>
      </c>
      <c r="G2104" t="s">
        <v>354</v>
      </c>
      <c r="H2104" t="s">
        <v>353</v>
      </c>
      <c r="I2104">
        <v>2100320</v>
      </c>
      <c r="J2104" t="s">
        <v>6716</v>
      </c>
      <c r="K2104" t="s">
        <v>6717</v>
      </c>
      <c r="L2104" t="s">
        <v>6718</v>
      </c>
      <c r="N2104" t="s">
        <v>6719</v>
      </c>
      <c r="O2104" t="s">
        <v>6720</v>
      </c>
      <c r="S2104" s="34" t="s">
        <v>6721</v>
      </c>
    </row>
    <row r="2105" spans="1:19" ht="337.5" x14ac:dyDescent="0.15">
      <c r="A2105" t="s">
        <v>2771</v>
      </c>
      <c r="B2105" s="61">
        <v>46266</v>
      </c>
      <c r="E2105" t="s">
        <v>355</v>
      </c>
      <c r="F2105" t="s">
        <v>351</v>
      </c>
      <c r="G2105" t="s">
        <v>354</v>
      </c>
      <c r="H2105" t="s">
        <v>353</v>
      </c>
      <c r="I2105">
        <v>2100320</v>
      </c>
      <c r="J2105" t="s">
        <v>6716</v>
      </c>
      <c r="K2105" t="s">
        <v>6717</v>
      </c>
      <c r="L2105" t="s">
        <v>6718</v>
      </c>
      <c r="N2105" t="s">
        <v>6722</v>
      </c>
      <c r="O2105" t="s">
        <v>6720</v>
      </c>
      <c r="S2105" s="34" t="s">
        <v>6723</v>
      </c>
    </row>
    <row r="2106" spans="1:19" ht="409.5" x14ac:dyDescent="0.15">
      <c r="A2106" t="s">
        <v>2771</v>
      </c>
      <c r="B2106" s="61">
        <v>46266</v>
      </c>
      <c r="E2106" t="s">
        <v>355</v>
      </c>
      <c r="F2106" t="s">
        <v>351</v>
      </c>
      <c r="G2106" t="s">
        <v>354</v>
      </c>
      <c r="H2106" t="s">
        <v>309</v>
      </c>
      <c r="I2106">
        <v>2100320</v>
      </c>
      <c r="J2106" t="s">
        <v>6716</v>
      </c>
      <c r="K2106" t="s">
        <v>6717</v>
      </c>
      <c r="L2106" t="s">
        <v>6718</v>
      </c>
      <c r="N2106" t="s">
        <v>6724</v>
      </c>
      <c r="O2106" t="s">
        <v>6720</v>
      </c>
      <c r="S2106" s="34" t="s">
        <v>6725</v>
      </c>
    </row>
    <row r="2107" spans="1:19" ht="229.5" x14ac:dyDescent="0.15">
      <c r="A2107" t="s">
        <v>2771</v>
      </c>
      <c r="B2107" s="61">
        <v>46327</v>
      </c>
      <c r="E2107" t="s">
        <v>355</v>
      </c>
      <c r="F2107" t="s">
        <v>351</v>
      </c>
      <c r="G2107" t="s">
        <v>354</v>
      </c>
      <c r="H2107" t="s">
        <v>353</v>
      </c>
      <c r="I2107">
        <v>2100078</v>
      </c>
      <c r="J2107" t="s">
        <v>6709</v>
      </c>
      <c r="K2107" t="s">
        <v>6710</v>
      </c>
      <c r="L2107" t="s">
        <v>6711</v>
      </c>
      <c r="N2107" t="s">
        <v>6726</v>
      </c>
      <c r="O2107" t="s">
        <v>6713</v>
      </c>
      <c r="R2107" t="s">
        <v>6727</v>
      </c>
      <c r="S2107" s="34" t="s">
        <v>6728</v>
      </c>
    </row>
    <row r="2108" spans="1:19" ht="324" x14ac:dyDescent="0.15">
      <c r="A2108" t="s">
        <v>2771</v>
      </c>
      <c r="B2108" s="61">
        <v>46357</v>
      </c>
      <c r="E2108" t="s">
        <v>355</v>
      </c>
      <c r="F2108" t="s">
        <v>351</v>
      </c>
      <c r="G2108" t="s">
        <v>354</v>
      </c>
      <c r="H2108" t="s">
        <v>353</v>
      </c>
      <c r="I2108">
        <v>2100310</v>
      </c>
      <c r="J2108" t="s">
        <v>1212</v>
      </c>
      <c r="K2108" t="s">
        <v>6729</v>
      </c>
      <c r="L2108" t="s">
        <v>965</v>
      </c>
      <c r="N2108" t="s">
        <v>2794</v>
      </c>
      <c r="O2108" t="s">
        <v>2795</v>
      </c>
      <c r="R2108" t="s">
        <v>3986</v>
      </c>
      <c r="S2108" s="34" t="s">
        <v>6730</v>
      </c>
    </row>
    <row r="2109" spans="1:19" ht="324" x14ac:dyDescent="0.15">
      <c r="A2109" t="s">
        <v>2771</v>
      </c>
      <c r="B2109" s="61">
        <v>46357</v>
      </c>
      <c r="E2109" t="s">
        <v>355</v>
      </c>
      <c r="F2109" t="s">
        <v>351</v>
      </c>
      <c r="G2109" t="s">
        <v>354</v>
      </c>
      <c r="H2109" t="s">
        <v>353</v>
      </c>
      <c r="I2109">
        <v>2303684</v>
      </c>
      <c r="J2109" t="s">
        <v>6731</v>
      </c>
      <c r="K2109" t="s">
        <v>6732</v>
      </c>
      <c r="L2109" t="s">
        <v>6733</v>
      </c>
      <c r="N2109" t="s">
        <v>6734</v>
      </c>
      <c r="O2109" t="s">
        <v>6735</v>
      </c>
      <c r="S2109" s="34" t="s">
        <v>6736</v>
      </c>
    </row>
    <row r="2110" spans="1:19" ht="243" x14ac:dyDescent="0.15">
      <c r="A2110" t="s">
        <v>2813</v>
      </c>
      <c r="B2110" s="61">
        <v>46266</v>
      </c>
      <c r="E2110" t="s">
        <v>355</v>
      </c>
      <c r="F2110" t="s">
        <v>351</v>
      </c>
      <c r="G2110" t="s">
        <v>352</v>
      </c>
      <c r="H2110" t="s">
        <v>310</v>
      </c>
      <c r="I2110">
        <v>2300536</v>
      </c>
      <c r="J2110" t="s">
        <v>2817</v>
      </c>
      <c r="K2110" t="s">
        <v>2818</v>
      </c>
      <c r="L2110" t="s">
        <v>378</v>
      </c>
      <c r="N2110" t="s">
        <v>2819</v>
      </c>
      <c r="O2110" t="s">
        <v>2820</v>
      </c>
      <c r="R2110" t="s">
        <v>3985</v>
      </c>
      <c r="S2110" s="34" t="s">
        <v>6759</v>
      </c>
    </row>
    <row r="2111" spans="1:19" ht="216" x14ac:dyDescent="0.15">
      <c r="A2111" t="s">
        <v>2813</v>
      </c>
      <c r="B2111" s="61">
        <v>46296</v>
      </c>
      <c r="E2111" t="s">
        <v>355</v>
      </c>
      <c r="F2111" t="s">
        <v>351</v>
      </c>
      <c r="G2111" t="s">
        <v>354</v>
      </c>
      <c r="H2111" t="s">
        <v>353</v>
      </c>
      <c r="I2111">
        <v>2300556</v>
      </c>
      <c r="J2111" t="s">
        <v>2841</v>
      </c>
      <c r="L2111" t="s">
        <v>502</v>
      </c>
      <c r="N2111" t="s">
        <v>2842</v>
      </c>
      <c r="O2111" t="s">
        <v>2843</v>
      </c>
      <c r="R2111" t="s">
        <v>3987</v>
      </c>
      <c r="S2111" s="34" t="s">
        <v>6760</v>
      </c>
    </row>
    <row r="2112" spans="1:19" ht="409.5" x14ac:dyDescent="0.15">
      <c r="A2112" t="s">
        <v>2813</v>
      </c>
      <c r="B2112" s="61">
        <v>46327</v>
      </c>
      <c r="E2112" t="s">
        <v>355</v>
      </c>
      <c r="F2112" t="s">
        <v>351</v>
      </c>
      <c r="G2112" t="s">
        <v>354</v>
      </c>
      <c r="H2112" t="s">
        <v>353</v>
      </c>
      <c r="I2112">
        <v>2302777</v>
      </c>
      <c r="J2112" t="s">
        <v>2407</v>
      </c>
      <c r="K2112" t="s">
        <v>6761</v>
      </c>
      <c r="L2112" t="s">
        <v>698</v>
      </c>
      <c r="N2112" t="s">
        <v>6762</v>
      </c>
      <c r="O2112" t="s">
        <v>6763</v>
      </c>
      <c r="R2112" t="s">
        <v>4012</v>
      </c>
      <c r="S2112" s="34" t="s">
        <v>6764</v>
      </c>
    </row>
    <row r="2113" spans="1:19" ht="256.5" x14ac:dyDescent="0.15">
      <c r="A2113" t="s">
        <v>2813</v>
      </c>
      <c r="B2113" s="61">
        <v>46357</v>
      </c>
      <c r="E2113" t="s">
        <v>355</v>
      </c>
      <c r="F2113" t="s">
        <v>351</v>
      </c>
      <c r="G2113" t="s">
        <v>354</v>
      </c>
      <c r="H2113" t="s">
        <v>310</v>
      </c>
      <c r="I2113">
        <v>2303643</v>
      </c>
      <c r="J2113" t="s">
        <v>2814</v>
      </c>
      <c r="K2113" t="s">
        <v>2815</v>
      </c>
      <c r="L2113" t="s">
        <v>1176</v>
      </c>
      <c r="N2113" t="s">
        <v>2824</v>
      </c>
      <c r="O2113" t="s">
        <v>2816</v>
      </c>
      <c r="R2113" t="s">
        <v>3986</v>
      </c>
      <c r="S2113" s="34" t="s">
        <v>6765</v>
      </c>
    </row>
    <row r="2114" spans="1:19" ht="243" x14ac:dyDescent="0.15">
      <c r="A2114" t="s">
        <v>6766</v>
      </c>
      <c r="B2114" s="61">
        <v>46266</v>
      </c>
      <c r="E2114" t="s">
        <v>355</v>
      </c>
      <c r="F2114" t="s">
        <v>351</v>
      </c>
      <c r="G2114" t="s">
        <v>354</v>
      </c>
      <c r="H2114" t="s">
        <v>310</v>
      </c>
      <c r="I2114">
        <v>4000716</v>
      </c>
      <c r="J2114" t="s">
        <v>4833</v>
      </c>
      <c r="K2114" t="s">
        <v>4834</v>
      </c>
      <c r="L2114" t="s">
        <v>6767</v>
      </c>
      <c r="N2114" t="s">
        <v>6768</v>
      </c>
      <c r="O2114" t="s">
        <v>6769</v>
      </c>
      <c r="S2114" s="34" t="s">
        <v>6770</v>
      </c>
    </row>
    <row r="2115" spans="1:19" ht="409.5" x14ac:dyDescent="0.15">
      <c r="A2115" t="s">
        <v>6766</v>
      </c>
      <c r="B2115" s="61">
        <v>46266</v>
      </c>
      <c r="E2115" t="s">
        <v>355</v>
      </c>
      <c r="F2115" t="s">
        <v>351</v>
      </c>
      <c r="G2115" t="s">
        <v>354</v>
      </c>
      <c r="H2115" t="s">
        <v>353</v>
      </c>
      <c r="I2115">
        <v>4000964</v>
      </c>
      <c r="J2115" t="s">
        <v>2915</v>
      </c>
      <c r="K2115" t="s">
        <v>2916</v>
      </c>
      <c r="L2115" t="s">
        <v>466</v>
      </c>
      <c r="N2115" t="s">
        <v>6771</v>
      </c>
      <c r="O2115" t="s">
        <v>2918</v>
      </c>
      <c r="S2115" s="34" t="s">
        <v>6772</v>
      </c>
    </row>
    <row r="2116" spans="1:19" ht="229.5" x14ac:dyDescent="0.15">
      <c r="A2116" t="s">
        <v>6766</v>
      </c>
      <c r="B2116" s="61">
        <v>46266</v>
      </c>
      <c r="E2116" t="s">
        <v>355</v>
      </c>
      <c r="F2116" t="s">
        <v>351</v>
      </c>
      <c r="G2116" t="s">
        <v>354</v>
      </c>
      <c r="H2116" t="s">
        <v>365</v>
      </c>
      <c r="I2116">
        <v>4000971</v>
      </c>
      <c r="J2116" t="s">
        <v>4833</v>
      </c>
      <c r="K2116" t="s">
        <v>4834</v>
      </c>
      <c r="L2116" t="s">
        <v>3356</v>
      </c>
      <c r="N2116" t="s">
        <v>4835</v>
      </c>
      <c r="O2116" t="s">
        <v>4836</v>
      </c>
      <c r="S2116" s="34" t="s">
        <v>6773</v>
      </c>
    </row>
    <row r="2117" spans="1:19" ht="229.5" x14ac:dyDescent="0.15">
      <c r="A2117" t="s">
        <v>6766</v>
      </c>
      <c r="B2117" s="61">
        <v>46266</v>
      </c>
      <c r="E2117" t="s">
        <v>355</v>
      </c>
      <c r="F2117" t="s">
        <v>351</v>
      </c>
      <c r="G2117" t="s">
        <v>352</v>
      </c>
      <c r="H2117" t="s">
        <v>365</v>
      </c>
      <c r="I2117">
        <v>4100216</v>
      </c>
      <c r="J2117" t="s">
        <v>2880</v>
      </c>
      <c r="K2117" t="s">
        <v>2881</v>
      </c>
      <c r="L2117" t="s">
        <v>698</v>
      </c>
      <c r="N2117" t="s">
        <v>2882</v>
      </c>
      <c r="O2117" t="s">
        <v>2883</v>
      </c>
      <c r="R2117" t="s">
        <v>3985</v>
      </c>
      <c r="S2117" s="34" t="s">
        <v>6774</v>
      </c>
    </row>
    <row r="2118" spans="1:19" ht="409.5" x14ac:dyDescent="0.15">
      <c r="A2118" t="s">
        <v>6766</v>
      </c>
      <c r="B2118" s="61">
        <v>46296</v>
      </c>
      <c r="E2118" t="s">
        <v>355</v>
      </c>
      <c r="F2118" t="s">
        <v>351</v>
      </c>
      <c r="G2118" t="s">
        <v>352</v>
      </c>
      <c r="H2118" t="s">
        <v>353</v>
      </c>
      <c r="I2118">
        <v>4000004</v>
      </c>
      <c r="J2118" t="s">
        <v>2860</v>
      </c>
      <c r="K2118" t="s">
        <v>2861</v>
      </c>
      <c r="L2118" t="s">
        <v>2862</v>
      </c>
      <c r="N2118" t="s">
        <v>6775</v>
      </c>
      <c r="O2118" t="s">
        <v>2863</v>
      </c>
      <c r="R2118" t="s">
        <v>3985</v>
      </c>
      <c r="S2118" s="34" t="s">
        <v>6776</v>
      </c>
    </row>
    <row r="2119" spans="1:19" ht="243" x14ac:dyDescent="0.15">
      <c r="A2119" t="s">
        <v>6766</v>
      </c>
      <c r="B2119" s="61">
        <v>46296</v>
      </c>
      <c r="E2119" t="s">
        <v>355</v>
      </c>
      <c r="F2119" t="s">
        <v>351</v>
      </c>
      <c r="G2119" t="s">
        <v>354</v>
      </c>
      <c r="H2119" t="s">
        <v>353</v>
      </c>
      <c r="I2119">
        <v>4000698</v>
      </c>
      <c r="J2119" t="s">
        <v>2864</v>
      </c>
      <c r="L2119" t="s">
        <v>2865</v>
      </c>
      <c r="N2119" t="s">
        <v>6777</v>
      </c>
      <c r="O2119" t="s">
        <v>2866</v>
      </c>
      <c r="S2119" s="34" t="s">
        <v>6778</v>
      </c>
    </row>
    <row r="2120" spans="1:19" ht="409.5" x14ac:dyDescent="0.15">
      <c r="A2120" t="s">
        <v>6766</v>
      </c>
      <c r="B2120" s="61">
        <v>46296</v>
      </c>
      <c r="E2120" t="s">
        <v>355</v>
      </c>
      <c r="F2120" t="s">
        <v>351</v>
      </c>
      <c r="G2120" t="s">
        <v>354</v>
      </c>
      <c r="H2120" t="s">
        <v>365</v>
      </c>
      <c r="I2120">
        <v>4000940</v>
      </c>
      <c r="J2120" t="s">
        <v>4246</v>
      </c>
      <c r="K2120" t="s">
        <v>3635</v>
      </c>
      <c r="L2120" t="s">
        <v>466</v>
      </c>
      <c r="N2120" t="s">
        <v>4247</v>
      </c>
      <c r="O2120" t="s">
        <v>4248</v>
      </c>
      <c r="S2120" s="34" t="s">
        <v>6779</v>
      </c>
    </row>
    <row r="2121" spans="1:19" ht="324" x14ac:dyDescent="0.15">
      <c r="A2121" t="s">
        <v>6766</v>
      </c>
      <c r="B2121" s="61">
        <v>46327</v>
      </c>
      <c r="E2121" t="s">
        <v>355</v>
      </c>
      <c r="F2121" t="s">
        <v>351</v>
      </c>
      <c r="G2121" t="s">
        <v>354</v>
      </c>
      <c r="H2121" t="s">
        <v>353</v>
      </c>
      <c r="I2121">
        <v>4000907</v>
      </c>
      <c r="J2121" t="s">
        <v>6780</v>
      </c>
      <c r="K2121" t="s">
        <v>6781</v>
      </c>
      <c r="L2121" t="s">
        <v>390</v>
      </c>
      <c r="N2121" t="s">
        <v>6782</v>
      </c>
      <c r="O2121" t="s">
        <v>6783</v>
      </c>
      <c r="S2121" s="34" t="s">
        <v>6784</v>
      </c>
    </row>
    <row r="2122" spans="1:19" ht="409.5" x14ac:dyDescent="0.15">
      <c r="A2122" t="s">
        <v>6766</v>
      </c>
      <c r="B2122" s="61">
        <v>46327</v>
      </c>
      <c r="E2122" t="s">
        <v>355</v>
      </c>
      <c r="F2122" t="s">
        <v>351</v>
      </c>
      <c r="G2122" t="s">
        <v>354</v>
      </c>
      <c r="H2122" t="s">
        <v>353</v>
      </c>
      <c r="I2122">
        <v>4000936</v>
      </c>
      <c r="J2122" t="s">
        <v>2940</v>
      </c>
      <c r="K2122" t="s">
        <v>2941</v>
      </c>
      <c r="L2122" t="s">
        <v>2942</v>
      </c>
      <c r="N2122" t="s">
        <v>6785</v>
      </c>
      <c r="O2122" t="s">
        <v>2944</v>
      </c>
      <c r="R2122" t="s">
        <v>3986</v>
      </c>
      <c r="S2122" s="34" t="s">
        <v>6786</v>
      </c>
    </row>
    <row r="2123" spans="1:19" ht="409.5" x14ac:dyDescent="0.15">
      <c r="A2123" t="s">
        <v>6766</v>
      </c>
      <c r="B2123" s="61">
        <v>46327</v>
      </c>
      <c r="E2123" t="s">
        <v>355</v>
      </c>
      <c r="F2123" t="s">
        <v>351</v>
      </c>
      <c r="G2123" t="s">
        <v>354</v>
      </c>
      <c r="H2123" t="s">
        <v>686</v>
      </c>
      <c r="I2123">
        <v>4000936</v>
      </c>
      <c r="J2123" t="s">
        <v>2940</v>
      </c>
      <c r="K2123" t="s">
        <v>2941</v>
      </c>
      <c r="L2123" t="s">
        <v>2942</v>
      </c>
      <c r="N2123">
        <v>2133321</v>
      </c>
      <c r="O2123" t="s">
        <v>2944</v>
      </c>
      <c r="R2123" t="s">
        <v>3986</v>
      </c>
      <c r="S2123" s="34" t="s">
        <v>6787</v>
      </c>
    </row>
    <row r="2124" spans="1:19" ht="409.5" x14ac:dyDescent="0.15">
      <c r="A2124" t="s">
        <v>6766</v>
      </c>
      <c r="B2124" s="61">
        <v>46327</v>
      </c>
      <c r="E2124" t="s">
        <v>355</v>
      </c>
      <c r="F2124" t="s">
        <v>351</v>
      </c>
      <c r="G2124" t="s">
        <v>354</v>
      </c>
      <c r="H2124" t="s">
        <v>365</v>
      </c>
      <c r="I2124">
        <v>4100089</v>
      </c>
      <c r="J2124" t="s">
        <v>2886</v>
      </c>
      <c r="K2124" t="s">
        <v>2887</v>
      </c>
      <c r="L2124" t="s">
        <v>1769</v>
      </c>
      <c r="N2124" t="s">
        <v>2888</v>
      </c>
      <c r="O2124" t="s">
        <v>2889</v>
      </c>
      <c r="R2124" t="s">
        <v>6788</v>
      </c>
      <c r="S2124" s="34" t="s">
        <v>6789</v>
      </c>
    </row>
    <row r="2125" spans="1:19" ht="409.5" x14ac:dyDescent="0.15">
      <c r="A2125" t="s">
        <v>6766</v>
      </c>
      <c r="B2125" s="61">
        <v>46327</v>
      </c>
      <c r="E2125" t="s">
        <v>355</v>
      </c>
      <c r="F2125" t="s">
        <v>351</v>
      </c>
      <c r="G2125" t="s">
        <v>354</v>
      </c>
      <c r="H2125" t="s">
        <v>353</v>
      </c>
      <c r="I2125">
        <v>4100089</v>
      </c>
      <c r="J2125" t="s">
        <v>2886</v>
      </c>
      <c r="K2125" t="s">
        <v>2887</v>
      </c>
      <c r="L2125" t="s">
        <v>1769</v>
      </c>
      <c r="N2125" t="s">
        <v>6790</v>
      </c>
      <c r="O2125" t="s">
        <v>2889</v>
      </c>
      <c r="S2125" s="34" t="s">
        <v>6791</v>
      </c>
    </row>
    <row r="2126" spans="1:19" ht="409.5" x14ac:dyDescent="0.15">
      <c r="A2126" t="s">
        <v>6766</v>
      </c>
      <c r="B2126" s="61">
        <v>46327</v>
      </c>
      <c r="E2126" t="s">
        <v>355</v>
      </c>
      <c r="F2126" t="s">
        <v>351</v>
      </c>
      <c r="G2126" t="s">
        <v>354</v>
      </c>
      <c r="H2126" t="s">
        <v>353</v>
      </c>
      <c r="I2126">
        <v>4100089</v>
      </c>
      <c r="J2126" t="s">
        <v>2886</v>
      </c>
      <c r="K2126" t="s">
        <v>2887</v>
      </c>
      <c r="L2126" t="s">
        <v>1769</v>
      </c>
      <c r="N2126" t="s">
        <v>6792</v>
      </c>
      <c r="O2126" t="s">
        <v>2889</v>
      </c>
      <c r="S2126" s="34" t="s">
        <v>6793</v>
      </c>
    </row>
    <row r="2127" spans="1:19" ht="229.5" x14ac:dyDescent="0.15">
      <c r="A2127" t="s">
        <v>6766</v>
      </c>
      <c r="B2127" s="61">
        <v>46327</v>
      </c>
      <c r="E2127" t="s">
        <v>355</v>
      </c>
      <c r="F2127" t="s">
        <v>351</v>
      </c>
      <c r="G2127" t="s">
        <v>352</v>
      </c>
      <c r="H2127" t="s">
        <v>365</v>
      </c>
      <c r="I2127">
        <v>4100257</v>
      </c>
      <c r="J2127" t="s">
        <v>775</v>
      </c>
      <c r="K2127" t="s">
        <v>2871</v>
      </c>
      <c r="L2127" t="s">
        <v>2885</v>
      </c>
      <c r="N2127" t="s">
        <v>2873</v>
      </c>
      <c r="O2127" t="s">
        <v>2874</v>
      </c>
      <c r="R2127" t="s">
        <v>3985</v>
      </c>
      <c r="S2127" s="34" t="s">
        <v>6794</v>
      </c>
    </row>
    <row r="2128" spans="1:19" ht="243" x14ac:dyDescent="0.15">
      <c r="A2128" t="s">
        <v>6766</v>
      </c>
      <c r="B2128" s="61">
        <v>46357</v>
      </c>
      <c r="E2128" t="s">
        <v>355</v>
      </c>
      <c r="F2128" t="s">
        <v>351</v>
      </c>
      <c r="G2128" t="s">
        <v>352</v>
      </c>
      <c r="H2128" t="s">
        <v>365</v>
      </c>
      <c r="I2128">
        <v>4100047</v>
      </c>
      <c r="J2128" t="s">
        <v>775</v>
      </c>
      <c r="K2128" t="s">
        <v>2876</v>
      </c>
      <c r="L2128" t="s">
        <v>2872</v>
      </c>
      <c r="N2128" t="s">
        <v>2877</v>
      </c>
      <c r="O2128" t="s">
        <v>2878</v>
      </c>
      <c r="R2128" t="s">
        <v>3985</v>
      </c>
      <c r="S2128" s="34" t="s">
        <v>6795</v>
      </c>
    </row>
    <row r="2129" spans="1:19" ht="409.5" x14ac:dyDescent="0.15">
      <c r="A2129" t="s">
        <v>6796</v>
      </c>
      <c r="B2129" s="61">
        <v>46235</v>
      </c>
      <c r="E2129" t="s">
        <v>355</v>
      </c>
      <c r="F2129" t="s">
        <v>351</v>
      </c>
      <c r="G2129" t="s">
        <v>352</v>
      </c>
      <c r="H2129" t="s">
        <v>353</v>
      </c>
      <c r="I2129">
        <v>4100242</v>
      </c>
      <c r="J2129" t="s">
        <v>6797</v>
      </c>
      <c r="K2129" t="s">
        <v>6798</v>
      </c>
      <c r="L2129" t="s">
        <v>6799</v>
      </c>
      <c r="N2129" t="s">
        <v>6800</v>
      </c>
      <c r="O2129" t="s">
        <v>6801</v>
      </c>
      <c r="S2129" s="34" t="s">
        <v>6802</v>
      </c>
    </row>
    <row r="2130" spans="1:19" ht="409.5" x14ac:dyDescent="0.15">
      <c r="A2130" t="s">
        <v>6766</v>
      </c>
      <c r="B2130" s="61">
        <v>46296</v>
      </c>
      <c r="E2130" t="s">
        <v>355</v>
      </c>
      <c r="F2130" t="s">
        <v>351</v>
      </c>
      <c r="G2130" t="s">
        <v>354</v>
      </c>
      <c r="H2130" t="s">
        <v>353</v>
      </c>
      <c r="I2130">
        <v>4400152</v>
      </c>
      <c r="J2130" t="s">
        <v>2910</v>
      </c>
      <c r="K2130" t="s">
        <v>2911</v>
      </c>
      <c r="L2130" t="s">
        <v>2912</v>
      </c>
      <c r="N2130" t="s">
        <v>6803</v>
      </c>
      <c r="O2130" t="s">
        <v>2914</v>
      </c>
      <c r="S2130" s="34" t="s">
        <v>6804</v>
      </c>
    </row>
    <row r="2131" spans="1:19" ht="216" x14ac:dyDescent="0.15">
      <c r="A2131" t="s">
        <v>2956</v>
      </c>
      <c r="B2131" s="61">
        <v>46296</v>
      </c>
      <c r="E2131" t="s">
        <v>355</v>
      </c>
      <c r="F2131" t="s">
        <v>351</v>
      </c>
      <c r="G2131" t="s">
        <v>354</v>
      </c>
      <c r="H2131" t="s">
        <v>353</v>
      </c>
      <c r="I2131">
        <v>3300075</v>
      </c>
      <c r="J2131" t="s">
        <v>2983</v>
      </c>
      <c r="K2131" t="s">
        <v>1251</v>
      </c>
      <c r="L2131" t="s">
        <v>1957</v>
      </c>
      <c r="N2131" t="s">
        <v>2984</v>
      </c>
      <c r="O2131" t="s">
        <v>2985</v>
      </c>
      <c r="S2131" s="34" t="s">
        <v>6805</v>
      </c>
    </row>
    <row r="2132" spans="1:19" ht="409.5" x14ac:dyDescent="0.15">
      <c r="A2132" t="s">
        <v>2956</v>
      </c>
      <c r="B2132" s="61">
        <v>46296</v>
      </c>
      <c r="E2132" t="s">
        <v>355</v>
      </c>
      <c r="F2132" t="s">
        <v>351</v>
      </c>
      <c r="G2132" t="s">
        <v>354</v>
      </c>
      <c r="H2132" t="s">
        <v>353</v>
      </c>
      <c r="I2132">
        <v>3300631</v>
      </c>
      <c r="J2132" t="s">
        <v>2134</v>
      </c>
      <c r="K2132" t="s">
        <v>1071</v>
      </c>
      <c r="L2132" t="s">
        <v>2986</v>
      </c>
      <c r="N2132" t="s">
        <v>6806</v>
      </c>
      <c r="O2132" t="s">
        <v>2988</v>
      </c>
      <c r="S2132" s="34" t="s">
        <v>6807</v>
      </c>
    </row>
    <row r="2133" spans="1:19" ht="409.5" x14ac:dyDescent="0.15">
      <c r="A2133" t="s">
        <v>2956</v>
      </c>
      <c r="B2133" s="61">
        <v>46357</v>
      </c>
      <c r="E2133" t="s">
        <v>355</v>
      </c>
      <c r="F2133" t="s">
        <v>351</v>
      </c>
      <c r="G2133" t="s">
        <v>354</v>
      </c>
      <c r="H2133" t="s">
        <v>309</v>
      </c>
      <c r="I2133">
        <v>3300186</v>
      </c>
      <c r="J2133" t="s">
        <v>2822</v>
      </c>
      <c r="K2133" t="s">
        <v>1914</v>
      </c>
      <c r="L2133" t="s">
        <v>2976</v>
      </c>
      <c r="N2133" t="s">
        <v>6808</v>
      </c>
      <c r="O2133" t="s">
        <v>2978</v>
      </c>
      <c r="S2133" s="34" t="s">
        <v>6809</v>
      </c>
    </row>
    <row r="2134" spans="1:19" ht="202.5" x14ac:dyDescent="0.15">
      <c r="A2134" t="s">
        <v>2956</v>
      </c>
      <c r="B2134" s="61">
        <v>46357</v>
      </c>
      <c r="E2134" t="s">
        <v>355</v>
      </c>
      <c r="F2134" t="s">
        <v>351</v>
      </c>
      <c r="G2134" t="s">
        <v>354</v>
      </c>
      <c r="H2134" t="s">
        <v>353</v>
      </c>
      <c r="I2134">
        <v>3300186</v>
      </c>
      <c r="J2134" t="s">
        <v>2822</v>
      </c>
      <c r="K2134" t="s">
        <v>1914</v>
      </c>
      <c r="L2134" t="s">
        <v>2976</v>
      </c>
      <c r="N2134" t="s">
        <v>6810</v>
      </c>
      <c r="O2134" t="s">
        <v>2978</v>
      </c>
      <c r="S2134" s="34" t="s">
        <v>6811</v>
      </c>
    </row>
    <row r="2135" spans="1:19" ht="409.5" x14ac:dyDescent="0.15">
      <c r="A2135" t="s">
        <v>2956</v>
      </c>
      <c r="B2135" s="61">
        <v>46357</v>
      </c>
      <c r="E2135" t="s">
        <v>355</v>
      </c>
      <c r="F2135" t="s">
        <v>351</v>
      </c>
      <c r="G2135" t="s">
        <v>354</v>
      </c>
      <c r="H2135" t="s">
        <v>365</v>
      </c>
      <c r="I2135">
        <v>3300186</v>
      </c>
      <c r="J2135" t="s">
        <v>2822</v>
      </c>
      <c r="K2135" t="s">
        <v>1914</v>
      </c>
      <c r="L2135" t="s">
        <v>2976</v>
      </c>
      <c r="N2135" t="s">
        <v>6812</v>
      </c>
      <c r="O2135" t="s">
        <v>2978</v>
      </c>
      <c r="S2135" s="34" t="s">
        <v>6813</v>
      </c>
    </row>
    <row r="2136" spans="1:19" ht="216" x14ac:dyDescent="0.15">
      <c r="A2136" t="s">
        <v>2956</v>
      </c>
      <c r="B2136" s="61">
        <v>46357</v>
      </c>
      <c r="E2136" t="s">
        <v>355</v>
      </c>
      <c r="F2136" t="s">
        <v>351</v>
      </c>
      <c r="G2136" t="s">
        <v>354</v>
      </c>
      <c r="H2136" t="s">
        <v>353</v>
      </c>
      <c r="I2136">
        <v>3300287</v>
      </c>
      <c r="J2136" t="s">
        <v>2957</v>
      </c>
      <c r="K2136" t="s">
        <v>2958</v>
      </c>
      <c r="L2136" t="s">
        <v>2959</v>
      </c>
      <c r="N2136" t="s">
        <v>2960</v>
      </c>
      <c r="O2136" t="s">
        <v>2961</v>
      </c>
      <c r="S2136" s="34" t="s">
        <v>6814</v>
      </c>
    </row>
    <row r="2137" spans="1:19" ht="409.5" x14ac:dyDescent="0.15">
      <c r="A2137" t="s">
        <v>2956</v>
      </c>
      <c r="B2137" s="61">
        <v>46357</v>
      </c>
      <c r="E2137" t="s">
        <v>355</v>
      </c>
      <c r="F2137" t="s">
        <v>351</v>
      </c>
      <c r="G2137" t="s">
        <v>354</v>
      </c>
      <c r="H2137" t="s">
        <v>353</v>
      </c>
      <c r="I2137">
        <v>3300365</v>
      </c>
      <c r="J2137" t="s">
        <v>2822</v>
      </c>
      <c r="K2137" t="s">
        <v>1914</v>
      </c>
      <c r="L2137" t="s">
        <v>2979</v>
      </c>
      <c r="N2137" t="s">
        <v>6815</v>
      </c>
      <c r="O2137" t="s">
        <v>2981</v>
      </c>
      <c r="S2137" s="34" t="s">
        <v>6816</v>
      </c>
    </row>
    <row r="2138" spans="1:19" ht="324" x14ac:dyDescent="0.15">
      <c r="A2138" t="s">
        <v>2993</v>
      </c>
      <c r="B2138" s="61">
        <v>46266</v>
      </c>
      <c r="E2138" t="s">
        <v>355</v>
      </c>
      <c r="F2138" t="s">
        <v>351</v>
      </c>
      <c r="G2138" t="s">
        <v>354</v>
      </c>
      <c r="H2138" t="s">
        <v>353</v>
      </c>
      <c r="I2138">
        <v>1300146</v>
      </c>
      <c r="J2138" t="s">
        <v>2817</v>
      </c>
      <c r="K2138" t="s">
        <v>4091</v>
      </c>
      <c r="L2138" t="s">
        <v>390</v>
      </c>
      <c r="N2138" t="s">
        <v>6820</v>
      </c>
      <c r="O2138" t="s">
        <v>4093</v>
      </c>
      <c r="S2138" s="34" t="s">
        <v>6821</v>
      </c>
    </row>
    <row r="2139" spans="1:19" ht="202.5" x14ac:dyDescent="0.15">
      <c r="A2139" t="s">
        <v>2993</v>
      </c>
      <c r="B2139" s="61">
        <v>46266</v>
      </c>
      <c r="E2139" t="s">
        <v>355</v>
      </c>
      <c r="F2139" t="s">
        <v>351</v>
      </c>
      <c r="G2139" t="s">
        <v>354</v>
      </c>
      <c r="H2139" t="s">
        <v>353</v>
      </c>
      <c r="I2139">
        <v>1300146</v>
      </c>
      <c r="J2139" t="s">
        <v>2817</v>
      </c>
      <c r="K2139" t="s">
        <v>4091</v>
      </c>
      <c r="L2139" t="s">
        <v>390</v>
      </c>
      <c r="N2139" t="s">
        <v>4092</v>
      </c>
      <c r="O2139" t="s">
        <v>4093</v>
      </c>
      <c r="S2139" s="34" t="s">
        <v>6822</v>
      </c>
    </row>
    <row r="2140" spans="1:19" ht="243" x14ac:dyDescent="0.15">
      <c r="A2140" t="s">
        <v>2993</v>
      </c>
      <c r="B2140" s="61">
        <v>46266</v>
      </c>
      <c r="E2140" t="s">
        <v>355</v>
      </c>
      <c r="F2140" t="s">
        <v>351</v>
      </c>
      <c r="G2140" t="s">
        <v>354</v>
      </c>
      <c r="H2140" t="s">
        <v>365</v>
      </c>
      <c r="I2140">
        <v>1301601</v>
      </c>
      <c r="J2140" t="s">
        <v>6823</v>
      </c>
      <c r="L2140" t="s">
        <v>4403</v>
      </c>
      <c r="N2140" t="s">
        <v>6824</v>
      </c>
      <c r="O2140" t="s">
        <v>6825</v>
      </c>
      <c r="R2140" t="s">
        <v>3987</v>
      </c>
      <c r="S2140" s="34" t="s">
        <v>6826</v>
      </c>
    </row>
    <row r="2141" spans="1:19" ht="229.5" x14ac:dyDescent="0.15">
      <c r="A2141" t="s">
        <v>2993</v>
      </c>
      <c r="B2141" s="61">
        <v>46266</v>
      </c>
      <c r="E2141" t="s">
        <v>355</v>
      </c>
      <c r="F2141" t="s">
        <v>351</v>
      </c>
      <c r="G2141" t="s">
        <v>352</v>
      </c>
      <c r="H2141" t="s">
        <v>365</v>
      </c>
      <c r="I2141">
        <v>1301605</v>
      </c>
      <c r="J2141" t="s">
        <v>2683</v>
      </c>
      <c r="K2141" t="s">
        <v>6827</v>
      </c>
      <c r="L2141" t="s">
        <v>3011</v>
      </c>
      <c r="N2141" t="s">
        <v>6828</v>
      </c>
      <c r="O2141" t="s">
        <v>6829</v>
      </c>
      <c r="R2141" t="s">
        <v>3958</v>
      </c>
      <c r="S2141" s="34" t="s">
        <v>6830</v>
      </c>
    </row>
    <row r="2142" spans="1:19" ht="409.5" x14ac:dyDescent="0.15">
      <c r="A2142" t="s">
        <v>2993</v>
      </c>
      <c r="B2142" s="61">
        <v>46296</v>
      </c>
      <c r="E2142" t="s">
        <v>355</v>
      </c>
      <c r="F2142" t="s">
        <v>351</v>
      </c>
      <c r="G2142" t="s">
        <v>354</v>
      </c>
      <c r="H2142" t="s">
        <v>365</v>
      </c>
      <c r="I2142">
        <v>1301584</v>
      </c>
      <c r="J2142" t="s">
        <v>3001</v>
      </c>
      <c r="K2142" t="s">
        <v>2153</v>
      </c>
      <c r="L2142" t="s">
        <v>3002</v>
      </c>
      <c r="N2142" t="s">
        <v>4753</v>
      </c>
      <c r="O2142" t="s">
        <v>3003</v>
      </c>
      <c r="R2142" t="s">
        <v>3986</v>
      </c>
      <c r="S2142" s="34" t="s">
        <v>6831</v>
      </c>
    </row>
    <row r="2143" spans="1:19" ht="409.5" x14ac:dyDescent="0.15">
      <c r="A2143" t="s">
        <v>2993</v>
      </c>
      <c r="B2143" s="61">
        <v>46296</v>
      </c>
      <c r="E2143" t="s">
        <v>355</v>
      </c>
      <c r="F2143" t="s">
        <v>351</v>
      </c>
      <c r="G2143" t="s">
        <v>354</v>
      </c>
      <c r="H2143" t="s">
        <v>365</v>
      </c>
      <c r="I2143">
        <v>1301585</v>
      </c>
      <c r="J2143" t="s">
        <v>3001</v>
      </c>
      <c r="K2143" t="s">
        <v>2153</v>
      </c>
      <c r="L2143" t="s">
        <v>4754</v>
      </c>
      <c r="N2143" t="s">
        <v>4755</v>
      </c>
      <c r="O2143" t="s">
        <v>3004</v>
      </c>
      <c r="R2143" t="s">
        <v>3986</v>
      </c>
      <c r="S2143" s="34" t="s">
        <v>6832</v>
      </c>
    </row>
    <row r="2144" spans="1:19" ht="202.5" x14ac:dyDescent="0.15">
      <c r="A2144" t="s">
        <v>2993</v>
      </c>
      <c r="B2144" s="61">
        <v>46327</v>
      </c>
      <c r="E2144" t="s">
        <v>355</v>
      </c>
      <c r="F2144" t="s">
        <v>351</v>
      </c>
      <c r="G2144" t="s">
        <v>354</v>
      </c>
      <c r="H2144" t="s">
        <v>353</v>
      </c>
      <c r="I2144">
        <v>1300209</v>
      </c>
      <c r="J2144" t="s">
        <v>3009</v>
      </c>
      <c r="K2144" t="s">
        <v>3010</v>
      </c>
      <c r="L2144" t="s">
        <v>3011</v>
      </c>
      <c r="N2144" t="s">
        <v>3022</v>
      </c>
      <c r="O2144" t="s">
        <v>3013</v>
      </c>
      <c r="R2144" t="s">
        <v>3992</v>
      </c>
      <c r="S2144" s="34" t="s">
        <v>6833</v>
      </c>
    </row>
    <row r="2145" spans="1:19" ht="216" x14ac:dyDescent="0.15">
      <c r="A2145" t="s">
        <v>2993</v>
      </c>
      <c r="B2145" s="61">
        <v>46327</v>
      </c>
      <c r="E2145" t="s">
        <v>355</v>
      </c>
      <c r="F2145" t="s">
        <v>351</v>
      </c>
      <c r="G2145" t="s">
        <v>354</v>
      </c>
      <c r="H2145" t="s">
        <v>365</v>
      </c>
      <c r="I2145">
        <v>1300209</v>
      </c>
      <c r="J2145" t="s">
        <v>3009</v>
      </c>
      <c r="K2145" t="s">
        <v>3010</v>
      </c>
      <c r="L2145" t="s">
        <v>3011</v>
      </c>
      <c r="N2145" t="s">
        <v>3012</v>
      </c>
      <c r="O2145" t="s">
        <v>3013</v>
      </c>
      <c r="R2145" t="s">
        <v>3992</v>
      </c>
      <c r="S2145" s="34" t="s">
        <v>6834</v>
      </c>
    </row>
    <row r="2146" spans="1:19" ht="405" x14ac:dyDescent="0.15">
      <c r="A2146" t="s">
        <v>2993</v>
      </c>
      <c r="B2146" s="61">
        <v>46357</v>
      </c>
      <c r="E2146" t="s">
        <v>355</v>
      </c>
      <c r="F2146" t="s">
        <v>351</v>
      </c>
      <c r="G2146" t="s">
        <v>354</v>
      </c>
      <c r="H2146" t="s">
        <v>353</v>
      </c>
      <c r="I2146">
        <v>1301673</v>
      </c>
      <c r="J2146" t="s">
        <v>2994</v>
      </c>
      <c r="K2146" t="s">
        <v>2995</v>
      </c>
      <c r="L2146" t="s">
        <v>2459</v>
      </c>
      <c r="N2146" t="s">
        <v>6835</v>
      </c>
      <c r="O2146" t="s">
        <v>2997</v>
      </c>
      <c r="R2146" t="s">
        <v>3987</v>
      </c>
      <c r="S2146" s="34" t="s">
        <v>6836</v>
      </c>
    </row>
    <row r="2147" spans="1:19" ht="409.5" x14ac:dyDescent="0.15">
      <c r="A2147" t="s">
        <v>2993</v>
      </c>
      <c r="B2147" s="61">
        <v>46357</v>
      </c>
      <c r="E2147" t="s">
        <v>355</v>
      </c>
      <c r="F2147" t="s">
        <v>351</v>
      </c>
      <c r="G2147" t="s">
        <v>354</v>
      </c>
      <c r="H2147" t="s">
        <v>365</v>
      </c>
      <c r="I2147">
        <v>1301673</v>
      </c>
      <c r="J2147" t="s">
        <v>2994</v>
      </c>
      <c r="K2147" t="s">
        <v>2995</v>
      </c>
      <c r="L2147" t="s">
        <v>2459</v>
      </c>
      <c r="N2147" t="s">
        <v>2999</v>
      </c>
      <c r="O2147" t="s">
        <v>2997</v>
      </c>
      <c r="R2147" t="s">
        <v>3987</v>
      </c>
      <c r="S2147" s="34" t="s">
        <v>6837</v>
      </c>
    </row>
    <row r="2148" spans="1:19" ht="409.5" x14ac:dyDescent="0.15">
      <c r="A2148" t="s">
        <v>3024</v>
      </c>
      <c r="B2148" s="61">
        <v>46235</v>
      </c>
      <c r="E2148" t="s">
        <v>355</v>
      </c>
      <c r="F2148" t="s">
        <v>351</v>
      </c>
      <c r="G2148" t="s">
        <v>354</v>
      </c>
      <c r="H2148" t="s">
        <v>353</v>
      </c>
      <c r="I2148">
        <v>1301716</v>
      </c>
      <c r="J2148" t="s">
        <v>4037</v>
      </c>
      <c r="K2148" t="s">
        <v>6838</v>
      </c>
      <c r="L2148" t="s">
        <v>466</v>
      </c>
      <c r="N2148" t="s">
        <v>6839</v>
      </c>
      <c r="O2148" t="s">
        <v>6840</v>
      </c>
      <c r="R2148" t="s">
        <v>6841</v>
      </c>
      <c r="S2148" s="34" t="s">
        <v>6842</v>
      </c>
    </row>
    <row r="2149" spans="1:19" ht="216" x14ac:dyDescent="0.15">
      <c r="A2149" t="s">
        <v>3024</v>
      </c>
      <c r="B2149" s="61">
        <v>46296</v>
      </c>
      <c r="E2149" t="s">
        <v>355</v>
      </c>
      <c r="F2149" t="s">
        <v>351</v>
      </c>
      <c r="G2149" t="s">
        <v>354</v>
      </c>
      <c r="H2149" t="s">
        <v>353</v>
      </c>
      <c r="I2149">
        <v>1200885</v>
      </c>
      <c r="J2149" t="s">
        <v>3034</v>
      </c>
      <c r="K2149" t="s">
        <v>3035</v>
      </c>
      <c r="L2149" t="s">
        <v>3036</v>
      </c>
      <c r="N2149" t="s">
        <v>3037</v>
      </c>
      <c r="O2149" t="s">
        <v>3038</v>
      </c>
      <c r="R2149" t="s">
        <v>3987</v>
      </c>
      <c r="S2149" s="34" t="s">
        <v>6843</v>
      </c>
    </row>
    <row r="2150" spans="1:19" ht="324" x14ac:dyDescent="0.15">
      <c r="A2150" t="s">
        <v>3024</v>
      </c>
      <c r="B2150" s="61">
        <v>46296</v>
      </c>
      <c r="E2150" t="s">
        <v>355</v>
      </c>
      <c r="F2150" t="s">
        <v>351</v>
      </c>
      <c r="G2150" t="s">
        <v>354</v>
      </c>
      <c r="H2150" t="s">
        <v>365</v>
      </c>
      <c r="I2150">
        <v>1300503</v>
      </c>
      <c r="J2150" t="s">
        <v>2631</v>
      </c>
      <c r="K2150" t="s">
        <v>4142</v>
      </c>
      <c r="L2150" t="s">
        <v>6844</v>
      </c>
      <c r="N2150" t="s">
        <v>6845</v>
      </c>
      <c r="O2150" t="s">
        <v>6846</v>
      </c>
      <c r="R2150" t="s">
        <v>3987</v>
      </c>
      <c r="S2150" s="34" t="s">
        <v>6847</v>
      </c>
    </row>
    <row r="2151" spans="1:19" ht="409.5" x14ac:dyDescent="0.15">
      <c r="A2151" t="s">
        <v>3024</v>
      </c>
      <c r="B2151" s="61">
        <v>46327</v>
      </c>
      <c r="E2151" t="s">
        <v>355</v>
      </c>
      <c r="F2151" t="s">
        <v>351</v>
      </c>
      <c r="G2151" t="s">
        <v>354</v>
      </c>
      <c r="H2151" t="s">
        <v>353</v>
      </c>
      <c r="I2151">
        <v>1201226</v>
      </c>
      <c r="J2151" t="s">
        <v>4201</v>
      </c>
      <c r="K2151" t="s">
        <v>2153</v>
      </c>
      <c r="L2151" t="s">
        <v>2199</v>
      </c>
      <c r="N2151" t="s">
        <v>4202</v>
      </c>
      <c r="O2151" t="s">
        <v>4203</v>
      </c>
      <c r="R2151" t="s">
        <v>3987</v>
      </c>
      <c r="S2151" s="34" t="s">
        <v>6849</v>
      </c>
    </row>
    <row r="2152" spans="1:19" ht="409.5" x14ac:dyDescent="0.15">
      <c r="A2152" t="s">
        <v>3024</v>
      </c>
      <c r="B2152" s="61">
        <v>46327</v>
      </c>
      <c r="E2152" t="s">
        <v>355</v>
      </c>
      <c r="F2152" t="s">
        <v>351</v>
      </c>
      <c r="G2152" t="s">
        <v>354</v>
      </c>
      <c r="H2152" t="s">
        <v>686</v>
      </c>
      <c r="I2152">
        <v>1301716</v>
      </c>
      <c r="J2152" t="s">
        <v>4037</v>
      </c>
      <c r="K2152" t="s">
        <v>6838</v>
      </c>
      <c r="L2152" t="s">
        <v>466</v>
      </c>
      <c r="N2152">
        <v>2136153</v>
      </c>
      <c r="O2152" t="s">
        <v>6840</v>
      </c>
      <c r="R2152" t="s">
        <v>4430</v>
      </c>
      <c r="S2152" s="34" t="s">
        <v>6850</v>
      </c>
    </row>
    <row r="2153" spans="1:19" ht="216" x14ac:dyDescent="0.15">
      <c r="A2153" t="s">
        <v>3040</v>
      </c>
      <c r="B2153" s="61">
        <v>46266</v>
      </c>
      <c r="E2153" t="s">
        <v>355</v>
      </c>
      <c r="F2153" t="s">
        <v>351</v>
      </c>
      <c r="G2153" t="s">
        <v>354</v>
      </c>
      <c r="H2153" t="s">
        <v>353</v>
      </c>
      <c r="I2153">
        <v>3600008</v>
      </c>
      <c r="J2153" t="s">
        <v>6851</v>
      </c>
      <c r="K2153" t="s">
        <v>6852</v>
      </c>
      <c r="L2153" t="s">
        <v>390</v>
      </c>
      <c r="N2153" t="s">
        <v>6853</v>
      </c>
      <c r="O2153" t="s">
        <v>6854</v>
      </c>
      <c r="S2153" s="34" t="s">
        <v>6855</v>
      </c>
    </row>
    <row r="2154" spans="1:19" ht="409.5" x14ac:dyDescent="0.15">
      <c r="A2154" t="s">
        <v>3040</v>
      </c>
      <c r="B2154" s="61">
        <v>46296</v>
      </c>
      <c r="E2154" t="s">
        <v>355</v>
      </c>
      <c r="F2154" t="s">
        <v>351</v>
      </c>
      <c r="G2154" t="s">
        <v>354</v>
      </c>
      <c r="H2154" t="s">
        <v>353</v>
      </c>
      <c r="I2154">
        <v>3600177</v>
      </c>
      <c r="J2154" t="s">
        <v>3041</v>
      </c>
      <c r="K2154" t="s">
        <v>3042</v>
      </c>
      <c r="L2154" t="s">
        <v>466</v>
      </c>
      <c r="N2154" t="s">
        <v>6856</v>
      </c>
      <c r="O2154" t="s">
        <v>3044</v>
      </c>
      <c r="S2154" s="34" t="s">
        <v>6857</v>
      </c>
    </row>
    <row r="2155" spans="1:19" ht="409.5" x14ac:dyDescent="0.15">
      <c r="A2155" t="s">
        <v>3040</v>
      </c>
      <c r="B2155" s="61">
        <v>46296</v>
      </c>
      <c r="E2155" t="s">
        <v>355</v>
      </c>
      <c r="F2155" t="s">
        <v>351</v>
      </c>
      <c r="G2155" t="s">
        <v>354</v>
      </c>
      <c r="H2155" t="s">
        <v>686</v>
      </c>
      <c r="I2155">
        <v>3600177</v>
      </c>
      <c r="J2155" t="s">
        <v>3041</v>
      </c>
      <c r="K2155" t="s">
        <v>3042</v>
      </c>
      <c r="L2155" t="s">
        <v>466</v>
      </c>
      <c r="N2155">
        <v>2163046</v>
      </c>
      <c r="O2155" t="s">
        <v>3044</v>
      </c>
      <c r="S2155" s="34" t="s">
        <v>6858</v>
      </c>
    </row>
    <row r="2156" spans="1:19" ht="162" x14ac:dyDescent="0.15">
      <c r="A2156" t="s">
        <v>3051</v>
      </c>
      <c r="B2156" s="61">
        <v>46266</v>
      </c>
      <c r="E2156" t="s">
        <v>355</v>
      </c>
      <c r="F2156" t="s">
        <v>351</v>
      </c>
      <c r="G2156" t="s">
        <v>354</v>
      </c>
      <c r="H2156" t="s">
        <v>686</v>
      </c>
      <c r="I2156">
        <v>800528</v>
      </c>
      <c r="J2156" t="s">
        <v>2281</v>
      </c>
      <c r="K2156" t="s">
        <v>3988</v>
      </c>
      <c r="L2156" t="s">
        <v>3989</v>
      </c>
      <c r="N2156">
        <v>2135298</v>
      </c>
      <c r="O2156" t="s">
        <v>3991</v>
      </c>
      <c r="S2156" s="34" t="s">
        <v>6859</v>
      </c>
    </row>
    <row r="2157" spans="1:19" ht="243" x14ac:dyDescent="0.15">
      <c r="A2157" t="s">
        <v>3051</v>
      </c>
      <c r="B2157" s="61">
        <v>46266</v>
      </c>
      <c r="E2157" t="s">
        <v>355</v>
      </c>
      <c r="F2157" t="s">
        <v>351</v>
      </c>
      <c r="G2157" t="s">
        <v>354</v>
      </c>
      <c r="H2157" t="s">
        <v>686</v>
      </c>
      <c r="I2157">
        <v>800528</v>
      </c>
      <c r="J2157" t="s">
        <v>2281</v>
      </c>
      <c r="K2157" t="s">
        <v>3988</v>
      </c>
      <c r="L2157" t="s">
        <v>3989</v>
      </c>
      <c r="N2157">
        <v>2136538</v>
      </c>
      <c r="O2157" t="s">
        <v>3991</v>
      </c>
      <c r="S2157" s="34" t="s">
        <v>6860</v>
      </c>
    </row>
    <row r="2158" spans="1:19" ht="256.5" x14ac:dyDescent="0.15">
      <c r="A2158" t="s">
        <v>3051</v>
      </c>
      <c r="B2158" s="61">
        <v>46266</v>
      </c>
      <c r="E2158" t="s">
        <v>355</v>
      </c>
      <c r="F2158" t="s">
        <v>351</v>
      </c>
      <c r="G2158" t="s">
        <v>354</v>
      </c>
      <c r="H2158" t="s">
        <v>353</v>
      </c>
      <c r="I2158">
        <v>801404</v>
      </c>
      <c r="J2158" t="s">
        <v>3053</v>
      </c>
      <c r="K2158" t="s">
        <v>403</v>
      </c>
      <c r="L2158" t="s">
        <v>2041</v>
      </c>
      <c r="N2158" t="s">
        <v>6861</v>
      </c>
      <c r="O2158" t="s">
        <v>3055</v>
      </c>
      <c r="S2158" s="34" t="s">
        <v>6862</v>
      </c>
    </row>
    <row r="2159" spans="1:19" ht="409.5" x14ac:dyDescent="0.15">
      <c r="A2159" t="s">
        <v>3051</v>
      </c>
      <c r="B2159" s="61">
        <v>46266</v>
      </c>
      <c r="E2159" t="s">
        <v>355</v>
      </c>
      <c r="F2159" t="s">
        <v>351</v>
      </c>
      <c r="G2159" t="s">
        <v>354</v>
      </c>
      <c r="H2159" t="s">
        <v>365</v>
      </c>
      <c r="I2159">
        <v>801404</v>
      </c>
      <c r="J2159" t="s">
        <v>3053</v>
      </c>
      <c r="K2159" t="s">
        <v>403</v>
      </c>
      <c r="L2159" t="s">
        <v>2041</v>
      </c>
      <c r="N2159" t="s">
        <v>6863</v>
      </c>
      <c r="O2159" t="s">
        <v>3055</v>
      </c>
      <c r="S2159" s="34" t="s">
        <v>6864</v>
      </c>
    </row>
    <row r="2160" spans="1:19" ht="283.5" x14ac:dyDescent="0.15">
      <c r="A2160" t="s">
        <v>3051</v>
      </c>
      <c r="B2160" s="61">
        <v>46266</v>
      </c>
      <c r="E2160" t="s">
        <v>355</v>
      </c>
      <c r="F2160" t="s">
        <v>351</v>
      </c>
      <c r="G2160" t="s">
        <v>354</v>
      </c>
      <c r="H2160" t="s">
        <v>686</v>
      </c>
      <c r="I2160">
        <v>801404</v>
      </c>
      <c r="J2160" t="s">
        <v>3053</v>
      </c>
      <c r="K2160" t="s">
        <v>403</v>
      </c>
      <c r="L2160" t="s">
        <v>2041</v>
      </c>
      <c r="N2160">
        <v>2147441</v>
      </c>
      <c r="O2160" t="s">
        <v>3055</v>
      </c>
      <c r="S2160" s="34" t="s">
        <v>6865</v>
      </c>
    </row>
    <row r="2161" spans="1:19" ht="409.5" x14ac:dyDescent="0.15">
      <c r="A2161" t="s">
        <v>3051</v>
      </c>
      <c r="B2161" s="61">
        <v>46266</v>
      </c>
      <c r="E2161" t="s">
        <v>355</v>
      </c>
      <c r="F2161" t="s">
        <v>351</v>
      </c>
      <c r="G2161" t="s">
        <v>352</v>
      </c>
      <c r="H2161" t="s">
        <v>310</v>
      </c>
      <c r="I2161">
        <v>900054</v>
      </c>
      <c r="J2161" t="s">
        <v>751</v>
      </c>
      <c r="K2161" t="s">
        <v>6866</v>
      </c>
      <c r="L2161" t="s">
        <v>6867</v>
      </c>
      <c r="N2161" t="s">
        <v>6868</v>
      </c>
      <c r="O2161" t="s">
        <v>6869</v>
      </c>
      <c r="R2161" t="s">
        <v>3958</v>
      </c>
      <c r="S2161" s="34" t="s">
        <v>6870</v>
      </c>
    </row>
    <row r="2162" spans="1:19" ht="409.5" x14ac:dyDescent="0.15">
      <c r="A2162" t="s">
        <v>3051</v>
      </c>
      <c r="B2162" s="61">
        <v>46266</v>
      </c>
      <c r="E2162" t="s">
        <v>355</v>
      </c>
      <c r="F2162" t="s">
        <v>351</v>
      </c>
      <c r="G2162" t="s">
        <v>352</v>
      </c>
      <c r="H2162" t="s">
        <v>353</v>
      </c>
      <c r="I2162">
        <v>900912</v>
      </c>
      <c r="J2162" t="s">
        <v>1720</v>
      </c>
      <c r="K2162" t="s">
        <v>6871</v>
      </c>
      <c r="L2162" t="s">
        <v>413</v>
      </c>
      <c r="N2162" t="s">
        <v>6872</v>
      </c>
      <c r="O2162" t="s">
        <v>6873</v>
      </c>
      <c r="R2162" t="s">
        <v>3985</v>
      </c>
      <c r="S2162" s="34" t="s">
        <v>6874</v>
      </c>
    </row>
    <row r="2163" spans="1:19" ht="337.5" x14ac:dyDescent="0.15">
      <c r="A2163" t="s">
        <v>3051</v>
      </c>
      <c r="B2163" s="61">
        <v>46266</v>
      </c>
      <c r="E2163" t="s">
        <v>355</v>
      </c>
      <c r="F2163" t="s">
        <v>351</v>
      </c>
      <c r="G2163" t="s">
        <v>354</v>
      </c>
      <c r="H2163" t="s">
        <v>353</v>
      </c>
      <c r="I2163">
        <v>900977</v>
      </c>
      <c r="J2163" t="s">
        <v>3079</v>
      </c>
      <c r="K2163" t="s">
        <v>3080</v>
      </c>
      <c r="L2163" t="s">
        <v>3081</v>
      </c>
      <c r="N2163" t="s">
        <v>3082</v>
      </c>
      <c r="O2163" t="s">
        <v>3083</v>
      </c>
      <c r="S2163" s="34" t="s">
        <v>6875</v>
      </c>
    </row>
    <row r="2164" spans="1:19" ht="409.5" x14ac:dyDescent="0.15">
      <c r="A2164" t="s">
        <v>3051</v>
      </c>
      <c r="B2164" s="61">
        <v>46266</v>
      </c>
      <c r="E2164" t="s">
        <v>355</v>
      </c>
      <c r="F2164" t="s">
        <v>351</v>
      </c>
      <c r="G2164" t="s">
        <v>354</v>
      </c>
      <c r="H2164" t="s">
        <v>353</v>
      </c>
      <c r="I2164">
        <v>900995</v>
      </c>
      <c r="J2164" t="s">
        <v>3944</v>
      </c>
      <c r="K2164" t="s">
        <v>3052</v>
      </c>
      <c r="L2164" t="s">
        <v>413</v>
      </c>
      <c r="N2164" t="s">
        <v>6876</v>
      </c>
      <c r="O2164" t="s">
        <v>3946</v>
      </c>
      <c r="S2164" s="34" t="s">
        <v>6877</v>
      </c>
    </row>
    <row r="2165" spans="1:19" ht="310.5" x14ac:dyDescent="0.15">
      <c r="A2165" t="s">
        <v>3051</v>
      </c>
      <c r="B2165" s="61">
        <v>46296</v>
      </c>
      <c r="E2165" t="s">
        <v>355</v>
      </c>
      <c r="F2165" t="s">
        <v>351</v>
      </c>
      <c r="G2165" t="s">
        <v>354</v>
      </c>
      <c r="H2165" t="s">
        <v>3913</v>
      </c>
      <c r="I2165">
        <v>800079</v>
      </c>
      <c r="J2165" t="s">
        <v>6878</v>
      </c>
      <c r="K2165" t="s">
        <v>1251</v>
      </c>
      <c r="L2165" t="s">
        <v>6879</v>
      </c>
      <c r="N2165" t="s">
        <v>6880</v>
      </c>
      <c r="O2165" t="s">
        <v>6881</v>
      </c>
      <c r="S2165" s="34" t="s">
        <v>6882</v>
      </c>
    </row>
    <row r="2166" spans="1:19" ht="409.5" x14ac:dyDescent="0.15">
      <c r="A2166" t="s">
        <v>3051</v>
      </c>
      <c r="B2166" s="61">
        <v>46327</v>
      </c>
      <c r="E2166" t="s">
        <v>355</v>
      </c>
      <c r="F2166" t="s">
        <v>351</v>
      </c>
      <c r="G2166" t="s">
        <v>354</v>
      </c>
      <c r="H2166" t="s">
        <v>365</v>
      </c>
      <c r="I2166">
        <v>801280</v>
      </c>
      <c r="J2166" t="s">
        <v>6883</v>
      </c>
      <c r="K2166" t="s">
        <v>6884</v>
      </c>
      <c r="L2166" t="s">
        <v>6885</v>
      </c>
      <c r="N2166" t="s">
        <v>6886</v>
      </c>
      <c r="O2166" t="s">
        <v>6887</v>
      </c>
      <c r="R2166" t="s">
        <v>3987</v>
      </c>
      <c r="S2166" s="34" t="s">
        <v>6888</v>
      </c>
    </row>
    <row r="2167" spans="1:19" ht="229.5" x14ac:dyDescent="0.15">
      <c r="A2167" t="s">
        <v>3051</v>
      </c>
      <c r="B2167" s="61">
        <v>46357</v>
      </c>
      <c r="E2167" t="s">
        <v>355</v>
      </c>
      <c r="F2167" t="s">
        <v>351</v>
      </c>
      <c r="G2167" t="s">
        <v>354</v>
      </c>
      <c r="H2167" t="s">
        <v>365</v>
      </c>
      <c r="I2167">
        <v>900799</v>
      </c>
      <c r="J2167" t="s">
        <v>3070</v>
      </c>
      <c r="K2167" t="s">
        <v>3071</v>
      </c>
      <c r="L2167" t="s">
        <v>390</v>
      </c>
      <c r="N2167" t="s">
        <v>3072</v>
      </c>
      <c r="O2167" t="s">
        <v>3073</v>
      </c>
      <c r="R2167" t="s">
        <v>3987</v>
      </c>
      <c r="S2167" s="34" t="s">
        <v>6889</v>
      </c>
    </row>
    <row r="2168" spans="1:19" ht="409.5" x14ac:dyDescent="0.15">
      <c r="A2168" t="s">
        <v>3089</v>
      </c>
      <c r="B2168" s="61">
        <v>46266</v>
      </c>
      <c r="E2168" t="s">
        <v>355</v>
      </c>
      <c r="F2168" t="s">
        <v>351</v>
      </c>
      <c r="G2168" t="s">
        <v>354</v>
      </c>
      <c r="H2168" t="s">
        <v>365</v>
      </c>
      <c r="I2168">
        <v>900784</v>
      </c>
      <c r="J2168" t="s">
        <v>3145</v>
      </c>
      <c r="K2168" t="s">
        <v>3146</v>
      </c>
      <c r="L2168" t="s">
        <v>4546</v>
      </c>
      <c r="N2168" t="s">
        <v>3152</v>
      </c>
      <c r="O2168" t="s">
        <v>3149</v>
      </c>
      <c r="S2168" s="34" t="s">
        <v>6890</v>
      </c>
    </row>
    <row r="2169" spans="1:19" ht="409.5" x14ac:dyDescent="0.15">
      <c r="A2169" t="s">
        <v>3089</v>
      </c>
      <c r="B2169" s="61">
        <v>46296</v>
      </c>
      <c r="E2169" t="s">
        <v>355</v>
      </c>
      <c r="F2169" t="s">
        <v>351</v>
      </c>
      <c r="G2169" t="s">
        <v>352</v>
      </c>
      <c r="H2169" t="s">
        <v>365</v>
      </c>
      <c r="I2169">
        <v>900681</v>
      </c>
      <c r="J2169" t="s">
        <v>6891</v>
      </c>
      <c r="L2169" t="s">
        <v>6892</v>
      </c>
      <c r="N2169" t="s">
        <v>6893</v>
      </c>
      <c r="O2169" t="s">
        <v>6894</v>
      </c>
      <c r="R2169" t="s">
        <v>3985</v>
      </c>
      <c r="S2169" s="34" t="s">
        <v>6895</v>
      </c>
    </row>
    <row r="2170" spans="1:19" ht="409.5" x14ac:dyDescent="0.15">
      <c r="A2170" t="s">
        <v>3089</v>
      </c>
      <c r="B2170" s="61">
        <v>46296</v>
      </c>
      <c r="E2170" t="s">
        <v>355</v>
      </c>
      <c r="F2170" t="s">
        <v>351</v>
      </c>
      <c r="G2170" t="s">
        <v>354</v>
      </c>
      <c r="H2170" t="s">
        <v>353</v>
      </c>
      <c r="I2170">
        <v>900989</v>
      </c>
      <c r="J2170" t="s">
        <v>3098</v>
      </c>
      <c r="K2170" t="s">
        <v>3092</v>
      </c>
      <c r="L2170" t="s">
        <v>3099</v>
      </c>
      <c r="N2170" t="s">
        <v>6896</v>
      </c>
      <c r="O2170" t="s">
        <v>3101</v>
      </c>
      <c r="R2170" t="s">
        <v>3987</v>
      </c>
      <c r="S2170" s="34" t="s">
        <v>6897</v>
      </c>
    </row>
    <row r="2171" spans="1:19" ht="324" x14ac:dyDescent="0.15">
      <c r="A2171" t="s">
        <v>3089</v>
      </c>
      <c r="B2171" s="61">
        <v>46296</v>
      </c>
      <c r="E2171" t="s">
        <v>355</v>
      </c>
      <c r="F2171" t="s">
        <v>351</v>
      </c>
      <c r="G2171" t="s">
        <v>354</v>
      </c>
      <c r="H2171" t="s">
        <v>686</v>
      </c>
      <c r="I2171">
        <v>900989</v>
      </c>
      <c r="J2171" t="s">
        <v>3098</v>
      </c>
      <c r="K2171" t="s">
        <v>3092</v>
      </c>
      <c r="L2171" t="s">
        <v>3099</v>
      </c>
      <c r="N2171">
        <v>2156146</v>
      </c>
      <c r="O2171" t="s">
        <v>3101</v>
      </c>
      <c r="R2171" t="s">
        <v>3987</v>
      </c>
      <c r="S2171" s="34" t="s">
        <v>6898</v>
      </c>
    </row>
    <row r="2172" spans="1:19" ht="409.5" x14ac:dyDescent="0.15">
      <c r="A2172" t="s">
        <v>3089</v>
      </c>
      <c r="B2172" s="61">
        <v>46327</v>
      </c>
      <c r="E2172" t="s">
        <v>355</v>
      </c>
      <c r="F2172" t="s">
        <v>351</v>
      </c>
      <c r="G2172" t="s">
        <v>354</v>
      </c>
      <c r="H2172" t="s">
        <v>353</v>
      </c>
      <c r="I2172">
        <v>900260</v>
      </c>
      <c r="J2172" t="s">
        <v>873</v>
      </c>
      <c r="K2172" t="s">
        <v>3129</v>
      </c>
      <c r="L2172" t="s">
        <v>3130</v>
      </c>
      <c r="N2172" t="s">
        <v>3131</v>
      </c>
      <c r="O2172" t="s">
        <v>3132</v>
      </c>
      <c r="R2172" t="s">
        <v>3986</v>
      </c>
      <c r="S2172" s="34" t="s">
        <v>6899</v>
      </c>
    </row>
    <row r="2173" spans="1:19" ht="229.5" x14ac:dyDescent="0.15">
      <c r="A2173" t="s">
        <v>3089</v>
      </c>
      <c r="B2173" s="61">
        <v>46327</v>
      </c>
      <c r="E2173" t="s">
        <v>355</v>
      </c>
      <c r="F2173" t="s">
        <v>351</v>
      </c>
      <c r="G2173" t="s">
        <v>354</v>
      </c>
      <c r="H2173" t="s">
        <v>353</v>
      </c>
      <c r="I2173">
        <v>900854</v>
      </c>
      <c r="J2173" t="s">
        <v>3091</v>
      </c>
      <c r="K2173" t="s">
        <v>3092</v>
      </c>
      <c r="L2173" t="s">
        <v>4676</v>
      </c>
      <c r="N2173" t="s">
        <v>3138</v>
      </c>
      <c r="O2173" t="s">
        <v>3093</v>
      </c>
      <c r="R2173" t="s">
        <v>4678</v>
      </c>
      <c r="S2173" s="34" t="s">
        <v>6900</v>
      </c>
    </row>
    <row r="2174" spans="1:19" ht="189" x14ac:dyDescent="0.15">
      <c r="A2174" t="s">
        <v>3089</v>
      </c>
      <c r="B2174" s="61">
        <v>46357</v>
      </c>
      <c r="E2174" t="s">
        <v>355</v>
      </c>
      <c r="F2174" t="s">
        <v>351</v>
      </c>
      <c r="G2174" t="s">
        <v>354</v>
      </c>
      <c r="H2174" t="s">
        <v>686</v>
      </c>
      <c r="I2174">
        <v>900854</v>
      </c>
      <c r="J2174" t="s">
        <v>3091</v>
      </c>
      <c r="K2174" t="s">
        <v>3092</v>
      </c>
      <c r="L2174" t="s">
        <v>4676</v>
      </c>
      <c r="N2174">
        <v>2144063</v>
      </c>
      <c r="O2174" t="s">
        <v>3093</v>
      </c>
      <c r="R2174" t="s">
        <v>4677</v>
      </c>
      <c r="S2174" s="34" t="s">
        <v>6901</v>
      </c>
    </row>
    <row r="2175" spans="1:19" ht="297" x14ac:dyDescent="0.15">
      <c r="A2175" t="s">
        <v>3089</v>
      </c>
      <c r="B2175" s="61">
        <v>46357</v>
      </c>
      <c r="E2175" t="s">
        <v>355</v>
      </c>
      <c r="F2175" t="s">
        <v>351</v>
      </c>
      <c r="G2175" t="s">
        <v>354</v>
      </c>
      <c r="H2175" t="s">
        <v>686</v>
      </c>
      <c r="I2175">
        <v>900854</v>
      </c>
      <c r="J2175" t="s">
        <v>3091</v>
      </c>
      <c r="K2175" t="s">
        <v>3092</v>
      </c>
      <c r="L2175" t="s">
        <v>4676</v>
      </c>
      <c r="N2175">
        <v>2144103</v>
      </c>
      <c r="O2175" t="s">
        <v>3093</v>
      </c>
      <c r="R2175" t="s">
        <v>4678</v>
      </c>
      <c r="S2175" s="34" t="s">
        <v>6902</v>
      </c>
    </row>
    <row r="2176" spans="1:19" ht="216" x14ac:dyDescent="0.15">
      <c r="A2176" t="s">
        <v>3089</v>
      </c>
      <c r="B2176" s="61">
        <v>46357</v>
      </c>
      <c r="E2176" t="s">
        <v>355</v>
      </c>
      <c r="F2176" t="s">
        <v>351</v>
      </c>
      <c r="G2176" t="s">
        <v>354</v>
      </c>
      <c r="H2176" t="s">
        <v>353</v>
      </c>
      <c r="I2176">
        <v>900980</v>
      </c>
      <c r="J2176" t="s">
        <v>2683</v>
      </c>
      <c r="K2176" t="s">
        <v>3154</v>
      </c>
      <c r="L2176" t="s">
        <v>3155</v>
      </c>
      <c r="N2176" t="s">
        <v>3156</v>
      </c>
      <c r="O2176" t="s">
        <v>3157</v>
      </c>
      <c r="R2176" t="s">
        <v>3987</v>
      </c>
      <c r="S2176" s="34" t="s">
        <v>6903</v>
      </c>
    </row>
    <row r="2177" spans="1:19" ht="409.5" x14ac:dyDescent="0.15">
      <c r="A2177" t="s">
        <v>3163</v>
      </c>
      <c r="B2177" s="61">
        <v>46266</v>
      </c>
      <c r="E2177" t="s">
        <v>355</v>
      </c>
      <c r="F2177" t="s">
        <v>351</v>
      </c>
      <c r="G2177" t="s">
        <v>354</v>
      </c>
      <c r="H2177" t="s">
        <v>353</v>
      </c>
      <c r="I2177">
        <v>2900055</v>
      </c>
      <c r="J2177" t="s">
        <v>6904</v>
      </c>
      <c r="K2177" t="s">
        <v>6905</v>
      </c>
      <c r="L2177" t="s">
        <v>833</v>
      </c>
      <c r="N2177" t="s">
        <v>6906</v>
      </c>
      <c r="O2177" t="s">
        <v>6907</v>
      </c>
      <c r="S2177" s="34" t="s">
        <v>6908</v>
      </c>
    </row>
    <row r="2178" spans="1:19" ht="229.5" x14ac:dyDescent="0.15">
      <c r="A2178" t="s">
        <v>3163</v>
      </c>
      <c r="B2178" s="61">
        <v>46266</v>
      </c>
      <c r="E2178" t="s">
        <v>355</v>
      </c>
      <c r="F2178" t="s">
        <v>351</v>
      </c>
      <c r="G2178" t="s">
        <v>354</v>
      </c>
      <c r="H2178" t="s">
        <v>3913</v>
      </c>
      <c r="I2178">
        <v>2900055</v>
      </c>
      <c r="J2178" t="s">
        <v>6904</v>
      </c>
      <c r="K2178" t="s">
        <v>6905</v>
      </c>
      <c r="L2178" t="s">
        <v>833</v>
      </c>
      <c r="N2178" t="s">
        <v>6909</v>
      </c>
      <c r="O2178" t="s">
        <v>6907</v>
      </c>
      <c r="S2178" s="34" t="s">
        <v>6910</v>
      </c>
    </row>
    <row r="2179" spans="1:19" ht="324" x14ac:dyDescent="0.15">
      <c r="A2179" t="s">
        <v>3163</v>
      </c>
      <c r="B2179" s="61">
        <v>46266</v>
      </c>
      <c r="E2179" t="s">
        <v>355</v>
      </c>
      <c r="F2179" t="s">
        <v>351</v>
      </c>
      <c r="G2179" t="s">
        <v>354</v>
      </c>
      <c r="H2179" t="s">
        <v>686</v>
      </c>
      <c r="I2179">
        <v>2900157</v>
      </c>
      <c r="J2179" t="s">
        <v>3164</v>
      </c>
      <c r="L2179" t="s">
        <v>2359</v>
      </c>
      <c r="N2179">
        <v>2062300</v>
      </c>
      <c r="O2179" t="s">
        <v>6911</v>
      </c>
      <c r="R2179" t="s">
        <v>5399</v>
      </c>
      <c r="S2179" s="34" t="s">
        <v>6912</v>
      </c>
    </row>
    <row r="2180" spans="1:19" ht="229.5" x14ac:dyDescent="0.15">
      <c r="A2180" t="s">
        <v>3163</v>
      </c>
      <c r="B2180" s="61">
        <v>46296</v>
      </c>
      <c r="E2180" t="s">
        <v>355</v>
      </c>
      <c r="F2180" t="s">
        <v>351</v>
      </c>
      <c r="G2180" t="s">
        <v>352</v>
      </c>
      <c r="H2180" t="s">
        <v>365</v>
      </c>
      <c r="I2180">
        <v>2900011</v>
      </c>
      <c r="J2180" t="s">
        <v>3102</v>
      </c>
      <c r="K2180" t="s">
        <v>6913</v>
      </c>
      <c r="L2180" t="s">
        <v>6914</v>
      </c>
      <c r="N2180" t="s">
        <v>6915</v>
      </c>
      <c r="O2180" t="s">
        <v>6916</v>
      </c>
      <c r="R2180" t="s">
        <v>3985</v>
      </c>
      <c r="S2180" s="34" t="s">
        <v>6917</v>
      </c>
    </row>
    <row r="2181" spans="1:19" ht="378" x14ac:dyDescent="0.15">
      <c r="A2181" t="s">
        <v>3163</v>
      </c>
      <c r="B2181" s="61">
        <v>46296</v>
      </c>
      <c r="E2181" t="s">
        <v>355</v>
      </c>
      <c r="F2181" t="s">
        <v>351</v>
      </c>
      <c r="G2181" t="s">
        <v>352</v>
      </c>
      <c r="H2181" t="s">
        <v>365</v>
      </c>
      <c r="I2181">
        <v>2900051</v>
      </c>
      <c r="J2181" t="s">
        <v>3102</v>
      </c>
      <c r="K2181" t="s">
        <v>6913</v>
      </c>
      <c r="L2181" t="s">
        <v>6918</v>
      </c>
      <c r="N2181" t="s">
        <v>6919</v>
      </c>
      <c r="O2181" t="s">
        <v>6920</v>
      </c>
      <c r="R2181" t="s">
        <v>3985</v>
      </c>
      <c r="S2181" s="34" t="s">
        <v>6921</v>
      </c>
    </row>
    <row r="2182" spans="1:19" ht="409.5" x14ac:dyDescent="0.15">
      <c r="A2182" t="s">
        <v>3163</v>
      </c>
      <c r="B2182" s="61">
        <v>46296</v>
      </c>
      <c r="E2182" t="s">
        <v>355</v>
      </c>
      <c r="F2182" t="s">
        <v>351</v>
      </c>
      <c r="G2182" t="s">
        <v>354</v>
      </c>
      <c r="H2182" t="s">
        <v>353</v>
      </c>
      <c r="I2182">
        <v>2900300</v>
      </c>
      <c r="J2182" t="s">
        <v>3164</v>
      </c>
      <c r="L2182" t="s">
        <v>3165</v>
      </c>
      <c r="N2182" t="s">
        <v>3166</v>
      </c>
      <c r="O2182" t="s">
        <v>3167</v>
      </c>
      <c r="S2182" s="34" t="s">
        <v>6922</v>
      </c>
    </row>
    <row r="2183" spans="1:19" ht="229.5" x14ac:dyDescent="0.15">
      <c r="A2183" t="s">
        <v>3163</v>
      </c>
      <c r="B2183" s="61">
        <v>46357</v>
      </c>
      <c r="E2183" t="s">
        <v>355</v>
      </c>
      <c r="F2183" t="s">
        <v>351</v>
      </c>
      <c r="G2183" t="s">
        <v>352</v>
      </c>
      <c r="H2183" t="s">
        <v>365</v>
      </c>
      <c r="I2183">
        <v>2900195</v>
      </c>
      <c r="J2183" t="s">
        <v>6923</v>
      </c>
      <c r="K2183" t="s">
        <v>6924</v>
      </c>
      <c r="L2183" t="s">
        <v>1827</v>
      </c>
      <c r="N2183" t="s">
        <v>6925</v>
      </c>
      <c r="O2183" t="s">
        <v>6926</v>
      </c>
      <c r="R2183" t="s">
        <v>3985</v>
      </c>
      <c r="S2183" s="34" t="s">
        <v>6927</v>
      </c>
    </row>
    <row r="2184" spans="1:19" ht="409.5" x14ac:dyDescent="0.15">
      <c r="A2184" t="s">
        <v>3168</v>
      </c>
      <c r="B2184" s="61">
        <v>46235</v>
      </c>
      <c r="E2184" t="s">
        <v>355</v>
      </c>
      <c r="F2184" t="s">
        <v>351</v>
      </c>
      <c r="G2184" t="s">
        <v>354</v>
      </c>
      <c r="H2184" t="s">
        <v>310</v>
      </c>
      <c r="I2184">
        <v>4600201</v>
      </c>
      <c r="J2184" t="s">
        <v>2250</v>
      </c>
      <c r="K2184" t="s">
        <v>6928</v>
      </c>
      <c r="L2184" t="s">
        <v>6929</v>
      </c>
      <c r="N2184" t="s">
        <v>6930</v>
      </c>
      <c r="O2184" t="s">
        <v>6931</v>
      </c>
      <c r="S2184" s="34" t="s">
        <v>6932</v>
      </c>
    </row>
    <row r="2185" spans="1:19" ht="175.5" x14ac:dyDescent="0.15">
      <c r="A2185" t="s">
        <v>3168</v>
      </c>
      <c r="B2185" s="61">
        <v>46235</v>
      </c>
      <c r="E2185" t="s">
        <v>355</v>
      </c>
      <c r="F2185" t="s">
        <v>351</v>
      </c>
      <c r="G2185" t="s">
        <v>354</v>
      </c>
      <c r="H2185" t="s">
        <v>353</v>
      </c>
      <c r="I2185">
        <v>4600201</v>
      </c>
      <c r="J2185" t="s">
        <v>2250</v>
      </c>
      <c r="K2185" t="s">
        <v>6928</v>
      </c>
      <c r="L2185" t="s">
        <v>6929</v>
      </c>
      <c r="N2185" t="s">
        <v>6933</v>
      </c>
      <c r="O2185" t="s">
        <v>6931</v>
      </c>
      <c r="S2185" s="34" t="s">
        <v>6934</v>
      </c>
    </row>
    <row r="2186" spans="1:19" ht="409.5" x14ac:dyDescent="0.15">
      <c r="A2186" t="s">
        <v>3168</v>
      </c>
      <c r="B2186" s="61">
        <v>46235</v>
      </c>
      <c r="E2186" t="s">
        <v>355</v>
      </c>
      <c r="F2186" t="s">
        <v>351</v>
      </c>
      <c r="G2186" t="s">
        <v>354</v>
      </c>
      <c r="H2186" t="s">
        <v>686</v>
      </c>
      <c r="I2186">
        <v>4600201</v>
      </c>
      <c r="J2186" t="s">
        <v>2250</v>
      </c>
      <c r="K2186" t="s">
        <v>6928</v>
      </c>
      <c r="L2186" t="s">
        <v>6929</v>
      </c>
      <c r="N2186">
        <v>2158591</v>
      </c>
      <c r="O2186" t="s">
        <v>6931</v>
      </c>
      <c r="S2186" s="34" t="s">
        <v>6935</v>
      </c>
    </row>
    <row r="2187" spans="1:19" ht="337.5" x14ac:dyDescent="0.15">
      <c r="A2187" t="s">
        <v>3168</v>
      </c>
      <c r="B2187" s="61">
        <v>46296</v>
      </c>
      <c r="E2187" t="s">
        <v>355</v>
      </c>
      <c r="F2187" t="s">
        <v>351</v>
      </c>
      <c r="G2187" t="s">
        <v>354</v>
      </c>
      <c r="H2187" t="s">
        <v>353</v>
      </c>
      <c r="I2187">
        <v>4700100</v>
      </c>
      <c r="J2187" t="s">
        <v>663</v>
      </c>
      <c r="K2187" t="s">
        <v>3173</v>
      </c>
      <c r="L2187" t="s">
        <v>404</v>
      </c>
      <c r="N2187" t="s">
        <v>3174</v>
      </c>
      <c r="O2187" t="s">
        <v>3175</v>
      </c>
      <c r="S2187" s="34" t="s">
        <v>6936</v>
      </c>
    </row>
    <row r="2188" spans="1:19" ht="378" x14ac:dyDescent="0.15">
      <c r="A2188" t="s">
        <v>3168</v>
      </c>
      <c r="B2188" s="61">
        <v>46327</v>
      </c>
      <c r="E2188" t="s">
        <v>355</v>
      </c>
      <c r="F2188" t="s">
        <v>351</v>
      </c>
      <c r="G2188" t="s">
        <v>352</v>
      </c>
      <c r="H2188" t="s">
        <v>365</v>
      </c>
      <c r="I2188">
        <v>4600138</v>
      </c>
      <c r="J2188" t="s">
        <v>3169</v>
      </c>
      <c r="L2188" t="s">
        <v>698</v>
      </c>
      <c r="N2188" t="s">
        <v>3170</v>
      </c>
      <c r="O2188" t="s">
        <v>3171</v>
      </c>
      <c r="R2188" t="s">
        <v>3985</v>
      </c>
      <c r="S2188" s="34" t="s">
        <v>6937</v>
      </c>
    </row>
    <row r="2189" spans="1:19" ht="364.5" x14ac:dyDescent="0.15">
      <c r="A2189" t="s">
        <v>3168</v>
      </c>
      <c r="B2189" s="61">
        <v>46327</v>
      </c>
      <c r="E2189" t="s">
        <v>355</v>
      </c>
      <c r="F2189" t="s">
        <v>351</v>
      </c>
      <c r="G2189" t="s">
        <v>354</v>
      </c>
      <c r="H2189" t="s">
        <v>353</v>
      </c>
      <c r="I2189">
        <v>4700073</v>
      </c>
      <c r="J2189" t="s">
        <v>3997</v>
      </c>
      <c r="K2189" t="s">
        <v>6938</v>
      </c>
      <c r="L2189" t="s">
        <v>1276</v>
      </c>
      <c r="N2189" t="s">
        <v>6939</v>
      </c>
      <c r="O2189" t="s">
        <v>6940</v>
      </c>
      <c r="S2189" s="34" t="s">
        <v>6941</v>
      </c>
    </row>
    <row r="2190" spans="1:19" ht="391.5" x14ac:dyDescent="0.15">
      <c r="A2190" t="s">
        <v>3177</v>
      </c>
      <c r="B2190" s="61">
        <v>46235</v>
      </c>
      <c r="E2190" t="s">
        <v>355</v>
      </c>
      <c r="F2190" t="s">
        <v>351</v>
      </c>
      <c r="G2190" t="s">
        <v>354</v>
      </c>
      <c r="H2190" t="s">
        <v>353</v>
      </c>
      <c r="I2190">
        <v>2702053</v>
      </c>
      <c r="J2190" t="s">
        <v>427</v>
      </c>
      <c r="K2190" t="s">
        <v>1350</v>
      </c>
      <c r="L2190" t="s">
        <v>698</v>
      </c>
      <c r="N2190" t="s">
        <v>6942</v>
      </c>
      <c r="O2190" t="s">
        <v>3209</v>
      </c>
      <c r="R2190" t="s">
        <v>4052</v>
      </c>
      <c r="S2190" s="34" t="s">
        <v>6943</v>
      </c>
    </row>
    <row r="2191" spans="1:19" ht="202.5" x14ac:dyDescent="0.15">
      <c r="A2191" t="s">
        <v>3177</v>
      </c>
      <c r="B2191" s="61">
        <v>46235</v>
      </c>
      <c r="E2191" t="s">
        <v>355</v>
      </c>
      <c r="F2191" t="s">
        <v>351</v>
      </c>
      <c r="G2191" t="s">
        <v>354</v>
      </c>
      <c r="H2191" t="s">
        <v>3996</v>
      </c>
      <c r="I2191">
        <v>2702053</v>
      </c>
      <c r="J2191" t="s">
        <v>427</v>
      </c>
      <c r="K2191" t="s">
        <v>1350</v>
      </c>
      <c r="L2191" t="s">
        <v>698</v>
      </c>
      <c r="N2191">
        <v>6282</v>
      </c>
      <c r="O2191" t="s">
        <v>3209</v>
      </c>
      <c r="R2191" t="s">
        <v>4052</v>
      </c>
      <c r="S2191" s="34" t="s">
        <v>6944</v>
      </c>
    </row>
    <row r="2192" spans="1:19" ht="409.5" x14ac:dyDescent="0.15">
      <c r="A2192" t="s">
        <v>3177</v>
      </c>
      <c r="B2192" s="61">
        <v>46235</v>
      </c>
      <c r="E2192" t="s">
        <v>355</v>
      </c>
      <c r="F2192" t="s">
        <v>351</v>
      </c>
      <c r="G2192" t="s">
        <v>352</v>
      </c>
      <c r="H2192" t="s">
        <v>365</v>
      </c>
      <c r="I2192">
        <v>2702311</v>
      </c>
      <c r="J2192" t="s">
        <v>1004</v>
      </c>
      <c r="K2192" t="s">
        <v>6945</v>
      </c>
      <c r="L2192" t="s">
        <v>390</v>
      </c>
      <c r="N2192" t="s">
        <v>6946</v>
      </c>
      <c r="O2192" t="s">
        <v>6947</v>
      </c>
      <c r="R2192" t="s">
        <v>3985</v>
      </c>
      <c r="S2192" s="34" t="s">
        <v>6948</v>
      </c>
    </row>
    <row r="2193" spans="1:19" ht="202.5" x14ac:dyDescent="0.15">
      <c r="A2193" t="s">
        <v>3177</v>
      </c>
      <c r="B2193" s="61">
        <v>46235</v>
      </c>
      <c r="E2193" t="s">
        <v>355</v>
      </c>
      <c r="F2193" t="s">
        <v>351</v>
      </c>
      <c r="G2193" t="s">
        <v>354</v>
      </c>
      <c r="H2193" t="s">
        <v>365</v>
      </c>
      <c r="I2193">
        <v>3000187</v>
      </c>
      <c r="J2193" t="s">
        <v>3190</v>
      </c>
      <c r="K2193" t="s">
        <v>3198</v>
      </c>
      <c r="L2193" t="s">
        <v>3199</v>
      </c>
      <c r="N2193" t="s">
        <v>3200</v>
      </c>
      <c r="O2193" t="s">
        <v>3201</v>
      </c>
      <c r="R2193" t="s">
        <v>6949</v>
      </c>
      <c r="S2193" s="34" t="s">
        <v>6950</v>
      </c>
    </row>
    <row r="2194" spans="1:19" ht="337.5" x14ac:dyDescent="0.15">
      <c r="A2194" t="s">
        <v>3177</v>
      </c>
      <c r="B2194" s="61">
        <v>46235</v>
      </c>
      <c r="E2194" t="s">
        <v>355</v>
      </c>
      <c r="F2194" t="s">
        <v>351</v>
      </c>
      <c r="G2194" t="s">
        <v>354</v>
      </c>
      <c r="H2194" t="s">
        <v>353</v>
      </c>
      <c r="I2194">
        <v>3000187</v>
      </c>
      <c r="J2194" t="s">
        <v>3190</v>
      </c>
      <c r="K2194" t="s">
        <v>3198</v>
      </c>
      <c r="L2194" t="s">
        <v>3199</v>
      </c>
      <c r="N2194" t="s">
        <v>3202</v>
      </c>
      <c r="O2194" t="s">
        <v>3201</v>
      </c>
      <c r="R2194" t="s">
        <v>6949</v>
      </c>
      <c r="S2194" s="34" t="s">
        <v>6951</v>
      </c>
    </row>
    <row r="2195" spans="1:19" ht="409.5" x14ac:dyDescent="0.15">
      <c r="A2195" t="s">
        <v>3177</v>
      </c>
      <c r="B2195" s="61">
        <v>46266</v>
      </c>
      <c r="E2195" t="s">
        <v>355</v>
      </c>
      <c r="F2195" t="s">
        <v>351</v>
      </c>
      <c r="G2195" t="s">
        <v>354</v>
      </c>
      <c r="H2195" t="s">
        <v>353</v>
      </c>
      <c r="I2195">
        <v>2700569</v>
      </c>
      <c r="J2195" t="s">
        <v>3187</v>
      </c>
      <c r="K2195" t="s">
        <v>436</v>
      </c>
      <c r="L2195" t="s">
        <v>833</v>
      </c>
      <c r="N2195" t="s">
        <v>3188</v>
      </c>
      <c r="O2195" t="s">
        <v>3189</v>
      </c>
      <c r="R2195" t="s">
        <v>3987</v>
      </c>
      <c r="S2195" s="34" t="s">
        <v>6952</v>
      </c>
    </row>
    <row r="2196" spans="1:19" ht="409.5" x14ac:dyDescent="0.15">
      <c r="A2196" t="s">
        <v>3177</v>
      </c>
      <c r="B2196" s="61">
        <v>46266</v>
      </c>
      <c r="E2196" t="s">
        <v>355</v>
      </c>
      <c r="F2196" t="s">
        <v>351</v>
      </c>
      <c r="G2196" t="s">
        <v>354</v>
      </c>
      <c r="H2196" t="s">
        <v>686</v>
      </c>
      <c r="I2196">
        <v>2702037</v>
      </c>
      <c r="J2196" t="s">
        <v>1425</v>
      </c>
      <c r="K2196" t="s">
        <v>6953</v>
      </c>
      <c r="L2196" t="s">
        <v>1503</v>
      </c>
      <c r="N2196">
        <v>2152453</v>
      </c>
      <c r="O2196" t="s">
        <v>6954</v>
      </c>
      <c r="S2196" s="34" t="s">
        <v>6955</v>
      </c>
    </row>
    <row r="2197" spans="1:19" ht="409.5" x14ac:dyDescent="0.15">
      <c r="A2197" t="s">
        <v>3177</v>
      </c>
      <c r="B2197" s="61">
        <v>46266</v>
      </c>
      <c r="E2197" t="s">
        <v>355</v>
      </c>
      <c r="F2197" t="s">
        <v>351</v>
      </c>
      <c r="G2197" t="s">
        <v>354</v>
      </c>
      <c r="H2197" t="s">
        <v>353</v>
      </c>
      <c r="I2197">
        <v>3000042</v>
      </c>
      <c r="J2197" t="s">
        <v>3190</v>
      </c>
      <c r="K2197" t="s">
        <v>3191</v>
      </c>
      <c r="L2197" t="s">
        <v>833</v>
      </c>
      <c r="N2197" t="s">
        <v>6956</v>
      </c>
      <c r="O2197" t="s">
        <v>3193</v>
      </c>
      <c r="R2197" t="s">
        <v>4330</v>
      </c>
      <c r="S2197" s="34" t="s">
        <v>6957</v>
      </c>
    </row>
    <row r="2198" spans="1:19" ht="270" x14ac:dyDescent="0.15">
      <c r="A2198" t="s">
        <v>3177</v>
      </c>
      <c r="B2198" s="61">
        <v>46296</v>
      </c>
      <c r="E2198" t="s">
        <v>355</v>
      </c>
      <c r="F2198" t="s">
        <v>351</v>
      </c>
      <c r="G2198" t="s">
        <v>354</v>
      </c>
      <c r="H2198" t="s">
        <v>353</v>
      </c>
      <c r="I2198">
        <v>2702654</v>
      </c>
      <c r="J2198" t="s">
        <v>582</v>
      </c>
      <c r="K2198" t="s">
        <v>3194</v>
      </c>
      <c r="L2198" t="s">
        <v>3195</v>
      </c>
      <c r="N2198" t="s">
        <v>6958</v>
      </c>
      <c r="O2198" t="s">
        <v>3197</v>
      </c>
      <c r="R2198" t="s">
        <v>4012</v>
      </c>
      <c r="S2198" s="34" t="s">
        <v>6959</v>
      </c>
    </row>
    <row r="2199" spans="1:19" ht="409.5" x14ac:dyDescent="0.15">
      <c r="A2199" t="s">
        <v>3177</v>
      </c>
      <c r="B2199" s="61">
        <v>46296</v>
      </c>
      <c r="E2199" t="s">
        <v>355</v>
      </c>
      <c r="F2199" t="s">
        <v>351</v>
      </c>
      <c r="G2199" t="s">
        <v>354</v>
      </c>
      <c r="H2199" t="s">
        <v>365</v>
      </c>
      <c r="I2199">
        <v>2702701</v>
      </c>
      <c r="J2199" t="s">
        <v>3215</v>
      </c>
      <c r="K2199" t="s">
        <v>3216</v>
      </c>
      <c r="L2199" t="s">
        <v>3217</v>
      </c>
      <c r="N2199" t="s">
        <v>3218</v>
      </c>
      <c r="O2199" t="s">
        <v>3219</v>
      </c>
      <c r="R2199" t="s">
        <v>3987</v>
      </c>
      <c r="S2199" s="34" t="s">
        <v>6960</v>
      </c>
    </row>
    <row r="2200" spans="1:19" ht="409.5" x14ac:dyDescent="0.15">
      <c r="A2200" t="s">
        <v>3177</v>
      </c>
      <c r="B2200" s="61">
        <v>46296</v>
      </c>
      <c r="E2200" t="s">
        <v>355</v>
      </c>
      <c r="F2200" t="s">
        <v>351</v>
      </c>
      <c r="G2200" t="s">
        <v>354</v>
      </c>
      <c r="H2200" t="s">
        <v>310</v>
      </c>
      <c r="I2200">
        <v>2702855</v>
      </c>
      <c r="J2200" t="s">
        <v>1004</v>
      </c>
      <c r="K2200" t="s">
        <v>4229</v>
      </c>
      <c r="L2200" t="s">
        <v>4230</v>
      </c>
      <c r="N2200" t="s">
        <v>4231</v>
      </c>
      <c r="O2200" t="s">
        <v>4232</v>
      </c>
      <c r="S2200" s="34" t="s">
        <v>6961</v>
      </c>
    </row>
    <row r="2201" spans="1:19" ht="189" x14ac:dyDescent="0.15">
      <c r="A2201" t="s">
        <v>3177</v>
      </c>
      <c r="B2201" s="61">
        <v>46296</v>
      </c>
      <c r="E2201" t="s">
        <v>355</v>
      </c>
      <c r="F2201" t="s">
        <v>351</v>
      </c>
      <c r="G2201" t="s">
        <v>354</v>
      </c>
      <c r="H2201" t="s">
        <v>353</v>
      </c>
      <c r="I2201">
        <v>2702855</v>
      </c>
      <c r="J2201" t="s">
        <v>1004</v>
      </c>
      <c r="K2201" t="s">
        <v>4229</v>
      </c>
      <c r="L2201" t="s">
        <v>4230</v>
      </c>
      <c r="N2201" t="s">
        <v>6962</v>
      </c>
      <c r="O2201" t="s">
        <v>4232</v>
      </c>
      <c r="S2201" s="34" t="s">
        <v>6963</v>
      </c>
    </row>
    <row r="2202" spans="1:19" ht="409.5" x14ac:dyDescent="0.15">
      <c r="A2202" t="s">
        <v>3177</v>
      </c>
      <c r="B2202" s="61">
        <v>46327</v>
      </c>
      <c r="E2202" t="s">
        <v>355</v>
      </c>
      <c r="F2202" t="s">
        <v>351</v>
      </c>
      <c r="G2202" t="s">
        <v>354</v>
      </c>
      <c r="H2202" t="s">
        <v>686</v>
      </c>
      <c r="I2202">
        <v>2701290</v>
      </c>
      <c r="J2202" t="s">
        <v>3178</v>
      </c>
      <c r="K2202" t="s">
        <v>4334</v>
      </c>
      <c r="L2202" t="s">
        <v>4335</v>
      </c>
      <c r="N2202">
        <v>2051030</v>
      </c>
      <c r="O2202" t="s">
        <v>4336</v>
      </c>
      <c r="R2202" t="s">
        <v>4564</v>
      </c>
      <c r="S2202" s="34" t="s">
        <v>6964</v>
      </c>
    </row>
    <row r="2203" spans="1:19" ht="216" x14ac:dyDescent="0.15">
      <c r="A2203" t="s">
        <v>3177</v>
      </c>
      <c r="B2203" s="61">
        <v>46327</v>
      </c>
      <c r="E2203" t="s">
        <v>355</v>
      </c>
      <c r="F2203" t="s">
        <v>351</v>
      </c>
      <c r="G2203" t="s">
        <v>354</v>
      </c>
      <c r="H2203" t="s">
        <v>353</v>
      </c>
      <c r="I2203">
        <v>2702655</v>
      </c>
      <c r="J2203" t="s">
        <v>3203</v>
      </c>
      <c r="K2203" t="s">
        <v>1542</v>
      </c>
      <c r="L2203" t="s">
        <v>3204</v>
      </c>
      <c r="N2203" t="s">
        <v>3205</v>
      </c>
      <c r="O2203" t="s">
        <v>3206</v>
      </c>
      <c r="R2203" t="s">
        <v>3987</v>
      </c>
      <c r="S2203" s="34" t="s">
        <v>6965</v>
      </c>
    </row>
    <row r="2204" spans="1:19" ht="409.5" x14ac:dyDescent="0.15">
      <c r="A2204" t="s">
        <v>3177</v>
      </c>
      <c r="B2204" s="61">
        <v>46357</v>
      </c>
      <c r="E2204" t="s">
        <v>355</v>
      </c>
      <c r="F2204" t="s">
        <v>351</v>
      </c>
      <c r="G2204" t="s">
        <v>354</v>
      </c>
      <c r="H2204" t="s">
        <v>686</v>
      </c>
      <c r="I2204">
        <v>2702291</v>
      </c>
      <c r="J2204" t="s">
        <v>3178</v>
      </c>
      <c r="K2204" t="s">
        <v>3179</v>
      </c>
      <c r="L2204" t="s">
        <v>390</v>
      </c>
      <c r="N2204" t="s">
        <v>4160</v>
      </c>
      <c r="O2204" t="s">
        <v>3181</v>
      </c>
      <c r="R2204" t="s">
        <v>4338</v>
      </c>
      <c r="S2204" s="34" t="s">
        <v>6966</v>
      </c>
    </row>
    <row r="2205" spans="1:19" ht="409.5" x14ac:dyDescent="0.15">
      <c r="A2205" t="s">
        <v>3177</v>
      </c>
      <c r="B2205" s="61">
        <v>46357</v>
      </c>
      <c r="E2205" t="s">
        <v>355</v>
      </c>
      <c r="F2205" t="s">
        <v>351</v>
      </c>
      <c r="G2205" t="s">
        <v>354</v>
      </c>
      <c r="H2205" t="s">
        <v>686</v>
      </c>
      <c r="I2205">
        <v>2702291</v>
      </c>
      <c r="J2205" t="s">
        <v>3178</v>
      </c>
      <c r="K2205" t="s">
        <v>3179</v>
      </c>
      <c r="L2205" t="s">
        <v>390</v>
      </c>
      <c r="N2205">
        <v>2089908</v>
      </c>
      <c r="O2205" t="s">
        <v>3181</v>
      </c>
      <c r="R2205" t="s">
        <v>6967</v>
      </c>
      <c r="S2205" s="34" t="s">
        <v>6968</v>
      </c>
    </row>
    <row r="2206" spans="1:19" ht="409.5" x14ac:dyDescent="0.15">
      <c r="A2206" t="s">
        <v>3177</v>
      </c>
      <c r="B2206" s="61">
        <v>46357</v>
      </c>
      <c r="E2206" t="s">
        <v>355</v>
      </c>
      <c r="F2206" t="s">
        <v>351</v>
      </c>
      <c r="G2206" t="s">
        <v>354</v>
      </c>
      <c r="H2206" t="s">
        <v>353</v>
      </c>
      <c r="I2206">
        <v>2702862</v>
      </c>
      <c r="J2206" t="s">
        <v>4710</v>
      </c>
      <c r="K2206" t="s">
        <v>4711</v>
      </c>
      <c r="L2206" t="s">
        <v>4712</v>
      </c>
      <c r="N2206" t="s">
        <v>4713</v>
      </c>
      <c r="O2206" t="s">
        <v>4714</v>
      </c>
      <c r="S2206" s="34" t="s">
        <v>6969</v>
      </c>
    </row>
    <row r="2207" spans="1:19" ht="351" x14ac:dyDescent="0.15">
      <c r="A2207" t="s">
        <v>3177</v>
      </c>
      <c r="B2207" s="61">
        <v>46357</v>
      </c>
      <c r="E2207" t="s">
        <v>355</v>
      </c>
      <c r="F2207" t="s">
        <v>351</v>
      </c>
      <c r="G2207" t="s">
        <v>354</v>
      </c>
      <c r="H2207" t="s">
        <v>686</v>
      </c>
      <c r="I2207">
        <v>2702862</v>
      </c>
      <c r="J2207" t="s">
        <v>4710</v>
      </c>
      <c r="K2207" t="s">
        <v>4711</v>
      </c>
      <c r="L2207" t="s">
        <v>4712</v>
      </c>
      <c r="N2207">
        <v>2176187</v>
      </c>
      <c r="O2207" t="s">
        <v>4714</v>
      </c>
      <c r="S2207" s="34" t="s">
        <v>6970</v>
      </c>
    </row>
    <row r="2208" spans="1:19" ht="409.5" x14ac:dyDescent="0.15">
      <c r="A2208" t="s">
        <v>3177</v>
      </c>
      <c r="B2208" s="61">
        <v>46357</v>
      </c>
      <c r="E2208" t="s">
        <v>355</v>
      </c>
      <c r="F2208" t="s">
        <v>351</v>
      </c>
      <c r="G2208" t="s">
        <v>354</v>
      </c>
      <c r="H2208" t="s">
        <v>353</v>
      </c>
      <c r="I2208">
        <v>2702864</v>
      </c>
      <c r="J2208" t="s">
        <v>4710</v>
      </c>
      <c r="K2208" t="s">
        <v>4711</v>
      </c>
      <c r="L2208" t="s">
        <v>4735</v>
      </c>
      <c r="N2208" t="s">
        <v>4736</v>
      </c>
      <c r="O2208" t="s">
        <v>4737</v>
      </c>
      <c r="S2208" s="34" t="s">
        <v>6971</v>
      </c>
    </row>
    <row r="2209" spans="1:19" ht="351" x14ac:dyDescent="0.15">
      <c r="A2209" t="s">
        <v>3177</v>
      </c>
      <c r="B2209" s="61">
        <v>46357</v>
      </c>
      <c r="E2209" t="s">
        <v>355</v>
      </c>
      <c r="F2209" t="s">
        <v>351</v>
      </c>
      <c r="G2209" t="s">
        <v>354</v>
      </c>
      <c r="H2209" t="s">
        <v>353</v>
      </c>
      <c r="I2209">
        <v>2702864</v>
      </c>
      <c r="J2209" t="s">
        <v>4710</v>
      </c>
      <c r="K2209" t="s">
        <v>4711</v>
      </c>
      <c r="L2209" t="s">
        <v>4735</v>
      </c>
      <c r="N2209">
        <v>2176192</v>
      </c>
      <c r="O2209" t="s">
        <v>4737</v>
      </c>
      <c r="S2209" s="34" t="s">
        <v>6972</v>
      </c>
    </row>
    <row r="2210" spans="1:19" ht="409.5" x14ac:dyDescent="0.15">
      <c r="A2210" t="s">
        <v>3226</v>
      </c>
      <c r="B2210" s="61">
        <v>46266</v>
      </c>
      <c r="E2210" t="s">
        <v>355</v>
      </c>
      <c r="F2210" t="s">
        <v>351</v>
      </c>
      <c r="G2210" t="s">
        <v>354</v>
      </c>
      <c r="H2210" t="s">
        <v>353</v>
      </c>
      <c r="I2210">
        <v>2300564</v>
      </c>
      <c r="J2210" t="s">
        <v>2817</v>
      </c>
      <c r="K2210" t="s">
        <v>3239</v>
      </c>
      <c r="L2210" t="s">
        <v>1957</v>
      </c>
      <c r="N2210" t="s">
        <v>3240</v>
      </c>
      <c r="O2210" t="s">
        <v>3241</v>
      </c>
      <c r="R2210" t="s">
        <v>3987</v>
      </c>
      <c r="S2210" s="34" t="s">
        <v>6978</v>
      </c>
    </row>
    <row r="2211" spans="1:19" ht="216" x14ac:dyDescent="0.15">
      <c r="A2211" t="s">
        <v>3226</v>
      </c>
      <c r="B2211" s="61">
        <v>46296</v>
      </c>
      <c r="E2211" t="s">
        <v>355</v>
      </c>
      <c r="F2211" t="s">
        <v>351</v>
      </c>
      <c r="G2211" t="s">
        <v>354</v>
      </c>
      <c r="H2211" t="s">
        <v>353</v>
      </c>
      <c r="I2211">
        <v>2303786</v>
      </c>
      <c r="J2211" t="s">
        <v>3227</v>
      </c>
      <c r="L2211" t="s">
        <v>2778</v>
      </c>
      <c r="N2211" t="s">
        <v>3228</v>
      </c>
      <c r="O2211" t="s">
        <v>3229</v>
      </c>
      <c r="R2211" t="s">
        <v>3987</v>
      </c>
      <c r="S2211" s="34" t="s">
        <v>6979</v>
      </c>
    </row>
    <row r="2212" spans="1:19" ht="175.5" x14ac:dyDescent="0.15">
      <c r="A2212" t="s">
        <v>3226</v>
      </c>
      <c r="B2212" s="61">
        <v>46327</v>
      </c>
      <c r="E2212" t="s">
        <v>355</v>
      </c>
      <c r="F2212" t="s">
        <v>351</v>
      </c>
      <c r="G2212" t="s">
        <v>354</v>
      </c>
      <c r="H2212" t="s">
        <v>353</v>
      </c>
      <c r="I2212">
        <v>2302899</v>
      </c>
      <c r="J2212" t="s">
        <v>4651</v>
      </c>
      <c r="K2212" t="s">
        <v>6980</v>
      </c>
      <c r="L2212" t="s">
        <v>390</v>
      </c>
      <c r="N2212" t="s">
        <v>6981</v>
      </c>
      <c r="O2212" t="s">
        <v>6982</v>
      </c>
      <c r="R2212" t="s">
        <v>3987</v>
      </c>
      <c r="S2212" s="34" t="s">
        <v>6983</v>
      </c>
    </row>
    <row r="2213" spans="1:19" ht="229.5" x14ac:dyDescent="0.15">
      <c r="A2213" t="s">
        <v>3226</v>
      </c>
      <c r="B2213" s="61">
        <v>46357</v>
      </c>
      <c r="E2213" t="s">
        <v>355</v>
      </c>
      <c r="F2213" t="s">
        <v>351</v>
      </c>
      <c r="G2213" t="s">
        <v>354</v>
      </c>
      <c r="H2213" t="s">
        <v>365</v>
      </c>
      <c r="I2213">
        <v>2302902</v>
      </c>
      <c r="J2213" t="s">
        <v>6984</v>
      </c>
      <c r="L2213" t="s">
        <v>413</v>
      </c>
      <c r="N2213" t="s">
        <v>6985</v>
      </c>
      <c r="O2213" t="s">
        <v>6986</v>
      </c>
      <c r="R2213" t="s">
        <v>3986</v>
      </c>
      <c r="S2213" s="34" t="s">
        <v>6987</v>
      </c>
    </row>
    <row r="2214" spans="1:19" ht="229.5" x14ac:dyDescent="0.15">
      <c r="A2214" t="s">
        <v>3226</v>
      </c>
      <c r="B2214" s="61">
        <v>46357</v>
      </c>
      <c r="E2214" t="s">
        <v>355</v>
      </c>
      <c r="F2214" t="s">
        <v>351</v>
      </c>
      <c r="G2214" t="s">
        <v>352</v>
      </c>
      <c r="H2214" t="s">
        <v>353</v>
      </c>
      <c r="I2214">
        <v>2303697</v>
      </c>
      <c r="J2214" t="s">
        <v>3231</v>
      </c>
      <c r="K2214" t="s">
        <v>2719</v>
      </c>
      <c r="L2214" t="s">
        <v>3217</v>
      </c>
      <c r="N2214" t="s">
        <v>3232</v>
      </c>
      <c r="O2214" t="s">
        <v>3233</v>
      </c>
      <c r="R2214" t="s">
        <v>3985</v>
      </c>
      <c r="S2214" s="34" t="s">
        <v>6988</v>
      </c>
    </row>
    <row r="2215" spans="1:19" ht="243" x14ac:dyDescent="0.15">
      <c r="A2215" t="s">
        <v>3252</v>
      </c>
      <c r="B2215" s="61">
        <v>46266</v>
      </c>
      <c r="E2215" t="s">
        <v>355</v>
      </c>
      <c r="F2215" t="s">
        <v>351</v>
      </c>
      <c r="G2215" t="s">
        <v>352</v>
      </c>
      <c r="H2215" t="s">
        <v>5779</v>
      </c>
      <c r="I2215">
        <v>2301153</v>
      </c>
      <c r="J2215" t="s">
        <v>1063</v>
      </c>
      <c r="K2215" t="s">
        <v>6989</v>
      </c>
      <c r="L2215" t="s">
        <v>3253</v>
      </c>
      <c r="N2215" t="s">
        <v>6990</v>
      </c>
      <c r="O2215" t="s">
        <v>6991</v>
      </c>
      <c r="R2215" t="s">
        <v>3985</v>
      </c>
      <c r="S2215" s="34" t="s">
        <v>6992</v>
      </c>
    </row>
    <row r="2216" spans="1:19" ht="216" x14ac:dyDescent="0.15">
      <c r="A2216" t="s">
        <v>3252</v>
      </c>
      <c r="B2216" s="61">
        <v>46266</v>
      </c>
      <c r="E2216" t="s">
        <v>355</v>
      </c>
      <c r="F2216" t="s">
        <v>351</v>
      </c>
      <c r="G2216" t="s">
        <v>354</v>
      </c>
      <c r="H2216" t="s">
        <v>353</v>
      </c>
      <c r="I2216">
        <v>2302797</v>
      </c>
      <c r="J2216" t="s">
        <v>6993</v>
      </c>
      <c r="K2216" t="s">
        <v>3272</v>
      </c>
      <c r="L2216" t="s">
        <v>3273</v>
      </c>
      <c r="N2216" t="s">
        <v>3274</v>
      </c>
      <c r="O2216" t="s">
        <v>3275</v>
      </c>
      <c r="R2216" t="s">
        <v>3986</v>
      </c>
      <c r="S2216" s="34" t="s">
        <v>6994</v>
      </c>
    </row>
    <row r="2217" spans="1:19" ht="229.5" x14ac:dyDescent="0.15">
      <c r="A2217" t="s">
        <v>3252</v>
      </c>
      <c r="B2217" s="61">
        <v>46266</v>
      </c>
      <c r="E2217" t="s">
        <v>355</v>
      </c>
      <c r="F2217" t="s">
        <v>351</v>
      </c>
      <c r="G2217" t="s">
        <v>354</v>
      </c>
      <c r="H2217" t="s">
        <v>365</v>
      </c>
      <c r="I2217">
        <v>2303628</v>
      </c>
      <c r="J2217" t="s">
        <v>3254</v>
      </c>
      <c r="K2217" t="s">
        <v>3255</v>
      </c>
      <c r="L2217" t="s">
        <v>3263</v>
      </c>
      <c r="N2217" t="s">
        <v>3264</v>
      </c>
      <c r="O2217" t="s">
        <v>3265</v>
      </c>
      <c r="R2217" t="s">
        <v>3986</v>
      </c>
      <c r="S2217" s="34" t="s">
        <v>6995</v>
      </c>
    </row>
    <row r="2218" spans="1:19" ht="378" x14ac:dyDescent="0.15">
      <c r="A2218" t="s">
        <v>3252</v>
      </c>
      <c r="B2218" s="61">
        <v>46296</v>
      </c>
      <c r="E2218" t="s">
        <v>355</v>
      </c>
      <c r="F2218" t="s">
        <v>351</v>
      </c>
      <c r="G2218" t="s">
        <v>354</v>
      </c>
      <c r="H2218" t="s">
        <v>365</v>
      </c>
      <c r="I2218">
        <v>2303818</v>
      </c>
      <c r="J2218" t="s">
        <v>3254</v>
      </c>
      <c r="K2218" t="s">
        <v>3255</v>
      </c>
      <c r="L2218" t="s">
        <v>413</v>
      </c>
      <c r="N2218" t="s">
        <v>3256</v>
      </c>
      <c r="O2218" t="s">
        <v>3257</v>
      </c>
      <c r="R2218" t="s">
        <v>3987</v>
      </c>
      <c r="S2218" s="34" t="s">
        <v>6996</v>
      </c>
    </row>
    <row r="2219" spans="1:19" ht="229.5" x14ac:dyDescent="0.15">
      <c r="A2219" t="s">
        <v>3252</v>
      </c>
      <c r="B2219" s="61">
        <v>46327</v>
      </c>
      <c r="E2219" t="s">
        <v>355</v>
      </c>
      <c r="F2219" t="s">
        <v>351</v>
      </c>
      <c r="G2219" t="s">
        <v>354</v>
      </c>
      <c r="H2219" t="s">
        <v>365</v>
      </c>
      <c r="I2219">
        <v>2303764</v>
      </c>
      <c r="J2219" t="s">
        <v>618</v>
      </c>
      <c r="K2219" t="s">
        <v>3277</v>
      </c>
      <c r="L2219" t="s">
        <v>3278</v>
      </c>
      <c r="N2219" t="s">
        <v>3279</v>
      </c>
      <c r="O2219" t="s">
        <v>3280</v>
      </c>
      <c r="R2219" t="s">
        <v>3987</v>
      </c>
      <c r="S2219" s="34" t="s">
        <v>6997</v>
      </c>
    </row>
    <row r="2220" spans="1:19" ht="409.5" x14ac:dyDescent="0.15">
      <c r="A2220" t="s">
        <v>3282</v>
      </c>
      <c r="B2220" s="61">
        <v>46235</v>
      </c>
      <c r="E2220" t="s">
        <v>355</v>
      </c>
      <c r="F2220" t="s">
        <v>351</v>
      </c>
      <c r="G2220" t="s">
        <v>352</v>
      </c>
      <c r="H2220" t="s">
        <v>353</v>
      </c>
      <c r="I2220">
        <v>3400355</v>
      </c>
      <c r="J2220" t="s">
        <v>2044</v>
      </c>
      <c r="K2220" t="s">
        <v>3284</v>
      </c>
      <c r="L2220" t="s">
        <v>1276</v>
      </c>
      <c r="N2220" t="s">
        <v>6998</v>
      </c>
      <c r="O2220" t="s">
        <v>3286</v>
      </c>
      <c r="R2220" t="s">
        <v>3985</v>
      </c>
      <c r="S2220" s="34" t="s">
        <v>6999</v>
      </c>
    </row>
    <row r="2221" spans="1:19" ht="243" x14ac:dyDescent="0.15">
      <c r="A2221" t="s">
        <v>3282</v>
      </c>
      <c r="B2221" s="61">
        <v>46266</v>
      </c>
      <c r="E2221" t="s">
        <v>355</v>
      </c>
      <c r="F2221" t="s">
        <v>351</v>
      </c>
      <c r="G2221" t="s">
        <v>354</v>
      </c>
      <c r="H2221" t="s">
        <v>353</v>
      </c>
      <c r="I2221">
        <v>3400579</v>
      </c>
      <c r="J2221" t="s">
        <v>5055</v>
      </c>
      <c r="K2221" t="s">
        <v>7000</v>
      </c>
      <c r="L2221" t="s">
        <v>7001</v>
      </c>
      <c r="N2221" t="s">
        <v>7002</v>
      </c>
      <c r="O2221" t="s">
        <v>7003</v>
      </c>
      <c r="S2221" s="34" t="s">
        <v>7004</v>
      </c>
    </row>
    <row r="2222" spans="1:19" ht="409.5" x14ac:dyDescent="0.15">
      <c r="A2222" t="s">
        <v>3282</v>
      </c>
      <c r="B2222" s="61">
        <v>46266</v>
      </c>
      <c r="E2222" t="s">
        <v>355</v>
      </c>
      <c r="F2222" t="s">
        <v>351</v>
      </c>
      <c r="G2222" t="s">
        <v>354</v>
      </c>
      <c r="H2222" t="s">
        <v>353</v>
      </c>
      <c r="I2222">
        <v>3400579</v>
      </c>
      <c r="J2222" t="s">
        <v>5055</v>
      </c>
      <c r="K2222" t="s">
        <v>7000</v>
      </c>
      <c r="L2222" t="s">
        <v>7001</v>
      </c>
      <c r="N2222" t="s">
        <v>7006</v>
      </c>
      <c r="O2222" t="s">
        <v>7003</v>
      </c>
      <c r="S2222" s="34" t="s">
        <v>7007</v>
      </c>
    </row>
    <row r="2223" spans="1:19" ht="243" x14ac:dyDescent="0.15">
      <c r="A2223" t="s">
        <v>3282</v>
      </c>
      <c r="B2223" s="61">
        <v>46266</v>
      </c>
      <c r="E2223" t="s">
        <v>355</v>
      </c>
      <c r="F2223" t="s">
        <v>351</v>
      </c>
      <c r="G2223" t="s">
        <v>354</v>
      </c>
      <c r="H2223" t="s">
        <v>353</v>
      </c>
      <c r="I2223">
        <v>3400589</v>
      </c>
      <c r="J2223" t="s">
        <v>5055</v>
      </c>
      <c r="K2223" t="s">
        <v>7000</v>
      </c>
      <c r="L2223" t="s">
        <v>7008</v>
      </c>
      <c r="N2223" t="s">
        <v>7009</v>
      </c>
      <c r="O2223" t="s">
        <v>7010</v>
      </c>
      <c r="S2223" s="34" t="s">
        <v>7011</v>
      </c>
    </row>
    <row r="2224" spans="1:19" ht="409.5" x14ac:dyDescent="0.15">
      <c r="A2224" t="s">
        <v>3282</v>
      </c>
      <c r="B2224" s="61">
        <v>46266</v>
      </c>
      <c r="E2224" t="s">
        <v>355</v>
      </c>
      <c r="F2224" t="s">
        <v>351</v>
      </c>
      <c r="G2224" t="s">
        <v>354</v>
      </c>
      <c r="H2224" t="s">
        <v>353</v>
      </c>
      <c r="I2224">
        <v>3400589</v>
      </c>
      <c r="J2224" t="s">
        <v>5055</v>
      </c>
      <c r="K2224" t="s">
        <v>7000</v>
      </c>
      <c r="L2224" t="s">
        <v>7008</v>
      </c>
      <c r="N2224" t="s">
        <v>7013</v>
      </c>
      <c r="O2224" t="s">
        <v>7010</v>
      </c>
      <c r="S2224" s="34" t="s">
        <v>7014</v>
      </c>
    </row>
    <row r="2225" spans="1:19" ht="256.5" x14ac:dyDescent="0.15">
      <c r="A2225" t="s">
        <v>3282</v>
      </c>
      <c r="B2225" s="61">
        <v>46266</v>
      </c>
      <c r="E2225" t="s">
        <v>355</v>
      </c>
      <c r="F2225" t="s">
        <v>351</v>
      </c>
      <c r="G2225" t="s">
        <v>354</v>
      </c>
      <c r="H2225" t="s">
        <v>353</v>
      </c>
      <c r="I2225">
        <v>3400787</v>
      </c>
      <c r="J2225" t="s">
        <v>743</v>
      </c>
      <c r="K2225" t="s">
        <v>3283</v>
      </c>
      <c r="L2225" t="s">
        <v>413</v>
      </c>
      <c r="N2225" t="s">
        <v>3287</v>
      </c>
      <c r="O2225" t="s">
        <v>3288</v>
      </c>
      <c r="S2225" s="34" t="s">
        <v>7015</v>
      </c>
    </row>
    <row r="2226" spans="1:19" ht="202.5" x14ac:dyDescent="0.15">
      <c r="A2226" t="s">
        <v>3282</v>
      </c>
      <c r="B2226" s="61">
        <v>46266</v>
      </c>
      <c r="E2226" t="s">
        <v>355</v>
      </c>
      <c r="F2226" t="s">
        <v>351</v>
      </c>
      <c r="G2226" t="s">
        <v>354</v>
      </c>
      <c r="H2226" t="s">
        <v>353</v>
      </c>
      <c r="I2226">
        <v>3400841</v>
      </c>
      <c r="J2226" t="s">
        <v>3478</v>
      </c>
      <c r="K2226" t="s">
        <v>7016</v>
      </c>
      <c r="L2226" t="s">
        <v>965</v>
      </c>
      <c r="N2226" t="s">
        <v>7017</v>
      </c>
      <c r="O2226" t="s">
        <v>7018</v>
      </c>
      <c r="R2226" t="s">
        <v>4052</v>
      </c>
      <c r="S2226" s="34" t="s">
        <v>7019</v>
      </c>
    </row>
    <row r="2227" spans="1:19" ht="229.5" x14ac:dyDescent="0.15">
      <c r="A2227" t="s">
        <v>3282</v>
      </c>
      <c r="B2227" s="61">
        <v>46296</v>
      </c>
      <c r="E2227" t="s">
        <v>355</v>
      </c>
      <c r="F2227" t="s">
        <v>351</v>
      </c>
      <c r="G2227" t="s">
        <v>352</v>
      </c>
      <c r="H2227" t="s">
        <v>365</v>
      </c>
      <c r="I2227">
        <v>3400830</v>
      </c>
      <c r="J2227" t="s">
        <v>3289</v>
      </c>
      <c r="L2227" t="s">
        <v>7020</v>
      </c>
      <c r="N2227" t="s">
        <v>7021</v>
      </c>
      <c r="O2227" t="s">
        <v>7022</v>
      </c>
      <c r="R2227" t="s">
        <v>3985</v>
      </c>
      <c r="S2227" s="34" t="s">
        <v>7023</v>
      </c>
    </row>
    <row r="2228" spans="1:19" ht="409.5" x14ac:dyDescent="0.15">
      <c r="A2228" t="s">
        <v>3282</v>
      </c>
      <c r="B2228" s="61">
        <v>46357</v>
      </c>
      <c r="E2228" t="s">
        <v>355</v>
      </c>
      <c r="F2228" t="s">
        <v>351</v>
      </c>
      <c r="G2228" t="s">
        <v>352</v>
      </c>
      <c r="H2228" t="s">
        <v>353</v>
      </c>
      <c r="I2228">
        <v>3400249</v>
      </c>
      <c r="J2228" t="s">
        <v>3289</v>
      </c>
      <c r="L2228" t="s">
        <v>3290</v>
      </c>
      <c r="N2228" t="s">
        <v>7024</v>
      </c>
      <c r="O2228" t="s">
        <v>3292</v>
      </c>
      <c r="R2228" t="s">
        <v>3985</v>
      </c>
      <c r="S2228" s="34" t="s">
        <v>7025</v>
      </c>
    </row>
    <row r="2229" spans="1:19" ht="409.5" x14ac:dyDescent="0.15">
      <c r="A2229" t="s">
        <v>3282</v>
      </c>
      <c r="B2229" s="61">
        <v>46357</v>
      </c>
      <c r="E2229" t="s">
        <v>355</v>
      </c>
      <c r="F2229" t="s">
        <v>351</v>
      </c>
      <c r="G2229" t="s">
        <v>354</v>
      </c>
      <c r="H2229" t="s">
        <v>353</v>
      </c>
      <c r="I2229">
        <v>3400916</v>
      </c>
      <c r="J2229" t="s">
        <v>775</v>
      </c>
      <c r="K2229" t="s">
        <v>3293</v>
      </c>
      <c r="L2229" t="s">
        <v>3294</v>
      </c>
      <c r="N2229" t="s">
        <v>3295</v>
      </c>
      <c r="O2229" t="s">
        <v>3296</v>
      </c>
      <c r="S2229" s="34" t="s">
        <v>7026</v>
      </c>
    </row>
    <row r="2230" spans="1:19" ht="310.5" x14ac:dyDescent="0.15">
      <c r="A2230" t="s">
        <v>3297</v>
      </c>
      <c r="B2230" s="61">
        <v>46235</v>
      </c>
      <c r="E2230" t="s">
        <v>355</v>
      </c>
      <c r="F2230" t="s">
        <v>351</v>
      </c>
      <c r="G2230" t="s">
        <v>354</v>
      </c>
      <c r="H2230" t="s">
        <v>365</v>
      </c>
      <c r="I2230">
        <v>2800455</v>
      </c>
      <c r="J2230" t="s">
        <v>7027</v>
      </c>
      <c r="K2230" t="s">
        <v>7028</v>
      </c>
      <c r="L2230" t="s">
        <v>7029</v>
      </c>
      <c r="N2230" t="s">
        <v>7030</v>
      </c>
      <c r="O2230" t="s">
        <v>7031</v>
      </c>
      <c r="R2230" t="s">
        <v>3987</v>
      </c>
      <c r="S2230" s="34" t="s">
        <v>7032</v>
      </c>
    </row>
    <row r="2231" spans="1:19" ht="409.5" x14ac:dyDescent="0.15">
      <c r="A2231" t="s">
        <v>3297</v>
      </c>
      <c r="B2231" s="61">
        <v>46235</v>
      </c>
      <c r="E2231" t="s">
        <v>355</v>
      </c>
      <c r="F2231" t="s">
        <v>351</v>
      </c>
      <c r="G2231" t="s">
        <v>354</v>
      </c>
      <c r="H2231" t="s">
        <v>353</v>
      </c>
      <c r="I2231">
        <v>2802251</v>
      </c>
      <c r="J2231" t="s">
        <v>587</v>
      </c>
      <c r="K2231" t="s">
        <v>3316</v>
      </c>
      <c r="L2231" t="s">
        <v>7033</v>
      </c>
      <c r="N2231" t="s">
        <v>7034</v>
      </c>
      <c r="O2231" t="s">
        <v>3326</v>
      </c>
      <c r="S2231" s="34" t="s">
        <v>7035</v>
      </c>
    </row>
    <row r="2232" spans="1:19" ht="409.5" x14ac:dyDescent="0.15">
      <c r="A2232" t="s">
        <v>3297</v>
      </c>
      <c r="B2232" s="61">
        <v>46296</v>
      </c>
      <c r="E2232" t="s">
        <v>355</v>
      </c>
      <c r="F2232" t="s">
        <v>351</v>
      </c>
      <c r="G2232" t="s">
        <v>354</v>
      </c>
      <c r="H2232" t="s">
        <v>353</v>
      </c>
      <c r="I2232">
        <v>2801597</v>
      </c>
      <c r="J2232" t="s">
        <v>587</v>
      </c>
      <c r="K2232" t="s">
        <v>3316</v>
      </c>
      <c r="L2232" t="s">
        <v>3317</v>
      </c>
      <c r="N2232" t="s">
        <v>3318</v>
      </c>
      <c r="O2232" t="s">
        <v>3319</v>
      </c>
      <c r="S2232" s="34" t="s">
        <v>7036</v>
      </c>
    </row>
    <row r="2233" spans="1:19" ht="409.5" x14ac:dyDescent="0.15">
      <c r="A2233" t="s">
        <v>3297</v>
      </c>
      <c r="B2233" s="61">
        <v>46357</v>
      </c>
      <c r="E2233" t="s">
        <v>355</v>
      </c>
      <c r="F2233" t="s">
        <v>351</v>
      </c>
      <c r="G2233" t="s">
        <v>354</v>
      </c>
      <c r="H2233" t="s">
        <v>353</v>
      </c>
      <c r="I2233">
        <v>2800454</v>
      </c>
      <c r="J2233" t="s">
        <v>7037</v>
      </c>
      <c r="K2233" t="s">
        <v>7038</v>
      </c>
      <c r="L2233" t="s">
        <v>390</v>
      </c>
      <c r="N2233" t="s">
        <v>7039</v>
      </c>
      <c r="O2233" t="s">
        <v>7040</v>
      </c>
      <c r="S2233" s="34" t="s">
        <v>7041</v>
      </c>
    </row>
    <row r="2234" spans="1:19" ht="229.5" x14ac:dyDescent="0.15">
      <c r="A2234" t="s">
        <v>3349</v>
      </c>
      <c r="B2234" s="61">
        <v>46235</v>
      </c>
      <c r="E2234" t="s">
        <v>355</v>
      </c>
      <c r="F2234" t="s">
        <v>351</v>
      </c>
      <c r="G2234" t="s">
        <v>352</v>
      </c>
      <c r="H2234" t="s">
        <v>353</v>
      </c>
      <c r="I2234">
        <v>1600328</v>
      </c>
      <c r="J2234" t="s">
        <v>3360</v>
      </c>
      <c r="L2234" t="s">
        <v>3361</v>
      </c>
      <c r="N2234" t="s">
        <v>3362</v>
      </c>
      <c r="O2234" t="s">
        <v>3363</v>
      </c>
      <c r="R2234" t="s">
        <v>6111</v>
      </c>
      <c r="S2234" s="34" t="s">
        <v>7042</v>
      </c>
    </row>
    <row r="2235" spans="1:19" ht="229.5" x14ac:dyDescent="0.15">
      <c r="A2235" t="s">
        <v>3349</v>
      </c>
      <c r="B2235" s="61">
        <v>46235</v>
      </c>
      <c r="E2235" t="s">
        <v>355</v>
      </c>
      <c r="F2235" t="s">
        <v>351</v>
      </c>
      <c r="G2235" t="s">
        <v>354</v>
      </c>
      <c r="H2235" t="s">
        <v>353</v>
      </c>
      <c r="I2235">
        <v>1600628</v>
      </c>
      <c r="J2235" t="s">
        <v>3350</v>
      </c>
      <c r="K2235" t="s">
        <v>3351</v>
      </c>
      <c r="L2235" t="s">
        <v>3390</v>
      </c>
      <c r="N2235" t="s">
        <v>3399</v>
      </c>
      <c r="O2235" t="s">
        <v>3392</v>
      </c>
      <c r="R2235" t="s">
        <v>3986</v>
      </c>
      <c r="S2235" s="34" t="s">
        <v>7042</v>
      </c>
    </row>
    <row r="2236" spans="1:19" ht="202.5" x14ac:dyDescent="0.15">
      <c r="A2236" t="s">
        <v>3349</v>
      </c>
      <c r="B2236" s="61">
        <v>46235</v>
      </c>
      <c r="E2236" t="s">
        <v>355</v>
      </c>
      <c r="F2236" t="s">
        <v>351</v>
      </c>
      <c r="G2236" t="s">
        <v>354</v>
      </c>
      <c r="H2236" t="s">
        <v>365</v>
      </c>
      <c r="I2236">
        <v>1600628</v>
      </c>
      <c r="J2236" t="s">
        <v>3350</v>
      </c>
      <c r="K2236" t="s">
        <v>3351</v>
      </c>
      <c r="L2236" t="s">
        <v>3390</v>
      </c>
      <c r="N2236" t="s">
        <v>3391</v>
      </c>
      <c r="O2236" t="s">
        <v>3392</v>
      </c>
      <c r="R2236" t="s">
        <v>3986</v>
      </c>
      <c r="S2236" s="34" t="s">
        <v>7043</v>
      </c>
    </row>
    <row r="2237" spans="1:19" ht="409.5" x14ac:dyDescent="0.15">
      <c r="A2237" t="s">
        <v>3349</v>
      </c>
      <c r="B2237" s="61">
        <v>46235</v>
      </c>
      <c r="E2237" t="s">
        <v>355</v>
      </c>
      <c r="F2237" t="s">
        <v>351</v>
      </c>
      <c r="G2237" t="s">
        <v>354</v>
      </c>
      <c r="H2237" t="s">
        <v>7484</v>
      </c>
      <c r="I2237">
        <v>1600676</v>
      </c>
      <c r="J2237" t="s">
        <v>7044</v>
      </c>
      <c r="K2237" t="s">
        <v>7045</v>
      </c>
      <c r="L2237" t="s">
        <v>413</v>
      </c>
      <c r="N2237" t="s">
        <v>7046</v>
      </c>
      <c r="O2237" t="s">
        <v>7047</v>
      </c>
      <c r="R2237" s="34" t="s">
        <v>7485</v>
      </c>
      <c r="S2237" s="34" t="s">
        <v>7048</v>
      </c>
    </row>
    <row r="2238" spans="1:19" ht="216" x14ac:dyDescent="0.15">
      <c r="A2238" t="s">
        <v>3349</v>
      </c>
      <c r="B2238" s="61">
        <v>46266</v>
      </c>
      <c r="E2238" t="s">
        <v>355</v>
      </c>
      <c r="F2238" t="s">
        <v>351</v>
      </c>
      <c r="G2238" t="s">
        <v>354</v>
      </c>
      <c r="H2238" t="s">
        <v>353</v>
      </c>
      <c r="I2238">
        <v>1600658</v>
      </c>
      <c r="J2238" t="s">
        <v>7049</v>
      </c>
      <c r="L2238" t="s">
        <v>7050</v>
      </c>
      <c r="N2238" t="s">
        <v>7051</v>
      </c>
      <c r="O2238" t="s">
        <v>7052</v>
      </c>
      <c r="R2238" t="s">
        <v>3987</v>
      </c>
      <c r="S2238" s="34" t="s">
        <v>7053</v>
      </c>
    </row>
    <row r="2239" spans="1:19" ht="229.5" x14ac:dyDescent="0.15">
      <c r="A2239" t="s">
        <v>3349</v>
      </c>
      <c r="B2239" s="61">
        <v>46266</v>
      </c>
      <c r="E2239" t="s">
        <v>355</v>
      </c>
      <c r="F2239" t="s">
        <v>351</v>
      </c>
      <c r="G2239" t="s">
        <v>354</v>
      </c>
      <c r="H2239" t="s">
        <v>365</v>
      </c>
      <c r="I2239">
        <v>1600659</v>
      </c>
      <c r="J2239" t="s">
        <v>3426</v>
      </c>
      <c r="K2239" t="s">
        <v>3427</v>
      </c>
      <c r="L2239" t="s">
        <v>3428</v>
      </c>
      <c r="N2239" t="s">
        <v>3429</v>
      </c>
      <c r="O2239" t="s">
        <v>3430</v>
      </c>
      <c r="R2239" t="s">
        <v>3987</v>
      </c>
      <c r="S2239" s="34" t="s">
        <v>7054</v>
      </c>
    </row>
    <row r="2240" spans="1:19" ht="216" x14ac:dyDescent="0.15">
      <c r="A2240" t="s">
        <v>3349</v>
      </c>
      <c r="B2240" s="61">
        <v>46266</v>
      </c>
      <c r="E2240" t="s">
        <v>355</v>
      </c>
      <c r="F2240" t="s">
        <v>351</v>
      </c>
      <c r="G2240" t="s">
        <v>354</v>
      </c>
      <c r="H2240" t="s">
        <v>353</v>
      </c>
      <c r="I2240">
        <v>1600668</v>
      </c>
      <c r="J2240" t="s">
        <v>3350</v>
      </c>
      <c r="K2240" t="s">
        <v>3351</v>
      </c>
      <c r="L2240" t="s">
        <v>3400</v>
      </c>
      <c r="N2240" t="s">
        <v>3414</v>
      </c>
      <c r="O2240" t="s">
        <v>3402</v>
      </c>
      <c r="R2240" t="s">
        <v>7055</v>
      </c>
      <c r="S2240" s="34" t="s">
        <v>7056</v>
      </c>
    </row>
    <row r="2241" spans="1:19" ht="351" x14ac:dyDescent="0.15">
      <c r="A2241" t="s">
        <v>3349</v>
      </c>
      <c r="B2241" s="61">
        <v>46266</v>
      </c>
      <c r="E2241" t="s">
        <v>355</v>
      </c>
      <c r="F2241" t="s">
        <v>351</v>
      </c>
      <c r="G2241" t="s">
        <v>354</v>
      </c>
      <c r="H2241" t="s">
        <v>365</v>
      </c>
      <c r="I2241">
        <v>1600668</v>
      </c>
      <c r="J2241" t="s">
        <v>3350</v>
      </c>
      <c r="K2241" t="s">
        <v>3351</v>
      </c>
      <c r="L2241" t="s">
        <v>3400</v>
      </c>
      <c r="N2241" t="s">
        <v>7057</v>
      </c>
      <c r="O2241" t="s">
        <v>3402</v>
      </c>
      <c r="R2241" t="s">
        <v>7055</v>
      </c>
      <c r="S2241" s="34" t="s">
        <v>7058</v>
      </c>
    </row>
    <row r="2242" spans="1:19" ht="202.5" x14ac:dyDescent="0.15">
      <c r="A2242" t="s">
        <v>3349</v>
      </c>
      <c r="B2242" s="61">
        <v>46266</v>
      </c>
      <c r="E2242" t="s">
        <v>355</v>
      </c>
      <c r="F2242" t="s">
        <v>351</v>
      </c>
      <c r="G2242" t="s">
        <v>354</v>
      </c>
      <c r="H2242" t="s">
        <v>353</v>
      </c>
      <c r="I2242">
        <v>1600668</v>
      </c>
      <c r="J2242" t="s">
        <v>3350</v>
      </c>
      <c r="K2242" t="s">
        <v>3351</v>
      </c>
      <c r="L2242" t="s">
        <v>3400</v>
      </c>
      <c r="N2242" t="s">
        <v>3404</v>
      </c>
      <c r="O2242" t="s">
        <v>3402</v>
      </c>
      <c r="R2242" t="s">
        <v>7059</v>
      </c>
      <c r="S2242" s="34" t="s">
        <v>7060</v>
      </c>
    </row>
    <row r="2243" spans="1:19" ht="351" x14ac:dyDescent="0.15">
      <c r="A2243" t="s">
        <v>3349</v>
      </c>
      <c r="B2243" s="61">
        <v>46266</v>
      </c>
      <c r="E2243" t="s">
        <v>355</v>
      </c>
      <c r="F2243" t="s">
        <v>351</v>
      </c>
      <c r="G2243" t="s">
        <v>354</v>
      </c>
      <c r="H2243" t="s">
        <v>365</v>
      </c>
      <c r="I2243">
        <v>1600668</v>
      </c>
      <c r="J2243" t="s">
        <v>3350</v>
      </c>
      <c r="K2243" t="s">
        <v>3351</v>
      </c>
      <c r="L2243" t="s">
        <v>3400</v>
      </c>
      <c r="N2243" t="s">
        <v>7061</v>
      </c>
      <c r="O2243" t="s">
        <v>3402</v>
      </c>
      <c r="R2243" t="s">
        <v>7059</v>
      </c>
      <c r="S2243" s="34" t="s">
        <v>7062</v>
      </c>
    </row>
    <row r="2244" spans="1:19" ht="216" x14ac:dyDescent="0.15">
      <c r="A2244" t="s">
        <v>3349</v>
      </c>
      <c r="B2244" s="61">
        <v>46266</v>
      </c>
      <c r="E2244" t="s">
        <v>355</v>
      </c>
      <c r="F2244" t="s">
        <v>351</v>
      </c>
      <c r="G2244" t="s">
        <v>354</v>
      </c>
      <c r="H2244" t="s">
        <v>353</v>
      </c>
      <c r="I2244">
        <v>1600687</v>
      </c>
      <c r="J2244" t="s">
        <v>3374</v>
      </c>
      <c r="L2244" t="s">
        <v>413</v>
      </c>
      <c r="N2244" t="s">
        <v>5107</v>
      </c>
      <c r="O2244" t="s">
        <v>3375</v>
      </c>
      <c r="S2244" s="34" t="s">
        <v>7063</v>
      </c>
    </row>
    <row r="2245" spans="1:19" ht="229.5" x14ac:dyDescent="0.15">
      <c r="A2245" t="s">
        <v>3349</v>
      </c>
      <c r="B2245" s="61">
        <v>46296</v>
      </c>
      <c r="E2245" t="s">
        <v>355</v>
      </c>
      <c r="F2245" t="s">
        <v>351</v>
      </c>
      <c r="G2245" t="s">
        <v>352</v>
      </c>
      <c r="H2245" t="s">
        <v>365</v>
      </c>
      <c r="I2245">
        <v>1600430</v>
      </c>
      <c r="J2245" t="s">
        <v>979</v>
      </c>
      <c r="L2245" t="s">
        <v>512</v>
      </c>
      <c r="N2245" t="s">
        <v>7064</v>
      </c>
      <c r="O2245" t="s">
        <v>7065</v>
      </c>
      <c r="R2245" t="s">
        <v>3958</v>
      </c>
      <c r="S2245" s="34" t="s">
        <v>7066</v>
      </c>
    </row>
    <row r="2246" spans="1:19" ht="405" x14ac:dyDescent="0.15">
      <c r="A2246" t="s">
        <v>3349</v>
      </c>
      <c r="B2246" s="61">
        <v>46296</v>
      </c>
      <c r="E2246" t="s">
        <v>355</v>
      </c>
      <c r="F2246" t="s">
        <v>351</v>
      </c>
      <c r="G2246" t="s">
        <v>352</v>
      </c>
      <c r="H2246" t="s">
        <v>365</v>
      </c>
      <c r="I2246">
        <v>1600483</v>
      </c>
      <c r="J2246" t="s">
        <v>3369</v>
      </c>
      <c r="K2246" t="s">
        <v>3370</v>
      </c>
      <c r="L2246" t="s">
        <v>413</v>
      </c>
      <c r="N2246" t="s">
        <v>3371</v>
      </c>
      <c r="O2246" t="s">
        <v>3372</v>
      </c>
      <c r="R2246" t="s">
        <v>3985</v>
      </c>
      <c r="S2246" s="34" t="s">
        <v>7067</v>
      </c>
    </row>
    <row r="2247" spans="1:19" ht="409.5" x14ac:dyDescent="0.15">
      <c r="A2247" t="s">
        <v>3349</v>
      </c>
      <c r="B2247" s="61">
        <v>46327</v>
      </c>
      <c r="E2247" t="s">
        <v>355</v>
      </c>
      <c r="F2247" t="s">
        <v>351</v>
      </c>
      <c r="G2247" t="s">
        <v>354</v>
      </c>
      <c r="H2247" t="s">
        <v>353</v>
      </c>
      <c r="I2247">
        <v>1600235</v>
      </c>
      <c r="J2247" t="s">
        <v>7068</v>
      </c>
      <c r="L2247" t="s">
        <v>2778</v>
      </c>
      <c r="N2247" t="s">
        <v>7069</v>
      </c>
      <c r="O2247" t="s">
        <v>7070</v>
      </c>
      <c r="R2247" t="s">
        <v>3987</v>
      </c>
      <c r="S2247" s="34" t="s">
        <v>7071</v>
      </c>
    </row>
    <row r="2248" spans="1:19" ht="409.5" x14ac:dyDescent="0.15">
      <c r="A2248" t="s">
        <v>3349</v>
      </c>
      <c r="B2248" s="61">
        <v>46327</v>
      </c>
      <c r="E2248" t="s">
        <v>355</v>
      </c>
      <c r="F2248" t="s">
        <v>351</v>
      </c>
      <c r="G2248" t="s">
        <v>354</v>
      </c>
      <c r="H2248" t="s">
        <v>353</v>
      </c>
      <c r="I2248">
        <v>1600495</v>
      </c>
      <c r="J2248" t="s">
        <v>3360</v>
      </c>
      <c r="L2248" t="s">
        <v>7072</v>
      </c>
      <c r="N2248" t="s">
        <v>7073</v>
      </c>
      <c r="O2248" t="s">
        <v>7074</v>
      </c>
      <c r="R2248" t="s">
        <v>3986</v>
      </c>
      <c r="S2248" s="34" t="s">
        <v>7075</v>
      </c>
    </row>
    <row r="2249" spans="1:19" ht="229.5" x14ac:dyDescent="0.15">
      <c r="A2249" t="s">
        <v>3349</v>
      </c>
      <c r="B2249" s="61">
        <v>46327</v>
      </c>
      <c r="E2249" t="s">
        <v>355</v>
      </c>
      <c r="F2249" t="s">
        <v>351</v>
      </c>
      <c r="G2249" t="s">
        <v>354</v>
      </c>
      <c r="H2249" t="s">
        <v>365</v>
      </c>
      <c r="I2249">
        <v>1600622</v>
      </c>
      <c r="J2249" t="s">
        <v>3350</v>
      </c>
      <c r="K2249" t="s">
        <v>3351</v>
      </c>
      <c r="L2249" t="s">
        <v>3352</v>
      </c>
      <c r="N2249" t="s">
        <v>4245</v>
      </c>
      <c r="O2249" t="s">
        <v>3353</v>
      </c>
      <c r="R2249" t="s">
        <v>3987</v>
      </c>
      <c r="S2249" s="34" t="s">
        <v>7076</v>
      </c>
    </row>
    <row r="2250" spans="1:19" ht="409.5" x14ac:dyDescent="0.15">
      <c r="A2250" t="s">
        <v>3349</v>
      </c>
      <c r="B2250" s="61">
        <v>46327</v>
      </c>
      <c r="E2250" t="s">
        <v>355</v>
      </c>
      <c r="F2250" t="s">
        <v>351</v>
      </c>
      <c r="G2250" t="s">
        <v>354</v>
      </c>
      <c r="H2250" t="s">
        <v>353</v>
      </c>
      <c r="I2250">
        <v>1600692</v>
      </c>
      <c r="J2250" t="s">
        <v>7077</v>
      </c>
      <c r="K2250" t="s">
        <v>7078</v>
      </c>
      <c r="L2250" t="s">
        <v>466</v>
      </c>
      <c r="N2250" t="s">
        <v>7079</v>
      </c>
      <c r="O2250" t="s">
        <v>7080</v>
      </c>
      <c r="R2250" t="s">
        <v>4052</v>
      </c>
      <c r="S2250" s="34" t="s">
        <v>7081</v>
      </c>
    </row>
    <row r="2251" spans="1:19" ht="409.5" x14ac:dyDescent="0.15">
      <c r="A2251" t="s">
        <v>3349</v>
      </c>
      <c r="B2251" s="61">
        <v>46327</v>
      </c>
      <c r="E2251" t="s">
        <v>355</v>
      </c>
      <c r="F2251" t="s">
        <v>351</v>
      </c>
      <c r="G2251" t="s">
        <v>354</v>
      </c>
      <c r="H2251" t="s">
        <v>353</v>
      </c>
      <c r="I2251">
        <v>1600693</v>
      </c>
      <c r="J2251" t="s">
        <v>3423</v>
      </c>
      <c r="L2251" t="s">
        <v>413</v>
      </c>
      <c r="N2251" t="s">
        <v>7082</v>
      </c>
      <c r="O2251" t="s">
        <v>3425</v>
      </c>
      <c r="R2251" t="s">
        <v>3987</v>
      </c>
      <c r="S2251" s="34" t="s">
        <v>7083</v>
      </c>
    </row>
    <row r="2252" spans="1:19" ht="229.5" x14ac:dyDescent="0.15">
      <c r="A2252" t="s">
        <v>3349</v>
      </c>
      <c r="B2252" s="61">
        <v>46357</v>
      </c>
      <c r="E2252" t="s">
        <v>355</v>
      </c>
      <c r="F2252" t="s">
        <v>351</v>
      </c>
      <c r="G2252" t="s">
        <v>352</v>
      </c>
      <c r="H2252" t="s">
        <v>353</v>
      </c>
      <c r="I2252">
        <v>1600004</v>
      </c>
      <c r="J2252" t="s">
        <v>3386</v>
      </c>
      <c r="L2252" t="s">
        <v>413</v>
      </c>
      <c r="N2252" t="s">
        <v>3387</v>
      </c>
      <c r="O2252" t="s">
        <v>3388</v>
      </c>
      <c r="R2252" t="s">
        <v>3985</v>
      </c>
      <c r="S2252" s="34" t="s">
        <v>7084</v>
      </c>
    </row>
    <row r="2253" spans="1:19" ht="229.5" x14ac:dyDescent="0.15">
      <c r="A2253" t="s">
        <v>3349</v>
      </c>
      <c r="B2253" s="61">
        <v>46357</v>
      </c>
      <c r="E2253" t="s">
        <v>355</v>
      </c>
      <c r="F2253" t="s">
        <v>351</v>
      </c>
      <c r="G2253" t="s">
        <v>354</v>
      </c>
      <c r="H2253" t="s">
        <v>365</v>
      </c>
      <c r="I2253">
        <v>1600601</v>
      </c>
      <c r="J2253" t="s">
        <v>2481</v>
      </c>
      <c r="K2253" t="s">
        <v>3379</v>
      </c>
      <c r="L2253" t="s">
        <v>3380</v>
      </c>
      <c r="N2253" t="s">
        <v>3381</v>
      </c>
      <c r="O2253" t="s">
        <v>3382</v>
      </c>
      <c r="R2253" t="s">
        <v>4012</v>
      </c>
      <c r="S2253" s="34" t="s">
        <v>7085</v>
      </c>
    </row>
    <row r="2254" spans="1:19" ht="409.5" x14ac:dyDescent="0.15">
      <c r="A2254" t="s">
        <v>3349</v>
      </c>
      <c r="B2254" s="61">
        <v>46357</v>
      </c>
      <c r="E2254" t="s">
        <v>355</v>
      </c>
      <c r="F2254" t="s">
        <v>351</v>
      </c>
      <c r="G2254" t="s">
        <v>354</v>
      </c>
      <c r="H2254" t="s">
        <v>353</v>
      </c>
      <c r="I2254">
        <v>1600601</v>
      </c>
      <c r="J2254" t="s">
        <v>2481</v>
      </c>
      <c r="K2254" t="s">
        <v>3379</v>
      </c>
      <c r="L2254" t="s">
        <v>3380</v>
      </c>
      <c r="N2254" t="s">
        <v>7086</v>
      </c>
      <c r="O2254" t="s">
        <v>3382</v>
      </c>
      <c r="R2254" t="s">
        <v>4012</v>
      </c>
      <c r="S2254" s="34" t="s">
        <v>7087</v>
      </c>
    </row>
    <row r="2255" spans="1:19" ht="409.5" x14ac:dyDescent="0.15">
      <c r="A2255" t="s">
        <v>3349</v>
      </c>
      <c r="B2255" s="61">
        <v>46357</v>
      </c>
      <c r="E2255" t="s">
        <v>355</v>
      </c>
      <c r="F2255" t="s">
        <v>351</v>
      </c>
      <c r="G2255" t="s">
        <v>354</v>
      </c>
      <c r="H2255" t="s">
        <v>686</v>
      </c>
      <c r="I2255">
        <v>1600601</v>
      </c>
      <c r="J2255" t="s">
        <v>2481</v>
      </c>
      <c r="K2255" t="s">
        <v>3379</v>
      </c>
      <c r="L2255" t="s">
        <v>3380</v>
      </c>
      <c r="N2255">
        <v>2092815</v>
      </c>
      <c r="O2255" t="s">
        <v>3382</v>
      </c>
      <c r="R2255" t="s">
        <v>4012</v>
      </c>
      <c r="S2255" s="34" t="s">
        <v>7088</v>
      </c>
    </row>
    <row r="2256" spans="1:19" ht="409.5" x14ac:dyDescent="0.15">
      <c r="A2256" t="s">
        <v>3349</v>
      </c>
      <c r="B2256" s="61">
        <v>46357</v>
      </c>
      <c r="E2256" t="s">
        <v>355</v>
      </c>
      <c r="F2256" t="s">
        <v>351</v>
      </c>
      <c r="G2256" t="s">
        <v>354</v>
      </c>
      <c r="H2256" t="s">
        <v>353</v>
      </c>
      <c r="I2256">
        <v>1600669</v>
      </c>
      <c r="J2256" t="s">
        <v>3364</v>
      </c>
      <c r="L2256" t="s">
        <v>3365</v>
      </c>
      <c r="N2256" t="s">
        <v>7089</v>
      </c>
      <c r="O2256" t="s">
        <v>3367</v>
      </c>
      <c r="R2256" t="s">
        <v>7090</v>
      </c>
      <c r="S2256" s="34" t="s">
        <v>7091</v>
      </c>
    </row>
    <row r="2257" spans="1:19" ht="256.5" x14ac:dyDescent="0.15">
      <c r="A2257" t="s">
        <v>3349</v>
      </c>
      <c r="B2257" s="61">
        <v>46357</v>
      </c>
      <c r="E2257" t="s">
        <v>355</v>
      </c>
      <c r="F2257" t="s">
        <v>351</v>
      </c>
      <c r="G2257" t="s">
        <v>354</v>
      </c>
      <c r="H2257" t="s">
        <v>365</v>
      </c>
      <c r="I2257">
        <v>1600669</v>
      </c>
      <c r="J2257" t="s">
        <v>3364</v>
      </c>
      <c r="L2257" t="s">
        <v>3365</v>
      </c>
      <c r="N2257" t="s">
        <v>3377</v>
      </c>
      <c r="O2257" t="s">
        <v>3367</v>
      </c>
      <c r="R2257" t="s">
        <v>3987</v>
      </c>
      <c r="S2257" s="34" t="s">
        <v>7092</v>
      </c>
    </row>
    <row r="2258" spans="1:19" ht="364.5" x14ac:dyDescent="0.15">
      <c r="A2258" t="s">
        <v>3432</v>
      </c>
      <c r="B2258" s="61">
        <v>46235</v>
      </c>
      <c r="E2258" t="s">
        <v>355</v>
      </c>
      <c r="F2258" t="s">
        <v>351</v>
      </c>
      <c r="G2258" t="s">
        <v>354</v>
      </c>
      <c r="H2258" t="s">
        <v>686</v>
      </c>
      <c r="I2258">
        <v>2202306</v>
      </c>
      <c r="J2258" t="s">
        <v>974</v>
      </c>
      <c r="K2258" t="s">
        <v>7093</v>
      </c>
      <c r="L2258" t="s">
        <v>7094</v>
      </c>
      <c r="N2258">
        <v>2096781</v>
      </c>
      <c r="O2258" t="s">
        <v>7095</v>
      </c>
      <c r="R2258" t="s">
        <v>3986</v>
      </c>
      <c r="S2258" s="34" t="s">
        <v>7096</v>
      </c>
    </row>
    <row r="2259" spans="1:19" ht="405" x14ac:dyDescent="0.15">
      <c r="A2259" t="s">
        <v>3432</v>
      </c>
      <c r="B2259" s="61">
        <v>46235</v>
      </c>
      <c r="E2259" t="s">
        <v>355</v>
      </c>
      <c r="F2259" t="s">
        <v>351</v>
      </c>
      <c r="G2259" t="s">
        <v>354</v>
      </c>
      <c r="H2259" t="s">
        <v>686</v>
      </c>
      <c r="I2259">
        <v>2202430</v>
      </c>
      <c r="J2259" t="s">
        <v>974</v>
      </c>
      <c r="K2259" t="s">
        <v>7097</v>
      </c>
      <c r="L2259" t="s">
        <v>7098</v>
      </c>
      <c r="N2259">
        <v>2096783</v>
      </c>
      <c r="O2259" t="s">
        <v>7099</v>
      </c>
      <c r="R2259" t="s">
        <v>3985</v>
      </c>
      <c r="S2259" s="34" t="s">
        <v>7100</v>
      </c>
    </row>
    <row r="2260" spans="1:19" ht="409.5" x14ac:dyDescent="0.15">
      <c r="A2260" t="s">
        <v>3432</v>
      </c>
      <c r="B2260" s="61">
        <v>46266</v>
      </c>
      <c r="E2260" t="s">
        <v>355</v>
      </c>
      <c r="F2260" t="s">
        <v>351</v>
      </c>
      <c r="G2260" t="s">
        <v>352</v>
      </c>
      <c r="H2260" t="s">
        <v>353</v>
      </c>
      <c r="I2260">
        <v>2202430</v>
      </c>
      <c r="J2260" t="s">
        <v>974</v>
      </c>
      <c r="K2260" t="s">
        <v>7097</v>
      </c>
      <c r="L2260" t="s">
        <v>7098</v>
      </c>
      <c r="N2260" t="s">
        <v>7101</v>
      </c>
      <c r="O2260" t="s">
        <v>7099</v>
      </c>
      <c r="R2260" t="s">
        <v>3985</v>
      </c>
      <c r="S2260" s="34" t="s">
        <v>7102</v>
      </c>
    </row>
    <row r="2261" spans="1:19" ht="364.5" x14ac:dyDescent="0.15">
      <c r="A2261" t="s">
        <v>3432</v>
      </c>
      <c r="B2261" s="61">
        <v>46266</v>
      </c>
      <c r="E2261" t="s">
        <v>355</v>
      </c>
      <c r="F2261" t="s">
        <v>351</v>
      </c>
      <c r="G2261" t="s">
        <v>354</v>
      </c>
      <c r="H2261" t="s">
        <v>686</v>
      </c>
      <c r="I2261">
        <v>2202611</v>
      </c>
      <c r="J2261" t="s">
        <v>974</v>
      </c>
      <c r="K2261" t="s">
        <v>4862</v>
      </c>
      <c r="L2261" t="s">
        <v>3700</v>
      </c>
      <c r="N2261">
        <v>2179113</v>
      </c>
      <c r="O2261" t="s">
        <v>4865</v>
      </c>
      <c r="S2261" s="34" t="s">
        <v>7103</v>
      </c>
    </row>
    <row r="2262" spans="1:19" ht="351" x14ac:dyDescent="0.15">
      <c r="A2262" t="s">
        <v>3432</v>
      </c>
      <c r="B2262" s="61">
        <v>46296</v>
      </c>
      <c r="E2262" t="s">
        <v>355</v>
      </c>
      <c r="F2262" t="s">
        <v>351</v>
      </c>
      <c r="G2262" t="s">
        <v>354</v>
      </c>
      <c r="H2262" t="s">
        <v>309</v>
      </c>
      <c r="I2262">
        <v>2200227</v>
      </c>
      <c r="J2262" t="s">
        <v>6692</v>
      </c>
      <c r="K2262" t="s">
        <v>7104</v>
      </c>
      <c r="L2262" t="s">
        <v>413</v>
      </c>
      <c r="N2262" t="s">
        <v>7370</v>
      </c>
      <c r="O2262" t="s">
        <v>7105</v>
      </c>
      <c r="R2262" t="s">
        <v>3992</v>
      </c>
      <c r="S2262" s="34" t="s">
        <v>7106</v>
      </c>
    </row>
    <row r="2263" spans="1:19" ht="324" x14ac:dyDescent="0.15">
      <c r="A2263" t="s">
        <v>3432</v>
      </c>
      <c r="B2263" s="61">
        <v>46296</v>
      </c>
      <c r="E2263" t="s">
        <v>355</v>
      </c>
      <c r="F2263" t="s">
        <v>351</v>
      </c>
      <c r="G2263" t="s">
        <v>354</v>
      </c>
      <c r="H2263" t="s">
        <v>353</v>
      </c>
      <c r="I2263">
        <v>2202306</v>
      </c>
      <c r="J2263" t="s">
        <v>974</v>
      </c>
      <c r="K2263" t="s">
        <v>7093</v>
      </c>
      <c r="L2263" t="s">
        <v>7094</v>
      </c>
      <c r="N2263" t="s">
        <v>7107</v>
      </c>
      <c r="O2263" t="s">
        <v>7095</v>
      </c>
      <c r="R2263" t="s">
        <v>3986</v>
      </c>
      <c r="S2263" s="34" t="s">
        <v>7108</v>
      </c>
    </row>
    <row r="2264" spans="1:19" ht="409.5" x14ac:dyDescent="0.15">
      <c r="A2264" t="s">
        <v>3432</v>
      </c>
      <c r="B2264" s="61">
        <v>46327</v>
      </c>
      <c r="E2264" t="s">
        <v>355</v>
      </c>
      <c r="F2264" t="s">
        <v>351</v>
      </c>
      <c r="G2264" t="s">
        <v>354</v>
      </c>
      <c r="H2264" t="s">
        <v>353</v>
      </c>
      <c r="I2264">
        <v>2200589</v>
      </c>
      <c r="J2264" t="s">
        <v>3442</v>
      </c>
      <c r="K2264" t="s">
        <v>1769</v>
      </c>
      <c r="L2264" t="s">
        <v>3443</v>
      </c>
      <c r="N2264" t="s">
        <v>3444</v>
      </c>
      <c r="O2264" t="s">
        <v>3445</v>
      </c>
      <c r="R2264" t="s">
        <v>3992</v>
      </c>
      <c r="S2264" s="34" t="s">
        <v>7109</v>
      </c>
    </row>
    <row r="2265" spans="1:19" ht="216" x14ac:dyDescent="0.15">
      <c r="A2265" t="s">
        <v>3432</v>
      </c>
      <c r="B2265" s="61">
        <v>46327</v>
      </c>
      <c r="E2265" t="s">
        <v>355</v>
      </c>
      <c r="F2265" t="s">
        <v>351</v>
      </c>
      <c r="G2265" t="s">
        <v>354</v>
      </c>
      <c r="H2265" t="s">
        <v>309</v>
      </c>
      <c r="I2265">
        <v>2200589</v>
      </c>
      <c r="J2265" t="s">
        <v>3442</v>
      </c>
      <c r="K2265" t="s">
        <v>1769</v>
      </c>
      <c r="L2265" t="s">
        <v>3443</v>
      </c>
      <c r="N2265" t="s">
        <v>7110</v>
      </c>
      <c r="O2265" t="s">
        <v>3445</v>
      </c>
      <c r="R2265" t="s">
        <v>3992</v>
      </c>
      <c r="S2265" s="34" t="s">
        <v>7111</v>
      </c>
    </row>
    <row r="2266" spans="1:19" ht="409.5" x14ac:dyDescent="0.15">
      <c r="A2266" t="s">
        <v>3432</v>
      </c>
      <c r="B2266" s="61">
        <v>46327</v>
      </c>
      <c r="E2266" t="s">
        <v>355</v>
      </c>
      <c r="F2266" t="s">
        <v>351</v>
      </c>
      <c r="G2266" t="s">
        <v>354</v>
      </c>
      <c r="H2266" t="s">
        <v>353</v>
      </c>
      <c r="I2266">
        <v>2202543</v>
      </c>
      <c r="J2266" t="s">
        <v>3463</v>
      </c>
      <c r="L2266" t="s">
        <v>3464</v>
      </c>
      <c r="N2266" t="s">
        <v>7112</v>
      </c>
      <c r="O2266" t="s">
        <v>3466</v>
      </c>
      <c r="R2266" t="s">
        <v>3987</v>
      </c>
      <c r="S2266" s="34" t="s">
        <v>7113</v>
      </c>
    </row>
    <row r="2267" spans="1:19" ht="189" x14ac:dyDescent="0.15">
      <c r="A2267" t="s">
        <v>3432</v>
      </c>
      <c r="B2267" s="61">
        <v>46327</v>
      </c>
      <c r="E2267" t="s">
        <v>355</v>
      </c>
      <c r="F2267" t="s">
        <v>351</v>
      </c>
      <c r="G2267" t="s">
        <v>354</v>
      </c>
      <c r="H2267" t="s">
        <v>3996</v>
      </c>
      <c r="I2267">
        <v>2202543</v>
      </c>
      <c r="J2267" t="s">
        <v>3463</v>
      </c>
      <c r="L2267" t="s">
        <v>3464</v>
      </c>
      <c r="N2267" t="s">
        <v>7114</v>
      </c>
      <c r="O2267" t="s">
        <v>3466</v>
      </c>
      <c r="R2267" t="s">
        <v>3987</v>
      </c>
      <c r="S2267" s="34" t="s">
        <v>7115</v>
      </c>
    </row>
    <row r="2268" spans="1:19" ht="364.5" x14ac:dyDescent="0.15">
      <c r="A2268" t="s">
        <v>3432</v>
      </c>
      <c r="B2268" s="61">
        <v>46357</v>
      </c>
      <c r="E2268" t="s">
        <v>355</v>
      </c>
      <c r="F2268" t="s">
        <v>351</v>
      </c>
      <c r="G2268" t="s">
        <v>352</v>
      </c>
      <c r="H2268" t="s">
        <v>310</v>
      </c>
      <c r="I2268">
        <v>2201460</v>
      </c>
      <c r="J2268" t="s">
        <v>7116</v>
      </c>
      <c r="L2268" t="s">
        <v>390</v>
      </c>
      <c r="N2268" t="s">
        <v>7117</v>
      </c>
      <c r="O2268" t="s">
        <v>7118</v>
      </c>
      <c r="R2268" t="s">
        <v>3958</v>
      </c>
      <c r="S2268" s="34" t="s">
        <v>7119</v>
      </c>
    </row>
    <row r="2269" spans="1:19" ht="189" x14ac:dyDescent="0.15">
      <c r="A2269" t="s">
        <v>3472</v>
      </c>
      <c r="B2269" s="61">
        <v>46235</v>
      </c>
      <c r="E2269" t="s">
        <v>355</v>
      </c>
      <c r="F2269" t="s">
        <v>351</v>
      </c>
      <c r="G2269" t="s">
        <v>352</v>
      </c>
      <c r="H2269" t="s">
        <v>353</v>
      </c>
      <c r="I2269">
        <v>4000704</v>
      </c>
      <c r="J2269" t="s">
        <v>7120</v>
      </c>
      <c r="K2269" t="s">
        <v>1251</v>
      </c>
      <c r="L2269" t="s">
        <v>7121</v>
      </c>
      <c r="N2269" t="s">
        <v>7122</v>
      </c>
      <c r="O2269" t="s">
        <v>7123</v>
      </c>
      <c r="R2269" t="s">
        <v>3985</v>
      </c>
      <c r="S2269" s="34" t="s">
        <v>7124</v>
      </c>
    </row>
    <row r="2270" spans="1:19" ht="409.5" x14ac:dyDescent="0.15">
      <c r="A2270" t="s">
        <v>3472</v>
      </c>
      <c r="B2270" s="61">
        <v>46266</v>
      </c>
      <c r="E2270" t="s">
        <v>355</v>
      </c>
      <c r="F2270" t="s">
        <v>351</v>
      </c>
      <c r="G2270" t="s">
        <v>354</v>
      </c>
      <c r="H2270" t="s">
        <v>353</v>
      </c>
      <c r="I2270">
        <v>4000409</v>
      </c>
      <c r="J2270" t="s">
        <v>2250</v>
      </c>
      <c r="K2270" t="s">
        <v>3919</v>
      </c>
      <c r="L2270" t="s">
        <v>584</v>
      </c>
      <c r="N2270" t="s">
        <v>4125</v>
      </c>
      <c r="O2270" t="s">
        <v>3920</v>
      </c>
      <c r="S2270" s="34" t="s">
        <v>7125</v>
      </c>
    </row>
    <row r="2271" spans="1:19" ht="409.5" x14ac:dyDescent="0.15">
      <c r="A2271" t="s">
        <v>3472</v>
      </c>
      <c r="B2271" s="61">
        <v>46266</v>
      </c>
      <c r="E2271" t="s">
        <v>355</v>
      </c>
      <c r="F2271" t="s">
        <v>351</v>
      </c>
      <c r="G2271" t="s">
        <v>354</v>
      </c>
      <c r="H2271" t="s">
        <v>353</v>
      </c>
      <c r="I2271">
        <v>4000644</v>
      </c>
      <c r="J2271" t="s">
        <v>531</v>
      </c>
      <c r="K2271" t="s">
        <v>2861</v>
      </c>
      <c r="L2271" t="s">
        <v>4162</v>
      </c>
      <c r="N2271" t="s">
        <v>7126</v>
      </c>
      <c r="O2271" t="s">
        <v>4163</v>
      </c>
      <c r="R2271" t="s">
        <v>3992</v>
      </c>
      <c r="S2271" s="34" t="s">
        <v>7127</v>
      </c>
    </row>
    <row r="2272" spans="1:19" ht="175.5" x14ac:dyDescent="0.15">
      <c r="A2272" t="s">
        <v>3472</v>
      </c>
      <c r="B2272" s="61">
        <v>46296</v>
      </c>
      <c r="E2272" t="s">
        <v>355</v>
      </c>
      <c r="F2272" t="s">
        <v>351</v>
      </c>
      <c r="G2272" t="s">
        <v>354</v>
      </c>
      <c r="H2272" t="s">
        <v>353</v>
      </c>
      <c r="I2272">
        <v>4000788</v>
      </c>
      <c r="J2272" t="s">
        <v>481</v>
      </c>
      <c r="K2272" t="s">
        <v>7128</v>
      </c>
      <c r="L2272" t="s">
        <v>7129</v>
      </c>
      <c r="N2272" t="s">
        <v>7130</v>
      </c>
      <c r="O2272" t="s">
        <v>7131</v>
      </c>
      <c r="S2272" s="34" t="s">
        <v>7132</v>
      </c>
    </row>
    <row r="2273" spans="1:19" ht="409.5" x14ac:dyDescent="0.15">
      <c r="A2273" t="s">
        <v>3472</v>
      </c>
      <c r="B2273" s="61">
        <v>46296</v>
      </c>
      <c r="E2273" t="s">
        <v>355</v>
      </c>
      <c r="F2273" t="s">
        <v>351</v>
      </c>
      <c r="G2273" t="s">
        <v>354</v>
      </c>
      <c r="H2273" t="s">
        <v>686</v>
      </c>
      <c r="I2273">
        <v>4000982</v>
      </c>
      <c r="J2273" t="s">
        <v>974</v>
      </c>
      <c r="K2273" t="s">
        <v>3479</v>
      </c>
      <c r="L2273" t="s">
        <v>2041</v>
      </c>
      <c r="N2273">
        <v>2162834</v>
      </c>
      <c r="O2273" t="s">
        <v>3481</v>
      </c>
      <c r="S2273" s="34" t="s">
        <v>7133</v>
      </c>
    </row>
    <row r="2274" spans="1:19" ht="409.5" x14ac:dyDescent="0.15">
      <c r="A2274" t="s">
        <v>3472</v>
      </c>
      <c r="B2274" s="61">
        <v>46327</v>
      </c>
      <c r="E2274" t="s">
        <v>355</v>
      </c>
      <c r="F2274" t="s">
        <v>351</v>
      </c>
      <c r="G2274" t="s">
        <v>354</v>
      </c>
      <c r="H2274" t="s">
        <v>686</v>
      </c>
      <c r="I2274">
        <v>4000138</v>
      </c>
      <c r="J2274" t="s">
        <v>2044</v>
      </c>
      <c r="K2274" t="s">
        <v>3473</v>
      </c>
      <c r="L2274" t="s">
        <v>3474</v>
      </c>
      <c r="N2274">
        <v>2145306</v>
      </c>
      <c r="O2274" t="s">
        <v>3476</v>
      </c>
      <c r="R2274" t="s">
        <v>4052</v>
      </c>
      <c r="S2274" s="34" t="s">
        <v>7134</v>
      </c>
    </row>
    <row r="2275" spans="1:19" ht="409.5" x14ac:dyDescent="0.15">
      <c r="A2275" t="s">
        <v>3472</v>
      </c>
      <c r="B2275" s="61">
        <v>46357</v>
      </c>
      <c r="E2275" t="s">
        <v>355</v>
      </c>
      <c r="F2275" t="s">
        <v>351</v>
      </c>
      <c r="G2275" t="s">
        <v>354</v>
      </c>
      <c r="H2275" t="s">
        <v>686</v>
      </c>
      <c r="I2275">
        <v>4000873</v>
      </c>
      <c r="J2275" t="s">
        <v>4001</v>
      </c>
      <c r="K2275" t="s">
        <v>7135</v>
      </c>
      <c r="L2275" t="s">
        <v>4003</v>
      </c>
      <c r="N2275">
        <v>2102115</v>
      </c>
      <c r="O2275" t="s">
        <v>4005</v>
      </c>
      <c r="S2275" s="34" t="s">
        <v>7136</v>
      </c>
    </row>
    <row r="2276" spans="1:19" ht="243" x14ac:dyDescent="0.15">
      <c r="A2276" t="s">
        <v>3483</v>
      </c>
      <c r="B2276" s="61">
        <v>46235</v>
      </c>
      <c r="E2276" t="s">
        <v>355</v>
      </c>
      <c r="F2276" t="s">
        <v>351</v>
      </c>
      <c r="G2276" t="s">
        <v>352</v>
      </c>
      <c r="H2276" t="s">
        <v>365</v>
      </c>
      <c r="I2276">
        <v>2303444</v>
      </c>
      <c r="J2276" t="s">
        <v>7137</v>
      </c>
      <c r="K2276" t="s">
        <v>7138</v>
      </c>
      <c r="L2276" t="s">
        <v>7139</v>
      </c>
      <c r="N2276" t="s">
        <v>7140</v>
      </c>
      <c r="O2276" t="s">
        <v>7141</v>
      </c>
      <c r="R2276" t="s">
        <v>3985</v>
      </c>
      <c r="S2276" s="34" t="s">
        <v>7142</v>
      </c>
    </row>
    <row r="2277" spans="1:19" ht="216" x14ac:dyDescent="0.15">
      <c r="A2277" t="s">
        <v>3483</v>
      </c>
      <c r="B2277" s="61">
        <v>46235</v>
      </c>
      <c r="E2277" t="s">
        <v>355</v>
      </c>
      <c r="F2277" t="s">
        <v>351</v>
      </c>
      <c r="G2277" t="s">
        <v>354</v>
      </c>
      <c r="H2277" t="s">
        <v>353</v>
      </c>
      <c r="I2277">
        <v>2303771</v>
      </c>
      <c r="J2277" t="s">
        <v>3516</v>
      </c>
      <c r="K2277" t="s">
        <v>3517</v>
      </c>
      <c r="L2277" t="s">
        <v>3518</v>
      </c>
      <c r="N2277" t="s">
        <v>3519</v>
      </c>
      <c r="O2277" t="s">
        <v>3520</v>
      </c>
      <c r="R2277" t="s">
        <v>3987</v>
      </c>
      <c r="S2277" s="34" t="s">
        <v>7143</v>
      </c>
    </row>
    <row r="2278" spans="1:19" ht="378" x14ac:dyDescent="0.15">
      <c r="A2278" t="s">
        <v>3483</v>
      </c>
      <c r="B2278" s="61">
        <v>46296</v>
      </c>
      <c r="E2278" t="s">
        <v>355</v>
      </c>
      <c r="F2278" t="s">
        <v>351</v>
      </c>
      <c r="G2278" t="s">
        <v>352</v>
      </c>
      <c r="H2278" t="s">
        <v>353</v>
      </c>
      <c r="I2278">
        <v>2300735</v>
      </c>
      <c r="J2278" t="s">
        <v>3490</v>
      </c>
      <c r="K2278" t="s">
        <v>3491</v>
      </c>
      <c r="L2278" t="s">
        <v>3492</v>
      </c>
      <c r="N2278" t="s">
        <v>3493</v>
      </c>
      <c r="O2278" t="s">
        <v>3494</v>
      </c>
      <c r="R2278" t="s">
        <v>3958</v>
      </c>
      <c r="S2278" s="34" t="s">
        <v>7144</v>
      </c>
    </row>
    <row r="2279" spans="1:19" ht="391.5" x14ac:dyDescent="0.15">
      <c r="A2279" t="s">
        <v>3483</v>
      </c>
      <c r="B2279" s="61">
        <v>46327</v>
      </c>
      <c r="E2279" t="s">
        <v>355</v>
      </c>
      <c r="F2279" t="s">
        <v>351</v>
      </c>
      <c r="G2279" t="s">
        <v>352</v>
      </c>
      <c r="H2279" t="s">
        <v>310</v>
      </c>
      <c r="I2279">
        <v>2300008</v>
      </c>
      <c r="J2279" t="s">
        <v>1036</v>
      </c>
      <c r="K2279" t="s">
        <v>4459</v>
      </c>
      <c r="L2279" t="s">
        <v>7145</v>
      </c>
      <c r="N2279" t="s">
        <v>7146</v>
      </c>
      <c r="O2279" t="s">
        <v>7147</v>
      </c>
      <c r="R2279" t="s">
        <v>3985</v>
      </c>
      <c r="S2279" s="34" t="s">
        <v>7148</v>
      </c>
    </row>
    <row r="2280" spans="1:19" ht="409.5" x14ac:dyDescent="0.15">
      <c r="A2280" t="s">
        <v>3483</v>
      </c>
      <c r="B2280" s="61">
        <v>46327</v>
      </c>
      <c r="E2280" t="s">
        <v>355</v>
      </c>
      <c r="F2280" t="s">
        <v>351</v>
      </c>
      <c r="G2280" t="s">
        <v>352</v>
      </c>
      <c r="H2280" t="s">
        <v>310</v>
      </c>
      <c r="I2280">
        <v>2300012</v>
      </c>
      <c r="J2280" t="s">
        <v>1036</v>
      </c>
      <c r="K2280" t="s">
        <v>4459</v>
      </c>
      <c r="L2280" t="s">
        <v>7149</v>
      </c>
      <c r="N2280" t="s">
        <v>7150</v>
      </c>
      <c r="O2280" t="s">
        <v>7151</v>
      </c>
      <c r="R2280" t="s">
        <v>3985</v>
      </c>
      <c r="S2280" s="34" t="s">
        <v>7152</v>
      </c>
    </row>
    <row r="2281" spans="1:19" ht="216" x14ac:dyDescent="0.15">
      <c r="A2281" t="s">
        <v>3483</v>
      </c>
      <c r="B2281" s="61">
        <v>46357</v>
      </c>
      <c r="E2281" t="s">
        <v>355</v>
      </c>
      <c r="F2281" t="s">
        <v>351</v>
      </c>
      <c r="G2281" t="s">
        <v>354</v>
      </c>
      <c r="H2281" t="s">
        <v>365</v>
      </c>
      <c r="I2281">
        <v>2300537</v>
      </c>
      <c r="J2281" t="s">
        <v>775</v>
      </c>
      <c r="K2281" t="s">
        <v>4459</v>
      </c>
      <c r="L2281" t="s">
        <v>7153</v>
      </c>
      <c r="N2281" t="s">
        <v>7154</v>
      </c>
      <c r="O2281" t="s">
        <v>7155</v>
      </c>
      <c r="R2281" t="s">
        <v>3992</v>
      </c>
      <c r="S2281" s="34" t="s">
        <v>7156</v>
      </c>
    </row>
    <row r="2282" spans="1:19" ht="364.5" x14ac:dyDescent="0.15">
      <c r="A2282" t="s">
        <v>3483</v>
      </c>
      <c r="B2282" s="61">
        <v>46357</v>
      </c>
      <c r="E2282" t="s">
        <v>355</v>
      </c>
      <c r="F2282" t="s">
        <v>351</v>
      </c>
      <c r="G2282" t="s">
        <v>354</v>
      </c>
      <c r="H2282" t="s">
        <v>353</v>
      </c>
      <c r="I2282">
        <v>2302326</v>
      </c>
      <c r="J2282" t="s">
        <v>3507</v>
      </c>
      <c r="K2282" t="s">
        <v>3508</v>
      </c>
      <c r="L2282" t="s">
        <v>2628</v>
      </c>
      <c r="N2282" t="s">
        <v>3509</v>
      </c>
      <c r="O2282" t="s">
        <v>3510</v>
      </c>
      <c r="R2282" t="s">
        <v>3986</v>
      </c>
      <c r="S2282" s="34" t="s">
        <v>7157</v>
      </c>
    </row>
    <row r="2283" spans="1:19" ht="229.5" x14ac:dyDescent="0.15">
      <c r="A2283" t="s">
        <v>3483</v>
      </c>
      <c r="B2283" s="61">
        <v>46357</v>
      </c>
      <c r="E2283" t="s">
        <v>355</v>
      </c>
      <c r="F2283" t="s">
        <v>351</v>
      </c>
      <c r="G2283" t="s">
        <v>352</v>
      </c>
      <c r="H2283" t="s">
        <v>353</v>
      </c>
      <c r="I2283">
        <v>2303216</v>
      </c>
      <c r="J2283" t="s">
        <v>3495</v>
      </c>
      <c r="K2283" t="s">
        <v>3496</v>
      </c>
      <c r="L2283" t="s">
        <v>3497</v>
      </c>
      <c r="N2283" t="s">
        <v>3498</v>
      </c>
      <c r="O2283" t="s">
        <v>3499</v>
      </c>
      <c r="R2283" t="s">
        <v>3985</v>
      </c>
      <c r="S2283" s="34" t="s">
        <v>7158</v>
      </c>
    </row>
    <row r="2284" spans="1:19" ht="378" x14ac:dyDescent="0.15">
      <c r="A2284" t="s">
        <v>3617</v>
      </c>
      <c r="B2284" s="61">
        <v>46235</v>
      </c>
      <c r="E2284" t="s">
        <v>355</v>
      </c>
      <c r="F2284" t="s">
        <v>351</v>
      </c>
      <c r="G2284" t="s">
        <v>352</v>
      </c>
      <c r="H2284" t="s">
        <v>353</v>
      </c>
      <c r="I2284">
        <v>4000073</v>
      </c>
      <c r="J2284" t="s">
        <v>3628</v>
      </c>
      <c r="K2284" t="s">
        <v>3629</v>
      </c>
      <c r="L2284" t="s">
        <v>3630</v>
      </c>
      <c r="N2284" t="s">
        <v>7159</v>
      </c>
      <c r="O2284" t="s">
        <v>3632</v>
      </c>
      <c r="R2284" t="s">
        <v>3985</v>
      </c>
      <c r="S2284" s="34" t="s">
        <v>7160</v>
      </c>
    </row>
    <row r="2285" spans="1:19" ht="364.5" x14ac:dyDescent="0.15">
      <c r="A2285" t="s">
        <v>3617</v>
      </c>
      <c r="B2285" s="61">
        <v>46235</v>
      </c>
      <c r="E2285" t="s">
        <v>355</v>
      </c>
      <c r="F2285" t="s">
        <v>351</v>
      </c>
      <c r="G2285" t="s">
        <v>352</v>
      </c>
      <c r="H2285" t="s">
        <v>353</v>
      </c>
      <c r="I2285">
        <v>4000722</v>
      </c>
      <c r="J2285" t="s">
        <v>3628</v>
      </c>
      <c r="K2285" t="s">
        <v>3629</v>
      </c>
      <c r="L2285" t="s">
        <v>3672</v>
      </c>
      <c r="N2285" t="s">
        <v>7161</v>
      </c>
      <c r="O2285" t="s">
        <v>3674</v>
      </c>
      <c r="R2285" t="s">
        <v>3985</v>
      </c>
      <c r="S2285" s="34" t="s">
        <v>7162</v>
      </c>
    </row>
    <row r="2286" spans="1:19" ht="243" x14ac:dyDescent="0.15">
      <c r="A2286" t="s">
        <v>3617</v>
      </c>
      <c r="B2286" s="61">
        <v>46235</v>
      </c>
      <c r="E2286" t="s">
        <v>355</v>
      </c>
      <c r="F2286" t="s">
        <v>351</v>
      </c>
      <c r="G2286" t="s">
        <v>352</v>
      </c>
      <c r="H2286" t="s">
        <v>310</v>
      </c>
      <c r="I2286">
        <v>4000861</v>
      </c>
      <c r="J2286" t="s">
        <v>1264</v>
      </c>
      <c r="K2286" t="s">
        <v>3623</v>
      </c>
      <c r="L2286" t="s">
        <v>3624</v>
      </c>
      <c r="N2286" t="s">
        <v>3625</v>
      </c>
      <c r="O2286" t="s">
        <v>3626</v>
      </c>
      <c r="R2286" t="s">
        <v>3985</v>
      </c>
      <c r="S2286" s="34" t="s">
        <v>7163</v>
      </c>
    </row>
    <row r="2287" spans="1:19" ht="229.5" x14ac:dyDescent="0.15">
      <c r="A2287" t="s">
        <v>3617</v>
      </c>
      <c r="B2287" s="61">
        <v>46266</v>
      </c>
      <c r="E2287" t="s">
        <v>355</v>
      </c>
      <c r="F2287" t="s">
        <v>351</v>
      </c>
      <c r="G2287" t="s">
        <v>352</v>
      </c>
      <c r="H2287" t="s">
        <v>365</v>
      </c>
      <c r="I2287">
        <v>4000519</v>
      </c>
      <c r="J2287" t="s">
        <v>3659</v>
      </c>
      <c r="K2287" t="s">
        <v>7164</v>
      </c>
      <c r="L2287" t="s">
        <v>698</v>
      </c>
      <c r="N2287" t="s">
        <v>7165</v>
      </c>
      <c r="O2287" t="s">
        <v>7166</v>
      </c>
      <c r="R2287" t="s">
        <v>3985</v>
      </c>
      <c r="S2287" s="34" t="s">
        <v>7167</v>
      </c>
    </row>
    <row r="2288" spans="1:19" ht="409.5" x14ac:dyDescent="0.15">
      <c r="A2288" t="s">
        <v>3617</v>
      </c>
      <c r="B2288" s="61">
        <v>46266</v>
      </c>
      <c r="E2288" t="s">
        <v>355</v>
      </c>
      <c r="F2288" t="s">
        <v>351</v>
      </c>
      <c r="G2288" t="s">
        <v>354</v>
      </c>
      <c r="H2288" t="s">
        <v>353</v>
      </c>
      <c r="I2288">
        <v>4000838</v>
      </c>
      <c r="J2288" t="s">
        <v>3634</v>
      </c>
      <c r="K2288" t="s">
        <v>3635</v>
      </c>
      <c r="L2288" t="s">
        <v>3636</v>
      </c>
      <c r="N2288" t="s">
        <v>7371</v>
      </c>
      <c r="O2288" t="s">
        <v>3638</v>
      </c>
      <c r="S2288" s="34" t="s">
        <v>7168</v>
      </c>
    </row>
    <row r="2289" spans="1:19" ht="409.5" x14ac:dyDescent="0.15">
      <c r="A2289" t="s">
        <v>3617</v>
      </c>
      <c r="B2289" s="61">
        <v>46266</v>
      </c>
      <c r="E2289" t="s">
        <v>355</v>
      </c>
      <c r="F2289" t="s">
        <v>351</v>
      </c>
      <c r="G2289" t="s">
        <v>354</v>
      </c>
      <c r="H2289" t="s">
        <v>365</v>
      </c>
      <c r="I2289">
        <v>4000838</v>
      </c>
      <c r="J2289" t="s">
        <v>3634</v>
      </c>
      <c r="K2289" t="s">
        <v>3635</v>
      </c>
      <c r="L2289" t="s">
        <v>3636</v>
      </c>
      <c r="N2289" t="s">
        <v>7169</v>
      </c>
      <c r="O2289" t="s">
        <v>3638</v>
      </c>
      <c r="S2289" s="34" t="s">
        <v>7170</v>
      </c>
    </row>
    <row r="2290" spans="1:19" ht="409.5" x14ac:dyDescent="0.15">
      <c r="A2290" t="s">
        <v>3617</v>
      </c>
      <c r="B2290" s="61">
        <v>46296</v>
      </c>
      <c r="E2290" t="s">
        <v>355</v>
      </c>
      <c r="F2290" t="s">
        <v>351</v>
      </c>
      <c r="G2290" t="s">
        <v>354</v>
      </c>
      <c r="H2290" t="s">
        <v>353</v>
      </c>
      <c r="I2290">
        <v>4000117</v>
      </c>
      <c r="J2290" t="s">
        <v>3654</v>
      </c>
      <c r="K2290" t="s">
        <v>3655</v>
      </c>
      <c r="L2290" t="s">
        <v>3656</v>
      </c>
      <c r="N2290" t="s">
        <v>7171</v>
      </c>
      <c r="O2290" t="s">
        <v>3658</v>
      </c>
      <c r="S2290" s="34" t="s">
        <v>7172</v>
      </c>
    </row>
    <row r="2291" spans="1:19" ht="409.5" x14ac:dyDescent="0.15">
      <c r="A2291" t="s">
        <v>3617</v>
      </c>
      <c r="B2291" s="61">
        <v>46296</v>
      </c>
      <c r="E2291" t="s">
        <v>355</v>
      </c>
      <c r="F2291" t="s">
        <v>351</v>
      </c>
      <c r="G2291" t="s">
        <v>354</v>
      </c>
      <c r="H2291" t="s">
        <v>365</v>
      </c>
      <c r="I2291">
        <v>4000324</v>
      </c>
      <c r="J2291" t="s">
        <v>371</v>
      </c>
      <c r="K2291" t="s">
        <v>3640</v>
      </c>
      <c r="L2291" t="s">
        <v>3641</v>
      </c>
      <c r="N2291" t="s">
        <v>7173</v>
      </c>
      <c r="O2291" t="s">
        <v>3643</v>
      </c>
      <c r="S2291" s="34" t="s">
        <v>7174</v>
      </c>
    </row>
    <row r="2292" spans="1:19" ht="409.5" x14ac:dyDescent="0.15">
      <c r="A2292" t="s">
        <v>3617</v>
      </c>
      <c r="B2292" s="61">
        <v>46327</v>
      </c>
      <c r="E2292" t="s">
        <v>355</v>
      </c>
      <c r="F2292" t="s">
        <v>351</v>
      </c>
      <c r="G2292" t="s">
        <v>354</v>
      </c>
      <c r="H2292" t="s">
        <v>353</v>
      </c>
      <c r="I2292">
        <v>4000749</v>
      </c>
      <c r="J2292" t="s">
        <v>2940</v>
      </c>
      <c r="K2292" t="s">
        <v>7175</v>
      </c>
      <c r="L2292" t="s">
        <v>7176</v>
      </c>
      <c r="N2292" t="s">
        <v>7177</v>
      </c>
      <c r="O2292" t="s">
        <v>7178</v>
      </c>
      <c r="R2292" t="s">
        <v>3987</v>
      </c>
      <c r="S2292" s="34" t="s">
        <v>7179</v>
      </c>
    </row>
    <row r="2293" spans="1:19" ht="409.5" x14ac:dyDescent="0.15">
      <c r="A2293" t="s">
        <v>3617</v>
      </c>
      <c r="B2293" s="61">
        <v>46327</v>
      </c>
      <c r="E2293" t="s">
        <v>355</v>
      </c>
      <c r="F2293" t="s">
        <v>351</v>
      </c>
      <c r="G2293" t="s">
        <v>354</v>
      </c>
      <c r="H2293" t="s">
        <v>686</v>
      </c>
      <c r="I2293">
        <v>4000749</v>
      </c>
      <c r="J2293" t="s">
        <v>2940</v>
      </c>
      <c r="K2293" t="s">
        <v>7175</v>
      </c>
      <c r="L2293" t="s">
        <v>7176</v>
      </c>
      <c r="N2293">
        <v>2107893</v>
      </c>
      <c r="O2293" t="s">
        <v>7178</v>
      </c>
      <c r="R2293" t="s">
        <v>3987</v>
      </c>
      <c r="S2293" s="34" t="s">
        <v>7180</v>
      </c>
    </row>
    <row r="2294" spans="1:19" ht="409.5" x14ac:dyDescent="0.15">
      <c r="A2294" t="s">
        <v>3617</v>
      </c>
      <c r="B2294" s="61">
        <v>46327</v>
      </c>
      <c r="E2294" t="s">
        <v>355</v>
      </c>
      <c r="F2294" t="s">
        <v>351</v>
      </c>
      <c r="G2294" t="s">
        <v>354</v>
      </c>
      <c r="H2294" t="s">
        <v>353</v>
      </c>
      <c r="I2294">
        <v>4000828</v>
      </c>
      <c r="J2294" t="s">
        <v>2940</v>
      </c>
      <c r="K2294" t="s">
        <v>7175</v>
      </c>
      <c r="L2294" t="s">
        <v>7181</v>
      </c>
      <c r="N2294" t="s">
        <v>7182</v>
      </c>
      <c r="O2294" t="s">
        <v>7183</v>
      </c>
      <c r="R2294" t="s">
        <v>3987</v>
      </c>
      <c r="S2294" s="34" t="s">
        <v>7184</v>
      </c>
    </row>
    <row r="2295" spans="1:19" ht="409.5" x14ac:dyDescent="0.15">
      <c r="A2295" t="s">
        <v>3617</v>
      </c>
      <c r="B2295" s="61">
        <v>46327</v>
      </c>
      <c r="E2295" t="s">
        <v>355</v>
      </c>
      <c r="F2295" t="s">
        <v>351</v>
      </c>
      <c r="G2295" t="s">
        <v>354</v>
      </c>
      <c r="H2295" t="s">
        <v>686</v>
      </c>
      <c r="I2295">
        <v>4000828</v>
      </c>
      <c r="J2295" t="s">
        <v>2940</v>
      </c>
      <c r="K2295" t="s">
        <v>7175</v>
      </c>
      <c r="L2295" t="s">
        <v>7181</v>
      </c>
      <c r="N2295">
        <v>2107888</v>
      </c>
      <c r="O2295" t="s">
        <v>7183</v>
      </c>
      <c r="R2295" t="s">
        <v>3987</v>
      </c>
      <c r="S2295" s="34" t="s">
        <v>7185</v>
      </c>
    </row>
    <row r="2296" spans="1:19" ht="409.5" x14ac:dyDescent="0.15">
      <c r="A2296" t="s">
        <v>3617</v>
      </c>
      <c r="B2296" s="61">
        <v>46327</v>
      </c>
      <c r="E2296" t="s">
        <v>355</v>
      </c>
      <c r="F2296" t="s">
        <v>351</v>
      </c>
      <c r="G2296" t="s">
        <v>354</v>
      </c>
      <c r="H2296" t="s">
        <v>365</v>
      </c>
      <c r="I2296">
        <v>4000885</v>
      </c>
      <c r="J2296" t="s">
        <v>3659</v>
      </c>
      <c r="K2296" t="s">
        <v>2861</v>
      </c>
      <c r="L2296" t="s">
        <v>3660</v>
      </c>
      <c r="N2296" t="s">
        <v>7186</v>
      </c>
      <c r="O2296" t="s">
        <v>3662</v>
      </c>
      <c r="R2296" t="s">
        <v>3987</v>
      </c>
      <c r="S2296" s="34" t="s">
        <v>7187</v>
      </c>
    </row>
    <row r="2297" spans="1:19" ht="409.5" x14ac:dyDescent="0.15">
      <c r="A2297" t="s">
        <v>3617</v>
      </c>
      <c r="B2297" s="61">
        <v>46327</v>
      </c>
      <c r="E2297" t="s">
        <v>355</v>
      </c>
      <c r="F2297" t="s">
        <v>351</v>
      </c>
      <c r="G2297" t="s">
        <v>354</v>
      </c>
      <c r="H2297" t="s">
        <v>353</v>
      </c>
      <c r="I2297">
        <v>4000918</v>
      </c>
      <c r="J2297" t="s">
        <v>2940</v>
      </c>
      <c r="K2297" t="s">
        <v>7175</v>
      </c>
      <c r="L2297" t="s">
        <v>7188</v>
      </c>
      <c r="N2297" t="s">
        <v>7189</v>
      </c>
      <c r="O2297" t="s">
        <v>7190</v>
      </c>
      <c r="R2297" t="s">
        <v>3986</v>
      </c>
      <c r="S2297" s="34" t="s">
        <v>7191</v>
      </c>
    </row>
    <row r="2298" spans="1:19" ht="364.5" x14ac:dyDescent="0.15">
      <c r="A2298" t="s">
        <v>3617</v>
      </c>
      <c r="B2298" s="61">
        <v>46327</v>
      </c>
      <c r="E2298" t="s">
        <v>355</v>
      </c>
      <c r="F2298" t="s">
        <v>351</v>
      </c>
      <c r="G2298" t="s">
        <v>354</v>
      </c>
      <c r="H2298" t="s">
        <v>686</v>
      </c>
      <c r="I2298">
        <v>4000918</v>
      </c>
      <c r="J2298" t="s">
        <v>2940</v>
      </c>
      <c r="K2298" t="s">
        <v>7175</v>
      </c>
      <c r="L2298" t="s">
        <v>7188</v>
      </c>
      <c r="N2298">
        <v>2132138</v>
      </c>
      <c r="O2298" t="s">
        <v>7190</v>
      </c>
      <c r="R2298" t="s">
        <v>3986</v>
      </c>
      <c r="S2298" s="34" t="s">
        <v>7192</v>
      </c>
    </row>
    <row r="2299" spans="1:19" ht="229.5" x14ac:dyDescent="0.15">
      <c r="A2299" t="s">
        <v>3617</v>
      </c>
      <c r="B2299" s="61">
        <v>46357</v>
      </c>
      <c r="E2299" t="s">
        <v>355</v>
      </c>
      <c r="F2299" t="s">
        <v>351</v>
      </c>
      <c r="G2299" t="s">
        <v>354</v>
      </c>
      <c r="H2299" t="s">
        <v>365</v>
      </c>
      <c r="I2299">
        <v>3500323</v>
      </c>
      <c r="J2299" t="s">
        <v>3668</v>
      </c>
      <c r="L2299" t="s">
        <v>3669</v>
      </c>
      <c r="N2299" t="s">
        <v>3670</v>
      </c>
      <c r="O2299" t="s">
        <v>3671</v>
      </c>
      <c r="S2299" s="34" t="s">
        <v>7193</v>
      </c>
    </row>
    <row r="2300" spans="1:19" ht="202.5" x14ac:dyDescent="0.15">
      <c r="A2300" t="s">
        <v>3617</v>
      </c>
      <c r="B2300" s="61">
        <v>46357</v>
      </c>
      <c r="E2300" t="s">
        <v>355</v>
      </c>
      <c r="F2300" t="s">
        <v>351</v>
      </c>
      <c r="G2300" t="s">
        <v>354</v>
      </c>
      <c r="H2300" t="s">
        <v>353</v>
      </c>
      <c r="I2300">
        <v>4000966</v>
      </c>
      <c r="J2300" t="s">
        <v>1497</v>
      </c>
      <c r="K2300" t="s">
        <v>4196</v>
      </c>
      <c r="L2300" t="s">
        <v>4197</v>
      </c>
      <c r="N2300" t="s">
        <v>4198</v>
      </c>
      <c r="O2300" t="s">
        <v>4199</v>
      </c>
      <c r="S2300" s="34" t="s">
        <v>7194</v>
      </c>
    </row>
    <row r="2301" spans="1:19" ht="243" x14ac:dyDescent="0.15">
      <c r="A2301" t="s">
        <v>3684</v>
      </c>
      <c r="B2301" s="61">
        <v>46235</v>
      </c>
      <c r="E2301" t="s">
        <v>355</v>
      </c>
      <c r="F2301" t="s">
        <v>351</v>
      </c>
      <c r="G2301" t="s">
        <v>352</v>
      </c>
      <c r="H2301" t="s">
        <v>310</v>
      </c>
      <c r="I2301">
        <v>2702349</v>
      </c>
      <c r="J2301" t="s">
        <v>7195</v>
      </c>
      <c r="K2301" t="s">
        <v>1251</v>
      </c>
      <c r="L2301" t="s">
        <v>7196</v>
      </c>
      <c r="N2301" t="s">
        <v>7197</v>
      </c>
      <c r="O2301" t="s">
        <v>7198</v>
      </c>
      <c r="R2301" t="s">
        <v>3985</v>
      </c>
      <c r="S2301" s="34" t="s">
        <v>7199</v>
      </c>
    </row>
    <row r="2302" spans="1:19" ht="409.5" x14ac:dyDescent="0.15">
      <c r="A2302" t="s">
        <v>3684</v>
      </c>
      <c r="B2302" s="61">
        <v>46235</v>
      </c>
      <c r="E2302" t="s">
        <v>355</v>
      </c>
      <c r="F2302" t="s">
        <v>351</v>
      </c>
      <c r="G2302" t="s">
        <v>354</v>
      </c>
      <c r="H2302" t="s">
        <v>686</v>
      </c>
      <c r="I2302">
        <v>2702410</v>
      </c>
      <c r="J2302" t="s">
        <v>974</v>
      </c>
      <c r="K2302" t="s">
        <v>3699</v>
      </c>
      <c r="L2302" t="s">
        <v>3700</v>
      </c>
      <c r="N2302">
        <v>2076455</v>
      </c>
      <c r="O2302" t="s">
        <v>3702</v>
      </c>
      <c r="R2302" t="s">
        <v>3985</v>
      </c>
      <c r="S2302" s="34" t="s">
        <v>7200</v>
      </c>
    </row>
    <row r="2303" spans="1:19" ht="409.5" x14ac:dyDescent="0.15">
      <c r="A2303" t="s">
        <v>3684</v>
      </c>
      <c r="B2303" s="61">
        <v>46266</v>
      </c>
      <c r="E2303" t="s">
        <v>355</v>
      </c>
      <c r="F2303" t="s">
        <v>351</v>
      </c>
      <c r="G2303" t="s">
        <v>354</v>
      </c>
      <c r="H2303" t="s">
        <v>353</v>
      </c>
      <c r="I2303">
        <v>2702723</v>
      </c>
      <c r="J2303" t="s">
        <v>3712</v>
      </c>
      <c r="K2303" t="s">
        <v>440</v>
      </c>
      <c r="L2303" t="s">
        <v>466</v>
      </c>
      <c r="N2303" t="s">
        <v>7201</v>
      </c>
      <c r="O2303" t="s">
        <v>3714</v>
      </c>
      <c r="S2303" s="34" t="s">
        <v>7202</v>
      </c>
    </row>
    <row r="2304" spans="1:19" ht="409.5" x14ac:dyDescent="0.15">
      <c r="A2304" t="s">
        <v>3684</v>
      </c>
      <c r="B2304" s="61">
        <v>46266</v>
      </c>
      <c r="E2304" t="s">
        <v>355</v>
      </c>
      <c r="F2304" t="s">
        <v>351</v>
      </c>
      <c r="G2304" t="s">
        <v>354</v>
      </c>
      <c r="H2304" t="s">
        <v>686</v>
      </c>
      <c r="I2304">
        <v>2702723</v>
      </c>
      <c r="J2304" t="s">
        <v>3712</v>
      </c>
      <c r="K2304" t="s">
        <v>440</v>
      </c>
      <c r="L2304" t="s">
        <v>466</v>
      </c>
      <c r="N2304">
        <v>2121179</v>
      </c>
      <c r="O2304" t="s">
        <v>3714</v>
      </c>
      <c r="R2304" t="s">
        <v>4052</v>
      </c>
      <c r="S2304" s="34" t="s">
        <v>7203</v>
      </c>
    </row>
    <row r="2305" spans="1:19" ht="229.5" x14ac:dyDescent="0.15">
      <c r="A2305" t="s">
        <v>3684</v>
      </c>
      <c r="B2305" s="61">
        <v>46266</v>
      </c>
      <c r="E2305" t="s">
        <v>355</v>
      </c>
      <c r="F2305" t="s">
        <v>351</v>
      </c>
      <c r="G2305" t="s">
        <v>354</v>
      </c>
      <c r="H2305" t="s">
        <v>353</v>
      </c>
      <c r="I2305">
        <v>2702754</v>
      </c>
      <c r="J2305" t="s">
        <v>780</v>
      </c>
      <c r="K2305" t="s">
        <v>3715</v>
      </c>
      <c r="L2305" t="s">
        <v>833</v>
      </c>
      <c r="N2305" t="s">
        <v>7372</v>
      </c>
      <c r="O2305" t="s">
        <v>3718</v>
      </c>
      <c r="R2305" t="s">
        <v>3987</v>
      </c>
      <c r="S2305" s="34" t="s">
        <v>7373</v>
      </c>
    </row>
    <row r="2306" spans="1:19" ht="409.5" x14ac:dyDescent="0.15">
      <c r="A2306" t="s">
        <v>3684</v>
      </c>
      <c r="B2306" s="61">
        <v>46296</v>
      </c>
      <c r="E2306" t="s">
        <v>355</v>
      </c>
      <c r="F2306" t="s">
        <v>351</v>
      </c>
      <c r="G2306" t="s">
        <v>354</v>
      </c>
      <c r="H2306" t="s">
        <v>353</v>
      </c>
      <c r="I2306">
        <v>2700494</v>
      </c>
      <c r="J2306" t="s">
        <v>7204</v>
      </c>
      <c r="K2306" t="s">
        <v>7205</v>
      </c>
      <c r="L2306" t="s">
        <v>413</v>
      </c>
      <c r="N2306" t="s">
        <v>7206</v>
      </c>
      <c r="O2306" t="s">
        <v>7207</v>
      </c>
      <c r="R2306" t="s">
        <v>3992</v>
      </c>
      <c r="S2306" s="34" t="s">
        <v>7208</v>
      </c>
    </row>
    <row r="2307" spans="1:19" ht="409.5" x14ac:dyDescent="0.15">
      <c r="A2307" t="s">
        <v>3684</v>
      </c>
      <c r="B2307" s="61">
        <v>46296</v>
      </c>
      <c r="E2307" t="s">
        <v>355</v>
      </c>
      <c r="F2307" t="s">
        <v>351</v>
      </c>
      <c r="G2307" t="s">
        <v>354</v>
      </c>
      <c r="H2307" t="s">
        <v>686</v>
      </c>
      <c r="I2307">
        <v>2700758</v>
      </c>
      <c r="J2307" t="s">
        <v>3726</v>
      </c>
      <c r="K2307" t="s">
        <v>2290</v>
      </c>
      <c r="L2307" t="s">
        <v>2550</v>
      </c>
      <c r="N2307" t="s">
        <v>7209</v>
      </c>
      <c r="O2307" t="s">
        <v>3729</v>
      </c>
      <c r="S2307" s="34" t="s">
        <v>7210</v>
      </c>
    </row>
    <row r="2308" spans="1:19" ht="202.5" x14ac:dyDescent="0.15">
      <c r="A2308" t="s">
        <v>3684</v>
      </c>
      <c r="B2308" s="61">
        <v>46296</v>
      </c>
      <c r="E2308" t="s">
        <v>355</v>
      </c>
      <c r="F2308" t="s">
        <v>351</v>
      </c>
      <c r="G2308" t="s">
        <v>354</v>
      </c>
      <c r="H2308" t="s">
        <v>686</v>
      </c>
      <c r="I2308">
        <v>2700758</v>
      </c>
      <c r="J2308" t="s">
        <v>3726</v>
      </c>
      <c r="K2308" t="s">
        <v>2290</v>
      </c>
      <c r="L2308" t="s">
        <v>2550</v>
      </c>
      <c r="N2308">
        <v>2139376</v>
      </c>
      <c r="O2308" t="s">
        <v>3729</v>
      </c>
      <c r="S2308" s="34" t="s">
        <v>7211</v>
      </c>
    </row>
    <row r="2309" spans="1:19" ht="216" x14ac:dyDescent="0.15">
      <c r="A2309" t="s">
        <v>3684</v>
      </c>
      <c r="B2309" s="61">
        <v>46296</v>
      </c>
      <c r="E2309" t="s">
        <v>355</v>
      </c>
      <c r="F2309" t="s">
        <v>351</v>
      </c>
      <c r="G2309" t="s">
        <v>352</v>
      </c>
      <c r="H2309" t="s">
        <v>353</v>
      </c>
      <c r="I2309">
        <v>2701496</v>
      </c>
      <c r="J2309" t="s">
        <v>3691</v>
      </c>
      <c r="K2309" t="s">
        <v>3692</v>
      </c>
      <c r="L2309" t="s">
        <v>413</v>
      </c>
      <c r="N2309" t="s">
        <v>3693</v>
      </c>
      <c r="O2309" t="s">
        <v>3694</v>
      </c>
      <c r="R2309" t="s">
        <v>3985</v>
      </c>
      <c r="S2309" s="34" t="s">
        <v>7212</v>
      </c>
    </row>
    <row r="2310" spans="1:19" ht="409.5" x14ac:dyDescent="0.15">
      <c r="A2310" t="s">
        <v>3684</v>
      </c>
      <c r="B2310" s="61">
        <v>46296</v>
      </c>
      <c r="E2310" t="s">
        <v>355</v>
      </c>
      <c r="F2310" t="s">
        <v>351</v>
      </c>
      <c r="G2310" t="s">
        <v>354</v>
      </c>
      <c r="H2310" t="s">
        <v>353</v>
      </c>
      <c r="I2310">
        <v>2701515</v>
      </c>
      <c r="J2310" t="s">
        <v>7213</v>
      </c>
      <c r="L2310" t="s">
        <v>7214</v>
      </c>
      <c r="N2310" t="s">
        <v>7215</v>
      </c>
      <c r="O2310" t="s">
        <v>7216</v>
      </c>
      <c r="R2310" t="s">
        <v>4330</v>
      </c>
      <c r="S2310" s="34" t="s">
        <v>7217</v>
      </c>
    </row>
    <row r="2311" spans="1:19" ht="409.5" x14ac:dyDescent="0.15">
      <c r="A2311" t="s">
        <v>3684</v>
      </c>
      <c r="B2311" s="61">
        <v>46296</v>
      </c>
      <c r="E2311" t="s">
        <v>355</v>
      </c>
      <c r="F2311" t="s">
        <v>351</v>
      </c>
      <c r="G2311" t="s">
        <v>354</v>
      </c>
      <c r="H2311" t="s">
        <v>353</v>
      </c>
      <c r="I2311">
        <v>2702754</v>
      </c>
      <c r="J2311" t="s">
        <v>780</v>
      </c>
      <c r="K2311" t="s">
        <v>3715</v>
      </c>
      <c r="L2311" t="s">
        <v>833</v>
      </c>
      <c r="N2311" t="s">
        <v>7218</v>
      </c>
      <c r="O2311" t="s">
        <v>3718</v>
      </c>
      <c r="R2311" t="s">
        <v>3987</v>
      </c>
      <c r="S2311" s="34" t="s">
        <v>7219</v>
      </c>
    </row>
    <row r="2312" spans="1:19" ht="216" x14ac:dyDescent="0.15">
      <c r="A2312" t="s">
        <v>3684</v>
      </c>
      <c r="B2312" s="61">
        <v>46327</v>
      </c>
      <c r="E2312" t="s">
        <v>355</v>
      </c>
      <c r="F2312" t="s">
        <v>351</v>
      </c>
      <c r="G2312" t="s">
        <v>354</v>
      </c>
      <c r="H2312" t="s">
        <v>353</v>
      </c>
      <c r="I2312">
        <v>2700124</v>
      </c>
      <c r="J2312" t="s">
        <v>4808</v>
      </c>
      <c r="L2312" t="s">
        <v>413</v>
      </c>
      <c r="N2312" t="s">
        <v>4809</v>
      </c>
      <c r="O2312" t="s">
        <v>4810</v>
      </c>
      <c r="S2312" s="34" t="s">
        <v>7220</v>
      </c>
    </row>
    <row r="2313" spans="1:19" ht="409.5" x14ac:dyDescent="0.15">
      <c r="A2313" t="s">
        <v>3684</v>
      </c>
      <c r="B2313" s="61">
        <v>46327</v>
      </c>
      <c r="E2313" t="s">
        <v>355</v>
      </c>
      <c r="F2313" t="s">
        <v>351</v>
      </c>
      <c r="G2313" t="s">
        <v>354</v>
      </c>
      <c r="H2313" t="s">
        <v>309</v>
      </c>
      <c r="I2313">
        <v>2700494</v>
      </c>
      <c r="J2313" t="s">
        <v>7204</v>
      </c>
      <c r="K2313" t="s">
        <v>7205</v>
      </c>
      <c r="L2313" t="s">
        <v>413</v>
      </c>
      <c r="N2313" t="s">
        <v>7221</v>
      </c>
      <c r="O2313" t="s">
        <v>7207</v>
      </c>
      <c r="R2313" t="s">
        <v>3992</v>
      </c>
      <c r="S2313" s="34" t="s">
        <v>7222</v>
      </c>
    </row>
    <row r="2314" spans="1:19" ht="229.5" x14ac:dyDescent="0.15">
      <c r="A2314" t="s">
        <v>3684</v>
      </c>
      <c r="B2314" s="61">
        <v>46327</v>
      </c>
      <c r="E2314" t="s">
        <v>355</v>
      </c>
      <c r="F2314" t="s">
        <v>351</v>
      </c>
      <c r="G2314" t="s">
        <v>354</v>
      </c>
      <c r="H2314" t="s">
        <v>365</v>
      </c>
      <c r="I2314">
        <v>2702355</v>
      </c>
      <c r="J2314" t="s">
        <v>3685</v>
      </c>
      <c r="K2314" t="s">
        <v>3709</v>
      </c>
      <c r="L2314" t="s">
        <v>413</v>
      </c>
      <c r="N2314" t="s">
        <v>3710</v>
      </c>
      <c r="O2314" t="s">
        <v>3711</v>
      </c>
      <c r="R2314" t="s">
        <v>3986</v>
      </c>
      <c r="S2314" s="34" t="s">
        <v>7223</v>
      </c>
    </row>
    <row r="2315" spans="1:19" ht="409.5" x14ac:dyDescent="0.15">
      <c r="A2315" t="s">
        <v>3684</v>
      </c>
      <c r="B2315" s="61">
        <v>46327</v>
      </c>
      <c r="E2315" t="s">
        <v>355</v>
      </c>
      <c r="F2315" t="s">
        <v>351</v>
      </c>
      <c r="G2315" t="s">
        <v>354</v>
      </c>
      <c r="H2315" t="s">
        <v>365</v>
      </c>
      <c r="I2315">
        <v>2702712</v>
      </c>
      <c r="J2315" t="s">
        <v>3706</v>
      </c>
      <c r="L2315" t="s">
        <v>1276</v>
      </c>
      <c r="N2315" t="s">
        <v>7224</v>
      </c>
      <c r="O2315" t="s">
        <v>3708</v>
      </c>
      <c r="R2315" t="s">
        <v>7225</v>
      </c>
      <c r="S2315" s="34" t="s">
        <v>7226</v>
      </c>
    </row>
    <row r="2316" spans="1:19" ht="229.5" x14ac:dyDescent="0.15">
      <c r="A2316" t="s">
        <v>3684</v>
      </c>
      <c r="B2316" s="61">
        <v>46327</v>
      </c>
      <c r="E2316" t="s">
        <v>355</v>
      </c>
      <c r="F2316" t="s">
        <v>351</v>
      </c>
      <c r="G2316" t="s">
        <v>354</v>
      </c>
      <c r="H2316" t="s">
        <v>365</v>
      </c>
      <c r="I2316">
        <v>2702746</v>
      </c>
      <c r="J2316" t="s">
        <v>3686</v>
      </c>
      <c r="K2316" t="s">
        <v>3687</v>
      </c>
      <c r="L2316" t="s">
        <v>3688</v>
      </c>
      <c r="N2316" t="s">
        <v>3689</v>
      </c>
      <c r="O2316" t="s">
        <v>3690</v>
      </c>
      <c r="R2316" t="s">
        <v>3986</v>
      </c>
      <c r="S2316" s="34" t="s">
        <v>7227</v>
      </c>
    </row>
    <row r="2317" spans="1:19" ht="229.5" x14ac:dyDescent="0.15">
      <c r="A2317" t="s">
        <v>3684</v>
      </c>
      <c r="B2317" s="61">
        <v>46357</v>
      </c>
      <c r="E2317" t="s">
        <v>355</v>
      </c>
      <c r="F2317" t="s">
        <v>351</v>
      </c>
      <c r="G2317" t="s">
        <v>354</v>
      </c>
      <c r="H2317" t="s">
        <v>365</v>
      </c>
      <c r="I2317">
        <v>2702339</v>
      </c>
      <c r="J2317" t="s">
        <v>3719</v>
      </c>
      <c r="L2317" t="s">
        <v>413</v>
      </c>
      <c r="N2317" t="s">
        <v>3720</v>
      </c>
      <c r="O2317" t="s">
        <v>3721</v>
      </c>
      <c r="S2317" s="34" t="s">
        <v>7228</v>
      </c>
    </row>
    <row r="2318" spans="1:19" ht="409.5" x14ac:dyDescent="0.15">
      <c r="A2318" t="s">
        <v>3731</v>
      </c>
      <c r="B2318" s="61">
        <v>46235</v>
      </c>
      <c r="E2318" t="s">
        <v>355</v>
      </c>
      <c r="F2318" t="s">
        <v>351</v>
      </c>
      <c r="G2318" t="s">
        <v>352</v>
      </c>
      <c r="H2318" t="s">
        <v>353</v>
      </c>
      <c r="I2318">
        <v>2701870</v>
      </c>
      <c r="J2318" t="s">
        <v>2718</v>
      </c>
      <c r="K2318" t="s">
        <v>3786</v>
      </c>
      <c r="L2318" t="s">
        <v>3790</v>
      </c>
      <c r="N2318" t="s">
        <v>3791</v>
      </c>
      <c r="O2318" t="s">
        <v>3792</v>
      </c>
      <c r="R2318" t="s">
        <v>3985</v>
      </c>
      <c r="S2318" s="34" t="s">
        <v>7231</v>
      </c>
    </row>
    <row r="2319" spans="1:19" ht="409.5" x14ac:dyDescent="0.15">
      <c r="A2319" t="s">
        <v>3731</v>
      </c>
      <c r="B2319" s="61">
        <v>46296</v>
      </c>
      <c r="E2319" t="s">
        <v>355</v>
      </c>
      <c r="F2319" t="s">
        <v>351</v>
      </c>
      <c r="G2319" t="s">
        <v>352</v>
      </c>
      <c r="H2319" t="s">
        <v>353</v>
      </c>
      <c r="I2319">
        <v>2600440</v>
      </c>
      <c r="J2319" t="s">
        <v>3762</v>
      </c>
      <c r="K2319" t="s">
        <v>3793</v>
      </c>
      <c r="L2319" t="s">
        <v>390</v>
      </c>
      <c r="N2319" t="s">
        <v>7232</v>
      </c>
      <c r="O2319" t="s">
        <v>3795</v>
      </c>
      <c r="R2319" t="s">
        <v>3985</v>
      </c>
      <c r="S2319" s="34" t="s">
        <v>7233</v>
      </c>
    </row>
    <row r="2320" spans="1:19" ht="229.5" x14ac:dyDescent="0.15">
      <c r="A2320" t="s">
        <v>3731</v>
      </c>
      <c r="B2320" s="61">
        <v>46296</v>
      </c>
      <c r="E2320" t="s">
        <v>355</v>
      </c>
      <c r="F2320" t="s">
        <v>351</v>
      </c>
      <c r="G2320" t="s">
        <v>354</v>
      </c>
      <c r="H2320" t="s">
        <v>365</v>
      </c>
      <c r="I2320">
        <v>2600503</v>
      </c>
      <c r="J2320" t="s">
        <v>3779</v>
      </c>
      <c r="L2320" t="s">
        <v>1148</v>
      </c>
      <c r="N2320" t="s">
        <v>3780</v>
      </c>
      <c r="O2320" t="s">
        <v>3781</v>
      </c>
      <c r="R2320" t="s">
        <v>3987</v>
      </c>
      <c r="S2320" s="34" t="s">
        <v>7234</v>
      </c>
    </row>
    <row r="2321" spans="1:19" ht="409.5" x14ac:dyDescent="0.15">
      <c r="A2321" t="s">
        <v>3731</v>
      </c>
      <c r="B2321" s="61">
        <v>46296</v>
      </c>
      <c r="E2321" t="s">
        <v>355</v>
      </c>
      <c r="F2321" t="s">
        <v>351</v>
      </c>
      <c r="G2321" t="s">
        <v>354</v>
      </c>
      <c r="H2321" t="s">
        <v>353</v>
      </c>
      <c r="I2321">
        <v>2702768</v>
      </c>
      <c r="J2321" t="s">
        <v>2994</v>
      </c>
      <c r="K2321" t="s">
        <v>7235</v>
      </c>
      <c r="L2321" t="s">
        <v>466</v>
      </c>
      <c r="N2321" t="s">
        <v>7236</v>
      </c>
      <c r="O2321" t="s">
        <v>7237</v>
      </c>
      <c r="R2321" t="s">
        <v>3987</v>
      </c>
      <c r="S2321" s="34" t="s">
        <v>7238</v>
      </c>
    </row>
    <row r="2322" spans="1:19" ht="337.5" x14ac:dyDescent="0.15">
      <c r="A2322" t="s">
        <v>3731</v>
      </c>
      <c r="B2322" s="61">
        <v>46296</v>
      </c>
      <c r="E2322" t="s">
        <v>355</v>
      </c>
      <c r="F2322" t="s">
        <v>351</v>
      </c>
      <c r="G2322" t="s">
        <v>354</v>
      </c>
      <c r="H2322" t="s">
        <v>353</v>
      </c>
      <c r="I2322">
        <v>2702771</v>
      </c>
      <c r="J2322" t="s">
        <v>2718</v>
      </c>
      <c r="K2322" t="s">
        <v>3786</v>
      </c>
      <c r="L2322" t="s">
        <v>3813</v>
      </c>
      <c r="N2322" t="s">
        <v>7239</v>
      </c>
      <c r="O2322" t="s">
        <v>3815</v>
      </c>
      <c r="R2322" t="s">
        <v>3987</v>
      </c>
      <c r="S2322" s="34" t="s">
        <v>7240</v>
      </c>
    </row>
    <row r="2323" spans="1:19" ht="216" x14ac:dyDescent="0.15">
      <c r="A2323" t="s">
        <v>3731</v>
      </c>
      <c r="B2323" s="61">
        <v>46327</v>
      </c>
      <c r="E2323" t="s">
        <v>355</v>
      </c>
      <c r="F2323" t="s">
        <v>351</v>
      </c>
      <c r="G2323" t="s">
        <v>354</v>
      </c>
      <c r="H2323" t="s">
        <v>353</v>
      </c>
      <c r="I2323">
        <v>2600009</v>
      </c>
      <c r="J2323" t="s">
        <v>4702</v>
      </c>
      <c r="K2323" t="s">
        <v>4703</v>
      </c>
      <c r="L2323" t="s">
        <v>390</v>
      </c>
      <c r="N2323" t="s">
        <v>4704</v>
      </c>
      <c r="O2323" t="s">
        <v>4705</v>
      </c>
      <c r="S2323" s="34" t="s">
        <v>7241</v>
      </c>
    </row>
    <row r="2324" spans="1:19" ht="324" x14ac:dyDescent="0.15">
      <c r="A2324" t="s">
        <v>3731</v>
      </c>
      <c r="B2324" s="61">
        <v>46327</v>
      </c>
      <c r="E2324" t="s">
        <v>355</v>
      </c>
      <c r="F2324" t="s">
        <v>351</v>
      </c>
      <c r="G2324" t="s">
        <v>354</v>
      </c>
      <c r="H2324" t="s">
        <v>353</v>
      </c>
      <c r="I2324">
        <v>2600058</v>
      </c>
      <c r="J2324" t="s">
        <v>3751</v>
      </c>
      <c r="L2324" t="s">
        <v>390</v>
      </c>
      <c r="N2324" t="s">
        <v>7242</v>
      </c>
      <c r="O2324" t="s">
        <v>3753</v>
      </c>
      <c r="R2324" t="s">
        <v>3987</v>
      </c>
      <c r="S2324" s="34" t="s">
        <v>7243</v>
      </c>
    </row>
    <row r="2325" spans="1:19" ht="409.5" x14ac:dyDescent="0.15">
      <c r="A2325" t="s">
        <v>3731</v>
      </c>
      <c r="B2325" s="61">
        <v>46327</v>
      </c>
      <c r="E2325" t="s">
        <v>355</v>
      </c>
      <c r="F2325" t="s">
        <v>351</v>
      </c>
      <c r="G2325" t="s">
        <v>354</v>
      </c>
      <c r="H2325" t="s">
        <v>353</v>
      </c>
      <c r="I2325">
        <v>2600441</v>
      </c>
      <c r="J2325" t="s">
        <v>873</v>
      </c>
      <c r="K2325" t="s">
        <v>3782</v>
      </c>
      <c r="L2325" t="s">
        <v>3783</v>
      </c>
      <c r="N2325" t="s">
        <v>3784</v>
      </c>
      <c r="O2325" t="s">
        <v>3785</v>
      </c>
      <c r="R2325" t="s">
        <v>3986</v>
      </c>
      <c r="S2325" s="34" t="s">
        <v>7244</v>
      </c>
    </row>
    <row r="2326" spans="1:19" ht="324" x14ac:dyDescent="0.15">
      <c r="A2326" t="s">
        <v>3731</v>
      </c>
      <c r="B2326" s="61">
        <v>46327</v>
      </c>
      <c r="E2326" t="s">
        <v>355</v>
      </c>
      <c r="F2326" t="s">
        <v>351</v>
      </c>
      <c r="G2326" t="s">
        <v>352</v>
      </c>
      <c r="H2326" t="s">
        <v>353</v>
      </c>
      <c r="I2326">
        <v>2600466</v>
      </c>
      <c r="J2326" t="s">
        <v>7245</v>
      </c>
      <c r="L2326" t="s">
        <v>7246</v>
      </c>
      <c r="N2326" t="s">
        <v>7247</v>
      </c>
      <c r="O2326" t="s">
        <v>7248</v>
      </c>
      <c r="R2326" t="s">
        <v>3985</v>
      </c>
      <c r="S2326" s="34" t="s">
        <v>7249</v>
      </c>
    </row>
    <row r="2327" spans="1:19" ht="337.5" x14ac:dyDescent="0.15">
      <c r="A2327" t="s">
        <v>3731</v>
      </c>
      <c r="B2327" s="61">
        <v>46327</v>
      </c>
      <c r="E2327" t="s">
        <v>355</v>
      </c>
      <c r="F2327" t="s">
        <v>351</v>
      </c>
      <c r="G2327" t="s">
        <v>7250</v>
      </c>
      <c r="H2327" t="s">
        <v>353</v>
      </c>
      <c r="I2327">
        <v>2701769</v>
      </c>
      <c r="J2327" t="s">
        <v>3742</v>
      </c>
      <c r="K2327" t="s">
        <v>428</v>
      </c>
      <c r="L2327" t="s">
        <v>3743</v>
      </c>
      <c r="N2327" t="s">
        <v>7251</v>
      </c>
      <c r="O2327" t="s">
        <v>3745</v>
      </c>
      <c r="R2327" t="s">
        <v>7252</v>
      </c>
      <c r="S2327" s="34" t="s">
        <v>7253</v>
      </c>
    </row>
    <row r="2328" spans="1:19" ht="409.5" x14ac:dyDescent="0.15">
      <c r="A2328" t="s">
        <v>3731</v>
      </c>
      <c r="B2328" s="61">
        <v>46357</v>
      </c>
      <c r="E2328" t="s">
        <v>355</v>
      </c>
      <c r="F2328" t="s">
        <v>351</v>
      </c>
      <c r="G2328" t="s">
        <v>354</v>
      </c>
      <c r="H2328" t="s">
        <v>353</v>
      </c>
      <c r="I2328">
        <v>2600341</v>
      </c>
      <c r="J2328" t="s">
        <v>3804</v>
      </c>
      <c r="K2328" t="s">
        <v>3805</v>
      </c>
      <c r="L2328" t="s">
        <v>3806</v>
      </c>
      <c r="N2328" t="s">
        <v>7254</v>
      </c>
      <c r="O2328" t="s">
        <v>3808</v>
      </c>
      <c r="R2328" t="s">
        <v>3992</v>
      </c>
      <c r="S2328" s="34" t="s">
        <v>7255</v>
      </c>
    </row>
    <row r="2329" spans="1:19" ht="409.5" x14ac:dyDescent="0.15">
      <c r="A2329" t="s">
        <v>3731</v>
      </c>
      <c r="B2329" s="61">
        <v>46357</v>
      </c>
      <c r="E2329" t="s">
        <v>355</v>
      </c>
      <c r="F2329" t="s">
        <v>351</v>
      </c>
      <c r="G2329" t="s">
        <v>354</v>
      </c>
      <c r="H2329" t="s">
        <v>309</v>
      </c>
      <c r="I2329">
        <v>2600341</v>
      </c>
      <c r="J2329" t="s">
        <v>3804</v>
      </c>
      <c r="K2329" t="s">
        <v>3805</v>
      </c>
      <c r="L2329" t="s">
        <v>3806</v>
      </c>
      <c r="N2329" t="s">
        <v>7257</v>
      </c>
      <c r="O2329" t="s">
        <v>3808</v>
      </c>
      <c r="R2329" t="s">
        <v>3992</v>
      </c>
      <c r="S2329" s="34" t="s">
        <v>7258</v>
      </c>
    </row>
    <row r="2330" spans="1:19" ht="378" x14ac:dyDescent="0.15">
      <c r="A2330" t="s">
        <v>3731</v>
      </c>
      <c r="B2330" s="61">
        <v>46357</v>
      </c>
      <c r="E2330" t="s">
        <v>355</v>
      </c>
      <c r="F2330" t="s">
        <v>351</v>
      </c>
      <c r="G2330" t="s">
        <v>352</v>
      </c>
      <c r="H2330" t="s">
        <v>365</v>
      </c>
      <c r="I2330">
        <v>2701795</v>
      </c>
      <c r="J2330" t="s">
        <v>7259</v>
      </c>
      <c r="K2330" t="s">
        <v>7260</v>
      </c>
      <c r="L2330" t="s">
        <v>390</v>
      </c>
      <c r="N2330" t="s">
        <v>7261</v>
      </c>
      <c r="O2330" t="s">
        <v>7262</v>
      </c>
      <c r="R2330" t="s">
        <v>3985</v>
      </c>
      <c r="S2330" s="34" t="s">
        <v>7263</v>
      </c>
    </row>
    <row r="2331" spans="1:19" ht="324" x14ac:dyDescent="0.15">
      <c r="A2331" t="s">
        <v>3731</v>
      </c>
      <c r="B2331" s="61">
        <v>46357</v>
      </c>
      <c r="E2331" t="s">
        <v>355</v>
      </c>
      <c r="F2331" t="s">
        <v>351</v>
      </c>
      <c r="G2331" t="s">
        <v>352</v>
      </c>
      <c r="H2331" t="s">
        <v>353</v>
      </c>
      <c r="I2331">
        <v>2701795</v>
      </c>
      <c r="J2331" t="s">
        <v>7259</v>
      </c>
      <c r="K2331" t="s">
        <v>7260</v>
      </c>
      <c r="L2331" t="s">
        <v>390</v>
      </c>
      <c r="N2331" t="s">
        <v>7264</v>
      </c>
      <c r="O2331" t="s">
        <v>7262</v>
      </c>
      <c r="R2331" t="s">
        <v>3985</v>
      </c>
      <c r="S2331" s="34" t="s">
        <v>7265</v>
      </c>
    </row>
    <row r="2332" spans="1:19" ht="378" x14ac:dyDescent="0.15">
      <c r="A2332" t="s">
        <v>3731</v>
      </c>
      <c r="B2332" s="61">
        <v>46357</v>
      </c>
      <c r="E2332" t="s">
        <v>355</v>
      </c>
      <c r="F2332" t="s">
        <v>351</v>
      </c>
      <c r="G2332" t="s">
        <v>354</v>
      </c>
      <c r="H2332" t="s">
        <v>365</v>
      </c>
      <c r="I2332">
        <v>2702691</v>
      </c>
      <c r="J2332" t="s">
        <v>3769</v>
      </c>
      <c r="K2332" t="s">
        <v>1251</v>
      </c>
      <c r="L2332" t="s">
        <v>390</v>
      </c>
      <c r="N2332" t="s">
        <v>3770</v>
      </c>
      <c r="O2332" t="s">
        <v>3771</v>
      </c>
      <c r="S2332" s="34" t="s">
        <v>7266</v>
      </c>
    </row>
    <row r="2333" spans="1:19" ht="229.5" x14ac:dyDescent="0.15">
      <c r="A2333" t="s">
        <v>3822</v>
      </c>
      <c r="B2333" s="61">
        <v>46266</v>
      </c>
      <c r="E2333" t="s">
        <v>355</v>
      </c>
      <c r="F2333" t="s">
        <v>351</v>
      </c>
      <c r="G2333" t="s">
        <v>352</v>
      </c>
      <c r="H2333" t="s">
        <v>353</v>
      </c>
      <c r="I2333">
        <v>1800057</v>
      </c>
      <c r="J2333" t="s">
        <v>821</v>
      </c>
      <c r="K2333" t="s">
        <v>3845</v>
      </c>
      <c r="L2333" t="s">
        <v>390</v>
      </c>
      <c r="N2333" t="s">
        <v>7267</v>
      </c>
      <c r="O2333" t="s">
        <v>7268</v>
      </c>
      <c r="R2333" t="s">
        <v>3985</v>
      </c>
      <c r="S2333" s="34" t="s">
        <v>7269</v>
      </c>
    </row>
    <row r="2334" spans="1:19" ht="391.5" x14ac:dyDescent="0.15">
      <c r="A2334" t="s">
        <v>3822</v>
      </c>
      <c r="B2334" s="61">
        <v>46266</v>
      </c>
      <c r="E2334" t="s">
        <v>355</v>
      </c>
      <c r="F2334" t="s">
        <v>351</v>
      </c>
      <c r="G2334" t="s">
        <v>352</v>
      </c>
      <c r="H2334" t="s">
        <v>353</v>
      </c>
      <c r="I2334">
        <v>1800202</v>
      </c>
      <c r="J2334" t="s">
        <v>2730</v>
      </c>
      <c r="K2334" t="s">
        <v>3850</v>
      </c>
      <c r="L2334" t="s">
        <v>3876</v>
      </c>
      <c r="N2334" t="s">
        <v>3877</v>
      </c>
      <c r="O2334" t="s">
        <v>3878</v>
      </c>
      <c r="R2334" t="s">
        <v>3985</v>
      </c>
      <c r="S2334" s="34" t="s">
        <v>7270</v>
      </c>
    </row>
    <row r="2335" spans="1:19" ht="409.5" x14ac:dyDescent="0.15">
      <c r="A2335" t="s">
        <v>3822</v>
      </c>
      <c r="B2335" s="61">
        <v>46266</v>
      </c>
      <c r="E2335" t="s">
        <v>355</v>
      </c>
      <c r="F2335" t="s">
        <v>351</v>
      </c>
      <c r="G2335" t="s">
        <v>354</v>
      </c>
      <c r="H2335" t="s">
        <v>353</v>
      </c>
      <c r="I2335">
        <v>1800318</v>
      </c>
      <c r="J2335" t="s">
        <v>3883</v>
      </c>
      <c r="K2335" t="s">
        <v>3884</v>
      </c>
      <c r="L2335" t="s">
        <v>3885</v>
      </c>
      <c r="N2335" t="s">
        <v>3886</v>
      </c>
      <c r="O2335" t="s">
        <v>3887</v>
      </c>
      <c r="S2335" s="34" t="s">
        <v>7271</v>
      </c>
    </row>
    <row r="2336" spans="1:19" ht="409.5" x14ac:dyDescent="0.15">
      <c r="A2336" t="s">
        <v>3822</v>
      </c>
      <c r="B2336" s="61">
        <v>46266</v>
      </c>
      <c r="E2336" t="s">
        <v>355</v>
      </c>
      <c r="F2336" t="s">
        <v>351</v>
      </c>
      <c r="G2336" t="s">
        <v>354</v>
      </c>
      <c r="H2336" t="s">
        <v>686</v>
      </c>
      <c r="I2336">
        <v>1800318</v>
      </c>
      <c r="J2336" t="s">
        <v>3883</v>
      </c>
      <c r="K2336" t="s">
        <v>3884</v>
      </c>
      <c r="L2336" t="s">
        <v>3885</v>
      </c>
      <c r="N2336">
        <v>2144356</v>
      </c>
      <c r="O2336" t="s">
        <v>3887</v>
      </c>
      <c r="S2336" s="34" t="s">
        <v>7272</v>
      </c>
    </row>
    <row r="2337" spans="1:19" ht="409.5" x14ac:dyDescent="0.15">
      <c r="A2337" t="s">
        <v>3822</v>
      </c>
      <c r="B2337" s="61">
        <v>46296</v>
      </c>
      <c r="E2337" t="s">
        <v>355</v>
      </c>
      <c r="F2337" t="s">
        <v>351</v>
      </c>
      <c r="G2337" t="s">
        <v>352</v>
      </c>
      <c r="H2337" t="s">
        <v>353</v>
      </c>
      <c r="I2337">
        <v>1700063</v>
      </c>
      <c r="J2337" t="s">
        <v>3857</v>
      </c>
      <c r="L2337" t="s">
        <v>390</v>
      </c>
      <c r="N2337" t="s">
        <v>3858</v>
      </c>
      <c r="O2337" t="s">
        <v>3859</v>
      </c>
      <c r="R2337" t="s">
        <v>3985</v>
      </c>
      <c r="S2337" s="34" t="s">
        <v>7273</v>
      </c>
    </row>
    <row r="2338" spans="1:19" ht="243" x14ac:dyDescent="0.15">
      <c r="A2338" t="s">
        <v>3822</v>
      </c>
      <c r="B2338" s="61">
        <v>46296</v>
      </c>
      <c r="E2338" t="s">
        <v>355</v>
      </c>
      <c r="F2338" t="s">
        <v>351</v>
      </c>
      <c r="G2338" t="s">
        <v>352</v>
      </c>
      <c r="H2338" t="s">
        <v>353</v>
      </c>
      <c r="I2338">
        <v>1700438</v>
      </c>
      <c r="J2338" t="s">
        <v>663</v>
      </c>
      <c r="K2338" t="s">
        <v>3823</v>
      </c>
      <c r="L2338" t="s">
        <v>3356</v>
      </c>
      <c r="N2338" t="s">
        <v>7274</v>
      </c>
      <c r="O2338" t="s">
        <v>3824</v>
      </c>
      <c r="R2338" t="s">
        <v>7275</v>
      </c>
      <c r="S2338" s="34" t="s">
        <v>7276</v>
      </c>
    </row>
    <row r="2339" spans="1:19" ht="243" x14ac:dyDescent="0.15">
      <c r="A2339" t="s">
        <v>3822</v>
      </c>
      <c r="B2339" s="61">
        <v>46296</v>
      </c>
      <c r="E2339" t="s">
        <v>355</v>
      </c>
      <c r="F2339" t="s">
        <v>351</v>
      </c>
      <c r="G2339" t="s">
        <v>352</v>
      </c>
      <c r="H2339" t="s">
        <v>353</v>
      </c>
      <c r="I2339">
        <v>1700438</v>
      </c>
      <c r="J2339" t="s">
        <v>663</v>
      </c>
      <c r="K2339" t="s">
        <v>3823</v>
      </c>
      <c r="L2339" t="s">
        <v>3356</v>
      </c>
      <c r="N2339" t="s">
        <v>7277</v>
      </c>
      <c r="O2339" t="s">
        <v>3824</v>
      </c>
      <c r="R2339" t="s">
        <v>7278</v>
      </c>
      <c r="S2339" s="34" t="s">
        <v>7279</v>
      </c>
    </row>
    <row r="2340" spans="1:19" ht="256.5" x14ac:dyDescent="0.15">
      <c r="A2340" t="s">
        <v>3822</v>
      </c>
      <c r="B2340" s="61">
        <v>46296</v>
      </c>
      <c r="E2340" t="s">
        <v>355</v>
      </c>
      <c r="F2340" t="s">
        <v>351</v>
      </c>
      <c r="G2340" t="s">
        <v>352</v>
      </c>
      <c r="H2340" t="s">
        <v>365</v>
      </c>
      <c r="I2340">
        <v>1800282</v>
      </c>
      <c r="J2340" t="s">
        <v>7281</v>
      </c>
      <c r="K2340" t="s">
        <v>4870</v>
      </c>
      <c r="L2340" t="s">
        <v>7282</v>
      </c>
      <c r="N2340" t="s">
        <v>7283</v>
      </c>
      <c r="O2340" t="s">
        <v>7284</v>
      </c>
      <c r="R2340" t="s">
        <v>3985</v>
      </c>
      <c r="S2340" s="34" t="s">
        <v>7285</v>
      </c>
    </row>
    <row r="2341" spans="1:19" ht="409.5" x14ac:dyDescent="0.15">
      <c r="A2341" t="s">
        <v>3822</v>
      </c>
      <c r="B2341" s="61">
        <v>46296</v>
      </c>
      <c r="E2341" t="s">
        <v>355</v>
      </c>
      <c r="F2341" t="s">
        <v>351</v>
      </c>
      <c r="G2341" t="s">
        <v>354</v>
      </c>
      <c r="H2341" t="s">
        <v>365</v>
      </c>
      <c r="I2341">
        <v>1800313</v>
      </c>
      <c r="J2341" t="s">
        <v>2730</v>
      </c>
      <c r="K2341" t="s">
        <v>3850</v>
      </c>
      <c r="L2341" t="s">
        <v>3854</v>
      </c>
      <c r="N2341" t="s">
        <v>3855</v>
      </c>
      <c r="O2341" t="s">
        <v>3856</v>
      </c>
      <c r="R2341" t="s">
        <v>3987</v>
      </c>
      <c r="S2341" s="34" t="s">
        <v>7286</v>
      </c>
    </row>
    <row r="2342" spans="1:19" ht="216" x14ac:dyDescent="0.15">
      <c r="A2342" t="s">
        <v>3822</v>
      </c>
      <c r="B2342" s="61">
        <v>46296</v>
      </c>
      <c r="E2342" t="s">
        <v>355</v>
      </c>
      <c r="F2342" t="s">
        <v>351</v>
      </c>
      <c r="G2342" t="s">
        <v>354</v>
      </c>
      <c r="H2342" t="s">
        <v>365</v>
      </c>
      <c r="I2342">
        <v>1800335</v>
      </c>
      <c r="J2342" t="s">
        <v>7287</v>
      </c>
      <c r="K2342" t="s">
        <v>3918</v>
      </c>
      <c r="L2342" t="s">
        <v>2541</v>
      </c>
      <c r="N2342" t="s">
        <v>7288</v>
      </c>
      <c r="O2342" t="s">
        <v>7289</v>
      </c>
      <c r="S2342" s="34" t="s">
        <v>7290</v>
      </c>
    </row>
    <row r="2343" spans="1:19" ht="378" x14ac:dyDescent="0.15">
      <c r="A2343" t="s">
        <v>3822</v>
      </c>
      <c r="B2343" s="61">
        <v>46327</v>
      </c>
      <c r="E2343" t="s">
        <v>355</v>
      </c>
      <c r="F2343" t="s">
        <v>351</v>
      </c>
      <c r="G2343" t="s">
        <v>354</v>
      </c>
      <c r="H2343" t="s">
        <v>365</v>
      </c>
      <c r="I2343">
        <v>1700304</v>
      </c>
      <c r="J2343" t="s">
        <v>3870</v>
      </c>
      <c r="L2343" t="s">
        <v>1605</v>
      </c>
      <c r="N2343" t="s">
        <v>3871</v>
      </c>
      <c r="O2343" t="s">
        <v>3872</v>
      </c>
      <c r="R2343" t="s">
        <v>3986</v>
      </c>
      <c r="S2343" s="34" t="s">
        <v>7291</v>
      </c>
    </row>
    <row r="2344" spans="1:19" ht="216" x14ac:dyDescent="0.15">
      <c r="A2344" t="s">
        <v>3822</v>
      </c>
      <c r="B2344" s="61">
        <v>46327</v>
      </c>
      <c r="E2344" t="s">
        <v>355</v>
      </c>
      <c r="F2344" t="s">
        <v>351</v>
      </c>
      <c r="G2344" t="s">
        <v>354</v>
      </c>
      <c r="H2344" t="s">
        <v>353</v>
      </c>
      <c r="I2344">
        <v>1700304</v>
      </c>
      <c r="J2344" t="s">
        <v>3870</v>
      </c>
      <c r="L2344" t="s">
        <v>1605</v>
      </c>
      <c r="N2344" t="s">
        <v>7292</v>
      </c>
      <c r="O2344" t="s">
        <v>3872</v>
      </c>
      <c r="R2344" t="s">
        <v>3986</v>
      </c>
      <c r="S2344" s="34" t="s">
        <v>7293</v>
      </c>
    </row>
    <row r="2345" spans="1:19" ht="189" x14ac:dyDescent="0.15">
      <c r="A2345" t="s">
        <v>3822</v>
      </c>
      <c r="B2345" s="61">
        <v>46327</v>
      </c>
      <c r="E2345" t="s">
        <v>355</v>
      </c>
      <c r="F2345" t="s">
        <v>351</v>
      </c>
      <c r="G2345" t="s">
        <v>354</v>
      </c>
      <c r="H2345" t="s">
        <v>353</v>
      </c>
      <c r="I2345">
        <v>1700398</v>
      </c>
      <c r="J2345" t="s">
        <v>481</v>
      </c>
      <c r="K2345" t="s">
        <v>4177</v>
      </c>
      <c r="L2345" t="s">
        <v>4127</v>
      </c>
      <c r="N2345" t="s">
        <v>4178</v>
      </c>
      <c r="O2345" t="s">
        <v>4179</v>
      </c>
      <c r="R2345" t="s">
        <v>3986</v>
      </c>
      <c r="S2345" s="34" t="s">
        <v>7294</v>
      </c>
    </row>
    <row r="2346" spans="1:19" ht="409.5" x14ac:dyDescent="0.15">
      <c r="A2346" t="s">
        <v>3822</v>
      </c>
      <c r="B2346" s="61">
        <v>46327</v>
      </c>
      <c r="E2346" t="s">
        <v>355</v>
      </c>
      <c r="F2346" t="s">
        <v>351</v>
      </c>
      <c r="G2346" t="s">
        <v>354</v>
      </c>
      <c r="H2346" t="s">
        <v>365</v>
      </c>
      <c r="I2346">
        <v>1800036</v>
      </c>
      <c r="J2346" t="s">
        <v>4869</v>
      </c>
      <c r="K2346" t="s">
        <v>4870</v>
      </c>
      <c r="L2346" t="s">
        <v>4871</v>
      </c>
      <c r="N2346" t="s">
        <v>7295</v>
      </c>
      <c r="O2346" t="s">
        <v>4873</v>
      </c>
      <c r="S2346" s="34" t="s">
        <v>7296</v>
      </c>
    </row>
    <row r="2347" spans="1:19" ht="216" x14ac:dyDescent="0.15">
      <c r="A2347" t="s">
        <v>3822</v>
      </c>
      <c r="B2347" s="61">
        <v>46327</v>
      </c>
      <c r="E2347" t="s">
        <v>355</v>
      </c>
      <c r="F2347" t="s">
        <v>351</v>
      </c>
      <c r="G2347" t="s">
        <v>354</v>
      </c>
      <c r="H2347" t="s">
        <v>353</v>
      </c>
      <c r="I2347">
        <v>1800036</v>
      </c>
      <c r="J2347" t="s">
        <v>4869</v>
      </c>
      <c r="K2347" t="s">
        <v>4870</v>
      </c>
      <c r="L2347" t="s">
        <v>4871</v>
      </c>
      <c r="N2347" t="s">
        <v>7297</v>
      </c>
      <c r="O2347" t="s">
        <v>4873</v>
      </c>
      <c r="S2347" s="34" t="s">
        <v>7298</v>
      </c>
    </row>
    <row r="2348" spans="1:19" ht="243" x14ac:dyDescent="0.15">
      <c r="A2348" t="s">
        <v>3822</v>
      </c>
      <c r="B2348" s="61">
        <v>46327</v>
      </c>
      <c r="E2348" t="s">
        <v>355</v>
      </c>
      <c r="F2348" t="s">
        <v>351</v>
      </c>
      <c r="G2348" t="s">
        <v>354</v>
      </c>
      <c r="H2348" t="s">
        <v>365</v>
      </c>
      <c r="I2348">
        <v>1800198</v>
      </c>
      <c r="J2348" t="s">
        <v>3844</v>
      </c>
      <c r="K2348" t="s">
        <v>3845</v>
      </c>
      <c r="L2348" t="s">
        <v>390</v>
      </c>
      <c r="N2348" t="s">
        <v>3861</v>
      </c>
      <c r="O2348" t="s">
        <v>3847</v>
      </c>
      <c r="R2348" t="s">
        <v>3986</v>
      </c>
      <c r="S2348" s="34" t="s">
        <v>7299</v>
      </c>
    </row>
    <row r="2349" spans="1:19" ht="243" x14ac:dyDescent="0.15">
      <c r="A2349" t="s">
        <v>3822</v>
      </c>
      <c r="B2349" s="61">
        <v>46357</v>
      </c>
      <c r="E2349" t="s">
        <v>355</v>
      </c>
      <c r="F2349" t="s">
        <v>351</v>
      </c>
      <c r="G2349" t="s">
        <v>352</v>
      </c>
      <c r="H2349" t="s">
        <v>310</v>
      </c>
      <c r="I2349">
        <v>1700299</v>
      </c>
      <c r="J2349" t="s">
        <v>7300</v>
      </c>
      <c r="L2349" t="s">
        <v>390</v>
      </c>
      <c r="N2349" t="s">
        <v>7301</v>
      </c>
      <c r="O2349" t="s">
        <v>7302</v>
      </c>
      <c r="R2349" t="s">
        <v>3985</v>
      </c>
      <c r="S2349" s="34" t="s">
        <v>7303</v>
      </c>
    </row>
    <row r="2350" spans="1:19" ht="243" x14ac:dyDescent="0.15">
      <c r="A2350" t="s">
        <v>3822</v>
      </c>
      <c r="B2350" s="61">
        <v>46357</v>
      </c>
      <c r="E2350" t="s">
        <v>355</v>
      </c>
      <c r="F2350" t="s">
        <v>351</v>
      </c>
      <c r="G2350" t="s">
        <v>354</v>
      </c>
      <c r="H2350" t="s">
        <v>365</v>
      </c>
      <c r="I2350">
        <v>1800198</v>
      </c>
      <c r="J2350" t="s">
        <v>3844</v>
      </c>
      <c r="K2350" t="s">
        <v>3845</v>
      </c>
      <c r="L2350" t="s">
        <v>390</v>
      </c>
      <c r="N2350" t="s">
        <v>4751</v>
      </c>
      <c r="O2350" t="s">
        <v>3847</v>
      </c>
      <c r="R2350" t="s">
        <v>7304</v>
      </c>
      <c r="S2350" s="34" t="s">
        <v>7305</v>
      </c>
    </row>
    <row r="2351" spans="1:19" ht="405" x14ac:dyDescent="0.15">
      <c r="A2351" t="s">
        <v>5393</v>
      </c>
      <c r="B2351" s="61">
        <v>46266</v>
      </c>
      <c r="E2351" t="s">
        <v>355</v>
      </c>
      <c r="F2351" t="s">
        <v>351</v>
      </c>
      <c r="G2351" t="s">
        <v>354</v>
      </c>
      <c r="H2351" t="s">
        <v>353</v>
      </c>
      <c r="I2351">
        <v>1200355</v>
      </c>
      <c r="J2351" t="s">
        <v>1036</v>
      </c>
      <c r="K2351" t="s">
        <v>1037</v>
      </c>
      <c r="L2351" t="s">
        <v>390</v>
      </c>
      <c r="N2351" t="s">
        <v>7307</v>
      </c>
      <c r="O2351" t="s">
        <v>1039</v>
      </c>
      <c r="S2351" s="34" t="s">
        <v>7308</v>
      </c>
    </row>
    <row r="2352" spans="1:19" ht="409.5" x14ac:dyDescent="0.15">
      <c r="A2352" t="s">
        <v>5393</v>
      </c>
      <c r="B2352" s="61">
        <v>46266</v>
      </c>
      <c r="E2352" t="s">
        <v>355</v>
      </c>
      <c r="F2352" t="s">
        <v>351</v>
      </c>
      <c r="G2352" t="s">
        <v>354</v>
      </c>
      <c r="H2352" t="s">
        <v>365</v>
      </c>
      <c r="I2352">
        <v>1200355</v>
      </c>
      <c r="J2352" t="s">
        <v>1036</v>
      </c>
      <c r="K2352" t="s">
        <v>1037</v>
      </c>
      <c r="L2352" t="s">
        <v>390</v>
      </c>
      <c r="N2352" t="s">
        <v>1038</v>
      </c>
      <c r="O2352" t="s">
        <v>1039</v>
      </c>
      <c r="S2352" s="34" t="s">
        <v>7309</v>
      </c>
    </row>
    <row r="2353" spans="1:19" ht="409.5" x14ac:dyDescent="0.15">
      <c r="A2353" t="s">
        <v>5393</v>
      </c>
      <c r="B2353" s="61">
        <v>46266</v>
      </c>
      <c r="E2353" t="s">
        <v>355</v>
      </c>
      <c r="F2353" t="s">
        <v>351</v>
      </c>
      <c r="G2353" t="s">
        <v>354</v>
      </c>
      <c r="H2353" t="s">
        <v>309</v>
      </c>
      <c r="I2353">
        <v>1200355</v>
      </c>
      <c r="J2353" t="s">
        <v>1036</v>
      </c>
      <c r="K2353" t="s">
        <v>1037</v>
      </c>
      <c r="L2353" t="s">
        <v>390</v>
      </c>
      <c r="N2353" t="s">
        <v>7310</v>
      </c>
      <c r="O2353" t="s">
        <v>1039</v>
      </c>
      <c r="S2353" s="34" t="s">
        <v>7311</v>
      </c>
    </row>
    <row r="2354" spans="1:19" ht="324" x14ac:dyDescent="0.15">
      <c r="A2354" t="s">
        <v>5393</v>
      </c>
      <c r="B2354" s="61">
        <v>46266</v>
      </c>
      <c r="E2354" t="s">
        <v>355</v>
      </c>
      <c r="F2354" t="s">
        <v>351</v>
      </c>
      <c r="G2354" t="s">
        <v>354</v>
      </c>
      <c r="H2354" t="s">
        <v>353</v>
      </c>
      <c r="I2354">
        <v>1201180</v>
      </c>
      <c r="J2354" t="s">
        <v>974</v>
      </c>
      <c r="K2354" t="s">
        <v>3905</v>
      </c>
      <c r="L2354" t="s">
        <v>390</v>
      </c>
      <c r="N2354" t="s">
        <v>3906</v>
      </c>
      <c r="O2354" t="s">
        <v>3907</v>
      </c>
      <c r="R2354" t="s">
        <v>3992</v>
      </c>
      <c r="S2354" s="34" t="s">
        <v>7314</v>
      </c>
    </row>
    <row r="2355" spans="1:19" ht="409.5" x14ac:dyDescent="0.15">
      <c r="A2355" t="s">
        <v>5393</v>
      </c>
      <c r="B2355" s="61">
        <v>46266</v>
      </c>
      <c r="E2355" t="s">
        <v>355</v>
      </c>
      <c r="F2355" t="s">
        <v>351</v>
      </c>
      <c r="G2355" t="s">
        <v>354</v>
      </c>
      <c r="H2355" t="s">
        <v>309</v>
      </c>
      <c r="I2355">
        <v>1201180</v>
      </c>
      <c r="J2355" t="s">
        <v>974</v>
      </c>
      <c r="K2355" t="s">
        <v>3905</v>
      </c>
      <c r="L2355" t="s">
        <v>390</v>
      </c>
      <c r="N2355" t="s">
        <v>7315</v>
      </c>
      <c r="O2355" t="s">
        <v>3907</v>
      </c>
      <c r="R2355" t="s">
        <v>3992</v>
      </c>
      <c r="S2355" s="34" t="s">
        <v>7316</v>
      </c>
    </row>
    <row r="2356" spans="1:19" ht="409.5" x14ac:dyDescent="0.15">
      <c r="A2356" t="s">
        <v>5393</v>
      </c>
      <c r="B2356" s="61">
        <v>46266</v>
      </c>
      <c r="E2356" t="s">
        <v>355</v>
      </c>
      <c r="F2356" t="s">
        <v>351</v>
      </c>
      <c r="G2356" t="s">
        <v>354</v>
      </c>
      <c r="H2356" t="s">
        <v>686</v>
      </c>
      <c r="I2356">
        <v>1201180</v>
      </c>
      <c r="J2356" t="s">
        <v>974</v>
      </c>
      <c r="K2356" t="s">
        <v>3905</v>
      </c>
      <c r="L2356" t="s">
        <v>390</v>
      </c>
      <c r="N2356">
        <v>2150082</v>
      </c>
      <c r="O2356" t="s">
        <v>3907</v>
      </c>
      <c r="S2356" s="34" t="s">
        <v>7317</v>
      </c>
    </row>
    <row r="2357" spans="1:19" ht="409.5" x14ac:dyDescent="0.15">
      <c r="A2357" t="s">
        <v>5393</v>
      </c>
      <c r="B2357" s="61">
        <v>46296</v>
      </c>
      <c r="E2357" t="s">
        <v>355</v>
      </c>
      <c r="F2357" t="s">
        <v>351</v>
      </c>
      <c r="G2357" t="s">
        <v>354</v>
      </c>
      <c r="H2357" t="s">
        <v>686</v>
      </c>
      <c r="I2357">
        <v>1200968</v>
      </c>
      <c r="J2357" t="s">
        <v>1212</v>
      </c>
      <c r="K2357" t="s">
        <v>4031</v>
      </c>
      <c r="L2357" t="s">
        <v>1018</v>
      </c>
      <c r="N2357" t="s">
        <v>4573</v>
      </c>
      <c r="O2357" t="s">
        <v>4032</v>
      </c>
      <c r="R2357" t="s">
        <v>4052</v>
      </c>
      <c r="S2357" s="34" t="s">
        <v>7318</v>
      </c>
    </row>
    <row r="2358" spans="1:19" ht="409.5" x14ac:dyDescent="0.15">
      <c r="A2358" t="s">
        <v>5393</v>
      </c>
      <c r="B2358" s="61">
        <v>46296</v>
      </c>
      <c r="E2358" t="s">
        <v>355</v>
      </c>
      <c r="F2358" t="s">
        <v>351</v>
      </c>
      <c r="G2358" t="s">
        <v>354</v>
      </c>
      <c r="H2358" t="s">
        <v>309</v>
      </c>
      <c r="I2358">
        <v>1200968</v>
      </c>
      <c r="J2358" t="s">
        <v>1212</v>
      </c>
      <c r="K2358" t="s">
        <v>4031</v>
      </c>
      <c r="L2358" t="s">
        <v>1018</v>
      </c>
      <c r="N2358" t="s">
        <v>5169</v>
      </c>
      <c r="O2358" t="s">
        <v>4032</v>
      </c>
      <c r="R2358" t="s">
        <v>4052</v>
      </c>
      <c r="S2358" s="34" t="s">
        <v>7319</v>
      </c>
    </row>
    <row r="2359" spans="1:19" ht="409.5" x14ac:dyDescent="0.15">
      <c r="A2359" t="s">
        <v>5393</v>
      </c>
      <c r="B2359" s="61">
        <v>46296</v>
      </c>
      <c r="E2359" t="s">
        <v>355</v>
      </c>
      <c r="F2359" t="s">
        <v>351</v>
      </c>
      <c r="G2359" t="s">
        <v>354</v>
      </c>
      <c r="H2359" t="s">
        <v>686</v>
      </c>
      <c r="I2359">
        <v>1201362</v>
      </c>
      <c r="J2359" t="s">
        <v>2227</v>
      </c>
      <c r="K2359" t="s">
        <v>4033</v>
      </c>
      <c r="L2359" t="s">
        <v>3885</v>
      </c>
      <c r="N2359" t="s">
        <v>7646</v>
      </c>
      <c r="O2359" t="s">
        <v>4035</v>
      </c>
      <c r="R2359" t="s">
        <v>4550</v>
      </c>
      <c r="S2359" s="34" t="s">
        <v>4036</v>
      </c>
    </row>
    <row r="2360" spans="1:19" ht="409.5" x14ac:dyDescent="0.15">
      <c r="A2360" t="s">
        <v>5393</v>
      </c>
      <c r="B2360" s="61">
        <v>46296</v>
      </c>
      <c r="E2360" t="s">
        <v>355</v>
      </c>
      <c r="F2360" t="s">
        <v>351</v>
      </c>
      <c r="G2360" t="s">
        <v>354</v>
      </c>
      <c r="H2360" t="s">
        <v>353</v>
      </c>
      <c r="I2360">
        <v>1201362</v>
      </c>
      <c r="J2360" t="s">
        <v>2227</v>
      </c>
      <c r="K2360" t="s">
        <v>4033</v>
      </c>
      <c r="L2360" t="s">
        <v>3885</v>
      </c>
      <c r="N2360" t="s">
        <v>7374</v>
      </c>
      <c r="O2360" t="s">
        <v>4035</v>
      </c>
      <c r="R2360" t="s">
        <v>7322</v>
      </c>
      <c r="S2360" s="34" t="s">
        <v>7375</v>
      </c>
    </row>
    <row r="2361" spans="1:19" ht="364.5" x14ac:dyDescent="0.15">
      <c r="A2361" t="s">
        <v>5393</v>
      </c>
      <c r="B2361" s="61">
        <v>46327</v>
      </c>
      <c r="E2361" t="s">
        <v>355</v>
      </c>
      <c r="F2361" t="s">
        <v>351</v>
      </c>
      <c r="G2361" t="s">
        <v>354</v>
      </c>
      <c r="H2361" t="s">
        <v>353</v>
      </c>
      <c r="I2361">
        <v>1201359</v>
      </c>
      <c r="J2361" t="s">
        <v>3890</v>
      </c>
      <c r="K2361" t="s">
        <v>3891</v>
      </c>
      <c r="L2361" t="s">
        <v>3892</v>
      </c>
      <c r="N2361" t="s">
        <v>3893</v>
      </c>
      <c r="O2361" t="s">
        <v>3894</v>
      </c>
      <c r="S2361" s="34" t="s">
        <v>7323</v>
      </c>
    </row>
    <row r="2362" spans="1:19" ht="351" x14ac:dyDescent="0.15">
      <c r="A2362" t="s">
        <v>5393</v>
      </c>
      <c r="B2362" s="61">
        <v>46327</v>
      </c>
      <c r="E2362" t="s">
        <v>355</v>
      </c>
      <c r="F2362" t="s">
        <v>351</v>
      </c>
      <c r="G2362" t="s">
        <v>354</v>
      </c>
      <c r="H2362" t="s">
        <v>365</v>
      </c>
      <c r="I2362">
        <v>1201422</v>
      </c>
      <c r="J2362" t="s">
        <v>4837</v>
      </c>
      <c r="K2362" t="s">
        <v>4838</v>
      </c>
      <c r="L2362" t="s">
        <v>1114</v>
      </c>
      <c r="N2362" t="s">
        <v>4839</v>
      </c>
      <c r="O2362" t="s">
        <v>4840</v>
      </c>
      <c r="S2362" s="34" t="s">
        <v>7324</v>
      </c>
    </row>
    <row r="2363" spans="1:19" ht="243" x14ac:dyDescent="0.15">
      <c r="A2363" t="s">
        <v>5393</v>
      </c>
      <c r="B2363" s="61">
        <v>46327</v>
      </c>
      <c r="E2363" t="s">
        <v>355</v>
      </c>
      <c r="F2363" t="s">
        <v>351</v>
      </c>
      <c r="G2363" t="s">
        <v>352</v>
      </c>
      <c r="H2363" t="s">
        <v>310</v>
      </c>
      <c r="I2363">
        <v>1201461</v>
      </c>
      <c r="J2363" t="s">
        <v>3901</v>
      </c>
      <c r="L2363" t="s">
        <v>390</v>
      </c>
      <c r="N2363" t="s">
        <v>3902</v>
      </c>
      <c r="O2363" t="s">
        <v>3903</v>
      </c>
      <c r="R2363" t="s">
        <v>3985</v>
      </c>
      <c r="S2363" s="34" t="s">
        <v>7325</v>
      </c>
    </row>
    <row r="2364" spans="1:19" ht="409.5" x14ac:dyDescent="0.15">
      <c r="A2364" t="s">
        <v>3889</v>
      </c>
      <c r="B2364" s="61">
        <v>46235</v>
      </c>
      <c r="E2364" t="s">
        <v>355</v>
      </c>
      <c r="F2364" t="s">
        <v>351</v>
      </c>
      <c r="G2364" t="s">
        <v>354</v>
      </c>
      <c r="H2364" t="s">
        <v>353</v>
      </c>
      <c r="I2364">
        <v>1102200</v>
      </c>
      <c r="J2364" t="s">
        <v>1044</v>
      </c>
      <c r="K2364" t="s">
        <v>1045</v>
      </c>
      <c r="L2364" t="s">
        <v>1046</v>
      </c>
      <c r="N2364" t="s">
        <v>7326</v>
      </c>
      <c r="O2364" t="s">
        <v>1048</v>
      </c>
      <c r="R2364" t="s">
        <v>3987</v>
      </c>
      <c r="S2364" s="34" t="s">
        <v>7327</v>
      </c>
    </row>
    <row r="2365" spans="1:19" ht="409.5" x14ac:dyDescent="0.15">
      <c r="A2365" t="s">
        <v>3889</v>
      </c>
      <c r="B2365" s="61">
        <v>46235</v>
      </c>
      <c r="E2365" t="s">
        <v>355</v>
      </c>
      <c r="F2365" t="s">
        <v>351</v>
      </c>
      <c r="G2365" t="s">
        <v>354</v>
      </c>
      <c r="H2365" t="s">
        <v>686</v>
      </c>
      <c r="I2365">
        <v>1102200</v>
      </c>
      <c r="J2365" t="s">
        <v>1044</v>
      </c>
      <c r="K2365" t="s">
        <v>1045</v>
      </c>
      <c r="L2365" t="s">
        <v>1046</v>
      </c>
      <c r="N2365">
        <v>2131284</v>
      </c>
      <c r="O2365" t="s">
        <v>1048</v>
      </c>
      <c r="R2365" t="s">
        <v>3987</v>
      </c>
      <c r="S2365" s="34" t="s">
        <v>7650</v>
      </c>
    </row>
    <row r="2366" spans="1:19" ht="297" x14ac:dyDescent="0.15">
      <c r="A2366" t="s">
        <v>3889</v>
      </c>
      <c r="B2366" s="61">
        <v>46266</v>
      </c>
      <c r="E2366" t="s">
        <v>355</v>
      </c>
      <c r="F2366" t="s">
        <v>351</v>
      </c>
      <c r="G2366" t="s">
        <v>354</v>
      </c>
      <c r="H2366" t="s">
        <v>686</v>
      </c>
      <c r="I2366">
        <v>1101227</v>
      </c>
      <c r="J2366" t="s">
        <v>1052</v>
      </c>
      <c r="K2366" t="s">
        <v>1053</v>
      </c>
      <c r="L2366" t="s">
        <v>390</v>
      </c>
      <c r="N2366">
        <v>2158269</v>
      </c>
      <c r="O2366" t="s">
        <v>1055</v>
      </c>
      <c r="S2366" s="34" t="s">
        <v>7330</v>
      </c>
    </row>
    <row r="2367" spans="1:19" ht="409.5" x14ac:dyDescent="0.15">
      <c r="A2367" t="s">
        <v>3889</v>
      </c>
      <c r="B2367" s="61">
        <v>46296</v>
      </c>
      <c r="E2367" t="s">
        <v>355</v>
      </c>
      <c r="F2367" t="s">
        <v>351</v>
      </c>
      <c r="G2367" t="s">
        <v>354</v>
      </c>
      <c r="H2367" t="s">
        <v>686</v>
      </c>
      <c r="I2367">
        <v>1201555</v>
      </c>
      <c r="J2367" t="s">
        <v>4037</v>
      </c>
      <c r="K2367" t="s">
        <v>7331</v>
      </c>
      <c r="L2367" t="s">
        <v>6058</v>
      </c>
      <c r="N2367">
        <v>2136757</v>
      </c>
      <c r="O2367" t="s">
        <v>7332</v>
      </c>
      <c r="R2367" t="s">
        <v>7333</v>
      </c>
      <c r="S2367" s="34" t="s">
        <v>7334</v>
      </c>
    </row>
    <row r="2368" spans="1:19" ht="409.5" x14ac:dyDescent="0.15">
      <c r="A2368" t="s">
        <v>3889</v>
      </c>
      <c r="B2368" s="61">
        <v>46327</v>
      </c>
      <c r="E2368" t="s">
        <v>355</v>
      </c>
      <c r="F2368" t="s">
        <v>351</v>
      </c>
      <c r="G2368" t="s">
        <v>354</v>
      </c>
      <c r="H2368" t="s">
        <v>686</v>
      </c>
      <c r="I2368">
        <v>1102200</v>
      </c>
      <c r="J2368" t="s">
        <v>1044</v>
      </c>
      <c r="K2368" t="s">
        <v>1045</v>
      </c>
      <c r="L2368" t="s">
        <v>1046</v>
      </c>
      <c r="N2368">
        <v>2131284</v>
      </c>
      <c r="O2368" t="s">
        <v>1048</v>
      </c>
      <c r="R2368" t="s">
        <v>3987</v>
      </c>
      <c r="S2368" s="34" t="s">
        <v>7650</v>
      </c>
    </row>
    <row r="2369" spans="1:19" ht="409.5" x14ac:dyDescent="0.15">
      <c r="A2369" t="s">
        <v>3889</v>
      </c>
      <c r="B2369" s="61">
        <v>46327</v>
      </c>
      <c r="E2369" t="s">
        <v>355</v>
      </c>
      <c r="F2369" t="s">
        <v>351</v>
      </c>
      <c r="G2369" t="s">
        <v>354</v>
      </c>
      <c r="H2369" t="s">
        <v>353</v>
      </c>
      <c r="I2369">
        <v>1102308</v>
      </c>
      <c r="J2369" t="s">
        <v>1024</v>
      </c>
      <c r="K2369" t="s">
        <v>1025</v>
      </c>
      <c r="L2369" t="s">
        <v>833</v>
      </c>
      <c r="N2369" t="s">
        <v>7335</v>
      </c>
      <c r="O2369" t="s">
        <v>1026</v>
      </c>
      <c r="R2369" t="s">
        <v>4012</v>
      </c>
      <c r="S2369" s="34" t="s">
        <v>7336</v>
      </c>
    </row>
    <row r="2370" spans="1:19" ht="202.5" x14ac:dyDescent="0.15">
      <c r="A2370" t="s">
        <v>3889</v>
      </c>
      <c r="B2370" s="61">
        <v>46327</v>
      </c>
      <c r="E2370" t="s">
        <v>355</v>
      </c>
      <c r="F2370" t="s">
        <v>351</v>
      </c>
      <c r="G2370" t="s">
        <v>354</v>
      </c>
      <c r="H2370" t="s">
        <v>686</v>
      </c>
      <c r="I2370">
        <v>1102308</v>
      </c>
      <c r="J2370" t="s">
        <v>1024</v>
      </c>
      <c r="K2370" t="s">
        <v>1025</v>
      </c>
      <c r="L2370" t="s">
        <v>833</v>
      </c>
      <c r="N2370">
        <v>2107121</v>
      </c>
      <c r="O2370" t="s">
        <v>1026</v>
      </c>
      <c r="R2370" t="s">
        <v>4012</v>
      </c>
      <c r="S2370" s="34" t="s">
        <v>7337</v>
      </c>
    </row>
    <row r="2371" spans="1:19" ht="189" x14ac:dyDescent="0.15">
      <c r="A2371" t="s">
        <v>3895</v>
      </c>
      <c r="B2371" s="61">
        <v>46266</v>
      </c>
      <c r="E2371" t="s">
        <v>355</v>
      </c>
      <c r="F2371" t="s">
        <v>351</v>
      </c>
      <c r="G2371" t="s">
        <v>354</v>
      </c>
      <c r="H2371" t="s">
        <v>353</v>
      </c>
      <c r="I2371">
        <v>1102100</v>
      </c>
      <c r="J2371" t="s">
        <v>481</v>
      </c>
      <c r="K2371" t="s">
        <v>1021</v>
      </c>
      <c r="L2371" t="s">
        <v>4127</v>
      </c>
      <c r="N2371" t="s">
        <v>4169</v>
      </c>
      <c r="O2371" t="s">
        <v>4170</v>
      </c>
      <c r="S2371" s="34" t="s">
        <v>7338</v>
      </c>
    </row>
    <row r="2372" spans="1:19" ht="202.5" x14ac:dyDescent="0.15">
      <c r="A2372" t="s">
        <v>3895</v>
      </c>
      <c r="B2372" s="61">
        <v>46266</v>
      </c>
      <c r="E2372" t="s">
        <v>355</v>
      </c>
      <c r="F2372" t="s">
        <v>351</v>
      </c>
      <c r="G2372" t="s">
        <v>354</v>
      </c>
      <c r="H2372" t="s">
        <v>686</v>
      </c>
      <c r="I2372">
        <v>1102183</v>
      </c>
      <c r="J2372" t="s">
        <v>7339</v>
      </c>
      <c r="K2372" t="s">
        <v>7340</v>
      </c>
      <c r="L2372" t="s">
        <v>390</v>
      </c>
      <c r="N2372">
        <v>2177551</v>
      </c>
      <c r="O2372" t="s">
        <v>7341</v>
      </c>
      <c r="S2372" s="34" t="s">
        <v>7342</v>
      </c>
    </row>
    <row r="2373" spans="1:19" ht="409.5" x14ac:dyDescent="0.15">
      <c r="A2373" t="s">
        <v>3895</v>
      </c>
      <c r="B2373" s="61">
        <v>46327</v>
      </c>
      <c r="E2373" t="s">
        <v>355</v>
      </c>
      <c r="F2373" t="s">
        <v>351</v>
      </c>
      <c r="G2373" t="s">
        <v>354</v>
      </c>
      <c r="H2373" t="s">
        <v>686</v>
      </c>
      <c r="I2373">
        <v>1201594</v>
      </c>
      <c r="J2373" t="s">
        <v>4155</v>
      </c>
      <c r="K2373" t="s">
        <v>4156</v>
      </c>
      <c r="L2373" t="s">
        <v>466</v>
      </c>
      <c r="N2373">
        <v>2166327</v>
      </c>
      <c r="O2373" t="s">
        <v>4157</v>
      </c>
      <c r="R2373" t="s">
        <v>3987</v>
      </c>
      <c r="S2373" s="34" t="s">
        <v>7343</v>
      </c>
    </row>
    <row r="2374" spans="1:19" ht="364.5" x14ac:dyDescent="0.15">
      <c r="A2374" t="s">
        <v>2152</v>
      </c>
      <c r="B2374" s="61">
        <v>46143</v>
      </c>
      <c r="E2374" t="s">
        <v>355</v>
      </c>
      <c r="F2374" t="s">
        <v>351</v>
      </c>
      <c r="H2374" t="s">
        <v>686</v>
      </c>
      <c r="I2374">
        <v>1201394</v>
      </c>
      <c r="J2374" t="s">
        <v>7554</v>
      </c>
      <c r="K2374" t="s">
        <v>7555</v>
      </c>
      <c r="L2374" t="s">
        <v>7555</v>
      </c>
      <c r="N2374">
        <v>2188413</v>
      </c>
      <c r="O2374" t="s">
        <v>7556</v>
      </c>
      <c r="P2374" t="s">
        <v>7557</v>
      </c>
      <c r="Q2374" t="s">
        <v>7558</v>
      </c>
      <c r="R2374" t="s">
        <v>7559</v>
      </c>
      <c r="S2374" s="34" t="s">
        <v>7560</v>
      </c>
    </row>
    <row r="2375" spans="1:19" ht="409.5" x14ac:dyDescent="0.15">
      <c r="A2375" t="s">
        <v>1145</v>
      </c>
      <c r="B2375" s="61">
        <v>46296</v>
      </c>
      <c r="E2375" t="s">
        <v>355</v>
      </c>
      <c r="F2375" t="s">
        <v>351</v>
      </c>
      <c r="G2375" t="s">
        <v>354</v>
      </c>
      <c r="H2375" t="s">
        <v>353</v>
      </c>
      <c r="I2375">
        <v>100549</v>
      </c>
      <c r="J2375" t="s">
        <v>427</v>
      </c>
      <c r="K2375" t="s">
        <v>1147</v>
      </c>
      <c r="L2375" t="s">
        <v>1148</v>
      </c>
      <c r="N2375" t="s">
        <v>7378</v>
      </c>
      <c r="O2375" t="s">
        <v>7379</v>
      </c>
      <c r="S2375" s="34" t="s">
        <v>7566</v>
      </c>
    </row>
    <row r="2376" spans="1:19" ht="405" x14ac:dyDescent="0.15">
      <c r="A2376" t="s">
        <v>1860</v>
      </c>
      <c r="B2376" s="61">
        <v>46235</v>
      </c>
      <c r="E2376" t="s">
        <v>355</v>
      </c>
      <c r="F2376" t="s">
        <v>351</v>
      </c>
      <c r="G2376" t="s">
        <v>354</v>
      </c>
      <c r="H2376" t="s">
        <v>365</v>
      </c>
      <c r="I2376">
        <v>800012</v>
      </c>
      <c r="J2376" t="s">
        <v>7380</v>
      </c>
      <c r="K2376" t="s">
        <v>1868</v>
      </c>
      <c r="L2376" t="s">
        <v>512</v>
      </c>
      <c r="N2376" t="s">
        <v>7381</v>
      </c>
      <c r="O2376" t="s">
        <v>7382</v>
      </c>
      <c r="S2376" s="34" t="s">
        <v>7460</v>
      </c>
    </row>
    <row r="2377" spans="1:19" ht="409.5" x14ac:dyDescent="0.15">
      <c r="A2377" t="s">
        <v>2404</v>
      </c>
      <c r="B2377" s="61">
        <v>46357</v>
      </c>
      <c r="E2377" t="s">
        <v>355</v>
      </c>
      <c r="F2377" t="s">
        <v>351</v>
      </c>
      <c r="G2377" t="s">
        <v>354</v>
      </c>
      <c r="H2377" t="s">
        <v>353</v>
      </c>
      <c r="I2377">
        <v>1101346</v>
      </c>
      <c r="J2377" t="s">
        <v>2407</v>
      </c>
      <c r="K2377" t="s">
        <v>7383</v>
      </c>
      <c r="L2377" t="s">
        <v>390</v>
      </c>
      <c r="N2377" t="s">
        <v>7384</v>
      </c>
      <c r="O2377" t="s">
        <v>7385</v>
      </c>
      <c r="R2377" t="s">
        <v>4318</v>
      </c>
      <c r="S2377" s="34" t="s">
        <v>7567</v>
      </c>
    </row>
    <row r="2378" spans="1:19" ht="409.5" x14ac:dyDescent="0.15">
      <c r="A2378" t="s">
        <v>515</v>
      </c>
      <c r="B2378" s="61">
        <v>46296</v>
      </c>
      <c r="E2378" t="s">
        <v>355</v>
      </c>
      <c r="F2378" t="s">
        <v>351</v>
      </c>
      <c r="G2378" t="s">
        <v>354</v>
      </c>
      <c r="H2378" t="s">
        <v>353</v>
      </c>
      <c r="I2378">
        <v>1401797</v>
      </c>
      <c r="J2378" t="s">
        <v>2407</v>
      </c>
      <c r="K2378" t="s">
        <v>7386</v>
      </c>
      <c r="L2378" t="s">
        <v>698</v>
      </c>
      <c r="N2378" t="s">
        <v>7387</v>
      </c>
      <c r="O2378" t="s">
        <v>7388</v>
      </c>
      <c r="S2378" s="34" t="s">
        <v>7568</v>
      </c>
    </row>
    <row r="2379" spans="1:19" ht="378" x14ac:dyDescent="0.15">
      <c r="A2379" t="s">
        <v>1390</v>
      </c>
      <c r="B2379" s="61">
        <v>46235</v>
      </c>
      <c r="E2379" t="s">
        <v>355</v>
      </c>
      <c r="F2379" t="s">
        <v>351</v>
      </c>
      <c r="G2379" t="s">
        <v>354</v>
      </c>
      <c r="H2379" t="s">
        <v>353</v>
      </c>
      <c r="I2379">
        <v>1900274</v>
      </c>
      <c r="J2379" t="s">
        <v>5036</v>
      </c>
      <c r="L2379" t="s">
        <v>7389</v>
      </c>
      <c r="N2379" t="s">
        <v>7390</v>
      </c>
      <c r="O2379" t="s">
        <v>7391</v>
      </c>
      <c r="S2379" s="34" t="s">
        <v>7461</v>
      </c>
    </row>
    <row r="2380" spans="1:19" ht="229.5" x14ac:dyDescent="0.15">
      <c r="A2380" t="s">
        <v>1390</v>
      </c>
      <c r="B2380" s="61">
        <v>46235</v>
      </c>
      <c r="E2380" t="s">
        <v>355</v>
      </c>
      <c r="F2380" t="s">
        <v>351</v>
      </c>
      <c r="G2380" t="s">
        <v>354</v>
      </c>
      <c r="H2380" t="s">
        <v>353</v>
      </c>
      <c r="I2380">
        <v>1900277</v>
      </c>
      <c r="J2380" t="s">
        <v>5036</v>
      </c>
      <c r="L2380" t="s">
        <v>7392</v>
      </c>
      <c r="N2380" t="s">
        <v>7393</v>
      </c>
      <c r="O2380" t="s">
        <v>7394</v>
      </c>
      <c r="S2380" s="34" t="s">
        <v>7462</v>
      </c>
    </row>
    <row r="2381" spans="1:19" ht="409.5" x14ac:dyDescent="0.15">
      <c r="A2381" t="s">
        <v>3483</v>
      </c>
      <c r="B2381" s="61">
        <v>46266</v>
      </c>
      <c r="E2381" t="s">
        <v>355</v>
      </c>
      <c r="F2381" t="s">
        <v>351</v>
      </c>
      <c r="G2381" t="s">
        <v>354</v>
      </c>
      <c r="H2381" t="s">
        <v>353</v>
      </c>
      <c r="I2381">
        <v>2301066</v>
      </c>
      <c r="J2381" t="s">
        <v>7395</v>
      </c>
      <c r="L2381" t="s">
        <v>7396</v>
      </c>
      <c r="N2381" t="s">
        <v>7397</v>
      </c>
      <c r="O2381" t="s">
        <v>7398</v>
      </c>
      <c r="S2381" s="34" t="s">
        <v>7487</v>
      </c>
    </row>
    <row r="2382" spans="1:19" ht="297" x14ac:dyDescent="0.15">
      <c r="A2382" t="s">
        <v>422</v>
      </c>
      <c r="B2382" s="61">
        <v>46357</v>
      </c>
      <c r="E2382" t="s">
        <v>355</v>
      </c>
      <c r="F2382" t="s">
        <v>351</v>
      </c>
      <c r="G2382" t="s">
        <v>354</v>
      </c>
      <c r="H2382" t="s">
        <v>353</v>
      </c>
      <c r="I2382">
        <v>2700762</v>
      </c>
      <c r="J2382" t="s">
        <v>423</v>
      </c>
      <c r="K2382" t="s">
        <v>424</v>
      </c>
      <c r="L2382" t="s">
        <v>425</v>
      </c>
      <c r="N2382" t="s">
        <v>7399</v>
      </c>
      <c r="O2382" t="s">
        <v>426</v>
      </c>
      <c r="R2382" t="s">
        <v>7400</v>
      </c>
      <c r="S2382" s="34" t="s">
        <v>7569</v>
      </c>
    </row>
    <row r="2383" spans="1:19" ht="391.5" x14ac:dyDescent="0.15">
      <c r="A2383" t="s">
        <v>6263</v>
      </c>
      <c r="B2383" s="61">
        <v>46357</v>
      </c>
      <c r="E2383" t="s">
        <v>355</v>
      </c>
      <c r="F2383" t="s">
        <v>351</v>
      </c>
      <c r="G2383" t="s">
        <v>354</v>
      </c>
      <c r="H2383" t="s">
        <v>365</v>
      </c>
      <c r="I2383">
        <v>3300231</v>
      </c>
      <c r="J2383" t="s">
        <v>708</v>
      </c>
      <c r="K2383" t="s">
        <v>1952</v>
      </c>
      <c r="L2383" t="s">
        <v>1385</v>
      </c>
      <c r="N2383" t="s">
        <v>1953</v>
      </c>
      <c r="O2383" t="s">
        <v>1954</v>
      </c>
      <c r="R2383" t="s">
        <v>7400</v>
      </c>
      <c r="S2383" s="34" t="s">
        <v>1955</v>
      </c>
    </row>
    <row r="2384" spans="1:19" ht="409.5" x14ac:dyDescent="0.15">
      <c r="A2384" t="s">
        <v>1095</v>
      </c>
      <c r="B2384" s="61">
        <v>46357</v>
      </c>
      <c r="E2384" t="s">
        <v>355</v>
      </c>
      <c r="F2384" t="s">
        <v>351</v>
      </c>
      <c r="G2384" t="s">
        <v>354</v>
      </c>
      <c r="H2384" t="s">
        <v>353</v>
      </c>
      <c r="I2384">
        <v>3900023</v>
      </c>
      <c r="J2384" t="s">
        <v>1065</v>
      </c>
      <c r="K2384" t="s">
        <v>1600</v>
      </c>
      <c r="L2384" t="s">
        <v>1114</v>
      </c>
      <c r="N2384" t="s">
        <v>7401</v>
      </c>
      <c r="O2384" t="s">
        <v>7402</v>
      </c>
      <c r="S2384" s="34" t="s">
        <v>7570</v>
      </c>
    </row>
    <row r="2385" spans="1:19" ht="409.5" x14ac:dyDescent="0.15">
      <c r="A2385" t="s">
        <v>819</v>
      </c>
      <c r="B2385" s="61">
        <v>46296</v>
      </c>
      <c r="E2385" t="s">
        <v>355</v>
      </c>
      <c r="F2385" t="s">
        <v>351</v>
      </c>
      <c r="G2385" t="s">
        <v>354</v>
      </c>
      <c r="H2385" t="s">
        <v>353</v>
      </c>
      <c r="I2385">
        <v>4300124</v>
      </c>
      <c r="J2385" t="s">
        <v>925</v>
      </c>
      <c r="K2385" t="s">
        <v>7403</v>
      </c>
      <c r="L2385" t="s">
        <v>2628</v>
      </c>
      <c r="N2385" t="s">
        <v>7404</v>
      </c>
      <c r="O2385" t="s">
        <v>7405</v>
      </c>
      <c r="S2385" s="34" t="s">
        <v>7571</v>
      </c>
    </row>
    <row r="2386" spans="1:19" ht="229.5" x14ac:dyDescent="0.15">
      <c r="A2386" t="s">
        <v>2771</v>
      </c>
      <c r="B2386" s="61">
        <v>46296</v>
      </c>
      <c r="E2386" t="s">
        <v>355</v>
      </c>
      <c r="F2386" t="s">
        <v>351</v>
      </c>
      <c r="G2386" t="s">
        <v>354</v>
      </c>
      <c r="H2386" t="s">
        <v>353</v>
      </c>
      <c r="I2386">
        <v>2100014</v>
      </c>
      <c r="J2386" t="s">
        <v>7406</v>
      </c>
      <c r="K2386" t="s">
        <v>7407</v>
      </c>
      <c r="L2386" t="s">
        <v>7408</v>
      </c>
      <c r="N2386" t="s">
        <v>7409</v>
      </c>
      <c r="O2386" t="s">
        <v>7410</v>
      </c>
      <c r="S2386" s="34" t="s">
        <v>7488</v>
      </c>
    </row>
    <row r="2387" spans="1:19" ht="409.5" x14ac:dyDescent="0.15">
      <c r="A2387" t="s">
        <v>837</v>
      </c>
      <c r="B2387" s="61">
        <v>46296</v>
      </c>
      <c r="E2387" t="s">
        <v>355</v>
      </c>
      <c r="F2387" t="s">
        <v>351</v>
      </c>
      <c r="G2387" t="s">
        <v>354</v>
      </c>
      <c r="H2387" t="s">
        <v>353</v>
      </c>
      <c r="I2387">
        <v>1000847</v>
      </c>
      <c r="J2387" t="s">
        <v>906</v>
      </c>
      <c r="K2387" t="s">
        <v>907</v>
      </c>
      <c r="L2387" t="s">
        <v>908</v>
      </c>
      <c r="N2387" t="s">
        <v>5127</v>
      </c>
      <c r="O2387" t="s">
        <v>909</v>
      </c>
      <c r="S2387" s="34" t="s">
        <v>7572</v>
      </c>
    </row>
    <row r="2388" spans="1:19" ht="229.5" x14ac:dyDescent="0.15">
      <c r="A2388" t="s">
        <v>2456</v>
      </c>
      <c r="B2388" s="61">
        <v>46296</v>
      </c>
      <c r="E2388" t="s">
        <v>355</v>
      </c>
      <c r="F2388" t="s">
        <v>351</v>
      </c>
      <c r="G2388" t="s">
        <v>354</v>
      </c>
      <c r="H2388" t="s">
        <v>353</v>
      </c>
      <c r="I2388">
        <v>2202083</v>
      </c>
      <c r="J2388" t="s">
        <v>7411</v>
      </c>
      <c r="K2388" t="s">
        <v>7412</v>
      </c>
      <c r="L2388" t="s">
        <v>7413</v>
      </c>
      <c r="N2388" t="s">
        <v>7414</v>
      </c>
      <c r="O2388" t="s">
        <v>7415</v>
      </c>
      <c r="S2388" s="34" t="s">
        <v>7573</v>
      </c>
    </row>
    <row r="2389" spans="1:19" ht="409.5" x14ac:dyDescent="0.15">
      <c r="A2389" t="s">
        <v>5394</v>
      </c>
      <c r="B2389" s="61">
        <v>46235</v>
      </c>
      <c r="E2389" t="s">
        <v>355</v>
      </c>
      <c r="F2389" t="s">
        <v>351</v>
      </c>
      <c r="G2389" t="s">
        <v>354</v>
      </c>
      <c r="H2389" t="s">
        <v>365</v>
      </c>
      <c r="I2389">
        <v>1400559</v>
      </c>
      <c r="J2389" t="s">
        <v>3917</v>
      </c>
      <c r="K2389" t="s">
        <v>5139</v>
      </c>
      <c r="L2389" t="s">
        <v>373</v>
      </c>
      <c r="N2389" t="s">
        <v>5140</v>
      </c>
      <c r="O2389" t="s">
        <v>5141</v>
      </c>
      <c r="S2389" s="34" t="s">
        <v>7463</v>
      </c>
    </row>
    <row r="2390" spans="1:19" ht="256.5" x14ac:dyDescent="0.15">
      <c r="A2390" t="s">
        <v>5394</v>
      </c>
      <c r="B2390" s="61">
        <v>46235</v>
      </c>
      <c r="E2390" t="s">
        <v>355</v>
      </c>
      <c r="F2390" t="s">
        <v>351</v>
      </c>
      <c r="G2390" t="s">
        <v>354</v>
      </c>
      <c r="H2390" t="s">
        <v>365</v>
      </c>
      <c r="I2390">
        <v>1400815</v>
      </c>
      <c r="J2390" t="s">
        <v>3917</v>
      </c>
      <c r="K2390" t="s">
        <v>5136</v>
      </c>
      <c r="L2390" t="s">
        <v>413</v>
      </c>
      <c r="N2390" t="s">
        <v>5137</v>
      </c>
      <c r="O2390" t="s">
        <v>5138</v>
      </c>
      <c r="S2390" s="34" t="s">
        <v>7464</v>
      </c>
    </row>
    <row r="2391" spans="1:19" ht="409.5" x14ac:dyDescent="0.15">
      <c r="A2391" t="s">
        <v>5393</v>
      </c>
      <c r="B2391" s="61">
        <v>46327</v>
      </c>
      <c r="E2391" t="s">
        <v>355</v>
      </c>
      <c r="F2391" t="s">
        <v>351</v>
      </c>
      <c r="G2391" t="s">
        <v>354</v>
      </c>
      <c r="H2391" t="s">
        <v>353</v>
      </c>
      <c r="I2391">
        <v>1102156</v>
      </c>
      <c r="J2391" t="s">
        <v>1057</v>
      </c>
      <c r="K2391" t="s">
        <v>7417</v>
      </c>
      <c r="L2391" t="s">
        <v>7418</v>
      </c>
      <c r="N2391" t="s">
        <v>7419</v>
      </c>
      <c r="O2391" t="s">
        <v>7420</v>
      </c>
      <c r="S2391" s="34" t="s">
        <v>7489</v>
      </c>
    </row>
    <row r="2392" spans="1:19" ht="409.5" x14ac:dyDescent="0.15">
      <c r="A2392" t="s">
        <v>3297</v>
      </c>
      <c r="B2392" s="61">
        <v>46235</v>
      </c>
      <c r="E2392" t="s">
        <v>355</v>
      </c>
      <c r="F2392" t="s">
        <v>351</v>
      </c>
      <c r="G2392" t="s">
        <v>354</v>
      </c>
      <c r="H2392" t="s">
        <v>353</v>
      </c>
      <c r="I2392">
        <v>2802043</v>
      </c>
      <c r="J2392" t="s">
        <v>587</v>
      </c>
      <c r="K2392" t="s">
        <v>3316</v>
      </c>
      <c r="L2392" t="s">
        <v>7421</v>
      </c>
      <c r="N2392" t="s">
        <v>7422</v>
      </c>
      <c r="O2392" t="s">
        <v>7350</v>
      </c>
      <c r="R2392" t="s">
        <v>4317</v>
      </c>
      <c r="S2392" s="34" t="s">
        <v>7466</v>
      </c>
    </row>
    <row r="2393" spans="1:19" ht="216" x14ac:dyDescent="0.15">
      <c r="A2393" t="s">
        <v>3483</v>
      </c>
      <c r="B2393" s="61">
        <v>46327</v>
      </c>
      <c r="E2393" t="s">
        <v>355</v>
      </c>
      <c r="F2393" t="s">
        <v>351</v>
      </c>
      <c r="G2393" t="s">
        <v>354</v>
      </c>
      <c r="H2393" t="s">
        <v>353</v>
      </c>
      <c r="I2393">
        <v>2303839</v>
      </c>
      <c r="J2393" t="s">
        <v>4458</v>
      </c>
      <c r="K2393" t="s">
        <v>4459</v>
      </c>
      <c r="L2393" t="s">
        <v>4460</v>
      </c>
      <c r="N2393" t="s">
        <v>4888</v>
      </c>
      <c r="O2393" t="s">
        <v>4461</v>
      </c>
      <c r="S2393" s="34" t="s">
        <v>7490</v>
      </c>
    </row>
    <row r="2394" spans="1:19" ht="364.5" x14ac:dyDescent="0.15">
      <c r="A2394" t="s">
        <v>2377</v>
      </c>
      <c r="B2394" s="61">
        <v>46266</v>
      </c>
      <c r="E2394" t="s">
        <v>355</v>
      </c>
      <c r="F2394" t="s">
        <v>351</v>
      </c>
      <c r="G2394" t="s">
        <v>354</v>
      </c>
      <c r="H2394" t="s">
        <v>353</v>
      </c>
      <c r="I2394">
        <v>1102581</v>
      </c>
      <c r="J2394" t="s">
        <v>2392</v>
      </c>
      <c r="K2394" t="s">
        <v>2393</v>
      </c>
      <c r="L2394" t="s">
        <v>7423</v>
      </c>
      <c r="N2394" t="s">
        <v>7424</v>
      </c>
      <c r="O2394" t="s">
        <v>7425</v>
      </c>
      <c r="S2394" s="34" t="s">
        <v>7574</v>
      </c>
    </row>
    <row r="2395" spans="1:19" ht="409.5" x14ac:dyDescent="0.15">
      <c r="A2395" t="s">
        <v>3617</v>
      </c>
      <c r="B2395" s="61">
        <v>46266</v>
      </c>
      <c r="E2395" t="s">
        <v>355</v>
      </c>
      <c r="F2395" t="s">
        <v>351</v>
      </c>
      <c r="G2395" t="s">
        <v>354</v>
      </c>
      <c r="H2395" t="s">
        <v>353</v>
      </c>
      <c r="I2395">
        <v>4000989</v>
      </c>
      <c r="J2395" t="s">
        <v>979</v>
      </c>
      <c r="K2395" t="s">
        <v>7426</v>
      </c>
      <c r="L2395" t="s">
        <v>7427</v>
      </c>
      <c r="N2395" t="s">
        <v>7428</v>
      </c>
      <c r="O2395" t="s">
        <v>7429</v>
      </c>
      <c r="S2395" s="34" t="s">
        <v>7491</v>
      </c>
    </row>
    <row r="2396" spans="1:19" ht="256.5" x14ac:dyDescent="0.15">
      <c r="A2396" t="s">
        <v>3617</v>
      </c>
      <c r="B2396" s="61">
        <v>46266</v>
      </c>
      <c r="E2396" t="s">
        <v>355</v>
      </c>
      <c r="F2396" t="s">
        <v>351</v>
      </c>
      <c r="G2396" t="s">
        <v>354</v>
      </c>
      <c r="H2396" t="s">
        <v>365</v>
      </c>
      <c r="I2396">
        <v>4000989</v>
      </c>
      <c r="J2396" t="s">
        <v>979</v>
      </c>
      <c r="K2396" t="s">
        <v>7426</v>
      </c>
      <c r="L2396" t="s">
        <v>7427</v>
      </c>
      <c r="N2396" t="s">
        <v>7430</v>
      </c>
      <c r="O2396" t="s">
        <v>7429</v>
      </c>
      <c r="S2396" s="34" t="s">
        <v>7492</v>
      </c>
    </row>
    <row r="2397" spans="1:19" ht="409.5" x14ac:dyDescent="0.15">
      <c r="A2397" t="s">
        <v>501</v>
      </c>
      <c r="B2397" s="61">
        <v>46327</v>
      </c>
      <c r="E2397" t="s">
        <v>355</v>
      </c>
      <c r="F2397" t="s">
        <v>351</v>
      </c>
      <c r="G2397" t="s">
        <v>354</v>
      </c>
      <c r="H2397" t="s">
        <v>353</v>
      </c>
      <c r="I2397">
        <v>1402919</v>
      </c>
      <c r="J2397" t="s">
        <v>7431</v>
      </c>
      <c r="K2397" t="s">
        <v>7432</v>
      </c>
      <c r="L2397" t="s">
        <v>2617</v>
      </c>
      <c r="N2397" t="s">
        <v>7433</v>
      </c>
      <c r="O2397" t="s">
        <v>7434</v>
      </c>
      <c r="S2397" s="34" t="s">
        <v>7575</v>
      </c>
    </row>
    <row r="2398" spans="1:19" ht="409.5" x14ac:dyDescent="0.15">
      <c r="A2398" t="s">
        <v>769</v>
      </c>
      <c r="B2398" s="61">
        <v>46296</v>
      </c>
      <c r="E2398" t="s">
        <v>355</v>
      </c>
      <c r="F2398" t="s">
        <v>351</v>
      </c>
      <c r="G2398" t="s">
        <v>354</v>
      </c>
      <c r="H2398" t="s">
        <v>353</v>
      </c>
      <c r="I2398">
        <v>1102599</v>
      </c>
      <c r="J2398" t="s">
        <v>1716</v>
      </c>
      <c r="K2398" t="s">
        <v>7435</v>
      </c>
      <c r="L2398" t="s">
        <v>7436</v>
      </c>
      <c r="N2398" t="s">
        <v>7437</v>
      </c>
      <c r="O2398" t="s">
        <v>7438</v>
      </c>
      <c r="S2398" s="34" t="s">
        <v>7576</v>
      </c>
    </row>
    <row r="2399" spans="1:19" ht="405" x14ac:dyDescent="0.15">
      <c r="A2399" t="s">
        <v>3226</v>
      </c>
      <c r="B2399" s="61">
        <v>46266</v>
      </c>
      <c r="E2399" t="s">
        <v>355</v>
      </c>
      <c r="F2399" t="s">
        <v>351</v>
      </c>
      <c r="G2399" t="s">
        <v>354</v>
      </c>
      <c r="H2399" t="s">
        <v>365</v>
      </c>
      <c r="I2399">
        <v>2303820</v>
      </c>
      <c r="J2399" t="s">
        <v>995</v>
      </c>
      <c r="K2399" t="s">
        <v>7439</v>
      </c>
      <c r="L2399" t="s">
        <v>7440</v>
      </c>
      <c r="N2399" t="s">
        <v>7441</v>
      </c>
      <c r="O2399" t="s">
        <v>7442</v>
      </c>
      <c r="R2399" t="s">
        <v>7493</v>
      </c>
      <c r="S2399" s="34" t="s">
        <v>7494</v>
      </c>
    </row>
    <row r="2400" spans="1:19" ht="256.5" x14ac:dyDescent="0.15">
      <c r="A2400" t="s">
        <v>617</v>
      </c>
      <c r="B2400" s="61">
        <v>46296</v>
      </c>
      <c r="E2400" t="s">
        <v>355</v>
      </c>
      <c r="F2400" t="s">
        <v>351</v>
      </c>
      <c r="G2400" t="s">
        <v>354</v>
      </c>
      <c r="H2400" t="s">
        <v>4221</v>
      </c>
      <c r="I2400">
        <v>2303913</v>
      </c>
      <c r="J2400" t="s">
        <v>7443</v>
      </c>
      <c r="L2400" t="s">
        <v>7444</v>
      </c>
      <c r="N2400" t="s">
        <v>7445</v>
      </c>
      <c r="O2400" t="s">
        <v>7446</v>
      </c>
      <c r="S2400" s="34" t="s">
        <v>7577</v>
      </c>
    </row>
    <row r="2401" spans="1:19" ht="409.5" x14ac:dyDescent="0.15">
      <c r="A2401" t="s">
        <v>3226</v>
      </c>
      <c r="B2401" s="61">
        <v>46266</v>
      </c>
      <c r="E2401" t="s">
        <v>355</v>
      </c>
      <c r="F2401" t="s">
        <v>351</v>
      </c>
      <c r="G2401" t="s">
        <v>354</v>
      </c>
      <c r="H2401" t="s">
        <v>353</v>
      </c>
      <c r="I2401">
        <v>2303905</v>
      </c>
      <c r="J2401" t="s">
        <v>3995</v>
      </c>
      <c r="K2401" t="s">
        <v>7447</v>
      </c>
      <c r="L2401" t="s">
        <v>7448</v>
      </c>
      <c r="N2401" t="s">
        <v>7449</v>
      </c>
      <c r="O2401" t="s">
        <v>7450</v>
      </c>
      <c r="S2401" s="34" t="s">
        <v>7495</v>
      </c>
    </row>
    <row r="2402" spans="1:19" ht="364.5" x14ac:dyDescent="0.15">
      <c r="A2402" t="s">
        <v>3297</v>
      </c>
      <c r="B2402" s="61">
        <v>46113</v>
      </c>
      <c r="E2402" t="s">
        <v>355</v>
      </c>
      <c r="F2402" t="s">
        <v>351</v>
      </c>
      <c r="G2402" t="s">
        <v>354</v>
      </c>
      <c r="H2402" t="s">
        <v>3913</v>
      </c>
      <c r="I2402">
        <v>2801774</v>
      </c>
      <c r="J2402" t="s">
        <v>7534</v>
      </c>
      <c r="K2402" t="s">
        <v>7535</v>
      </c>
      <c r="L2402" t="s">
        <v>7536</v>
      </c>
      <c r="N2402" t="s">
        <v>7537</v>
      </c>
      <c r="O2402" t="s">
        <v>7538</v>
      </c>
      <c r="S2402" s="34" t="s">
        <v>7539</v>
      </c>
    </row>
    <row r="2403" spans="1:19" ht="337.5" x14ac:dyDescent="0.15">
      <c r="A2403" t="s">
        <v>3297</v>
      </c>
      <c r="B2403" s="61">
        <v>46143</v>
      </c>
      <c r="E2403" t="s">
        <v>355</v>
      </c>
      <c r="F2403" t="s">
        <v>351</v>
      </c>
      <c r="G2403" t="s">
        <v>354</v>
      </c>
      <c r="H2403" t="s">
        <v>3913</v>
      </c>
      <c r="I2403">
        <v>2801774</v>
      </c>
      <c r="J2403" t="s">
        <v>7534</v>
      </c>
      <c r="K2403" t="s">
        <v>7535</v>
      </c>
      <c r="L2403" t="s">
        <v>7536</v>
      </c>
      <c r="N2403" t="s">
        <v>7540</v>
      </c>
      <c r="O2403" t="s">
        <v>7538</v>
      </c>
      <c r="S2403" s="34" t="s">
        <v>7541</v>
      </c>
    </row>
    <row r="2404" spans="1:19" ht="409.5" x14ac:dyDescent="0.15">
      <c r="A2404" t="s">
        <v>350</v>
      </c>
      <c r="B2404" s="61">
        <v>46143</v>
      </c>
      <c r="E2404" t="s">
        <v>355</v>
      </c>
      <c r="F2404" t="s">
        <v>351</v>
      </c>
      <c r="G2404" t="s">
        <v>354</v>
      </c>
      <c r="H2404" t="s">
        <v>686</v>
      </c>
      <c r="I2404">
        <v>801455</v>
      </c>
      <c r="J2404" t="s">
        <v>974</v>
      </c>
      <c r="K2404" t="s">
        <v>7542</v>
      </c>
      <c r="L2404" t="s">
        <v>7543</v>
      </c>
      <c r="N2404">
        <v>2187354</v>
      </c>
      <c r="O2404" t="s">
        <v>7544</v>
      </c>
      <c r="S2404" s="34" t="s">
        <v>7545</v>
      </c>
    </row>
    <row r="2405" spans="1:19" ht="270" x14ac:dyDescent="0.15">
      <c r="A2405" t="s">
        <v>6796</v>
      </c>
      <c r="B2405" s="61">
        <v>46174</v>
      </c>
      <c r="E2405" t="s">
        <v>355</v>
      </c>
      <c r="F2405" t="s">
        <v>351</v>
      </c>
      <c r="G2405" t="s">
        <v>354</v>
      </c>
      <c r="H2405" t="s">
        <v>310</v>
      </c>
      <c r="I2405">
        <v>4100020</v>
      </c>
      <c r="J2405" t="s">
        <v>751</v>
      </c>
      <c r="K2405" t="s">
        <v>7547</v>
      </c>
      <c r="L2405" t="s">
        <v>7548</v>
      </c>
      <c r="N2405" t="s">
        <v>7549</v>
      </c>
      <c r="O2405" t="s">
        <v>7550</v>
      </c>
      <c r="S2405" s="34" t="s">
        <v>7551</v>
      </c>
    </row>
    <row r="2406" spans="1:19" ht="409.5" x14ac:dyDescent="0.15">
      <c r="A2406" t="s">
        <v>6796</v>
      </c>
      <c r="B2406" s="61">
        <v>46174</v>
      </c>
      <c r="E2406" t="s">
        <v>355</v>
      </c>
      <c r="F2406" t="s">
        <v>351</v>
      </c>
      <c r="G2406" t="s">
        <v>354</v>
      </c>
      <c r="H2406" t="s">
        <v>353</v>
      </c>
      <c r="I2406">
        <v>4100020</v>
      </c>
      <c r="J2406" t="s">
        <v>751</v>
      </c>
      <c r="K2406" t="s">
        <v>7547</v>
      </c>
      <c r="L2406" t="s">
        <v>7548</v>
      </c>
      <c r="N2406" t="s">
        <v>7552</v>
      </c>
      <c r="O2406" t="s">
        <v>7550</v>
      </c>
      <c r="S2406" s="34" t="s">
        <v>7553</v>
      </c>
    </row>
    <row r="2407" spans="1:19" x14ac:dyDescent="0.15">
      <c r="A2407" t="s">
        <v>515</v>
      </c>
      <c r="B2407" s="61">
        <v>47150</v>
      </c>
      <c r="E2407" t="s">
        <v>355</v>
      </c>
      <c r="F2407" t="s">
        <v>356</v>
      </c>
      <c r="H2407" t="s">
        <v>353</v>
      </c>
      <c r="I2407">
        <v>1401797</v>
      </c>
      <c r="J2407" t="s">
        <v>2407</v>
      </c>
      <c r="K2407" t="s">
        <v>7386</v>
      </c>
      <c r="L2407" t="s">
        <v>698</v>
      </c>
      <c r="N2407" t="s">
        <v>7578</v>
      </c>
      <c r="O2407" t="s">
        <v>7388</v>
      </c>
      <c r="R2407" t="s">
        <v>362</v>
      </c>
    </row>
    <row r="2408" spans="1:19" x14ac:dyDescent="0.15">
      <c r="A2408" t="s">
        <v>515</v>
      </c>
      <c r="B2408" s="61">
        <v>48611</v>
      </c>
      <c r="E2408" t="s">
        <v>355</v>
      </c>
      <c r="F2408" t="s">
        <v>385</v>
      </c>
      <c r="H2408" t="s">
        <v>353</v>
      </c>
      <c r="I2408">
        <v>1401797</v>
      </c>
      <c r="J2408" t="s">
        <v>2407</v>
      </c>
      <c r="K2408" t="s">
        <v>7386</v>
      </c>
      <c r="L2408" t="s">
        <v>698</v>
      </c>
      <c r="N2408" t="s">
        <v>7578</v>
      </c>
      <c r="O2408" t="s">
        <v>7388</v>
      </c>
      <c r="R2408" t="s">
        <v>386</v>
      </c>
    </row>
    <row r="2409" spans="1:19" x14ac:dyDescent="0.15">
      <c r="A2409" t="s">
        <v>1390</v>
      </c>
      <c r="B2409" s="61">
        <v>46874</v>
      </c>
      <c r="E2409" t="s">
        <v>355</v>
      </c>
      <c r="F2409" t="s">
        <v>356</v>
      </c>
      <c r="H2409" t="s">
        <v>353</v>
      </c>
      <c r="I2409">
        <v>1900274</v>
      </c>
      <c r="J2409" t="s">
        <v>5036</v>
      </c>
      <c r="L2409" t="s">
        <v>7389</v>
      </c>
      <c r="N2409" t="s">
        <v>7390</v>
      </c>
      <c r="O2409" t="s">
        <v>7391</v>
      </c>
      <c r="R2409" t="s">
        <v>362</v>
      </c>
    </row>
    <row r="2410" spans="1:19" x14ac:dyDescent="0.15">
      <c r="A2410" t="s">
        <v>1390</v>
      </c>
      <c r="B2410" s="61">
        <v>48335</v>
      </c>
      <c r="E2410" t="s">
        <v>355</v>
      </c>
      <c r="F2410" t="s">
        <v>385</v>
      </c>
      <c r="H2410" t="s">
        <v>353</v>
      </c>
      <c r="I2410">
        <v>1900274</v>
      </c>
      <c r="J2410" t="s">
        <v>5036</v>
      </c>
      <c r="L2410" t="s">
        <v>7389</v>
      </c>
      <c r="N2410" t="s">
        <v>7390</v>
      </c>
      <c r="O2410" t="s">
        <v>7391</v>
      </c>
      <c r="R2410" t="s">
        <v>386</v>
      </c>
    </row>
    <row r="2411" spans="1:19" x14ac:dyDescent="0.15">
      <c r="A2411" t="s">
        <v>1390</v>
      </c>
      <c r="B2411" s="61">
        <v>46874</v>
      </c>
      <c r="E2411" t="s">
        <v>355</v>
      </c>
      <c r="F2411" t="s">
        <v>356</v>
      </c>
      <c r="H2411" t="s">
        <v>353</v>
      </c>
      <c r="I2411">
        <v>1900277</v>
      </c>
      <c r="J2411" t="s">
        <v>5036</v>
      </c>
      <c r="L2411" t="s">
        <v>7392</v>
      </c>
      <c r="N2411" t="s">
        <v>7393</v>
      </c>
      <c r="O2411" t="s">
        <v>7394</v>
      </c>
      <c r="R2411" t="s">
        <v>362</v>
      </c>
    </row>
    <row r="2412" spans="1:19" x14ac:dyDescent="0.15">
      <c r="A2412" t="s">
        <v>1390</v>
      </c>
      <c r="B2412" s="61">
        <v>48335</v>
      </c>
      <c r="E2412" t="s">
        <v>355</v>
      </c>
      <c r="F2412" t="s">
        <v>385</v>
      </c>
      <c r="H2412" t="s">
        <v>353</v>
      </c>
      <c r="I2412">
        <v>1900277</v>
      </c>
      <c r="J2412" t="s">
        <v>5036</v>
      </c>
      <c r="L2412" t="s">
        <v>7392</v>
      </c>
      <c r="N2412" t="s">
        <v>7393</v>
      </c>
      <c r="O2412" t="s">
        <v>7394</v>
      </c>
      <c r="R2412" t="s">
        <v>386</v>
      </c>
    </row>
    <row r="2413" spans="1:19" x14ac:dyDescent="0.15">
      <c r="A2413" t="s">
        <v>2693</v>
      </c>
      <c r="B2413" s="61">
        <v>46753</v>
      </c>
      <c r="E2413" t="s">
        <v>355</v>
      </c>
      <c r="F2413" t="s">
        <v>356</v>
      </c>
      <c r="H2413" t="s">
        <v>353</v>
      </c>
      <c r="I2413">
        <v>2301075</v>
      </c>
      <c r="J2413" t="s">
        <v>2694</v>
      </c>
      <c r="K2413" t="s">
        <v>2695</v>
      </c>
      <c r="L2413" t="s">
        <v>2696</v>
      </c>
      <c r="N2413" t="s">
        <v>7579</v>
      </c>
      <c r="O2413" t="s">
        <v>2698</v>
      </c>
      <c r="R2413" t="s">
        <v>362</v>
      </c>
    </row>
    <row r="2414" spans="1:19" x14ac:dyDescent="0.15">
      <c r="A2414" t="s">
        <v>2693</v>
      </c>
      <c r="B2414" s="61">
        <v>48214</v>
      </c>
      <c r="E2414" t="s">
        <v>355</v>
      </c>
      <c r="F2414" t="s">
        <v>385</v>
      </c>
      <c r="H2414" t="s">
        <v>353</v>
      </c>
      <c r="I2414">
        <v>2301075</v>
      </c>
      <c r="J2414" t="s">
        <v>2694</v>
      </c>
      <c r="K2414" t="s">
        <v>2695</v>
      </c>
      <c r="L2414" t="s">
        <v>2696</v>
      </c>
      <c r="N2414" t="s">
        <v>7579</v>
      </c>
      <c r="O2414" t="s">
        <v>2698</v>
      </c>
      <c r="R2414" t="s">
        <v>386</v>
      </c>
    </row>
    <row r="2415" spans="1:19" x14ac:dyDescent="0.15">
      <c r="A2415" t="s">
        <v>2377</v>
      </c>
      <c r="B2415" s="61">
        <v>46874</v>
      </c>
      <c r="E2415" t="s">
        <v>355</v>
      </c>
      <c r="F2415" t="s">
        <v>356</v>
      </c>
      <c r="H2415" t="s">
        <v>353</v>
      </c>
      <c r="I2415">
        <v>1102581</v>
      </c>
      <c r="J2415" t="s">
        <v>2392</v>
      </c>
      <c r="K2415" t="s">
        <v>2393</v>
      </c>
      <c r="L2415" t="s">
        <v>7423</v>
      </c>
      <c r="N2415" t="s">
        <v>7424</v>
      </c>
      <c r="O2415" t="s">
        <v>7425</v>
      </c>
      <c r="R2415" t="s">
        <v>362</v>
      </c>
    </row>
    <row r="2416" spans="1:19" x14ac:dyDescent="0.15">
      <c r="A2416" t="s">
        <v>2377</v>
      </c>
      <c r="B2416" s="61">
        <v>48335</v>
      </c>
      <c r="E2416" t="s">
        <v>355</v>
      </c>
      <c r="F2416" t="s">
        <v>385</v>
      </c>
      <c r="H2416" t="s">
        <v>353</v>
      </c>
      <c r="I2416">
        <v>1102581</v>
      </c>
      <c r="J2416" t="s">
        <v>2392</v>
      </c>
      <c r="K2416" t="s">
        <v>2393</v>
      </c>
      <c r="L2416" t="s">
        <v>7423</v>
      </c>
      <c r="N2416" t="s">
        <v>7424</v>
      </c>
      <c r="O2416" t="s">
        <v>7425</v>
      </c>
      <c r="R2416" t="s">
        <v>386</v>
      </c>
    </row>
    <row r="2417" spans="1:18" x14ac:dyDescent="0.15">
      <c r="A2417" t="s">
        <v>3483</v>
      </c>
      <c r="B2417" s="61">
        <v>46966</v>
      </c>
      <c r="E2417" t="s">
        <v>355</v>
      </c>
      <c r="F2417" t="s">
        <v>356</v>
      </c>
      <c r="H2417" t="s">
        <v>353</v>
      </c>
      <c r="I2417">
        <v>2301066</v>
      </c>
      <c r="J2417" t="s">
        <v>7395</v>
      </c>
      <c r="L2417" t="s">
        <v>7396</v>
      </c>
      <c r="N2417" t="s">
        <v>7580</v>
      </c>
      <c r="O2417" t="s">
        <v>7398</v>
      </c>
      <c r="R2417" t="s">
        <v>362</v>
      </c>
    </row>
    <row r="2418" spans="1:18" x14ac:dyDescent="0.15">
      <c r="A2418" t="s">
        <v>3483</v>
      </c>
      <c r="B2418" s="61">
        <v>48427</v>
      </c>
      <c r="E2418" t="s">
        <v>355</v>
      </c>
      <c r="F2418" t="s">
        <v>385</v>
      </c>
      <c r="H2418" t="s">
        <v>353</v>
      </c>
      <c r="I2418">
        <v>2301066</v>
      </c>
      <c r="J2418" t="s">
        <v>7395</v>
      </c>
      <c r="L2418" t="s">
        <v>7396</v>
      </c>
      <c r="N2418" t="s">
        <v>7580</v>
      </c>
      <c r="O2418" t="s">
        <v>7398</v>
      </c>
      <c r="R2418" t="s">
        <v>386</v>
      </c>
    </row>
    <row r="2419" spans="1:18" x14ac:dyDescent="0.15">
      <c r="A2419" t="s">
        <v>2597</v>
      </c>
      <c r="B2419" s="61">
        <v>47119</v>
      </c>
      <c r="E2419" t="s">
        <v>355</v>
      </c>
      <c r="F2419" t="s">
        <v>356</v>
      </c>
      <c r="H2419" t="s">
        <v>353</v>
      </c>
      <c r="I2419">
        <v>2700083</v>
      </c>
      <c r="J2419" t="s">
        <v>2613</v>
      </c>
      <c r="K2419" t="s">
        <v>532</v>
      </c>
      <c r="L2419" t="s">
        <v>413</v>
      </c>
      <c r="N2419" t="s">
        <v>7581</v>
      </c>
      <c r="O2419" t="s">
        <v>2615</v>
      </c>
      <c r="R2419" t="s">
        <v>362</v>
      </c>
    </row>
    <row r="2420" spans="1:18" x14ac:dyDescent="0.15">
      <c r="A2420" t="s">
        <v>2597</v>
      </c>
      <c r="B2420" s="61">
        <v>48580</v>
      </c>
      <c r="E2420" t="s">
        <v>355</v>
      </c>
      <c r="F2420" t="s">
        <v>385</v>
      </c>
      <c r="H2420" t="s">
        <v>353</v>
      </c>
      <c r="I2420">
        <v>2700083</v>
      </c>
      <c r="J2420" t="s">
        <v>2613</v>
      </c>
      <c r="K2420" t="s">
        <v>532</v>
      </c>
      <c r="L2420" t="s">
        <v>413</v>
      </c>
      <c r="N2420" t="s">
        <v>7581</v>
      </c>
      <c r="O2420" t="s">
        <v>2615</v>
      </c>
      <c r="R2420" t="s">
        <v>386</v>
      </c>
    </row>
    <row r="2421" spans="1:18" x14ac:dyDescent="0.15">
      <c r="A2421" t="s">
        <v>819</v>
      </c>
      <c r="B2421" s="61">
        <v>46813</v>
      </c>
      <c r="E2421" t="s">
        <v>355</v>
      </c>
      <c r="F2421" t="s">
        <v>356</v>
      </c>
      <c r="H2421" t="s">
        <v>353</v>
      </c>
      <c r="I2421">
        <v>4300124</v>
      </c>
      <c r="J2421" t="s">
        <v>925</v>
      </c>
      <c r="K2421" t="s">
        <v>7403</v>
      </c>
      <c r="L2421" t="s">
        <v>2628</v>
      </c>
      <c r="N2421" t="s">
        <v>7404</v>
      </c>
      <c r="O2421" t="s">
        <v>7405</v>
      </c>
      <c r="R2421" t="s">
        <v>362</v>
      </c>
    </row>
    <row r="2422" spans="1:18" x14ac:dyDescent="0.15">
      <c r="A2422" t="s">
        <v>819</v>
      </c>
      <c r="B2422" s="61">
        <v>48274</v>
      </c>
      <c r="E2422" t="s">
        <v>355</v>
      </c>
      <c r="F2422" t="s">
        <v>385</v>
      </c>
      <c r="H2422" t="s">
        <v>353</v>
      </c>
      <c r="I2422">
        <v>4300124</v>
      </c>
      <c r="J2422" t="s">
        <v>925</v>
      </c>
      <c r="K2422" t="s">
        <v>7403</v>
      </c>
      <c r="L2422" t="s">
        <v>2628</v>
      </c>
      <c r="N2422" t="s">
        <v>7404</v>
      </c>
      <c r="O2422" t="s">
        <v>7405</v>
      </c>
      <c r="R2422" t="s">
        <v>386</v>
      </c>
    </row>
    <row r="2423" spans="1:18" x14ac:dyDescent="0.15">
      <c r="A2423" t="s">
        <v>6546</v>
      </c>
      <c r="B2423" s="61">
        <v>47362</v>
      </c>
      <c r="E2423" t="s">
        <v>355</v>
      </c>
      <c r="F2423" t="s">
        <v>356</v>
      </c>
      <c r="H2423" t="s">
        <v>353</v>
      </c>
      <c r="I2423">
        <v>100549</v>
      </c>
      <c r="J2423" t="s">
        <v>427</v>
      </c>
      <c r="K2423" t="s">
        <v>1147</v>
      </c>
      <c r="L2423" t="s">
        <v>1148</v>
      </c>
      <c r="N2423" t="s">
        <v>7582</v>
      </c>
      <c r="O2423" t="s">
        <v>7379</v>
      </c>
      <c r="R2423" t="s">
        <v>362</v>
      </c>
    </row>
    <row r="2424" spans="1:18" x14ac:dyDescent="0.15">
      <c r="A2424" t="s">
        <v>6546</v>
      </c>
      <c r="B2424" s="61">
        <v>48823</v>
      </c>
      <c r="E2424" t="s">
        <v>355</v>
      </c>
      <c r="F2424" t="s">
        <v>385</v>
      </c>
      <c r="H2424" t="s">
        <v>353</v>
      </c>
      <c r="I2424">
        <v>100549</v>
      </c>
      <c r="J2424" t="s">
        <v>427</v>
      </c>
      <c r="K2424" t="s">
        <v>1147</v>
      </c>
      <c r="L2424" t="s">
        <v>1148</v>
      </c>
      <c r="N2424" t="s">
        <v>7582</v>
      </c>
      <c r="O2424" t="s">
        <v>7379</v>
      </c>
      <c r="R2424" t="s">
        <v>386</v>
      </c>
    </row>
    <row r="2425" spans="1:18" x14ac:dyDescent="0.15">
      <c r="A2425" t="s">
        <v>3051</v>
      </c>
      <c r="B2425" s="61">
        <v>47058</v>
      </c>
      <c r="E2425" t="s">
        <v>355</v>
      </c>
      <c r="F2425" t="s">
        <v>356</v>
      </c>
      <c r="H2425" t="s">
        <v>353</v>
      </c>
      <c r="I2425">
        <v>800051</v>
      </c>
      <c r="J2425" t="s">
        <v>7583</v>
      </c>
      <c r="K2425" t="s">
        <v>7584</v>
      </c>
      <c r="L2425" t="s">
        <v>378</v>
      </c>
      <c r="N2425" t="s">
        <v>7585</v>
      </c>
      <c r="O2425" t="s">
        <v>7586</v>
      </c>
      <c r="R2425" t="s">
        <v>362</v>
      </c>
    </row>
    <row r="2426" spans="1:18" x14ac:dyDescent="0.15">
      <c r="A2426" t="s">
        <v>3051</v>
      </c>
      <c r="B2426" s="61">
        <v>48519</v>
      </c>
      <c r="E2426" t="s">
        <v>355</v>
      </c>
      <c r="F2426" t="s">
        <v>385</v>
      </c>
      <c r="H2426" t="s">
        <v>353</v>
      </c>
      <c r="I2426">
        <v>800051</v>
      </c>
      <c r="J2426" t="s">
        <v>7583</v>
      </c>
      <c r="K2426" t="s">
        <v>7584</v>
      </c>
      <c r="L2426" t="s">
        <v>378</v>
      </c>
      <c r="N2426" t="s">
        <v>7585</v>
      </c>
      <c r="O2426" t="s">
        <v>7586</v>
      </c>
      <c r="R2426" t="s">
        <v>386</v>
      </c>
    </row>
    <row r="2427" spans="1:18" x14ac:dyDescent="0.15">
      <c r="A2427" t="s">
        <v>2993</v>
      </c>
      <c r="B2427" s="61">
        <v>47209</v>
      </c>
      <c r="E2427" t="s">
        <v>355</v>
      </c>
      <c r="F2427" t="s">
        <v>356</v>
      </c>
      <c r="H2427" t="s">
        <v>353</v>
      </c>
      <c r="I2427">
        <v>1301709</v>
      </c>
      <c r="J2427" t="s">
        <v>3001</v>
      </c>
      <c r="K2427" t="s">
        <v>2153</v>
      </c>
      <c r="L2427" t="s">
        <v>7587</v>
      </c>
      <c r="N2427" t="s">
        <v>7588</v>
      </c>
      <c r="O2427" t="s">
        <v>7589</v>
      </c>
      <c r="R2427" t="s">
        <v>362</v>
      </c>
    </row>
    <row r="2428" spans="1:18" x14ac:dyDescent="0.15">
      <c r="A2428" t="s">
        <v>2993</v>
      </c>
      <c r="B2428" s="61">
        <v>48670</v>
      </c>
      <c r="E2428" t="s">
        <v>355</v>
      </c>
      <c r="F2428" t="s">
        <v>385</v>
      </c>
      <c r="H2428" t="s">
        <v>353</v>
      </c>
      <c r="I2428">
        <v>1301709</v>
      </c>
      <c r="J2428" t="s">
        <v>3001</v>
      </c>
      <c r="K2428" t="s">
        <v>2153</v>
      </c>
      <c r="L2428" t="s">
        <v>7587</v>
      </c>
      <c r="N2428" t="s">
        <v>7588</v>
      </c>
      <c r="O2428" t="s">
        <v>7589</v>
      </c>
      <c r="R2428" t="s">
        <v>386</v>
      </c>
    </row>
    <row r="2429" spans="1:18" x14ac:dyDescent="0.15">
      <c r="A2429" t="s">
        <v>501</v>
      </c>
      <c r="B2429" s="61">
        <v>46905</v>
      </c>
      <c r="E2429" t="s">
        <v>355</v>
      </c>
      <c r="F2429" t="s">
        <v>356</v>
      </c>
      <c r="H2429" t="s">
        <v>353</v>
      </c>
      <c r="I2429">
        <v>1402919</v>
      </c>
      <c r="J2429" t="s">
        <v>7431</v>
      </c>
      <c r="K2429" t="s">
        <v>7432</v>
      </c>
      <c r="L2429" t="s">
        <v>2617</v>
      </c>
      <c r="N2429" t="s">
        <v>7433</v>
      </c>
      <c r="O2429" t="s">
        <v>7434</v>
      </c>
      <c r="R2429" t="s">
        <v>362</v>
      </c>
    </row>
    <row r="2430" spans="1:18" x14ac:dyDescent="0.15">
      <c r="A2430" t="s">
        <v>501</v>
      </c>
      <c r="B2430" s="61">
        <v>48366</v>
      </c>
      <c r="E2430" t="s">
        <v>355</v>
      </c>
      <c r="F2430" t="s">
        <v>385</v>
      </c>
      <c r="H2430" t="s">
        <v>353</v>
      </c>
      <c r="I2430">
        <v>1402919</v>
      </c>
      <c r="J2430" t="s">
        <v>7431</v>
      </c>
      <c r="K2430" t="s">
        <v>7432</v>
      </c>
      <c r="L2430" t="s">
        <v>2617</v>
      </c>
      <c r="N2430" t="s">
        <v>7433</v>
      </c>
      <c r="O2430" t="s">
        <v>7434</v>
      </c>
      <c r="R2430" t="s">
        <v>386</v>
      </c>
    </row>
    <row r="2431" spans="1:18" x14ac:dyDescent="0.15">
      <c r="A2431" t="s">
        <v>3226</v>
      </c>
      <c r="B2431" s="61">
        <v>47392</v>
      </c>
      <c r="E2431" t="s">
        <v>355</v>
      </c>
      <c r="F2431" t="s">
        <v>356</v>
      </c>
      <c r="H2431" t="s">
        <v>353</v>
      </c>
      <c r="I2431">
        <v>2303905</v>
      </c>
      <c r="J2431" t="s">
        <v>3995</v>
      </c>
      <c r="K2431" t="s">
        <v>7590</v>
      </c>
      <c r="L2431" t="s">
        <v>466</v>
      </c>
      <c r="N2431" t="s">
        <v>7591</v>
      </c>
      <c r="O2431" t="s">
        <v>7450</v>
      </c>
      <c r="R2431" t="s">
        <v>362</v>
      </c>
    </row>
    <row r="2432" spans="1:18" x14ac:dyDescent="0.15">
      <c r="A2432" t="s">
        <v>3226</v>
      </c>
      <c r="B2432" s="61">
        <v>48853</v>
      </c>
      <c r="E2432" t="s">
        <v>355</v>
      </c>
      <c r="F2432" t="s">
        <v>385</v>
      </c>
      <c r="H2432" t="s">
        <v>353</v>
      </c>
      <c r="I2432">
        <v>2303905</v>
      </c>
      <c r="J2432" t="s">
        <v>3995</v>
      </c>
      <c r="K2432" t="s">
        <v>7590</v>
      </c>
      <c r="L2432" t="s">
        <v>466</v>
      </c>
      <c r="N2432" t="s">
        <v>7591</v>
      </c>
      <c r="O2432" t="s">
        <v>7450</v>
      </c>
      <c r="R2432" t="s">
        <v>386</v>
      </c>
    </row>
    <row r="2433" spans="1:18" x14ac:dyDescent="0.15">
      <c r="A2433" t="s">
        <v>2456</v>
      </c>
      <c r="B2433" s="61">
        <v>46874</v>
      </c>
      <c r="E2433" t="s">
        <v>355</v>
      </c>
      <c r="F2433" t="s">
        <v>356</v>
      </c>
      <c r="H2433" t="s">
        <v>353</v>
      </c>
      <c r="I2433">
        <v>2202083</v>
      </c>
      <c r="J2433" t="s">
        <v>7411</v>
      </c>
      <c r="K2433" t="s">
        <v>7412</v>
      </c>
      <c r="L2433" t="s">
        <v>7413</v>
      </c>
      <c r="N2433" t="s">
        <v>7414</v>
      </c>
      <c r="O2433" t="s">
        <v>7415</v>
      </c>
      <c r="R2433" t="s">
        <v>362</v>
      </c>
    </row>
    <row r="2434" spans="1:18" x14ac:dyDescent="0.15">
      <c r="A2434" t="s">
        <v>2456</v>
      </c>
      <c r="B2434" s="61">
        <v>48335</v>
      </c>
      <c r="E2434" t="s">
        <v>355</v>
      </c>
      <c r="F2434" t="s">
        <v>385</v>
      </c>
      <c r="H2434" t="s">
        <v>353</v>
      </c>
      <c r="I2434">
        <v>2202083</v>
      </c>
      <c r="J2434" t="s">
        <v>7411</v>
      </c>
      <c r="K2434" t="s">
        <v>7412</v>
      </c>
      <c r="L2434" t="s">
        <v>7413</v>
      </c>
      <c r="N2434" t="s">
        <v>7414</v>
      </c>
      <c r="O2434" t="s">
        <v>7415</v>
      </c>
      <c r="R2434" t="s">
        <v>386</v>
      </c>
    </row>
    <row r="2435" spans="1:18" x14ac:dyDescent="0.15">
      <c r="A2435" t="s">
        <v>2771</v>
      </c>
      <c r="B2435" s="61">
        <v>47392</v>
      </c>
      <c r="E2435" t="s">
        <v>355</v>
      </c>
      <c r="F2435" t="s">
        <v>356</v>
      </c>
      <c r="H2435" t="s">
        <v>353</v>
      </c>
      <c r="I2435">
        <v>2100014</v>
      </c>
      <c r="J2435" t="s">
        <v>7406</v>
      </c>
      <c r="K2435" t="s">
        <v>7407</v>
      </c>
      <c r="L2435" t="s">
        <v>7408</v>
      </c>
      <c r="N2435" t="s">
        <v>7409</v>
      </c>
      <c r="O2435" t="s">
        <v>7410</v>
      </c>
      <c r="R2435" t="s">
        <v>362</v>
      </c>
    </row>
    <row r="2436" spans="1:18" x14ac:dyDescent="0.15">
      <c r="A2436" t="s">
        <v>2771</v>
      </c>
      <c r="B2436" s="61">
        <v>48853</v>
      </c>
      <c r="E2436" t="s">
        <v>355</v>
      </c>
      <c r="F2436" t="s">
        <v>385</v>
      </c>
      <c r="H2436" t="s">
        <v>353</v>
      </c>
      <c r="I2436">
        <v>2100014</v>
      </c>
      <c r="J2436" t="s">
        <v>7406</v>
      </c>
      <c r="K2436" t="s">
        <v>7407</v>
      </c>
      <c r="L2436" t="s">
        <v>7408</v>
      </c>
      <c r="N2436" t="s">
        <v>7409</v>
      </c>
      <c r="O2436" t="s">
        <v>7410</v>
      </c>
      <c r="R2436" t="s">
        <v>386</v>
      </c>
    </row>
    <row r="2437" spans="1:18" x14ac:dyDescent="0.15">
      <c r="A2437" t="s">
        <v>2027</v>
      </c>
      <c r="B2437" s="61">
        <v>46753</v>
      </c>
      <c r="E2437" t="s">
        <v>355</v>
      </c>
      <c r="F2437" t="s">
        <v>356</v>
      </c>
      <c r="H2437" t="s">
        <v>353</v>
      </c>
      <c r="I2437">
        <v>2801989</v>
      </c>
      <c r="J2437" t="s">
        <v>7592</v>
      </c>
      <c r="K2437" t="s">
        <v>1350</v>
      </c>
      <c r="L2437" t="s">
        <v>390</v>
      </c>
      <c r="N2437" t="s">
        <v>7593</v>
      </c>
      <c r="O2437" t="s">
        <v>7594</v>
      </c>
      <c r="R2437" t="s">
        <v>362</v>
      </c>
    </row>
    <row r="2438" spans="1:18" x14ac:dyDescent="0.15">
      <c r="A2438" t="s">
        <v>2027</v>
      </c>
      <c r="B2438" s="61">
        <v>48214</v>
      </c>
      <c r="E2438" t="s">
        <v>355</v>
      </c>
      <c r="F2438" t="s">
        <v>385</v>
      </c>
      <c r="H2438" t="s">
        <v>353</v>
      </c>
      <c r="I2438">
        <v>2801989</v>
      </c>
      <c r="J2438" t="s">
        <v>7592</v>
      </c>
      <c r="K2438" t="s">
        <v>1350</v>
      </c>
      <c r="L2438" t="s">
        <v>390</v>
      </c>
      <c r="N2438" t="s">
        <v>7593</v>
      </c>
      <c r="O2438" t="s">
        <v>7594</v>
      </c>
      <c r="R2438" t="s">
        <v>386</v>
      </c>
    </row>
    <row r="2439" spans="1:18" x14ac:dyDescent="0.15">
      <c r="A2439" t="s">
        <v>3617</v>
      </c>
      <c r="B2439" s="61">
        <v>46997</v>
      </c>
      <c r="E2439" t="s">
        <v>355</v>
      </c>
      <c r="F2439" t="s">
        <v>356</v>
      </c>
      <c r="H2439" t="s">
        <v>353</v>
      </c>
      <c r="I2439">
        <v>4000989</v>
      </c>
      <c r="J2439" t="s">
        <v>979</v>
      </c>
      <c r="K2439" t="s">
        <v>7426</v>
      </c>
      <c r="L2439" t="s">
        <v>7427</v>
      </c>
      <c r="N2439" t="s">
        <v>7595</v>
      </c>
      <c r="O2439" t="s">
        <v>7429</v>
      </c>
      <c r="R2439" t="s">
        <v>362</v>
      </c>
    </row>
    <row r="2440" spans="1:18" x14ac:dyDescent="0.15">
      <c r="A2440" t="s">
        <v>3617</v>
      </c>
      <c r="B2440" s="61">
        <v>48458</v>
      </c>
      <c r="E2440" t="s">
        <v>355</v>
      </c>
      <c r="F2440" t="s">
        <v>385</v>
      </c>
      <c r="H2440" t="s">
        <v>353</v>
      </c>
      <c r="I2440">
        <v>4000989</v>
      </c>
      <c r="J2440" t="s">
        <v>979</v>
      </c>
      <c r="K2440" t="s">
        <v>7426</v>
      </c>
      <c r="L2440" t="s">
        <v>7427</v>
      </c>
      <c r="N2440" t="s">
        <v>7595</v>
      </c>
      <c r="O2440" t="s">
        <v>7429</v>
      </c>
      <c r="R2440" t="s">
        <v>386</v>
      </c>
    </row>
    <row r="2441" spans="1:18" x14ac:dyDescent="0.15">
      <c r="A2441" t="s">
        <v>3089</v>
      </c>
      <c r="B2441" s="61">
        <v>47423</v>
      </c>
      <c r="E2441" t="s">
        <v>355</v>
      </c>
      <c r="F2441" t="s">
        <v>356</v>
      </c>
      <c r="H2441" t="s">
        <v>4221</v>
      </c>
      <c r="I2441">
        <v>900974</v>
      </c>
      <c r="J2441" t="s">
        <v>7596</v>
      </c>
      <c r="K2441" t="s">
        <v>1542</v>
      </c>
      <c r="L2441" t="s">
        <v>413</v>
      </c>
      <c r="N2441" t="s">
        <v>7597</v>
      </c>
      <c r="O2441" t="s">
        <v>7598</v>
      </c>
      <c r="R2441" t="s">
        <v>4224</v>
      </c>
    </row>
    <row r="2442" spans="1:18" x14ac:dyDescent="0.15">
      <c r="A2442" t="s">
        <v>3089</v>
      </c>
      <c r="B2442" s="61">
        <v>48153</v>
      </c>
      <c r="E2442" t="s">
        <v>355</v>
      </c>
      <c r="F2442" t="s">
        <v>4226</v>
      </c>
      <c r="H2442" t="s">
        <v>4221</v>
      </c>
      <c r="I2442">
        <v>900974</v>
      </c>
      <c r="J2442" t="s">
        <v>7596</v>
      </c>
      <c r="K2442" t="s">
        <v>1542</v>
      </c>
      <c r="L2442" t="s">
        <v>413</v>
      </c>
      <c r="N2442" t="s">
        <v>7597</v>
      </c>
      <c r="O2442" t="s">
        <v>7598</v>
      </c>
      <c r="R2442" t="s">
        <v>4227</v>
      </c>
    </row>
    <row r="2443" spans="1:18" x14ac:dyDescent="0.15">
      <c r="A2443" t="s">
        <v>3089</v>
      </c>
      <c r="B2443" s="61">
        <v>48884</v>
      </c>
      <c r="E2443" t="s">
        <v>355</v>
      </c>
      <c r="F2443" t="s">
        <v>385</v>
      </c>
      <c r="H2443" t="s">
        <v>4221</v>
      </c>
      <c r="I2443">
        <v>900974</v>
      </c>
      <c r="J2443" t="s">
        <v>7596</v>
      </c>
      <c r="K2443" t="s">
        <v>1542</v>
      </c>
      <c r="L2443" t="s">
        <v>413</v>
      </c>
      <c r="N2443" t="s">
        <v>7597</v>
      </c>
      <c r="O2443" t="s">
        <v>7598</v>
      </c>
      <c r="R2443" t="s">
        <v>4228</v>
      </c>
    </row>
    <row r="2444" spans="1:18" x14ac:dyDescent="0.15">
      <c r="A2444" t="s">
        <v>387</v>
      </c>
      <c r="B2444" s="61">
        <v>47058</v>
      </c>
      <c r="E2444" t="s">
        <v>355</v>
      </c>
      <c r="F2444" t="s">
        <v>356</v>
      </c>
      <c r="H2444" t="s">
        <v>4221</v>
      </c>
      <c r="I2444">
        <v>801445</v>
      </c>
      <c r="J2444" t="s">
        <v>7599</v>
      </c>
      <c r="K2444" t="s">
        <v>7600</v>
      </c>
      <c r="L2444" t="s">
        <v>7601</v>
      </c>
      <c r="N2444" t="s">
        <v>7602</v>
      </c>
      <c r="O2444" t="s">
        <v>7603</v>
      </c>
      <c r="R2444" t="s">
        <v>4224</v>
      </c>
    </row>
    <row r="2445" spans="1:18" x14ac:dyDescent="0.15">
      <c r="A2445" t="s">
        <v>387</v>
      </c>
      <c r="B2445" s="61">
        <v>47788</v>
      </c>
      <c r="E2445" t="s">
        <v>355</v>
      </c>
      <c r="F2445" t="s">
        <v>4226</v>
      </c>
      <c r="H2445" t="s">
        <v>4221</v>
      </c>
      <c r="I2445">
        <v>801445</v>
      </c>
      <c r="J2445" t="s">
        <v>7599</v>
      </c>
      <c r="K2445" t="s">
        <v>7600</v>
      </c>
      <c r="L2445" t="s">
        <v>7601</v>
      </c>
      <c r="N2445" t="s">
        <v>7602</v>
      </c>
      <c r="O2445" t="s">
        <v>7603</v>
      </c>
      <c r="R2445" t="s">
        <v>4227</v>
      </c>
    </row>
    <row r="2446" spans="1:18" x14ac:dyDescent="0.15">
      <c r="A2446" t="s">
        <v>387</v>
      </c>
      <c r="B2446" s="61">
        <v>48519</v>
      </c>
      <c r="E2446" t="s">
        <v>355</v>
      </c>
      <c r="F2446" t="s">
        <v>385</v>
      </c>
      <c r="H2446" t="s">
        <v>4221</v>
      </c>
      <c r="I2446">
        <v>801445</v>
      </c>
      <c r="J2446" t="s">
        <v>7599</v>
      </c>
      <c r="K2446" t="s">
        <v>7600</v>
      </c>
      <c r="L2446" t="s">
        <v>7601</v>
      </c>
      <c r="N2446" t="s">
        <v>7602</v>
      </c>
      <c r="O2446" t="s">
        <v>7603</v>
      </c>
      <c r="R2446" t="s">
        <v>4228</v>
      </c>
    </row>
    <row r="2447" spans="1:18" x14ac:dyDescent="0.15">
      <c r="A2447" t="s">
        <v>617</v>
      </c>
      <c r="B2447" s="61">
        <v>47453</v>
      </c>
      <c r="E2447" t="s">
        <v>355</v>
      </c>
      <c r="F2447" t="s">
        <v>356</v>
      </c>
      <c r="H2447" t="s">
        <v>4221</v>
      </c>
      <c r="I2447">
        <v>2303913</v>
      </c>
      <c r="J2447" t="s">
        <v>7443</v>
      </c>
      <c r="L2447" t="s">
        <v>7444</v>
      </c>
      <c r="N2447" t="s">
        <v>7445</v>
      </c>
      <c r="O2447" t="s">
        <v>7446</v>
      </c>
      <c r="R2447" t="s">
        <v>4224</v>
      </c>
    </row>
    <row r="2448" spans="1:18" x14ac:dyDescent="0.15">
      <c r="A2448" t="s">
        <v>617</v>
      </c>
      <c r="B2448" s="61">
        <v>48183</v>
      </c>
      <c r="E2448" t="s">
        <v>355</v>
      </c>
      <c r="F2448" t="s">
        <v>4226</v>
      </c>
      <c r="H2448" t="s">
        <v>4221</v>
      </c>
      <c r="I2448">
        <v>2303913</v>
      </c>
      <c r="J2448" t="s">
        <v>7443</v>
      </c>
      <c r="L2448" t="s">
        <v>7444</v>
      </c>
      <c r="N2448" t="s">
        <v>7445</v>
      </c>
      <c r="O2448" t="s">
        <v>7446</v>
      </c>
      <c r="R2448" t="s">
        <v>4227</v>
      </c>
    </row>
    <row r="2449" spans="1:18" x14ac:dyDescent="0.15">
      <c r="A2449" t="s">
        <v>617</v>
      </c>
      <c r="B2449" s="61">
        <v>48914</v>
      </c>
      <c r="E2449" t="s">
        <v>355</v>
      </c>
      <c r="F2449" t="s">
        <v>385</v>
      </c>
      <c r="H2449" t="s">
        <v>4221</v>
      </c>
      <c r="I2449">
        <v>2303913</v>
      </c>
      <c r="J2449" t="s">
        <v>7443</v>
      </c>
      <c r="L2449" t="s">
        <v>7444</v>
      </c>
      <c r="N2449" t="s">
        <v>7445</v>
      </c>
      <c r="O2449" t="s">
        <v>7446</v>
      </c>
      <c r="R2449" t="s">
        <v>4228</v>
      </c>
    </row>
    <row r="2450" spans="1:18" x14ac:dyDescent="0.15">
      <c r="A2450" t="s">
        <v>3822</v>
      </c>
      <c r="B2450" s="61">
        <v>47331</v>
      </c>
      <c r="E2450" t="s">
        <v>355</v>
      </c>
      <c r="F2450" t="s">
        <v>356</v>
      </c>
      <c r="H2450" t="s">
        <v>4221</v>
      </c>
      <c r="I2450">
        <v>1800335</v>
      </c>
      <c r="J2450" t="s">
        <v>7287</v>
      </c>
      <c r="K2450" t="s">
        <v>3918</v>
      </c>
      <c r="L2450" t="s">
        <v>413</v>
      </c>
      <c r="N2450" t="s">
        <v>7288</v>
      </c>
      <c r="O2450" t="s">
        <v>7289</v>
      </c>
      <c r="R2450" t="s">
        <v>4224</v>
      </c>
    </row>
    <row r="2451" spans="1:18" x14ac:dyDescent="0.15">
      <c r="A2451" t="s">
        <v>3822</v>
      </c>
      <c r="B2451" s="61">
        <v>48061</v>
      </c>
      <c r="E2451" t="s">
        <v>355</v>
      </c>
      <c r="F2451" t="s">
        <v>4226</v>
      </c>
      <c r="H2451" t="s">
        <v>4221</v>
      </c>
      <c r="I2451">
        <v>1800335</v>
      </c>
      <c r="J2451" t="s">
        <v>7287</v>
      </c>
      <c r="K2451" t="s">
        <v>3918</v>
      </c>
      <c r="L2451" t="s">
        <v>413</v>
      </c>
      <c r="N2451" t="s">
        <v>7288</v>
      </c>
      <c r="O2451" t="s">
        <v>7289</v>
      </c>
      <c r="R2451" t="s">
        <v>4227</v>
      </c>
    </row>
    <row r="2452" spans="1:18" x14ac:dyDescent="0.15">
      <c r="A2452" t="s">
        <v>3822</v>
      </c>
      <c r="B2452" s="61">
        <v>48792</v>
      </c>
      <c r="E2452" t="s">
        <v>355</v>
      </c>
      <c r="F2452" t="s">
        <v>385</v>
      </c>
      <c r="H2452" t="s">
        <v>4221</v>
      </c>
      <c r="I2452">
        <v>1800335</v>
      </c>
      <c r="J2452" t="s">
        <v>7287</v>
      </c>
      <c r="K2452" t="s">
        <v>3918</v>
      </c>
      <c r="L2452" t="s">
        <v>413</v>
      </c>
      <c r="N2452" t="s">
        <v>7288</v>
      </c>
      <c r="O2452" t="s">
        <v>7289</v>
      </c>
      <c r="R2452" t="s">
        <v>4228</v>
      </c>
    </row>
    <row r="2453" spans="1:18" x14ac:dyDescent="0.15">
      <c r="A2453" t="s">
        <v>3226</v>
      </c>
      <c r="B2453" s="61">
        <v>46722</v>
      </c>
      <c r="E2453" t="s">
        <v>355</v>
      </c>
      <c r="F2453" t="s">
        <v>356</v>
      </c>
      <c r="H2453" t="s">
        <v>365</v>
      </c>
      <c r="I2453">
        <v>2303820</v>
      </c>
      <c r="J2453" t="s">
        <v>995</v>
      </c>
      <c r="K2453" t="s">
        <v>7439</v>
      </c>
      <c r="L2453" t="s">
        <v>7440</v>
      </c>
      <c r="N2453" t="s">
        <v>7441</v>
      </c>
      <c r="O2453" t="s">
        <v>7442</v>
      </c>
      <c r="R2453" t="s">
        <v>362</v>
      </c>
    </row>
    <row r="2454" spans="1:18" x14ac:dyDescent="0.15">
      <c r="A2454" t="s">
        <v>3226</v>
      </c>
      <c r="B2454" s="61">
        <v>48183</v>
      </c>
      <c r="E2454" t="s">
        <v>355</v>
      </c>
      <c r="F2454" t="s">
        <v>385</v>
      </c>
      <c r="H2454" t="s">
        <v>365</v>
      </c>
      <c r="I2454">
        <v>2303820</v>
      </c>
      <c r="J2454" t="s">
        <v>995</v>
      </c>
      <c r="K2454" t="s">
        <v>7439</v>
      </c>
      <c r="L2454" t="s">
        <v>7440</v>
      </c>
      <c r="N2454" t="s">
        <v>7441</v>
      </c>
      <c r="O2454" t="s">
        <v>7442</v>
      </c>
      <c r="R2454" t="s">
        <v>395</v>
      </c>
    </row>
    <row r="2455" spans="1:18" x14ac:dyDescent="0.15">
      <c r="A2455" t="s">
        <v>1524</v>
      </c>
      <c r="B2455" s="61">
        <v>47392</v>
      </c>
      <c r="E2455" t="s">
        <v>355</v>
      </c>
      <c r="F2455" t="s">
        <v>356</v>
      </c>
      <c r="H2455" t="s">
        <v>365</v>
      </c>
      <c r="I2455">
        <v>2500833</v>
      </c>
      <c r="J2455" t="s">
        <v>7604</v>
      </c>
      <c r="K2455" t="s">
        <v>1445</v>
      </c>
      <c r="L2455" t="s">
        <v>390</v>
      </c>
      <c r="N2455" t="s">
        <v>7605</v>
      </c>
      <c r="O2455" t="s">
        <v>7606</v>
      </c>
      <c r="R2455" t="s">
        <v>362</v>
      </c>
    </row>
    <row r="2456" spans="1:18" x14ac:dyDescent="0.15">
      <c r="A2456" t="s">
        <v>1524</v>
      </c>
      <c r="B2456" s="61">
        <v>48853</v>
      </c>
      <c r="E2456" t="s">
        <v>355</v>
      </c>
      <c r="F2456" t="s">
        <v>385</v>
      </c>
      <c r="H2456" t="s">
        <v>365</v>
      </c>
      <c r="I2456">
        <v>2500833</v>
      </c>
      <c r="J2456" t="s">
        <v>7604</v>
      </c>
      <c r="K2456" t="s">
        <v>1445</v>
      </c>
      <c r="L2456" t="s">
        <v>390</v>
      </c>
      <c r="N2456" t="s">
        <v>7605</v>
      </c>
      <c r="O2456" t="s">
        <v>7606</v>
      </c>
      <c r="R2456" t="s">
        <v>395</v>
      </c>
    </row>
    <row r="2457" spans="1:18" x14ac:dyDescent="0.15">
      <c r="A2457" t="s">
        <v>6252</v>
      </c>
      <c r="B2457" s="61">
        <v>47178</v>
      </c>
      <c r="E2457" t="s">
        <v>355</v>
      </c>
      <c r="F2457" t="s">
        <v>356</v>
      </c>
      <c r="H2457" t="s">
        <v>365</v>
      </c>
      <c r="I2457">
        <v>3300650</v>
      </c>
      <c r="J2457" t="s">
        <v>3825</v>
      </c>
      <c r="K2457" t="s">
        <v>6259</v>
      </c>
      <c r="L2457" t="s">
        <v>6260</v>
      </c>
      <c r="N2457" t="s">
        <v>7607</v>
      </c>
      <c r="O2457" t="s">
        <v>6261</v>
      </c>
      <c r="R2457" t="s">
        <v>362</v>
      </c>
    </row>
    <row r="2458" spans="1:18" x14ac:dyDescent="0.15">
      <c r="A2458" t="s">
        <v>6252</v>
      </c>
      <c r="B2458" s="61">
        <v>48639</v>
      </c>
      <c r="E2458" t="s">
        <v>355</v>
      </c>
      <c r="F2458" t="s">
        <v>385</v>
      </c>
      <c r="H2458" t="s">
        <v>365</v>
      </c>
      <c r="I2458">
        <v>3300650</v>
      </c>
      <c r="J2458" t="s">
        <v>3825</v>
      </c>
      <c r="K2458" t="s">
        <v>6259</v>
      </c>
      <c r="L2458" t="s">
        <v>6260</v>
      </c>
      <c r="N2458" t="s">
        <v>7607</v>
      </c>
      <c r="O2458" t="s">
        <v>6261</v>
      </c>
      <c r="R2458" t="s">
        <v>395</v>
      </c>
    </row>
    <row r="2459" spans="1:18" x14ac:dyDescent="0.15">
      <c r="A2459" t="s">
        <v>2693</v>
      </c>
      <c r="B2459" s="61">
        <v>47239</v>
      </c>
      <c r="E2459" t="s">
        <v>355</v>
      </c>
      <c r="F2459" t="s">
        <v>356</v>
      </c>
      <c r="H2459" t="s">
        <v>365</v>
      </c>
      <c r="I2459">
        <v>2303877</v>
      </c>
      <c r="J2459" t="s">
        <v>7608</v>
      </c>
      <c r="K2459" t="s">
        <v>1542</v>
      </c>
      <c r="L2459" t="s">
        <v>390</v>
      </c>
      <c r="N2459" t="s">
        <v>7609</v>
      </c>
      <c r="O2459" t="s">
        <v>7610</v>
      </c>
      <c r="R2459" t="s">
        <v>362</v>
      </c>
    </row>
    <row r="2460" spans="1:18" x14ac:dyDescent="0.15">
      <c r="A2460" t="s">
        <v>2693</v>
      </c>
      <c r="B2460" s="61">
        <v>48700</v>
      </c>
      <c r="E2460" t="s">
        <v>355</v>
      </c>
      <c r="F2460" t="s">
        <v>385</v>
      </c>
      <c r="H2460" t="s">
        <v>365</v>
      </c>
      <c r="I2460">
        <v>2303877</v>
      </c>
      <c r="J2460" t="s">
        <v>7608</v>
      </c>
      <c r="K2460" t="s">
        <v>1542</v>
      </c>
      <c r="L2460" t="s">
        <v>390</v>
      </c>
      <c r="N2460" t="s">
        <v>7609</v>
      </c>
      <c r="O2460" t="s">
        <v>7610</v>
      </c>
      <c r="R2460" t="s">
        <v>395</v>
      </c>
    </row>
    <row r="2461" spans="1:18" x14ac:dyDescent="0.15">
      <c r="A2461" t="s">
        <v>3617</v>
      </c>
      <c r="B2461" s="61">
        <v>47088</v>
      </c>
      <c r="E2461" t="s">
        <v>355</v>
      </c>
      <c r="F2461" t="s">
        <v>385</v>
      </c>
      <c r="H2461" t="s">
        <v>365</v>
      </c>
      <c r="I2461">
        <v>4000989</v>
      </c>
      <c r="J2461" t="s">
        <v>979</v>
      </c>
      <c r="K2461" t="s">
        <v>7426</v>
      </c>
      <c r="L2461" t="s">
        <v>7427</v>
      </c>
      <c r="N2461" t="s">
        <v>7430</v>
      </c>
      <c r="O2461" t="s">
        <v>7429</v>
      </c>
      <c r="R2461" t="s">
        <v>395</v>
      </c>
    </row>
    <row r="2462" spans="1:18" x14ac:dyDescent="0.15">
      <c r="A2462" t="s">
        <v>6263</v>
      </c>
      <c r="B2462" s="61">
        <v>47453</v>
      </c>
      <c r="E2462" t="s">
        <v>355</v>
      </c>
      <c r="F2462" t="s">
        <v>356</v>
      </c>
      <c r="H2462" t="s">
        <v>365</v>
      </c>
      <c r="I2462">
        <v>3300462</v>
      </c>
      <c r="J2462" t="s">
        <v>3598</v>
      </c>
      <c r="K2462" t="s">
        <v>1914</v>
      </c>
      <c r="L2462" t="s">
        <v>5387</v>
      </c>
      <c r="N2462" t="s">
        <v>7546</v>
      </c>
      <c r="O2462" t="s">
        <v>5389</v>
      </c>
      <c r="R2462" t="s">
        <v>362</v>
      </c>
    </row>
    <row r="2463" spans="1:18" x14ac:dyDescent="0.15">
      <c r="A2463" t="s">
        <v>6263</v>
      </c>
      <c r="B2463" s="61">
        <v>48914</v>
      </c>
      <c r="E2463" t="s">
        <v>355</v>
      </c>
      <c r="F2463" t="s">
        <v>385</v>
      </c>
      <c r="H2463" t="s">
        <v>365</v>
      </c>
      <c r="I2463">
        <v>3300462</v>
      </c>
      <c r="J2463" t="s">
        <v>3598</v>
      </c>
      <c r="K2463" t="s">
        <v>1914</v>
      </c>
      <c r="L2463" t="s">
        <v>5387</v>
      </c>
      <c r="N2463" t="s">
        <v>7546</v>
      </c>
      <c r="O2463" t="s">
        <v>5389</v>
      </c>
      <c r="R2463" t="s">
        <v>395</v>
      </c>
    </row>
    <row r="2464" spans="1:18" x14ac:dyDescent="0.15">
      <c r="A2464" t="s">
        <v>1390</v>
      </c>
      <c r="B2464" s="61">
        <v>47209</v>
      </c>
      <c r="E2464" t="s">
        <v>355</v>
      </c>
      <c r="F2464" t="s">
        <v>356</v>
      </c>
      <c r="H2464" t="s">
        <v>365</v>
      </c>
      <c r="I2464">
        <v>1900053</v>
      </c>
      <c r="J2464" t="s">
        <v>1391</v>
      </c>
      <c r="K2464" t="s">
        <v>7611</v>
      </c>
      <c r="L2464" t="s">
        <v>7612</v>
      </c>
      <c r="N2464" t="s">
        <v>7613</v>
      </c>
      <c r="O2464" t="s">
        <v>7614</v>
      </c>
      <c r="R2464" t="s">
        <v>362</v>
      </c>
    </row>
    <row r="2465" spans="1:18" x14ac:dyDescent="0.15">
      <c r="A2465" t="s">
        <v>1390</v>
      </c>
      <c r="B2465" s="61">
        <v>48670</v>
      </c>
      <c r="E2465" t="s">
        <v>355</v>
      </c>
      <c r="F2465" t="s">
        <v>385</v>
      </c>
      <c r="H2465" t="s">
        <v>365</v>
      </c>
      <c r="I2465">
        <v>1900053</v>
      </c>
      <c r="J2465" t="s">
        <v>1391</v>
      </c>
      <c r="K2465" t="s">
        <v>7611</v>
      </c>
      <c r="L2465" t="s">
        <v>7612</v>
      </c>
      <c r="N2465" t="s">
        <v>7613</v>
      </c>
      <c r="O2465" t="s">
        <v>7614</v>
      </c>
      <c r="R2465" t="s">
        <v>395</v>
      </c>
    </row>
    <row r="2466" spans="1:18" x14ac:dyDescent="0.15">
      <c r="A2466" t="s">
        <v>3349</v>
      </c>
      <c r="B2466" s="61">
        <v>47331</v>
      </c>
      <c r="E2466" t="s">
        <v>355</v>
      </c>
      <c r="F2466" t="s">
        <v>356</v>
      </c>
      <c r="H2466" t="s">
        <v>365</v>
      </c>
      <c r="I2466">
        <v>1600704</v>
      </c>
      <c r="J2466" t="s">
        <v>3350</v>
      </c>
      <c r="K2466" t="s">
        <v>3351</v>
      </c>
      <c r="L2466" t="s">
        <v>7615</v>
      </c>
      <c r="N2466" t="s">
        <v>7616</v>
      </c>
      <c r="O2466" t="s">
        <v>7617</v>
      </c>
      <c r="R2466" t="s">
        <v>362</v>
      </c>
    </row>
    <row r="2467" spans="1:18" x14ac:dyDescent="0.15">
      <c r="A2467" t="s">
        <v>3349</v>
      </c>
      <c r="B2467" s="61">
        <v>48792</v>
      </c>
      <c r="E2467" t="s">
        <v>355</v>
      </c>
      <c r="F2467" t="s">
        <v>385</v>
      </c>
      <c r="H2467" t="s">
        <v>365</v>
      </c>
      <c r="I2467">
        <v>1600704</v>
      </c>
      <c r="J2467" t="s">
        <v>3350</v>
      </c>
      <c r="K2467" t="s">
        <v>3351</v>
      </c>
      <c r="L2467" t="s">
        <v>7615</v>
      </c>
      <c r="N2467" t="s">
        <v>7616</v>
      </c>
      <c r="O2467" t="s">
        <v>7617</v>
      </c>
      <c r="R2467" t="s">
        <v>395</v>
      </c>
    </row>
    <row r="2468" spans="1:18" x14ac:dyDescent="0.15">
      <c r="A2468" t="s">
        <v>1860</v>
      </c>
      <c r="B2468" s="61">
        <v>47270</v>
      </c>
      <c r="E2468" t="s">
        <v>355</v>
      </c>
      <c r="F2468" t="s">
        <v>969</v>
      </c>
      <c r="H2468" t="s">
        <v>365</v>
      </c>
      <c r="I2468">
        <v>800012</v>
      </c>
      <c r="J2468" t="s">
        <v>7380</v>
      </c>
      <c r="K2468" t="s">
        <v>1868</v>
      </c>
      <c r="L2468" t="s">
        <v>512</v>
      </c>
      <c r="N2468" t="s">
        <v>7618</v>
      </c>
      <c r="O2468" t="s">
        <v>7382</v>
      </c>
      <c r="R2468" t="s">
        <v>362</v>
      </c>
    </row>
    <row r="2469" spans="1:18" x14ac:dyDescent="0.15">
      <c r="A2469" t="s">
        <v>1860</v>
      </c>
      <c r="B2469" s="61">
        <v>48731</v>
      </c>
      <c r="E2469" t="s">
        <v>355</v>
      </c>
      <c r="F2469" t="s">
        <v>969</v>
      </c>
      <c r="H2469" t="s">
        <v>365</v>
      </c>
      <c r="I2469">
        <v>800012</v>
      </c>
      <c r="J2469" t="s">
        <v>7380</v>
      </c>
      <c r="K2469" t="s">
        <v>1868</v>
      </c>
      <c r="L2469" t="s">
        <v>512</v>
      </c>
      <c r="N2469" t="s">
        <v>7618</v>
      </c>
      <c r="O2469" t="s">
        <v>7382</v>
      </c>
      <c r="R2469" t="s">
        <v>395</v>
      </c>
    </row>
    <row r="2470" spans="1:18" x14ac:dyDescent="0.15">
      <c r="A2470" t="s">
        <v>3349</v>
      </c>
      <c r="B2470" s="61">
        <v>47088</v>
      </c>
      <c r="E2470" t="s">
        <v>355</v>
      </c>
      <c r="F2470" t="s">
        <v>356</v>
      </c>
      <c r="H2470" t="s">
        <v>365</v>
      </c>
      <c r="I2470">
        <v>1600700</v>
      </c>
      <c r="J2470" t="s">
        <v>3350</v>
      </c>
      <c r="K2470" t="s">
        <v>3351</v>
      </c>
      <c r="L2470" t="s">
        <v>7619</v>
      </c>
      <c r="N2470" t="s">
        <v>7620</v>
      </c>
      <c r="O2470" t="s">
        <v>7621</v>
      </c>
      <c r="R2470" t="s">
        <v>362</v>
      </c>
    </row>
    <row r="2471" spans="1:18" x14ac:dyDescent="0.15">
      <c r="A2471" t="s">
        <v>3349</v>
      </c>
      <c r="B2471" s="61">
        <v>48549</v>
      </c>
      <c r="E2471" t="s">
        <v>355</v>
      </c>
      <c r="F2471" t="s">
        <v>385</v>
      </c>
      <c r="H2471" t="s">
        <v>365</v>
      </c>
      <c r="I2471">
        <v>1600700</v>
      </c>
      <c r="J2471" t="s">
        <v>3350</v>
      </c>
      <c r="K2471" t="s">
        <v>3351</v>
      </c>
      <c r="L2471" t="s">
        <v>7619</v>
      </c>
      <c r="N2471" t="s">
        <v>7620</v>
      </c>
      <c r="O2471" t="s">
        <v>7621</v>
      </c>
      <c r="R2471" t="s">
        <v>395</v>
      </c>
    </row>
    <row r="2472" spans="1:18" x14ac:dyDescent="0.15">
      <c r="A2472" t="s">
        <v>3432</v>
      </c>
      <c r="B2472" s="61">
        <v>46905</v>
      </c>
      <c r="E2472" t="s">
        <v>355</v>
      </c>
      <c r="F2472" t="s">
        <v>356</v>
      </c>
      <c r="H2472" t="s">
        <v>365</v>
      </c>
      <c r="I2472">
        <v>2200417</v>
      </c>
      <c r="J2472" t="s">
        <v>7622</v>
      </c>
      <c r="K2472" t="s">
        <v>7623</v>
      </c>
      <c r="L2472" t="s">
        <v>390</v>
      </c>
      <c r="N2472" t="s">
        <v>7624</v>
      </c>
      <c r="O2472" t="s">
        <v>7625</v>
      </c>
      <c r="R2472" t="s">
        <v>362</v>
      </c>
    </row>
    <row r="2473" spans="1:18" x14ac:dyDescent="0.15">
      <c r="A2473" t="s">
        <v>3432</v>
      </c>
      <c r="B2473" s="61">
        <v>48366</v>
      </c>
      <c r="E2473" t="s">
        <v>355</v>
      </c>
      <c r="F2473" t="s">
        <v>385</v>
      </c>
      <c r="H2473" t="s">
        <v>365</v>
      </c>
      <c r="I2473">
        <v>2200417</v>
      </c>
      <c r="J2473" t="s">
        <v>7622</v>
      </c>
      <c r="K2473" t="s">
        <v>7623</v>
      </c>
      <c r="L2473" t="s">
        <v>390</v>
      </c>
      <c r="N2473" t="s">
        <v>7624</v>
      </c>
      <c r="O2473" t="s">
        <v>7625</v>
      </c>
      <c r="R2473" t="s">
        <v>395</v>
      </c>
    </row>
    <row r="2474" spans="1:18" x14ac:dyDescent="0.15">
      <c r="A2474" t="s">
        <v>1354</v>
      </c>
      <c r="B2474" s="61">
        <v>47300</v>
      </c>
      <c r="E2474" t="s">
        <v>355</v>
      </c>
      <c r="F2474" t="s">
        <v>356</v>
      </c>
      <c r="H2474" t="s">
        <v>365</v>
      </c>
      <c r="I2474">
        <v>3200036</v>
      </c>
      <c r="J2474" t="s">
        <v>5991</v>
      </c>
      <c r="K2474" t="s">
        <v>5992</v>
      </c>
      <c r="L2474" t="s">
        <v>7626</v>
      </c>
      <c r="N2474" t="s">
        <v>7627</v>
      </c>
      <c r="O2474" t="s">
        <v>7628</v>
      </c>
      <c r="R2474" t="s">
        <v>362</v>
      </c>
    </row>
    <row r="2475" spans="1:18" x14ac:dyDescent="0.15">
      <c r="A2475" t="s">
        <v>1354</v>
      </c>
      <c r="B2475" s="61">
        <v>48761</v>
      </c>
      <c r="E2475" t="s">
        <v>355</v>
      </c>
      <c r="F2475" t="s">
        <v>385</v>
      </c>
      <c r="H2475" t="s">
        <v>365</v>
      </c>
      <c r="I2475">
        <v>3200036</v>
      </c>
      <c r="J2475" t="s">
        <v>5991</v>
      </c>
      <c r="K2475" t="s">
        <v>5992</v>
      </c>
      <c r="L2475" t="s">
        <v>7626</v>
      </c>
      <c r="N2475" t="s">
        <v>7627</v>
      </c>
      <c r="O2475" t="s">
        <v>7628</v>
      </c>
      <c r="R2475" t="s">
        <v>395</v>
      </c>
    </row>
    <row r="2476" spans="1:18" x14ac:dyDescent="0.15">
      <c r="A2476" t="s">
        <v>3483</v>
      </c>
      <c r="B2476" s="61">
        <v>47392</v>
      </c>
      <c r="E2476" t="s">
        <v>355</v>
      </c>
      <c r="F2476" t="s">
        <v>356</v>
      </c>
      <c r="H2476" t="s">
        <v>365</v>
      </c>
      <c r="I2476">
        <v>2302509</v>
      </c>
      <c r="J2476" t="s">
        <v>7629</v>
      </c>
      <c r="L2476" t="s">
        <v>698</v>
      </c>
      <c r="N2476" t="s">
        <v>7630</v>
      </c>
      <c r="O2476" t="s">
        <v>7631</v>
      </c>
      <c r="R2476" t="s">
        <v>362</v>
      </c>
    </row>
    <row r="2477" spans="1:18" x14ac:dyDescent="0.15">
      <c r="A2477" t="s">
        <v>3483</v>
      </c>
      <c r="B2477" s="61">
        <v>48853</v>
      </c>
      <c r="E2477" t="s">
        <v>355</v>
      </c>
      <c r="F2477" t="s">
        <v>385</v>
      </c>
      <c r="H2477" t="s">
        <v>365</v>
      </c>
      <c r="I2477">
        <v>2302509</v>
      </c>
      <c r="J2477" t="s">
        <v>7629</v>
      </c>
      <c r="L2477" t="s">
        <v>698</v>
      </c>
      <c r="N2477" t="s">
        <v>7630</v>
      </c>
      <c r="O2477" t="s">
        <v>7631</v>
      </c>
      <c r="R2477" t="s">
        <v>395</v>
      </c>
    </row>
    <row r="2478" spans="1:18" x14ac:dyDescent="0.15">
      <c r="A2478" t="s">
        <v>2456</v>
      </c>
      <c r="B2478" s="61">
        <v>47543</v>
      </c>
      <c r="E2478" t="s">
        <v>355</v>
      </c>
      <c r="F2478" t="s">
        <v>356</v>
      </c>
      <c r="H2478" t="s">
        <v>365</v>
      </c>
      <c r="I2478">
        <v>2202137</v>
      </c>
      <c r="J2478" t="s">
        <v>2481</v>
      </c>
      <c r="K2478" t="s">
        <v>2482</v>
      </c>
      <c r="L2478" t="s">
        <v>7632</v>
      </c>
      <c r="N2478" t="s">
        <v>7633</v>
      </c>
      <c r="O2478" t="s">
        <v>7634</v>
      </c>
      <c r="R2478" t="s">
        <v>362</v>
      </c>
    </row>
    <row r="2479" spans="1:18" x14ac:dyDescent="0.15">
      <c r="A2479" t="s">
        <v>2456</v>
      </c>
      <c r="B2479" s="61">
        <v>49004</v>
      </c>
      <c r="E2479" t="s">
        <v>355</v>
      </c>
      <c r="F2479" t="s">
        <v>385</v>
      </c>
      <c r="H2479" t="s">
        <v>365</v>
      </c>
      <c r="I2479">
        <v>2202137</v>
      </c>
      <c r="J2479" t="s">
        <v>2481</v>
      </c>
      <c r="K2479" t="s">
        <v>2482</v>
      </c>
      <c r="L2479" t="s">
        <v>7632</v>
      </c>
      <c r="N2479" t="s">
        <v>7633</v>
      </c>
      <c r="O2479" t="s">
        <v>7634</v>
      </c>
      <c r="R2479" t="s">
        <v>395</v>
      </c>
    </row>
    <row r="2480" spans="1:18" x14ac:dyDescent="0.15">
      <c r="A2480" t="s">
        <v>387</v>
      </c>
      <c r="B2480" s="61">
        <v>47178</v>
      </c>
      <c r="E2480" t="s">
        <v>355</v>
      </c>
      <c r="F2480" t="s">
        <v>356</v>
      </c>
      <c r="H2480" t="s">
        <v>365</v>
      </c>
      <c r="I2480">
        <v>801002</v>
      </c>
      <c r="J2480" t="s">
        <v>7635</v>
      </c>
      <c r="K2480" t="s">
        <v>5418</v>
      </c>
      <c r="L2480" t="s">
        <v>698</v>
      </c>
      <c r="N2480" t="s">
        <v>7636</v>
      </c>
      <c r="O2480" t="s">
        <v>7637</v>
      </c>
      <c r="R2480" t="s">
        <v>362</v>
      </c>
    </row>
    <row r="2481" spans="1:19" x14ac:dyDescent="0.15">
      <c r="A2481" t="s">
        <v>387</v>
      </c>
      <c r="B2481" s="61">
        <v>48639</v>
      </c>
      <c r="E2481" t="s">
        <v>355</v>
      </c>
      <c r="F2481" t="s">
        <v>385</v>
      </c>
      <c r="H2481" t="s">
        <v>365</v>
      </c>
      <c r="I2481">
        <v>801002</v>
      </c>
      <c r="J2481" t="s">
        <v>7635</v>
      </c>
      <c r="K2481" t="s">
        <v>5418</v>
      </c>
      <c r="L2481" t="s">
        <v>698</v>
      </c>
      <c r="N2481" t="s">
        <v>7636</v>
      </c>
      <c r="O2481" t="s">
        <v>7637</v>
      </c>
      <c r="R2481" t="s">
        <v>395</v>
      </c>
    </row>
    <row r="2482" spans="1:19" ht="409.5" x14ac:dyDescent="0.15">
      <c r="A2482" t="s">
        <v>1145</v>
      </c>
      <c r="B2482" s="61">
        <v>46235</v>
      </c>
      <c r="E2482" t="s">
        <v>355</v>
      </c>
      <c r="F2482" t="s">
        <v>351</v>
      </c>
      <c r="G2482" t="s">
        <v>354</v>
      </c>
      <c r="H2482" t="s">
        <v>686</v>
      </c>
      <c r="I2482">
        <v>100908</v>
      </c>
      <c r="J2482" t="s">
        <v>4718</v>
      </c>
      <c r="K2482" t="s">
        <v>4719</v>
      </c>
      <c r="L2482" t="s">
        <v>7666</v>
      </c>
      <c r="N2482">
        <v>2189043</v>
      </c>
      <c r="O2482" t="s">
        <v>7667</v>
      </c>
      <c r="S2482" s="34" t="s">
        <v>7669</v>
      </c>
    </row>
    <row r="2483" spans="1:19" ht="409.5" x14ac:dyDescent="0.15">
      <c r="A2483" t="s">
        <v>1145</v>
      </c>
      <c r="B2483" s="61">
        <v>46296</v>
      </c>
      <c r="E2483" t="s">
        <v>355</v>
      </c>
      <c r="F2483" t="s">
        <v>351</v>
      </c>
      <c r="G2483" t="s">
        <v>354</v>
      </c>
      <c r="H2483" t="s">
        <v>353</v>
      </c>
      <c r="I2483">
        <v>100908</v>
      </c>
      <c r="J2483" t="s">
        <v>4718</v>
      </c>
      <c r="K2483" t="s">
        <v>4719</v>
      </c>
      <c r="L2483" t="s">
        <v>7666</v>
      </c>
      <c r="N2483" t="s">
        <v>7670</v>
      </c>
      <c r="O2483" t="s">
        <v>7667</v>
      </c>
      <c r="S2483" s="34" t="s">
        <v>7671</v>
      </c>
    </row>
    <row r="2484" spans="1:19" ht="351" x14ac:dyDescent="0.15">
      <c r="A2484" t="s">
        <v>1145</v>
      </c>
      <c r="B2484" s="61">
        <v>46296</v>
      </c>
      <c r="E2484" t="s">
        <v>355</v>
      </c>
      <c r="F2484" t="s">
        <v>351</v>
      </c>
      <c r="G2484" t="s">
        <v>354</v>
      </c>
      <c r="H2484" t="s">
        <v>686</v>
      </c>
      <c r="I2484">
        <v>100908</v>
      </c>
      <c r="J2484" t="s">
        <v>4718</v>
      </c>
      <c r="K2484" t="s">
        <v>4719</v>
      </c>
      <c r="L2484" t="s">
        <v>7666</v>
      </c>
      <c r="N2484">
        <v>2189043</v>
      </c>
      <c r="O2484" t="s">
        <v>7667</v>
      </c>
      <c r="S2484" s="34" t="s">
        <v>7668</v>
      </c>
    </row>
    <row r="2485" spans="1:19" ht="351" x14ac:dyDescent="0.15">
      <c r="A2485" t="s">
        <v>1145</v>
      </c>
      <c r="B2485" s="61">
        <v>46357</v>
      </c>
      <c r="E2485" t="s">
        <v>355</v>
      </c>
      <c r="F2485" t="s">
        <v>351</v>
      </c>
      <c r="G2485" t="s">
        <v>354</v>
      </c>
      <c r="H2485" t="s">
        <v>686</v>
      </c>
      <c r="I2485">
        <v>100908</v>
      </c>
      <c r="J2485" t="s">
        <v>4718</v>
      </c>
      <c r="K2485" t="s">
        <v>4719</v>
      </c>
      <c r="L2485" t="s">
        <v>7666</v>
      </c>
      <c r="N2485">
        <v>2189043</v>
      </c>
      <c r="O2485" t="s">
        <v>7667</v>
      </c>
      <c r="S2485" s="34" t="s">
        <v>7668</v>
      </c>
    </row>
  </sheetData>
  <phoneticPr fontId="1"/>
  <pageMargins left="0.75" right="0.75" top="1" bottom="1" header="0.5" footer="0.5"/>
</worksheet>
</file>

<file path=xl/worksheets/sheet15.xml><?xml version="1.0" encoding="utf-8"?>
<worksheet xmlns="http://schemas.openxmlformats.org/spreadsheetml/2006/main">
  <sheetPr codeName="McmSqlStore"/>
  <dimension ref="A1:E8"/>
  <sheetViews>
    <sheetView workbookViewId="0"/>
  </sheetViews>
  <sheetData>
    <row r="1">
      <c r="A1" t="inlineStr">
        <is>
          <t xml:space="preserve">MCM_EMBEDDED_SQL_V1</t>
        </is>
      </c>
    </row>
    <row r="2">
      <c r="A2" t="inlineStr">
        <is>
          <t xml:space="preserve">Key</t>
        </is>
      </c>
      <c r="B2" t="inlineStr">
        <is>
          <t xml:space="preserve">Part</t>
        </is>
      </c>
      <c r="C2" t="inlineStr">
        <is>
          <t xml:space="preserve">Count</t>
        </is>
      </c>
      <c r="D2" t="inlineStr">
        <is>
          <t xml:space="preserve">Length</t>
        </is>
      </c>
      <c r="E2" t="inlineStr">
        <is>
          <t xml:space="preserve">Text</t>
        </is>
      </c>
    </row>
    <row r="3">
      <c r="A3" t="inlineStr">
        <is>
          <t xml:space="preserve">payment-batch-dates.sql</t>
        </is>
      </c>
      <c r="B3">
        <v>1</v>
      </c>
      <c r="C3">
        <v>1</v>
      </c>
      <c r="D3">
        <v>234</v>
      </c>
      <c r="E3" t="inlineStr">
        <is>
          <t xml:space="preserve">SELECT J.TK_KIKAN_ID,K.TSUKI FROM MCM.MCM_TK_SIHARAI J
JOIN MCM.MCM_TK_SIHARAIMEISAI K ON K.TK_SIHARAI_ID=J.TK_SIHARAI_ID
WHERE J.TK_KIKAN_ID IN (/*MCM_PERIOD_IDS*/)
AND K.ON_FLG=1 AND K.OFF_FLG=0 AND K.TSUKI&gt;=@p901 AND K.TSUKI&lt;@p902
</t>
        </is>
      </c>
    </row>
    <row r="4">
      <c r="A4" t="inlineStr">
        <is>
          <t xml:space="preserve">payment-batch-rates.sql</t>
        </is>
      </c>
      <c r="B4">
        <v>1</v>
      </c>
      <c r="C4">
        <v>1</v>
      </c>
      <c r="D4">
        <v>480</v>
      </c>
      <c r="E4" t="inlineStr">
        <is>
          <t xml:space="preserve">SELECT P.TK_KIKAN_ID,G.KAISI_DT,G.SYURYO_DT,G.SIKIRIGOKEI_KIN
FROM (VALUES /*MCM_PERIOD_VALUES*/) AS P(TK_KIKAN_ID)
CROSS JOIN MCM.MCM_TM_KIKAN G
WHERE G.SIKIRIGOKEI_KIN&gt;0 AND EXISTS (
SELECT 1 FROM MCM.MCM_TK_KIKIKOSEI C
JOIN MCM.MCM_TK_KIKIMEISAI D ON D.TK_KIKIKOSEI_ID=C.TK_KIKIKOSEI_ID
JOIN MCM.MCM_TK_TANKA F ON F.TK_KIKIMEISAI_ID=D.TK_KIKIMEISAI_ID
JOIN MCM.MCM_TM_TANKA MF ON MF.TM_TANKA_ID=F.TM_TANKA_ID
WHERE C.TK_KIKAN_ID=P.TK_KIKAN_ID AND MF.TM_KIKAN_ID=G.TM_KIKAN_ID)
</t>
        </is>
      </c>
    </row>
    <row r="5">
      <c r="A5" t="inlineStr">
        <is>
          <t xml:space="preserve">payment-dates.sql</t>
        </is>
      </c>
      <c r="B5">
        <v>1</v>
      </c>
      <c r="C5">
        <v>1</v>
      </c>
      <c r="D5">
        <v>201</v>
      </c>
      <c r="E5" t="inlineStr">
        <is>
          <t xml:space="preserve">SELECT K.TSUKI FROM MCM.MCM_TK_SIHARAI J
JOIN MCM.MCM_TK_SIHARAIMEISAI K ON K.TK_SIHARAI_ID=J.TK_SIHARAI_ID
WHERE J.TK_KIKAN_ID=@p901 AND K.ON_FLG=1 AND K.OFF_FLG=0 AND K.TSUKI&gt;=@p902 AND K.TSUKI&lt;@p903</t>
        </is>
      </c>
    </row>
    <row r="6">
      <c r="A6" t="inlineStr">
        <is>
          <t xml:space="preserve">payment-rates.sql</t>
        </is>
      </c>
      <c r="B6">
        <v>1</v>
      </c>
      <c r="C6">
        <v>1</v>
      </c>
      <c r="D6">
        <v>397</v>
      </c>
      <c r="E6" t="inlineStr">
        <is>
          <t xml:space="preserve">SELECT G.KAISI_DT,G.SYURYO_DT,G.SIKIRIGOKEI_KIN
FROM MCM.MCM_TM_KIKAN G WHERE G.SIKIRIGOKEI_KIN&gt;0 AND EXISTS (
SELECT 1 FROM MCM.MCM_TK_KIKIKOSEI C
JOIN MCM.MCM_TK_KIKIMEISAI D ON D.TK_KIKIKOSEI_ID=C.TK_KIKIKOSEI_ID
JOIN MCM.MCM_TK_TANKA F ON F.TK_KIKIMEISAI_ID=D.TK_KIKIMEISAI_ID
JOIN MCM.MCM_TM_TANKA MF ON MF.TM_TANKA_ID=F.TM_TANKA_ID
WHERE C.TK_KIKAN_ID=@p901 AND MF.TM_KIKAN_ID=G.TM_KIKAN_ID)</t>
        </is>
      </c>
    </row>
    <row r="7">
      <c r="A7" t="inlineStr">
        <is>
          <t xml:space="preserve">queries/T22_00_default_01.sql</t>
        </is>
      </c>
      <c r="B7">
        <v>1</v>
      </c>
      <c r="C7">
        <v>2</v>
      </c>
      <c r="D7">
        <v>8041</v>
      </c>
      <c r="E7" t="inlineStr">
        <is>
          <t xml:space="preserve">SELECT
  CASE
    WHEN TKA.JOTAI = N'0'
    THEN N'依頼'
    WHEN TKA.JOTAI = N'1'
    THEN N'見積'
    WHEN TKA.JOTAI = N'2'
    THEN N'契約'
    WHEN TKA.JOTAI = N'3'
    THEN N'破棄'
    WHEN TKA.JOTAI = N'4'
    THEN N'解約'
    WHEN TKA.JOTAI = N'9'
    THEN N'作成中'
    ELSE NULL
  END AS C001,
  CASE
    WHEN (
      CASE
        WHEN DATALENGTH(CAST(CAST(TKB1.SUPPORT_ID AS NVARCHAR(MAX)) AS NVARCHAR(MAX))) = 0
        THEN NULL
        ELSE CAST(CAST(TKB1.SUPPORT_ID AS NVARCHAR(MAX)) AS NVARCHAR(MAX))
      END
    ) IS NULL
    THEN NULL
    WHEN (
      LEN(
        CONCAT(
          (
            CASE
              WHEN DATALENGTH(CAST(CAST(TKB1.SUPPORT_ID AS NVARCHAR(MAX)) AS NVARCHAR(MAX))) = 0
              THEN NULL
              ELSE CAST(CAST(TKB1.SUPPORT_ID AS NVARCHAR(MAX)) AS NVARCHAR(MAX))
            END
          ),
          N'#'
        )
      ) - 1
    ) &gt;= 7
    THEN LEFT(
      (
        CASE
          WHEN DATALENGTH(CAST(CAST(TKB1.SUPPORT_ID AS NVARCHAR(MAX)) AS NVARCHAR(MAX))) = 0
          THEN NULL
          ELSE CAST(CAST(TKB1.SUPPORT_ID AS NVARCHAR(MAX)) AS NVARCHAR(MAX))
        END
      ),
      7
    )
    ELSE CONCAT(
      LEFT(
        REPLICATE(N'0', 7),
        7 - (
          LEN(
            CONCAT(
              (
                CASE
                  WHEN DATALENGTH(CAST(CAST(TKB1.SUPPORT_ID AS NVARCHAR(MAX)) AS NVARCHAR(MAX))) = 0
                  THEN NULL
                  ELSE CAST(CAST(TKB1.SUPPORT_ID AS NVARCHAR(MAX)) AS NVARCHAR(MAX))
                END
              ),
              N'#'
            )
          ) - 1
        )
      ),
      (
        CASE
          WHEN DATALENGTH(CAST(CAST(TKB1.SUPPORT_ID AS NVARCHAR(MAX)) AS NVARCHAR(MAX))) = 0
          THEN NULL
          ELSE CAST(CAST(TKB1.SUPPORT_ID AS NVARCHAR(MAX)) AS NVARCHAR(MAX))
        END
      )
    )
  END AS C002,
  CASE
    WHEN TKD.SEIZOMAKER_ID = N'86'
    THEN N'NEC'
    WHEN TKD.SEIZOMAKER_ID = N'105'
    THEN N'サトー'
    WHEN TKD.SEIZOMAKER_ID = N'54'
    THEN N'日立'
    WHEN TKD.SEIZOMAKER_ID = N'120'
    THEN N'東芝'
    WHEN TKD.SEIZOMAKER_ID = N'48'
    THEN N'PFU'
    WHEN TKD.SEIZOMAKER_ID = N'58'
    THEN N'IBM'
    WHEN TKD.SEIZOMAKER_ID = N'191'
    THEN N'イシダ'
    ELSE NULL
  END AS C003,
  TKB1.NONYUSAKI_NK AS C004,
  CONCAT(CAST(N'' AS NVARCHAR(MAX)), TKB1.NONYUSAKIJUSYO1_NK, TKB1.NONYUSAKIJUSYO2_NK) AS C005,
  MAD.BRANDSYOSAI_NK AS C006,
  MAE.KIKIKOSEI_NK AS C007,
  MAF.KIKIHINMEI_NK AS C008,
  MAF.KIKIKATASHIKI AS C009,
  MAG.SERIAL_NO AS C010,
  MAG.KOTAI_NK AS C011,
  TKA.KEIYAKU_NO AS C012,
  CONCAT(
    CAST(N'' AS NVARCHAR(MAX)),
    CASE
      WHEN (
        CASE
          WHEN DATALENGTH(CAST(CAST(TKD.KIKIMEISAI_ID AS NVARCHAR(MAX)) AS NVARCHAR(MAX))) = 0
          THEN NULL
          ELSE CAST(CAST(TKD.KIKIMEISAI_ID AS NVARCHAR(MAX)) AS NVARCHAR(MAX))
        END
      ) IS NULL
      THEN NULL
      WHEN (
        LEN(
          CONCAT(
            (
              CASE
                WHEN DATALENGTH(CAST(CAST(TKD.KIKIMEISAI_ID AS NVARCHAR(MAX)) AS NVARCHAR(MAX))) = 0
                THEN NULL
                ELSE CAST(CAST(TKD.KIKIMEISAI_ID AS NVARCHAR(MAX)) AS NVARCHAR(MAX))
              END
            ),
            N'#'
          )
        ) - 1
      ) &gt;= 8
      THEN LEFT(
        (
          CASE
            WHEN DATALENGTH(CAST(CAST(TKD.KIKIMEISAI_ID AS NVARCHAR(MAX)) AS NVARCHAR(MAX))) = 0
            THEN NULL
            ELSE CAST(CAST(TKD.KIKIMEISAI_ID AS NVARCHAR(MAX)) AS NVARCHAR(MAX))
          END
        ),
        8
      )
      ELSE CONCAT(
        LEFT(
          REPLICATE(N'0', 8),
          8 - (
            LEN(
              CONCAT(
                (
                  CASE
                    WHEN DATALENGTH(CAST(CAST(TKD.KIKIMEISAI_ID AS NVARCHAR(MAX)) AS NVARCHAR(MAX))) = 0
                    THEN NULL
                    ELSE CAST(CAST(TKD.KIKIMEISAI_ID AS NVARCHAR(MAX)) AS NVARCHAR(MAX))
                  END
                ),
                N'#'
              )
            ) - 1
          )
        ),
        (
          CASE
            WHEN DATALENGTH(CAST(CAST(TKD.KIKIMEISAI_ID AS NVARCHAR(MAX)) AS NVARCHAR(MAX))) = 0
            THEN NULL
            ELSE CAST(CAST(TKD.KIKIMEISAI_ID AS NVARCHAR(MAX)) AS NVARCHAR(MAX))
          END
        )
      )
    END,
    N' / ',
    CASE
      WHEN (
        CASE
          WHEN DATALENGTH(CAST(CAST(TKE.KOTAIKANRI_ID AS NVARCHAR(MAX)) AS NVARCHAR(MAX))) = 0
          THEN NULL
          ELSE CAST(CAST(TKE.KOTAIKANRI_ID AS NVARCHAR(MAX)) AS NVARCHAR(MAX))
        END
      ) IS NULL
      THEN NULL
      WHEN (
        LEN(
          CONCAT(
            (
              CASE
                WHEN DATALENGTH(CAST(CAST(TKE.KOTAIKANRI_ID AS NVARCHAR(MAX)) AS NVARCHAR(MAX))) = 0
                THEN NULL
                ELSE CAST(CAST(TKE.KOTAIKANRI_ID AS NVARCHAR(MAX)) AS NVARCHAR(MAX))
              END
            ),
            N'#'
          )
        ) - 1
      ) &gt;= 8
      THEN LEFT(
        (
          CASE
            WHEN DATALENGTH(CAST(CAST(TKE.KOTAIKANRI_ID AS NVARCHAR(MAX)) AS NVARCHAR(MAX))) = 0
            THEN NULL
            ELSE CAST(CAST(TKE.KOTAIKANRI_ID AS NVARCHAR(MAX)) AS NVARCHAR(MAX))
          END
        ),
        8
      )
      ELSE CONCAT(
        LEFT(
          REPLICATE(N'0', 8),
          8 - (
            LEN(
              CONCAT(
                (
                  CASE
                    WHEN DATALENGTH(CAST(CAST(TKE.KOTAIKANRI_ID AS NVARCHAR(MAX)) AS NVARCHAR(MAX))) = 0
                    THEN NULL
                    ELSE CAST(CAST(TKE.KOTAIKANRI_ID AS NVARCHAR(MAX)) AS NVARCHAR(MAX))
                  END
                ),
                N'#'
              )
            ) - 1
          )
        ),
        (
          CASE
            WHEN DATALENGTH(CAST(CAST(TKE.KOTAIKANRI_ID AS NVARCHAR(MAX)) AS NVARCHAR(MAX))) = 0
            THEN NULL
            ELSE CAST(CAST(TKE.KOTAIKANRI_ID AS NVARCHAR(MAX)) AS NVARCHAR(MAX))
       </t>
        </is>
      </c>
    </row>
    <row r="8">
      <c r="A8" t="inlineStr">
        <is>
          <t xml:space="preserve">queries/T22_00_default_01.sql</t>
        </is>
      </c>
      <c r="B8">
        <v>2</v>
      </c>
      <c r="C8">
        <v>2</v>
      </c>
      <c r="D8">
        <v>8041</v>
      </c>
      <c r="E8" t="inlineStr">
        <is>
          <t xml:space="preserve">   END
        )
      )
    END
  ) AS C013
FROM MCM.MCM_TK_KEIYAKU AS TKA
JOIN MCM.MCM_TK_KIKAN AS TKB1
  ON TKA.TK_KEIYAKU_ID = TKB1.TK_KEIYAKU_ID
INNER JOIN (
  SELECT
    TK_KEIYAKU_ID AS TK_KEIYAKU_ID,
    MAX(TK_KIKAN_ID) AS MaxID
  FROM MCM.MCM_TK_KIKAN
  WHERE
    MCM_TK_KIKAN.YUKO_FLG = N'0'
  GROUP BY
    TK_KEIYAKU_ID
) AS TKB2
  ON TKB1.TK_KEIYAKU_ID = TKB2.TK_KEIYAKU_ID AND TKB1.TK_KIKAN_ID = TKB2.MaxID
JOIN MCM.MCM_TK_KIKIKOSEI AS TKC
  ON TKB1.TK_KIKAN_ID = TKC.TK_KIKAN_ID
JOIN MCM.MCM_TK_KIKIMEISAI AS TKD
  ON TKC.TK_KIKIKOSEI_ID = TKD.TK_KIKIKOSEI_ID
JOIN MCM.MCM_MA_KIKIKOSEI AS MAE
  ON TKC.KIKIKOSEI_ID = MAE.KIKIKOSEI_ID
JOIN MCM.MCM_MA_ATSUKAIKIKI AS MAH
  ON TKD.ATSUKAIKIKI_ID = MAH.ATSUKAIKIKI_ID
JOIN MCM.MCM_MA_KIKIBUNRUI AS MAM
  ON MAH.KIKIBUNRUI_ID = MAM.KIKIBUNRUI_ID
JOIN MCM.MCM_TK_KOTAIMEISAI AS TKE
  ON TKD.TK_KIKIMEISAI_ID = TKE.TK_KIKIMEISAI_ID
JOIN MCM.MCM_MA_KIKIKOTAIKANRI AS MAG
  ON TKE.KOTAIKANRI_ID = MAG.KOTAIKANRI_ID
JOIN MCM.MCM_MA_KIKIMEISAI AS MAF
  ON TKD.KIKIMEISAI_ID = MAF.KIKIMEISAI_ID
JOIN MCM.MCM_MA_BRAND_KOSEI AS MAD
  ON MAG.BRANDKOSEI_ID = MAD.BRANDKOSEI_ID
JOIN MCM.MCM_TK_TENKEN AS TKH
  ON TKC.TK_KIKIKOSEI_ID = TKH.TK_KIKIKOSEI_ID
WHERE
  (
    TKA.KEIYAKU_NO = @p001
    OR TKA.KEIYAKU_NO = @p002
    OR TKA.KEIYAKU_NO = @p003
    OR TKA.KEIYAKU_NO = @p004
    OR TKA.KEIYAKU_NO = @p005
    OR TKA.KEIYAKU_NO = @p006
    OR TKA.KEIYAKU_NO = @p007
    OR TKA.KEIYAKU_NO = @p008
    OR TKA.KEIYAKU_NO = @p009
    OR TKA.KEIYAKU_NO = @p010
  )
  AND TKH.TENKENKAISU &gt; N'0'
  AND (
    MAM.KIKIBUNRUI_ID = N'1'
    OR MAM.KIKIBUNRUI_ID = N'4'
    OR MAM.KIKIBUNRUI_ID = N'6'
    OR MAM.KIKIBUNRUI_ID = N'8'
    OR MAM.KIKIBUNRUI_ID = N'20'
    OR MAM.KIKIBUNRUI_ID = N'28'
  )
ORDER BY
  CASE WHEN TKB1.SUPPORT_ID IS NULL THEN 1 ELSE 0 END, TKB1.SUPPORT_ID ASC,
  CASE WHEN MAD.HYOJIJUN IS NULL THEN 1 ELSE 0 END, MAD.HYOJIJUN ASC,
  CASE WHEN MAE.HYOJIJUN IS NULL THEN 1 ELSE 0 END, MAE.HYOJIJUN ASC,
  CASE WHEN MAF.HYOJIJUN IS NULL THEN 1 ELSE 0 END, MAF.HYOJIJUN ASC;
</t>
        </is>
      </c>
    </row>
  </sheetData>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DA2616C224BAAB459A2EF1C6A95A0868" ma:contentTypeVersion="3" ma:contentTypeDescription="新しいドキュメントを作成します。" ma:contentTypeScope="" ma:versionID="c613e4439e092d386ed0f64ace2f9034">
  <xsd:schema xmlns:xsd="http://www.w3.org/2001/XMLSchema" xmlns:xs="http://www.w3.org/2001/XMLSchema" xmlns:p="http://schemas.microsoft.com/office/2006/metadata/properties" xmlns:ns2="a0e40bf2-c0e7-4c11-a7b1-c4a6e0bc9aa9" targetNamespace="http://schemas.microsoft.com/office/2006/metadata/properties" ma:root="true" ma:fieldsID="aeea2fec4da53653b45205a9856111be" ns2:_="">
    <xsd:import namespace="a0e40bf2-c0e7-4c11-a7b1-c4a6e0bc9aa9"/>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e40bf2-c0e7-4c11-a7b1-c4a6e0bc9aa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3614CDC-FC7C-4EE6-BB48-34E04CBED0C8}">
  <ds:schemaRefs>
    <ds:schemaRef ds:uri="http://schemas.microsoft.com/sharepoint/v3/contenttype/forms"/>
  </ds:schemaRefs>
</ds:datastoreItem>
</file>

<file path=customXml/itemProps2.xml><?xml version="1.0" encoding="utf-8"?>
<ds:datastoreItem xmlns:ds="http://schemas.openxmlformats.org/officeDocument/2006/customXml" ds:itemID="{6DA57C8D-7A44-47F7-8893-EC3284C9F53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e40bf2-c0e7-4c11-a7b1-c4a6e0bc9aa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2A8A25A-A223-47A7-BF25-B67D0B44D7AB}">
  <ds:schemaRefs>
    <ds:schemaRef ds:uri="http://schemas.microsoft.com/office/2006/metadata/properties"/>
    <ds:schemaRef ds:uri="http://schemas.microsoft.com/office/infopath/2007/PartnerControls"/>
  </ds:schemaRefs>
</ds:datastoreItem>
</file>

<file path=docMetadata/LabelInfo.xml><?xml version="1.0" encoding="utf-8"?>
<clbl:labelList xmlns:clbl="http://schemas.microsoft.com/office/2020/mipLabelMetadata">
  <clbl:label id="{2c37a7a4-57e3-4d99-9ccb-ff1f4750c108}" enabled="0" method="" siteId="{2c37a7a4-57e3-4d99-9ccb-ff1f4750c108}"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メインページ</vt:lpstr>
      <vt:lpstr>貼付エリア</vt:lpstr>
      <vt:lpstr>EXCEL作成(NEC)</vt:lpstr>
      <vt:lpstr>EXCEL作成(日立)</vt:lpstr>
      <vt:lpstr>EXCEL作成(東芝)</vt:lpstr>
      <vt:lpstr>EXCEL作成(サトー)</vt:lpstr>
      <vt:lpstr>EXCEL作成(イシダ)</vt:lpstr>
      <vt:lpstr>EXCEL作成(PFU)</vt:lpstr>
      <vt:lpstr>EXCEL作成(IBM他)</vt:lpstr>
      <vt:lpstr>TMP_SQL</vt:lpstr>
      <vt:lpstr>MCM情報取得SQL</vt:lpstr>
      <vt:lpstr>点検依頼対象</vt:lpstr>
      <vt:lpstr>ハードウェア点検・予防保守作業 (2)</vt:lpstr>
      <vt:lpstr>ハードウェア点検・予防保守作業</vt:lpstr>
    </vt:vector>
  </TitlesOfParts>
  <Company>（株）ダイフク</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前田 健太;二村 凌矢</dc:creator>
  <cp:lastModifiedBy>冨田 義男(Yoshio TOMITA)</cp:lastModifiedBy>
  <cp:lastPrinted>2026-02-03T01:40:56Z</cp:lastPrinted>
  <dcterms:created xsi:type="dcterms:W3CDTF">2016-01-21T08:30:18Z</dcterms:created>
  <dcterms:modified xsi:type="dcterms:W3CDTF">2026-06-05T01:03:37Z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0x010100DA2616C224BAAB459A2EF1C6A95A0868</vt:lpwstr>
  </property>
</Properties>
</file>