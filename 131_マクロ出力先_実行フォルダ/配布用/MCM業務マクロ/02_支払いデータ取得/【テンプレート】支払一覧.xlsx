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file-sig\S-DTS\FE業務改革室\業務G2T\11.保守契約・解約\C_支払契約データ\■支払（メイン）\"/>
    </mc:Choice>
  </mc:AlternateContent>
  <xr:revisionPtr revIDLastSave="0" documentId="13_ncr:1_{C2689BD8-68CE-4BF3-BC40-A84E7FFF6D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取引先別実績一覧" sheetId="1" r:id="rId1"/>
    <sheet name="実績" sheetId="2" r:id="rId2"/>
    <sheet name="支払不要" sheetId="3" r:id="rId3"/>
    <sheet name="支払一覧" sheetId="4" r:id="rId4"/>
    <sheet name="印刷用" sheetId="5" r:id="rId5"/>
    <sheet name="バッチ" sheetId="6" r:id="rId6"/>
    <sheet name="バッチリスト" sheetId="7" r:id="rId7"/>
    <sheet name="支払先リスト" sheetId="8" r:id="rId8"/>
  </sheets>
  <definedNames>
    <definedName name="_xlnm._FilterDatabase" localSheetId="5" hidden="1">バッチ!$A$7:$L$1438</definedName>
    <definedName name="_xlnm._FilterDatabase" localSheetId="6" hidden="1">バッチリスト!$A$5:$V$1436</definedName>
    <definedName name="_xlnm._FilterDatabase" localSheetId="4" hidden="1">印刷用!$A$6:$L$1437</definedName>
    <definedName name="_xlnm._FilterDatabase" localSheetId="3" hidden="1">支払一覧!$A$3:$V$1453</definedName>
    <definedName name="_xlnm.Print_Area" localSheetId="4">印刷用!$A$1:$J$1437</definedName>
    <definedName name="_xlnm.Print_Area" localSheetId="1">実績!$A$1:$L$54</definedName>
    <definedName name="_xlnm.Print_Titles" localSheetId="4">印刷用!$6:$6</definedName>
    <definedName name="Z_3C29C2C7_5DB1_41FB_9E95_64C17F07BBDB_.wvu.FilterData" localSheetId="5" hidden="1">バッチ!$A$7:$L$1438</definedName>
    <definedName name="Z_3C29C2C7_5DB1_41FB_9E95_64C17F07BBDB_.wvu.FilterData" localSheetId="6" hidden="1">バッチリスト!$A$5:$V$1436</definedName>
    <definedName name="Z_3C29C2C7_5DB1_41FB_9E95_64C17F07BBDB_.wvu.FilterData" localSheetId="4" hidden="1">印刷用!$A$6:$L$1437</definedName>
    <definedName name="Z_3C29C2C7_5DB1_41FB_9E95_64C17F07BBDB_.wvu.FilterData" localSheetId="3" hidden="1">支払一覧!$A$3:$V$1453</definedName>
    <definedName name="Z_3C29C2C7_5DB1_41FB_9E95_64C17F07BBDB_.wvu.PrintArea" localSheetId="4" hidden="1">印刷用!$A$1:$J$1437</definedName>
    <definedName name="Z_3C29C2C7_5DB1_41FB_9E95_64C17F07BBDB_.wvu.PrintTitles" localSheetId="4" hidden="1">印刷用!$6:$6</definedName>
    <definedName name="Z_7F90F6BF_AAFE_4B41_87EA_2390EC2C7378_.wvu.FilterData" localSheetId="5" hidden="1">バッチ!$A$7:$L$1438</definedName>
    <definedName name="Z_7F90F6BF_AAFE_4B41_87EA_2390EC2C7378_.wvu.FilterData" localSheetId="6" hidden="1">バッチリスト!$A$5:$V$1436</definedName>
    <definedName name="Z_7F90F6BF_AAFE_4B41_87EA_2390EC2C7378_.wvu.FilterData" localSheetId="4" hidden="1">印刷用!$A$6:$L$1437</definedName>
    <definedName name="Z_7F90F6BF_AAFE_4B41_87EA_2390EC2C7378_.wvu.FilterData" localSheetId="3" hidden="1">支払一覧!$A$3:$V$1453</definedName>
    <definedName name="Z_7F90F6BF_AAFE_4B41_87EA_2390EC2C7378_.wvu.PrintArea" localSheetId="4" hidden="1">印刷用!$A$1:$J$1437</definedName>
    <definedName name="Z_7F90F6BF_AAFE_4B41_87EA_2390EC2C7378_.wvu.PrintTitles" localSheetId="4" hidden="1">印刷用!$6:$6</definedName>
    <definedName name="Z_973ECC17_1FC7_46AC_9FAE_72CFE59B5A9C_.wvu.FilterData" localSheetId="5" hidden="1">バッチ!$A$7:$L$1438</definedName>
    <definedName name="Z_973ECC17_1FC7_46AC_9FAE_72CFE59B5A9C_.wvu.FilterData" localSheetId="6" hidden="1">バッチリスト!$A$5:$V$1436</definedName>
    <definedName name="Z_973ECC17_1FC7_46AC_9FAE_72CFE59B5A9C_.wvu.FilterData" localSheetId="4" hidden="1">印刷用!$A$6:$L$1437</definedName>
    <definedName name="Z_973ECC17_1FC7_46AC_9FAE_72CFE59B5A9C_.wvu.FilterData" localSheetId="3" hidden="1">支払一覧!$A$3:$V$1453</definedName>
    <definedName name="Z_973ECC17_1FC7_46AC_9FAE_72CFE59B5A9C_.wvu.PrintArea" localSheetId="4" hidden="1">印刷用!$A$1:$J$1437</definedName>
    <definedName name="Z_973ECC17_1FC7_46AC_9FAE_72CFE59B5A9C_.wvu.PrintTitles" localSheetId="4" hidden="1">印刷用!$6:$6</definedName>
    <definedName name="支払先リスト">支払先リスト!$A$1:$A$36014</definedName>
  </definedNames>
  <calcPr calcId="191029"/>
  <customWorkbookViews>
    <customWorkbookView name="菅原 麻以(Mai SUGAHARA) - 個人用ビュー" guid="{973ECC17-1FC7-46AC-9FAE-72CFE59B5A9C}" mergeInterval="0" personalView="1" maximized="1" xWindow="54" yWindow="-8" windowWidth="1874" windowHeight="1096" activeSheetId="4"/>
    <customWorkbookView name="山口 歩 - 個人用ビュー" guid="{7F90F6BF-AAFE-4B41-87EA-2390EC2C7378}" mergeInterval="0" personalView="1" maximized="1" xWindow="-11" yWindow="-11" windowWidth="1942" windowHeight="1162" activeSheetId="2"/>
    <customWorkbookView name="馬場 賢史 - 個人用ビュー" guid="{3C29C2C7-5DB1-41FB-9E95-64C17F07BBDB}" mergeInterval="0" personalView="1" maximized="1" xWindow="-9" yWindow="-9" windowWidth="1938" windowHeight="1168" activeSheetId="8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4" i="1"/>
  <c r="E23" i="1"/>
  <c r="J50" i="2"/>
  <c r="J51" i="2"/>
  <c r="J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37" i="2"/>
  <c r="G29" i="2"/>
  <c r="G30" i="2"/>
  <c r="G31" i="2"/>
  <c r="G32" i="2"/>
  <c r="G33" i="2"/>
  <c r="G34" i="2"/>
  <c r="G28" i="2"/>
  <c r="I26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5" i="2"/>
  <c r="G26" i="2" s="1"/>
  <c r="F51" i="2"/>
  <c r="F50" i="2"/>
  <c r="H50" i="2" s="1"/>
  <c r="I52" i="2"/>
  <c r="G52" i="2" l="1"/>
  <c r="F38" i="2" l="1"/>
  <c r="E44" i="1" l="1"/>
  <c r="F24" i="2" l="1"/>
  <c r="H24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7" i="1" l="1"/>
  <c r="O4" i="6"/>
  <c r="O5" i="6"/>
  <c r="F23" i="2" l="1"/>
  <c r="H23" i="2" s="1"/>
  <c r="F22" i="1" s="1"/>
  <c r="H51" i="2" l="1"/>
  <c r="J49" i="2" l="1"/>
  <c r="F49" i="2"/>
  <c r="F48" i="2"/>
  <c r="F40" i="2"/>
  <c r="F31" i="2"/>
  <c r="H49" i="2" l="1"/>
  <c r="F23" i="1" s="1"/>
  <c r="F44" i="1"/>
  <c r="I1" i="3"/>
  <c r="I2" i="3"/>
  <c r="I35" i="2" l="1"/>
  <c r="I54" i="2" s="1"/>
  <c r="F21" i="2" l="1"/>
  <c r="H21" i="2" s="1"/>
  <c r="F20" i="1" s="1"/>
  <c r="J47" i="2"/>
  <c r="F47" i="2"/>
  <c r="H47" i="2" l="1"/>
  <c r="F42" i="1" s="1"/>
  <c r="I36" i="2"/>
  <c r="F20" i="2"/>
  <c r="H20" i="2" s="1"/>
  <c r="F19" i="1" s="1"/>
  <c r="F19" i="2" l="1"/>
  <c r="H19" i="2" s="1"/>
  <c r="F18" i="1" s="1"/>
  <c r="F22" i="2" l="1"/>
  <c r="H22" i="2" s="1"/>
  <c r="F21" i="1" s="1"/>
  <c r="J48" i="2" l="1"/>
  <c r="H48" i="2"/>
  <c r="F43" i="1" s="1"/>
  <c r="F5" i="2" l="1"/>
  <c r="F6" i="2"/>
  <c r="H6" i="2" s="1"/>
  <c r="F5" i="1" s="1"/>
  <c r="F7" i="2"/>
  <c r="H7" i="2" s="1"/>
  <c r="F6" i="1" s="1"/>
  <c r="F8" i="2"/>
  <c r="H8" i="2" s="1"/>
  <c r="F7" i="1" s="1"/>
  <c r="F9" i="2"/>
  <c r="H9" i="2" s="1"/>
  <c r="F8" i="1" s="1"/>
  <c r="F10" i="2"/>
  <c r="H10" i="2" s="1"/>
  <c r="F9" i="1" s="1"/>
  <c r="F11" i="2"/>
  <c r="H11" i="2" s="1"/>
  <c r="F10" i="1" s="1"/>
  <c r="F12" i="2"/>
  <c r="H12" i="2" s="1"/>
  <c r="F11" i="1" s="1"/>
  <c r="F13" i="2"/>
  <c r="H13" i="2" s="1"/>
  <c r="F12" i="1" s="1"/>
  <c r="F14" i="2"/>
  <c r="H14" i="2" s="1"/>
  <c r="F13" i="1" s="1"/>
  <c r="F15" i="2"/>
  <c r="H15" i="2" s="1"/>
  <c r="F14" i="1" s="1"/>
  <c r="F16" i="2"/>
  <c r="H16" i="2" s="1"/>
  <c r="F15" i="1" s="1"/>
  <c r="F17" i="2"/>
  <c r="H17" i="2" s="1"/>
  <c r="F16" i="1" s="1"/>
  <c r="F18" i="2"/>
  <c r="H18" i="2" s="1"/>
  <c r="F17" i="1" s="1"/>
  <c r="F28" i="2"/>
  <c r="F29" i="2"/>
  <c r="H29" i="2" s="1"/>
  <c r="F26" i="1" s="1"/>
  <c r="F30" i="2"/>
  <c r="H30" i="2" s="1"/>
  <c r="F27" i="1" s="1"/>
  <c r="F32" i="2"/>
  <c r="H32" i="2" s="1"/>
  <c r="F29" i="1" s="1"/>
  <c r="F33" i="2"/>
  <c r="H33" i="2" s="1"/>
  <c r="F30" i="1" s="1"/>
  <c r="F34" i="2"/>
  <c r="H34" i="2" s="1"/>
  <c r="F31" i="1" s="1"/>
  <c r="F37" i="2"/>
  <c r="H38" i="2"/>
  <c r="F34" i="1" s="1"/>
  <c r="F39" i="2"/>
  <c r="H39" i="2" s="1"/>
  <c r="F35" i="1" s="1"/>
  <c r="F41" i="2"/>
  <c r="H41" i="2" s="1"/>
  <c r="F36" i="1" s="1"/>
  <c r="F42" i="2"/>
  <c r="F43" i="2"/>
  <c r="H43" i="2" s="1"/>
  <c r="F38" i="1" s="1"/>
  <c r="F44" i="2"/>
  <c r="H44" i="2" s="1"/>
  <c r="F39" i="1" s="1"/>
  <c r="F45" i="2"/>
  <c r="H45" i="2" s="1"/>
  <c r="F40" i="1" s="1"/>
  <c r="F46" i="2"/>
  <c r="H46" i="2" s="1"/>
  <c r="F41" i="1" s="1"/>
  <c r="J38" i="2"/>
  <c r="J39" i="2"/>
  <c r="J40" i="2"/>
  <c r="J41" i="2"/>
  <c r="J42" i="2"/>
  <c r="J43" i="2"/>
  <c r="J44" i="2"/>
  <c r="J45" i="2"/>
  <c r="J46" i="2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L7" i="5"/>
  <c r="K7" i="5"/>
  <c r="J7" i="5"/>
  <c r="I7" i="5"/>
  <c r="H7" i="5"/>
  <c r="G7" i="5"/>
  <c r="F7" i="5"/>
  <c r="E7" i="5"/>
  <c r="D7" i="5"/>
  <c r="C7" i="5"/>
  <c r="B7" i="5"/>
  <c r="S6" i="7"/>
  <c r="J6" i="7"/>
  <c r="B6" i="7"/>
  <c r="O6" i="7"/>
  <c r="U6" i="7"/>
  <c r="T6" i="7"/>
  <c r="R6" i="7"/>
  <c r="Q6" i="7"/>
  <c r="H6" i="7"/>
  <c r="G6" i="7"/>
  <c r="F6" i="7"/>
  <c r="E6" i="7"/>
  <c r="D6" i="7"/>
  <c r="C6" i="7"/>
  <c r="J3" i="5"/>
  <c r="I1" i="4"/>
  <c r="I2" i="4"/>
  <c r="F52" i="2" l="1"/>
  <c r="J52" i="2"/>
  <c r="F26" i="2"/>
  <c r="J2" i="5"/>
  <c r="J4" i="5" s="1"/>
  <c r="G35" i="2"/>
  <c r="G54" i="2" s="1"/>
  <c r="I56" i="2" s="1"/>
  <c r="H42" i="2"/>
  <c r="F37" i="1" s="1"/>
  <c r="H40" i="2"/>
  <c r="F32" i="1" s="1"/>
  <c r="H31" i="2"/>
  <c r="F28" i="1" s="1"/>
  <c r="F35" i="2"/>
  <c r="H5" i="2"/>
  <c r="H26" i="2" s="1"/>
  <c r="H28" i="2"/>
  <c r="F25" i="1" s="1"/>
  <c r="H37" i="2"/>
  <c r="H54" i="2" l="1"/>
  <c r="F54" i="2"/>
  <c r="G56" i="2" s="1"/>
  <c r="F33" i="1"/>
  <c r="H52" i="2"/>
  <c r="F4" i="1"/>
  <c r="G36" i="2"/>
  <c r="H35" i="2"/>
  <c r="F36" i="2"/>
  <c r="F47" i="1" l="1"/>
  <c r="H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菅原 麻以(Mai SUGAHARA)</author>
  </authors>
  <commentList>
    <comment ref="M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＝COUNTIF(参照先列,検索値)
</t>
        </r>
      </text>
    </comment>
    <comment ref="N3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＝COUNTIF(参照先列,検索値)
</t>
        </r>
      </text>
    </comment>
    <comment ref="O3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『0』→間違いがある
『1』→OK
『2』→重複ﾃﾞｰﾀ有『#N/A』→製番未登録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027289</author>
  </authors>
  <commentList>
    <comment ref="J5" authorId="0" shapeId="0" xr:uid="{00000000-0006-0000-06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027289: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<sst xmlns="http://schemas.openxmlformats.org/spreadsheetml/2006/main" count="627" uniqueCount="373">
  <si>
    <t>NO.</t>
    <phoneticPr fontId="2"/>
  </si>
  <si>
    <t>文字数</t>
    <rPh sb="0" eb="3">
      <t>モジスウ</t>
    </rPh>
    <phoneticPr fontId="2"/>
  </si>
  <si>
    <t>NO.</t>
    <phoneticPr fontId="2"/>
  </si>
  <si>
    <t>(株)光アルファクス</t>
  </si>
  <si>
    <t>EDI</t>
    <phoneticPr fontId="2"/>
  </si>
  <si>
    <t>(株)シーネット</t>
  </si>
  <si>
    <t>購買発注量＊</t>
  </si>
  <si>
    <t>正味価格＊</t>
  </si>
  <si>
    <t>価格単位＊</t>
  </si>
  <si>
    <t>No.</t>
    <phoneticPr fontId="2"/>
  </si>
  <si>
    <t>固定</t>
    <rPh sb="0" eb="2">
      <t>コテイ</t>
    </rPh>
    <phoneticPr fontId="2"/>
  </si>
  <si>
    <t>不要</t>
    <rPh sb="0" eb="2">
      <t>フヨウ</t>
    </rPh>
    <phoneticPr fontId="2"/>
  </si>
  <si>
    <t>必要</t>
    <rPh sb="0" eb="2">
      <t>ヒツヨウ</t>
    </rPh>
    <phoneticPr fontId="2"/>
  </si>
  <si>
    <t>PC</t>
  </si>
  <si>
    <t>LFD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</si>
  <si>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</si>
  <si>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</si>
  <si>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</si>
  <si>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</si>
  <si>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</si>
  <si>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</si>
  <si>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支払コード</t>
    <rPh sb="0" eb="2">
      <t>シハライ</t>
    </rPh>
    <phoneticPr fontId="2"/>
  </si>
  <si>
    <t>TODAY</t>
    <phoneticPr fontId="2"/>
  </si>
  <si>
    <t>NO.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</si>
  <si>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</si>
  <si>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発注</t>
    <rPh sb="0" eb="2">
      <t>ハッチュウ</t>
    </rPh>
    <phoneticPr fontId="2"/>
  </si>
  <si>
    <t>検収</t>
    <rPh sb="0" eb="2">
      <t>ケンシュウ</t>
    </rPh>
    <phoneticPr fontId="2"/>
  </si>
  <si>
    <t>件数</t>
    <rPh sb="0" eb="2">
      <t>ケンスウ</t>
    </rPh>
    <phoneticPr fontId="2"/>
  </si>
  <si>
    <t>支払金額</t>
    <rPh sb="0" eb="2">
      <t>シハラ</t>
    </rPh>
    <rPh sb="2" eb="4">
      <t>キンガク</t>
    </rPh>
    <phoneticPr fontId="2"/>
  </si>
  <si>
    <t>支払金額（税込）</t>
    <rPh sb="0" eb="2">
      <t>シハラ</t>
    </rPh>
    <rPh sb="2" eb="4">
      <t>キンガク</t>
    </rPh>
    <rPh sb="5" eb="7">
      <t>ゼイコミ</t>
    </rPh>
    <phoneticPr fontId="2"/>
  </si>
  <si>
    <t>小計</t>
    <rPh sb="0" eb="2">
      <t>ショウケイ</t>
    </rPh>
    <phoneticPr fontId="2"/>
  </si>
  <si>
    <t>合計</t>
    <rPh sb="0" eb="2">
      <t>ゴウケイ</t>
    </rPh>
    <phoneticPr fontId="2"/>
  </si>
  <si>
    <t>NO</t>
    <phoneticPr fontId="2"/>
  </si>
  <si>
    <t>金額合計⇒</t>
    <rPh sb="0" eb="2">
      <t>キンガク</t>
    </rPh>
    <rPh sb="2" eb="4">
      <t>ゴウケイ</t>
    </rPh>
    <phoneticPr fontId="2"/>
  </si>
  <si>
    <t>件数⇒</t>
    <rPh sb="0" eb="2">
      <t>ケンスウ</t>
    </rPh>
    <phoneticPr fontId="2"/>
  </si>
  <si>
    <t>①バッチよりNO.コピー、A6セル以降に貼り付け　②B～V列6行以降コピー</t>
    <rPh sb="17" eb="19">
      <t>イコウ</t>
    </rPh>
    <rPh sb="20" eb="21">
      <t>ハ</t>
    </rPh>
    <rPh sb="22" eb="23">
      <t>ツ</t>
    </rPh>
    <rPh sb="29" eb="30">
      <t>レツ</t>
    </rPh>
    <rPh sb="31" eb="34">
      <t>ギョウイコウ</t>
    </rPh>
    <phoneticPr fontId="2"/>
  </si>
  <si>
    <t>EDI</t>
  </si>
  <si>
    <t>GE285</t>
  </si>
  <si>
    <t>GA377</t>
  </si>
  <si>
    <t>合計</t>
  </si>
  <si>
    <t>件数</t>
  </si>
  <si>
    <t>税込み</t>
    <rPh sb="0" eb="2">
      <t>ゼイコ</t>
    </rPh>
    <phoneticPr fontId="2"/>
  </si>
  <si>
    <t>伊藤忠テクノソリューションズ(株)</t>
  </si>
  <si>
    <t>エプソン販売(株)</t>
  </si>
  <si>
    <t>支払金額</t>
  </si>
  <si>
    <t>製番</t>
  </si>
  <si>
    <t>(株)アルゴグラフィックス</t>
  </si>
  <si>
    <t>z100</t>
  </si>
  <si>
    <t>z100</t>
    <phoneticPr fontId="2"/>
  </si>
  <si>
    <t>A230</t>
  </si>
  <si>
    <t>A230</t>
    <phoneticPr fontId="2"/>
  </si>
  <si>
    <t>LFD</t>
    <phoneticPr fontId="2"/>
  </si>
  <si>
    <t>保守製番</t>
    <rPh sb="0" eb="2">
      <t>ホシュ</t>
    </rPh>
    <rPh sb="2" eb="3">
      <t>セイ</t>
    </rPh>
    <rPh sb="3" eb="4">
      <t>バン</t>
    </rPh>
    <phoneticPr fontId="2"/>
  </si>
  <si>
    <t>テキスト（全角30文字）</t>
    <rPh sb="5" eb="7">
      <t>ゼンカク</t>
    </rPh>
    <rPh sb="9" eb="11">
      <t>モジ</t>
    </rPh>
    <phoneticPr fontId="2"/>
  </si>
  <si>
    <t>メディカル・コンピュータ・サービス(株)</t>
  </si>
  <si>
    <t>(株)ＰＦＵ 関西支店</t>
  </si>
  <si>
    <t>リコージャパン(株)</t>
  </si>
  <si>
    <t>(株)フルノシステムズ</t>
  </si>
  <si>
    <t>(株)イシダ</t>
  </si>
  <si>
    <t>(株)瑞穂</t>
  </si>
  <si>
    <t>CSﾅﾝﾊﾞ</t>
  </si>
  <si>
    <t>納入先名</t>
  </si>
  <si>
    <t>店舗名</t>
  </si>
  <si>
    <t>契約書No</t>
  </si>
  <si>
    <t>取引先名</t>
  </si>
  <si>
    <t>支払回数</t>
  </si>
  <si>
    <t>支払月</t>
  </si>
  <si>
    <t>支払方法</t>
    <rPh sb="0" eb="2">
      <t>シハラ</t>
    </rPh>
    <rPh sb="2" eb="4">
      <t>ホウホウ</t>
    </rPh>
    <phoneticPr fontId="2"/>
  </si>
  <si>
    <t>NO.</t>
  </si>
  <si>
    <t>NTTﾃﾞｰﾀ先端技術(株)</t>
  </si>
  <si>
    <t>(株)富士通ｾﾞﾈﾗﾙ情報ｼｽﾃﾑ</t>
  </si>
  <si>
    <t>A191C</t>
  </si>
  <si>
    <t>ホクショー(株)</t>
  </si>
  <si>
    <t>FP391</t>
  </si>
  <si>
    <t>(株)コンテック</t>
  </si>
  <si>
    <t>EM586</t>
  </si>
  <si>
    <t>(株)サトー</t>
  </si>
  <si>
    <t>発注予定</t>
    <rPh sb="0" eb="2">
      <t>ハッチュウ</t>
    </rPh>
    <rPh sb="2" eb="4">
      <t>ヨテイ</t>
    </rPh>
    <phoneticPr fontId="2"/>
  </si>
  <si>
    <t>検収実績</t>
    <rPh sb="0" eb="2">
      <t>ケンシュウ</t>
    </rPh>
    <rPh sb="2" eb="4">
      <t>ジッセキ</t>
    </rPh>
    <phoneticPr fontId="2"/>
  </si>
  <si>
    <t>取引先コード</t>
    <rPh sb="0" eb="2">
      <t>トリヒキ</t>
    </rPh>
    <rPh sb="2" eb="3">
      <t>サキ</t>
    </rPh>
    <phoneticPr fontId="2"/>
  </si>
  <si>
    <t>処理</t>
    <rPh sb="0" eb="2">
      <t>ショリ</t>
    </rPh>
    <phoneticPr fontId="2"/>
  </si>
  <si>
    <t>GB552</t>
  </si>
  <si>
    <t>GB547</t>
  </si>
  <si>
    <t>EB303</t>
  </si>
  <si>
    <t>ソフラ(株)</t>
  </si>
  <si>
    <t>EB615</t>
  </si>
  <si>
    <t>FM294</t>
  </si>
  <si>
    <t>EG100</t>
  </si>
  <si>
    <t>EQ506</t>
  </si>
  <si>
    <t>FK305</t>
  </si>
  <si>
    <t>EK774</t>
  </si>
  <si>
    <t>ED039</t>
  </si>
  <si>
    <t>発注一覧</t>
    <phoneticPr fontId="2"/>
  </si>
  <si>
    <t>照合</t>
    <rPh sb="0" eb="2">
      <t>ショウゴウ</t>
    </rPh>
    <phoneticPr fontId="2"/>
  </si>
  <si>
    <t>チェック</t>
    <phoneticPr fontId="2"/>
  </si>
  <si>
    <t>製番</t>
    <rPh sb="0" eb="2">
      <t>セイバン</t>
    </rPh>
    <phoneticPr fontId="2"/>
  </si>
  <si>
    <t>非EDI</t>
    <rPh sb="0" eb="1">
      <t>ヒ</t>
    </rPh>
    <phoneticPr fontId="2"/>
  </si>
  <si>
    <t>請求書</t>
    <rPh sb="0" eb="3">
      <t>セイキュウショ</t>
    </rPh>
    <phoneticPr fontId="2"/>
  </si>
  <si>
    <t>V3</t>
  </si>
  <si>
    <t>V3</t>
    <phoneticPr fontId="2"/>
  </si>
  <si>
    <t>2020年4月度　</t>
    <rPh sb="4" eb="5">
      <t>ネン</t>
    </rPh>
    <rPh sb="6" eb="7">
      <t>ガツ</t>
    </rPh>
    <rPh sb="7" eb="8">
      <t>ド</t>
    </rPh>
    <phoneticPr fontId="2"/>
  </si>
  <si>
    <t>支払金額（税抜）</t>
    <rPh sb="0" eb="2">
      <t>シハラ</t>
    </rPh>
    <rPh sb="2" eb="4">
      <t>キンガク</t>
    </rPh>
    <rPh sb="5" eb="6">
      <t>ゼイ</t>
    </rPh>
    <rPh sb="6" eb="7">
      <t>ヌ</t>
    </rPh>
    <phoneticPr fontId="2"/>
  </si>
  <si>
    <r>
      <t>仕入先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半角5桁</t>
    </r>
    <rPh sb="6" eb="8">
      <t>ハンカク</t>
    </rPh>
    <rPh sb="9" eb="10">
      <t>ケタ</t>
    </rPh>
    <phoneticPr fontId="1"/>
  </si>
  <si>
    <r>
      <t>注区</t>
    </r>
    <r>
      <rPr>
        <sz val="11"/>
        <color indexed="10"/>
        <rFont val="Meiryo UI"/>
        <family val="3"/>
        <charset val="128"/>
      </rPr>
      <t>＊</t>
    </r>
    <rPh sb="0" eb="1">
      <t>チュウ</t>
    </rPh>
    <rPh sb="1" eb="2">
      <t>ク</t>
    </rPh>
    <phoneticPr fontId="1"/>
  </si>
  <si>
    <r>
      <t>購買発注日付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YYYYMMDD形式</t>
    </r>
    <rPh sb="0" eb="2">
      <t>コウバイ</t>
    </rPh>
    <rPh sb="2" eb="4">
      <t>ハッチュウ</t>
    </rPh>
    <rPh sb="4" eb="6">
      <t>ヒヅケ</t>
    </rPh>
    <rPh sb="17" eb="19">
      <t>ケイシキ</t>
    </rPh>
    <phoneticPr fontId="1"/>
  </si>
  <si>
    <r>
      <t>納入日付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YYYYMMDD形式</t>
    </r>
    <rPh sb="15" eb="17">
      <t>ケイシキ</t>
    </rPh>
    <phoneticPr fontId="1"/>
  </si>
  <si>
    <r>
      <t>購買組織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半角4桁</t>
    </r>
    <rPh sb="7" eb="9">
      <t>ハンカク</t>
    </rPh>
    <rPh sb="10" eb="11">
      <t>ケタ</t>
    </rPh>
    <phoneticPr fontId="1"/>
  </si>
  <si>
    <r>
      <t>購買グループ</t>
    </r>
    <r>
      <rPr>
        <sz val="11"/>
        <color indexed="10"/>
        <rFont val="Meiryo UI"/>
        <family val="3"/>
        <charset val="128"/>
      </rPr>
      <t>＊</t>
    </r>
    <r>
      <rPr>
        <sz val="11"/>
        <rFont val="Meiryo UI"/>
        <family val="3"/>
        <charset val="128"/>
      </rPr>
      <t xml:space="preserve">
（発注担当）
</t>
    </r>
    <r>
      <rPr>
        <sz val="9"/>
        <color indexed="12"/>
        <rFont val="Meiryo UI"/>
        <family val="3"/>
        <charset val="128"/>
      </rPr>
      <t>半角3桁</t>
    </r>
    <rPh sb="9" eb="11">
      <t>ハッチュウ</t>
    </rPh>
    <rPh sb="11" eb="13">
      <t>タントウ</t>
    </rPh>
    <rPh sb="15" eb="17">
      <t>ハンカク</t>
    </rPh>
    <rPh sb="18" eb="19">
      <t>ケタ</t>
    </rPh>
    <phoneticPr fontId="1"/>
  </si>
  <si>
    <r>
      <t>プラント</t>
    </r>
    <r>
      <rPr>
        <sz val="11"/>
        <color indexed="10"/>
        <rFont val="Meiryo UI"/>
        <family val="3"/>
        <charset val="128"/>
      </rPr>
      <t>＊</t>
    </r>
    <r>
      <rPr>
        <sz val="11"/>
        <rFont val="Meiryo UI"/>
        <family val="3"/>
        <charset val="128"/>
      </rPr>
      <t xml:space="preserve">
（工場）
</t>
    </r>
    <r>
      <rPr>
        <sz val="9"/>
        <color indexed="12"/>
        <rFont val="Meiryo UI"/>
        <family val="3"/>
        <charset val="128"/>
      </rPr>
      <t>半角4桁</t>
    </r>
    <rPh sb="7" eb="9">
      <t>コウジョウ</t>
    </rPh>
    <rPh sb="11" eb="13">
      <t>ハンカク</t>
    </rPh>
    <rPh sb="14" eb="15">
      <t>ケタ</t>
    </rPh>
    <phoneticPr fontId="1"/>
  </si>
  <si>
    <r>
      <t xml:space="preserve">保管場所
（倉庫）
</t>
    </r>
    <r>
      <rPr>
        <sz val="9"/>
        <color indexed="12"/>
        <rFont val="Meiryo UI"/>
        <family val="3"/>
        <charset val="128"/>
      </rPr>
      <t>半角4桁</t>
    </r>
    <rPh sb="6" eb="8">
      <t>ソウコ</t>
    </rPh>
    <rPh sb="10" eb="12">
      <t>ハンカク</t>
    </rPh>
    <rPh sb="13" eb="14">
      <t>ケタ</t>
    </rPh>
    <phoneticPr fontId="1"/>
  </si>
  <si>
    <r>
      <t>WBS 要素</t>
    </r>
    <r>
      <rPr>
        <sz val="11"/>
        <color indexed="10"/>
        <rFont val="Meiryo UI"/>
        <family val="3"/>
        <charset val="128"/>
      </rPr>
      <t>＊</t>
    </r>
    <r>
      <rPr>
        <sz val="11"/>
        <rFont val="Meiryo UI"/>
        <family val="3"/>
        <charset val="128"/>
      </rPr>
      <t xml:space="preserve">
（製番）
</t>
    </r>
    <r>
      <rPr>
        <sz val="9"/>
        <color indexed="12"/>
        <rFont val="Meiryo UI"/>
        <family val="3"/>
        <charset val="128"/>
      </rPr>
      <t>半角12桁</t>
    </r>
    <rPh sb="9" eb="10">
      <t>セイ</t>
    </rPh>
    <rPh sb="10" eb="11">
      <t>バン</t>
    </rPh>
    <rPh sb="13" eb="15">
      <t>ハンカク</t>
    </rPh>
    <rPh sb="17" eb="18">
      <t>ケタ</t>
    </rPh>
    <phoneticPr fontId="1"/>
  </si>
  <si>
    <r>
      <t xml:space="preserve">図面追番
</t>
    </r>
    <r>
      <rPr>
        <sz val="9"/>
        <color indexed="12"/>
        <rFont val="Meiryo UI"/>
        <family val="3"/>
        <charset val="128"/>
      </rPr>
      <t>半角5桁(数字)</t>
    </r>
    <rPh sb="6" eb="8">
      <t>ハンカク</t>
    </rPh>
    <rPh sb="9" eb="10">
      <t>ケタ</t>
    </rPh>
    <rPh sb="11" eb="13">
      <t>スウジ</t>
    </rPh>
    <phoneticPr fontId="1"/>
  </si>
  <si>
    <r>
      <t xml:space="preserve">品目コード
（品番）
</t>
    </r>
    <r>
      <rPr>
        <sz val="9"/>
        <color indexed="12"/>
        <rFont val="Meiryo UI"/>
        <family val="3"/>
        <charset val="128"/>
      </rPr>
      <t>半角14桁</t>
    </r>
    <rPh sb="7" eb="9">
      <t>ヒンバン</t>
    </rPh>
    <rPh sb="11" eb="13">
      <t>ハンカク</t>
    </rPh>
    <rPh sb="15" eb="16">
      <t>ケタ</t>
    </rPh>
    <phoneticPr fontId="1"/>
  </si>
  <si>
    <r>
      <t xml:space="preserve">品目コード２
（品番）
</t>
    </r>
    <r>
      <rPr>
        <sz val="9"/>
        <color indexed="12"/>
        <rFont val="Meiryo UI"/>
        <family val="3"/>
        <charset val="128"/>
      </rPr>
      <t>半角14桁</t>
    </r>
    <rPh sb="0" eb="2">
      <t>ヒンモク</t>
    </rPh>
    <rPh sb="8" eb="10">
      <t>ヒンバン</t>
    </rPh>
    <rPh sb="12" eb="14">
      <t>ハンカク</t>
    </rPh>
    <rPh sb="16" eb="17">
      <t>ケタ</t>
    </rPh>
    <phoneticPr fontId="1"/>
  </si>
  <si>
    <r>
      <t xml:space="preserve">品目欄№
</t>
    </r>
    <r>
      <rPr>
        <sz val="9"/>
        <color indexed="12"/>
        <rFont val="Meiryo UI"/>
        <family val="3"/>
        <charset val="128"/>
      </rPr>
      <t>半角5桁(数字)</t>
    </r>
    <rPh sb="6" eb="8">
      <t>ハンカク</t>
    </rPh>
    <rPh sb="9" eb="10">
      <t>ケタ</t>
    </rPh>
    <rPh sb="11" eb="13">
      <t>スウジ</t>
    </rPh>
    <phoneticPr fontId="1"/>
  </si>
  <si>
    <r>
      <t>テキスト (短)</t>
    </r>
    <r>
      <rPr>
        <sz val="11"/>
        <color indexed="10"/>
        <rFont val="Meiryo UI"/>
        <family val="3"/>
        <charset val="128"/>
      </rPr>
      <t>＊</t>
    </r>
    <r>
      <rPr>
        <sz val="11"/>
        <rFont val="Meiryo UI"/>
        <family val="3"/>
        <charset val="128"/>
      </rPr>
      <t xml:space="preserve">
（品名）
</t>
    </r>
    <r>
      <rPr>
        <sz val="9"/>
        <color indexed="12"/>
        <rFont val="Meiryo UI"/>
        <family val="3"/>
        <charset val="128"/>
      </rPr>
      <t>全角30文字</t>
    </r>
    <rPh sb="11" eb="13">
      <t>ヒンメイ</t>
    </rPh>
    <rPh sb="15" eb="17">
      <t>ゼンカク</t>
    </rPh>
    <rPh sb="19" eb="21">
      <t>モジ</t>
    </rPh>
    <phoneticPr fontId="1"/>
  </si>
  <si>
    <r>
      <t xml:space="preserve">型式
</t>
    </r>
    <r>
      <rPr>
        <sz val="9"/>
        <color indexed="12"/>
        <rFont val="Meiryo UI"/>
        <family val="3"/>
        <charset val="128"/>
      </rPr>
      <t>半角25文字</t>
    </r>
    <rPh sb="4" eb="6">
      <t>ハンカク</t>
    </rPh>
    <rPh sb="8" eb="10">
      <t>モジ</t>
    </rPh>
    <phoneticPr fontId="1"/>
  </si>
  <si>
    <r>
      <t>発注単位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半角2桁</t>
    </r>
    <rPh sb="7" eb="9">
      <t>ハンカク</t>
    </rPh>
    <rPh sb="10" eb="11">
      <t>ケタ</t>
    </rPh>
    <phoneticPr fontId="1"/>
  </si>
  <si>
    <r>
      <t>品目グループ</t>
    </r>
    <r>
      <rPr>
        <sz val="11"/>
        <color indexed="10"/>
        <rFont val="Meiryo UI"/>
        <family val="3"/>
        <charset val="128"/>
      </rPr>
      <t>＊</t>
    </r>
    <r>
      <rPr>
        <sz val="11"/>
        <rFont val="Meiryo UI"/>
        <family val="3"/>
        <charset val="128"/>
      </rPr>
      <t xml:space="preserve">
（口座）
</t>
    </r>
    <r>
      <rPr>
        <sz val="9"/>
        <color indexed="12"/>
        <rFont val="Meiryo UI"/>
        <family val="3"/>
        <charset val="128"/>
      </rPr>
      <t>半角3桁</t>
    </r>
    <rPh sb="9" eb="11">
      <t>コウザ</t>
    </rPh>
    <rPh sb="13" eb="15">
      <t>ハンカク</t>
    </rPh>
    <rPh sb="16" eb="17">
      <t>ケタ</t>
    </rPh>
    <phoneticPr fontId="1"/>
  </si>
  <si>
    <r>
      <t>売上税コード</t>
    </r>
    <r>
      <rPr>
        <sz val="11"/>
        <color indexed="10"/>
        <rFont val="Meiryo UI"/>
        <family val="3"/>
        <charset val="128"/>
      </rPr>
      <t xml:space="preserve">＊
</t>
    </r>
    <r>
      <rPr>
        <sz val="9"/>
        <color indexed="12"/>
        <rFont val="Meiryo UI"/>
        <family val="3"/>
        <charset val="128"/>
      </rPr>
      <t>半角2桁</t>
    </r>
    <rPh sb="9" eb="11">
      <t>ハンカク</t>
    </rPh>
    <rPh sb="12" eb="13">
      <t>ケタ</t>
    </rPh>
    <phoneticPr fontId="1"/>
  </si>
  <si>
    <t>オリックスレンテック株式会社</t>
    <rPh sb="10" eb="14">
      <t>カブシキカイシャ</t>
    </rPh>
    <phoneticPr fontId="8"/>
  </si>
  <si>
    <t>萩原テクノソリューションズ株式会社</t>
  </si>
  <si>
    <t>パシフィックシステム株式会社</t>
  </si>
  <si>
    <t>キヤノンマーケティングジャパン株式会社</t>
  </si>
  <si>
    <t>IDEC AUTO-ID SOLUTIONS株式会社</t>
  </si>
  <si>
    <t>株式会社寺岡精工</t>
  </si>
  <si>
    <t>都築電気株式会社</t>
    <rPh sb="0" eb="2">
      <t>ツヅキ</t>
    </rPh>
    <rPh sb="2" eb="4">
      <t>デンキ</t>
    </rPh>
    <phoneticPr fontId="8"/>
  </si>
  <si>
    <t>株式会社大塚商会</t>
    <rPh sb="4" eb="6">
      <t>オオツカ</t>
    </rPh>
    <rPh sb="6" eb="8">
      <t>ショウカイ</t>
    </rPh>
    <phoneticPr fontId="8"/>
  </si>
  <si>
    <t>イーソル株式会社</t>
  </si>
  <si>
    <t>三谷産業株式会社</t>
    <rPh sb="0" eb="2">
      <t>ミタニ</t>
    </rPh>
    <rPh sb="2" eb="4">
      <t>サンギョウ</t>
    </rPh>
    <phoneticPr fontId="8"/>
  </si>
  <si>
    <t>株式会社タクテック</t>
  </si>
  <si>
    <t>支払明細書：(株)ＰＦＵ 関西支店
【EDI】コード：GB552</t>
  </si>
  <si>
    <t>支払明細書：(株)瑞穂
【EDI】コード：GB547</t>
  </si>
  <si>
    <t>支払明細書：ソフラ(株)
【EDI】コード：EB303</t>
  </si>
  <si>
    <t>支払明細書：(株)アルゴグラフィックス
【EDI】コード：EB615</t>
  </si>
  <si>
    <t>支払明細書：(株)フルノシステムズ
【EDI】コード：FM294</t>
  </si>
  <si>
    <t>支払明細書：(株)光アルファクス
【EDI】コード：FL734</t>
  </si>
  <si>
    <t>FL734</t>
  </si>
  <si>
    <t>支払明細書：オリックスレンテック(株)
【EDI】コード：EG100</t>
  </si>
  <si>
    <t>オリックスレンテック株式会社</t>
  </si>
  <si>
    <t>支払明細書：萩原テクノソリューションズ(株)
【EDI】コード：FK305</t>
  </si>
  <si>
    <t>支払明細書：メディカル・コンピュータ・サービス(株)
【EDI】コード：GD484</t>
  </si>
  <si>
    <t>GD484</t>
  </si>
  <si>
    <t>支払明細書：パシフィックシステム(株)
【EDI】コード：GA801</t>
  </si>
  <si>
    <t>パシフィックシステム株式会社</t>
    <rPh sb="10" eb="14">
      <t>カブシキカイシャ</t>
    </rPh>
    <phoneticPr fontId="1"/>
  </si>
  <si>
    <t>GA801</t>
  </si>
  <si>
    <t>FB015</t>
  </si>
  <si>
    <t>支払明細書：ホクショー(株)
【EDI】コード：FP391</t>
  </si>
  <si>
    <t>支払明細書：(株)コンテック
【EDI】コード：EM586</t>
  </si>
  <si>
    <t>GJ190</t>
  </si>
  <si>
    <t>注文書</t>
    <rPh sb="0" eb="3">
      <t>チュウモンショ</t>
    </rPh>
    <phoneticPr fontId="1"/>
  </si>
  <si>
    <t>支払明細書：(株)CSIソリューションズ
■【注文書】コード：GE285</t>
    <rPh sb="23" eb="26">
      <t>チュウモンショ</t>
    </rPh>
    <phoneticPr fontId="2"/>
  </si>
  <si>
    <t>支払明細書：NTTデータ先端技術(株)
■【注文書】コード：GA377</t>
    <rPh sb="22" eb="25">
      <t>チュウモンショ</t>
    </rPh>
    <phoneticPr fontId="2"/>
  </si>
  <si>
    <t>支払明細書：(株)アトムエンジニアリング
■【注文書】コード：EB143</t>
    <rPh sb="23" eb="26">
      <t>チュウモンショ</t>
    </rPh>
    <phoneticPr fontId="4"/>
  </si>
  <si>
    <t>注文書</t>
    <rPh sb="0" eb="3">
      <t>チュウモンショ</t>
    </rPh>
    <phoneticPr fontId="25"/>
  </si>
  <si>
    <t>支払明細書：(株)イシダ
■【注文書】コード：GB504</t>
    <rPh sb="15" eb="18">
      <t>チュウモンショ</t>
    </rPh>
    <phoneticPr fontId="4"/>
  </si>
  <si>
    <t>GB504</t>
  </si>
  <si>
    <t>支払明細書：キヤノンマーケティングジャパン(株)
■【注文書】コード：EK774</t>
    <rPh sb="27" eb="30">
      <t>チュウモンショ</t>
    </rPh>
    <phoneticPr fontId="4"/>
  </si>
  <si>
    <t>支払明細書：リコージャパン(株)
■【注文書】コード：EA249</t>
    <rPh sb="19" eb="22">
      <t>チュウモンショ</t>
    </rPh>
    <phoneticPr fontId="4"/>
  </si>
  <si>
    <t>支払明細書：伊藤忠テクノソリューションズ(株)
■【注文書】コード：ED039</t>
    <rPh sb="26" eb="29">
      <t>チュウモンショ</t>
    </rPh>
    <phoneticPr fontId="4"/>
  </si>
  <si>
    <t>支払明細書：日本アイ・ビー・エム(株)
■【注文書】コード：FF943</t>
    <rPh sb="22" eb="25">
      <t>チュウモンショ</t>
    </rPh>
    <phoneticPr fontId="4"/>
  </si>
  <si>
    <t>FF943</t>
  </si>
  <si>
    <t>支払明細書：パシフィックシステム(株)
■【注文書】コード：GA801</t>
    <rPh sb="22" eb="25">
      <t>チュウモンショ</t>
    </rPh>
    <phoneticPr fontId="4"/>
  </si>
  <si>
    <t>支払明細書：カシオテクノ(株)
■【注文書】コード：EH905</t>
    <rPh sb="18" eb="21">
      <t>チュウモンショ</t>
    </rPh>
    <phoneticPr fontId="4"/>
  </si>
  <si>
    <t>支払明細書：IDEC AUTO-ID SOLUTIONS(株)
■【注文書】コード：ED709</t>
    <rPh sb="34" eb="37">
      <t>チュウモンショ</t>
    </rPh>
    <phoneticPr fontId="4"/>
  </si>
  <si>
    <t>IDEC AUTO-ID SOLUTIONS株式会社</t>
    <rPh sb="22" eb="26">
      <t>カブシキガイシャ</t>
    </rPh>
    <phoneticPr fontId="25"/>
  </si>
  <si>
    <t>ED709</t>
  </si>
  <si>
    <t>支払明細書：(株)寺岡精工
■【注文書】コード：FA619</t>
    <rPh sb="16" eb="19">
      <t>チュウモンショ</t>
    </rPh>
    <phoneticPr fontId="4"/>
  </si>
  <si>
    <t>FA619</t>
  </si>
  <si>
    <t>支払明細書：(株)富士通ｾﾞﾈﾗﾙ情報ｼｽﾃﾑ
■【注文書】コード：GG518</t>
  </si>
  <si>
    <t>支払明細書：ＮＤＩソリューションズ(株)≪≪中締め≫≫
◆【請求書】コード：C1788　G/L勘定：66150040</t>
    <rPh sb="22" eb="23">
      <t>ナカ</t>
    </rPh>
    <rPh sb="23" eb="24">
      <t>ジ</t>
    </rPh>
    <rPh sb="30" eb="33">
      <t>セイキュウショ</t>
    </rPh>
    <rPh sb="47" eb="49">
      <t>カンジョウ</t>
    </rPh>
    <phoneticPr fontId="4"/>
  </si>
  <si>
    <t>C1788</t>
  </si>
  <si>
    <t>請求書</t>
    <rPh sb="0" eb="2">
      <t>セイキュウ</t>
    </rPh>
    <rPh sb="2" eb="3">
      <t>ショ</t>
    </rPh>
    <phoneticPr fontId="25"/>
  </si>
  <si>
    <t>支払明細書：(株)シーネット≪≪中締め≫≫
◆【請求書】コード：W0307　G/L勘定：66150040</t>
    <rPh sb="16" eb="17">
      <t>ナカ</t>
    </rPh>
    <rPh sb="17" eb="18">
      <t>ジ</t>
    </rPh>
    <rPh sb="24" eb="27">
      <t>セイキュウショ</t>
    </rPh>
    <rPh sb="41" eb="43">
      <t>カンジョウ</t>
    </rPh>
    <phoneticPr fontId="4"/>
  </si>
  <si>
    <t>W0307</t>
  </si>
  <si>
    <t>支払明細書：兼松エレクトロニクス(株)≪≪中締め≫≫
◆【請求書】コード：A868F　G/L勘定：66150040</t>
    <rPh sb="6" eb="8">
      <t>カネマツ</t>
    </rPh>
    <rPh sb="21" eb="22">
      <t>ナカ</t>
    </rPh>
    <rPh sb="22" eb="23">
      <t>ジ</t>
    </rPh>
    <rPh sb="29" eb="32">
      <t>セイキュウショ</t>
    </rPh>
    <rPh sb="46" eb="48">
      <t>カンジョウ</t>
    </rPh>
    <phoneticPr fontId="4"/>
  </si>
  <si>
    <t>兼松エレクトロニクス株式会社</t>
    <rPh sb="0" eb="2">
      <t>カネマツ</t>
    </rPh>
    <rPh sb="10" eb="14">
      <t>カブシキガイシャ</t>
    </rPh>
    <phoneticPr fontId="25"/>
  </si>
  <si>
    <t>A868F</t>
  </si>
  <si>
    <t>支払明細書：(株)ジェイ エスキューブ≪≪末締め≫≫
◆【請求書】コード：P1013　G/L勘定：66150040</t>
    <rPh sb="21" eb="22">
      <t>マツ</t>
    </rPh>
    <rPh sb="22" eb="23">
      <t>ジ</t>
    </rPh>
    <rPh sb="29" eb="32">
      <t>セイキュウショ</t>
    </rPh>
    <rPh sb="46" eb="48">
      <t>カンジョウ</t>
    </rPh>
    <phoneticPr fontId="2"/>
  </si>
  <si>
    <t>請求書</t>
    <rPh sb="0" eb="2">
      <t>セイキュウ</t>
    </rPh>
    <rPh sb="2" eb="3">
      <t>ショ</t>
    </rPh>
    <phoneticPr fontId="1"/>
  </si>
  <si>
    <t>支払明細書：エプソン販売(株)≪≪末締め≫≫
◆【請求書】コード：B2328　G/L勘定：66150040</t>
    <rPh sb="17" eb="18">
      <t>マツ</t>
    </rPh>
    <rPh sb="18" eb="19">
      <t>ジ</t>
    </rPh>
    <rPh sb="25" eb="28">
      <t>セイキュウショ</t>
    </rPh>
    <rPh sb="42" eb="44">
      <t>カンジョウ</t>
    </rPh>
    <phoneticPr fontId="4"/>
  </si>
  <si>
    <t>B2328</t>
  </si>
  <si>
    <t>支払明細書：ミツイワ(株)≪≪末締め≫≫
◆【請求書】コード：B2555　G/L勘定：66150040</t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</si>
  <si>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B2555</t>
  </si>
  <si>
    <t>支払明細書：日本ビジネスコンピュータ(株)≪≪末締め≫≫
◆【請求書】コード：L1435　G/L勘定：66150040</t>
    <rPh sb="23" eb="24">
      <t>マツ</t>
    </rPh>
    <rPh sb="24" eb="25">
      <t>ジ</t>
    </rPh>
    <rPh sb="31" eb="34">
      <t>セイキュウショ</t>
    </rPh>
    <rPh sb="48" eb="50">
      <t>カンジョウ</t>
    </rPh>
    <phoneticPr fontId="4"/>
  </si>
  <si>
    <t>支払明細書：富士電機(株)≪≪末締め≫≫
◆【請求書】コード：A042C　G/L勘定：66150040</t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</si>
  <si>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A042C</t>
  </si>
  <si>
    <t>A465A</t>
  </si>
  <si>
    <t>日本ハネウェル株式会社</t>
    <rPh sb="7" eb="11">
      <t>カブシキカイシャ</t>
    </rPh>
    <phoneticPr fontId="26"/>
  </si>
  <si>
    <t>A020D</t>
  </si>
  <si>
    <t>支払明細書：都築電気(株)≪≪末締め≫≫
◆【請求書】コード：A0281　G/L勘定：66150040</t>
    <rPh sb="6" eb="8">
      <t>ツヅキ</t>
    </rPh>
    <rPh sb="8" eb="10">
      <t>デンキ</t>
    </rPh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</si>
  <si>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都築電気株式会社</t>
    <rPh sb="0" eb="2">
      <t>ツヅキ</t>
    </rPh>
    <rPh sb="2" eb="4">
      <t>デンキ</t>
    </rPh>
    <rPh sb="4" eb="8">
      <t>カ</t>
    </rPh>
    <phoneticPr fontId="25"/>
  </si>
  <si>
    <t>A0281</t>
  </si>
  <si>
    <t>支払明細書：(株)大塚商会≪≪末締め≫≫
◆【請求書】コード：Ｄ2221　G/L勘定：66150040</t>
    <rPh sb="9" eb="11">
      <t>オオツカ</t>
    </rPh>
    <rPh sb="11" eb="13">
      <t>ショウカイ</t>
    </rPh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</si>
  <si>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株式会社大塚商会</t>
    <rPh sb="0" eb="4">
      <t>カ</t>
    </rPh>
    <rPh sb="4" eb="6">
      <t>オオツカ</t>
    </rPh>
    <rPh sb="6" eb="8">
      <t>ショウカイ</t>
    </rPh>
    <phoneticPr fontId="25"/>
  </si>
  <si>
    <t>D2221</t>
  </si>
  <si>
    <t>支払明細書：イーソル(株)≪≪末締め≫≫
◆【請求書】コード：Ｄ1881　G/L勘定：66150040</t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</si>
  <si>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D1881</t>
  </si>
  <si>
    <t>支払明細書：三谷産業(株)≪≪末締め≫≫
◆【請求書】コード：L0147　G/L勘定：66150040</t>
    <rPh sb="6" eb="8">
      <t>ミタニ</t>
    </rPh>
    <rPh sb="8" eb="10">
      <t>サンギョウ</t>
    </rPh>
    <rPh sb="15" eb="16">
      <t>マツ</t>
    </rPh>
    <rPh sb="16" eb="17">
      <t>ジ</t>
    </rPh>
    <rPh sb="23" eb="26">
      <t>セイキュウショ</t>
    </rPh>
    <rPh sb="40" eb="42">
      <t>カンジョウ</t>
    </rPh>
    <phoneticPr fontId="4"/>
  </si>
  <si>
    <t>三谷産業株式会社</t>
    <rPh sb="0" eb="2">
      <t>ミタニ</t>
    </rPh>
    <rPh sb="2" eb="4">
      <t>サンギョウ</t>
    </rPh>
    <rPh sb="4" eb="8">
      <t>カブシキガイシャ</t>
    </rPh>
    <phoneticPr fontId="25"/>
  </si>
  <si>
    <t>L0147</t>
  </si>
  <si>
    <t>支払明細書：(株)タクテック≪≪末締め≫≫
◆【請求書】コード：A963L　G/L勘定：66150040</t>
    <rPh sb="16" eb="17">
      <t>マツ</t>
    </rPh>
    <rPh sb="17" eb="18">
      <t>ジ</t>
    </rPh>
    <rPh sb="24" eb="27">
      <t>セイキュウショ</t>
    </rPh>
    <rPh sb="41" eb="43">
      <t>カンジョウ</t>
    </rPh>
    <phoneticPr fontId="4"/>
  </si>
  <si>
    <t>株式会社タクテック</t>
    <rPh sb="0" eb="4">
      <t>カブシキガイシャ</t>
    </rPh>
    <phoneticPr fontId="25"/>
  </si>
  <si>
    <t>A963L</t>
  </si>
  <si>
    <t>ＥＤＩ</t>
  </si>
  <si>
    <t>GG518</t>
  </si>
  <si>
    <t>中</t>
    <rPh sb="0" eb="1">
      <t>ナカ</t>
    </rPh>
    <phoneticPr fontId="25"/>
  </si>
  <si>
    <t>末</t>
    <rPh sb="0" eb="1">
      <t>マツ</t>
    </rPh>
    <phoneticPr fontId="25"/>
  </si>
  <si>
    <t>都築電気株式会社</t>
  </si>
  <si>
    <t>株式会社大塚商会</t>
  </si>
  <si>
    <t>三谷産業株式会社</t>
  </si>
  <si>
    <t>ジック株式会社</t>
  </si>
  <si>
    <t>ES789</t>
  </si>
  <si>
    <t>支払明細書：ジック(株)
【EDI】コード：ES789</t>
    <rPh sb="10" eb="11">
      <t>カブ</t>
    </rPh>
    <phoneticPr fontId="4"/>
  </si>
  <si>
    <t>支払明細書：東芝テック(株)
【EDI】コード：FB496</t>
    <rPh sb="6" eb="8">
      <t>トウシバ</t>
    </rPh>
    <rPh sb="12" eb="13">
      <t>カブ</t>
    </rPh>
    <phoneticPr fontId="4"/>
  </si>
  <si>
    <t>東芝テック株式会社</t>
  </si>
  <si>
    <t>FB496</t>
  </si>
  <si>
    <t>東芝テック株式会社</t>
    <phoneticPr fontId="2"/>
  </si>
  <si>
    <t>小計_A</t>
    <rPh sb="0" eb="2">
      <t>ショウケイ</t>
    </rPh>
    <phoneticPr fontId="2"/>
  </si>
  <si>
    <t>小計_B</t>
    <rPh sb="0" eb="2">
      <t>ショウケイ</t>
    </rPh>
    <phoneticPr fontId="2"/>
  </si>
  <si>
    <t>注文書合計（Ａ+Ｂ）</t>
    <phoneticPr fontId="26"/>
  </si>
  <si>
    <t>処理</t>
    <rPh sb="0" eb="2">
      <t>ショリ</t>
    </rPh>
    <phoneticPr fontId="26"/>
  </si>
  <si>
    <t>↓納品書</t>
    <rPh sb="1" eb="4">
      <t>ノウヒンショ</t>
    </rPh>
    <phoneticPr fontId="26"/>
  </si>
  <si>
    <t>↓事前発注分</t>
    <rPh sb="1" eb="5">
      <t>ジゼンハッチュウ</t>
    </rPh>
    <rPh sb="5" eb="6">
      <t>ブン</t>
    </rPh>
    <phoneticPr fontId="2"/>
  </si>
  <si>
    <t>↓注文書</t>
    <rPh sb="1" eb="4">
      <t>チュウモンショ</t>
    </rPh>
    <phoneticPr fontId="26"/>
  </si>
  <si>
    <t>中締め</t>
    <rPh sb="0" eb="2">
      <t>ナカジ</t>
    </rPh>
    <phoneticPr fontId="2"/>
  </si>
  <si>
    <t>0WH</t>
    <phoneticPr fontId="2"/>
  </si>
  <si>
    <t>支払明細書：(株)立花エレテック
【EDI】コード：EW984</t>
    <rPh sb="7" eb="8">
      <t>カブ</t>
    </rPh>
    <rPh sb="9" eb="11">
      <t>タチバナ</t>
    </rPh>
    <phoneticPr fontId="4"/>
  </si>
  <si>
    <t>株式会社立花エレテック</t>
    <rPh sb="0" eb="4">
      <t>カブシキガイシャ</t>
    </rPh>
    <rPh sb="4" eb="6">
      <t>タチバナ</t>
    </rPh>
    <phoneticPr fontId="25"/>
  </si>
  <si>
    <t>株式会社立花エレテック</t>
    <rPh sb="0" eb="4">
      <t>カブシキガイシャ</t>
    </rPh>
    <rPh sb="4" eb="6">
      <t>タチバナ</t>
    </rPh>
    <phoneticPr fontId="2"/>
  </si>
  <si>
    <t>株式会社立花エレテック</t>
    <rPh sb="4" eb="6">
      <t>タチバナ</t>
    </rPh>
    <phoneticPr fontId="2"/>
  </si>
  <si>
    <t>中締め</t>
    <rPh sb="0" eb="2">
      <t>ナカジ</t>
    </rPh>
    <phoneticPr fontId="2"/>
  </si>
  <si>
    <t>デル・テクノロジーズ株式会社</t>
    <phoneticPr fontId="2"/>
  </si>
  <si>
    <t>請求書</t>
    <rPh sb="0" eb="3">
      <t>セイキュウショ</t>
    </rPh>
    <phoneticPr fontId="1"/>
  </si>
  <si>
    <t>←2022.4月～（株）日立インダストリアルプロダクツが窓口　（※MCMは未修正の為、(株)日立製作所　でデータ抽出される！！）</t>
    <rPh sb="7" eb="8">
      <t>ガツ</t>
    </rPh>
    <rPh sb="9" eb="12">
      <t>カブ</t>
    </rPh>
    <rPh sb="12" eb="14">
      <t>ヒタチ</t>
    </rPh>
    <rPh sb="28" eb="30">
      <t>マドグチ</t>
    </rPh>
    <rPh sb="37" eb="40">
      <t>ミシュウセイ</t>
    </rPh>
    <rPh sb="41" eb="42">
      <t>タメ</t>
    </rPh>
    <rPh sb="43" eb="46">
      <t>カブ</t>
    </rPh>
    <rPh sb="46" eb="48">
      <t>ヒタチ</t>
    </rPh>
    <rPh sb="48" eb="51">
      <t>セイサクショ</t>
    </rPh>
    <rPh sb="56" eb="58">
      <t>チュウシュツ</t>
    </rPh>
    <phoneticPr fontId="2"/>
  </si>
  <si>
    <t>椿本興業株式会社</t>
  </si>
  <si>
    <t>椿本興業株式会社</t>
    <rPh sb="4" eb="8">
      <t>カブシキカイシャ</t>
    </rPh>
    <phoneticPr fontId="25"/>
  </si>
  <si>
    <t>←2023/3/30追加</t>
    <rPh sb="10" eb="12">
      <t>ツイカ</t>
    </rPh>
    <phoneticPr fontId="26"/>
  </si>
  <si>
    <t>GK326</t>
  </si>
  <si>
    <t>支払明細書：(株)日立インダストリアルプロダクツ≪≪末締め≫≫
■【請求書】コード：AAY17</t>
    <rPh sb="9" eb="11">
      <t>ヒタチ</t>
    </rPh>
    <rPh sb="34" eb="37">
      <t>セイキュウショ</t>
    </rPh>
    <phoneticPr fontId="4"/>
  </si>
  <si>
    <t>旧：日立物流ソフトウェア(株)</t>
    <rPh sb="0" eb="1">
      <t>キュウ</t>
    </rPh>
    <phoneticPr fontId="26"/>
  </si>
  <si>
    <t>ロジスティードソリューションズ株式会社</t>
  </si>
  <si>
    <t>請求書</t>
    <rPh sb="0" eb="2">
      <t>セイキュウ</t>
    </rPh>
    <rPh sb="2" eb="3">
      <t>ショ</t>
    </rPh>
    <phoneticPr fontId="5"/>
  </si>
  <si>
    <t>日本ハネウェル株式会社</t>
    <rPh sb="7" eb="11">
      <t>カブシキカイシャ</t>
    </rPh>
    <phoneticPr fontId="2"/>
  </si>
  <si>
    <t>支払明細書：ロジスティードソリューションズ(株)≪≪末締め≫≫
◆【請求書】コード：A465A　G/L勘定：66150040</t>
    <rPh sb="22" eb="23">
      <t>カブ</t>
    </rPh>
    <rPh sb="26" eb="27">
      <t>マツ</t>
    </rPh>
    <rPh sb="27" eb="28">
      <t>ジ</t>
    </rPh>
    <rPh sb="34" eb="37">
      <t>セイキュウショ</t>
    </rPh>
    <rPh sb="51" eb="53">
      <t>カンジョウ</t>
    </rPh>
    <phoneticPr fontId="12"/>
  </si>
  <si>
    <t>紙媒体</t>
    <rPh sb="0" eb="3">
      <t>カミバイタイ</t>
    </rPh>
    <phoneticPr fontId="26"/>
  </si>
  <si>
    <t>電子データ（WEBからダウンロード）</t>
    <rPh sb="0" eb="2">
      <t>デンシ</t>
    </rPh>
    <phoneticPr fontId="26"/>
  </si>
  <si>
    <t>電子データ（メール）&amp;紙媒体</t>
    <rPh sb="0" eb="2">
      <t>デンシ</t>
    </rPh>
    <rPh sb="11" eb="12">
      <t>カミ</t>
    </rPh>
    <rPh sb="12" eb="14">
      <t>バイタイ</t>
    </rPh>
    <phoneticPr fontId="26"/>
  </si>
  <si>
    <t>紙媒体</t>
    <rPh sb="0" eb="1">
      <t>カミ</t>
    </rPh>
    <rPh sb="1" eb="3">
      <t>バイタイ</t>
    </rPh>
    <phoneticPr fontId="26"/>
  </si>
  <si>
    <t>MCMデータのみ</t>
    <phoneticPr fontId="26"/>
  </si>
  <si>
    <t>支払明細書：(株)アイオイ・システム
【EDI】コード：EB833</t>
    <rPh sb="6" eb="9">
      <t>カブ</t>
    </rPh>
    <phoneticPr fontId="4"/>
  </si>
  <si>
    <t>株式会社アイオイ・システム</t>
    <phoneticPr fontId="2"/>
  </si>
  <si>
    <t>支払明細書：(株)MujinJapan≪≪末締め≫≫
◆【請求書】コード：A572Q　G/L勘定：66150040</t>
    <rPh sb="6" eb="9">
      <t>カブ</t>
    </rPh>
    <rPh sb="21" eb="22">
      <t>マツ</t>
    </rPh>
    <rPh sb="22" eb="23">
      <t>ジ</t>
    </rPh>
    <rPh sb="29" eb="32">
      <t>セイキュウショ</t>
    </rPh>
    <rPh sb="46" eb="48">
      <t>カンジョウ</t>
    </rPh>
    <phoneticPr fontId="4"/>
  </si>
  <si>
    <t>←2024.3月～(株)MujinJapanへ会社名変更</t>
    <rPh sb="7" eb="8">
      <t>ガツ</t>
    </rPh>
    <rPh sb="23" eb="26">
      <t>カイシャメイ</t>
    </rPh>
    <rPh sb="26" eb="28">
      <t>ヘンコウ</t>
    </rPh>
    <phoneticPr fontId="2"/>
  </si>
  <si>
    <t>←2024.4月仕入先コード変更（請求書に記載の振込先口座が変わっていた為、該当口座のコードへ変更）（※MCMはキリンドルジャパン合同会社）</t>
    <rPh sb="7" eb="8">
      <t>ガツ</t>
    </rPh>
    <rPh sb="8" eb="11">
      <t>シイレサキ</t>
    </rPh>
    <rPh sb="14" eb="16">
      <t>ヘンコウ</t>
    </rPh>
    <rPh sb="17" eb="20">
      <t>セイキュウショ</t>
    </rPh>
    <rPh sb="21" eb="23">
      <t>キサイ</t>
    </rPh>
    <rPh sb="24" eb="26">
      <t>フリコミ</t>
    </rPh>
    <rPh sb="26" eb="27">
      <t>サキ</t>
    </rPh>
    <rPh sb="27" eb="29">
      <t>コウザ</t>
    </rPh>
    <rPh sb="30" eb="31">
      <t>カ</t>
    </rPh>
    <rPh sb="36" eb="37">
      <t>タメ</t>
    </rPh>
    <rPh sb="38" eb="40">
      <t>ガイトウ</t>
    </rPh>
    <rPh sb="40" eb="42">
      <t>コウザ</t>
    </rPh>
    <rPh sb="47" eb="49">
      <t>ヘンコウ</t>
    </rPh>
    <rPh sb="65" eb="67">
      <t>ゴウドウ</t>
    </rPh>
    <rPh sb="67" eb="69">
      <t>カイシャ</t>
    </rPh>
    <phoneticPr fontId="26"/>
  </si>
  <si>
    <r>
      <t>NXNPﾛｼﾞ分はMCMにデータない為、</t>
    </r>
    <r>
      <rPr>
        <sz val="11"/>
        <color rgb="FFFF0000"/>
        <rFont val="Meiryo UI"/>
        <family val="3"/>
        <charset val="128"/>
      </rPr>
      <t>予定</t>
    </r>
    <r>
      <rPr>
        <sz val="11"/>
        <rFont val="Meiryo UI"/>
        <family val="3"/>
        <charset val="128"/>
      </rPr>
      <t>にデータ追加する</t>
    </r>
    <rPh sb="7" eb="8">
      <t>ブン</t>
    </rPh>
    <rPh sb="18" eb="19">
      <t>タメ</t>
    </rPh>
    <rPh sb="21" eb="22">
      <t>ヨテイ</t>
    </rPh>
    <rPh sb="26" eb="28">
      <t>ツイカ</t>
    </rPh>
    <phoneticPr fontId="2"/>
  </si>
  <si>
    <r>
      <t>MCMにデータない為、</t>
    </r>
    <r>
      <rPr>
        <sz val="11"/>
        <color rgb="FFFF0000"/>
        <rFont val="Meiryo UI"/>
        <family val="3"/>
        <charset val="128"/>
      </rPr>
      <t>予定</t>
    </r>
    <r>
      <rPr>
        <sz val="11"/>
        <rFont val="Meiryo UI"/>
        <family val="3"/>
        <charset val="128"/>
      </rPr>
      <t>にデータ追加する。</t>
    </r>
    <rPh sb="17" eb="19">
      <t>ツイカ</t>
    </rPh>
    <phoneticPr fontId="2"/>
  </si>
  <si>
    <t>支払明細書：椿本興業(株)≪≪末締め≫≫
◆【ＥＤＩ】コード：GK688　G/L勘定：66150040</t>
    <rPh sb="6" eb="8">
      <t>ツバキモト</t>
    </rPh>
    <rPh sb="8" eb="10">
      <t>コウギョウ</t>
    </rPh>
    <rPh sb="10" eb="13">
      <t>カブ</t>
    </rPh>
    <rPh sb="15" eb="16">
      <t>マツ</t>
    </rPh>
    <rPh sb="16" eb="17">
      <t>ジ</t>
    </rPh>
    <rPh sb="40" eb="42">
      <t>カンジョウ</t>
    </rPh>
    <phoneticPr fontId="4"/>
  </si>
  <si>
    <t>※2024/5/13～EDI稼働（請求書：A781P⇒　EDI：GK688へ変更）</t>
    <rPh sb="14" eb="16">
      <t>カドウ</t>
    </rPh>
    <rPh sb="17" eb="20">
      <t>セイキュウショ</t>
    </rPh>
    <rPh sb="38" eb="40">
      <t>ヘンコウ</t>
    </rPh>
    <phoneticPr fontId="26"/>
  </si>
  <si>
    <t>※2024/5/13～EDI稼働（請求書：A781P⇒　EDI：GK688へ変更）</t>
    <phoneticPr fontId="2"/>
  </si>
  <si>
    <t>EW984</t>
    <phoneticPr fontId="2"/>
  </si>
  <si>
    <t>FB496</t>
    <phoneticPr fontId="2"/>
  </si>
  <si>
    <t>EB833</t>
    <phoneticPr fontId="2"/>
  </si>
  <si>
    <t>GK688</t>
    <phoneticPr fontId="26"/>
  </si>
  <si>
    <t>AAY17</t>
    <phoneticPr fontId="2"/>
  </si>
  <si>
    <t>ロジスティードソリューションズ株式会社</t>
    <phoneticPr fontId="2"/>
  </si>
  <si>
    <t>A048P</t>
    <phoneticPr fontId="2"/>
  </si>
  <si>
    <t>A572Q</t>
    <phoneticPr fontId="26"/>
  </si>
  <si>
    <t>GK326</t>
    <phoneticPr fontId="2"/>
  </si>
  <si>
    <t>デル・テクノロジーズ株式会社</t>
    <phoneticPr fontId="26"/>
  </si>
  <si>
    <t>EB833</t>
    <phoneticPr fontId="26"/>
  </si>
  <si>
    <t>←2023.4月～　ロジスティードソリューション（株）に社名変更</t>
    <phoneticPr fontId="2"/>
  </si>
  <si>
    <t>A833P</t>
    <phoneticPr fontId="2"/>
  </si>
  <si>
    <t>GK688</t>
    <phoneticPr fontId="2"/>
  </si>
  <si>
    <t>EDI</t>
    <phoneticPr fontId="25"/>
  </si>
  <si>
    <t>株式会社日立インダストリアルプロダクツ</t>
    <phoneticPr fontId="2"/>
  </si>
  <si>
    <t>AAY17</t>
    <phoneticPr fontId="26"/>
  </si>
  <si>
    <t>株式会社Mujin Japan</t>
    <phoneticPr fontId="2"/>
  </si>
  <si>
    <t>株式会社Mujin Japan</t>
    <phoneticPr fontId="25"/>
  </si>
  <si>
    <t>株式会社Mujin Japan</t>
    <phoneticPr fontId="26"/>
  </si>
  <si>
    <t>※税込金額注意</t>
    <rPh sb="1" eb="3">
      <t>ゼイコ</t>
    </rPh>
    <rPh sb="3" eb="5">
      <t>キンガク</t>
    </rPh>
    <rPh sb="5" eb="7">
      <t>チュウイ</t>
    </rPh>
    <phoneticPr fontId="2"/>
  </si>
  <si>
    <t>株式会社リコー</t>
  </si>
  <si>
    <t>株式会社リコー</t>
    <rPh sb="0" eb="4">
      <t>カブシキガイシャ</t>
    </rPh>
    <phoneticPr fontId="25"/>
  </si>
  <si>
    <t>A217R</t>
  </si>
  <si>
    <t>←2025.1月～追加</t>
    <rPh sb="7" eb="8">
      <t>ガツ</t>
    </rPh>
    <rPh sb="9" eb="11">
      <t>ツイカ</t>
    </rPh>
    <phoneticPr fontId="2"/>
  </si>
  <si>
    <t>中締め、末締め不明</t>
    <rPh sb="0" eb="2">
      <t>ナカジ</t>
    </rPh>
    <rPh sb="4" eb="6">
      <t>マツジ</t>
    </rPh>
    <rPh sb="7" eb="9">
      <t>フメイ</t>
    </rPh>
    <phoneticPr fontId="2"/>
  </si>
  <si>
    <t>中締OR末締不明</t>
    <rPh sb="0" eb="2">
      <t>ナカジ</t>
    </rPh>
    <rPh sb="4" eb="6">
      <t>マツジ</t>
    </rPh>
    <rPh sb="6" eb="8">
      <t>フメイ</t>
    </rPh>
    <phoneticPr fontId="2"/>
  </si>
  <si>
    <t>株式会社リコー</t>
    <phoneticPr fontId="2"/>
  </si>
  <si>
    <t>株式会社NTTデータ</t>
  </si>
  <si>
    <t>株式会社NTTデータ</t>
    <phoneticPr fontId="2"/>
  </si>
  <si>
    <t>キンドリルジャパン株式会社</t>
    <phoneticPr fontId="2"/>
  </si>
  <si>
    <t>三菱電機デジタルイノベーション株式会社</t>
  </si>
  <si>
    <t>FM294</t>
    <phoneticPr fontId="26"/>
  </si>
  <si>
    <t>FL734</t>
    <phoneticPr fontId="26"/>
  </si>
  <si>
    <t>支払明細書：(株)サトー
【EDI】コード：EQ506</t>
    <phoneticPr fontId="26"/>
  </si>
  <si>
    <t>EQ506</t>
    <phoneticPr fontId="26"/>
  </si>
  <si>
    <t>支払明細書：(株)NTTデータ
■【注文書】コード：GK326　G/L勘定：66150040</t>
    <rPh sb="18" eb="21">
      <t>チュウモンショ</t>
    </rPh>
    <phoneticPr fontId="4"/>
  </si>
  <si>
    <t>支払明細書：デル・テクノロジーズ(株)
【EDI】コード：FB015</t>
    <phoneticPr fontId="26"/>
  </si>
  <si>
    <t>支払明細書：三菱電機デジタルイノベーション(株)
【EDI】コード：GJ190</t>
    <rPh sb="22" eb="23">
      <t>カブ</t>
    </rPh>
    <phoneticPr fontId="4"/>
  </si>
  <si>
    <t>キンドリルジャパン株式会社</t>
    <phoneticPr fontId="25"/>
  </si>
  <si>
    <t>旧：日立製作所</t>
    <rPh sb="0" eb="1">
      <t>キュウ</t>
    </rPh>
    <rPh sb="2" eb="7">
      <t>ヒタチセイサクショ</t>
    </rPh>
    <phoneticPr fontId="26"/>
  </si>
  <si>
    <r>
      <t>支払明細書：(株)リコー</t>
    </r>
    <r>
      <rPr>
        <sz val="11"/>
        <color rgb="FFFF0000"/>
        <rFont val="Meiryo UI"/>
        <family val="3"/>
        <charset val="128"/>
      </rPr>
      <t>≪≪末締め≫≫</t>
    </r>
    <r>
      <rPr>
        <sz val="11"/>
        <rFont val="Meiryo UI"/>
        <family val="3"/>
        <charset val="128"/>
      </rPr>
      <t xml:space="preserve">
◆【請求書】コード：A779R　G/L勘定：66150040</t>
    </r>
    <rPh sb="6" eb="9">
      <t>カブ</t>
    </rPh>
    <rPh sb="22" eb="25">
      <t>セイキュウショ</t>
    </rPh>
    <rPh sb="39" eb="41">
      <t>カンジョウ</t>
    </rPh>
    <phoneticPr fontId="4"/>
  </si>
  <si>
    <t>A779R</t>
    <phoneticPr fontId="2"/>
  </si>
  <si>
    <t>←2025.1月～追加　←2025.8月請求書に基づき新規コード取得</t>
    <rPh sb="7" eb="8">
      <t>ガツ</t>
    </rPh>
    <rPh sb="9" eb="11">
      <t>ツイカ</t>
    </rPh>
    <rPh sb="19" eb="20">
      <t>ガツ</t>
    </rPh>
    <rPh sb="20" eb="23">
      <t>セイキュウショ</t>
    </rPh>
    <rPh sb="24" eb="25">
      <t>モト</t>
    </rPh>
    <rPh sb="27" eb="29">
      <t>シンキ</t>
    </rPh>
    <rPh sb="32" eb="34">
      <t>シュトク</t>
    </rPh>
    <phoneticPr fontId="2"/>
  </si>
  <si>
    <t>削除フラグ</t>
    <rPh sb="0" eb="2">
      <t>サクジョ</t>
    </rPh>
    <phoneticPr fontId="2"/>
  </si>
  <si>
    <t>伊藤忠テクノソリューションズ(株)</t>
    <phoneticPr fontId="2"/>
  </si>
  <si>
    <t xml:space="preserve">	B1399</t>
    <phoneticPr fontId="2"/>
  </si>
  <si>
    <t>(株)CSIｿﾘｭｰｼｮﾝｽﾞ</t>
    <phoneticPr fontId="2"/>
  </si>
  <si>
    <t>A351E</t>
    <phoneticPr fontId="2"/>
  </si>
  <si>
    <t>納品書</t>
    <rPh sb="0" eb="3">
      <t>ノウヒンショ</t>
    </rPh>
    <phoneticPr fontId="2"/>
  </si>
  <si>
    <t>(株)アトムエンジニアリング</t>
    <phoneticPr fontId="2"/>
  </si>
  <si>
    <t>日本アイ・ビー・エム(株)</t>
    <phoneticPr fontId="2"/>
  </si>
  <si>
    <t>パシフィックシステム(株)</t>
    <phoneticPr fontId="2"/>
  </si>
  <si>
    <t>カシオテクノ(株)</t>
    <phoneticPr fontId="2"/>
  </si>
  <si>
    <t>請求書で数件コードあり（銀行口座不一致）</t>
    <rPh sb="0" eb="3">
      <t>セイキュウショ</t>
    </rPh>
    <rPh sb="4" eb="6">
      <t>スウケン</t>
    </rPh>
    <rPh sb="12" eb="14">
      <t>ギンコウ</t>
    </rPh>
    <rPh sb="14" eb="16">
      <t>コウザ</t>
    </rPh>
    <rPh sb="16" eb="19">
      <t>フイッチ</t>
    </rPh>
    <phoneticPr fontId="2"/>
  </si>
  <si>
    <t>株式会社寺岡精工</t>
    <phoneticPr fontId="2"/>
  </si>
  <si>
    <t>(株)富士通ｾﾞﾈﾗﾙ情報ｼｽﾃﾑ</t>
    <phoneticPr fontId="2"/>
  </si>
  <si>
    <t>ＮＤＩソリューションズ(株)</t>
    <phoneticPr fontId="2"/>
  </si>
  <si>
    <t>(株)シーネット</t>
    <phoneticPr fontId="2"/>
  </si>
  <si>
    <t xml:space="preserve">	EH013</t>
    <phoneticPr fontId="2"/>
  </si>
  <si>
    <t>P1013</t>
    <phoneticPr fontId="2"/>
  </si>
  <si>
    <t>株式会社ジェイ エスキューブ</t>
    <phoneticPr fontId="2"/>
  </si>
  <si>
    <t>エプソン販売(株)</t>
    <phoneticPr fontId="2"/>
  </si>
  <si>
    <t>ミツイワ(株)</t>
    <phoneticPr fontId="2"/>
  </si>
  <si>
    <t>日本ビジネスコンピュータ(株)</t>
    <phoneticPr fontId="2"/>
  </si>
  <si>
    <t>L1435</t>
    <phoneticPr fontId="2"/>
  </si>
  <si>
    <t>ＪＢＣＣ株式会社</t>
    <phoneticPr fontId="2"/>
  </si>
  <si>
    <t>富士電機(株)</t>
    <phoneticPr fontId="2"/>
  </si>
  <si>
    <t xml:space="preserve">	EG611</t>
    <phoneticPr fontId="2"/>
  </si>
  <si>
    <t>イーソル株式会社</t>
    <phoneticPr fontId="2"/>
  </si>
  <si>
    <t>3：支払通知書（EDI）</t>
    <phoneticPr fontId="2"/>
  </si>
  <si>
    <t>GB504</t>
    <phoneticPr fontId="2"/>
  </si>
  <si>
    <t>EK774</t>
    <phoneticPr fontId="2"/>
  </si>
  <si>
    <t>支払通知書（郵送）</t>
    <phoneticPr fontId="2"/>
  </si>
  <si>
    <t>EA249</t>
    <phoneticPr fontId="2"/>
  </si>
  <si>
    <t>ED039</t>
    <phoneticPr fontId="2"/>
  </si>
  <si>
    <t>GA801</t>
    <phoneticPr fontId="2"/>
  </si>
  <si>
    <t>EH905</t>
    <phoneticPr fontId="2"/>
  </si>
  <si>
    <t>ED709</t>
    <phoneticPr fontId="2"/>
  </si>
  <si>
    <t>FA619</t>
    <phoneticPr fontId="2"/>
  </si>
  <si>
    <t>EB143</t>
    <phoneticPr fontId="2"/>
  </si>
  <si>
    <t>GB552</t>
    <phoneticPr fontId="2"/>
  </si>
  <si>
    <t>1：国内仕入先（EDI）</t>
    <phoneticPr fontId="2"/>
  </si>
  <si>
    <t>注文書</t>
    <rPh sb="0" eb="3">
      <t>チュウモンショ</t>
    </rPh>
    <phoneticPr fontId="2"/>
  </si>
  <si>
    <t>D1881</t>
    <phoneticPr fontId="2"/>
  </si>
  <si>
    <t>取引先マスタのフラグ↓</t>
    <rPh sb="0" eb="3">
      <t>トリヒキサキ</t>
    </rPh>
    <phoneticPr fontId="2"/>
  </si>
  <si>
    <t>支払明細書：日本ハネウェル合同会社≪≪中締め≫≫
◆【請求書】コード：A102S　G/L勘定：66150040</t>
    <rPh sb="13" eb="17">
      <t>ゴウドウカイシャ</t>
    </rPh>
    <rPh sb="19" eb="20">
      <t>ナカ</t>
    </rPh>
    <rPh sb="20" eb="21">
      <t>ジ</t>
    </rPh>
    <rPh sb="27" eb="30">
      <t>セイキュウショ</t>
    </rPh>
    <rPh sb="44" eb="46">
      <t>カンジョウ</t>
    </rPh>
    <phoneticPr fontId="4"/>
  </si>
  <si>
    <t>旧：日本ハネウェル株式会社</t>
    <rPh sb="0" eb="1">
      <t>キュウ</t>
    </rPh>
    <rPh sb="2" eb="4">
      <t>ニホン</t>
    </rPh>
    <rPh sb="9" eb="13">
      <t>カブシキカイシャ</t>
    </rPh>
    <phoneticPr fontId="2"/>
  </si>
  <si>
    <t>支払明細書：キンドリルジャパン(株)≪≪中締め≫≫
◆【請求書】コード：A833P　G/L勘定：66150040</t>
    <rPh sb="15" eb="18">
      <t>カブ</t>
    </rPh>
    <rPh sb="20" eb="21">
      <t>ナカ</t>
    </rPh>
    <rPh sb="21" eb="22">
      <t>ジ</t>
    </rPh>
    <rPh sb="28" eb="31">
      <t>セイキュウショ</t>
    </rPh>
    <rPh sb="45" eb="47">
      <t>カンジョウ</t>
    </rPh>
    <phoneticPr fontId="4"/>
  </si>
  <si>
    <r>
      <t>支払明細書：エトリア(株)</t>
    </r>
    <r>
      <rPr>
        <sz val="11"/>
        <color rgb="FFFF0000"/>
        <rFont val="Meiryo UI"/>
        <family val="3"/>
        <charset val="128"/>
      </rPr>
      <t>≪≪末締め≫≫</t>
    </r>
    <r>
      <rPr>
        <sz val="11"/>
        <rFont val="Meiryo UI"/>
        <family val="3"/>
        <charset val="128"/>
      </rPr>
      <t xml:space="preserve">
◆【請求書】コード：A879R　G/L勘定：66150040</t>
    </r>
    <rPh sb="22" eb="25">
      <t>セイキュウショ</t>
    </rPh>
    <rPh sb="39" eb="41">
      <t>カンジョウ</t>
    </rPh>
    <phoneticPr fontId="4"/>
  </si>
  <si>
    <t>エトリア株式会社</t>
    <rPh sb="4" eb="8">
      <t>カブシキカイシャ</t>
    </rPh>
    <phoneticPr fontId="2"/>
  </si>
  <si>
    <t>A879R</t>
    <phoneticPr fontId="2"/>
  </si>
  <si>
    <t>←2026.1月～追加　</t>
    <rPh sb="7" eb="8">
      <t>ガツ</t>
    </rPh>
    <rPh sb="9" eb="11">
      <t>ツイカ</t>
    </rPh>
    <phoneticPr fontId="2"/>
  </si>
  <si>
    <r>
      <t>支払明細書：(株)日立オートメーション</t>
    </r>
    <r>
      <rPr>
        <sz val="11"/>
        <color rgb="FFFF0000"/>
        <rFont val="Meiryo UI"/>
        <family val="3"/>
        <charset val="128"/>
      </rPr>
      <t>≪≪？？？≫≫</t>
    </r>
    <r>
      <rPr>
        <sz val="11"/>
        <rFont val="Meiryo UI"/>
        <family val="3"/>
        <charset val="128"/>
      </rPr>
      <t xml:space="preserve">
◆【請求書】コード：　　　　G/L勘定：66150040</t>
    </r>
    <rPh sb="6" eb="9">
      <t>カブ</t>
    </rPh>
    <rPh sb="9" eb="11">
      <t>ヒタチ</t>
    </rPh>
    <rPh sb="28" eb="31">
      <t>セイキュウショ</t>
    </rPh>
    <rPh sb="43" eb="45">
      <t>カンジョウ</t>
    </rPh>
    <phoneticPr fontId="4"/>
  </si>
  <si>
    <t>株式会社日立オートメーション</t>
    <phoneticPr fontId="26"/>
  </si>
  <si>
    <t>AAQ46</t>
  </si>
  <si>
    <t>←2026.2月～追加　</t>
    <rPh sb="7" eb="8">
      <t>ガツ</t>
    </rPh>
    <rPh sb="9" eb="11">
      <t>ツイカ</t>
    </rPh>
    <phoneticPr fontId="2"/>
  </si>
  <si>
    <t>2026.2.4更新</t>
    <rPh sb="8" eb="10">
      <t>コウシン</t>
    </rPh>
    <phoneticPr fontId="2"/>
  </si>
  <si>
    <r>
      <t>↑</t>
    </r>
    <r>
      <rPr>
        <sz val="9"/>
        <color rgb="FFFF0000"/>
        <rFont val="Meiryo UI"/>
        <family val="3"/>
        <charset val="128"/>
      </rPr>
      <t>MCMの取引先マスタの取引先名</t>
    </r>
    <rPh sb="5" eb="8">
      <t>トリヒキサキ</t>
    </rPh>
    <rPh sb="12" eb="15">
      <t>トリヒキサキ</t>
    </rPh>
    <rPh sb="15" eb="16">
      <t>メイ</t>
    </rPh>
    <phoneticPr fontId="26"/>
  </si>
  <si>
    <t>エトリア株式会社</t>
    <phoneticPr fontId="2"/>
  </si>
  <si>
    <t>株式会社日立オートメーション</t>
    <phoneticPr fontId="2"/>
  </si>
  <si>
    <t>←2026.1月～追加</t>
    <rPh sb="7" eb="8">
      <t>ガツ</t>
    </rPh>
    <rPh sb="9" eb="11">
      <t>ツイカ</t>
    </rPh>
    <phoneticPr fontId="2"/>
  </si>
  <si>
    <t>-</t>
    <phoneticPr fontId="25"/>
  </si>
  <si>
    <t>←2026.2月～追加</t>
    <rPh sb="7" eb="8">
      <t>ガツ</t>
    </rPh>
    <rPh sb="9" eb="11">
      <t>ツイカ</t>
    </rPh>
    <phoneticPr fontId="2"/>
  </si>
  <si>
    <t>111期保守費支払（取引先一覧）</t>
    <rPh sb="10" eb="13">
      <t>トリヒキサキ</t>
    </rPh>
    <rPh sb="13" eb="15">
      <t>イチラン</t>
    </rPh>
    <phoneticPr fontId="2"/>
  </si>
  <si>
    <t>GG518</t>
    <phoneticPr fontId="2"/>
  </si>
  <si>
    <t>株式会社ゼネラルＢＲＥＸＡテクノロジー</t>
    <rPh sb="0" eb="4">
      <t>カブシキカイシャ</t>
    </rPh>
    <phoneticPr fontId="2"/>
  </si>
  <si>
    <t>※2026/4月～追加</t>
    <rPh sb="7" eb="8">
      <t>ガツ</t>
    </rPh>
    <rPh sb="9" eb="11">
      <t>ツイカ</t>
    </rPh>
    <phoneticPr fontId="2"/>
  </si>
  <si>
    <t>支払明細書：(株)ゼネラルＢＲＥＸＡテクノロジー
【EDI】コード：GG518</t>
    <phoneticPr fontId="2"/>
  </si>
  <si>
    <t>←2026.4月～追加　</t>
    <rPh sb="7" eb="8">
      <t>ガツ</t>
    </rPh>
    <rPh sb="9" eb="11">
      <t>ツイカ</t>
    </rPh>
    <phoneticPr fontId="2"/>
  </si>
  <si>
    <t>2026.3.31更新</t>
    <rPh sb="9" eb="11">
      <t>コウシン</t>
    </rPh>
    <phoneticPr fontId="2"/>
  </si>
  <si>
    <t>株式会社ゼネラルＢＲＥＸＡテクノロジー</t>
    <phoneticPr fontId="2"/>
  </si>
  <si>
    <t>←2026/4月～追加</t>
    <rPh sb="7" eb="8">
      <t>ガツ</t>
    </rPh>
    <rPh sb="9" eb="11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</si>
</sst>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176" formatCode="yyyy&quot;年&quot;m&quot;月&quot;;@"/>
    <numFmt numFmtId="177" formatCode="&quot;¥&quot;#,##0;[Red]&quot;¥&quot;#,##0"/>
    <numFmt numFmtId="178" formatCode="General\ &quot;件&quot;"/>
    <numFmt numFmtId="179" formatCode="&quot;¥&quot;#,##0_);[Red]\(&quot;¥&quot;#,##0\)"/>
    <numFmt numFmtId="180" formatCode="0.00_);[Red]\(0.00\)"/>
    <numFmt numFmtId="181" formatCode="0_);[Red]\(0\)"/>
    <numFmt numFmtId="182" formatCode="yyyymmdd"/>
    <numFmt numFmtId="183" formatCode="yyyy&quot;年&quot;m&quot;月&quot;&quot;度&quot;"/>
    <numFmt numFmtId="184" formatCode="yyyy&quot;年_x000a_&quot;m&quot;月&quot;&quot;度&quot;"/>
  </numFmts>
  <fonts count="3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20"/>
      <name val="Meiryo UI"/>
      <family val="3"/>
      <charset val="128"/>
    </font>
    <font>
      <sz val="22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55"/>
      <name val="Meiryo UI"/>
      <family val="3"/>
      <charset val="128"/>
    </font>
    <font>
      <sz val="10"/>
      <name val="Meiryo UI"/>
      <family val="3"/>
      <charset val="128"/>
    </font>
    <font>
      <b/>
      <sz val="16"/>
      <color indexed="12"/>
      <name val="Meiryo UI"/>
      <family val="3"/>
      <charset val="128"/>
    </font>
    <font>
      <sz val="11"/>
      <color indexed="10"/>
      <name val="Meiryo UI"/>
      <family val="3"/>
      <charset val="128"/>
    </font>
    <font>
      <sz val="9"/>
      <color indexed="12"/>
      <name val="Meiryo UI"/>
      <family val="3"/>
      <charset val="128"/>
    </font>
    <font>
      <b/>
      <sz val="11"/>
      <color indexed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18"/>
      <name val="Meiryo UI"/>
      <family val="3"/>
      <charset val="128"/>
    </font>
    <font>
      <sz val="14"/>
      <name val="Meiryo UI"/>
      <family val="3"/>
      <charset val="128"/>
    </font>
    <font>
      <b/>
      <sz val="15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rgb="FF0000FF"/>
      <name val="Meiryo UI"/>
      <family val="3"/>
      <charset val="128"/>
    </font>
    <font>
      <sz val="14"/>
      <color rgb="FF0000FF"/>
      <name val="Meiryo UI"/>
      <family val="3"/>
      <charset val="128"/>
    </font>
    <font>
      <sz val="14"/>
      <color rgb="FFFF0000"/>
      <name val="Meiryo UI"/>
      <family val="3"/>
      <charset val="128"/>
    </font>
    <font>
      <sz val="11"/>
      <color theme="0" tint="-0.34998626667073579"/>
      <name val="Meiryo UI"/>
      <family val="3"/>
      <charset val="128"/>
    </font>
    <font>
      <sz val="9"/>
      <color theme="0" tint="-0.3499862666707357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79">
    <xf numFmtId="0" fontId="0" fillId="0" borderId="0" xfId="0">
      <alignment vertical="center"/>
    </xf>
    <xf numFmtId="0" fontId="7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178" fontId="8" fillId="0" borderId="12" xfId="1" applyNumberFormat="1" applyFont="1" applyBorder="1">
      <alignment vertical="center"/>
    </xf>
    <xf numFmtId="6" fontId="11" fillId="3" borderId="16" xfId="0" applyNumberFormat="1" applyFont="1" applyFill="1" applyBorder="1">
      <alignment vertical="center"/>
    </xf>
    <xf numFmtId="0" fontId="11" fillId="0" borderId="18" xfId="0" applyFont="1" applyBorder="1" applyAlignment="1">
      <alignment horizontal="center" vertical="center"/>
    </xf>
    <xf numFmtId="6" fontId="11" fillId="0" borderId="17" xfId="0" applyNumberFormat="1" applyFont="1" applyBorder="1">
      <alignment vertical="center"/>
    </xf>
    <xf numFmtId="0" fontId="11" fillId="2" borderId="47" xfId="0" applyFont="1" applyFill="1" applyBorder="1">
      <alignment vertical="center"/>
    </xf>
    <xf numFmtId="176" fontId="11" fillId="2" borderId="47" xfId="0" applyNumberFormat="1" applyFont="1" applyFill="1" applyBorder="1">
      <alignment vertical="center"/>
    </xf>
    <xf numFmtId="179" fontId="11" fillId="2" borderId="47" xfId="0" applyNumberFormat="1" applyFont="1" applyFill="1" applyBorder="1">
      <alignment vertical="center"/>
    </xf>
    <xf numFmtId="0" fontId="12" fillId="2" borderId="0" xfId="0" applyFont="1" applyFill="1" applyAlignment="1">
      <alignment horizontal="left" vertical="center"/>
    </xf>
    <xf numFmtId="0" fontId="11" fillId="0" borderId="1" xfId="0" applyFont="1" applyBorder="1">
      <alignment vertical="center"/>
    </xf>
    <xf numFmtId="0" fontId="12" fillId="0" borderId="0" xfId="0" applyFont="1">
      <alignment vertical="center"/>
    </xf>
    <xf numFmtId="5" fontId="11" fillId="0" borderId="0" xfId="0" applyNumberFormat="1" applyFont="1">
      <alignment vertical="center"/>
    </xf>
    <xf numFmtId="6" fontId="6" fillId="0" borderId="11" xfId="1" applyFont="1" applyBorder="1">
      <alignment vertical="center"/>
    </xf>
    <xf numFmtId="183" fontId="13" fillId="0" borderId="0" xfId="0" applyNumberFormat="1" applyFont="1">
      <alignment vertical="center"/>
    </xf>
    <xf numFmtId="55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55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1" fillId="4" borderId="8" xfId="0" applyFont="1" applyFill="1" applyBorder="1">
      <alignment vertical="center"/>
    </xf>
    <xf numFmtId="0" fontId="11" fillId="0" borderId="9" xfId="0" applyFont="1" applyBorder="1">
      <alignment vertical="center"/>
    </xf>
    <xf numFmtId="0" fontId="18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vertical="center" shrinkToFit="1"/>
    </xf>
    <xf numFmtId="177" fontId="11" fillId="0" borderId="1" xfId="0" applyNumberFormat="1" applyFont="1" applyBorder="1" applyAlignment="1">
      <alignment vertical="center" shrinkToFit="1"/>
    </xf>
    <xf numFmtId="6" fontId="11" fillId="0" borderId="1" xfId="1" applyFont="1" applyBorder="1" applyAlignment="1">
      <alignment horizontal="right" vertical="center" shrinkToFit="1"/>
    </xf>
    <xf numFmtId="5" fontId="11" fillId="1" borderId="1" xfId="0" applyNumberFormat="1" applyFont="1" applyFill="1" applyBorder="1" applyAlignment="1">
      <alignment vertic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shrinkToFit="1"/>
    </xf>
    <xf numFmtId="0" fontId="11" fillId="0" borderId="19" xfId="0" applyFont="1" applyBorder="1" applyAlignment="1">
      <alignment horizontal="center" vertical="center" shrinkToFit="1"/>
    </xf>
    <xf numFmtId="6" fontId="11" fillId="0" borderId="1" xfId="1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177" fontId="6" fillId="0" borderId="1" xfId="0" applyNumberFormat="1" applyFont="1" applyBorder="1" applyAlignment="1">
      <alignment vertical="center" shrinkToFit="1"/>
    </xf>
    <xf numFmtId="0" fontId="11" fillId="4" borderId="4" xfId="0" applyFont="1" applyFill="1" applyBorder="1" applyAlignment="1">
      <alignment horizontal="center" vertical="center" shrinkToFit="1"/>
    </xf>
    <xf numFmtId="0" fontId="16" fillId="5" borderId="4" xfId="0" applyFont="1" applyFill="1" applyBorder="1" applyAlignment="1">
      <alignment horizontal="left" vertical="center" shrinkToFit="1"/>
    </xf>
    <xf numFmtId="0" fontId="11" fillId="4" borderId="5" xfId="0" applyFont="1" applyFill="1" applyBorder="1" applyAlignment="1">
      <alignment horizontal="right" vertical="center" shrinkToFit="1"/>
    </xf>
    <xf numFmtId="177" fontId="11" fillId="4" borderId="1" xfId="0" applyNumberFormat="1" applyFont="1" applyFill="1" applyBorder="1" applyAlignment="1">
      <alignment horizontal="center" vertical="center" shrinkToFit="1"/>
    </xf>
    <xf numFmtId="0" fontId="11" fillId="4" borderId="6" xfId="0" applyFont="1" applyFill="1" applyBorder="1" applyAlignment="1">
      <alignment vertical="center" shrinkToFit="1"/>
    </xf>
    <xf numFmtId="177" fontId="11" fillId="4" borderId="1" xfId="0" applyNumberFormat="1" applyFont="1" applyFill="1" applyBorder="1" applyAlignment="1">
      <alignment vertical="center" shrinkToFit="1"/>
    </xf>
    <xf numFmtId="5" fontId="11" fillId="4" borderId="1" xfId="0" applyNumberFormat="1" applyFont="1" applyFill="1" applyBorder="1" applyAlignment="1">
      <alignment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11" fillId="4" borderId="2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vertical="center" shrinkToFit="1"/>
    </xf>
    <xf numFmtId="5" fontId="11" fillId="1" borderId="1" xfId="0" applyNumberFormat="1" applyFont="1" applyFill="1" applyBorder="1" applyAlignment="1">
      <alignment horizontal="center" vertical="center" shrinkToFit="1"/>
    </xf>
    <xf numFmtId="5" fontId="11" fillId="1" borderId="2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5" fontId="6" fillId="1" borderId="1" xfId="0" applyNumberFormat="1" applyFont="1" applyFill="1" applyBorder="1" applyAlignment="1">
      <alignment horizontal="center" vertical="center" shrinkToFit="1"/>
    </xf>
    <xf numFmtId="5" fontId="6" fillId="1" borderId="2" xfId="0" applyNumberFormat="1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8" fillId="0" borderId="10" xfId="0" applyFont="1" applyBorder="1" applyAlignment="1">
      <alignment vertical="center" shrinkToFit="1"/>
    </xf>
    <xf numFmtId="177" fontId="8" fillId="0" borderId="10" xfId="0" applyNumberFormat="1" applyFont="1" applyBorder="1" applyAlignment="1">
      <alignment vertical="center" shrinkToFit="1"/>
    </xf>
    <xf numFmtId="5" fontId="8" fillId="1" borderId="10" xfId="0" applyNumberFormat="1" applyFont="1" applyFill="1" applyBorder="1" applyAlignment="1">
      <alignment vertical="center" shrinkToFit="1"/>
    </xf>
    <xf numFmtId="0" fontId="8" fillId="1" borderId="10" xfId="0" applyFont="1" applyFill="1" applyBorder="1" applyAlignment="1">
      <alignment horizontal="center" vertical="center" shrinkToFit="1"/>
    </xf>
    <xf numFmtId="0" fontId="8" fillId="1" borderId="20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vertical="center" shrinkToFit="1"/>
    </xf>
    <xf numFmtId="0" fontId="11" fillId="2" borderId="47" xfId="0" applyFont="1" applyFill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5" fontId="11" fillId="0" borderId="1" xfId="0" applyNumberFormat="1" applyFont="1" applyBorder="1" applyAlignment="1">
      <alignment vertical="center" shrinkToFit="1"/>
    </xf>
    <xf numFmtId="0" fontId="12" fillId="0" borderId="0" xfId="0" applyFont="1" applyAlignment="1">
      <alignment horizontal="left" vertical="center"/>
    </xf>
    <xf numFmtId="0" fontId="11" fillId="7" borderId="0" xfId="0" applyFont="1" applyFill="1">
      <alignment vertical="center"/>
    </xf>
    <xf numFmtId="0" fontId="11" fillId="6" borderId="0" xfId="0" applyFont="1" applyFill="1" applyAlignment="1">
      <alignment vertical="center" wrapText="1"/>
    </xf>
    <xf numFmtId="0" fontId="11" fillId="6" borderId="0" xfId="0" applyFont="1" applyFill="1">
      <alignment vertical="center"/>
    </xf>
    <xf numFmtId="182" fontId="11" fillId="6" borderId="0" xfId="0" applyNumberFormat="1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180" fontId="11" fillId="6" borderId="0" xfId="0" applyNumberFormat="1" applyFont="1" applyFill="1">
      <alignment vertical="center"/>
    </xf>
    <xf numFmtId="0" fontId="21" fillId="9" borderId="0" xfId="0" applyFont="1" applyFill="1">
      <alignment vertical="center"/>
    </xf>
    <xf numFmtId="0" fontId="11" fillId="10" borderId="0" xfId="0" applyFont="1" applyFill="1">
      <alignment vertical="center"/>
    </xf>
    <xf numFmtId="182" fontId="21" fillId="9" borderId="0" xfId="0" applyNumberFormat="1" applyFont="1" applyFill="1">
      <alignment vertical="center"/>
    </xf>
    <xf numFmtId="0" fontId="11" fillId="3" borderId="0" xfId="0" applyFont="1" applyFill="1">
      <alignment vertical="center"/>
    </xf>
    <xf numFmtId="180" fontId="11" fillId="10" borderId="0" xfId="0" applyNumberFormat="1" applyFont="1" applyFill="1">
      <alignment vertical="center"/>
    </xf>
    <xf numFmtId="0" fontId="11" fillId="9" borderId="0" xfId="0" applyFont="1" applyFill="1">
      <alignment vertical="center"/>
    </xf>
    <xf numFmtId="182" fontId="11" fillId="9" borderId="0" xfId="0" applyNumberFormat="1" applyFont="1" applyFill="1">
      <alignment vertical="center"/>
    </xf>
    <xf numFmtId="49" fontId="11" fillId="10" borderId="4" xfId="0" applyNumberFormat="1" applyFont="1" applyFill="1" applyBorder="1" applyProtection="1">
      <alignment vertical="center"/>
      <protection locked="0"/>
    </xf>
    <xf numFmtId="180" fontId="11" fillId="10" borderId="13" xfId="0" applyNumberFormat="1" applyFont="1" applyFill="1" applyBorder="1" applyProtection="1">
      <alignment vertical="center"/>
      <protection locked="0"/>
    </xf>
    <xf numFmtId="0" fontId="11" fillId="10" borderId="13" xfId="0" applyFont="1" applyFill="1" applyBorder="1" applyProtection="1">
      <alignment vertical="center"/>
      <protection locked="0"/>
    </xf>
    <xf numFmtId="181" fontId="11" fillId="10" borderId="4" xfId="0" applyNumberFormat="1" applyFont="1" applyFill="1" applyBorder="1" applyProtection="1">
      <alignment vertical="center"/>
      <protection locked="0"/>
    </xf>
    <xf numFmtId="182" fontId="11" fillId="11" borderId="0" xfId="0" applyNumberFormat="1" applyFont="1" applyFill="1">
      <alignment vertical="center"/>
    </xf>
    <xf numFmtId="180" fontId="11" fillId="0" borderId="0" xfId="0" applyNumberFormat="1" applyFont="1">
      <alignment vertical="center"/>
    </xf>
    <xf numFmtId="0" fontId="11" fillId="0" borderId="1" xfId="0" applyFont="1" applyBorder="1" applyProtection="1">
      <alignment vertical="center"/>
      <protection locked="0"/>
    </xf>
    <xf numFmtId="0" fontId="11" fillId="2" borderId="1" xfId="0" applyFont="1" applyFill="1" applyBorder="1">
      <alignment vertical="center"/>
    </xf>
    <xf numFmtId="182" fontId="11" fillId="2" borderId="1" xfId="0" applyNumberFormat="1" applyFont="1" applyFill="1" applyBorder="1">
      <alignment vertical="center"/>
    </xf>
    <xf numFmtId="180" fontId="11" fillId="2" borderId="1" xfId="0" applyNumberFormat="1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179" fontId="11" fillId="2" borderId="1" xfId="0" applyNumberFormat="1" applyFont="1" applyFill="1" applyBorder="1">
      <alignment vertical="center"/>
    </xf>
    <xf numFmtId="0" fontId="11" fillId="0" borderId="6" xfId="0" applyFont="1" applyBorder="1">
      <alignment vertical="center"/>
    </xf>
    <xf numFmtId="182" fontId="11" fillId="0" borderId="1" xfId="0" applyNumberFormat="1" applyFont="1" applyBorder="1">
      <alignment vertical="center"/>
    </xf>
    <xf numFmtId="180" fontId="11" fillId="0" borderId="1" xfId="0" applyNumberFormat="1" applyFont="1" applyBorder="1" applyProtection="1">
      <alignment vertical="center"/>
      <protection locked="0"/>
    </xf>
    <xf numFmtId="179" fontId="11" fillId="0" borderId="1" xfId="0" applyNumberFormat="1" applyFont="1" applyBorder="1">
      <alignment vertical="center"/>
    </xf>
    <xf numFmtId="182" fontId="11" fillId="0" borderId="0" xfId="0" applyNumberFormat="1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left" vertical="center"/>
    </xf>
    <xf numFmtId="179" fontId="12" fillId="2" borderId="1" xfId="0" applyNumberFormat="1" applyFont="1" applyFill="1" applyBorder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9" fontId="12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 shrinkToFit="1"/>
    </xf>
    <xf numFmtId="0" fontId="12" fillId="0" borderId="0" xfId="0" applyFont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176" fontId="12" fillId="0" borderId="0" xfId="0" applyNumberFormat="1" applyFont="1" applyAlignment="1">
      <alignment vertical="center" shrinkToFit="1"/>
    </xf>
    <xf numFmtId="0" fontId="20" fillId="0" borderId="0" xfId="0" applyFont="1">
      <alignment vertical="center"/>
    </xf>
    <xf numFmtId="0" fontId="12" fillId="2" borderId="1" xfId="0" applyFont="1" applyFill="1" applyBorder="1">
      <alignment vertical="center"/>
    </xf>
    <xf numFmtId="179" fontId="12" fillId="2" borderId="1" xfId="0" applyNumberFormat="1" applyFont="1" applyFill="1" applyBorder="1" applyAlignment="1">
      <alignment horizontal="right" vertical="center"/>
    </xf>
    <xf numFmtId="0" fontId="12" fillId="4" borderId="0" xfId="0" applyFont="1" applyFill="1" applyAlignment="1">
      <alignment horizontal="left" vertical="center"/>
    </xf>
    <xf numFmtId="176" fontId="12" fillId="13" borderId="14" xfId="0" applyNumberFormat="1" applyFont="1" applyFill="1" applyBorder="1" applyAlignment="1">
      <alignment horizontal="left" vertical="center"/>
    </xf>
    <xf numFmtId="179" fontId="12" fillId="13" borderId="11" xfId="1" applyNumberFormat="1" applyFont="1" applyFill="1" applyBorder="1" applyAlignment="1">
      <alignment horizontal="right" vertical="center"/>
    </xf>
    <xf numFmtId="176" fontId="12" fillId="13" borderId="15" xfId="0" applyNumberFormat="1" applyFont="1" applyFill="1" applyBorder="1" applyAlignment="1">
      <alignment horizontal="left" vertical="center"/>
    </xf>
    <xf numFmtId="178" fontId="12" fillId="13" borderId="12" xfId="1" applyNumberFormat="1" applyFont="1" applyFill="1" applyBorder="1" applyAlignment="1">
      <alignment horizontal="right" vertical="center"/>
    </xf>
    <xf numFmtId="179" fontId="22" fillId="0" borderId="0" xfId="0" applyNumberFormat="1" applyFont="1" applyAlignment="1">
      <alignment horizontal="right" vertical="center"/>
    </xf>
    <xf numFmtId="0" fontId="11" fillId="0" borderId="1" xfId="3" applyFont="1" applyBorder="1" applyAlignment="1">
      <alignment vertical="center" wrapText="1"/>
    </xf>
    <xf numFmtId="0" fontId="12" fillId="0" borderId="1" xfId="3" applyFont="1" applyBorder="1">
      <alignment vertical="center"/>
    </xf>
    <xf numFmtId="0" fontId="11" fillId="0" borderId="1" xfId="3" applyFont="1" applyBorder="1">
      <alignment vertical="center"/>
    </xf>
    <xf numFmtId="0" fontId="11" fillId="0" borderId="0" xfId="3" applyFont="1">
      <alignment vertical="center"/>
    </xf>
    <xf numFmtId="0" fontId="12" fillId="0" borderId="0" xfId="3" applyFont="1" applyAlignment="1">
      <alignment horizontal="left" vertical="center"/>
    </xf>
    <xf numFmtId="0" fontId="11" fillId="0" borderId="0" xfId="3" applyFont="1" applyProtection="1">
      <alignment vertical="center"/>
      <protection locked="0"/>
    </xf>
    <xf numFmtId="0" fontId="12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vertical="center" wrapText="1"/>
    </xf>
    <xf numFmtId="0" fontId="11" fillId="13" borderId="1" xfId="3" applyFont="1" applyFill="1" applyBorder="1" applyAlignment="1">
      <alignment vertical="center" wrapText="1"/>
    </xf>
    <xf numFmtId="0" fontId="11" fillId="16" borderId="1" xfId="3" applyFont="1" applyFill="1" applyBorder="1">
      <alignment vertical="center"/>
    </xf>
    <xf numFmtId="0" fontId="12" fillId="0" borderId="0" xfId="3" applyFont="1">
      <alignment vertical="center"/>
    </xf>
    <xf numFmtId="0" fontId="24" fillId="12" borderId="34" xfId="3" applyFont="1" applyFill="1" applyBorder="1">
      <alignment vertical="center"/>
    </xf>
    <xf numFmtId="0" fontId="24" fillId="12" borderId="34" xfId="3" applyFont="1" applyFill="1" applyBorder="1" applyAlignment="1">
      <alignment horizontal="center" vertical="center" wrapText="1"/>
    </xf>
    <xf numFmtId="0" fontId="24" fillId="12" borderId="34" xfId="3" applyFont="1" applyFill="1" applyBorder="1" applyAlignment="1">
      <alignment wrapText="1"/>
    </xf>
    <xf numFmtId="0" fontId="24" fillId="12" borderId="35" xfId="3" applyFont="1" applyFill="1" applyBorder="1" applyAlignment="1">
      <alignment horizontal="center" vertical="center"/>
    </xf>
    <xf numFmtId="0" fontId="17" fillId="12" borderId="36" xfId="2" applyNumberFormat="1" applyFont="1" applyFill="1" applyBorder="1" applyAlignment="1">
      <alignment horizontal="center" vertical="center"/>
    </xf>
    <xf numFmtId="0" fontId="24" fillId="12" borderId="35" xfId="2" applyNumberFormat="1" applyFont="1" applyFill="1" applyBorder="1" applyAlignment="1">
      <alignment horizontal="center" vertical="top" textRotation="255"/>
    </xf>
    <xf numFmtId="0" fontId="24" fillId="15" borderId="37" xfId="3" applyFont="1" applyFill="1" applyBorder="1" applyAlignment="1">
      <alignment horizontal="center" vertical="center"/>
    </xf>
    <xf numFmtId="0" fontId="24" fillId="15" borderId="37" xfId="3" applyFont="1" applyFill="1" applyBorder="1">
      <alignment vertical="center"/>
    </xf>
    <xf numFmtId="0" fontId="24" fillId="15" borderId="38" xfId="3" applyFont="1" applyFill="1" applyBorder="1">
      <alignment vertical="center"/>
    </xf>
    <xf numFmtId="0" fontId="24" fillId="15" borderId="22" xfId="3" applyFont="1" applyFill="1" applyBorder="1" applyAlignment="1">
      <alignment horizontal="center" vertical="center"/>
    </xf>
    <xf numFmtId="6" fontId="24" fillId="15" borderId="8" xfId="2" applyFont="1" applyFill="1" applyBorder="1" applyAlignment="1">
      <alignment vertical="center"/>
    </xf>
    <xf numFmtId="0" fontId="24" fillId="15" borderId="2" xfId="2" applyNumberFormat="1" applyFont="1" applyFill="1" applyBorder="1" applyAlignment="1">
      <alignment vertical="center"/>
    </xf>
    <xf numFmtId="0" fontId="24" fillId="15" borderId="39" xfId="3" applyFont="1" applyFill="1" applyBorder="1" applyAlignment="1">
      <alignment horizontal="center" vertical="center"/>
    </xf>
    <xf numFmtId="0" fontId="24" fillId="15" borderId="39" xfId="3" applyFont="1" applyFill="1" applyBorder="1" applyAlignment="1">
      <alignment horizontal="left" vertical="center"/>
    </xf>
    <xf numFmtId="0" fontId="24" fillId="15" borderId="40" xfId="3" applyFont="1" applyFill="1" applyBorder="1" applyAlignment="1">
      <alignment horizontal="left" vertical="center"/>
    </xf>
    <xf numFmtId="0" fontId="24" fillId="15" borderId="39" xfId="3" applyFont="1" applyFill="1" applyBorder="1">
      <alignment vertical="center"/>
    </xf>
    <xf numFmtId="0" fontId="24" fillId="15" borderId="40" xfId="3" applyFont="1" applyFill="1" applyBorder="1">
      <alignment vertical="center"/>
    </xf>
    <xf numFmtId="0" fontId="24" fillId="15" borderId="40" xfId="3" applyFont="1" applyFill="1" applyBorder="1" applyAlignment="1">
      <alignment horizontal="center" vertical="center"/>
    </xf>
    <xf numFmtId="0" fontId="24" fillId="15" borderId="41" xfId="3" applyFont="1" applyFill="1" applyBorder="1" applyAlignment="1">
      <alignment horizontal="center" vertical="center" wrapText="1"/>
    </xf>
    <xf numFmtId="0" fontId="24" fillId="15" borderId="40" xfId="3" applyFont="1" applyFill="1" applyBorder="1" applyAlignment="1">
      <alignment horizontal="left" vertical="center" wrapText="1"/>
    </xf>
    <xf numFmtId="0" fontId="24" fillId="15" borderId="39" xfId="3" applyFont="1" applyFill="1" applyBorder="1" applyAlignment="1">
      <alignment horizontal="center" vertical="center" wrapText="1"/>
    </xf>
    <xf numFmtId="0" fontId="24" fillId="15" borderId="6" xfId="3" applyFont="1" applyFill="1" applyBorder="1" applyAlignment="1">
      <alignment horizontal="left" vertical="center" wrapText="1"/>
    </xf>
    <xf numFmtId="0" fontId="24" fillId="15" borderId="42" xfId="3" applyFont="1" applyFill="1" applyBorder="1" applyAlignment="1">
      <alignment horizontal="left" vertical="center" wrapText="1"/>
    </xf>
    <xf numFmtId="0" fontId="24" fillId="14" borderId="40" xfId="3" applyFont="1" applyFill="1" applyBorder="1" applyAlignment="1">
      <alignment horizontal="center" vertical="center"/>
    </xf>
    <xf numFmtId="0" fontId="24" fillId="14" borderId="40" xfId="3" applyFont="1" applyFill="1" applyBorder="1">
      <alignment vertical="center"/>
    </xf>
    <xf numFmtId="0" fontId="24" fillId="14" borderId="2" xfId="3" applyFont="1" applyFill="1" applyBorder="1" applyAlignment="1">
      <alignment horizontal="center" vertical="center"/>
    </xf>
    <xf numFmtId="6" fontId="24" fillId="14" borderId="8" xfId="2" applyFont="1" applyFill="1" applyBorder="1" applyAlignment="1">
      <alignment vertical="center"/>
    </xf>
    <xf numFmtId="0" fontId="24" fillId="14" borderId="2" xfId="2" applyNumberFormat="1" applyFont="1" applyFill="1" applyBorder="1" applyAlignment="1">
      <alignment vertical="center"/>
    </xf>
    <xf numFmtId="0" fontId="24" fillId="14" borderId="43" xfId="3" applyFont="1" applyFill="1" applyBorder="1" applyAlignment="1">
      <alignment horizontal="center" vertical="center" wrapText="1"/>
    </xf>
    <xf numFmtId="0" fontId="24" fillId="14" borderId="40" xfId="3" applyFont="1" applyFill="1" applyBorder="1" applyAlignment="1">
      <alignment horizontal="left" vertical="center"/>
    </xf>
    <xf numFmtId="0" fontId="24" fillId="14" borderId="44" xfId="3" applyFont="1" applyFill="1" applyBorder="1">
      <alignment vertical="center"/>
    </xf>
    <xf numFmtId="0" fontId="24" fillId="16" borderId="40" xfId="3" applyFont="1" applyFill="1" applyBorder="1" applyAlignment="1">
      <alignment horizontal="center" vertical="center"/>
    </xf>
    <xf numFmtId="0" fontId="24" fillId="16" borderId="40" xfId="3" applyFont="1" applyFill="1" applyBorder="1">
      <alignment vertical="center"/>
    </xf>
    <xf numFmtId="0" fontId="24" fillId="16" borderId="22" xfId="3" applyFont="1" applyFill="1" applyBorder="1" applyAlignment="1">
      <alignment horizontal="center" vertical="center"/>
    </xf>
    <xf numFmtId="6" fontId="24" fillId="16" borderId="8" xfId="2" applyFont="1" applyFill="1" applyBorder="1" applyAlignment="1">
      <alignment vertical="center"/>
    </xf>
    <xf numFmtId="0" fontId="24" fillId="16" borderId="2" xfId="2" applyNumberFormat="1" applyFont="1" applyFill="1" applyBorder="1" applyAlignment="1">
      <alignment vertical="center"/>
    </xf>
    <xf numFmtId="0" fontId="24" fillId="16" borderId="43" xfId="3" applyFont="1" applyFill="1" applyBorder="1" applyAlignment="1">
      <alignment horizontal="center" vertical="center" wrapText="1"/>
    </xf>
    <xf numFmtId="0" fontId="24" fillId="16" borderId="39" xfId="3" applyFont="1" applyFill="1" applyBorder="1" applyAlignment="1">
      <alignment horizontal="left" vertical="center"/>
    </xf>
    <xf numFmtId="0" fontId="24" fillId="16" borderId="44" xfId="3" applyFont="1" applyFill="1" applyBorder="1">
      <alignment vertical="center"/>
    </xf>
    <xf numFmtId="0" fontId="24" fillId="0" borderId="45" xfId="3" applyFont="1" applyBorder="1">
      <alignment vertical="center"/>
    </xf>
    <xf numFmtId="0" fontId="24" fillId="2" borderId="45" xfId="3" applyFont="1" applyFill="1" applyBorder="1" applyAlignment="1">
      <alignment horizontal="center" vertical="center"/>
    </xf>
    <xf numFmtId="0" fontId="24" fillId="2" borderId="46" xfId="3" applyFont="1" applyFill="1" applyBorder="1" applyAlignment="1">
      <alignment horizontal="center" vertical="center"/>
    </xf>
    <xf numFmtId="6" fontId="24" fillId="2" borderId="9" xfId="2" applyFont="1" applyFill="1" applyBorder="1" applyAlignment="1">
      <alignment vertical="center"/>
    </xf>
    <xf numFmtId="0" fontId="24" fillId="2" borderId="20" xfId="2" applyNumberFormat="1" applyFont="1" applyFill="1" applyBorder="1" applyAlignment="1">
      <alignment vertical="center"/>
    </xf>
    <xf numFmtId="0" fontId="24" fillId="0" borderId="0" xfId="3" applyFont="1" applyAlignment="1"/>
    <xf numFmtId="0" fontId="24" fillId="0" borderId="0" xfId="3" applyFont="1" applyAlignment="1">
      <alignment horizontal="center"/>
    </xf>
    <xf numFmtId="6" fontId="24" fillId="0" borderId="0" xfId="2" applyFont="1" applyAlignment="1"/>
    <xf numFmtId="0" fontId="24" fillId="0" borderId="0" xfId="2" applyNumberFormat="1" applyFont="1" applyAlignment="1"/>
    <xf numFmtId="0" fontId="11" fillId="0" borderId="0" xfId="3" applyFont="1" applyAlignment="1"/>
    <xf numFmtId="0" fontId="11" fillId="0" borderId="1" xfId="3" applyFont="1" applyBorder="1" applyAlignment="1">
      <alignment horizontal="center" vertical="center" shrinkToFit="1"/>
    </xf>
    <xf numFmtId="0" fontId="11" fillId="0" borderId="1" xfId="3" applyFont="1" applyBorder="1" applyAlignment="1">
      <alignment vertical="center" shrinkToFit="1"/>
    </xf>
    <xf numFmtId="0" fontId="6" fillId="0" borderId="1" xfId="3" applyFont="1" applyBorder="1" applyAlignment="1">
      <alignment horizontal="center" vertical="center" shrinkToFit="1"/>
    </xf>
    <xf numFmtId="0" fontId="6" fillId="0" borderId="1" xfId="3" applyFont="1" applyBorder="1" applyAlignment="1">
      <alignment horizontal="right" vertical="center" shrinkToFit="1"/>
    </xf>
    <xf numFmtId="177" fontId="6" fillId="0" borderId="1" xfId="3" applyNumberFormat="1" applyFont="1" applyBorder="1" applyAlignment="1">
      <alignment horizontal="right" vertical="center" shrinkToFit="1"/>
    </xf>
    <xf numFmtId="0" fontId="6" fillId="0" borderId="1" xfId="3" applyFont="1" applyBorder="1" applyAlignment="1">
      <alignment vertical="center" shrinkToFit="1"/>
    </xf>
    <xf numFmtId="177" fontId="6" fillId="0" borderId="1" xfId="3" applyNumberFormat="1" applyFont="1" applyBorder="1" applyAlignment="1">
      <alignment vertical="center" shrinkToFit="1"/>
    </xf>
    <xf numFmtId="5" fontId="6" fillId="1" borderId="1" xfId="3" applyNumberFormat="1" applyFont="1" applyFill="1" applyBorder="1" applyAlignment="1">
      <alignment vertical="center" shrinkToFit="1"/>
    </xf>
    <xf numFmtId="0" fontId="6" fillId="1" borderId="1" xfId="3" applyFont="1" applyFill="1" applyBorder="1" applyAlignment="1">
      <alignment horizontal="center" vertical="center" shrinkToFit="1"/>
    </xf>
    <xf numFmtId="0" fontId="6" fillId="1" borderId="2" xfId="3" applyFont="1" applyFill="1" applyBorder="1" applyAlignment="1">
      <alignment horizontal="center" vertical="center" shrinkToFit="1"/>
    </xf>
    <xf numFmtId="0" fontId="27" fillId="5" borderId="1" xfId="3" applyFont="1" applyFill="1" applyBorder="1" applyAlignment="1">
      <alignment horizontal="center" vertical="center" shrinkToFit="1"/>
    </xf>
    <xf numFmtId="0" fontId="27" fillId="4" borderId="1" xfId="3" applyFont="1" applyFill="1" applyBorder="1" applyAlignment="1">
      <alignment vertical="center" shrinkToFit="1"/>
    </xf>
    <xf numFmtId="6" fontId="27" fillId="4" borderId="1" xfId="1" applyFont="1" applyFill="1" applyBorder="1" applyAlignment="1">
      <alignment vertical="center" shrinkToFit="1"/>
    </xf>
    <xf numFmtId="177" fontId="27" fillId="4" borderId="1" xfId="3" applyNumberFormat="1" applyFont="1" applyFill="1" applyBorder="1" applyAlignment="1">
      <alignment vertical="center" shrinkToFit="1"/>
    </xf>
    <xf numFmtId="5" fontId="27" fillId="4" borderId="1" xfId="3" applyNumberFormat="1" applyFont="1" applyFill="1" applyBorder="1" applyAlignment="1">
      <alignment vertical="center" shrinkToFit="1"/>
    </xf>
    <xf numFmtId="0" fontId="27" fillId="4" borderId="1" xfId="3" applyFont="1" applyFill="1" applyBorder="1" applyAlignment="1">
      <alignment horizontal="center" vertical="center" shrinkToFit="1"/>
    </xf>
    <xf numFmtId="0" fontId="27" fillId="4" borderId="2" xfId="3" applyFont="1" applyFill="1" applyBorder="1" applyAlignment="1">
      <alignment horizontal="center" vertical="center" shrinkToFit="1"/>
    </xf>
    <xf numFmtId="0" fontId="28" fillId="0" borderId="0" xfId="0" applyFont="1">
      <alignment vertical="center"/>
    </xf>
    <xf numFmtId="0" fontId="28" fillId="0" borderId="0" xfId="3" applyFont="1">
      <alignment vertical="center"/>
    </xf>
    <xf numFmtId="5" fontId="11" fillId="1" borderId="1" xfId="3" applyNumberFormat="1" applyFont="1" applyFill="1" applyBorder="1" applyAlignment="1">
      <alignment horizontal="center" vertical="center" shrinkToFit="1"/>
    </xf>
    <xf numFmtId="49" fontId="11" fillId="10" borderId="4" xfId="3" applyNumberFormat="1" applyFont="1" applyFill="1" applyBorder="1" applyProtection="1">
      <alignment vertical="center"/>
      <protection locked="0"/>
    </xf>
    <xf numFmtId="0" fontId="17" fillId="9" borderId="7" xfId="0" applyFont="1" applyFill="1" applyBorder="1" applyAlignment="1">
      <alignment horizontal="center" vertical="center"/>
    </xf>
    <xf numFmtId="0" fontId="15" fillId="0" borderId="0" xfId="3" applyFont="1">
      <alignment vertical="center"/>
    </xf>
    <xf numFmtId="0" fontId="11" fillId="18" borderId="1" xfId="0" applyFont="1" applyFill="1" applyBorder="1" applyAlignment="1">
      <alignment horizontal="center" vertical="center" shrinkToFit="1"/>
    </xf>
    <xf numFmtId="0" fontId="11" fillId="18" borderId="1" xfId="0" applyFont="1" applyFill="1" applyBorder="1" applyAlignment="1">
      <alignment vertical="center" shrinkToFit="1"/>
    </xf>
    <xf numFmtId="6" fontId="12" fillId="13" borderId="11" xfId="2" applyFont="1" applyFill="1" applyBorder="1" applyAlignment="1">
      <alignment horizontal="right" vertical="center"/>
    </xf>
    <xf numFmtId="0" fontId="11" fillId="16" borderId="1" xfId="3" applyFont="1" applyFill="1" applyBorder="1" applyAlignment="1">
      <alignment vertical="center" wrapText="1"/>
    </xf>
    <xf numFmtId="0" fontId="12" fillId="16" borderId="1" xfId="3" applyFont="1" applyFill="1" applyBorder="1">
      <alignment vertical="center"/>
    </xf>
    <xf numFmtId="0" fontId="24" fillId="16" borderId="39" xfId="3" applyFont="1" applyFill="1" applyBorder="1" applyAlignment="1">
      <alignment horizontal="center" vertical="center" wrapText="1"/>
    </xf>
    <xf numFmtId="0" fontId="24" fillId="16" borderId="42" xfId="3" applyFont="1" applyFill="1" applyBorder="1" applyAlignment="1">
      <alignment horizontal="left" vertical="center" wrapText="1"/>
    </xf>
    <xf numFmtId="177" fontId="11" fillId="0" borderId="1" xfId="3" applyNumberFormat="1" applyFont="1" applyBorder="1" applyAlignment="1">
      <alignment vertical="center" shrinkToFit="1"/>
    </xf>
    <xf numFmtId="5" fontId="11" fillId="1" borderId="2" xfId="3" applyNumberFormat="1" applyFont="1" applyFill="1" applyBorder="1" applyAlignment="1">
      <alignment horizontal="center" vertical="center" shrinkToFit="1"/>
    </xf>
    <xf numFmtId="49" fontId="29" fillId="18" borderId="1" xfId="0" applyNumberFormat="1" applyFont="1" applyFill="1" applyBorder="1">
      <alignment vertical="center"/>
    </xf>
    <xf numFmtId="0" fontId="11" fillId="18" borderId="1" xfId="3" applyFont="1" applyFill="1" applyBorder="1" applyAlignment="1">
      <alignment horizontal="center" vertical="center" shrinkToFit="1"/>
    </xf>
    <xf numFmtId="0" fontId="11" fillId="18" borderId="1" xfId="3" applyFont="1" applyFill="1" applyBorder="1" applyAlignment="1">
      <alignment vertical="center" shrinkToFit="1"/>
    </xf>
    <xf numFmtId="0" fontId="11" fillId="0" borderId="48" xfId="0" applyFont="1" applyBorder="1">
      <alignment vertical="center"/>
    </xf>
    <xf numFmtId="177" fontId="15" fillId="0" borderId="0" xfId="3" applyNumberFormat="1" applyFont="1">
      <alignment vertical="center"/>
    </xf>
    <xf numFmtId="0" fontId="30" fillId="13" borderId="0" xfId="3" applyFont="1" applyFill="1" applyAlignment="1">
      <alignment horizontal="right" vertical="center"/>
    </xf>
    <xf numFmtId="6" fontId="30" fillId="13" borderId="0" xfId="3" applyNumberFormat="1" applyFont="1" applyFill="1" applyAlignment="1">
      <alignment horizontal="left" vertical="center"/>
    </xf>
    <xf numFmtId="0" fontId="30" fillId="13" borderId="0" xfId="3" applyFont="1" applyFill="1" applyAlignment="1">
      <alignment horizontal="left" vertical="center"/>
    </xf>
    <xf numFmtId="0" fontId="28" fillId="0" borderId="1" xfId="3" applyFont="1" applyBorder="1" applyAlignment="1">
      <alignment vertical="center" wrapText="1"/>
    </xf>
    <xf numFmtId="0" fontId="24" fillId="19" borderId="44" xfId="3" applyFont="1" applyFill="1" applyBorder="1">
      <alignment vertical="center"/>
    </xf>
    <xf numFmtId="0" fontId="31" fillId="15" borderId="43" xfId="3" applyFont="1" applyFill="1" applyBorder="1" applyAlignment="1">
      <alignment horizontal="center" vertical="center" wrapText="1"/>
    </xf>
    <xf numFmtId="177" fontId="11" fillId="16" borderId="1" xfId="0" applyNumberFormat="1" applyFont="1" applyFill="1" applyBorder="1" applyAlignment="1">
      <alignment vertical="center" shrinkToFit="1"/>
    </xf>
    <xf numFmtId="0" fontId="32" fillId="16" borderId="22" xfId="3" applyFont="1" applyFill="1" applyBorder="1" applyAlignment="1">
      <alignment horizontal="center" vertical="center"/>
    </xf>
    <xf numFmtId="0" fontId="15" fillId="13" borderId="0" xfId="3" applyFont="1" applyFill="1">
      <alignment vertical="center"/>
    </xf>
    <xf numFmtId="0" fontId="11" fillId="17" borderId="1" xfId="3" applyFont="1" applyFill="1" applyBorder="1" applyAlignment="1">
      <alignment vertical="center" shrinkToFit="1"/>
    </xf>
    <xf numFmtId="0" fontId="11" fillId="0" borderId="0" xfId="3" applyFont="1" applyAlignment="1">
      <alignment vertical="center" wrapText="1"/>
    </xf>
    <xf numFmtId="0" fontId="22" fillId="0" borderId="0" xfId="3" applyFont="1">
      <alignment vertical="center"/>
    </xf>
    <xf numFmtId="0" fontId="17" fillId="20" borderId="0" xfId="3" applyFont="1" applyFill="1">
      <alignment vertical="center"/>
    </xf>
    <xf numFmtId="0" fontId="33" fillId="0" borderId="0" xfId="3" applyFont="1">
      <alignment vertical="center"/>
    </xf>
    <xf numFmtId="0" fontId="28" fillId="0" borderId="0" xfId="3" applyFont="1" applyAlignment="1">
      <alignment horizontal="left" vertical="center"/>
    </xf>
    <xf numFmtId="0" fontId="34" fillId="0" borderId="0" xfId="3" applyFont="1">
      <alignment vertical="center"/>
    </xf>
    <xf numFmtId="0" fontId="12" fillId="0" borderId="0" xfId="3" applyFont="1" applyAlignment="1">
      <alignment vertical="center" wrapText="1"/>
    </xf>
    <xf numFmtId="0" fontId="11" fillId="17" borderId="1" xfId="3" applyFont="1" applyFill="1" applyBorder="1" applyAlignment="1">
      <alignment horizontal="center" vertical="center" shrinkToFit="1"/>
    </xf>
    <xf numFmtId="6" fontId="24" fillId="16" borderId="3" xfId="2" applyFont="1" applyFill="1" applyBorder="1" applyAlignment="1">
      <alignment vertical="center"/>
    </xf>
    <xf numFmtId="0" fontId="24" fillId="16" borderId="19" xfId="2" applyNumberFormat="1" applyFont="1" applyFill="1" applyBorder="1" applyAlignment="1">
      <alignment vertical="center"/>
    </xf>
    <xf numFmtId="0" fontId="23" fillId="0" borderId="0" xfId="3" applyFont="1" applyAlignment="1">
      <alignment horizontal="center" vertical="center"/>
    </xf>
    <xf numFmtId="0" fontId="23" fillId="0" borderId="33" xfId="3" applyFont="1" applyBorder="1" applyAlignment="1">
      <alignment horizontal="center" vertical="center"/>
    </xf>
    <xf numFmtId="0" fontId="15" fillId="0" borderId="49" xfId="3" applyFont="1" applyBorder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28" fillId="0" borderId="49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shrinkToFit="1"/>
    </xf>
    <xf numFmtId="0" fontId="11" fillId="3" borderId="27" xfId="0" applyFont="1" applyFill="1" applyBorder="1" applyAlignment="1">
      <alignment horizontal="center" vertical="center" shrinkToFit="1"/>
    </xf>
    <xf numFmtId="0" fontId="11" fillId="3" borderId="28" xfId="0" applyFont="1" applyFill="1" applyBorder="1" applyAlignment="1">
      <alignment horizontal="center" vertical="center" shrinkToFit="1"/>
    </xf>
    <xf numFmtId="0" fontId="11" fillId="3" borderId="25" xfId="0" applyFont="1" applyFill="1" applyBorder="1" applyAlignment="1">
      <alignment horizontal="center" vertical="center" shrinkToFi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21" xfId="0" applyFont="1" applyFill="1" applyBorder="1" applyAlignment="1">
      <alignment horizontal="center" vertical="center" shrinkToFit="1"/>
    </xf>
    <xf numFmtId="0" fontId="11" fillId="3" borderId="22" xfId="0" applyFont="1" applyFill="1" applyBorder="1" applyAlignment="1">
      <alignment horizontal="center" vertical="center" shrinkToFit="1"/>
    </xf>
    <xf numFmtId="0" fontId="11" fillId="12" borderId="23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center" vertical="center"/>
    </xf>
    <xf numFmtId="0" fontId="17" fillId="17" borderId="7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184" fontId="10" fillId="0" borderId="0" xfId="0" applyNumberFormat="1" applyFont="1" applyAlignment="1">
      <alignment horizontal="center" vertical="center" wrapText="1" shrinkToFit="1"/>
    </xf>
    <xf numFmtId="0" fontId="7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8" fillId="0" borderId="0" xfId="3" applyFont="1" applyBorder="1" applyAlignment="1">
      <alignment horizontal="left" vertical="center"/>
    </xf>
    <xf numFmtId="0" fontId="11" fillId="0" borderId="0" xfId="3" applyFont="1" applyFill="1" applyBorder="1" applyAlignment="1">
      <alignment vertical="center" wrapText="1"/>
    </xf>
    <xf numFmtId="0" fontId="12" fillId="0" borderId="0" xfId="3" applyFont="1" applyFill="1" applyBorder="1" applyAlignment="1">
      <alignment vertical="center" wrapText="1"/>
    </xf>
    <xf numFmtId="0" fontId="11" fillId="0" borderId="0" xfId="3" applyFont="1" applyFill="1" applyBorder="1">
      <alignment vertical="center"/>
    </xf>
    <xf numFmtId="0" fontId="22" fillId="0" borderId="0" xfId="3" applyFont="1" applyFill="1">
      <alignment vertical="center"/>
    </xf>
    <xf numFmtId="0" fontId="11" fillId="0" borderId="0" xfId="3" applyFont="1" applyFill="1">
      <alignment vertical="center"/>
    </xf>
    <xf numFmtId="0" fontId="12" fillId="21" borderId="1" xfId="3" applyFont="1" applyFill="1" applyBorder="1">
      <alignment vertical="center"/>
    </xf>
  </cellXfs>
  <cellStyles count="4">
    <cellStyle name="通貨" xfId="1" builtinId="7"/>
    <cellStyle name="通貨 2" xfId="2" xr:uid="{00000000-0005-0000-0000-000001000000}"/>
    <cellStyle name="標準" xfId="0" builtinId="0"/>
    <cellStyle name="標準 2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CCCC"/>
      <color rgb="FF99CCFF"/>
      <color rgb="FFFFFFCC"/>
      <color rgb="FFCCECFF"/>
      <color rgb="FFFF99CC"/>
      <color rgb="FF0000FF"/>
      <color rgb="FFCC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3</xdr:row>
      <xdr:rowOff>266700</xdr:rowOff>
    </xdr:from>
    <xdr:to>
      <xdr:col>22</xdr:col>
      <xdr:colOff>228600</xdr:colOff>
      <xdr:row>9</xdr:row>
      <xdr:rowOff>257175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34700" y="1047750"/>
          <a:ext cx="4076700" cy="1609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＝月途中で製番変更が発生した為、再発注＝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85725</xdr:rowOff>
    </xdr:from>
    <xdr:to>
      <xdr:col>9</xdr:col>
      <xdr:colOff>1045706</xdr:colOff>
      <xdr:row>0</xdr:row>
      <xdr:rowOff>1151799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4A3E12E5-9397-403E-80AC-D73B8E5B0DA3}"/>
            </a:ext>
          </a:extLst>
        </xdr:cNvPr>
        <xdr:cNvSpPr txBox="1">
          <a:spLocks noChangeArrowheads="1"/>
        </xdr:cNvSpPr>
      </xdr:nvSpPr>
      <xdr:spPr bwMode="auto">
        <a:xfrm>
          <a:off x="8763000" y="85725"/>
          <a:ext cx="2360156" cy="10660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 　　　　　　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</xdr:col>
      <xdr:colOff>675020</xdr:colOff>
      <xdr:row>0</xdr:row>
      <xdr:rowOff>126728</xdr:rowOff>
    </xdr:from>
    <xdr:to>
      <xdr:col>8</xdr:col>
      <xdr:colOff>291465</xdr:colOff>
      <xdr:row>0</xdr:row>
      <xdr:rowOff>382996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67D8D96C-49B5-440D-A03B-61F6B34C2B9E}"/>
            </a:ext>
          </a:extLst>
        </xdr:cNvPr>
        <xdr:cNvSpPr txBox="1">
          <a:spLocks noChangeArrowheads="1"/>
        </xdr:cNvSpPr>
      </xdr:nvSpPr>
      <xdr:spPr bwMode="auto">
        <a:xfrm>
          <a:off x="9133220" y="126728"/>
          <a:ext cx="578470" cy="256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責任者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143293</xdr:colOff>
      <xdr:row>0</xdr:row>
      <xdr:rowOff>126728</xdr:rowOff>
    </xdr:from>
    <xdr:to>
      <xdr:col>9</xdr:col>
      <xdr:colOff>883734</xdr:colOff>
      <xdr:row>0</xdr:row>
      <xdr:rowOff>382996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E6EC16B4-962C-499B-BEC4-7A298C4A9B63}"/>
            </a:ext>
          </a:extLst>
        </xdr:cNvPr>
        <xdr:cNvSpPr txBox="1">
          <a:spLocks noChangeArrowheads="1"/>
        </xdr:cNvSpPr>
      </xdr:nvSpPr>
      <xdr:spPr bwMode="auto">
        <a:xfrm>
          <a:off x="10220743" y="126728"/>
          <a:ext cx="740441" cy="256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</xdr:col>
      <xdr:colOff>316369</xdr:colOff>
      <xdr:row>0</xdr:row>
      <xdr:rowOff>331742</xdr:rowOff>
    </xdr:from>
    <xdr:to>
      <xdr:col>9</xdr:col>
      <xdr:colOff>1057275</xdr:colOff>
      <xdr:row>0</xdr:row>
      <xdr:rowOff>331742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738A10CE-CC28-4D42-816F-B73522F764E4}"/>
            </a:ext>
          </a:extLst>
        </xdr:cNvPr>
        <xdr:cNvSpPr>
          <a:spLocks noChangeShapeType="1"/>
        </xdr:cNvSpPr>
      </xdr:nvSpPr>
      <xdr:spPr bwMode="auto">
        <a:xfrm>
          <a:off x="8774569" y="331742"/>
          <a:ext cx="236015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522853</xdr:colOff>
      <xdr:row>0</xdr:row>
      <xdr:rowOff>95976</xdr:rowOff>
    </xdr:from>
    <xdr:to>
      <xdr:col>8</xdr:col>
      <xdr:colOff>522853</xdr:colOff>
      <xdr:row>0</xdr:row>
      <xdr:rowOff>1162050</xdr:rowOff>
    </xdr:to>
    <xdr:sp macro="" textlink="">
      <xdr:nvSpPr>
        <xdr:cNvPr id="12" name="Line 6">
          <a:extLst>
            <a:ext uri="{FF2B5EF4-FFF2-40B4-BE49-F238E27FC236}">
              <a16:creationId xmlns:a16="http://schemas.microsoft.com/office/drawing/2014/main" id="{02343781-3E52-4217-AA10-4D431832385B}"/>
            </a:ext>
          </a:extLst>
        </xdr:cNvPr>
        <xdr:cNvSpPr>
          <a:spLocks noChangeShapeType="1"/>
        </xdr:cNvSpPr>
      </xdr:nvSpPr>
      <xdr:spPr bwMode="auto">
        <a:xfrm>
          <a:off x="9943078" y="95976"/>
          <a:ext cx="0" cy="106607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0</xdr:colOff>
      <xdr:row>0</xdr:row>
      <xdr:rowOff>1190625</xdr:rowOff>
    </xdr:to>
    <xdr:grpSp>
      <xdr:nvGrpSpPr>
        <xdr:cNvPr id="2330" name="Group 1">
          <a:extLst>
            <a:ext uri="{FF2B5EF4-FFF2-40B4-BE49-F238E27FC236}">
              <a16:creationId xmlns:a16="http://schemas.microsoft.com/office/drawing/2014/main" id="{00000000-0008-0000-0600-00001A090000}"/>
            </a:ext>
          </a:extLst>
        </xdr:cNvPr>
        <xdr:cNvGrpSpPr>
          <a:grpSpLocks/>
        </xdr:cNvGrpSpPr>
      </xdr:nvGrpSpPr>
      <xdr:grpSpPr bwMode="auto">
        <a:xfrm>
          <a:off x="0" y="114300"/>
          <a:ext cx="0" cy="390525"/>
          <a:chOff x="899" y="284"/>
          <a:chExt cx="205" cy="105"/>
        </a:xfrm>
      </xdr:grpSpPr>
      <xdr:sp macro="" textlink="">
        <xdr:nvSpPr>
          <xdr:cNvPr id="2050" name="Text Box 2">
            <a:extLst>
              <a:ext uri="{FF2B5EF4-FFF2-40B4-BE49-F238E27FC236}">
                <a16:creationId xmlns:a16="http://schemas.microsoft.com/office/drawing/2014/main" id="{00000000-0008-0000-0600-000002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-2327986028603"/>
            <a:ext cx="0" cy="1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　　　 　　　　　　</a:t>
            </a:r>
          </a:p>
          <a:p>
            <a:pPr algn="l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2051" name="Text Box 3">
            <a:extLst>
              <a:ext uri="{FF2B5EF4-FFF2-40B4-BE49-F238E27FC236}">
                <a16:creationId xmlns:a16="http://schemas.microsoft.com/office/drawing/2014/main" id="{00000000-0008-0000-0600-000003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4353653691063"/>
            <a:ext cx="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所長</a:t>
            </a: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2052" name="Text Box 4">
            <a:extLst>
              <a:ext uri="{FF2B5EF4-FFF2-40B4-BE49-F238E27FC236}">
                <a16:creationId xmlns:a16="http://schemas.microsoft.com/office/drawing/2014/main" id="{00000000-0008-0000-0600-000004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41370751866"/>
            <a:ext cx="0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　担当</a:t>
            </a: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2338" name="Line 5">
            <a:extLst>
              <a:ext uri="{FF2B5EF4-FFF2-40B4-BE49-F238E27FC236}">
                <a16:creationId xmlns:a16="http://schemas.microsoft.com/office/drawing/2014/main" id="{00000000-0008-0000-0600-000022090000}"/>
              </a:ext>
            </a:extLst>
          </xdr:cNvPr>
          <xdr:cNvSpPr>
            <a:spLocks noChangeShapeType="1"/>
          </xdr:cNvSpPr>
        </xdr:nvSpPr>
        <xdr:spPr bwMode="auto">
          <a:xfrm>
            <a:off x="900" y="308"/>
            <a:ext cx="20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9" name="Line 6">
            <a:extLst>
              <a:ext uri="{FF2B5EF4-FFF2-40B4-BE49-F238E27FC236}">
                <a16:creationId xmlns:a16="http://schemas.microsoft.com/office/drawing/2014/main" id="{00000000-0008-0000-0600-000023090000}"/>
              </a:ext>
            </a:extLst>
          </xdr:cNvPr>
          <xdr:cNvSpPr>
            <a:spLocks noChangeShapeType="1"/>
          </xdr:cNvSpPr>
        </xdr:nvSpPr>
        <xdr:spPr bwMode="auto">
          <a:xfrm>
            <a:off x="1001" y="285"/>
            <a:ext cx="0" cy="10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20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9"/>
  <sheetViews>
    <sheetView topLeftCell="A3" workbookViewId="0">
      <selection activeCell="B24" sqref="B24"/>
    </sheetView>
  </sheetViews>
  <sheetFormatPr defaultColWidth="8.875" defaultRowHeight="15.75"/>
  <cols>
    <col min="1" max="1" width="15.5" style="182" bestFit="1" customWidth="1"/>
    <col min="2" max="2" width="50.875" style="182" customWidth="1"/>
    <col min="3" max="3" width="0.875" style="182" customWidth="1"/>
    <col min="4" max="4" width="10.125" style="182" customWidth="1"/>
    <col min="5" max="5" width="14.875" style="182" customWidth="1"/>
    <col min="6" max="6" width="6.375" style="182" customWidth="1"/>
    <col min="7" max="7" width="62" style="126" customWidth="1"/>
    <col min="8" max="16384" width="8.875" style="126"/>
  </cols>
  <sheetData>
    <row r="1" spans="1:6" ht="15.75" customHeight="1">
      <c r="A1" s="240" t="s">
        <v>364</v>
      </c>
      <c r="B1" s="240"/>
      <c r="C1" s="240"/>
      <c r="D1" s="240"/>
      <c r="E1" s="240"/>
      <c r="F1" s="240"/>
    </row>
    <row r="2" spans="1:6" ht="16.5" customHeight="1" thickBot="1">
      <c r="A2" s="241"/>
      <c r="B2" s="241"/>
      <c r="C2" s="241"/>
      <c r="D2" s="241"/>
      <c r="E2" s="241"/>
      <c r="F2" s="241"/>
    </row>
    <row r="3" spans="1:6" ht="41.25" thickBot="1">
      <c r="A3" s="134" t="s">
        <v>79</v>
      </c>
      <c r="B3" s="135" t="s">
        <v>24</v>
      </c>
      <c r="C3" s="136"/>
      <c r="D3" s="137" t="s">
        <v>80</v>
      </c>
      <c r="E3" s="138" t="str">
        <f>実績!D1</f>
        <v>2020年4月度　</v>
      </c>
      <c r="F3" s="139" t="s">
        <v>40</v>
      </c>
    </row>
    <row r="4" spans="1:6" ht="19.5">
      <c r="A4" s="140" t="s">
        <v>81</v>
      </c>
      <c r="B4" s="141" t="s">
        <v>55</v>
      </c>
      <c r="C4" s="142"/>
      <c r="D4" s="143" t="s">
        <v>204</v>
      </c>
      <c r="E4" s="144">
        <f>VLOOKUP(B4,実績!$E$5:$I$56,5,0)</f>
        <v>0</v>
      </c>
      <c r="F4" s="145" t="str">
        <f>VLOOKUP(B4,実績!$E$5:$H$56,4,0)</f>
        <v>-</v>
      </c>
    </row>
    <row r="5" spans="1:6" ht="19.5">
      <c r="A5" s="146" t="s">
        <v>82</v>
      </c>
      <c r="B5" s="147" t="s">
        <v>59</v>
      </c>
      <c r="C5" s="148"/>
      <c r="D5" s="143" t="s">
        <v>204</v>
      </c>
      <c r="E5" s="144">
        <f>VLOOKUP(B5,実績!$E$5:$I$56,5,0)</f>
        <v>0</v>
      </c>
      <c r="F5" s="145" t="str">
        <f>VLOOKUP(B5,実績!$E$5:$H$56,4,0)</f>
        <v>-</v>
      </c>
    </row>
    <row r="6" spans="1:6" ht="19.5">
      <c r="A6" s="146" t="s">
        <v>83</v>
      </c>
      <c r="B6" s="149" t="s">
        <v>84</v>
      </c>
      <c r="C6" s="150"/>
      <c r="D6" s="143" t="s">
        <v>204</v>
      </c>
      <c r="E6" s="144">
        <f>VLOOKUP(B6,実績!$E$5:$I$56,5,0)</f>
        <v>0</v>
      </c>
      <c r="F6" s="145" t="str">
        <f>VLOOKUP(B6,実績!$E$5:$H$56,4,0)</f>
        <v>-</v>
      </c>
    </row>
    <row r="7" spans="1:6" ht="19.5">
      <c r="A7" s="151" t="s">
        <v>85</v>
      </c>
      <c r="B7" s="150" t="s">
        <v>46</v>
      </c>
      <c r="C7" s="150"/>
      <c r="D7" s="143" t="s">
        <v>204</v>
      </c>
      <c r="E7" s="144">
        <f>VLOOKUP(B7,実績!$E$5:$I$56,5,0)</f>
        <v>0</v>
      </c>
      <c r="F7" s="145" t="str">
        <f>VLOOKUP(B7,実績!$E$5:$H$56,4,0)</f>
        <v>-</v>
      </c>
    </row>
    <row r="8" spans="1:6" ht="19.5">
      <c r="A8" s="151" t="s">
        <v>86</v>
      </c>
      <c r="B8" s="150" t="s">
        <v>57</v>
      </c>
      <c r="C8" s="150"/>
      <c r="D8" s="143" t="s">
        <v>204</v>
      </c>
      <c r="E8" s="144">
        <f>VLOOKUP(B8,実績!$E$5:$I$56,5,0)</f>
        <v>0</v>
      </c>
      <c r="F8" s="145" t="str">
        <f>VLOOKUP(B8,実績!$E$5:$H$56,4,0)</f>
        <v>-</v>
      </c>
    </row>
    <row r="9" spans="1:6" ht="19.5">
      <c r="A9" s="152" t="s">
        <v>137</v>
      </c>
      <c r="B9" s="153" t="s">
        <v>3</v>
      </c>
      <c r="C9" s="150"/>
      <c r="D9" s="143" t="s">
        <v>204</v>
      </c>
      <c r="E9" s="144">
        <f>VLOOKUP(B9,実績!$E$5:$I$56,5,0)</f>
        <v>0</v>
      </c>
      <c r="F9" s="145" t="str">
        <f>VLOOKUP(B9,実績!$E$5:$H$56,4,0)</f>
        <v>-</v>
      </c>
    </row>
    <row r="10" spans="1:6" ht="19.5">
      <c r="A10" s="154" t="s">
        <v>87</v>
      </c>
      <c r="B10" s="155" t="s">
        <v>139</v>
      </c>
      <c r="C10" s="150"/>
      <c r="D10" s="143" t="s">
        <v>204</v>
      </c>
      <c r="E10" s="144">
        <f>VLOOKUP(B10,実績!$E$5:$I$56,5,0)</f>
        <v>0</v>
      </c>
      <c r="F10" s="145" t="str">
        <f>VLOOKUP(B10,実績!$E$5:$H$56,4,0)</f>
        <v>-</v>
      </c>
    </row>
    <row r="11" spans="1:6" ht="19.5">
      <c r="A11" s="151" t="s">
        <v>88</v>
      </c>
      <c r="B11" s="150" t="s">
        <v>76</v>
      </c>
      <c r="C11" s="150"/>
      <c r="D11" s="143" t="s">
        <v>204</v>
      </c>
      <c r="E11" s="144">
        <f>VLOOKUP(B11,実績!$E$5:$I$56,5,0)</f>
        <v>0</v>
      </c>
      <c r="F11" s="145" t="str">
        <f>VLOOKUP(B11,実績!$E$5:$H$56,4,0)</f>
        <v>-</v>
      </c>
    </row>
    <row r="12" spans="1:6" ht="19.5">
      <c r="A12" s="151" t="s">
        <v>89</v>
      </c>
      <c r="B12" s="150" t="s">
        <v>121</v>
      </c>
      <c r="C12" s="150"/>
      <c r="D12" s="143" t="s">
        <v>204</v>
      </c>
      <c r="E12" s="144">
        <f>VLOOKUP(B12,実績!$E$5:$I$56,5,0)</f>
        <v>0</v>
      </c>
      <c r="F12" s="145" t="str">
        <f>VLOOKUP(B12,実績!$E$5:$H$56,4,0)</f>
        <v>-</v>
      </c>
    </row>
    <row r="13" spans="1:6" ht="19.5">
      <c r="A13" s="151" t="s">
        <v>142</v>
      </c>
      <c r="B13" s="150" t="s">
        <v>54</v>
      </c>
      <c r="C13" s="150"/>
      <c r="D13" s="143" t="s">
        <v>204</v>
      </c>
      <c r="E13" s="144">
        <f>VLOOKUP(B13,実績!$E$5:$I$56,5,0)</f>
        <v>0</v>
      </c>
      <c r="F13" s="145" t="str">
        <f>VLOOKUP(B13,実績!$E$5:$H$56,4,0)</f>
        <v>-</v>
      </c>
    </row>
    <row r="14" spans="1:6" ht="19.5">
      <c r="A14" s="151" t="s">
        <v>145</v>
      </c>
      <c r="B14" s="150" t="s">
        <v>122</v>
      </c>
      <c r="C14" s="150"/>
      <c r="D14" s="143" t="s">
        <v>204</v>
      </c>
      <c r="E14" s="144">
        <f>VLOOKUP(B14,実績!$E$5:$I$56,5,0)</f>
        <v>0</v>
      </c>
      <c r="F14" s="145" t="str">
        <f>VLOOKUP(B14,実績!$E$5:$H$56,4,0)</f>
        <v>-</v>
      </c>
    </row>
    <row r="15" spans="1:6" ht="19.5">
      <c r="A15" s="151" t="s">
        <v>146</v>
      </c>
      <c r="B15" s="150" t="s">
        <v>232</v>
      </c>
      <c r="C15" s="150"/>
      <c r="D15" s="143" t="s">
        <v>204</v>
      </c>
      <c r="E15" s="144">
        <f>VLOOKUP(B15,実績!$E$5:$I$56,5,0)</f>
        <v>0</v>
      </c>
      <c r="F15" s="145" t="str">
        <f>VLOOKUP(B15,実績!$E$5:$H$56,4,0)</f>
        <v>-</v>
      </c>
    </row>
    <row r="16" spans="1:6" ht="19.5">
      <c r="A16" s="151" t="s">
        <v>73</v>
      </c>
      <c r="B16" s="150" t="s">
        <v>72</v>
      </c>
      <c r="C16" s="150"/>
      <c r="D16" s="143" t="s">
        <v>204</v>
      </c>
      <c r="E16" s="144">
        <f>VLOOKUP(B16,実績!$E$5:$I$56,5,0)</f>
        <v>0</v>
      </c>
      <c r="F16" s="145" t="str">
        <f>VLOOKUP(B16,実績!$E$5:$H$56,4,0)</f>
        <v>-</v>
      </c>
    </row>
    <row r="17" spans="1:15" ht="19.5">
      <c r="A17" s="154" t="s">
        <v>75</v>
      </c>
      <c r="B17" s="156" t="s">
        <v>74</v>
      </c>
      <c r="C17" s="150"/>
      <c r="D17" s="143" t="s">
        <v>204</v>
      </c>
      <c r="E17" s="144">
        <f>VLOOKUP(B17,実績!$E$5:$I$56,5,0)</f>
        <v>0</v>
      </c>
      <c r="F17" s="145" t="str">
        <f>VLOOKUP(B17,実績!$E$5:$H$56,4,0)</f>
        <v>-</v>
      </c>
    </row>
    <row r="18" spans="1:15" ht="19.5">
      <c r="A18" s="154" t="s">
        <v>149</v>
      </c>
      <c r="B18" s="156" t="s">
        <v>291</v>
      </c>
      <c r="C18" s="150"/>
      <c r="D18" s="143" t="s">
        <v>204</v>
      </c>
      <c r="E18" s="144">
        <f>VLOOKUP(B18,実績!$E$5:$I$56,5,0)</f>
        <v>0</v>
      </c>
      <c r="F18" s="145" t="str">
        <f>VLOOKUP(B18,実績!$E$5:$H$56,4,0)</f>
        <v>-</v>
      </c>
    </row>
    <row r="19" spans="1:15" ht="19.5">
      <c r="A19" s="154" t="s">
        <v>261</v>
      </c>
      <c r="B19" s="156" t="s">
        <v>217</v>
      </c>
      <c r="C19" s="150"/>
      <c r="D19" s="143" t="s">
        <v>204</v>
      </c>
      <c r="E19" s="144">
        <f>VLOOKUP(B19,実績!$E$5:$I$56,5,0)</f>
        <v>0</v>
      </c>
      <c r="F19" s="145" t="str">
        <f>VLOOKUP(B19,実績!$E$5:$H$56,4,0)</f>
        <v>-</v>
      </c>
    </row>
    <row r="20" spans="1:15" ht="19.5">
      <c r="A20" s="154" t="s">
        <v>212</v>
      </c>
      <c r="B20" s="156" t="s">
        <v>211</v>
      </c>
      <c r="C20" s="150"/>
      <c r="D20" s="143" t="s">
        <v>204</v>
      </c>
      <c r="E20" s="144">
        <f>VLOOKUP(B20,実績!$E$5:$I$56,5,0)</f>
        <v>0</v>
      </c>
      <c r="F20" s="145" t="str">
        <f>VLOOKUP(B20,実績!$E$5:$H$56,4,0)</f>
        <v>-</v>
      </c>
    </row>
    <row r="21" spans="1:15" ht="19.5">
      <c r="A21" s="154" t="s">
        <v>260</v>
      </c>
      <c r="B21" s="156" t="s">
        <v>230</v>
      </c>
      <c r="C21" s="150"/>
      <c r="D21" s="143" t="s">
        <v>204</v>
      </c>
      <c r="E21" s="144">
        <f>VLOOKUP(B21,実績!$E$5:$I$56,5,0)</f>
        <v>0</v>
      </c>
      <c r="F21" s="145" t="str">
        <f>VLOOKUP(B21,実績!$E$5:$H$56,4,0)</f>
        <v>-</v>
      </c>
    </row>
    <row r="22" spans="1:15" ht="19.5">
      <c r="A22" s="154" t="s">
        <v>262</v>
      </c>
      <c r="B22" s="156" t="s">
        <v>251</v>
      </c>
      <c r="C22" s="150"/>
      <c r="D22" s="143" t="s">
        <v>204</v>
      </c>
      <c r="E22" s="144">
        <f>VLOOKUP(B22,実績!$E$5:$I$56,5,0)</f>
        <v>0</v>
      </c>
      <c r="F22" s="145" t="str">
        <f>VLOOKUP(B22,実績!$E$5:$H$56,4,0)</f>
        <v>-</v>
      </c>
    </row>
    <row r="23" spans="1:15" ht="19.5">
      <c r="A23" s="225" t="s">
        <v>263</v>
      </c>
      <c r="B23" s="148" t="s">
        <v>236</v>
      </c>
      <c r="C23" s="224"/>
      <c r="D23" s="143" t="s">
        <v>204</v>
      </c>
      <c r="E23" s="144">
        <f>VLOOKUP(B23,実績!$E$5:$I$56,5,0)</f>
        <v>0</v>
      </c>
      <c r="F23" s="145" t="str">
        <f>VLOOKUP(B23,実績!$E$5:$H$56,4,0)</f>
        <v>-</v>
      </c>
      <c r="G23" s="244" t="s">
        <v>259</v>
      </c>
      <c r="H23" s="245"/>
      <c r="I23" s="245"/>
      <c r="J23" s="245"/>
      <c r="K23" s="245"/>
      <c r="L23" s="245"/>
      <c r="M23" s="245"/>
      <c r="N23" s="245"/>
      <c r="O23" s="245"/>
    </row>
    <row r="24" spans="1:15" ht="19.5">
      <c r="A24" s="225" t="s">
        <v>365</v>
      </c>
      <c r="B24" s="148" t="s">
        <v>366</v>
      </c>
      <c r="C24" s="224"/>
      <c r="D24" s="143" t="s">
        <v>204</v>
      </c>
      <c r="E24" s="144">
        <f>VLOOKUP(B24,実績!$E$5:$I$56,5,0)</f>
        <v>0</v>
      </c>
      <c r="F24" s="145"/>
      <c r="G24" s="272" t="s">
        <v>367</v>
      </c>
      <c r="H24" s="234"/>
      <c r="I24" s="234"/>
      <c r="J24" s="234"/>
      <c r="K24" s="234"/>
      <c r="L24" s="234"/>
      <c r="M24" s="234"/>
      <c r="N24" s="234"/>
      <c r="O24" s="234"/>
    </row>
    <row r="25" spans="1:15" ht="19.5">
      <c r="A25" s="157" t="s">
        <v>156</v>
      </c>
      <c r="B25" s="158" t="s">
        <v>58</v>
      </c>
      <c r="C25" s="158"/>
      <c r="D25" s="159" t="s">
        <v>154</v>
      </c>
      <c r="E25" s="160">
        <f>VLOOKUP(B25,実績!$E$5:$I$56,5,0)</f>
        <v>0</v>
      </c>
      <c r="F25" s="161" t="str">
        <f>VLOOKUP(B25,実績!$E$5:$H$56,4,0)</f>
        <v>-</v>
      </c>
    </row>
    <row r="26" spans="1:15" ht="19.5">
      <c r="A26" s="157" t="s">
        <v>90</v>
      </c>
      <c r="B26" s="158" t="s">
        <v>123</v>
      </c>
      <c r="C26" s="158"/>
      <c r="D26" s="159" t="s">
        <v>154</v>
      </c>
      <c r="E26" s="160">
        <f>VLOOKUP(B26,実績!$E$5:$I$56,5,0)</f>
        <v>0</v>
      </c>
      <c r="F26" s="161" t="str">
        <f>VLOOKUP(B26,実績!$E$5:$H$56,4,0)</f>
        <v>-</v>
      </c>
    </row>
    <row r="27" spans="1:15" ht="19.5">
      <c r="A27" s="157" t="s">
        <v>91</v>
      </c>
      <c r="B27" s="158" t="s">
        <v>42</v>
      </c>
      <c r="C27" s="158"/>
      <c r="D27" s="159" t="s">
        <v>154</v>
      </c>
      <c r="E27" s="160">
        <f>VLOOKUP(B27,実績!$E$5:$I$56,5,0)</f>
        <v>0</v>
      </c>
      <c r="F27" s="161" t="str">
        <f>VLOOKUP(B27,実績!$E$5:$H$56,4,0)</f>
        <v>-</v>
      </c>
    </row>
    <row r="28" spans="1:15" ht="19.5">
      <c r="A28" s="157" t="s">
        <v>238</v>
      </c>
      <c r="B28" s="158" t="s">
        <v>288</v>
      </c>
      <c r="C28" s="158"/>
      <c r="D28" s="159" t="s">
        <v>154</v>
      </c>
      <c r="E28" s="160">
        <f>VLOOKUP(B28,実績!$E$5:$I$56,5,0)</f>
        <v>0</v>
      </c>
      <c r="F28" s="161" t="str">
        <f>VLOOKUP(B28,実績!$E$5:$H$56,4,0)</f>
        <v>-</v>
      </c>
    </row>
    <row r="29" spans="1:15" ht="19.5">
      <c r="A29" s="162" t="s">
        <v>205</v>
      </c>
      <c r="B29" s="163" t="s">
        <v>70</v>
      </c>
      <c r="C29" s="164"/>
      <c r="D29" s="159" t="s">
        <v>154</v>
      </c>
      <c r="E29" s="160">
        <f>VLOOKUP(B29,実績!$E$5:$I$56,5,0)</f>
        <v>0</v>
      </c>
      <c r="F29" s="161" t="str">
        <f>VLOOKUP(B29,実績!$E$5:$H$56,4,0)</f>
        <v>-</v>
      </c>
    </row>
    <row r="30" spans="1:15" ht="19.5">
      <c r="A30" s="162" t="s">
        <v>166</v>
      </c>
      <c r="B30" s="163" t="s">
        <v>124</v>
      </c>
      <c r="C30" s="164"/>
      <c r="D30" s="159" t="s">
        <v>154</v>
      </c>
      <c r="E30" s="160">
        <f>VLOOKUP(B30,実績!$E$5:$I$56,5,0)</f>
        <v>0</v>
      </c>
      <c r="F30" s="161" t="str">
        <f>VLOOKUP(B30,実績!$E$5:$H$56,4,0)</f>
        <v>-</v>
      </c>
    </row>
    <row r="31" spans="1:15" ht="19.5">
      <c r="A31" s="162" t="s">
        <v>168</v>
      </c>
      <c r="B31" s="163" t="s">
        <v>125</v>
      </c>
      <c r="C31" s="164"/>
      <c r="D31" s="159" t="s">
        <v>154</v>
      </c>
      <c r="E31" s="160">
        <f>VLOOKUP(B31,実績!$E$5:$I$56,5,0)</f>
        <v>0</v>
      </c>
      <c r="F31" s="161" t="str">
        <f>VLOOKUP(B31,実績!$E$5:$H$56,4,0)</f>
        <v>-</v>
      </c>
      <c r="G31" s="22"/>
    </row>
    <row r="32" spans="1:15" ht="19.5">
      <c r="A32" s="211" t="s">
        <v>264</v>
      </c>
      <c r="B32" s="212" t="s">
        <v>275</v>
      </c>
      <c r="C32" s="166"/>
      <c r="D32" s="167" t="s">
        <v>206</v>
      </c>
      <c r="E32" s="168">
        <f>VLOOKUP(B32,実績!$E$5:$I$56,5,0)</f>
        <v>0</v>
      </c>
      <c r="F32" s="169" t="str">
        <f>VLOOKUP(B32,実績!$E$5:$H$56,4,0)</f>
        <v>-</v>
      </c>
      <c r="G32" s="126" t="s">
        <v>300</v>
      </c>
    </row>
    <row r="33" spans="1:15" ht="19.5">
      <c r="A33" s="165" t="s">
        <v>174</v>
      </c>
      <c r="B33" s="166" t="s">
        <v>5</v>
      </c>
      <c r="C33" s="166"/>
      <c r="D33" s="167" t="s">
        <v>206</v>
      </c>
      <c r="E33" s="168">
        <f>VLOOKUP(B33,実績!$E$5:$I$56,5,0)</f>
        <v>0</v>
      </c>
      <c r="F33" s="169" t="str">
        <f>VLOOKUP(B33,実績!$E$5:$H$56,4,0)</f>
        <v>-</v>
      </c>
    </row>
    <row r="34" spans="1:15" ht="19.5">
      <c r="A34" s="170" t="s">
        <v>283</v>
      </c>
      <c r="B34" s="171" t="s">
        <v>287</v>
      </c>
      <c r="C34" s="172"/>
      <c r="D34" s="227" t="s">
        <v>207</v>
      </c>
      <c r="E34" s="168">
        <f>VLOOKUP(B34,実績!$E$5:$I$56,5,0)</f>
        <v>0</v>
      </c>
      <c r="F34" s="169" t="str">
        <f>VLOOKUP(B34,実績!$E$5:$H$56,4,0)</f>
        <v>-</v>
      </c>
      <c r="G34" s="228" t="s">
        <v>284</v>
      </c>
      <c r="I34" s="126" t="s">
        <v>286</v>
      </c>
    </row>
    <row r="35" spans="1:15" ht="19.5">
      <c r="A35" s="165" t="s">
        <v>181</v>
      </c>
      <c r="B35" s="166" t="s">
        <v>43</v>
      </c>
      <c r="C35" s="166"/>
      <c r="D35" s="167" t="s">
        <v>207</v>
      </c>
      <c r="E35" s="168">
        <f>VLOOKUP(B35,実績!$E$5:$I$56,5,0)</f>
        <v>0</v>
      </c>
      <c r="F35" s="169" t="str">
        <f>VLOOKUP(B35,実績!$E$5:$H$56,4,0)</f>
        <v>-</v>
      </c>
      <c r="G35" s="205"/>
    </row>
    <row r="36" spans="1:15" ht="19.5">
      <c r="A36" s="170" t="s">
        <v>187</v>
      </c>
      <c r="B36" s="171" t="s">
        <v>265</v>
      </c>
      <c r="C36" s="172"/>
      <c r="D36" s="167" t="s">
        <v>207</v>
      </c>
      <c r="E36" s="168">
        <f>VLOOKUP(B36,実績!$E$5:$I$56,5,0)</f>
        <v>0</v>
      </c>
      <c r="F36" s="169" t="str">
        <f>VLOOKUP(B36,実績!$E$5:$H$56,4,0)</f>
        <v>-</v>
      </c>
      <c r="G36" s="205"/>
    </row>
    <row r="37" spans="1:15" ht="19.5">
      <c r="A37" s="170" t="s">
        <v>189</v>
      </c>
      <c r="B37" s="171" t="s">
        <v>188</v>
      </c>
      <c r="C37" s="172"/>
      <c r="D37" s="167" t="s">
        <v>206</v>
      </c>
      <c r="E37" s="168">
        <f>VLOOKUP(B37,実績!$E$5:$I$56,5,0)</f>
        <v>0</v>
      </c>
      <c r="F37" s="169" t="str">
        <f>VLOOKUP(B37,実績!$E$5:$H$56,4,0)</f>
        <v>-</v>
      </c>
    </row>
    <row r="38" spans="1:15" ht="19.5">
      <c r="A38" s="170" t="s">
        <v>192</v>
      </c>
      <c r="B38" s="171" t="s">
        <v>208</v>
      </c>
      <c r="C38" s="172"/>
      <c r="D38" s="167" t="s">
        <v>207</v>
      </c>
      <c r="E38" s="168">
        <f>VLOOKUP(B38,実績!$E$5:$I$56,5,0)</f>
        <v>0</v>
      </c>
      <c r="F38" s="169" t="str">
        <f>VLOOKUP(B38,実績!$E$5:$H$56,4,0)</f>
        <v>-</v>
      </c>
    </row>
    <row r="39" spans="1:15" ht="19.5">
      <c r="A39" s="170" t="s">
        <v>195</v>
      </c>
      <c r="B39" s="171" t="s">
        <v>209</v>
      </c>
      <c r="C39" s="172"/>
      <c r="D39" s="167" t="s">
        <v>207</v>
      </c>
      <c r="E39" s="168">
        <f>VLOOKUP(B39,実績!$E$5:$I$56,5,0)</f>
        <v>0</v>
      </c>
      <c r="F39" s="169" t="str">
        <f>VLOOKUP(B39,実績!$E$5:$H$56,4,0)</f>
        <v>-</v>
      </c>
    </row>
    <row r="40" spans="1:15" ht="19.5">
      <c r="A40" s="170" t="s">
        <v>197</v>
      </c>
      <c r="B40" s="171" t="s">
        <v>128</v>
      </c>
      <c r="C40" s="172"/>
      <c r="D40" s="167" t="s">
        <v>207</v>
      </c>
      <c r="E40" s="168">
        <f>VLOOKUP(B40,実績!$E$5:$I$56,5,0)</f>
        <v>0</v>
      </c>
      <c r="F40" s="169" t="str">
        <f>VLOOKUP(B40,実績!$E$5:$H$56,4,0)</f>
        <v>-</v>
      </c>
    </row>
    <row r="41" spans="1:15" ht="19.5">
      <c r="A41" s="170" t="s">
        <v>200</v>
      </c>
      <c r="B41" s="171" t="s">
        <v>210</v>
      </c>
      <c r="C41" s="172"/>
      <c r="D41" s="167" t="s">
        <v>207</v>
      </c>
      <c r="E41" s="168">
        <f>VLOOKUP(B41,実績!$E$5:$I$56,5,0)</f>
        <v>0</v>
      </c>
      <c r="F41" s="169" t="str">
        <f>VLOOKUP(B41,実績!$E$5:$H$56,4,0)</f>
        <v>-</v>
      </c>
    </row>
    <row r="42" spans="1:15" ht="19.5">
      <c r="A42" s="170" t="s">
        <v>203</v>
      </c>
      <c r="B42" s="171" t="s">
        <v>130</v>
      </c>
      <c r="C42" s="172"/>
      <c r="D42" s="167" t="s">
        <v>207</v>
      </c>
      <c r="E42" s="168">
        <f>VLOOKUP(B42,実績!$E$5:$I$56,5,0)</f>
        <v>0</v>
      </c>
      <c r="F42" s="169" t="str">
        <f>VLOOKUP(B42,実績!$E$5:$H$56,4,0)</f>
        <v>-</v>
      </c>
      <c r="G42" s="205"/>
    </row>
    <row r="43" spans="1:15" ht="19.5">
      <c r="A43" s="170" t="s">
        <v>266</v>
      </c>
      <c r="B43" s="171" t="s">
        <v>290</v>
      </c>
      <c r="C43" s="172"/>
      <c r="D43" s="167" t="s">
        <v>206</v>
      </c>
      <c r="E43" s="168">
        <f>VLOOKUP(B43,実績!$E$5:$I$56,5,0)</f>
        <v>0</v>
      </c>
      <c r="F43" s="169" t="str">
        <f>VLOOKUP(B43,実績!$E$5:$H$56,4,0)</f>
        <v>-</v>
      </c>
      <c r="G43" s="242"/>
      <c r="H43" s="243"/>
      <c r="I43" s="243"/>
      <c r="J43" s="243"/>
      <c r="K43" s="243"/>
      <c r="L43" s="243"/>
      <c r="M43" s="243"/>
      <c r="N43" s="243"/>
      <c r="O43" s="243"/>
    </row>
    <row r="44" spans="1:15" ht="19.5">
      <c r="A44" s="170" t="s">
        <v>267</v>
      </c>
      <c r="B44" s="171" t="s">
        <v>277</v>
      </c>
      <c r="C44" s="172"/>
      <c r="D44" s="167" t="s">
        <v>207</v>
      </c>
      <c r="E44" s="168">
        <f>VLOOKUP(B44,実績!$E$5:$I$56,5,0)</f>
        <v>0</v>
      </c>
      <c r="F44" s="169" t="str">
        <f>VLOOKUP(B44,実績!$E$5:$H$56,4,0)</f>
        <v>-</v>
      </c>
      <c r="G44" s="205"/>
    </row>
    <row r="45" spans="1:15" ht="19.5">
      <c r="A45" s="170" t="s">
        <v>351</v>
      </c>
      <c r="B45" s="171" t="s">
        <v>359</v>
      </c>
      <c r="C45" s="172"/>
      <c r="D45" s="227" t="s">
        <v>362</v>
      </c>
      <c r="E45" s="238"/>
      <c r="F45" s="239"/>
      <c r="G45" s="205" t="s">
        <v>361</v>
      </c>
      <c r="I45" s="205" t="s">
        <v>286</v>
      </c>
    </row>
    <row r="46" spans="1:15" ht="19.5">
      <c r="A46" s="170"/>
      <c r="B46" s="171" t="s">
        <v>360</v>
      </c>
      <c r="C46" s="172"/>
      <c r="D46" s="227" t="s">
        <v>362</v>
      </c>
      <c r="E46" s="238"/>
      <c r="F46" s="239"/>
      <c r="G46" s="205" t="s">
        <v>363</v>
      </c>
      <c r="I46" s="205" t="s">
        <v>286</v>
      </c>
    </row>
    <row r="47" spans="1:15" ht="20.25" thickBot="1">
      <c r="A47" s="173"/>
      <c r="B47" s="174" t="s">
        <v>31</v>
      </c>
      <c r="C47" s="174"/>
      <c r="D47" s="175"/>
      <c r="E47" s="176">
        <f>SUM(E4:E44)</f>
        <v>0</v>
      </c>
      <c r="F47" s="177">
        <f>SUM(F4:F44)</f>
        <v>0</v>
      </c>
    </row>
    <row r="48" spans="1:15" ht="19.5">
      <c r="A48" s="178"/>
      <c r="B48" s="178"/>
      <c r="C48" s="178"/>
      <c r="D48" s="179"/>
      <c r="E48" s="180"/>
      <c r="F48" s="181"/>
    </row>
    <row r="49" spans="1:6" ht="19.5">
      <c r="A49" s="126" t="s">
        <v>357</v>
      </c>
      <c r="B49" s="178"/>
      <c r="C49" s="178"/>
      <c r="D49" s="179"/>
      <c r="E49" s="180"/>
      <c r="F49" s="181"/>
    </row>
  </sheetData>
  <customSheetViews>
    <customSheetView guid="{973ECC17-1FC7-46AC-9FAE-72CFE59B5A9C}" topLeftCell="A16">
      <selection activeCell="E34" sqref="E34"/>
      <pageMargins left="0.7" right="0.7" top="0.75" bottom="0.75" header="0.3" footer="0.3"/>
    </customSheetView>
    <customSheetView guid="{7F90F6BF-AAFE-4B41-87EA-2390EC2C7378}" topLeftCell="A16">
      <selection activeCell="E34" sqref="E34"/>
      <pageMargins left="0.7" right="0.7" top="0.75" bottom="0.75" header="0.3" footer="0.3"/>
    </customSheetView>
    <customSheetView guid="{3C29C2C7-5DB1-41FB-9E95-64C17F07BBDB}" topLeftCell="A16">
      <selection activeCell="E34" sqref="E34"/>
      <pageMargins left="0.7" right="0.7" top="0.75" bottom="0.75" header="0.3" footer="0.3"/>
    </customSheetView>
  </customSheetViews>
  <mergeCells count="3">
    <mergeCell ref="A1:F2"/>
    <mergeCell ref="G43:O43"/>
    <mergeCell ref="G23:O23"/>
  </mergeCells>
  <phoneticPr fontId="2"/>
  <conditionalFormatting sqref="A3:D46">
    <cfRule type="containsErrors" dxfId="54" priority="4">
      <formula>ISERROR(A3)</formula>
    </cfRule>
  </conditionalFormatting>
  <conditionalFormatting sqref="A1:XFD2">
    <cfRule type="containsErrors" dxfId="53" priority="1">
      <formula>ISERROR(A1)</formula>
    </cfRule>
  </conditionalFormatting>
  <conditionalFormatting sqref="A47:XFD1048576">
    <cfRule type="containsErrors" dxfId="52" priority="5">
      <formula>ISERROR(A47)</formula>
    </cfRule>
  </conditionalFormatting>
  <conditionalFormatting sqref="E23:F46">
    <cfRule type="containsErrors" dxfId="51" priority="35">
      <formula>ISERROR(E23)</formula>
    </cfRule>
  </conditionalFormatting>
  <conditionalFormatting sqref="E3:XFD22">
    <cfRule type="containsErrors" dxfId="50" priority="36">
      <formula>ISERROR(E3)</formula>
    </cfRule>
  </conditionalFormatting>
  <conditionalFormatting sqref="G23:G24">
    <cfRule type="containsErrors" dxfId="49" priority="16">
      <formula>ISERROR(G23)</formula>
    </cfRule>
  </conditionalFormatting>
  <conditionalFormatting sqref="G42:G46">
    <cfRule type="containsErrors" dxfId="48" priority="3">
      <formula>ISERROR(G42)</formula>
    </cfRule>
  </conditionalFormatting>
  <conditionalFormatting sqref="G32:O41">
    <cfRule type="containsErrors" dxfId="47" priority="9">
      <formula>ISERROR(G32)</formula>
    </cfRule>
  </conditionalFormatting>
  <conditionalFormatting sqref="H42:O42">
    <cfRule type="containsErrors" dxfId="46" priority="10">
      <formula>ISERROR(H42)</formula>
    </cfRule>
  </conditionalFormatting>
  <conditionalFormatting sqref="H44:O46">
    <cfRule type="containsErrors" dxfId="45" priority="2">
      <formula>ISERROR(H44)</formula>
    </cfRule>
  </conditionalFormatting>
  <conditionalFormatting sqref="P23:XFD24 G25:XFD30 H31:XFD31">
    <cfRule type="containsErrors" dxfId="44" priority="50">
      <formula>ISERROR(G23)</formula>
    </cfRule>
  </conditionalFormatting>
  <conditionalFormatting sqref="P32:XFD46">
    <cfRule type="containsErrors" dxfId="43" priority="41">
      <formula>ISERROR(P32)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R56"/>
  <sheetViews>
    <sheetView tabSelected="1" view="pageBreakPreview" zoomScaleNormal="100" zoomScaleSheetLayoutView="100" workbookViewId="0">
      <selection activeCell="E9" sqref="E9"/>
    </sheetView>
  </sheetViews>
  <sheetFormatPr defaultColWidth="9" defaultRowHeight="15.75"/>
  <cols>
    <col min="1" max="1" width="2.125" style="3" customWidth="1"/>
    <col min="2" max="2" width="1.5" style="3" customWidth="1"/>
    <col min="3" max="3" width="5.625" style="3" customWidth="1"/>
    <col min="4" max="4" width="3.125" style="3" customWidth="1"/>
    <col min="5" max="5" width="31.375" style="3" customWidth="1"/>
    <col min="6" max="6" width="4.75" style="3" customWidth="1"/>
    <col min="7" max="7" width="12.75" style="3" customWidth="1"/>
    <col min="8" max="8" width="5.625" style="3" customWidth="1"/>
    <col min="9" max="10" width="14.125" style="3" customWidth="1"/>
    <col min="11" max="11" width="4.75" style="28" customWidth="1"/>
    <col min="12" max="12" width="4.125" style="28" customWidth="1"/>
    <col min="13" max="16384" width="9" style="3"/>
  </cols>
  <sheetData>
    <row r="1" spans="3:16" ht="30.75" customHeight="1">
      <c r="C1" s="17"/>
      <c r="D1" s="16" t="s">
        <v>100</v>
      </c>
      <c r="E1" s="18"/>
      <c r="F1" s="18"/>
      <c r="G1" s="18" t="s">
        <v>92</v>
      </c>
      <c r="H1" s="18"/>
      <c r="I1" s="18"/>
      <c r="J1" s="18"/>
      <c r="K1" s="18"/>
      <c r="L1" s="18"/>
      <c r="M1" s="201" t="s">
        <v>222</v>
      </c>
      <c r="O1" s="200" t="s">
        <v>223</v>
      </c>
    </row>
    <row r="2" spans="3:16" ht="8.25" customHeight="1" thickBot="1">
      <c r="C2" s="19"/>
      <c r="D2" s="19"/>
      <c r="E2" s="20"/>
      <c r="F2" s="20"/>
      <c r="G2" s="20"/>
      <c r="H2" s="20"/>
      <c r="I2" s="20"/>
      <c r="J2" s="20"/>
      <c r="K2" s="21"/>
      <c r="L2" s="21"/>
    </row>
    <row r="3" spans="3:16" ht="22.5" customHeight="1">
      <c r="C3" s="257"/>
      <c r="D3" s="246" t="s">
        <v>32</v>
      </c>
      <c r="E3" s="246" t="s">
        <v>24</v>
      </c>
      <c r="F3" s="248" t="s">
        <v>77</v>
      </c>
      <c r="G3" s="249"/>
      <c r="H3" s="248" t="s">
        <v>78</v>
      </c>
      <c r="I3" s="250"/>
      <c r="J3" s="249"/>
      <c r="K3" s="251" t="s">
        <v>25</v>
      </c>
      <c r="L3" s="253" t="s">
        <v>26</v>
      </c>
    </row>
    <row r="4" spans="3:16" ht="22.5" customHeight="1">
      <c r="C4" s="258"/>
      <c r="D4" s="247"/>
      <c r="E4" s="247"/>
      <c r="F4" s="62" t="s">
        <v>27</v>
      </c>
      <c r="G4" s="62" t="s">
        <v>28</v>
      </c>
      <c r="H4" s="62" t="s">
        <v>27</v>
      </c>
      <c r="I4" s="62" t="s">
        <v>101</v>
      </c>
      <c r="J4" s="62" t="s">
        <v>29</v>
      </c>
      <c r="K4" s="252"/>
      <c r="L4" s="254"/>
    </row>
    <row r="5" spans="3:16" ht="21" customHeight="1">
      <c r="C5" s="255" t="s">
        <v>4</v>
      </c>
      <c r="D5" s="29">
        <v>1</v>
      </c>
      <c r="E5" s="30" t="s">
        <v>55</v>
      </c>
      <c r="F5" s="30">
        <f>COUNTIF(支払一覧!$F$4:$F$1434,実績!$E5)</f>
        <v>0</v>
      </c>
      <c r="G5" s="31">
        <f>SUMIF(支払一覧!$F$4:$F$3000,実績!$E5,支払一覧!$I$4:$I$3000)</f>
        <v>0</v>
      </c>
      <c r="H5" s="184" t="str">
        <f>IF(F5=0,"-","★")</f>
        <v>-</v>
      </c>
      <c r="I5" s="32"/>
      <c r="J5" s="33"/>
      <c r="K5" s="29"/>
      <c r="L5" s="34"/>
    </row>
    <row r="6" spans="3:16" ht="21" customHeight="1">
      <c r="C6" s="255"/>
      <c r="D6" s="29">
        <v>2</v>
      </c>
      <c r="E6" s="35" t="s">
        <v>59</v>
      </c>
      <c r="F6" s="30">
        <f>COUNTIF(支払一覧!$F$4:$F$1434,実績!$E6)</f>
        <v>0</v>
      </c>
      <c r="G6" s="31">
        <f>SUMIF(支払一覧!$F$4:$F$3000,実績!$E6,支払一覧!$I$4:$I$3000)</f>
        <v>0</v>
      </c>
      <c r="H6" s="184" t="str">
        <f t="shared" ref="H6:H25" si="0">IF(F6=0,"-","★")</f>
        <v>-</v>
      </c>
      <c r="I6" s="31"/>
      <c r="J6" s="33"/>
      <c r="K6" s="29"/>
      <c r="L6" s="34"/>
    </row>
    <row r="7" spans="3:16" ht="21" customHeight="1">
      <c r="C7" s="255"/>
      <c r="D7" s="29">
        <v>3</v>
      </c>
      <c r="E7" s="30" t="s">
        <v>84</v>
      </c>
      <c r="F7" s="30">
        <f>COUNTIF(支払一覧!$F$4:$F$1434,実績!$E7)</f>
        <v>0</v>
      </c>
      <c r="G7" s="31">
        <f>SUMIF(支払一覧!$F$4:$F$3000,実績!$E7,支払一覧!$I$4:$I$3000)</f>
        <v>0</v>
      </c>
      <c r="H7" s="184" t="str">
        <f t="shared" si="0"/>
        <v>-</v>
      </c>
      <c r="I7" s="31"/>
      <c r="J7" s="33"/>
      <c r="K7" s="29"/>
      <c r="L7" s="34"/>
    </row>
    <row r="8" spans="3:16" ht="21" customHeight="1">
      <c r="C8" s="255"/>
      <c r="D8" s="29">
        <v>4</v>
      </c>
      <c r="E8" s="30" t="s">
        <v>46</v>
      </c>
      <c r="F8" s="30">
        <f>COUNTIF(支払一覧!$F$4:$F$1434,実績!$E8)</f>
        <v>0</v>
      </c>
      <c r="G8" s="31">
        <f>SUMIF(支払一覧!$F$4:$F$3000,実績!$E8,支払一覧!$I$4:$I$3000)</f>
        <v>0</v>
      </c>
      <c r="H8" s="184" t="str">
        <f t="shared" si="0"/>
        <v>-</v>
      </c>
      <c r="I8" s="37"/>
      <c r="J8" s="33"/>
      <c r="K8" s="29"/>
      <c r="L8" s="36"/>
    </row>
    <row r="9" spans="3:16" ht="21" customHeight="1">
      <c r="C9" s="255"/>
      <c r="D9" s="29">
        <v>5</v>
      </c>
      <c r="E9" s="30" t="s">
        <v>57</v>
      </c>
      <c r="F9" s="30">
        <f>COUNTIF(支払一覧!$F$4:$F$1434,実績!$E9)</f>
        <v>0</v>
      </c>
      <c r="G9" s="31">
        <f>SUMIF(支払一覧!$F$4:$F$3000,実績!$E9,支払一覧!$I$4:$I$3000)</f>
        <v>0</v>
      </c>
      <c r="H9" s="184" t="str">
        <f t="shared" si="0"/>
        <v>-</v>
      </c>
      <c r="I9" s="37"/>
      <c r="J9" s="33"/>
      <c r="K9" s="29"/>
      <c r="L9" s="34"/>
    </row>
    <row r="10" spans="3:16" ht="21" customHeight="1">
      <c r="C10" s="255"/>
      <c r="D10" s="29">
        <v>6</v>
      </c>
      <c r="E10" s="30" t="s">
        <v>3</v>
      </c>
      <c r="F10" s="30">
        <f>COUNTIF(支払一覧!$F$4:$F$1434,実績!$E10)</f>
        <v>0</v>
      </c>
      <c r="G10" s="31">
        <f>SUMIF(支払一覧!$F$4:$F$3000,実績!$E10,支払一覧!$I$4:$I$3000)</f>
        <v>0</v>
      </c>
      <c r="H10" s="184" t="str">
        <f t="shared" si="0"/>
        <v>-</v>
      </c>
      <c r="I10" s="37"/>
      <c r="J10" s="33"/>
      <c r="K10" s="29"/>
      <c r="L10" s="34"/>
    </row>
    <row r="11" spans="3:16" ht="21" customHeight="1">
      <c r="C11" s="255"/>
      <c r="D11" s="29">
        <v>7</v>
      </c>
      <c r="E11" s="30" t="s">
        <v>120</v>
      </c>
      <c r="F11" s="30">
        <f>COUNTIF(支払一覧!$F$4:$F$1434,実績!$E11)</f>
        <v>0</v>
      </c>
      <c r="G11" s="31">
        <f>SUMIF(支払一覧!$F$4:$F$3000,実績!$E11,支払一覧!$I$4:$I$3000)</f>
        <v>0</v>
      </c>
      <c r="H11" s="184" t="str">
        <f t="shared" si="0"/>
        <v>-</v>
      </c>
      <c r="I11" s="37"/>
      <c r="J11" s="33"/>
      <c r="K11" s="29"/>
      <c r="L11" s="34"/>
    </row>
    <row r="12" spans="3:16" ht="21" customHeight="1">
      <c r="C12" s="255"/>
      <c r="D12" s="29">
        <v>8</v>
      </c>
      <c r="E12" s="30" t="s">
        <v>76</v>
      </c>
      <c r="F12" s="30">
        <f>COUNTIF(支払一覧!$F$4:$F$1434,実績!$E12)</f>
        <v>0</v>
      </c>
      <c r="G12" s="31">
        <f>SUMIF(支払一覧!$F$4:$F$3000,実績!$E12,支払一覧!$I$4:$I$3000)</f>
        <v>0</v>
      </c>
      <c r="H12" s="184" t="str">
        <f t="shared" si="0"/>
        <v>-</v>
      </c>
      <c r="I12" s="37"/>
      <c r="J12" s="33"/>
      <c r="K12" s="29"/>
      <c r="L12" s="34"/>
    </row>
    <row r="13" spans="3:16" ht="21" customHeight="1">
      <c r="C13" s="255"/>
      <c r="D13" s="29">
        <v>9</v>
      </c>
      <c r="E13" s="30" t="s">
        <v>121</v>
      </c>
      <c r="F13" s="30">
        <f>COUNTIF(支払一覧!$F$4:$F$1434,実績!$E13)</f>
        <v>0</v>
      </c>
      <c r="G13" s="31">
        <f>SUMIF(支払一覧!$F$4:$F$3000,実績!$E13,支払一覧!$I$4:$I$3000)</f>
        <v>0</v>
      </c>
      <c r="H13" s="184" t="str">
        <f t="shared" si="0"/>
        <v>-</v>
      </c>
      <c r="I13" s="37"/>
      <c r="J13" s="33"/>
      <c r="K13" s="29"/>
      <c r="L13" s="34"/>
    </row>
    <row r="14" spans="3:16" ht="21" customHeight="1">
      <c r="C14" s="255"/>
      <c r="D14" s="29">
        <v>10</v>
      </c>
      <c r="E14" s="30" t="s">
        <v>54</v>
      </c>
      <c r="F14" s="30">
        <f>COUNTIF(支払一覧!$F$4:$F$1434,実績!$E14)</f>
        <v>0</v>
      </c>
      <c r="G14" s="31">
        <f>SUMIF(支払一覧!$F$4:$F$3000,実績!$E14,支払一覧!$I$4:$I$3000)</f>
        <v>0</v>
      </c>
      <c r="H14" s="184" t="str">
        <f t="shared" si="0"/>
        <v>-</v>
      </c>
      <c r="I14" s="37"/>
      <c r="J14" s="33"/>
      <c r="K14" s="29"/>
      <c r="L14" s="34"/>
      <c r="P14" s="22"/>
    </row>
    <row r="15" spans="3:16" ht="21" customHeight="1">
      <c r="C15" s="255"/>
      <c r="D15" s="29">
        <v>11</v>
      </c>
      <c r="E15" s="30" t="s">
        <v>122</v>
      </c>
      <c r="F15" s="30">
        <f>COUNTIF(支払一覧!$F$4:$F$1434,実績!$E15)</f>
        <v>0</v>
      </c>
      <c r="G15" s="31">
        <f>SUMIF(支払一覧!$F$4:$F$3000,実績!$E15,支払一覧!$I$4:$I$3000)</f>
        <v>0</v>
      </c>
      <c r="H15" s="184" t="str">
        <f t="shared" si="0"/>
        <v>-</v>
      </c>
      <c r="I15" s="37"/>
      <c r="J15" s="33"/>
      <c r="K15" s="29"/>
      <c r="L15" s="34"/>
    </row>
    <row r="16" spans="3:16" ht="21" customHeight="1">
      <c r="C16" s="255"/>
      <c r="D16" s="29">
        <v>12</v>
      </c>
      <c r="E16" s="30" t="s">
        <v>232</v>
      </c>
      <c r="F16" s="30">
        <f>COUNTIF(支払一覧!$F$4:$F$1434,実績!$E16)</f>
        <v>0</v>
      </c>
      <c r="G16" s="31">
        <f>SUMIF(支払一覧!$F$4:$F$3000,実績!$E16,支払一覧!$I$4:$I$3000)</f>
        <v>0</v>
      </c>
      <c r="H16" s="184" t="str">
        <f t="shared" si="0"/>
        <v>-</v>
      </c>
      <c r="I16" s="37"/>
      <c r="J16" s="33"/>
      <c r="K16" s="29"/>
      <c r="L16" s="34"/>
      <c r="P16" s="22"/>
    </row>
    <row r="17" spans="3:18" ht="21" customHeight="1">
      <c r="C17" s="255"/>
      <c r="D17" s="206">
        <v>13</v>
      </c>
      <c r="E17" s="207" t="s">
        <v>72</v>
      </c>
      <c r="F17" s="30">
        <f>COUNTIF(支払一覧!$F$4:$F$1434,実績!$E17)</f>
        <v>0</v>
      </c>
      <c r="G17" s="31">
        <f>SUMIF(支払一覧!$F$4:$F$3000,実績!$E17,支払一覧!$I$4:$I$3000)</f>
        <v>0</v>
      </c>
      <c r="H17" s="184" t="str">
        <f t="shared" si="0"/>
        <v>-</v>
      </c>
      <c r="I17" s="37"/>
      <c r="J17" s="33"/>
      <c r="K17" s="29"/>
      <c r="L17" s="34"/>
      <c r="O17" s="218"/>
      <c r="P17" s="218"/>
      <c r="R17" s="3" t="s">
        <v>255</v>
      </c>
    </row>
    <row r="18" spans="3:18" ht="21" customHeight="1">
      <c r="C18" s="255"/>
      <c r="D18" s="206">
        <v>14</v>
      </c>
      <c r="E18" s="207" t="s">
        <v>74</v>
      </c>
      <c r="F18" s="30">
        <f>COUNTIF(支払一覧!$F$4:$F$1434,実績!$E18)</f>
        <v>0</v>
      </c>
      <c r="G18" s="31">
        <f>SUMIF(支払一覧!$F$4:$F$3000,実績!$E18,支払一覧!$I$4:$I$3000)</f>
        <v>0</v>
      </c>
      <c r="H18" s="184" t="str">
        <f t="shared" si="0"/>
        <v>-</v>
      </c>
      <c r="I18" s="37"/>
      <c r="J18" s="33"/>
      <c r="K18" s="29"/>
      <c r="L18" s="34"/>
      <c r="R18" s="3" t="s">
        <v>256</v>
      </c>
    </row>
    <row r="19" spans="3:18" ht="21" customHeight="1">
      <c r="C19" s="255"/>
      <c r="D19" s="29">
        <v>15</v>
      </c>
      <c r="E19" s="184" t="s">
        <v>291</v>
      </c>
      <c r="F19" s="30">
        <f>COUNTIF(支払一覧!$F$4:$F$1434,実績!$E19)</f>
        <v>0</v>
      </c>
      <c r="G19" s="31">
        <f>SUMIF(支払一覧!$F$4:$F$3000,実績!$E19,支払一覧!$I$4:$I$3000)</f>
        <v>0</v>
      </c>
      <c r="H19" s="184" t="str">
        <f t="shared" si="0"/>
        <v>-</v>
      </c>
      <c r="I19" s="37"/>
      <c r="J19" s="33"/>
      <c r="K19" s="29"/>
      <c r="L19" s="34"/>
    </row>
    <row r="20" spans="3:18" ht="21" customHeight="1">
      <c r="C20" s="255"/>
      <c r="D20" s="183">
        <v>16</v>
      </c>
      <c r="E20" s="184" t="s">
        <v>217</v>
      </c>
      <c r="F20" s="30">
        <f>COUNTIF(支払一覧!$F$4:$F$1434,実績!$E20)</f>
        <v>0</v>
      </c>
      <c r="G20" s="31">
        <f>SUMIF(支払一覧!$F$4:$F$3000,実績!$E20,支払一覧!$I$4:$I$3000)</f>
        <v>0</v>
      </c>
      <c r="H20" s="184" t="str">
        <f t="shared" si="0"/>
        <v>-</v>
      </c>
      <c r="I20" s="37"/>
      <c r="J20" s="33"/>
      <c r="K20" s="29"/>
      <c r="L20" s="34"/>
    </row>
    <row r="21" spans="3:18" ht="21" customHeight="1">
      <c r="C21" s="255"/>
      <c r="D21" s="29">
        <v>17</v>
      </c>
      <c r="E21" s="30" t="s">
        <v>211</v>
      </c>
      <c r="F21" s="30">
        <f>COUNTIF(支払一覧!$F$4:$F$1434,実績!$E21)</f>
        <v>0</v>
      </c>
      <c r="G21" s="31">
        <f>SUMIF(支払一覧!$F$4:$F$3000,実績!$E21,支払一覧!$I$4:$I$3000)</f>
        <v>0</v>
      </c>
      <c r="H21" s="184" t="str">
        <f t="shared" ref="H21" si="1">IF(F21=0,"-","★")</f>
        <v>-</v>
      </c>
      <c r="I21" s="37"/>
      <c r="J21" s="33"/>
      <c r="K21" s="29"/>
      <c r="L21" s="34"/>
    </row>
    <row r="22" spans="3:18" ht="21" customHeight="1">
      <c r="C22" s="255"/>
      <c r="D22" s="29">
        <v>18</v>
      </c>
      <c r="E22" s="30" t="s">
        <v>229</v>
      </c>
      <c r="F22" s="30">
        <f>COUNTIF(支払一覧!$F$4:$F$1434,実績!$E22)</f>
        <v>0</v>
      </c>
      <c r="G22" s="31">
        <f>SUMIF(支払一覧!$F$4:$F$3000,実績!$E22,支払一覧!$I$4:$I$3000)</f>
        <v>0</v>
      </c>
      <c r="H22" s="184" t="str">
        <f t="shared" si="0"/>
        <v>-</v>
      </c>
      <c r="I22" s="37"/>
      <c r="J22" s="33"/>
      <c r="K22" s="29"/>
      <c r="L22" s="34"/>
    </row>
    <row r="23" spans="3:18" ht="21" customHeight="1">
      <c r="C23" s="255"/>
      <c r="D23" s="29">
        <v>19</v>
      </c>
      <c r="E23" s="30" t="s">
        <v>251</v>
      </c>
      <c r="F23" s="30">
        <f>COUNTIF(支払一覧!$F$4:$F$1434,実績!$E23)</f>
        <v>0</v>
      </c>
      <c r="G23" s="31">
        <f>SUMIF(支払一覧!$F$4:$F$3000,実績!$E23,支払一覧!$I$4:$I$3000)</f>
        <v>0</v>
      </c>
      <c r="H23" s="184" t="str">
        <f t="shared" si="0"/>
        <v>-</v>
      </c>
      <c r="I23" s="37"/>
      <c r="J23" s="33"/>
      <c r="K23" s="29"/>
      <c r="L23" s="34"/>
    </row>
    <row r="24" spans="3:18" ht="21" customHeight="1">
      <c r="C24" s="255"/>
      <c r="D24" s="29">
        <v>20</v>
      </c>
      <c r="E24" s="30" t="s">
        <v>235</v>
      </c>
      <c r="F24" s="30">
        <f>COUNTIF(支払一覧!$F$4:$F$1434,実績!$E24)</f>
        <v>0</v>
      </c>
      <c r="G24" s="31">
        <f>SUMIF(支払一覧!$F$4:$F$3000,実績!$E24,支払一覧!$I$4:$I$3000)</f>
        <v>0</v>
      </c>
      <c r="H24" s="184" t="str">
        <f t="shared" si="0"/>
        <v>-</v>
      </c>
      <c r="I24" s="37"/>
      <c r="J24" s="33"/>
      <c r="K24" s="29"/>
      <c r="L24" s="34"/>
      <c r="M24" s="126"/>
    </row>
    <row r="25" spans="3:18" ht="21" customHeight="1">
      <c r="C25" s="255"/>
      <c r="D25" s="29">
        <v>21</v>
      </c>
      <c r="E25" s="30" t="s">
        <v>371</v>
      </c>
      <c r="F25" s="30">
        <f>COUNTIF(支払一覧!$F$4:$F$1434,実績!$E25)</f>
        <v>0</v>
      </c>
      <c r="G25" s="31">
        <f>SUMIF(支払一覧!$F$4:$F$3000,実績!$E25,支払一覧!$I$4:$I$3000)</f>
        <v>0</v>
      </c>
      <c r="H25" s="184" t="str">
        <f t="shared" si="0"/>
        <v>-</v>
      </c>
      <c r="I25" s="37"/>
      <c r="J25" s="33"/>
      <c r="K25" s="29"/>
      <c r="L25" s="34"/>
      <c r="M25" s="126"/>
      <c r="N25" s="3" t="s">
        <v>372</v>
      </c>
    </row>
    <row r="26" spans="3:18" ht="22.15" customHeight="1">
      <c r="C26" s="256"/>
      <c r="D26" s="29"/>
      <c r="E26" s="185" t="s">
        <v>218</v>
      </c>
      <c r="F26" s="186">
        <f>SUM(F5:F24)</f>
        <v>0</v>
      </c>
      <c r="G26" s="187">
        <f>SUM(G5:G24)</f>
        <v>0</v>
      </c>
      <c r="H26" s="188">
        <f>SUM(H5:H24)</f>
        <v>0</v>
      </c>
      <c r="I26" s="189">
        <f>SUM(I5:I24)</f>
        <v>0</v>
      </c>
      <c r="J26" s="190"/>
      <c r="K26" s="191"/>
      <c r="L26" s="192"/>
    </row>
    <row r="27" spans="3:18" ht="22.15" customHeight="1">
      <c r="C27" s="23"/>
      <c r="D27" s="40"/>
      <c r="E27" s="41"/>
      <c r="F27" s="42"/>
      <c r="G27" s="43"/>
      <c r="H27" s="44"/>
      <c r="I27" s="45"/>
      <c r="J27" s="46"/>
      <c r="K27" s="47"/>
      <c r="L27" s="48"/>
      <c r="M27" s="201" t="s">
        <v>224</v>
      </c>
    </row>
    <row r="28" spans="3:18" ht="21" customHeight="1">
      <c r="C28" s="262" t="s">
        <v>96</v>
      </c>
      <c r="D28" s="29">
        <v>1</v>
      </c>
      <c r="E28" s="30" t="s">
        <v>58</v>
      </c>
      <c r="F28" s="30">
        <f>COUNTIF(支払一覧!$F$4:$F$1434,実績!$E28)</f>
        <v>0</v>
      </c>
      <c r="G28" s="31">
        <f>SUMIF(支払一覧!$F$4:$F$3000,実績!$E28,支払一覧!$I$4:$I$3000)</f>
        <v>0</v>
      </c>
      <c r="H28" s="184" t="str">
        <f t="shared" ref="H28:H34" si="2">IF(F28=0,"-","★")</f>
        <v>-</v>
      </c>
      <c r="I28" s="37"/>
      <c r="J28" s="33"/>
      <c r="K28" s="29"/>
      <c r="L28" s="34"/>
    </row>
    <row r="29" spans="3:18" ht="21" customHeight="1">
      <c r="C29" s="262"/>
      <c r="D29" s="29">
        <v>2</v>
      </c>
      <c r="E29" s="30" t="s">
        <v>123</v>
      </c>
      <c r="F29" s="30">
        <f>COUNTIF(支払一覧!$F$4:$F$1434,実績!$E29)</f>
        <v>0</v>
      </c>
      <c r="G29" s="31">
        <f>SUMIF(支払一覧!$F$4:$F$3000,実績!$E29,支払一覧!$I$4:$I$3000)</f>
        <v>0</v>
      </c>
      <c r="H29" s="184" t="str">
        <f t="shared" si="2"/>
        <v>-</v>
      </c>
      <c r="I29" s="37"/>
      <c r="J29" s="33"/>
      <c r="K29" s="29"/>
      <c r="L29" s="34"/>
    </row>
    <row r="30" spans="3:18" ht="21" customHeight="1">
      <c r="C30" s="262"/>
      <c r="D30" s="29">
        <v>3</v>
      </c>
      <c r="E30" s="30" t="s">
        <v>42</v>
      </c>
      <c r="F30" s="30">
        <f>COUNTIF(支払一覧!$F$4:$F$1434,実績!$E30)</f>
        <v>0</v>
      </c>
      <c r="G30" s="31">
        <f>SUMIF(支払一覧!$F$4:$F$3000,実績!$E30,支払一覧!$I$4:$I$3000)</f>
        <v>0</v>
      </c>
      <c r="H30" s="184" t="str">
        <f t="shared" si="2"/>
        <v>-</v>
      </c>
      <c r="I30" s="37"/>
      <c r="J30" s="33"/>
      <c r="K30" s="29"/>
      <c r="L30" s="34"/>
    </row>
    <row r="31" spans="3:18" ht="21" customHeight="1">
      <c r="C31" s="262"/>
      <c r="D31" s="206">
        <v>4</v>
      </c>
      <c r="E31" s="215" t="s">
        <v>288</v>
      </c>
      <c r="F31" s="30">
        <f>COUNTIF(支払一覧!$F$4:$F$1434,実績!$E31)</f>
        <v>0</v>
      </c>
      <c r="G31" s="31">
        <f>SUMIF(支払一覧!$F$4:$F$3000,実績!$E31,支払一覧!$I$4:$I$3000)</f>
        <v>0</v>
      </c>
      <c r="H31" s="184" t="str">
        <f t="shared" si="2"/>
        <v>-</v>
      </c>
      <c r="I31" s="37"/>
      <c r="J31" s="33"/>
      <c r="K31" s="29"/>
      <c r="L31" s="34"/>
      <c r="M31" s="126"/>
    </row>
    <row r="32" spans="3:18" ht="21" customHeight="1">
      <c r="C32" s="262"/>
      <c r="D32" s="29">
        <v>5</v>
      </c>
      <c r="E32" s="30" t="s">
        <v>70</v>
      </c>
      <c r="F32" s="30">
        <f>COUNTIF(支払一覧!$F$4:$F$1434,実績!$E32)</f>
        <v>0</v>
      </c>
      <c r="G32" s="31">
        <f>SUMIF(支払一覧!$F$4:$F$3000,実績!$E32,支払一覧!$I$4:$I$3000)</f>
        <v>0</v>
      </c>
      <c r="H32" s="184" t="str">
        <f t="shared" si="2"/>
        <v>-</v>
      </c>
      <c r="I32" s="37"/>
      <c r="J32" s="33"/>
      <c r="K32" s="29"/>
      <c r="L32" s="34"/>
    </row>
    <row r="33" spans="3:16" ht="21" customHeight="1">
      <c r="C33" s="262"/>
      <c r="D33" s="29">
        <v>6</v>
      </c>
      <c r="E33" s="30" t="s">
        <v>124</v>
      </c>
      <c r="F33" s="30">
        <f>COUNTIF(支払一覧!$F$4:$F$1434,実績!$E33)</f>
        <v>0</v>
      </c>
      <c r="G33" s="31">
        <f>SUMIF(支払一覧!$F$4:$F$3000,実績!$E33,支払一覧!$I$4:$I$3000)</f>
        <v>0</v>
      </c>
      <c r="H33" s="184" t="str">
        <f t="shared" si="2"/>
        <v>-</v>
      </c>
      <c r="I33" s="37"/>
      <c r="J33" s="33"/>
      <c r="K33" s="29"/>
      <c r="L33" s="34"/>
    </row>
    <row r="34" spans="3:16" ht="21" customHeight="1">
      <c r="C34" s="262"/>
      <c r="D34" s="29">
        <v>7</v>
      </c>
      <c r="E34" s="30" t="s">
        <v>125</v>
      </c>
      <c r="F34" s="30">
        <f>COUNTIF(支払一覧!$F$4:$F$1434,実績!$E34)</f>
        <v>0</v>
      </c>
      <c r="G34" s="31">
        <f>SUMIF(支払一覧!$F$4:$F$3000,実績!$E34,支払一覧!$I$4:$I$3000)</f>
        <v>0</v>
      </c>
      <c r="H34" s="184" t="str">
        <f t="shared" si="2"/>
        <v>-</v>
      </c>
      <c r="I34" s="37"/>
      <c r="J34" s="33"/>
      <c r="K34" s="29"/>
      <c r="L34" s="34"/>
    </row>
    <row r="35" spans="3:16" ht="22.15" customHeight="1">
      <c r="C35" s="204"/>
      <c r="D35" s="29"/>
      <c r="E35" s="185" t="s">
        <v>219</v>
      </c>
      <c r="F35" s="188">
        <f>SUM(F28:F34)</f>
        <v>0</v>
      </c>
      <c r="G35" s="189">
        <f>SUM(G28:G34)</f>
        <v>0</v>
      </c>
      <c r="H35" s="188">
        <f>SUM(H28:H34)</f>
        <v>0</v>
      </c>
      <c r="I35" s="189">
        <f>SUM(I28:I34)</f>
        <v>0</v>
      </c>
      <c r="J35" s="190"/>
      <c r="K35" s="191"/>
      <c r="L35" s="192"/>
    </row>
    <row r="36" spans="3:16" ht="22.15" customHeight="1">
      <c r="C36" s="24"/>
      <c r="D36" s="47"/>
      <c r="E36" s="193" t="s">
        <v>220</v>
      </c>
      <c r="F36" s="194">
        <f>SUM(F26+F35)</f>
        <v>0</v>
      </c>
      <c r="G36" s="195">
        <f>SUM(G26+G35)</f>
        <v>0</v>
      </c>
      <c r="H36" s="194">
        <f>SUM(H26+H35)</f>
        <v>0</v>
      </c>
      <c r="I36" s="196">
        <f>SUM(I26+I35)</f>
        <v>0</v>
      </c>
      <c r="J36" s="197"/>
      <c r="K36" s="198"/>
      <c r="L36" s="199" t="s">
        <v>221</v>
      </c>
    </row>
    <row r="37" spans="3:16" ht="21" customHeight="1">
      <c r="C37" s="259" t="s">
        <v>97</v>
      </c>
      <c r="D37" s="237">
        <v>1</v>
      </c>
      <c r="E37" s="229" t="s">
        <v>5</v>
      </c>
      <c r="F37" s="30">
        <f>COUNTIF(支払一覧!$F$4:$F$1434,実績!$E37)</f>
        <v>0</v>
      </c>
      <c r="G37" s="31">
        <f>SUMIF(支払一覧!$F$4:$F$3000,実績!$E37,支払一覧!$I$4:$I$3000)</f>
        <v>0</v>
      </c>
      <c r="H37" s="184" t="str">
        <f t="shared" ref="H37:H48" si="3">IF(F37=0,"-","★")</f>
        <v>-</v>
      </c>
      <c r="I37" s="37"/>
      <c r="J37" s="31">
        <f>I37*1.1</f>
        <v>0</v>
      </c>
      <c r="K37" s="202" t="s">
        <v>225</v>
      </c>
      <c r="L37" s="51"/>
      <c r="M37" s="126"/>
      <c r="N37" s="126"/>
      <c r="O37" s="126"/>
      <c r="P37" s="126"/>
    </row>
    <row r="38" spans="3:16" ht="21" customHeight="1">
      <c r="C38" s="260"/>
      <c r="D38" s="183">
        <v>2</v>
      </c>
      <c r="E38" s="184" t="s">
        <v>281</v>
      </c>
      <c r="F38" s="30">
        <f>COUNTIF(支払一覧!$F$4:$F$1434,実績!$E38)</f>
        <v>0</v>
      </c>
      <c r="G38" s="31">
        <f>SUMIF(支払一覧!$F$4:$F$3000,実績!$E38,支払一覧!$I$4:$I$3000)</f>
        <v>0</v>
      </c>
      <c r="H38" s="184" t="str">
        <f t="shared" si="3"/>
        <v>-</v>
      </c>
      <c r="I38" s="37"/>
      <c r="J38" s="31">
        <f t="shared" ref="J38:J47" si="4">I38*1.1</f>
        <v>0</v>
      </c>
      <c r="K38" s="202"/>
      <c r="L38" s="51"/>
      <c r="M38" s="126" t="s">
        <v>284</v>
      </c>
      <c r="N38" s="126"/>
      <c r="O38" s="205" t="s">
        <v>286</v>
      </c>
      <c r="P38" s="126"/>
    </row>
    <row r="39" spans="3:16" ht="21" customHeight="1">
      <c r="C39" s="260"/>
      <c r="D39" s="183">
        <v>3</v>
      </c>
      <c r="E39" s="184" t="s">
        <v>43</v>
      </c>
      <c r="F39" s="30">
        <f>COUNTIF(支払一覧!$F$4:$F$1434,実績!$E39)</f>
        <v>0</v>
      </c>
      <c r="G39" s="31">
        <f>SUMIF(支払一覧!$F$4:$F$3000,実績!$E39,支払一覧!$I$4:$I$3000)</f>
        <v>0</v>
      </c>
      <c r="H39" s="184" t="str">
        <f t="shared" si="3"/>
        <v>-</v>
      </c>
      <c r="I39" s="37"/>
      <c r="J39" s="31">
        <f t="shared" si="4"/>
        <v>0</v>
      </c>
      <c r="K39" s="202"/>
      <c r="L39" s="51"/>
      <c r="M39" s="126"/>
      <c r="N39" s="126"/>
      <c r="O39" s="126"/>
      <c r="P39" s="126"/>
    </row>
    <row r="40" spans="3:16" ht="21" customHeight="1">
      <c r="C40" s="260"/>
      <c r="D40" s="183">
        <v>4</v>
      </c>
      <c r="E40" s="184" t="s">
        <v>275</v>
      </c>
      <c r="F40" s="30">
        <f>COUNTIF(支払一覧!$F$4:$F$1434,実績!$E40)</f>
        <v>0</v>
      </c>
      <c r="G40" s="31">
        <f>SUMIF(支払一覧!$F$4:$F$3000,実績!$E40,支払一覧!$I$4:$I$3000)</f>
        <v>0</v>
      </c>
      <c r="H40" s="184" t="str">
        <f t="shared" si="3"/>
        <v>-</v>
      </c>
      <c r="I40" s="31"/>
      <c r="J40" s="31">
        <f t="shared" si="4"/>
        <v>0</v>
      </c>
      <c r="K40" s="202"/>
      <c r="L40" s="51"/>
      <c r="M40" s="126"/>
      <c r="N40" s="126"/>
      <c r="O40" s="126"/>
      <c r="P40" s="126"/>
    </row>
    <row r="41" spans="3:16" ht="21" customHeight="1">
      <c r="C41" s="260"/>
      <c r="D41" s="183">
        <v>5</v>
      </c>
      <c r="E41" s="184" t="s">
        <v>241</v>
      </c>
      <c r="F41" s="30">
        <f>COUNTIF(支払一覧!$F$4:$F$1434,実績!$E41)</f>
        <v>0</v>
      </c>
      <c r="G41" s="31">
        <f>SUMIF(支払一覧!$F$4:$F$3000,実績!$E41,支払一覧!$I$4:$I$3000)</f>
        <v>0</v>
      </c>
      <c r="H41" s="184" t="str">
        <f t="shared" si="3"/>
        <v>-</v>
      </c>
      <c r="I41" s="31"/>
      <c r="J41" s="31">
        <f t="shared" si="4"/>
        <v>0</v>
      </c>
      <c r="K41" s="202"/>
      <c r="L41" s="51"/>
      <c r="M41" s="126"/>
      <c r="N41" s="126"/>
      <c r="O41" s="126"/>
      <c r="P41" s="126"/>
    </row>
    <row r="42" spans="3:16" ht="21" customHeight="1">
      <c r="C42" s="260"/>
      <c r="D42" s="237">
        <v>6</v>
      </c>
      <c r="E42" s="229" t="s">
        <v>243</v>
      </c>
      <c r="F42" s="30">
        <f>COUNTIF(支払一覧!$F$4:$F$1434,実績!$E42)</f>
        <v>0</v>
      </c>
      <c r="G42" s="31">
        <f>SUMIF(支払一覧!$F$4:$F$3000,実績!$E42,支払一覧!$I$4:$I$3000)</f>
        <v>0</v>
      </c>
      <c r="H42" s="184" t="str">
        <f t="shared" si="3"/>
        <v>-</v>
      </c>
      <c r="I42" s="31"/>
      <c r="J42" s="31">
        <f t="shared" si="4"/>
        <v>0</v>
      </c>
      <c r="K42" s="202" t="s">
        <v>225</v>
      </c>
      <c r="L42" s="51"/>
      <c r="M42" s="126"/>
      <c r="N42" s="126"/>
      <c r="O42" s="126"/>
      <c r="P42" s="126"/>
    </row>
    <row r="43" spans="3:16" ht="21" customHeight="1">
      <c r="C43" s="260"/>
      <c r="D43" s="183">
        <v>7</v>
      </c>
      <c r="E43" s="184" t="s">
        <v>126</v>
      </c>
      <c r="F43" s="30">
        <f>COUNTIF(支払一覧!$F$4:$F$1434,実績!$E43)</f>
        <v>0</v>
      </c>
      <c r="G43" s="31">
        <f>SUMIF(支払一覧!$F$4:$F$3000,実績!$E43,支払一覧!$I$4:$I$3000)</f>
        <v>0</v>
      </c>
      <c r="H43" s="184" t="str">
        <f t="shared" si="3"/>
        <v>-</v>
      </c>
      <c r="I43" s="31"/>
      <c r="J43" s="31">
        <f t="shared" si="4"/>
        <v>0</v>
      </c>
      <c r="K43" s="50"/>
      <c r="L43" s="51"/>
      <c r="M43" s="126"/>
      <c r="N43" s="126"/>
      <c r="O43" s="126"/>
      <c r="P43" s="126"/>
    </row>
    <row r="44" spans="3:16" ht="21" customHeight="1">
      <c r="C44" s="260"/>
      <c r="D44" s="183">
        <v>8</v>
      </c>
      <c r="E44" s="184" t="s">
        <v>127</v>
      </c>
      <c r="F44" s="30">
        <f>COUNTIF(支払一覧!$F$4:$F$1434,実績!$E44)</f>
        <v>0</v>
      </c>
      <c r="G44" s="31">
        <f>SUMIF(支払一覧!$F$4:$F$3000,実績!$E44,支払一覧!$I$4:$I$3000)</f>
        <v>0</v>
      </c>
      <c r="H44" s="184" t="str">
        <f t="shared" si="3"/>
        <v>-</v>
      </c>
      <c r="I44" s="31"/>
      <c r="J44" s="226">
        <f t="shared" si="4"/>
        <v>0</v>
      </c>
      <c r="K44" s="50"/>
      <c r="L44" s="51"/>
      <c r="M44" s="126" t="s">
        <v>280</v>
      </c>
      <c r="N44" s="126"/>
      <c r="O44" s="126"/>
      <c r="P44" s="126"/>
    </row>
    <row r="45" spans="3:16" ht="21" customHeight="1">
      <c r="C45" s="260"/>
      <c r="D45" s="183">
        <v>9</v>
      </c>
      <c r="E45" s="184" t="s">
        <v>128</v>
      </c>
      <c r="F45" s="30">
        <f>COUNTIF(支払一覧!$F$4:$F$1434,実績!$E45)</f>
        <v>0</v>
      </c>
      <c r="G45" s="31">
        <f>SUMIF(支払一覧!$F$4:$F$3000,実績!$E45,支払一覧!$I$4:$I$3000)</f>
        <v>0</v>
      </c>
      <c r="H45" s="184" t="str">
        <f t="shared" si="3"/>
        <v>-</v>
      </c>
      <c r="I45" s="31"/>
      <c r="J45" s="226">
        <f t="shared" si="4"/>
        <v>0</v>
      </c>
      <c r="K45" s="50"/>
      <c r="L45" s="51"/>
      <c r="M45" s="126" t="s">
        <v>280</v>
      </c>
      <c r="N45" s="126"/>
      <c r="O45" s="126"/>
      <c r="P45" s="126"/>
    </row>
    <row r="46" spans="3:16" ht="21" customHeight="1">
      <c r="C46" s="260"/>
      <c r="D46" s="183">
        <v>10</v>
      </c>
      <c r="E46" s="184" t="s">
        <v>129</v>
      </c>
      <c r="F46" s="30">
        <f>COUNTIF(支払一覧!$F$4:$F$1434,実績!$E46)</f>
        <v>0</v>
      </c>
      <c r="G46" s="31">
        <f>SUMIF(支払一覧!$F$4:$F$3000,実績!$E46,支払一覧!$I$4:$I$3000)</f>
        <v>0</v>
      </c>
      <c r="H46" s="184" t="str">
        <f t="shared" si="3"/>
        <v>-</v>
      </c>
      <c r="I46" s="31"/>
      <c r="J46" s="31">
        <f t="shared" si="4"/>
        <v>0</v>
      </c>
      <c r="K46" s="50"/>
      <c r="L46" s="51"/>
      <c r="M46" s="126"/>
      <c r="N46" s="126"/>
      <c r="O46" s="126"/>
      <c r="P46" s="126"/>
    </row>
    <row r="47" spans="3:16" ht="21" customHeight="1">
      <c r="C47" s="260"/>
      <c r="D47" s="183">
        <v>11</v>
      </c>
      <c r="E47" s="184" t="s">
        <v>130</v>
      </c>
      <c r="F47" s="30">
        <f>COUNTIF(支払一覧!$F$4:$F$1434,実績!$E47)</f>
        <v>0</v>
      </c>
      <c r="G47" s="31">
        <f>SUMIF(支払一覧!$F$4:$F$3000,実績!$E47,支払一覧!$I$4:$I$3000)</f>
        <v>0</v>
      </c>
      <c r="H47" s="184" t="str">
        <f t="shared" si="3"/>
        <v>-</v>
      </c>
      <c r="I47" s="31"/>
      <c r="J47" s="31">
        <f t="shared" si="4"/>
        <v>0</v>
      </c>
      <c r="K47" s="50"/>
      <c r="L47" s="51"/>
      <c r="M47" s="126"/>
      <c r="N47" s="126"/>
      <c r="O47" s="126"/>
      <c r="P47" s="126"/>
    </row>
    <row r="48" spans="3:16" ht="21" customHeight="1">
      <c r="C48" s="260"/>
      <c r="D48" s="237">
        <v>12</v>
      </c>
      <c r="E48" s="229" t="s">
        <v>290</v>
      </c>
      <c r="F48" s="30">
        <f>COUNTIF(支払一覧!$F$4:$F$1434,実績!$E48)</f>
        <v>0</v>
      </c>
      <c r="G48" s="31">
        <f>SUMIF(支払一覧!$F$4:$F$3000,実績!$E48,支払一覧!$I$4:$I$3000)</f>
        <v>0</v>
      </c>
      <c r="H48" s="184" t="str">
        <f t="shared" si="3"/>
        <v>-</v>
      </c>
      <c r="I48" s="31"/>
      <c r="J48" s="31">
        <f t="shared" ref="J48" si="5">I48*1.1</f>
        <v>0</v>
      </c>
      <c r="K48" s="50" t="s">
        <v>231</v>
      </c>
      <c r="L48" s="51"/>
      <c r="M48" s="126"/>
      <c r="N48" s="126"/>
      <c r="O48" s="126"/>
      <c r="P48" s="126"/>
    </row>
    <row r="49" spans="3:16" ht="21" customHeight="1">
      <c r="C49" s="260"/>
      <c r="D49" s="216">
        <v>13</v>
      </c>
      <c r="E49" s="217" t="s">
        <v>279</v>
      </c>
      <c r="F49" s="30">
        <f>COUNTIF(支払一覧!$F$4:$F$1434,実績!$E49)</f>
        <v>0</v>
      </c>
      <c r="G49" s="31">
        <f>SUMIF(支払一覧!$F$4:$F$3000,実績!$E49,支払一覧!$I$4:$I$3000)</f>
        <v>0</v>
      </c>
      <c r="H49" s="184" t="str">
        <f>IF(F49=0,"-","★")</f>
        <v>-</v>
      </c>
      <c r="I49" s="31"/>
      <c r="J49" s="31">
        <f>I49*1.1</f>
        <v>0</v>
      </c>
      <c r="K49" s="50"/>
      <c r="L49" s="51"/>
      <c r="M49" s="126"/>
      <c r="N49" s="126"/>
      <c r="O49" s="126"/>
      <c r="P49" s="126"/>
    </row>
    <row r="50" spans="3:16" ht="21" customHeight="1">
      <c r="C50" s="260"/>
      <c r="D50" s="216">
        <v>14</v>
      </c>
      <c r="E50" s="217" t="s">
        <v>359</v>
      </c>
      <c r="F50" s="30">
        <f>COUNTIF(支払一覧!$F$4:$F$1434,実績!$E50)</f>
        <v>0</v>
      </c>
      <c r="G50" s="31">
        <f>SUMIF(支払一覧!$F$4:$F$3000,実績!$E50,支払一覧!$I$4:$I$3000)</f>
        <v>0</v>
      </c>
      <c r="H50" s="184" t="str">
        <f>IF(F50=0,"-","★")</f>
        <v>-</v>
      </c>
      <c r="I50" s="31"/>
      <c r="J50" s="31">
        <f>I50*1.1</f>
        <v>0</v>
      </c>
      <c r="K50" s="50"/>
      <c r="L50" s="51"/>
      <c r="M50" s="126" t="s">
        <v>361</v>
      </c>
      <c r="N50" s="126"/>
      <c r="O50" s="205" t="s">
        <v>286</v>
      </c>
      <c r="P50" s="126"/>
    </row>
    <row r="51" spans="3:16" ht="21" customHeight="1">
      <c r="C51" s="260"/>
      <c r="D51" s="216">
        <v>15</v>
      </c>
      <c r="E51" s="217" t="s">
        <v>360</v>
      </c>
      <c r="F51" s="30">
        <f>COUNTIF(支払一覧!$F$4:$F$1434,実績!$E51)</f>
        <v>0</v>
      </c>
      <c r="G51" s="31">
        <f>SUMIF(支払一覧!$F$4:$F$3000,実績!$E51,支払一覧!$I$4:$I$3000)</f>
        <v>0</v>
      </c>
      <c r="H51" s="184" t="str">
        <f>IF(F51=0,"-","★")</f>
        <v>-</v>
      </c>
      <c r="I51" s="31"/>
      <c r="J51" s="213">
        <f>I51*1.1</f>
        <v>0</v>
      </c>
      <c r="K51" s="202"/>
      <c r="L51" s="214"/>
      <c r="M51" s="126"/>
      <c r="N51" s="126"/>
      <c r="O51" s="205" t="s">
        <v>286</v>
      </c>
      <c r="P51" s="126"/>
    </row>
    <row r="52" spans="3:16" ht="22.15" customHeight="1">
      <c r="C52" s="261"/>
      <c r="D52" s="29"/>
      <c r="E52" s="52" t="s">
        <v>30</v>
      </c>
      <c r="F52" s="38">
        <f>SUM(F37:F51)</f>
        <v>0</v>
      </c>
      <c r="G52" s="39">
        <f>SUM(G37:G51)</f>
        <v>0</v>
      </c>
      <c r="H52" s="38">
        <f>SUM(H37:H51)</f>
        <v>0</v>
      </c>
      <c r="I52" s="39">
        <f>SUM(I37:I51)</f>
        <v>0</v>
      </c>
      <c r="J52" s="39">
        <f>SUM(J37:J51)</f>
        <v>0</v>
      </c>
      <c r="K52" s="53"/>
      <c r="L52" s="54"/>
    </row>
    <row r="53" spans="3:16" ht="4.5" customHeight="1">
      <c r="C53" s="25"/>
      <c r="D53" s="49"/>
      <c r="E53" s="49"/>
      <c r="F53" s="49"/>
      <c r="G53" s="49"/>
      <c r="H53" s="49"/>
      <c r="I53" s="49"/>
      <c r="J53" s="46"/>
      <c r="K53" s="47"/>
      <c r="L53" s="48"/>
    </row>
    <row r="54" spans="3:16" ht="30" customHeight="1" thickBot="1">
      <c r="C54" s="26"/>
      <c r="D54" s="55"/>
      <c r="E54" s="56" t="s">
        <v>31</v>
      </c>
      <c r="F54" s="57">
        <f>SUMIF($E$5:$E$52,"*小計*",F$5:F$52)</f>
        <v>0</v>
      </c>
      <c r="G54" s="58">
        <f>SUMIF($E$5:$E$52,"*小計*",G$5:G$52)</f>
        <v>0</v>
      </c>
      <c r="H54" s="57">
        <f>SUMIF($E$5:$E$52,"*小計*",H$5:H$52)</f>
        <v>0</v>
      </c>
      <c r="I54" s="58">
        <f>SUMIF($E$5:$E$52,"*小計*",I$5:I$52)</f>
        <v>0</v>
      </c>
      <c r="J54" s="59"/>
      <c r="K54" s="60"/>
      <c r="L54" s="61"/>
    </row>
    <row r="55" spans="3:16" ht="36.75" customHeight="1">
      <c r="E55" s="27"/>
    </row>
    <row r="56" spans="3:16">
      <c r="F56" s="205" t="s">
        <v>249</v>
      </c>
      <c r="G56" s="205">
        <f>F54-O17-F18</f>
        <v>0</v>
      </c>
      <c r="H56" s="205"/>
      <c r="I56" s="219">
        <f>G54-P17-G18</f>
        <v>0</v>
      </c>
    </row>
  </sheetData>
  <customSheetViews>
    <customSheetView guid="{973ECC17-1FC7-46AC-9FAE-72CFE59B5A9C}" topLeftCell="A4">
      <selection activeCell="J15" sqref="J15"/>
      <pageMargins left="0.56999999999999995" right="0.2" top="0.37" bottom="0.23" header="0.27" footer="0.51200000000000001"/>
      <pageSetup paperSize="9" scale="89" orientation="portrait" r:id="rId1"/>
      <headerFooter alignWithMargins="0"/>
    </customSheetView>
    <customSheetView guid="{7F90F6BF-AAFE-4B41-87EA-2390EC2C7378}" scale="74" topLeftCell="A16">
      <selection activeCell="U39" sqref="U39"/>
      <pageMargins left="0.56999999999999995" right="0.2" top="0.37" bottom="0.23" header="0.27" footer="0.51200000000000001"/>
      <pageSetup paperSize="9" scale="89" orientation="portrait" r:id="rId2"/>
      <headerFooter alignWithMargins="0"/>
    </customSheetView>
    <customSheetView guid="{3C29C2C7-5DB1-41FB-9E95-64C17F07BBDB}" scale="74" topLeftCell="A16">
      <selection activeCell="F39" sqref="F39"/>
      <pageMargins left="0.56999999999999995" right="0.2" top="0.37" bottom="0.23" header="0.27" footer="0.51200000000000001"/>
      <pageSetup paperSize="9" scale="89" orientation="portrait" r:id="rId3"/>
      <headerFooter alignWithMargins="0"/>
    </customSheetView>
  </customSheetViews>
  <mergeCells count="10">
    <mergeCell ref="C5:C26"/>
    <mergeCell ref="C3:C4"/>
    <mergeCell ref="D3:D4"/>
    <mergeCell ref="C37:C52"/>
    <mergeCell ref="C28:C34"/>
    <mergeCell ref="E3:E4"/>
    <mergeCell ref="F3:G3"/>
    <mergeCell ref="H3:J3"/>
    <mergeCell ref="K3:K4"/>
    <mergeCell ref="L3:L4"/>
  </mergeCells>
  <phoneticPr fontId="2"/>
  <pageMargins left="0.56999999999999995" right="0.2" top="0.37" bottom="0.23" header="0.27" footer="0.51200000000000001"/>
  <pageSetup paperSize="9" scale="77"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9"/>
  <sheetViews>
    <sheetView workbookViewId="0">
      <selection activeCell="U53" sqref="U53"/>
    </sheetView>
  </sheetViews>
  <sheetFormatPr defaultColWidth="8.875" defaultRowHeight="15.75"/>
  <cols>
    <col min="1" max="16384" width="8.875" style="3"/>
  </cols>
  <sheetData>
    <row r="1" spans="1:15" ht="16.5" thickTop="1">
      <c r="A1" s="13"/>
      <c r="B1" s="67"/>
      <c r="C1" s="67"/>
      <c r="D1" s="67"/>
      <c r="E1" s="67"/>
      <c r="F1" s="67"/>
      <c r="G1" s="99"/>
      <c r="H1" s="118" t="s">
        <v>39</v>
      </c>
      <c r="I1" s="208">
        <f>SUM(I4:I9)</f>
        <v>0</v>
      </c>
      <c r="J1" s="67"/>
      <c r="K1" s="67"/>
      <c r="L1" s="67"/>
      <c r="M1" s="67"/>
      <c r="N1" s="67"/>
      <c r="O1" s="67"/>
    </row>
    <row r="2" spans="1:15" ht="16.5" thickBot="1">
      <c r="A2" s="114"/>
      <c r="B2" s="67"/>
      <c r="C2" s="67"/>
      <c r="D2" s="67"/>
      <c r="E2" s="67"/>
      <c r="F2" s="67"/>
      <c r="G2" s="99"/>
      <c r="H2" s="120" t="s">
        <v>40</v>
      </c>
      <c r="I2" s="121">
        <f>COUNT(I4:I15)</f>
        <v>0</v>
      </c>
      <c r="J2" s="67"/>
      <c r="K2" s="67"/>
      <c r="L2" s="67"/>
      <c r="M2" s="67"/>
      <c r="N2" s="67"/>
      <c r="O2" s="67"/>
    </row>
    <row r="3" spans="1:15" ht="16.5" thickTop="1">
      <c r="A3" s="115" t="s">
        <v>0</v>
      </c>
      <c r="B3" s="103" t="s">
        <v>60</v>
      </c>
      <c r="C3" s="103" t="s">
        <v>61</v>
      </c>
      <c r="D3" s="103" t="s">
        <v>62</v>
      </c>
      <c r="E3" s="103" t="s">
        <v>63</v>
      </c>
      <c r="F3" s="103" t="s">
        <v>64</v>
      </c>
      <c r="G3" s="105" t="s">
        <v>65</v>
      </c>
      <c r="H3" s="106" t="s">
        <v>66</v>
      </c>
      <c r="I3" s="116" t="s">
        <v>44</v>
      </c>
      <c r="J3" s="103" t="s">
        <v>45</v>
      </c>
      <c r="K3" s="11" t="s">
        <v>21</v>
      </c>
      <c r="L3" s="11" t="s">
        <v>67</v>
      </c>
      <c r="M3" s="117" t="s">
        <v>95</v>
      </c>
      <c r="N3" s="117" t="s">
        <v>93</v>
      </c>
      <c r="O3" s="117" t="s">
        <v>94</v>
      </c>
    </row>
    <row r="4" spans="1:15">
      <c r="A4" s="13"/>
      <c r="B4" s="67"/>
      <c r="C4" s="67"/>
      <c r="D4" s="67"/>
      <c r="E4" s="67"/>
      <c r="F4" s="67"/>
      <c r="G4" s="99"/>
      <c r="H4" s="108"/>
      <c r="I4" s="122"/>
      <c r="J4" s="67"/>
      <c r="K4" s="67"/>
      <c r="L4" s="67"/>
      <c r="M4" s="67"/>
      <c r="N4" s="67"/>
      <c r="O4" s="67"/>
    </row>
    <row r="5" spans="1:15">
      <c r="A5" s="13"/>
      <c r="B5" s="67"/>
      <c r="C5" s="67"/>
      <c r="D5" s="67"/>
      <c r="E5" s="67"/>
      <c r="F5" s="67"/>
      <c r="G5" s="99"/>
      <c r="H5" s="108"/>
      <c r="I5" s="122"/>
      <c r="J5" s="67"/>
      <c r="K5" s="67"/>
      <c r="L5" s="67"/>
      <c r="M5" s="67"/>
      <c r="N5" s="67"/>
      <c r="O5" s="67"/>
    </row>
    <row r="6" spans="1:15">
      <c r="A6" s="13"/>
      <c r="B6" s="67"/>
      <c r="C6" s="67"/>
      <c r="D6" s="67"/>
      <c r="E6" s="67"/>
      <c r="F6" s="67"/>
      <c r="G6" s="99"/>
      <c r="H6" s="108"/>
      <c r="I6" s="122"/>
      <c r="J6" s="67"/>
      <c r="K6" s="67"/>
      <c r="L6" s="67"/>
      <c r="M6" s="67"/>
      <c r="N6" s="67"/>
      <c r="O6" s="67"/>
    </row>
    <row r="7" spans="1:15">
      <c r="A7" s="13"/>
      <c r="B7" s="67"/>
      <c r="C7" s="67"/>
      <c r="D7" s="67"/>
      <c r="E7" s="67"/>
      <c r="F7" s="67"/>
      <c r="G7" s="99"/>
      <c r="H7" s="108"/>
      <c r="I7" s="122"/>
      <c r="J7" s="67"/>
      <c r="K7" s="67"/>
      <c r="L7" s="67"/>
      <c r="M7" s="67"/>
      <c r="N7" s="67"/>
      <c r="O7" s="67"/>
    </row>
    <row r="8" spans="1:15">
      <c r="A8" s="13"/>
      <c r="B8" s="67"/>
      <c r="C8" s="67"/>
      <c r="D8" s="67"/>
      <c r="E8" s="67"/>
      <c r="F8" s="67"/>
      <c r="G8" s="99"/>
      <c r="H8" s="108"/>
      <c r="I8" s="122"/>
      <c r="J8" s="67"/>
      <c r="K8" s="67"/>
      <c r="L8" s="67"/>
      <c r="M8" s="67"/>
      <c r="N8" s="67"/>
      <c r="O8" s="67"/>
    </row>
    <row r="9" spans="1:15">
      <c r="A9" s="13"/>
      <c r="B9" s="67"/>
      <c r="C9" s="67"/>
      <c r="D9" s="67"/>
      <c r="E9" s="67"/>
      <c r="F9" s="67"/>
      <c r="G9" s="99"/>
      <c r="H9" s="108"/>
      <c r="I9" s="122"/>
      <c r="J9" s="67"/>
      <c r="K9" s="67"/>
      <c r="L9" s="67"/>
      <c r="M9" s="67"/>
      <c r="N9" s="67"/>
      <c r="O9" s="67"/>
    </row>
    <row r="10" spans="1:15">
      <c r="A10" s="13"/>
      <c r="B10" s="67"/>
      <c r="C10" s="67"/>
      <c r="D10" s="67"/>
      <c r="E10" s="67"/>
      <c r="F10" s="67"/>
      <c r="G10" s="99"/>
      <c r="H10" s="108"/>
      <c r="I10" s="122"/>
      <c r="J10" s="67"/>
      <c r="K10" s="67"/>
      <c r="L10" s="67"/>
      <c r="M10" s="67"/>
      <c r="N10" s="67"/>
      <c r="O10" s="67"/>
    </row>
    <row r="11" spans="1:15">
      <c r="A11" s="13"/>
      <c r="B11" s="67"/>
      <c r="C11" s="67"/>
      <c r="D11" s="67"/>
      <c r="E11" s="67"/>
      <c r="F11" s="67"/>
      <c r="G11" s="99"/>
      <c r="H11" s="108"/>
      <c r="I11" s="122"/>
      <c r="J11" s="67"/>
      <c r="K11" s="67"/>
      <c r="L11" s="67"/>
      <c r="M11" s="67"/>
      <c r="N11" s="67"/>
      <c r="O11" s="67"/>
    </row>
    <row r="12" spans="1:15">
      <c r="A12" s="13"/>
      <c r="B12" s="67"/>
      <c r="C12" s="67"/>
      <c r="D12" s="67"/>
      <c r="E12" s="67"/>
      <c r="F12" s="67"/>
      <c r="G12" s="99"/>
      <c r="H12" s="108"/>
      <c r="I12" s="122"/>
      <c r="J12" s="67"/>
      <c r="K12" s="67"/>
      <c r="L12" s="67"/>
      <c r="M12" s="67"/>
      <c r="N12" s="67"/>
      <c r="O12" s="67"/>
    </row>
    <row r="13" spans="1:15">
      <c r="A13" s="13"/>
      <c r="B13" s="67"/>
      <c r="C13" s="67"/>
      <c r="D13" s="67"/>
      <c r="E13" s="67"/>
      <c r="F13" s="67"/>
      <c r="G13" s="99"/>
      <c r="H13" s="108"/>
      <c r="I13" s="122"/>
      <c r="J13" s="67"/>
      <c r="K13" s="67"/>
      <c r="L13" s="67"/>
      <c r="M13" s="67"/>
      <c r="N13" s="67"/>
      <c r="O13" s="67"/>
    </row>
    <row r="14" spans="1:15">
      <c r="A14" s="13"/>
      <c r="B14" s="67"/>
      <c r="C14" s="67"/>
      <c r="D14" s="67"/>
      <c r="E14" s="67"/>
      <c r="F14" s="67"/>
      <c r="G14" s="99"/>
      <c r="H14" s="108"/>
      <c r="I14" s="122"/>
      <c r="J14" s="67"/>
      <c r="K14" s="67"/>
      <c r="L14" s="67"/>
      <c r="M14" s="67"/>
      <c r="N14" s="67"/>
      <c r="O14" s="67"/>
    </row>
    <row r="15" spans="1:15">
      <c r="A15" s="13"/>
      <c r="B15" s="67"/>
      <c r="C15" s="67"/>
      <c r="D15" s="67"/>
      <c r="E15" s="67"/>
      <c r="F15" s="67"/>
      <c r="G15" s="99"/>
      <c r="H15" s="108"/>
      <c r="I15" s="122"/>
      <c r="J15" s="67"/>
      <c r="K15" s="67"/>
      <c r="L15" s="67"/>
      <c r="M15" s="67"/>
      <c r="N15" s="67"/>
      <c r="O15" s="67"/>
    </row>
    <row r="16" spans="1:15">
      <c r="A16" s="13"/>
      <c r="B16" s="67"/>
      <c r="C16" s="67"/>
      <c r="D16" s="67"/>
      <c r="E16" s="67"/>
      <c r="F16" s="67"/>
      <c r="G16" s="99"/>
      <c r="H16" s="108"/>
      <c r="I16" s="122"/>
      <c r="J16" s="67"/>
      <c r="K16" s="67"/>
      <c r="L16" s="67"/>
      <c r="M16" s="67"/>
      <c r="N16" s="67"/>
      <c r="O16" s="67"/>
    </row>
    <row r="17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</sheetData>
  <customSheetViews>
    <customSheetView guid="{973ECC17-1FC7-46AC-9FAE-72CFE59B5A9C}">
      <selection activeCell="D30" sqref="D30"/>
      <pageMargins left="0.7" right="0.7" top="0.75" bottom="0.75" header="0.3" footer="0.3"/>
    </customSheetView>
    <customSheetView guid="{7F90F6BF-AAFE-4B41-87EA-2390EC2C7378}">
      <selection activeCell="I6" sqref="A5:I6"/>
      <pageMargins left="0.7" right="0.7" top="0.75" bottom="0.75" header="0.3" footer="0.3"/>
    </customSheetView>
    <customSheetView guid="{3C29C2C7-5DB1-41FB-9E95-64C17F07BBDB}">
      <selection activeCell="I6" sqref="A5:I6"/>
      <pageMargins left="0.7" right="0.7" top="0.75" bottom="0.75" header="0.3" footer="0.3"/>
    </customSheetView>
  </customSheetViews>
  <phoneticPr fontId="2"/>
  <conditionalFormatting sqref="E1:E4">
    <cfRule type="duplicateValues" dxfId="42" priority="23"/>
    <cfRule type="duplicateValues" dxfId="41" priority="24"/>
    <cfRule type="duplicateValues" dxfId="40" priority="25"/>
    <cfRule type="duplicateValues" dxfId="39" priority="26"/>
    <cfRule type="duplicateValues" dxfId="38" priority="27"/>
    <cfRule type="duplicateValues" dxfId="37" priority="28"/>
    <cfRule type="duplicateValues" dxfId="36" priority="29"/>
  </conditionalFormatting>
  <conditionalFormatting sqref="E5:E16">
    <cfRule type="duplicateValues" dxfId="35" priority="1"/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3"/>
  <sheetViews>
    <sheetView workbookViewId="0">
      <pane ySplit="3" topLeftCell="A4" activePane="bottomLeft" state="frozen"/>
      <selection activeCell="U53" sqref="U53"/>
      <selection pane="bottomLeft" activeCell="D35" sqref="D35"/>
    </sheetView>
  </sheetViews>
  <sheetFormatPr defaultColWidth="9" defaultRowHeight="12"/>
  <cols>
    <col min="1" max="1" width="4.75" style="13" customWidth="1"/>
    <col min="2" max="2" width="9" style="67"/>
    <col min="3" max="3" width="18" style="67" customWidth="1"/>
    <col min="4" max="4" width="9" style="67"/>
    <col min="5" max="5" width="17.5" style="67" customWidth="1"/>
    <col min="6" max="6" width="15" style="67" customWidth="1"/>
    <col min="7" max="7" width="8" style="99" customWidth="1"/>
    <col min="8" max="8" width="9" style="108"/>
    <col min="9" max="9" width="11.875" style="109" customWidth="1"/>
    <col min="10" max="10" width="12.625" style="67" customWidth="1"/>
    <col min="11" max="13" width="9.375" style="67" customWidth="1"/>
    <col min="14" max="22" width="9" style="67"/>
    <col min="23" max="16384" width="9" style="13"/>
  </cols>
  <sheetData>
    <row r="1" spans="1:22" ht="12.75" thickTop="1">
      <c r="H1" s="118" t="s">
        <v>39</v>
      </c>
      <c r="I1" s="119">
        <f>SUBTOTAL(9,I4:I63421)</f>
        <v>0</v>
      </c>
    </row>
    <row r="2" spans="1:22" ht="12.75" thickBot="1">
      <c r="A2" s="114"/>
      <c r="H2" s="120" t="s">
        <v>40</v>
      </c>
      <c r="I2" s="121">
        <f>SUBTOTAL(2,A4:A63421)</f>
        <v>0</v>
      </c>
    </row>
    <row r="3" spans="1:22" ht="12.75" thickTop="1">
      <c r="A3" s="115" t="s">
        <v>0</v>
      </c>
      <c r="B3" s="103" t="s">
        <v>60</v>
      </c>
      <c r="C3" s="103" t="s">
        <v>61</v>
      </c>
      <c r="D3" s="103" t="s">
        <v>62</v>
      </c>
      <c r="E3" s="103" t="s">
        <v>63</v>
      </c>
      <c r="F3" s="103" t="s">
        <v>64</v>
      </c>
      <c r="G3" s="105" t="s">
        <v>65</v>
      </c>
      <c r="H3" s="106" t="s">
        <v>66</v>
      </c>
      <c r="I3" s="116" t="s">
        <v>44</v>
      </c>
      <c r="J3" s="103" t="s">
        <v>45</v>
      </c>
      <c r="K3" s="11" t="s">
        <v>21</v>
      </c>
      <c r="L3" s="11" t="s">
        <v>67</v>
      </c>
      <c r="M3" s="117" t="s">
        <v>95</v>
      </c>
      <c r="N3" s="117" t="s">
        <v>93</v>
      </c>
      <c r="O3" s="117" t="s">
        <v>94</v>
      </c>
      <c r="P3" s="117"/>
      <c r="Q3" s="117"/>
      <c r="R3" s="117"/>
      <c r="S3" s="117"/>
      <c r="T3" s="117"/>
      <c r="U3" s="117"/>
      <c r="V3" s="117"/>
    </row>
  </sheetData>
  <autoFilter ref="A3:V1453" xr:uid="{00000000-0009-0000-0000-000003000000}"/>
  <customSheetViews>
    <customSheetView guid="{973ECC17-1FC7-46AC-9FAE-72CFE59B5A9C}" showAutoFilter="1">
      <pane ySplit="3" topLeftCell="A4" activePane="bottomLeft" state="frozen"/>
      <selection pane="bottomLeft" activeCell="E1" sqref="E1:E1048576"/>
      <pageMargins left="0.75" right="0.75" top="1" bottom="1" header="0.51200000000000001" footer="0.51200000000000001"/>
      <pageSetup paperSize="9" orientation="landscape" r:id="rId1"/>
      <headerFooter alignWithMargins="0"/>
      <autoFilter ref="A3:V1453" xr:uid="{3E6397B5-F614-4675-A033-A244548B948E}"/>
    </customSheetView>
    <customSheetView guid="{7F90F6BF-AAFE-4B41-87EA-2390EC2C7378}" showAutoFilter="1">
      <pane ySplit="3" topLeftCell="A4" activePane="bottomLeft" state="frozen"/>
      <selection pane="bottomLeft" activeCell="J10" sqref="J10"/>
      <pageMargins left="0.75" right="0.75" top="1" bottom="1" header="0.51200000000000001" footer="0.51200000000000001"/>
      <pageSetup paperSize="9" orientation="landscape" r:id="rId2"/>
      <headerFooter alignWithMargins="0"/>
      <autoFilter ref="A3:V1453" xr:uid="{80BAD763-E6BC-40EA-BF0A-BDCCCD674A82}"/>
    </customSheetView>
    <customSheetView guid="{3C29C2C7-5DB1-41FB-9E95-64C17F07BBDB}" showAutoFilter="1">
      <pane ySplit="3" topLeftCell="A4" activePane="bottomLeft" state="frozen"/>
      <selection pane="bottomLeft" activeCell="J10" sqref="J10"/>
      <pageMargins left="0.75" right="0.75" top="1" bottom="1" header="0.51200000000000001" footer="0.51200000000000001"/>
      <pageSetup paperSize="9" orientation="landscape" r:id="rId3"/>
      <headerFooter alignWithMargins="0"/>
      <autoFilter ref="A3:V1453" xr:uid="{168BE2A9-E1FF-4A57-AE78-7F9271E7DF2F}"/>
    </customSheetView>
  </customSheetViews>
  <phoneticPr fontId="2"/>
  <conditionalFormatting sqref="E1:E3 E14:E1048576"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</conditionalFormatting>
  <conditionalFormatting sqref="E1:E1048576">
    <cfRule type="duplicateValues" dxfId="22" priority="1"/>
    <cfRule type="duplicateValues" dxfId="21" priority="2"/>
  </conditionalFormatting>
  <conditionalFormatting sqref="E4:E13">
    <cfRule type="duplicateValues" dxfId="20" priority="3"/>
    <cfRule type="duplicateValues" dxfId="19" priority="4"/>
    <cfRule type="duplicateValues" dxfId="18" priority="5"/>
    <cfRule type="duplicateValues" dxfId="17" priority="6"/>
    <cfRule type="duplicateValues" dxfId="16" priority="7"/>
    <cfRule type="duplicateValues" dxfId="15" priority="8"/>
    <cfRule type="duplicateValues" dxfId="14" priority="9"/>
  </conditionalFormatting>
  <pageMargins left="0.75" right="0.75" top="1" bottom="1" header="0.51200000000000001" footer="0.51200000000000001"/>
  <pageSetup paperSize="9" orientation="landscape" r:id="rId4"/>
  <headerFooter alignWithMargins="0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437"/>
  <sheetViews>
    <sheetView zoomScaleNormal="100" workbookViewId="0">
      <selection activeCell="F21" sqref="F21"/>
    </sheetView>
  </sheetViews>
  <sheetFormatPr defaultColWidth="9" defaultRowHeight="15.75"/>
  <cols>
    <col min="1" max="1" width="4.25" style="3" customWidth="1"/>
    <col min="2" max="2" width="8" style="111" customWidth="1"/>
    <col min="3" max="3" width="12.875" style="111" customWidth="1"/>
    <col min="4" max="4" width="7.875" style="113" customWidth="1"/>
    <col min="5" max="5" width="22.875" style="110" customWidth="1"/>
    <col min="6" max="6" width="18.25" style="110" customWidth="1"/>
    <col min="7" max="7" width="34.375" style="110" customWidth="1"/>
    <col min="8" max="8" width="12.625" style="14" customWidth="1"/>
    <col min="9" max="9" width="8.625" style="3" customWidth="1"/>
    <col min="10" max="10" width="14.625" style="3" customWidth="1"/>
    <col min="11" max="16384" width="9" style="3"/>
  </cols>
  <sheetData>
    <row r="1" spans="1:12" ht="104.25" customHeight="1" thickBot="1">
      <c r="A1" s="265">
        <v>43622</v>
      </c>
      <c r="B1" s="265"/>
      <c r="C1" s="266" t="s">
        <v>131</v>
      </c>
      <c r="D1" s="266"/>
      <c r="E1" s="266"/>
      <c r="F1" s="266"/>
      <c r="G1" s="266"/>
      <c r="H1" s="1"/>
      <c r="I1" s="1"/>
      <c r="J1" s="2"/>
    </row>
    <row r="2" spans="1:12" ht="15" customHeight="1" thickTop="1">
      <c r="A2" s="265"/>
      <c r="B2" s="265"/>
      <c r="C2" s="266"/>
      <c r="D2" s="266"/>
      <c r="E2" s="266"/>
      <c r="F2" s="266"/>
      <c r="G2" s="266"/>
      <c r="H2" s="267" t="s">
        <v>39</v>
      </c>
      <c r="I2" s="268"/>
      <c r="J2" s="15">
        <f>SUBTOTAL(9,H7:H65536)</f>
        <v>0</v>
      </c>
    </row>
    <row r="3" spans="1:12" ht="15" customHeight="1" thickBot="1">
      <c r="A3" s="265"/>
      <c r="B3" s="265"/>
      <c r="C3" s="266"/>
      <c r="D3" s="266"/>
      <c r="E3" s="266"/>
      <c r="F3" s="266"/>
      <c r="G3" s="266"/>
      <c r="H3" s="269" t="s">
        <v>40</v>
      </c>
      <c r="I3" s="270"/>
      <c r="J3" s="4">
        <f>SUBTOTAL(2,A7:A65536)</f>
        <v>4</v>
      </c>
    </row>
    <row r="4" spans="1:12" ht="17.25" thickTop="1" thickBot="1">
      <c r="B4" s="110"/>
      <c r="C4" s="110"/>
      <c r="D4" s="110"/>
      <c r="H4" s="263" t="s">
        <v>41</v>
      </c>
      <c r="I4" s="264"/>
      <c r="J4" s="5">
        <f>J2*1.1</f>
        <v>0</v>
      </c>
    </row>
    <row r="5" spans="1:12" ht="6.75" customHeight="1" thickTop="1">
      <c r="B5" s="110"/>
      <c r="C5" s="110"/>
      <c r="D5" s="110"/>
      <c r="H5" s="6"/>
      <c r="J5" s="7"/>
    </row>
    <row r="6" spans="1:12">
      <c r="A6" s="63" t="s">
        <v>68</v>
      </c>
      <c r="B6" s="64" t="s">
        <v>60</v>
      </c>
      <c r="C6" s="64" t="s">
        <v>62</v>
      </c>
      <c r="D6" s="64" t="s">
        <v>66</v>
      </c>
      <c r="E6" s="64" t="s">
        <v>64</v>
      </c>
      <c r="F6" s="64" t="s">
        <v>63</v>
      </c>
      <c r="G6" s="64" t="s">
        <v>61</v>
      </c>
      <c r="H6" s="9" t="s">
        <v>44</v>
      </c>
      <c r="I6" s="10" t="s">
        <v>65</v>
      </c>
      <c r="J6" s="8" t="s">
        <v>45</v>
      </c>
      <c r="K6" s="11" t="s">
        <v>21</v>
      </c>
      <c r="L6" s="11" t="s">
        <v>67</v>
      </c>
    </row>
    <row r="7" spans="1:12">
      <c r="A7" s="30">
        <v>1</v>
      </c>
      <c r="B7" s="65">
        <f>支払一覧!B4</f>
        <v>0</v>
      </c>
      <c r="C7" s="65">
        <f>支払一覧!D4</f>
        <v>0</v>
      </c>
      <c r="D7" s="112">
        <f>支払一覧!H4</f>
        <v>0</v>
      </c>
      <c r="E7" s="30">
        <f>支払一覧!F4</f>
        <v>0</v>
      </c>
      <c r="F7" s="30">
        <f>支払一覧!E4</f>
        <v>0</v>
      </c>
      <c r="G7" s="30">
        <f>支払一覧!C4</f>
        <v>0</v>
      </c>
      <c r="H7" s="66">
        <f>支払一覧!I4</f>
        <v>0</v>
      </c>
      <c r="I7" s="30">
        <f>支払一覧!G4</f>
        <v>0</v>
      </c>
      <c r="J7" s="30">
        <f>支払一覧!J4</f>
        <v>0</v>
      </c>
      <c r="K7" s="12">
        <f>支払一覧!K4</f>
        <v>0</v>
      </c>
      <c r="L7" s="12">
        <f>支払一覧!L4</f>
        <v>0</v>
      </c>
    </row>
    <row r="8" spans="1:12">
      <c r="A8" s="30">
        <v>2</v>
      </c>
      <c r="B8" s="65">
        <f>支払一覧!B5</f>
        <v>0</v>
      </c>
      <c r="C8" s="65">
        <f>支払一覧!D5</f>
        <v>0</v>
      </c>
      <c r="D8" s="112">
        <f>支払一覧!H5</f>
        <v>0</v>
      </c>
      <c r="E8" s="30">
        <f>支払一覧!F5</f>
        <v>0</v>
      </c>
      <c r="F8" s="30">
        <f>支払一覧!E5</f>
        <v>0</v>
      </c>
      <c r="G8" s="30">
        <f>支払一覧!C5</f>
        <v>0</v>
      </c>
      <c r="H8" s="66">
        <f>支払一覧!I5</f>
        <v>0</v>
      </c>
      <c r="I8" s="30">
        <f>支払一覧!G5</f>
        <v>0</v>
      </c>
      <c r="J8" s="30">
        <f>支払一覧!J5</f>
        <v>0</v>
      </c>
      <c r="K8" s="12">
        <f>支払一覧!K5</f>
        <v>0</v>
      </c>
      <c r="L8" s="12">
        <f>支払一覧!L5</f>
        <v>0</v>
      </c>
    </row>
    <row r="9" spans="1:12">
      <c r="A9" s="30">
        <v>3</v>
      </c>
      <c r="B9" s="65">
        <f>支払一覧!B6</f>
        <v>0</v>
      </c>
      <c r="C9" s="65">
        <f>支払一覧!D6</f>
        <v>0</v>
      </c>
      <c r="D9" s="112">
        <f>支払一覧!H6</f>
        <v>0</v>
      </c>
      <c r="E9" s="30">
        <f>支払一覧!F6</f>
        <v>0</v>
      </c>
      <c r="F9" s="30">
        <f>支払一覧!E6</f>
        <v>0</v>
      </c>
      <c r="G9" s="30">
        <f>支払一覧!C6</f>
        <v>0</v>
      </c>
      <c r="H9" s="66">
        <f>支払一覧!I6</f>
        <v>0</v>
      </c>
      <c r="I9" s="30">
        <f>支払一覧!G6</f>
        <v>0</v>
      </c>
      <c r="J9" s="30">
        <f>支払一覧!J6</f>
        <v>0</v>
      </c>
      <c r="K9" s="12">
        <f>支払一覧!K6</f>
        <v>0</v>
      </c>
      <c r="L9" s="12">
        <f>支払一覧!L6</f>
        <v>0</v>
      </c>
    </row>
    <row r="10" spans="1:12">
      <c r="A10" s="30">
        <v>4</v>
      </c>
      <c r="B10" s="65">
        <f>支払一覧!B7</f>
        <v>0</v>
      </c>
      <c r="C10" s="65">
        <f>支払一覧!D7</f>
        <v>0</v>
      </c>
      <c r="D10" s="112">
        <f>支払一覧!H7</f>
        <v>0</v>
      </c>
      <c r="E10" s="30">
        <f>支払一覧!F7</f>
        <v>0</v>
      </c>
      <c r="F10" s="30">
        <f>支払一覧!E7</f>
        <v>0</v>
      </c>
      <c r="G10" s="30">
        <f>支払一覧!C7</f>
        <v>0</v>
      </c>
      <c r="H10" s="66">
        <f>支払一覧!I7</f>
        <v>0</v>
      </c>
      <c r="I10" s="30">
        <f>支払一覧!G7</f>
        <v>0</v>
      </c>
      <c r="J10" s="30">
        <f>支払一覧!J7</f>
        <v>0</v>
      </c>
      <c r="K10" s="12">
        <f>支払一覧!K7</f>
        <v>0</v>
      </c>
      <c r="L10" s="12">
        <f>支払一覧!L7</f>
        <v>0</v>
      </c>
    </row>
    <row r="11" spans="1:12">
      <c r="A11" s="30"/>
      <c r="B11" s="65"/>
      <c r="C11" s="65"/>
      <c r="D11" s="112"/>
      <c r="E11" s="30"/>
      <c r="F11" s="30"/>
      <c r="G11" s="30"/>
      <c r="H11" s="66"/>
      <c r="I11" s="30"/>
      <c r="J11" s="30"/>
      <c r="K11" s="12"/>
      <c r="L11" s="12"/>
    </row>
    <row r="12" spans="1:12">
      <c r="A12" s="30"/>
      <c r="B12" s="65"/>
      <c r="C12" s="65"/>
      <c r="D12" s="112"/>
      <c r="E12" s="30"/>
      <c r="F12" s="30"/>
      <c r="G12" s="30"/>
      <c r="H12" s="66"/>
      <c r="I12" s="30"/>
      <c r="J12" s="30"/>
      <c r="K12" s="12"/>
      <c r="L12" s="12"/>
    </row>
    <row r="13" spans="1:12">
      <c r="A13" s="30"/>
      <c r="B13" s="65"/>
      <c r="C13" s="65"/>
      <c r="D13" s="112"/>
      <c r="E13" s="30"/>
      <c r="F13" s="30"/>
      <c r="G13" s="30"/>
      <c r="H13" s="66"/>
      <c r="I13" s="30"/>
      <c r="J13" s="30"/>
      <c r="K13" s="12"/>
      <c r="L13" s="12"/>
    </row>
    <row r="14" spans="1:12">
      <c r="A14" s="30"/>
      <c r="B14" s="65"/>
      <c r="C14" s="65"/>
      <c r="D14" s="112"/>
      <c r="E14" s="30"/>
      <c r="F14" s="30"/>
      <c r="G14" s="30"/>
      <c r="H14" s="66"/>
      <c r="I14" s="30"/>
      <c r="J14" s="30"/>
      <c r="K14" s="12"/>
      <c r="L14" s="12"/>
    </row>
    <row r="15" spans="1:12">
      <c r="A15" s="30"/>
      <c r="B15" s="65"/>
      <c r="C15" s="65"/>
      <c r="D15" s="112"/>
      <c r="E15" s="30"/>
      <c r="F15" s="30"/>
      <c r="G15" s="30"/>
      <c r="H15" s="66"/>
      <c r="I15" s="30"/>
      <c r="J15" s="30"/>
      <c r="K15" s="12"/>
      <c r="L15" s="12"/>
    </row>
    <row r="16" spans="1:12">
      <c r="A16" s="30"/>
      <c r="B16" s="65"/>
      <c r="C16" s="65"/>
      <c r="D16" s="112"/>
      <c r="E16" s="30"/>
      <c r="F16" s="30"/>
      <c r="G16" s="30"/>
      <c r="H16" s="66"/>
      <c r="I16" s="30"/>
      <c r="J16" s="30"/>
      <c r="K16" s="12"/>
      <c r="L16" s="12"/>
    </row>
    <row r="17" spans="1:12">
      <c r="A17" s="30"/>
      <c r="B17" s="65"/>
      <c r="C17" s="65"/>
      <c r="D17" s="112"/>
      <c r="E17" s="30"/>
      <c r="F17" s="30"/>
      <c r="G17" s="30"/>
      <c r="H17" s="66"/>
      <c r="I17" s="30"/>
      <c r="J17" s="30"/>
      <c r="K17" s="12"/>
      <c r="L17" s="12"/>
    </row>
    <row r="18" spans="1:12">
      <c r="A18" s="30"/>
      <c r="B18" s="65"/>
      <c r="C18" s="65"/>
      <c r="D18" s="112"/>
      <c r="E18" s="30"/>
      <c r="F18" s="30"/>
      <c r="G18" s="30"/>
      <c r="H18" s="66"/>
      <c r="I18" s="30"/>
      <c r="J18" s="30"/>
      <c r="K18" s="12"/>
      <c r="L18" s="12"/>
    </row>
    <row r="19" spans="1:12">
      <c r="A19" s="30"/>
      <c r="B19" s="65"/>
      <c r="C19" s="65"/>
      <c r="D19" s="112"/>
      <c r="E19" s="30"/>
      <c r="F19" s="30"/>
      <c r="G19" s="30"/>
      <c r="H19" s="66"/>
      <c r="I19" s="30"/>
      <c r="J19" s="30"/>
      <c r="K19" s="12"/>
      <c r="L19" s="12"/>
    </row>
    <row r="20" spans="1:12">
      <c r="A20" s="30"/>
      <c r="B20" s="65"/>
      <c r="C20" s="65"/>
      <c r="D20" s="112"/>
      <c r="E20" s="30"/>
      <c r="F20" s="30"/>
      <c r="G20" s="30"/>
      <c r="H20" s="66"/>
      <c r="I20" s="30"/>
      <c r="J20" s="30"/>
      <c r="K20" s="12"/>
      <c r="L20" s="12"/>
    </row>
    <row r="21" spans="1:12">
      <c r="A21" s="30"/>
      <c r="B21" s="65"/>
      <c r="C21" s="65"/>
      <c r="D21" s="112"/>
      <c r="E21" s="30"/>
      <c r="F21" s="30"/>
      <c r="G21" s="30"/>
      <c r="H21" s="66"/>
      <c r="I21" s="30"/>
      <c r="J21" s="30"/>
      <c r="K21" s="12"/>
      <c r="L21" s="12"/>
    </row>
    <row r="22" spans="1:12">
      <c r="A22" s="30"/>
      <c r="B22" s="65"/>
      <c r="C22" s="65"/>
      <c r="D22" s="112"/>
      <c r="E22" s="30"/>
      <c r="F22" s="30"/>
      <c r="G22" s="30"/>
      <c r="H22" s="66"/>
      <c r="I22" s="30"/>
      <c r="J22" s="30"/>
      <c r="K22" s="12"/>
      <c r="L22" s="12"/>
    </row>
    <row r="23" spans="1:12">
      <c r="A23" s="30"/>
      <c r="B23" s="65"/>
      <c r="C23" s="65"/>
      <c r="D23" s="112"/>
      <c r="E23" s="30"/>
      <c r="F23" s="30"/>
      <c r="G23" s="30"/>
      <c r="H23" s="66"/>
      <c r="I23" s="30"/>
      <c r="J23" s="30"/>
      <c r="K23" s="12"/>
      <c r="L23" s="12"/>
    </row>
    <row r="24" spans="1:12">
      <c r="A24" s="30"/>
      <c r="B24" s="65"/>
      <c r="C24" s="65"/>
      <c r="D24" s="112"/>
      <c r="E24" s="30"/>
      <c r="F24" s="30"/>
      <c r="G24" s="30"/>
      <c r="H24" s="66"/>
      <c r="I24" s="30"/>
      <c r="J24" s="30"/>
      <c r="K24" s="12"/>
      <c r="L24" s="12"/>
    </row>
    <row r="25" spans="1:12">
      <c r="A25" s="30"/>
      <c r="B25" s="65"/>
      <c r="C25" s="65"/>
      <c r="D25" s="112"/>
      <c r="E25" s="30"/>
      <c r="F25" s="30"/>
      <c r="G25" s="30"/>
      <c r="H25" s="66"/>
      <c r="I25" s="30"/>
      <c r="J25" s="30"/>
      <c r="K25" s="12"/>
      <c r="L25" s="12"/>
    </row>
    <row r="26" spans="1:12">
      <c r="A26" s="30"/>
      <c r="B26" s="65"/>
      <c r="C26" s="65"/>
      <c r="D26" s="112"/>
      <c r="E26" s="30"/>
      <c r="F26" s="30"/>
      <c r="G26" s="30"/>
      <c r="H26" s="66"/>
      <c r="I26" s="30"/>
      <c r="J26" s="30"/>
      <c r="K26" s="12"/>
      <c r="L26" s="12"/>
    </row>
    <row r="27" spans="1:12">
      <c r="A27" s="30"/>
      <c r="B27" s="65"/>
      <c r="C27" s="65"/>
      <c r="D27" s="112"/>
      <c r="E27" s="30"/>
      <c r="F27" s="30"/>
      <c r="G27" s="30"/>
      <c r="H27" s="66"/>
      <c r="I27" s="30"/>
      <c r="J27" s="30"/>
      <c r="K27" s="12"/>
      <c r="L27" s="12"/>
    </row>
    <row r="28" spans="1:12">
      <c r="A28" s="30"/>
      <c r="B28" s="65"/>
      <c r="C28" s="65"/>
      <c r="D28" s="112"/>
      <c r="E28" s="30"/>
      <c r="F28" s="30"/>
      <c r="G28" s="30"/>
      <c r="H28" s="66"/>
      <c r="I28" s="30"/>
      <c r="J28" s="30"/>
      <c r="K28" s="12"/>
      <c r="L28" s="12"/>
    </row>
    <row r="29" spans="1:12">
      <c r="A29" s="30"/>
      <c r="B29" s="65"/>
      <c r="C29" s="65"/>
      <c r="D29" s="112"/>
      <c r="E29" s="30"/>
      <c r="F29" s="30"/>
      <c r="G29" s="30"/>
      <c r="H29" s="66"/>
      <c r="I29" s="30"/>
      <c r="J29" s="30"/>
      <c r="K29" s="12"/>
      <c r="L29" s="12"/>
    </row>
    <row r="30" spans="1:12">
      <c r="A30" s="30"/>
      <c r="B30" s="65"/>
      <c r="C30" s="65"/>
      <c r="D30" s="112"/>
      <c r="E30" s="30"/>
      <c r="F30" s="30"/>
      <c r="G30" s="30"/>
      <c r="H30" s="66"/>
      <c r="I30" s="30"/>
      <c r="J30" s="30"/>
      <c r="K30" s="12"/>
      <c r="L30" s="12"/>
    </row>
    <row r="31" spans="1:12">
      <c r="A31" s="30"/>
      <c r="B31" s="65"/>
      <c r="C31" s="65"/>
      <c r="D31" s="112"/>
      <c r="E31" s="30"/>
      <c r="F31" s="30"/>
      <c r="G31" s="30"/>
      <c r="H31" s="66"/>
      <c r="I31" s="30"/>
      <c r="J31" s="30"/>
      <c r="K31" s="12"/>
      <c r="L31" s="12"/>
    </row>
    <row r="32" spans="1:12">
      <c r="A32" s="30"/>
      <c r="B32" s="65"/>
      <c r="C32" s="65"/>
      <c r="D32" s="112"/>
      <c r="E32" s="30"/>
      <c r="F32" s="30"/>
      <c r="G32" s="30"/>
      <c r="H32" s="66"/>
      <c r="I32" s="30"/>
      <c r="J32" s="30"/>
      <c r="K32" s="12"/>
      <c r="L32" s="12"/>
    </row>
    <row r="33" spans="1:12">
      <c r="A33" s="30"/>
      <c r="B33" s="65"/>
      <c r="C33" s="65"/>
      <c r="D33" s="112"/>
      <c r="E33" s="30"/>
      <c r="F33" s="30"/>
      <c r="G33" s="30"/>
      <c r="H33" s="66"/>
      <c r="I33" s="30"/>
      <c r="J33" s="30"/>
      <c r="K33" s="12"/>
      <c r="L33" s="12"/>
    </row>
    <row r="34" spans="1:12">
      <c r="A34" s="30"/>
      <c r="B34" s="65"/>
      <c r="C34" s="65"/>
      <c r="D34" s="112"/>
      <c r="E34" s="30"/>
      <c r="F34" s="30"/>
      <c r="G34" s="30"/>
      <c r="H34" s="66"/>
      <c r="I34" s="30"/>
      <c r="J34" s="30"/>
      <c r="K34" s="12"/>
      <c r="L34" s="12"/>
    </row>
    <row r="35" spans="1:12">
      <c r="A35" s="30"/>
      <c r="B35" s="65"/>
      <c r="C35" s="65"/>
      <c r="D35" s="112"/>
      <c r="E35" s="30"/>
      <c r="F35" s="30"/>
      <c r="G35" s="30"/>
      <c r="H35" s="66"/>
      <c r="I35" s="30"/>
      <c r="J35" s="30"/>
      <c r="K35" s="12"/>
      <c r="L35" s="12"/>
    </row>
    <row r="36" spans="1:12">
      <c r="A36" s="30"/>
      <c r="B36" s="65"/>
      <c r="C36" s="65"/>
      <c r="D36" s="112"/>
      <c r="E36" s="30"/>
      <c r="F36" s="30"/>
      <c r="G36" s="30"/>
      <c r="H36" s="66"/>
      <c r="I36" s="30"/>
      <c r="J36" s="30"/>
      <c r="K36" s="12"/>
      <c r="L36" s="12"/>
    </row>
    <row r="37" spans="1:12">
      <c r="A37" s="30"/>
      <c r="B37" s="65"/>
      <c r="C37" s="65"/>
      <c r="D37" s="112"/>
      <c r="E37" s="30"/>
      <c r="F37" s="30"/>
      <c r="G37" s="30"/>
      <c r="H37" s="66"/>
      <c r="I37" s="30"/>
      <c r="J37" s="30"/>
      <c r="K37" s="12"/>
      <c r="L37" s="12"/>
    </row>
    <row r="38" spans="1:12">
      <c r="A38" s="30"/>
      <c r="B38" s="65"/>
      <c r="C38" s="65"/>
      <c r="D38" s="112"/>
      <c r="E38" s="30"/>
      <c r="F38" s="30"/>
      <c r="G38" s="30"/>
      <c r="H38" s="66"/>
      <c r="I38" s="30"/>
      <c r="J38" s="30"/>
      <c r="K38" s="12"/>
      <c r="L38" s="12"/>
    </row>
    <row r="39" spans="1:12">
      <c r="A39" s="30"/>
      <c r="B39" s="65"/>
      <c r="C39" s="65"/>
      <c r="D39" s="112"/>
      <c r="E39" s="30"/>
      <c r="F39" s="30"/>
      <c r="G39" s="30"/>
      <c r="H39" s="66"/>
      <c r="I39" s="30"/>
      <c r="J39" s="30"/>
      <c r="K39" s="12"/>
      <c r="L39" s="12"/>
    </row>
    <row r="40" spans="1:12">
      <c r="A40" s="30"/>
      <c r="B40" s="65"/>
      <c r="C40" s="65"/>
      <c r="D40" s="112"/>
      <c r="E40" s="30"/>
      <c r="F40" s="30"/>
      <c r="G40" s="30"/>
      <c r="H40" s="66"/>
      <c r="I40" s="30"/>
      <c r="J40" s="30"/>
      <c r="K40" s="12"/>
      <c r="L40" s="12"/>
    </row>
    <row r="41" spans="1:12">
      <c r="A41" s="30"/>
      <c r="B41" s="65"/>
      <c r="C41" s="65"/>
      <c r="D41" s="112"/>
      <c r="E41" s="30"/>
      <c r="F41" s="30"/>
      <c r="G41" s="30"/>
      <c r="H41" s="66"/>
      <c r="I41" s="30"/>
      <c r="J41" s="30"/>
      <c r="K41" s="12"/>
      <c r="L41" s="12"/>
    </row>
    <row r="42" spans="1:12">
      <c r="A42" s="30"/>
      <c r="B42" s="65"/>
      <c r="C42" s="65"/>
      <c r="D42" s="112"/>
      <c r="E42" s="30"/>
      <c r="F42" s="30"/>
      <c r="G42" s="30"/>
      <c r="H42" s="66"/>
      <c r="I42" s="30"/>
      <c r="J42" s="30"/>
      <c r="K42" s="12"/>
      <c r="L42" s="12"/>
    </row>
    <row r="43" spans="1:12">
      <c r="A43" s="30"/>
      <c r="B43" s="65"/>
      <c r="C43" s="65"/>
      <c r="D43" s="112"/>
      <c r="E43" s="30"/>
      <c r="F43" s="30"/>
      <c r="G43" s="30"/>
      <c r="H43" s="66"/>
      <c r="I43" s="30"/>
      <c r="J43" s="30"/>
      <c r="K43" s="12"/>
      <c r="L43" s="12"/>
    </row>
    <row r="44" spans="1:12">
      <c r="A44" s="30"/>
      <c r="B44" s="65"/>
      <c r="C44" s="65"/>
      <c r="D44" s="112"/>
      <c r="E44" s="30"/>
      <c r="F44" s="30"/>
      <c r="G44" s="30"/>
      <c r="H44" s="66"/>
      <c r="I44" s="30"/>
      <c r="J44" s="30"/>
      <c r="K44" s="12"/>
      <c r="L44" s="12"/>
    </row>
    <row r="45" spans="1:12">
      <c r="A45" s="30"/>
      <c r="B45" s="65"/>
      <c r="C45" s="65"/>
      <c r="D45" s="112"/>
      <c r="E45" s="30"/>
      <c r="F45" s="30"/>
      <c r="G45" s="30"/>
      <c r="H45" s="66"/>
      <c r="I45" s="30"/>
      <c r="J45" s="30"/>
      <c r="K45" s="12"/>
      <c r="L45" s="12"/>
    </row>
    <row r="46" spans="1:12">
      <c r="A46" s="30"/>
      <c r="B46" s="65"/>
      <c r="C46" s="65"/>
      <c r="D46" s="112"/>
      <c r="E46" s="30"/>
      <c r="F46" s="30"/>
      <c r="G46" s="30"/>
      <c r="H46" s="66"/>
      <c r="I46" s="30"/>
      <c r="J46" s="30"/>
      <c r="K46" s="12"/>
      <c r="L46" s="12"/>
    </row>
    <row r="47" spans="1:12">
      <c r="A47" s="30"/>
      <c r="B47" s="65"/>
      <c r="C47" s="65"/>
      <c r="D47" s="112"/>
      <c r="E47" s="30"/>
      <c r="F47" s="30"/>
      <c r="G47" s="30"/>
      <c r="H47" s="66"/>
      <c r="I47" s="30"/>
      <c r="J47" s="30"/>
      <c r="K47" s="12"/>
      <c r="L47" s="12"/>
    </row>
    <row r="48" spans="1:12">
      <c r="A48" s="30"/>
      <c r="B48" s="65"/>
      <c r="C48" s="65"/>
      <c r="D48" s="112"/>
      <c r="E48" s="30"/>
      <c r="F48" s="30"/>
      <c r="G48" s="30"/>
      <c r="H48" s="66"/>
      <c r="I48" s="30"/>
      <c r="J48" s="30"/>
      <c r="K48" s="12"/>
      <c r="L48" s="12"/>
    </row>
    <row r="49" spans="1:12">
      <c r="A49" s="30"/>
      <c r="B49" s="65"/>
      <c r="C49" s="65"/>
      <c r="D49" s="112"/>
      <c r="E49" s="30"/>
      <c r="F49" s="30"/>
      <c r="G49" s="30"/>
      <c r="H49" s="66"/>
      <c r="I49" s="30"/>
      <c r="J49" s="30"/>
      <c r="K49" s="12"/>
      <c r="L49" s="12"/>
    </row>
    <row r="50" spans="1:12">
      <c r="A50" s="30"/>
      <c r="B50" s="65"/>
      <c r="C50" s="65"/>
      <c r="D50" s="112"/>
      <c r="E50" s="30"/>
      <c r="F50" s="30"/>
      <c r="G50" s="30"/>
      <c r="H50" s="66"/>
      <c r="I50" s="30"/>
      <c r="J50" s="30"/>
      <c r="K50" s="12"/>
      <c r="L50" s="12"/>
    </row>
    <row r="51" spans="1:12">
      <c r="A51" s="30"/>
      <c r="B51" s="65"/>
      <c r="C51" s="65"/>
      <c r="D51" s="112"/>
      <c r="E51" s="30"/>
      <c r="F51" s="30"/>
      <c r="G51" s="30"/>
      <c r="H51" s="66"/>
      <c r="I51" s="30"/>
      <c r="J51" s="30"/>
      <c r="K51" s="12"/>
      <c r="L51" s="12"/>
    </row>
    <row r="52" spans="1:12">
      <c r="A52" s="30"/>
      <c r="B52" s="65"/>
      <c r="C52" s="65"/>
      <c r="D52" s="112"/>
      <c r="E52" s="30"/>
      <c r="F52" s="30"/>
      <c r="G52" s="30"/>
      <c r="H52" s="66"/>
      <c r="I52" s="30"/>
      <c r="J52" s="30"/>
      <c r="K52" s="12"/>
      <c r="L52" s="12"/>
    </row>
    <row r="53" spans="1:12">
      <c r="A53" s="30"/>
      <c r="B53" s="65"/>
      <c r="C53" s="65"/>
      <c r="D53" s="112"/>
      <c r="E53" s="30"/>
      <c r="F53" s="30"/>
      <c r="G53" s="30"/>
      <c r="H53" s="66"/>
      <c r="I53" s="30"/>
      <c r="J53" s="30"/>
      <c r="K53" s="12"/>
      <c r="L53" s="12"/>
    </row>
    <row r="54" spans="1:12">
      <c r="A54" s="30"/>
      <c r="B54" s="65"/>
      <c r="C54" s="65"/>
      <c r="D54" s="112"/>
      <c r="E54" s="30"/>
      <c r="F54" s="30"/>
      <c r="G54" s="30"/>
      <c r="H54" s="66"/>
      <c r="I54" s="30"/>
      <c r="J54" s="30"/>
      <c r="K54" s="12"/>
      <c r="L54" s="12"/>
    </row>
    <row r="55" spans="1:12">
      <c r="A55" s="30"/>
      <c r="B55" s="65"/>
      <c r="C55" s="65"/>
      <c r="D55" s="112"/>
      <c r="E55" s="30"/>
      <c r="F55" s="30"/>
      <c r="G55" s="30"/>
      <c r="H55" s="66"/>
      <c r="I55" s="30"/>
      <c r="J55" s="30"/>
      <c r="K55" s="12"/>
      <c r="L55" s="12"/>
    </row>
    <row r="56" spans="1:12">
      <c r="A56" s="30"/>
      <c r="B56" s="65"/>
      <c r="C56" s="65"/>
      <c r="D56" s="112"/>
      <c r="E56" s="30"/>
      <c r="F56" s="30"/>
      <c r="G56" s="30"/>
      <c r="H56" s="66"/>
      <c r="I56" s="30"/>
      <c r="J56" s="30"/>
      <c r="K56" s="12"/>
      <c r="L56" s="12"/>
    </row>
    <row r="57" spans="1:12">
      <c r="A57" s="30"/>
      <c r="B57" s="65"/>
      <c r="C57" s="65"/>
      <c r="D57" s="112"/>
      <c r="E57" s="30"/>
      <c r="F57" s="30"/>
      <c r="G57" s="30"/>
      <c r="H57" s="66"/>
      <c r="I57" s="30"/>
      <c r="J57" s="30"/>
      <c r="K57" s="12"/>
      <c r="L57" s="12"/>
    </row>
    <row r="58" spans="1:12">
      <c r="A58" s="30"/>
      <c r="B58" s="65"/>
      <c r="C58" s="65"/>
      <c r="D58" s="112"/>
      <c r="E58" s="30"/>
      <c r="F58" s="30"/>
      <c r="G58" s="30"/>
      <c r="H58" s="66"/>
      <c r="I58" s="30"/>
      <c r="J58" s="30"/>
      <c r="K58" s="12"/>
      <c r="L58" s="12"/>
    </row>
    <row r="59" spans="1:12">
      <c r="A59" s="30"/>
      <c r="B59" s="65"/>
      <c r="C59" s="65"/>
      <c r="D59" s="112"/>
      <c r="E59" s="30"/>
      <c r="F59" s="30"/>
      <c r="G59" s="30"/>
      <c r="H59" s="66"/>
      <c r="I59" s="30"/>
      <c r="J59" s="30"/>
      <c r="K59" s="12"/>
      <c r="L59" s="12"/>
    </row>
    <row r="60" spans="1:12">
      <c r="A60" s="30"/>
      <c r="B60" s="65"/>
      <c r="C60" s="65"/>
      <c r="D60" s="112"/>
      <c r="E60" s="30"/>
      <c r="F60" s="30"/>
      <c r="G60" s="30"/>
      <c r="H60" s="66"/>
      <c r="I60" s="30"/>
      <c r="J60" s="30"/>
      <c r="K60" s="12"/>
      <c r="L60" s="12"/>
    </row>
    <row r="61" spans="1:12">
      <c r="A61" s="30"/>
      <c r="B61" s="65"/>
      <c r="C61" s="65"/>
      <c r="D61" s="112"/>
      <c r="E61" s="30"/>
      <c r="F61" s="30"/>
      <c r="G61" s="30"/>
      <c r="H61" s="66"/>
      <c r="I61" s="30"/>
      <c r="J61" s="30"/>
      <c r="K61" s="12"/>
      <c r="L61" s="12"/>
    </row>
    <row r="62" spans="1:12">
      <c r="A62" s="30"/>
      <c r="B62" s="65"/>
      <c r="C62" s="65"/>
      <c r="D62" s="112"/>
      <c r="E62" s="30"/>
      <c r="F62" s="30"/>
      <c r="G62" s="30"/>
      <c r="H62" s="66"/>
      <c r="I62" s="30"/>
      <c r="J62" s="30"/>
      <c r="K62" s="12"/>
      <c r="L62" s="12"/>
    </row>
    <row r="63" spans="1:12">
      <c r="A63" s="30"/>
      <c r="B63" s="65"/>
      <c r="C63" s="65"/>
      <c r="D63" s="112"/>
      <c r="E63" s="30"/>
      <c r="F63" s="30"/>
      <c r="G63" s="30"/>
      <c r="H63" s="66"/>
      <c r="I63" s="30"/>
      <c r="J63" s="30"/>
      <c r="K63" s="12"/>
      <c r="L63" s="12"/>
    </row>
    <row r="64" spans="1:12">
      <c r="A64" s="30"/>
      <c r="B64" s="65"/>
      <c r="C64" s="65"/>
      <c r="D64" s="112"/>
      <c r="E64" s="30"/>
      <c r="F64" s="30"/>
      <c r="G64" s="30"/>
      <c r="H64" s="66"/>
      <c r="I64" s="30"/>
      <c r="J64" s="30"/>
      <c r="K64" s="12"/>
      <c r="L64" s="12"/>
    </row>
    <row r="65" spans="1:12">
      <c r="A65" s="30"/>
      <c r="B65" s="65"/>
      <c r="C65" s="65"/>
      <c r="D65" s="112"/>
      <c r="E65" s="30"/>
      <c r="F65" s="30"/>
      <c r="G65" s="30"/>
      <c r="H65" s="66"/>
      <c r="I65" s="30"/>
      <c r="J65" s="30"/>
      <c r="K65" s="12"/>
      <c r="L65" s="12"/>
    </row>
    <row r="66" spans="1:12">
      <c r="A66" s="30"/>
      <c r="B66" s="65"/>
      <c r="C66" s="65"/>
      <c r="D66" s="112"/>
      <c r="E66" s="30"/>
      <c r="F66" s="30"/>
      <c r="G66" s="30"/>
      <c r="H66" s="66"/>
      <c r="I66" s="30"/>
      <c r="J66" s="30"/>
      <c r="K66" s="12"/>
      <c r="L66" s="12"/>
    </row>
    <row r="67" spans="1:12">
      <c r="A67" s="30"/>
      <c r="B67" s="65"/>
      <c r="C67" s="65"/>
      <c r="D67" s="112"/>
      <c r="E67" s="30"/>
      <c r="F67" s="30"/>
      <c r="G67" s="30"/>
      <c r="H67" s="66"/>
      <c r="I67" s="30"/>
      <c r="J67" s="30"/>
      <c r="K67" s="12"/>
      <c r="L67" s="12"/>
    </row>
    <row r="68" spans="1:12">
      <c r="A68" s="30"/>
      <c r="B68" s="65"/>
      <c r="C68" s="65"/>
      <c r="D68" s="112"/>
      <c r="E68" s="30"/>
      <c r="F68" s="30"/>
      <c r="G68" s="30"/>
      <c r="H68" s="66"/>
      <c r="I68" s="30"/>
      <c r="J68" s="30"/>
      <c r="K68" s="12"/>
      <c r="L68" s="12"/>
    </row>
    <row r="69" spans="1:12">
      <c r="A69" s="30"/>
      <c r="B69" s="65"/>
      <c r="C69" s="65"/>
      <c r="D69" s="112"/>
      <c r="E69" s="30"/>
      <c r="F69" s="30"/>
      <c r="G69" s="30"/>
      <c r="H69" s="66"/>
      <c r="I69" s="30"/>
      <c r="J69" s="30"/>
      <c r="K69" s="12"/>
      <c r="L69" s="12"/>
    </row>
    <row r="70" spans="1:12">
      <c r="A70" s="30"/>
      <c r="B70" s="65"/>
      <c r="C70" s="65"/>
      <c r="D70" s="112"/>
      <c r="E70" s="30"/>
      <c r="F70" s="30"/>
      <c r="G70" s="30"/>
      <c r="H70" s="66"/>
      <c r="I70" s="30"/>
      <c r="J70" s="30"/>
      <c r="K70" s="12"/>
      <c r="L70" s="12"/>
    </row>
    <row r="71" spans="1:12">
      <c r="A71" s="30"/>
      <c r="B71" s="65"/>
      <c r="C71" s="65"/>
      <c r="D71" s="112"/>
      <c r="E71" s="30"/>
      <c r="F71" s="30"/>
      <c r="G71" s="30"/>
      <c r="H71" s="66"/>
      <c r="I71" s="30"/>
      <c r="J71" s="30"/>
      <c r="K71" s="12"/>
      <c r="L71" s="12"/>
    </row>
    <row r="72" spans="1:12">
      <c r="A72" s="30"/>
      <c r="B72" s="65"/>
      <c r="C72" s="65"/>
      <c r="D72" s="112"/>
      <c r="E72" s="30"/>
      <c r="F72" s="30"/>
      <c r="G72" s="30"/>
      <c r="H72" s="66"/>
      <c r="I72" s="30"/>
      <c r="J72" s="30"/>
      <c r="K72" s="12"/>
      <c r="L72" s="12"/>
    </row>
    <row r="73" spans="1:12">
      <c r="A73" s="30"/>
      <c r="B73" s="65"/>
      <c r="C73" s="65"/>
      <c r="D73" s="112"/>
      <c r="E73" s="30"/>
      <c r="F73" s="30"/>
      <c r="G73" s="30"/>
      <c r="H73" s="66"/>
      <c r="I73" s="30"/>
      <c r="J73" s="30"/>
      <c r="K73" s="12"/>
      <c r="L73" s="12"/>
    </row>
    <row r="74" spans="1:12">
      <c r="A74" s="30"/>
      <c r="B74" s="65"/>
      <c r="C74" s="65"/>
      <c r="D74" s="112"/>
      <c r="E74" s="30"/>
      <c r="F74" s="30"/>
      <c r="G74" s="30"/>
      <c r="H74" s="66"/>
      <c r="I74" s="30"/>
      <c r="J74" s="30"/>
      <c r="K74" s="12"/>
      <c r="L74" s="12"/>
    </row>
    <row r="75" spans="1:12">
      <c r="A75" s="30"/>
      <c r="B75" s="65"/>
      <c r="C75" s="65"/>
      <c r="D75" s="112"/>
      <c r="E75" s="30"/>
      <c r="F75" s="30"/>
      <c r="G75" s="30"/>
      <c r="H75" s="66"/>
      <c r="I75" s="30"/>
      <c r="J75" s="30"/>
      <c r="K75" s="12"/>
      <c r="L75" s="12"/>
    </row>
    <row r="76" spans="1:12">
      <c r="A76" s="30"/>
      <c r="B76" s="65"/>
      <c r="C76" s="65"/>
      <c r="D76" s="112"/>
      <c r="E76" s="30"/>
      <c r="F76" s="30"/>
      <c r="G76" s="30"/>
      <c r="H76" s="66"/>
      <c r="I76" s="30"/>
      <c r="J76" s="30"/>
      <c r="K76" s="12"/>
      <c r="L76" s="12"/>
    </row>
    <row r="77" spans="1:12">
      <c r="A77" s="30"/>
      <c r="B77" s="65"/>
      <c r="C77" s="65"/>
      <c r="D77" s="112"/>
      <c r="E77" s="30"/>
      <c r="F77" s="30"/>
      <c r="G77" s="30"/>
      <c r="H77" s="66"/>
      <c r="I77" s="30"/>
      <c r="J77" s="30"/>
      <c r="K77" s="12"/>
      <c r="L77" s="12"/>
    </row>
    <row r="78" spans="1:12">
      <c r="A78" s="30"/>
      <c r="B78" s="65"/>
      <c r="C78" s="65"/>
      <c r="D78" s="112"/>
      <c r="E78" s="30"/>
      <c r="F78" s="30"/>
      <c r="G78" s="30"/>
      <c r="H78" s="66"/>
      <c r="I78" s="30"/>
      <c r="J78" s="30"/>
      <c r="K78" s="12"/>
      <c r="L78" s="12"/>
    </row>
    <row r="79" spans="1:12">
      <c r="A79" s="30"/>
      <c r="B79" s="65"/>
      <c r="C79" s="65"/>
      <c r="D79" s="112"/>
      <c r="E79" s="30"/>
      <c r="F79" s="30"/>
      <c r="G79" s="30"/>
      <c r="H79" s="66"/>
      <c r="I79" s="30"/>
      <c r="J79" s="30"/>
      <c r="K79" s="12"/>
      <c r="L79" s="12"/>
    </row>
    <row r="80" spans="1:12">
      <c r="A80" s="30"/>
      <c r="B80" s="65"/>
      <c r="C80" s="65"/>
      <c r="D80" s="112"/>
      <c r="E80" s="30"/>
      <c r="F80" s="30"/>
      <c r="G80" s="30"/>
      <c r="H80" s="66"/>
      <c r="I80" s="30"/>
      <c r="J80" s="30"/>
      <c r="K80" s="12"/>
      <c r="L80" s="12"/>
    </row>
    <row r="81" spans="1:12">
      <c r="A81" s="30"/>
      <c r="B81" s="65"/>
      <c r="C81" s="65"/>
      <c r="D81" s="112"/>
      <c r="E81" s="30"/>
      <c r="F81" s="30"/>
      <c r="G81" s="30"/>
      <c r="H81" s="66"/>
      <c r="I81" s="30"/>
      <c r="J81" s="30"/>
      <c r="K81" s="12"/>
      <c r="L81" s="12"/>
    </row>
    <row r="82" spans="1:12">
      <c r="A82" s="30"/>
      <c r="B82" s="65"/>
      <c r="C82" s="65"/>
      <c r="D82" s="112"/>
      <c r="E82" s="30"/>
      <c r="F82" s="30"/>
      <c r="G82" s="30"/>
      <c r="H82" s="66"/>
      <c r="I82" s="30"/>
      <c r="J82" s="30"/>
      <c r="K82" s="12"/>
      <c r="L82" s="12"/>
    </row>
    <row r="83" spans="1:12">
      <c r="A83" s="30"/>
      <c r="B83" s="65"/>
      <c r="C83" s="65"/>
      <c r="D83" s="112"/>
      <c r="E83" s="30"/>
      <c r="F83" s="30"/>
      <c r="G83" s="30"/>
      <c r="H83" s="66"/>
      <c r="I83" s="30"/>
      <c r="J83" s="30"/>
      <c r="K83" s="12"/>
      <c r="L83" s="12"/>
    </row>
    <row r="84" spans="1:12">
      <c r="A84" s="30"/>
      <c r="B84" s="65"/>
      <c r="C84" s="65"/>
      <c r="D84" s="112"/>
      <c r="E84" s="30"/>
      <c r="F84" s="30"/>
      <c r="G84" s="30"/>
      <c r="H84" s="66"/>
      <c r="I84" s="30"/>
      <c r="J84" s="30"/>
      <c r="K84" s="12"/>
      <c r="L84" s="12"/>
    </row>
    <row r="85" spans="1:12">
      <c r="A85" s="30"/>
      <c r="B85" s="65"/>
      <c r="C85" s="65"/>
      <c r="D85" s="112"/>
      <c r="E85" s="30"/>
      <c r="F85" s="30"/>
      <c r="G85" s="30"/>
      <c r="H85" s="66"/>
      <c r="I85" s="30"/>
      <c r="J85" s="30"/>
      <c r="K85" s="12"/>
      <c r="L85" s="12"/>
    </row>
    <row r="86" spans="1:12">
      <c r="A86" s="30"/>
      <c r="B86" s="65"/>
      <c r="C86" s="65"/>
      <c r="D86" s="112"/>
      <c r="E86" s="30"/>
      <c r="F86" s="30"/>
      <c r="G86" s="30"/>
      <c r="H86" s="66"/>
      <c r="I86" s="30"/>
      <c r="J86" s="30"/>
      <c r="K86" s="12"/>
      <c r="L86" s="12"/>
    </row>
    <row r="87" spans="1:12">
      <c r="A87" s="30"/>
      <c r="B87" s="65"/>
      <c r="C87" s="65"/>
      <c r="D87" s="112"/>
      <c r="E87" s="30"/>
      <c r="F87" s="30"/>
      <c r="G87" s="30"/>
      <c r="H87" s="66"/>
      <c r="I87" s="30"/>
      <c r="J87" s="30"/>
      <c r="K87" s="12"/>
      <c r="L87" s="12"/>
    </row>
    <row r="88" spans="1:12">
      <c r="A88" s="30"/>
      <c r="B88" s="65"/>
      <c r="C88" s="65"/>
      <c r="D88" s="112"/>
      <c r="E88" s="30"/>
      <c r="F88" s="30"/>
      <c r="G88" s="30"/>
      <c r="H88" s="66"/>
      <c r="I88" s="30"/>
      <c r="J88" s="30"/>
      <c r="K88" s="12"/>
      <c r="L88" s="12"/>
    </row>
    <row r="89" spans="1:12">
      <c r="A89" s="30"/>
      <c r="B89" s="65"/>
      <c r="C89" s="65"/>
      <c r="D89" s="112"/>
      <c r="E89" s="30"/>
      <c r="F89" s="30"/>
      <c r="G89" s="30"/>
      <c r="H89" s="66"/>
      <c r="I89" s="30"/>
      <c r="J89" s="30"/>
      <c r="K89" s="12"/>
      <c r="L89" s="12"/>
    </row>
    <row r="90" spans="1:12">
      <c r="A90" s="30"/>
      <c r="B90" s="65"/>
      <c r="C90" s="65"/>
      <c r="D90" s="112"/>
      <c r="E90" s="30"/>
      <c r="F90" s="30"/>
      <c r="G90" s="30"/>
      <c r="H90" s="66"/>
      <c r="I90" s="30"/>
      <c r="J90" s="30"/>
      <c r="K90" s="12"/>
      <c r="L90" s="12"/>
    </row>
    <row r="91" spans="1:12">
      <c r="A91" s="30"/>
      <c r="B91" s="65"/>
      <c r="C91" s="65"/>
      <c r="D91" s="112"/>
      <c r="E91" s="30"/>
      <c r="F91" s="30"/>
      <c r="G91" s="30"/>
      <c r="H91" s="66"/>
      <c r="I91" s="30"/>
      <c r="J91" s="30"/>
      <c r="K91" s="12"/>
      <c r="L91" s="12"/>
    </row>
    <row r="92" spans="1:12">
      <c r="A92" s="30"/>
      <c r="B92" s="65"/>
      <c r="C92" s="65"/>
      <c r="D92" s="112"/>
      <c r="E92" s="30"/>
      <c r="F92" s="30"/>
      <c r="G92" s="30"/>
      <c r="H92" s="66"/>
      <c r="I92" s="30"/>
      <c r="J92" s="30"/>
      <c r="K92" s="12"/>
      <c r="L92" s="12"/>
    </row>
    <row r="93" spans="1:12">
      <c r="A93" s="30"/>
      <c r="B93" s="65"/>
      <c r="C93" s="65"/>
      <c r="D93" s="112"/>
      <c r="E93" s="30"/>
      <c r="F93" s="30"/>
      <c r="G93" s="30"/>
      <c r="H93" s="66"/>
      <c r="I93" s="30"/>
      <c r="J93" s="30"/>
      <c r="K93" s="12"/>
      <c r="L93" s="12"/>
    </row>
    <row r="94" spans="1:12">
      <c r="A94" s="30"/>
      <c r="B94" s="65"/>
      <c r="C94" s="65"/>
      <c r="D94" s="112"/>
      <c r="E94" s="30"/>
      <c r="F94" s="30"/>
      <c r="G94" s="30"/>
      <c r="H94" s="66"/>
      <c r="I94" s="30"/>
      <c r="J94" s="30"/>
      <c r="K94" s="12"/>
      <c r="L94" s="12"/>
    </row>
    <row r="95" spans="1:12">
      <c r="A95" s="30"/>
      <c r="B95" s="65"/>
      <c r="C95" s="65"/>
      <c r="D95" s="112"/>
      <c r="E95" s="30"/>
      <c r="F95" s="30"/>
      <c r="G95" s="30"/>
      <c r="H95" s="66"/>
      <c r="I95" s="30"/>
      <c r="J95" s="30"/>
      <c r="K95" s="12"/>
      <c r="L95" s="12"/>
    </row>
    <row r="96" spans="1:12">
      <c r="A96" s="30"/>
      <c r="B96" s="65"/>
      <c r="C96" s="65"/>
      <c r="D96" s="112"/>
      <c r="E96" s="30"/>
      <c r="F96" s="30"/>
      <c r="G96" s="30"/>
      <c r="H96" s="66"/>
      <c r="I96" s="30"/>
      <c r="J96" s="30"/>
      <c r="K96" s="12"/>
      <c r="L96" s="12"/>
    </row>
    <row r="97" spans="1:12">
      <c r="A97" s="30"/>
      <c r="B97" s="65"/>
      <c r="C97" s="65"/>
      <c r="D97" s="112"/>
      <c r="E97" s="30"/>
      <c r="F97" s="30"/>
      <c r="G97" s="30"/>
      <c r="H97" s="66"/>
      <c r="I97" s="30"/>
      <c r="J97" s="30"/>
      <c r="K97" s="12"/>
      <c r="L97" s="12"/>
    </row>
    <row r="98" spans="1:12">
      <c r="A98" s="30"/>
      <c r="B98" s="65"/>
      <c r="C98" s="65"/>
      <c r="D98" s="112"/>
      <c r="E98" s="30"/>
      <c r="F98" s="30"/>
      <c r="G98" s="30"/>
      <c r="H98" s="66"/>
      <c r="I98" s="30"/>
      <c r="J98" s="30"/>
      <c r="K98" s="12"/>
      <c r="L98" s="12"/>
    </row>
    <row r="99" spans="1:12">
      <c r="A99" s="30"/>
      <c r="B99" s="65"/>
      <c r="C99" s="65"/>
      <c r="D99" s="112"/>
      <c r="E99" s="30"/>
      <c r="F99" s="30"/>
      <c r="G99" s="30"/>
      <c r="H99" s="66"/>
      <c r="I99" s="30"/>
      <c r="J99" s="30"/>
      <c r="K99" s="12"/>
      <c r="L99" s="12"/>
    </row>
    <row r="100" spans="1:12">
      <c r="A100" s="30"/>
      <c r="B100" s="65"/>
      <c r="C100" s="65"/>
      <c r="D100" s="112"/>
      <c r="E100" s="30"/>
      <c r="F100" s="30"/>
      <c r="G100" s="30"/>
      <c r="H100" s="66"/>
      <c r="I100" s="30"/>
      <c r="J100" s="30"/>
      <c r="K100" s="12"/>
      <c r="L100" s="12"/>
    </row>
    <row r="101" spans="1:12">
      <c r="A101" s="30"/>
      <c r="B101" s="65"/>
      <c r="C101" s="65"/>
      <c r="D101" s="112"/>
      <c r="E101" s="30"/>
      <c r="F101" s="30"/>
      <c r="G101" s="30"/>
      <c r="H101" s="66"/>
      <c r="I101" s="30"/>
      <c r="J101" s="30"/>
      <c r="K101" s="12"/>
      <c r="L101" s="12"/>
    </row>
    <row r="102" spans="1:12">
      <c r="A102" s="30"/>
      <c r="B102" s="65"/>
      <c r="C102" s="65"/>
      <c r="D102" s="112"/>
      <c r="E102" s="30"/>
      <c r="F102" s="30"/>
      <c r="G102" s="30"/>
      <c r="H102" s="66"/>
      <c r="I102" s="30"/>
      <c r="J102" s="30"/>
      <c r="K102" s="12"/>
      <c r="L102" s="12"/>
    </row>
    <row r="103" spans="1:12">
      <c r="A103" s="30"/>
      <c r="B103" s="65"/>
      <c r="C103" s="65"/>
      <c r="D103" s="112"/>
      <c r="E103" s="30"/>
      <c r="F103" s="30"/>
      <c r="G103" s="30"/>
      <c r="H103" s="66"/>
      <c r="I103" s="30"/>
      <c r="J103" s="30"/>
      <c r="K103" s="12"/>
      <c r="L103" s="12"/>
    </row>
    <row r="104" spans="1:12">
      <c r="A104" s="30"/>
      <c r="B104" s="65"/>
      <c r="C104" s="65"/>
      <c r="D104" s="112"/>
      <c r="E104" s="30"/>
      <c r="F104" s="30"/>
      <c r="G104" s="30"/>
      <c r="H104" s="66"/>
      <c r="I104" s="30"/>
      <c r="J104" s="30"/>
      <c r="K104" s="12"/>
      <c r="L104" s="12"/>
    </row>
    <row r="105" spans="1:12">
      <c r="A105" s="30"/>
      <c r="B105" s="65"/>
      <c r="C105" s="65"/>
      <c r="D105" s="112"/>
      <c r="E105" s="30"/>
      <c r="F105" s="30"/>
      <c r="G105" s="30"/>
      <c r="H105" s="66"/>
      <c r="I105" s="30"/>
      <c r="J105" s="30"/>
      <c r="K105" s="12"/>
      <c r="L105" s="12"/>
    </row>
    <row r="106" spans="1:12">
      <c r="A106" s="30"/>
      <c r="B106" s="65"/>
      <c r="C106" s="65"/>
      <c r="D106" s="112"/>
      <c r="E106" s="30"/>
      <c r="F106" s="30"/>
      <c r="G106" s="30"/>
      <c r="H106" s="66"/>
      <c r="I106" s="30"/>
      <c r="J106" s="30"/>
      <c r="K106" s="12"/>
      <c r="L106" s="12"/>
    </row>
    <row r="107" spans="1:12">
      <c r="A107" s="30"/>
      <c r="B107" s="65"/>
      <c r="C107" s="65"/>
      <c r="D107" s="112"/>
      <c r="E107" s="30"/>
      <c r="F107" s="30"/>
      <c r="G107" s="30"/>
      <c r="H107" s="66"/>
      <c r="I107" s="30"/>
      <c r="J107" s="30"/>
      <c r="K107" s="12"/>
      <c r="L107" s="12"/>
    </row>
    <row r="108" spans="1:12">
      <c r="A108" s="30"/>
      <c r="B108" s="65"/>
      <c r="C108" s="65"/>
      <c r="D108" s="112"/>
      <c r="E108" s="30"/>
      <c r="F108" s="30"/>
      <c r="G108" s="30"/>
      <c r="H108" s="66"/>
      <c r="I108" s="30"/>
      <c r="J108" s="30"/>
      <c r="K108" s="12"/>
      <c r="L108" s="12"/>
    </row>
    <row r="109" spans="1:12">
      <c r="A109" s="30"/>
      <c r="B109" s="65"/>
      <c r="C109" s="65"/>
      <c r="D109" s="112"/>
      <c r="E109" s="30"/>
      <c r="F109" s="30"/>
      <c r="G109" s="30"/>
      <c r="H109" s="66"/>
      <c r="I109" s="30"/>
      <c r="J109" s="30"/>
      <c r="K109" s="12"/>
      <c r="L109" s="12"/>
    </row>
    <row r="110" spans="1:12">
      <c r="A110" s="30"/>
      <c r="B110" s="65"/>
      <c r="C110" s="65"/>
      <c r="D110" s="112"/>
      <c r="E110" s="30"/>
      <c r="F110" s="30"/>
      <c r="G110" s="30"/>
      <c r="H110" s="66"/>
      <c r="I110" s="30"/>
      <c r="J110" s="30"/>
      <c r="K110" s="12"/>
      <c r="L110" s="12"/>
    </row>
    <row r="111" spans="1:12">
      <c r="A111" s="30"/>
      <c r="B111" s="65"/>
      <c r="C111" s="65"/>
      <c r="D111" s="112"/>
      <c r="E111" s="30"/>
      <c r="F111" s="30"/>
      <c r="G111" s="30"/>
      <c r="H111" s="66"/>
      <c r="I111" s="30"/>
      <c r="J111" s="30"/>
      <c r="K111" s="12"/>
      <c r="L111" s="12"/>
    </row>
    <row r="112" spans="1:12">
      <c r="A112" s="30"/>
      <c r="B112" s="65"/>
      <c r="C112" s="65"/>
      <c r="D112" s="112"/>
      <c r="E112" s="30"/>
      <c r="F112" s="30"/>
      <c r="G112" s="30"/>
      <c r="H112" s="66"/>
      <c r="I112" s="30"/>
      <c r="J112" s="30"/>
      <c r="K112" s="12"/>
      <c r="L112" s="12"/>
    </row>
    <row r="113" spans="1:12">
      <c r="A113" s="30"/>
      <c r="B113" s="65"/>
      <c r="C113" s="65"/>
      <c r="D113" s="112"/>
      <c r="E113" s="30"/>
      <c r="F113" s="30"/>
      <c r="G113" s="30"/>
      <c r="H113" s="66"/>
      <c r="I113" s="30"/>
      <c r="J113" s="30"/>
      <c r="K113" s="12"/>
      <c r="L113" s="12"/>
    </row>
    <row r="114" spans="1:12">
      <c r="A114" s="30"/>
      <c r="B114" s="65"/>
      <c r="C114" s="65"/>
      <c r="D114" s="112"/>
      <c r="E114" s="30"/>
      <c r="F114" s="30"/>
      <c r="G114" s="30"/>
      <c r="H114" s="66"/>
      <c r="I114" s="30"/>
      <c r="J114" s="30"/>
      <c r="K114" s="12"/>
      <c r="L114" s="12"/>
    </row>
    <row r="115" spans="1:12">
      <c r="A115" s="30"/>
      <c r="B115" s="65"/>
      <c r="C115" s="65"/>
      <c r="D115" s="112"/>
      <c r="E115" s="30"/>
      <c r="F115" s="30"/>
      <c r="G115" s="30"/>
      <c r="H115" s="66"/>
      <c r="I115" s="30"/>
      <c r="J115" s="30"/>
      <c r="K115" s="12"/>
      <c r="L115" s="12"/>
    </row>
    <row r="116" spans="1:12">
      <c r="A116" s="30"/>
      <c r="B116" s="65"/>
      <c r="C116" s="65"/>
      <c r="D116" s="112"/>
      <c r="E116" s="30"/>
      <c r="F116" s="30"/>
      <c r="G116" s="30"/>
      <c r="H116" s="66"/>
      <c r="I116" s="30"/>
      <c r="J116" s="30"/>
      <c r="K116" s="12"/>
      <c r="L116" s="12"/>
    </row>
    <row r="117" spans="1:12">
      <c r="A117" s="30"/>
      <c r="B117" s="65"/>
      <c r="C117" s="65"/>
      <c r="D117" s="112"/>
      <c r="E117" s="30"/>
      <c r="F117" s="30"/>
      <c r="G117" s="30"/>
      <c r="H117" s="66"/>
      <c r="I117" s="30"/>
      <c r="J117" s="30"/>
      <c r="K117" s="12"/>
      <c r="L117" s="12"/>
    </row>
    <row r="118" spans="1:12">
      <c r="A118" s="30"/>
      <c r="B118" s="65"/>
      <c r="C118" s="65"/>
      <c r="D118" s="112"/>
      <c r="E118" s="30"/>
      <c r="F118" s="30"/>
      <c r="G118" s="30"/>
      <c r="H118" s="66"/>
      <c r="I118" s="30"/>
      <c r="J118" s="30"/>
      <c r="K118" s="12"/>
      <c r="L118" s="12"/>
    </row>
    <row r="119" spans="1:12">
      <c r="A119" s="30"/>
      <c r="B119" s="65"/>
      <c r="C119" s="65"/>
      <c r="D119" s="112"/>
      <c r="E119" s="30"/>
      <c r="F119" s="30"/>
      <c r="G119" s="30"/>
      <c r="H119" s="66"/>
      <c r="I119" s="30"/>
      <c r="J119" s="30"/>
      <c r="K119" s="12"/>
      <c r="L119" s="12"/>
    </row>
    <row r="120" spans="1:12">
      <c r="A120" s="30"/>
      <c r="B120" s="65"/>
      <c r="C120" s="65"/>
      <c r="D120" s="112"/>
      <c r="E120" s="30"/>
      <c r="F120" s="30"/>
      <c r="G120" s="30"/>
      <c r="H120" s="66"/>
      <c r="I120" s="30"/>
      <c r="J120" s="30"/>
      <c r="K120" s="12"/>
      <c r="L120" s="12"/>
    </row>
    <row r="121" spans="1:12">
      <c r="A121" s="30"/>
      <c r="B121" s="65"/>
      <c r="C121" s="65"/>
      <c r="D121" s="112"/>
      <c r="E121" s="30"/>
      <c r="F121" s="30"/>
      <c r="G121" s="30"/>
      <c r="H121" s="66"/>
      <c r="I121" s="30"/>
      <c r="J121" s="30"/>
      <c r="K121" s="12"/>
      <c r="L121" s="12"/>
    </row>
    <row r="122" spans="1:12">
      <c r="A122" s="30"/>
      <c r="B122" s="65"/>
      <c r="C122" s="65"/>
      <c r="D122" s="112"/>
      <c r="E122" s="30"/>
      <c r="F122" s="30"/>
      <c r="G122" s="30"/>
      <c r="H122" s="66"/>
      <c r="I122" s="30"/>
      <c r="J122" s="30"/>
      <c r="K122" s="12"/>
      <c r="L122" s="12"/>
    </row>
    <row r="123" spans="1:12">
      <c r="A123" s="30"/>
      <c r="B123" s="65"/>
      <c r="C123" s="65"/>
      <c r="D123" s="112"/>
      <c r="E123" s="30"/>
      <c r="F123" s="30"/>
      <c r="G123" s="30"/>
      <c r="H123" s="66"/>
      <c r="I123" s="30"/>
      <c r="J123" s="30"/>
      <c r="K123" s="12"/>
      <c r="L123" s="12"/>
    </row>
    <row r="124" spans="1:12">
      <c r="A124" s="30"/>
      <c r="B124" s="65"/>
      <c r="C124" s="65"/>
      <c r="D124" s="112"/>
      <c r="E124" s="30"/>
      <c r="F124" s="30"/>
      <c r="G124" s="30"/>
      <c r="H124" s="66"/>
      <c r="I124" s="30"/>
      <c r="J124" s="30"/>
      <c r="K124" s="12"/>
      <c r="L124" s="12"/>
    </row>
    <row r="125" spans="1:12">
      <c r="A125" s="30"/>
      <c r="B125" s="65"/>
      <c r="C125" s="65"/>
      <c r="D125" s="112"/>
      <c r="E125" s="30"/>
      <c r="F125" s="30"/>
      <c r="G125" s="30"/>
      <c r="H125" s="66"/>
      <c r="I125" s="30"/>
      <c r="J125" s="30"/>
      <c r="K125" s="12"/>
      <c r="L125" s="12"/>
    </row>
    <row r="126" spans="1:12">
      <c r="A126" s="30"/>
      <c r="B126" s="65"/>
      <c r="C126" s="65"/>
      <c r="D126" s="112"/>
      <c r="E126" s="30"/>
      <c r="F126" s="30"/>
      <c r="G126" s="30"/>
      <c r="H126" s="66"/>
      <c r="I126" s="30"/>
      <c r="J126" s="30"/>
      <c r="K126" s="12"/>
      <c r="L126" s="12"/>
    </row>
    <row r="127" spans="1:12">
      <c r="A127" s="30"/>
      <c r="B127" s="65"/>
      <c r="C127" s="65"/>
      <c r="D127" s="112"/>
      <c r="E127" s="30"/>
      <c r="F127" s="30"/>
      <c r="G127" s="30"/>
      <c r="H127" s="66"/>
      <c r="I127" s="30"/>
      <c r="J127" s="30"/>
      <c r="K127" s="12"/>
      <c r="L127" s="12"/>
    </row>
    <row r="128" spans="1:12">
      <c r="A128" s="30"/>
      <c r="B128" s="65"/>
      <c r="C128" s="65"/>
      <c r="D128" s="112"/>
      <c r="E128" s="30"/>
      <c r="F128" s="30"/>
      <c r="G128" s="30"/>
      <c r="H128" s="66"/>
      <c r="I128" s="30"/>
      <c r="J128" s="30"/>
      <c r="K128" s="12"/>
      <c r="L128" s="12"/>
    </row>
    <row r="129" spans="1:12">
      <c r="A129" s="30"/>
      <c r="B129" s="65"/>
      <c r="C129" s="65"/>
      <c r="D129" s="112"/>
      <c r="E129" s="30"/>
      <c r="F129" s="30"/>
      <c r="G129" s="30"/>
      <c r="H129" s="66"/>
      <c r="I129" s="30"/>
      <c r="J129" s="30"/>
      <c r="K129" s="12"/>
      <c r="L129" s="12"/>
    </row>
    <row r="130" spans="1:12">
      <c r="A130" s="30"/>
      <c r="B130" s="65"/>
      <c r="C130" s="65"/>
      <c r="D130" s="112"/>
      <c r="E130" s="30"/>
      <c r="F130" s="30"/>
      <c r="G130" s="30"/>
      <c r="H130" s="66"/>
      <c r="I130" s="30"/>
      <c r="J130" s="30"/>
      <c r="K130" s="12"/>
      <c r="L130" s="12"/>
    </row>
    <row r="131" spans="1:12">
      <c r="A131" s="30"/>
      <c r="B131" s="65"/>
      <c r="C131" s="65"/>
      <c r="D131" s="112"/>
      <c r="E131" s="30"/>
      <c r="F131" s="30"/>
      <c r="G131" s="30"/>
      <c r="H131" s="66"/>
      <c r="I131" s="30"/>
      <c r="J131" s="30"/>
      <c r="K131" s="12"/>
      <c r="L131" s="12"/>
    </row>
    <row r="132" spans="1:12">
      <c r="A132" s="30"/>
      <c r="B132" s="65"/>
      <c r="C132" s="65"/>
      <c r="D132" s="112"/>
      <c r="E132" s="30"/>
      <c r="F132" s="30"/>
      <c r="G132" s="30"/>
      <c r="H132" s="66"/>
      <c r="I132" s="30"/>
      <c r="J132" s="30"/>
      <c r="K132" s="12"/>
      <c r="L132" s="12"/>
    </row>
    <row r="133" spans="1:12">
      <c r="A133" s="30"/>
      <c r="B133" s="65"/>
      <c r="C133" s="65"/>
      <c r="D133" s="112"/>
      <c r="E133" s="30"/>
      <c r="F133" s="30"/>
      <c r="G133" s="30"/>
      <c r="H133" s="66"/>
      <c r="I133" s="30"/>
      <c r="J133" s="30"/>
      <c r="K133" s="12"/>
      <c r="L133" s="12"/>
    </row>
    <row r="134" spans="1:12">
      <c r="A134" s="30"/>
      <c r="B134" s="65"/>
      <c r="C134" s="65"/>
      <c r="D134" s="112"/>
      <c r="E134" s="30"/>
      <c r="F134" s="30"/>
      <c r="G134" s="30"/>
      <c r="H134" s="66"/>
      <c r="I134" s="30"/>
      <c r="J134" s="30"/>
      <c r="K134" s="12"/>
      <c r="L134" s="12"/>
    </row>
    <row r="135" spans="1:12">
      <c r="A135" s="30"/>
      <c r="B135" s="65"/>
      <c r="C135" s="65"/>
      <c r="D135" s="112"/>
      <c r="E135" s="30"/>
      <c r="F135" s="30"/>
      <c r="G135" s="30"/>
      <c r="H135" s="66"/>
      <c r="I135" s="30"/>
      <c r="J135" s="30"/>
      <c r="K135" s="12"/>
      <c r="L135" s="12"/>
    </row>
    <row r="136" spans="1:12">
      <c r="A136" s="30"/>
      <c r="B136" s="65"/>
      <c r="C136" s="65"/>
      <c r="D136" s="112"/>
      <c r="E136" s="30"/>
      <c r="F136" s="30"/>
      <c r="G136" s="30"/>
      <c r="H136" s="66"/>
      <c r="I136" s="30"/>
      <c r="J136" s="30"/>
      <c r="K136" s="12"/>
      <c r="L136" s="12"/>
    </row>
    <row r="137" spans="1:12">
      <c r="A137" s="30"/>
      <c r="B137" s="65"/>
      <c r="C137" s="65"/>
      <c r="D137" s="112"/>
      <c r="E137" s="30"/>
      <c r="F137" s="30"/>
      <c r="G137" s="30"/>
      <c r="H137" s="66"/>
      <c r="I137" s="30"/>
      <c r="J137" s="30"/>
      <c r="K137" s="12"/>
      <c r="L137" s="12"/>
    </row>
    <row r="138" spans="1:12">
      <c r="A138" s="30"/>
      <c r="B138" s="65"/>
      <c r="C138" s="65"/>
      <c r="D138" s="112"/>
      <c r="E138" s="30"/>
      <c r="F138" s="30"/>
      <c r="G138" s="30"/>
      <c r="H138" s="66"/>
      <c r="I138" s="30"/>
      <c r="J138" s="30"/>
      <c r="K138" s="12"/>
      <c r="L138" s="12"/>
    </row>
    <row r="139" spans="1:12">
      <c r="A139" s="30"/>
      <c r="B139" s="65"/>
      <c r="C139" s="65"/>
      <c r="D139" s="112"/>
      <c r="E139" s="30"/>
      <c r="F139" s="30"/>
      <c r="G139" s="30"/>
      <c r="H139" s="66"/>
      <c r="I139" s="30"/>
      <c r="J139" s="30"/>
      <c r="K139" s="12"/>
      <c r="L139" s="12"/>
    </row>
    <row r="140" spans="1:12">
      <c r="A140" s="30"/>
      <c r="B140" s="65"/>
      <c r="C140" s="65"/>
      <c r="D140" s="112"/>
      <c r="E140" s="30"/>
      <c r="F140" s="30"/>
      <c r="G140" s="30"/>
      <c r="H140" s="66"/>
      <c r="I140" s="30"/>
      <c r="J140" s="30"/>
      <c r="K140" s="12"/>
      <c r="L140" s="12"/>
    </row>
    <row r="141" spans="1:12">
      <c r="A141" s="30"/>
      <c r="B141" s="65"/>
      <c r="C141" s="65"/>
      <c r="D141" s="112"/>
      <c r="E141" s="30"/>
      <c r="F141" s="30"/>
      <c r="G141" s="30"/>
      <c r="H141" s="66"/>
      <c r="I141" s="30"/>
      <c r="J141" s="30"/>
      <c r="K141" s="12"/>
      <c r="L141" s="12"/>
    </row>
    <row r="142" spans="1:12">
      <c r="A142" s="30"/>
      <c r="B142" s="65"/>
      <c r="C142" s="65"/>
      <c r="D142" s="112"/>
      <c r="E142" s="30"/>
      <c r="F142" s="30"/>
      <c r="G142" s="30"/>
      <c r="H142" s="66"/>
      <c r="I142" s="30"/>
      <c r="J142" s="30"/>
      <c r="K142" s="12"/>
      <c r="L142" s="12"/>
    </row>
    <row r="143" spans="1:12">
      <c r="A143" s="30"/>
      <c r="B143" s="65"/>
      <c r="C143" s="65"/>
      <c r="D143" s="112"/>
      <c r="E143" s="30"/>
      <c r="F143" s="30"/>
      <c r="G143" s="30"/>
      <c r="H143" s="66"/>
      <c r="I143" s="30"/>
      <c r="J143" s="30"/>
      <c r="K143" s="12"/>
      <c r="L143" s="12"/>
    </row>
    <row r="144" spans="1:12">
      <c r="A144" s="30"/>
      <c r="B144" s="65"/>
      <c r="C144" s="65"/>
      <c r="D144" s="112"/>
      <c r="E144" s="30"/>
      <c r="F144" s="30"/>
      <c r="G144" s="30"/>
      <c r="H144" s="66"/>
      <c r="I144" s="30"/>
      <c r="J144" s="30"/>
      <c r="K144" s="12"/>
      <c r="L144" s="12"/>
    </row>
    <row r="145" spans="1:12">
      <c r="A145" s="30"/>
      <c r="B145" s="65"/>
      <c r="C145" s="65"/>
      <c r="D145" s="112"/>
      <c r="E145" s="30"/>
      <c r="F145" s="30"/>
      <c r="G145" s="30"/>
      <c r="H145" s="66"/>
      <c r="I145" s="30"/>
      <c r="J145" s="30"/>
      <c r="K145" s="12"/>
      <c r="L145" s="12"/>
    </row>
    <row r="146" spans="1:12">
      <c r="A146" s="30"/>
      <c r="B146" s="65"/>
      <c r="C146" s="65"/>
      <c r="D146" s="112"/>
      <c r="E146" s="30"/>
      <c r="F146" s="30"/>
      <c r="G146" s="30"/>
      <c r="H146" s="66"/>
      <c r="I146" s="30"/>
      <c r="J146" s="30"/>
      <c r="K146" s="12"/>
      <c r="L146" s="12"/>
    </row>
    <row r="147" spans="1:12">
      <c r="A147" s="30"/>
      <c r="B147" s="65"/>
      <c r="C147" s="65"/>
      <c r="D147" s="112"/>
      <c r="E147" s="30"/>
      <c r="F147" s="30"/>
      <c r="G147" s="30"/>
      <c r="H147" s="66"/>
      <c r="I147" s="30"/>
      <c r="J147" s="30"/>
      <c r="K147" s="12"/>
      <c r="L147" s="12"/>
    </row>
    <row r="148" spans="1:12">
      <c r="A148" s="30"/>
      <c r="B148" s="65"/>
      <c r="C148" s="65"/>
      <c r="D148" s="112"/>
      <c r="E148" s="30"/>
      <c r="F148" s="30"/>
      <c r="G148" s="30"/>
      <c r="H148" s="66"/>
      <c r="I148" s="30"/>
      <c r="J148" s="30"/>
      <c r="K148" s="12"/>
      <c r="L148" s="12"/>
    </row>
    <row r="149" spans="1:12">
      <c r="A149" s="30"/>
      <c r="B149" s="65"/>
      <c r="C149" s="65"/>
      <c r="D149" s="112"/>
      <c r="E149" s="30"/>
      <c r="F149" s="30"/>
      <c r="G149" s="30"/>
      <c r="H149" s="66"/>
      <c r="I149" s="30"/>
      <c r="J149" s="30"/>
      <c r="K149" s="12"/>
      <c r="L149" s="12"/>
    </row>
    <row r="150" spans="1:12">
      <c r="A150" s="30"/>
      <c r="B150" s="65"/>
      <c r="C150" s="65"/>
      <c r="D150" s="112"/>
      <c r="E150" s="30"/>
      <c r="F150" s="30"/>
      <c r="G150" s="30"/>
      <c r="H150" s="66"/>
      <c r="I150" s="30"/>
      <c r="J150" s="30"/>
      <c r="K150" s="12"/>
      <c r="L150" s="12"/>
    </row>
    <row r="151" spans="1:12">
      <c r="A151" s="30"/>
      <c r="B151" s="65"/>
      <c r="C151" s="65"/>
      <c r="D151" s="112"/>
      <c r="E151" s="30"/>
      <c r="F151" s="30"/>
      <c r="G151" s="30"/>
      <c r="H151" s="66"/>
      <c r="I151" s="30"/>
      <c r="J151" s="30"/>
      <c r="K151" s="12"/>
      <c r="L151" s="12"/>
    </row>
    <row r="152" spans="1:12">
      <c r="A152" s="30"/>
      <c r="B152" s="65"/>
      <c r="C152" s="65"/>
      <c r="D152" s="112"/>
      <c r="E152" s="30"/>
      <c r="F152" s="30"/>
      <c r="G152" s="30"/>
      <c r="H152" s="66"/>
      <c r="I152" s="30"/>
      <c r="J152" s="30"/>
      <c r="K152" s="12"/>
      <c r="L152" s="12"/>
    </row>
    <row r="153" spans="1:12">
      <c r="A153" s="30"/>
      <c r="B153" s="65"/>
      <c r="C153" s="65"/>
      <c r="D153" s="112"/>
      <c r="E153" s="30"/>
      <c r="F153" s="30"/>
      <c r="G153" s="30"/>
      <c r="H153" s="66"/>
      <c r="I153" s="30"/>
      <c r="J153" s="30"/>
      <c r="K153" s="12"/>
      <c r="L153" s="12"/>
    </row>
    <row r="154" spans="1:12">
      <c r="A154" s="30"/>
      <c r="B154" s="65"/>
      <c r="C154" s="65"/>
      <c r="D154" s="112"/>
      <c r="E154" s="30"/>
      <c r="F154" s="30"/>
      <c r="G154" s="30"/>
      <c r="H154" s="66"/>
      <c r="I154" s="30"/>
      <c r="J154" s="30"/>
      <c r="K154" s="12"/>
      <c r="L154" s="12"/>
    </row>
    <row r="155" spans="1:12">
      <c r="A155" s="30"/>
      <c r="B155" s="65"/>
      <c r="C155" s="65"/>
      <c r="D155" s="112"/>
      <c r="E155" s="30"/>
      <c r="F155" s="30"/>
      <c r="G155" s="30"/>
      <c r="H155" s="66"/>
      <c r="I155" s="30"/>
      <c r="J155" s="30"/>
      <c r="K155" s="12"/>
      <c r="L155" s="12"/>
    </row>
    <row r="156" spans="1:12">
      <c r="A156" s="30"/>
      <c r="B156" s="65"/>
      <c r="C156" s="65"/>
      <c r="D156" s="112"/>
      <c r="E156" s="30"/>
      <c r="F156" s="30"/>
      <c r="G156" s="30"/>
      <c r="H156" s="66"/>
      <c r="I156" s="30"/>
      <c r="J156" s="30"/>
      <c r="K156" s="12"/>
      <c r="L156" s="12"/>
    </row>
    <row r="157" spans="1:12">
      <c r="A157" s="30"/>
      <c r="B157" s="65"/>
      <c r="C157" s="65"/>
      <c r="D157" s="112"/>
      <c r="E157" s="30"/>
      <c r="F157" s="30"/>
      <c r="G157" s="30"/>
      <c r="H157" s="66"/>
      <c r="I157" s="30"/>
      <c r="J157" s="30"/>
      <c r="K157" s="12"/>
      <c r="L157" s="12"/>
    </row>
    <row r="158" spans="1:12">
      <c r="A158" s="30"/>
      <c r="B158" s="65"/>
      <c r="C158" s="65"/>
      <c r="D158" s="112"/>
      <c r="E158" s="30"/>
      <c r="F158" s="30"/>
      <c r="G158" s="30"/>
      <c r="H158" s="66"/>
      <c r="I158" s="30"/>
      <c r="J158" s="30"/>
      <c r="K158" s="12"/>
      <c r="L158" s="12"/>
    </row>
    <row r="159" spans="1:12">
      <c r="A159" s="30"/>
      <c r="B159" s="65"/>
      <c r="C159" s="65"/>
      <c r="D159" s="112"/>
      <c r="E159" s="30"/>
      <c r="F159" s="30"/>
      <c r="G159" s="30"/>
      <c r="H159" s="66"/>
      <c r="I159" s="30"/>
      <c r="J159" s="30"/>
      <c r="K159" s="12"/>
      <c r="L159" s="12"/>
    </row>
    <row r="160" spans="1:12">
      <c r="A160" s="30"/>
      <c r="B160" s="65"/>
      <c r="C160" s="65"/>
      <c r="D160" s="112"/>
      <c r="E160" s="30"/>
      <c r="F160" s="30"/>
      <c r="G160" s="30"/>
      <c r="H160" s="66"/>
      <c r="I160" s="30"/>
      <c r="J160" s="30"/>
      <c r="K160" s="12"/>
      <c r="L160" s="12"/>
    </row>
    <row r="161" spans="1:12">
      <c r="A161" s="30"/>
      <c r="B161" s="65"/>
      <c r="C161" s="65"/>
      <c r="D161" s="112"/>
      <c r="E161" s="30"/>
      <c r="F161" s="30"/>
      <c r="G161" s="30"/>
      <c r="H161" s="66"/>
      <c r="I161" s="30"/>
      <c r="J161" s="30"/>
      <c r="K161" s="12"/>
      <c r="L161" s="12"/>
    </row>
    <row r="162" spans="1:12">
      <c r="A162" s="30"/>
      <c r="B162" s="65"/>
      <c r="C162" s="65"/>
      <c r="D162" s="112"/>
      <c r="E162" s="30"/>
      <c r="F162" s="30"/>
      <c r="G162" s="30"/>
      <c r="H162" s="66"/>
      <c r="I162" s="30"/>
      <c r="J162" s="30"/>
      <c r="K162" s="12"/>
      <c r="L162" s="12"/>
    </row>
    <row r="163" spans="1:12">
      <c r="A163" s="30"/>
      <c r="B163" s="65"/>
      <c r="C163" s="65"/>
      <c r="D163" s="112"/>
      <c r="E163" s="30"/>
      <c r="F163" s="30"/>
      <c r="G163" s="30"/>
      <c r="H163" s="66"/>
      <c r="I163" s="30"/>
      <c r="J163" s="30"/>
      <c r="K163" s="12"/>
      <c r="L163" s="12"/>
    </row>
    <row r="164" spans="1:12">
      <c r="A164" s="30"/>
      <c r="B164" s="65"/>
      <c r="C164" s="65"/>
      <c r="D164" s="112"/>
      <c r="E164" s="30"/>
      <c r="F164" s="30"/>
      <c r="G164" s="30"/>
      <c r="H164" s="66"/>
      <c r="I164" s="30"/>
      <c r="J164" s="30"/>
      <c r="K164" s="12"/>
      <c r="L164" s="12"/>
    </row>
    <row r="165" spans="1:12">
      <c r="A165" s="30"/>
      <c r="B165" s="65"/>
      <c r="C165" s="65"/>
      <c r="D165" s="112"/>
      <c r="E165" s="30"/>
      <c r="F165" s="30"/>
      <c r="G165" s="30"/>
      <c r="H165" s="66"/>
      <c r="I165" s="30"/>
      <c r="J165" s="30"/>
      <c r="K165" s="12"/>
      <c r="L165" s="12"/>
    </row>
    <row r="166" spans="1:12">
      <c r="A166" s="30"/>
      <c r="B166" s="65"/>
      <c r="C166" s="65"/>
      <c r="D166" s="112"/>
      <c r="E166" s="30"/>
      <c r="F166" s="30"/>
      <c r="G166" s="30"/>
      <c r="H166" s="66"/>
      <c r="I166" s="30"/>
      <c r="J166" s="30"/>
      <c r="K166" s="12"/>
      <c r="L166" s="12"/>
    </row>
    <row r="167" spans="1:12">
      <c r="A167" s="30"/>
      <c r="B167" s="65"/>
      <c r="C167" s="65"/>
      <c r="D167" s="112"/>
      <c r="E167" s="30"/>
      <c r="F167" s="30"/>
      <c r="G167" s="30"/>
      <c r="H167" s="66"/>
      <c r="I167" s="30"/>
      <c r="J167" s="30"/>
      <c r="K167" s="12"/>
      <c r="L167" s="12"/>
    </row>
    <row r="168" spans="1:12">
      <c r="A168" s="30"/>
      <c r="B168" s="65"/>
      <c r="C168" s="65"/>
      <c r="D168" s="112"/>
      <c r="E168" s="30"/>
      <c r="F168" s="30"/>
      <c r="G168" s="30"/>
      <c r="H168" s="66"/>
      <c r="I168" s="30"/>
      <c r="J168" s="30"/>
      <c r="K168" s="12"/>
      <c r="L168" s="12"/>
    </row>
    <row r="169" spans="1:12">
      <c r="A169" s="30"/>
      <c r="B169" s="65"/>
      <c r="C169" s="65"/>
      <c r="D169" s="112"/>
      <c r="E169" s="30"/>
      <c r="F169" s="30"/>
      <c r="G169" s="30"/>
      <c r="H169" s="66"/>
      <c r="I169" s="30"/>
      <c r="J169" s="30"/>
      <c r="K169" s="12"/>
      <c r="L169" s="12"/>
    </row>
    <row r="170" spans="1:12">
      <c r="A170" s="30"/>
      <c r="B170" s="65"/>
      <c r="C170" s="65"/>
      <c r="D170" s="112"/>
      <c r="E170" s="30"/>
      <c r="F170" s="30"/>
      <c r="G170" s="30"/>
      <c r="H170" s="66"/>
      <c r="I170" s="30"/>
      <c r="J170" s="30"/>
      <c r="K170" s="12"/>
      <c r="L170" s="12"/>
    </row>
    <row r="171" spans="1:12">
      <c r="A171" s="30"/>
      <c r="B171" s="65"/>
      <c r="C171" s="65"/>
      <c r="D171" s="112"/>
      <c r="E171" s="30"/>
      <c r="F171" s="30"/>
      <c r="G171" s="30"/>
      <c r="H171" s="66"/>
      <c r="I171" s="30"/>
      <c r="J171" s="30"/>
      <c r="K171" s="12"/>
      <c r="L171" s="12"/>
    </row>
    <row r="172" spans="1:12">
      <c r="A172" s="30"/>
      <c r="B172" s="65"/>
      <c r="C172" s="65"/>
      <c r="D172" s="112"/>
      <c r="E172" s="30"/>
      <c r="F172" s="30"/>
      <c r="G172" s="30"/>
      <c r="H172" s="66"/>
      <c r="I172" s="30"/>
      <c r="J172" s="30"/>
      <c r="K172" s="12"/>
      <c r="L172" s="12"/>
    </row>
    <row r="173" spans="1:12">
      <c r="A173" s="30"/>
      <c r="B173" s="65"/>
      <c r="C173" s="65"/>
      <c r="D173" s="112"/>
      <c r="E173" s="30"/>
      <c r="F173" s="30"/>
      <c r="G173" s="30"/>
      <c r="H173" s="66"/>
      <c r="I173" s="30"/>
      <c r="J173" s="30"/>
      <c r="K173" s="12"/>
      <c r="L173" s="12"/>
    </row>
    <row r="174" spans="1:12">
      <c r="A174" s="30"/>
      <c r="B174" s="65"/>
      <c r="C174" s="65"/>
      <c r="D174" s="112"/>
      <c r="E174" s="30"/>
      <c r="F174" s="30"/>
      <c r="G174" s="30"/>
      <c r="H174" s="66"/>
      <c r="I174" s="30"/>
      <c r="J174" s="30"/>
      <c r="K174" s="12"/>
      <c r="L174" s="12"/>
    </row>
    <row r="175" spans="1:12">
      <c r="A175" s="30"/>
      <c r="B175" s="65"/>
      <c r="C175" s="65"/>
      <c r="D175" s="112"/>
      <c r="E175" s="30"/>
      <c r="F175" s="30"/>
      <c r="G175" s="30"/>
      <c r="H175" s="66"/>
      <c r="I175" s="30"/>
      <c r="J175" s="30"/>
      <c r="K175" s="12"/>
      <c r="L175" s="12"/>
    </row>
    <row r="176" spans="1:12">
      <c r="A176" s="30"/>
      <c r="B176" s="65"/>
      <c r="C176" s="65"/>
      <c r="D176" s="112"/>
      <c r="E176" s="30"/>
      <c r="F176" s="30"/>
      <c r="G176" s="30"/>
      <c r="H176" s="66"/>
      <c r="I176" s="30"/>
      <c r="J176" s="30"/>
      <c r="K176" s="12"/>
      <c r="L176" s="12"/>
    </row>
    <row r="177" spans="1:12">
      <c r="A177" s="30"/>
      <c r="B177" s="65"/>
      <c r="C177" s="65"/>
      <c r="D177" s="112"/>
      <c r="E177" s="30"/>
      <c r="F177" s="30"/>
      <c r="G177" s="30"/>
      <c r="H177" s="66"/>
      <c r="I177" s="30"/>
      <c r="J177" s="30"/>
      <c r="K177" s="12"/>
      <c r="L177" s="12"/>
    </row>
    <row r="178" spans="1:12">
      <c r="A178" s="30"/>
      <c r="B178" s="65"/>
      <c r="C178" s="65"/>
      <c r="D178" s="112"/>
      <c r="E178" s="30"/>
      <c r="F178" s="30"/>
      <c r="G178" s="30"/>
      <c r="H178" s="66"/>
      <c r="I178" s="30"/>
      <c r="J178" s="30"/>
      <c r="K178" s="12"/>
      <c r="L178" s="12"/>
    </row>
    <row r="179" spans="1:12">
      <c r="A179" s="30"/>
      <c r="B179" s="65"/>
      <c r="C179" s="65"/>
      <c r="D179" s="112"/>
      <c r="E179" s="30"/>
      <c r="F179" s="30"/>
      <c r="G179" s="30"/>
      <c r="H179" s="66"/>
      <c r="I179" s="30"/>
      <c r="J179" s="30"/>
      <c r="K179" s="12"/>
      <c r="L179" s="12"/>
    </row>
    <row r="180" spans="1:12">
      <c r="A180" s="30"/>
      <c r="B180" s="65"/>
      <c r="C180" s="65"/>
      <c r="D180" s="112"/>
      <c r="E180" s="30"/>
      <c r="F180" s="30"/>
      <c r="G180" s="30"/>
      <c r="H180" s="66"/>
      <c r="I180" s="30"/>
      <c r="J180" s="30"/>
      <c r="K180" s="12"/>
      <c r="L180" s="12"/>
    </row>
    <row r="181" spans="1:12">
      <c r="A181" s="30"/>
      <c r="B181" s="65"/>
      <c r="C181" s="65"/>
      <c r="D181" s="112"/>
      <c r="E181" s="30"/>
      <c r="F181" s="30"/>
      <c r="G181" s="30"/>
      <c r="H181" s="66"/>
      <c r="I181" s="30"/>
      <c r="J181" s="30"/>
      <c r="K181" s="12"/>
      <c r="L181" s="12"/>
    </row>
    <row r="182" spans="1:12">
      <c r="A182" s="30"/>
      <c r="B182" s="65"/>
      <c r="C182" s="65"/>
      <c r="D182" s="112"/>
      <c r="E182" s="30"/>
      <c r="F182" s="30"/>
      <c r="G182" s="30"/>
      <c r="H182" s="66"/>
      <c r="I182" s="30"/>
      <c r="J182" s="30"/>
      <c r="K182" s="12"/>
      <c r="L182" s="12"/>
    </row>
    <row r="183" spans="1:12">
      <c r="A183" s="30"/>
      <c r="B183" s="65"/>
      <c r="C183" s="65"/>
      <c r="D183" s="112"/>
      <c r="E183" s="30"/>
      <c r="F183" s="30"/>
      <c r="G183" s="30"/>
      <c r="H183" s="66"/>
      <c r="I183" s="30"/>
      <c r="J183" s="30"/>
      <c r="K183" s="12"/>
      <c r="L183" s="12"/>
    </row>
    <row r="184" spans="1:12">
      <c r="A184" s="30"/>
      <c r="B184" s="65"/>
      <c r="C184" s="65"/>
      <c r="D184" s="112"/>
      <c r="E184" s="30"/>
      <c r="F184" s="30"/>
      <c r="G184" s="30"/>
      <c r="H184" s="66"/>
      <c r="I184" s="30"/>
      <c r="J184" s="30"/>
      <c r="K184" s="12"/>
      <c r="L184" s="12"/>
    </row>
    <row r="185" spans="1:12">
      <c r="A185" s="30"/>
      <c r="B185" s="65"/>
      <c r="C185" s="65"/>
      <c r="D185" s="112"/>
      <c r="E185" s="30"/>
      <c r="F185" s="30"/>
      <c r="G185" s="30"/>
      <c r="H185" s="66"/>
      <c r="I185" s="30"/>
      <c r="J185" s="30"/>
      <c r="K185" s="12"/>
      <c r="L185" s="12"/>
    </row>
    <row r="186" spans="1:12">
      <c r="A186" s="30"/>
      <c r="B186" s="65"/>
      <c r="C186" s="65"/>
      <c r="D186" s="112"/>
      <c r="E186" s="30"/>
      <c r="F186" s="30"/>
      <c r="G186" s="30"/>
      <c r="H186" s="66"/>
      <c r="I186" s="30"/>
      <c r="J186" s="30"/>
      <c r="K186" s="12"/>
      <c r="L186" s="12"/>
    </row>
    <row r="187" spans="1:12">
      <c r="A187" s="30"/>
      <c r="B187" s="65"/>
      <c r="C187" s="65"/>
      <c r="D187" s="112"/>
      <c r="E187" s="30"/>
      <c r="F187" s="30"/>
      <c r="G187" s="30"/>
      <c r="H187" s="66"/>
      <c r="I187" s="30"/>
      <c r="J187" s="30"/>
      <c r="K187" s="12"/>
      <c r="L187" s="12"/>
    </row>
    <row r="188" spans="1:12">
      <c r="A188" s="30"/>
      <c r="B188" s="65"/>
      <c r="C188" s="65"/>
      <c r="D188" s="112"/>
      <c r="E188" s="30"/>
      <c r="F188" s="30"/>
      <c r="G188" s="30"/>
      <c r="H188" s="66"/>
      <c r="I188" s="30"/>
      <c r="J188" s="30"/>
      <c r="K188" s="12"/>
      <c r="L188" s="12"/>
    </row>
    <row r="189" spans="1:12">
      <c r="A189" s="30"/>
      <c r="B189" s="65"/>
      <c r="C189" s="65"/>
      <c r="D189" s="112"/>
      <c r="E189" s="30"/>
      <c r="F189" s="30"/>
      <c r="G189" s="30"/>
      <c r="H189" s="66"/>
      <c r="I189" s="30"/>
      <c r="J189" s="30"/>
      <c r="K189" s="12"/>
      <c r="L189" s="12"/>
    </row>
    <row r="190" spans="1:12">
      <c r="A190" s="30"/>
      <c r="B190" s="65"/>
      <c r="C190" s="65"/>
      <c r="D190" s="112"/>
      <c r="E190" s="30"/>
      <c r="F190" s="30"/>
      <c r="G190" s="30"/>
      <c r="H190" s="66"/>
      <c r="I190" s="30"/>
      <c r="J190" s="30"/>
      <c r="K190" s="12"/>
      <c r="L190" s="12"/>
    </row>
    <row r="191" spans="1:12">
      <c r="A191" s="30"/>
      <c r="B191" s="65"/>
      <c r="C191" s="65"/>
      <c r="D191" s="112"/>
      <c r="E191" s="30"/>
      <c r="F191" s="30"/>
      <c r="G191" s="30"/>
      <c r="H191" s="66"/>
      <c r="I191" s="30"/>
      <c r="J191" s="30"/>
      <c r="K191" s="12"/>
      <c r="L191" s="12"/>
    </row>
    <row r="192" spans="1:12">
      <c r="A192" s="30"/>
      <c r="B192" s="65"/>
      <c r="C192" s="65"/>
      <c r="D192" s="112"/>
      <c r="E192" s="30"/>
      <c r="F192" s="30"/>
      <c r="G192" s="30"/>
      <c r="H192" s="66"/>
      <c r="I192" s="30"/>
      <c r="J192" s="30"/>
      <c r="K192" s="12"/>
      <c r="L192" s="12"/>
    </row>
    <row r="193" spans="1:12">
      <c r="A193" s="30"/>
      <c r="B193" s="65"/>
      <c r="C193" s="65"/>
      <c r="D193" s="112"/>
      <c r="E193" s="30"/>
      <c r="F193" s="30"/>
      <c r="G193" s="30"/>
      <c r="H193" s="66"/>
      <c r="I193" s="30"/>
      <c r="J193" s="30"/>
      <c r="K193" s="12"/>
      <c r="L193" s="12"/>
    </row>
    <row r="194" spans="1:12">
      <c r="A194" s="30"/>
      <c r="B194" s="65"/>
      <c r="C194" s="65"/>
      <c r="D194" s="112"/>
      <c r="E194" s="30"/>
      <c r="F194" s="30"/>
      <c r="G194" s="30"/>
      <c r="H194" s="66"/>
      <c r="I194" s="30"/>
      <c r="J194" s="30"/>
      <c r="K194" s="12"/>
      <c r="L194" s="12"/>
    </row>
    <row r="195" spans="1:12">
      <c r="A195" s="30"/>
      <c r="B195" s="65"/>
      <c r="C195" s="65"/>
      <c r="D195" s="112"/>
      <c r="E195" s="30"/>
      <c r="F195" s="30"/>
      <c r="G195" s="30"/>
      <c r="H195" s="66"/>
      <c r="I195" s="30"/>
      <c r="J195" s="30"/>
      <c r="K195" s="12"/>
      <c r="L195" s="12"/>
    </row>
    <row r="196" spans="1:12">
      <c r="A196" s="30"/>
      <c r="B196" s="65"/>
      <c r="C196" s="65"/>
      <c r="D196" s="112"/>
      <c r="E196" s="30"/>
      <c r="F196" s="30"/>
      <c r="G196" s="30"/>
      <c r="H196" s="66"/>
      <c r="I196" s="30"/>
      <c r="J196" s="30"/>
      <c r="K196" s="12"/>
      <c r="L196" s="12"/>
    </row>
    <row r="197" spans="1:12">
      <c r="A197" s="30"/>
      <c r="B197" s="65"/>
      <c r="C197" s="65"/>
      <c r="D197" s="112"/>
      <c r="E197" s="30"/>
      <c r="F197" s="30"/>
      <c r="G197" s="30"/>
      <c r="H197" s="66"/>
      <c r="I197" s="30"/>
      <c r="J197" s="30"/>
      <c r="K197" s="12"/>
      <c r="L197" s="12"/>
    </row>
    <row r="198" spans="1:12">
      <c r="A198" s="30"/>
      <c r="B198" s="65"/>
      <c r="C198" s="65"/>
      <c r="D198" s="112"/>
      <c r="E198" s="30"/>
      <c r="F198" s="30"/>
      <c r="G198" s="30"/>
      <c r="H198" s="66"/>
      <c r="I198" s="30"/>
      <c r="J198" s="30"/>
      <c r="K198" s="12"/>
      <c r="L198" s="12"/>
    </row>
    <row r="199" spans="1:12">
      <c r="A199" s="30"/>
      <c r="B199" s="65"/>
      <c r="C199" s="65"/>
      <c r="D199" s="112"/>
      <c r="E199" s="30"/>
      <c r="F199" s="30"/>
      <c r="G199" s="30"/>
      <c r="H199" s="66"/>
      <c r="I199" s="30"/>
      <c r="J199" s="30"/>
      <c r="K199" s="12"/>
      <c r="L199" s="12"/>
    </row>
    <row r="200" spans="1:12">
      <c r="A200" s="30"/>
      <c r="B200" s="65"/>
      <c r="C200" s="65"/>
      <c r="D200" s="112"/>
      <c r="E200" s="30"/>
      <c r="F200" s="30"/>
      <c r="G200" s="30"/>
      <c r="H200" s="66"/>
      <c r="I200" s="30"/>
      <c r="J200" s="30"/>
      <c r="K200" s="12"/>
      <c r="L200" s="12"/>
    </row>
    <row r="201" spans="1:12">
      <c r="A201" s="30"/>
      <c r="B201" s="65"/>
      <c r="C201" s="65"/>
      <c r="D201" s="112"/>
      <c r="E201" s="30"/>
      <c r="F201" s="30"/>
      <c r="G201" s="30"/>
      <c r="H201" s="66"/>
      <c r="I201" s="30"/>
      <c r="J201" s="30"/>
      <c r="K201" s="12"/>
      <c r="L201" s="12"/>
    </row>
    <row r="202" spans="1:12">
      <c r="A202" s="30"/>
      <c r="B202" s="65"/>
      <c r="C202" s="65"/>
      <c r="D202" s="112"/>
      <c r="E202" s="30"/>
      <c r="F202" s="30"/>
      <c r="G202" s="30"/>
      <c r="H202" s="66"/>
      <c r="I202" s="30"/>
      <c r="J202" s="30"/>
      <c r="K202" s="12"/>
      <c r="L202" s="12"/>
    </row>
    <row r="203" spans="1:12">
      <c r="A203" s="30"/>
      <c r="B203" s="65"/>
      <c r="C203" s="65"/>
      <c r="D203" s="112"/>
      <c r="E203" s="30"/>
      <c r="F203" s="30"/>
      <c r="G203" s="30"/>
      <c r="H203" s="66"/>
      <c r="I203" s="30"/>
      <c r="J203" s="30"/>
      <c r="K203" s="12"/>
      <c r="L203" s="12"/>
    </row>
    <row r="204" spans="1:12">
      <c r="A204" s="30"/>
      <c r="B204" s="65"/>
      <c r="C204" s="65"/>
      <c r="D204" s="112"/>
      <c r="E204" s="30"/>
      <c r="F204" s="30"/>
      <c r="G204" s="30"/>
      <c r="H204" s="66"/>
      <c r="I204" s="30"/>
      <c r="J204" s="30"/>
      <c r="K204" s="12"/>
      <c r="L204" s="12"/>
    </row>
    <row r="205" spans="1:12">
      <c r="A205" s="30"/>
      <c r="B205" s="65"/>
      <c r="C205" s="65"/>
      <c r="D205" s="112"/>
      <c r="E205" s="30"/>
      <c r="F205" s="30"/>
      <c r="G205" s="30"/>
      <c r="H205" s="66"/>
      <c r="I205" s="30"/>
      <c r="J205" s="30"/>
      <c r="K205" s="12"/>
      <c r="L205" s="12"/>
    </row>
    <row r="206" spans="1:12">
      <c r="A206" s="30"/>
      <c r="B206" s="65"/>
      <c r="C206" s="65"/>
      <c r="D206" s="112"/>
      <c r="E206" s="30"/>
      <c r="F206" s="30"/>
      <c r="G206" s="30"/>
      <c r="H206" s="66"/>
      <c r="I206" s="30"/>
      <c r="J206" s="30"/>
      <c r="K206" s="12"/>
      <c r="L206" s="12"/>
    </row>
    <row r="207" spans="1:12">
      <c r="A207" s="30"/>
      <c r="B207" s="65"/>
      <c r="C207" s="65"/>
      <c r="D207" s="112"/>
      <c r="E207" s="30"/>
      <c r="F207" s="30"/>
      <c r="G207" s="30"/>
      <c r="H207" s="66"/>
      <c r="I207" s="30"/>
      <c r="J207" s="30"/>
      <c r="K207" s="12"/>
      <c r="L207" s="12"/>
    </row>
    <row r="208" spans="1:12">
      <c r="A208" s="30"/>
      <c r="B208" s="65"/>
      <c r="C208" s="65"/>
      <c r="D208" s="112"/>
      <c r="E208" s="30"/>
      <c r="F208" s="30"/>
      <c r="G208" s="30"/>
      <c r="H208" s="66"/>
      <c r="I208" s="30"/>
      <c r="J208" s="30"/>
      <c r="K208" s="12"/>
      <c r="L208" s="12"/>
    </row>
    <row r="209" spans="1:12">
      <c r="A209" s="30"/>
      <c r="B209" s="65"/>
      <c r="C209" s="65"/>
      <c r="D209" s="112"/>
      <c r="E209" s="30"/>
      <c r="F209" s="30"/>
      <c r="G209" s="30"/>
      <c r="H209" s="66"/>
      <c r="I209" s="30"/>
      <c r="J209" s="30"/>
      <c r="K209" s="12"/>
      <c r="L209" s="12"/>
    </row>
    <row r="210" spans="1:12">
      <c r="A210" s="30"/>
      <c r="B210" s="65"/>
      <c r="C210" s="65"/>
      <c r="D210" s="112"/>
      <c r="E210" s="30"/>
      <c r="F210" s="30"/>
      <c r="G210" s="30"/>
      <c r="H210" s="66"/>
      <c r="I210" s="30"/>
      <c r="J210" s="30"/>
      <c r="K210" s="12"/>
      <c r="L210" s="12"/>
    </row>
    <row r="211" spans="1:12">
      <c r="A211" s="30"/>
      <c r="B211" s="65"/>
      <c r="C211" s="65"/>
      <c r="D211" s="112"/>
      <c r="E211" s="30"/>
      <c r="F211" s="30"/>
      <c r="G211" s="30"/>
      <c r="H211" s="66"/>
      <c r="I211" s="30"/>
      <c r="J211" s="30"/>
      <c r="K211" s="12"/>
      <c r="L211" s="12"/>
    </row>
    <row r="212" spans="1:12">
      <c r="A212" s="30"/>
      <c r="B212" s="65"/>
      <c r="C212" s="65"/>
      <c r="D212" s="112"/>
      <c r="E212" s="30"/>
      <c r="F212" s="30"/>
      <c r="G212" s="30"/>
      <c r="H212" s="66"/>
      <c r="I212" s="30"/>
      <c r="J212" s="30"/>
      <c r="K212" s="12"/>
      <c r="L212" s="12"/>
    </row>
    <row r="213" spans="1:12">
      <c r="A213" s="30"/>
      <c r="B213" s="65"/>
      <c r="C213" s="65"/>
      <c r="D213" s="112"/>
      <c r="E213" s="30"/>
      <c r="F213" s="30"/>
      <c r="G213" s="30"/>
      <c r="H213" s="66"/>
      <c r="I213" s="30"/>
      <c r="J213" s="30"/>
      <c r="K213" s="12"/>
      <c r="L213" s="12"/>
    </row>
    <row r="214" spans="1:12">
      <c r="A214" s="30"/>
      <c r="B214" s="65"/>
      <c r="C214" s="65"/>
      <c r="D214" s="112"/>
      <c r="E214" s="30"/>
      <c r="F214" s="30"/>
      <c r="G214" s="30"/>
      <c r="H214" s="66"/>
      <c r="I214" s="30"/>
      <c r="J214" s="30"/>
      <c r="K214" s="12"/>
      <c r="L214" s="12"/>
    </row>
    <row r="215" spans="1:12">
      <c r="A215" s="30"/>
      <c r="B215" s="65"/>
      <c r="C215" s="65"/>
      <c r="D215" s="112"/>
      <c r="E215" s="30"/>
      <c r="F215" s="30"/>
      <c r="G215" s="30"/>
      <c r="H215" s="66"/>
      <c r="I215" s="30"/>
      <c r="J215" s="30"/>
      <c r="K215" s="12"/>
      <c r="L215" s="12"/>
    </row>
    <row r="216" spans="1:12">
      <c r="A216" s="30"/>
      <c r="B216" s="65"/>
      <c r="C216" s="65"/>
      <c r="D216" s="112"/>
      <c r="E216" s="30"/>
      <c r="F216" s="30"/>
      <c r="G216" s="30"/>
      <c r="H216" s="66"/>
      <c r="I216" s="30"/>
      <c r="J216" s="30"/>
      <c r="K216" s="12"/>
      <c r="L216" s="12"/>
    </row>
    <row r="217" spans="1:12">
      <c r="A217" s="30"/>
      <c r="B217" s="65"/>
      <c r="C217" s="65"/>
      <c r="D217" s="112"/>
      <c r="E217" s="30"/>
      <c r="F217" s="30"/>
      <c r="G217" s="30"/>
      <c r="H217" s="66"/>
      <c r="I217" s="30"/>
      <c r="J217" s="30"/>
      <c r="K217" s="12"/>
      <c r="L217" s="12"/>
    </row>
    <row r="218" spans="1:12">
      <c r="A218" s="30"/>
      <c r="B218" s="65"/>
      <c r="C218" s="65"/>
      <c r="D218" s="112"/>
      <c r="E218" s="30"/>
      <c r="F218" s="30"/>
      <c r="G218" s="30"/>
      <c r="H218" s="66"/>
      <c r="I218" s="30"/>
      <c r="J218" s="30"/>
      <c r="K218" s="12"/>
      <c r="L218" s="12"/>
    </row>
    <row r="219" spans="1:12">
      <c r="A219" s="30"/>
      <c r="B219" s="65"/>
      <c r="C219" s="65"/>
      <c r="D219" s="112"/>
      <c r="E219" s="30"/>
      <c r="F219" s="30"/>
      <c r="G219" s="30"/>
      <c r="H219" s="66"/>
      <c r="I219" s="30"/>
      <c r="J219" s="30"/>
      <c r="K219" s="12"/>
      <c r="L219" s="12"/>
    </row>
    <row r="220" spans="1:12">
      <c r="A220" s="30"/>
      <c r="B220" s="65"/>
      <c r="C220" s="65"/>
      <c r="D220" s="112"/>
      <c r="E220" s="30"/>
      <c r="F220" s="30"/>
      <c r="G220" s="30"/>
      <c r="H220" s="66"/>
      <c r="I220" s="30"/>
      <c r="J220" s="30"/>
      <c r="K220" s="12"/>
      <c r="L220" s="12"/>
    </row>
    <row r="221" spans="1:12">
      <c r="A221" s="30"/>
      <c r="B221" s="65"/>
      <c r="C221" s="65"/>
      <c r="D221" s="112"/>
      <c r="E221" s="30"/>
      <c r="F221" s="30"/>
      <c r="G221" s="30"/>
      <c r="H221" s="66"/>
      <c r="I221" s="30"/>
      <c r="J221" s="30"/>
      <c r="K221" s="12"/>
      <c r="L221" s="12"/>
    </row>
    <row r="222" spans="1:12">
      <c r="A222" s="30"/>
      <c r="B222" s="65"/>
      <c r="C222" s="65"/>
      <c r="D222" s="112"/>
      <c r="E222" s="30"/>
      <c r="F222" s="30"/>
      <c r="G222" s="30"/>
      <c r="H222" s="66"/>
      <c r="I222" s="30"/>
      <c r="J222" s="30"/>
      <c r="K222" s="12"/>
      <c r="L222" s="12"/>
    </row>
    <row r="223" spans="1:12">
      <c r="A223" s="30"/>
      <c r="B223" s="65"/>
      <c r="C223" s="65"/>
      <c r="D223" s="112"/>
      <c r="E223" s="30"/>
      <c r="F223" s="30"/>
      <c r="G223" s="30"/>
      <c r="H223" s="66"/>
      <c r="I223" s="30"/>
      <c r="J223" s="30"/>
      <c r="K223" s="12"/>
      <c r="L223" s="12"/>
    </row>
    <row r="224" spans="1:12">
      <c r="A224" s="30"/>
      <c r="B224" s="65"/>
      <c r="C224" s="65"/>
      <c r="D224" s="112"/>
      <c r="E224" s="30"/>
      <c r="F224" s="30"/>
      <c r="G224" s="30"/>
      <c r="H224" s="66"/>
      <c r="I224" s="30"/>
      <c r="J224" s="30"/>
      <c r="K224" s="12"/>
      <c r="L224" s="12"/>
    </row>
    <row r="225" spans="1:12">
      <c r="A225" s="30"/>
      <c r="B225" s="65"/>
      <c r="C225" s="65"/>
      <c r="D225" s="112"/>
      <c r="E225" s="30"/>
      <c r="F225" s="30"/>
      <c r="G225" s="30"/>
      <c r="H225" s="66"/>
      <c r="I225" s="30"/>
      <c r="J225" s="30"/>
      <c r="K225" s="12"/>
      <c r="L225" s="12"/>
    </row>
    <row r="226" spans="1:12">
      <c r="A226" s="30"/>
      <c r="B226" s="65"/>
      <c r="C226" s="65"/>
      <c r="D226" s="112"/>
      <c r="E226" s="30"/>
      <c r="F226" s="30"/>
      <c r="G226" s="30"/>
      <c r="H226" s="66"/>
      <c r="I226" s="30"/>
      <c r="J226" s="30"/>
      <c r="K226" s="12"/>
      <c r="L226" s="12"/>
    </row>
    <row r="227" spans="1:12">
      <c r="A227" s="30"/>
      <c r="B227" s="65"/>
      <c r="C227" s="65"/>
      <c r="D227" s="112"/>
      <c r="E227" s="30"/>
      <c r="F227" s="30"/>
      <c r="G227" s="30"/>
      <c r="H227" s="66"/>
      <c r="I227" s="30"/>
      <c r="J227" s="30"/>
      <c r="K227" s="12"/>
      <c r="L227" s="12"/>
    </row>
    <row r="228" spans="1:12">
      <c r="A228" s="30"/>
      <c r="B228" s="65"/>
      <c r="C228" s="65"/>
      <c r="D228" s="112"/>
      <c r="E228" s="30"/>
      <c r="F228" s="30"/>
      <c r="G228" s="30"/>
      <c r="H228" s="66"/>
      <c r="I228" s="30"/>
      <c r="J228" s="30"/>
      <c r="K228" s="12"/>
      <c r="L228" s="12"/>
    </row>
    <row r="229" spans="1:12">
      <c r="A229" s="30"/>
      <c r="B229" s="65"/>
      <c r="C229" s="65"/>
      <c r="D229" s="112"/>
      <c r="E229" s="30"/>
      <c r="F229" s="30"/>
      <c r="G229" s="30"/>
      <c r="H229" s="66"/>
      <c r="I229" s="30"/>
      <c r="J229" s="30"/>
      <c r="K229" s="12"/>
      <c r="L229" s="12"/>
    </row>
    <row r="230" spans="1:12">
      <c r="A230" s="30"/>
      <c r="B230" s="65"/>
      <c r="C230" s="65"/>
      <c r="D230" s="112"/>
      <c r="E230" s="30"/>
      <c r="F230" s="30"/>
      <c r="G230" s="30"/>
      <c r="H230" s="66"/>
      <c r="I230" s="30"/>
      <c r="J230" s="30"/>
      <c r="K230" s="12"/>
      <c r="L230" s="12"/>
    </row>
    <row r="231" spans="1:12">
      <c r="A231" s="30"/>
      <c r="B231" s="65"/>
      <c r="C231" s="65"/>
      <c r="D231" s="112"/>
      <c r="E231" s="30"/>
      <c r="F231" s="30"/>
      <c r="G231" s="30"/>
      <c r="H231" s="66"/>
      <c r="I231" s="30"/>
      <c r="J231" s="30"/>
      <c r="K231" s="12"/>
      <c r="L231" s="12"/>
    </row>
    <row r="232" spans="1:12">
      <c r="A232" s="30"/>
      <c r="B232" s="65"/>
      <c r="C232" s="65"/>
      <c r="D232" s="112"/>
      <c r="E232" s="30"/>
      <c r="F232" s="30"/>
      <c r="G232" s="30"/>
      <c r="H232" s="66"/>
      <c r="I232" s="30"/>
      <c r="J232" s="30"/>
      <c r="K232" s="12"/>
      <c r="L232" s="12"/>
    </row>
    <row r="233" spans="1:12">
      <c r="A233" s="30"/>
      <c r="B233" s="65"/>
      <c r="C233" s="65"/>
      <c r="D233" s="112"/>
      <c r="E233" s="30"/>
      <c r="F233" s="30"/>
      <c r="G233" s="30"/>
      <c r="H233" s="66"/>
      <c r="I233" s="30"/>
      <c r="J233" s="30"/>
      <c r="K233" s="12"/>
      <c r="L233" s="12"/>
    </row>
    <row r="234" spans="1:12">
      <c r="A234" s="30"/>
      <c r="B234" s="65"/>
      <c r="C234" s="65"/>
      <c r="D234" s="112"/>
      <c r="E234" s="30"/>
      <c r="F234" s="30"/>
      <c r="G234" s="30"/>
      <c r="H234" s="66"/>
      <c r="I234" s="30"/>
      <c r="J234" s="30"/>
      <c r="K234" s="12"/>
      <c r="L234" s="12"/>
    </row>
    <row r="235" spans="1:12">
      <c r="A235" s="30"/>
      <c r="B235" s="65"/>
      <c r="C235" s="65"/>
      <c r="D235" s="112"/>
      <c r="E235" s="30"/>
      <c r="F235" s="30"/>
      <c r="G235" s="30"/>
      <c r="H235" s="66"/>
      <c r="I235" s="30"/>
      <c r="J235" s="30"/>
      <c r="K235" s="12"/>
      <c r="L235" s="12"/>
    </row>
    <row r="236" spans="1:12">
      <c r="A236" s="30"/>
      <c r="B236" s="65"/>
      <c r="C236" s="65"/>
      <c r="D236" s="112"/>
      <c r="E236" s="30"/>
      <c r="F236" s="30"/>
      <c r="G236" s="30"/>
      <c r="H236" s="66"/>
      <c r="I236" s="30"/>
      <c r="J236" s="30"/>
      <c r="K236" s="12"/>
      <c r="L236" s="12"/>
    </row>
    <row r="237" spans="1:12">
      <c r="A237" s="30"/>
      <c r="B237" s="65"/>
      <c r="C237" s="65"/>
      <c r="D237" s="112"/>
      <c r="E237" s="30"/>
      <c r="F237" s="30"/>
      <c r="G237" s="30"/>
      <c r="H237" s="66"/>
      <c r="I237" s="30"/>
      <c r="J237" s="30"/>
      <c r="K237" s="12"/>
      <c r="L237" s="12"/>
    </row>
    <row r="238" spans="1:12">
      <c r="A238" s="30"/>
      <c r="B238" s="65"/>
      <c r="C238" s="65"/>
      <c r="D238" s="112"/>
      <c r="E238" s="30"/>
      <c r="F238" s="30"/>
      <c r="G238" s="30"/>
      <c r="H238" s="66"/>
      <c r="I238" s="30"/>
      <c r="J238" s="30"/>
      <c r="K238" s="12"/>
      <c r="L238" s="12"/>
    </row>
    <row r="239" spans="1:12">
      <c r="A239" s="30"/>
      <c r="B239" s="65"/>
      <c r="C239" s="65"/>
      <c r="D239" s="112"/>
      <c r="E239" s="30"/>
      <c r="F239" s="30"/>
      <c r="G239" s="30"/>
      <c r="H239" s="66"/>
      <c r="I239" s="30"/>
      <c r="J239" s="30"/>
      <c r="K239" s="12"/>
      <c r="L239" s="12"/>
    </row>
    <row r="240" spans="1:12">
      <c r="A240" s="30"/>
      <c r="B240" s="65"/>
      <c r="C240" s="65"/>
      <c r="D240" s="112"/>
      <c r="E240" s="30"/>
      <c r="F240" s="30"/>
      <c r="G240" s="30"/>
      <c r="H240" s="66"/>
      <c r="I240" s="30"/>
      <c r="J240" s="30"/>
      <c r="K240" s="12"/>
      <c r="L240" s="12"/>
    </row>
    <row r="241" spans="1:12">
      <c r="A241" s="30"/>
      <c r="B241" s="65"/>
      <c r="C241" s="65"/>
      <c r="D241" s="112"/>
      <c r="E241" s="30"/>
      <c r="F241" s="30"/>
      <c r="G241" s="30"/>
      <c r="H241" s="66"/>
      <c r="I241" s="30"/>
      <c r="J241" s="30"/>
      <c r="K241" s="12"/>
      <c r="L241" s="12"/>
    </row>
    <row r="242" spans="1:12">
      <c r="A242" s="30"/>
      <c r="B242" s="65"/>
      <c r="C242" s="65"/>
      <c r="D242" s="112"/>
      <c r="E242" s="30"/>
      <c r="F242" s="30"/>
      <c r="G242" s="30"/>
      <c r="H242" s="66"/>
      <c r="I242" s="30"/>
      <c r="J242" s="30"/>
      <c r="K242" s="12"/>
      <c r="L242" s="12"/>
    </row>
    <row r="243" spans="1:12">
      <c r="A243" s="30"/>
      <c r="B243" s="65"/>
      <c r="C243" s="65"/>
      <c r="D243" s="112"/>
      <c r="E243" s="30"/>
      <c r="F243" s="30"/>
      <c r="G243" s="30"/>
      <c r="H243" s="66"/>
      <c r="I243" s="30"/>
      <c r="J243" s="30"/>
      <c r="K243" s="12"/>
      <c r="L243" s="12"/>
    </row>
    <row r="244" spans="1:12">
      <c r="A244" s="30"/>
      <c r="B244" s="65"/>
      <c r="C244" s="65"/>
      <c r="D244" s="112"/>
      <c r="E244" s="30"/>
      <c r="F244" s="30"/>
      <c r="G244" s="30"/>
      <c r="H244" s="66"/>
      <c r="I244" s="30"/>
      <c r="J244" s="30"/>
      <c r="K244" s="12"/>
      <c r="L244" s="12"/>
    </row>
    <row r="245" spans="1:12">
      <c r="A245" s="30"/>
      <c r="B245" s="65"/>
      <c r="C245" s="65"/>
      <c r="D245" s="112"/>
      <c r="E245" s="30"/>
      <c r="F245" s="30"/>
      <c r="G245" s="30"/>
      <c r="H245" s="66"/>
      <c r="I245" s="30"/>
      <c r="J245" s="30"/>
      <c r="K245" s="12"/>
      <c r="L245" s="12"/>
    </row>
    <row r="246" spans="1:12">
      <c r="A246" s="30"/>
      <c r="B246" s="65"/>
      <c r="C246" s="65"/>
      <c r="D246" s="112"/>
      <c r="E246" s="30"/>
      <c r="F246" s="30"/>
      <c r="G246" s="30"/>
      <c r="H246" s="66"/>
      <c r="I246" s="30"/>
      <c r="J246" s="30"/>
      <c r="K246" s="12"/>
      <c r="L246" s="12"/>
    </row>
    <row r="247" spans="1:12">
      <c r="A247" s="30"/>
      <c r="B247" s="65"/>
      <c r="C247" s="65"/>
      <c r="D247" s="112"/>
      <c r="E247" s="30"/>
      <c r="F247" s="30"/>
      <c r="G247" s="30"/>
      <c r="H247" s="66"/>
      <c r="I247" s="30"/>
      <c r="J247" s="30"/>
      <c r="K247" s="12"/>
      <c r="L247" s="12"/>
    </row>
    <row r="248" spans="1:12">
      <c r="A248" s="30"/>
      <c r="B248" s="65"/>
      <c r="C248" s="65"/>
      <c r="D248" s="112"/>
      <c r="E248" s="30"/>
      <c r="F248" s="30"/>
      <c r="G248" s="30"/>
      <c r="H248" s="66"/>
      <c r="I248" s="30"/>
      <c r="J248" s="30"/>
      <c r="K248" s="12"/>
      <c r="L248" s="12"/>
    </row>
    <row r="249" spans="1:12">
      <c r="A249" s="30"/>
      <c r="B249" s="65"/>
      <c r="C249" s="65"/>
      <c r="D249" s="112"/>
      <c r="E249" s="30"/>
      <c r="F249" s="30"/>
      <c r="G249" s="30"/>
      <c r="H249" s="66"/>
      <c r="I249" s="30"/>
      <c r="J249" s="30"/>
      <c r="K249" s="12"/>
      <c r="L249" s="12"/>
    </row>
    <row r="250" spans="1:12">
      <c r="A250" s="30"/>
      <c r="B250" s="65"/>
      <c r="C250" s="65"/>
      <c r="D250" s="112"/>
      <c r="E250" s="30"/>
      <c r="F250" s="30"/>
      <c r="G250" s="30"/>
      <c r="H250" s="66"/>
      <c r="I250" s="30"/>
      <c r="J250" s="30"/>
      <c r="K250" s="12"/>
      <c r="L250" s="12"/>
    </row>
    <row r="251" spans="1:12">
      <c r="A251" s="30"/>
      <c r="B251" s="65"/>
      <c r="C251" s="65"/>
      <c r="D251" s="112"/>
      <c r="E251" s="30"/>
      <c r="F251" s="30"/>
      <c r="G251" s="30"/>
      <c r="H251" s="66"/>
      <c r="I251" s="30"/>
      <c r="J251" s="30"/>
      <c r="K251" s="12"/>
      <c r="L251" s="12"/>
    </row>
    <row r="252" spans="1:12">
      <c r="A252" s="30"/>
      <c r="B252" s="65"/>
      <c r="C252" s="65"/>
      <c r="D252" s="112"/>
      <c r="E252" s="30"/>
      <c r="F252" s="30"/>
      <c r="G252" s="30"/>
      <c r="H252" s="66"/>
      <c r="I252" s="30"/>
      <c r="J252" s="30"/>
      <c r="K252" s="12"/>
      <c r="L252" s="12"/>
    </row>
    <row r="253" spans="1:12">
      <c r="A253" s="30"/>
      <c r="B253" s="65"/>
      <c r="C253" s="65"/>
      <c r="D253" s="112"/>
      <c r="E253" s="30"/>
      <c r="F253" s="30"/>
      <c r="G253" s="30"/>
      <c r="H253" s="66"/>
      <c r="I253" s="30"/>
      <c r="J253" s="30"/>
      <c r="K253" s="12"/>
      <c r="L253" s="12"/>
    </row>
    <row r="254" spans="1:12">
      <c r="A254" s="30"/>
      <c r="B254" s="65"/>
      <c r="C254" s="65"/>
      <c r="D254" s="112"/>
      <c r="E254" s="30"/>
      <c r="F254" s="30"/>
      <c r="G254" s="30"/>
      <c r="H254" s="66"/>
      <c r="I254" s="30"/>
      <c r="J254" s="30"/>
      <c r="K254" s="12"/>
      <c r="L254" s="12"/>
    </row>
    <row r="255" spans="1:12">
      <c r="A255" s="30"/>
      <c r="B255" s="65"/>
      <c r="C255" s="65"/>
      <c r="D255" s="112"/>
      <c r="E255" s="30"/>
      <c r="F255" s="30"/>
      <c r="G255" s="30"/>
      <c r="H255" s="66"/>
      <c r="I255" s="30"/>
      <c r="J255" s="30"/>
      <c r="K255" s="12"/>
      <c r="L255" s="12"/>
    </row>
    <row r="256" spans="1:12">
      <c r="A256" s="30"/>
      <c r="B256" s="65"/>
      <c r="C256" s="65"/>
      <c r="D256" s="112"/>
      <c r="E256" s="30"/>
      <c r="F256" s="30"/>
      <c r="G256" s="30"/>
      <c r="H256" s="66"/>
      <c r="I256" s="30"/>
      <c r="J256" s="30"/>
      <c r="K256" s="12"/>
      <c r="L256" s="12"/>
    </row>
    <row r="257" spans="1:12">
      <c r="A257" s="30"/>
      <c r="B257" s="65"/>
      <c r="C257" s="65"/>
      <c r="D257" s="112"/>
      <c r="E257" s="30"/>
      <c r="F257" s="30"/>
      <c r="G257" s="30"/>
      <c r="H257" s="66"/>
      <c r="I257" s="30"/>
      <c r="J257" s="30"/>
      <c r="K257" s="12"/>
      <c r="L257" s="12"/>
    </row>
    <row r="258" spans="1:12">
      <c r="A258" s="30"/>
      <c r="B258" s="65"/>
      <c r="C258" s="65"/>
      <c r="D258" s="112"/>
      <c r="E258" s="30"/>
      <c r="F258" s="30"/>
      <c r="G258" s="30"/>
      <c r="H258" s="66"/>
      <c r="I258" s="30"/>
      <c r="J258" s="30"/>
      <c r="K258" s="12"/>
      <c r="L258" s="12"/>
    </row>
    <row r="259" spans="1:12">
      <c r="A259" s="30"/>
      <c r="B259" s="65"/>
      <c r="C259" s="65"/>
      <c r="D259" s="112"/>
      <c r="E259" s="30"/>
      <c r="F259" s="30"/>
      <c r="G259" s="30"/>
      <c r="H259" s="66"/>
      <c r="I259" s="30"/>
      <c r="J259" s="30"/>
      <c r="K259" s="12"/>
      <c r="L259" s="12"/>
    </row>
    <row r="260" spans="1:12">
      <c r="A260" s="30"/>
      <c r="B260" s="65"/>
      <c r="C260" s="65"/>
      <c r="D260" s="112"/>
      <c r="E260" s="30"/>
      <c r="F260" s="30"/>
      <c r="G260" s="30"/>
      <c r="H260" s="66"/>
      <c r="I260" s="30"/>
      <c r="J260" s="30"/>
      <c r="K260" s="12"/>
      <c r="L260" s="12"/>
    </row>
    <row r="261" spans="1:12">
      <c r="A261" s="30"/>
      <c r="B261" s="65"/>
      <c r="C261" s="65"/>
      <c r="D261" s="112"/>
      <c r="E261" s="30"/>
      <c r="F261" s="30"/>
      <c r="G261" s="30"/>
      <c r="H261" s="66"/>
      <c r="I261" s="30"/>
      <c r="J261" s="30"/>
      <c r="K261" s="12"/>
      <c r="L261" s="12"/>
    </row>
    <row r="262" spans="1:12">
      <c r="A262" s="30"/>
      <c r="B262" s="65"/>
      <c r="C262" s="65"/>
      <c r="D262" s="112"/>
      <c r="E262" s="30"/>
      <c r="F262" s="30"/>
      <c r="G262" s="30"/>
      <c r="H262" s="66"/>
      <c r="I262" s="30"/>
      <c r="J262" s="30"/>
      <c r="K262" s="12"/>
      <c r="L262" s="12"/>
    </row>
    <row r="263" spans="1:12">
      <c r="A263" s="30"/>
      <c r="B263" s="65"/>
      <c r="C263" s="65"/>
      <c r="D263" s="112"/>
      <c r="E263" s="30"/>
      <c r="F263" s="30"/>
      <c r="G263" s="30"/>
      <c r="H263" s="66"/>
      <c r="I263" s="30"/>
      <c r="J263" s="30"/>
      <c r="K263" s="12"/>
      <c r="L263" s="12"/>
    </row>
    <row r="264" spans="1:12">
      <c r="A264" s="30"/>
      <c r="B264" s="65"/>
      <c r="C264" s="65"/>
      <c r="D264" s="112"/>
      <c r="E264" s="30"/>
      <c r="F264" s="30"/>
      <c r="G264" s="30"/>
      <c r="H264" s="66"/>
      <c r="I264" s="30"/>
      <c r="J264" s="30"/>
      <c r="K264" s="12"/>
      <c r="L264" s="12"/>
    </row>
    <row r="265" spans="1:12">
      <c r="A265" s="30"/>
      <c r="B265" s="65"/>
      <c r="C265" s="65"/>
      <c r="D265" s="112"/>
      <c r="E265" s="30"/>
      <c r="F265" s="30"/>
      <c r="G265" s="30"/>
      <c r="H265" s="66"/>
      <c r="I265" s="30"/>
      <c r="J265" s="30"/>
      <c r="K265" s="12"/>
      <c r="L265" s="12"/>
    </row>
    <row r="266" spans="1:12">
      <c r="A266" s="30"/>
      <c r="B266" s="65"/>
      <c r="C266" s="65"/>
      <c r="D266" s="112"/>
      <c r="E266" s="30"/>
      <c r="F266" s="30"/>
      <c r="G266" s="30"/>
      <c r="H266" s="66"/>
      <c r="I266" s="30"/>
      <c r="J266" s="30"/>
      <c r="K266" s="12"/>
      <c r="L266" s="12"/>
    </row>
    <row r="267" spans="1:12">
      <c r="A267" s="30"/>
      <c r="B267" s="65"/>
      <c r="C267" s="65"/>
      <c r="D267" s="112"/>
      <c r="E267" s="30"/>
      <c r="F267" s="30"/>
      <c r="G267" s="30"/>
      <c r="H267" s="66"/>
      <c r="I267" s="30"/>
      <c r="J267" s="30"/>
      <c r="K267" s="12"/>
      <c r="L267" s="12"/>
    </row>
    <row r="268" spans="1:12">
      <c r="A268" s="30"/>
      <c r="B268" s="65"/>
      <c r="C268" s="65"/>
      <c r="D268" s="112"/>
      <c r="E268" s="30"/>
      <c r="F268" s="30"/>
      <c r="G268" s="30"/>
      <c r="H268" s="66"/>
      <c r="I268" s="30"/>
      <c r="J268" s="30"/>
      <c r="K268" s="12"/>
      <c r="L268" s="12"/>
    </row>
    <row r="269" spans="1:12">
      <c r="A269" s="30"/>
      <c r="B269" s="65"/>
      <c r="C269" s="65"/>
      <c r="D269" s="112"/>
      <c r="E269" s="30"/>
      <c r="F269" s="30"/>
      <c r="G269" s="30"/>
      <c r="H269" s="66"/>
      <c r="I269" s="30"/>
      <c r="J269" s="30"/>
      <c r="K269" s="12"/>
      <c r="L269" s="12"/>
    </row>
    <row r="270" spans="1:12">
      <c r="A270" s="30"/>
      <c r="B270" s="65"/>
      <c r="C270" s="65"/>
      <c r="D270" s="112"/>
      <c r="E270" s="30"/>
      <c r="F270" s="30"/>
      <c r="G270" s="30"/>
      <c r="H270" s="66"/>
      <c r="I270" s="30"/>
      <c r="J270" s="30"/>
      <c r="K270" s="12"/>
      <c r="L270" s="12"/>
    </row>
    <row r="271" spans="1:12">
      <c r="A271" s="30"/>
      <c r="B271" s="65"/>
      <c r="C271" s="65"/>
      <c r="D271" s="112"/>
      <c r="E271" s="30"/>
      <c r="F271" s="30"/>
      <c r="G271" s="30"/>
      <c r="H271" s="66"/>
      <c r="I271" s="30"/>
      <c r="J271" s="30"/>
      <c r="K271" s="12"/>
      <c r="L271" s="12"/>
    </row>
    <row r="272" spans="1:12">
      <c r="A272" s="30"/>
      <c r="B272" s="65"/>
      <c r="C272" s="65"/>
      <c r="D272" s="112"/>
      <c r="E272" s="30"/>
      <c r="F272" s="30"/>
      <c r="G272" s="30"/>
      <c r="H272" s="66"/>
      <c r="I272" s="30"/>
      <c r="J272" s="30"/>
      <c r="K272" s="12"/>
      <c r="L272" s="12"/>
    </row>
    <row r="273" spans="1:12">
      <c r="A273" s="30"/>
      <c r="B273" s="65"/>
      <c r="C273" s="65"/>
      <c r="D273" s="112"/>
      <c r="E273" s="30"/>
      <c r="F273" s="30"/>
      <c r="G273" s="30"/>
      <c r="H273" s="66"/>
      <c r="I273" s="30"/>
      <c r="J273" s="30"/>
      <c r="K273" s="12"/>
      <c r="L273" s="12"/>
    </row>
    <row r="274" spans="1:12">
      <c r="A274" s="30"/>
      <c r="B274" s="65"/>
      <c r="C274" s="65"/>
      <c r="D274" s="112"/>
      <c r="E274" s="30"/>
      <c r="F274" s="30"/>
      <c r="G274" s="30"/>
      <c r="H274" s="66"/>
      <c r="I274" s="30"/>
      <c r="J274" s="30"/>
      <c r="K274" s="12"/>
      <c r="L274" s="12"/>
    </row>
    <row r="275" spans="1:12">
      <c r="A275" s="30"/>
      <c r="B275" s="65"/>
      <c r="C275" s="65"/>
      <c r="D275" s="112"/>
      <c r="E275" s="30"/>
      <c r="F275" s="30"/>
      <c r="G275" s="30"/>
      <c r="H275" s="66"/>
      <c r="I275" s="30"/>
      <c r="J275" s="30"/>
      <c r="K275" s="12"/>
      <c r="L275" s="12"/>
    </row>
    <row r="276" spans="1:12">
      <c r="A276" s="30"/>
      <c r="B276" s="65"/>
      <c r="C276" s="65"/>
      <c r="D276" s="112"/>
      <c r="E276" s="30"/>
      <c r="F276" s="30"/>
      <c r="G276" s="30"/>
      <c r="H276" s="66"/>
      <c r="I276" s="30"/>
      <c r="J276" s="30"/>
      <c r="K276" s="12"/>
      <c r="L276" s="12"/>
    </row>
    <row r="277" spans="1:12">
      <c r="A277" s="30"/>
      <c r="B277" s="65"/>
      <c r="C277" s="65"/>
      <c r="D277" s="112"/>
      <c r="E277" s="30"/>
      <c r="F277" s="30"/>
      <c r="G277" s="30"/>
      <c r="H277" s="66"/>
      <c r="I277" s="30"/>
      <c r="J277" s="30"/>
      <c r="K277" s="12"/>
      <c r="L277" s="12"/>
    </row>
    <row r="278" spans="1:12">
      <c r="A278" s="30"/>
      <c r="B278" s="65"/>
      <c r="C278" s="65"/>
      <c r="D278" s="112"/>
      <c r="E278" s="30"/>
      <c r="F278" s="30"/>
      <c r="G278" s="30"/>
      <c r="H278" s="66"/>
      <c r="I278" s="30"/>
      <c r="J278" s="30"/>
      <c r="K278" s="12"/>
      <c r="L278" s="12"/>
    </row>
    <row r="279" spans="1:12">
      <c r="A279" s="30"/>
      <c r="B279" s="65"/>
      <c r="C279" s="65"/>
      <c r="D279" s="112"/>
      <c r="E279" s="30"/>
      <c r="F279" s="30"/>
      <c r="G279" s="30"/>
      <c r="H279" s="66"/>
      <c r="I279" s="30"/>
      <c r="J279" s="30"/>
      <c r="K279" s="12"/>
      <c r="L279" s="12"/>
    </row>
    <row r="280" spans="1:12">
      <c r="A280" s="30"/>
      <c r="B280" s="65"/>
      <c r="C280" s="65"/>
      <c r="D280" s="112"/>
      <c r="E280" s="30"/>
      <c r="F280" s="30"/>
      <c r="G280" s="30"/>
      <c r="H280" s="66"/>
      <c r="I280" s="30"/>
      <c r="J280" s="30"/>
      <c r="K280" s="12"/>
      <c r="L280" s="12"/>
    </row>
    <row r="281" spans="1:12">
      <c r="A281" s="30"/>
      <c r="B281" s="65"/>
      <c r="C281" s="65"/>
      <c r="D281" s="112"/>
      <c r="E281" s="30"/>
      <c r="F281" s="30"/>
      <c r="G281" s="30"/>
      <c r="H281" s="66"/>
      <c r="I281" s="30"/>
      <c r="J281" s="30"/>
      <c r="K281" s="12"/>
      <c r="L281" s="12"/>
    </row>
    <row r="282" spans="1:12">
      <c r="A282" s="30"/>
      <c r="B282" s="65"/>
      <c r="C282" s="65"/>
      <c r="D282" s="112"/>
      <c r="E282" s="30"/>
      <c r="F282" s="30"/>
      <c r="G282" s="30"/>
      <c r="H282" s="66"/>
      <c r="I282" s="30"/>
      <c r="J282" s="30"/>
      <c r="K282" s="12"/>
      <c r="L282" s="12"/>
    </row>
    <row r="283" spans="1:12">
      <c r="A283" s="30"/>
      <c r="B283" s="65"/>
      <c r="C283" s="65"/>
      <c r="D283" s="112"/>
      <c r="E283" s="30"/>
      <c r="F283" s="30"/>
      <c r="G283" s="30"/>
      <c r="H283" s="66"/>
      <c r="I283" s="30"/>
      <c r="J283" s="30"/>
      <c r="K283" s="12"/>
      <c r="L283" s="12"/>
    </row>
    <row r="284" spans="1:12">
      <c r="A284" s="30"/>
      <c r="B284" s="65"/>
      <c r="C284" s="65"/>
      <c r="D284" s="112"/>
      <c r="E284" s="30"/>
      <c r="F284" s="30"/>
      <c r="G284" s="30"/>
      <c r="H284" s="66"/>
      <c r="I284" s="30"/>
      <c r="J284" s="30"/>
      <c r="K284" s="12"/>
      <c r="L284" s="12"/>
    </row>
    <row r="285" spans="1:12">
      <c r="A285" s="30"/>
      <c r="B285" s="65"/>
      <c r="C285" s="65"/>
      <c r="D285" s="112"/>
      <c r="E285" s="30"/>
      <c r="F285" s="30"/>
      <c r="G285" s="30"/>
      <c r="H285" s="66"/>
      <c r="I285" s="30"/>
      <c r="J285" s="30"/>
      <c r="K285" s="12"/>
      <c r="L285" s="12"/>
    </row>
    <row r="286" spans="1:12">
      <c r="A286" s="30"/>
      <c r="B286" s="65"/>
      <c r="C286" s="65"/>
      <c r="D286" s="112"/>
      <c r="E286" s="30"/>
      <c r="F286" s="30"/>
      <c r="G286" s="30"/>
      <c r="H286" s="66"/>
      <c r="I286" s="30"/>
      <c r="J286" s="30"/>
      <c r="K286" s="12"/>
      <c r="L286" s="12"/>
    </row>
    <row r="287" spans="1:12">
      <c r="A287" s="30"/>
      <c r="B287" s="65"/>
      <c r="C287" s="65"/>
      <c r="D287" s="112"/>
      <c r="E287" s="30"/>
      <c r="F287" s="30"/>
      <c r="G287" s="30"/>
      <c r="H287" s="66"/>
      <c r="I287" s="30"/>
      <c r="J287" s="30"/>
      <c r="K287" s="12"/>
      <c r="L287" s="12"/>
    </row>
    <row r="288" spans="1:12">
      <c r="A288" s="30"/>
      <c r="B288" s="65"/>
      <c r="C288" s="65"/>
      <c r="D288" s="112"/>
      <c r="E288" s="30"/>
      <c r="F288" s="30"/>
      <c r="G288" s="30"/>
      <c r="H288" s="66"/>
      <c r="I288" s="30"/>
      <c r="J288" s="30"/>
      <c r="K288" s="12"/>
      <c r="L288" s="12"/>
    </row>
    <row r="289" spans="1:12">
      <c r="A289" s="30"/>
      <c r="B289" s="65"/>
      <c r="C289" s="65"/>
      <c r="D289" s="112"/>
      <c r="E289" s="30"/>
      <c r="F289" s="30"/>
      <c r="G289" s="30"/>
      <c r="H289" s="66"/>
      <c r="I289" s="30"/>
      <c r="J289" s="30"/>
      <c r="K289" s="12"/>
      <c r="L289" s="12"/>
    </row>
    <row r="290" spans="1:12">
      <c r="A290" s="30"/>
      <c r="B290" s="65"/>
      <c r="C290" s="65"/>
      <c r="D290" s="112"/>
      <c r="E290" s="30"/>
      <c r="F290" s="30"/>
      <c r="G290" s="30"/>
      <c r="H290" s="66"/>
      <c r="I290" s="30"/>
      <c r="J290" s="30"/>
      <c r="K290" s="12"/>
      <c r="L290" s="12"/>
    </row>
    <row r="291" spans="1:12">
      <c r="A291" s="30"/>
      <c r="B291" s="65"/>
      <c r="C291" s="65"/>
      <c r="D291" s="112"/>
      <c r="E291" s="30"/>
      <c r="F291" s="30"/>
      <c r="G291" s="30"/>
      <c r="H291" s="66"/>
      <c r="I291" s="30"/>
      <c r="J291" s="30"/>
      <c r="K291" s="12"/>
      <c r="L291" s="12"/>
    </row>
    <row r="292" spans="1:12">
      <c r="A292" s="30"/>
      <c r="B292" s="65"/>
      <c r="C292" s="65"/>
      <c r="D292" s="112"/>
      <c r="E292" s="30"/>
      <c r="F292" s="30"/>
      <c r="G292" s="30"/>
      <c r="H292" s="66"/>
      <c r="I292" s="30"/>
      <c r="J292" s="30"/>
      <c r="K292" s="12"/>
      <c r="L292" s="12"/>
    </row>
    <row r="293" spans="1:12">
      <c r="A293" s="30"/>
      <c r="B293" s="65"/>
      <c r="C293" s="65"/>
      <c r="D293" s="112"/>
      <c r="E293" s="30"/>
      <c r="F293" s="30"/>
      <c r="G293" s="30"/>
      <c r="H293" s="66"/>
      <c r="I293" s="30"/>
      <c r="J293" s="30"/>
      <c r="K293" s="12"/>
      <c r="L293" s="12"/>
    </row>
    <row r="294" spans="1:12">
      <c r="A294" s="30"/>
      <c r="B294" s="65"/>
      <c r="C294" s="65"/>
      <c r="D294" s="112"/>
      <c r="E294" s="30"/>
      <c r="F294" s="30"/>
      <c r="G294" s="30"/>
      <c r="H294" s="66"/>
      <c r="I294" s="30"/>
      <c r="J294" s="30"/>
      <c r="K294" s="12"/>
      <c r="L294" s="12"/>
    </row>
    <row r="295" spans="1:12">
      <c r="A295" s="30"/>
      <c r="B295" s="65"/>
      <c r="C295" s="65"/>
      <c r="D295" s="112"/>
      <c r="E295" s="30"/>
      <c r="F295" s="30"/>
      <c r="G295" s="30"/>
      <c r="H295" s="66"/>
      <c r="I295" s="30"/>
      <c r="J295" s="30"/>
      <c r="K295" s="12"/>
      <c r="L295" s="12"/>
    </row>
    <row r="296" spans="1:12">
      <c r="A296" s="30"/>
      <c r="B296" s="65"/>
      <c r="C296" s="65"/>
      <c r="D296" s="112"/>
      <c r="E296" s="30"/>
      <c r="F296" s="30"/>
      <c r="G296" s="30"/>
      <c r="H296" s="66"/>
      <c r="I296" s="30"/>
      <c r="J296" s="30"/>
      <c r="K296" s="12"/>
      <c r="L296" s="12"/>
    </row>
    <row r="297" spans="1:12">
      <c r="A297" s="30"/>
      <c r="B297" s="65"/>
      <c r="C297" s="65"/>
      <c r="D297" s="112"/>
      <c r="E297" s="30"/>
      <c r="F297" s="30"/>
      <c r="G297" s="30"/>
      <c r="H297" s="66"/>
      <c r="I297" s="30"/>
      <c r="J297" s="30"/>
      <c r="K297" s="12"/>
      <c r="L297" s="12"/>
    </row>
    <row r="298" spans="1:12">
      <c r="A298" s="30"/>
      <c r="B298" s="65"/>
      <c r="C298" s="65"/>
      <c r="D298" s="112"/>
      <c r="E298" s="30"/>
      <c r="F298" s="30"/>
      <c r="G298" s="30"/>
      <c r="H298" s="66"/>
      <c r="I298" s="30"/>
      <c r="J298" s="30"/>
      <c r="K298" s="12"/>
      <c r="L298" s="12"/>
    </row>
    <row r="299" spans="1:12">
      <c r="A299" s="30"/>
      <c r="B299" s="65"/>
      <c r="C299" s="65"/>
      <c r="D299" s="112"/>
      <c r="E299" s="30"/>
      <c r="F299" s="30"/>
      <c r="G299" s="30"/>
      <c r="H299" s="66"/>
      <c r="I299" s="30"/>
      <c r="J299" s="30"/>
      <c r="K299" s="12"/>
      <c r="L299" s="12"/>
    </row>
    <row r="300" spans="1:12">
      <c r="A300" s="30"/>
      <c r="B300" s="65"/>
      <c r="C300" s="65"/>
      <c r="D300" s="112"/>
      <c r="E300" s="30"/>
      <c r="F300" s="30"/>
      <c r="G300" s="30"/>
      <c r="H300" s="66"/>
      <c r="I300" s="30"/>
      <c r="J300" s="30"/>
      <c r="K300" s="12"/>
      <c r="L300" s="12"/>
    </row>
    <row r="301" spans="1:12">
      <c r="A301" s="30"/>
      <c r="B301" s="65"/>
      <c r="C301" s="65"/>
      <c r="D301" s="112"/>
      <c r="E301" s="30"/>
      <c r="F301" s="30"/>
      <c r="G301" s="30"/>
      <c r="H301" s="66"/>
      <c r="I301" s="30"/>
      <c r="J301" s="30"/>
      <c r="K301" s="12"/>
      <c r="L301" s="12"/>
    </row>
    <row r="302" spans="1:12">
      <c r="A302" s="30"/>
      <c r="B302" s="65"/>
      <c r="C302" s="65"/>
      <c r="D302" s="112"/>
      <c r="E302" s="30"/>
      <c r="F302" s="30"/>
      <c r="G302" s="30"/>
      <c r="H302" s="66"/>
      <c r="I302" s="30"/>
      <c r="J302" s="30"/>
      <c r="K302" s="12"/>
      <c r="L302" s="12"/>
    </row>
    <row r="303" spans="1:12">
      <c r="A303" s="30"/>
      <c r="B303" s="65"/>
      <c r="C303" s="65"/>
      <c r="D303" s="112"/>
      <c r="E303" s="30"/>
      <c r="F303" s="30"/>
      <c r="G303" s="30"/>
      <c r="H303" s="66"/>
      <c r="I303" s="30"/>
      <c r="J303" s="30"/>
      <c r="K303" s="12"/>
      <c r="L303" s="12"/>
    </row>
    <row r="304" spans="1:12">
      <c r="A304" s="30"/>
      <c r="B304" s="65"/>
      <c r="C304" s="65"/>
      <c r="D304" s="112"/>
      <c r="E304" s="30"/>
      <c r="F304" s="30"/>
      <c r="G304" s="30"/>
      <c r="H304" s="66"/>
      <c r="I304" s="30"/>
      <c r="J304" s="30"/>
      <c r="K304" s="12"/>
      <c r="L304" s="12"/>
    </row>
    <row r="305" spans="1:12">
      <c r="A305" s="30"/>
      <c r="B305" s="65"/>
      <c r="C305" s="65"/>
      <c r="D305" s="112"/>
      <c r="E305" s="30"/>
      <c r="F305" s="30"/>
      <c r="G305" s="30"/>
      <c r="H305" s="66"/>
      <c r="I305" s="30"/>
      <c r="J305" s="30"/>
      <c r="K305" s="12"/>
      <c r="L305" s="12"/>
    </row>
    <row r="306" spans="1:12">
      <c r="A306" s="30"/>
      <c r="B306" s="65"/>
      <c r="C306" s="65"/>
      <c r="D306" s="112"/>
      <c r="E306" s="30"/>
      <c r="F306" s="30"/>
      <c r="G306" s="30"/>
      <c r="H306" s="66"/>
      <c r="I306" s="30"/>
      <c r="J306" s="30"/>
      <c r="K306" s="12"/>
      <c r="L306" s="12"/>
    </row>
    <row r="307" spans="1:12">
      <c r="A307" s="30"/>
      <c r="B307" s="65"/>
      <c r="C307" s="65"/>
      <c r="D307" s="112"/>
      <c r="E307" s="30"/>
      <c r="F307" s="30"/>
      <c r="G307" s="30"/>
      <c r="H307" s="66"/>
      <c r="I307" s="30"/>
      <c r="J307" s="30"/>
      <c r="K307" s="12"/>
      <c r="L307" s="12"/>
    </row>
    <row r="308" spans="1:12">
      <c r="A308" s="30"/>
      <c r="B308" s="65"/>
      <c r="C308" s="65"/>
      <c r="D308" s="112"/>
      <c r="E308" s="30"/>
      <c r="F308" s="30"/>
      <c r="G308" s="30"/>
      <c r="H308" s="66"/>
      <c r="I308" s="30"/>
      <c r="J308" s="30"/>
      <c r="K308" s="12"/>
      <c r="L308" s="12"/>
    </row>
    <row r="309" spans="1:12">
      <c r="A309" s="30"/>
      <c r="B309" s="65"/>
      <c r="C309" s="65"/>
      <c r="D309" s="112"/>
      <c r="E309" s="30"/>
      <c r="F309" s="30"/>
      <c r="G309" s="30"/>
      <c r="H309" s="66"/>
      <c r="I309" s="30"/>
      <c r="J309" s="30"/>
      <c r="K309" s="12"/>
      <c r="L309" s="12"/>
    </row>
    <row r="310" spans="1:12">
      <c r="A310" s="30"/>
      <c r="B310" s="65"/>
      <c r="C310" s="65"/>
      <c r="D310" s="112"/>
      <c r="E310" s="30"/>
      <c r="F310" s="30"/>
      <c r="G310" s="30"/>
      <c r="H310" s="66"/>
      <c r="I310" s="30"/>
      <c r="J310" s="30"/>
      <c r="K310" s="12"/>
      <c r="L310" s="12"/>
    </row>
    <row r="311" spans="1:12">
      <c r="A311" s="30"/>
      <c r="B311" s="65"/>
      <c r="C311" s="65"/>
      <c r="D311" s="112"/>
      <c r="E311" s="30"/>
      <c r="F311" s="30"/>
      <c r="G311" s="30"/>
      <c r="H311" s="66"/>
      <c r="I311" s="30"/>
      <c r="J311" s="30"/>
      <c r="K311" s="12"/>
      <c r="L311" s="12"/>
    </row>
    <row r="312" spans="1:12">
      <c r="A312" s="30"/>
      <c r="B312" s="65"/>
      <c r="C312" s="65"/>
      <c r="D312" s="112"/>
      <c r="E312" s="30"/>
      <c r="F312" s="30"/>
      <c r="G312" s="30"/>
      <c r="H312" s="66"/>
      <c r="I312" s="30"/>
      <c r="J312" s="30"/>
      <c r="K312" s="12"/>
      <c r="L312" s="12"/>
    </row>
    <row r="313" spans="1:12">
      <c r="A313" s="30"/>
      <c r="B313" s="65"/>
      <c r="C313" s="65"/>
      <c r="D313" s="112"/>
      <c r="E313" s="30"/>
      <c r="F313" s="30"/>
      <c r="G313" s="30"/>
      <c r="H313" s="66"/>
      <c r="I313" s="30"/>
      <c r="J313" s="30"/>
      <c r="K313" s="12"/>
      <c r="L313" s="12"/>
    </row>
    <row r="314" spans="1:12">
      <c r="A314" s="30"/>
      <c r="B314" s="65"/>
      <c r="C314" s="65"/>
      <c r="D314" s="112"/>
      <c r="E314" s="30"/>
      <c r="F314" s="30"/>
      <c r="G314" s="30"/>
      <c r="H314" s="66"/>
      <c r="I314" s="30"/>
      <c r="J314" s="30"/>
      <c r="K314" s="12"/>
      <c r="L314" s="12"/>
    </row>
    <row r="315" spans="1:12">
      <c r="A315" s="30"/>
      <c r="B315" s="65"/>
      <c r="C315" s="65"/>
      <c r="D315" s="112"/>
      <c r="E315" s="30"/>
      <c r="F315" s="30"/>
      <c r="G315" s="30"/>
      <c r="H315" s="66"/>
      <c r="I315" s="30"/>
      <c r="J315" s="30"/>
      <c r="K315" s="12"/>
      <c r="L315" s="12"/>
    </row>
    <row r="316" spans="1:12">
      <c r="A316" s="30"/>
      <c r="B316" s="65"/>
      <c r="C316" s="65"/>
      <c r="D316" s="112"/>
      <c r="E316" s="30"/>
      <c r="F316" s="30"/>
      <c r="G316" s="30"/>
      <c r="H316" s="66"/>
      <c r="I316" s="30"/>
      <c r="J316" s="30"/>
      <c r="K316" s="12"/>
      <c r="L316" s="12"/>
    </row>
    <row r="317" spans="1:12">
      <c r="A317" s="30"/>
      <c r="B317" s="65"/>
      <c r="C317" s="65"/>
      <c r="D317" s="112"/>
      <c r="E317" s="30"/>
      <c r="F317" s="30"/>
      <c r="G317" s="30"/>
      <c r="H317" s="66"/>
      <c r="I317" s="30"/>
      <c r="J317" s="30"/>
      <c r="K317" s="12"/>
      <c r="L317" s="12"/>
    </row>
    <row r="318" spans="1:12">
      <c r="A318" s="30"/>
      <c r="B318" s="65"/>
      <c r="C318" s="65"/>
      <c r="D318" s="112"/>
      <c r="E318" s="30"/>
      <c r="F318" s="30"/>
      <c r="G318" s="30"/>
      <c r="H318" s="66"/>
      <c r="I318" s="30"/>
      <c r="J318" s="30"/>
      <c r="K318" s="12"/>
      <c r="L318" s="12"/>
    </row>
    <row r="319" spans="1:12">
      <c r="A319" s="30"/>
      <c r="B319" s="65"/>
      <c r="C319" s="65"/>
      <c r="D319" s="112"/>
      <c r="E319" s="30"/>
      <c r="F319" s="30"/>
      <c r="G319" s="30"/>
      <c r="H319" s="66"/>
      <c r="I319" s="30"/>
      <c r="J319" s="30"/>
      <c r="K319" s="12"/>
      <c r="L319" s="12"/>
    </row>
    <row r="320" spans="1:12">
      <c r="A320" s="30"/>
      <c r="B320" s="65"/>
      <c r="C320" s="65"/>
      <c r="D320" s="112"/>
      <c r="E320" s="30"/>
      <c r="F320" s="30"/>
      <c r="G320" s="30"/>
      <c r="H320" s="66"/>
      <c r="I320" s="30"/>
      <c r="J320" s="30"/>
      <c r="K320" s="12"/>
      <c r="L320" s="12"/>
    </row>
    <row r="321" spans="1:12">
      <c r="A321" s="30"/>
      <c r="B321" s="65"/>
      <c r="C321" s="65"/>
      <c r="D321" s="112"/>
      <c r="E321" s="30"/>
      <c r="F321" s="30"/>
      <c r="G321" s="30"/>
      <c r="H321" s="66"/>
      <c r="I321" s="30"/>
      <c r="J321" s="30"/>
      <c r="K321" s="12"/>
      <c r="L321" s="12"/>
    </row>
    <row r="322" spans="1:12">
      <c r="A322" s="30"/>
      <c r="B322" s="65"/>
      <c r="C322" s="65"/>
      <c r="D322" s="112"/>
      <c r="E322" s="30"/>
      <c r="F322" s="30"/>
      <c r="G322" s="30"/>
      <c r="H322" s="66"/>
      <c r="I322" s="30"/>
      <c r="J322" s="30"/>
      <c r="K322" s="12"/>
      <c r="L322" s="12"/>
    </row>
    <row r="323" spans="1:12">
      <c r="A323" s="30"/>
      <c r="B323" s="65"/>
      <c r="C323" s="65"/>
      <c r="D323" s="112"/>
      <c r="E323" s="30"/>
      <c r="F323" s="30"/>
      <c r="G323" s="30"/>
      <c r="H323" s="66"/>
      <c r="I323" s="30"/>
      <c r="J323" s="30"/>
      <c r="K323" s="12"/>
      <c r="L323" s="12"/>
    </row>
    <row r="324" spans="1:12">
      <c r="A324" s="30"/>
      <c r="B324" s="65"/>
      <c r="C324" s="65"/>
      <c r="D324" s="112"/>
      <c r="E324" s="30"/>
      <c r="F324" s="30"/>
      <c r="G324" s="30"/>
      <c r="H324" s="66"/>
      <c r="I324" s="30"/>
      <c r="J324" s="30"/>
      <c r="K324" s="12"/>
      <c r="L324" s="12"/>
    </row>
    <row r="325" spans="1:12">
      <c r="A325" s="30"/>
      <c r="B325" s="65"/>
      <c r="C325" s="65"/>
      <c r="D325" s="112"/>
      <c r="E325" s="30"/>
      <c r="F325" s="30"/>
      <c r="G325" s="30"/>
      <c r="H325" s="66"/>
      <c r="I325" s="30"/>
      <c r="J325" s="30"/>
      <c r="K325" s="12"/>
      <c r="L325" s="12"/>
    </row>
    <row r="326" spans="1:12">
      <c r="A326" s="30"/>
      <c r="B326" s="65"/>
      <c r="C326" s="65"/>
      <c r="D326" s="112"/>
      <c r="E326" s="30"/>
      <c r="F326" s="30"/>
      <c r="G326" s="30"/>
      <c r="H326" s="66"/>
      <c r="I326" s="30"/>
      <c r="J326" s="30"/>
      <c r="K326" s="12"/>
      <c r="L326" s="12"/>
    </row>
    <row r="327" spans="1:12">
      <c r="A327" s="30"/>
      <c r="B327" s="65"/>
      <c r="C327" s="65"/>
      <c r="D327" s="112"/>
      <c r="E327" s="30"/>
      <c r="F327" s="30"/>
      <c r="G327" s="30"/>
      <c r="H327" s="66"/>
      <c r="I327" s="30"/>
      <c r="J327" s="30"/>
      <c r="K327" s="12"/>
      <c r="L327" s="12"/>
    </row>
    <row r="328" spans="1:12">
      <c r="A328" s="30"/>
      <c r="B328" s="65"/>
      <c r="C328" s="65"/>
      <c r="D328" s="112"/>
      <c r="E328" s="30"/>
      <c r="F328" s="30"/>
      <c r="G328" s="30"/>
      <c r="H328" s="66"/>
      <c r="I328" s="30"/>
      <c r="J328" s="30"/>
      <c r="K328" s="12"/>
      <c r="L328" s="12"/>
    </row>
    <row r="329" spans="1:12">
      <c r="A329" s="30"/>
      <c r="B329" s="65"/>
      <c r="C329" s="65"/>
      <c r="D329" s="112"/>
      <c r="E329" s="30"/>
      <c r="F329" s="30"/>
      <c r="G329" s="30"/>
      <c r="H329" s="66"/>
      <c r="I329" s="30"/>
      <c r="J329" s="30"/>
      <c r="K329" s="12"/>
      <c r="L329" s="12"/>
    </row>
    <row r="330" spans="1:12">
      <c r="A330" s="30"/>
      <c r="B330" s="65"/>
      <c r="C330" s="65"/>
      <c r="D330" s="112"/>
      <c r="E330" s="30"/>
      <c r="F330" s="30"/>
      <c r="G330" s="30"/>
      <c r="H330" s="66"/>
      <c r="I330" s="30"/>
      <c r="J330" s="30"/>
      <c r="K330" s="12"/>
      <c r="L330" s="12"/>
    </row>
    <row r="331" spans="1:12">
      <c r="A331" s="30"/>
      <c r="B331" s="65"/>
      <c r="C331" s="65"/>
      <c r="D331" s="112"/>
      <c r="E331" s="30"/>
      <c r="F331" s="30"/>
      <c r="G331" s="30"/>
      <c r="H331" s="66"/>
      <c r="I331" s="30"/>
      <c r="J331" s="30"/>
      <c r="K331" s="12"/>
      <c r="L331" s="12"/>
    </row>
    <row r="332" spans="1:12">
      <c r="A332" s="30"/>
      <c r="B332" s="65"/>
      <c r="C332" s="65"/>
      <c r="D332" s="112"/>
      <c r="E332" s="30"/>
      <c r="F332" s="30"/>
      <c r="G332" s="30"/>
      <c r="H332" s="66"/>
      <c r="I332" s="30"/>
      <c r="J332" s="30"/>
      <c r="K332" s="12"/>
      <c r="L332" s="12"/>
    </row>
    <row r="333" spans="1:12">
      <c r="A333" s="30"/>
      <c r="B333" s="65"/>
      <c r="C333" s="65"/>
      <c r="D333" s="112"/>
      <c r="E333" s="30"/>
      <c r="F333" s="30"/>
      <c r="G333" s="30"/>
      <c r="H333" s="66"/>
      <c r="I333" s="30"/>
      <c r="J333" s="30"/>
      <c r="K333" s="12"/>
      <c r="L333" s="12"/>
    </row>
    <row r="334" spans="1:12">
      <c r="A334" s="30"/>
      <c r="B334" s="65"/>
      <c r="C334" s="65"/>
      <c r="D334" s="112"/>
      <c r="E334" s="30"/>
      <c r="F334" s="30"/>
      <c r="G334" s="30"/>
      <c r="H334" s="66"/>
      <c r="I334" s="30"/>
      <c r="J334" s="30"/>
      <c r="K334" s="12"/>
      <c r="L334" s="12"/>
    </row>
    <row r="335" spans="1:12">
      <c r="A335" s="30"/>
      <c r="B335" s="65"/>
      <c r="C335" s="65"/>
      <c r="D335" s="112"/>
      <c r="E335" s="30"/>
      <c r="F335" s="30"/>
      <c r="G335" s="30"/>
      <c r="H335" s="66"/>
      <c r="I335" s="30"/>
      <c r="J335" s="30"/>
      <c r="K335" s="12"/>
      <c r="L335" s="12"/>
    </row>
    <row r="336" spans="1:12">
      <c r="A336" s="30"/>
      <c r="B336" s="65"/>
      <c r="C336" s="65"/>
      <c r="D336" s="112"/>
      <c r="E336" s="30"/>
      <c r="F336" s="30"/>
      <c r="G336" s="30"/>
      <c r="H336" s="66"/>
      <c r="I336" s="30"/>
      <c r="J336" s="30"/>
      <c r="K336" s="12"/>
      <c r="L336" s="12"/>
    </row>
    <row r="337" spans="1:12">
      <c r="A337" s="30"/>
      <c r="B337" s="65"/>
      <c r="C337" s="65"/>
      <c r="D337" s="112"/>
      <c r="E337" s="30"/>
      <c r="F337" s="30"/>
      <c r="G337" s="30"/>
      <c r="H337" s="66"/>
      <c r="I337" s="30"/>
      <c r="J337" s="30"/>
      <c r="K337" s="12"/>
      <c r="L337" s="12"/>
    </row>
    <row r="338" spans="1:12">
      <c r="A338" s="30"/>
      <c r="B338" s="65"/>
      <c r="C338" s="65"/>
      <c r="D338" s="112"/>
      <c r="E338" s="30"/>
      <c r="F338" s="30"/>
      <c r="G338" s="30"/>
      <c r="H338" s="66"/>
      <c r="I338" s="30"/>
      <c r="J338" s="30"/>
      <c r="K338" s="12"/>
      <c r="L338" s="12"/>
    </row>
    <row r="339" spans="1:12">
      <c r="A339" s="30"/>
      <c r="B339" s="65"/>
      <c r="C339" s="65"/>
      <c r="D339" s="112"/>
      <c r="E339" s="30"/>
      <c r="F339" s="30"/>
      <c r="G339" s="30"/>
      <c r="H339" s="66"/>
      <c r="I339" s="30"/>
      <c r="J339" s="30"/>
      <c r="K339" s="12"/>
      <c r="L339" s="12"/>
    </row>
    <row r="340" spans="1:12">
      <c r="A340" s="30"/>
      <c r="B340" s="65"/>
      <c r="C340" s="65"/>
      <c r="D340" s="112"/>
      <c r="E340" s="30"/>
      <c r="F340" s="30"/>
      <c r="G340" s="30"/>
      <c r="H340" s="66"/>
      <c r="I340" s="30"/>
      <c r="J340" s="30"/>
      <c r="K340" s="12"/>
      <c r="L340" s="12"/>
    </row>
    <row r="341" spans="1:12">
      <c r="A341" s="30"/>
      <c r="B341" s="65"/>
      <c r="C341" s="65"/>
      <c r="D341" s="112"/>
      <c r="E341" s="30"/>
      <c r="F341" s="30"/>
      <c r="G341" s="30"/>
      <c r="H341" s="66"/>
      <c r="I341" s="30"/>
      <c r="J341" s="30"/>
      <c r="K341" s="12"/>
      <c r="L341" s="12"/>
    </row>
    <row r="342" spans="1:12">
      <c r="A342" s="30"/>
      <c r="B342" s="65"/>
      <c r="C342" s="65"/>
      <c r="D342" s="112"/>
      <c r="E342" s="30"/>
      <c r="F342" s="30"/>
      <c r="G342" s="30"/>
      <c r="H342" s="66"/>
      <c r="I342" s="30"/>
      <c r="J342" s="30"/>
      <c r="K342" s="12"/>
      <c r="L342" s="12"/>
    </row>
    <row r="343" spans="1:12">
      <c r="A343" s="30"/>
      <c r="B343" s="65"/>
      <c r="C343" s="65"/>
      <c r="D343" s="112"/>
      <c r="E343" s="30"/>
      <c r="F343" s="30"/>
      <c r="G343" s="30"/>
      <c r="H343" s="66"/>
      <c r="I343" s="30"/>
      <c r="J343" s="30"/>
      <c r="K343" s="12"/>
      <c r="L343" s="12"/>
    </row>
    <row r="344" spans="1:12">
      <c r="A344" s="30"/>
      <c r="B344" s="65"/>
      <c r="C344" s="65"/>
      <c r="D344" s="112"/>
      <c r="E344" s="30"/>
      <c r="F344" s="30"/>
      <c r="G344" s="30"/>
      <c r="H344" s="66"/>
      <c r="I344" s="30"/>
      <c r="J344" s="30"/>
      <c r="K344" s="12"/>
      <c r="L344" s="12"/>
    </row>
    <row r="345" spans="1:12">
      <c r="A345" s="30"/>
      <c r="B345" s="65"/>
      <c r="C345" s="65"/>
      <c r="D345" s="112"/>
      <c r="E345" s="30"/>
      <c r="F345" s="30"/>
      <c r="G345" s="30"/>
      <c r="H345" s="66"/>
      <c r="I345" s="30"/>
      <c r="J345" s="30"/>
      <c r="K345" s="12"/>
      <c r="L345" s="12"/>
    </row>
    <row r="346" spans="1:12">
      <c r="A346" s="30"/>
      <c r="B346" s="65"/>
      <c r="C346" s="65"/>
      <c r="D346" s="112"/>
      <c r="E346" s="30"/>
      <c r="F346" s="30"/>
      <c r="G346" s="30"/>
      <c r="H346" s="66"/>
      <c r="I346" s="30"/>
      <c r="J346" s="30"/>
      <c r="K346" s="12"/>
      <c r="L346" s="12"/>
    </row>
    <row r="347" spans="1:12">
      <c r="A347" s="30"/>
      <c r="B347" s="65"/>
      <c r="C347" s="65"/>
      <c r="D347" s="112"/>
      <c r="E347" s="30"/>
      <c r="F347" s="30"/>
      <c r="G347" s="30"/>
      <c r="H347" s="66"/>
      <c r="I347" s="30"/>
      <c r="J347" s="30"/>
      <c r="K347" s="12"/>
      <c r="L347" s="12"/>
    </row>
    <row r="348" spans="1:12">
      <c r="A348" s="30"/>
      <c r="B348" s="65"/>
      <c r="C348" s="65"/>
      <c r="D348" s="112"/>
      <c r="E348" s="30"/>
      <c r="F348" s="30"/>
      <c r="G348" s="30"/>
      <c r="H348" s="66"/>
      <c r="I348" s="30"/>
      <c r="J348" s="30"/>
      <c r="K348" s="12"/>
      <c r="L348" s="12"/>
    </row>
    <row r="349" spans="1:12">
      <c r="A349" s="30"/>
      <c r="B349" s="65"/>
      <c r="C349" s="65"/>
      <c r="D349" s="112"/>
      <c r="E349" s="30"/>
      <c r="F349" s="30"/>
      <c r="G349" s="30"/>
      <c r="H349" s="66"/>
      <c r="I349" s="30"/>
      <c r="J349" s="30"/>
      <c r="K349" s="12"/>
      <c r="L349" s="12"/>
    </row>
    <row r="350" spans="1:12">
      <c r="A350" s="30"/>
      <c r="B350" s="65"/>
      <c r="C350" s="65"/>
      <c r="D350" s="112"/>
      <c r="E350" s="30"/>
      <c r="F350" s="30"/>
      <c r="G350" s="30"/>
      <c r="H350" s="66"/>
      <c r="I350" s="30"/>
      <c r="J350" s="30"/>
      <c r="K350" s="12"/>
      <c r="L350" s="12"/>
    </row>
    <row r="351" spans="1:12">
      <c r="A351" s="30"/>
      <c r="B351" s="65"/>
      <c r="C351" s="65"/>
      <c r="D351" s="112"/>
      <c r="E351" s="30"/>
      <c r="F351" s="30"/>
      <c r="G351" s="30"/>
      <c r="H351" s="66"/>
      <c r="I351" s="30"/>
      <c r="J351" s="30"/>
      <c r="K351" s="12"/>
      <c r="L351" s="12"/>
    </row>
    <row r="352" spans="1:12">
      <c r="A352" s="30"/>
      <c r="B352" s="65"/>
      <c r="C352" s="65"/>
      <c r="D352" s="112"/>
      <c r="E352" s="30"/>
      <c r="F352" s="30"/>
      <c r="G352" s="30"/>
      <c r="H352" s="66"/>
      <c r="I352" s="30"/>
      <c r="J352" s="30"/>
      <c r="K352" s="12"/>
      <c r="L352" s="12"/>
    </row>
    <row r="353" spans="1:12">
      <c r="A353" s="30"/>
      <c r="B353" s="65"/>
      <c r="C353" s="65"/>
      <c r="D353" s="112"/>
      <c r="E353" s="30"/>
      <c r="F353" s="30"/>
      <c r="G353" s="30"/>
      <c r="H353" s="66"/>
      <c r="I353" s="30"/>
      <c r="J353" s="30"/>
      <c r="K353" s="12"/>
      <c r="L353" s="12"/>
    </row>
    <row r="354" spans="1:12">
      <c r="A354" s="30"/>
      <c r="B354" s="65"/>
      <c r="C354" s="65"/>
      <c r="D354" s="112"/>
      <c r="E354" s="30"/>
      <c r="F354" s="30"/>
      <c r="G354" s="30"/>
      <c r="H354" s="66"/>
      <c r="I354" s="30"/>
      <c r="J354" s="30"/>
      <c r="K354" s="12"/>
      <c r="L354" s="12"/>
    </row>
    <row r="355" spans="1:12">
      <c r="A355" s="30"/>
      <c r="B355" s="65"/>
      <c r="C355" s="65"/>
      <c r="D355" s="112"/>
      <c r="E355" s="30"/>
      <c r="F355" s="30"/>
      <c r="G355" s="30"/>
      <c r="H355" s="66"/>
      <c r="I355" s="30"/>
      <c r="J355" s="30"/>
      <c r="K355" s="12"/>
      <c r="L355" s="12"/>
    </row>
    <row r="356" spans="1:12">
      <c r="A356" s="30"/>
      <c r="B356" s="65"/>
      <c r="C356" s="65"/>
      <c r="D356" s="112"/>
      <c r="E356" s="30"/>
      <c r="F356" s="30"/>
      <c r="G356" s="30"/>
      <c r="H356" s="66"/>
      <c r="I356" s="30"/>
      <c r="J356" s="30"/>
      <c r="K356" s="12"/>
      <c r="L356" s="12"/>
    </row>
    <row r="357" spans="1:12">
      <c r="A357" s="30"/>
      <c r="B357" s="65"/>
      <c r="C357" s="65"/>
      <c r="D357" s="112"/>
      <c r="E357" s="30"/>
      <c r="F357" s="30"/>
      <c r="G357" s="30"/>
      <c r="H357" s="66"/>
      <c r="I357" s="30"/>
      <c r="J357" s="30"/>
      <c r="K357" s="12"/>
      <c r="L357" s="12"/>
    </row>
    <row r="358" spans="1:12">
      <c r="A358" s="30"/>
      <c r="B358" s="65"/>
      <c r="C358" s="65"/>
      <c r="D358" s="112"/>
      <c r="E358" s="30"/>
      <c r="F358" s="30"/>
      <c r="G358" s="30"/>
      <c r="H358" s="66"/>
      <c r="I358" s="30"/>
      <c r="J358" s="30"/>
      <c r="K358" s="12"/>
      <c r="L358" s="12"/>
    </row>
    <row r="359" spans="1:12">
      <c r="A359" s="30"/>
      <c r="B359" s="65"/>
      <c r="C359" s="65"/>
      <c r="D359" s="112"/>
      <c r="E359" s="30"/>
      <c r="F359" s="30"/>
      <c r="G359" s="30"/>
      <c r="H359" s="66"/>
      <c r="I359" s="30"/>
      <c r="J359" s="30"/>
      <c r="K359" s="12"/>
      <c r="L359" s="12"/>
    </row>
    <row r="360" spans="1:12">
      <c r="A360" s="30"/>
      <c r="B360" s="65"/>
      <c r="C360" s="65"/>
      <c r="D360" s="112"/>
      <c r="E360" s="30"/>
      <c r="F360" s="30"/>
      <c r="G360" s="30"/>
      <c r="H360" s="66"/>
      <c r="I360" s="30"/>
      <c r="J360" s="30"/>
      <c r="K360" s="12"/>
      <c r="L360" s="12"/>
    </row>
    <row r="361" spans="1:12">
      <c r="A361" s="30"/>
      <c r="B361" s="65"/>
      <c r="C361" s="65"/>
      <c r="D361" s="112"/>
      <c r="E361" s="30"/>
      <c r="F361" s="30"/>
      <c r="G361" s="30"/>
      <c r="H361" s="66"/>
      <c r="I361" s="30"/>
      <c r="J361" s="30"/>
      <c r="K361" s="12"/>
      <c r="L361" s="12"/>
    </row>
    <row r="362" spans="1:12">
      <c r="A362" s="30"/>
      <c r="B362" s="65"/>
      <c r="C362" s="65"/>
      <c r="D362" s="112"/>
      <c r="E362" s="30"/>
      <c r="F362" s="30"/>
      <c r="G362" s="30"/>
      <c r="H362" s="66"/>
      <c r="I362" s="30"/>
      <c r="J362" s="30"/>
      <c r="K362" s="12"/>
      <c r="L362" s="12"/>
    </row>
    <row r="363" spans="1:12">
      <c r="A363" s="30"/>
      <c r="B363" s="65"/>
      <c r="C363" s="65"/>
      <c r="D363" s="112"/>
      <c r="E363" s="30"/>
      <c r="F363" s="30"/>
      <c r="G363" s="30"/>
      <c r="H363" s="66"/>
      <c r="I363" s="30"/>
      <c r="J363" s="30"/>
      <c r="K363" s="12"/>
      <c r="L363" s="12"/>
    </row>
    <row r="364" spans="1:12">
      <c r="A364" s="30"/>
      <c r="B364" s="65"/>
      <c r="C364" s="65"/>
      <c r="D364" s="112"/>
      <c r="E364" s="30"/>
      <c r="F364" s="30"/>
      <c r="G364" s="30"/>
      <c r="H364" s="66"/>
      <c r="I364" s="30"/>
      <c r="J364" s="30"/>
      <c r="K364" s="12"/>
      <c r="L364" s="12"/>
    </row>
    <row r="365" spans="1:12">
      <c r="A365" s="30"/>
      <c r="B365" s="65"/>
      <c r="C365" s="65"/>
      <c r="D365" s="112"/>
      <c r="E365" s="30"/>
      <c r="F365" s="30"/>
      <c r="G365" s="30"/>
      <c r="H365" s="66"/>
      <c r="I365" s="30"/>
      <c r="J365" s="30"/>
      <c r="K365" s="12"/>
      <c r="L365" s="12"/>
    </row>
    <row r="366" spans="1:12">
      <c r="A366" s="30"/>
      <c r="B366" s="65"/>
      <c r="C366" s="65"/>
      <c r="D366" s="112"/>
      <c r="E366" s="30"/>
      <c r="F366" s="30"/>
      <c r="G366" s="30"/>
      <c r="H366" s="66"/>
      <c r="I366" s="30"/>
      <c r="J366" s="30"/>
      <c r="K366" s="12"/>
      <c r="L366" s="12"/>
    </row>
    <row r="367" spans="1:12">
      <c r="A367" s="30"/>
      <c r="B367" s="65"/>
      <c r="C367" s="65"/>
      <c r="D367" s="112"/>
      <c r="E367" s="30"/>
      <c r="F367" s="30"/>
      <c r="G367" s="30"/>
      <c r="H367" s="66"/>
      <c r="I367" s="30"/>
      <c r="J367" s="30"/>
      <c r="K367" s="12"/>
      <c r="L367" s="12"/>
    </row>
    <row r="368" spans="1:12">
      <c r="A368" s="30"/>
      <c r="B368" s="65"/>
      <c r="C368" s="65"/>
      <c r="D368" s="112"/>
      <c r="E368" s="30"/>
      <c r="F368" s="30"/>
      <c r="G368" s="30"/>
      <c r="H368" s="66"/>
      <c r="I368" s="30"/>
      <c r="J368" s="30"/>
      <c r="K368" s="12"/>
      <c r="L368" s="12"/>
    </row>
    <row r="369" spans="1:12">
      <c r="A369" s="30"/>
      <c r="B369" s="65"/>
      <c r="C369" s="65"/>
      <c r="D369" s="112"/>
      <c r="E369" s="30"/>
      <c r="F369" s="30"/>
      <c r="G369" s="30"/>
      <c r="H369" s="66"/>
      <c r="I369" s="30"/>
      <c r="J369" s="30"/>
      <c r="K369" s="12"/>
      <c r="L369" s="12"/>
    </row>
    <row r="370" spans="1:12">
      <c r="A370" s="30"/>
      <c r="B370" s="65"/>
      <c r="C370" s="65"/>
      <c r="D370" s="112"/>
      <c r="E370" s="30"/>
      <c r="F370" s="30"/>
      <c r="G370" s="30"/>
      <c r="H370" s="66"/>
      <c r="I370" s="30"/>
      <c r="J370" s="30"/>
      <c r="K370" s="12"/>
      <c r="L370" s="12"/>
    </row>
    <row r="371" spans="1:12">
      <c r="A371" s="30"/>
      <c r="B371" s="65"/>
      <c r="C371" s="65"/>
      <c r="D371" s="112"/>
      <c r="E371" s="30"/>
      <c r="F371" s="30"/>
      <c r="G371" s="30"/>
      <c r="H371" s="66"/>
      <c r="I371" s="30"/>
      <c r="J371" s="30"/>
      <c r="K371" s="12"/>
      <c r="L371" s="12"/>
    </row>
    <row r="372" spans="1:12">
      <c r="A372" s="30"/>
      <c r="B372" s="65"/>
      <c r="C372" s="65"/>
      <c r="D372" s="112"/>
      <c r="E372" s="30"/>
      <c r="F372" s="30"/>
      <c r="G372" s="30"/>
      <c r="H372" s="66"/>
      <c r="I372" s="30"/>
      <c r="J372" s="30"/>
      <c r="K372" s="12"/>
      <c r="L372" s="12"/>
    </row>
    <row r="373" spans="1:12">
      <c r="A373" s="30"/>
      <c r="B373" s="65"/>
      <c r="C373" s="65"/>
      <c r="D373" s="112"/>
      <c r="E373" s="30"/>
      <c r="F373" s="30"/>
      <c r="G373" s="30"/>
      <c r="H373" s="66"/>
      <c r="I373" s="30"/>
      <c r="J373" s="30"/>
      <c r="K373" s="12"/>
      <c r="L373" s="12"/>
    </row>
    <row r="374" spans="1:12">
      <c r="A374" s="30"/>
      <c r="B374" s="65"/>
      <c r="C374" s="65"/>
      <c r="D374" s="112"/>
      <c r="E374" s="30"/>
      <c r="F374" s="30"/>
      <c r="G374" s="30"/>
      <c r="H374" s="66"/>
      <c r="I374" s="30"/>
      <c r="J374" s="30"/>
      <c r="K374" s="12"/>
      <c r="L374" s="12"/>
    </row>
    <row r="375" spans="1:12">
      <c r="A375" s="30"/>
      <c r="B375" s="65"/>
      <c r="C375" s="65"/>
      <c r="D375" s="112"/>
      <c r="E375" s="30"/>
      <c r="F375" s="30"/>
      <c r="G375" s="30"/>
      <c r="H375" s="66"/>
      <c r="I375" s="30"/>
      <c r="J375" s="30"/>
      <c r="K375" s="12"/>
      <c r="L375" s="12"/>
    </row>
    <row r="376" spans="1:12">
      <c r="A376" s="30"/>
      <c r="B376" s="65"/>
      <c r="C376" s="65"/>
      <c r="D376" s="112"/>
      <c r="E376" s="30"/>
      <c r="F376" s="30"/>
      <c r="G376" s="30"/>
      <c r="H376" s="66"/>
      <c r="I376" s="30"/>
      <c r="J376" s="30"/>
      <c r="K376" s="12"/>
      <c r="L376" s="12"/>
    </row>
    <row r="377" spans="1:12">
      <c r="A377" s="30"/>
      <c r="B377" s="65"/>
      <c r="C377" s="65"/>
      <c r="D377" s="112"/>
      <c r="E377" s="30"/>
      <c r="F377" s="30"/>
      <c r="G377" s="30"/>
      <c r="H377" s="66"/>
      <c r="I377" s="30"/>
      <c r="J377" s="30"/>
      <c r="K377" s="12"/>
      <c r="L377" s="12"/>
    </row>
    <row r="378" spans="1:12">
      <c r="A378" s="30"/>
      <c r="B378" s="65"/>
      <c r="C378" s="65"/>
      <c r="D378" s="112"/>
      <c r="E378" s="30"/>
      <c r="F378" s="30"/>
      <c r="G378" s="30"/>
      <c r="H378" s="66"/>
      <c r="I378" s="30"/>
      <c r="J378" s="30"/>
      <c r="K378" s="12"/>
      <c r="L378" s="12"/>
    </row>
    <row r="379" spans="1:12">
      <c r="A379" s="30"/>
      <c r="B379" s="65"/>
      <c r="C379" s="65"/>
      <c r="D379" s="112"/>
      <c r="E379" s="30"/>
      <c r="F379" s="30"/>
      <c r="G379" s="30"/>
      <c r="H379" s="66"/>
      <c r="I379" s="30"/>
      <c r="J379" s="30"/>
      <c r="K379" s="12"/>
      <c r="L379" s="12"/>
    </row>
    <row r="380" spans="1:12">
      <c r="A380" s="30"/>
      <c r="B380" s="65"/>
      <c r="C380" s="65"/>
      <c r="D380" s="112"/>
      <c r="E380" s="30"/>
      <c r="F380" s="30"/>
      <c r="G380" s="30"/>
      <c r="H380" s="66"/>
      <c r="I380" s="30"/>
      <c r="J380" s="30"/>
      <c r="K380" s="12"/>
      <c r="L380" s="12"/>
    </row>
    <row r="381" spans="1:12">
      <c r="A381" s="30"/>
      <c r="B381" s="65"/>
      <c r="C381" s="65"/>
      <c r="D381" s="112"/>
      <c r="E381" s="30"/>
      <c r="F381" s="30"/>
      <c r="G381" s="30"/>
      <c r="H381" s="66"/>
      <c r="I381" s="30"/>
      <c r="J381" s="30"/>
      <c r="K381" s="12"/>
      <c r="L381" s="12"/>
    </row>
    <row r="382" spans="1:12">
      <c r="A382" s="30"/>
      <c r="B382" s="65"/>
      <c r="C382" s="65"/>
      <c r="D382" s="112"/>
      <c r="E382" s="30"/>
      <c r="F382" s="30"/>
      <c r="G382" s="30"/>
      <c r="H382" s="66"/>
      <c r="I382" s="30"/>
      <c r="J382" s="30"/>
      <c r="K382" s="12"/>
      <c r="L382" s="12"/>
    </row>
    <row r="383" spans="1:12">
      <c r="A383" s="30"/>
      <c r="B383" s="65"/>
      <c r="C383" s="65"/>
      <c r="D383" s="112"/>
      <c r="E383" s="30"/>
      <c r="F383" s="30"/>
      <c r="G383" s="30"/>
      <c r="H383" s="66"/>
      <c r="I383" s="30"/>
      <c r="J383" s="30"/>
      <c r="K383" s="12"/>
      <c r="L383" s="12"/>
    </row>
    <row r="384" spans="1:12">
      <c r="A384" s="30"/>
      <c r="B384" s="65"/>
      <c r="C384" s="65"/>
      <c r="D384" s="112"/>
      <c r="E384" s="30"/>
      <c r="F384" s="30"/>
      <c r="G384" s="30"/>
      <c r="H384" s="66"/>
      <c r="I384" s="30"/>
      <c r="J384" s="30"/>
      <c r="K384" s="12"/>
      <c r="L384" s="12"/>
    </row>
    <row r="385" spans="1:12">
      <c r="A385" s="30"/>
      <c r="B385" s="65"/>
      <c r="C385" s="65"/>
      <c r="D385" s="112"/>
      <c r="E385" s="30"/>
      <c r="F385" s="30"/>
      <c r="G385" s="30"/>
      <c r="H385" s="66"/>
      <c r="I385" s="30"/>
      <c r="J385" s="30"/>
      <c r="K385" s="12"/>
      <c r="L385" s="12"/>
    </row>
    <row r="386" spans="1:12">
      <c r="A386" s="30"/>
      <c r="B386" s="65"/>
      <c r="C386" s="65"/>
      <c r="D386" s="112"/>
      <c r="E386" s="30"/>
      <c r="F386" s="30"/>
      <c r="G386" s="30"/>
      <c r="H386" s="66"/>
      <c r="I386" s="30"/>
      <c r="J386" s="30"/>
      <c r="K386" s="12"/>
      <c r="L386" s="12"/>
    </row>
    <row r="387" spans="1:12">
      <c r="A387" s="30"/>
      <c r="B387" s="65"/>
      <c r="C387" s="65"/>
      <c r="D387" s="112"/>
      <c r="E387" s="30"/>
      <c r="F387" s="30"/>
      <c r="G387" s="30"/>
      <c r="H387" s="66"/>
      <c r="I387" s="30"/>
      <c r="J387" s="30"/>
      <c r="K387" s="12"/>
      <c r="L387" s="12"/>
    </row>
    <row r="388" spans="1:12">
      <c r="A388" s="30"/>
      <c r="B388" s="65"/>
      <c r="C388" s="65"/>
      <c r="D388" s="112"/>
      <c r="E388" s="30"/>
      <c r="F388" s="30"/>
      <c r="G388" s="30"/>
      <c r="H388" s="66"/>
      <c r="I388" s="30"/>
      <c r="J388" s="30"/>
      <c r="K388" s="12"/>
      <c r="L388" s="12"/>
    </row>
    <row r="389" spans="1:12">
      <c r="A389" s="30"/>
      <c r="B389" s="65"/>
      <c r="C389" s="65"/>
      <c r="D389" s="112"/>
      <c r="E389" s="30"/>
      <c r="F389" s="30"/>
      <c r="G389" s="30"/>
      <c r="H389" s="66"/>
      <c r="I389" s="30"/>
      <c r="J389" s="30"/>
      <c r="K389" s="12"/>
      <c r="L389" s="12"/>
    </row>
    <row r="390" spans="1:12">
      <c r="A390" s="30"/>
      <c r="B390" s="65"/>
      <c r="C390" s="65"/>
      <c r="D390" s="112"/>
      <c r="E390" s="30"/>
      <c r="F390" s="30"/>
      <c r="G390" s="30"/>
      <c r="H390" s="66"/>
      <c r="I390" s="30"/>
      <c r="J390" s="30"/>
      <c r="K390" s="12"/>
      <c r="L390" s="12"/>
    </row>
    <row r="391" spans="1:12">
      <c r="A391" s="30"/>
      <c r="B391" s="65"/>
      <c r="C391" s="65"/>
      <c r="D391" s="112"/>
      <c r="E391" s="30"/>
      <c r="F391" s="30"/>
      <c r="G391" s="30"/>
      <c r="H391" s="66"/>
      <c r="I391" s="30"/>
      <c r="J391" s="30"/>
      <c r="K391" s="12"/>
      <c r="L391" s="12"/>
    </row>
    <row r="392" spans="1:12">
      <c r="A392" s="30"/>
      <c r="B392" s="65"/>
      <c r="C392" s="65"/>
      <c r="D392" s="112"/>
      <c r="E392" s="30"/>
      <c r="F392" s="30"/>
      <c r="G392" s="30"/>
      <c r="H392" s="66"/>
      <c r="I392" s="30"/>
      <c r="J392" s="30"/>
      <c r="K392" s="12"/>
      <c r="L392" s="12"/>
    </row>
    <row r="393" spans="1:12">
      <c r="A393" s="30"/>
      <c r="B393" s="65"/>
      <c r="C393" s="65"/>
      <c r="D393" s="112"/>
      <c r="E393" s="30"/>
      <c r="F393" s="30"/>
      <c r="G393" s="30"/>
      <c r="H393" s="66"/>
      <c r="I393" s="30"/>
      <c r="J393" s="30"/>
      <c r="K393" s="12"/>
      <c r="L393" s="12"/>
    </row>
    <row r="394" spans="1:12">
      <c r="A394" s="30"/>
      <c r="B394" s="65"/>
      <c r="C394" s="65"/>
      <c r="D394" s="112"/>
      <c r="E394" s="30"/>
      <c r="F394" s="30"/>
      <c r="G394" s="30"/>
      <c r="H394" s="66"/>
      <c r="I394" s="30"/>
      <c r="J394" s="30"/>
      <c r="K394" s="12"/>
      <c r="L394" s="12"/>
    </row>
    <row r="395" spans="1:12">
      <c r="A395" s="30"/>
      <c r="B395" s="65"/>
      <c r="C395" s="65"/>
      <c r="D395" s="112"/>
      <c r="E395" s="30"/>
      <c r="F395" s="30"/>
      <c r="G395" s="30"/>
      <c r="H395" s="66"/>
      <c r="I395" s="30"/>
      <c r="J395" s="30"/>
      <c r="K395" s="12"/>
      <c r="L395" s="12"/>
    </row>
    <row r="396" spans="1:12">
      <c r="A396" s="30"/>
      <c r="B396" s="65"/>
      <c r="C396" s="65"/>
      <c r="D396" s="112"/>
      <c r="E396" s="30"/>
      <c r="F396" s="30"/>
      <c r="G396" s="30"/>
      <c r="H396" s="66"/>
      <c r="I396" s="30"/>
      <c r="J396" s="30"/>
      <c r="K396" s="12"/>
      <c r="L396" s="12"/>
    </row>
    <row r="397" spans="1:12">
      <c r="A397" s="30"/>
      <c r="B397" s="65"/>
      <c r="C397" s="65"/>
      <c r="D397" s="112"/>
      <c r="E397" s="30"/>
      <c r="F397" s="30"/>
      <c r="G397" s="30"/>
      <c r="H397" s="66"/>
      <c r="I397" s="30"/>
      <c r="J397" s="30"/>
      <c r="K397" s="12"/>
      <c r="L397" s="12"/>
    </row>
    <row r="398" spans="1:12">
      <c r="A398" s="30"/>
      <c r="B398" s="65"/>
      <c r="C398" s="65"/>
      <c r="D398" s="112"/>
      <c r="E398" s="30"/>
      <c r="F398" s="30"/>
      <c r="G398" s="30"/>
      <c r="H398" s="66"/>
      <c r="I398" s="30"/>
      <c r="J398" s="30"/>
      <c r="K398" s="12"/>
      <c r="L398" s="12"/>
    </row>
    <row r="399" spans="1:12">
      <c r="A399" s="30"/>
      <c r="B399" s="65"/>
      <c r="C399" s="65"/>
      <c r="D399" s="112"/>
      <c r="E399" s="30"/>
      <c r="F399" s="30"/>
      <c r="G399" s="30"/>
      <c r="H399" s="66"/>
      <c r="I399" s="30"/>
      <c r="J399" s="30"/>
      <c r="K399" s="12"/>
      <c r="L399" s="12"/>
    </row>
    <row r="400" spans="1:12">
      <c r="A400" s="30"/>
      <c r="B400" s="65"/>
      <c r="C400" s="65"/>
      <c r="D400" s="112"/>
      <c r="E400" s="30"/>
      <c r="F400" s="30"/>
      <c r="G400" s="30"/>
      <c r="H400" s="66"/>
      <c r="I400" s="30"/>
      <c r="J400" s="30"/>
      <c r="K400" s="12"/>
      <c r="L400" s="12"/>
    </row>
    <row r="401" spans="1:12">
      <c r="A401" s="30"/>
      <c r="B401" s="65"/>
      <c r="C401" s="65"/>
      <c r="D401" s="112"/>
      <c r="E401" s="30"/>
      <c r="F401" s="30"/>
      <c r="G401" s="30"/>
      <c r="H401" s="66"/>
      <c r="I401" s="30"/>
      <c r="J401" s="30"/>
      <c r="K401" s="12"/>
      <c r="L401" s="12"/>
    </row>
    <row r="402" spans="1:12">
      <c r="A402" s="30"/>
      <c r="B402" s="65"/>
      <c r="C402" s="65"/>
      <c r="D402" s="112"/>
      <c r="E402" s="30"/>
      <c r="F402" s="30"/>
      <c r="G402" s="30"/>
      <c r="H402" s="66"/>
      <c r="I402" s="30"/>
      <c r="J402" s="30"/>
      <c r="K402" s="12"/>
      <c r="L402" s="12"/>
    </row>
    <row r="403" spans="1:12">
      <c r="A403" s="30"/>
      <c r="B403" s="65"/>
      <c r="C403" s="65"/>
      <c r="D403" s="112"/>
      <c r="E403" s="30"/>
      <c r="F403" s="30"/>
      <c r="G403" s="30"/>
      <c r="H403" s="66"/>
      <c r="I403" s="30"/>
      <c r="J403" s="30"/>
      <c r="K403" s="12"/>
      <c r="L403" s="12"/>
    </row>
    <row r="404" spans="1:12">
      <c r="A404" s="30"/>
      <c r="B404" s="65"/>
      <c r="C404" s="65"/>
      <c r="D404" s="112"/>
      <c r="E404" s="30"/>
      <c r="F404" s="30"/>
      <c r="G404" s="30"/>
      <c r="H404" s="66"/>
      <c r="I404" s="30"/>
      <c r="J404" s="30"/>
      <c r="K404" s="12"/>
      <c r="L404" s="12"/>
    </row>
    <row r="405" spans="1:12">
      <c r="A405" s="30"/>
      <c r="B405" s="65"/>
      <c r="C405" s="65"/>
      <c r="D405" s="112"/>
      <c r="E405" s="30"/>
      <c r="F405" s="30"/>
      <c r="G405" s="30"/>
      <c r="H405" s="66"/>
      <c r="I405" s="30"/>
      <c r="J405" s="30"/>
      <c r="K405" s="12"/>
      <c r="L405" s="12"/>
    </row>
    <row r="406" spans="1:12">
      <c r="A406" s="30"/>
      <c r="B406" s="65"/>
      <c r="C406" s="65"/>
      <c r="D406" s="112"/>
      <c r="E406" s="30"/>
      <c r="F406" s="30"/>
      <c r="G406" s="30"/>
      <c r="H406" s="66"/>
      <c r="I406" s="30"/>
      <c r="J406" s="30"/>
      <c r="K406" s="12"/>
      <c r="L406" s="12"/>
    </row>
    <row r="407" spans="1:12">
      <c r="A407" s="30"/>
      <c r="B407" s="65"/>
      <c r="C407" s="65"/>
      <c r="D407" s="112"/>
      <c r="E407" s="30"/>
      <c r="F407" s="30"/>
      <c r="G407" s="30"/>
      <c r="H407" s="66"/>
      <c r="I407" s="30"/>
      <c r="J407" s="30"/>
      <c r="K407" s="12"/>
      <c r="L407" s="12"/>
    </row>
    <row r="408" spans="1:12">
      <c r="A408" s="30"/>
      <c r="B408" s="65"/>
      <c r="C408" s="65"/>
      <c r="D408" s="112"/>
      <c r="E408" s="30"/>
      <c r="F408" s="30"/>
      <c r="G408" s="30"/>
      <c r="H408" s="66"/>
      <c r="I408" s="30"/>
      <c r="J408" s="30"/>
      <c r="K408" s="12"/>
      <c r="L408" s="12"/>
    </row>
    <row r="409" spans="1:12">
      <c r="A409" s="30"/>
      <c r="B409" s="65"/>
      <c r="C409" s="65"/>
      <c r="D409" s="112"/>
      <c r="E409" s="30"/>
      <c r="F409" s="30"/>
      <c r="G409" s="30"/>
      <c r="H409" s="66"/>
      <c r="I409" s="30"/>
      <c r="J409" s="30"/>
      <c r="K409" s="12"/>
      <c r="L409" s="12"/>
    </row>
    <row r="410" spans="1:12">
      <c r="A410" s="30"/>
      <c r="B410" s="65"/>
      <c r="C410" s="65"/>
      <c r="D410" s="112"/>
      <c r="E410" s="30"/>
      <c r="F410" s="30"/>
      <c r="G410" s="30"/>
      <c r="H410" s="66"/>
      <c r="I410" s="30"/>
      <c r="J410" s="30"/>
      <c r="K410" s="12"/>
      <c r="L410" s="12"/>
    </row>
    <row r="411" spans="1:12">
      <c r="A411" s="30"/>
      <c r="B411" s="65"/>
      <c r="C411" s="65"/>
      <c r="D411" s="112"/>
      <c r="E411" s="30"/>
      <c r="F411" s="30"/>
      <c r="G411" s="30"/>
      <c r="H411" s="66"/>
      <c r="I411" s="30"/>
      <c r="J411" s="30"/>
      <c r="K411" s="12"/>
      <c r="L411" s="12"/>
    </row>
    <row r="412" spans="1:12">
      <c r="A412" s="30"/>
      <c r="B412" s="65"/>
      <c r="C412" s="65"/>
      <c r="D412" s="112"/>
      <c r="E412" s="30"/>
      <c r="F412" s="30"/>
      <c r="G412" s="30"/>
      <c r="H412" s="66"/>
      <c r="I412" s="30"/>
      <c r="J412" s="30"/>
      <c r="K412" s="12"/>
      <c r="L412" s="12"/>
    </row>
    <row r="413" spans="1:12">
      <c r="A413" s="30"/>
      <c r="B413" s="65"/>
      <c r="C413" s="65"/>
      <c r="D413" s="112"/>
      <c r="E413" s="30"/>
      <c r="F413" s="30"/>
      <c r="G413" s="30"/>
      <c r="H413" s="66"/>
      <c r="I413" s="30"/>
      <c r="J413" s="30"/>
      <c r="K413" s="12"/>
      <c r="L413" s="12"/>
    </row>
    <row r="414" spans="1:12">
      <c r="A414" s="30"/>
      <c r="B414" s="65"/>
      <c r="C414" s="65"/>
      <c r="D414" s="112"/>
      <c r="E414" s="30"/>
      <c r="F414" s="30"/>
      <c r="G414" s="30"/>
      <c r="H414" s="66"/>
      <c r="I414" s="30"/>
      <c r="J414" s="30"/>
      <c r="K414" s="12"/>
      <c r="L414" s="12"/>
    </row>
    <row r="415" spans="1:12">
      <c r="A415" s="30"/>
      <c r="B415" s="65"/>
      <c r="C415" s="65"/>
      <c r="D415" s="112"/>
      <c r="E415" s="30"/>
      <c r="F415" s="30"/>
      <c r="G415" s="30"/>
      <c r="H415" s="66"/>
      <c r="I415" s="30"/>
      <c r="J415" s="30"/>
      <c r="K415" s="12"/>
      <c r="L415" s="12"/>
    </row>
    <row r="416" spans="1:12">
      <c r="A416" s="30"/>
      <c r="B416" s="65"/>
      <c r="C416" s="65"/>
      <c r="D416" s="112"/>
      <c r="E416" s="30"/>
      <c r="F416" s="30"/>
      <c r="G416" s="30"/>
      <c r="H416" s="66"/>
      <c r="I416" s="30"/>
      <c r="J416" s="30"/>
      <c r="K416" s="12"/>
      <c r="L416" s="12"/>
    </row>
    <row r="417" spans="1:12">
      <c r="A417" s="30"/>
      <c r="B417" s="65"/>
      <c r="C417" s="65"/>
      <c r="D417" s="112"/>
      <c r="E417" s="30"/>
      <c r="F417" s="30"/>
      <c r="G417" s="30"/>
      <c r="H417" s="66"/>
      <c r="I417" s="30"/>
      <c r="J417" s="30"/>
      <c r="K417" s="12"/>
      <c r="L417" s="12"/>
    </row>
    <row r="418" spans="1:12">
      <c r="A418" s="30"/>
      <c r="B418" s="65"/>
      <c r="C418" s="65"/>
      <c r="D418" s="112"/>
      <c r="E418" s="30"/>
      <c r="F418" s="30"/>
      <c r="G418" s="30"/>
      <c r="H418" s="66"/>
      <c r="I418" s="30"/>
      <c r="J418" s="30"/>
      <c r="K418" s="12"/>
      <c r="L418" s="12"/>
    </row>
    <row r="419" spans="1:12">
      <c r="A419" s="30"/>
      <c r="B419" s="65"/>
      <c r="C419" s="65"/>
      <c r="D419" s="112"/>
      <c r="E419" s="30"/>
      <c r="F419" s="30"/>
      <c r="G419" s="30"/>
      <c r="H419" s="66"/>
      <c r="I419" s="30"/>
      <c r="J419" s="30"/>
      <c r="K419" s="12"/>
      <c r="L419" s="12"/>
    </row>
    <row r="420" spans="1:12">
      <c r="A420" s="30"/>
      <c r="B420" s="65"/>
      <c r="C420" s="65"/>
      <c r="D420" s="112"/>
      <c r="E420" s="30"/>
      <c r="F420" s="30"/>
      <c r="G420" s="30"/>
      <c r="H420" s="66"/>
      <c r="I420" s="30"/>
      <c r="J420" s="30"/>
      <c r="K420" s="12"/>
      <c r="L420" s="12"/>
    </row>
    <row r="421" spans="1:12">
      <c r="A421" s="30"/>
      <c r="B421" s="65"/>
      <c r="C421" s="65"/>
      <c r="D421" s="112"/>
      <c r="E421" s="30"/>
      <c r="F421" s="30"/>
      <c r="G421" s="30"/>
      <c r="H421" s="66"/>
      <c r="I421" s="30"/>
      <c r="J421" s="30"/>
      <c r="K421" s="12"/>
      <c r="L421" s="12"/>
    </row>
    <row r="422" spans="1:12">
      <c r="A422" s="30"/>
      <c r="B422" s="65"/>
      <c r="C422" s="65"/>
      <c r="D422" s="112"/>
      <c r="E422" s="30"/>
      <c r="F422" s="30"/>
      <c r="G422" s="30"/>
      <c r="H422" s="66"/>
      <c r="I422" s="30"/>
      <c r="J422" s="30"/>
      <c r="K422" s="12"/>
      <c r="L422" s="12"/>
    </row>
    <row r="423" spans="1:12">
      <c r="A423" s="30"/>
      <c r="B423" s="65"/>
      <c r="C423" s="65"/>
      <c r="D423" s="112"/>
      <c r="E423" s="30"/>
      <c r="F423" s="30"/>
      <c r="G423" s="30"/>
      <c r="H423" s="66"/>
      <c r="I423" s="30"/>
      <c r="J423" s="30"/>
      <c r="K423" s="12"/>
      <c r="L423" s="12"/>
    </row>
    <row r="424" spans="1:12">
      <c r="A424" s="30"/>
      <c r="B424" s="65"/>
      <c r="C424" s="65"/>
      <c r="D424" s="112"/>
      <c r="E424" s="30"/>
      <c r="F424" s="30"/>
      <c r="G424" s="30"/>
      <c r="H424" s="66"/>
      <c r="I424" s="30"/>
      <c r="J424" s="30"/>
      <c r="K424" s="12"/>
      <c r="L424" s="12"/>
    </row>
    <row r="425" spans="1:12">
      <c r="A425" s="30"/>
      <c r="B425" s="65"/>
      <c r="C425" s="65"/>
      <c r="D425" s="112"/>
      <c r="E425" s="30"/>
      <c r="F425" s="30"/>
      <c r="G425" s="30"/>
      <c r="H425" s="66"/>
      <c r="I425" s="30"/>
      <c r="J425" s="30"/>
      <c r="K425" s="12"/>
      <c r="L425" s="12"/>
    </row>
    <row r="426" spans="1:12">
      <c r="A426" s="30"/>
      <c r="B426" s="65"/>
      <c r="C426" s="65"/>
      <c r="D426" s="112"/>
      <c r="E426" s="30"/>
      <c r="F426" s="30"/>
      <c r="G426" s="30"/>
      <c r="H426" s="66"/>
      <c r="I426" s="30"/>
      <c r="J426" s="30"/>
      <c r="K426" s="12"/>
      <c r="L426" s="12"/>
    </row>
    <row r="427" spans="1:12">
      <c r="A427" s="30"/>
      <c r="B427" s="65"/>
      <c r="C427" s="65"/>
      <c r="D427" s="112"/>
      <c r="E427" s="30"/>
      <c r="F427" s="30"/>
      <c r="G427" s="30"/>
      <c r="H427" s="66"/>
      <c r="I427" s="30"/>
      <c r="J427" s="30"/>
      <c r="K427" s="12"/>
      <c r="L427" s="12"/>
    </row>
    <row r="428" spans="1:12">
      <c r="A428" s="30"/>
      <c r="B428" s="65"/>
      <c r="C428" s="65"/>
      <c r="D428" s="112"/>
      <c r="E428" s="30"/>
      <c r="F428" s="30"/>
      <c r="G428" s="30"/>
      <c r="H428" s="66"/>
      <c r="I428" s="30"/>
      <c r="J428" s="30"/>
      <c r="K428" s="12"/>
      <c r="L428" s="12"/>
    </row>
    <row r="429" spans="1:12">
      <c r="A429" s="30"/>
      <c r="B429" s="65"/>
      <c r="C429" s="65"/>
      <c r="D429" s="112"/>
      <c r="E429" s="30"/>
      <c r="F429" s="30"/>
      <c r="G429" s="30"/>
      <c r="H429" s="66"/>
      <c r="I429" s="30"/>
      <c r="J429" s="30"/>
      <c r="K429" s="12"/>
      <c r="L429" s="12"/>
    </row>
    <row r="430" spans="1:12">
      <c r="A430" s="30"/>
      <c r="B430" s="65"/>
      <c r="C430" s="65"/>
      <c r="D430" s="112"/>
      <c r="E430" s="30"/>
      <c r="F430" s="30"/>
      <c r="G430" s="30"/>
      <c r="H430" s="66"/>
      <c r="I430" s="30"/>
      <c r="J430" s="30"/>
      <c r="K430" s="12"/>
      <c r="L430" s="12"/>
    </row>
    <row r="431" spans="1:12">
      <c r="A431" s="30"/>
      <c r="B431" s="65"/>
      <c r="C431" s="65"/>
      <c r="D431" s="112"/>
      <c r="E431" s="30"/>
      <c r="F431" s="30"/>
      <c r="G431" s="30"/>
      <c r="H431" s="66"/>
      <c r="I431" s="30"/>
      <c r="J431" s="30"/>
      <c r="K431" s="12"/>
      <c r="L431" s="12"/>
    </row>
    <row r="432" spans="1:12">
      <c r="A432" s="30"/>
      <c r="B432" s="65"/>
      <c r="C432" s="65"/>
      <c r="D432" s="112"/>
      <c r="E432" s="30"/>
      <c r="F432" s="30"/>
      <c r="G432" s="30"/>
      <c r="H432" s="66"/>
      <c r="I432" s="30"/>
      <c r="J432" s="30"/>
      <c r="K432" s="12"/>
      <c r="L432" s="12"/>
    </row>
    <row r="433" spans="1:12">
      <c r="A433" s="30"/>
      <c r="B433" s="65"/>
      <c r="C433" s="65"/>
      <c r="D433" s="112"/>
      <c r="E433" s="30"/>
      <c r="F433" s="30"/>
      <c r="G433" s="30"/>
      <c r="H433" s="66"/>
      <c r="I433" s="30"/>
      <c r="J433" s="30"/>
      <c r="K433" s="12"/>
      <c r="L433" s="12"/>
    </row>
    <row r="434" spans="1:12">
      <c r="A434" s="30"/>
      <c r="B434" s="65"/>
      <c r="C434" s="65"/>
      <c r="D434" s="112"/>
      <c r="E434" s="30"/>
      <c r="F434" s="30"/>
      <c r="G434" s="30"/>
      <c r="H434" s="66"/>
      <c r="I434" s="30"/>
      <c r="J434" s="30"/>
      <c r="K434" s="12"/>
      <c r="L434" s="12"/>
    </row>
    <row r="435" spans="1:12">
      <c r="A435" s="30"/>
      <c r="B435" s="65"/>
      <c r="C435" s="65"/>
      <c r="D435" s="112"/>
      <c r="E435" s="30"/>
      <c r="F435" s="30"/>
      <c r="G435" s="30"/>
      <c r="H435" s="66"/>
      <c r="I435" s="30"/>
      <c r="J435" s="30"/>
      <c r="K435" s="12"/>
      <c r="L435" s="12"/>
    </row>
    <row r="436" spans="1:12">
      <c r="A436" s="30"/>
      <c r="B436" s="65"/>
      <c r="C436" s="65"/>
      <c r="D436" s="112"/>
      <c r="E436" s="30"/>
      <c r="F436" s="30"/>
      <c r="G436" s="30"/>
      <c r="H436" s="66"/>
      <c r="I436" s="30"/>
      <c r="J436" s="30"/>
      <c r="K436" s="12"/>
      <c r="L436" s="12"/>
    </row>
    <row r="437" spans="1:12">
      <c r="A437" s="30"/>
      <c r="B437" s="65"/>
      <c r="C437" s="65"/>
      <c r="D437" s="112"/>
      <c r="E437" s="30"/>
      <c r="F437" s="30"/>
      <c r="G437" s="30"/>
      <c r="H437" s="66"/>
      <c r="I437" s="30"/>
      <c r="J437" s="30"/>
      <c r="K437" s="12"/>
      <c r="L437" s="12"/>
    </row>
    <row r="438" spans="1:12">
      <c r="A438" s="30"/>
      <c r="B438" s="65"/>
      <c r="C438" s="65"/>
      <c r="D438" s="112"/>
      <c r="E438" s="30"/>
      <c r="F438" s="30"/>
      <c r="G438" s="30"/>
      <c r="H438" s="66"/>
      <c r="I438" s="30"/>
      <c r="J438" s="30"/>
      <c r="K438" s="12"/>
      <c r="L438" s="12"/>
    </row>
    <row r="439" spans="1:12">
      <c r="A439" s="30"/>
      <c r="B439" s="65"/>
      <c r="C439" s="65"/>
      <c r="D439" s="112"/>
      <c r="E439" s="30"/>
      <c r="F439" s="30"/>
      <c r="G439" s="30"/>
      <c r="H439" s="66"/>
      <c r="I439" s="30"/>
      <c r="J439" s="30"/>
      <c r="K439" s="12"/>
      <c r="L439" s="12"/>
    </row>
    <row r="440" spans="1:12">
      <c r="A440" s="30"/>
      <c r="B440" s="65"/>
      <c r="C440" s="65"/>
      <c r="D440" s="112"/>
      <c r="E440" s="30"/>
      <c r="F440" s="30"/>
      <c r="G440" s="30"/>
      <c r="H440" s="66"/>
      <c r="I440" s="30"/>
      <c r="J440" s="30"/>
      <c r="K440" s="12"/>
      <c r="L440" s="12"/>
    </row>
    <row r="441" spans="1:12">
      <c r="A441" s="30"/>
      <c r="B441" s="65"/>
      <c r="C441" s="65"/>
      <c r="D441" s="112"/>
      <c r="E441" s="30"/>
      <c r="F441" s="30"/>
      <c r="G441" s="30"/>
      <c r="H441" s="66"/>
      <c r="I441" s="30"/>
      <c r="J441" s="30"/>
      <c r="K441" s="12"/>
      <c r="L441" s="12"/>
    </row>
    <row r="442" spans="1:12">
      <c r="A442" s="30"/>
      <c r="B442" s="65"/>
      <c r="C442" s="65"/>
      <c r="D442" s="112"/>
      <c r="E442" s="30"/>
      <c r="F442" s="30"/>
      <c r="G442" s="30"/>
      <c r="H442" s="66"/>
      <c r="I442" s="30"/>
      <c r="J442" s="30"/>
      <c r="K442" s="12"/>
      <c r="L442" s="12"/>
    </row>
    <row r="443" spans="1:12">
      <c r="A443" s="30"/>
      <c r="B443" s="65"/>
      <c r="C443" s="65"/>
      <c r="D443" s="112"/>
      <c r="E443" s="30"/>
      <c r="F443" s="30"/>
      <c r="G443" s="30"/>
      <c r="H443" s="66"/>
      <c r="I443" s="30"/>
      <c r="J443" s="30"/>
      <c r="K443" s="12"/>
      <c r="L443" s="12"/>
    </row>
    <row r="444" spans="1:12">
      <c r="A444" s="30"/>
      <c r="B444" s="65"/>
      <c r="C444" s="65"/>
      <c r="D444" s="112"/>
      <c r="E444" s="30"/>
      <c r="F444" s="30"/>
      <c r="G444" s="30"/>
      <c r="H444" s="66"/>
      <c r="I444" s="30"/>
      <c r="J444" s="30"/>
      <c r="K444" s="12"/>
      <c r="L444" s="12"/>
    </row>
    <row r="445" spans="1:12">
      <c r="A445" s="30"/>
      <c r="B445" s="65"/>
      <c r="C445" s="65"/>
      <c r="D445" s="112"/>
      <c r="E445" s="30"/>
      <c r="F445" s="30"/>
      <c r="G445" s="30"/>
      <c r="H445" s="66"/>
      <c r="I445" s="30"/>
      <c r="J445" s="30"/>
      <c r="K445" s="12"/>
      <c r="L445" s="12"/>
    </row>
    <row r="446" spans="1:12">
      <c r="A446" s="30"/>
      <c r="B446" s="65"/>
      <c r="C446" s="65"/>
      <c r="D446" s="112"/>
      <c r="E446" s="30"/>
      <c r="F446" s="30"/>
      <c r="G446" s="30"/>
      <c r="H446" s="66"/>
      <c r="I446" s="30"/>
      <c r="J446" s="30"/>
      <c r="K446" s="12"/>
      <c r="L446" s="12"/>
    </row>
    <row r="447" spans="1:12">
      <c r="A447" s="30"/>
      <c r="B447" s="65"/>
      <c r="C447" s="65"/>
      <c r="D447" s="112"/>
      <c r="E447" s="30"/>
      <c r="F447" s="30"/>
      <c r="G447" s="30"/>
      <c r="H447" s="66"/>
      <c r="I447" s="30"/>
      <c r="J447" s="30"/>
      <c r="K447" s="12"/>
      <c r="L447" s="12"/>
    </row>
    <row r="448" spans="1:12">
      <c r="A448" s="30"/>
      <c r="B448" s="65"/>
      <c r="C448" s="65"/>
      <c r="D448" s="112"/>
      <c r="E448" s="30"/>
      <c r="F448" s="30"/>
      <c r="G448" s="30"/>
      <c r="H448" s="66"/>
      <c r="I448" s="30"/>
      <c r="J448" s="30"/>
      <c r="K448" s="12"/>
      <c r="L448" s="12"/>
    </row>
    <row r="449" spans="1:12">
      <c r="A449" s="30"/>
      <c r="B449" s="65"/>
      <c r="C449" s="65"/>
      <c r="D449" s="112"/>
      <c r="E449" s="30"/>
      <c r="F449" s="30"/>
      <c r="G449" s="30"/>
      <c r="H449" s="66"/>
      <c r="I449" s="30"/>
      <c r="J449" s="30"/>
      <c r="K449" s="12"/>
      <c r="L449" s="12"/>
    </row>
    <row r="450" spans="1:12">
      <c r="A450" s="30"/>
      <c r="B450" s="65"/>
      <c r="C450" s="65"/>
      <c r="D450" s="112"/>
      <c r="E450" s="30"/>
      <c r="F450" s="30"/>
      <c r="G450" s="30"/>
      <c r="H450" s="66"/>
      <c r="I450" s="30"/>
      <c r="J450" s="30"/>
      <c r="K450" s="12"/>
      <c r="L450" s="12"/>
    </row>
    <row r="451" spans="1:12">
      <c r="A451" s="30"/>
      <c r="B451" s="65"/>
      <c r="C451" s="65"/>
      <c r="D451" s="112"/>
      <c r="E451" s="30"/>
      <c r="F451" s="30"/>
      <c r="G451" s="30"/>
      <c r="H451" s="66"/>
      <c r="I451" s="30"/>
      <c r="J451" s="30"/>
      <c r="K451" s="12"/>
      <c r="L451" s="12"/>
    </row>
    <row r="452" spans="1:12">
      <c r="A452" s="30"/>
      <c r="B452" s="65"/>
      <c r="C452" s="65"/>
      <c r="D452" s="112"/>
      <c r="E452" s="30"/>
      <c r="F452" s="30"/>
      <c r="G452" s="30"/>
      <c r="H452" s="66"/>
      <c r="I452" s="30"/>
      <c r="J452" s="30"/>
      <c r="K452" s="12"/>
      <c r="L452" s="12"/>
    </row>
    <row r="453" spans="1:12">
      <c r="A453" s="30"/>
      <c r="B453" s="65"/>
      <c r="C453" s="65"/>
      <c r="D453" s="112"/>
      <c r="E453" s="30"/>
      <c r="F453" s="30"/>
      <c r="G453" s="30"/>
      <c r="H453" s="66"/>
      <c r="I453" s="30"/>
      <c r="J453" s="30"/>
      <c r="K453" s="12"/>
      <c r="L453" s="12"/>
    </row>
    <row r="454" spans="1:12">
      <c r="A454" s="30"/>
      <c r="B454" s="65"/>
      <c r="C454" s="65"/>
      <c r="D454" s="112"/>
      <c r="E454" s="30"/>
      <c r="F454" s="30"/>
      <c r="G454" s="30"/>
      <c r="H454" s="66"/>
      <c r="I454" s="30"/>
      <c r="J454" s="30"/>
      <c r="K454" s="12"/>
      <c r="L454" s="12"/>
    </row>
    <row r="455" spans="1:12">
      <c r="A455" s="30"/>
      <c r="B455" s="65"/>
      <c r="C455" s="65"/>
      <c r="D455" s="112"/>
      <c r="E455" s="30"/>
      <c r="F455" s="30"/>
      <c r="G455" s="30"/>
      <c r="H455" s="66"/>
      <c r="I455" s="30"/>
      <c r="J455" s="30"/>
      <c r="K455" s="12"/>
      <c r="L455" s="12"/>
    </row>
    <row r="456" spans="1:12">
      <c r="A456" s="30"/>
      <c r="B456" s="65"/>
      <c r="C456" s="65"/>
      <c r="D456" s="112"/>
      <c r="E456" s="30"/>
      <c r="F456" s="30"/>
      <c r="G456" s="30"/>
      <c r="H456" s="66"/>
      <c r="I456" s="30"/>
      <c r="J456" s="30"/>
      <c r="K456" s="12"/>
      <c r="L456" s="12"/>
    </row>
    <row r="457" spans="1:12">
      <c r="A457" s="30"/>
      <c r="B457" s="65"/>
      <c r="C457" s="65"/>
      <c r="D457" s="112"/>
      <c r="E457" s="30"/>
      <c r="F457" s="30"/>
      <c r="G457" s="30"/>
      <c r="H457" s="66"/>
      <c r="I457" s="30"/>
      <c r="J457" s="30"/>
      <c r="K457" s="12"/>
      <c r="L457" s="12"/>
    </row>
    <row r="458" spans="1:12">
      <c r="A458" s="30"/>
      <c r="B458" s="65"/>
      <c r="C458" s="65"/>
      <c r="D458" s="112"/>
      <c r="E458" s="30"/>
      <c r="F458" s="30"/>
      <c r="G458" s="30"/>
      <c r="H458" s="66"/>
      <c r="I458" s="30"/>
      <c r="J458" s="30"/>
      <c r="K458" s="12"/>
      <c r="L458" s="12"/>
    </row>
    <row r="459" spans="1:12">
      <c r="A459" s="30"/>
      <c r="B459" s="65"/>
      <c r="C459" s="65"/>
      <c r="D459" s="112"/>
      <c r="E459" s="30"/>
      <c r="F459" s="30"/>
      <c r="G459" s="30"/>
      <c r="H459" s="66"/>
      <c r="I459" s="30"/>
      <c r="J459" s="30"/>
      <c r="K459" s="12"/>
      <c r="L459" s="12"/>
    </row>
    <row r="460" spans="1:12">
      <c r="A460" s="30"/>
      <c r="B460" s="65"/>
      <c r="C460" s="65"/>
      <c r="D460" s="112"/>
      <c r="E460" s="30"/>
      <c r="F460" s="30"/>
      <c r="G460" s="30"/>
      <c r="H460" s="66"/>
      <c r="I460" s="30"/>
      <c r="J460" s="30"/>
      <c r="K460" s="12"/>
      <c r="L460" s="12"/>
    </row>
    <row r="461" spans="1:12">
      <c r="A461" s="30"/>
      <c r="B461" s="65"/>
      <c r="C461" s="65"/>
      <c r="D461" s="112"/>
      <c r="E461" s="30"/>
      <c r="F461" s="30"/>
      <c r="G461" s="30"/>
      <c r="H461" s="66"/>
      <c r="I461" s="30"/>
      <c r="J461" s="30"/>
      <c r="K461" s="12"/>
      <c r="L461" s="12"/>
    </row>
    <row r="462" spans="1:12">
      <c r="A462" s="30"/>
      <c r="B462" s="65"/>
      <c r="C462" s="65"/>
      <c r="D462" s="112"/>
      <c r="E462" s="30"/>
      <c r="F462" s="30"/>
      <c r="G462" s="30"/>
      <c r="H462" s="66"/>
      <c r="I462" s="30"/>
      <c r="J462" s="30"/>
      <c r="K462" s="12"/>
      <c r="L462" s="12"/>
    </row>
    <row r="463" spans="1:12">
      <c r="A463" s="30"/>
      <c r="B463" s="65"/>
      <c r="C463" s="65"/>
      <c r="D463" s="112"/>
      <c r="E463" s="30"/>
      <c r="F463" s="30"/>
      <c r="G463" s="30"/>
      <c r="H463" s="66"/>
      <c r="I463" s="30"/>
      <c r="J463" s="30"/>
      <c r="K463" s="12"/>
      <c r="L463" s="12"/>
    </row>
    <row r="464" spans="1:12">
      <c r="A464" s="30"/>
      <c r="B464" s="65"/>
      <c r="C464" s="65"/>
      <c r="D464" s="112"/>
      <c r="E464" s="30"/>
      <c r="F464" s="30"/>
      <c r="G464" s="30"/>
      <c r="H464" s="66"/>
      <c r="I464" s="30"/>
      <c r="J464" s="30"/>
      <c r="K464" s="12"/>
      <c r="L464" s="12"/>
    </row>
    <row r="465" spans="1:12">
      <c r="A465" s="30"/>
      <c r="B465" s="65"/>
      <c r="C465" s="65"/>
      <c r="D465" s="112"/>
      <c r="E465" s="30"/>
      <c r="F465" s="30"/>
      <c r="G465" s="30"/>
      <c r="H465" s="66"/>
      <c r="I465" s="30"/>
      <c r="J465" s="30"/>
      <c r="K465" s="12"/>
      <c r="L465" s="12"/>
    </row>
    <row r="466" spans="1:12">
      <c r="A466" s="30"/>
      <c r="B466" s="65"/>
      <c r="C466" s="65"/>
      <c r="D466" s="112"/>
      <c r="E466" s="30"/>
      <c r="F466" s="30"/>
      <c r="G466" s="30"/>
      <c r="H466" s="66"/>
      <c r="I466" s="30"/>
      <c r="J466" s="30"/>
      <c r="K466" s="12"/>
      <c r="L466" s="12"/>
    </row>
    <row r="467" spans="1:12">
      <c r="A467" s="30"/>
      <c r="B467" s="65"/>
      <c r="C467" s="65"/>
      <c r="D467" s="112"/>
      <c r="E467" s="30"/>
      <c r="F467" s="30"/>
      <c r="G467" s="30"/>
      <c r="H467" s="66"/>
      <c r="I467" s="30"/>
      <c r="J467" s="30"/>
      <c r="K467" s="12"/>
      <c r="L467" s="12"/>
    </row>
    <row r="468" spans="1:12">
      <c r="A468" s="30"/>
      <c r="B468" s="65"/>
      <c r="C468" s="65"/>
      <c r="D468" s="112"/>
      <c r="E468" s="30"/>
      <c r="F468" s="30"/>
      <c r="G468" s="30"/>
      <c r="H468" s="66"/>
      <c r="I468" s="30"/>
      <c r="J468" s="30"/>
      <c r="K468" s="12"/>
      <c r="L468" s="12"/>
    </row>
    <row r="469" spans="1:12">
      <c r="A469" s="30"/>
      <c r="B469" s="65"/>
      <c r="C469" s="65"/>
      <c r="D469" s="112"/>
      <c r="E469" s="30"/>
      <c r="F469" s="30"/>
      <c r="G469" s="30"/>
      <c r="H469" s="66"/>
      <c r="I469" s="30"/>
      <c r="J469" s="30"/>
      <c r="K469" s="12"/>
      <c r="L469" s="12"/>
    </row>
    <row r="470" spans="1:12">
      <c r="A470" s="30"/>
      <c r="B470" s="65"/>
      <c r="C470" s="65"/>
      <c r="D470" s="112"/>
      <c r="E470" s="30"/>
      <c r="F470" s="30"/>
      <c r="G470" s="30"/>
      <c r="H470" s="66"/>
      <c r="I470" s="30"/>
      <c r="J470" s="30"/>
      <c r="K470" s="12"/>
      <c r="L470" s="12"/>
    </row>
    <row r="471" spans="1:12">
      <c r="A471" s="30"/>
      <c r="B471" s="65"/>
      <c r="C471" s="65"/>
      <c r="D471" s="112"/>
      <c r="E471" s="30"/>
      <c r="F471" s="30"/>
      <c r="G471" s="30"/>
      <c r="H471" s="66"/>
      <c r="I471" s="30"/>
      <c r="J471" s="30"/>
      <c r="K471" s="12"/>
      <c r="L471" s="12"/>
    </row>
    <row r="472" spans="1:12">
      <c r="A472" s="30"/>
      <c r="B472" s="65"/>
      <c r="C472" s="65"/>
      <c r="D472" s="112"/>
      <c r="E472" s="30"/>
      <c r="F472" s="30"/>
      <c r="G472" s="30"/>
      <c r="H472" s="66"/>
      <c r="I472" s="30"/>
      <c r="J472" s="30"/>
      <c r="K472" s="12"/>
      <c r="L472" s="12"/>
    </row>
    <row r="473" spans="1:12">
      <c r="A473" s="30"/>
      <c r="B473" s="65"/>
      <c r="C473" s="65"/>
      <c r="D473" s="112"/>
      <c r="E473" s="30"/>
      <c r="F473" s="30"/>
      <c r="G473" s="30"/>
      <c r="H473" s="66"/>
      <c r="I473" s="30"/>
      <c r="J473" s="30"/>
      <c r="K473" s="12"/>
      <c r="L473" s="12"/>
    </row>
    <row r="474" spans="1:12">
      <c r="A474" s="30"/>
      <c r="B474" s="65"/>
      <c r="C474" s="65"/>
      <c r="D474" s="112"/>
      <c r="E474" s="30"/>
      <c r="F474" s="30"/>
      <c r="G474" s="30"/>
      <c r="H474" s="66"/>
      <c r="I474" s="30"/>
      <c r="J474" s="30"/>
      <c r="K474" s="12"/>
      <c r="L474" s="12"/>
    </row>
    <row r="475" spans="1:12">
      <c r="A475" s="30"/>
      <c r="B475" s="65"/>
      <c r="C475" s="65"/>
      <c r="D475" s="112"/>
      <c r="E475" s="30"/>
      <c r="F475" s="30"/>
      <c r="G475" s="30"/>
      <c r="H475" s="66"/>
      <c r="I475" s="30"/>
      <c r="J475" s="30"/>
      <c r="K475" s="12"/>
      <c r="L475" s="12"/>
    </row>
    <row r="476" spans="1:12">
      <c r="A476" s="30"/>
      <c r="B476" s="65"/>
      <c r="C476" s="65"/>
      <c r="D476" s="112"/>
      <c r="E476" s="30"/>
      <c r="F476" s="30"/>
      <c r="G476" s="30"/>
      <c r="H476" s="66"/>
      <c r="I476" s="30"/>
      <c r="J476" s="30"/>
      <c r="K476" s="12"/>
      <c r="L476" s="12"/>
    </row>
    <row r="477" spans="1:12">
      <c r="A477" s="30"/>
      <c r="B477" s="65"/>
      <c r="C477" s="65"/>
      <c r="D477" s="112"/>
      <c r="E477" s="30"/>
      <c r="F477" s="30"/>
      <c r="G477" s="30"/>
      <c r="H477" s="66"/>
      <c r="I477" s="30"/>
      <c r="J477" s="30"/>
      <c r="K477" s="12"/>
      <c r="L477" s="12"/>
    </row>
    <row r="478" spans="1:12">
      <c r="A478" s="30"/>
      <c r="B478" s="65"/>
      <c r="C478" s="65"/>
      <c r="D478" s="112"/>
      <c r="E478" s="30"/>
      <c r="F478" s="30"/>
      <c r="G478" s="30"/>
      <c r="H478" s="66"/>
      <c r="I478" s="30"/>
      <c r="J478" s="30"/>
      <c r="K478" s="12"/>
      <c r="L478" s="12"/>
    </row>
    <row r="479" spans="1:12">
      <c r="A479" s="30"/>
      <c r="B479" s="65"/>
      <c r="C479" s="65"/>
      <c r="D479" s="112"/>
      <c r="E479" s="30"/>
      <c r="F479" s="30"/>
      <c r="G479" s="30"/>
      <c r="H479" s="66"/>
      <c r="I479" s="30"/>
      <c r="J479" s="30"/>
      <c r="K479" s="12"/>
      <c r="L479" s="12"/>
    </row>
    <row r="480" spans="1:12">
      <c r="A480" s="30"/>
      <c r="B480" s="65"/>
      <c r="C480" s="65"/>
      <c r="D480" s="112"/>
      <c r="E480" s="30"/>
      <c r="F480" s="30"/>
      <c r="G480" s="30"/>
      <c r="H480" s="66"/>
      <c r="I480" s="30"/>
      <c r="J480" s="30"/>
      <c r="K480" s="12"/>
      <c r="L480" s="12"/>
    </row>
    <row r="481" spans="1:12">
      <c r="A481" s="30"/>
      <c r="B481" s="65"/>
      <c r="C481" s="65"/>
      <c r="D481" s="112"/>
      <c r="E481" s="30"/>
      <c r="F481" s="30"/>
      <c r="G481" s="30"/>
      <c r="H481" s="66"/>
      <c r="I481" s="30"/>
      <c r="J481" s="30"/>
      <c r="K481" s="12"/>
      <c r="L481" s="12"/>
    </row>
    <row r="482" spans="1:12">
      <c r="A482" s="30"/>
      <c r="B482" s="65"/>
      <c r="C482" s="65"/>
      <c r="D482" s="112"/>
      <c r="E482" s="30"/>
      <c r="F482" s="30"/>
      <c r="G482" s="30"/>
      <c r="H482" s="66"/>
      <c r="I482" s="30"/>
      <c r="J482" s="30"/>
      <c r="K482" s="12"/>
      <c r="L482" s="12"/>
    </row>
    <row r="483" spans="1:12">
      <c r="A483" s="30"/>
      <c r="B483" s="65"/>
      <c r="C483" s="65"/>
      <c r="D483" s="112"/>
      <c r="E483" s="30"/>
      <c r="F483" s="30"/>
      <c r="G483" s="30"/>
      <c r="H483" s="66"/>
      <c r="I483" s="30"/>
      <c r="J483" s="30"/>
      <c r="K483" s="12"/>
      <c r="L483" s="12"/>
    </row>
    <row r="484" spans="1:12">
      <c r="A484" s="30"/>
      <c r="B484" s="65"/>
      <c r="C484" s="65"/>
      <c r="D484" s="112"/>
      <c r="E484" s="30"/>
      <c r="F484" s="30"/>
      <c r="G484" s="30"/>
      <c r="H484" s="66"/>
      <c r="I484" s="30"/>
      <c r="J484" s="30"/>
      <c r="K484" s="12"/>
      <c r="L484" s="12"/>
    </row>
    <row r="485" spans="1:12">
      <c r="A485" s="30"/>
      <c r="B485" s="65"/>
      <c r="C485" s="65"/>
      <c r="D485" s="112"/>
      <c r="E485" s="30"/>
      <c r="F485" s="30"/>
      <c r="G485" s="30"/>
      <c r="H485" s="66"/>
      <c r="I485" s="30"/>
      <c r="J485" s="30"/>
      <c r="K485" s="12"/>
      <c r="L485" s="12"/>
    </row>
    <row r="486" spans="1:12">
      <c r="A486" s="30"/>
      <c r="B486" s="65"/>
      <c r="C486" s="65"/>
      <c r="D486" s="112"/>
      <c r="E486" s="30"/>
      <c r="F486" s="30"/>
      <c r="G486" s="30"/>
      <c r="H486" s="66"/>
      <c r="I486" s="30"/>
      <c r="J486" s="30"/>
      <c r="K486" s="12"/>
      <c r="L486" s="12"/>
    </row>
    <row r="487" spans="1:12">
      <c r="A487" s="30"/>
      <c r="B487" s="65"/>
      <c r="C487" s="65"/>
      <c r="D487" s="112"/>
      <c r="E487" s="30"/>
      <c r="F487" s="30"/>
      <c r="G487" s="30"/>
      <c r="H487" s="66"/>
      <c r="I487" s="30"/>
      <c r="J487" s="30"/>
      <c r="K487" s="12"/>
      <c r="L487" s="12"/>
    </row>
    <row r="488" spans="1:12">
      <c r="A488" s="30"/>
      <c r="B488" s="65"/>
      <c r="C488" s="65"/>
      <c r="D488" s="112"/>
      <c r="E488" s="30"/>
      <c r="F488" s="30"/>
      <c r="G488" s="30"/>
      <c r="H488" s="66"/>
      <c r="I488" s="30"/>
      <c r="J488" s="30"/>
      <c r="K488" s="12"/>
      <c r="L488" s="12"/>
    </row>
    <row r="489" spans="1:12">
      <c r="A489" s="30"/>
      <c r="B489" s="65"/>
      <c r="C489" s="65"/>
      <c r="D489" s="112"/>
      <c r="E489" s="30"/>
      <c r="F489" s="30"/>
      <c r="G489" s="30"/>
      <c r="H489" s="66"/>
      <c r="I489" s="30"/>
      <c r="J489" s="30"/>
      <c r="K489" s="12"/>
      <c r="L489" s="12"/>
    </row>
    <row r="490" spans="1:12">
      <c r="A490" s="30"/>
      <c r="B490" s="65"/>
      <c r="C490" s="65"/>
      <c r="D490" s="112"/>
      <c r="E490" s="30"/>
      <c r="F490" s="30"/>
      <c r="G490" s="30"/>
      <c r="H490" s="66"/>
      <c r="I490" s="30"/>
      <c r="J490" s="30"/>
      <c r="K490" s="12"/>
      <c r="L490" s="12"/>
    </row>
    <row r="491" spans="1:12">
      <c r="A491" s="30"/>
      <c r="B491" s="65"/>
      <c r="C491" s="65"/>
      <c r="D491" s="112"/>
      <c r="E491" s="30"/>
      <c r="F491" s="30"/>
      <c r="G491" s="30"/>
      <c r="H491" s="66"/>
      <c r="I491" s="30"/>
      <c r="J491" s="30"/>
      <c r="K491" s="12"/>
      <c r="L491" s="12"/>
    </row>
    <row r="492" spans="1:12">
      <c r="A492" s="30"/>
      <c r="B492" s="65"/>
      <c r="C492" s="65"/>
      <c r="D492" s="112"/>
      <c r="E492" s="30"/>
      <c r="F492" s="30"/>
      <c r="G492" s="30"/>
      <c r="H492" s="66"/>
      <c r="I492" s="30"/>
      <c r="J492" s="30"/>
      <c r="K492" s="12"/>
      <c r="L492" s="12"/>
    </row>
    <row r="493" spans="1:12">
      <c r="A493" s="30"/>
      <c r="B493" s="65"/>
      <c r="C493" s="65"/>
      <c r="D493" s="112"/>
      <c r="E493" s="30"/>
      <c r="F493" s="30"/>
      <c r="G493" s="30"/>
      <c r="H493" s="66"/>
      <c r="I493" s="30"/>
      <c r="J493" s="30"/>
      <c r="K493" s="12"/>
      <c r="L493" s="12"/>
    </row>
    <row r="494" spans="1:12">
      <c r="A494" s="30"/>
      <c r="B494" s="65"/>
      <c r="C494" s="65"/>
      <c r="D494" s="112"/>
      <c r="E494" s="30"/>
      <c r="F494" s="30"/>
      <c r="G494" s="30"/>
      <c r="H494" s="66"/>
      <c r="I494" s="30"/>
      <c r="J494" s="30"/>
      <c r="K494" s="12"/>
      <c r="L494" s="12"/>
    </row>
    <row r="495" spans="1:12">
      <c r="A495" s="30"/>
      <c r="B495" s="65"/>
      <c r="C495" s="65"/>
      <c r="D495" s="112"/>
      <c r="E495" s="30"/>
      <c r="F495" s="30"/>
      <c r="G495" s="30"/>
      <c r="H495" s="66"/>
      <c r="I495" s="30"/>
      <c r="J495" s="30"/>
      <c r="K495" s="12"/>
      <c r="L495" s="12"/>
    </row>
    <row r="496" spans="1:12">
      <c r="A496" s="30"/>
      <c r="B496" s="65"/>
      <c r="C496" s="65"/>
      <c r="D496" s="112"/>
      <c r="E496" s="30"/>
      <c r="F496" s="30"/>
      <c r="G496" s="30"/>
      <c r="H496" s="66"/>
      <c r="I496" s="30"/>
      <c r="J496" s="30"/>
      <c r="K496" s="12"/>
      <c r="L496" s="12"/>
    </row>
    <row r="497" spans="1:12">
      <c r="A497" s="30"/>
      <c r="B497" s="65"/>
      <c r="C497" s="65"/>
      <c r="D497" s="112"/>
      <c r="E497" s="30"/>
      <c r="F497" s="30"/>
      <c r="G497" s="30"/>
      <c r="H497" s="66"/>
      <c r="I497" s="30"/>
      <c r="J497" s="30"/>
      <c r="K497" s="12"/>
      <c r="L497" s="12"/>
    </row>
    <row r="498" spans="1:12">
      <c r="A498" s="30"/>
      <c r="B498" s="65"/>
      <c r="C498" s="65"/>
      <c r="D498" s="112"/>
      <c r="E498" s="30"/>
      <c r="F498" s="30"/>
      <c r="G498" s="30"/>
      <c r="H498" s="66"/>
      <c r="I498" s="30"/>
      <c r="J498" s="30"/>
      <c r="K498" s="12"/>
      <c r="L498" s="12"/>
    </row>
    <row r="499" spans="1:12">
      <c r="A499" s="30"/>
      <c r="B499" s="65"/>
      <c r="C499" s="65"/>
      <c r="D499" s="112"/>
      <c r="E499" s="30"/>
      <c r="F499" s="30"/>
      <c r="G499" s="30"/>
      <c r="H499" s="66"/>
      <c r="I499" s="30"/>
      <c r="J499" s="30"/>
      <c r="K499" s="12"/>
      <c r="L499" s="12"/>
    </row>
    <row r="500" spans="1:12">
      <c r="A500" s="30"/>
      <c r="B500" s="65"/>
      <c r="C500" s="65"/>
      <c r="D500" s="112"/>
      <c r="E500" s="30"/>
      <c r="F500" s="30"/>
      <c r="G500" s="30"/>
      <c r="H500" s="66"/>
      <c r="I500" s="30"/>
      <c r="J500" s="30"/>
      <c r="K500" s="12"/>
      <c r="L500" s="12"/>
    </row>
    <row r="501" spans="1:12">
      <c r="A501" s="30"/>
      <c r="B501" s="65"/>
      <c r="C501" s="65"/>
      <c r="D501" s="112"/>
      <c r="E501" s="30"/>
      <c r="F501" s="30"/>
      <c r="G501" s="30"/>
      <c r="H501" s="66"/>
      <c r="I501" s="30"/>
      <c r="J501" s="30"/>
      <c r="K501" s="12"/>
      <c r="L501" s="12"/>
    </row>
    <row r="502" spans="1:12">
      <c r="A502" s="30"/>
      <c r="B502" s="65"/>
      <c r="C502" s="65"/>
      <c r="D502" s="112"/>
      <c r="E502" s="30"/>
      <c r="F502" s="30"/>
      <c r="G502" s="30"/>
      <c r="H502" s="66"/>
      <c r="I502" s="30"/>
      <c r="J502" s="30"/>
      <c r="K502" s="12"/>
      <c r="L502" s="12"/>
    </row>
    <row r="503" spans="1:12">
      <c r="A503" s="30"/>
      <c r="B503" s="65"/>
      <c r="C503" s="65"/>
      <c r="D503" s="112"/>
      <c r="E503" s="30"/>
      <c r="F503" s="30"/>
      <c r="G503" s="30"/>
      <c r="H503" s="66"/>
      <c r="I503" s="30"/>
      <c r="J503" s="30"/>
      <c r="K503" s="12"/>
      <c r="L503" s="12"/>
    </row>
    <row r="504" spans="1:12">
      <c r="A504" s="30"/>
      <c r="B504" s="65"/>
      <c r="C504" s="65"/>
      <c r="D504" s="112"/>
      <c r="E504" s="30"/>
      <c r="F504" s="30"/>
      <c r="G504" s="30"/>
      <c r="H504" s="66"/>
      <c r="I504" s="30"/>
      <c r="J504" s="30"/>
      <c r="K504" s="12"/>
      <c r="L504" s="12"/>
    </row>
    <row r="505" spans="1:12">
      <c r="A505" s="30"/>
      <c r="B505" s="65"/>
      <c r="C505" s="65"/>
      <c r="D505" s="112"/>
      <c r="E505" s="30"/>
      <c r="F505" s="30"/>
      <c r="G505" s="30"/>
      <c r="H505" s="66"/>
      <c r="I505" s="30"/>
      <c r="J505" s="30"/>
      <c r="K505" s="12"/>
      <c r="L505" s="12"/>
    </row>
    <row r="506" spans="1:12">
      <c r="A506" s="30"/>
      <c r="B506" s="65"/>
      <c r="C506" s="65"/>
      <c r="D506" s="112"/>
      <c r="E506" s="30"/>
      <c r="F506" s="30"/>
      <c r="G506" s="30"/>
      <c r="H506" s="66"/>
      <c r="I506" s="30"/>
      <c r="J506" s="30"/>
      <c r="K506" s="12"/>
      <c r="L506" s="12"/>
    </row>
    <row r="507" spans="1:12">
      <c r="A507" s="30"/>
      <c r="B507" s="65"/>
      <c r="C507" s="65"/>
      <c r="D507" s="112"/>
      <c r="E507" s="30"/>
      <c r="F507" s="30"/>
      <c r="G507" s="30"/>
      <c r="H507" s="66"/>
      <c r="I507" s="30"/>
      <c r="J507" s="30"/>
      <c r="K507" s="12"/>
      <c r="L507" s="12"/>
    </row>
    <row r="508" spans="1:12">
      <c r="A508" s="30"/>
      <c r="B508" s="65"/>
      <c r="C508" s="65"/>
      <c r="D508" s="112"/>
      <c r="E508" s="30"/>
      <c r="F508" s="30"/>
      <c r="G508" s="30"/>
      <c r="H508" s="66"/>
      <c r="I508" s="30"/>
      <c r="J508" s="30"/>
      <c r="K508" s="12"/>
      <c r="L508" s="12"/>
    </row>
    <row r="509" spans="1:12">
      <c r="A509" s="30"/>
      <c r="B509" s="65"/>
      <c r="C509" s="65"/>
      <c r="D509" s="112"/>
      <c r="E509" s="30"/>
      <c r="F509" s="30"/>
      <c r="G509" s="30"/>
      <c r="H509" s="66"/>
      <c r="I509" s="30"/>
      <c r="J509" s="30"/>
      <c r="K509" s="12"/>
      <c r="L509" s="12"/>
    </row>
    <row r="510" spans="1:12">
      <c r="A510" s="30"/>
      <c r="B510" s="65"/>
      <c r="C510" s="65"/>
      <c r="D510" s="112"/>
      <c r="E510" s="30"/>
      <c r="F510" s="30"/>
      <c r="G510" s="30"/>
      <c r="H510" s="66"/>
      <c r="I510" s="30"/>
      <c r="J510" s="30"/>
      <c r="K510" s="12"/>
      <c r="L510" s="12"/>
    </row>
    <row r="511" spans="1:12">
      <c r="A511" s="30"/>
      <c r="B511" s="65"/>
      <c r="C511" s="65"/>
      <c r="D511" s="112"/>
      <c r="E511" s="30"/>
      <c r="F511" s="30"/>
      <c r="G511" s="30"/>
      <c r="H511" s="66"/>
      <c r="I511" s="30"/>
      <c r="J511" s="30"/>
      <c r="K511" s="12"/>
      <c r="L511" s="12"/>
    </row>
    <row r="512" spans="1:12">
      <c r="A512" s="30"/>
      <c r="B512" s="65"/>
      <c r="C512" s="65"/>
      <c r="D512" s="112"/>
      <c r="E512" s="30"/>
      <c r="F512" s="30"/>
      <c r="G512" s="30"/>
      <c r="H512" s="66"/>
      <c r="I512" s="30"/>
      <c r="J512" s="30"/>
      <c r="K512" s="12"/>
      <c r="L512" s="12"/>
    </row>
    <row r="513" spans="1:12">
      <c r="A513" s="30"/>
      <c r="B513" s="65"/>
      <c r="C513" s="65"/>
      <c r="D513" s="112"/>
      <c r="E513" s="30"/>
      <c r="F513" s="30"/>
      <c r="G513" s="30"/>
      <c r="H513" s="66"/>
      <c r="I513" s="30"/>
      <c r="J513" s="30"/>
      <c r="K513" s="12"/>
      <c r="L513" s="12"/>
    </row>
    <row r="514" spans="1:12">
      <c r="A514" s="30"/>
      <c r="B514" s="65"/>
      <c r="C514" s="65"/>
      <c r="D514" s="112"/>
      <c r="E514" s="30"/>
      <c r="F514" s="30"/>
      <c r="G514" s="30"/>
      <c r="H514" s="66"/>
      <c r="I514" s="30"/>
      <c r="J514" s="30"/>
      <c r="K514" s="12"/>
      <c r="L514" s="12"/>
    </row>
    <row r="515" spans="1:12">
      <c r="A515" s="30"/>
      <c r="B515" s="65"/>
      <c r="C515" s="65"/>
      <c r="D515" s="112"/>
      <c r="E515" s="30"/>
      <c r="F515" s="30"/>
      <c r="G515" s="30"/>
      <c r="H515" s="66"/>
      <c r="I515" s="30"/>
      <c r="J515" s="30"/>
      <c r="K515" s="12"/>
      <c r="L515" s="12"/>
    </row>
    <row r="516" spans="1:12">
      <c r="A516" s="30"/>
      <c r="B516" s="65"/>
      <c r="C516" s="65"/>
      <c r="D516" s="112"/>
      <c r="E516" s="30"/>
      <c r="F516" s="30"/>
      <c r="G516" s="30"/>
      <c r="H516" s="66"/>
      <c r="I516" s="30"/>
      <c r="J516" s="30"/>
      <c r="K516" s="12"/>
      <c r="L516" s="12"/>
    </row>
    <row r="517" spans="1:12">
      <c r="A517" s="30"/>
      <c r="B517" s="65"/>
      <c r="C517" s="65"/>
      <c r="D517" s="112"/>
      <c r="E517" s="30"/>
      <c r="F517" s="30"/>
      <c r="G517" s="30"/>
      <c r="H517" s="66"/>
      <c r="I517" s="30"/>
      <c r="J517" s="30"/>
      <c r="K517" s="12"/>
      <c r="L517" s="12"/>
    </row>
    <row r="518" spans="1:12">
      <c r="A518" s="30"/>
      <c r="B518" s="65"/>
      <c r="C518" s="65"/>
      <c r="D518" s="112"/>
      <c r="E518" s="30"/>
      <c r="F518" s="30"/>
      <c r="G518" s="30"/>
      <c r="H518" s="66"/>
      <c r="I518" s="30"/>
      <c r="J518" s="30"/>
      <c r="K518" s="12"/>
      <c r="L518" s="12"/>
    </row>
    <row r="519" spans="1:12">
      <c r="A519" s="30"/>
      <c r="B519" s="65"/>
      <c r="C519" s="65"/>
      <c r="D519" s="112"/>
      <c r="E519" s="30"/>
      <c r="F519" s="30"/>
      <c r="G519" s="30"/>
      <c r="H519" s="66"/>
      <c r="I519" s="30"/>
      <c r="J519" s="30"/>
      <c r="K519" s="12"/>
      <c r="L519" s="12"/>
    </row>
    <row r="520" spans="1:12">
      <c r="A520" s="30"/>
      <c r="B520" s="65"/>
      <c r="C520" s="65"/>
      <c r="D520" s="112"/>
      <c r="E520" s="30"/>
      <c r="F520" s="30"/>
      <c r="G520" s="30"/>
      <c r="H520" s="66"/>
      <c r="I520" s="30"/>
      <c r="J520" s="30"/>
      <c r="K520" s="12"/>
      <c r="L520" s="12"/>
    </row>
    <row r="521" spans="1:12">
      <c r="A521" s="30"/>
      <c r="B521" s="65"/>
      <c r="C521" s="65"/>
      <c r="D521" s="112"/>
      <c r="E521" s="30"/>
      <c r="F521" s="30"/>
      <c r="G521" s="30"/>
      <c r="H521" s="66"/>
      <c r="I521" s="30"/>
      <c r="J521" s="30"/>
      <c r="K521" s="12"/>
      <c r="L521" s="12"/>
    </row>
    <row r="522" spans="1:12">
      <c r="A522" s="30"/>
      <c r="B522" s="65"/>
      <c r="C522" s="65"/>
      <c r="D522" s="112"/>
      <c r="E522" s="30"/>
      <c r="F522" s="30"/>
      <c r="G522" s="30"/>
      <c r="H522" s="66"/>
      <c r="I522" s="30"/>
      <c r="J522" s="30"/>
      <c r="K522" s="12"/>
      <c r="L522" s="12"/>
    </row>
    <row r="523" spans="1:12">
      <c r="A523" s="30"/>
      <c r="B523" s="65"/>
      <c r="C523" s="65"/>
      <c r="D523" s="112"/>
      <c r="E523" s="30"/>
      <c r="F523" s="30"/>
      <c r="G523" s="30"/>
      <c r="H523" s="66"/>
      <c r="I523" s="30"/>
      <c r="J523" s="30"/>
      <c r="K523" s="12"/>
      <c r="L523" s="12"/>
    </row>
    <row r="524" spans="1:12">
      <c r="A524" s="30"/>
      <c r="B524" s="65"/>
      <c r="C524" s="65"/>
      <c r="D524" s="112"/>
      <c r="E524" s="30"/>
      <c r="F524" s="30"/>
      <c r="G524" s="30"/>
      <c r="H524" s="66"/>
      <c r="I524" s="30"/>
      <c r="J524" s="30"/>
      <c r="K524" s="12"/>
      <c r="L524" s="12"/>
    </row>
    <row r="525" spans="1:12">
      <c r="A525" s="30"/>
      <c r="B525" s="65"/>
      <c r="C525" s="65"/>
      <c r="D525" s="112"/>
      <c r="E525" s="30"/>
      <c r="F525" s="30"/>
      <c r="G525" s="30"/>
      <c r="H525" s="66"/>
      <c r="I525" s="30"/>
      <c r="J525" s="30"/>
      <c r="K525" s="12"/>
      <c r="L525" s="12"/>
    </row>
    <row r="526" spans="1:12">
      <c r="A526" s="30"/>
      <c r="B526" s="65"/>
      <c r="C526" s="65"/>
      <c r="D526" s="112"/>
      <c r="E526" s="30"/>
      <c r="F526" s="30"/>
      <c r="G526" s="30"/>
      <c r="H526" s="66"/>
      <c r="I526" s="30"/>
      <c r="J526" s="30"/>
      <c r="K526" s="12"/>
      <c r="L526" s="12"/>
    </row>
    <row r="527" spans="1:12">
      <c r="A527" s="30"/>
      <c r="B527" s="65"/>
      <c r="C527" s="65"/>
      <c r="D527" s="112"/>
      <c r="E527" s="30"/>
      <c r="F527" s="30"/>
      <c r="G527" s="30"/>
      <c r="H527" s="66"/>
      <c r="I527" s="30"/>
      <c r="J527" s="30"/>
      <c r="K527" s="12"/>
      <c r="L527" s="12"/>
    </row>
    <row r="528" spans="1:12">
      <c r="A528" s="30"/>
      <c r="B528" s="65"/>
      <c r="C528" s="65"/>
      <c r="D528" s="112"/>
      <c r="E528" s="30"/>
      <c r="F528" s="30"/>
      <c r="G528" s="30"/>
      <c r="H528" s="66"/>
      <c r="I528" s="30"/>
      <c r="J528" s="30"/>
      <c r="K528" s="12"/>
      <c r="L528" s="12"/>
    </row>
    <row r="529" spans="1:12">
      <c r="A529" s="30"/>
      <c r="B529" s="65"/>
      <c r="C529" s="65"/>
      <c r="D529" s="112"/>
      <c r="E529" s="30"/>
      <c r="F529" s="30"/>
      <c r="G529" s="30"/>
      <c r="H529" s="66"/>
      <c r="I529" s="30"/>
      <c r="J529" s="30"/>
      <c r="K529" s="12"/>
      <c r="L529" s="12"/>
    </row>
    <row r="530" spans="1:12">
      <c r="A530" s="30"/>
      <c r="B530" s="65"/>
      <c r="C530" s="65"/>
      <c r="D530" s="112"/>
      <c r="E530" s="30"/>
      <c r="F530" s="30"/>
      <c r="G530" s="30"/>
      <c r="H530" s="66"/>
      <c r="I530" s="30"/>
      <c r="J530" s="30"/>
      <c r="K530" s="12"/>
      <c r="L530" s="12"/>
    </row>
    <row r="531" spans="1:12">
      <c r="A531" s="30"/>
      <c r="B531" s="65"/>
      <c r="C531" s="65"/>
      <c r="D531" s="112"/>
      <c r="E531" s="30"/>
      <c r="F531" s="30"/>
      <c r="G531" s="30"/>
      <c r="H531" s="66"/>
      <c r="I531" s="30"/>
      <c r="J531" s="30"/>
      <c r="K531" s="12"/>
      <c r="L531" s="12"/>
    </row>
    <row r="532" spans="1:12">
      <c r="A532" s="30"/>
      <c r="B532" s="65"/>
      <c r="C532" s="65"/>
      <c r="D532" s="112"/>
      <c r="E532" s="30"/>
      <c r="F532" s="30"/>
      <c r="G532" s="30"/>
      <c r="H532" s="66"/>
      <c r="I532" s="30"/>
      <c r="J532" s="30"/>
      <c r="K532" s="12"/>
      <c r="L532" s="12"/>
    </row>
    <row r="533" spans="1:12">
      <c r="A533" s="30"/>
      <c r="B533" s="65"/>
      <c r="C533" s="65"/>
      <c r="D533" s="112"/>
      <c r="E533" s="30"/>
      <c r="F533" s="30"/>
      <c r="G533" s="30"/>
      <c r="H533" s="66"/>
      <c r="I533" s="30"/>
      <c r="J533" s="30"/>
      <c r="K533" s="12"/>
      <c r="L533" s="12"/>
    </row>
    <row r="534" spans="1:12">
      <c r="A534" s="30"/>
      <c r="B534" s="65"/>
      <c r="C534" s="65"/>
      <c r="D534" s="112"/>
      <c r="E534" s="30"/>
      <c r="F534" s="30"/>
      <c r="G534" s="30"/>
      <c r="H534" s="66"/>
      <c r="I534" s="30"/>
      <c r="J534" s="30"/>
      <c r="K534" s="12"/>
      <c r="L534" s="12"/>
    </row>
    <row r="535" spans="1:12">
      <c r="A535" s="30"/>
      <c r="B535" s="65"/>
      <c r="C535" s="65"/>
      <c r="D535" s="112"/>
      <c r="E535" s="30"/>
      <c r="F535" s="30"/>
      <c r="G535" s="30"/>
      <c r="H535" s="66"/>
      <c r="I535" s="30"/>
      <c r="J535" s="30"/>
      <c r="K535" s="12"/>
      <c r="L535" s="12"/>
    </row>
    <row r="536" spans="1:12">
      <c r="A536" s="30"/>
      <c r="B536" s="65"/>
      <c r="C536" s="65"/>
      <c r="D536" s="112"/>
      <c r="E536" s="30"/>
      <c r="F536" s="30"/>
      <c r="G536" s="30"/>
      <c r="H536" s="66"/>
      <c r="I536" s="30"/>
      <c r="J536" s="30"/>
      <c r="K536" s="12"/>
      <c r="L536" s="12"/>
    </row>
    <row r="537" spans="1:12">
      <c r="A537" s="30"/>
      <c r="B537" s="65"/>
      <c r="C537" s="65"/>
      <c r="D537" s="112"/>
      <c r="E537" s="30"/>
      <c r="F537" s="30"/>
      <c r="G537" s="30"/>
      <c r="H537" s="66"/>
      <c r="I537" s="30"/>
      <c r="J537" s="30"/>
      <c r="K537" s="12"/>
      <c r="L537" s="12"/>
    </row>
    <row r="538" spans="1:12">
      <c r="A538" s="30"/>
      <c r="B538" s="65"/>
      <c r="C538" s="65"/>
      <c r="D538" s="112"/>
      <c r="E538" s="30"/>
      <c r="F538" s="30"/>
      <c r="G538" s="30"/>
      <c r="H538" s="66"/>
      <c r="I538" s="30"/>
      <c r="J538" s="30"/>
      <c r="K538" s="12"/>
      <c r="L538" s="12"/>
    </row>
    <row r="539" spans="1:12">
      <c r="A539" s="30"/>
      <c r="B539" s="65"/>
      <c r="C539" s="65"/>
      <c r="D539" s="112"/>
      <c r="E539" s="30"/>
      <c r="F539" s="30"/>
      <c r="G539" s="30"/>
      <c r="H539" s="66"/>
      <c r="I539" s="30"/>
      <c r="J539" s="30"/>
      <c r="K539" s="12"/>
      <c r="L539" s="12"/>
    </row>
    <row r="540" spans="1:12">
      <c r="A540" s="30"/>
      <c r="B540" s="65"/>
      <c r="C540" s="65"/>
      <c r="D540" s="112"/>
      <c r="E540" s="30"/>
      <c r="F540" s="30"/>
      <c r="G540" s="30"/>
      <c r="H540" s="66"/>
      <c r="I540" s="30"/>
      <c r="J540" s="30"/>
      <c r="K540" s="12"/>
      <c r="L540" s="12"/>
    </row>
    <row r="541" spans="1:12">
      <c r="A541" s="30"/>
      <c r="B541" s="65"/>
      <c r="C541" s="65"/>
      <c r="D541" s="112"/>
      <c r="E541" s="30"/>
      <c r="F541" s="30"/>
      <c r="G541" s="30"/>
      <c r="H541" s="66"/>
      <c r="I541" s="30"/>
      <c r="J541" s="30"/>
      <c r="K541" s="12"/>
      <c r="L541" s="12"/>
    </row>
    <row r="542" spans="1:12">
      <c r="A542" s="30"/>
      <c r="B542" s="65"/>
      <c r="C542" s="65"/>
      <c r="D542" s="112"/>
      <c r="E542" s="30"/>
      <c r="F542" s="30"/>
      <c r="G542" s="30"/>
      <c r="H542" s="66"/>
      <c r="I542" s="30"/>
      <c r="J542" s="30"/>
      <c r="K542" s="12"/>
      <c r="L542" s="12"/>
    </row>
    <row r="543" spans="1:12">
      <c r="A543" s="30"/>
      <c r="B543" s="65"/>
      <c r="C543" s="65"/>
      <c r="D543" s="112"/>
      <c r="E543" s="30"/>
      <c r="F543" s="30"/>
      <c r="G543" s="30"/>
      <c r="H543" s="66"/>
      <c r="I543" s="30"/>
      <c r="J543" s="30"/>
      <c r="K543" s="12"/>
      <c r="L543" s="12"/>
    </row>
    <row r="544" spans="1:12">
      <c r="A544" s="30"/>
      <c r="B544" s="65"/>
      <c r="C544" s="65"/>
      <c r="D544" s="112"/>
      <c r="E544" s="30"/>
      <c r="F544" s="30"/>
      <c r="G544" s="30"/>
      <c r="H544" s="66"/>
      <c r="I544" s="30"/>
      <c r="J544" s="30"/>
      <c r="K544" s="12"/>
      <c r="L544" s="12"/>
    </row>
    <row r="545" spans="1:12">
      <c r="A545" s="30"/>
      <c r="B545" s="65"/>
      <c r="C545" s="65"/>
      <c r="D545" s="112"/>
      <c r="E545" s="30"/>
      <c r="F545" s="30"/>
      <c r="G545" s="30"/>
      <c r="H545" s="66"/>
      <c r="I545" s="30"/>
      <c r="J545" s="30"/>
      <c r="K545" s="12"/>
      <c r="L545" s="12"/>
    </row>
    <row r="546" spans="1:12">
      <c r="A546" s="30"/>
      <c r="B546" s="65"/>
      <c r="C546" s="65"/>
      <c r="D546" s="112"/>
      <c r="E546" s="30"/>
      <c r="F546" s="30"/>
      <c r="G546" s="30"/>
      <c r="H546" s="66"/>
      <c r="I546" s="30"/>
      <c r="J546" s="30"/>
      <c r="K546" s="12"/>
      <c r="L546" s="12"/>
    </row>
    <row r="547" spans="1:12">
      <c r="A547" s="30"/>
      <c r="B547" s="65"/>
      <c r="C547" s="65"/>
      <c r="D547" s="112"/>
      <c r="E547" s="30"/>
      <c r="F547" s="30"/>
      <c r="G547" s="30"/>
      <c r="H547" s="66"/>
      <c r="I547" s="30"/>
      <c r="J547" s="30"/>
      <c r="K547" s="12"/>
      <c r="L547" s="12"/>
    </row>
    <row r="548" spans="1:12">
      <c r="A548" s="30"/>
      <c r="B548" s="65"/>
      <c r="C548" s="65"/>
      <c r="D548" s="112"/>
      <c r="E548" s="30"/>
      <c r="F548" s="30"/>
      <c r="G548" s="30"/>
      <c r="H548" s="66"/>
      <c r="I548" s="30"/>
      <c r="J548" s="30"/>
      <c r="K548" s="12"/>
      <c r="L548" s="12"/>
    </row>
    <row r="549" spans="1:12">
      <c r="A549" s="30"/>
      <c r="B549" s="65"/>
      <c r="C549" s="65"/>
      <c r="D549" s="112"/>
      <c r="E549" s="30"/>
      <c r="F549" s="30"/>
      <c r="G549" s="30"/>
      <c r="H549" s="66"/>
      <c r="I549" s="30"/>
      <c r="J549" s="30"/>
      <c r="K549" s="12"/>
      <c r="L549" s="12"/>
    </row>
    <row r="550" spans="1:12">
      <c r="A550" s="30"/>
      <c r="B550" s="65"/>
      <c r="C550" s="65"/>
      <c r="D550" s="112"/>
      <c r="E550" s="30"/>
      <c r="F550" s="30"/>
      <c r="G550" s="30"/>
      <c r="H550" s="66"/>
      <c r="I550" s="30"/>
      <c r="J550" s="30"/>
      <c r="K550" s="12"/>
      <c r="L550" s="12"/>
    </row>
    <row r="551" spans="1:12">
      <c r="A551" s="30"/>
      <c r="B551" s="65"/>
      <c r="C551" s="65"/>
      <c r="D551" s="112"/>
      <c r="E551" s="30"/>
      <c r="F551" s="30"/>
      <c r="G551" s="30"/>
      <c r="H551" s="66"/>
      <c r="I551" s="30"/>
      <c r="J551" s="30"/>
      <c r="K551" s="12"/>
      <c r="L551" s="12"/>
    </row>
    <row r="552" spans="1:12">
      <c r="A552" s="30"/>
      <c r="B552" s="65"/>
      <c r="C552" s="65"/>
      <c r="D552" s="112"/>
      <c r="E552" s="30"/>
      <c r="F552" s="30"/>
      <c r="G552" s="30"/>
      <c r="H552" s="66"/>
      <c r="I552" s="30"/>
      <c r="J552" s="30"/>
      <c r="K552" s="12"/>
      <c r="L552" s="12"/>
    </row>
    <row r="553" spans="1:12">
      <c r="A553" s="30"/>
      <c r="B553" s="65"/>
      <c r="C553" s="65"/>
      <c r="D553" s="112"/>
      <c r="E553" s="30"/>
      <c r="F553" s="30"/>
      <c r="G553" s="30"/>
      <c r="H553" s="66"/>
      <c r="I553" s="30"/>
      <c r="J553" s="30"/>
      <c r="K553" s="12"/>
      <c r="L553" s="12"/>
    </row>
    <row r="554" spans="1:12">
      <c r="A554" s="30"/>
      <c r="B554" s="65"/>
      <c r="C554" s="65"/>
      <c r="D554" s="112"/>
      <c r="E554" s="30"/>
      <c r="F554" s="30"/>
      <c r="G554" s="30"/>
      <c r="H554" s="66"/>
      <c r="I554" s="30"/>
      <c r="J554" s="30"/>
      <c r="K554" s="12"/>
      <c r="L554" s="12"/>
    </row>
    <row r="555" spans="1:12">
      <c r="A555" s="30"/>
      <c r="B555" s="65"/>
      <c r="C555" s="65"/>
      <c r="D555" s="112"/>
      <c r="E555" s="30"/>
      <c r="F555" s="30"/>
      <c r="G555" s="30"/>
      <c r="H555" s="66"/>
      <c r="I555" s="30"/>
      <c r="J555" s="30"/>
      <c r="K555" s="12"/>
      <c r="L555" s="12"/>
    </row>
    <row r="556" spans="1:12">
      <c r="A556" s="30"/>
      <c r="B556" s="65"/>
      <c r="C556" s="65"/>
      <c r="D556" s="112"/>
      <c r="E556" s="30"/>
      <c r="F556" s="30"/>
      <c r="G556" s="30"/>
      <c r="H556" s="66"/>
      <c r="I556" s="30"/>
      <c r="J556" s="30"/>
      <c r="K556" s="12"/>
      <c r="L556" s="12"/>
    </row>
    <row r="557" spans="1:12">
      <c r="A557" s="30"/>
      <c r="B557" s="65"/>
      <c r="C557" s="65"/>
      <c r="D557" s="112"/>
      <c r="E557" s="30"/>
      <c r="F557" s="30"/>
      <c r="G557" s="30"/>
      <c r="H557" s="66"/>
      <c r="I557" s="30"/>
      <c r="J557" s="30"/>
      <c r="K557" s="12"/>
      <c r="L557" s="12"/>
    </row>
    <row r="558" spans="1:12">
      <c r="A558" s="30"/>
      <c r="B558" s="65"/>
      <c r="C558" s="65"/>
      <c r="D558" s="112"/>
      <c r="E558" s="30"/>
      <c r="F558" s="30"/>
      <c r="G558" s="30"/>
      <c r="H558" s="66"/>
      <c r="I558" s="30"/>
      <c r="J558" s="30"/>
      <c r="K558" s="12"/>
      <c r="L558" s="12"/>
    </row>
    <row r="559" spans="1:12">
      <c r="A559" s="30"/>
      <c r="B559" s="65"/>
      <c r="C559" s="65"/>
      <c r="D559" s="112"/>
      <c r="E559" s="30"/>
      <c r="F559" s="30"/>
      <c r="G559" s="30"/>
      <c r="H559" s="66"/>
      <c r="I559" s="30"/>
      <c r="J559" s="30"/>
      <c r="K559" s="12"/>
      <c r="L559" s="12"/>
    </row>
    <row r="560" spans="1:12">
      <c r="A560" s="30"/>
      <c r="B560" s="65"/>
      <c r="C560" s="65"/>
      <c r="D560" s="112"/>
      <c r="E560" s="30"/>
      <c r="F560" s="30"/>
      <c r="G560" s="30"/>
      <c r="H560" s="66"/>
      <c r="I560" s="30"/>
      <c r="J560" s="30"/>
      <c r="K560" s="12"/>
      <c r="L560" s="12"/>
    </row>
    <row r="561" spans="1:12">
      <c r="A561" s="30"/>
      <c r="B561" s="65"/>
      <c r="C561" s="65"/>
      <c r="D561" s="112"/>
      <c r="E561" s="30"/>
      <c r="F561" s="30"/>
      <c r="G561" s="30"/>
      <c r="H561" s="66"/>
      <c r="I561" s="30"/>
      <c r="J561" s="30"/>
      <c r="K561" s="12"/>
      <c r="L561" s="12"/>
    </row>
    <row r="562" spans="1:12">
      <c r="A562" s="30"/>
      <c r="B562" s="65"/>
      <c r="C562" s="65"/>
      <c r="D562" s="112"/>
      <c r="E562" s="30"/>
      <c r="F562" s="30"/>
      <c r="G562" s="30"/>
      <c r="H562" s="66"/>
      <c r="I562" s="30"/>
      <c r="J562" s="30"/>
      <c r="K562" s="12"/>
      <c r="L562" s="12"/>
    </row>
    <row r="563" spans="1:12">
      <c r="A563" s="30"/>
      <c r="B563" s="65"/>
      <c r="C563" s="65"/>
      <c r="D563" s="112"/>
      <c r="E563" s="30"/>
      <c r="F563" s="30"/>
      <c r="G563" s="30"/>
      <c r="H563" s="66"/>
      <c r="I563" s="30"/>
      <c r="J563" s="30"/>
      <c r="K563" s="12"/>
      <c r="L563" s="12"/>
    </row>
    <row r="564" spans="1:12">
      <c r="A564" s="30"/>
      <c r="B564" s="65"/>
      <c r="C564" s="65"/>
      <c r="D564" s="112"/>
      <c r="E564" s="30"/>
      <c r="F564" s="30"/>
      <c r="G564" s="30"/>
      <c r="H564" s="66"/>
      <c r="I564" s="30"/>
      <c r="J564" s="30"/>
      <c r="K564" s="12"/>
      <c r="L564" s="12"/>
    </row>
    <row r="565" spans="1:12">
      <c r="A565" s="30"/>
      <c r="B565" s="65"/>
      <c r="C565" s="65"/>
      <c r="D565" s="112"/>
      <c r="E565" s="30"/>
      <c r="F565" s="30"/>
      <c r="G565" s="30"/>
      <c r="H565" s="66"/>
      <c r="I565" s="30"/>
      <c r="J565" s="30"/>
      <c r="K565" s="12"/>
      <c r="L565" s="12"/>
    </row>
    <row r="566" spans="1:12">
      <c r="A566" s="30"/>
      <c r="B566" s="65"/>
      <c r="C566" s="65"/>
      <c r="D566" s="112"/>
      <c r="E566" s="30"/>
      <c r="F566" s="30"/>
      <c r="G566" s="30"/>
      <c r="H566" s="66"/>
      <c r="I566" s="30"/>
      <c r="J566" s="30"/>
      <c r="K566" s="12"/>
      <c r="L566" s="12"/>
    </row>
    <row r="567" spans="1:12">
      <c r="A567" s="30"/>
      <c r="B567" s="65"/>
      <c r="C567" s="65"/>
      <c r="D567" s="112"/>
      <c r="E567" s="30"/>
      <c r="F567" s="30"/>
      <c r="G567" s="30"/>
      <c r="H567" s="66"/>
      <c r="I567" s="30"/>
      <c r="J567" s="30"/>
      <c r="K567" s="12"/>
      <c r="L567" s="12"/>
    </row>
    <row r="568" spans="1:12">
      <c r="A568" s="30"/>
      <c r="B568" s="65"/>
      <c r="C568" s="65"/>
      <c r="D568" s="112"/>
      <c r="E568" s="30"/>
      <c r="F568" s="30"/>
      <c r="G568" s="30"/>
      <c r="H568" s="66"/>
      <c r="I568" s="30"/>
      <c r="J568" s="30"/>
      <c r="K568" s="12"/>
      <c r="L568" s="12"/>
    </row>
    <row r="569" spans="1:12">
      <c r="A569" s="30"/>
      <c r="B569" s="65"/>
      <c r="C569" s="65"/>
      <c r="D569" s="112"/>
      <c r="E569" s="30"/>
      <c r="F569" s="30"/>
      <c r="G569" s="30"/>
      <c r="H569" s="66"/>
      <c r="I569" s="30"/>
      <c r="J569" s="30"/>
      <c r="K569" s="12"/>
      <c r="L569" s="12"/>
    </row>
    <row r="570" spans="1:12">
      <c r="A570" s="30"/>
      <c r="B570" s="65"/>
      <c r="C570" s="65"/>
      <c r="D570" s="112"/>
      <c r="E570" s="30"/>
      <c r="F570" s="30"/>
      <c r="G570" s="30"/>
      <c r="H570" s="66"/>
      <c r="I570" s="30"/>
      <c r="J570" s="30"/>
      <c r="K570" s="12"/>
      <c r="L570" s="12"/>
    </row>
    <row r="571" spans="1:12">
      <c r="A571" s="30"/>
      <c r="B571" s="65"/>
      <c r="C571" s="65"/>
      <c r="D571" s="112"/>
      <c r="E571" s="30"/>
      <c r="F571" s="30"/>
      <c r="G571" s="30"/>
      <c r="H571" s="66"/>
      <c r="I571" s="30"/>
      <c r="J571" s="30"/>
      <c r="K571" s="12"/>
      <c r="L571" s="12"/>
    </row>
    <row r="572" spans="1:12">
      <c r="A572" s="30"/>
      <c r="B572" s="65"/>
      <c r="C572" s="65"/>
      <c r="D572" s="112"/>
      <c r="E572" s="30"/>
      <c r="F572" s="30"/>
      <c r="G572" s="30"/>
      <c r="H572" s="66"/>
      <c r="I572" s="30"/>
      <c r="J572" s="30"/>
      <c r="K572" s="12"/>
      <c r="L572" s="12"/>
    </row>
    <row r="573" spans="1:12">
      <c r="A573" s="30"/>
      <c r="B573" s="65"/>
      <c r="C573" s="65"/>
      <c r="D573" s="112"/>
      <c r="E573" s="30"/>
      <c r="F573" s="30"/>
      <c r="G573" s="30"/>
      <c r="H573" s="66"/>
      <c r="I573" s="30"/>
      <c r="J573" s="30"/>
      <c r="K573" s="12"/>
      <c r="L573" s="12"/>
    </row>
    <row r="574" spans="1:12">
      <c r="A574" s="30"/>
      <c r="B574" s="65"/>
      <c r="C574" s="65"/>
      <c r="D574" s="112"/>
      <c r="E574" s="30"/>
      <c r="F574" s="30"/>
      <c r="G574" s="30"/>
      <c r="H574" s="66"/>
      <c r="I574" s="30"/>
      <c r="J574" s="30"/>
      <c r="K574" s="12"/>
      <c r="L574" s="12"/>
    </row>
    <row r="575" spans="1:12">
      <c r="A575" s="30"/>
      <c r="B575" s="65"/>
      <c r="C575" s="65"/>
      <c r="D575" s="112"/>
      <c r="E575" s="30"/>
      <c r="F575" s="30"/>
      <c r="G575" s="30"/>
      <c r="H575" s="66"/>
      <c r="I575" s="30"/>
      <c r="J575" s="30"/>
      <c r="K575" s="12"/>
      <c r="L575" s="12"/>
    </row>
    <row r="576" spans="1:12">
      <c r="A576" s="30"/>
      <c r="B576" s="65"/>
      <c r="C576" s="65"/>
      <c r="D576" s="112"/>
      <c r="E576" s="30"/>
      <c r="F576" s="30"/>
      <c r="G576" s="30"/>
      <c r="H576" s="66"/>
      <c r="I576" s="30"/>
      <c r="J576" s="30"/>
      <c r="K576" s="12"/>
      <c r="L576" s="12"/>
    </row>
    <row r="577" spans="1:12">
      <c r="A577" s="30"/>
      <c r="B577" s="65"/>
      <c r="C577" s="65"/>
      <c r="D577" s="112"/>
      <c r="E577" s="30"/>
      <c r="F577" s="30"/>
      <c r="G577" s="30"/>
      <c r="H577" s="66"/>
      <c r="I577" s="30"/>
      <c r="J577" s="30"/>
      <c r="K577" s="12"/>
      <c r="L577" s="12"/>
    </row>
    <row r="578" spans="1:12">
      <c r="A578" s="30"/>
      <c r="B578" s="65"/>
      <c r="C578" s="65"/>
      <c r="D578" s="112"/>
      <c r="E578" s="30"/>
      <c r="F578" s="30"/>
      <c r="G578" s="30"/>
      <c r="H578" s="66"/>
      <c r="I578" s="30"/>
      <c r="J578" s="30"/>
      <c r="K578" s="12"/>
      <c r="L578" s="12"/>
    </row>
    <row r="579" spans="1:12">
      <c r="A579" s="30"/>
      <c r="B579" s="65"/>
      <c r="C579" s="65"/>
      <c r="D579" s="112"/>
      <c r="E579" s="30"/>
      <c r="F579" s="30"/>
      <c r="G579" s="30"/>
      <c r="H579" s="66"/>
      <c r="I579" s="30"/>
      <c r="J579" s="30"/>
      <c r="K579" s="12"/>
      <c r="L579" s="12"/>
    </row>
    <row r="580" spans="1:12">
      <c r="A580" s="30"/>
      <c r="B580" s="65"/>
      <c r="C580" s="65"/>
      <c r="D580" s="112"/>
      <c r="E580" s="30"/>
      <c r="F580" s="30"/>
      <c r="G580" s="30"/>
      <c r="H580" s="66"/>
      <c r="I580" s="30"/>
      <c r="J580" s="30"/>
      <c r="K580" s="12"/>
      <c r="L580" s="12"/>
    </row>
    <row r="581" spans="1:12">
      <c r="A581" s="30"/>
      <c r="B581" s="65"/>
      <c r="C581" s="65"/>
      <c r="D581" s="112"/>
      <c r="E581" s="30"/>
      <c r="F581" s="30"/>
      <c r="G581" s="30"/>
      <c r="H581" s="66"/>
      <c r="I581" s="30"/>
      <c r="J581" s="30"/>
      <c r="K581" s="12"/>
      <c r="L581" s="12"/>
    </row>
    <row r="582" spans="1:12">
      <c r="A582" s="30"/>
      <c r="B582" s="65"/>
      <c r="C582" s="65"/>
      <c r="D582" s="112"/>
      <c r="E582" s="30"/>
      <c r="F582" s="30"/>
      <c r="G582" s="30"/>
      <c r="H582" s="66"/>
      <c r="I582" s="30"/>
      <c r="J582" s="30"/>
      <c r="K582" s="12"/>
      <c r="L582" s="12"/>
    </row>
    <row r="583" spans="1:12">
      <c r="A583" s="30"/>
      <c r="B583" s="65"/>
      <c r="C583" s="65"/>
      <c r="D583" s="112"/>
      <c r="E583" s="30"/>
      <c r="F583" s="30"/>
      <c r="G583" s="30"/>
      <c r="H583" s="66"/>
      <c r="I583" s="30"/>
      <c r="J583" s="30"/>
      <c r="K583" s="12"/>
      <c r="L583" s="12"/>
    </row>
    <row r="584" spans="1:12">
      <c r="A584" s="30"/>
      <c r="B584" s="65"/>
      <c r="C584" s="65"/>
      <c r="D584" s="112"/>
      <c r="E584" s="30"/>
      <c r="F584" s="30"/>
      <c r="G584" s="30"/>
      <c r="H584" s="66"/>
      <c r="I584" s="30"/>
      <c r="J584" s="30"/>
      <c r="K584" s="12"/>
      <c r="L584" s="12"/>
    </row>
    <row r="585" spans="1:12">
      <c r="A585" s="30"/>
      <c r="B585" s="65"/>
      <c r="C585" s="65"/>
      <c r="D585" s="112"/>
      <c r="E585" s="30"/>
      <c r="F585" s="30"/>
      <c r="G585" s="30"/>
      <c r="H585" s="66"/>
      <c r="I585" s="30"/>
      <c r="J585" s="30"/>
      <c r="K585" s="12"/>
      <c r="L585" s="12"/>
    </row>
    <row r="586" spans="1:12">
      <c r="A586" s="30"/>
      <c r="B586" s="65"/>
      <c r="C586" s="65"/>
      <c r="D586" s="112"/>
      <c r="E586" s="30"/>
      <c r="F586" s="30"/>
      <c r="G586" s="30"/>
      <c r="H586" s="66"/>
      <c r="I586" s="30"/>
      <c r="J586" s="30"/>
      <c r="K586" s="12"/>
      <c r="L586" s="12"/>
    </row>
    <row r="587" spans="1:12">
      <c r="A587" s="30"/>
      <c r="B587" s="65"/>
      <c r="C587" s="65"/>
      <c r="D587" s="112"/>
      <c r="E587" s="30"/>
      <c r="F587" s="30"/>
      <c r="G587" s="30"/>
      <c r="H587" s="66"/>
      <c r="I587" s="30"/>
      <c r="J587" s="30"/>
      <c r="K587" s="12"/>
      <c r="L587" s="12"/>
    </row>
    <row r="588" spans="1:12">
      <c r="A588" s="30"/>
      <c r="B588" s="65"/>
      <c r="C588" s="65"/>
      <c r="D588" s="112"/>
      <c r="E588" s="30"/>
      <c r="F588" s="30"/>
      <c r="G588" s="30"/>
      <c r="H588" s="66"/>
      <c r="I588" s="30"/>
      <c r="J588" s="30"/>
      <c r="K588" s="12"/>
      <c r="L588" s="12"/>
    </row>
    <row r="589" spans="1:12">
      <c r="A589" s="30"/>
      <c r="B589" s="65"/>
      <c r="C589" s="65"/>
      <c r="D589" s="112"/>
      <c r="E589" s="30"/>
      <c r="F589" s="30"/>
      <c r="G589" s="30"/>
      <c r="H589" s="66"/>
      <c r="I589" s="30"/>
      <c r="J589" s="30"/>
      <c r="K589" s="12"/>
      <c r="L589" s="12"/>
    </row>
    <row r="590" spans="1:12">
      <c r="A590" s="30"/>
      <c r="B590" s="65"/>
      <c r="C590" s="65"/>
      <c r="D590" s="112"/>
      <c r="E590" s="30"/>
      <c r="F590" s="30"/>
      <c r="G590" s="30"/>
      <c r="H590" s="66"/>
      <c r="I590" s="30"/>
      <c r="J590" s="30"/>
      <c r="K590" s="12"/>
      <c r="L590" s="12"/>
    </row>
    <row r="591" spans="1:12">
      <c r="A591" s="30"/>
      <c r="B591" s="65"/>
      <c r="C591" s="65"/>
      <c r="D591" s="112"/>
      <c r="E591" s="30"/>
      <c r="F591" s="30"/>
      <c r="G591" s="30"/>
      <c r="H591" s="66"/>
      <c r="I591" s="30"/>
      <c r="J591" s="30"/>
      <c r="K591" s="12"/>
      <c r="L591" s="12"/>
    </row>
    <row r="592" spans="1:12">
      <c r="A592" s="30"/>
      <c r="B592" s="65"/>
      <c r="C592" s="65"/>
      <c r="D592" s="112"/>
      <c r="E592" s="30"/>
      <c r="F592" s="30"/>
      <c r="G592" s="30"/>
      <c r="H592" s="66"/>
      <c r="I592" s="30"/>
      <c r="J592" s="30"/>
      <c r="K592" s="12"/>
      <c r="L592" s="12"/>
    </row>
    <row r="593" spans="1:12">
      <c r="A593" s="30"/>
      <c r="B593" s="65"/>
      <c r="C593" s="65"/>
      <c r="D593" s="112"/>
      <c r="E593" s="30"/>
      <c r="F593" s="30"/>
      <c r="G593" s="30"/>
      <c r="H593" s="66"/>
      <c r="I593" s="30"/>
      <c r="J593" s="30"/>
      <c r="K593" s="12"/>
      <c r="L593" s="12"/>
    </row>
    <row r="594" spans="1:12">
      <c r="A594" s="30"/>
      <c r="B594" s="65"/>
      <c r="C594" s="65"/>
      <c r="D594" s="112"/>
      <c r="E594" s="30"/>
      <c r="F594" s="30"/>
      <c r="G594" s="30"/>
      <c r="H594" s="66"/>
      <c r="I594" s="30"/>
      <c r="J594" s="30"/>
      <c r="K594" s="12"/>
      <c r="L594" s="12"/>
    </row>
    <row r="595" spans="1:12">
      <c r="A595" s="30"/>
      <c r="B595" s="65"/>
      <c r="C595" s="65"/>
      <c r="D595" s="112"/>
      <c r="E595" s="30"/>
      <c r="F595" s="30"/>
      <c r="G595" s="30"/>
      <c r="H595" s="66"/>
      <c r="I595" s="30"/>
      <c r="J595" s="30"/>
      <c r="K595" s="12"/>
      <c r="L595" s="12"/>
    </row>
    <row r="596" spans="1:12">
      <c r="A596" s="30"/>
      <c r="B596" s="65"/>
      <c r="C596" s="65"/>
      <c r="D596" s="112"/>
      <c r="E596" s="30"/>
      <c r="F596" s="30"/>
      <c r="G596" s="30"/>
      <c r="H596" s="66"/>
      <c r="I596" s="30"/>
      <c r="J596" s="30"/>
      <c r="K596" s="12"/>
      <c r="L596" s="12"/>
    </row>
    <row r="597" spans="1:12">
      <c r="A597" s="30"/>
      <c r="B597" s="65"/>
      <c r="C597" s="65"/>
      <c r="D597" s="112"/>
      <c r="E597" s="30"/>
      <c r="F597" s="30"/>
      <c r="G597" s="30"/>
      <c r="H597" s="66"/>
      <c r="I597" s="30"/>
      <c r="J597" s="30"/>
      <c r="K597" s="12"/>
      <c r="L597" s="12"/>
    </row>
    <row r="598" spans="1:12">
      <c r="A598" s="30"/>
      <c r="B598" s="65"/>
      <c r="C598" s="65"/>
      <c r="D598" s="112"/>
      <c r="E598" s="30"/>
      <c r="F598" s="30"/>
      <c r="G598" s="30"/>
      <c r="H598" s="66"/>
      <c r="I598" s="30"/>
      <c r="J598" s="30"/>
      <c r="K598" s="12"/>
      <c r="L598" s="12"/>
    </row>
    <row r="599" spans="1:12">
      <c r="A599" s="30"/>
      <c r="B599" s="65"/>
      <c r="C599" s="65"/>
      <c r="D599" s="112"/>
      <c r="E599" s="30"/>
      <c r="F599" s="30"/>
      <c r="G599" s="30"/>
      <c r="H599" s="66"/>
      <c r="I599" s="30"/>
      <c r="J599" s="30"/>
      <c r="K599" s="12"/>
      <c r="L599" s="12"/>
    </row>
    <row r="600" spans="1:12">
      <c r="A600" s="30"/>
      <c r="B600" s="65"/>
      <c r="C600" s="65"/>
      <c r="D600" s="112"/>
      <c r="E600" s="30"/>
      <c r="F600" s="30"/>
      <c r="G600" s="30"/>
      <c r="H600" s="66"/>
      <c r="I600" s="30"/>
      <c r="J600" s="30"/>
      <c r="K600" s="12"/>
      <c r="L600" s="12"/>
    </row>
    <row r="601" spans="1:12">
      <c r="A601" s="30"/>
      <c r="B601" s="65"/>
      <c r="C601" s="65"/>
      <c r="D601" s="112"/>
      <c r="E601" s="30"/>
      <c r="F601" s="30"/>
      <c r="G601" s="30"/>
      <c r="H601" s="66"/>
      <c r="I601" s="30"/>
      <c r="J601" s="30"/>
      <c r="K601" s="12"/>
      <c r="L601" s="12"/>
    </row>
    <row r="602" spans="1:12">
      <c r="A602" s="30"/>
      <c r="B602" s="65"/>
      <c r="C602" s="65"/>
      <c r="D602" s="112"/>
      <c r="E602" s="30"/>
      <c r="F602" s="30"/>
      <c r="G602" s="30"/>
      <c r="H602" s="66"/>
      <c r="I602" s="30"/>
      <c r="J602" s="30"/>
      <c r="K602" s="12"/>
      <c r="L602" s="12"/>
    </row>
    <row r="603" spans="1:12">
      <c r="A603" s="30"/>
      <c r="B603" s="65"/>
      <c r="C603" s="65"/>
      <c r="D603" s="112"/>
      <c r="E603" s="30"/>
      <c r="F603" s="30"/>
      <c r="G603" s="30"/>
      <c r="H603" s="66"/>
      <c r="I603" s="30"/>
      <c r="J603" s="30"/>
      <c r="K603" s="12"/>
      <c r="L603" s="12"/>
    </row>
    <row r="604" spans="1:12">
      <c r="A604" s="30"/>
      <c r="B604" s="65"/>
      <c r="C604" s="65"/>
      <c r="D604" s="112"/>
      <c r="E604" s="30"/>
      <c r="F604" s="30"/>
      <c r="G604" s="30"/>
      <c r="H604" s="66"/>
      <c r="I604" s="30"/>
      <c r="J604" s="30"/>
      <c r="K604" s="12"/>
      <c r="L604" s="12"/>
    </row>
    <row r="605" spans="1:12">
      <c r="A605" s="30"/>
      <c r="B605" s="65"/>
      <c r="C605" s="65"/>
      <c r="D605" s="112"/>
      <c r="E605" s="30"/>
      <c r="F605" s="30"/>
      <c r="G605" s="30"/>
      <c r="H605" s="66"/>
      <c r="I605" s="30"/>
      <c r="J605" s="30"/>
      <c r="K605" s="12"/>
      <c r="L605" s="12"/>
    </row>
    <row r="606" spans="1:12">
      <c r="A606" s="30"/>
      <c r="B606" s="65"/>
      <c r="C606" s="65"/>
      <c r="D606" s="112"/>
      <c r="E606" s="30"/>
      <c r="F606" s="30"/>
      <c r="G606" s="30"/>
      <c r="H606" s="66"/>
      <c r="I606" s="30"/>
      <c r="J606" s="30"/>
      <c r="K606" s="12"/>
      <c r="L606" s="12"/>
    </row>
    <row r="607" spans="1:12">
      <c r="A607" s="30"/>
      <c r="B607" s="65"/>
      <c r="C607" s="65"/>
      <c r="D607" s="112"/>
      <c r="E607" s="30"/>
      <c r="F607" s="30"/>
      <c r="G607" s="30"/>
      <c r="H607" s="66"/>
      <c r="I607" s="30"/>
      <c r="J607" s="30"/>
      <c r="K607" s="12"/>
      <c r="L607" s="12"/>
    </row>
    <row r="608" spans="1:12">
      <c r="A608" s="30"/>
      <c r="B608" s="65"/>
      <c r="C608" s="65"/>
      <c r="D608" s="112"/>
      <c r="E608" s="30"/>
      <c r="F608" s="30"/>
      <c r="G608" s="30"/>
      <c r="H608" s="66"/>
      <c r="I608" s="30"/>
      <c r="J608" s="30"/>
      <c r="K608" s="12"/>
      <c r="L608" s="12"/>
    </row>
    <row r="609" spans="1:12">
      <c r="A609" s="30"/>
      <c r="B609" s="65"/>
      <c r="C609" s="65"/>
      <c r="D609" s="112"/>
      <c r="E609" s="30"/>
      <c r="F609" s="30"/>
      <c r="G609" s="30"/>
      <c r="H609" s="66"/>
      <c r="I609" s="30"/>
      <c r="J609" s="30"/>
      <c r="K609" s="12"/>
      <c r="L609" s="12"/>
    </row>
    <row r="610" spans="1:12">
      <c r="A610" s="30"/>
      <c r="B610" s="65"/>
      <c r="C610" s="65"/>
      <c r="D610" s="112"/>
      <c r="E610" s="30"/>
      <c r="F610" s="30"/>
      <c r="G610" s="30"/>
      <c r="H610" s="66"/>
      <c r="I610" s="30"/>
      <c r="J610" s="30"/>
      <c r="K610" s="12"/>
      <c r="L610" s="12"/>
    </row>
    <row r="611" spans="1:12">
      <c r="A611" s="30"/>
      <c r="B611" s="65"/>
      <c r="C611" s="65"/>
      <c r="D611" s="112"/>
      <c r="E611" s="30"/>
      <c r="F611" s="30"/>
      <c r="G611" s="30"/>
      <c r="H611" s="66"/>
      <c r="I611" s="30"/>
      <c r="J611" s="30"/>
      <c r="K611" s="12"/>
      <c r="L611" s="12"/>
    </row>
    <row r="612" spans="1:12">
      <c r="A612" s="30"/>
      <c r="B612" s="65"/>
      <c r="C612" s="65"/>
      <c r="D612" s="112"/>
      <c r="E612" s="30"/>
      <c r="F612" s="30"/>
      <c r="G612" s="30"/>
      <c r="H612" s="66"/>
      <c r="I612" s="30"/>
      <c r="J612" s="30"/>
      <c r="K612" s="12"/>
      <c r="L612" s="12"/>
    </row>
    <row r="613" spans="1:12">
      <c r="A613" s="30"/>
      <c r="B613" s="65"/>
      <c r="C613" s="65"/>
      <c r="D613" s="112"/>
      <c r="E613" s="30"/>
      <c r="F613" s="30"/>
      <c r="G613" s="30"/>
      <c r="H613" s="66"/>
      <c r="I613" s="30"/>
      <c r="J613" s="30"/>
      <c r="K613" s="12"/>
      <c r="L613" s="12"/>
    </row>
    <row r="614" spans="1:12">
      <c r="A614" s="30"/>
      <c r="B614" s="65"/>
      <c r="C614" s="65"/>
      <c r="D614" s="112"/>
      <c r="E614" s="30"/>
      <c r="F614" s="30"/>
      <c r="G614" s="30"/>
      <c r="H614" s="66"/>
      <c r="I614" s="30"/>
      <c r="J614" s="30"/>
      <c r="K614" s="12"/>
      <c r="L614" s="12"/>
    </row>
    <row r="615" spans="1:12">
      <c r="A615" s="30"/>
      <c r="B615" s="65"/>
      <c r="C615" s="65"/>
      <c r="D615" s="112"/>
      <c r="E615" s="30"/>
      <c r="F615" s="30"/>
      <c r="G615" s="30"/>
      <c r="H615" s="66"/>
      <c r="I615" s="30"/>
      <c r="J615" s="30"/>
      <c r="K615" s="12"/>
      <c r="L615" s="12"/>
    </row>
    <row r="616" spans="1:12">
      <c r="A616" s="30"/>
      <c r="B616" s="65"/>
      <c r="C616" s="65"/>
      <c r="D616" s="112"/>
      <c r="E616" s="30"/>
      <c r="F616" s="30"/>
      <c r="G616" s="30"/>
      <c r="H616" s="66"/>
      <c r="I616" s="30"/>
      <c r="J616" s="30"/>
      <c r="K616" s="12"/>
      <c r="L616" s="12"/>
    </row>
    <row r="617" spans="1:12">
      <c r="A617" s="30"/>
      <c r="B617" s="65"/>
      <c r="C617" s="65"/>
      <c r="D617" s="112"/>
      <c r="E617" s="30"/>
      <c r="F617" s="30"/>
      <c r="G617" s="30"/>
      <c r="H617" s="66"/>
      <c r="I617" s="30"/>
      <c r="J617" s="30"/>
      <c r="K617" s="12"/>
      <c r="L617" s="12"/>
    </row>
    <row r="618" spans="1:12">
      <c r="A618" s="30"/>
      <c r="B618" s="65"/>
      <c r="C618" s="65"/>
      <c r="D618" s="112"/>
      <c r="E618" s="30"/>
      <c r="F618" s="30"/>
      <c r="G618" s="30"/>
      <c r="H618" s="66"/>
      <c r="I618" s="30"/>
      <c r="J618" s="30"/>
      <c r="K618" s="12"/>
      <c r="L618" s="12"/>
    </row>
    <row r="619" spans="1:12">
      <c r="A619" s="30"/>
      <c r="B619" s="65"/>
      <c r="C619" s="65"/>
      <c r="D619" s="112"/>
      <c r="E619" s="30"/>
      <c r="F619" s="30"/>
      <c r="G619" s="30"/>
      <c r="H619" s="66"/>
      <c r="I619" s="30"/>
      <c r="J619" s="30"/>
      <c r="K619" s="12"/>
      <c r="L619" s="12"/>
    </row>
    <row r="620" spans="1:12">
      <c r="A620" s="30"/>
      <c r="B620" s="65"/>
      <c r="C620" s="65"/>
      <c r="D620" s="112"/>
      <c r="E620" s="30"/>
      <c r="F620" s="30"/>
      <c r="G620" s="30"/>
      <c r="H620" s="66"/>
      <c r="I620" s="30"/>
      <c r="J620" s="30"/>
      <c r="K620" s="12"/>
      <c r="L620" s="12"/>
    </row>
    <row r="621" spans="1:12">
      <c r="A621" s="30"/>
      <c r="B621" s="65"/>
      <c r="C621" s="65"/>
      <c r="D621" s="112"/>
      <c r="E621" s="30"/>
      <c r="F621" s="30"/>
      <c r="G621" s="30"/>
      <c r="H621" s="66"/>
      <c r="I621" s="30"/>
      <c r="J621" s="30"/>
      <c r="K621" s="12"/>
      <c r="L621" s="12"/>
    </row>
    <row r="622" spans="1:12">
      <c r="A622" s="30"/>
      <c r="B622" s="65"/>
      <c r="C622" s="65"/>
      <c r="D622" s="112"/>
      <c r="E622" s="30"/>
      <c r="F622" s="30"/>
      <c r="G622" s="30"/>
      <c r="H622" s="66"/>
      <c r="I622" s="30"/>
      <c r="J622" s="30"/>
      <c r="K622" s="12"/>
      <c r="L622" s="12"/>
    </row>
    <row r="623" spans="1:12">
      <c r="A623" s="30"/>
      <c r="B623" s="65"/>
      <c r="C623" s="65"/>
      <c r="D623" s="112"/>
      <c r="E623" s="30"/>
      <c r="F623" s="30"/>
      <c r="G623" s="30"/>
      <c r="H623" s="66"/>
      <c r="I623" s="30"/>
      <c r="J623" s="30"/>
      <c r="K623" s="12"/>
      <c r="L623" s="12"/>
    </row>
    <row r="624" spans="1:12">
      <c r="A624" s="30"/>
      <c r="B624" s="65"/>
      <c r="C624" s="65"/>
      <c r="D624" s="112"/>
      <c r="E624" s="30"/>
      <c r="F624" s="30"/>
      <c r="G624" s="30"/>
      <c r="H624" s="66"/>
      <c r="I624" s="30"/>
      <c r="J624" s="30"/>
      <c r="K624" s="12"/>
      <c r="L624" s="12"/>
    </row>
    <row r="625" spans="1:12">
      <c r="A625" s="30"/>
      <c r="B625" s="65"/>
      <c r="C625" s="65"/>
      <c r="D625" s="112"/>
      <c r="E625" s="30"/>
      <c r="F625" s="30"/>
      <c r="G625" s="30"/>
      <c r="H625" s="66"/>
      <c r="I625" s="30"/>
      <c r="J625" s="30"/>
      <c r="K625" s="12"/>
      <c r="L625" s="12"/>
    </row>
    <row r="626" spans="1:12">
      <c r="A626" s="30"/>
      <c r="B626" s="65"/>
      <c r="C626" s="65"/>
      <c r="D626" s="112"/>
      <c r="E626" s="30"/>
      <c r="F626" s="30"/>
      <c r="G626" s="30"/>
      <c r="H626" s="66"/>
      <c r="I626" s="30"/>
      <c r="J626" s="30"/>
      <c r="K626" s="12"/>
      <c r="L626" s="12"/>
    </row>
    <row r="627" spans="1:12">
      <c r="A627" s="30"/>
      <c r="B627" s="65"/>
      <c r="C627" s="65"/>
      <c r="D627" s="112"/>
      <c r="E627" s="30"/>
      <c r="F627" s="30"/>
      <c r="G627" s="30"/>
      <c r="H627" s="66"/>
      <c r="I627" s="30"/>
      <c r="J627" s="30"/>
      <c r="K627" s="12"/>
      <c r="L627" s="12"/>
    </row>
    <row r="628" spans="1:12">
      <c r="A628" s="30"/>
      <c r="B628" s="65"/>
      <c r="C628" s="65"/>
      <c r="D628" s="112"/>
      <c r="E628" s="30"/>
      <c r="F628" s="30"/>
      <c r="G628" s="30"/>
      <c r="H628" s="66"/>
      <c r="I628" s="30"/>
      <c r="J628" s="30"/>
      <c r="K628" s="12"/>
      <c r="L628" s="12"/>
    </row>
    <row r="629" spans="1:12">
      <c r="A629" s="30"/>
      <c r="B629" s="65"/>
      <c r="C629" s="65"/>
      <c r="D629" s="112"/>
      <c r="E629" s="30"/>
      <c r="F629" s="30"/>
      <c r="G629" s="30"/>
      <c r="H629" s="66"/>
      <c r="I629" s="30"/>
      <c r="J629" s="30"/>
      <c r="K629" s="12"/>
      <c r="L629" s="12"/>
    </row>
    <row r="630" spans="1:12">
      <c r="A630" s="30"/>
      <c r="B630" s="65"/>
      <c r="C630" s="65"/>
      <c r="D630" s="112"/>
      <c r="E630" s="30"/>
      <c r="F630" s="30"/>
      <c r="G630" s="30"/>
      <c r="H630" s="66"/>
      <c r="I630" s="30"/>
      <c r="J630" s="30"/>
      <c r="K630" s="12"/>
      <c r="L630" s="12"/>
    </row>
    <row r="631" spans="1:12">
      <c r="A631" s="30"/>
      <c r="B631" s="65"/>
      <c r="C631" s="65"/>
      <c r="D631" s="112"/>
      <c r="E631" s="30"/>
      <c r="F631" s="30"/>
      <c r="G631" s="30"/>
      <c r="H631" s="66"/>
      <c r="I631" s="30"/>
      <c r="J631" s="30"/>
      <c r="K631" s="12"/>
      <c r="L631" s="12"/>
    </row>
    <row r="632" spans="1:12">
      <c r="A632" s="30"/>
      <c r="B632" s="65"/>
      <c r="C632" s="65"/>
      <c r="D632" s="112"/>
      <c r="E632" s="30"/>
      <c r="F632" s="30"/>
      <c r="G632" s="30"/>
      <c r="H632" s="66"/>
      <c r="I632" s="30"/>
      <c r="J632" s="30"/>
      <c r="K632" s="12"/>
      <c r="L632" s="12"/>
    </row>
    <row r="633" spans="1:12">
      <c r="A633" s="30"/>
      <c r="B633" s="65"/>
      <c r="C633" s="65"/>
      <c r="D633" s="112"/>
      <c r="E633" s="30"/>
      <c r="F633" s="30"/>
      <c r="G633" s="30"/>
      <c r="H633" s="66"/>
      <c r="I633" s="30"/>
      <c r="J633" s="30"/>
      <c r="K633" s="12"/>
      <c r="L633" s="12"/>
    </row>
    <row r="634" spans="1:12">
      <c r="A634" s="30"/>
      <c r="B634" s="65"/>
      <c r="C634" s="65"/>
      <c r="D634" s="112"/>
      <c r="E634" s="30"/>
      <c r="F634" s="30"/>
      <c r="G634" s="30"/>
      <c r="H634" s="66"/>
      <c r="I634" s="30"/>
      <c r="J634" s="30"/>
      <c r="K634" s="12"/>
      <c r="L634" s="12"/>
    </row>
    <row r="635" spans="1:12">
      <c r="A635" s="30"/>
      <c r="B635" s="65"/>
      <c r="C635" s="65"/>
      <c r="D635" s="112"/>
      <c r="E635" s="30"/>
      <c r="F635" s="30"/>
      <c r="G635" s="30"/>
      <c r="H635" s="66"/>
      <c r="I635" s="30"/>
      <c r="J635" s="30"/>
      <c r="K635" s="12"/>
      <c r="L635" s="12"/>
    </row>
    <row r="636" spans="1:12">
      <c r="A636" s="30"/>
      <c r="B636" s="65"/>
      <c r="C636" s="65"/>
      <c r="D636" s="112"/>
      <c r="E636" s="30"/>
      <c r="F636" s="30"/>
      <c r="G636" s="30"/>
      <c r="H636" s="66"/>
      <c r="I636" s="30"/>
      <c r="J636" s="30"/>
      <c r="K636" s="12"/>
      <c r="L636" s="12"/>
    </row>
    <row r="637" spans="1:12">
      <c r="A637" s="30"/>
      <c r="B637" s="65"/>
      <c r="C637" s="65"/>
      <c r="D637" s="112"/>
      <c r="E637" s="30"/>
      <c r="F637" s="30"/>
      <c r="G637" s="30"/>
      <c r="H637" s="66"/>
      <c r="I637" s="30"/>
      <c r="J637" s="30"/>
      <c r="K637" s="12"/>
      <c r="L637" s="12"/>
    </row>
    <row r="638" spans="1:12">
      <c r="A638" s="30"/>
      <c r="B638" s="65"/>
      <c r="C638" s="65"/>
      <c r="D638" s="112"/>
      <c r="E638" s="30"/>
      <c r="F638" s="30"/>
      <c r="G638" s="30"/>
      <c r="H638" s="66"/>
      <c r="I638" s="30"/>
      <c r="J638" s="30"/>
      <c r="K638" s="12"/>
      <c r="L638" s="12"/>
    </row>
    <row r="639" spans="1:12">
      <c r="A639" s="30"/>
      <c r="B639" s="65"/>
      <c r="C639" s="65"/>
      <c r="D639" s="112"/>
      <c r="E639" s="30"/>
      <c r="F639" s="30"/>
      <c r="G639" s="30"/>
      <c r="H639" s="66"/>
      <c r="I639" s="30"/>
      <c r="J639" s="30"/>
      <c r="K639" s="12"/>
      <c r="L639" s="12"/>
    </row>
    <row r="640" spans="1:12">
      <c r="A640" s="30"/>
      <c r="B640" s="65"/>
      <c r="C640" s="65"/>
      <c r="D640" s="112"/>
      <c r="E640" s="30"/>
      <c r="F640" s="30"/>
      <c r="G640" s="30"/>
      <c r="H640" s="66"/>
      <c r="I640" s="30"/>
      <c r="J640" s="30"/>
      <c r="K640" s="12"/>
      <c r="L640" s="12"/>
    </row>
    <row r="641" spans="1:12">
      <c r="A641" s="30"/>
      <c r="B641" s="65"/>
      <c r="C641" s="65"/>
      <c r="D641" s="112"/>
      <c r="E641" s="30"/>
      <c r="F641" s="30"/>
      <c r="G641" s="30"/>
      <c r="H641" s="66"/>
      <c r="I641" s="30"/>
      <c r="J641" s="30"/>
      <c r="K641" s="12"/>
      <c r="L641" s="12"/>
    </row>
    <row r="642" spans="1:12">
      <c r="A642" s="30"/>
      <c r="B642" s="65"/>
      <c r="C642" s="65"/>
      <c r="D642" s="112"/>
      <c r="E642" s="30"/>
      <c r="F642" s="30"/>
      <c r="G642" s="30"/>
      <c r="H642" s="66"/>
      <c r="I642" s="30"/>
      <c r="J642" s="30"/>
      <c r="K642" s="12"/>
      <c r="L642" s="12"/>
    </row>
    <row r="643" spans="1:12">
      <c r="A643" s="30"/>
      <c r="B643" s="65"/>
      <c r="C643" s="65"/>
      <c r="D643" s="112"/>
      <c r="E643" s="30"/>
      <c r="F643" s="30"/>
      <c r="G643" s="30"/>
      <c r="H643" s="66"/>
      <c r="I643" s="30"/>
      <c r="J643" s="30"/>
      <c r="K643" s="12"/>
      <c r="L643" s="12"/>
    </row>
    <row r="644" spans="1:12">
      <c r="A644" s="30"/>
      <c r="B644" s="65"/>
      <c r="C644" s="65"/>
      <c r="D644" s="112"/>
      <c r="E644" s="30"/>
      <c r="F644" s="30"/>
      <c r="G644" s="30"/>
      <c r="H644" s="66"/>
      <c r="I644" s="30"/>
      <c r="J644" s="30"/>
      <c r="K644" s="12"/>
      <c r="L644" s="12"/>
    </row>
    <row r="645" spans="1:12">
      <c r="A645" s="30"/>
      <c r="B645" s="65"/>
      <c r="C645" s="65"/>
      <c r="D645" s="112"/>
      <c r="E645" s="30"/>
      <c r="F645" s="30"/>
      <c r="G645" s="30"/>
      <c r="H645" s="66"/>
      <c r="I645" s="30"/>
      <c r="J645" s="30"/>
      <c r="K645" s="12"/>
      <c r="L645" s="12"/>
    </row>
    <row r="646" spans="1:12">
      <c r="A646" s="30"/>
      <c r="B646" s="65"/>
      <c r="C646" s="65"/>
      <c r="D646" s="112"/>
      <c r="E646" s="30"/>
      <c r="F646" s="30"/>
      <c r="G646" s="30"/>
      <c r="H646" s="66"/>
      <c r="I646" s="30"/>
      <c r="J646" s="30"/>
      <c r="K646" s="12"/>
      <c r="L646" s="12"/>
    </row>
    <row r="647" spans="1:12">
      <c r="A647" s="30"/>
      <c r="B647" s="65"/>
      <c r="C647" s="65"/>
      <c r="D647" s="112"/>
      <c r="E647" s="30"/>
      <c r="F647" s="30"/>
      <c r="G647" s="30"/>
      <c r="H647" s="66"/>
      <c r="I647" s="30"/>
      <c r="J647" s="30"/>
      <c r="K647" s="12"/>
      <c r="L647" s="12"/>
    </row>
    <row r="648" spans="1:12">
      <c r="A648" s="30"/>
      <c r="B648" s="65"/>
      <c r="C648" s="65"/>
      <c r="D648" s="112"/>
      <c r="E648" s="30"/>
      <c r="F648" s="30"/>
      <c r="G648" s="30"/>
      <c r="H648" s="66"/>
      <c r="I648" s="30"/>
      <c r="J648" s="30"/>
      <c r="K648" s="12"/>
      <c r="L648" s="12"/>
    </row>
    <row r="649" spans="1:12">
      <c r="A649" s="30"/>
      <c r="B649" s="65"/>
      <c r="C649" s="65"/>
      <c r="D649" s="112"/>
      <c r="E649" s="30"/>
      <c r="F649" s="30"/>
      <c r="G649" s="30"/>
      <c r="H649" s="66"/>
      <c r="I649" s="30"/>
      <c r="J649" s="30"/>
      <c r="K649" s="12"/>
      <c r="L649" s="12"/>
    </row>
    <row r="650" spans="1:12">
      <c r="A650" s="30"/>
      <c r="B650" s="65"/>
      <c r="C650" s="65"/>
      <c r="D650" s="112"/>
      <c r="E650" s="30"/>
      <c r="F650" s="30"/>
      <c r="G650" s="30"/>
      <c r="H650" s="66"/>
      <c r="I650" s="30"/>
      <c r="J650" s="30"/>
      <c r="K650" s="12"/>
      <c r="L650" s="12"/>
    </row>
    <row r="651" spans="1:12">
      <c r="A651" s="30"/>
      <c r="B651" s="65"/>
      <c r="C651" s="65"/>
      <c r="D651" s="112"/>
      <c r="E651" s="30"/>
      <c r="F651" s="30"/>
      <c r="G651" s="30"/>
      <c r="H651" s="66"/>
      <c r="I651" s="30"/>
      <c r="J651" s="30"/>
      <c r="K651" s="12"/>
      <c r="L651" s="12"/>
    </row>
    <row r="652" spans="1:12">
      <c r="A652" s="30"/>
      <c r="B652" s="65"/>
      <c r="C652" s="65"/>
      <c r="D652" s="112"/>
      <c r="E652" s="30"/>
      <c r="F652" s="30"/>
      <c r="G652" s="30"/>
      <c r="H652" s="66"/>
      <c r="I652" s="30"/>
      <c r="J652" s="30"/>
      <c r="K652" s="12"/>
      <c r="L652" s="12"/>
    </row>
    <row r="653" spans="1:12">
      <c r="A653" s="30"/>
      <c r="B653" s="65"/>
      <c r="C653" s="65"/>
      <c r="D653" s="112"/>
      <c r="E653" s="30"/>
      <c r="F653" s="30"/>
      <c r="G653" s="30"/>
      <c r="H653" s="66"/>
      <c r="I653" s="30"/>
      <c r="J653" s="30"/>
      <c r="K653" s="12"/>
      <c r="L653" s="12"/>
    </row>
    <row r="654" spans="1:12">
      <c r="A654" s="30"/>
      <c r="B654" s="65"/>
      <c r="C654" s="65"/>
      <c r="D654" s="112"/>
      <c r="E654" s="30"/>
      <c r="F654" s="30"/>
      <c r="G654" s="30"/>
      <c r="H654" s="66"/>
      <c r="I654" s="30"/>
      <c r="J654" s="30"/>
      <c r="K654" s="12"/>
      <c r="L654" s="12"/>
    </row>
    <row r="655" spans="1:12">
      <c r="A655" s="30"/>
      <c r="B655" s="65"/>
      <c r="C655" s="65"/>
      <c r="D655" s="112"/>
      <c r="E655" s="30"/>
      <c r="F655" s="30"/>
      <c r="G655" s="30"/>
      <c r="H655" s="66"/>
      <c r="I655" s="30"/>
      <c r="J655" s="30"/>
      <c r="K655" s="12"/>
      <c r="L655" s="12"/>
    </row>
    <row r="656" spans="1:12">
      <c r="A656" s="30"/>
      <c r="B656" s="65"/>
      <c r="C656" s="65"/>
      <c r="D656" s="112"/>
      <c r="E656" s="30"/>
      <c r="F656" s="30"/>
      <c r="G656" s="30"/>
      <c r="H656" s="66"/>
      <c r="I656" s="30"/>
      <c r="J656" s="30"/>
      <c r="K656" s="12"/>
      <c r="L656" s="12"/>
    </row>
    <row r="657" spans="1:12">
      <c r="A657" s="30"/>
      <c r="B657" s="65"/>
      <c r="C657" s="65"/>
      <c r="D657" s="112"/>
      <c r="E657" s="30"/>
      <c r="F657" s="30"/>
      <c r="G657" s="30"/>
      <c r="H657" s="66"/>
      <c r="I657" s="30"/>
      <c r="J657" s="30"/>
      <c r="K657" s="12"/>
      <c r="L657" s="12"/>
    </row>
    <row r="658" spans="1:12">
      <c r="A658" s="30"/>
      <c r="B658" s="65"/>
      <c r="C658" s="65"/>
      <c r="D658" s="112"/>
      <c r="E658" s="30"/>
      <c r="F658" s="30"/>
      <c r="G658" s="30"/>
      <c r="H658" s="66"/>
      <c r="I658" s="30"/>
      <c r="J658" s="30"/>
      <c r="K658" s="12"/>
      <c r="L658" s="12"/>
    </row>
    <row r="659" spans="1:12">
      <c r="A659" s="30"/>
      <c r="B659" s="65"/>
      <c r="C659" s="65"/>
      <c r="D659" s="112"/>
      <c r="E659" s="30"/>
      <c r="F659" s="30"/>
      <c r="G659" s="30"/>
      <c r="H659" s="66"/>
      <c r="I659" s="30"/>
      <c r="J659" s="30"/>
      <c r="K659" s="12"/>
      <c r="L659" s="12"/>
    </row>
    <row r="660" spans="1:12">
      <c r="A660" s="30"/>
      <c r="B660" s="65"/>
      <c r="C660" s="65"/>
      <c r="D660" s="112"/>
      <c r="E660" s="30"/>
      <c r="F660" s="30"/>
      <c r="G660" s="30"/>
      <c r="H660" s="66"/>
      <c r="I660" s="30"/>
      <c r="J660" s="30"/>
      <c r="K660" s="12"/>
      <c r="L660" s="12"/>
    </row>
    <row r="661" spans="1:12">
      <c r="A661" s="30"/>
      <c r="B661" s="65"/>
      <c r="C661" s="65"/>
      <c r="D661" s="112"/>
      <c r="E661" s="30"/>
      <c r="F661" s="30"/>
      <c r="G661" s="30"/>
      <c r="H661" s="66"/>
      <c r="I661" s="30"/>
      <c r="J661" s="30"/>
      <c r="K661" s="12"/>
      <c r="L661" s="12"/>
    </row>
    <row r="662" spans="1:12">
      <c r="A662" s="30"/>
      <c r="B662" s="65"/>
      <c r="C662" s="65"/>
      <c r="D662" s="112"/>
      <c r="E662" s="30"/>
      <c r="F662" s="30"/>
      <c r="G662" s="30"/>
      <c r="H662" s="66"/>
      <c r="I662" s="30"/>
      <c r="J662" s="30"/>
      <c r="K662" s="12"/>
      <c r="L662" s="12"/>
    </row>
    <row r="663" spans="1:12">
      <c r="A663" s="30"/>
      <c r="B663" s="65"/>
      <c r="C663" s="65"/>
      <c r="D663" s="112"/>
      <c r="E663" s="30"/>
      <c r="F663" s="30"/>
      <c r="G663" s="30"/>
      <c r="H663" s="66"/>
      <c r="I663" s="30"/>
      <c r="J663" s="30"/>
      <c r="K663" s="12"/>
      <c r="L663" s="12"/>
    </row>
    <row r="664" spans="1:12">
      <c r="A664" s="30"/>
      <c r="B664" s="65"/>
      <c r="C664" s="65"/>
      <c r="D664" s="112"/>
      <c r="E664" s="30"/>
      <c r="F664" s="30"/>
      <c r="G664" s="30"/>
      <c r="H664" s="66"/>
      <c r="I664" s="30"/>
      <c r="J664" s="30"/>
      <c r="K664" s="12"/>
      <c r="L664" s="12"/>
    </row>
    <row r="665" spans="1:12">
      <c r="A665" s="30"/>
      <c r="B665" s="65"/>
      <c r="C665" s="65"/>
      <c r="D665" s="112"/>
      <c r="E665" s="30"/>
      <c r="F665" s="30"/>
      <c r="G665" s="30"/>
      <c r="H665" s="66"/>
      <c r="I665" s="30"/>
      <c r="J665" s="30"/>
      <c r="K665" s="12"/>
      <c r="L665" s="12"/>
    </row>
    <row r="666" spans="1:12">
      <c r="A666" s="30"/>
      <c r="B666" s="65"/>
      <c r="C666" s="65"/>
      <c r="D666" s="112"/>
      <c r="E666" s="30"/>
      <c r="F666" s="30"/>
      <c r="G666" s="30"/>
      <c r="H666" s="66"/>
      <c r="I666" s="30"/>
      <c r="J666" s="30"/>
      <c r="K666" s="12"/>
      <c r="L666" s="12"/>
    </row>
    <row r="667" spans="1:12">
      <c r="A667" s="30"/>
      <c r="B667" s="65"/>
      <c r="C667" s="65"/>
      <c r="D667" s="112"/>
      <c r="E667" s="30"/>
      <c r="F667" s="30"/>
      <c r="G667" s="30"/>
      <c r="H667" s="66"/>
      <c r="I667" s="30"/>
      <c r="J667" s="30"/>
      <c r="K667" s="12"/>
      <c r="L667" s="12"/>
    </row>
    <row r="668" spans="1:12">
      <c r="A668" s="30"/>
      <c r="B668" s="65"/>
      <c r="C668" s="65"/>
      <c r="D668" s="112"/>
      <c r="E668" s="30"/>
      <c r="F668" s="30"/>
      <c r="G668" s="30"/>
      <c r="H668" s="66"/>
      <c r="I668" s="30"/>
      <c r="J668" s="30"/>
      <c r="K668" s="12"/>
      <c r="L668" s="12"/>
    </row>
    <row r="669" spans="1:12">
      <c r="A669" s="30"/>
      <c r="B669" s="65"/>
      <c r="C669" s="65"/>
      <c r="D669" s="112"/>
      <c r="E669" s="30"/>
      <c r="F669" s="30"/>
      <c r="G669" s="30"/>
      <c r="H669" s="66"/>
      <c r="I669" s="30"/>
      <c r="J669" s="30"/>
      <c r="K669" s="12"/>
      <c r="L669" s="12"/>
    </row>
    <row r="670" spans="1:12">
      <c r="A670" s="30"/>
      <c r="B670" s="65"/>
      <c r="C670" s="65"/>
      <c r="D670" s="112"/>
      <c r="E670" s="30"/>
      <c r="F670" s="30"/>
      <c r="G670" s="30"/>
      <c r="H670" s="66"/>
      <c r="I670" s="30"/>
      <c r="J670" s="30"/>
      <c r="K670" s="12"/>
      <c r="L670" s="12"/>
    </row>
    <row r="671" spans="1:12">
      <c r="A671" s="30"/>
      <c r="B671" s="65"/>
      <c r="C671" s="65"/>
      <c r="D671" s="112"/>
      <c r="E671" s="30"/>
      <c r="F671" s="30"/>
      <c r="G671" s="30"/>
      <c r="H671" s="66"/>
      <c r="I671" s="30"/>
      <c r="J671" s="30"/>
      <c r="K671" s="12"/>
      <c r="L671" s="12"/>
    </row>
    <row r="672" spans="1:12">
      <c r="A672" s="30"/>
      <c r="B672" s="65"/>
      <c r="C672" s="65"/>
      <c r="D672" s="112"/>
      <c r="E672" s="30"/>
      <c r="F672" s="30"/>
      <c r="G672" s="30"/>
      <c r="H672" s="66"/>
      <c r="I672" s="30"/>
      <c r="J672" s="30"/>
      <c r="K672" s="12"/>
      <c r="L672" s="12"/>
    </row>
    <row r="673" spans="1:12">
      <c r="A673" s="30"/>
      <c r="B673" s="65"/>
      <c r="C673" s="65"/>
      <c r="D673" s="112"/>
      <c r="E673" s="30"/>
      <c r="F673" s="30"/>
      <c r="G673" s="30"/>
      <c r="H673" s="66"/>
      <c r="I673" s="30"/>
      <c r="J673" s="30"/>
      <c r="K673" s="12"/>
      <c r="L673" s="12"/>
    </row>
    <row r="674" spans="1:12">
      <c r="A674" s="30"/>
      <c r="B674" s="65"/>
      <c r="C674" s="65"/>
      <c r="D674" s="112"/>
      <c r="E674" s="30"/>
      <c r="F674" s="30"/>
      <c r="G674" s="30"/>
      <c r="H674" s="66"/>
      <c r="I674" s="30"/>
      <c r="J674" s="30"/>
      <c r="K674" s="12"/>
      <c r="L674" s="12"/>
    </row>
    <row r="675" spans="1:12">
      <c r="A675" s="30"/>
      <c r="B675" s="65"/>
      <c r="C675" s="65"/>
      <c r="D675" s="112"/>
      <c r="E675" s="30"/>
      <c r="F675" s="30"/>
      <c r="G675" s="30"/>
      <c r="H675" s="66"/>
      <c r="I675" s="30"/>
      <c r="J675" s="30"/>
      <c r="K675" s="12"/>
      <c r="L675" s="12"/>
    </row>
    <row r="676" spans="1:12">
      <c r="A676" s="30"/>
      <c r="B676" s="65"/>
      <c r="C676" s="65"/>
      <c r="D676" s="112"/>
      <c r="E676" s="30"/>
      <c r="F676" s="30"/>
      <c r="G676" s="30"/>
      <c r="H676" s="66"/>
      <c r="I676" s="30"/>
      <c r="J676" s="30"/>
      <c r="K676" s="12"/>
      <c r="L676" s="12"/>
    </row>
    <row r="677" spans="1:12">
      <c r="A677" s="30"/>
      <c r="B677" s="65"/>
      <c r="C677" s="65"/>
      <c r="D677" s="112"/>
      <c r="E677" s="30"/>
      <c r="F677" s="30"/>
      <c r="G677" s="30"/>
      <c r="H677" s="66"/>
      <c r="I677" s="30"/>
      <c r="J677" s="30"/>
      <c r="K677" s="12"/>
      <c r="L677" s="12"/>
    </row>
    <row r="678" spans="1:12">
      <c r="A678" s="30"/>
      <c r="B678" s="65"/>
      <c r="C678" s="65"/>
      <c r="D678" s="112"/>
      <c r="E678" s="30"/>
      <c r="F678" s="30"/>
      <c r="G678" s="30"/>
      <c r="H678" s="66"/>
      <c r="I678" s="30"/>
      <c r="J678" s="30"/>
      <c r="K678" s="12"/>
      <c r="L678" s="12"/>
    </row>
    <row r="679" spans="1:12">
      <c r="A679" s="30"/>
      <c r="B679" s="65"/>
      <c r="C679" s="65"/>
      <c r="D679" s="112"/>
      <c r="E679" s="30"/>
      <c r="F679" s="30"/>
      <c r="G679" s="30"/>
      <c r="H679" s="66"/>
      <c r="I679" s="30"/>
      <c r="J679" s="30"/>
      <c r="K679" s="12"/>
      <c r="L679" s="12"/>
    </row>
    <row r="680" spans="1:12">
      <c r="A680" s="30"/>
      <c r="B680" s="65"/>
      <c r="C680" s="65"/>
      <c r="D680" s="112"/>
      <c r="E680" s="30"/>
      <c r="F680" s="30"/>
      <c r="G680" s="30"/>
      <c r="H680" s="66"/>
      <c r="I680" s="30"/>
      <c r="J680" s="30"/>
      <c r="K680" s="12"/>
      <c r="L680" s="12"/>
    </row>
    <row r="681" spans="1:12">
      <c r="A681" s="30"/>
      <c r="B681" s="65"/>
      <c r="C681" s="65"/>
      <c r="D681" s="112"/>
      <c r="E681" s="30"/>
      <c r="F681" s="30"/>
      <c r="G681" s="30"/>
      <c r="H681" s="66"/>
      <c r="I681" s="30"/>
      <c r="J681" s="30"/>
      <c r="K681" s="12"/>
      <c r="L681" s="12"/>
    </row>
    <row r="682" spans="1:12">
      <c r="A682" s="30"/>
      <c r="B682" s="65"/>
      <c r="C682" s="65"/>
      <c r="D682" s="112"/>
      <c r="E682" s="30"/>
      <c r="F682" s="30"/>
      <c r="G682" s="30"/>
      <c r="H682" s="66"/>
      <c r="I682" s="30"/>
      <c r="J682" s="30"/>
      <c r="K682" s="12"/>
      <c r="L682" s="12"/>
    </row>
    <row r="683" spans="1:12">
      <c r="A683" s="30"/>
      <c r="B683" s="65"/>
      <c r="C683" s="65"/>
      <c r="D683" s="112"/>
      <c r="E683" s="30"/>
      <c r="F683" s="30"/>
      <c r="G683" s="30"/>
      <c r="H683" s="66"/>
      <c r="I683" s="30"/>
      <c r="J683" s="30"/>
      <c r="K683" s="12"/>
      <c r="L683" s="12"/>
    </row>
    <row r="684" spans="1:12">
      <c r="A684" s="30"/>
      <c r="B684" s="65"/>
      <c r="C684" s="65"/>
      <c r="D684" s="112"/>
      <c r="E684" s="30"/>
      <c r="F684" s="30"/>
      <c r="G684" s="30"/>
      <c r="H684" s="66"/>
      <c r="I684" s="30"/>
      <c r="J684" s="30"/>
      <c r="K684" s="12"/>
      <c r="L684" s="12"/>
    </row>
    <row r="685" spans="1:12">
      <c r="A685" s="30"/>
      <c r="B685" s="65"/>
      <c r="C685" s="65"/>
      <c r="D685" s="112"/>
      <c r="E685" s="30"/>
      <c r="F685" s="30"/>
      <c r="G685" s="30"/>
      <c r="H685" s="66"/>
      <c r="I685" s="30"/>
      <c r="J685" s="30"/>
      <c r="K685" s="12"/>
      <c r="L685" s="12"/>
    </row>
    <row r="686" spans="1:12">
      <c r="A686" s="30"/>
      <c r="B686" s="65"/>
      <c r="C686" s="65"/>
      <c r="D686" s="112"/>
      <c r="E686" s="30"/>
      <c r="F686" s="30"/>
      <c r="G686" s="30"/>
      <c r="H686" s="66"/>
      <c r="I686" s="30"/>
      <c r="J686" s="30"/>
      <c r="K686" s="12"/>
      <c r="L686" s="12"/>
    </row>
    <row r="687" spans="1:12">
      <c r="A687" s="30"/>
      <c r="B687" s="65"/>
      <c r="C687" s="65"/>
      <c r="D687" s="112"/>
      <c r="E687" s="30"/>
      <c r="F687" s="30"/>
      <c r="G687" s="30"/>
      <c r="H687" s="66"/>
      <c r="I687" s="30"/>
      <c r="J687" s="30"/>
      <c r="K687" s="12"/>
      <c r="L687" s="12"/>
    </row>
    <row r="688" spans="1:12">
      <c r="A688" s="30"/>
      <c r="B688" s="65"/>
      <c r="C688" s="65"/>
      <c r="D688" s="112"/>
      <c r="E688" s="30"/>
      <c r="F688" s="30"/>
      <c r="G688" s="30"/>
      <c r="H688" s="66"/>
      <c r="I688" s="30"/>
      <c r="J688" s="30"/>
      <c r="K688" s="12"/>
      <c r="L688" s="12"/>
    </row>
    <row r="689" spans="1:12">
      <c r="A689" s="30"/>
      <c r="B689" s="65"/>
      <c r="C689" s="65"/>
      <c r="D689" s="112"/>
      <c r="E689" s="30"/>
      <c r="F689" s="30"/>
      <c r="G689" s="30"/>
      <c r="H689" s="66"/>
      <c r="I689" s="30"/>
      <c r="J689" s="30"/>
      <c r="K689" s="12"/>
      <c r="L689" s="12"/>
    </row>
    <row r="690" spans="1:12">
      <c r="A690" s="30"/>
      <c r="B690" s="65"/>
      <c r="C690" s="65"/>
      <c r="D690" s="112"/>
      <c r="E690" s="30"/>
      <c r="F690" s="30"/>
      <c r="G690" s="30"/>
      <c r="H690" s="66"/>
      <c r="I690" s="30"/>
      <c r="J690" s="30"/>
      <c r="K690" s="12"/>
      <c r="L690" s="12"/>
    </row>
    <row r="691" spans="1:12">
      <c r="A691" s="30"/>
      <c r="B691" s="65"/>
      <c r="C691" s="65"/>
      <c r="D691" s="112"/>
      <c r="E691" s="30"/>
      <c r="F691" s="30"/>
      <c r="G691" s="30"/>
      <c r="H691" s="66"/>
      <c r="I691" s="30"/>
      <c r="J691" s="30"/>
      <c r="K691" s="12"/>
      <c r="L691" s="12"/>
    </row>
    <row r="692" spans="1:12">
      <c r="A692" s="30"/>
      <c r="B692" s="65"/>
      <c r="C692" s="65"/>
      <c r="D692" s="112"/>
      <c r="E692" s="30"/>
      <c r="F692" s="30"/>
      <c r="G692" s="30"/>
      <c r="H692" s="66"/>
      <c r="I692" s="30"/>
      <c r="J692" s="30"/>
      <c r="K692" s="12"/>
      <c r="L692" s="12"/>
    </row>
    <row r="693" spans="1:12">
      <c r="A693" s="30"/>
      <c r="B693" s="65"/>
      <c r="C693" s="65"/>
      <c r="D693" s="112"/>
      <c r="E693" s="30"/>
      <c r="F693" s="30"/>
      <c r="G693" s="30"/>
      <c r="H693" s="66"/>
      <c r="I693" s="30"/>
      <c r="J693" s="30"/>
      <c r="K693" s="12"/>
      <c r="L693" s="12"/>
    </row>
    <row r="694" spans="1:12">
      <c r="A694" s="30"/>
      <c r="B694" s="65"/>
      <c r="C694" s="65"/>
      <c r="D694" s="112"/>
      <c r="E694" s="30"/>
      <c r="F694" s="30"/>
      <c r="G694" s="30"/>
      <c r="H694" s="66"/>
      <c r="I694" s="30"/>
      <c r="J694" s="30"/>
      <c r="K694" s="12"/>
      <c r="L694" s="12"/>
    </row>
    <row r="695" spans="1:12">
      <c r="A695" s="30"/>
      <c r="B695" s="65"/>
      <c r="C695" s="65"/>
      <c r="D695" s="112"/>
      <c r="E695" s="30"/>
      <c r="F695" s="30"/>
      <c r="G695" s="30"/>
      <c r="H695" s="66"/>
      <c r="I695" s="30"/>
      <c r="J695" s="30"/>
      <c r="K695" s="12"/>
      <c r="L695" s="12"/>
    </row>
    <row r="696" spans="1:12">
      <c r="A696" s="30"/>
      <c r="B696" s="65"/>
      <c r="C696" s="65"/>
      <c r="D696" s="112"/>
      <c r="E696" s="30"/>
      <c r="F696" s="30"/>
      <c r="G696" s="30"/>
      <c r="H696" s="66"/>
      <c r="I696" s="30"/>
      <c r="J696" s="30"/>
      <c r="K696" s="12"/>
      <c r="L696" s="12"/>
    </row>
    <row r="697" spans="1:12">
      <c r="A697" s="30"/>
      <c r="B697" s="65"/>
      <c r="C697" s="65"/>
      <c r="D697" s="112"/>
      <c r="E697" s="30"/>
      <c r="F697" s="30"/>
      <c r="G697" s="30"/>
      <c r="H697" s="66"/>
      <c r="I697" s="30"/>
      <c r="J697" s="30"/>
      <c r="K697" s="12"/>
      <c r="L697" s="12"/>
    </row>
    <row r="698" spans="1:12">
      <c r="A698" s="30"/>
      <c r="B698" s="65"/>
      <c r="C698" s="65"/>
      <c r="D698" s="112"/>
      <c r="E698" s="30"/>
      <c r="F698" s="30"/>
      <c r="G698" s="30"/>
      <c r="H698" s="66"/>
      <c r="I698" s="30"/>
      <c r="J698" s="30"/>
      <c r="K698" s="12"/>
      <c r="L698" s="12"/>
    </row>
    <row r="699" spans="1:12">
      <c r="A699" s="30"/>
      <c r="B699" s="65"/>
      <c r="C699" s="65"/>
      <c r="D699" s="112"/>
      <c r="E699" s="30"/>
      <c r="F699" s="30"/>
      <c r="G699" s="30"/>
      <c r="H699" s="66"/>
      <c r="I699" s="30"/>
      <c r="J699" s="30"/>
      <c r="K699" s="12"/>
      <c r="L699" s="12"/>
    </row>
    <row r="700" spans="1:12">
      <c r="A700" s="30"/>
      <c r="B700" s="65"/>
      <c r="C700" s="65"/>
      <c r="D700" s="112"/>
      <c r="E700" s="30"/>
      <c r="F700" s="30"/>
      <c r="G700" s="30"/>
      <c r="H700" s="66"/>
      <c r="I700" s="30"/>
      <c r="J700" s="30"/>
      <c r="K700" s="12"/>
      <c r="L700" s="12"/>
    </row>
    <row r="701" spans="1:12">
      <c r="A701" s="30"/>
      <c r="B701" s="65"/>
      <c r="C701" s="65"/>
      <c r="D701" s="112"/>
      <c r="E701" s="30"/>
      <c r="F701" s="30"/>
      <c r="G701" s="30"/>
      <c r="H701" s="66"/>
      <c r="I701" s="30"/>
      <c r="J701" s="30"/>
      <c r="K701" s="12"/>
      <c r="L701" s="12"/>
    </row>
    <row r="702" spans="1:12">
      <c r="A702" s="30"/>
      <c r="B702" s="65"/>
      <c r="C702" s="65"/>
      <c r="D702" s="112"/>
      <c r="E702" s="30"/>
      <c r="F702" s="30"/>
      <c r="G702" s="30"/>
      <c r="H702" s="66"/>
      <c r="I702" s="30"/>
      <c r="J702" s="30"/>
      <c r="K702" s="12"/>
      <c r="L702" s="12"/>
    </row>
    <row r="703" spans="1:12">
      <c r="A703" s="30"/>
      <c r="B703" s="65"/>
      <c r="C703" s="65"/>
      <c r="D703" s="112"/>
      <c r="E703" s="30"/>
      <c r="F703" s="30"/>
      <c r="G703" s="30"/>
      <c r="H703" s="66"/>
      <c r="I703" s="30"/>
      <c r="J703" s="30"/>
      <c r="K703" s="12"/>
      <c r="L703" s="12"/>
    </row>
    <row r="704" spans="1:12">
      <c r="A704" s="30"/>
      <c r="B704" s="65"/>
      <c r="C704" s="65"/>
      <c r="D704" s="112"/>
      <c r="E704" s="30"/>
      <c r="F704" s="30"/>
      <c r="G704" s="30"/>
      <c r="H704" s="66"/>
      <c r="I704" s="30"/>
      <c r="J704" s="30"/>
      <c r="K704" s="12"/>
      <c r="L704" s="12"/>
    </row>
    <row r="705" spans="1:12">
      <c r="A705" s="30"/>
      <c r="B705" s="65"/>
      <c r="C705" s="65"/>
      <c r="D705" s="112"/>
      <c r="E705" s="30"/>
      <c r="F705" s="30"/>
      <c r="G705" s="30"/>
      <c r="H705" s="66"/>
      <c r="I705" s="30"/>
      <c r="J705" s="30"/>
      <c r="K705" s="12"/>
      <c r="L705" s="12"/>
    </row>
    <row r="706" spans="1:12">
      <c r="A706" s="30"/>
      <c r="B706" s="65"/>
      <c r="C706" s="65"/>
      <c r="D706" s="112"/>
      <c r="E706" s="30"/>
      <c r="F706" s="30"/>
      <c r="G706" s="30"/>
      <c r="H706" s="66"/>
      <c r="I706" s="30"/>
      <c r="J706" s="30"/>
      <c r="K706" s="12"/>
      <c r="L706" s="12"/>
    </row>
    <row r="707" spans="1:12">
      <c r="A707" s="30"/>
      <c r="B707" s="65"/>
      <c r="C707" s="65"/>
      <c r="D707" s="112"/>
      <c r="E707" s="30"/>
      <c r="F707" s="30"/>
      <c r="G707" s="30"/>
      <c r="H707" s="66"/>
      <c r="I707" s="30"/>
      <c r="J707" s="30"/>
      <c r="K707" s="12"/>
      <c r="L707" s="12"/>
    </row>
    <row r="708" spans="1:12">
      <c r="A708" s="30"/>
      <c r="B708" s="65"/>
      <c r="C708" s="65"/>
      <c r="D708" s="112"/>
      <c r="E708" s="30"/>
      <c r="F708" s="30"/>
      <c r="G708" s="30"/>
      <c r="H708" s="66"/>
      <c r="I708" s="30"/>
      <c r="J708" s="30"/>
      <c r="K708" s="12"/>
      <c r="L708" s="12"/>
    </row>
    <row r="709" spans="1:12">
      <c r="A709" s="30"/>
      <c r="B709" s="65"/>
      <c r="C709" s="65"/>
      <c r="D709" s="112"/>
      <c r="E709" s="30"/>
      <c r="F709" s="30"/>
      <c r="G709" s="30"/>
      <c r="H709" s="66"/>
      <c r="I709" s="30"/>
      <c r="J709" s="30"/>
      <c r="K709" s="12"/>
      <c r="L709" s="12"/>
    </row>
    <row r="710" spans="1:12">
      <c r="A710" s="30"/>
      <c r="B710" s="65"/>
      <c r="C710" s="65"/>
      <c r="D710" s="112"/>
      <c r="E710" s="30"/>
      <c r="F710" s="30"/>
      <c r="G710" s="30"/>
      <c r="H710" s="66"/>
      <c r="I710" s="30"/>
      <c r="J710" s="30"/>
      <c r="K710" s="12"/>
      <c r="L710" s="12"/>
    </row>
    <row r="711" spans="1:12">
      <c r="A711" s="30"/>
      <c r="B711" s="65"/>
      <c r="C711" s="65"/>
      <c r="D711" s="112"/>
      <c r="E711" s="30"/>
      <c r="F711" s="30"/>
      <c r="G711" s="30"/>
      <c r="H711" s="66"/>
      <c r="I711" s="30"/>
      <c r="J711" s="30"/>
      <c r="K711" s="12"/>
      <c r="L711" s="12"/>
    </row>
    <row r="712" spans="1:12">
      <c r="A712" s="30"/>
      <c r="B712" s="65"/>
      <c r="C712" s="65"/>
      <c r="D712" s="112"/>
      <c r="E712" s="30"/>
      <c r="F712" s="30"/>
      <c r="G712" s="30"/>
      <c r="H712" s="66"/>
      <c r="I712" s="30"/>
      <c r="J712" s="30"/>
      <c r="K712" s="12"/>
      <c r="L712" s="12"/>
    </row>
    <row r="713" spans="1:12">
      <c r="A713" s="30"/>
      <c r="B713" s="65"/>
      <c r="C713" s="65"/>
      <c r="D713" s="112"/>
      <c r="E713" s="30"/>
      <c r="F713" s="30"/>
      <c r="G713" s="30"/>
      <c r="H713" s="66"/>
      <c r="I713" s="30"/>
      <c r="J713" s="30"/>
      <c r="K713" s="12"/>
      <c r="L713" s="12"/>
    </row>
    <row r="714" spans="1:12">
      <c r="A714" s="30"/>
      <c r="B714" s="65"/>
      <c r="C714" s="65"/>
      <c r="D714" s="112"/>
      <c r="E714" s="30"/>
      <c r="F714" s="30"/>
      <c r="G714" s="30"/>
      <c r="H714" s="66"/>
      <c r="I714" s="30"/>
      <c r="J714" s="30"/>
      <c r="K714" s="12"/>
      <c r="L714" s="12"/>
    </row>
    <row r="715" spans="1:12">
      <c r="A715" s="30"/>
      <c r="B715" s="65"/>
      <c r="C715" s="65"/>
      <c r="D715" s="112"/>
      <c r="E715" s="30"/>
      <c r="F715" s="30"/>
      <c r="G715" s="30"/>
      <c r="H715" s="66"/>
      <c r="I715" s="30"/>
      <c r="J715" s="30"/>
      <c r="K715" s="12"/>
      <c r="L715" s="12"/>
    </row>
    <row r="716" spans="1:12">
      <c r="A716" s="30"/>
      <c r="B716" s="65"/>
      <c r="C716" s="65"/>
      <c r="D716" s="112"/>
      <c r="E716" s="30"/>
      <c r="F716" s="30"/>
      <c r="G716" s="30"/>
      <c r="H716" s="66"/>
      <c r="I716" s="30"/>
      <c r="J716" s="30"/>
      <c r="K716" s="12"/>
      <c r="L716" s="12"/>
    </row>
    <row r="717" spans="1:12">
      <c r="A717" s="30"/>
      <c r="B717" s="65"/>
      <c r="C717" s="65"/>
      <c r="D717" s="112"/>
      <c r="E717" s="30"/>
      <c r="F717" s="30"/>
      <c r="G717" s="30"/>
      <c r="H717" s="66"/>
      <c r="I717" s="30"/>
      <c r="J717" s="30"/>
      <c r="K717" s="12"/>
      <c r="L717" s="12"/>
    </row>
    <row r="718" spans="1:12">
      <c r="A718" s="30"/>
      <c r="B718" s="65"/>
      <c r="C718" s="65"/>
      <c r="D718" s="112"/>
      <c r="E718" s="30"/>
      <c r="F718" s="30"/>
      <c r="G718" s="30"/>
      <c r="H718" s="66"/>
      <c r="I718" s="30"/>
      <c r="J718" s="30"/>
      <c r="K718" s="12"/>
      <c r="L718" s="12"/>
    </row>
    <row r="719" spans="1:12">
      <c r="A719" s="30"/>
      <c r="B719" s="65"/>
      <c r="C719" s="65"/>
      <c r="D719" s="112"/>
      <c r="E719" s="30"/>
      <c r="F719" s="30"/>
      <c r="G719" s="30"/>
      <c r="H719" s="66"/>
      <c r="I719" s="30"/>
      <c r="J719" s="30"/>
      <c r="K719" s="12"/>
      <c r="L719" s="12"/>
    </row>
    <row r="720" spans="1:12">
      <c r="A720" s="30"/>
      <c r="B720" s="65"/>
      <c r="C720" s="65"/>
      <c r="D720" s="112"/>
      <c r="E720" s="30"/>
      <c r="F720" s="30"/>
      <c r="G720" s="30"/>
      <c r="H720" s="66"/>
      <c r="I720" s="30"/>
      <c r="J720" s="30"/>
      <c r="K720" s="12"/>
      <c r="L720" s="12"/>
    </row>
    <row r="721" spans="1:12">
      <c r="A721" s="30"/>
      <c r="B721" s="65"/>
      <c r="C721" s="65"/>
      <c r="D721" s="112"/>
      <c r="E721" s="30"/>
      <c r="F721" s="30"/>
      <c r="G721" s="30"/>
      <c r="H721" s="66"/>
      <c r="I721" s="30"/>
      <c r="J721" s="30"/>
      <c r="K721" s="12"/>
      <c r="L721" s="12"/>
    </row>
    <row r="722" spans="1:12">
      <c r="A722" s="30"/>
      <c r="B722" s="65"/>
      <c r="C722" s="65"/>
      <c r="D722" s="112"/>
      <c r="E722" s="30"/>
      <c r="F722" s="30"/>
      <c r="G722" s="30"/>
      <c r="H722" s="66"/>
      <c r="I722" s="30"/>
      <c r="J722" s="30"/>
      <c r="K722" s="12"/>
      <c r="L722" s="12"/>
    </row>
    <row r="723" spans="1:12">
      <c r="A723" s="30"/>
      <c r="B723" s="65"/>
      <c r="C723" s="65"/>
      <c r="D723" s="112"/>
      <c r="E723" s="30"/>
      <c r="F723" s="30"/>
      <c r="G723" s="30"/>
      <c r="H723" s="66"/>
      <c r="I723" s="30"/>
      <c r="J723" s="30"/>
      <c r="K723" s="12"/>
      <c r="L723" s="12"/>
    </row>
    <row r="724" spans="1:12">
      <c r="A724" s="30"/>
      <c r="B724" s="65"/>
      <c r="C724" s="65"/>
      <c r="D724" s="112"/>
      <c r="E724" s="30"/>
      <c r="F724" s="30"/>
      <c r="G724" s="30"/>
      <c r="H724" s="66"/>
      <c r="I724" s="30"/>
      <c r="J724" s="30"/>
      <c r="K724" s="12"/>
      <c r="L724" s="12"/>
    </row>
    <row r="725" spans="1:12">
      <c r="A725" s="30"/>
      <c r="B725" s="65"/>
      <c r="C725" s="65"/>
      <c r="D725" s="112"/>
      <c r="E725" s="30"/>
      <c r="F725" s="30"/>
      <c r="G725" s="30"/>
      <c r="H725" s="66"/>
      <c r="I725" s="30"/>
      <c r="J725" s="30"/>
      <c r="K725" s="12"/>
      <c r="L725" s="12"/>
    </row>
    <row r="726" spans="1:12">
      <c r="A726" s="30"/>
      <c r="B726" s="65"/>
      <c r="C726" s="65"/>
      <c r="D726" s="112"/>
      <c r="E726" s="30"/>
      <c r="F726" s="30"/>
      <c r="G726" s="30"/>
      <c r="H726" s="66"/>
      <c r="I726" s="30"/>
      <c r="J726" s="30"/>
      <c r="K726" s="12"/>
      <c r="L726" s="12"/>
    </row>
    <row r="727" spans="1:12">
      <c r="A727" s="30"/>
      <c r="B727" s="65"/>
      <c r="C727" s="65"/>
      <c r="D727" s="112"/>
      <c r="E727" s="30"/>
      <c r="F727" s="30"/>
      <c r="G727" s="30"/>
      <c r="H727" s="66"/>
      <c r="I727" s="30"/>
      <c r="J727" s="30"/>
      <c r="K727" s="12"/>
      <c r="L727" s="12"/>
    </row>
    <row r="728" spans="1:12">
      <c r="A728" s="30"/>
      <c r="B728" s="65"/>
      <c r="C728" s="65"/>
      <c r="D728" s="112"/>
      <c r="E728" s="30"/>
      <c r="F728" s="30"/>
      <c r="G728" s="30"/>
      <c r="H728" s="66"/>
      <c r="I728" s="30"/>
      <c r="J728" s="30"/>
      <c r="K728" s="12"/>
      <c r="L728" s="12"/>
    </row>
    <row r="729" spans="1:12">
      <c r="A729" s="30"/>
      <c r="B729" s="65"/>
      <c r="C729" s="65"/>
      <c r="D729" s="112"/>
      <c r="E729" s="30"/>
      <c r="F729" s="30"/>
      <c r="G729" s="30"/>
      <c r="H729" s="66"/>
      <c r="I729" s="30"/>
      <c r="J729" s="30"/>
      <c r="K729" s="12"/>
      <c r="L729" s="12"/>
    </row>
    <row r="730" spans="1:12">
      <c r="A730" s="30"/>
      <c r="B730" s="65"/>
      <c r="C730" s="65"/>
      <c r="D730" s="112"/>
      <c r="E730" s="30"/>
      <c r="F730" s="30"/>
      <c r="G730" s="30"/>
      <c r="H730" s="66"/>
      <c r="I730" s="30"/>
      <c r="J730" s="30"/>
      <c r="K730" s="12"/>
      <c r="L730" s="12"/>
    </row>
    <row r="731" spans="1:12">
      <c r="A731" s="30"/>
      <c r="B731" s="65"/>
      <c r="C731" s="65"/>
      <c r="D731" s="112"/>
      <c r="E731" s="30"/>
      <c r="F731" s="30"/>
      <c r="G731" s="30"/>
      <c r="H731" s="66"/>
      <c r="I731" s="30"/>
      <c r="J731" s="30"/>
      <c r="K731" s="12"/>
      <c r="L731" s="12"/>
    </row>
    <row r="732" spans="1:12">
      <c r="A732" s="30"/>
      <c r="B732" s="65"/>
      <c r="C732" s="65"/>
      <c r="D732" s="112"/>
      <c r="E732" s="30"/>
      <c r="F732" s="30"/>
      <c r="G732" s="30"/>
      <c r="H732" s="66"/>
      <c r="I732" s="30"/>
      <c r="J732" s="30"/>
      <c r="K732" s="12"/>
      <c r="L732" s="12"/>
    </row>
    <row r="733" spans="1:12">
      <c r="A733" s="30"/>
      <c r="B733" s="65"/>
      <c r="C733" s="65"/>
      <c r="D733" s="112"/>
      <c r="E733" s="30"/>
      <c r="F733" s="30"/>
      <c r="G733" s="30"/>
      <c r="H733" s="66"/>
      <c r="I733" s="30"/>
      <c r="J733" s="30"/>
      <c r="K733" s="12"/>
      <c r="L733" s="12"/>
    </row>
    <row r="734" spans="1:12">
      <c r="A734" s="30"/>
      <c r="B734" s="65"/>
      <c r="C734" s="65"/>
      <c r="D734" s="112"/>
      <c r="E734" s="30"/>
      <c r="F734" s="30"/>
      <c r="G734" s="30"/>
      <c r="H734" s="66"/>
      <c r="I734" s="30"/>
      <c r="J734" s="30"/>
      <c r="K734" s="12"/>
      <c r="L734" s="12"/>
    </row>
    <row r="735" spans="1:12">
      <c r="A735" s="30"/>
      <c r="B735" s="65"/>
      <c r="C735" s="65"/>
      <c r="D735" s="112"/>
      <c r="E735" s="30"/>
      <c r="F735" s="30"/>
      <c r="G735" s="30"/>
      <c r="H735" s="66"/>
      <c r="I735" s="30"/>
      <c r="J735" s="30"/>
      <c r="K735" s="12"/>
      <c r="L735" s="12"/>
    </row>
    <row r="736" spans="1:12">
      <c r="A736" s="30"/>
      <c r="B736" s="65"/>
      <c r="C736" s="65"/>
      <c r="D736" s="112"/>
      <c r="E736" s="30"/>
      <c r="F736" s="30"/>
      <c r="G736" s="30"/>
      <c r="H736" s="66"/>
      <c r="I736" s="30"/>
      <c r="J736" s="30"/>
      <c r="K736" s="12"/>
      <c r="L736" s="12"/>
    </row>
    <row r="737" spans="1:12">
      <c r="A737" s="30"/>
      <c r="B737" s="65"/>
      <c r="C737" s="65"/>
      <c r="D737" s="112"/>
      <c r="E737" s="30"/>
      <c r="F737" s="30"/>
      <c r="G737" s="30"/>
      <c r="H737" s="66"/>
      <c r="I737" s="30"/>
      <c r="J737" s="30"/>
      <c r="K737" s="12"/>
      <c r="L737" s="12"/>
    </row>
    <row r="738" spans="1:12">
      <c r="A738" s="30"/>
      <c r="B738" s="65"/>
      <c r="C738" s="65"/>
      <c r="D738" s="112"/>
      <c r="E738" s="30"/>
      <c r="F738" s="30"/>
      <c r="G738" s="30"/>
      <c r="H738" s="66"/>
      <c r="I738" s="30"/>
      <c r="J738" s="30"/>
      <c r="K738" s="12"/>
      <c r="L738" s="12"/>
    </row>
    <row r="739" spans="1:12">
      <c r="A739" s="30"/>
      <c r="B739" s="65"/>
      <c r="C739" s="65"/>
      <c r="D739" s="112"/>
      <c r="E739" s="30"/>
      <c r="F739" s="30"/>
      <c r="G739" s="30"/>
      <c r="H739" s="66"/>
      <c r="I739" s="30"/>
      <c r="J739" s="30"/>
      <c r="K739" s="12"/>
      <c r="L739" s="12"/>
    </row>
    <row r="740" spans="1:12">
      <c r="A740" s="30"/>
      <c r="B740" s="65"/>
      <c r="C740" s="65"/>
      <c r="D740" s="112"/>
      <c r="E740" s="30"/>
      <c r="F740" s="30"/>
      <c r="G740" s="30"/>
      <c r="H740" s="66"/>
      <c r="I740" s="30"/>
      <c r="J740" s="30"/>
      <c r="K740" s="12"/>
      <c r="L740" s="12"/>
    </row>
    <row r="741" spans="1:12">
      <c r="A741" s="30"/>
      <c r="B741" s="65"/>
      <c r="C741" s="65"/>
      <c r="D741" s="112"/>
      <c r="E741" s="30"/>
      <c r="F741" s="30"/>
      <c r="G741" s="30"/>
      <c r="H741" s="66"/>
      <c r="I741" s="30"/>
      <c r="J741" s="30"/>
      <c r="K741" s="12"/>
      <c r="L741" s="12"/>
    </row>
    <row r="742" spans="1:12">
      <c r="A742" s="30"/>
      <c r="B742" s="65"/>
      <c r="C742" s="65"/>
      <c r="D742" s="112"/>
      <c r="E742" s="30"/>
      <c r="F742" s="30"/>
      <c r="G742" s="30"/>
      <c r="H742" s="66"/>
      <c r="I742" s="30"/>
      <c r="J742" s="30"/>
      <c r="K742" s="12"/>
      <c r="L742" s="12"/>
    </row>
    <row r="743" spans="1:12">
      <c r="A743" s="30"/>
      <c r="B743" s="65"/>
      <c r="C743" s="65"/>
      <c r="D743" s="112"/>
      <c r="E743" s="30"/>
      <c r="F743" s="30"/>
      <c r="G743" s="30"/>
      <c r="H743" s="66"/>
      <c r="I743" s="30"/>
      <c r="J743" s="30"/>
      <c r="K743" s="12"/>
      <c r="L743" s="12"/>
    </row>
    <row r="744" spans="1:12">
      <c r="A744" s="30"/>
      <c r="B744" s="65"/>
      <c r="C744" s="65"/>
      <c r="D744" s="112"/>
      <c r="E744" s="30"/>
      <c r="F744" s="30"/>
      <c r="G744" s="30"/>
      <c r="H744" s="66"/>
      <c r="I744" s="30"/>
      <c r="J744" s="30"/>
      <c r="K744" s="12"/>
      <c r="L744" s="12"/>
    </row>
    <row r="745" spans="1:12">
      <c r="A745" s="30"/>
      <c r="B745" s="65"/>
      <c r="C745" s="65"/>
      <c r="D745" s="112"/>
      <c r="E745" s="30"/>
      <c r="F745" s="30"/>
      <c r="G745" s="30"/>
      <c r="H745" s="66"/>
      <c r="I745" s="30"/>
      <c r="J745" s="30"/>
      <c r="K745" s="12"/>
      <c r="L745" s="12"/>
    </row>
    <row r="746" spans="1:12">
      <c r="A746" s="30"/>
      <c r="B746" s="65"/>
      <c r="C746" s="65"/>
      <c r="D746" s="112"/>
      <c r="E746" s="30"/>
      <c r="F746" s="30"/>
      <c r="G746" s="30"/>
      <c r="H746" s="66"/>
      <c r="I746" s="30"/>
      <c r="J746" s="30"/>
      <c r="K746" s="12"/>
      <c r="L746" s="12"/>
    </row>
    <row r="747" spans="1:12">
      <c r="A747" s="30"/>
      <c r="B747" s="65"/>
      <c r="C747" s="65"/>
      <c r="D747" s="112"/>
      <c r="E747" s="30"/>
      <c r="F747" s="30"/>
      <c r="G747" s="30"/>
      <c r="H747" s="66"/>
      <c r="I747" s="30"/>
      <c r="J747" s="30"/>
      <c r="K747" s="12"/>
      <c r="L747" s="12"/>
    </row>
    <row r="748" spans="1:12">
      <c r="A748" s="30"/>
      <c r="B748" s="65"/>
      <c r="C748" s="65"/>
      <c r="D748" s="112"/>
      <c r="E748" s="30"/>
      <c r="F748" s="30"/>
      <c r="G748" s="30"/>
      <c r="H748" s="66"/>
      <c r="I748" s="30"/>
      <c r="J748" s="30"/>
      <c r="K748" s="12"/>
      <c r="L748" s="12"/>
    </row>
    <row r="749" spans="1:12">
      <c r="A749" s="30"/>
      <c r="B749" s="65"/>
      <c r="C749" s="65"/>
      <c r="D749" s="112"/>
      <c r="E749" s="30"/>
      <c r="F749" s="30"/>
      <c r="G749" s="30"/>
      <c r="H749" s="66"/>
      <c r="I749" s="30"/>
      <c r="J749" s="30"/>
      <c r="K749" s="12"/>
      <c r="L749" s="12"/>
    </row>
    <row r="750" spans="1:12">
      <c r="A750" s="30"/>
      <c r="B750" s="65"/>
      <c r="C750" s="65"/>
      <c r="D750" s="112"/>
      <c r="E750" s="30"/>
      <c r="F750" s="30"/>
      <c r="G750" s="30"/>
      <c r="H750" s="66"/>
      <c r="I750" s="30"/>
      <c r="J750" s="30"/>
      <c r="K750" s="12"/>
      <c r="L750" s="12"/>
    </row>
    <row r="751" spans="1:12">
      <c r="A751" s="30"/>
      <c r="B751" s="65"/>
      <c r="C751" s="65"/>
      <c r="D751" s="112"/>
      <c r="E751" s="30"/>
      <c r="F751" s="30"/>
      <c r="G751" s="30"/>
      <c r="H751" s="66"/>
      <c r="I751" s="30"/>
      <c r="J751" s="30"/>
      <c r="K751" s="12"/>
      <c r="L751" s="12"/>
    </row>
    <row r="752" spans="1:12">
      <c r="A752" s="30"/>
      <c r="B752" s="65"/>
      <c r="C752" s="65"/>
      <c r="D752" s="112"/>
      <c r="E752" s="30"/>
      <c r="F752" s="30"/>
      <c r="G752" s="30"/>
      <c r="H752" s="66"/>
      <c r="I752" s="30"/>
      <c r="J752" s="30"/>
      <c r="K752" s="12"/>
      <c r="L752" s="12"/>
    </row>
    <row r="753" spans="1:12">
      <c r="A753" s="30"/>
      <c r="B753" s="65"/>
      <c r="C753" s="65"/>
      <c r="D753" s="112"/>
      <c r="E753" s="30"/>
      <c r="F753" s="30"/>
      <c r="G753" s="30"/>
      <c r="H753" s="66"/>
      <c r="I753" s="30"/>
      <c r="J753" s="30"/>
      <c r="K753" s="12"/>
      <c r="L753" s="12"/>
    </row>
    <row r="754" spans="1:12">
      <c r="A754" s="30"/>
      <c r="B754" s="65"/>
      <c r="C754" s="65"/>
      <c r="D754" s="112"/>
      <c r="E754" s="30"/>
      <c r="F754" s="30"/>
      <c r="G754" s="30"/>
      <c r="H754" s="66"/>
      <c r="I754" s="30"/>
      <c r="J754" s="30"/>
      <c r="K754" s="12"/>
      <c r="L754" s="12"/>
    </row>
    <row r="755" spans="1:12">
      <c r="A755" s="30"/>
      <c r="B755" s="65"/>
      <c r="C755" s="65"/>
      <c r="D755" s="112"/>
      <c r="E755" s="30"/>
      <c r="F755" s="30"/>
      <c r="G755" s="30"/>
      <c r="H755" s="66"/>
      <c r="I755" s="30"/>
      <c r="J755" s="30"/>
      <c r="K755" s="12"/>
      <c r="L755" s="12"/>
    </row>
    <row r="756" spans="1:12">
      <c r="A756" s="30"/>
      <c r="B756" s="65"/>
      <c r="C756" s="65"/>
      <c r="D756" s="112"/>
      <c r="E756" s="30"/>
      <c r="F756" s="30"/>
      <c r="G756" s="30"/>
      <c r="H756" s="66"/>
      <c r="I756" s="30"/>
      <c r="J756" s="30"/>
      <c r="K756" s="12"/>
      <c r="L756" s="12"/>
    </row>
    <row r="757" spans="1:12">
      <c r="A757" s="30"/>
      <c r="B757" s="65"/>
      <c r="C757" s="65"/>
      <c r="D757" s="112"/>
      <c r="E757" s="30"/>
      <c r="F757" s="30"/>
      <c r="G757" s="30"/>
      <c r="H757" s="66"/>
      <c r="I757" s="30"/>
      <c r="J757" s="30"/>
      <c r="K757" s="12"/>
      <c r="L757" s="12"/>
    </row>
    <row r="758" spans="1:12">
      <c r="A758" s="30"/>
      <c r="B758" s="65"/>
      <c r="C758" s="65"/>
      <c r="D758" s="112"/>
      <c r="E758" s="30"/>
      <c r="F758" s="30"/>
      <c r="G758" s="30"/>
      <c r="H758" s="66"/>
      <c r="I758" s="30"/>
      <c r="J758" s="30"/>
      <c r="K758" s="12"/>
      <c r="L758" s="12"/>
    </row>
    <row r="759" spans="1:12">
      <c r="A759" s="30"/>
      <c r="B759" s="65"/>
      <c r="C759" s="65"/>
      <c r="D759" s="112"/>
      <c r="E759" s="30"/>
      <c r="F759" s="30"/>
      <c r="G759" s="30"/>
      <c r="H759" s="66"/>
      <c r="I759" s="30"/>
      <c r="J759" s="30"/>
      <c r="K759" s="12"/>
      <c r="L759" s="12"/>
    </row>
    <row r="760" spans="1:12">
      <c r="A760" s="30"/>
      <c r="B760" s="65"/>
      <c r="C760" s="65"/>
      <c r="D760" s="112"/>
      <c r="E760" s="30"/>
      <c r="F760" s="30"/>
      <c r="G760" s="30"/>
      <c r="H760" s="66"/>
      <c r="I760" s="30"/>
      <c r="J760" s="30"/>
      <c r="K760" s="12"/>
      <c r="L760" s="12"/>
    </row>
    <row r="761" spans="1:12">
      <c r="A761" s="30"/>
      <c r="B761" s="65"/>
      <c r="C761" s="65"/>
      <c r="D761" s="112"/>
      <c r="E761" s="30"/>
      <c r="F761" s="30"/>
      <c r="G761" s="30"/>
      <c r="H761" s="66"/>
      <c r="I761" s="30"/>
      <c r="J761" s="30"/>
      <c r="K761" s="12"/>
      <c r="L761" s="12"/>
    </row>
    <row r="762" spans="1:12">
      <c r="A762" s="30"/>
      <c r="B762" s="65"/>
      <c r="C762" s="65"/>
      <c r="D762" s="112"/>
      <c r="E762" s="30"/>
      <c r="F762" s="30"/>
      <c r="G762" s="30"/>
      <c r="H762" s="66"/>
      <c r="I762" s="30"/>
      <c r="J762" s="30"/>
      <c r="K762" s="12"/>
      <c r="L762" s="12"/>
    </row>
    <row r="763" spans="1:12">
      <c r="A763" s="30"/>
      <c r="B763" s="65"/>
      <c r="C763" s="65"/>
      <c r="D763" s="112"/>
      <c r="E763" s="30"/>
      <c r="F763" s="30"/>
      <c r="G763" s="30"/>
      <c r="H763" s="66"/>
      <c r="I763" s="30"/>
      <c r="J763" s="30"/>
      <c r="K763" s="12"/>
      <c r="L763" s="12"/>
    </row>
    <row r="764" spans="1:12">
      <c r="A764" s="30"/>
      <c r="B764" s="65"/>
      <c r="C764" s="65"/>
      <c r="D764" s="112"/>
      <c r="E764" s="30"/>
      <c r="F764" s="30"/>
      <c r="G764" s="30"/>
      <c r="H764" s="66"/>
      <c r="I764" s="30"/>
      <c r="J764" s="30"/>
      <c r="K764" s="12"/>
      <c r="L764" s="12"/>
    </row>
    <row r="765" spans="1:12">
      <c r="A765" s="30"/>
      <c r="B765" s="65"/>
      <c r="C765" s="65"/>
      <c r="D765" s="112"/>
      <c r="E765" s="30"/>
      <c r="F765" s="30"/>
      <c r="G765" s="30"/>
      <c r="H765" s="66"/>
      <c r="I765" s="30"/>
      <c r="J765" s="30"/>
      <c r="K765" s="12"/>
      <c r="L765" s="12"/>
    </row>
    <row r="766" spans="1:12">
      <c r="A766" s="30"/>
      <c r="B766" s="65"/>
      <c r="C766" s="65"/>
      <c r="D766" s="112"/>
      <c r="E766" s="30"/>
      <c r="F766" s="30"/>
      <c r="G766" s="30"/>
      <c r="H766" s="66"/>
      <c r="I766" s="30"/>
      <c r="J766" s="30"/>
      <c r="K766" s="12"/>
      <c r="L766" s="12"/>
    </row>
    <row r="767" spans="1:12">
      <c r="A767" s="30"/>
      <c r="B767" s="65"/>
      <c r="C767" s="65"/>
      <c r="D767" s="112"/>
      <c r="E767" s="30"/>
      <c r="F767" s="30"/>
      <c r="G767" s="30"/>
      <c r="H767" s="66"/>
      <c r="I767" s="30"/>
      <c r="J767" s="30"/>
      <c r="K767" s="12"/>
      <c r="L767" s="12"/>
    </row>
    <row r="768" spans="1:12">
      <c r="A768" s="30"/>
      <c r="B768" s="65"/>
      <c r="C768" s="65"/>
      <c r="D768" s="112"/>
      <c r="E768" s="30"/>
      <c r="F768" s="30"/>
      <c r="G768" s="30"/>
      <c r="H768" s="66"/>
      <c r="I768" s="30"/>
      <c r="J768" s="30"/>
      <c r="K768" s="12"/>
      <c r="L768" s="12"/>
    </row>
    <row r="769" spans="1:12">
      <c r="A769" s="30"/>
      <c r="B769" s="65"/>
      <c r="C769" s="65"/>
      <c r="D769" s="112"/>
      <c r="E769" s="30"/>
      <c r="F769" s="30"/>
      <c r="G769" s="30"/>
      <c r="H769" s="66"/>
      <c r="I769" s="30"/>
      <c r="J769" s="30"/>
      <c r="K769" s="12"/>
      <c r="L769" s="12"/>
    </row>
    <row r="770" spans="1:12">
      <c r="A770" s="30"/>
      <c r="B770" s="65"/>
      <c r="C770" s="65"/>
      <c r="D770" s="112"/>
      <c r="E770" s="30"/>
      <c r="F770" s="30"/>
      <c r="G770" s="30"/>
      <c r="H770" s="66"/>
      <c r="I770" s="30"/>
      <c r="J770" s="30"/>
      <c r="K770" s="12"/>
      <c r="L770" s="12"/>
    </row>
    <row r="771" spans="1:12">
      <c r="A771" s="30"/>
      <c r="B771" s="65"/>
      <c r="C771" s="65"/>
      <c r="D771" s="112"/>
      <c r="E771" s="30"/>
      <c r="F771" s="30"/>
      <c r="G771" s="30"/>
      <c r="H771" s="66"/>
      <c r="I771" s="30"/>
      <c r="J771" s="30"/>
      <c r="K771" s="12"/>
      <c r="L771" s="12"/>
    </row>
    <row r="772" spans="1:12">
      <c r="A772" s="30"/>
      <c r="B772" s="65"/>
      <c r="C772" s="65"/>
      <c r="D772" s="112"/>
      <c r="E772" s="30"/>
      <c r="F772" s="30"/>
      <c r="G772" s="30"/>
      <c r="H772" s="66"/>
      <c r="I772" s="30"/>
      <c r="J772" s="30"/>
      <c r="K772" s="12"/>
      <c r="L772" s="12"/>
    </row>
    <row r="773" spans="1:12">
      <c r="A773" s="30"/>
      <c r="B773" s="65"/>
      <c r="C773" s="65"/>
      <c r="D773" s="112"/>
      <c r="E773" s="30"/>
      <c r="F773" s="30"/>
      <c r="G773" s="30"/>
      <c r="H773" s="66"/>
      <c r="I773" s="30"/>
      <c r="J773" s="30"/>
      <c r="K773" s="12"/>
      <c r="L773" s="12"/>
    </row>
    <row r="774" spans="1:12">
      <c r="A774" s="30"/>
      <c r="B774" s="65"/>
      <c r="C774" s="65"/>
      <c r="D774" s="112"/>
      <c r="E774" s="30"/>
      <c r="F774" s="30"/>
      <c r="G774" s="30"/>
      <c r="H774" s="66"/>
      <c r="I774" s="30"/>
      <c r="J774" s="30"/>
      <c r="K774" s="12"/>
      <c r="L774" s="12"/>
    </row>
    <row r="775" spans="1:12">
      <c r="A775" s="30"/>
      <c r="B775" s="65"/>
      <c r="C775" s="65"/>
      <c r="D775" s="112"/>
      <c r="E775" s="30"/>
      <c r="F775" s="30"/>
      <c r="G775" s="30"/>
      <c r="H775" s="66"/>
      <c r="I775" s="30"/>
      <c r="J775" s="30"/>
      <c r="K775" s="12"/>
      <c r="L775" s="12"/>
    </row>
    <row r="776" spans="1:12">
      <c r="A776" s="30"/>
      <c r="B776" s="65"/>
      <c r="C776" s="65"/>
      <c r="D776" s="112"/>
      <c r="E776" s="30"/>
      <c r="F776" s="30"/>
      <c r="G776" s="30"/>
      <c r="H776" s="66"/>
      <c r="I776" s="30"/>
      <c r="J776" s="30"/>
      <c r="K776" s="12"/>
      <c r="L776" s="12"/>
    </row>
    <row r="777" spans="1:12">
      <c r="A777" s="30"/>
      <c r="B777" s="65"/>
      <c r="C777" s="65"/>
      <c r="D777" s="112"/>
      <c r="E777" s="30"/>
      <c r="F777" s="30"/>
      <c r="G777" s="30"/>
      <c r="H777" s="66"/>
      <c r="I777" s="30"/>
      <c r="J777" s="30"/>
      <c r="K777" s="12"/>
      <c r="L777" s="12"/>
    </row>
    <row r="778" spans="1:12">
      <c r="A778" s="30"/>
      <c r="B778" s="65"/>
      <c r="C778" s="65"/>
      <c r="D778" s="112"/>
      <c r="E778" s="30"/>
      <c r="F778" s="30"/>
      <c r="G778" s="30"/>
      <c r="H778" s="66"/>
      <c r="I778" s="30"/>
      <c r="J778" s="30"/>
      <c r="K778" s="12"/>
      <c r="L778" s="12"/>
    </row>
    <row r="779" spans="1:12">
      <c r="A779" s="30"/>
      <c r="B779" s="65"/>
      <c r="C779" s="65"/>
      <c r="D779" s="112"/>
      <c r="E779" s="30"/>
      <c r="F779" s="30"/>
      <c r="G779" s="30"/>
      <c r="H779" s="66"/>
      <c r="I779" s="30"/>
      <c r="J779" s="30"/>
      <c r="K779" s="12"/>
      <c r="L779" s="12"/>
    </row>
    <row r="780" spans="1:12">
      <c r="A780" s="30"/>
      <c r="B780" s="65"/>
      <c r="C780" s="65"/>
      <c r="D780" s="112"/>
      <c r="E780" s="30"/>
      <c r="F780" s="30"/>
      <c r="G780" s="30"/>
      <c r="H780" s="66"/>
      <c r="I780" s="30"/>
      <c r="J780" s="30"/>
      <c r="K780" s="12"/>
      <c r="L780" s="12"/>
    </row>
    <row r="781" spans="1:12">
      <c r="A781" s="30"/>
      <c r="B781" s="65"/>
      <c r="C781" s="65"/>
      <c r="D781" s="112"/>
      <c r="E781" s="30"/>
      <c r="F781" s="30"/>
      <c r="G781" s="30"/>
      <c r="H781" s="66"/>
      <c r="I781" s="30"/>
      <c r="J781" s="30"/>
      <c r="K781" s="12"/>
      <c r="L781" s="12"/>
    </row>
    <row r="782" spans="1:12">
      <c r="A782" s="30"/>
      <c r="B782" s="65"/>
      <c r="C782" s="65"/>
      <c r="D782" s="112"/>
      <c r="E782" s="30"/>
      <c r="F782" s="30"/>
      <c r="G782" s="30"/>
      <c r="H782" s="66"/>
      <c r="I782" s="30"/>
      <c r="J782" s="30"/>
      <c r="K782" s="12"/>
      <c r="L782" s="12"/>
    </row>
    <row r="783" spans="1:12">
      <c r="A783" s="30"/>
      <c r="B783" s="65"/>
      <c r="C783" s="65"/>
      <c r="D783" s="112"/>
      <c r="E783" s="30"/>
      <c r="F783" s="30"/>
      <c r="G783" s="30"/>
      <c r="H783" s="66"/>
      <c r="I783" s="30"/>
      <c r="J783" s="30"/>
      <c r="K783" s="12"/>
      <c r="L783" s="12"/>
    </row>
    <row r="784" spans="1:12">
      <c r="A784" s="30"/>
      <c r="B784" s="65"/>
      <c r="C784" s="65"/>
      <c r="D784" s="112"/>
      <c r="E784" s="30"/>
      <c r="F784" s="30"/>
      <c r="G784" s="30"/>
      <c r="H784" s="66"/>
      <c r="I784" s="30"/>
      <c r="J784" s="30"/>
      <c r="K784" s="12"/>
      <c r="L784" s="12"/>
    </row>
    <row r="785" spans="1:12">
      <c r="A785" s="30"/>
      <c r="B785" s="65"/>
      <c r="C785" s="65"/>
      <c r="D785" s="112"/>
      <c r="E785" s="30"/>
      <c r="F785" s="30"/>
      <c r="G785" s="30"/>
      <c r="H785" s="66"/>
      <c r="I785" s="30"/>
      <c r="J785" s="30"/>
      <c r="K785" s="12"/>
      <c r="L785" s="12"/>
    </row>
    <row r="786" spans="1:12">
      <c r="A786" s="30"/>
      <c r="B786" s="65"/>
      <c r="C786" s="65"/>
      <c r="D786" s="112"/>
      <c r="E786" s="30"/>
      <c r="F786" s="30"/>
      <c r="G786" s="30"/>
      <c r="H786" s="66"/>
      <c r="I786" s="30"/>
      <c r="J786" s="30"/>
      <c r="K786" s="12"/>
      <c r="L786" s="12"/>
    </row>
    <row r="787" spans="1:12">
      <c r="A787" s="30"/>
      <c r="B787" s="65"/>
      <c r="C787" s="65"/>
      <c r="D787" s="112"/>
      <c r="E787" s="30"/>
      <c r="F787" s="30"/>
      <c r="G787" s="30"/>
      <c r="H787" s="66"/>
      <c r="I787" s="30"/>
      <c r="J787" s="30"/>
      <c r="K787" s="12"/>
      <c r="L787" s="12"/>
    </row>
    <row r="788" spans="1:12">
      <c r="A788" s="30"/>
      <c r="B788" s="65"/>
      <c r="C788" s="65"/>
      <c r="D788" s="112"/>
      <c r="E788" s="30"/>
      <c r="F788" s="30"/>
      <c r="G788" s="30"/>
      <c r="H788" s="66"/>
      <c r="I788" s="30"/>
      <c r="J788" s="30"/>
      <c r="K788" s="12"/>
      <c r="L788" s="12"/>
    </row>
    <row r="789" spans="1:12">
      <c r="A789" s="30"/>
      <c r="B789" s="65"/>
      <c r="C789" s="65"/>
      <c r="D789" s="112"/>
      <c r="E789" s="30"/>
      <c r="F789" s="30"/>
      <c r="G789" s="30"/>
      <c r="H789" s="66"/>
      <c r="I789" s="30"/>
      <c r="J789" s="30"/>
      <c r="K789" s="12"/>
      <c r="L789" s="12"/>
    </row>
    <row r="790" spans="1:12">
      <c r="A790" s="30"/>
      <c r="B790" s="65"/>
      <c r="C790" s="65"/>
      <c r="D790" s="112"/>
      <c r="E790" s="30"/>
      <c r="F790" s="30"/>
      <c r="G790" s="30"/>
      <c r="H790" s="66"/>
      <c r="I790" s="30"/>
      <c r="J790" s="30"/>
      <c r="K790" s="12"/>
      <c r="L790" s="12"/>
    </row>
    <row r="791" spans="1:12">
      <c r="A791" s="30"/>
      <c r="B791" s="65"/>
      <c r="C791" s="65"/>
      <c r="D791" s="112"/>
      <c r="E791" s="30"/>
      <c r="F791" s="30"/>
      <c r="G791" s="30"/>
      <c r="H791" s="66"/>
      <c r="I791" s="30"/>
      <c r="J791" s="30"/>
      <c r="K791" s="12"/>
      <c r="L791" s="12"/>
    </row>
    <row r="792" spans="1:12">
      <c r="A792" s="30"/>
      <c r="B792" s="65"/>
      <c r="C792" s="65"/>
      <c r="D792" s="112"/>
      <c r="E792" s="30"/>
      <c r="F792" s="30"/>
      <c r="G792" s="30"/>
      <c r="H792" s="66"/>
      <c r="I792" s="30"/>
      <c r="J792" s="30"/>
      <c r="K792" s="12"/>
      <c r="L792" s="12"/>
    </row>
    <row r="793" spans="1:12">
      <c r="A793" s="30"/>
      <c r="B793" s="65"/>
      <c r="C793" s="65"/>
      <c r="D793" s="112"/>
      <c r="E793" s="30"/>
      <c r="F793" s="30"/>
      <c r="G793" s="30"/>
      <c r="H793" s="66"/>
      <c r="I793" s="30"/>
      <c r="J793" s="30"/>
      <c r="K793" s="12"/>
      <c r="L793" s="12"/>
    </row>
    <row r="794" spans="1:12">
      <c r="A794" s="30"/>
      <c r="B794" s="65"/>
      <c r="C794" s="65"/>
      <c r="D794" s="112"/>
      <c r="E794" s="30"/>
      <c r="F794" s="30"/>
      <c r="G794" s="30"/>
      <c r="H794" s="66"/>
      <c r="I794" s="30"/>
      <c r="J794" s="30"/>
      <c r="K794" s="12"/>
      <c r="L794" s="12"/>
    </row>
    <row r="795" spans="1:12">
      <c r="A795" s="30"/>
      <c r="B795" s="65"/>
      <c r="C795" s="65"/>
      <c r="D795" s="112"/>
      <c r="E795" s="30"/>
      <c r="F795" s="30"/>
      <c r="G795" s="30"/>
      <c r="H795" s="66"/>
      <c r="I795" s="30"/>
      <c r="J795" s="30"/>
      <c r="K795" s="12"/>
      <c r="L795" s="12"/>
    </row>
    <row r="796" spans="1:12">
      <c r="A796" s="30"/>
      <c r="B796" s="65"/>
      <c r="C796" s="65"/>
      <c r="D796" s="112"/>
      <c r="E796" s="30"/>
      <c r="F796" s="30"/>
      <c r="G796" s="30"/>
      <c r="H796" s="66"/>
      <c r="I796" s="30"/>
      <c r="J796" s="30"/>
      <c r="K796" s="12"/>
      <c r="L796" s="12"/>
    </row>
    <row r="797" spans="1:12">
      <c r="A797" s="30"/>
      <c r="B797" s="65"/>
      <c r="C797" s="65"/>
      <c r="D797" s="112"/>
      <c r="E797" s="30"/>
      <c r="F797" s="30"/>
      <c r="G797" s="30"/>
      <c r="H797" s="66"/>
      <c r="I797" s="30"/>
      <c r="J797" s="30"/>
      <c r="K797" s="12"/>
      <c r="L797" s="12"/>
    </row>
    <row r="798" spans="1:12">
      <c r="A798" s="30"/>
      <c r="B798" s="65"/>
      <c r="C798" s="65"/>
      <c r="D798" s="112"/>
      <c r="E798" s="30"/>
      <c r="F798" s="30"/>
      <c r="G798" s="30"/>
      <c r="H798" s="66"/>
      <c r="I798" s="30"/>
      <c r="J798" s="30"/>
      <c r="K798" s="12"/>
      <c r="L798" s="12"/>
    </row>
    <row r="799" spans="1:12">
      <c r="A799" s="30"/>
      <c r="B799" s="65"/>
      <c r="C799" s="65"/>
      <c r="D799" s="112"/>
      <c r="E799" s="30"/>
      <c r="F799" s="30"/>
      <c r="G799" s="30"/>
      <c r="H799" s="66"/>
      <c r="I799" s="30"/>
      <c r="J799" s="30"/>
      <c r="K799" s="12"/>
      <c r="L799" s="12"/>
    </row>
    <row r="800" spans="1:12">
      <c r="A800" s="30"/>
      <c r="B800" s="65"/>
      <c r="C800" s="65"/>
      <c r="D800" s="112"/>
      <c r="E800" s="30"/>
      <c r="F800" s="30"/>
      <c r="G800" s="30"/>
      <c r="H800" s="66"/>
      <c r="I800" s="30"/>
      <c r="J800" s="30"/>
      <c r="K800" s="12"/>
      <c r="L800" s="12"/>
    </row>
    <row r="801" spans="1:12">
      <c r="A801" s="30"/>
      <c r="B801" s="65"/>
      <c r="C801" s="65"/>
      <c r="D801" s="112"/>
      <c r="E801" s="30"/>
      <c r="F801" s="30"/>
      <c r="G801" s="30"/>
      <c r="H801" s="66"/>
      <c r="I801" s="30"/>
      <c r="J801" s="30"/>
      <c r="K801" s="12"/>
      <c r="L801" s="12"/>
    </row>
    <row r="802" spans="1:12">
      <c r="A802" s="30"/>
      <c r="B802" s="65"/>
      <c r="C802" s="65"/>
      <c r="D802" s="112"/>
      <c r="E802" s="30"/>
      <c r="F802" s="30"/>
      <c r="G802" s="30"/>
      <c r="H802" s="66"/>
      <c r="I802" s="30"/>
      <c r="J802" s="30"/>
      <c r="K802" s="12"/>
      <c r="L802" s="12"/>
    </row>
    <row r="803" spans="1:12">
      <c r="A803" s="30"/>
      <c r="B803" s="65"/>
      <c r="C803" s="65"/>
      <c r="D803" s="112"/>
      <c r="E803" s="30"/>
      <c r="F803" s="30"/>
      <c r="G803" s="30"/>
      <c r="H803" s="66"/>
      <c r="I803" s="30"/>
      <c r="J803" s="30"/>
      <c r="K803" s="12"/>
      <c r="L803" s="12"/>
    </row>
    <row r="804" spans="1:12">
      <c r="A804" s="30"/>
      <c r="B804" s="65"/>
      <c r="C804" s="65"/>
      <c r="D804" s="112"/>
      <c r="E804" s="30"/>
      <c r="F804" s="30"/>
      <c r="G804" s="30"/>
      <c r="H804" s="66"/>
      <c r="I804" s="30"/>
      <c r="J804" s="30"/>
      <c r="K804" s="12"/>
      <c r="L804" s="12"/>
    </row>
    <row r="805" spans="1:12">
      <c r="A805" s="30"/>
      <c r="B805" s="65"/>
      <c r="C805" s="65"/>
      <c r="D805" s="112"/>
      <c r="E805" s="30"/>
      <c r="F805" s="30"/>
      <c r="G805" s="30"/>
      <c r="H805" s="66"/>
      <c r="I805" s="30"/>
      <c r="J805" s="30"/>
      <c r="K805" s="12"/>
      <c r="L805" s="12"/>
    </row>
    <row r="806" spans="1:12">
      <c r="A806" s="30"/>
      <c r="B806" s="65"/>
      <c r="C806" s="65"/>
      <c r="D806" s="112"/>
      <c r="E806" s="30"/>
      <c r="F806" s="30"/>
      <c r="G806" s="30"/>
      <c r="H806" s="66"/>
      <c r="I806" s="30"/>
      <c r="J806" s="30"/>
      <c r="K806" s="12"/>
      <c r="L806" s="12"/>
    </row>
    <row r="807" spans="1:12">
      <c r="A807" s="30"/>
      <c r="B807" s="65"/>
      <c r="C807" s="65"/>
      <c r="D807" s="112"/>
      <c r="E807" s="30"/>
      <c r="F807" s="30"/>
      <c r="G807" s="30"/>
      <c r="H807" s="66"/>
      <c r="I807" s="30"/>
      <c r="J807" s="30"/>
      <c r="K807" s="12"/>
      <c r="L807" s="12"/>
    </row>
    <row r="808" spans="1:12">
      <c r="A808" s="30"/>
      <c r="B808" s="65"/>
      <c r="C808" s="65"/>
      <c r="D808" s="112"/>
      <c r="E808" s="30"/>
      <c r="F808" s="30"/>
      <c r="G808" s="30"/>
      <c r="H808" s="66"/>
      <c r="I808" s="30"/>
      <c r="J808" s="30"/>
      <c r="K808" s="12"/>
      <c r="L808" s="12"/>
    </row>
    <row r="809" spans="1:12">
      <c r="A809" s="30"/>
      <c r="B809" s="65"/>
      <c r="C809" s="65"/>
      <c r="D809" s="112"/>
      <c r="E809" s="30"/>
      <c r="F809" s="30"/>
      <c r="G809" s="30"/>
      <c r="H809" s="66"/>
      <c r="I809" s="30"/>
      <c r="J809" s="30"/>
      <c r="K809" s="12"/>
      <c r="L809" s="12"/>
    </row>
    <row r="810" spans="1:12">
      <c r="A810" s="30"/>
      <c r="B810" s="65"/>
      <c r="C810" s="65"/>
      <c r="D810" s="112"/>
      <c r="E810" s="30"/>
      <c r="F810" s="30"/>
      <c r="G810" s="30"/>
      <c r="H810" s="66"/>
      <c r="I810" s="30"/>
      <c r="J810" s="30"/>
      <c r="K810" s="12"/>
      <c r="L810" s="12"/>
    </row>
    <row r="811" spans="1:12">
      <c r="A811" s="30"/>
      <c r="B811" s="65"/>
      <c r="C811" s="65"/>
      <c r="D811" s="112"/>
      <c r="E811" s="30"/>
      <c r="F811" s="30"/>
      <c r="G811" s="30"/>
      <c r="H811" s="66"/>
      <c r="I811" s="30"/>
      <c r="J811" s="30"/>
      <c r="K811" s="12"/>
      <c r="L811" s="12"/>
    </row>
    <row r="812" spans="1:12">
      <c r="A812" s="30"/>
      <c r="B812" s="65"/>
      <c r="C812" s="65"/>
      <c r="D812" s="112"/>
      <c r="E812" s="30"/>
      <c r="F812" s="30"/>
      <c r="G812" s="30"/>
      <c r="H812" s="66"/>
      <c r="I812" s="30"/>
      <c r="J812" s="30"/>
      <c r="K812" s="12"/>
      <c r="L812" s="12"/>
    </row>
    <row r="813" spans="1:12">
      <c r="A813" s="30"/>
      <c r="B813" s="65"/>
      <c r="C813" s="65"/>
      <c r="D813" s="112"/>
      <c r="E813" s="30"/>
      <c r="F813" s="30"/>
      <c r="G813" s="30"/>
      <c r="H813" s="66"/>
      <c r="I813" s="30"/>
      <c r="J813" s="30"/>
      <c r="K813" s="12"/>
      <c r="L813" s="12"/>
    </row>
    <row r="814" spans="1:12">
      <c r="A814" s="30"/>
      <c r="B814" s="65"/>
      <c r="C814" s="65"/>
      <c r="D814" s="112"/>
      <c r="E814" s="30"/>
      <c r="F814" s="30"/>
      <c r="G814" s="30"/>
      <c r="H814" s="66"/>
      <c r="I814" s="30"/>
      <c r="J814" s="30"/>
      <c r="K814" s="12"/>
      <c r="L814" s="12"/>
    </row>
    <row r="815" spans="1:12">
      <c r="A815" s="30"/>
      <c r="B815" s="65"/>
      <c r="C815" s="65"/>
      <c r="D815" s="112"/>
      <c r="E815" s="30"/>
      <c r="F815" s="30"/>
      <c r="G815" s="30"/>
      <c r="H815" s="66"/>
      <c r="I815" s="30"/>
      <c r="J815" s="30"/>
      <c r="K815" s="12"/>
      <c r="L815" s="12"/>
    </row>
    <row r="816" spans="1:12">
      <c r="A816" s="30"/>
      <c r="B816" s="65"/>
      <c r="C816" s="65"/>
      <c r="D816" s="112"/>
      <c r="E816" s="30"/>
      <c r="F816" s="30"/>
      <c r="G816" s="30"/>
      <c r="H816" s="66"/>
      <c r="I816" s="30"/>
      <c r="J816" s="30"/>
      <c r="K816" s="12"/>
      <c r="L816" s="12"/>
    </row>
    <row r="817" spans="1:12">
      <c r="A817" s="30"/>
      <c r="B817" s="65"/>
      <c r="C817" s="65"/>
      <c r="D817" s="112"/>
      <c r="E817" s="30"/>
      <c r="F817" s="30"/>
      <c r="G817" s="30"/>
      <c r="H817" s="66"/>
      <c r="I817" s="30"/>
      <c r="J817" s="30"/>
      <c r="K817" s="12"/>
      <c r="L817" s="12"/>
    </row>
    <row r="818" spans="1:12">
      <c r="A818" s="30"/>
      <c r="B818" s="65"/>
      <c r="C818" s="65"/>
      <c r="D818" s="112"/>
      <c r="E818" s="30"/>
      <c r="F818" s="30"/>
      <c r="G818" s="30"/>
      <c r="H818" s="66"/>
      <c r="I818" s="30"/>
      <c r="J818" s="30"/>
      <c r="K818" s="12"/>
      <c r="L818" s="12"/>
    </row>
    <row r="819" spans="1:12">
      <c r="A819" s="30"/>
      <c r="B819" s="65"/>
      <c r="C819" s="65"/>
      <c r="D819" s="112"/>
      <c r="E819" s="30"/>
      <c r="F819" s="30"/>
      <c r="G819" s="30"/>
      <c r="H819" s="66"/>
      <c r="I819" s="30"/>
      <c r="J819" s="30"/>
      <c r="K819" s="12"/>
      <c r="L819" s="12"/>
    </row>
    <row r="820" spans="1:12">
      <c r="A820" s="30"/>
      <c r="B820" s="65"/>
      <c r="C820" s="65"/>
      <c r="D820" s="112"/>
      <c r="E820" s="30"/>
      <c r="F820" s="30"/>
      <c r="G820" s="30"/>
      <c r="H820" s="66"/>
      <c r="I820" s="30"/>
      <c r="J820" s="30"/>
      <c r="K820" s="12"/>
      <c r="L820" s="12"/>
    </row>
    <row r="821" spans="1:12">
      <c r="A821" s="30"/>
      <c r="B821" s="65"/>
      <c r="C821" s="65"/>
      <c r="D821" s="112"/>
      <c r="E821" s="30"/>
      <c r="F821" s="30"/>
      <c r="G821" s="30"/>
      <c r="H821" s="66"/>
      <c r="I821" s="30"/>
      <c r="J821" s="30"/>
      <c r="K821" s="12"/>
      <c r="L821" s="12"/>
    </row>
    <row r="822" spans="1:12">
      <c r="A822" s="30"/>
      <c r="B822" s="65"/>
      <c r="C822" s="65"/>
      <c r="D822" s="112"/>
      <c r="E822" s="30"/>
      <c r="F822" s="30"/>
      <c r="G822" s="30"/>
      <c r="H822" s="66"/>
      <c r="I822" s="30"/>
      <c r="J822" s="30"/>
      <c r="K822" s="12"/>
      <c r="L822" s="12"/>
    </row>
    <row r="823" spans="1:12">
      <c r="A823" s="30"/>
      <c r="B823" s="65"/>
      <c r="C823" s="65"/>
      <c r="D823" s="112"/>
      <c r="E823" s="30"/>
      <c r="F823" s="30"/>
      <c r="G823" s="30"/>
      <c r="H823" s="66"/>
      <c r="I823" s="30"/>
      <c r="J823" s="30"/>
      <c r="K823" s="12"/>
      <c r="L823" s="12"/>
    </row>
    <row r="824" spans="1:12">
      <c r="A824" s="30"/>
      <c r="B824" s="65"/>
      <c r="C824" s="65"/>
      <c r="D824" s="112"/>
      <c r="E824" s="30"/>
      <c r="F824" s="30"/>
      <c r="G824" s="30"/>
      <c r="H824" s="66"/>
      <c r="I824" s="30"/>
      <c r="J824" s="30"/>
      <c r="K824" s="12"/>
      <c r="L824" s="12"/>
    </row>
    <row r="825" spans="1:12">
      <c r="A825" s="30"/>
      <c r="B825" s="65"/>
      <c r="C825" s="65"/>
      <c r="D825" s="112"/>
      <c r="E825" s="30"/>
      <c r="F825" s="30"/>
      <c r="G825" s="30"/>
      <c r="H825" s="66"/>
      <c r="I825" s="30"/>
      <c r="J825" s="30"/>
      <c r="K825" s="12"/>
      <c r="L825" s="12"/>
    </row>
    <row r="826" spans="1:12">
      <c r="A826" s="30"/>
      <c r="B826" s="65"/>
      <c r="C826" s="65"/>
      <c r="D826" s="112"/>
      <c r="E826" s="30"/>
      <c r="F826" s="30"/>
      <c r="G826" s="30"/>
      <c r="H826" s="66"/>
      <c r="I826" s="30"/>
      <c r="J826" s="30"/>
      <c r="K826" s="12"/>
      <c r="L826" s="12"/>
    </row>
    <row r="827" spans="1:12">
      <c r="A827" s="30"/>
      <c r="B827" s="65"/>
      <c r="C827" s="65"/>
      <c r="D827" s="112"/>
      <c r="E827" s="30"/>
      <c r="F827" s="30"/>
      <c r="G827" s="30"/>
      <c r="H827" s="66"/>
      <c r="I827" s="30"/>
      <c r="J827" s="30"/>
      <c r="K827" s="12"/>
      <c r="L827" s="12"/>
    </row>
    <row r="828" spans="1:12">
      <c r="A828" s="30"/>
      <c r="B828" s="65"/>
      <c r="C828" s="65"/>
      <c r="D828" s="112"/>
      <c r="E828" s="30"/>
      <c r="F828" s="30"/>
      <c r="G828" s="30"/>
      <c r="H828" s="66"/>
      <c r="I828" s="30"/>
      <c r="J828" s="30"/>
      <c r="K828" s="12"/>
      <c r="L828" s="12"/>
    </row>
    <row r="829" spans="1:12">
      <c r="A829" s="30"/>
      <c r="B829" s="65"/>
      <c r="C829" s="65"/>
      <c r="D829" s="112"/>
      <c r="E829" s="30"/>
      <c r="F829" s="30"/>
      <c r="G829" s="30"/>
      <c r="H829" s="66"/>
      <c r="I829" s="30"/>
      <c r="J829" s="30"/>
      <c r="K829" s="12"/>
      <c r="L829" s="12"/>
    </row>
    <row r="830" spans="1:12">
      <c r="A830" s="30"/>
      <c r="B830" s="65"/>
      <c r="C830" s="65"/>
      <c r="D830" s="112"/>
      <c r="E830" s="30"/>
      <c r="F830" s="30"/>
      <c r="G830" s="30"/>
      <c r="H830" s="66"/>
      <c r="I830" s="30"/>
      <c r="J830" s="30"/>
      <c r="K830" s="12"/>
      <c r="L830" s="12"/>
    </row>
    <row r="831" spans="1:12">
      <c r="A831" s="30"/>
      <c r="B831" s="65"/>
      <c r="C831" s="65"/>
      <c r="D831" s="112"/>
      <c r="E831" s="30"/>
      <c r="F831" s="30"/>
      <c r="G831" s="30"/>
      <c r="H831" s="66"/>
      <c r="I831" s="30"/>
      <c r="J831" s="30"/>
      <c r="K831" s="12"/>
      <c r="L831" s="12"/>
    </row>
    <row r="832" spans="1:12">
      <c r="A832" s="30"/>
      <c r="B832" s="65"/>
      <c r="C832" s="65"/>
      <c r="D832" s="112"/>
      <c r="E832" s="30"/>
      <c r="F832" s="30"/>
      <c r="G832" s="30"/>
      <c r="H832" s="66"/>
      <c r="I832" s="30"/>
      <c r="J832" s="30"/>
      <c r="K832" s="12"/>
      <c r="L832" s="12"/>
    </row>
    <row r="833" spans="1:12">
      <c r="A833" s="30"/>
      <c r="B833" s="65"/>
      <c r="C833" s="65"/>
      <c r="D833" s="112"/>
      <c r="E833" s="30"/>
      <c r="F833" s="30"/>
      <c r="G833" s="30"/>
      <c r="H833" s="66"/>
      <c r="I833" s="30"/>
      <c r="J833" s="30"/>
      <c r="K833" s="12"/>
      <c r="L833" s="12"/>
    </row>
    <row r="834" spans="1:12">
      <c r="A834" s="30"/>
      <c r="B834" s="65"/>
      <c r="C834" s="65"/>
      <c r="D834" s="112"/>
      <c r="E834" s="30"/>
      <c r="F834" s="30"/>
      <c r="G834" s="30"/>
      <c r="H834" s="66"/>
      <c r="I834" s="30"/>
      <c r="J834" s="30"/>
      <c r="K834" s="12"/>
      <c r="L834" s="12"/>
    </row>
    <row r="835" spans="1:12">
      <c r="A835" s="30"/>
      <c r="B835" s="65"/>
      <c r="C835" s="65"/>
      <c r="D835" s="112"/>
      <c r="E835" s="30"/>
      <c r="F835" s="30"/>
      <c r="G835" s="30"/>
      <c r="H835" s="66"/>
      <c r="I835" s="30"/>
      <c r="J835" s="30"/>
      <c r="K835" s="12"/>
      <c r="L835" s="12"/>
    </row>
    <row r="836" spans="1:12">
      <c r="A836" s="30"/>
      <c r="B836" s="65"/>
      <c r="C836" s="65"/>
      <c r="D836" s="112"/>
      <c r="E836" s="30"/>
      <c r="F836" s="30"/>
      <c r="G836" s="30"/>
      <c r="H836" s="66"/>
      <c r="I836" s="30"/>
      <c r="J836" s="30"/>
      <c r="K836" s="12"/>
      <c r="L836" s="12"/>
    </row>
    <row r="837" spans="1:12">
      <c r="A837" s="30"/>
      <c r="B837" s="65"/>
      <c r="C837" s="65"/>
      <c r="D837" s="112"/>
      <c r="E837" s="30"/>
      <c r="F837" s="30"/>
      <c r="G837" s="30"/>
      <c r="H837" s="66"/>
      <c r="I837" s="30"/>
      <c r="J837" s="30"/>
      <c r="K837" s="12"/>
      <c r="L837" s="12"/>
    </row>
    <row r="838" spans="1:12">
      <c r="A838" s="30"/>
      <c r="B838" s="65"/>
      <c r="C838" s="65"/>
      <c r="D838" s="112"/>
      <c r="E838" s="30"/>
      <c r="F838" s="30"/>
      <c r="G838" s="30"/>
      <c r="H838" s="66"/>
      <c r="I838" s="30"/>
      <c r="J838" s="30"/>
      <c r="K838" s="12"/>
      <c r="L838" s="12"/>
    </row>
    <row r="839" spans="1:12">
      <c r="A839" s="30"/>
      <c r="B839" s="65"/>
      <c r="C839" s="65"/>
      <c r="D839" s="112"/>
      <c r="E839" s="30"/>
      <c r="F839" s="30"/>
      <c r="G839" s="30"/>
      <c r="H839" s="66"/>
      <c r="I839" s="30"/>
      <c r="J839" s="30"/>
      <c r="K839" s="12"/>
      <c r="L839" s="12"/>
    </row>
    <row r="840" spans="1:12">
      <c r="A840" s="30"/>
      <c r="B840" s="65"/>
      <c r="C840" s="65"/>
      <c r="D840" s="112"/>
      <c r="E840" s="30"/>
      <c r="F840" s="30"/>
      <c r="G840" s="30"/>
      <c r="H840" s="66"/>
      <c r="I840" s="30"/>
      <c r="J840" s="30"/>
      <c r="K840" s="12"/>
      <c r="L840" s="12"/>
    </row>
    <row r="841" spans="1:12">
      <c r="A841" s="30"/>
      <c r="B841" s="65"/>
      <c r="C841" s="65"/>
      <c r="D841" s="112"/>
      <c r="E841" s="30"/>
      <c r="F841" s="30"/>
      <c r="G841" s="30"/>
      <c r="H841" s="66"/>
      <c r="I841" s="30"/>
      <c r="J841" s="30"/>
      <c r="K841" s="12"/>
      <c r="L841" s="12"/>
    </row>
    <row r="842" spans="1:12">
      <c r="A842" s="30"/>
      <c r="B842" s="65"/>
      <c r="C842" s="65"/>
      <c r="D842" s="112"/>
      <c r="E842" s="30"/>
      <c r="F842" s="30"/>
      <c r="G842" s="30"/>
      <c r="H842" s="66"/>
      <c r="I842" s="30"/>
      <c r="J842" s="30"/>
      <c r="K842" s="12"/>
      <c r="L842" s="12"/>
    </row>
    <row r="843" spans="1:12">
      <c r="A843" s="30"/>
      <c r="B843" s="65"/>
      <c r="C843" s="65"/>
      <c r="D843" s="112"/>
      <c r="E843" s="30"/>
      <c r="F843" s="30"/>
      <c r="G843" s="30"/>
      <c r="H843" s="66"/>
      <c r="I843" s="30"/>
      <c r="J843" s="30"/>
      <c r="K843" s="12"/>
      <c r="L843" s="12"/>
    </row>
    <row r="844" spans="1:12">
      <c r="A844" s="30"/>
      <c r="B844" s="65"/>
      <c r="C844" s="65"/>
      <c r="D844" s="112"/>
      <c r="E844" s="30"/>
      <c r="F844" s="30"/>
      <c r="G844" s="30"/>
      <c r="H844" s="66"/>
      <c r="I844" s="30"/>
      <c r="J844" s="30"/>
      <c r="K844" s="12"/>
      <c r="L844" s="12"/>
    </row>
    <row r="845" spans="1:12">
      <c r="A845" s="30"/>
      <c r="B845" s="65"/>
      <c r="C845" s="65"/>
      <c r="D845" s="112"/>
      <c r="E845" s="30"/>
      <c r="F845" s="30"/>
      <c r="G845" s="30"/>
      <c r="H845" s="66"/>
      <c r="I845" s="30"/>
      <c r="J845" s="30"/>
      <c r="K845" s="12"/>
      <c r="L845" s="12"/>
    </row>
    <row r="846" spans="1:12">
      <c r="A846" s="30"/>
      <c r="B846" s="65"/>
      <c r="C846" s="65"/>
      <c r="D846" s="112"/>
      <c r="E846" s="30"/>
      <c r="F846" s="30"/>
      <c r="G846" s="30"/>
      <c r="H846" s="66"/>
      <c r="I846" s="30"/>
      <c r="J846" s="30"/>
      <c r="K846" s="12"/>
      <c r="L846" s="12"/>
    </row>
    <row r="847" spans="1:12">
      <c r="A847" s="30"/>
      <c r="B847" s="65"/>
      <c r="C847" s="65"/>
      <c r="D847" s="112"/>
      <c r="E847" s="30"/>
      <c r="F847" s="30"/>
      <c r="G847" s="30"/>
      <c r="H847" s="66"/>
      <c r="I847" s="30"/>
      <c r="J847" s="30"/>
      <c r="K847" s="12"/>
      <c r="L847" s="12"/>
    </row>
    <row r="848" spans="1:12">
      <c r="A848" s="30"/>
      <c r="B848" s="65"/>
      <c r="C848" s="65"/>
      <c r="D848" s="112"/>
      <c r="E848" s="30"/>
      <c r="F848" s="30"/>
      <c r="G848" s="30"/>
      <c r="H848" s="66"/>
      <c r="I848" s="30"/>
      <c r="J848" s="30"/>
      <c r="K848" s="12"/>
      <c r="L848" s="12"/>
    </row>
    <row r="849" spans="1:12">
      <c r="A849" s="30"/>
      <c r="B849" s="65"/>
      <c r="C849" s="65"/>
      <c r="D849" s="112"/>
      <c r="E849" s="30"/>
      <c r="F849" s="30"/>
      <c r="G849" s="30"/>
      <c r="H849" s="66"/>
      <c r="I849" s="30"/>
      <c r="J849" s="30"/>
      <c r="K849" s="12"/>
      <c r="L849" s="12"/>
    </row>
    <row r="850" spans="1:12">
      <c r="A850" s="30"/>
      <c r="B850" s="65"/>
      <c r="C850" s="65"/>
      <c r="D850" s="112"/>
      <c r="E850" s="30"/>
      <c r="F850" s="30"/>
      <c r="G850" s="30"/>
      <c r="H850" s="66"/>
      <c r="I850" s="30"/>
      <c r="J850" s="30"/>
      <c r="K850" s="12"/>
      <c r="L850" s="12"/>
    </row>
    <row r="851" spans="1:12">
      <c r="A851" s="30"/>
      <c r="B851" s="65"/>
      <c r="C851" s="65"/>
      <c r="D851" s="112"/>
      <c r="E851" s="30"/>
      <c r="F851" s="30"/>
      <c r="G851" s="30"/>
      <c r="H851" s="66"/>
      <c r="I851" s="30"/>
      <c r="J851" s="30"/>
      <c r="K851" s="12"/>
      <c r="L851" s="12"/>
    </row>
    <row r="852" spans="1:12">
      <c r="A852" s="30"/>
      <c r="B852" s="65"/>
      <c r="C852" s="65"/>
      <c r="D852" s="112"/>
      <c r="E852" s="30"/>
      <c r="F852" s="30"/>
      <c r="G852" s="30"/>
      <c r="H852" s="66"/>
      <c r="I852" s="30"/>
      <c r="J852" s="30"/>
      <c r="K852" s="12"/>
      <c r="L852" s="12"/>
    </row>
    <row r="853" spans="1:12">
      <c r="A853" s="30"/>
      <c r="B853" s="65"/>
      <c r="C853" s="65"/>
      <c r="D853" s="112"/>
      <c r="E853" s="30"/>
      <c r="F853" s="30"/>
      <c r="G853" s="30"/>
      <c r="H853" s="66"/>
      <c r="I853" s="30"/>
      <c r="J853" s="30"/>
      <c r="K853" s="12"/>
      <c r="L853" s="12"/>
    </row>
    <row r="854" spans="1:12">
      <c r="A854" s="30"/>
      <c r="B854" s="65"/>
      <c r="C854" s="65"/>
      <c r="D854" s="112"/>
      <c r="E854" s="30"/>
      <c r="F854" s="30"/>
      <c r="G854" s="30"/>
      <c r="H854" s="66"/>
      <c r="I854" s="30"/>
      <c r="J854" s="30"/>
      <c r="K854" s="12"/>
      <c r="L854" s="12"/>
    </row>
    <row r="855" spans="1:12">
      <c r="A855" s="30"/>
      <c r="B855" s="65"/>
      <c r="C855" s="65"/>
      <c r="D855" s="112"/>
      <c r="E855" s="30"/>
      <c r="F855" s="30"/>
      <c r="G855" s="30"/>
      <c r="H855" s="66"/>
      <c r="I855" s="30"/>
      <c r="J855" s="30"/>
      <c r="K855" s="12"/>
      <c r="L855" s="12"/>
    </row>
    <row r="856" spans="1:12">
      <c r="A856" s="30"/>
      <c r="B856" s="65"/>
      <c r="C856" s="65"/>
      <c r="D856" s="112"/>
      <c r="E856" s="30"/>
      <c r="F856" s="30"/>
      <c r="G856" s="30"/>
      <c r="H856" s="66"/>
      <c r="I856" s="30"/>
      <c r="J856" s="30"/>
      <c r="K856" s="12"/>
      <c r="L856" s="12"/>
    </row>
    <row r="857" spans="1:12">
      <c r="A857" s="30"/>
      <c r="B857" s="65"/>
      <c r="C857" s="65"/>
      <c r="D857" s="112"/>
      <c r="E857" s="30"/>
      <c r="F857" s="30"/>
      <c r="G857" s="30"/>
      <c r="H857" s="66"/>
      <c r="I857" s="30"/>
      <c r="J857" s="30"/>
      <c r="K857" s="12"/>
      <c r="L857" s="12"/>
    </row>
    <row r="858" spans="1:12">
      <c r="A858" s="30"/>
      <c r="B858" s="65"/>
      <c r="C858" s="65"/>
      <c r="D858" s="112"/>
      <c r="E858" s="30"/>
      <c r="F858" s="30"/>
      <c r="G858" s="30"/>
      <c r="H858" s="66"/>
      <c r="I858" s="30"/>
      <c r="J858" s="30"/>
      <c r="K858" s="12"/>
      <c r="L858" s="12"/>
    </row>
    <row r="859" spans="1:12">
      <c r="A859" s="30"/>
      <c r="B859" s="65"/>
      <c r="C859" s="65"/>
      <c r="D859" s="112"/>
      <c r="E859" s="30"/>
      <c r="F859" s="30"/>
      <c r="G859" s="30"/>
      <c r="H859" s="66"/>
      <c r="I859" s="30"/>
      <c r="J859" s="30"/>
      <c r="K859" s="12"/>
      <c r="L859" s="12"/>
    </row>
    <row r="860" spans="1:12">
      <c r="A860" s="30"/>
      <c r="B860" s="65"/>
      <c r="C860" s="65"/>
      <c r="D860" s="112"/>
      <c r="E860" s="30"/>
      <c r="F860" s="30"/>
      <c r="G860" s="30"/>
      <c r="H860" s="66"/>
      <c r="I860" s="30"/>
      <c r="J860" s="30"/>
      <c r="K860" s="12"/>
      <c r="L860" s="12"/>
    </row>
    <row r="861" spans="1:12">
      <c r="A861" s="30"/>
      <c r="B861" s="65"/>
      <c r="C861" s="65"/>
      <c r="D861" s="112"/>
      <c r="E861" s="30"/>
      <c r="F861" s="30"/>
      <c r="G861" s="30"/>
      <c r="H861" s="66"/>
      <c r="I861" s="30"/>
      <c r="J861" s="30"/>
      <c r="K861" s="12"/>
      <c r="L861" s="12"/>
    </row>
    <row r="862" spans="1:12">
      <c r="A862" s="30"/>
      <c r="B862" s="65"/>
      <c r="C862" s="65"/>
      <c r="D862" s="112"/>
      <c r="E862" s="30"/>
      <c r="F862" s="30"/>
      <c r="G862" s="30"/>
      <c r="H862" s="66"/>
      <c r="I862" s="30"/>
      <c r="J862" s="30"/>
      <c r="K862" s="12"/>
      <c r="L862" s="12"/>
    </row>
    <row r="863" spans="1:12">
      <c r="A863" s="30"/>
      <c r="B863" s="65"/>
      <c r="C863" s="65"/>
      <c r="D863" s="112"/>
      <c r="E863" s="30"/>
      <c r="F863" s="30"/>
      <c r="G863" s="30"/>
      <c r="H863" s="66"/>
      <c r="I863" s="30"/>
      <c r="J863" s="30"/>
      <c r="K863" s="12"/>
      <c r="L863" s="12"/>
    </row>
    <row r="864" spans="1:12">
      <c r="A864" s="30"/>
      <c r="B864" s="65"/>
      <c r="C864" s="65"/>
      <c r="D864" s="112"/>
      <c r="E864" s="30"/>
      <c r="F864" s="30"/>
      <c r="G864" s="30"/>
      <c r="H864" s="66"/>
      <c r="I864" s="30"/>
      <c r="J864" s="30"/>
      <c r="K864" s="12"/>
      <c r="L864" s="12"/>
    </row>
    <row r="865" spans="1:12">
      <c r="A865" s="30"/>
      <c r="B865" s="65"/>
      <c r="C865" s="65"/>
      <c r="D865" s="112"/>
      <c r="E865" s="30"/>
      <c r="F865" s="30"/>
      <c r="G865" s="30"/>
      <c r="H865" s="66"/>
      <c r="I865" s="30"/>
      <c r="J865" s="30"/>
      <c r="K865" s="12"/>
      <c r="L865" s="12"/>
    </row>
    <row r="866" spans="1:12">
      <c r="A866" s="30"/>
      <c r="B866" s="65"/>
      <c r="C866" s="65"/>
      <c r="D866" s="112"/>
      <c r="E866" s="30"/>
      <c r="F866" s="30"/>
      <c r="G866" s="30"/>
      <c r="H866" s="66"/>
      <c r="I866" s="30"/>
      <c r="J866" s="30"/>
      <c r="K866" s="12"/>
      <c r="L866" s="12"/>
    </row>
    <row r="867" spans="1:12">
      <c r="A867" s="30"/>
      <c r="B867" s="65"/>
      <c r="C867" s="65"/>
      <c r="D867" s="112"/>
      <c r="E867" s="30"/>
      <c r="F867" s="30"/>
      <c r="G867" s="30"/>
      <c r="H867" s="66"/>
      <c r="I867" s="30"/>
      <c r="J867" s="30"/>
      <c r="K867" s="12"/>
      <c r="L867" s="12"/>
    </row>
    <row r="868" spans="1:12">
      <c r="A868" s="30"/>
      <c r="B868" s="65"/>
      <c r="C868" s="65"/>
      <c r="D868" s="112"/>
      <c r="E868" s="30"/>
      <c r="F868" s="30"/>
      <c r="G868" s="30"/>
      <c r="H868" s="66"/>
      <c r="I868" s="30"/>
      <c r="J868" s="30"/>
      <c r="K868" s="12"/>
      <c r="L868" s="12"/>
    </row>
    <row r="869" spans="1:12">
      <c r="A869" s="30"/>
      <c r="B869" s="65"/>
      <c r="C869" s="65"/>
      <c r="D869" s="112"/>
      <c r="E869" s="30"/>
      <c r="F869" s="30"/>
      <c r="G869" s="30"/>
      <c r="H869" s="66"/>
      <c r="I869" s="30"/>
      <c r="J869" s="30"/>
      <c r="K869" s="12"/>
      <c r="L869" s="12"/>
    </row>
    <row r="870" spans="1:12">
      <c r="A870" s="30"/>
      <c r="B870" s="65"/>
      <c r="C870" s="65"/>
      <c r="D870" s="112"/>
      <c r="E870" s="30"/>
      <c r="F870" s="30"/>
      <c r="G870" s="30"/>
      <c r="H870" s="66"/>
      <c r="I870" s="30"/>
      <c r="J870" s="30"/>
      <c r="K870" s="12"/>
      <c r="L870" s="12"/>
    </row>
    <row r="871" spans="1:12">
      <c r="A871" s="30"/>
      <c r="B871" s="65"/>
      <c r="C871" s="65"/>
      <c r="D871" s="112"/>
      <c r="E871" s="30"/>
      <c r="F871" s="30"/>
      <c r="G871" s="30"/>
      <c r="H871" s="66"/>
      <c r="I871" s="30"/>
      <c r="J871" s="30"/>
      <c r="K871" s="12"/>
      <c r="L871" s="12"/>
    </row>
    <row r="872" spans="1:12">
      <c r="A872" s="30"/>
      <c r="B872" s="65"/>
      <c r="C872" s="65"/>
      <c r="D872" s="112"/>
      <c r="E872" s="30"/>
      <c r="F872" s="30"/>
      <c r="G872" s="30"/>
      <c r="H872" s="66"/>
      <c r="I872" s="30"/>
      <c r="J872" s="30"/>
      <c r="K872" s="12"/>
      <c r="L872" s="12"/>
    </row>
    <row r="873" spans="1:12">
      <c r="A873" s="30"/>
      <c r="B873" s="65"/>
      <c r="C873" s="65"/>
      <c r="D873" s="112"/>
      <c r="E873" s="30"/>
      <c r="F873" s="30"/>
      <c r="G873" s="30"/>
      <c r="H873" s="66"/>
      <c r="I873" s="30"/>
      <c r="J873" s="30"/>
      <c r="K873" s="12"/>
      <c r="L873" s="12"/>
    </row>
    <row r="874" spans="1:12">
      <c r="A874" s="30"/>
      <c r="B874" s="65"/>
      <c r="C874" s="65"/>
      <c r="D874" s="112"/>
      <c r="E874" s="30"/>
      <c r="F874" s="30"/>
      <c r="G874" s="30"/>
      <c r="H874" s="66"/>
      <c r="I874" s="30"/>
      <c r="J874" s="30"/>
      <c r="K874" s="12"/>
      <c r="L874" s="12"/>
    </row>
    <row r="875" spans="1:12">
      <c r="A875" s="30"/>
      <c r="B875" s="65"/>
      <c r="C875" s="65"/>
      <c r="D875" s="112"/>
      <c r="E875" s="30"/>
      <c r="F875" s="30"/>
      <c r="G875" s="30"/>
      <c r="H875" s="66"/>
      <c r="I875" s="30"/>
      <c r="J875" s="30"/>
      <c r="K875" s="12"/>
      <c r="L875" s="12"/>
    </row>
    <row r="876" spans="1:12">
      <c r="A876" s="30"/>
      <c r="B876" s="65"/>
      <c r="C876" s="65"/>
      <c r="D876" s="112"/>
      <c r="E876" s="30"/>
      <c r="F876" s="30"/>
      <c r="G876" s="30"/>
      <c r="H876" s="66"/>
      <c r="I876" s="30"/>
      <c r="J876" s="30"/>
      <c r="K876" s="12"/>
      <c r="L876" s="12"/>
    </row>
    <row r="877" spans="1:12">
      <c r="A877" s="30"/>
      <c r="B877" s="65"/>
      <c r="C877" s="65"/>
      <c r="D877" s="112"/>
      <c r="E877" s="30"/>
      <c r="F877" s="30"/>
      <c r="G877" s="30"/>
      <c r="H877" s="66"/>
      <c r="I877" s="30"/>
      <c r="J877" s="30"/>
      <c r="K877" s="12"/>
      <c r="L877" s="12"/>
    </row>
    <row r="878" spans="1:12">
      <c r="A878" s="30"/>
      <c r="B878" s="65"/>
      <c r="C878" s="65"/>
      <c r="D878" s="112"/>
      <c r="E878" s="30"/>
      <c r="F878" s="30"/>
      <c r="G878" s="30"/>
      <c r="H878" s="66"/>
      <c r="I878" s="30"/>
      <c r="J878" s="30"/>
      <c r="K878" s="12"/>
      <c r="L878" s="12"/>
    </row>
    <row r="879" spans="1:12">
      <c r="A879" s="30"/>
      <c r="B879" s="65"/>
      <c r="C879" s="65"/>
      <c r="D879" s="112"/>
      <c r="E879" s="30"/>
      <c r="F879" s="30"/>
      <c r="G879" s="30"/>
      <c r="H879" s="66"/>
      <c r="I879" s="30"/>
      <c r="J879" s="30"/>
      <c r="K879" s="12"/>
      <c r="L879" s="12"/>
    </row>
    <row r="880" spans="1:12">
      <c r="A880" s="30"/>
      <c r="B880" s="65"/>
      <c r="C880" s="65"/>
      <c r="D880" s="112"/>
      <c r="E880" s="30"/>
      <c r="F880" s="30"/>
      <c r="G880" s="30"/>
      <c r="H880" s="66"/>
      <c r="I880" s="30"/>
      <c r="J880" s="30"/>
      <c r="K880" s="12"/>
      <c r="L880" s="12"/>
    </row>
    <row r="881" spans="1:12">
      <c r="A881" s="30"/>
      <c r="B881" s="65"/>
      <c r="C881" s="65"/>
      <c r="D881" s="112"/>
      <c r="E881" s="30"/>
      <c r="F881" s="30"/>
      <c r="G881" s="30"/>
      <c r="H881" s="66"/>
      <c r="I881" s="30"/>
      <c r="J881" s="30"/>
      <c r="K881" s="12"/>
      <c r="L881" s="12"/>
    </row>
    <row r="882" spans="1:12">
      <c r="A882" s="30"/>
      <c r="B882" s="65"/>
      <c r="C882" s="65"/>
      <c r="D882" s="112"/>
      <c r="E882" s="30"/>
      <c r="F882" s="30"/>
      <c r="G882" s="30"/>
      <c r="H882" s="66"/>
      <c r="I882" s="30"/>
      <c r="J882" s="30"/>
      <c r="K882" s="12"/>
      <c r="L882" s="12"/>
    </row>
    <row r="883" spans="1:12">
      <c r="A883" s="30"/>
      <c r="B883" s="65"/>
      <c r="C883" s="65"/>
      <c r="D883" s="112"/>
      <c r="E883" s="30"/>
      <c r="F883" s="30"/>
      <c r="G883" s="30"/>
      <c r="H883" s="66"/>
      <c r="I883" s="30"/>
      <c r="J883" s="30"/>
      <c r="K883" s="12"/>
      <c r="L883" s="12"/>
    </row>
    <row r="884" spans="1:12">
      <c r="A884" s="30"/>
      <c r="B884" s="65"/>
      <c r="C884" s="65"/>
      <c r="D884" s="112"/>
      <c r="E884" s="30"/>
      <c r="F884" s="30"/>
      <c r="G884" s="30"/>
      <c r="H884" s="66"/>
      <c r="I884" s="30"/>
      <c r="J884" s="30"/>
      <c r="K884" s="12"/>
      <c r="L884" s="12"/>
    </row>
    <row r="885" spans="1:12">
      <c r="A885" s="30"/>
      <c r="B885" s="65"/>
      <c r="C885" s="65"/>
      <c r="D885" s="112"/>
      <c r="E885" s="30"/>
      <c r="F885" s="30"/>
      <c r="G885" s="30"/>
      <c r="H885" s="66"/>
      <c r="I885" s="30"/>
      <c r="J885" s="30"/>
      <c r="K885" s="12"/>
      <c r="L885" s="12"/>
    </row>
    <row r="886" spans="1:12">
      <c r="A886" s="30"/>
      <c r="B886" s="65"/>
      <c r="C886" s="65"/>
      <c r="D886" s="112"/>
      <c r="E886" s="30"/>
      <c r="F886" s="30"/>
      <c r="G886" s="30"/>
      <c r="H886" s="66"/>
      <c r="I886" s="30"/>
      <c r="J886" s="30"/>
      <c r="K886" s="12"/>
      <c r="L886" s="12"/>
    </row>
    <row r="887" spans="1:12">
      <c r="A887" s="30"/>
      <c r="B887" s="65"/>
      <c r="C887" s="65"/>
      <c r="D887" s="112"/>
      <c r="E887" s="30"/>
      <c r="F887" s="30"/>
      <c r="G887" s="30"/>
      <c r="H887" s="66"/>
      <c r="I887" s="30"/>
      <c r="J887" s="30"/>
      <c r="K887" s="12"/>
      <c r="L887" s="12"/>
    </row>
    <row r="888" spans="1:12">
      <c r="A888" s="30"/>
      <c r="B888" s="65"/>
      <c r="C888" s="65"/>
      <c r="D888" s="112"/>
      <c r="E888" s="30"/>
      <c r="F888" s="30"/>
      <c r="G888" s="30"/>
      <c r="H888" s="66"/>
      <c r="I888" s="30"/>
      <c r="J888" s="30"/>
      <c r="K888" s="12"/>
      <c r="L888" s="12"/>
    </row>
    <row r="889" spans="1:12">
      <c r="A889" s="30"/>
      <c r="B889" s="65"/>
      <c r="C889" s="65"/>
      <c r="D889" s="112"/>
      <c r="E889" s="30"/>
      <c r="F889" s="30"/>
      <c r="G889" s="30"/>
      <c r="H889" s="66"/>
      <c r="I889" s="30"/>
      <c r="J889" s="30"/>
      <c r="K889" s="12"/>
      <c r="L889" s="12"/>
    </row>
    <row r="890" spans="1:12">
      <c r="A890" s="30"/>
      <c r="B890" s="65"/>
      <c r="C890" s="65"/>
      <c r="D890" s="112"/>
      <c r="E890" s="30"/>
      <c r="F890" s="30"/>
      <c r="G890" s="30"/>
      <c r="H890" s="66"/>
      <c r="I890" s="30"/>
      <c r="J890" s="30"/>
      <c r="K890" s="12"/>
      <c r="L890" s="12"/>
    </row>
    <row r="891" spans="1:12">
      <c r="A891" s="30"/>
      <c r="B891" s="65"/>
      <c r="C891" s="65"/>
      <c r="D891" s="112"/>
      <c r="E891" s="30"/>
      <c r="F891" s="30"/>
      <c r="G891" s="30"/>
      <c r="H891" s="66"/>
      <c r="I891" s="30"/>
      <c r="J891" s="30"/>
      <c r="K891" s="12"/>
      <c r="L891" s="12"/>
    </row>
    <row r="892" spans="1:12">
      <c r="A892" s="30"/>
      <c r="B892" s="65"/>
      <c r="C892" s="65"/>
      <c r="D892" s="112"/>
      <c r="E892" s="30"/>
      <c r="F892" s="30"/>
      <c r="G892" s="30"/>
      <c r="H892" s="66"/>
      <c r="I892" s="30"/>
      <c r="J892" s="30"/>
      <c r="K892" s="12"/>
      <c r="L892" s="12"/>
    </row>
    <row r="893" spans="1:12">
      <c r="A893" s="30"/>
      <c r="B893" s="65"/>
      <c r="C893" s="65"/>
      <c r="D893" s="112"/>
      <c r="E893" s="30"/>
      <c r="F893" s="30"/>
      <c r="G893" s="30"/>
      <c r="H893" s="66"/>
      <c r="I893" s="30"/>
      <c r="J893" s="30"/>
      <c r="K893" s="12"/>
      <c r="L893" s="12"/>
    </row>
    <row r="894" spans="1:12">
      <c r="A894" s="30"/>
      <c r="B894" s="65"/>
      <c r="C894" s="65"/>
      <c r="D894" s="112"/>
      <c r="E894" s="30"/>
      <c r="F894" s="30"/>
      <c r="G894" s="30"/>
      <c r="H894" s="66"/>
      <c r="I894" s="30"/>
      <c r="J894" s="30"/>
      <c r="K894" s="12"/>
      <c r="L894" s="12"/>
    </row>
    <row r="895" spans="1:12">
      <c r="A895" s="30"/>
      <c r="B895" s="65"/>
      <c r="C895" s="65"/>
      <c r="D895" s="112"/>
      <c r="E895" s="30"/>
      <c r="F895" s="30"/>
      <c r="G895" s="30"/>
      <c r="H895" s="66"/>
      <c r="I895" s="30"/>
      <c r="J895" s="30"/>
      <c r="K895" s="12"/>
      <c r="L895" s="12"/>
    </row>
    <row r="896" spans="1:12">
      <c r="A896" s="30"/>
      <c r="B896" s="65"/>
      <c r="C896" s="65"/>
      <c r="D896" s="112"/>
      <c r="E896" s="30"/>
      <c r="F896" s="30"/>
      <c r="G896" s="30"/>
      <c r="H896" s="66"/>
      <c r="I896" s="30"/>
      <c r="J896" s="30"/>
      <c r="K896" s="12"/>
      <c r="L896" s="12"/>
    </row>
    <row r="897" spans="1:12">
      <c r="A897" s="30"/>
      <c r="B897" s="65"/>
      <c r="C897" s="65"/>
      <c r="D897" s="112"/>
      <c r="E897" s="30"/>
      <c r="F897" s="30"/>
      <c r="G897" s="30"/>
      <c r="H897" s="66"/>
      <c r="I897" s="30"/>
      <c r="J897" s="30"/>
      <c r="K897" s="12"/>
      <c r="L897" s="12"/>
    </row>
    <row r="898" spans="1:12">
      <c r="A898" s="30"/>
      <c r="B898" s="65"/>
      <c r="C898" s="65"/>
      <c r="D898" s="112"/>
      <c r="E898" s="30"/>
      <c r="F898" s="30"/>
      <c r="G898" s="30"/>
      <c r="H898" s="66"/>
      <c r="I898" s="30"/>
      <c r="J898" s="30"/>
      <c r="K898" s="12"/>
      <c r="L898" s="12"/>
    </row>
    <row r="899" spans="1:12">
      <c r="A899" s="30"/>
      <c r="B899" s="65"/>
      <c r="C899" s="65"/>
      <c r="D899" s="112"/>
      <c r="E899" s="30"/>
      <c r="F899" s="30"/>
      <c r="G899" s="30"/>
      <c r="H899" s="66"/>
      <c r="I899" s="30"/>
      <c r="J899" s="30"/>
      <c r="K899" s="12"/>
      <c r="L899" s="12"/>
    </row>
    <row r="900" spans="1:12">
      <c r="A900" s="30"/>
      <c r="B900" s="65"/>
      <c r="C900" s="65"/>
      <c r="D900" s="112"/>
      <c r="E900" s="30"/>
      <c r="F900" s="30"/>
      <c r="G900" s="30"/>
      <c r="H900" s="66"/>
      <c r="I900" s="30"/>
      <c r="J900" s="30"/>
      <c r="K900" s="12"/>
      <c r="L900" s="12"/>
    </row>
    <row r="901" spans="1:12">
      <c r="A901" s="30"/>
      <c r="B901" s="65"/>
      <c r="C901" s="65"/>
      <c r="D901" s="112"/>
      <c r="E901" s="30"/>
      <c r="F901" s="30"/>
      <c r="G901" s="30"/>
      <c r="H901" s="66"/>
      <c r="I901" s="30"/>
      <c r="J901" s="30"/>
      <c r="K901" s="12"/>
      <c r="L901" s="12"/>
    </row>
    <row r="902" spans="1:12">
      <c r="A902" s="30"/>
      <c r="B902" s="65"/>
      <c r="C902" s="65"/>
      <c r="D902" s="112"/>
      <c r="E902" s="30"/>
      <c r="F902" s="30"/>
      <c r="G902" s="30"/>
      <c r="H902" s="66"/>
      <c r="I902" s="30"/>
      <c r="J902" s="30"/>
      <c r="K902" s="12"/>
      <c r="L902" s="12"/>
    </row>
    <row r="903" spans="1:12">
      <c r="A903" s="30"/>
      <c r="B903" s="65"/>
      <c r="C903" s="65"/>
      <c r="D903" s="112"/>
      <c r="E903" s="30"/>
      <c r="F903" s="30"/>
      <c r="G903" s="30"/>
      <c r="H903" s="66"/>
      <c r="I903" s="30"/>
      <c r="J903" s="30"/>
      <c r="K903" s="12"/>
      <c r="L903" s="12"/>
    </row>
    <row r="904" spans="1:12">
      <c r="A904" s="30"/>
      <c r="B904" s="65"/>
      <c r="C904" s="65"/>
      <c r="D904" s="112"/>
      <c r="E904" s="30"/>
      <c r="F904" s="30"/>
      <c r="G904" s="30"/>
      <c r="H904" s="66"/>
      <c r="I904" s="30"/>
      <c r="J904" s="30"/>
      <c r="K904" s="12"/>
      <c r="L904" s="12"/>
    </row>
    <row r="905" spans="1:12">
      <c r="A905" s="30"/>
      <c r="B905" s="65"/>
      <c r="C905" s="65"/>
      <c r="D905" s="112"/>
      <c r="E905" s="30"/>
      <c r="F905" s="30"/>
      <c r="G905" s="30"/>
      <c r="H905" s="66"/>
      <c r="I905" s="30"/>
      <c r="J905" s="30"/>
      <c r="K905" s="12"/>
      <c r="L905" s="12"/>
    </row>
    <row r="906" spans="1:12">
      <c r="A906" s="30"/>
      <c r="B906" s="65"/>
      <c r="C906" s="65"/>
      <c r="D906" s="112"/>
      <c r="E906" s="30"/>
      <c r="F906" s="30"/>
      <c r="G906" s="30"/>
      <c r="H906" s="66"/>
      <c r="I906" s="30"/>
      <c r="J906" s="30"/>
      <c r="K906" s="12"/>
      <c r="L906" s="12"/>
    </row>
    <row r="907" spans="1:12">
      <c r="A907" s="30"/>
      <c r="B907" s="65"/>
      <c r="C907" s="65"/>
      <c r="D907" s="112"/>
      <c r="E907" s="30"/>
      <c r="F907" s="30"/>
      <c r="G907" s="30"/>
      <c r="H907" s="66"/>
      <c r="I907" s="30"/>
      <c r="J907" s="30"/>
      <c r="K907" s="12"/>
      <c r="L907" s="12"/>
    </row>
    <row r="908" spans="1:12">
      <c r="A908" s="30"/>
      <c r="B908" s="65"/>
      <c r="C908" s="65"/>
      <c r="D908" s="112"/>
      <c r="E908" s="30"/>
      <c r="F908" s="30"/>
      <c r="G908" s="30"/>
      <c r="H908" s="66"/>
      <c r="I908" s="30"/>
      <c r="J908" s="30"/>
      <c r="K908" s="12"/>
      <c r="L908" s="12"/>
    </row>
    <row r="909" spans="1:12">
      <c r="A909" s="30"/>
      <c r="B909" s="65"/>
      <c r="C909" s="65"/>
      <c r="D909" s="112"/>
      <c r="E909" s="30"/>
      <c r="F909" s="30"/>
      <c r="G909" s="30"/>
      <c r="H909" s="66"/>
      <c r="I909" s="30"/>
      <c r="J909" s="30"/>
      <c r="K909" s="12"/>
      <c r="L909" s="12"/>
    </row>
    <row r="910" spans="1:12">
      <c r="A910" s="30"/>
      <c r="B910" s="65"/>
      <c r="C910" s="65"/>
      <c r="D910" s="112"/>
      <c r="E910" s="30"/>
      <c r="F910" s="30"/>
      <c r="G910" s="30"/>
      <c r="H910" s="66"/>
      <c r="I910" s="30"/>
      <c r="J910" s="30"/>
      <c r="K910" s="12"/>
      <c r="L910" s="12"/>
    </row>
    <row r="911" spans="1:12">
      <c r="A911" s="30"/>
      <c r="B911" s="65"/>
      <c r="C911" s="65"/>
      <c r="D911" s="112"/>
      <c r="E911" s="30"/>
      <c r="F911" s="30"/>
      <c r="G911" s="30"/>
      <c r="H911" s="66"/>
      <c r="I911" s="30"/>
      <c r="J911" s="30"/>
      <c r="K911" s="12"/>
      <c r="L911" s="12"/>
    </row>
    <row r="912" spans="1:12">
      <c r="A912" s="30"/>
      <c r="B912" s="65"/>
      <c r="C912" s="65"/>
      <c r="D912" s="112"/>
      <c r="E912" s="30"/>
      <c r="F912" s="30"/>
      <c r="G912" s="30"/>
      <c r="H912" s="66"/>
      <c r="I912" s="30"/>
      <c r="J912" s="30"/>
      <c r="K912" s="12"/>
      <c r="L912" s="12"/>
    </row>
    <row r="913" spans="1:12">
      <c r="A913" s="30"/>
      <c r="B913" s="65"/>
      <c r="C913" s="65"/>
      <c r="D913" s="112"/>
      <c r="E913" s="30"/>
      <c r="F913" s="30"/>
      <c r="G913" s="30"/>
      <c r="H913" s="66"/>
      <c r="I913" s="30"/>
      <c r="J913" s="30"/>
      <c r="K913" s="12"/>
      <c r="L913" s="12"/>
    </row>
    <row r="914" spans="1:12">
      <c r="A914" s="30"/>
      <c r="B914" s="65"/>
      <c r="C914" s="65"/>
      <c r="D914" s="112"/>
      <c r="E914" s="30"/>
      <c r="F914" s="30"/>
      <c r="G914" s="30"/>
      <c r="H914" s="66"/>
      <c r="I914" s="30"/>
      <c r="J914" s="30"/>
      <c r="K914" s="12"/>
      <c r="L914" s="12"/>
    </row>
    <row r="915" spans="1:12">
      <c r="A915" s="30"/>
      <c r="B915" s="65"/>
      <c r="C915" s="65"/>
      <c r="D915" s="112"/>
      <c r="E915" s="30"/>
      <c r="F915" s="30"/>
      <c r="G915" s="30"/>
      <c r="H915" s="66"/>
      <c r="I915" s="30"/>
      <c r="J915" s="30"/>
      <c r="K915" s="12"/>
      <c r="L915" s="12"/>
    </row>
    <row r="916" spans="1:12">
      <c r="A916" s="30"/>
      <c r="B916" s="65"/>
      <c r="C916" s="65"/>
      <c r="D916" s="112"/>
      <c r="E916" s="30"/>
      <c r="F916" s="30"/>
      <c r="G916" s="30"/>
      <c r="H916" s="66"/>
      <c r="I916" s="30"/>
      <c r="J916" s="30"/>
      <c r="K916" s="12"/>
      <c r="L916" s="12"/>
    </row>
    <row r="917" spans="1:12">
      <c r="A917" s="30"/>
      <c r="B917" s="65"/>
      <c r="C917" s="65"/>
      <c r="D917" s="112"/>
      <c r="E917" s="30"/>
      <c r="F917" s="30"/>
      <c r="G917" s="30"/>
      <c r="H917" s="66"/>
      <c r="I917" s="30"/>
      <c r="J917" s="30"/>
      <c r="K917" s="12"/>
      <c r="L917" s="12"/>
    </row>
    <row r="918" spans="1:12">
      <c r="A918" s="30"/>
      <c r="B918" s="65"/>
      <c r="C918" s="65"/>
      <c r="D918" s="112"/>
      <c r="E918" s="30"/>
      <c r="F918" s="30"/>
      <c r="G918" s="30"/>
      <c r="H918" s="66"/>
      <c r="I918" s="30"/>
      <c r="J918" s="30"/>
      <c r="K918" s="12"/>
      <c r="L918" s="12"/>
    </row>
    <row r="919" spans="1:12">
      <c r="A919" s="30"/>
      <c r="B919" s="65"/>
      <c r="C919" s="65"/>
      <c r="D919" s="112"/>
      <c r="E919" s="30"/>
      <c r="F919" s="30"/>
      <c r="G919" s="30"/>
      <c r="H919" s="66"/>
      <c r="I919" s="30"/>
      <c r="J919" s="30"/>
      <c r="K919" s="12"/>
      <c r="L919" s="12"/>
    </row>
    <row r="920" spans="1:12">
      <c r="A920" s="30"/>
      <c r="B920" s="65"/>
      <c r="C920" s="65"/>
      <c r="D920" s="112"/>
      <c r="E920" s="30"/>
      <c r="F920" s="30"/>
      <c r="G920" s="30"/>
      <c r="H920" s="66"/>
      <c r="I920" s="30"/>
      <c r="J920" s="30"/>
      <c r="K920" s="12"/>
      <c r="L920" s="12"/>
    </row>
    <row r="921" spans="1:12">
      <c r="A921" s="30"/>
      <c r="B921" s="65"/>
      <c r="C921" s="65"/>
      <c r="D921" s="112"/>
      <c r="E921" s="30"/>
      <c r="F921" s="30"/>
      <c r="G921" s="30"/>
      <c r="H921" s="66"/>
      <c r="I921" s="30"/>
      <c r="J921" s="30"/>
      <c r="K921" s="12"/>
      <c r="L921" s="12"/>
    </row>
    <row r="922" spans="1:12">
      <c r="A922" s="30"/>
      <c r="B922" s="65"/>
      <c r="C922" s="65"/>
      <c r="D922" s="112"/>
      <c r="E922" s="30"/>
      <c r="F922" s="30"/>
      <c r="G922" s="30"/>
      <c r="H922" s="66"/>
      <c r="I922" s="30"/>
      <c r="J922" s="30"/>
      <c r="K922" s="12"/>
      <c r="L922" s="12"/>
    </row>
    <row r="923" spans="1:12">
      <c r="A923" s="30"/>
      <c r="B923" s="65"/>
      <c r="C923" s="65"/>
      <c r="D923" s="112"/>
      <c r="E923" s="30"/>
      <c r="F923" s="30"/>
      <c r="G923" s="30"/>
      <c r="H923" s="66"/>
      <c r="I923" s="30"/>
      <c r="J923" s="30"/>
      <c r="K923" s="12"/>
      <c r="L923" s="12"/>
    </row>
    <row r="924" spans="1:12">
      <c r="A924" s="30"/>
      <c r="B924" s="65"/>
      <c r="C924" s="65"/>
      <c r="D924" s="112"/>
      <c r="E924" s="30"/>
      <c r="F924" s="30"/>
      <c r="G924" s="30"/>
      <c r="H924" s="66"/>
      <c r="I924" s="30"/>
      <c r="J924" s="30"/>
      <c r="K924" s="12"/>
      <c r="L924" s="12"/>
    </row>
    <row r="925" spans="1:12">
      <c r="A925" s="30"/>
      <c r="B925" s="65"/>
      <c r="C925" s="65"/>
      <c r="D925" s="112"/>
      <c r="E925" s="30"/>
      <c r="F925" s="30"/>
      <c r="G925" s="30"/>
      <c r="H925" s="66"/>
      <c r="I925" s="30"/>
      <c r="J925" s="30"/>
      <c r="K925" s="12"/>
      <c r="L925" s="12"/>
    </row>
    <row r="926" spans="1:12">
      <c r="A926" s="30"/>
      <c r="B926" s="65"/>
      <c r="C926" s="65"/>
      <c r="D926" s="112"/>
      <c r="E926" s="30"/>
      <c r="F926" s="30"/>
      <c r="G926" s="30"/>
      <c r="H926" s="66"/>
      <c r="I926" s="30"/>
      <c r="J926" s="30"/>
      <c r="K926" s="12"/>
      <c r="L926" s="12"/>
    </row>
    <row r="927" spans="1:12">
      <c r="A927" s="30"/>
      <c r="B927" s="65"/>
      <c r="C927" s="65"/>
      <c r="D927" s="112"/>
      <c r="E927" s="30"/>
      <c r="F927" s="30"/>
      <c r="G927" s="30"/>
      <c r="H927" s="66"/>
      <c r="I927" s="30"/>
      <c r="J927" s="30"/>
      <c r="K927" s="12"/>
      <c r="L927" s="12"/>
    </row>
    <row r="928" spans="1:12">
      <c r="A928" s="30"/>
      <c r="B928" s="65"/>
      <c r="C928" s="65"/>
      <c r="D928" s="112"/>
      <c r="E928" s="30"/>
      <c r="F928" s="30"/>
      <c r="G928" s="30"/>
      <c r="H928" s="66"/>
      <c r="I928" s="30"/>
      <c r="J928" s="30"/>
      <c r="K928" s="12"/>
      <c r="L928" s="12"/>
    </row>
    <row r="929" spans="1:12">
      <c r="A929" s="30"/>
      <c r="B929" s="65"/>
      <c r="C929" s="65"/>
      <c r="D929" s="112"/>
      <c r="E929" s="30"/>
      <c r="F929" s="30"/>
      <c r="G929" s="30"/>
      <c r="H929" s="66"/>
      <c r="I929" s="30"/>
      <c r="J929" s="30"/>
      <c r="K929" s="12"/>
      <c r="L929" s="12"/>
    </row>
    <row r="930" spans="1:12">
      <c r="A930" s="30"/>
      <c r="B930" s="65"/>
      <c r="C930" s="65"/>
      <c r="D930" s="112"/>
      <c r="E930" s="30"/>
      <c r="F930" s="30"/>
      <c r="G930" s="30"/>
      <c r="H930" s="66"/>
      <c r="I930" s="30"/>
      <c r="J930" s="30"/>
      <c r="K930" s="12"/>
      <c r="L930" s="12"/>
    </row>
    <row r="931" spans="1:12">
      <c r="A931" s="30"/>
      <c r="B931" s="65"/>
      <c r="C931" s="65"/>
      <c r="D931" s="112"/>
      <c r="E931" s="30"/>
      <c r="F931" s="30"/>
      <c r="G931" s="30"/>
      <c r="H931" s="66"/>
      <c r="I931" s="30"/>
      <c r="J931" s="30"/>
      <c r="K931" s="12"/>
      <c r="L931" s="12"/>
    </row>
    <row r="932" spans="1:12">
      <c r="A932" s="30"/>
      <c r="B932" s="65"/>
      <c r="C932" s="65"/>
      <c r="D932" s="112"/>
      <c r="E932" s="30"/>
      <c r="F932" s="30"/>
      <c r="G932" s="30"/>
      <c r="H932" s="66"/>
      <c r="I932" s="30"/>
      <c r="J932" s="30"/>
      <c r="K932" s="12"/>
      <c r="L932" s="12"/>
    </row>
    <row r="933" spans="1:12">
      <c r="A933" s="30"/>
      <c r="B933" s="65"/>
      <c r="C933" s="65"/>
      <c r="D933" s="112"/>
      <c r="E933" s="30"/>
      <c r="F933" s="30"/>
      <c r="G933" s="30"/>
      <c r="H933" s="66"/>
      <c r="I933" s="30"/>
      <c r="J933" s="30"/>
      <c r="K933" s="12"/>
      <c r="L933" s="12"/>
    </row>
    <row r="934" spans="1:12">
      <c r="A934" s="30"/>
      <c r="B934" s="65"/>
      <c r="C934" s="65"/>
      <c r="D934" s="112"/>
      <c r="E934" s="30"/>
      <c r="F934" s="30"/>
      <c r="G934" s="30"/>
      <c r="H934" s="66"/>
      <c r="I934" s="30"/>
      <c r="J934" s="30"/>
      <c r="K934" s="12"/>
      <c r="L934" s="12"/>
    </row>
    <row r="935" spans="1:12">
      <c r="A935" s="30"/>
      <c r="B935" s="65"/>
      <c r="C935" s="65"/>
      <c r="D935" s="112"/>
      <c r="E935" s="30"/>
      <c r="F935" s="30"/>
      <c r="G935" s="30"/>
      <c r="H935" s="66"/>
      <c r="I935" s="30"/>
      <c r="J935" s="30"/>
      <c r="K935" s="12"/>
      <c r="L935" s="12"/>
    </row>
    <row r="936" spans="1:12">
      <c r="A936" s="30"/>
      <c r="B936" s="65"/>
      <c r="C936" s="65"/>
      <c r="D936" s="112"/>
      <c r="E936" s="30"/>
      <c r="F936" s="30"/>
      <c r="G936" s="30"/>
      <c r="H936" s="66"/>
      <c r="I936" s="30"/>
      <c r="J936" s="30"/>
      <c r="K936" s="12"/>
      <c r="L936" s="12"/>
    </row>
    <row r="937" spans="1:12">
      <c r="A937" s="30"/>
      <c r="B937" s="65"/>
      <c r="C937" s="65"/>
      <c r="D937" s="112"/>
      <c r="E937" s="30"/>
      <c r="F937" s="30"/>
      <c r="G937" s="30"/>
      <c r="H937" s="66"/>
      <c r="I937" s="30"/>
      <c r="J937" s="30"/>
      <c r="K937" s="12"/>
      <c r="L937" s="12"/>
    </row>
    <row r="938" spans="1:12">
      <c r="A938" s="30"/>
      <c r="B938" s="65"/>
      <c r="C938" s="65"/>
      <c r="D938" s="112"/>
      <c r="E938" s="30"/>
      <c r="F938" s="30"/>
      <c r="G938" s="30"/>
      <c r="H938" s="66"/>
      <c r="I938" s="30"/>
      <c r="J938" s="30"/>
      <c r="K938" s="12"/>
      <c r="L938" s="12"/>
    </row>
    <row r="939" spans="1:12">
      <c r="A939" s="30"/>
      <c r="B939" s="65"/>
      <c r="C939" s="65"/>
      <c r="D939" s="112"/>
      <c r="E939" s="30"/>
      <c r="F939" s="30"/>
      <c r="G939" s="30"/>
      <c r="H939" s="66"/>
      <c r="I939" s="30"/>
      <c r="J939" s="30"/>
      <c r="K939" s="12"/>
      <c r="L939" s="12"/>
    </row>
    <row r="940" spans="1:12">
      <c r="A940" s="30"/>
      <c r="B940" s="65"/>
      <c r="C940" s="65"/>
      <c r="D940" s="112"/>
      <c r="E940" s="30"/>
      <c r="F940" s="30"/>
      <c r="G940" s="30"/>
      <c r="H940" s="66"/>
      <c r="I940" s="30"/>
      <c r="J940" s="30"/>
      <c r="K940" s="12"/>
      <c r="L940" s="12"/>
    </row>
    <row r="941" spans="1:12">
      <c r="A941" s="30"/>
      <c r="B941" s="65"/>
      <c r="C941" s="65"/>
      <c r="D941" s="112"/>
      <c r="E941" s="30"/>
      <c r="F941" s="30"/>
      <c r="G941" s="30"/>
      <c r="H941" s="66"/>
      <c r="I941" s="30"/>
      <c r="J941" s="30"/>
      <c r="K941" s="12"/>
      <c r="L941" s="12"/>
    </row>
    <row r="942" spans="1:12">
      <c r="A942" s="30"/>
      <c r="B942" s="65"/>
      <c r="C942" s="65"/>
      <c r="D942" s="112"/>
      <c r="E942" s="30"/>
      <c r="F942" s="30"/>
      <c r="G942" s="30"/>
      <c r="H942" s="66"/>
      <c r="I942" s="30"/>
      <c r="J942" s="30"/>
      <c r="K942" s="12"/>
      <c r="L942" s="12"/>
    </row>
    <row r="943" spans="1:12">
      <c r="A943" s="30"/>
      <c r="B943" s="65"/>
      <c r="C943" s="65"/>
      <c r="D943" s="112"/>
      <c r="E943" s="30"/>
      <c r="F943" s="30"/>
      <c r="G943" s="30"/>
      <c r="H943" s="66"/>
      <c r="I943" s="30"/>
      <c r="J943" s="30"/>
      <c r="K943" s="12"/>
      <c r="L943" s="12"/>
    </row>
    <row r="944" spans="1:12">
      <c r="A944" s="30"/>
      <c r="B944" s="65"/>
      <c r="C944" s="65"/>
      <c r="D944" s="112"/>
      <c r="E944" s="30"/>
      <c r="F944" s="30"/>
      <c r="G944" s="30"/>
      <c r="H944" s="66"/>
      <c r="I944" s="30"/>
      <c r="J944" s="30"/>
      <c r="K944" s="12"/>
      <c r="L944" s="12"/>
    </row>
    <row r="945" spans="1:12">
      <c r="A945" s="30"/>
      <c r="B945" s="65"/>
      <c r="C945" s="65"/>
      <c r="D945" s="112"/>
      <c r="E945" s="30"/>
      <c r="F945" s="30"/>
      <c r="G945" s="30"/>
      <c r="H945" s="66"/>
      <c r="I945" s="30"/>
      <c r="J945" s="30"/>
      <c r="K945" s="12"/>
      <c r="L945" s="12"/>
    </row>
    <row r="946" spans="1:12">
      <c r="A946" s="30"/>
      <c r="B946" s="65"/>
      <c r="C946" s="65"/>
      <c r="D946" s="112"/>
      <c r="E946" s="30"/>
      <c r="F946" s="30"/>
      <c r="G946" s="30"/>
      <c r="H946" s="66"/>
      <c r="I946" s="30"/>
      <c r="J946" s="30"/>
      <c r="K946" s="12"/>
      <c r="L946" s="12"/>
    </row>
    <row r="947" spans="1:12">
      <c r="A947" s="30"/>
      <c r="B947" s="65"/>
      <c r="C947" s="65"/>
      <c r="D947" s="112"/>
      <c r="E947" s="30"/>
      <c r="F947" s="30"/>
      <c r="G947" s="30"/>
      <c r="H947" s="66"/>
      <c r="I947" s="30"/>
      <c r="J947" s="30"/>
      <c r="K947" s="12"/>
      <c r="L947" s="12"/>
    </row>
    <row r="948" spans="1:12">
      <c r="A948" s="30"/>
      <c r="B948" s="65"/>
      <c r="C948" s="65"/>
      <c r="D948" s="112"/>
      <c r="E948" s="30"/>
      <c r="F948" s="30"/>
      <c r="G948" s="30"/>
      <c r="H948" s="66"/>
      <c r="I948" s="30"/>
      <c r="J948" s="30"/>
      <c r="K948" s="12"/>
      <c r="L948" s="12"/>
    </row>
    <row r="949" spans="1:12">
      <c r="A949" s="30"/>
      <c r="B949" s="65"/>
      <c r="C949" s="65"/>
      <c r="D949" s="112"/>
      <c r="E949" s="30"/>
      <c r="F949" s="30"/>
      <c r="G949" s="30"/>
      <c r="H949" s="66"/>
      <c r="I949" s="30"/>
      <c r="J949" s="30"/>
      <c r="K949" s="12"/>
      <c r="L949" s="12"/>
    </row>
    <row r="950" spans="1:12">
      <c r="A950" s="30"/>
      <c r="B950" s="65"/>
      <c r="C950" s="65"/>
      <c r="D950" s="112"/>
      <c r="E950" s="30"/>
      <c r="F950" s="30"/>
      <c r="G950" s="30"/>
      <c r="H950" s="66"/>
      <c r="I950" s="30"/>
      <c r="J950" s="30"/>
      <c r="K950" s="12"/>
      <c r="L950" s="12"/>
    </row>
    <row r="951" spans="1:12">
      <c r="A951" s="30"/>
      <c r="B951" s="65"/>
      <c r="C951" s="65"/>
      <c r="D951" s="112"/>
      <c r="E951" s="30"/>
      <c r="F951" s="30"/>
      <c r="G951" s="30"/>
      <c r="H951" s="66"/>
      <c r="I951" s="30"/>
      <c r="J951" s="30"/>
      <c r="K951" s="12"/>
      <c r="L951" s="12"/>
    </row>
    <row r="952" spans="1:12">
      <c r="A952" s="30"/>
      <c r="B952" s="65"/>
      <c r="C952" s="65"/>
      <c r="D952" s="112"/>
      <c r="E952" s="30"/>
      <c r="F952" s="30"/>
      <c r="G952" s="30"/>
      <c r="H952" s="66"/>
      <c r="I952" s="30"/>
      <c r="J952" s="30"/>
      <c r="K952" s="12"/>
      <c r="L952" s="12"/>
    </row>
    <row r="953" spans="1:12">
      <c r="A953" s="30"/>
      <c r="B953" s="65"/>
      <c r="C953" s="65"/>
      <c r="D953" s="112"/>
      <c r="E953" s="30"/>
      <c r="F953" s="30"/>
      <c r="G953" s="30"/>
      <c r="H953" s="66"/>
      <c r="I953" s="30"/>
      <c r="J953" s="30"/>
      <c r="K953" s="12"/>
      <c r="L953" s="12"/>
    </row>
    <row r="954" spans="1:12">
      <c r="A954" s="30"/>
      <c r="B954" s="65"/>
      <c r="C954" s="65"/>
      <c r="D954" s="112"/>
      <c r="E954" s="30"/>
      <c r="F954" s="30"/>
      <c r="G954" s="30"/>
      <c r="H954" s="66"/>
      <c r="I954" s="30"/>
      <c r="J954" s="30"/>
      <c r="K954" s="12"/>
      <c r="L954" s="12"/>
    </row>
    <row r="955" spans="1:12">
      <c r="A955" s="30"/>
      <c r="B955" s="65"/>
      <c r="C955" s="65"/>
      <c r="D955" s="112"/>
      <c r="E955" s="30"/>
      <c r="F955" s="30"/>
      <c r="G955" s="30"/>
      <c r="H955" s="66"/>
      <c r="I955" s="30"/>
      <c r="J955" s="30"/>
      <c r="K955" s="12"/>
      <c r="L955" s="12"/>
    </row>
    <row r="956" spans="1:12">
      <c r="A956" s="30"/>
      <c r="B956" s="65"/>
      <c r="C956" s="65"/>
      <c r="D956" s="112"/>
      <c r="E956" s="30"/>
      <c r="F956" s="30"/>
      <c r="G956" s="30"/>
      <c r="H956" s="66"/>
      <c r="I956" s="30"/>
      <c r="J956" s="30"/>
      <c r="K956" s="12"/>
      <c r="L956" s="12"/>
    </row>
    <row r="957" spans="1:12">
      <c r="A957" s="30"/>
      <c r="B957" s="65"/>
      <c r="C957" s="65"/>
      <c r="D957" s="112"/>
      <c r="E957" s="30"/>
      <c r="F957" s="30"/>
      <c r="G957" s="30"/>
      <c r="H957" s="66"/>
      <c r="I957" s="30"/>
      <c r="J957" s="30"/>
      <c r="K957" s="12"/>
      <c r="L957" s="12"/>
    </row>
    <row r="958" spans="1:12">
      <c r="A958" s="30"/>
      <c r="B958" s="65"/>
      <c r="C958" s="65"/>
      <c r="D958" s="112"/>
      <c r="E958" s="30"/>
      <c r="F958" s="30"/>
      <c r="G958" s="30"/>
      <c r="H958" s="66"/>
      <c r="I958" s="30"/>
      <c r="J958" s="30"/>
      <c r="K958" s="12"/>
      <c r="L958" s="12"/>
    </row>
    <row r="959" spans="1:12">
      <c r="A959" s="30"/>
      <c r="B959" s="65"/>
      <c r="C959" s="65"/>
      <c r="D959" s="112"/>
      <c r="E959" s="30"/>
      <c r="F959" s="30"/>
      <c r="G959" s="30"/>
      <c r="H959" s="66"/>
      <c r="I959" s="30"/>
      <c r="J959" s="30"/>
      <c r="K959" s="12"/>
      <c r="L959" s="12"/>
    </row>
    <row r="960" spans="1:12">
      <c r="A960" s="30"/>
      <c r="B960" s="65"/>
      <c r="C960" s="65"/>
      <c r="D960" s="112"/>
      <c r="E960" s="30"/>
      <c r="F960" s="30"/>
      <c r="G960" s="30"/>
      <c r="H960" s="66"/>
      <c r="I960" s="30"/>
      <c r="J960" s="30"/>
      <c r="K960" s="12"/>
      <c r="L960" s="12"/>
    </row>
    <row r="961" spans="1:12">
      <c r="A961" s="30"/>
      <c r="B961" s="65"/>
      <c r="C961" s="65"/>
      <c r="D961" s="112"/>
      <c r="E961" s="30"/>
      <c r="F961" s="30"/>
      <c r="G961" s="30"/>
      <c r="H961" s="66"/>
      <c r="I961" s="30"/>
      <c r="J961" s="30"/>
      <c r="K961" s="12"/>
      <c r="L961" s="12"/>
    </row>
    <row r="962" spans="1:12">
      <c r="A962" s="30"/>
      <c r="B962" s="65"/>
      <c r="C962" s="65"/>
      <c r="D962" s="112"/>
      <c r="E962" s="30"/>
      <c r="F962" s="30"/>
      <c r="G962" s="30"/>
      <c r="H962" s="66"/>
      <c r="I962" s="30"/>
      <c r="J962" s="30"/>
      <c r="K962" s="12"/>
      <c r="L962" s="12"/>
    </row>
    <row r="963" spans="1:12">
      <c r="A963" s="30"/>
      <c r="B963" s="65"/>
      <c r="C963" s="65"/>
      <c r="D963" s="112"/>
      <c r="E963" s="30"/>
      <c r="F963" s="30"/>
      <c r="G963" s="30"/>
      <c r="H963" s="66"/>
      <c r="I963" s="30"/>
      <c r="J963" s="30"/>
      <c r="K963" s="12"/>
      <c r="L963" s="12"/>
    </row>
    <row r="964" spans="1:12">
      <c r="A964" s="30"/>
      <c r="B964" s="65"/>
      <c r="C964" s="65"/>
      <c r="D964" s="112"/>
      <c r="E964" s="30"/>
      <c r="F964" s="30"/>
      <c r="G964" s="30"/>
      <c r="H964" s="66"/>
      <c r="I964" s="30"/>
      <c r="J964" s="30"/>
      <c r="K964" s="12"/>
      <c r="L964" s="12"/>
    </row>
    <row r="965" spans="1:12">
      <c r="A965" s="30"/>
      <c r="B965" s="65"/>
      <c r="C965" s="65"/>
      <c r="D965" s="112"/>
      <c r="E965" s="30"/>
      <c r="F965" s="30"/>
      <c r="G965" s="30"/>
      <c r="H965" s="66"/>
      <c r="I965" s="30"/>
      <c r="J965" s="30"/>
      <c r="K965" s="12"/>
      <c r="L965" s="12"/>
    </row>
    <row r="966" spans="1:12">
      <c r="A966" s="30"/>
      <c r="B966" s="65"/>
      <c r="C966" s="65"/>
      <c r="D966" s="112"/>
      <c r="E966" s="30"/>
      <c r="F966" s="30"/>
      <c r="G966" s="30"/>
      <c r="H966" s="66"/>
      <c r="I966" s="30"/>
      <c r="J966" s="30"/>
      <c r="K966" s="12"/>
      <c r="L966" s="12"/>
    </row>
    <row r="967" spans="1:12">
      <c r="A967" s="30"/>
      <c r="B967" s="65"/>
      <c r="C967" s="65"/>
      <c r="D967" s="112"/>
      <c r="E967" s="30"/>
      <c r="F967" s="30"/>
      <c r="G967" s="30"/>
      <c r="H967" s="66"/>
      <c r="I967" s="30"/>
      <c r="J967" s="30"/>
      <c r="K967" s="12"/>
      <c r="L967" s="12"/>
    </row>
    <row r="968" spans="1:12">
      <c r="A968" s="30"/>
      <c r="B968" s="65"/>
      <c r="C968" s="65"/>
      <c r="D968" s="112"/>
      <c r="E968" s="30"/>
      <c r="F968" s="30"/>
      <c r="G968" s="30"/>
      <c r="H968" s="66"/>
      <c r="I968" s="30"/>
      <c r="J968" s="30"/>
      <c r="K968" s="12"/>
      <c r="L968" s="12"/>
    </row>
    <row r="969" spans="1:12">
      <c r="A969" s="30"/>
      <c r="B969" s="65"/>
      <c r="C969" s="65"/>
      <c r="D969" s="112"/>
      <c r="E969" s="30"/>
      <c r="F969" s="30"/>
      <c r="G969" s="30"/>
      <c r="H969" s="66"/>
      <c r="I969" s="30"/>
      <c r="J969" s="30"/>
      <c r="K969" s="12"/>
      <c r="L969" s="12"/>
    </row>
    <row r="970" spans="1:12">
      <c r="A970" s="30"/>
      <c r="B970" s="65"/>
      <c r="C970" s="65"/>
      <c r="D970" s="112"/>
      <c r="E970" s="30"/>
      <c r="F970" s="30"/>
      <c r="G970" s="30"/>
      <c r="H970" s="66"/>
      <c r="I970" s="30"/>
      <c r="J970" s="30"/>
      <c r="K970" s="12"/>
      <c r="L970" s="12"/>
    </row>
    <row r="971" spans="1:12">
      <c r="A971" s="30"/>
      <c r="B971" s="65"/>
      <c r="C971" s="65"/>
      <c r="D971" s="112"/>
      <c r="E971" s="30"/>
      <c r="F971" s="30"/>
      <c r="G971" s="30"/>
      <c r="H971" s="66"/>
      <c r="I971" s="30"/>
      <c r="J971" s="30"/>
      <c r="K971" s="12"/>
      <c r="L971" s="12"/>
    </row>
    <row r="972" spans="1:12">
      <c r="A972" s="30"/>
      <c r="B972" s="65"/>
      <c r="C972" s="65"/>
      <c r="D972" s="112"/>
      <c r="E972" s="30"/>
      <c r="F972" s="30"/>
      <c r="G972" s="30"/>
      <c r="H972" s="66"/>
      <c r="I972" s="30"/>
      <c r="J972" s="30"/>
      <c r="K972" s="12"/>
      <c r="L972" s="12"/>
    </row>
    <row r="973" spans="1:12">
      <c r="A973" s="30"/>
      <c r="B973" s="65"/>
      <c r="C973" s="65"/>
      <c r="D973" s="112"/>
      <c r="E973" s="30"/>
      <c r="F973" s="30"/>
      <c r="G973" s="30"/>
      <c r="H973" s="66"/>
      <c r="I973" s="30"/>
      <c r="J973" s="30"/>
      <c r="K973" s="12"/>
      <c r="L973" s="12"/>
    </row>
    <row r="974" spans="1:12">
      <c r="A974" s="30"/>
      <c r="B974" s="65"/>
      <c r="C974" s="65"/>
      <c r="D974" s="112"/>
      <c r="E974" s="30"/>
      <c r="F974" s="30"/>
      <c r="G974" s="30"/>
      <c r="H974" s="66"/>
      <c r="I974" s="30"/>
      <c r="J974" s="30"/>
      <c r="K974" s="12"/>
      <c r="L974" s="12"/>
    </row>
    <row r="975" spans="1:12">
      <c r="A975" s="30"/>
      <c r="B975" s="65"/>
      <c r="C975" s="65"/>
      <c r="D975" s="112"/>
      <c r="E975" s="30"/>
      <c r="F975" s="30"/>
      <c r="G975" s="30"/>
      <c r="H975" s="66"/>
      <c r="I975" s="30"/>
      <c r="J975" s="30"/>
      <c r="K975" s="12"/>
      <c r="L975" s="12"/>
    </row>
    <row r="976" spans="1:12">
      <c r="A976" s="30"/>
      <c r="B976" s="65"/>
      <c r="C976" s="65"/>
      <c r="D976" s="112"/>
      <c r="E976" s="30"/>
      <c r="F976" s="30"/>
      <c r="G976" s="30"/>
      <c r="H976" s="66"/>
      <c r="I976" s="30"/>
      <c r="J976" s="30"/>
      <c r="K976" s="12"/>
      <c r="L976" s="12"/>
    </row>
    <row r="977" spans="1:12">
      <c r="A977" s="30"/>
      <c r="B977" s="65"/>
      <c r="C977" s="65"/>
      <c r="D977" s="112"/>
      <c r="E977" s="30"/>
      <c r="F977" s="30"/>
      <c r="G977" s="30"/>
      <c r="H977" s="66"/>
      <c r="I977" s="30"/>
      <c r="J977" s="30"/>
      <c r="K977" s="12"/>
      <c r="L977" s="12"/>
    </row>
    <row r="978" spans="1:12">
      <c r="A978" s="30"/>
      <c r="B978" s="65"/>
      <c r="C978" s="65"/>
      <c r="D978" s="112"/>
      <c r="E978" s="30"/>
      <c r="F978" s="30"/>
      <c r="G978" s="30"/>
      <c r="H978" s="66"/>
      <c r="I978" s="30"/>
      <c r="J978" s="30"/>
      <c r="K978" s="12"/>
      <c r="L978" s="12"/>
    </row>
    <row r="979" spans="1:12">
      <c r="A979" s="30"/>
      <c r="B979" s="65"/>
      <c r="C979" s="65"/>
      <c r="D979" s="112"/>
      <c r="E979" s="30"/>
      <c r="F979" s="30"/>
      <c r="G979" s="30"/>
      <c r="H979" s="66"/>
      <c r="I979" s="30"/>
      <c r="J979" s="30"/>
      <c r="K979" s="12"/>
      <c r="L979" s="12"/>
    </row>
    <row r="980" spans="1:12">
      <c r="A980" s="30"/>
      <c r="B980" s="65"/>
      <c r="C980" s="65"/>
      <c r="D980" s="112"/>
      <c r="E980" s="30"/>
      <c r="F980" s="30"/>
      <c r="G980" s="30"/>
      <c r="H980" s="66"/>
      <c r="I980" s="30"/>
      <c r="J980" s="30"/>
      <c r="K980" s="12"/>
      <c r="L980" s="12"/>
    </row>
    <row r="981" spans="1:12">
      <c r="A981" s="30"/>
      <c r="B981" s="65"/>
      <c r="C981" s="65"/>
      <c r="D981" s="112"/>
      <c r="E981" s="30"/>
      <c r="F981" s="30"/>
      <c r="G981" s="30"/>
      <c r="H981" s="66"/>
      <c r="I981" s="30"/>
      <c r="J981" s="30"/>
      <c r="K981" s="12"/>
      <c r="L981" s="12"/>
    </row>
    <row r="982" spans="1:12">
      <c r="A982" s="30"/>
      <c r="B982" s="65"/>
      <c r="C982" s="65"/>
      <c r="D982" s="112"/>
      <c r="E982" s="30"/>
      <c r="F982" s="30"/>
      <c r="G982" s="30"/>
      <c r="H982" s="66"/>
      <c r="I982" s="30"/>
      <c r="J982" s="30"/>
      <c r="K982" s="12"/>
      <c r="L982" s="12"/>
    </row>
    <row r="983" spans="1:12">
      <c r="A983" s="30"/>
      <c r="B983" s="65"/>
      <c r="C983" s="65"/>
      <c r="D983" s="112"/>
      <c r="E983" s="30"/>
      <c r="F983" s="30"/>
      <c r="G983" s="30"/>
      <c r="H983" s="66"/>
      <c r="I983" s="30"/>
      <c r="J983" s="30"/>
      <c r="K983" s="12"/>
      <c r="L983" s="12"/>
    </row>
    <row r="984" spans="1:12">
      <c r="A984" s="30"/>
      <c r="B984" s="65"/>
      <c r="C984" s="65"/>
      <c r="D984" s="112"/>
      <c r="E984" s="30"/>
      <c r="F984" s="30"/>
      <c r="G984" s="30"/>
      <c r="H984" s="66"/>
      <c r="I984" s="30"/>
      <c r="J984" s="30"/>
      <c r="K984" s="12"/>
      <c r="L984" s="12"/>
    </row>
    <row r="985" spans="1:12">
      <c r="A985" s="30"/>
      <c r="B985" s="65"/>
      <c r="C985" s="65"/>
      <c r="D985" s="112"/>
      <c r="E985" s="30"/>
      <c r="F985" s="30"/>
      <c r="G985" s="30"/>
      <c r="H985" s="66"/>
      <c r="I985" s="30"/>
      <c r="J985" s="30"/>
      <c r="K985" s="12"/>
      <c r="L985" s="12"/>
    </row>
    <row r="986" spans="1:12">
      <c r="A986" s="30"/>
      <c r="B986" s="65"/>
      <c r="C986" s="65"/>
      <c r="D986" s="112"/>
      <c r="E986" s="30"/>
      <c r="F986" s="30"/>
      <c r="G986" s="30"/>
      <c r="H986" s="66"/>
      <c r="I986" s="30"/>
      <c r="J986" s="30"/>
      <c r="K986" s="12"/>
      <c r="L986" s="12"/>
    </row>
    <row r="987" spans="1:12">
      <c r="A987" s="30"/>
      <c r="B987" s="65"/>
      <c r="C987" s="65"/>
      <c r="D987" s="112"/>
      <c r="E987" s="30"/>
      <c r="F987" s="30"/>
      <c r="G987" s="30"/>
      <c r="H987" s="66"/>
      <c r="I987" s="30"/>
      <c r="J987" s="30"/>
      <c r="K987" s="12"/>
      <c r="L987" s="12"/>
    </row>
    <row r="988" spans="1:12">
      <c r="A988" s="30"/>
      <c r="B988" s="65"/>
      <c r="C988" s="65"/>
      <c r="D988" s="112"/>
      <c r="E988" s="30"/>
      <c r="F988" s="30"/>
      <c r="G988" s="30"/>
      <c r="H988" s="66"/>
      <c r="I988" s="30"/>
      <c r="J988" s="30"/>
      <c r="K988" s="12"/>
      <c r="L988" s="12"/>
    </row>
    <row r="989" spans="1:12">
      <c r="A989" s="30"/>
      <c r="B989" s="65"/>
      <c r="C989" s="65"/>
      <c r="D989" s="112"/>
      <c r="E989" s="30"/>
      <c r="F989" s="30"/>
      <c r="G989" s="30"/>
      <c r="H989" s="66"/>
      <c r="I989" s="30"/>
      <c r="J989" s="30"/>
      <c r="K989" s="12"/>
      <c r="L989" s="12"/>
    </row>
    <row r="990" spans="1:12">
      <c r="A990" s="30"/>
      <c r="B990" s="65"/>
      <c r="C990" s="65"/>
      <c r="D990" s="112"/>
      <c r="E990" s="30"/>
      <c r="F990" s="30"/>
      <c r="G990" s="30"/>
      <c r="H990" s="66"/>
      <c r="I990" s="30"/>
      <c r="J990" s="30"/>
      <c r="K990" s="12"/>
      <c r="L990" s="12"/>
    </row>
    <row r="991" spans="1:12">
      <c r="A991" s="30"/>
      <c r="B991" s="65"/>
      <c r="C991" s="65"/>
      <c r="D991" s="112"/>
      <c r="E991" s="30"/>
      <c r="F991" s="30"/>
      <c r="G991" s="30"/>
      <c r="H991" s="66"/>
      <c r="I991" s="30"/>
      <c r="J991" s="30"/>
      <c r="K991" s="12"/>
      <c r="L991" s="12"/>
    </row>
    <row r="992" spans="1:12">
      <c r="A992" s="30"/>
      <c r="B992" s="65"/>
      <c r="C992" s="65"/>
      <c r="D992" s="112"/>
      <c r="E992" s="30"/>
      <c r="F992" s="30"/>
      <c r="G992" s="30"/>
      <c r="H992" s="66"/>
      <c r="I992" s="30"/>
      <c r="J992" s="30"/>
      <c r="K992" s="12"/>
      <c r="L992" s="12"/>
    </row>
    <row r="993" spans="1:12">
      <c r="A993" s="30"/>
      <c r="B993" s="65"/>
      <c r="C993" s="65"/>
      <c r="D993" s="112"/>
      <c r="E993" s="30"/>
      <c r="F993" s="30"/>
      <c r="G993" s="30"/>
      <c r="H993" s="66"/>
      <c r="I993" s="30"/>
      <c r="J993" s="30"/>
      <c r="K993" s="12"/>
      <c r="L993" s="12"/>
    </row>
    <row r="994" spans="1:12">
      <c r="A994" s="30"/>
      <c r="B994" s="65"/>
      <c r="C994" s="65"/>
      <c r="D994" s="112"/>
      <c r="E994" s="30"/>
      <c r="F994" s="30"/>
      <c r="G994" s="30"/>
      <c r="H994" s="66"/>
      <c r="I994" s="30"/>
      <c r="J994" s="30"/>
      <c r="K994" s="12"/>
      <c r="L994" s="12"/>
    </row>
    <row r="995" spans="1:12">
      <c r="A995" s="30"/>
      <c r="B995" s="65"/>
      <c r="C995" s="65"/>
      <c r="D995" s="112"/>
      <c r="E995" s="30"/>
      <c r="F995" s="30"/>
      <c r="G995" s="30"/>
      <c r="H995" s="66"/>
      <c r="I995" s="30"/>
      <c r="J995" s="30"/>
      <c r="K995" s="12"/>
      <c r="L995" s="12"/>
    </row>
    <row r="996" spans="1:12">
      <c r="A996" s="30"/>
      <c r="B996" s="65"/>
      <c r="C996" s="65"/>
      <c r="D996" s="112"/>
      <c r="E996" s="30"/>
      <c r="F996" s="30"/>
      <c r="G996" s="30"/>
      <c r="H996" s="66"/>
      <c r="I996" s="30"/>
      <c r="J996" s="30"/>
      <c r="K996" s="12"/>
      <c r="L996" s="12"/>
    </row>
    <row r="997" spans="1:12">
      <c r="A997" s="30"/>
      <c r="B997" s="65"/>
      <c r="C997" s="65"/>
      <c r="D997" s="112"/>
      <c r="E997" s="30"/>
      <c r="F997" s="30"/>
      <c r="G997" s="30"/>
      <c r="H997" s="66"/>
      <c r="I997" s="30"/>
      <c r="J997" s="30"/>
      <c r="K997" s="12"/>
      <c r="L997" s="12"/>
    </row>
    <row r="998" spans="1:12">
      <c r="A998" s="30"/>
      <c r="B998" s="65"/>
      <c r="C998" s="65"/>
      <c r="D998" s="112"/>
      <c r="E998" s="30"/>
      <c r="F998" s="30"/>
      <c r="G998" s="30"/>
      <c r="H998" s="66"/>
      <c r="I998" s="30"/>
      <c r="J998" s="30"/>
      <c r="K998" s="12"/>
      <c r="L998" s="12"/>
    </row>
    <row r="999" spans="1:12">
      <c r="A999" s="30"/>
      <c r="B999" s="65"/>
      <c r="C999" s="65"/>
      <c r="D999" s="112"/>
      <c r="E999" s="30"/>
      <c r="F999" s="30"/>
      <c r="G999" s="30"/>
      <c r="H999" s="66"/>
      <c r="I999" s="30"/>
      <c r="J999" s="30"/>
      <c r="K999" s="12"/>
      <c r="L999" s="12"/>
    </row>
    <row r="1000" spans="1:12">
      <c r="A1000" s="30"/>
      <c r="B1000" s="65"/>
      <c r="C1000" s="65"/>
      <c r="D1000" s="112"/>
      <c r="E1000" s="30"/>
      <c r="F1000" s="30"/>
      <c r="G1000" s="30"/>
      <c r="H1000" s="66"/>
      <c r="I1000" s="30"/>
      <c r="J1000" s="30"/>
      <c r="K1000" s="12"/>
      <c r="L1000" s="12"/>
    </row>
    <row r="1001" spans="1:12">
      <c r="A1001" s="30"/>
      <c r="B1001" s="65"/>
      <c r="C1001" s="65"/>
      <c r="D1001" s="112"/>
      <c r="E1001" s="30"/>
      <c r="F1001" s="30"/>
      <c r="G1001" s="30"/>
      <c r="H1001" s="66"/>
      <c r="I1001" s="30"/>
      <c r="J1001" s="30"/>
      <c r="K1001" s="12"/>
      <c r="L1001" s="12"/>
    </row>
    <row r="1002" spans="1:12">
      <c r="A1002" s="30"/>
      <c r="B1002" s="65"/>
      <c r="C1002" s="65"/>
      <c r="D1002" s="112"/>
      <c r="E1002" s="30"/>
      <c r="F1002" s="30"/>
      <c r="G1002" s="30"/>
      <c r="H1002" s="66"/>
      <c r="I1002" s="30"/>
      <c r="J1002" s="30"/>
      <c r="K1002" s="12"/>
      <c r="L1002" s="12"/>
    </row>
    <row r="1003" spans="1:12">
      <c r="A1003" s="30"/>
      <c r="B1003" s="65"/>
      <c r="C1003" s="65"/>
      <c r="D1003" s="112"/>
      <c r="E1003" s="30"/>
      <c r="F1003" s="30"/>
      <c r="G1003" s="30"/>
      <c r="H1003" s="66"/>
      <c r="I1003" s="30"/>
      <c r="J1003" s="30"/>
      <c r="K1003" s="12"/>
      <c r="L1003" s="12"/>
    </row>
    <row r="1004" spans="1:12">
      <c r="A1004" s="30"/>
      <c r="B1004" s="65"/>
      <c r="C1004" s="65"/>
      <c r="D1004" s="112"/>
      <c r="E1004" s="30"/>
      <c r="F1004" s="30"/>
      <c r="G1004" s="30"/>
      <c r="H1004" s="66"/>
      <c r="I1004" s="30"/>
      <c r="J1004" s="30"/>
      <c r="K1004" s="12"/>
      <c r="L1004" s="12"/>
    </row>
    <row r="1005" spans="1:12">
      <c r="A1005" s="30"/>
      <c r="B1005" s="65"/>
      <c r="C1005" s="65"/>
      <c r="D1005" s="112"/>
      <c r="E1005" s="30"/>
      <c r="F1005" s="30"/>
      <c r="G1005" s="30"/>
      <c r="H1005" s="66"/>
      <c r="I1005" s="30"/>
      <c r="J1005" s="30"/>
      <c r="K1005" s="12"/>
      <c r="L1005" s="12"/>
    </row>
    <row r="1006" spans="1:12">
      <c r="A1006" s="30"/>
      <c r="B1006" s="65"/>
      <c r="C1006" s="65"/>
      <c r="D1006" s="112"/>
      <c r="E1006" s="30"/>
      <c r="F1006" s="30"/>
      <c r="G1006" s="30"/>
      <c r="H1006" s="66"/>
      <c r="I1006" s="30"/>
      <c r="J1006" s="30"/>
      <c r="K1006" s="12"/>
      <c r="L1006" s="12"/>
    </row>
    <row r="1007" spans="1:12">
      <c r="A1007" s="30"/>
      <c r="B1007" s="65"/>
      <c r="C1007" s="65"/>
      <c r="D1007" s="112"/>
      <c r="E1007" s="30"/>
      <c r="F1007" s="30"/>
      <c r="G1007" s="30"/>
      <c r="H1007" s="66"/>
      <c r="I1007" s="30"/>
      <c r="J1007" s="30"/>
      <c r="K1007" s="12"/>
      <c r="L1007" s="12"/>
    </row>
    <row r="1008" spans="1:12">
      <c r="A1008" s="30"/>
      <c r="B1008" s="65"/>
      <c r="C1008" s="65"/>
      <c r="D1008" s="112"/>
      <c r="E1008" s="30"/>
      <c r="F1008" s="30"/>
      <c r="G1008" s="30"/>
      <c r="H1008" s="66"/>
      <c r="I1008" s="30"/>
      <c r="J1008" s="30"/>
      <c r="K1008" s="12"/>
      <c r="L1008" s="12"/>
    </row>
    <row r="1009" spans="1:12">
      <c r="A1009" s="30"/>
      <c r="B1009" s="65"/>
      <c r="C1009" s="65"/>
      <c r="D1009" s="112"/>
      <c r="E1009" s="30"/>
      <c r="F1009" s="30"/>
      <c r="G1009" s="30"/>
      <c r="H1009" s="66"/>
      <c r="I1009" s="30"/>
      <c r="J1009" s="30"/>
      <c r="K1009" s="12"/>
      <c r="L1009" s="12"/>
    </row>
    <row r="1010" spans="1:12">
      <c r="A1010" s="30"/>
      <c r="B1010" s="65"/>
      <c r="C1010" s="65"/>
      <c r="D1010" s="112"/>
      <c r="E1010" s="30"/>
      <c r="F1010" s="30"/>
      <c r="G1010" s="30"/>
      <c r="H1010" s="66"/>
      <c r="I1010" s="30"/>
      <c r="J1010" s="30"/>
      <c r="K1010" s="12"/>
      <c r="L1010" s="12"/>
    </row>
    <row r="1011" spans="1:12">
      <c r="A1011" s="30"/>
      <c r="B1011" s="65"/>
      <c r="C1011" s="65"/>
      <c r="D1011" s="112"/>
      <c r="E1011" s="30"/>
      <c r="F1011" s="30"/>
      <c r="G1011" s="30"/>
      <c r="H1011" s="66"/>
      <c r="I1011" s="30"/>
      <c r="J1011" s="30"/>
      <c r="K1011" s="12"/>
      <c r="L1011" s="12"/>
    </row>
    <row r="1012" spans="1:12">
      <c r="A1012" s="30"/>
      <c r="B1012" s="65"/>
      <c r="C1012" s="65"/>
      <c r="D1012" s="112"/>
      <c r="E1012" s="30"/>
      <c r="F1012" s="30"/>
      <c r="G1012" s="30"/>
      <c r="H1012" s="66"/>
      <c r="I1012" s="30"/>
      <c r="J1012" s="30"/>
      <c r="K1012" s="12"/>
      <c r="L1012" s="12"/>
    </row>
    <row r="1013" spans="1:12">
      <c r="A1013" s="30"/>
      <c r="B1013" s="65"/>
      <c r="C1013" s="65"/>
      <c r="D1013" s="112"/>
      <c r="E1013" s="30"/>
      <c r="F1013" s="30"/>
      <c r="G1013" s="30"/>
      <c r="H1013" s="66"/>
      <c r="I1013" s="30"/>
      <c r="J1013" s="30"/>
      <c r="K1013" s="12"/>
      <c r="L1013" s="12"/>
    </row>
    <row r="1014" spans="1:12">
      <c r="A1014" s="30"/>
      <c r="B1014" s="65"/>
      <c r="C1014" s="65"/>
      <c r="D1014" s="112"/>
      <c r="E1014" s="30"/>
      <c r="F1014" s="30"/>
      <c r="G1014" s="30"/>
      <c r="H1014" s="66"/>
      <c r="I1014" s="30"/>
      <c r="J1014" s="30"/>
      <c r="K1014" s="12"/>
      <c r="L1014" s="12"/>
    </row>
    <row r="1015" spans="1:12">
      <c r="A1015" s="30"/>
      <c r="B1015" s="65"/>
      <c r="C1015" s="65"/>
      <c r="D1015" s="112"/>
      <c r="E1015" s="30"/>
      <c r="F1015" s="30"/>
      <c r="G1015" s="30"/>
      <c r="H1015" s="66"/>
      <c r="I1015" s="30"/>
      <c r="J1015" s="30"/>
      <c r="K1015" s="12"/>
      <c r="L1015" s="12"/>
    </row>
    <row r="1016" spans="1:12">
      <c r="A1016" s="30"/>
      <c r="B1016" s="65"/>
      <c r="C1016" s="65"/>
      <c r="D1016" s="112"/>
      <c r="E1016" s="30"/>
      <c r="F1016" s="30"/>
      <c r="G1016" s="30"/>
      <c r="H1016" s="66"/>
      <c r="I1016" s="30"/>
      <c r="J1016" s="30"/>
      <c r="K1016" s="12"/>
      <c r="L1016" s="12"/>
    </row>
    <row r="1017" spans="1:12">
      <c r="A1017" s="30"/>
      <c r="B1017" s="65"/>
      <c r="C1017" s="65"/>
      <c r="D1017" s="112"/>
      <c r="E1017" s="30"/>
      <c r="F1017" s="30"/>
      <c r="G1017" s="30"/>
      <c r="H1017" s="66"/>
      <c r="I1017" s="30"/>
      <c r="J1017" s="30"/>
      <c r="K1017" s="12"/>
      <c r="L1017" s="12"/>
    </row>
    <row r="1018" spans="1:12">
      <c r="A1018" s="30"/>
      <c r="B1018" s="65"/>
      <c r="C1018" s="65"/>
      <c r="D1018" s="112"/>
      <c r="E1018" s="30"/>
      <c r="F1018" s="30"/>
      <c r="G1018" s="30"/>
      <c r="H1018" s="66"/>
      <c r="I1018" s="30"/>
      <c r="J1018" s="30"/>
      <c r="K1018" s="12"/>
      <c r="L1018" s="12"/>
    </row>
    <row r="1019" spans="1:12">
      <c r="A1019" s="30"/>
      <c r="B1019" s="65"/>
      <c r="C1019" s="65"/>
      <c r="D1019" s="112"/>
      <c r="E1019" s="30"/>
      <c r="F1019" s="30"/>
      <c r="G1019" s="30"/>
      <c r="H1019" s="66"/>
      <c r="I1019" s="30"/>
      <c r="J1019" s="30"/>
      <c r="K1019" s="12"/>
      <c r="L1019" s="12"/>
    </row>
    <row r="1020" spans="1:12">
      <c r="A1020" s="30"/>
      <c r="B1020" s="65"/>
      <c r="C1020" s="65"/>
      <c r="D1020" s="112"/>
      <c r="E1020" s="30"/>
      <c r="F1020" s="30"/>
      <c r="G1020" s="30"/>
      <c r="H1020" s="66"/>
      <c r="I1020" s="30"/>
      <c r="J1020" s="30"/>
      <c r="K1020" s="12"/>
      <c r="L1020" s="12"/>
    </row>
    <row r="1021" spans="1:12">
      <c r="A1021" s="30"/>
      <c r="B1021" s="65"/>
      <c r="C1021" s="65"/>
      <c r="D1021" s="112"/>
      <c r="E1021" s="30"/>
      <c r="F1021" s="30"/>
      <c r="G1021" s="30"/>
      <c r="H1021" s="66"/>
      <c r="I1021" s="30"/>
      <c r="J1021" s="30"/>
      <c r="K1021" s="12"/>
      <c r="L1021" s="12"/>
    </row>
    <row r="1022" spans="1:12">
      <c r="A1022" s="30"/>
      <c r="B1022" s="65"/>
      <c r="C1022" s="65"/>
      <c r="D1022" s="112"/>
      <c r="E1022" s="30"/>
      <c r="F1022" s="30"/>
      <c r="G1022" s="30"/>
      <c r="H1022" s="66"/>
      <c r="I1022" s="30"/>
      <c r="J1022" s="30"/>
      <c r="K1022" s="12"/>
      <c r="L1022" s="12"/>
    </row>
    <row r="1023" spans="1:12">
      <c r="A1023" s="30"/>
      <c r="B1023" s="65"/>
      <c r="C1023" s="65"/>
      <c r="D1023" s="112"/>
      <c r="E1023" s="30"/>
      <c r="F1023" s="30"/>
      <c r="G1023" s="30"/>
      <c r="H1023" s="66"/>
      <c r="I1023" s="30"/>
      <c r="J1023" s="30"/>
      <c r="K1023" s="12"/>
      <c r="L1023" s="12"/>
    </row>
    <row r="1024" spans="1:12">
      <c r="A1024" s="30"/>
      <c r="B1024" s="65"/>
      <c r="C1024" s="65"/>
      <c r="D1024" s="112"/>
      <c r="E1024" s="30"/>
      <c r="F1024" s="30"/>
      <c r="G1024" s="30"/>
      <c r="H1024" s="66"/>
      <c r="I1024" s="30"/>
      <c r="J1024" s="30"/>
      <c r="K1024" s="12"/>
      <c r="L1024" s="12"/>
    </row>
    <row r="1025" spans="1:12">
      <c r="A1025" s="30"/>
      <c r="B1025" s="65"/>
      <c r="C1025" s="65"/>
      <c r="D1025" s="112"/>
      <c r="E1025" s="30"/>
      <c r="F1025" s="30"/>
      <c r="G1025" s="30"/>
      <c r="H1025" s="66"/>
      <c r="I1025" s="30"/>
      <c r="J1025" s="30"/>
      <c r="K1025" s="12"/>
      <c r="L1025" s="12"/>
    </row>
    <row r="1026" spans="1:12">
      <c r="A1026" s="30"/>
      <c r="B1026" s="65"/>
      <c r="C1026" s="65"/>
      <c r="D1026" s="112"/>
      <c r="E1026" s="30"/>
      <c r="F1026" s="30"/>
      <c r="G1026" s="30"/>
      <c r="H1026" s="66"/>
      <c r="I1026" s="30"/>
      <c r="J1026" s="30"/>
      <c r="K1026" s="12"/>
      <c r="L1026" s="12"/>
    </row>
    <row r="1027" spans="1:12">
      <c r="A1027" s="30"/>
      <c r="B1027" s="65"/>
      <c r="C1027" s="65"/>
      <c r="D1027" s="112"/>
      <c r="E1027" s="30"/>
      <c r="F1027" s="30"/>
      <c r="G1027" s="30"/>
      <c r="H1027" s="66"/>
      <c r="I1027" s="30"/>
      <c r="J1027" s="30"/>
      <c r="K1027" s="12"/>
      <c r="L1027" s="12"/>
    </row>
    <row r="1028" spans="1:12">
      <c r="A1028" s="30"/>
      <c r="B1028" s="65"/>
      <c r="C1028" s="65"/>
      <c r="D1028" s="112"/>
      <c r="E1028" s="30"/>
      <c r="F1028" s="30"/>
      <c r="G1028" s="30"/>
      <c r="H1028" s="66"/>
      <c r="I1028" s="30"/>
      <c r="J1028" s="30"/>
      <c r="K1028" s="12"/>
      <c r="L1028" s="12"/>
    </row>
    <row r="1029" spans="1:12">
      <c r="A1029" s="30"/>
      <c r="B1029" s="65"/>
      <c r="C1029" s="65"/>
      <c r="D1029" s="112"/>
      <c r="E1029" s="30"/>
      <c r="F1029" s="30"/>
      <c r="G1029" s="30"/>
      <c r="H1029" s="66"/>
      <c r="I1029" s="30"/>
      <c r="J1029" s="30"/>
      <c r="K1029" s="12"/>
      <c r="L1029" s="12"/>
    </row>
    <row r="1030" spans="1:12">
      <c r="A1030" s="30"/>
      <c r="B1030" s="65"/>
      <c r="C1030" s="65"/>
      <c r="D1030" s="112"/>
      <c r="E1030" s="30"/>
      <c r="F1030" s="30"/>
      <c r="G1030" s="30"/>
      <c r="H1030" s="66"/>
      <c r="I1030" s="30"/>
      <c r="J1030" s="30"/>
      <c r="K1030" s="12"/>
      <c r="L1030" s="12"/>
    </row>
    <row r="1031" spans="1:12">
      <c r="A1031" s="30"/>
      <c r="B1031" s="65"/>
      <c r="C1031" s="65"/>
      <c r="D1031" s="112"/>
      <c r="E1031" s="30"/>
      <c r="F1031" s="30"/>
      <c r="G1031" s="30"/>
      <c r="H1031" s="66"/>
      <c r="I1031" s="30"/>
      <c r="J1031" s="30"/>
      <c r="K1031" s="12"/>
      <c r="L1031" s="12"/>
    </row>
    <row r="1032" spans="1:12">
      <c r="A1032" s="30"/>
      <c r="B1032" s="65"/>
      <c r="C1032" s="65"/>
      <c r="D1032" s="112"/>
      <c r="E1032" s="30"/>
      <c r="F1032" s="30"/>
      <c r="G1032" s="30"/>
      <c r="H1032" s="66"/>
      <c r="I1032" s="30"/>
      <c r="J1032" s="30"/>
      <c r="K1032" s="12"/>
      <c r="L1032" s="12"/>
    </row>
    <row r="1033" spans="1:12">
      <c r="A1033" s="30"/>
      <c r="B1033" s="65"/>
      <c r="C1033" s="65"/>
      <c r="D1033" s="112"/>
      <c r="E1033" s="30"/>
      <c r="F1033" s="30"/>
      <c r="G1033" s="30"/>
      <c r="H1033" s="66"/>
      <c r="I1033" s="30"/>
      <c r="J1033" s="30"/>
      <c r="K1033" s="12"/>
      <c r="L1033" s="12"/>
    </row>
    <row r="1034" spans="1:12">
      <c r="A1034" s="30"/>
      <c r="B1034" s="65"/>
      <c r="C1034" s="65"/>
      <c r="D1034" s="112"/>
      <c r="E1034" s="30"/>
      <c r="F1034" s="30"/>
      <c r="G1034" s="30"/>
      <c r="H1034" s="66"/>
      <c r="I1034" s="30"/>
      <c r="J1034" s="30"/>
      <c r="K1034" s="12"/>
      <c r="L1034" s="12"/>
    </row>
    <row r="1035" spans="1:12">
      <c r="A1035" s="30"/>
      <c r="B1035" s="65"/>
      <c r="C1035" s="65"/>
      <c r="D1035" s="112"/>
      <c r="E1035" s="30"/>
      <c r="F1035" s="30"/>
      <c r="G1035" s="30"/>
      <c r="H1035" s="66"/>
      <c r="I1035" s="30"/>
      <c r="J1035" s="30"/>
      <c r="K1035" s="12"/>
      <c r="L1035" s="12"/>
    </row>
    <row r="1036" spans="1:12">
      <c r="A1036" s="30"/>
      <c r="B1036" s="65"/>
      <c r="C1036" s="65"/>
      <c r="D1036" s="112"/>
      <c r="E1036" s="30"/>
      <c r="F1036" s="30"/>
      <c r="G1036" s="30"/>
      <c r="H1036" s="66"/>
      <c r="I1036" s="30"/>
      <c r="J1036" s="30"/>
      <c r="K1036" s="12"/>
      <c r="L1036" s="12"/>
    </row>
    <row r="1037" spans="1:12">
      <c r="A1037" s="30"/>
      <c r="B1037" s="65"/>
      <c r="C1037" s="65"/>
      <c r="D1037" s="112"/>
      <c r="E1037" s="30"/>
      <c r="F1037" s="30"/>
      <c r="G1037" s="30"/>
      <c r="H1037" s="66"/>
      <c r="I1037" s="30"/>
      <c r="J1037" s="30"/>
      <c r="K1037" s="12"/>
      <c r="L1037" s="12"/>
    </row>
    <row r="1038" spans="1:12">
      <c r="A1038" s="30"/>
      <c r="B1038" s="65"/>
      <c r="C1038" s="65"/>
      <c r="D1038" s="112"/>
      <c r="E1038" s="30"/>
      <c r="F1038" s="30"/>
      <c r="G1038" s="30"/>
      <c r="H1038" s="66"/>
      <c r="I1038" s="30"/>
      <c r="J1038" s="30"/>
      <c r="K1038" s="12"/>
      <c r="L1038" s="12"/>
    </row>
    <row r="1039" spans="1:12">
      <c r="A1039" s="30"/>
      <c r="B1039" s="65"/>
      <c r="C1039" s="65"/>
      <c r="D1039" s="112"/>
      <c r="E1039" s="30"/>
      <c r="F1039" s="30"/>
      <c r="G1039" s="30"/>
      <c r="H1039" s="66"/>
      <c r="I1039" s="30"/>
      <c r="J1039" s="30"/>
      <c r="K1039" s="12"/>
      <c r="L1039" s="12"/>
    </row>
    <row r="1040" spans="1:12">
      <c r="A1040" s="30"/>
      <c r="B1040" s="65"/>
      <c r="C1040" s="65"/>
      <c r="D1040" s="112"/>
      <c r="E1040" s="30"/>
      <c r="F1040" s="30"/>
      <c r="G1040" s="30"/>
      <c r="H1040" s="66"/>
      <c r="I1040" s="30"/>
      <c r="J1040" s="30"/>
      <c r="K1040" s="12"/>
      <c r="L1040" s="12"/>
    </row>
    <row r="1041" spans="1:12">
      <c r="A1041" s="30"/>
      <c r="B1041" s="65"/>
      <c r="C1041" s="65"/>
      <c r="D1041" s="112"/>
      <c r="E1041" s="30"/>
      <c r="F1041" s="30"/>
      <c r="G1041" s="30"/>
      <c r="H1041" s="66"/>
      <c r="I1041" s="30"/>
      <c r="J1041" s="30"/>
      <c r="K1041" s="12"/>
      <c r="L1041" s="12"/>
    </row>
    <row r="1042" spans="1:12">
      <c r="A1042" s="30"/>
      <c r="B1042" s="65"/>
      <c r="C1042" s="65"/>
      <c r="D1042" s="112"/>
      <c r="E1042" s="30"/>
      <c r="F1042" s="30"/>
      <c r="G1042" s="30"/>
      <c r="H1042" s="66"/>
      <c r="I1042" s="30"/>
      <c r="J1042" s="30"/>
      <c r="K1042" s="12"/>
      <c r="L1042" s="12"/>
    </row>
    <row r="1043" spans="1:12">
      <c r="A1043" s="30"/>
      <c r="B1043" s="65"/>
      <c r="C1043" s="65"/>
      <c r="D1043" s="112"/>
      <c r="E1043" s="30"/>
      <c r="F1043" s="30"/>
      <c r="G1043" s="30"/>
      <c r="H1043" s="66"/>
      <c r="I1043" s="30"/>
      <c r="J1043" s="30"/>
      <c r="K1043" s="12"/>
      <c r="L1043" s="12"/>
    </row>
    <row r="1044" spans="1:12">
      <c r="A1044" s="30"/>
      <c r="B1044" s="65"/>
      <c r="C1044" s="65"/>
      <c r="D1044" s="112"/>
      <c r="E1044" s="30"/>
      <c r="F1044" s="30"/>
      <c r="G1044" s="30"/>
      <c r="H1044" s="66"/>
      <c r="I1044" s="30"/>
      <c r="J1044" s="30"/>
      <c r="K1044" s="12"/>
      <c r="L1044" s="12"/>
    </row>
    <row r="1045" spans="1:12">
      <c r="A1045" s="30"/>
      <c r="B1045" s="65"/>
      <c r="C1045" s="65"/>
      <c r="D1045" s="112"/>
      <c r="E1045" s="30"/>
      <c r="F1045" s="30"/>
      <c r="G1045" s="30"/>
      <c r="H1045" s="66"/>
      <c r="I1045" s="30"/>
      <c r="J1045" s="30"/>
      <c r="K1045" s="12"/>
      <c r="L1045" s="12"/>
    </row>
    <row r="1046" spans="1:12">
      <c r="A1046" s="30"/>
      <c r="B1046" s="65"/>
      <c r="C1046" s="65"/>
      <c r="D1046" s="112"/>
      <c r="E1046" s="30"/>
      <c r="F1046" s="30"/>
      <c r="G1046" s="30"/>
      <c r="H1046" s="66"/>
      <c r="I1046" s="30"/>
      <c r="J1046" s="30"/>
      <c r="K1046" s="12"/>
      <c r="L1046" s="12"/>
    </row>
    <row r="1047" spans="1:12">
      <c r="A1047" s="30"/>
      <c r="B1047" s="65"/>
      <c r="C1047" s="65"/>
      <c r="D1047" s="112"/>
      <c r="E1047" s="30"/>
      <c r="F1047" s="30"/>
      <c r="G1047" s="30"/>
      <c r="H1047" s="66"/>
      <c r="I1047" s="30"/>
      <c r="J1047" s="30"/>
      <c r="K1047" s="12"/>
      <c r="L1047" s="12"/>
    </row>
    <row r="1048" spans="1:12">
      <c r="A1048" s="30"/>
      <c r="B1048" s="65"/>
      <c r="C1048" s="65"/>
      <c r="D1048" s="112"/>
      <c r="E1048" s="30"/>
      <c r="F1048" s="30"/>
      <c r="G1048" s="30"/>
      <c r="H1048" s="66"/>
      <c r="I1048" s="30"/>
      <c r="J1048" s="30"/>
      <c r="K1048" s="12"/>
      <c r="L1048" s="12"/>
    </row>
    <row r="1049" spans="1:12">
      <c r="A1049" s="30"/>
      <c r="B1049" s="65"/>
      <c r="C1049" s="65"/>
      <c r="D1049" s="112"/>
      <c r="E1049" s="30"/>
      <c r="F1049" s="30"/>
      <c r="G1049" s="30"/>
      <c r="H1049" s="66"/>
      <c r="I1049" s="30"/>
      <c r="J1049" s="30"/>
      <c r="K1049" s="12"/>
      <c r="L1049" s="12"/>
    </row>
    <row r="1050" spans="1:12">
      <c r="A1050" s="30"/>
      <c r="B1050" s="65"/>
      <c r="C1050" s="65"/>
      <c r="D1050" s="112"/>
      <c r="E1050" s="30"/>
      <c r="F1050" s="30"/>
      <c r="G1050" s="30"/>
      <c r="H1050" s="66"/>
      <c r="I1050" s="30"/>
      <c r="J1050" s="30"/>
      <c r="K1050" s="12"/>
      <c r="L1050" s="12"/>
    </row>
    <row r="1051" spans="1:12">
      <c r="A1051" s="30"/>
      <c r="B1051" s="65"/>
      <c r="C1051" s="65"/>
      <c r="D1051" s="112"/>
      <c r="E1051" s="30"/>
      <c r="F1051" s="30"/>
      <c r="G1051" s="30"/>
      <c r="H1051" s="66"/>
      <c r="I1051" s="30"/>
      <c r="J1051" s="30"/>
      <c r="K1051" s="12"/>
      <c r="L1051" s="12"/>
    </row>
    <row r="1052" spans="1:12">
      <c r="A1052" s="30"/>
      <c r="B1052" s="65"/>
      <c r="C1052" s="65"/>
      <c r="D1052" s="112"/>
      <c r="E1052" s="30"/>
      <c r="F1052" s="30"/>
      <c r="G1052" s="30"/>
      <c r="H1052" s="66"/>
      <c r="I1052" s="30"/>
      <c r="J1052" s="30"/>
      <c r="K1052" s="12"/>
      <c r="L1052" s="12"/>
    </row>
    <row r="1053" spans="1:12">
      <c r="A1053" s="30"/>
      <c r="B1053" s="65"/>
      <c r="C1053" s="65"/>
      <c r="D1053" s="112"/>
      <c r="E1053" s="30"/>
      <c r="F1053" s="30"/>
      <c r="G1053" s="30"/>
      <c r="H1053" s="66"/>
      <c r="I1053" s="30"/>
      <c r="J1053" s="30"/>
      <c r="K1053" s="12"/>
      <c r="L1053" s="12"/>
    </row>
    <row r="1054" spans="1:12">
      <c r="A1054" s="30"/>
      <c r="B1054" s="65"/>
      <c r="C1054" s="65"/>
      <c r="D1054" s="112"/>
      <c r="E1054" s="30"/>
      <c r="F1054" s="30"/>
      <c r="G1054" s="30"/>
      <c r="H1054" s="66"/>
      <c r="I1054" s="30"/>
      <c r="J1054" s="30"/>
      <c r="K1054" s="12"/>
      <c r="L1054" s="12"/>
    </row>
    <row r="1055" spans="1:12">
      <c r="A1055" s="30"/>
      <c r="B1055" s="65"/>
      <c r="C1055" s="65"/>
      <c r="D1055" s="112"/>
      <c r="E1055" s="30"/>
      <c r="F1055" s="30"/>
      <c r="G1055" s="30"/>
      <c r="H1055" s="66"/>
      <c r="I1055" s="30"/>
      <c r="J1055" s="30"/>
      <c r="K1055" s="12"/>
      <c r="L1055" s="12"/>
    </row>
    <row r="1056" spans="1:12">
      <c r="A1056" s="30"/>
      <c r="B1056" s="65"/>
      <c r="C1056" s="65"/>
      <c r="D1056" s="112"/>
      <c r="E1056" s="30"/>
      <c r="F1056" s="30"/>
      <c r="G1056" s="30"/>
      <c r="H1056" s="66"/>
      <c r="I1056" s="30"/>
      <c r="J1056" s="30"/>
      <c r="K1056" s="12"/>
      <c r="L1056" s="12"/>
    </row>
    <row r="1057" spans="1:12">
      <c r="A1057" s="30"/>
      <c r="B1057" s="65"/>
      <c r="C1057" s="65"/>
      <c r="D1057" s="112"/>
      <c r="E1057" s="30"/>
      <c r="F1057" s="30"/>
      <c r="G1057" s="30"/>
      <c r="H1057" s="66"/>
      <c r="I1057" s="30"/>
      <c r="J1057" s="30"/>
      <c r="K1057" s="12"/>
      <c r="L1057" s="12"/>
    </row>
    <row r="1058" spans="1:12">
      <c r="A1058" s="30"/>
      <c r="B1058" s="65"/>
      <c r="C1058" s="65"/>
      <c r="D1058" s="112"/>
      <c r="E1058" s="30"/>
      <c r="F1058" s="30"/>
      <c r="G1058" s="30"/>
      <c r="H1058" s="66"/>
      <c r="I1058" s="30"/>
      <c r="J1058" s="30"/>
      <c r="K1058" s="12"/>
      <c r="L1058" s="12"/>
    </row>
    <row r="1059" spans="1:12">
      <c r="A1059" s="30"/>
      <c r="B1059" s="65"/>
      <c r="C1059" s="65"/>
      <c r="D1059" s="112"/>
      <c r="E1059" s="30"/>
      <c r="F1059" s="30"/>
      <c r="G1059" s="30"/>
      <c r="H1059" s="66"/>
      <c r="I1059" s="30"/>
      <c r="J1059" s="30"/>
      <c r="K1059" s="12"/>
      <c r="L1059" s="12"/>
    </row>
    <row r="1060" spans="1:12">
      <c r="A1060" s="30"/>
      <c r="B1060" s="65"/>
      <c r="C1060" s="65"/>
      <c r="D1060" s="112"/>
      <c r="E1060" s="30"/>
      <c r="F1060" s="30"/>
      <c r="G1060" s="30"/>
      <c r="H1060" s="66"/>
      <c r="I1060" s="30"/>
      <c r="J1060" s="30"/>
      <c r="K1060" s="12"/>
      <c r="L1060" s="12"/>
    </row>
    <row r="1061" spans="1:12">
      <c r="A1061" s="30"/>
      <c r="B1061" s="65"/>
      <c r="C1061" s="65"/>
      <c r="D1061" s="112"/>
      <c r="E1061" s="30"/>
      <c r="F1061" s="30"/>
      <c r="G1061" s="30"/>
      <c r="H1061" s="66"/>
      <c r="I1061" s="30"/>
      <c r="J1061" s="30"/>
      <c r="K1061" s="12"/>
      <c r="L1061" s="12"/>
    </row>
    <row r="1062" spans="1:12">
      <c r="A1062" s="30"/>
      <c r="B1062" s="65"/>
      <c r="C1062" s="65"/>
      <c r="D1062" s="112"/>
      <c r="E1062" s="30"/>
      <c r="F1062" s="30"/>
      <c r="G1062" s="30"/>
      <c r="H1062" s="66"/>
      <c r="I1062" s="30"/>
      <c r="J1062" s="30"/>
      <c r="K1062" s="12"/>
      <c r="L1062" s="12"/>
    </row>
    <row r="1063" spans="1:12">
      <c r="A1063" s="30"/>
      <c r="B1063" s="65"/>
      <c r="C1063" s="65"/>
      <c r="D1063" s="112"/>
      <c r="E1063" s="30"/>
      <c r="F1063" s="30"/>
      <c r="G1063" s="30"/>
      <c r="H1063" s="66"/>
      <c r="I1063" s="30"/>
      <c r="J1063" s="30"/>
      <c r="K1063" s="12"/>
      <c r="L1063" s="12"/>
    </row>
    <row r="1064" spans="1:12">
      <c r="A1064" s="30"/>
      <c r="B1064" s="65"/>
      <c r="C1064" s="65"/>
      <c r="D1064" s="112"/>
      <c r="E1064" s="30"/>
      <c r="F1064" s="30"/>
      <c r="G1064" s="30"/>
      <c r="H1064" s="66"/>
      <c r="I1064" s="30"/>
      <c r="J1064" s="30"/>
      <c r="K1064" s="12"/>
      <c r="L1064" s="12"/>
    </row>
    <row r="1065" spans="1:12">
      <c r="A1065" s="30"/>
      <c r="B1065" s="65"/>
      <c r="C1065" s="65"/>
      <c r="D1065" s="112"/>
      <c r="E1065" s="30"/>
      <c r="F1065" s="30"/>
      <c r="G1065" s="30"/>
      <c r="H1065" s="66"/>
      <c r="I1065" s="30"/>
      <c r="J1065" s="30"/>
      <c r="K1065" s="12"/>
      <c r="L1065" s="12"/>
    </row>
    <row r="1066" spans="1:12">
      <c r="A1066" s="30"/>
      <c r="B1066" s="65"/>
      <c r="C1066" s="65"/>
      <c r="D1066" s="112"/>
      <c r="E1066" s="30"/>
      <c r="F1066" s="30"/>
      <c r="G1066" s="30"/>
      <c r="H1066" s="66"/>
      <c r="I1066" s="30"/>
      <c r="J1066" s="30"/>
      <c r="K1066" s="12"/>
      <c r="L1066" s="12"/>
    </row>
    <row r="1067" spans="1:12">
      <c r="A1067" s="30"/>
      <c r="B1067" s="65"/>
      <c r="C1067" s="65"/>
      <c r="D1067" s="112"/>
      <c r="E1067" s="30"/>
      <c r="F1067" s="30"/>
      <c r="G1067" s="30"/>
      <c r="H1067" s="66"/>
      <c r="I1067" s="30"/>
      <c r="J1067" s="30"/>
      <c r="K1067" s="12"/>
      <c r="L1067" s="12"/>
    </row>
    <row r="1068" spans="1:12">
      <c r="A1068" s="30"/>
      <c r="B1068" s="65"/>
      <c r="C1068" s="65"/>
      <c r="D1068" s="112"/>
      <c r="E1068" s="30"/>
      <c r="F1068" s="30"/>
      <c r="G1068" s="30"/>
      <c r="H1068" s="66"/>
      <c r="I1068" s="30"/>
      <c r="J1068" s="30"/>
      <c r="K1068" s="12"/>
      <c r="L1068" s="12"/>
    </row>
    <row r="1069" spans="1:12">
      <c r="A1069" s="30"/>
      <c r="B1069" s="65"/>
      <c r="C1069" s="65"/>
      <c r="D1069" s="112"/>
      <c r="E1069" s="30"/>
      <c r="F1069" s="30"/>
      <c r="G1069" s="30"/>
      <c r="H1069" s="66"/>
      <c r="I1069" s="30"/>
      <c r="J1069" s="30"/>
      <c r="K1069" s="12"/>
      <c r="L1069" s="12"/>
    </row>
    <row r="1070" spans="1:12">
      <c r="A1070" s="30"/>
      <c r="B1070" s="65"/>
      <c r="C1070" s="65"/>
      <c r="D1070" s="112"/>
      <c r="E1070" s="30"/>
      <c r="F1070" s="30"/>
      <c r="G1070" s="30"/>
      <c r="H1070" s="66"/>
      <c r="I1070" s="30"/>
      <c r="J1070" s="30"/>
      <c r="K1070" s="12"/>
      <c r="L1070" s="12"/>
    </row>
    <row r="1071" spans="1:12">
      <c r="A1071" s="30"/>
      <c r="B1071" s="65"/>
      <c r="C1071" s="65"/>
      <c r="D1071" s="112"/>
      <c r="E1071" s="30"/>
      <c r="F1071" s="30"/>
      <c r="G1071" s="30"/>
      <c r="H1071" s="66"/>
      <c r="I1071" s="30"/>
      <c r="J1071" s="30"/>
      <c r="K1071" s="12"/>
      <c r="L1071" s="12"/>
    </row>
    <row r="1072" spans="1:12">
      <c r="A1072" s="30"/>
      <c r="B1072" s="65"/>
      <c r="C1072" s="65"/>
      <c r="D1072" s="112"/>
      <c r="E1072" s="30"/>
      <c r="F1072" s="30"/>
      <c r="G1072" s="30"/>
      <c r="H1072" s="66"/>
      <c r="I1072" s="30"/>
      <c r="J1072" s="30"/>
      <c r="K1072" s="12"/>
      <c r="L1072" s="12"/>
    </row>
    <row r="1073" spans="1:12">
      <c r="A1073" s="30"/>
      <c r="B1073" s="65"/>
      <c r="C1073" s="65"/>
      <c r="D1073" s="112"/>
      <c r="E1073" s="30"/>
      <c r="F1073" s="30"/>
      <c r="G1073" s="30"/>
      <c r="H1073" s="66"/>
      <c r="I1073" s="30"/>
      <c r="J1073" s="30"/>
      <c r="K1073" s="12"/>
      <c r="L1073" s="12"/>
    </row>
    <row r="1074" spans="1:12">
      <c r="A1074" s="30"/>
      <c r="B1074" s="65"/>
      <c r="C1074" s="65"/>
      <c r="D1074" s="112"/>
      <c r="E1074" s="30"/>
      <c r="F1074" s="30"/>
      <c r="G1074" s="30"/>
      <c r="H1074" s="66"/>
      <c r="I1074" s="30"/>
      <c r="J1074" s="30"/>
      <c r="K1074" s="12"/>
      <c r="L1074" s="12"/>
    </row>
    <row r="1075" spans="1:12">
      <c r="A1075" s="30"/>
      <c r="B1075" s="65"/>
      <c r="C1075" s="65"/>
      <c r="D1075" s="112"/>
      <c r="E1075" s="30"/>
      <c r="F1075" s="30"/>
      <c r="G1075" s="30"/>
      <c r="H1075" s="66"/>
      <c r="I1075" s="30"/>
      <c r="J1075" s="30"/>
      <c r="K1075" s="12"/>
      <c r="L1075" s="12"/>
    </row>
    <row r="1076" spans="1:12">
      <c r="A1076" s="30"/>
      <c r="B1076" s="65"/>
      <c r="C1076" s="65"/>
      <c r="D1076" s="112"/>
      <c r="E1076" s="30"/>
      <c r="F1076" s="30"/>
      <c r="G1076" s="30"/>
      <c r="H1076" s="66"/>
      <c r="I1076" s="30"/>
      <c r="J1076" s="30"/>
      <c r="K1076" s="12"/>
      <c r="L1076" s="12"/>
    </row>
    <row r="1077" spans="1:12">
      <c r="A1077" s="30"/>
      <c r="B1077" s="65"/>
      <c r="C1077" s="65"/>
      <c r="D1077" s="112"/>
      <c r="E1077" s="30"/>
      <c r="F1077" s="30"/>
      <c r="G1077" s="30"/>
      <c r="H1077" s="66"/>
      <c r="I1077" s="30"/>
      <c r="J1077" s="30"/>
      <c r="K1077" s="12"/>
      <c r="L1077" s="12"/>
    </row>
    <row r="1078" spans="1:12">
      <c r="A1078" s="30"/>
      <c r="B1078" s="65"/>
      <c r="C1078" s="65"/>
      <c r="D1078" s="112"/>
      <c r="E1078" s="30"/>
      <c r="F1078" s="30"/>
      <c r="G1078" s="30"/>
      <c r="H1078" s="66"/>
      <c r="I1078" s="30"/>
      <c r="J1078" s="30"/>
      <c r="K1078" s="12"/>
      <c r="L1078" s="12"/>
    </row>
    <row r="1079" spans="1:12">
      <c r="A1079" s="30"/>
      <c r="B1079" s="65"/>
      <c r="C1079" s="65"/>
      <c r="D1079" s="112"/>
      <c r="E1079" s="30"/>
      <c r="F1079" s="30"/>
      <c r="G1079" s="30"/>
      <c r="H1079" s="66"/>
      <c r="I1079" s="30"/>
      <c r="J1079" s="30"/>
      <c r="K1079" s="12"/>
      <c r="L1079" s="12"/>
    </row>
    <row r="1080" spans="1:12">
      <c r="A1080" s="30"/>
      <c r="B1080" s="65"/>
      <c r="C1080" s="65"/>
      <c r="D1080" s="112"/>
      <c r="E1080" s="30"/>
      <c r="F1080" s="30"/>
      <c r="G1080" s="30"/>
      <c r="H1080" s="66"/>
      <c r="I1080" s="30"/>
      <c r="J1080" s="30"/>
      <c r="K1080" s="12"/>
      <c r="L1080" s="12"/>
    </row>
    <row r="1081" spans="1:12">
      <c r="A1081" s="30"/>
      <c r="B1081" s="65"/>
      <c r="C1081" s="65"/>
      <c r="D1081" s="112"/>
      <c r="E1081" s="30"/>
      <c r="F1081" s="30"/>
      <c r="G1081" s="30"/>
      <c r="H1081" s="66"/>
      <c r="I1081" s="30"/>
      <c r="J1081" s="30"/>
      <c r="K1081" s="12"/>
      <c r="L1081" s="12"/>
    </row>
    <row r="1082" spans="1:12">
      <c r="A1082" s="30"/>
      <c r="B1082" s="65"/>
      <c r="C1082" s="65"/>
      <c r="D1082" s="112"/>
      <c r="E1082" s="30"/>
      <c r="F1082" s="30"/>
      <c r="G1082" s="30"/>
      <c r="H1082" s="66"/>
      <c r="I1082" s="30"/>
      <c r="J1082" s="30"/>
      <c r="K1082" s="12"/>
      <c r="L1082" s="12"/>
    </row>
    <row r="1083" spans="1:12">
      <c r="A1083" s="30"/>
      <c r="B1083" s="65"/>
      <c r="C1083" s="65"/>
      <c r="D1083" s="112"/>
      <c r="E1083" s="30"/>
      <c r="F1083" s="30"/>
      <c r="G1083" s="30"/>
      <c r="H1083" s="66"/>
      <c r="I1083" s="30"/>
      <c r="J1083" s="30"/>
      <c r="K1083" s="12"/>
      <c r="L1083" s="12"/>
    </row>
    <row r="1084" spans="1:12">
      <c r="A1084" s="30"/>
      <c r="B1084" s="65"/>
      <c r="C1084" s="65"/>
      <c r="D1084" s="112"/>
      <c r="E1084" s="30"/>
      <c r="F1084" s="30"/>
      <c r="G1084" s="30"/>
      <c r="H1084" s="66"/>
      <c r="I1084" s="30"/>
      <c r="J1084" s="30"/>
      <c r="K1084" s="12"/>
      <c r="L1084" s="12"/>
    </row>
    <row r="1085" spans="1:12">
      <c r="A1085" s="30"/>
      <c r="B1085" s="65"/>
      <c r="C1085" s="65"/>
      <c r="D1085" s="112"/>
      <c r="E1085" s="30"/>
      <c r="F1085" s="30"/>
      <c r="G1085" s="30"/>
      <c r="H1085" s="66"/>
      <c r="I1085" s="30"/>
      <c r="J1085" s="30"/>
      <c r="K1085" s="12"/>
      <c r="L1085" s="12"/>
    </row>
    <row r="1086" spans="1:12">
      <c r="A1086" s="30"/>
      <c r="B1086" s="65"/>
      <c r="C1086" s="65"/>
      <c r="D1086" s="112"/>
      <c r="E1086" s="30"/>
      <c r="F1086" s="30"/>
      <c r="G1086" s="30"/>
      <c r="H1086" s="66"/>
      <c r="I1086" s="30"/>
      <c r="J1086" s="30"/>
      <c r="K1086" s="12"/>
      <c r="L1086" s="12"/>
    </row>
    <row r="1087" spans="1:12">
      <c r="A1087" s="30"/>
      <c r="B1087" s="65"/>
      <c r="C1087" s="65"/>
      <c r="D1087" s="112"/>
      <c r="E1087" s="30"/>
      <c r="F1087" s="30"/>
      <c r="G1087" s="30"/>
      <c r="H1087" s="66"/>
      <c r="I1087" s="30"/>
      <c r="J1087" s="30"/>
      <c r="K1087" s="12"/>
      <c r="L1087" s="12"/>
    </row>
    <row r="1088" spans="1:12">
      <c r="A1088" s="30"/>
      <c r="B1088" s="65"/>
      <c r="C1088" s="65"/>
      <c r="D1088" s="112"/>
      <c r="E1088" s="30"/>
      <c r="F1088" s="30"/>
      <c r="G1088" s="30"/>
      <c r="H1088" s="66"/>
      <c r="I1088" s="30"/>
      <c r="J1088" s="30"/>
      <c r="K1088" s="12"/>
      <c r="L1088" s="12"/>
    </row>
    <row r="1089" spans="1:12">
      <c r="A1089" s="30"/>
      <c r="B1089" s="65"/>
      <c r="C1089" s="65"/>
      <c r="D1089" s="112"/>
      <c r="E1089" s="30"/>
      <c r="F1089" s="30"/>
      <c r="G1089" s="30"/>
      <c r="H1089" s="66"/>
      <c r="I1089" s="30"/>
      <c r="J1089" s="30"/>
      <c r="K1089" s="12"/>
      <c r="L1089" s="12"/>
    </row>
    <row r="1090" spans="1:12">
      <c r="A1090" s="30"/>
      <c r="B1090" s="65"/>
      <c r="C1090" s="65"/>
      <c r="D1090" s="112"/>
      <c r="E1090" s="30"/>
      <c r="F1090" s="30"/>
      <c r="G1090" s="30"/>
      <c r="H1090" s="66"/>
      <c r="I1090" s="30"/>
      <c r="J1090" s="30"/>
      <c r="K1090" s="12"/>
      <c r="L1090" s="12"/>
    </row>
    <row r="1091" spans="1:12">
      <c r="A1091" s="30"/>
      <c r="B1091" s="65"/>
      <c r="C1091" s="65"/>
      <c r="D1091" s="112"/>
      <c r="E1091" s="30"/>
      <c r="F1091" s="30"/>
      <c r="G1091" s="30"/>
      <c r="H1091" s="66"/>
      <c r="I1091" s="30"/>
      <c r="J1091" s="30"/>
      <c r="K1091" s="12"/>
      <c r="L1091" s="12"/>
    </row>
    <row r="1092" spans="1:12">
      <c r="A1092" s="30"/>
      <c r="B1092" s="65"/>
      <c r="C1092" s="65"/>
      <c r="D1092" s="112"/>
      <c r="E1092" s="30"/>
      <c r="F1092" s="30"/>
      <c r="G1092" s="30"/>
      <c r="H1092" s="66"/>
      <c r="I1092" s="30"/>
      <c r="J1092" s="30"/>
      <c r="K1092" s="12"/>
      <c r="L1092" s="12"/>
    </row>
    <row r="1093" spans="1:12">
      <c r="A1093" s="30"/>
      <c r="B1093" s="65"/>
      <c r="C1093" s="65"/>
      <c r="D1093" s="112"/>
      <c r="E1093" s="30"/>
      <c r="F1093" s="30"/>
      <c r="G1093" s="30"/>
      <c r="H1093" s="66"/>
      <c r="I1093" s="30"/>
      <c r="J1093" s="30"/>
      <c r="K1093" s="12"/>
      <c r="L1093" s="12"/>
    </row>
    <row r="1094" spans="1:12">
      <c r="A1094" s="30"/>
      <c r="B1094" s="65"/>
      <c r="C1094" s="65"/>
      <c r="D1094" s="112"/>
      <c r="E1094" s="30"/>
      <c r="F1094" s="30"/>
      <c r="G1094" s="30"/>
      <c r="H1094" s="66"/>
      <c r="I1094" s="30"/>
      <c r="J1094" s="30"/>
      <c r="K1094" s="12"/>
      <c r="L1094" s="12"/>
    </row>
    <row r="1095" spans="1:12">
      <c r="A1095" s="30"/>
      <c r="B1095" s="65"/>
      <c r="C1095" s="65"/>
      <c r="D1095" s="112"/>
      <c r="E1095" s="30"/>
      <c r="F1095" s="30"/>
      <c r="G1095" s="30"/>
      <c r="H1095" s="66"/>
      <c r="I1095" s="30"/>
      <c r="J1095" s="30"/>
      <c r="K1095" s="12"/>
      <c r="L1095" s="12"/>
    </row>
    <row r="1096" spans="1:12">
      <c r="A1096" s="30"/>
      <c r="B1096" s="65"/>
      <c r="C1096" s="65"/>
      <c r="D1096" s="112"/>
      <c r="E1096" s="30"/>
      <c r="F1096" s="30"/>
      <c r="G1096" s="30"/>
      <c r="H1096" s="66"/>
      <c r="I1096" s="30"/>
      <c r="J1096" s="30"/>
      <c r="K1096" s="12"/>
      <c r="L1096" s="12"/>
    </row>
    <row r="1097" spans="1:12">
      <c r="A1097" s="30"/>
      <c r="B1097" s="65"/>
      <c r="C1097" s="65"/>
      <c r="D1097" s="112"/>
      <c r="E1097" s="30"/>
      <c r="F1097" s="30"/>
      <c r="G1097" s="30"/>
      <c r="H1097" s="66"/>
      <c r="I1097" s="30"/>
      <c r="J1097" s="30"/>
      <c r="K1097" s="12"/>
      <c r="L1097" s="12"/>
    </row>
    <row r="1098" spans="1:12">
      <c r="A1098" s="30"/>
      <c r="B1098" s="65"/>
      <c r="C1098" s="65"/>
      <c r="D1098" s="112"/>
      <c r="E1098" s="30"/>
      <c r="F1098" s="30"/>
      <c r="G1098" s="30"/>
      <c r="H1098" s="66"/>
      <c r="I1098" s="30"/>
      <c r="J1098" s="30"/>
      <c r="K1098" s="12"/>
      <c r="L1098" s="12"/>
    </row>
    <row r="1099" spans="1:12">
      <c r="A1099" s="30"/>
      <c r="B1099" s="65"/>
      <c r="C1099" s="65"/>
      <c r="D1099" s="112"/>
      <c r="E1099" s="30"/>
      <c r="F1099" s="30"/>
      <c r="G1099" s="30"/>
      <c r="H1099" s="66"/>
      <c r="I1099" s="30"/>
      <c r="J1099" s="30"/>
      <c r="K1099" s="12"/>
      <c r="L1099" s="12"/>
    </row>
    <row r="1100" spans="1:12">
      <c r="A1100" s="30"/>
      <c r="B1100" s="65"/>
      <c r="C1100" s="65"/>
      <c r="D1100" s="112"/>
      <c r="E1100" s="30"/>
      <c r="F1100" s="30"/>
      <c r="G1100" s="30"/>
      <c r="H1100" s="66"/>
      <c r="I1100" s="30"/>
      <c r="J1100" s="30"/>
      <c r="K1100" s="12"/>
      <c r="L1100" s="12"/>
    </row>
    <row r="1101" spans="1:12">
      <c r="A1101" s="30"/>
      <c r="B1101" s="65"/>
      <c r="C1101" s="65"/>
      <c r="D1101" s="112"/>
      <c r="E1101" s="30"/>
      <c r="F1101" s="30"/>
      <c r="G1101" s="30"/>
      <c r="H1101" s="66"/>
      <c r="I1101" s="30"/>
      <c r="J1101" s="30"/>
      <c r="K1101" s="12"/>
      <c r="L1101" s="12"/>
    </row>
    <row r="1102" spans="1:12">
      <c r="A1102" s="30"/>
      <c r="B1102" s="65"/>
      <c r="C1102" s="65"/>
      <c r="D1102" s="112"/>
      <c r="E1102" s="30"/>
      <c r="F1102" s="30"/>
      <c r="G1102" s="30"/>
      <c r="H1102" s="66"/>
      <c r="I1102" s="30"/>
      <c r="J1102" s="30"/>
      <c r="K1102" s="12"/>
      <c r="L1102" s="12"/>
    </row>
    <row r="1103" spans="1:12">
      <c r="A1103" s="30"/>
      <c r="B1103" s="65"/>
      <c r="C1103" s="65"/>
      <c r="D1103" s="112"/>
      <c r="E1103" s="30"/>
      <c r="F1103" s="30"/>
      <c r="G1103" s="30"/>
      <c r="H1103" s="66"/>
      <c r="I1103" s="30"/>
      <c r="J1103" s="30"/>
      <c r="K1103" s="12"/>
      <c r="L1103" s="12"/>
    </row>
    <row r="1104" spans="1:12">
      <c r="A1104" s="30"/>
      <c r="B1104" s="65"/>
      <c r="C1104" s="65"/>
      <c r="D1104" s="112"/>
      <c r="E1104" s="30"/>
      <c r="F1104" s="30"/>
      <c r="G1104" s="30"/>
      <c r="H1104" s="66"/>
      <c r="I1104" s="30"/>
      <c r="J1104" s="30"/>
      <c r="K1104" s="12"/>
      <c r="L1104" s="12"/>
    </row>
    <row r="1105" spans="1:12">
      <c r="A1105" s="30"/>
      <c r="B1105" s="65"/>
      <c r="C1105" s="65"/>
      <c r="D1105" s="112"/>
      <c r="E1105" s="30"/>
      <c r="F1105" s="30"/>
      <c r="G1105" s="30"/>
      <c r="H1105" s="66"/>
      <c r="I1105" s="30"/>
      <c r="J1105" s="30"/>
      <c r="K1105" s="12"/>
      <c r="L1105" s="12"/>
    </row>
    <row r="1106" spans="1:12">
      <c r="A1106" s="30"/>
      <c r="B1106" s="65"/>
      <c r="C1106" s="65"/>
      <c r="D1106" s="112"/>
      <c r="E1106" s="30"/>
      <c r="F1106" s="30"/>
      <c r="G1106" s="30"/>
      <c r="H1106" s="66"/>
      <c r="I1106" s="30"/>
      <c r="J1106" s="30"/>
      <c r="K1106" s="12"/>
      <c r="L1106" s="12"/>
    </row>
    <row r="1107" spans="1:12">
      <c r="A1107" s="30"/>
      <c r="B1107" s="65"/>
      <c r="C1107" s="65"/>
      <c r="D1107" s="112"/>
      <c r="E1107" s="30"/>
      <c r="F1107" s="30"/>
      <c r="G1107" s="30"/>
      <c r="H1107" s="66"/>
      <c r="I1107" s="30"/>
      <c r="J1107" s="30"/>
      <c r="K1107" s="12"/>
      <c r="L1107" s="12"/>
    </row>
    <row r="1108" spans="1:12">
      <c r="A1108" s="30"/>
      <c r="B1108" s="65"/>
      <c r="C1108" s="65"/>
      <c r="D1108" s="112"/>
      <c r="E1108" s="30"/>
      <c r="F1108" s="30"/>
      <c r="G1108" s="30"/>
      <c r="H1108" s="66"/>
      <c r="I1108" s="30"/>
      <c r="J1108" s="30"/>
      <c r="K1108" s="12"/>
      <c r="L1108" s="12"/>
    </row>
    <row r="1109" spans="1:12">
      <c r="A1109" s="30"/>
      <c r="B1109" s="65"/>
      <c r="C1109" s="65"/>
      <c r="D1109" s="112"/>
      <c r="E1109" s="30"/>
      <c r="F1109" s="30"/>
      <c r="G1109" s="30"/>
      <c r="H1109" s="66"/>
      <c r="I1109" s="30"/>
      <c r="J1109" s="30"/>
      <c r="K1109" s="12"/>
      <c r="L1109" s="12"/>
    </row>
    <row r="1110" spans="1:12">
      <c r="A1110" s="30"/>
      <c r="B1110" s="65"/>
      <c r="C1110" s="65"/>
      <c r="D1110" s="112"/>
      <c r="E1110" s="30"/>
      <c r="F1110" s="30"/>
      <c r="G1110" s="30"/>
      <c r="H1110" s="66"/>
      <c r="I1110" s="30"/>
      <c r="J1110" s="30"/>
      <c r="K1110" s="12"/>
      <c r="L1110" s="12"/>
    </row>
    <row r="1111" spans="1:12">
      <c r="A1111" s="30"/>
      <c r="B1111" s="65"/>
      <c r="C1111" s="65"/>
      <c r="D1111" s="112"/>
      <c r="E1111" s="30"/>
      <c r="F1111" s="30"/>
      <c r="G1111" s="30"/>
      <c r="H1111" s="66"/>
      <c r="I1111" s="30"/>
      <c r="J1111" s="30"/>
      <c r="K1111" s="12"/>
      <c r="L1111" s="12"/>
    </row>
    <row r="1112" spans="1:12">
      <c r="A1112" s="30"/>
      <c r="B1112" s="65"/>
      <c r="C1112" s="65"/>
      <c r="D1112" s="112"/>
      <c r="E1112" s="30"/>
      <c r="F1112" s="30"/>
      <c r="G1112" s="30"/>
      <c r="H1112" s="66"/>
      <c r="I1112" s="30"/>
      <c r="J1112" s="30"/>
      <c r="K1112" s="12"/>
      <c r="L1112" s="12"/>
    </row>
    <row r="1113" spans="1:12">
      <c r="A1113" s="30"/>
      <c r="B1113" s="65"/>
      <c r="C1113" s="65"/>
      <c r="D1113" s="112"/>
      <c r="E1113" s="30"/>
      <c r="F1113" s="30"/>
      <c r="G1113" s="30"/>
      <c r="H1113" s="66"/>
      <c r="I1113" s="30"/>
      <c r="J1113" s="30"/>
      <c r="K1113" s="12"/>
      <c r="L1113" s="12"/>
    </row>
    <row r="1114" spans="1:12">
      <c r="A1114" s="30"/>
      <c r="B1114" s="65"/>
      <c r="C1114" s="65"/>
      <c r="D1114" s="112"/>
      <c r="E1114" s="30"/>
      <c r="F1114" s="30"/>
      <c r="G1114" s="30"/>
      <c r="H1114" s="66"/>
      <c r="I1114" s="30"/>
      <c r="J1114" s="30"/>
      <c r="K1114" s="12"/>
      <c r="L1114" s="12"/>
    </row>
    <row r="1115" spans="1:12">
      <c r="A1115" s="30"/>
      <c r="B1115" s="65"/>
      <c r="C1115" s="65"/>
      <c r="D1115" s="112"/>
      <c r="E1115" s="30"/>
      <c r="F1115" s="30"/>
      <c r="G1115" s="30"/>
      <c r="H1115" s="66"/>
      <c r="I1115" s="30"/>
      <c r="J1115" s="30"/>
      <c r="K1115" s="12"/>
      <c r="L1115" s="12"/>
    </row>
    <row r="1116" spans="1:12">
      <c r="A1116" s="30"/>
      <c r="B1116" s="65"/>
      <c r="C1116" s="65"/>
      <c r="D1116" s="112"/>
      <c r="E1116" s="30"/>
      <c r="F1116" s="30"/>
      <c r="G1116" s="30"/>
      <c r="H1116" s="66"/>
      <c r="I1116" s="30"/>
      <c r="J1116" s="30"/>
      <c r="K1116" s="12"/>
      <c r="L1116" s="12"/>
    </row>
    <row r="1117" spans="1:12">
      <c r="A1117" s="30"/>
      <c r="B1117" s="65"/>
      <c r="C1117" s="65"/>
      <c r="D1117" s="112"/>
      <c r="E1117" s="30"/>
      <c r="F1117" s="30"/>
      <c r="G1117" s="30"/>
      <c r="H1117" s="66"/>
      <c r="I1117" s="30"/>
      <c r="J1117" s="30"/>
      <c r="K1117" s="12"/>
      <c r="L1117" s="12"/>
    </row>
    <row r="1118" spans="1:12">
      <c r="A1118" s="30"/>
      <c r="B1118" s="65"/>
      <c r="C1118" s="65"/>
      <c r="D1118" s="112"/>
      <c r="E1118" s="30"/>
      <c r="F1118" s="30"/>
      <c r="G1118" s="30"/>
      <c r="H1118" s="66"/>
      <c r="I1118" s="30"/>
      <c r="J1118" s="30"/>
      <c r="K1118" s="12"/>
      <c r="L1118" s="12"/>
    </row>
    <row r="1119" spans="1:12">
      <c r="A1119" s="30"/>
      <c r="B1119" s="65"/>
      <c r="C1119" s="65"/>
      <c r="D1119" s="112"/>
      <c r="E1119" s="30"/>
      <c r="F1119" s="30"/>
      <c r="G1119" s="30"/>
      <c r="H1119" s="66"/>
      <c r="I1119" s="30"/>
      <c r="J1119" s="30"/>
      <c r="K1119" s="12"/>
      <c r="L1119" s="12"/>
    </row>
    <row r="1120" spans="1:12">
      <c r="A1120" s="30"/>
      <c r="B1120" s="65"/>
      <c r="C1120" s="65"/>
      <c r="D1120" s="112"/>
      <c r="E1120" s="30"/>
      <c r="F1120" s="30"/>
      <c r="G1120" s="30"/>
      <c r="H1120" s="66"/>
      <c r="I1120" s="30"/>
      <c r="J1120" s="30"/>
      <c r="K1120" s="12"/>
      <c r="L1120" s="12"/>
    </row>
    <row r="1121" spans="1:12">
      <c r="A1121" s="30"/>
      <c r="B1121" s="65"/>
      <c r="C1121" s="65"/>
      <c r="D1121" s="112"/>
      <c r="E1121" s="30"/>
      <c r="F1121" s="30"/>
      <c r="G1121" s="30"/>
      <c r="H1121" s="66"/>
      <c r="I1121" s="30"/>
      <c r="J1121" s="30"/>
      <c r="K1121" s="12"/>
      <c r="L1121" s="12"/>
    </row>
    <row r="1122" spans="1:12">
      <c r="A1122" s="30"/>
      <c r="B1122" s="65"/>
      <c r="C1122" s="65"/>
      <c r="D1122" s="112"/>
      <c r="E1122" s="30"/>
      <c r="F1122" s="30"/>
      <c r="G1122" s="30"/>
      <c r="H1122" s="66"/>
      <c r="I1122" s="30"/>
      <c r="J1122" s="30"/>
      <c r="K1122" s="12"/>
      <c r="L1122" s="12"/>
    </row>
    <row r="1123" spans="1:12">
      <c r="A1123" s="30"/>
      <c r="B1123" s="65"/>
      <c r="C1123" s="65"/>
      <c r="D1123" s="112"/>
      <c r="E1123" s="30"/>
      <c r="F1123" s="30"/>
      <c r="G1123" s="30"/>
      <c r="H1123" s="66"/>
      <c r="I1123" s="30"/>
      <c r="J1123" s="30"/>
      <c r="K1123" s="12"/>
      <c r="L1123" s="12"/>
    </row>
    <row r="1124" spans="1:12">
      <c r="A1124" s="30"/>
      <c r="B1124" s="65"/>
      <c r="C1124" s="65"/>
      <c r="D1124" s="112"/>
      <c r="E1124" s="30"/>
      <c r="F1124" s="30"/>
      <c r="G1124" s="30"/>
      <c r="H1124" s="66"/>
      <c r="I1124" s="30"/>
      <c r="J1124" s="30"/>
      <c r="K1124" s="12"/>
      <c r="L1124" s="12"/>
    </row>
    <row r="1125" spans="1:12">
      <c r="A1125" s="30"/>
      <c r="B1125" s="65"/>
      <c r="C1125" s="65"/>
      <c r="D1125" s="112"/>
      <c r="E1125" s="30"/>
      <c r="F1125" s="30"/>
      <c r="G1125" s="30"/>
      <c r="H1125" s="66"/>
      <c r="I1125" s="30"/>
      <c r="J1125" s="30"/>
      <c r="K1125" s="12"/>
      <c r="L1125" s="12"/>
    </row>
    <row r="1126" spans="1:12">
      <c r="A1126" s="30"/>
      <c r="B1126" s="65"/>
      <c r="C1126" s="65"/>
      <c r="D1126" s="112"/>
      <c r="E1126" s="30"/>
      <c r="F1126" s="30"/>
      <c r="G1126" s="30"/>
      <c r="H1126" s="66"/>
      <c r="I1126" s="30"/>
      <c r="J1126" s="30"/>
      <c r="K1126" s="12"/>
      <c r="L1126" s="12"/>
    </row>
    <row r="1127" spans="1:12">
      <c r="A1127" s="30"/>
      <c r="B1127" s="65"/>
      <c r="C1127" s="65"/>
      <c r="D1127" s="112"/>
      <c r="E1127" s="30"/>
      <c r="F1127" s="30"/>
      <c r="G1127" s="30"/>
      <c r="H1127" s="66"/>
      <c r="I1127" s="30"/>
      <c r="J1127" s="30"/>
      <c r="K1127" s="12"/>
      <c r="L1127" s="12"/>
    </row>
    <row r="1128" spans="1:12">
      <c r="A1128" s="30"/>
      <c r="B1128" s="65"/>
      <c r="C1128" s="65"/>
      <c r="D1128" s="112"/>
      <c r="E1128" s="30"/>
      <c r="F1128" s="30"/>
      <c r="G1128" s="30"/>
      <c r="H1128" s="66"/>
      <c r="I1128" s="30"/>
      <c r="J1128" s="30"/>
      <c r="K1128" s="12"/>
      <c r="L1128" s="12"/>
    </row>
    <row r="1129" spans="1:12">
      <c r="A1129" s="30"/>
      <c r="B1129" s="65"/>
      <c r="C1129" s="65"/>
      <c r="D1129" s="112"/>
      <c r="E1129" s="30"/>
      <c r="F1129" s="30"/>
      <c r="G1129" s="30"/>
      <c r="H1129" s="66"/>
      <c r="I1129" s="30"/>
      <c r="J1129" s="30"/>
      <c r="K1129" s="12"/>
      <c r="L1129" s="12"/>
    </row>
    <row r="1130" spans="1:12">
      <c r="A1130" s="30"/>
      <c r="B1130" s="65"/>
      <c r="C1130" s="65"/>
      <c r="D1130" s="112"/>
      <c r="E1130" s="30"/>
      <c r="F1130" s="30"/>
      <c r="G1130" s="30"/>
      <c r="H1130" s="66"/>
      <c r="I1130" s="30"/>
      <c r="J1130" s="30"/>
      <c r="K1130" s="12"/>
      <c r="L1130" s="12"/>
    </row>
    <row r="1131" spans="1:12">
      <c r="A1131" s="30"/>
      <c r="B1131" s="65"/>
      <c r="C1131" s="65"/>
      <c r="D1131" s="112"/>
      <c r="E1131" s="30"/>
      <c r="F1131" s="30"/>
      <c r="G1131" s="30"/>
      <c r="H1131" s="66"/>
      <c r="I1131" s="30"/>
      <c r="J1131" s="30"/>
      <c r="K1131" s="12"/>
      <c r="L1131" s="12"/>
    </row>
    <row r="1132" spans="1:12">
      <c r="A1132" s="30"/>
      <c r="B1132" s="65"/>
      <c r="C1132" s="65"/>
      <c r="D1132" s="112"/>
      <c r="E1132" s="30"/>
      <c r="F1132" s="30"/>
      <c r="G1132" s="30"/>
      <c r="H1132" s="66"/>
      <c r="I1132" s="30"/>
      <c r="J1132" s="30"/>
      <c r="K1132" s="12"/>
      <c r="L1132" s="12"/>
    </row>
    <row r="1133" spans="1:12">
      <c r="A1133" s="30"/>
      <c r="B1133" s="65"/>
      <c r="C1133" s="65"/>
      <c r="D1133" s="112"/>
      <c r="E1133" s="30"/>
      <c r="F1133" s="30"/>
      <c r="G1133" s="30"/>
      <c r="H1133" s="66"/>
      <c r="I1133" s="30"/>
      <c r="J1133" s="30"/>
      <c r="K1133" s="12"/>
      <c r="L1133" s="12"/>
    </row>
    <row r="1134" spans="1:12">
      <c r="A1134" s="30"/>
      <c r="B1134" s="65"/>
      <c r="C1134" s="65"/>
      <c r="D1134" s="112"/>
      <c r="E1134" s="30"/>
      <c r="F1134" s="30"/>
      <c r="G1134" s="30"/>
      <c r="H1134" s="66"/>
      <c r="I1134" s="30"/>
      <c r="J1134" s="30"/>
      <c r="K1134" s="12"/>
      <c r="L1134" s="12"/>
    </row>
    <row r="1135" spans="1:12">
      <c r="A1135" s="30"/>
      <c r="B1135" s="65"/>
      <c r="C1135" s="65"/>
      <c r="D1135" s="112"/>
      <c r="E1135" s="30"/>
      <c r="F1135" s="30"/>
      <c r="G1135" s="30"/>
      <c r="H1135" s="66"/>
      <c r="I1135" s="30"/>
      <c r="J1135" s="30"/>
      <c r="K1135" s="12"/>
      <c r="L1135" s="12"/>
    </row>
    <row r="1136" spans="1:12">
      <c r="A1136" s="30"/>
      <c r="B1136" s="65"/>
      <c r="C1136" s="65"/>
      <c r="D1136" s="112"/>
      <c r="E1136" s="30"/>
      <c r="F1136" s="30"/>
      <c r="G1136" s="30"/>
      <c r="H1136" s="66"/>
      <c r="I1136" s="30"/>
      <c r="J1136" s="30"/>
      <c r="K1136" s="12"/>
      <c r="L1136" s="12"/>
    </row>
    <row r="1137" spans="1:12">
      <c r="A1137" s="30"/>
      <c r="B1137" s="65"/>
      <c r="C1137" s="65"/>
      <c r="D1137" s="112"/>
      <c r="E1137" s="30"/>
      <c r="F1137" s="30"/>
      <c r="G1137" s="30"/>
      <c r="H1137" s="66"/>
      <c r="I1137" s="30"/>
      <c r="J1137" s="30"/>
      <c r="K1137" s="12"/>
      <c r="L1137" s="12"/>
    </row>
    <row r="1138" spans="1:12">
      <c r="A1138" s="30"/>
      <c r="B1138" s="65"/>
      <c r="C1138" s="65"/>
      <c r="D1138" s="112"/>
      <c r="E1138" s="30"/>
      <c r="F1138" s="30"/>
      <c r="G1138" s="30"/>
      <c r="H1138" s="66"/>
      <c r="I1138" s="30"/>
      <c r="J1138" s="30"/>
      <c r="K1138" s="12"/>
      <c r="L1138" s="12"/>
    </row>
    <row r="1139" spans="1:12">
      <c r="A1139" s="30"/>
      <c r="B1139" s="65"/>
      <c r="C1139" s="65"/>
      <c r="D1139" s="112"/>
      <c r="E1139" s="30"/>
      <c r="F1139" s="30"/>
      <c r="G1139" s="30"/>
      <c r="H1139" s="66"/>
      <c r="I1139" s="30"/>
      <c r="J1139" s="30"/>
      <c r="K1139" s="12"/>
      <c r="L1139" s="12"/>
    </row>
    <row r="1140" spans="1:12">
      <c r="A1140" s="30"/>
      <c r="B1140" s="65"/>
      <c r="C1140" s="65"/>
      <c r="D1140" s="112"/>
      <c r="E1140" s="30"/>
      <c r="F1140" s="30"/>
      <c r="G1140" s="30"/>
      <c r="H1140" s="66"/>
      <c r="I1140" s="30"/>
      <c r="J1140" s="30"/>
      <c r="K1140" s="12"/>
      <c r="L1140" s="12"/>
    </row>
    <row r="1141" spans="1:12">
      <c r="A1141" s="30"/>
      <c r="B1141" s="65"/>
      <c r="C1141" s="65"/>
      <c r="D1141" s="112"/>
      <c r="E1141" s="30"/>
      <c r="F1141" s="30"/>
      <c r="G1141" s="30"/>
      <c r="H1141" s="66"/>
      <c r="I1141" s="30"/>
      <c r="J1141" s="30"/>
      <c r="K1141" s="12"/>
      <c r="L1141" s="12"/>
    </row>
    <row r="1142" spans="1:12">
      <c r="A1142" s="30"/>
      <c r="B1142" s="65"/>
      <c r="C1142" s="65"/>
      <c r="D1142" s="112"/>
      <c r="E1142" s="30"/>
      <c r="F1142" s="30"/>
      <c r="G1142" s="30"/>
      <c r="H1142" s="66"/>
      <c r="I1142" s="30"/>
      <c r="J1142" s="30"/>
      <c r="K1142" s="12"/>
      <c r="L1142" s="12"/>
    </row>
    <row r="1143" spans="1:12">
      <c r="A1143" s="30"/>
      <c r="B1143" s="65"/>
      <c r="C1143" s="65"/>
      <c r="D1143" s="112"/>
      <c r="E1143" s="30"/>
      <c r="F1143" s="30"/>
      <c r="G1143" s="30"/>
      <c r="H1143" s="66"/>
      <c r="I1143" s="30"/>
      <c r="J1143" s="30"/>
      <c r="K1143" s="12"/>
      <c r="L1143" s="12"/>
    </row>
    <row r="1144" spans="1:12">
      <c r="A1144" s="30"/>
      <c r="B1144" s="65"/>
      <c r="C1144" s="65"/>
      <c r="D1144" s="112"/>
      <c r="E1144" s="30"/>
      <c r="F1144" s="30"/>
      <c r="G1144" s="30"/>
      <c r="H1144" s="66"/>
      <c r="I1144" s="30"/>
      <c r="J1144" s="30"/>
      <c r="K1144" s="12"/>
      <c r="L1144" s="12"/>
    </row>
    <row r="1145" spans="1:12">
      <c r="A1145" s="30"/>
      <c r="B1145" s="65"/>
      <c r="C1145" s="65"/>
      <c r="D1145" s="112"/>
      <c r="E1145" s="30"/>
      <c r="F1145" s="30"/>
      <c r="G1145" s="30"/>
      <c r="H1145" s="66"/>
      <c r="I1145" s="30"/>
      <c r="J1145" s="30"/>
      <c r="K1145" s="12"/>
      <c r="L1145" s="12"/>
    </row>
    <row r="1146" spans="1:12">
      <c r="A1146" s="30"/>
      <c r="B1146" s="65"/>
      <c r="C1146" s="65"/>
      <c r="D1146" s="112"/>
      <c r="E1146" s="30"/>
      <c r="F1146" s="30"/>
      <c r="G1146" s="30"/>
      <c r="H1146" s="66"/>
      <c r="I1146" s="30"/>
      <c r="J1146" s="30"/>
      <c r="K1146" s="12"/>
      <c r="L1146" s="12"/>
    </row>
    <row r="1147" spans="1:12">
      <c r="A1147" s="30"/>
      <c r="B1147" s="65"/>
      <c r="C1147" s="65"/>
      <c r="D1147" s="112"/>
      <c r="E1147" s="30"/>
      <c r="F1147" s="30"/>
      <c r="G1147" s="30"/>
      <c r="H1147" s="66"/>
      <c r="I1147" s="30"/>
      <c r="J1147" s="30"/>
      <c r="K1147" s="12"/>
      <c r="L1147" s="12"/>
    </row>
    <row r="1148" spans="1:12">
      <c r="A1148" s="30"/>
      <c r="B1148" s="65"/>
      <c r="C1148" s="65"/>
      <c r="D1148" s="112"/>
      <c r="E1148" s="30"/>
      <c r="F1148" s="30"/>
      <c r="G1148" s="30"/>
      <c r="H1148" s="66"/>
      <c r="I1148" s="30"/>
      <c r="J1148" s="30"/>
      <c r="K1148" s="12"/>
      <c r="L1148" s="12"/>
    </row>
    <row r="1149" spans="1:12">
      <c r="A1149" s="30"/>
      <c r="B1149" s="65"/>
      <c r="C1149" s="65"/>
      <c r="D1149" s="112"/>
      <c r="E1149" s="30"/>
      <c r="F1149" s="30"/>
      <c r="G1149" s="30"/>
      <c r="H1149" s="66"/>
      <c r="I1149" s="30"/>
      <c r="J1149" s="30"/>
      <c r="K1149" s="12"/>
      <c r="L1149" s="12"/>
    </row>
    <row r="1150" spans="1:12">
      <c r="A1150" s="30"/>
      <c r="B1150" s="65"/>
      <c r="C1150" s="65"/>
      <c r="D1150" s="112"/>
      <c r="E1150" s="30"/>
      <c r="F1150" s="30"/>
      <c r="G1150" s="30"/>
      <c r="H1150" s="66"/>
      <c r="I1150" s="30"/>
      <c r="J1150" s="30"/>
      <c r="K1150" s="12"/>
      <c r="L1150" s="12"/>
    </row>
    <row r="1151" spans="1:12">
      <c r="A1151" s="30"/>
      <c r="B1151" s="65"/>
      <c r="C1151" s="65"/>
      <c r="D1151" s="112"/>
      <c r="E1151" s="30"/>
      <c r="F1151" s="30"/>
      <c r="G1151" s="30"/>
      <c r="H1151" s="66"/>
      <c r="I1151" s="30"/>
      <c r="J1151" s="30"/>
      <c r="K1151" s="12"/>
      <c r="L1151" s="12"/>
    </row>
    <row r="1152" spans="1:12">
      <c r="A1152" s="30"/>
      <c r="B1152" s="65"/>
      <c r="C1152" s="65"/>
      <c r="D1152" s="112"/>
      <c r="E1152" s="30"/>
      <c r="F1152" s="30"/>
      <c r="G1152" s="30"/>
      <c r="H1152" s="66"/>
      <c r="I1152" s="30"/>
      <c r="J1152" s="30"/>
      <c r="K1152" s="12"/>
      <c r="L1152" s="12"/>
    </row>
    <row r="1153" spans="1:12">
      <c r="A1153" s="30"/>
      <c r="B1153" s="65"/>
      <c r="C1153" s="65"/>
      <c r="D1153" s="112"/>
      <c r="E1153" s="30"/>
      <c r="F1153" s="30"/>
      <c r="G1153" s="30"/>
      <c r="H1153" s="66"/>
      <c r="I1153" s="30"/>
      <c r="J1153" s="30"/>
      <c r="K1153" s="12"/>
      <c r="L1153" s="12"/>
    </row>
    <row r="1154" spans="1:12">
      <c r="A1154" s="30"/>
      <c r="B1154" s="65"/>
      <c r="C1154" s="65"/>
      <c r="D1154" s="112"/>
      <c r="E1154" s="30"/>
      <c r="F1154" s="30"/>
      <c r="G1154" s="30"/>
      <c r="H1154" s="66"/>
      <c r="I1154" s="30"/>
      <c r="J1154" s="30"/>
      <c r="K1154" s="12"/>
      <c r="L1154" s="12"/>
    </row>
    <row r="1155" spans="1:12">
      <c r="A1155" s="30"/>
      <c r="B1155" s="65"/>
      <c r="C1155" s="65"/>
      <c r="D1155" s="112"/>
      <c r="E1155" s="30"/>
      <c r="F1155" s="30"/>
      <c r="G1155" s="30"/>
      <c r="H1155" s="66"/>
      <c r="I1155" s="30"/>
      <c r="J1155" s="30"/>
      <c r="K1155" s="12"/>
      <c r="L1155" s="12"/>
    </row>
    <row r="1156" spans="1:12">
      <c r="A1156" s="30"/>
      <c r="B1156" s="65"/>
      <c r="C1156" s="65"/>
      <c r="D1156" s="112"/>
      <c r="E1156" s="30"/>
      <c r="F1156" s="30"/>
      <c r="G1156" s="30"/>
      <c r="H1156" s="66"/>
      <c r="I1156" s="30"/>
      <c r="J1156" s="30"/>
      <c r="K1156" s="12"/>
      <c r="L1156" s="12"/>
    </row>
    <row r="1157" spans="1:12">
      <c r="A1157" s="30"/>
      <c r="B1157" s="65"/>
      <c r="C1157" s="65"/>
      <c r="D1157" s="112"/>
      <c r="E1157" s="30"/>
      <c r="F1157" s="30"/>
      <c r="G1157" s="30"/>
      <c r="H1157" s="66"/>
      <c r="I1157" s="30"/>
      <c r="J1157" s="30"/>
      <c r="K1157" s="12"/>
      <c r="L1157" s="12"/>
    </row>
    <row r="1158" spans="1:12">
      <c r="A1158" s="30"/>
      <c r="B1158" s="65"/>
      <c r="C1158" s="65"/>
      <c r="D1158" s="112"/>
      <c r="E1158" s="30"/>
      <c r="F1158" s="30"/>
      <c r="G1158" s="30"/>
      <c r="H1158" s="66"/>
      <c r="I1158" s="30"/>
      <c r="J1158" s="30"/>
      <c r="K1158" s="12"/>
      <c r="L1158" s="12"/>
    </row>
    <row r="1159" spans="1:12">
      <c r="A1159" s="30"/>
      <c r="B1159" s="65"/>
      <c r="C1159" s="65"/>
      <c r="D1159" s="112"/>
      <c r="E1159" s="30"/>
      <c r="F1159" s="30"/>
      <c r="G1159" s="30"/>
      <c r="H1159" s="66"/>
      <c r="I1159" s="30"/>
      <c r="J1159" s="30"/>
      <c r="K1159" s="12"/>
      <c r="L1159" s="12"/>
    </row>
    <row r="1160" spans="1:12">
      <c r="A1160" s="30"/>
      <c r="B1160" s="65"/>
      <c r="C1160" s="65"/>
      <c r="D1160" s="112"/>
      <c r="E1160" s="30"/>
      <c r="F1160" s="30"/>
      <c r="G1160" s="30"/>
      <c r="H1160" s="66"/>
      <c r="I1160" s="30"/>
      <c r="J1160" s="30"/>
      <c r="K1160" s="12"/>
      <c r="L1160" s="12"/>
    </row>
    <row r="1161" spans="1:12">
      <c r="A1161" s="30"/>
      <c r="B1161" s="65"/>
      <c r="C1161" s="65"/>
      <c r="D1161" s="112"/>
      <c r="E1161" s="30"/>
      <c r="F1161" s="30"/>
      <c r="G1161" s="30"/>
      <c r="H1161" s="66"/>
      <c r="I1161" s="30"/>
      <c r="J1161" s="30"/>
      <c r="K1161" s="12"/>
      <c r="L1161" s="12"/>
    </row>
    <row r="1162" spans="1:12">
      <c r="A1162" s="30"/>
      <c r="B1162" s="65"/>
      <c r="C1162" s="65"/>
      <c r="D1162" s="112"/>
      <c r="E1162" s="30"/>
      <c r="F1162" s="30"/>
      <c r="G1162" s="30"/>
      <c r="H1162" s="66"/>
      <c r="I1162" s="30"/>
      <c r="J1162" s="30"/>
      <c r="K1162" s="12"/>
      <c r="L1162" s="12"/>
    </row>
    <row r="1163" spans="1:12">
      <c r="A1163" s="30"/>
      <c r="B1163" s="65"/>
      <c r="C1163" s="65"/>
      <c r="D1163" s="112"/>
      <c r="E1163" s="30"/>
      <c r="F1163" s="30"/>
      <c r="G1163" s="30"/>
      <c r="H1163" s="66"/>
      <c r="I1163" s="30"/>
      <c r="J1163" s="30"/>
      <c r="K1163" s="12"/>
      <c r="L1163" s="12"/>
    </row>
    <row r="1164" spans="1:12">
      <c r="A1164" s="30"/>
      <c r="B1164" s="65"/>
      <c r="C1164" s="65"/>
      <c r="D1164" s="112"/>
      <c r="E1164" s="30"/>
      <c r="F1164" s="30"/>
      <c r="G1164" s="30"/>
      <c r="H1164" s="66"/>
      <c r="I1164" s="30"/>
      <c r="J1164" s="30"/>
      <c r="K1164" s="12"/>
      <c r="L1164" s="12"/>
    </row>
    <row r="1165" spans="1:12">
      <c r="A1165" s="30"/>
      <c r="B1165" s="65"/>
      <c r="C1165" s="65"/>
      <c r="D1165" s="112"/>
      <c r="E1165" s="30"/>
      <c r="F1165" s="30"/>
      <c r="G1165" s="30"/>
      <c r="H1165" s="66"/>
      <c r="I1165" s="30"/>
      <c r="J1165" s="30"/>
      <c r="K1165" s="12"/>
      <c r="L1165" s="12"/>
    </row>
    <row r="1166" spans="1:12">
      <c r="A1166" s="30"/>
      <c r="B1166" s="65"/>
      <c r="C1166" s="65"/>
      <c r="D1166" s="112"/>
      <c r="E1166" s="30"/>
      <c r="F1166" s="30"/>
      <c r="G1166" s="30"/>
      <c r="H1166" s="66"/>
      <c r="I1166" s="30"/>
      <c r="J1166" s="30"/>
      <c r="K1166" s="12"/>
      <c r="L1166" s="12"/>
    </row>
    <row r="1167" spans="1:12">
      <c r="A1167" s="30"/>
      <c r="B1167" s="65"/>
      <c r="C1167" s="65"/>
      <c r="D1167" s="112"/>
      <c r="E1167" s="30"/>
      <c r="F1167" s="30"/>
      <c r="G1167" s="30"/>
      <c r="H1167" s="66"/>
      <c r="I1167" s="30"/>
      <c r="J1167" s="30"/>
      <c r="K1167" s="12"/>
      <c r="L1167" s="12"/>
    </row>
    <row r="1168" spans="1:12">
      <c r="A1168" s="30"/>
      <c r="B1168" s="65"/>
      <c r="C1168" s="65"/>
      <c r="D1168" s="112"/>
      <c r="E1168" s="30"/>
      <c r="F1168" s="30"/>
      <c r="G1168" s="30"/>
      <c r="H1168" s="66"/>
      <c r="I1168" s="30"/>
      <c r="J1168" s="30"/>
      <c r="K1168" s="12"/>
      <c r="L1168" s="12"/>
    </row>
    <row r="1169" spans="1:12">
      <c r="A1169" s="30"/>
      <c r="B1169" s="65"/>
      <c r="C1169" s="65"/>
      <c r="D1169" s="112"/>
      <c r="E1169" s="30"/>
      <c r="F1169" s="30"/>
      <c r="G1169" s="30"/>
      <c r="H1169" s="66"/>
      <c r="I1169" s="30"/>
      <c r="J1169" s="30"/>
      <c r="K1169" s="12"/>
      <c r="L1169" s="12"/>
    </row>
    <row r="1170" spans="1:12">
      <c r="A1170" s="30"/>
      <c r="B1170" s="65"/>
      <c r="C1170" s="65"/>
      <c r="D1170" s="112"/>
      <c r="E1170" s="30"/>
      <c r="F1170" s="30"/>
      <c r="G1170" s="30"/>
      <c r="H1170" s="66"/>
      <c r="I1170" s="30"/>
      <c r="J1170" s="30"/>
      <c r="K1170" s="12"/>
      <c r="L1170" s="12"/>
    </row>
    <row r="1171" spans="1:12">
      <c r="A1171" s="30"/>
      <c r="B1171" s="65"/>
      <c r="C1171" s="65"/>
      <c r="D1171" s="112"/>
      <c r="E1171" s="30"/>
      <c r="F1171" s="30"/>
      <c r="G1171" s="30"/>
      <c r="H1171" s="66"/>
      <c r="I1171" s="30"/>
      <c r="J1171" s="30"/>
      <c r="K1171" s="12"/>
      <c r="L1171" s="12"/>
    </row>
    <row r="1172" spans="1:12">
      <c r="A1172" s="30"/>
      <c r="B1172" s="65"/>
      <c r="C1172" s="65"/>
      <c r="D1172" s="112"/>
      <c r="E1172" s="30"/>
      <c r="F1172" s="30"/>
      <c r="G1172" s="30"/>
      <c r="H1172" s="66"/>
      <c r="I1172" s="30"/>
      <c r="J1172" s="30"/>
      <c r="K1172" s="12"/>
      <c r="L1172" s="12"/>
    </row>
    <row r="1173" spans="1:12">
      <c r="A1173" s="30"/>
      <c r="B1173" s="65"/>
      <c r="C1173" s="65"/>
      <c r="D1173" s="112"/>
      <c r="E1173" s="30"/>
      <c r="F1173" s="30"/>
      <c r="G1173" s="30"/>
      <c r="H1173" s="66"/>
      <c r="I1173" s="30"/>
      <c r="J1173" s="30"/>
      <c r="K1173" s="12"/>
      <c r="L1173" s="12"/>
    </row>
    <row r="1174" spans="1:12">
      <c r="A1174" s="30"/>
      <c r="B1174" s="65"/>
      <c r="C1174" s="65"/>
      <c r="D1174" s="112"/>
      <c r="E1174" s="30"/>
      <c r="F1174" s="30"/>
      <c r="G1174" s="30"/>
      <c r="H1174" s="66"/>
      <c r="I1174" s="30"/>
      <c r="J1174" s="30"/>
      <c r="K1174" s="12"/>
      <c r="L1174" s="12"/>
    </row>
    <row r="1175" spans="1:12">
      <c r="A1175" s="30"/>
      <c r="B1175" s="65"/>
      <c r="C1175" s="65"/>
      <c r="D1175" s="112"/>
      <c r="E1175" s="30"/>
      <c r="F1175" s="30"/>
      <c r="G1175" s="30"/>
      <c r="H1175" s="66"/>
      <c r="I1175" s="30"/>
      <c r="J1175" s="30"/>
      <c r="K1175" s="12"/>
      <c r="L1175" s="12"/>
    </row>
    <row r="1176" spans="1:12">
      <c r="A1176" s="30"/>
      <c r="B1176" s="65"/>
      <c r="C1176" s="65"/>
      <c r="D1176" s="112"/>
      <c r="E1176" s="30"/>
      <c r="F1176" s="30"/>
      <c r="G1176" s="30"/>
      <c r="H1176" s="66"/>
      <c r="I1176" s="30"/>
      <c r="J1176" s="30"/>
      <c r="K1176" s="12"/>
      <c r="L1176" s="12"/>
    </row>
    <row r="1177" spans="1:12">
      <c r="A1177" s="30"/>
      <c r="B1177" s="65"/>
      <c r="C1177" s="65"/>
      <c r="D1177" s="112"/>
      <c r="E1177" s="30"/>
      <c r="F1177" s="30"/>
      <c r="G1177" s="30"/>
      <c r="H1177" s="66"/>
      <c r="I1177" s="30"/>
      <c r="J1177" s="30"/>
      <c r="K1177" s="12"/>
      <c r="L1177" s="12"/>
    </row>
    <row r="1178" spans="1:12">
      <c r="A1178" s="30"/>
      <c r="B1178" s="65"/>
      <c r="C1178" s="65"/>
      <c r="D1178" s="112"/>
      <c r="E1178" s="30"/>
      <c r="F1178" s="30"/>
      <c r="G1178" s="30"/>
      <c r="H1178" s="66"/>
      <c r="I1178" s="30"/>
      <c r="J1178" s="30"/>
      <c r="K1178" s="12"/>
      <c r="L1178" s="12"/>
    </row>
    <row r="1179" spans="1:12">
      <c r="A1179" s="30"/>
      <c r="B1179" s="65"/>
      <c r="C1179" s="65"/>
      <c r="D1179" s="112"/>
      <c r="E1179" s="30"/>
      <c r="F1179" s="30"/>
      <c r="G1179" s="30"/>
      <c r="H1179" s="66"/>
      <c r="I1179" s="30"/>
      <c r="J1179" s="30"/>
      <c r="K1179" s="12"/>
      <c r="L1179" s="12"/>
    </row>
    <row r="1180" spans="1:12">
      <c r="A1180" s="30"/>
      <c r="B1180" s="65"/>
      <c r="C1180" s="65"/>
      <c r="D1180" s="112"/>
      <c r="E1180" s="30"/>
      <c r="F1180" s="30"/>
      <c r="G1180" s="30"/>
      <c r="H1180" s="66"/>
      <c r="I1180" s="30"/>
      <c r="J1180" s="30"/>
      <c r="K1180" s="12"/>
      <c r="L1180" s="12"/>
    </row>
    <row r="1181" spans="1:12">
      <c r="A1181" s="30"/>
      <c r="B1181" s="65"/>
      <c r="C1181" s="65"/>
      <c r="D1181" s="112"/>
      <c r="E1181" s="30"/>
      <c r="F1181" s="30"/>
      <c r="G1181" s="30"/>
      <c r="H1181" s="66"/>
      <c r="I1181" s="30"/>
      <c r="J1181" s="30"/>
      <c r="K1181" s="12"/>
      <c r="L1181" s="12"/>
    </row>
    <row r="1182" spans="1:12">
      <c r="A1182" s="30"/>
      <c r="B1182" s="65"/>
      <c r="C1182" s="65"/>
      <c r="D1182" s="112"/>
      <c r="E1182" s="30"/>
      <c r="F1182" s="30"/>
      <c r="G1182" s="30"/>
      <c r="H1182" s="66"/>
      <c r="I1182" s="30"/>
      <c r="J1182" s="30"/>
      <c r="K1182" s="12"/>
      <c r="L1182" s="12"/>
    </row>
    <row r="1183" spans="1:12">
      <c r="A1183" s="30"/>
      <c r="B1183" s="65"/>
      <c r="C1183" s="65"/>
      <c r="D1183" s="112"/>
      <c r="E1183" s="30"/>
      <c r="F1183" s="30"/>
      <c r="G1183" s="30"/>
      <c r="H1183" s="66"/>
      <c r="I1183" s="30"/>
      <c r="J1183" s="30"/>
      <c r="K1183" s="12"/>
      <c r="L1183" s="12"/>
    </row>
    <row r="1184" spans="1:12">
      <c r="A1184" s="30"/>
      <c r="B1184" s="65"/>
      <c r="C1184" s="65"/>
      <c r="D1184" s="112"/>
      <c r="E1184" s="30"/>
      <c r="F1184" s="30"/>
      <c r="G1184" s="30"/>
      <c r="H1184" s="66"/>
      <c r="I1184" s="30"/>
      <c r="J1184" s="30"/>
      <c r="K1184" s="12"/>
      <c r="L1184" s="12"/>
    </row>
    <row r="1185" spans="1:12">
      <c r="A1185" s="30"/>
      <c r="B1185" s="65"/>
      <c r="C1185" s="65"/>
      <c r="D1185" s="112"/>
      <c r="E1185" s="30"/>
      <c r="F1185" s="30"/>
      <c r="G1185" s="30"/>
      <c r="H1185" s="66"/>
      <c r="I1185" s="30"/>
      <c r="J1185" s="30"/>
      <c r="K1185" s="12"/>
      <c r="L1185" s="12"/>
    </row>
    <row r="1186" spans="1:12">
      <c r="A1186" s="30"/>
      <c r="B1186" s="65"/>
      <c r="C1186" s="65"/>
      <c r="D1186" s="112"/>
      <c r="E1186" s="30"/>
      <c r="F1186" s="30"/>
      <c r="G1186" s="30"/>
      <c r="H1186" s="66"/>
      <c r="I1186" s="30"/>
      <c r="J1186" s="30"/>
      <c r="K1186" s="12"/>
      <c r="L1186" s="12"/>
    </row>
    <row r="1187" spans="1:12">
      <c r="A1187" s="30"/>
      <c r="B1187" s="65"/>
      <c r="C1187" s="65"/>
      <c r="D1187" s="112"/>
      <c r="E1187" s="30"/>
      <c r="F1187" s="30"/>
      <c r="G1187" s="30"/>
      <c r="H1187" s="66"/>
      <c r="I1187" s="30"/>
      <c r="J1187" s="30"/>
      <c r="K1187" s="12"/>
      <c r="L1187" s="12"/>
    </row>
    <row r="1188" spans="1:12">
      <c r="A1188" s="30"/>
      <c r="B1188" s="65"/>
      <c r="C1188" s="65"/>
      <c r="D1188" s="112"/>
      <c r="E1188" s="30"/>
      <c r="F1188" s="30"/>
      <c r="G1188" s="30"/>
      <c r="H1188" s="66"/>
      <c r="I1188" s="30"/>
      <c r="J1188" s="30"/>
      <c r="K1188" s="12"/>
      <c r="L1188" s="12"/>
    </row>
    <row r="1189" spans="1:12">
      <c r="A1189" s="30"/>
      <c r="B1189" s="65"/>
      <c r="C1189" s="65"/>
      <c r="D1189" s="112"/>
      <c r="E1189" s="30"/>
      <c r="F1189" s="30"/>
      <c r="G1189" s="30"/>
      <c r="H1189" s="66"/>
      <c r="I1189" s="30"/>
      <c r="J1189" s="30"/>
      <c r="K1189" s="12"/>
      <c r="L1189" s="12"/>
    </row>
    <row r="1190" spans="1:12">
      <c r="A1190" s="30"/>
      <c r="B1190" s="65"/>
      <c r="C1190" s="65"/>
      <c r="D1190" s="112"/>
      <c r="E1190" s="30"/>
      <c r="F1190" s="30"/>
      <c r="G1190" s="30"/>
      <c r="H1190" s="66"/>
      <c r="I1190" s="30"/>
      <c r="J1190" s="30"/>
      <c r="K1190" s="12"/>
      <c r="L1190" s="12"/>
    </row>
    <row r="1191" spans="1:12">
      <c r="A1191" s="30"/>
      <c r="B1191" s="65"/>
      <c r="C1191" s="65"/>
      <c r="D1191" s="112"/>
      <c r="E1191" s="30"/>
      <c r="F1191" s="30"/>
      <c r="G1191" s="30"/>
      <c r="H1191" s="66"/>
      <c r="I1191" s="30"/>
      <c r="J1191" s="30"/>
      <c r="K1191" s="12"/>
      <c r="L1191" s="12"/>
    </row>
    <row r="1192" spans="1:12">
      <c r="A1192" s="30"/>
      <c r="B1192" s="65"/>
      <c r="C1192" s="65"/>
      <c r="D1192" s="112"/>
      <c r="E1192" s="30"/>
      <c r="F1192" s="30"/>
      <c r="G1192" s="30"/>
      <c r="H1192" s="66"/>
      <c r="I1192" s="30"/>
      <c r="J1192" s="30"/>
      <c r="K1192" s="12"/>
      <c r="L1192" s="12"/>
    </row>
    <row r="1193" spans="1:12">
      <c r="A1193" s="30"/>
      <c r="B1193" s="65"/>
      <c r="C1193" s="65"/>
      <c r="D1193" s="112"/>
      <c r="E1193" s="30"/>
      <c r="F1193" s="30"/>
      <c r="G1193" s="30"/>
      <c r="H1193" s="66"/>
      <c r="I1193" s="30"/>
      <c r="J1193" s="30"/>
      <c r="K1193" s="12"/>
      <c r="L1193" s="12"/>
    </row>
    <row r="1194" spans="1:12">
      <c r="A1194" s="30"/>
      <c r="B1194" s="65"/>
      <c r="C1194" s="65"/>
      <c r="D1194" s="112"/>
      <c r="E1194" s="30"/>
      <c r="F1194" s="30"/>
      <c r="G1194" s="30"/>
      <c r="H1194" s="66"/>
      <c r="I1194" s="30"/>
      <c r="J1194" s="30"/>
      <c r="K1194" s="12"/>
      <c r="L1194" s="12"/>
    </row>
    <row r="1195" spans="1:12">
      <c r="A1195" s="30"/>
      <c r="B1195" s="65"/>
      <c r="C1195" s="65"/>
      <c r="D1195" s="112"/>
      <c r="E1195" s="30"/>
      <c r="F1195" s="30"/>
      <c r="G1195" s="30"/>
      <c r="H1195" s="66"/>
      <c r="I1195" s="30"/>
      <c r="J1195" s="30"/>
      <c r="K1195" s="12"/>
      <c r="L1195" s="12"/>
    </row>
    <row r="1196" spans="1:12">
      <c r="A1196" s="30"/>
      <c r="B1196" s="65"/>
      <c r="C1196" s="65"/>
      <c r="D1196" s="112"/>
      <c r="E1196" s="30"/>
      <c r="F1196" s="30"/>
      <c r="G1196" s="30"/>
      <c r="H1196" s="66"/>
      <c r="I1196" s="30"/>
      <c r="J1196" s="30"/>
      <c r="K1196" s="12"/>
      <c r="L1196" s="12"/>
    </row>
    <row r="1197" spans="1:12">
      <c r="A1197" s="30"/>
      <c r="B1197" s="65"/>
      <c r="C1197" s="65"/>
      <c r="D1197" s="112"/>
      <c r="E1197" s="30"/>
      <c r="F1197" s="30"/>
      <c r="G1197" s="30"/>
      <c r="H1197" s="66"/>
      <c r="I1197" s="30"/>
      <c r="J1197" s="30"/>
      <c r="K1197" s="12"/>
      <c r="L1197" s="12"/>
    </row>
    <row r="1198" spans="1:12">
      <c r="A1198" s="30"/>
      <c r="B1198" s="65"/>
      <c r="C1198" s="65"/>
      <c r="D1198" s="112"/>
      <c r="E1198" s="30"/>
      <c r="F1198" s="30"/>
      <c r="G1198" s="30"/>
      <c r="H1198" s="66"/>
      <c r="I1198" s="30"/>
      <c r="J1198" s="30"/>
      <c r="K1198" s="12"/>
      <c r="L1198" s="12"/>
    </row>
    <row r="1199" spans="1:12">
      <c r="A1199" s="30"/>
      <c r="B1199" s="65"/>
      <c r="C1199" s="65"/>
      <c r="D1199" s="112"/>
      <c r="E1199" s="30"/>
      <c r="F1199" s="30"/>
      <c r="G1199" s="30"/>
      <c r="H1199" s="66"/>
      <c r="I1199" s="30"/>
      <c r="J1199" s="30"/>
      <c r="K1199" s="12"/>
      <c r="L1199" s="12"/>
    </row>
    <row r="1200" spans="1:12">
      <c r="A1200" s="30"/>
      <c r="B1200" s="65"/>
      <c r="C1200" s="65"/>
      <c r="D1200" s="112"/>
      <c r="E1200" s="30"/>
      <c r="F1200" s="30"/>
      <c r="G1200" s="30"/>
      <c r="H1200" s="66"/>
      <c r="I1200" s="30"/>
      <c r="J1200" s="30"/>
      <c r="K1200" s="12"/>
      <c r="L1200" s="12"/>
    </row>
    <row r="1201" spans="1:12">
      <c r="A1201" s="30"/>
      <c r="B1201" s="65"/>
      <c r="C1201" s="65"/>
      <c r="D1201" s="112"/>
      <c r="E1201" s="30"/>
      <c r="F1201" s="30"/>
      <c r="G1201" s="30"/>
      <c r="H1201" s="66"/>
      <c r="I1201" s="30"/>
      <c r="J1201" s="30"/>
      <c r="K1201" s="12"/>
      <c r="L1201" s="12"/>
    </row>
    <row r="1202" spans="1:12">
      <c r="A1202" s="30"/>
      <c r="B1202" s="65"/>
      <c r="C1202" s="65"/>
      <c r="D1202" s="112"/>
      <c r="E1202" s="30"/>
      <c r="F1202" s="30"/>
      <c r="G1202" s="30"/>
      <c r="H1202" s="66"/>
      <c r="I1202" s="30"/>
      <c r="J1202" s="30"/>
      <c r="K1202" s="12"/>
      <c r="L1202" s="12"/>
    </row>
    <row r="1203" spans="1:12">
      <c r="A1203" s="30"/>
      <c r="B1203" s="65"/>
      <c r="C1203" s="65"/>
      <c r="D1203" s="112"/>
      <c r="E1203" s="30"/>
      <c r="F1203" s="30"/>
      <c r="G1203" s="30"/>
      <c r="H1203" s="66"/>
      <c r="I1203" s="30"/>
      <c r="J1203" s="30"/>
      <c r="K1203" s="12"/>
      <c r="L1203" s="12"/>
    </row>
    <row r="1204" spans="1:12">
      <c r="A1204" s="30"/>
      <c r="B1204" s="65"/>
      <c r="C1204" s="65"/>
      <c r="D1204" s="112"/>
      <c r="E1204" s="30"/>
      <c r="F1204" s="30"/>
      <c r="G1204" s="30"/>
      <c r="H1204" s="66"/>
      <c r="I1204" s="30"/>
      <c r="J1204" s="30"/>
      <c r="K1204" s="12"/>
      <c r="L1204" s="12"/>
    </row>
    <row r="1205" spans="1:12">
      <c r="A1205" s="30"/>
      <c r="B1205" s="65"/>
      <c r="C1205" s="65"/>
      <c r="D1205" s="112"/>
      <c r="E1205" s="30"/>
      <c r="F1205" s="30"/>
      <c r="G1205" s="30"/>
      <c r="H1205" s="66"/>
      <c r="I1205" s="30"/>
      <c r="J1205" s="30"/>
      <c r="K1205" s="12"/>
      <c r="L1205" s="12"/>
    </row>
    <row r="1206" spans="1:12">
      <c r="A1206" s="30"/>
      <c r="B1206" s="65"/>
      <c r="C1206" s="65"/>
      <c r="D1206" s="112"/>
      <c r="E1206" s="30"/>
      <c r="F1206" s="30"/>
      <c r="G1206" s="30"/>
      <c r="H1206" s="66"/>
      <c r="I1206" s="30"/>
      <c r="J1206" s="30"/>
      <c r="K1206" s="12"/>
      <c r="L1206" s="12"/>
    </row>
    <row r="1207" spans="1:12">
      <c r="A1207" s="30"/>
      <c r="B1207" s="65"/>
      <c r="C1207" s="65"/>
      <c r="D1207" s="112"/>
      <c r="E1207" s="30"/>
      <c r="F1207" s="30"/>
      <c r="G1207" s="30"/>
      <c r="H1207" s="66"/>
      <c r="I1207" s="30"/>
      <c r="J1207" s="30"/>
      <c r="K1207" s="12"/>
      <c r="L1207" s="12"/>
    </row>
    <row r="1208" spans="1:12">
      <c r="A1208" s="30"/>
      <c r="B1208" s="65"/>
      <c r="C1208" s="65"/>
      <c r="D1208" s="112"/>
      <c r="E1208" s="30"/>
      <c r="F1208" s="30"/>
      <c r="G1208" s="30"/>
      <c r="H1208" s="66"/>
      <c r="I1208" s="30"/>
      <c r="J1208" s="30"/>
      <c r="K1208" s="12"/>
      <c r="L1208" s="12"/>
    </row>
    <row r="1209" spans="1:12">
      <c r="A1209" s="30"/>
      <c r="B1209" s="65"/>
      <c r="C1209" s="65"/>
      <c r="D1209" s="112"/>
      <c r="E1209" s="30"/>
      <c r="F1209" s="30"/>
      <c r="G1209" s="30"/>
      <c r="H1209" s="66"/>
      <c r="I1209" s="30"/>
      <c r="J1209" s="30"/>
      <c r="K1209" s="12"/>
      <c r="L1209" s="12"/>
    </row>
    <row r="1210" spans="1:12">
      <c r="A1210" s="30"/>
      <c r="B1210" s="65"/>
      <c r="C1210" s="65"/>
      <c r="D1210" s="112"/>
      <c r="E1210" s="30"/>
      <c r="F1210" s="30"/>
      <c r="G1210" s="30"/>
      <c r="H1210" s="66"/>
      <c r="I1210" s="30"/>
      <c r="J1210" s="30"/>
      <c r="K1210" s="12"/>
      <c r="L1210" s="12"/>
    </row>
    <row r="1211" spans="1:12">
      <c r="A1211" s="30"/>
      <c r="B1211" s="65"/>
      <c r="C1211" s="65"/>
      <c r="D1211" s="112"/>
      <c r="E1211" s="30"/>
      <c r="F1211" s="30"/>
      <c r="G1211" s="30"/>
      <c r="H1211" s="66"/>
      <c r="I1211" s="30"/>
      <c r="J1211" s="30"/>
      <c r="K1211" s="12"/>
      <c r="L1211" s="12"/>
    </row>
    <row r="1212" spans="1:12">
      <c r="A1212" s="30"/>
      <c r="B1212" s="65"/>
      <c r="C1212" s="65"/>
      <c r="D1212" s="112"/>
      <c r="E1212" s="30"/>
      <c r="F1212" s="30"/>
      <c r="G1212" s="30"/>
      <c r="H1212" s="66"/>
      <c r="I1212" s="30"/>
      <c r="J1212" s="30"/>
      <c r="K1212" s="12"/>
      <c r="L1212" s="12"/>
    </row>
    <row r="1213" spans="1:12">
      <c r="A1213" s="30"/>
      <c r="B1213" s="65"/>
      <c r="C1213" s="65"/>
      <c r="D1213" s="112"/>
      <c r="E1213" s="30"/>
      <c r="F1213" s="30"/>
      <c r="G1213" s="30"/>
      <c r="H1213" s="66"/>
      <c r="I1213" s="30"/>
      <c r="J1213" s="30"/>
      <c r="K1213" s="12"/>
      <c r="L1213" s="12"/>
    </row>
    <row r="1214" spans="1:12">
      <c r="A1214" s="30"/>
      <c r="B1214" s="65"/>
      <c r="C1214" s="65"/>
      <c r="D1214" s="112"/>
      <c r="E1214" s="30"/>
      <c r="F1214" s="30"/>
      <c r="G1214" s="30"/>
      <c r="H1214" s="66"/>
      <c r="I1214" s="30"/>
      <c r="J1214" s="30"/>
      <c r="K1214" s="12"/>
      <c r="L1214" s="12"/>
    </row>
    <row r="1215" spans="1:12">
      <c r="A1215" s="30"/>
      <c r="B1215" s="65"/>
      <c r="C1215" s="65"/>
      <c r="D1215" s="112"/>
      <c r="E1215" s="30"/>
      <c r="F1215" s="30"/>
      <c r="G1215" s="30"/>
      <c r="H1215" s="66"/>
      <c r="I1215" s="30"/>
      <c r="J1215" s="30"/>
      <c r="K1215" s="12"/>
      <c r="L1215" s="12"/>
    </row>
    <row r="1216" spans="1:12">
      <c r="A1216" s="30"/>
      <c r="B1216" s="65"/>
      <c r="C1216" s="65"/>
      <c r="D1216" s="112"/>
      <c r="E1216" s="30"/>
      <c r="F1216" s="30"/>
      <c r="G1216" s="30"/>
      <c r="H1216" s="66"/>
      <c r="I1216" s="30"/>
      <c r="J1216" s="30"/>
      <c r="K1216" s="12"/>
      <c r="L1216" s="12"/>
    </row>
    <row r="1217" spans="1:12">
      <c r="A1217" s="30"/>
      <c r="B1217" s="65"/>
      <c r="C1217" s="65"/>
      <c r="D1217" s="112"/>
      <c r="E1217" s="30"/>
      <c r="F1217" s="30"/>
      <c r="G1217" s="30"/>
      <c r="H1217" s="66"/>
      <c r="I1217" s="30"/>
      <c r="J1217" s="30"/>
      <c r="K1217" s="12"/>
      <c r="L1217" s="12"/>
    </row>
    <row r="1218" spans="1:12">
      <c r="A1218" s="30"/>
      <c r="B1218" s="65"/>
      <c r="C1218" s="65"/>
      <c r="D1218" s="112"/>
      <c r="E1218" s="30"/>
      <c r="F1218" s="30"/>
      <c r="G1218" s="30"/>
      <c r="H1218" s="66"/>
      <c r="I1218" s="30"/>
      <c r="J1218" s="30"/>
      <c r="K1218" s="12"/>
      <c r="L1218" s="12"/>
    </row>
    <row r="1219" spans="1:12">
      <c r="A1219" s="30"/>
      <c r="B1219" s="65"/>
      <c r="C1219" s="65"/>
      <c r="D1219" s="112"/>
      <c r="E1219" s="30"/>
      <c r="F1219" s="30"/>
      <c r="G1219" s="30"/>
      <c r="H1219" s="66"/>
      <c r="I1219" s="30"/>
      <c r="J1219" s="30"/>
      <c r="K1219" s="12"/>
      <c r="L1219" s="12"/>
    </row>
    <row r="1220" spans="1:12">
      <c r="A1220" s="30"/>
      <c r="B1220" s="65"/>
      <c r="C1220" s="65"/>
      <c r="D1220" s="112"/>
      <c r="E1220" s="30"/>
      <c r="F1220" s="30"/>
      <c r="G1220" s="30"/>
      <c r="H1220" s="66"/>
      <c r="I1220" s="30"/>
      <c r="J1220" s="30"/>
      <c r="K1220" s="12"/>
      <c r="L1220" s="12"/>
    </row>
    <row r="1221" spans="1:12">
      <c r="A1221" s="30"/>
      <c r="B1221" s="65"/>
      <c r="C1221" s="65"/>
      <c r="D1221" s="112"/>
      <c r="E1221" s="30"/>
      <c r="F1221" s="30"/>
      <c r="G1221" s="30"/>
      <c r="H1221" s="66"/>
      <c r="I1221" s="30"/>
      <c r="J1221" s="30"/>
      <c r="K1221" s="12"/>
      <c r="L1221" s="12"/>
    </row>
    <row r="1222" spans="1:12">
      <c r="A1222" s="30"/>
      <c r="B1222" s="65"/>
      <c r="C1222" s="65"/>
      <c r="D1222" s="112"/>
      <c r="E1222" s="30"/>
      <c r="F1222" s="30"/>
      <c r="G1222" s="30"/>
      <c r="H1222" s="66"/>
      <c r="I1222" s="30"/>
      <c r="J1222" s="30"/>
      <c r="K1222" s="12"/>
      <c r="L1222" s="12"/>
    </row>
    <row r="1223" spans="1:12">
      <c r="A1223" s="30"/>
      <c r="B1223" s="65"/>
      <c r="C1223" s="65"/>
      <c r="D1223" s="112"/>
      <c r="E1223" s="30"/>
      <c r="F1223" s="30"/>
      <c r="G1223" s="30"/>
      <c r="H1223" s="66"/>
      <c r="I1223" s="30"/>
      <c r="J1223" s="30"/>
      <c r="K1223" s="12"/>
      <c r="L1223" s="12"/>
    </row>
    <row r="1224" spans="1:12">
      <c r="A1224" s="30"/>
      <c r="B1224" s="65"/>
      <c r="C1224" s="65"/>
      <c r="D1224" s="112"/>
      <c r="E1224" s="30"/>
      <c r="F1224" s="30"/>
      <c r="G1224" s="30"/>
      <c r="H1224" s="66"/>
      <c r="I1224" s="30"/>
      <c r="J1224" s="30"/>
      <c r="K1224" s="12"/>
      <c r="L1224" s="12"/>
    </row>
    <row r="1225" spans="1:12">
      <c r="A1225" s="30"/>
      <c r="B1225" s="65"/>
      <c r="C1225" s="65"/>
      <c r="D1225" s="112"/>
      <c r="E1225" s="30"/>
      <c r="F1225" s="30"/>
      <c r="G1225" s="30"/>
      <c r="H1225" s="66"/>
      <c r="I1225" s="30"/>
      <c r="J1225" s="30"/>
      <c r="K1225" s="12"/>
      <c r="L1225" s="12"/>
    </row>
    <row r="1226" spans="1:12">
      <c r="A1226" s="30"/>
      <c r="B1226" s="65"/>
      <c r="C1226" s="65"/>
      <c r="D1226" s="112"/>
      <c r="E1226" s="30"/>
      <c r="F1226" s="30"/>
      <c r="G1226" s="30"/>
      <c r="H1226" s="66"/>
      <c r="I1226" s="30"/>
      <c r="J1226" s="30"/>
      <c r="K1226" s="12"/>
      <c r="L1226" s="12"/>
    </row>
    <row r="1227" spans="1:12">
      <c r="A1227" s="30"/>
      <c r="B1227" s="65"/>
      <c r="C1227" s="65"/>
      <c r="D1227" s="112"/>
      <c r="E1227" s="30"/>
      <c r="F1227" s="30"/>
      <c r="G1227" s="30"/>
      <c r="H1227" s="66"/>
      <c r="I1227" s="30"/>
      <c r="J1227" s="30"/>
      <c r="K1227" s="12"/>
      <c r="L1227" s="12"/>
    </row>
    <row r="1228" spans="1:12">
      <c r="A1228" s="30"/>
      <c r="B1228" s="65"/>
      <c r="C1228" s="65"/>
      <c r="D1228" s="112"/>
      <c r="E1228" s="30"/>
      <c r="F1228" s="30"/>
      <c r="G1228" s="30"/>
      <c r="H1228" s="66"/>
      <c r="I1228" s="30"/>
      <c r="J1228" s="30"/>
      <c r="K1228" s="12"/>
      <c r="L1228" s="12"/>
    </row>
    <row r="1229" spans="1:12">
      <c r="A1229" s="30"/>
      <c r="B1229" s="65"/>
      <c r="C1229" s="65"/>
      <c r="D1229" s="112"/>
      <c r="E1229" s="30"/>
      <c r="F1229" s="30"/>
      <c r="G1229" s="30"/>
      <c r="H1229" s="66"/>
      <c r="I1229" s="30"/>
      <c r="J1229" s="30"/>
      <c r="K1229" s="12"/>
      <c r="L1229" s="12"/>
    </row>
    <row r="1230" spans="1:12">
      <c r="A1230" s="30"/>
      <c r="B1230" s="65"/>
      <c r="C1230" s="65"/>
      <c r="D1230" s="112"/>
      <c r="E1230" s="30"/>
      <c r="F1230" s="30"/>
      <c r="G1230" s="30"/>
      <c r="H1230" s="66"/>
      <c r="I1230" s="30"/>
      <c r="J1230" s="30"/>
      <c r="K1230" s="12"/>
      <c r="L1230" s="12"/>
    </row>
    <row r="1231" spans="1:12">
      <c r="A1231" s="30"/>
      <c r="B1231" s="65"/>
      <c r="C1231" s="65"/>
      <c r="D1231" s="112"/>
      <c r="E1231" s="30"/>
      <c r="F1231" s="30"/>
      <c r="G1231" s="30"/>
      <c r="H1231" s="66"/>
      <c r="I1231" s="30"/>
      <c r="J1231" s="30"/>
      <c r="K1231" s="12"/>
      <c r="L1231" s="12"/>
    </row>
    <row r="1232" spans="1:12">
      <c r="A1232" s="30"/>
      <c r="B1232" s="65"/>
      <c r="C1232" s="65"/>
      <c r="D1232" s="112"/>
      <c r="E1232" s="30"/>
      <c r="F1232" s="30"/>
      <c r="G1232" s="30"/>
      <c r="H1232" s="66"/>
      <c r="I1232" s="30"/>
      <c r="J1232" s="30"/>
      <c r="K1232" s="12"/>
      <c r="L1232" s="12"/>
    </row>
    <row r="1233" spans="1:12">
      <c r="A1233" s="30"/>
      <c r="B1233" s="65"/>
      <c r="C1233" s="65"/>
      <c r="D1233" s="112"/>
      <c r="E1233" s="30"/>
      <c r="F1233" s="30"/>
      <c r="G1233" s="30"/>
      <c r="H1233" s="66"/>
      <c r="I1233" s="30"/>
      <c r="J1233" s="30"/>
      <c r="K1233" s="12"/>
      <c r="L1233" s="12"/>
    </row>
    <row r="1234" spans="1:12">
      <c r="A1234" s="30"/>
      <c r="B1234" s="65"/>
      <c r="C1234" s="65"/>
      <c r="D1234" s="112"/>
      <c r="E1234" s="30"/>
      <c r="F1234" s="30"/>
      <c r="G1234" s="30"/>
      <c r="H1234" s="66"/>
      <c r="I1234" s="30"/>
      <c r="J1234" s="30"/>
      <c r="K1234" s="12"/>
      <c r="L1234" s="12"/>
    </row>
    <row r="1235" spans="1:12">
      <c r="A1235" s="30"/>
      <c r="B1235" s="65"/>
      <c r="C1235" s="65"/>
      <c r="D1235" s="112"/>
      <c r="E1235" s="30"/>
      <c r="F1235" s="30"/>
      <c r="G1235" s="30"/>
      <c r="H1235" s="66"/>
      <c r="I1235" s="30"/>
      <c r="J1235" s="30"/>
      <c r="K1235" s="12"/>
      <c r="L1235" s="12"/>
    </row>
    <row r="1236" spans="1:12">
      <c r="A1236" s="30"/>
      <c r="B1236" s="65"/>
      <c r="C1236" s="65"/>
      <c r="D1236" s="112"/>
      <c r="E1236" s="30"/>
      <c r="F1236" s="30"/>
      <c r="G1236" s="30"/>
      <c r="H1236" s="66"/>
      <c r="I1236" s="30"/>
      <c r="J1236" s="30"/>
      <c r="K1236" s="12"/>
      <c r="L1236" s="12"/>
    </row>
    <row r="1237" spans="1:12">
      <c r="A1237" s="30"/>
      <c r="B1237" s="65"/>
      <c r="C1237" s="65"/>
      <c r="D1237" s="112"/>
      <c r="E1237" s="30"/>
      <c r="F1237" s="30"/>
      <c r="G1237" s="30"/>
      <c r="H1237" s="66"/>
      <c r="I1237" s="30"/>
      <c r="J1237" s="30"/>
      <c r="K1237" s="12"/>
      <c r="L1237" s="12"/>
    </row>
    <row r="1238" spans="1:12">
      <c r="A1238" s="30"/>
      <c r="B1238" s="65"/>
      <c r="C1238" s="65"/>
      <c r="D1238" s="112"/>
      <c r="E1238" s="30"/>
      <c r="F1238" s="30"/>
      <c r="G1238" s="30"/>
      <c r="H1238" s="66"/>
      <c r="I1238" s="30"/>
      <c r="J1238" s="30"/>
      <c r="K1238" s="12"/>
      <c r="L1238" s="12"/>
    </row>
    <row r="1239" spans="1:12">
      <c r="A1239" s="30"/>
      <c r="B1239" s="65"/>
      <c r="C1239" s="65"/>
      <c r="D1239" s="112"/>
      <c r="E1239" s="30"/>
      <c r="F1239" s="30"/>
      <c r="G1239" s="30"/>
      <c r="H1239" s="66"/>
      <c r="I1239" s="30"/>
      <c r="J1239" s="30"/>
      <c r="K1239" s="12"/>
      <c r="L1239" s="12"/>
    </row>
    <row r="1240" spans="1:12">
      <c r="A1240" s="30"/>
      <c r="B1240" s="65"/>
      <c r="C1240" s="65"/>
      <c r="D1240" s="112"/>
      <c r="E1240" s="30"/>
      <c r="F1240" s="30"/>
      <c r="G1240" s="30"/>
      <c r="H1240" s="66"/>
      <c r="I1240" s="30"/>
      <c r="J1240" s="30"/>
      <c r="K1240" s="12"/>
      <c r="L1240" s="12"/>
    </row>
    <row r="1241" spans="1:12">
      <c r="A1241" s="30"/>
      <c r="B1241" s="65"/>
      <c r="C1241" s="65"/>
      <c r="D1241" s="112"/>
      <c r="E1241" s="30"/>
      <c r="F1241" s="30"/>
      <c r="G1241" s="30"/>
      <c r="H1241" s="66"/>
      <c r="I1241" s="30"/>
      <c r="J1241" s="30"/>
      <c r="K1241" s="12"/>
      <c r="L1241" s="12"/>
    </row>
    <row r="1242" spans="1:12">
      <c r="A1242" s="30"/>
      <c r="B1242" s="65"/>
      <c r="C1242" s="65"/>
      <c r="D1242" s="112"/>
      <c r="E1242" s="30"/>
      <c r="F1242" s="30"/>
      <c r="G1242" s="30"/>
      <c r="H1242" s="66"/>
      <c r="I1242" s="30"/>
      <c r="J1242" s="30"/>
      <c r="K1242" s="12"/>
      <c r="L1242" s="12"/>
    </row>
    <row r="1243" spans="1:12">
      <c r="A1243" s="30"/>
      <c r="B1243" s="65"/>
      <c r="C1243" s="65"/>
      <c r="D1243" s="112"/>
      <c r="E1243" s="30"/>
      <c r="F1243" s="30"/>
      <c r="G1243" s="30"/>
      <c r="H1243" s="66"/>
      <c r="I1243" s="30"/>
      <c r="J1243" s="30"/>
      <c r="K1243" s="12"/>
      <c r="L1243" s="12"/>
    </row>
    <row r="1244" spans="1:12">
      <c r="A1244" s="30"/>
      <c r="B1244" s="65"/>
      <c r="C1244" s="65"/>
      <c r="D1244" s="112"/>
      <c r="E1244" s="30"/>
      <c r="F1244" s="30"/>
      <c r="G1244" s="30"/>
      <c r="H1244" s="66"/>
      <c r="I1244" s="30"/>
      <c r="J1244" s="30"/>
      <c r="K1244" s="12"/>
      <c r="L1244" s="12"/>
    </row>
    <row r="1245" spans="1:12">
      <c r="A1245" s="30"/>
      <c r="B1245" s="65"/>
      <c r="C1245" s="65"/>
      <c r="D1245" s="112"/>
      <c r="E1245" s="30"/>
      <c r="F1245" s="30"/>
      <c r="G1245" s="30"/>
      <c r="H1245" s="66"/>
      <c r="I1245" s="30"/>
      <c r="J1245" s="30"/>
      <c r="K1245" s="12"/>
      <c r="L1245" s="12"/>
    </row>
    <row r="1246" spans="1:12">
      <c r="A1246" s="30"/>
      <c r="B1246" s="65"/>
      <c r="C1246" s="65"/>
      <c r="D1246" s="112"/>
      <c r="E1246" s="30"/>
      <c r="F1246" s="30"/>
      <c r="G1246" s="30"/>
      <c r="H1246" s="66"/>
      <c r="I1246" s="30"/>
      <c r="J1246" s="30"/>
      <c r="K1246" s="12"/>
      <c r="L1246" s="12"/>
    </row>
    <row r="1247" spans="1:12">
      <c r="A1247" s="30"/>
      <c r="B1247" s="65"/>
      <c r="C1247" s="65"/>
      <c r="D1247" s="112"/>
      <c r="E1247" s="30"/>
      <c r="F1247" s="30"/>
      <c r="G1247" s="30"/>
      <c r="H1247" s="66"/>
      <c r="I1247" s="30"/>
      <c r="J1247" s="30"/>
      <c r="K1247" s="12"/>
      <c r="L1247" s="12"/>
    </row>
    <row r="1248" spans="1:12">
      <c r="A1248" s="30"/>
      <c r="B1248" s="65"/>
      <c r="C1248" s="65"/>
      <c r="D1248" s="112"/>
      <c r="E1248" s="30"/>
      <c r="F1248" s="30"/>
      <c r="G1248" s="30"/>
      <c r="H1248" s="66"/>
      <c r="I1248" s="30"/>
      <c r="J1248" s="30"/>
      <c r="K1248" s="12"/>
      <c r="L1248" s="12"/>
    </row>
    <row r="1249" spans="1:12">
      <c r="A1249" s="30"/>
      <c r="B1249" s="65"/>
      <c r="C1249" s="65"/>
      <c r="D1249" s="112"/>
      <c r="E1249" s="30"/>
      <c r="F1249" s="30"/>
      <c r="G1249" s="30"/>
      <c r="H1249" s="66"/>
      <c r="I1249" s="30"/>
      <c r="J1249" s="30"/>
      <c r="K1249" s="12"/>
      <c r="L1249" s="12"/>
    </row>
    <row r="1250" spans="1:12">
      <c r="A1250" s="30"/>
      <c r="B1250" s="65"/>
      <c r="C1250" s="65"/>
      <c r="D1250" s="112"/>
      <c r="E1250" s="30"/>
      <c r="F1250" s="30"/>
      <c r="G1250" s="30"/>
      <c r="H1250" s="66"/>
      <c r="I1250" s="30"/>
      <c r="J1250" s="30"/>
      <c r="K1250" s="12"/>
      <c r="L1250" s="12"/>
    </row>
    <row r="1251" spans="1:12">
      <c r="A1251" s="30"/>
      <c r="B1251" s="65"/>
      <c r="C1251" s="65"/>
      <c r="D1251" s="112"/>
      <c r="E1251" s="30"/>
      <c r="F1251" s="30"/>
      <c r="G1251" s="30"/>
      <c r="H1251" s="66"/>
      <c r="I1251" s="30"/>
      <c r="J1251" s="30"/>
      <c r="K1251" s="12"/>
      <c r="L1251" s="12"/>
    </row>
    <row r="1252" spans="1:12">
      <c r="A1252" s="30"/>
      <c r="B1252" s="65"/>
      <c r="C1252" s="65"/>
      <c r="D1252" s="112"/>
      <c r="E1252" s="30"/>
      <c r="F1252" s="30"/>
      <c r="G1252" s="30"/>
      <c r="H1252" s="66"/>
      <c r="I1252" s="30"/>
      <c r="J1252" s="30"/>
      <c r="K1252" s="12"/>
      <c r="L1252" s="12"/>
    </row>
    <row r="1253" spans="1:12">
      <c r="A1253" s="30"/>
      <c r="B1253" s="65"/>
      <c r="C1253" s="65"/>
      <c r="D1253" s="112"/>
      <c r="E1253" s="30"/>
      <c r="F1253" s="30"/>
      <c r="G1253" s="30"/>
      <c r="H1253" s="66"/>
      <c r="I1253" s="30"/>
      <c r="J1253" s="30"/>
      <c r="K1253" s="12"/>
      <c r="L1253" s="12"/>
    </row>
    <row r="1254" spans="1:12">
      <c r="A1254" s="30"/>
      <c r="B1254" s="65"/>
      <c r="C1254" s="65"/>
      <c r="D1254" s="112"/>
      <c r="E1254" s="30"/>
      <c r="F1254" s="30"/>
      <c r="G1254" s="30"/>
      <c r="H1254" s="66"/>
      <c r="I1254" s="30"/>
      <c r="J1254" s="30"/>
      <c r="K1254" s="12"/>
      <c r="L1254" s="12"/>
    </row>
    <row r="1255" spans="1:12">
      <c r="A1255" s="30"/>
      <c r="B1255" s="65"/>
      <c r="C1255" s="65"/>
      <c r="D1255" s="112"/>
      <c r="E1255" s="30"/>
      <c r="F1255" s="30"/>
      <c r="G1255" s="30"/>
      <c r="H1255" s="66"/>
      <c r="I1255" s="30"/>
      <c r="J1255" s="30"/>
      <c r="K1255" s="12"/>
      <c r="L1255" s="12"/>
    </row>
    <row r="1256" spans="1:12">
      <c r="A1256" s="30"/>
      <c r="B1256" s="65"/>
      <c r="C1256" s="65"/>
      <c r="D1256" s="112"/>
      <c r="E1256" s="30"/>
      <c r="F1256" s="30"/>
      <c r="G1256" s="30"/>
      <c r="H1256" s="66"/>
      <c r="I1256" s="30"/>
      <c r="J1256" s="30"/>
      <c r="K1256" s="12"/>
      <c r="L1256" s="12"/>
    </row>
    <row r="1257" spans="1:12">
      <c r="A1257" s="30"/>
      <c r="B1257" s="65"/>
      <c r="C1257" s="65"/>
      <c r="D1257" s="112"/>
      <c r="E1257" s="30"/>
      <c r="F1257" s="30"/>
      <c r="G1257" s="30"/>
      <c r="H1257" s="66"/>
      <c r="I1257" s="30"/>
      <c r="J1257" s="30"/>
      <c r="K1257" s="12"/>
      <c r="L1257" s="12"/>
    </row>
    <row r="1258" spans="1:12">
      <c r="A1258" s="30"/>
      <c r="B1258" s="65"/>
      <c r="C1258" s="65"/>
      <c r="D1258" s="112"/>
      <c r="E1258" s="30"/>
      <c r="F1258" s="30"/>
      <c r="G1258" s="30"/>
      <c r="H1258" s="66"/>
      <c r="I1258" s="30"/>
      <c r="J1258" s="30"/>
      <c r="K1258" s="12"/>
      <c r="L1258" s="12"/>
    </row>
    <row r="1259" spans="1:12">
      <c r="A1259" s="30"/>
      <c r="B1259" s="65"/>
      <c r="C1259" s="65"/>
      <c r="D1259" s="112"/>
      <c r="E1259" s="30"/>
      <c r="F1259" s="30"/>
      <c r="G1259" s="30"/>
      <c r="H1259" s="66"/>
      <c r="I1259" s="30"/>
      <c r="J1259" s="30"/>
      <c r="K1259" s="12"/>
      <c r="L1259" s="12"/>
    </row>
    <row r="1260" spans="1:12">
      <c r="A1260" s="30"/>
      <c r="B1260" s="65"/>
      <c r="C1260" s="65"/>
      <c r="D1260" s="112"/>
      <c r="E1260" s="30"/>
      <c r="F1260" s="30"/>
      <c r="G1260" s="30"/>
      <c r="H1260" s="66"/>
      <c r="I1260" s="30"/>
      <c r="J1260" s="30"/>
      <c r="K1260" s="12"/>
      <c r="L1260" s="12"/>
    </row>
    <row r="1261" spans="1:12">
      <c r="A1261" s="30"/>
      <c r="B1261" s="65"/>
      <c r="C1261" s="65"/>
      <c r="D1261" s="112"/>
      <c r="E1261" s="30"/>
      <c r="F1261" s="30"/>
      <c r="G1261" s="30"/>
      <c r="H1261" s="66"/>
      <c r="I1261" s="30"/>
      <c r="J1261" s="30"/>
      <c r="K1261" s="12"/>
      <c r="L1261" s="12"/>
    </row>
    <row r="1262" spans="1:12">
      <c r="A1262" s="30"/>
      <c r="B1262" s="65"/>
      <c r="C1262" s="65"/>
      <c r="D1262" s="112"/>
      <c r="E1262" s="30"/>
      <c r="F1262" s="30"/>
      <c r="G1262" s="30"/>
      <c r="H1262" s="66"/>
      <c r="I1262" s="30"/>
      <c r="J1262" s="30"/>
      <c r="K1262" s="12"/>
      <c r="L1262" s="12"/>
    </row>
    <row r="1263" spans="1:12">
      <c r="A1263" s="30"/>
      <c r="B1263" s="65"/>
      <c r="C1263" s="65"/>
      <c r="D1263" s="112"/>
      <c r="E1263" s="30"/>
      <c r="F1263" s="30"/>
      <c r="G1263" s="30"/>
      <c r="H1263" s="66"/>
      <c r="I1263" s="30"/>
      <c r="J1263" s="30"/>
      <c r="K1263" s="12"/>
      <c r="L1263" s="12"/>
    </row>
    <row r="1264" spans="1:12">
      <c r="A1264" s="30"/>
      <c r="B1264" s="65"/>
      <c r="C1264" s="65"/>
      <c r="D1264" s="112"/>
      <c r="E1264" s="30"/>
      <c r="F1264" s="30"/>
      <c r="G1264" s="30"/>
      <c r="H1264" s="66"/>
      <c r="I1264" s="30"/>
      <c r="J1264" s="30"/>
      <c r="K1264" s="12"/>
      <c r="L1264" s="12"/>
    </row>
    <row r="1265" spans="1:12">
      <c r="A1265" s="30"/>
      <c r="B1265" s="65"/>
      <c r="C1265" s="65"/>
      <c r="D1265" s="112"/>
      <c r="E1265" s="30"/>
      <c r="F1265" s="30"/>
      <c r="G1265" s="30"/>
      <c r="H1265" s="66"/>
      <c r="I1265" s="30"/>
      <c r="J1265" s="30"/>
      <c r="K1265" s="12"/>
      <c r="L1265" s="12"/>
    </row>
    <row r="1266" spans="1:12">
      <c r="A1266" s="30"/>
      <c r="B1266" s="65"/>
      <c r="C1266" s="65"/>
      <c r="D1266" s="112"/>
      <c r="E1266" s="30"/>
      <c r="F1266" s="30"/>
      <c r="G1266" s="30"/>
      <c r="H1266" s="66"/>
      <c r="I1266" s="30"/>
      <c r="J1266" s="30"/>
      <c r="K1266" s="12"/>
      <c r="L1266" s="12"/>
    </row>
    <row r="1267" spans="1:12">
      <c r="A1267" s="30"/>
      <c r="B1267" s="65"/>
      <c r="C1267" s="65"/>
      <c r="D1267" s="112"/>
      <c r="E1267" s="30"/>
      <c r="F1267" s="30"/>
      <c r="G1267" s="30"/>
      <c r="H1267" s="66"/>
      <c r="I1267" s="30"/>
      <c r="J1267" s="30"/>
      <c r="K1267" s="12"/>
      <c r="L1267" s="12"/>
    </row>
    <row r="1268" spans="1:12">
      <c r="A1268" s="30"/>
      <c r="B1268" s="65"/>
      <c r="C1268" s="65"/>
      <c r="D1268" s="112"/>
      <c r="E1268" s="30"/>
      <c r="F1268" s="30"/>
      <c r="G1268" s="30"/>
      <c r="H1268" s="66"/>
      <c r="I1268" s="30"/>
      <c r="J1268" s="30"/>
      <c r="K1268" s="12"/>
      <c r="L1268" s="12"/>
    </row>
    <row r="1269" spans="1:12">
      <c r="A1269" s="30"/>
      <c r="B1269" s="65"/>
      <c r="C1269" s="65"/>
      <c r="D1269" s="112"/>
      <c r="E1269" s="30"/>
      <c r="F1269" s="30"/>
      <c r="G1269" s="30"/>
      <c r="H1269" s="66"/>
      <c r="I1269" s="30"/>
      <c r="J1269" s="30"/>
      <c r="K1269" s="12"/>
      <c r="L1269" s="12"/>
    </row>
    <row r="1270" spans="1:12">
      <c r="A1270" s="30"/>
      <c r="B1270" s="65"/>
      <c r="C1270" s="65"/>
      <c r="D1270" s="112"/>
      <c r="E1270" s="30"/>
      <c r="F1270" s="30"/>
      <c r="G1270" s="30"/>
      <c r="H1270" s="66"/>
      <c r="I1270" s="30"/>
      <c r="J1270" s="30"/>
      <c r="K1270" s="12"/>
      <c r="L1270" s="12"/>
    </row>
    <row r="1271" spans="1:12">
      <c r="A1271" s="30"/>
      <c r="B1271" s="65"/>
      <c r="C1271" s="65"/>
      <c r="D1271" s="112"/>
      <c r="E1271" s="30"/>
      <c r="F1271" s="30"/>
      <c r="G1271" s="30"/>
      <c r="H1271" s="66"/>
      <c r="I1271" s="30"/>
      <c r="J1271" s="30"/>
      <c r="K1271" s="12"/>
      <c r="L1271" s="12"/>
    </row>
    <row r="1272" spans="1:12">
      <c r="A1272" s="30"/>
      <c r="B1272" s="65"/>
      <c r="C1272" s="65"/>
      <c r="D1272" s="112"/>
      <c r="E1272" s="30"/>
      <c r="F1272" s="30"/>
      <c r="G1272" s="30"/>
      <c r="H1272" s="66"/>
      <c r="I1272" s="30"/>
      <c r="J1272" s="30"/>
      <c r="K1272" s="12"/>
      <c r="L1272" s="12"/>
    </row>
    <row r="1273" spans="1:12">
      <c r="A1273" s="30"/>
      <c r="B1273" s="65"/>
      <c r="C1273" s="65"/>
      <c r="D1273" s="112"/>
      <c r="E1273" s="30"/>
      <c r="F1273" s="30"/>
      <c r="G1273" s="30"/>
      <c r="H1273" s="66"/>
      <c r="I1273" s="30"/>
      <c r="J1273" s="30"/>
      <c r="K1273" s="12"/>
      <c r="L1273" s="12"/>
    </row>
    <row r="1274" spans="1:12">
      <c r="A1274" s="30"/>
      <c r="B1274" s="65"/>
      <c r="C1274" s="65"/>
      <c r="D1274" s="112"/>
      <c r="E1274" s="30"/>
      <c r="F1274" s="30"/>
      <c r="G1274" s="30"/>
      <c r="H1274" s="66"/>
      <c r="I1274" s="30"/>
      <c r="J1274" s="30"/>
      <c r="K1274" s="12"/>
      <c r="L1274" s="12"/>
    </row>
    <row r="1275" spans="1:12">
      <c r="A1275" s="30"/>
      <c r="B1275" s="65"/>
      <c r="C1275" s="65"/>
      <c r="D1275" s="112"/>
      <c r="E1275" s="30"/>
      <c r="F1275" s="30"/>
      <c r="G1275" s="30"/>
      <c r="H1275" s="66"/>
      <c r="I1275" s="30"/>
      <c r="J1275" s="30"/>
      <c r="K1275" s="12"/>
      <c r="L1275" s="12"/>
    </row>
    <row r="1276" spans="1:12">
      <c r="A1276" s="30"/>
      <c r="B1276" s="65"/>
      <c r="C1276" s="65"/>
      <c r="D1276" s="112"/>
      <c r="E1276" s="30"/>
      <c r="F1276" s="30"/>
      <c r="G1276" s="30"/>
      <c r="H1276" s="66"/>
      <c r="I1276" s="30"/>
      <c r="J1276" s="30"/>
      <c r="K1276" s="12"/>
      <c r="L1276" s="12"/>
    </row>
    <row r="1277" spans="1:12">
      <c r="A1277" s="30"/>
      <c r="B1277" s="65"/>
      <c r="C1277" s="65"/>
      <c r="D1277" s="112"/>
      <c r="E1277" s="30"/>
      <c r="F1277" s="30"/>
      <c r="G1277" s="30"/>
      <c r="H1277" s="66"/>
      <c r="I1277" s="30"/>
      <c r="J1277" s="30"/>
      <c r="K1277" s="12"/>
      <c r="L1277" s="12"/>
    </row>
    <row r="1278" spans="1:12">
      <c r="A1278" s="30"/>
      <c r="B1278" s="65"/>
      <c r="C1278" s="65"/>
      <c r="D1278" s="112"/>
      <c r="E1278" s="30"/>
      <c r="F1278" s="30"/>
      <c r="G1278" s="30"/>
      <c r="H1278" s="66"/>
      <c r="I1278" s="30"/>
      <c r="J1278" s="30"/>
      <c r="K1278" s="12"/>
      <c r="L1278" s="12"/>
    </row>
    <row r="1279" spans="1:12">
      <c r="A1279" s="30"/>
      <c r="B1279" s="65"/>
      <c r="C1279" s="65"/>
      <c r="D1279" s="112"/>
      <c r="E1279" s="30"/>
      <c r="F1279" s="30"/>
      <c r="G1279" s="30"/>
      <c r="H1279" s="66"/>
      <c r="I1279" s="30"/>
      <c r="J1279" s="30"/>
      <c r="K1279" s="12"/>
      <c r="L1279" s="12"/>
    </row>
    <row r="1280" spans="1:12">
      <c r="A1280" s="30"/>
      <c r="B1280" s="65"/>
      <c r="C1280" s="65"/>
      <c r="D1280" s="112"/>
      <c r="E1280" s="30"/>
      <c r="F1280" s="30"/>
      <c r="G1280" s="30"/>
      <c r="H1280" s="66"/>
      <c r="I1280" s="30"/>
      <c r="J1280" s="30"/>
      <c r="K1280" s="12"/>
      <c r="L1280" s="12"/>
    </row>
    <row r="1281" spans="1:12">
      <c r="A1281" s="30"/>
      <c r="B1281" s="65"/>
      <c r="C1281" s="65"/>
      <c r="D1281" s="112"/>
      <c r="E1281" s="30"/>
      <c r="F1281" s="30"/>
      <c r="G1281" s="30"/>
      <c r="H1281" s="66"/>
      <c r="I1281" s="30"/>
      <c r="J1281" s="30"/>
      <c r="K1281" s="12"/>
      <c r="L1281" s="12"/>
    </row>
    <row r="1282" spans="1:12">
      <c r="A1282" s="30"/>
      <c r="B1282" s="65"/>
      <c r="C1282" s="65"/>
      <c r="D1282" s="112"/>
      <c r="E1282" s="30"/>
      <c r="F1282" s="30"/>
      <c r="G1282" s="30"/>
      <c r="H1282" s="66"/>
      <c r="I1282" s="30"/>
      <c r="J1282" s="30"/>
      <c r="K1282" s="12"/>
      <c r="L1282" s="12"/>
    </row>
    <row r="1283" spans="1:12">
      <c r="A1283" s="30"/>
      <c r="B1283" s="65"/>
      <c r="C1283" s="65"/>
      <c r="D1283" s="112"/>
      <c r="E1283" s="30"/>
      <c r="F1283" s="30"/>
      <c r="G1283" s="30"/>
      <c r="H1283" s="66"/>
      <c r="I1283" s="30"/>
      <c r="J1283" s="30"/>
      <c r="K1283" s="12"/>
      <c r="L1283" s="12"/>
    </row>
    <row r="1284" spans="1:12">
      <c r="A1284" s="30"/>
      <c r="B1284" s="65"/>
      <c r="C1284" s="65"/>
      <c r="D1284" s="112"/>
      <c r="E1284" s="30"/>
      <c r="F1284" s="30"/>
      <c r="G1284" s="30"/>
      <c r="H1284" s="66"/>
      <c r="I1284" s="30"/>
      <c r="J1284" s="30"/>
      <c r="K1284" s="12"/>
      <c r="L1284" s="12"/>
    </row>
    <row r="1285" spans="1:12">
      <c r="A1285" s="30"/>
      <c r="B1285" s="65"/>
      <c r="C1285" s="65"/>
      <c r="D1285" s="112"/>
      <c r="E1285" s="30"/>
      <c r="F1285" s="30"/>
      <c r="G1285" s="30"/>
      <c r="H1285" s="66"/>
      <c r="I1285" s="30"/>
      <c r="J1285" s="30"/>
      <c r="K1285" s="12"/>
      <c r="L1285" s="12"/>
    </row>
    <row r="1286" spans="1:12">
      <c r="A1286" s="30"/>
      <c r="B1286" s="65"/>
      <c r="C1286" s="65"/>
      <c r="D1286" s="112"/>
      <c r="E1286" s="30"/>
      <c r="F1286" s="30"/>
      <c r="G1286" s="30"/>
      <c r="H1286" s="66"/>
      <c r="I1286" s="30"/>
      <c r="J1286" s="30"/>
      <c r="K1286" s="12"/>
      <c r="L1286" s="12"/>
    </row>
    <row r="1287" spans="1:12">
      <c r="A1287" s="30"/>
      <c r="B1287" s="65"/>
      <c r="C1287" s="65"/>
      <c r="D1287" s="112"/>
      <c r="E1287" s="30"/>
      <c r="F1287" s="30"/>
      <c r="G1287" s="30"/>
      <c r="H1287" s="66"/>
      <c r="I1287" s="30"/>
      <c r="J1287" s="30"/>
      <c r="K1287" s="12"/>
      <c r="L1287" s="12"/>
    </row>
    <row r="1288" spans="1:12">
      <c r="A1288" s="30"/>
      <c r="B1288" s="65"/>
      <c r="C1288" s="65"/>
      <c r="D1288" s="112"/>
      <c r="E1288" s="30"/>
      <c r="F1288" s="30"/>
      <c r="G1288" s="30"/>
      <c r="H1288" s="66"/>
      <c r="I1288" s="30"/>
      <c r="J1288" s="30"/>
      <c r="K1288" s="12"/>
      <c r="L1288" s="12"/>
    </row>
    <row r="1289" spans="1:12">
      <c r="A1289" s="30"/>
      <c r="B1289" s="65"/>
      <c r="C1289" s="65"/>
      <c r="D1289" s="112"/>
      <c r="E1289" s="30"/>
      <c r="F1289" s="30"/>
      <c r="G1289" s="30"/>
      <c r="H1289" s="66"/>
      <c r="I1289" s="30"/>
      <c r="J1289" s="30"/>
      <c r="K1289" s="12"/>
      <c r="L1289" s="12"/>
    </row>
    <row r="1290" spans="1:12">
      <c r="A1290" s="30"/>
      <c r="B1290" s="65"/>
      <c r="C1290" s="65"/>
      <c r="D1290" s="112"/>
      <c r="E1290" s="30"/>
      <c r="F1290" s="30"/>
      <c r="G1290" s="30"/>
      <c r="H1290" s="66"/>
      <c r="I1290" s="30"/>
      <c r="J1290" s="30"/>
      <c r="K1290" s="12"/>
      <c r="L1290" s="12"/>
    </row>
    <row r="1291" spans="1:12">
      <c r="A1291" s="30"/>
      <c r="B1291" s="65"/>
      <c r="C1291" s="65"/>
      <c r="D1291" s="112"/>
      <c r="E1291" s="30"/>
      <c r="F1291" s="30"/>
      <c r="G1291" s="30"/>
      <c r="H1291" s="66"/>
      <c r="I1291" s="30"/>
      <c r="J1291" s="30"/>
      <c r="K1291" s="12"/>
      <c r="L1291" s="12"/>
    </row>
    <row r="1292" spans="1:12">
      <c r="A1292" s="30"/>
      <c r="B1292" s="65"/>
      <c r="C1292" s="65"/>
      <c r="D1292" s="112"/>
      <c r="E1292" s="30"/>
      <c r="F1292" s="30"/>
      <c r="G1292" s="30"/>
      <c r="H1292" s="66"/>
      <c r="I1292" s="30"/>
      <c r="J1292" s="30"/>
      <c r="K1292" s="12"/>
      <c r="L1292" s="12"/>
    </row>
    <row r="1293" spans="1:12">
      <c r="A1293" s="30"/>
      <c r="B1293" s="65"/>
      <c r="C1293" s="65"/>
      <c r="D1293" s="112"/>
      <c r="E1293" s="30"/>
      <c r="F1293" s="30"/>
      <c r="G1293" s="30"/>
      <c r="H1293" s="66"/>
      <c r="I1293" s="30"/>
      <c r="J1293" s="30"/>
      <c r="K1293" s="12"/>
      <c r="L1293" s="12"/>
    </row>
    <row r="1294" spans="1:12">
      <c r="A1294" s="30"/>
      <c r="B1294" s="65"/>
      <c r="C1294" s="65"/>
      <c r="D1294" s="112"/>
      <c r="E1294" s="30"/>
      <c r="F1294" s="30"/>
      <c r="G1294" s="30"/>
      <c r="H1294" s="66"/>
      <c r="I1294" s="30"/>
      <c r="J1294" s="30"/>
      <c r="K1294" s="12"/>
      <c r="L1294" s="12"/>
    </row>
    <row r="1295" spans="1:12">
      <c r="A1295" s="30"/>
      <c r="B1295" s="65"/>
      <c r="C1295" s="65"/>
      <c r="D1295" s="112"/>
      <c r="E1295" s="30"/>
      <c r="F1295" s="30"/>
      <c r="G1295" s="30"/>
      <c r="H1295" s="66"/>
      <c r="I1295" s="30"/>
      <c r="J1295" s="30"/>
      <c r="K1295" s="12"/>
      <c r="L1295" s="12"/>
    </row>
    <row r="1296" spans="1:12">
      <c r="A1296" s="30"/>
      <c r="B1296" s="65"/>
      <c r="C1296" s="65"/>
      <c r="D1296" s="112"/>
      <c r="E1296" s="30"/>
      <c r="F1296" s="30"/>
      <c r="G1296" s="30"/>
      <c r="H1296" s="66"/>
      <c r="I1296" s="30"/>
      <c r="J1296" s="30"/>
      <c r="K1296" s="12"/>
      <c r="L1296" s="12"/>
    </row>
    <row r="1297" spans="1:12">
      <c r="A1297" s="30"/>
      <c r="B1297" s="65"/>
      <c r="C1297" s="65"/>
      <c r="D1297" s="112"/>
      <c r="E1297" s="30"/>
      <c r="F1297" s="30"/>
      <c r="G1297" s="30"/>
      <c r="H1297" s="66"/>
      <c r="I1297" s="30"/>
      <c r="J1297" s="30"/>
      <c r="K1297" s="12"/>
      <c r="L1297" s="12"/>
    </row>
    <row r="1298" spans="1:12">
      <c r="A1298" s="30"/>
      <c r="B1298" s="65"/>
      <c r="C1298" s="65"/>
      <c r="D1298" s="112"/>
      <c r="E1298" s="30"/>
      <c r="F1298" s="30"/>
      <c r="G1298" s="30"/>
      <c r="H1298" s="66"/>
      <c r="I1298" s="30"/>
      <c r="J1298" s="30"/>
      <c r="K1298" s="12"/>
      <c r="L1298" s="12"/>
    </row>
    <row r="1299" spans="1:12">
      <c r="A1299" s="30"/>
      <c r="B1299" s="65"/>
      <c r="C1299" s="65"/>
      <c r="D1299" s="112"/>
      <c r="E1299" s="30"/>
      <c r="F1299" s="30"/>
      <c r="G1299" s="30"/>
      <c r="H1299" s="66"/>
      <c r="I1299" s="30"/>
      <c r="J1299" s="30"/>
      <c r="K1299" s="12"/>
      <c r="L1299" s="12"/>
    </row>
    <row r="1300" spans="1:12">
      <c r="A1300" s="30"/>
      <c r="B1300" s="65"/>
      <c r="C1300" s="65"/>
      <c r="D1300" s="112"/>
      <c r="E1300" s="30"/>
      <c r="F1300" s="30"/>
      <c r="G1300" s="30"/>
      <c r="H1300" s="66"/>
      <c r="I1300" s="30"/>
      <c r="J1300" s="30"/>
      <c r="K1300" s="12"/>
      <c r="L1300" s="12"/>
    </row>
    <row r="1301" spans="1:12">
      <c r="A1301" s="30"/>
      <c r="B1301" s="65"/>
      <c r="C1301" s="65"/>
      <c r="D1301" s="112"/>
      <c r="E1301" s="30"/>
      <c r="F1301" s="30"/>
      <c r="G1301" s="30"/>
      <c r="H1301" s="66"/>
      <c r="I1301" s="30"/>
      <c r="J1301" s="30"/>
      <c r="K1301" s="12"/>
      <c r="L1301" s="12"/>
    </row>
    <row r="1302" spans="1:12">
      <c r="A1302" s="30"/>
      <c r="B1302" s="65"/>
      <c r="C1302" s="65"/>
      <c r="D1302" s="112"/>
      <c r="E1302" s="30"/>
      <c r="F1302" s="30"/>
      <c r="G1302" s="30"/>
      <c r="H1302" s="66"/>
      <c r="I1302" s="30"/>
      <c r="J1302" s="30"/>
      <c r="K1302" s="12"/>
      <c r="L1302" s="12"/>
    </row>
    <row r="1303" spans="1:12">
      <c r="A1303" s="30"/>
      <c r="B1303" s="65"/>
      <c r="C1303" s="65"/>
      <c r="D1303" s="112"/>
      <c r="E1303" s="30"/>
      <c r="F1303" s="30"/>
      <c r="G1303" s="30"/>
      <c r="H1303" s="66"/>
      <c r="I1303" s="30"/>
      <c r="J1303" s="30"/>
      <c r="K1303" s="12"/>
      <c r="L1303" s="12"/>
    </row>
    <row r="1304" spans="1:12">
      <c r="A1304" s="30"/>
      <c r="B1304" s="65"/>
      <c r="C1304" s="65"/>
      <c r="D1304" s="112"/>
      <c r="E1304" s="30"/>
      <c r="F1304" s="30"/>
      <c r="G1304" s="30"/>
      <c r="H1304" s="66"/>
      <c r="I1304" s="30"/>
      <c r="J1304" s="30"/>
      <c r="K1304" s="12"/>
      <c r="L1304" s="12"/>
    </row>
    <row r="1305" spans="1:12">
      <c r="A1305" s="30"/>
      <c r="B1305" s="65"/>
      <c r="C1305" s="65"/>
      <c r="D1305" s="112"/>
      <c r="E1305" s="30"/>
      <c r="F1305" s="30"/>
      <c r="G1305" s="30"/>
      <c r="H1305" s="66"/>
      <c r="I1305" s="30"/>
      <c r="J1305" s="30"/>
      <c r="K1305" s="12"/>
      <c r="L1305" s="12"/>
    </row>
    <row r="1306" spans="1:12">
      <c r="A1306" s="30"/>
      <c r="B1306" s="65"/>
      <c r="C1306" s="65"/>
      <c r="D1306" s="112"/>
      <c r="E1306" s="30"/>
      <c r="F1306" s="30"/>
      <c r="G1306" s="30"/>
      <c r="H1306" s="66"/>
      <c r="I1306" s="30"/>
      <c r="J1306" s="30"/>
      <c r="K1306" s="12"/>
      <c r="L1306" s="12"/>
    </row>
    <row r="1307" spans="1:12">
      <c r="A1307" s="30"/>
      <c r="B1307" s="65"/>
      <c r="C1307" s="65"/>
      <c r="D1307" s="112"/>
      <c r="E1307" s="30"/>
      <c r="F1307" s="30"/>
      <c r="G1307" s="30"/>
      <c r="H1307" s="66"/>
      <c r="I1307" s="30"/>
      <c r="J1307" s="30"/>
      <c r="K1307" s="12"/>
      <c r="L1307" s="12"/>
    </row>
    <row r="1308" spans="1:12">
      <c r="A1308" s="30"/>
      <c r="B1308" s="65"/>
      <c r="C1308" s="65"/>
      <c r="D1308" s="112"/>
      <c r="E1308" s="30"/>
      <c r="F1308" s="30"/>
      <c r="G1308" s="30"/>
      <c r="H1308" s="66"/>
      <c r="I1308" s="30"/>
      <c r="J1308" s="30"/>
      <c r="K1308" s="12"/>
      <c r="L1308" s="12"/>
    </row>
    <row r="1309" spans="1:12">
      <c r="A1309" s="30"/>
      <c r="B1309" s="65"/>
      <c r="C1309" s="65"/>
      <c r="D1309" s="112"/>
      <c r="E1309" s="30"/>
      <c r="F1309" s="30"/>
      <c r="G1309" s="30"/>
      <c r="H1309" s="66"/>
      <c r="I1309" s="30"/>
      <c r="J1309" s="30"/>
      <c r="K1309" s="12"/>
      <c r="L1309" s="12"/>
    </row>
    <row r="1310" spans="1:12">
      <c r="A1310" s="30"/>
      <c r="B1310" s="65"/>
      <c r="C1310" s="65"/>
      <c r="D1310" s="112"/>
      <c r="E1310" s="30"/>
      <c r="F1310" s="30"/>
      <c r="G1310" s="30"/>
      <c r="H1310" s="66"/>
      <c r="I1310" s="30"/>
      <c r="J1310" s="30"/>
      <c r="K1310" s="12"/>
      <c r="L1310" s="12"/>
    </row>
    <row r="1311" spans="1:12">
      <c r="A1311" s="30"/>
      <c r="B1311" s="65"/>
      <c r="C1311" s="65"/>
      <c r="D1311" s="112"/>
      <c r="E1311" s="30"/>
      <c r="F1311" s="30"/>
      <c r="G1311" s="30"/>
      <c r="H1311" s="66"/>
      <c r="I1311" s="30"/>
      <c r="J1311" s="30"/>
      <c r="K1311" s="12"/>
      <c r="L1311" s="12"/>
    </row>
    <row r="1312" spans="1:12">
      <c r="A1312" s="30"/>
      <c r="B1312" s="65"/>
      <c r="C1312" s="65"/>
      <c r="D1312" s="112"/>
      <c r="E1312" s="30"/>
      <c r="F1312" s="30"/>
      <c r="G1312" s="30"/>
      <c r="H1312" s="66"/>
      <c r="I1312" s="30"/>
      <c r="J1312" s="30"/>
      <c r="K1312" s="12"/>
      <c r="L1312" s="12"/>
    </row>
    <row r="1313" spans="1:12">
      <c r="A1313" s="30"/>
      <c r="B1313" s="65"/>
      <c r="C1313" s="65"/>
      <c r="D1313" s="112"/>
      <c r="E1313" s="30"/>
      <c r="F1313" s="30"/>
      <c r="G1313" s="30"/>
      <c r="H1313" s="66"/>
      <c r="I1313" s="30"/>
      <c r="J1313" s="30"/>
      <c r="K1313" s="12"/>
      <c r="L1313" s="12"/>
    </row>
    <row r="1314" spans="1:12">
      <c r="A1314" s="30"/>
      <c r="B1314" s="65"/>
      <c r="C1314" s="65"/>
      <c r="D1314" s="112"/>
      <c r="E1314" s="30"/>
      <c r="F1314" s="30"/>
      <c r="G1314" s="30"/>
      <c r="H1314" s="66"/>
      <c r="I1314" s="30"/>
      <c r="J1314" s="30"/>
      <c r="K1314" s="12"/>
      <c r="L1314" s="12"/>
    </row>
    <row r="1315" spans="1:12">
      <c r="A1315" s="30"/>
      <c r="B1315" s="65"/>
      <c r="C1315" s="65"/>
      <c r="D1315" s="112"/>
      <c r="E1315" s="30"/>
      <c r="F1315" s="30"/>
      <c r="G1315" s="30"/>
      <c r="H1315" s="66"/>
      <c r="I1315" s="30"/>
      <c r="J1315" s="30"/>
      <c r="K1315" s="12"/>
      <c r="L1315" s="12"/>
    </row>
    <row r="1316" spans="1:12">
      <c r="A1316" s="30"/>
      <c r="B1316" s="65"/>
      <c r="C1316" s="65"/>
      <c r="D1316" s="112"/>
      <c r="E1316" s="30"/>
      <c r="F1316" s="30"/>
      <c r="G1316" s="30"/>
      <c r="H1316" s="66"/>
      <c r="I1316" s="30"/>
      <c r="J1316" s="30"/>
      <c r="K1316" s="12"/>
      <c r="L1316" s="12"/>
    </row>
    <row r="1317" spans="1:12">
      <c r="A1317" s="30"/>
      <c r="B1317" s="65"/>
      <c r="C1317" s="65"/>
      <c r="D1317" s="112"/>
      <c r="E1317" s="30"/>
      <c r="F1317" s="30"/>
      <c r="G1317" s="30"/>
      <c r="H1317" s="66"/>
      <c r="I1317" s="30"/>
      <c r="J1317" s="30"/>
      <c r="K1317" s="12"/>
      <c r="L1317" s="12"/>
    </row>
    <row r="1318" spans="1:12">
      <c r="A1318" s="30"/>
      <c r="B1318" s="65"/>
      <c r="C1318" s="65"/>
      <c r="D1318" s="112"/>
      <c r="E1318" s="30"/>
      <c r="F1318" s="30"/>
      <c r="G1318" s="30"/>
      <c r="H1318" s="66"/>
      <c r="I1318" s="30"/>
      <c r="J1318" s="30"/>
      <c r="K1318" s="12"/>
      <c r="L1318" s="12"/>
    </row>
    <row r="1319" spans="1:12">
      <c r="A1319" s="30"/>
      <c r="B1319" s="65"/>
      <c r="C1319" s="65"/>
      <c r="D1319" s="112"/>
      <c r="E1319" s="30"/>
      <c r="F1319" s="30"/>
      <c r="G1319" s="30"/>
      <c r="H1319" s="66"/>
      <c r="I1319" s="30"/>
      <c r="J1319" s="30"/>
      <c r="K1319" s="12"/>
      <c r="L1319" s="12"/>
    </row>
    <row r="1320" spans="1:12">
      <c r="A1320" s="30"/>
      <c r="B1320" s="65"/>
      <c r="C1320" s="65"/>
      <c r="D1320" s="112"/>
      <c r="E1320" s="30"/>
      <c r="F1320" s="30"/>
      <c r="G1320" s="30"/>
      <c r="H1320" s="66"/>
      <c r="I1320" s="30"/>
      <c r="J1320" s="30"/>
      <c r="K1320" s="12"/>
      <c r="L1320" s="12"/>
    </row>
    <row r="1321" spans="1:12">
      <c r="A1321" s="30"/>
      <c r="B1321" s="65"/>
      <c r="C1321" s="65"/>
      <c r="D1321" s="112"/>
      <c r="E1321" s="30"/>
      <c r="F1321" s="30"/>
      <c r="G1321" s="30"/>
      <c r="H1321" s="66"/>
      <c r="I1321" s="30"/>
      <c r="J1321" s="30"/>
      <c r="K1321" s="12"/>
      <c r="L1321" s="12"/>
    </row>
    <row r="1322" spans="1:12">
      <c r="A1322" s="30"/>
      <c r="B1322" s="65"/>
      <c r="C1322" s="65"/>
      <c r="D1322" s="112"/>
      <c r="E1322" s="30"/>
      <c r="F1322" s="30"/>
      <c r="G1322" s="30"/>
      <c r="H1322" s="66"/>
      <c r="I1322" s="30"/>
      <c r="J1322" s="30"/>
      <c r="K1322" s="12"/>
      <c r="L1322" s="12"/>
    </row>
    <row r="1323" spans="1:12">
      <c r="A1323" s="30"/>
      <c r="B1323" s="65"/>
      <c r="C1323" s="65"/>
      <c r="D1323" s="112"/>
      <c r="E1323" s="30"/>
      <c r="F1323" s="30"/>
      <c r="G1323" s="30"/>
      <c r="H1323" s="66"/>
      <c r="I1323" s="30"/>
      <c r="J1323" s="30"/>
      <c r="K1323" s="12"/>
      <c r="L1323" s="12"/>
    </row>
    <row r="1324" spans="1:12">
      <c r="A1324" s="30"/>
      <c r="B1324" s="65"/>
      <c r="C1324" s="65"/>
      <c r="D1324" s="112"/>
      <c r="E1324" s="30"/>
      <c r="F1324" s="30"/>
      <c r="G1324" s="30"/>
      <c r="H1324" s="66"/>
      <c r="I1324" s="30"/>
      <c r="J1324" s="30"/>
      <c r="K1324" s="12"/>
      <c r="L1324" s="12"/>
    </row>
    <row r="1325" spans="1:12">
      <c r="A1325" s="30"/>
      <c r="B1325" s="65"/>
      <c r="C1325" s="65"/>
      <c r="D1325" s="112"/>
      <c r="E1325" s="30"/>
      <c r="F1325" s="30"/>
      <c r="G1325" s="30"/>
      <c r="H1325" s="66"/>
      <c r="I1325" s="30"/>
      <c r="J1325" s="30"/>
      <c r="K1325" s="12"/>
      <c r="L1325" s="12"/>
    </row>
    <row r="1326" spans="1:12">
      <c r="A1326" s="30"/>
      <c r="B1326" s="65"/>
      <c r="C1326" s="65"/>
      <c r="D1326" s="112"/>
      <c r="E1326" s="30"/>
      <c r="F1326" s="30"/>
      <c r="G1326" s="30"/>
      <c r="H1326" s="66"/>
      <c r="I1326" s="30"/>
      <c r="J1326" s="30"/>
      <c r="K1326" s="12"/>
      <c r="L1326" s="12"/>
    </row>
    <row r="1327" spans="1:12">
      <c r="A1327" s="30"/>
      <c r="B1327" s="65"/>
      <c r="C1327" s="65"/>
      <c r="D1327" s="112"/>
      <c r="E1327" s="30"/>
      <c r="F1327" s="30"/>
      <c r="G1327" s="30"/>
      <c r="H1327" s="66"/>
      <c r="I1327" s="30"/>
      <c r="J1327" s="30"/>
      <c r="K1327" s="12"/>
      <c r="L1327" s="12"/>
    </row>
    <row r="1328" spans="1:12">
      <c r="A1328" s="30"/>
      <c r="B1328" s="65"/>
      <c r="C1328" s="65"/>
      <c r="D1328" s="112"/>
      <c r="E1328" s="30"/>
      <c r="F1328" s="30"/>
      <c r="G1328" s="30"/>
      <c r="H1328" s="66"/>
      <c r="I1328" s="30"/>
      <c r="J1328" s="30"/>
      <c r="K1328" s="12"/>
      <c r="L1328" s="12"/>
    </row>
    <row r="1329" spans="1:12">
      <c r="A1329" s="30"/>
      <c r="B1329" s="65"/>
      <c r="C1329" s="65"/>
      <c r="D1329" s="112"/>
      <c r="E1329" s="30"/>
      <c r="F1329" s="30"/>
      <c r="G1329" s="30"/>
      <c r="H1329" s="66"/>
      <c r="I1329" s="30"/>
      <c r="J1329" s="30"/>
      <c r="K1329" s="12"/>
      <c r="L1329" s="12"/>
    </row>
    <row r="1330" spans="1:12">
      <c r="A1330" s="30"/>
      <c r="B1330" s="65"/>
      <c r="C1330" s="65"/>
      <c r="D1330" s="112"/>
      <c r="E1330" s="30"/>
      <c r="F1330" s="30"/>
      <c r="G1330" s="30"/>
      <c r="H1330" s="66"/>
      <c r="I1330" s="30"/>
      <c r="J1330" s="30"/>
      <c r="K1330" s="12"/>
      <c r="L1330" s="12"/>
    </row>
    <row r="1331" spans="1:12">
      <c r="A1331" s="30"/>
      <c r="B1331" s="65"/>
      <c r="C1331" s="65"/>
      <c r="D1331" s="112"/>
      <c r="E1331" s="30"/>
      <c r="F1331" s="30"/>
      <c r="G1331" s="30"/>
      <c r="H1331" s="66"/>
      <c r="I1331" s="30"/>
      <c r="J1331" s="30"/>
      <c r="K1331" s="12"/>
      <c r="L1331" s="12"/>
    </row>
    <row r="1332" spans="1:12">
      <c r="A1332" s="30"/>
      <c r="B1332" s="65"/>
      <c r="C1332" s="65"/>
      <c r="D1332" s="112"/>
      <c r="E1332" s="30"/>
      <c r="F1332" s="30"/>
      <c r="G1332" s="30"/>
      <c r="H1332" s="66"/>
      <c r="I1332" s="30"/>
      <c r="J1332" s="30"/>
      <c r="K1332" s="12"/>
      <c r="L1332" s="12"/>
    </row>
    <row r="1333" spans="1:12">
      <c r="A1333" s="30"/>
      <c r="B1333" s="65"/>
      <c r="C1333" s="65"/>
      <c r="D1333" s="112"/>
      <c r="E1333" s="30"/>
      <c r="F1333" s="30"/>
      <c r="G1333" s="30"/>
      <c r="H1333" s="66"/>
      <c r="I1333" s="30"/>
      <c r="J1333" s="30"/>
      <c r="K1333" s="12"/>
      <c r="L1333" s="12"/>
    </row>
    <row r="1334" spans="1:12">
      <c r="A1334" s="30"/>
      <c r="B1334" s="65"/>
      <c r="C1334" s="65"/>
      <c r="D1334" s="112"/>
      <c r="E1334" s="30"/>
      <c r="F1334" s="30"/>
      <c r="G1334" s="30"/>
      <c r="H1334" s="66"/>
      <c r="I1334" s="30"/>
      <c r="J1334" s="30"/>
      <c r="K1334" s="12"/>
      <c r="L1334" s="12"/>
    </row>
    <row r="1335" spans="1:12">
      <c r="A1335" s="30"/>
      <c r="B1335" s="65"/>
      <c r="C1335" s="65"/>
      <c r="D1335" s="112"/>
      <c r="E1335" s="30"/>
      <c r="F1335" s="30"/>
      <c r="G1335" s="30"/>
      <c r="H1335" s="66"/>
      <c r="I1335" s="30"/>
      <c r="J1335" s="30"/>
      <c r="K1335" s="12"/>
      <c r="L1335" s="12"/>
    </row>
    <row r="1336" spans="1:12">
      <c r="A1336" s="30"/>
      <c r="B1336" s="65"/>
      <c r="C1336" s="65"/>
      <c r="D1336" s="112"/>
      <c r="E1336" s="30"/>
      <c r="F1336" s="30"/>
      <c r="G1336" s="30"/>
      <c r="H1336" s="66"/>
      <c r="I1336" s="30"/>
      <c r="J1336" s="30"/>
      <c r="K1336" s="12"/>
      <c r="L1336" s="12"/>
    </row>
    <row r="1337" spans="1:12">
      <c r="A1337" s="30"/>
      <c r="B1337" s="65"/>
      <c r="C1337" s="65"/>
      <c r="D1337" s="112"/>
      <c r="E1337" s="30"/>
      <c r="F1337" s="30"/>
      <c r="G1337" s="30"/>
      <c r="H1337" s="66"/>
      <c r="I1337" s="30"/>
      <c r="J1337" s="30"/>
      <c r="K1337" s="12"/>
      <c r="L1337" s="12"/>
    </row>
    <row r="1338" spans="1:12">
      <c r="A1338" s="30"/>
      <c r="B1338" s="65"/>
      <c r="C1338" s="65"/>
      <c r="D1338" s="112"/>
      <c r="E1338" s="30"/>
      <c r="F1338" s="30"/>
      <c r="G1338" s="30"/>
      <c r="H1338" s="66"/>
      <c r="I1338" s="30"/>
      <c r="J1338" s="30"/>
      <c r="K1338" s="12"/>
      <c r="L1338" s="12"/>
    </row>
    <row r="1339" spans="1:12">
      <c r="A1339" s="30"/>
      <c r="B1339" s="65"/>
      <c r="C1339" s="65"/>
      <c r="D1339" s="112"/>
      <c r="E1339" s="30"/>
      <c r="F1339" s="30"/>
      <c r="G1339" s="30"/>
      <c r="H1339" s="66"/>
      <c r="I1339" s="30"/>
      <c r="J1339" s="30"/>
      <c r="K1339" s="12"/>
      <c r="L1339" s="12"/>
    </row>
    <row r="1340" spans="1:12">
      <c r="A1340" s="30"/>
      <c r="B1340" s="65"/>
      <c r="C1340" s="65"/>
      <c r="D1340" s="112"/>
      <c r="E1340" s="30"/>
      <c r="F1340" s="30"/>
      <c r="G1340" s="30"/>
      <c r="H1340" s="66"/>
      <c r="I1340" s="30"/>
      <c r="J1340" s="30"/>
      <c r="K1340" s="12"/>
      <c r="L1340" s="12"/>
    </row>
    <row r="1341" spans="1:12">
      <c r="A1341" s="30"/>
      <c r="B1341" s="65"/>
      <c r="C1341" s="65"/>
      <c r="D1341" s="112"/>
      <c r="E1341" s="30"/>
      <c r="F1341" s="30"/>
      <c r="G1341" s="30"/>
      <c r="H1341" s="66"/>
      <c r="I1341" s="30"/>
      <c r="J1341" s="30"/>
      <c r="K1341" s="12"/>
      <c r="L1341" s="12"/>
    </row>
    <row r="1342" spans="1:12">
      <c r="A1342" s="30"/>
      <c r="B1342" s="65"/>
      <c r="C1342" s="65"/>
      <c r="D1342" s="112"/>
      <c r="E1342" s="30"/>
      <c r="F1342" s="30"/>
      <c r="G1342" s="30"/>
      <c r="H1342" s="66"/>
      <c r="I1342" s="30"/>
      <c r="J1342" s="30"/>
      <c r="K1342" s="12"/>
      <c r="L1342" s="12"/>
    </row>
    <row r="1343" spans="1:12">
      <c r="A1343" s="30"/>
      <c r="B1343" s="65"/>
      <c r="C1343" s="65"/>
      <c r="D1343" s="112"/>
      <c r="E1343" s="30"/>
      <c r="F1343" s="30"/>
      <c r="G1343" s="30"/>
      <c r="H1343" s="66"/>
      <c r="I1343" s="30"/>
      <c r="J1343" s="30"/>
      <c r="K1343" s="12"/>
      <c r="L1343" s="12"/>
    </row>
    <row r="1344" spans="1:12">
      <c r="A1344" s="30"/>
      <c r="B1344" s="65"/>
      <c r="C1344" s="65"/>
      <c r="D1344" s="112"/>
      <c r="E1344" s="30"/>
      <c r="F1344" s="30"/>
      <c r="G1344" s="30"/>
      <c r="H1344" s="66"/>
      <c r="I1344" s="30"/>
      <c r="J1344" s="30"/>
      <c r="K1344" s="12"/>
      <c r="L1344" s="12"/>
    </row>
    <row r="1345" spans="1:12">
      <c r="A1345" s="30"/>
      <c r="B1345" s="65"/>
      <c r="C1345" s="65"/>
      <c r="D1345" s="112"/>
      <c r="E1345" s="30"/>
      <c r="F1345" s="30"/>
      <c r="G1345" s="30"/>
      <c r="H1345" s="66"/>
      <c r="I1345" s="30"/>
      <c r="J1345" s="30"/>
      <c r="K1345" s="12"/>
      <c r="L1345" s="12"/>
    </row>
    <row r="1346" spans="1:12">
      <c r="A1346" s="30"/>
      <c r="B1346" s="65"/>
      <c r="C1346" s="65"/>
      <c r="D1346" s="112"/>
      <c r="E1346" s="30"/>
      <c r="F1346" s="30"/>
      <c r="G1346" s="30"/>
      <c r="H1346" s="66"/>
      <c r="I1346" s="30"/>
      <c r="J1346" s="30"/>
      <c r="K1346" s="12"/>
      <c r="L1346" s="12"/>
    </row>
    <row r="1347" spans="1:12">
      <c r="A1347" s="30"/>
      <c r="B1347" s="65"/>
      <c r="C1347" s="65"/>
      <c r="D1347" s="112"/>
      <c r="E1347" s="30"/>
      <c r="F1347" s="30"/>
      <c r="G1347" s="30"/>
      <c r="H1347" s="66"/>
      <c r="I1347" s="30"/>
      <c r="J1347" s="30"/>
      <c r="K1347" s="12"/>
      <c r="L1347" s="12"/>
    </row>
    <row r="1348" spans="1:12">
      <c r="A1348" s="30"/>
      <c r="B1348" s="65"/>
      <c r="C1348" s="65"/>
      <c r="D1348" s="112"/>
      <c r="E1348" s="30"/>
      <c r="F1348" s="30"/>
      <c r="G1348" s="30"/>
      <c r="H1348" s="66"/>
      <c r="I1348" s="30"/>
      <c r="J1348" s="30"/>
      <c r="K1348" s="12"/>
      <c r="L1348" s="12"/>
    </row>
    <row r="1349" spans="1:12">
      <c r="A1349" s="30"/>
      <c r="B1349" s="65"/>
      <c r="C1349" s="65"/>
      <c r="D1349" s="112"/>
      <c r="E1349" s="30"/>
      <c r="F1349" s="30"/>
      <c r="G1349" s="30"/>
      <c r="H1349" s="66"/>
      <c r="I1349" s="30"/>
      <c r="J1349" s="30"/>
      <c r="K1349" s="12"/>
      <c r="L1349" s="12"/>
    </row>
    <row r="1350" spans="1:12">
      <c r="A1350" s="30"/>
      <c r="B1350" s="65"/>
      <c r="C1350" s="65"/>
      <c r="D1350" s="112"/>
      <c r="E1350" s="30"/>
      <c r="F1350" s="30"/>
      <c r="G1350" s="30"/>
      <c r="H1350" s="66"/>
      <c r="I1350" s="30"/>
      <c r="J1350" s="30"/>
      <c r="K1350" s="12"/>
      <c r="L1350" s="12"/>
    </row>
    <row r="1351" spans="1:12">
      <c r="A1351" s="30"/>
      <c r="B1351" s="65"/>
      <c r="C1351" s="65"/>
      <c r="D1351" s="112"/>
      <c r="E1351" s="30"/>
      <c r="F1351" s="30"/>
      <c r="G1351" s="30"/>
      <c r="H1351" s="66"/>
      <c r="I1351" s="30"/>
      <c r="J1351" s="30"/>
      <c r="K1351" s="12"/>
      <c r="L1351" s="12"/>
    </row>
    <row r="1352" spans="1:12">
      <c r="A1352" s="30"/>
      <c r="B1352" s="65"/>
      <c r="C1352" s="65"/>
      <c r="D1352" s="112"/>
      <c r="E1352" s="30"/>
      <c r="F1352" s="30"/>
      <c r="G1352" s="30"/>
      <c r="H1352" s="66"/>
      <c r="I1352" s="30"/>
      <c r="J1352" s="30"/>
      <c r="K1352" s="12"/>
      <c r="L1352" s="12"/>
    </row>
    <row r="1353" spans="1:12">
      <c r="A1353" s="30"/>
      <c r="B1353" s="65"/>
      <c r="C1353" s="65"/>
      <c r="D1353" s="112"/>
      <c r="E1353" s="30"/>
      <c r="F1353" s="30"/>
      <c r="G1353" s="30"/>
      <c r="H1353" s="66"/>
      <c r="I1353" s="30"/>
      <c r="J1353" s="30"/>
      <c r="K1353" s="12"/>
      <c r="L1353" s="12"/>
    </row>
    <row r="1354" spans="1:12">
      <c r="A1354" s="30"/>
      <c r="B1354" s="65"/>
      <c r="C1354" s="65"/>
      <c r="D1354" s="112"/>
      <c r="E1354" s="30"/>
      <c r="F1354" s="30"/>
      <c r="G1354" s="30"/>
      <c r="H1354" s="66"/>
      <c r="I1354" s="30"/>
      <c r="J1354" s="30"/>
      <c r="K1354" s="12"/>
      <c r="L1354" s="12"/>
    </row>
    <row r="1355" spans="1:12">
      <c r="A1355" s="30"/>
      <c r="B1355" s="65"/>
      <c r="C1355" s="65"/>
      <c r="D1355" s="112"/>
      <c r="E1355" s="30"/>
      <c r="F1355" s="30"/>
      <c r="G1355" s="30"/>
      <c r="H1355" s="66"/>
      <c r="I1355" s="30"/>
      <c r="J1355" s="30"/>
      <c r="K1355" s="12"/>
      <c r="L1355" s="12"/>
    </row>
    <row r="1356" spans="1:12">
      <c r="A1356" s="30"/>
      <c r="B1356" s="65"/>
      <c r="C1356" s="65"/>
      <c r="D1356" s="112"/>
      <c r="E1356" s="30"/>
      <c r="F1356" s="30"/>
      <c r="G1356" s="30"/>
      <c r="H1356" s="66"/>
      <c r="I1356" s="30"/>
      <c r="J1356" s="30"/>
      <c r="K1356" s="12"/>
      <c r="L1356" s="12"/>
    </row>
    <row r="1357" spans="1:12">
      <c r="A1357" s="30"/>
      <c r="B1357" s="65"/>
      <c r="C1357" s="65"/>
      <c r="D1357" s="112"/>
      <c r="E1357" s="30"/>
      <c r="F1357" s="30"/>
      <c r="G1357" s="30"/>
      <c r="H1357" s="66"/>
      <c r="I1357" s="30"/>
      <c r="J1357" s="30"/>
      <c r="K1357" s="12"/>
      <c r="L1357" s="12"/>
    </row>
    <row r="1358" spans="1:12">
      <c r="A1358" s="30"/>
      <c r="B1358" s="65"/>
      <c r="C1358" s="65"/>
      <c r="D1358" s="112"/>
      <c r="E1358" s="30"/>
      <c r="F1358" s="30"/>
      <c r="G1358" s="30"/>
      <c r="H1358" s="66"/>
      <c r="I1358" s="30"/>
      <c r="J1358" s="30"/>
      <c r="K1358" s="12"/>
      <c r="L1358" s="12"/>
    </row>
    <row r="1359" spans="1:12">
      <c r="A1359" s="30"/>
      <c r="B1359" s="65"/>
      <c r="C1359" s="65"/>
      <c r="D1359" s="112"/>
      <c r="E1359" s="30"/>
      <c r="F1359" s="30"/>
      <c r="G1359" s="30"/>
      <c r="H1359" s="66"/>
      <c r="I1359" s="30"/>
      <c r="J1359" s="30"/>
      <c r="K1359" s="12"/>
      <c r="L1359" s="12"/>
    </row>
    <row r="1360" spans="1:12">
      <c r="A1360" s="30"/>
      <c r="B1360" s="65"/>
      <c r="C1360" s="65"/>
      <c r="D1360" s="112"/>
      <c r="E1360" s="30"/>
      <c r="F1360" s="30"/>
      <c r="G1360" s="30"/>
      <c r="H1360" s="66"/>
      <c r="I1360" s="30"/>
      <c r="J1360" s="30"/>
      <c r="K1360" s="12"/>
      <c r="L1360" s="12"/>
    </row>
    <row r="1361" spans="1:12">
      <c r="A1361" s="30"/>
      <c r="B1361" s="65"/>
      <c r="C1361" s="65"/>
      <c r="D1361" s="112"/>
      <c r="E1361" s="30"/>
      <c r="F1361" s="30"/>
      <c r="G1361" s="30"/>
      <c r="H1361" s="66"/>
      <c r="I1361" s="30"/>
      <c r="J1361" s="30"/>
      <c r="K1361" s="12"/>
      <c r="L1361" s="12"/>
    </row>
    <row r="1362" spans="1:12">
      <c r="A1362" s="30"/>
      <c r="B1362" s="65"/>
      <c r="C1362" s="65"/>
      <c r="D1362" s="112"/>
      <c r="E1362" s="30"/>
      <c r="F1362" s="30"/>
      <c r="G1362" s="30"/>
      <c r="H1362" s="66"/>
      <c r="I1362" s="30"/>
      <c r="J1362" s="30"/>
      <c r="K1362" s="12"/>
      <c r="L1362" s="12"/>
    </row>
    <row r="1363" spans="1:12">
      <c r="A1363" s="30"/>
      <c r="B1363" s="65"/>
      <c r="C1363" s="65"/>
      <c r="D1363" s="112"/>
      <c r="E1363" s="30"/>
      <c r="F1363" s="30"/>
      <c r="G1363" s="30"/>
      <c r="H1363" s="66"/>
      <c r="I1363" s="30"/>
      <c r="J1363" s="30"/>
      <c r="K1363" s="12"/>
      <c r="L1363" s="12"/>
    </row>
    <row r="1364" spans="1:12">
      <c r="A1364" s="30"/>
      <c r="B1364" s="65"/>
      <c r="C1364" s="65"/>
      <c r="D1364" s="112"/>
      <c r="E1364" s="30"/>
      <c r="F1364" s="30"/>
      <c r="G1364" s="30"/>
      <c r="H1364" s="66"/>
      <c r="I1364" s="30"/>
      <c r="J1364" s="30"/>
      <c r="K1364" s="12"/>
      <c r="L1364" s="12"/>
    </row>
    <row r="1365" spans="1:12">
      <c r="A1365" s="30"/>
      <c r="B1365" s="65"/>
      <c r="C1365" s="65"/>
      <c r="D1365" s="112"/>
      <c r="E1365" s="30"/>
      <c r="F1365" s="30"/>
      <c r="G1365" s="30"/>
      <c r="H1365" s="66"/>
      <c r="I1365" s="30"/>
      <c r="J1365" s="30"/>
      <c r="K1365" s="12"/>
      <c r="L1365" s="12"/>
    </row>
    <row r="1366" spans="1:12">
      <c r="A1366" s="30"/>
      <c r="B1366" s="65"/>
      <c r="C1366" s="65"/>
      <c r="D1366" s="112"/>
      <c r="E1366" s="30"/>
      <c r="F1366" s="30"/>
      <c r="G1366" s="30"/>
      <c r="H1366" s="66"/>
      <c r="I1366" s="30"/>
      <c r="J1366" s="30"/>
      <c r="K1366" s="12"/>
      <c r="L1366" s="12"/>
    </row>
    <row r="1367" spans="1:12">
      <c r="A1367" s="30"/>
      <c r="B1367" s="65"/>
      <c r="C1367" s="65"/>
      <c r="D1367" s="112"/>
      <c r="E1367" s="30"/>
      <c r="F1367" s="30"/>
      <c r="G1367" s="30"/>
      <c r="H1367" s="66"/>
      <c r="I1367" s="30"/>
      <c r="J1367" s="30"/>
      <c r="K1367" s="12"/>
      <c r="L1367" s="12"/>
    </row>
    <row r="1368" spans="1:12">
      <c r="A1368" s="30"/>
      <c r="B1368" s="65"/>
      <c r="C1368" s="65"/>
      <c r="D1368" s="112"/>
      <c r="E1368" s="30"/>
      <c r="F1368" s="30"/>
      <c r="G1368" s="30"/>
      <c r="H1368" s="66"/>
      <c r="I1368" s="30"/>
      <c r="J1368" s="30"/>
      <c r="K1368" s="12"/>
      <c r="L1368" s="12"/>
    </row>
    <row r="1369" spans="1:12">
      <c r="A1369" s="30"/>
      <c r="B1369" s="65"/>
      <c r="C1369" s="65"/>
      <c r="D1369" s="112"/>
      <c r="E1369" s="30"/>
      <c r="F1369" s="30"/>
      <c r="G1369" s="30"/>
      <c r="H1369" s="66"/>
      <c r="I1369" s="30"/>
      <c r="J1369" s="30"/>
      <c r="K1369" s="12"/>
      <c r="L1369" s="12"/>
    </row>
    <row r="1370" spans="1:12">
      <c r="A1370" s="30"/>
      <c r="B1370" s="65"/>
      <c r="C1370" s="65"/>
      <c r="D1370" s="112"/>
      <c r="E1370" s="30"/>
      <c r="F1370" s="30"/>
      <c r="G1370" s="30"/>
      <c r="H1370" s="66"/>
      <c r="I1370" s="30"/>
      <c r="J1370" s="30"/>
      <c r="K1370" s="12"/>
      <c r="L1370" s="12"/>
    </row>
    <row r="1371" spans="1:12">
      <c r="A1371" s="30"/>
      <c r="B1371" s="65"/>
      <c r="C1371" s="65"/>
      <c r="D1371" s="112"/>
      <c r="E1371" s="30"/>
      <c r="F1371" s="30"/>
      <c r="G1371" s="30"/>
      <c r="H1371" s="66"/>
      <c r="I1371" s="30"/>
      <c r="J1371" s="30"/>
      <c r="K1371" s="12"/>
      <c r="L1371" s="12"/>
    </row>
    <row r="1372" spans="1:12">
      <c r="A1372" s="30"/>
      <c r="B1372" s="65"/>
      <c r="C1372" s="65"/>
      <c r="D1372" s="112"/>
      <c r="E1372" s="30"/>
      <c r="F1372" s="30"/>
      <c r="G1372" s="30"/>
      <c r="H1372" s="66"/>
      <c r="I1372" s="30"/>
      <c r="J1372" s="30"/>
      <c r="K1372" s="12"/>
      <c r="L1372" s="12"/>
    </row>
    <row r="1373" spans="1:12">
      <c r="A1373" s="30"/>
      <c r="B1373" s="65"/>
      <c r="C1373" s="65"/>
      <c r="D1373" s="112"/>
      <c r="E1373" s="30"/>
      <c r="F1373" s="30"/>
      <c r="G1373" s="30"/>
      <c r="H1373" s="66"/>
      <c r="I1373" s="30"/>
      <c r="J1373" s="30"/>
      <c r="K1373" s="12"/>
      <c r="L1373" s="12"/>
    </row>
    <row r="1374" spans="1:12">
      <c r="A1374" s="30"/>
      <c r="B1374" s="65"/>
      <c r="C1374" s="65"/>
      <c r="D1374" s="112"/>
      <c r="E1374" s="30"/>
      <c r="F1374" s="30"/>
      <c r="G1374" s="30"/>
      <c r="H1374" s="66"/>
      <c r="I1374" s="30"/>
      <c r="J1374" s="30"/>
      <c r="K1374" s="12"/>
      <c r="L1374" s="12"/>
    </row>
    <row r="1375" spans="1:12">
      <c r="A1375" s="30"/>
      <c r="B1375" s="65"/>
      <c r="C1375" s="65"/>
      <c r="D1375" s="112"/>
      <c r="E1375" s="30"/>
      <c r="F1375" s="30"/>
      <c r="G1375" s="30"/>
      <c r="H1375" s="66"/>
      <c r="I1375" s="30"/>
      <c r="J1375" s="30"/>
      <c r="K1375" s="12"/>
      <c r="L1375" s="12"/>
    </row>
    <row r="1376" spans="1:12">
      <c r="A1376" s="30"/>
      <c r="B1376" s="65"/>
      <c r="C1376" s="65"/>
      <c r="D1376" s="112"/>
      <c r="E1376" s="30"/>
      <c r="F1376" s="30"/>
      <c r="G1376" s="30"/>
      <c r="H1376" s="66"/>
      <c r="I1376" s="30"/>
      <c r="J1376" s="30"/>
      <c r="K1376" s="12"/>
      <c r="L1376" s="12"/>
    </row>
    <row r="1377" spans="1:12">
      <c r="A1377" s="30"/>
      <c r="B1377" s="65"/>
      <c r="C1377" s="65"/>
      <c r="D1377" s="112"/>
      <c r="E1377" s="30"/>
      <c r="F1377" s="30"/>
      <c r="G1377" s="30"/>
      <c r="H1377" s="66"/>
      <c r="I1377" s="30"/>
      <c r="J1377" s="30"/>
      <c r="K1377" s="12"/>
      <c r="L1377" s="12"/>
    </row>
    <row r="1378" spans="1:12">
      <c r="A1378" s="30"/>
      <c r="B1378" s="65"/>
      <c r="C1378" s="65"/>
      <c r="D1378" s="112"/>
      <c r="E1378" s="30"/>
      <c r="F1378" s="30"/>
      <c r="G1378" s="30"/>
      <c r="H1378" s="66"/>
      <c r="I1378" s="30"/>
      <c r="J1378" s="30"/>
      <c r="K1378" s="12"/>
      <c r="L1378" s="12"/>
    </row>
    <row r="1379" spans="1:12">
      <c r="A1379" s="30"/>
      <c r="B1379" s="65"/>
      <c r="C1379" s="65"/>
      <c r="D1379" s="112"/>
      <c r="E1379" s="30"/>
      <c r="F1379" s="30"/>
      <c r="G1379" s="30"/>
      <c r="H1379" s="66"/>
      <c r="I1379" s="30"/>
      <c r="J1379" s="30"/>
      <c r="K1379" s="12"/>
      <c r="L1379" s="12"/>
    </row>
    <row r="1380" spans="1:12">
      <c r="A1380" s="30"/>
      <c r="B1380" s="65"/>
      <c r="C1380" s="65"/>
      <c r="D1380" s="112"/>
      <c r="E1380" s="30"/>
      <c r="F1380" s="30"/>
      <c r="G1380" s="30"/>
      <c r="H1380" s="66"/>
      <c r="I1380" s="30"/>
      <c r="J1380" s="30"/>
      <c r="K1380" s="12"/>
      <c r="L1380" s="12"/>
    </row>
    <row r="1381" spans="1:12">
      <c r="A1381" s="30"/>
      <c r="B1381" s="65"/>
      <c r="C1381" s="65"/>
      <c r="D1381" s="112"/>
      <c r="E1381" s="30"/>
      <c r="F1381" s="30"/>
      <c r="G1381" s="30"/>
      <c r="H1381" s="66"/>
      <c r="I1381" s="30"/>
      <c r="J1381" s="30"/>
      <c r="K1381" s="12"/>
      <c r="L1381" s="12"/>
    </row>
    <row r="1382" spans="1:12">
      <c r="A1382" s="30"/>
      <c r="B1382" s="65"/>
      <c r="C1382" s="65"/>
      <c r="D1382" s="112"/>
      <c r="E1382" s="30"/>
      <c r="F1382" s="30"/>
      <c r="G1382" s="30"/>
      <c r="H1382" s="66"/>
      <c r="I1382" s="30"/>
      <c r="J1382" s="30"/>
      <c r="K1382" s="12"/>
      <c r="L1382" s="12"/>
    </row>
    <row r="1383" spans="1:12">
      <c r="A1383" s="30"/>
      <c r="B1383" s="65"/>
      <c r="C1383" s="65"/>
      <c r="D1383" s="112"/>
      <c r="E1383" s="30"/>
      <c r="F1383" s="30"/>
      <c r="G1383" s="30"/>
      <c r="H1383" s="66"/>
      <c r="I1383" s="30"/>
      <c r="J1383" s="30"/>
      <c r="K1383" s="12"/>
      <c r="L1383" s="12"/>
    </row>
    <row r="1384" spans="1:12">
      <c r="A1384" s="30"/>
      <c r="B1384" s="65"/>
      <c r="C1384" s="65"/>
      <c r="D1384" s="112"/>
      <c r="E1384" s="30"/>
      <c r="F1384" s="30"/>
      <c r="G1384" s="30"/>
      <c r="H1384" s="66"/>
      <c r="I1384" s="30"/>
      <c r="J1384" s="30"/>
      <c r="K1384" s="12"/>
      <c r="L1384" s="12"/>
    </row>
    <row r="1385" spans="1:12">
      <c r="A1385" s="30"/>
      <c r="B1385" s="65"/>
      <c r="C1385" s="65"/>
      <c r="D1385" s="112"/>
      <c r="E1385" s="30"/>
      <c r="F1385" s="30"/>
      <c r="G1385" s="30"/>
      <c r="H1385" s="66"/>
      <c r="I1385" s="30"/>
      <c r="J1385" s="30"/>
      <c r="K1385" s="12"/>
      <c r="L1385" s="12"/>
    </row>
    <row r="1386" spans="1:12">
      <c r="A1386" s="30"/>
      <c r="B1386" s="65"/>
      <c r="C1386" s="65"/>
      <c r="D1386" s="112"/>
      <c r="E1386" s="30"/>
      <c r="F1386" s="30"/>
      <c r="G1386" s="30"/>
      <c r="H1386" s="66"/>
      <c r="I1386" s="30"/>
      <c r="J1386" s="30"/>
      <c r="K1386" s="12"/>
      <c r="L1386" s="12"/>
    </row>
    <row r="1387" spans="1:12">
      <c r="A1387" s="30"/>
      <c r="B1387" s="65"/>
      <c r="C1387" s="65"/>
      <c r="D1387" s="112"/>
      <c r="E1387" s="30"/>
      <c r="F1387" s="30"/>
      <c r="G1387" s="30"/>
      <c r="H1387" s="66"/>
      <c r="I1387" s="30"/>
      <c r="J1387" s="30"/>
      <c r="K1387" s="12"/>
      <c r="L1387" s="12"/>
    </row>
    <row r="1388" spans="1:12">
      <c r="A1388" s="30"/>
      <c r="B1388" s="65"/>
      <c r="C1388" s="65"/>
      <c r="D1388" s="112"/>
      <c r="E1388" s="30"/>
      <c r="F1388" s="30"/>
      <c r="G1388" s="30"/>
      <c r="H1388" s="66"/>
      <c r="I1388" s="30"/>
      <c r="J1388" s="30"/>
      <c r="K1388" s="12"/>
      <c r="L1388" s="12"/>
    </row>
    <row r="1389" spans="1:12">
      <c r="A1389" s="30"/>
      <c r="B1389" s="65"/>
      <c r="C1389" s="65"/>
      <c r="D1389" s="112"/>
      <c r="E1389" s="30"/>
      <c r="F1389" s="30"/>
      <c r="G1389" s="30"/>
      <c r="H1389" s="66"/>
      <c r="I1389" s="30"/>
      <c r="J1389" s="30"/>
      <c r="K1389" s="12"/>
      <c r="L1389" s="12"/>
    </row>
    <row r="1390" spans="1:12">
      <c r="A1390" s="30"/>
      <c r="B1390" s="65"/>
      <c r="C1390" s="65"/>
      <c r="D1390" s="112"/>
      <c r="E1390" s="30"/>
      <c r="F1390" s="30"/>
      <c r="G1390" s="30"/>
      <c r="H1390" s="66"/>
      <c r="I1390" s="30"/>
      <c r="J1390" s="30"/>
      <c r="K1390" s="12"/>
      <c r="L1390" s="12"/>
    </row>
    <row r="1391" spans="1:12">
      <c r="A1391" s="30"/>
      <c r="B1391" s="65"/>
      <c r="C1391" s="65"/>
      <c r="D1391" s="112"/>
      <c r="E1391" s="30"/>
      <c r="F1391" s="30"/>
      <c r="G1391" s="30"/>
      <c r="H1391" s="66"/>
      <c r="I1391" s="30"/>
      <c r="J1391" s="30"/>
      <c r="K1391" s="12"/>
      <c r="L1391" s="12"/>
    </row>
    <row r="1392" spans="1:12">
      <c r="A1392" s="30"/>
      <c r="B1392" s="65"/>
      <c r="C1392" s="65"/>
      <c r="D1392" s="112"/>
      <c r="E1392" s="30"/>
      <c r="F1392" s="30"/>
      <c r="G1392" s="30"/>
      <c r="H1392" s="66"/>
      <c r="I1392" s="30"/>
      <c r="J1392" s="30"/>
      <c r="K1392" s="12"/>
      <c r="L1392" s="12"/>
    </row>
    <row r="1393" spans="1:12">
      <c r="A1393" s="30"/>
      <c r="B1393" s="65"/>
      <c r="C1393" s="65"/>
      <c r="D1393" s="112"/>
      <c r="E1393" s="30"/>
      <c r="F1393" s="30"/>
      <c r="G1393" s="30"/>
      <c r="H1393" s="66"/>
      <c r="I1393" s="30"/>
      <c r="J1393" s="30"/>
      <c r="K1393" s="12"/>
      <c r="L1393" s="12"/>
    </row>
    <row r="1394" spans="1:12">
      <c r="A1394" s="30"/>
      <c r="B1394" s="65"/>
      <c r="C1394" s="65"/>
      <c r="D1394" s="112"/>
      <c r="E1394" s="30"/>
      <c r="F1394" s="30"/>
      <c r="G1394" s="30"/>
      <c r="H1394" s="66"/>
      <c r="I1394" s="30"/>
      <c r="J1394" s="30"/>
      <c r="K1394" s="12"/>
      <c r="L1394" s="12"/>
    </row>
    <row r="1395" spans="1:12">
      <c r="A1395" s="30"/>
      <c r="B1395" s="65"/>
      <c r="C1395" s="65"/>
      <c r="D1395" s="112"/>
      <c r="E1395" s="30"/>
      <c r="F1395" s="30"/>
      <c r="G1395" s="30"/>
      <c r="H1395" s="66"/>
      <c r="I1395" s="30"/>
      <c r="J1395" s="30"/>
      <c r="K1395" s="12"/>
      <c r="L1395" s="12"/>
    </row>
    <row r="1396" spans="1:12">
      <c r="A1396" s="30"/>
      <c r="B1396" s="65"/>
      <c r="C1396" s="65"/>
      <c r="D1396" s="112"/>
      <c r="E1396" s="30"/>
      <c r="F1396" s="30"/>
      <c r="G1396" s="30"/>
      <c r="H1396" s="66"/>
      <c r="I1396" s="30"/>
      <c r="J1396" s="30"/>
      <c r="K1396" s="12"/>
      <c r="L1396" s="12"/>
    </row>
    <row r="1397" spans="1:12">
      <c r="A1397" s="30"/>
      <c r="B1397" s="65"/>
      <c r="C1397" s="65"/>
      <c r="D1397" s="112"/>
      <c r="E1397" s="30"/>
      <c r="F1397" s="30"/>
      <c r="G1397" s="30"/>
      <c r="H1397" s="66"/>
      <c r="I1397" s="30"/>
      <c r="J1397" s="30"/>
      <c r="K1397" s="12"/>
      <c r="L1397" s="12"/>
    </row>
    <row r="1398" spans="1:12">
      <c r="A1398" s="30"/>
      <c r="B1398" s="65"/>
      <c r="C1398" s="65"/>
      <c r="D1398" s="112"/>
      <c r="E1398" s="30"/>
      <c r="F1398" s="30"/>
      <c r="G1398" s="30"/>
      <c r="H1398" s="66"/>
      <c r="I1398" s="30"/>
      <c r="J1398" s="30"/>
      <c r="K1398" s="12"/>
      <c r="L1398" s="12"/>
    </row>
    <row r="1399" spans="1:12">
      <c r="A1399" s="30"/>
      <c r="B1399" s="65"/>
      <c r="C1399" s="65"/>
      <c r="D1399" s="112"/>
      <c r="E1399" s="30"/>
      <c r="F1399" s="30"/>
      <c r="G1399" s="30"/>
      <c r="H1399" s="66"/>
      <c r="I1399" s="30"/>
      <c r="J1399" s="30"/>
      <c r="K1399" s="12"/>
      <c r="L1399" s="12"/>
    </row>
    <row r="1400" spans="1:12">
      <c r="A1400" s="30"/>
      <c r="B1400" s="65"/>
      <c r="C1400" s="65"/>
      <c r="D1400" s="112"/>
      <c r="E1400" s="30"/>
      <c r="F1400" s="30"/>
      <c r="G1400" s="30"/>
      <c r="H1400" s="66"/>
      <c r="I1400" s="30"/>
      <c r="J1400" s="30"/>
      <c r="K1400" s="12"/>
      <c r="L1400" s="12"/>
    </row>
    <row r="1401" spans="1:12">
      <c r="A1401" s="30"/>
      <c r="B1401" s="65"/>
      <c r="C1401" s="65"/>
      <c r="D1401" s="112"/>
      <c r="E1401" s="30"/>
      <c r="F1401" s="30"/>
      <c r="G1401" s="30"/>
      <c r="H1401" s="66"/>
      <c r="I1401" s="30"/>
      <c r="J1401" s="30"/>
      <c r="K1401" s="12"/>
      <c r="L1401" s="12"/>
    </row>
    <row r="1402" spans="1:12">
      <c r="A1402" s="30"/>
      <c r="B1402" s="65"/>
      <c r="C1402" s="65"/>
      <c r="D1402" s="112"/>
      <c r="E1402" s="30"/>
      <c r="F1402" s="30"/>
      <c r="G1402" s="30"/>
      <c r="H1402" s="66"/>
      <c r="I1402" s="30"/>
      <c r="J1402" s="30"/>
      <c r="K1402" s="12"/>
      <c r="L1402" s="12"/>
    </row>
    <row r="1403" spans="1:12">
      <c r="A1403" s="30"/>
      <c r="B1403" s="65"/>
      <c r="C1403" s="65"/>
      <c r="D1403" s="112"/>
      <c r="E1403" s="30"/>
      <c r="F1403" s="30"/>
      <c r="G1403" s="30"/>
      <c r="H1403" s="66"/>
      <c r="I1403" s="30"/>
      <c r="J1403" s="30"/>
      <c r="K1403" s="12"/>
      <c r="L1403" s="12"/>
    </row>
    <row r="1404" spans="1:12">
      <c r="A1404" s="30"/>
      <c r="B1404" s="65"/>
      <c r="C1404" s="65"/>
      <c r="D1404" s="112"/>
      <c r="E1404" s="30"/>
      <c r="F1404" s="30"/>
      <c r="G1404" s="30"/>
      <c r="H1404" s="66"/>
      <c r="I1404" s="30"/>
      <c r="J1404" s="30"/>
      <c r="K1404" s="12"/>
      <c r="L1404" s="12"/>
    </row>
    <row r="1405" spans="1:12">
      <c r="A1405" s="30"/>
      <c r="B1405" s="65"/>
      <c r="C1405" s="65"/>
      <c r="D1405" s="112"/>
      <c r="E1405" s="30"/>
      <c r="F1405" s="30"/>
      <c r="G1405" s="30"/>
      <c r="H1405" s="66"/>
      <c r="I1405" s="30"/>
      <c r="J1405" s="30"/>
      <c r="K1405" s="12"/>
      <c r="L1405" s="12"/>
    </row>
    <row r="1406" spans="1:12">
      <c r="A1406" s="30"/>
      <c r="B1406" s="65"/>
      <c r="C1406" s="65"/>
      <c r="D1406" s="112"/>
      <c r="E1406" s="30"/>
      <c r="F1406" s="30"/>
      <c r="G1406" s="30"/>
      <c r="H1406" s="66"/>
      <c r="I1406" s="30"/>
      <c r="J1406" s="30"/>
      <c r="K1406" s="12"/>
      <c r="L1406" s="12"/>
    </row>
    <row r="1407" spans="1:12">
      <c r="A1407" s="30"/>
      <c r="B1407" s="65"/>
      <c r="C1407" s="65"/>
      <c r="D1407" s="112"/>
      <c r="E1407" s="30"/>
      <c r="F1407" s="30"/>
      <c r="G1407" s="30"/>
      <c r="H1407" s="66"/>
      <c r="I1407" s="30"/>
      <c r="J1407" s="30"/>
      <c r="K1407" s="12"/>
      <c r="L1407" s="12"/>
    </row>
    <row r="1408" spans="1:12">
      <c r="A1408" s="30"/>
      <c r="B1408" s="65"/>
      <c r="C1408" s="65"/>
      <c r="D1408" s="112"/>
      <c r="E1408" s="30"/>
      <c r="F1408" s="30"/>
      <c r="G1408" s="30"/>
      <c r="H1408" s="66"/>
      <c r="I1408" s="30"/>
      <c r="J1408" s="30"/>
      <c r="K1408" s="12"/>
      <c r="L1408" s="12"/>
    </row>
    <row r="1409" spans="1:12">
      <c r="A1409" s="30"/>
      <c r="B1409" s="65"/>
      <c r="C1409" s="65"/>
      <c r="D1409" s="112"/>
      <c r="E1409" s="30"/>
      <c r="F1409" s="30"/>
      <c r="G1409" s="30"/>
      <c r="H1409" s="66"/>
      <c r="I1409" s="30"/>
      <c r="J1409" s="30"/>
      <c r="K1409" s="12"/>
      <c r="L1409" s="12"/>
    </row>
    <row r="1410" spans="1:12">
      <c r="A1410" s="30"/>
      <c r="B1410" s="65"/>
      <c r="C1410" s="65"/>
      <c r="D1410" s="112"/>
      <c r="E1410" s="30"/>
      <c r="F1410" s="30"/>
      <c r="G1410" s="30"/>
      <c r="H1410" s="66"/>
      <c r="I1410" s="30"/>
      <c r="J1410" s="30"/>
      <c r="K1410" s="12"/>
      <c r="L1410" s="12"/>
    </row>
    <row r="1411" spans="1:12">
      <c r="A1411" s="30"/>
      <c r="B1411" s="65"/>
      <c r="C1411" s="65"/>
      <c r="D1411" s="112"/>
      <c r="E1411" s="30"/>
      <c r="F1411" s="30"/>
      <c r="G1411" s="30"/>
      <c r="H1411" s="66"/>
      <c r="I1411" s="30"/>
      <c r="J1411" s="30"/>
      <c r="K1411" s="12"/>
      <c r="L1411" s="12"/>
    </row>
    <row r="1412" spans="1:12">
      <c r="A1412" s="30"/>
      <c r="B1412" s="65"/>
      <c r="C1412" s="65"/>
      <c r="D1412" s="112"/>
      <c r="E1412" s="30"/>
      <c r="F1412" s="30"/>
      <c r="G1412" s="30"/>
      <c r="H1412" s="66"/>
      <c r="I1412" s="30"/>
      <c r="J1412" s="30"/>
      <c r="K1412" s="12"/>
      <c r="L1412" s="12"/>
    </row>
    <row r="1413" spans="1:12">
      <c r="A1413" s="30"/>
      <c r="B1413" s="65"/>
      <c r="C1413" s="65"/>
      <c r="D1413" s="112"/>
      <c r="E1413" s="30"/>
      <c r="F1413" s="30"/>
      <c r="G1413" s="30"/>
      <c r="H1413" s="66"/>
      <c r="I1413" s="30"/>
      <c r="J1413" s="30"/>
      <c r="K1413" s="12"/>
      <c r="L1413" s="12"/>
    </row>
    <row r="1414" spans="1:12">
      <c r="A1414" s="30"/>
      <c r="B1414" s="65"/>
      <c r="C1414" s="65"/>
      <c r="D1414" s="112"/>
      <c r="E1414" s="30"/>
      <c r="F1414" s="30"/>
      <c r="G1414" s="30"/>
      <c r="H1414" s="66"/>
      <c r="I1414" s="30"/>
      <c r="J1414" s="30"/>
      <c r="K1414" s="12"/>
      <c r="L1414" s="12"/>
    </row>
    <row r="1415" spans="1:12">
      <c r="A1415" s="30"/>
      <c r="B1415" s="65"/>
      <c r="C1415" s="65"/>
      <c r="D1415" s="112"/>
      <c r="E1415" s="30"/>
      <c r="F1415" s="30"/>
      <c r="G1415" s="30"/>
      <c r="H1415" s="66"/>
      <c r="I1415" s="30"/>
      <c r="J1415" s="30"/>
      <c r="K1415" s="12"/>
      <c r="L1415" s="12"/>
    </row>
    <row r="1416" spans="1:12">
      <c r="A1416" s="30"/>
      <c r="B1416" s="65"/>
      <c r="C1416" s="65"/>
      <c r="D1416" s="112"/>
      <c r="E1416" s="30"/>
      <c r="F1416" s="30"/>
      <c r="G1416" s="30"/>
      <c r="H1416" s="66"/>
      <c r="I1416" s="30"/>
      <c r="J1416" s="30"/>
      <c r="K1416" s="12"/>
      <c r="L1416" s="12"/>
    </row>
    <row r="1417" spans="1:12">
      <c r="A1417" s="30"/>
      <c r="B1417" s="65"/>
      <c r="C1417" s="65"/>
      <c r="D1417" s="112"/>
      <c r="E1417" s="30"/>
      <c r="F1417" s="30"/>
      <c r="G1417" s="30"/>
      <c r="H1417" s="66"/>
      <c r="I1417" s="30"/>
      <c r="J1417" s="30"/>
      <c r="K1417" s="12"/>
      <c r="L1417" s="12"/>
    </row>
    <row r="1418" spans="1:12">
      <c r="A1418" s="30"/>
      <c r="B1418" s="65"/>
      <c r="C1418" s="65"/>
      <c r="D1418" s="112"/>
      <c r="E1418" s="30"/>
      <c r="F1418" s="30"/>
      <c r="G1418" s="30"/>
      <c r="H1418" s="66"/>
      <c r="I1418" s="30"/>
      <c r="J1418" s="30"/>
      <c r="K1418" s="12"/>
      <c r="L1418" s="12"/>
    </row>
    <row r="1419" spans="1:12">
      <c r="A1419" s="30"/>
      <c r="B1419" s="65"/>
      <c r="C1419" s="65"/>
      <c r="D1419" s="112"/>
      <c r="E1419" s="30"/>
      <c r="F1419" s="30"/>
      <c r="G1419" s="30"/>
      <c r="H1419" s="66"/>
      <c r="I1419" s="30"/>
      <c r="J1419" s="30"/>
      <c r="K1419" s="12"/>
      <c r="L1419" s="12"/>
    </row>
    <row r="1420" spans="1:12">
      <c r="A1420" s="30"/>
      <c r="B1420" s="65"/>
      <c r="C1420" s="65"/>
      <c r="D1420" s="112"/>
      <c r="E1420" s="30"/>
      <c r="F1420" s="30"/>
      <c r="G1420" s="30"/>
      <c r="H1420" s="66"/>
      <c r="I1420" s="30"/>
      <c r="J1420" s="30"/>
      <c r="K1420" s="12"/>
      <c r="L1420" s="12"/>
    </row>
    <row r="1421" spans="1:12">
      <c r="A1421" s="30"/>
      <c r="B1421" s="65"/>
      <c r="C1421" s="65"/>
      <c r="D1421" s="112"/>
      <c r="E1421" s="30"/>
      <c r="F1421" s="30"/>
      <c r="G1421" s="30"/>
      <c r="H1421" s="66"/>
      <c r="I1421" s="30"/>
      <c r="J1421" s="30"/>
      <c r="K1421" s="12"/>
      <c r="L1421" s="12"/>
    </row>
    <row r="1422" spans="1:12">
      <c r="A1422" s="30"/>
      <c r="B1422" s="65"/>
      <c r="C1422" s="65"/>
      <c r="D1422" s="112"/>
      <c r="E1422" s="30"/>
      <c r="F1422" s="30"/>
      <c r="G1422" s="30"/>
      <c r="H1422" s="66"/>
      <c r="I1422" s="30"/>
      <c r="J1422" s="30"/>
      <c r="K1422" s="12"/>
      <c r="L1422" s="12"/>
    </row>
    <row r="1423" spans="1:12">
      <c r="A1423" s="30"/>
      <c r="B1423" s="65"/>
      <c r="C1423" s="65"/>
      <c r="D1423" s="112"/>
      <c r="E1423" s="30"/>
      <c r="F1423" s="30"/>
      <c r="G1423" s="30"/>
      <c r="H1423" s="66"/>
      <c r="I1423" s="30"/>
      <c r="J1423" s="30"/>
      <c r="K1423" s="12"/>
      <c r="L1423" s="12"/>
    </row>
    <row r="1424" spans="1:12">
      <c r="A1424" s="30"/>
      <c r="B1424" s="65"/>
      <c r="C1424" s="65"/>
      <c r="D1424" s="112"/>
      <c r="E1424" s="30"/>
      <c r="F1424" s="30"/>
      <c r="G1424" s="30"/>
      <c r="H1424" s="66"/>
      <c r="I1424" s="30"/>
      <c r="J1424" s="30"/>
      <c r="K1424" s="12"/>
      <c r="L1424" s="12"/>
    </row>
    <row r="1425" spans="1:12">
      <c r="A1425" s="30"/>
      <c r="B1425" s="65"/>
      <c r="C1425" s="65"/>
      <c r="D1425" s="112"/>
      <c r="E1425" s="30"/>
      <c r="F1425" s="30"/>
      <c r="G1425" s="30"/>
      <c r="H1425" s="66"/>
      <c r="I1425" s="30"/>
      <c r="J1425" s="30"/>
      <c r="K1425" s="12"/>
      <c r="L1425" s="12"/>
    </row>
    <row r="1426" spans="1:12">
      <c r="A1426" s="30"/>
      <c r="B1426" s="65"/>
      <c r="C1426" s="65"/>
      <c r="D1426" s="112"/>
      <c r="E1426" s="30"/>
      <c r="F1426" s="30"/>
      <c r="G1426" s="30"/>
      <c r="H1426" s="66"/>
      <c r="I1426" s="30"/>
      <c r="J1426" s="30"/>
      <c r="K1426" s="12"/>
      <c r="L1426" s="12"/>
    </row>
    <row r="1427" spans="1:12">
      <c r="A1427" s="30"/>
      <c r="B1427" s="65"/>
      <c r="C1427" s="65"/>
      <c r="D1427" s="112"/>
      <c r="E1427" s="30"/>
      <c r="F1427" s="30"/>
      <c r="G1427" s="30"/>
      <c r="H1427" s="66"/>
      <c r="I1427" s="30"/>
      <c r="J1427" s="30"/>
      <c r="K1427" s="12"/>
      <c r="L1427" s="12"/>
    </row>
    <row r="1428" spans="1:12">
      <c r="A1428" s="30"/>
      <c r="B1428" s="65"/>
      <c r="C1428" s="65"/>
      <c r="D1428" s="112"/>
      <c r="E1428" s="30"/>
      <c r="F1428" s="30"/>
      <c r="G1428" s="30"/>
      <c r="H1428" s="66"/>
      <c r="I1428" s="30"/>
      <c r="J1428" s="30"/>
      <c r="K1428" s="12"/>
      <c r="L1428" s="12"/>
    </row>
    <row r="1429" spans="1:12">
      <c r="A1429" s="30"/>
      <c r="B1429" s="65"/>
      <c r="C1429" s="65"/>
      <c r="D1429" s="112"/>
      <c r="E1429" s="30"/>
      <c r="F1429" s="30"/>
      <c r="G1429" s="30"/>
      <c r="H1429" s="66"/>
      <c r="I1429" s="30"/>
      <c r="J1429" s="30"/>
      <c r="K1429" s="12"/>
      <c r="L1429" s="12"/>
    </row>
    <row r="1430" spans="1:12">
      <c r="A1430" s="30"/>
      <c r="B1430" s="65"/>
      <c r="C1430" s="65"/>
      <c r="D1430" s="112"/>
      <c r="E1430" s="30"/>
      <c r="F1430" s="30"/>
      <c r="G1430" s="30"/>
      <c r="H1430" s="66"/>
      <c r="I1430" s="30"/>
      <c r="J1430" s="30"/>
      <c r="K1430" s="12"/>
      <c r="L1430" s="12"/>
    </row>
    <row r="1431" spans="1:12">
      <c r="A1431" s="30"/>
      <c r="B1431" s="65"/>
      <c r="C1431" s="65"/>
      <c r="D1431" s="112"/>
      <c r="E1431" s="30"/>
      <c r="F1431" s="30"/>
      <c r="G1431" s="30"/>
      <c r="H1431" s="66"/>
      <c r="I1431" s="30"/>
      <c r="J1431" s="30"/>
      <c r="K1431" s="12"/>
      <c r="L1431" s="12"/>
    </row>
    <row r="1432" spans="1:12">
      <c r="A1432" s="30"/>
      <c r="B1432" s="65"/>
      <c r="C1432" s="65"/>
      <c r="D1432" s="112"/>
      <c r="E1432" s="30"/>
      <c r="F1432" s="30"/>
      <c r="G1432" s="30"/>
      <c r="H1432" s="66"/>
      <c r="I1432" s="30"/>
      <c r="J1432" s="30"/>
      <c r="K1432" s="12"/>
      <c r="L1432" s="12"/>
    </row>
    <row r="1433" spans="1:12">
      <c r="A1433" s="30"/>
      <c r="B1433" s="65"/>
      <c r="C1433" s="65"/>
      <c r="D1433" s="112"/>
      <c r="E1433" s="30"/>
      <c r="F1433" s="30"/>
      <c r="G1433" s="30"/>
      <c r="H1433" s="66"/>
      <c r="I1433" s="30"/>
      <c r="J1433" s="30"/>
      <c r="K1433" s="12"/>
      <c r="L1433" s="12"/>
    </row>
    <row r="1434" spans="1:12">
      <c r="A1434" s="30"/>
      <c r="B1434" s="65"/>
      <c r="C1434" s="65"/>
      <c r="D1434" s="112"/>
      <c r="E1434" s="30"/>
      <c r="F1434" s="30"/>
      <c r="G1434" s="30"/>
      <c r="H1434" s="66"/>
      <c r="I1434" s="30"/>
      <c r="J1434" s="30"/>
      <c r="K1434" s="12"/>
      <c r="L1434" s="12"/>
    </row>
    <row r="1435" spans="1:12">
      <c r="A1435" s="30"/>
      <c r="B1435" s="65"/>
      <c r="C1435" s="65"/>
      <c r="D1435" s="112"/>
      <c r="E1435" s="30"/>
      <c r="F1435" s="30"/>
      <c r="G1435" s="30"/>
      <c r="H1435" s="66"/>
      <c r="I1435" s="30"/>
      <c r="J1435" s="30"/>
      <c r="K1435" s="12"/>
      <c r="L1435" s="12"/>
    </row>
    <row r="1436" spans="1:12">
      <c r="A1436" s="30"/>
      <c r="B1436" s="65"/>
      <c r="C1436" s="65"/>
      <c r="D1436" s="112"/>
      <c r="E1436" s="30"/>
      <c r="F1436" s="30"/>
      <c r="G1436" s="30"/>
      <c r="H1436" s="66"/>
      <c r="I1436" s="30"/>
      <c r="J1436" s="30"/>
      <c r="K1436" s="12"/>
      <c r="L1436" s="12"/>
    </row>
    <row r="1437" spans="1:12">
      <c r="A1437" s="30"/>
      <c r="B1437" s="65"/>
      <c r="C1437" s="65"/>
      <c r="D1437" s="112"/>
      <c r="E1437" s="30"/>
      <c r="F1437" s="30"/>
      <c r="G1437" s="30"/>
      <c r="H1437" s="66"/>
      <c r="I1437" s="30"/>
      <c r="J1437" s="30"/>
      <c r="K1437" s="12"/>
      <c r="L1437" s="12"/>
    </row>
  </sheetData>
  <autoFilter ref="A6:L1437" xr:uid="{00000000-0009-0000-0000-000004000000}"/>
  <customSheetViews>
    <customSheetView guid="{973ECC17-1FC7-46AC-9FAE-72CFE59B5A9C}" showPageBreaks="1" printArea="1" showAutoFilter="1">
      <selection activeCell="D9" sqref="D9"/>
      <pageMargins left="0.19685039370078741" right="0.19685039370078741" top="0.51181102362204722" bottom="0.59055118110236227" header="0.39370078740157483" footer="0.11811023622047245"/>
      <pageSetup paperSize="9" orientation="landscape" horizontalDpi="1200" verticalDpi="1200" r:id="rId1"/>
      <headerFooter alignWithMargins="0">
        <oddFooter>&amp;C&amp;P/&amp;Nページ</oddFooter>
      </headerFooter>
      <autoFilter ref="A6:L1437" xr:uid="{A2BEE08C-53ED-4C45-A732-359105146007}"/>
    </customSheetView>
    <customSheetView guid="{7F90F6BF-AAFE-4B41-87EA-2390EC2C7378}" showAutoFilter="1">
      <selection activeCell="D9" sqref="D9"/>
      <pageMargins left="0.19685039370078741" right="0.19685039370078741" top="0.51181102362204722" bottom="0.59055118110236227" header="0.39370078740157483" footer="0.11811023622047245"/>
      <pageSetup paperSize="9" orientation="landscape" horizontalDpi="1200" verticalDpi="1200" r:id="rId2"/>
      <headerFooter alignWithMargins="0">
        <oddFooter>&amp;C&amp;P/&amp;Nページ</oddFooter>
      </headerFooter>
      <autoFilter ref="A6:L1437" xr:uid="{C6F40A58-A212-4F9E-925E-A06EBC9D46DD}"/>
    </customSheetView>
    <customSheetView guid="{3C29C2C7-5DB1-41FB-9E95-64C17F07BBDB}" showAutoFilter="1">
      <selection activeCell="D9" sqref="D9"/>
      <pageMargins left="0.19685039370078741" right="0.19685039370078741" top="0.51181102362204722" bottom="0.59055118110236227" header="0.39370078740157483" footer="0.11811023622047245"/>
      <pageSetup paperSize="9" orientation="landscape" horizontalDpi="1200" verticalDpi="1200" r:id="rId3"/>
      <headerFooter alignWithMargins="0">
        <oddFooter>&amp;C&amp;P/&amp;Nページ</oddFooter>
      </headerFooter>
      <autoFilter ref="A6:L1437" xr:uid="{A8F9F75F-6229-45E7-A08C-1FA131B00200}"/>
    </customSheetView>
  </customSheetViews>
  <mergeCells count="5">
    <mergeCell ref="H4:I4"/>
    <mergeCell ref="A1:B3"/>
    <mergeCell ref="C1:G3"/>
    <mergeCell ref="H2:I2"/>
    <mergeCell ref="H3:I3"/>
  </mergeCells>
  <phoneticPr fontId="2"/>
  <dataValidations count="1">
    <dataValidation type="list" allowBlank="1" showInputMessage="1" showErrorMessage="1" sqref="C1:G3" xr:uid="{00000000-0002-0000-0400-000000000000}">
      <formula1>支払先リスト</formula1>
    </dataValidation>
  </dataValidations>
  <pageMargins left="0.19685039370078741" right="0.19685039370078741" top="0.51181102362204722" bottom="0.59055118110236227" header="0.39370078740157483" footer="0.11811023622047245"/>
  <pageSetup paperSize="9" orientation="landscape" horizontalDpi="1200" verticalDpi="1200" r:id="rId4"/>
  <headerFooter alignWithMargins="0">
    <oddFooter>&amp;C&amp;P/&amp;Nページ</oddFooter>
  </headerFooter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O1438"/>
  <sheetViews>
    <sheetView workbookViewId="0">
      <pane ySplit="7" topLeftCell="A8" activePane="bottomLeft" state="frozen"/>
      <selection activeCell="U53" sqref="U53"/>
      <selection pane="bottomLeft" activeCell="C25" sqref="C25"/>
    </sheetView>
  </sheetViews>
  <sheetFormatPr defaultColWidth="9" defaultRowHeight="12"/>
  <cols>
    <col min="1" max="1" width="45.375" style="67" customWidth="1"/>
    <col min="2" max="2" width="6.75" style="67" customWidth="1"/>
    <col min="3" max="3" width="4.75" style="98" customWidth="1"/>
    <col min="4" max="4" width="9" style="67"/>
    <col min="5" max="5" width="18" style="67" customWidth="1"/>
    <col min="6" max="6" width="9" style="67"/>
    <col min="7" max="7" width="17.5" style="67" customWidth="1"/>
    <col min="8" max="8" width="15" style="67" customWidth="1"/>
    <col min="9" max="9" width="8" style="99" customWidth="1"/>
    <col min="10" max="10" width="9" style="67"/>
    <col min="11" max="11" width="11.875" style="67" customWidth="1"/>
    <col min="12" max="12" width="12.625" style="67" customWidth="1"/>
    <col min="13" max="16384" width="9" style="67"/>
  </cols>
  <sheetData>
    <row r="2" spans="1:15">
      <c r="A2" s="100"/>
      <c r="B2" s="100"/>
    </row>
    <row r="4" spans="1:15" ht="14.25">
      <c r="A4" s="101"/>
      <c r="B4" s="101"/>
      <c r="N4" s="220" t="s">
        <v>33</v>
      </c>
      <c r="O4" s="221">
        <f>SUBTOTAL(9,$K$8:$K$2450)</f>
        <v>0</v>
      </c>
    </row>
    <row r="5" spans="1:15" ht="14.25">
      <c r="B5" s="98"/>
      <c r="N5" s="220" t="s">
        <v>34</v>
      </c>
      <c r="O5" s="222">
        <f>SUBTOTAL(2,$K$8:$K$2450)</f>
        <v>0</v>
      </c>
    </row>
    <row r="6" spans="1:15">
      <c r="A6" s="102"/>
      <c r="B6" s="102"/>
      <c r="C6" s="67"/>
    </row>
    <row r="7" spans="1:15" s="11" customFormat="1">
      <c r="A7" s="103" t="s">
        <v>53</v>
      </c>
      <c r="B7" s="103" t="s">
        <v>1</v>
      </c>
      <c r="C7" s="104" t="s">
        <v>2</v>
      </c>
      <c r="D7" s="103" t="s">
        <v>60</v>
      </c>
      <c r="E7" s="103" t="s">
        <v>61</v>
      </c>
      <c r="F7" s="103" t="s">
        <v>62</v>
      </c>
      <c r="G7" s="103" t="s">
        <v>63</v>
      </c>
      <c r="H7" s="103" t="s">
        <v>64</v>
      </c>
      <c r="I7" s="105" t="s">
        <v>65</v>
      </c>
      <c r="J7" s="106" t="s">
        <v>66</v>
      </c>
      <c r="K7" s="107" t="s">
        <v>44</v>
      </c>
      <c r="L7" s="103" t="s">
        <v>52</v>
      </c>
      <c r="M7" s="11" t="s">
        <v>21</v>
      </c>
      <c r="N7" s="11" t="s">
        <v>67</v>
      </c>
    </row>
    <row r="8" spans="1:15">
      <c r="C8" s="13"/>
      <c r="J8" s="108"/>
      <c r="K8" s="109"/>
    </row>
    <row r="9" spans="1:15">
      <c r="C9" s="13"/>
      <c r="J9" s="108"/>
      <c r="K9" s="109"/>
    </row>
    <row r="10" spans="1:15">
      <c r="C10" s="13"/>
      <c r="J10" s="108"/>
      <c r="K10" s="109"/>
    </row>
    <row r="11" spans="1:15">
      <c r="C11" s="13"/>
      <c r="J11" s="108"/>
      <c r="K11" s="109"/>
    </row>
    <row r="12" spans="1:15">
      <c r="C12" s="13"/>
      <c r="J12" s="108"/>
      <c r="K12" s="109"/>
    </row>
    <row r="13" spans="1:15">
      <c r="C13" s="13"/>
      <c r="J13" s="108"/>
      <c r="K13" s="109"/>
    </row>
    <row r="14" spans="1:15">
      <c r="C14" s="13"/>
      <c r="J14" s="108"/>
      <c r="K14" s="109"/>
    </row>
    <row r="15" spans="1:15">
      <c r="C15" s="13"/>
      <c r="J15" s="108"/>
      <c r="K15" s="109"/>
    </row>
    <row r="16" spans="1:15">
      <c r="C16" s="13"/>
      <c r="J16" s="108"/>
      <c r="K16" s="109"/>
    </row>
    <row r="17" spans="3:11">
      <c r="C17" s="13"/>
      <c r="J17" s="108"/>
      <c r="K17" s="109"/>
    </row>
    <row r="18" spans="3:11">
      <c r="C18" s="13"/>
      <c r="J18" s="108"/>
      <c r="K18" s="109"/>
    </row>
    <row r="19" spans="3:11">
      <c r="C19" s="13"/>
      <c r="J19" s="108"/>
      <c r="K19" s="109"/>
    </row>
    <row r="20" spans="3:11">
      <c r="C20" s="13"/>
      <c r="J20" s="108"/>
      <c r="K20" s="109"/>
    </row>
    <row r="21" spans="3:11">
      <c r="C21" s="13"/>
      <c r="J21" s="108"/>
      <c r="K21" s="109"/>
    </row>
    <row r="22" spans="3:11">
      <c r="C22" s="13"/>
      <c r="J22" s="108"/>
      <c r="K22" s="109"/>
    </row>
    <row r="23" spans="3:11">
      <c r="C23" s="13"/>
      <c r="J23" s="108"/>
      <c r="K23" s="109"/>
    </row>
    <row r="24" spans="3:11">
      <c r="C24" s="13"/>
      <c r="J24" s="108"/>
      <c r="K24" s="109"/>
    </row>
    <row r="25" spans="3:11">
      <c r="C25" s="13"/>
      <c r="J25" s="108"/>
      <c r="K25" s="109"/>
    </row>
    <row r="26" spans="3:11">
      <c r="C26" s="13"/>
      <c r="J26" s="108"/>
      <c r="K26" s="109"/>
    </row>
    <row r="27" spans="3:11">
      <c r="C27" s="13"/>
      <c r="J27" s="108"/>
      <c r="K27" s="109"/>
    </row>
    <row r="28" spans="3:11">
      <c r="C28" s="13"/>
      <c r="J28" s="108"/>
      <c r="K28" s="109"/>
    </row>
    <row r="29" spans="3:11">
      <c r="C29" s="13"/>
      <c r="J29" s="108"/>
      <c r="K29" s="109"/>
    </row>
    <row r="30" spans="3:11">
      <c r="C30" s="13"/>
      <c r="J30" s="108"/>
      <c r="K30" s="109"/>
    </row>
    <row r="31" spans="3:11">
      <c r="C31" s="13"/>
      <c r="J31" s="108"/>
      <c r="K31" s="109"/>
    </row>
    <row r="32" spans="3:11">
      <c r="C32" s="13"/>
      <c r="J32" s="108"/>
      <c r="K32" s="109"/>
    </row>
    <row r="33" spans="3:11">
      <c r="C33" s="13"/>
      <c r="J33" s="108"/>
      <c r="K33" s="109"/>
    </row>
    <row r="34" spans="3:11">
      <c r="C34" s="13"/>
      <c r="J34" s="108"/>
      <c r="K34" s="109"/>
    </row>
    <row r="35" spans="3:11">
      <c r="C35" s="13"/>
      <c r="J35" s="108"/>
      <c r="K35" s="109"/>
    </row>
    <row r="36" spans="3:11">
      <c r="C36" s="13"/>
      <c r="J36" s="108"/>
      <c r="K36" s="109"/>
    </row>
    <row r="37" spans="3:11">
      <c r="C37" s="13"/>
      <c r="J37" s="108"/>
      <c r="K37" s="109"/>
    </row>
    <row r="38" spans="3:11">
      <c r="C38" s="13"/>
      <c r="J38" s="108"/>
      <c r="K38" s="109"/>
    </row>
    <row r="39" spans="3:11">
      <c r="C39" s="13"/>
      <c r="J39" s="108"/>
      <c r="K39" s="109"/>
    </row>
    <row r="40" spans="3:11">
      <c r="C40" s="13"/>
      <c r="J40" s="108"/>
      <c r="K40" s="109"/>
    </row>
    <row r="41" spans="3:11">
      <c r="C41" s="13"/>
      <c r="J41" s="108"/>
      <c r="K41" s="109"/>
    </row>
    <row r="42" spans="3:11">
      <c r="C42" s="13"/>
      <c r="J42" s="108"/>
      <c r="K42" s="109"/>
    </row>
    <row r="43" spans="3:11">
      <c r="C43" s="13"/>
      <c r="J43" s="108"/>
      <c r="K43" s="109"/>
    </row>
    <row r="44" spans="3:11">
      <c r="C44" s="13"/>
      <c r="J44" s="108"/>
      <c r="K44" s="109"/>
    </row>
    <row r="45" spans="3:11">
      <c r="C45" s="13"/>
      <c r="J45" s="108"/>
      <c r="K45" s="109"/>
    </row>
    <row r="46" spans="3:11">
      <c r="C46" s="13"/>
      <c r="J46" s="108"/>
      <c r="K46" s="109"/>
    </row>
    <row r="47" spans="3:11">
      <c r="C47" s="13"/>
      <c r="J47" s="108"/>
      <c r="K47" s="109"/>
    </row>
    <row r="48" spans="3:11">
      <c r="C48" s="13"/>
      <c r="J48" s="108"/>
      <c r="K48" s="109"/>
    </row>
    <row r="49" spans="3:11">
      <c r="C49" s="13"/>
      <c r="J49" s="108"/>
      <c r="K49" s="109"/>
    </row>
    <row r="50" spans="3:11">
      <c r="C50" s="13"/>
      <c r="J50" s="108"/>
      <c r="K50" s="109"/>
    </row>
    <row r="51" spans="3:11">
      <c r="C51" s="13"/>
      <c r="J51" s="108"/>
      <c r="K51" s="109"/>
    </row>
    <row r="52" spans="3:11">
      <c r="C52" s="13"/>
      <c r="J52" s="108"/>
      <c r="K52" s="109"/>
    </row>
    <row r="53" spans="3:11">
      <c r="C53" s="13"/>
      <c r="J53" s="108"/>
      <c r="K53" s="109"/>
    </row>
    <row r="54" spans="3:11">
      <c r="C54" s="13"/>
      <c r="J54" s="108"/>
      <c r="K54" s="109"/>
    </row>
    <row r="55" spans="3:11">
      <c r="C55" s="13"/>
      <c r="J55" s="108"/>
      <c r="K55" s="109"/>
    </row>
    <row r="56" spans="3:11">
      <c r="C56" s="13"/>
      <c r="J56" s="108"/>
      <c r="K56" s="109"/>
    </row>
    <row r="57" spans="3:11">
      <c r="C57" s="13"/>
      <c r="J57" s="108"/>
      <c r="K57" s="109"/>
    </row>
    <row r="58" spans="3:11">
      <c r="C58" s="13"/>
      <c r="J58" s="108"/>
      <c r="K58" s="109"/>
    </row>
    <row r="59" spans="3:11">
      <c r="C59" s="13"/>
      <c r="J59" s="108"/>
      <c r="K59" s="109"/>
    </row>
    <row r="60" spans="3:11">
      <c r="C60" s="13"/>
      <c r="J60" s="108"/>
      <c r="K60" s="109"/>
    </row>
    <row r="61" spans="3:11">
      <c r="C61" s="13"/>
      <c r="J61" s="108"/>
      <c r="K61" s="109"/>
    </row>
    <row r="62" spans="3:11">
      <c r="C62" s="13"/>
      <c r="J62" s="108"/>
      <c r="K62" s="109"/>
    </row>
    <row r="63" spans="3:11">
      <c r="C63" s="13"/>
      <c r="J63" s="108"/>
      <c r="K63" s="109"/>
    </row>
    <row r="64" spans="3:11">
      <c r="C64" s="13"/>
      <c r="J64" s="108"/>
      <c r="K64" s="109"/>
    </row>
    <row r="65" spans="3:11">
      <c r="C65" s="13"/>
      <c r="J65" s="108"/>
      <c r="K65" s="109"/>
    </row>
    <row r="66" spans="3:11">
      <c r="C66" s="13"/>
      <c r="J66" s="108"/>
      <c r="K66" s="109"/>
    </row>
    <row r="67" spans="3:11">
      <c r="C67" s="13"/>
      <c r="J67" s="108"/>
      <c r="K67" s="109"/>
    </row>
    <row r="68" spans="3:11">
      <c r="C68" s="13"/>
      <c r="J68" s="108"/>
      <c r="K68" s="109"/>
    </row>
    <row r="69" spans="3:11">
      <c r="C69" s="13"/>
      <c r="J69" s="108"/>
      <c r="K69" s="109"/>
    </row>
    <row r="70" spans="3:11">
      <c r="C70" s="13"/>
      <c r="J70" s="108"/>
      <c r="K70" s="109"/>
    </row>
    <row r="71" spans="3:11">
      <c r="C71" s="13"/>
      <c r="J71" s="108"/>
      <c r="K71" s="109"/>
    </row>
    <row r="72" spans="3:11">
      <c r="C72" s="13"/>
      <c r="J72" s="108"/>
      <c r="K72" s="109"/>
    </row>
    <row r="73" spans="3:11">
      <c r="C73" s="13"/>
      <c r="J73" s="108"/>
      <c r="K73" s="109"/>
    </row>
    <row r="74" spans="3:11">
      <c r="C74" s="13"/>
      <c r="J74" s="108"/>
      <c r="K74" s="109"/>
    </row>
    <row r="75" spans="3:11">
      <c r="C75" s="13"/>
      <c r="J75" s="108"/>
      <c r="K75" s="109"/>
    </row>
    <row r="76" spans="3:11">
      <c r="C76" s="13"/>
      <c r="J76" s="108"/>
      <c r="K76" s="109"/>
    </row>
    <row r="77" spans="3:11">
      <c r="C77" s="13"/>
      <c r="J77" s="108"/>
      <c r="K77" s="109"/>
    </row>
    <row r="78" spans="3:11">
      <c r="C78" s="13"/>
      <c r="J78" s="108"/>
      <c r="K78" s="109"/>
    </row>
    <row r="79" spans="3:11">
      <c r="C79" s="13"/>
      <c r="J79" s="108"/>
      <c r="K79" s="109"/>
    </row>
    <row r="80" spans="3:11">
      <c r="C80" s="13"/>
      <c r="J80" s="108"/>
      <c r="K80" s="109"/>
    </row>
    <row r="81" spans="3:11">
      <c r="C81" s="13"/>
      <c r="J81" s="108"/>
      <c r="K81" s="109"/>
    </row>
    <row r="82" spans="3:11">
      <c r="C82" s="13"/>
      <c r="J82" s="108"/>
      <c r="K82" s="109"/>
    </row>
    <row r="83" spans="3:11">
      <c r="C83" s="13"/>
      <c r="J83" s="108"/>
      <c r="K83" s="109"/>
    </row>
    <row r="84" spans="3:11">
      <c r="C84" s="13"/>
      <c r="J84" s="108"/>
      <c r="K84" s="109"/>
    </row>
    <row r="85" spans="3:11">
      <c r="C85" s="13"/>
      <c r="J85" s="108"/>
      <c r="K85" s="109"/>
    </row>
    <row r="86" spans="3:11">
      <c r="C86" s="13"/>
      <c r="J86" s="108"/>
      <c r="K86" s="109"/>
    </row>
    <row r="87" spans="3:11">
      <c r="C87" s="13"/>
      <c r="J87" s="108"/>
      <c r="K87" s="109"/>
    </row>
    <row r="88" spans="3:11">
      <c r="C88" s="13"/>
      <c r="J88" s="108"/>
      <c r="K88" s="109"/>
    </row>
    <row r="89" spans="3:11">
      <c r="C89" s="13"/>
      <c r="J89" s="108"/>
      <c r="K89" s="109"/>
    </row>
    <row r="90" spans="3:11">
      <c r="C90" s="13"/>
      <c r="J90" s="108"/>
      <c r="K90" s="109"/>
    </row>
    <row r="91" spans="3:11">
      <c r="C91" s="13"/>
      <c r="J91" s="108"/>
      <c r="K91" s="109"/>
    </row>
    <row r="92" spans="3:11">
      <c r="C92" s="13"/>
      <c r="J92" s="108"/>
      <c r="K92" s="109"/>
    </row>
    <row r="93" spans="3:11">
      <c r="C93" s="13"/>
      <c r="J93" s="108"/>
      <c r="K93" s="109"/>
    </row>
    <row r="94" spans="3:11">
      <c r="C94" s="13"/>
      <c r="J94" s="108"/>
      <c r="K94" s="109"/>
    </row>
    <row r="95" spans="3:11">
      <c r="C95" s="13"/>
      <c r="J95" s="108"/>
      <c r="K95" s="109"/>
    </row>
    <row r="96" spans="3:11">
      <c r="C96" s="13"/>
      <c r="J96" s="108"/>
      <c r="K96" s="109"/>
    </row>
    <row r="97" spans="3:11">
      <c r="C97" s="13"/>
      <c r="J97" s="108"/>
      <c r="K97" s="109"/>
    </row>
    <row r="98" spans="3:11">
      <c r="C98" s="13"/>
      <c r="J98" s="108"/>
      <c r="K98" s="109"/>
    </row>
    <row r="99" spans="3:11">
      <c r="C99" s="13"/>
      <c r="J99" s="108"/>
      <c r="K99" s="109"/>
    </row>
    <row r="100" spans="3:11">
      <c r="C100" s="13"/>
      <c r="J100" s="108"/>
      <c r="K100" s="109"/>
    </row>
    <row r="101" spans="3:11">
      <c r="C101" s="13"/>
      <c r="J101" s="108"/>
      <c r="K101" s="109"/>
    </row>
    <row r="102" spans="3:11">
      <c r="C102" s="13"/>
      <c r="J102" s="108"/>
      <c r="K102" s="109"/>
    </row>
    <row r="103" spans="3:11">
      <c r="C103" s="13"/>
      <c r="J103" s="108"/>
      <c r="K103" s="109"/>
    </row>
    <row r="104" spans="3:11">
      <c r="C104" s="13"/>
      <c r="J104" s="108"/>
      <c r="K104" s="109"/>
    </row>
    <row r="105" spans="3:11">
      <c r="C105" s="13"/>
      <c r="J105" s="108"/>
      <c r="K105" s="109"/>
    </row>
    <row r="106" spans="3:11">
      <c r="C106" s="13"/>
      <c r="J106" s="108"/>
      <c r="K106" s="109"/>
    </row>
    <row r="107" spans="3:11">
      <c r="C107" s="13"/>
      <c r="J107" s="108"/>
      <c r="K107" s="109"/>
    </row>
    <row r="108" spans="3:11">
      <c r="C108" s="13"/>
      <c r="J108" s="108"/>
      <c r="K108" s="109"/>
    </row>
    <row r="109" spans="3:11">
      <c r="C109" s="13"/>
      <c r="J109" s="108"/>
      <c r="K109" s="109"/>
    </row>
    <row r="110" spans="3:11">
      <c r="C110" s="13"/>
      <c r="J110" s="108"/>
      <c r="K110" s="109"/>
    </row>
    <row r="111" spans="3:11">
      <c r="C111" s="13"/>
      <c r="J111" s="108"/>
      <c r="K111" s="109"/>
    </row>
    <row r="112" spans="3:11">
      <c r="C112" s="13"/>
      <c r="J112" s="108"/>
      <c r="K112" s="109"/>
    </row>
    <row r="113" spans="3:11">
      <c r="C113" s="13"/>
      <c r="J113" s="108"/>
      <c r="K113" s="109"/>
    </row>
    <row r="114" spans="3:11">
      <c r="C114" s="13"/>
      <c r="J114" s="108"/>
      <c r="K114" s="109"/>
    </row>
    <row r="115" spans="3:11">
      <c r="C115" s="13"/>
      <c r="J115" s="108"/>
      <c r="K115" s="109"/>
    </row>
    <row r="116" spans="3:11">
      <c r="C116" s="13"/>
      <c r="J116" s="108"/>
      <c r="K116" s="109"/>
    </row>
    <row r="117" spans="3:11">
      <c r="C117" s="13"/>
      <c r="J117" s="108"/>
      <c r="K117" s="109"/>
    </row>
    <row r="118" spans="3:11">
      <c r="C118" s="13"/>
      <c r="J118" s="108"/>
      <c r="K118" s="109"/>
    </row>
    <row r="119" spans="3:11">
      <c r="C119" s="13"/>
      <c r="J119" s="108"/>
      <c r="K119" s="109"/>
    </row>
    <row r="120" spans="3:11">
      <c r="C120" s="13"/>
      <c r="J120" s="108"/>
      <c r="K120" s="109"/>
    </row>
    <row r="121" spans="3:11">
      <c r="C121" s="13"/>
      <c r="J121" s="108"/>
      <c r="K121" s="109"/>
    </row>
    <row r="122" spans="3:11">
      <c r="C122" s="13"/>
      <c r="J122" s="108"/>
      <c r="K122" s="109"/>
    </row>
    <row r="123" spans="3:11">
      <c r="C123" s="13"/>
      <c r="J123" s="108"/>
      <c r="K123" s="109"/>
    </row>
    <row r="124" spans="3:11">
      <c r="C124" s="13"/>
      <c r="J124" s="108"/>
      <c r="K124" s="109"/>
    </row>
    <row r="125" spans="3:11">
      <c r="C125" s="13"/>
      <c r="J125" s="108"/>
      <c r="K125" s="109"/>
    </row>
    <row r="126" spans="3:11">
      <c r="C126" s="13"/>
      <c r="J126" s="108"/>
      <c r="K126" s="109"/>
    </row>
    <row r="127" spans="3:11">
      <c r="C127" s="13"/>
      <c r="J127" s="108"/>
      <c r="K127" s="109"/>
    </row>
    <row r="128" spans="3:11">
      <c r="C128" s="13"/>
      <c r="J128" s="108"/>
      <c r="K128" s="109"/>
    </row>
    <row r="129" spans="3:11">
      <c r="C129" s="13"/>
      <c r="J129" s="108"/>
      <c r="K129" s="109"/>
    </row>
    <row r="130" spans="3:11">
      <c r="C130" s="13"/>
      <c r="J130" s="108"/>
      <c r="K130" s="109"/>
    </row>
    <row r="131" spans="3:11">
      <c r="C131" s="13"/>
      <c r="J131" s="108"/>
      <c r="K131" s="109"/>
    </row>
    <row r="132" spans="3:11">
      <c r="C132" s="13"/>
      <c r="J132" s="108"/>
      <c r="K132" s="109"/>
    </row>
    <row r="133" spans="3:11">
      <c r="C133" s="13"/>
      <c r="J133" s="108"/>
      <c r="K133" s="109"/>
    </row>
    <row r="134" spans="3:11">
      <c r="C134" s="13"/>
      <c r="J134" s="108"/>
      <c r="K134" s="109"/>
    </row>
    <row r="135" spans="3:11">
      <c r="C135" s="13"/>
      <c r="J135" s="108"/>
      <c r="K135" s="109"/>
    </row>
    <row r="136" spans="3:11">
      <c r="C136" s="13"/>
      <c r="J136" s="108"/>
      <c r="K136" s="109"/>
    </row>
    <row r="137" spans="3:11">
      <c r="C137" s="13"/>
      <c r="J137" s="108"/>
      <c r="K137" s="109"/>
    </row>
    <row r="138" spans="3:11">
      <c r="C138" s="13"/>
      <c r="J138" s="108"/>
      <c r="K138" s="109"/>
    </row>
    <row r="139" spans="3:11">
      <c r="C139" s="13"/>
      <c r="J139" s="108"/>
      <c r="K139" s="109"/>
    </row>
    <row r="140" spans="3:11">
      <c r="C140" s="13"/>
      <c r="J140" s="108"/>
      <c r="K140" s="109"/>
    </row>
    <row r="141" spans="3:11">
      <c r="C141" s="13"/>
      <c r="J141" s="108"/>
      <c r="K141" s="109"/>
    </row>
    <row r="142" spans="3:11">
      <c r="C142" s="13"/>
      <c r="J142" s="108"/>
      <c r="K142" s="109"/>
    </row>
    <row r="143" spans="3:11">
      <c r="C143" s="13"/>
      <c r="J143" s="108"/>
      <c r="K143" s="109"/>
    </row>
    <row r="144" spans="3:11">
      <c r="C144" s="13"/>
      <c r="J144" s="108"/>
      <c r="K144" s="109"/>
    </row>
    <row r="145" spans="3:11">
      <c r="C145" s="13"/>
      <c r="J145" s="108"/>
      <c r="K145" s="109"/>
    </row>
    <row r="146" spans="3:11">
      <c r="C146" s="13"/>
      <c r="J146" s="108"/>
      <c r="K146" s="109"/>
    </row>
    <row r="147" spans="3:11">
      <c r="C147" s="13"/>
      <c r="J147" s="108"/>
      <c r="K147" s="109"/>
    </row>
    <row r="148" spans="3:11">
      <c r="C148" s="13"/>
      <c r="J148" s="108"/>
      <c r="K148" s="109"/>
    </row>
    <row r="149" spans="3:11">
      <c r="C149" s="13"/>
      <c r="J149" s="108"/>
      <c r="K149" s="109"/>
    </row>
    <row r="150" spans="3:11">
      <c r="C150" s="13"/>
      <c r="J150" s="108"/>
      <c r="K150" s="109"/>
    </row>
    <row r="151" spans="3:11">
      <c r="C151" s="13"/>
      <c r="J151" s="108"/>
      <c r="K151" s="109"/>
    </row>
    <row r="152" spans="3:11">
      <c r="C152" s="13"/>
      <c r="J152" s="108"/>
      <c r="K152" s="109"/>
    </row>
    <row r="153" spans="3:11">
      <c r="C153" s="13"/>
      <c r="J153" s="108"/>
      <c r="K153" s="109"/>
    </row>
    <row r="154" spans="3:11">
      <c r="C154" s="13"/>
      <c r="J154" s="108"/>
      <c r="K154" s="109"/>
    </row>
    <row r="155" spans="3:11">
      <c r="C155" s="13"/>
      <c r="J155" s="108"/>
      <c r="K155" s="109"/>
    </row>
    <row r="156" spans="3:11">
      <c r="C156" s="13"/>
      <c r="J156" s="108"/>
      <c r="K156" s="109"/>
    </row>
    <row r="157" spans="3:11">
      <c r="C157" s="13"/>
      <c r="J157" s="108"/>
      <c r="K157" s="109"/>
    </row>
    <row r="158" spans="3:11">
      <c r="C158" s="13"/>
      <c r="J158" s="108"/>
      <c r="K158" s="109"/>
    </row>
    <row r="159" spans="3:11">
      <c r="C159" s="13"/>
      <c r="J159" s="108"/>
      <c r="K159" s="109"/>
    </row>
    <row r="160" spans="3:11">
      <c r="C160" s="13"/>
      <c r="J160" s="108"/>
      <c r="K160" s="109"/>
    </row>
    <row r="161" spans="3:11">
      <c r="C161" s="13"/>
      <c r="J161" s="108"/>
      <c r="K161" s="109"/>
    </row>
    <row r="162" spans="3:11">
      <c r="C162" s="13"/>
      <c r="J162" s="108"/>
      <c r="K162" s="109"/>
    </row>
    <row r="163" spans="3:11">
      <c r="C163" s="13"/>
      <c r="J163" s="108"/>
      <c r="K163" s="109"/>
    </row>
    <row r="164" spans="3:11">
      <c r="C164" s="13"/>
      <c r="J164" s="108"/>
      <c r="K164" s="109"/>
    </row>
    <row r="165" spans="3:11">
      <c r="C165" s="13"/>
      <c r="J165" s="108"/>
      <c r="K165" s="109"/>
    </row>
    <row r="166" spans="3:11">
      <c r="C166" s="13"/>
      <c r="J166" s="108"/>
      <c r="K166" s="109"/>
    </row>
    <row r="167" spans="3:11">
      <c r="C167" s="13"/>
      <c r="J167" s="108"/>
      <c r="K167" s="109"/>
    </row>
    <row r="168" spans="3:11">
      <c r="C168" s="13"/>
      <c r="J168" s="108"/>
      <c r="K168" s="109"/>
    </row>
    <row r="169" spans="3:11">
      <c r="C169" s="13"/>
      <c r="J169" s="108"/>
      <c r="K169" s="109"/>
    </row>
    <row r="170" spans="3:11">
      <c r="C170" s="13"/>
      <c r="J170" s="108"/>
      <c r="K170" s="109"/>
    </row>
    <row r="171" spans="3:11">
      <c r="C171" s="13"/>
      <c r="J171" s="108"/>
      <c r="K171" s="109"/>
    </row>
    <row r="172" spans="3:11">
      <c r="C172" s="13"/>
      <c r="J172" s="108"/>
      <c r="K172" s="109"/>
    </row>
    <row r="173" spans="3:11">
      <c r="C173" s="13"/>
      <c r="J173" s="108"/>
      <c r="K173" s="109"/>
    </row>
    <row r="174" spans="3:11">
      <c r="C174" s="13"/>
      <c r="J174" s="108"/>
      <c r="K174" s="109"/>
    </row>
    <row r="175" spans="3:11">
      <c r="C175" s="13"/>
      <c r="J175" s="108"/>
      <c r="K175" s="109"/>
    </row>
    <row r="176" spans="3:11">
      <c r="C176" s="13"/>
      <c r="J176" s="108"/>
      <c r="K176" s="109"/>
    </row>
    <row r="177" spans="3:11">
      <c r="C177" s="13"/>
      <c r="J177" s="108"/>
      <c r="K177" s="109"/>
    </row>
    <row r="178" spans="3:11">
      <c r="C178" s="13"/>
      <c r="J178" s="108"/>
      <c r="K178" s="109"/>
    </row>
    <row r="179" spans="3:11">
      <c r="C179" s="13"/>
      <c r="J179" s="108"/>
      <c r="K179" s="109"/>
    </row>
    <row r="180" spans="3:11">
      <c r="C180" s="13"/>
      <c r="J180" s="108"/>
      <c r="K180" s="109"/>
    </row>
    <row r="181" spans="3:11">
      <c r="C181" s="13"/>
      <c r="J181" s="108"/>
      <c r="K181" s="109"/>
    </row>
    <row r="182" spans="3:11">
      <c r="C182" s="13"/>
      <c r="J182" s="108"/>
      <c r="K182" s="109"/>
    </row>
    <row r="183" spans="3:11">
      <c r="C183" s="13"/>
      <c r="J183" s="108"/>
      <c r="K183" s="109"/>
    </row>
    <row r="184" spans="3:11">
      <c r="C184" s="13"/>
      <c r="J184" s="108"/>
      <c r="K184" s="109"/>
    </row>
    <row r="185" spans="3:11">
      <c r="C185" s="13"/>
      <c r="J185" s="108"/>
      <c r="K185" s="109"/>
    </row>
    <row r="186" spans="3:11">
      <c r="C186" s="13"/>
      <c r="J186" s="108"/>
      <c r="K186" s="109"/>
    </row>
    <row r="187" spans="3:11">
      <c r="C187" s="13"/>
      <c r="J187" s="108"/>
      <c r="K187" s="109"/>
    </row>
    <row r="188" spans="3:11">
      <c r="C188" s="13"/>
      <c r="J188" s="108"/>
      <c r="K188" s="109"/>
    </row>
    <row r="189" spans="3:11">
      <c r="C189" s="13"/>
      <c r="J189" s="108"/>
      <c r="K189" s="109"/>
    </row>
    <row r="190" spans="3:11">
      <c r="C190" s="13"/>
      <c r="J190" s="108"/>
      <c r="K190" s="109"/>
    </row>
    <row r="191" spans="3:11">
      <c r="C191" s="13"/>
      <c r="J191" s="108"/>
      <c r="K191" s="109"/>
    </row>
    <row r="192" spans="3:11">
      <c r="C192" s="13"/>
      <c r="J192" s="108"/>
      <c r="K192" s="109"/>
    </row>
    <row r="193" spans="3:11">
      <c r="C193" s="13"/>
      <c r="J193" s="108"/>
      <c r="K193" s="109"/>
    </row>
    <row r="194" spans="3:11">
      <c r="C194" s="13"/>
      <c r="J194" s="108"/>
      <c r="K194" s="109"/>
    </row>
    <row r="195" spans="3:11">
      <c r="C195" s="13"/>
      <c r="J195" s="108"/>
      <c r="K195" s="109"/>
    </row>
    <row r="196" spans="3:11">
      <c r="C196" s="13"/>
      <c r="J196" s="108"/>
      <c r="K196" s="109"/>
    </row>
    <row r="197" spans="3:11">
      <c r="C197" s="13"/>
      <c r="J197" s="108"/>
      <c r="K197" s="109"/>
    </row>
    <row r="198" spans="3:11">
      <c r="C198" s="13"/>
      <c r="J198" s="108"/>
      <c r="K198" s="109"/>
    </row>
    <row r="199" spans="3:11">
      <c r="C199" s="13"/>
      <c r="J199" s="108"/>
      <c r="K199" s="109"/>
    </row>
    <row r="200" spans="3:11">
      <c r="C200" s="13"/>
      <c r="J200" s="108"/>
      <c r="K200" s="109"/>
    </row>
    <row r="201" spans="3:11">
      <c r="C201" s="13"/>
      <c r="J201" s="108"/>
      <c r="K201" s="109"/>
    </row>
    <row r="202" spans="3:11">
      <c r="C202" s="13"/>
      <c r="J202" s="108"/>
      <c r="K202" s="109"/>
    </row>
    <row r="203" spans="3:11">
      <c r="C203" s="13"/>
      <c r="J203" s="108"/>
      <c r="K203" s="109"/>
    </row>
    <row r="204" spans="3:11">
      <c r="C204" s="13"/>
      <c r="J204" s="108"/>
      <c r="K204" s="109"/>
    </row>
    <row r="205" spans="3:11">
      <c r="C205" s="13"/>
      <c r="J205" s="108"/>
      <c r="K205" s="109"/>
    </row>
    <row r="206" spans="3:11">
      <c r="C206" s="13"/>
      <c r="J206" s="108"/>
      <c r="K206" s="109"/>
    </row>
    <row r="207" spans="3:11">
      <c r="C207" s="13"/>
      <c r="J207" s="108"/>
      <c r="K207" s="109"/>
    </row>
    <row r="208" spans="3:11">
      <c r="C208" s="13"/>
      <c r="J208" s="108"/>
      <c r="K208" s="109"/>
    </row>
    <row r="209" spans="3:11">
      <c r="C209" s="13"/>
      <c r="J209" s="108"/>
      <c r="K209" s="109"/>
    </row>
    <row r="210" spans="3:11">
      <c r="C210" s="13"/>
      <c r="J210" s="108"/>
      <c r="K210" s="109"/>
    </row>
    <row r="211" spans="3:11">
      <c r="C211" s="13"/>
      <c r="J211" s="108"/>
      <c r="K211" s="109"/>
    </row>
    <row r="212" spans="3:11">
      <c r="C212" s="13"/>
      <c r="J212" s="108"/>
      <c r="K212" s="109"/>
    </row>
    <row r="213" spans="3:11">
      <c r="C213" s="13"/>
      <c r="J213" s="108"/>
      <c r="K213" s="109"/>
    </row>
    <row r="214" spans="3:11">
      <c r="C214" s="13"/>
      <c r="J214" s="108"/>
      <c r="K214" s="109"/>
    </row>
    <row r="215" spans="3:11">
      <c r="C215" s="13"/>
      <c r="J215" s="108"/>
      <c r="K215" s="109"/>
    </row>
    <row r="216" spans="3:11">
      <c r="C216" s="13"/>
      <c r="J216" s="108"/>
      <c r="K216" s="109"/>
    </row>
    <row r="217" spans="3:11">
      <c r="C217" s="13"/>
      <c r="J217" s="108"/>
      <c r="K217" s="109"/>
    </row>
    <row r="218" spans="3:11">
      <c r="C218" s="13"/>
      <c r="J218" s="108"/>
      <c r="K218" s="109"/>
    </row>
    <row r="219" spans="3:11">
      <c r="C219" s="13"/>
      <c r="J219" s="108"/>
      <c r="K219" s="109"/>
    </row>
    <row r="220" spans="3:11">
      <c r="C220" s="13"/>
      <c r="J220" s="108"/>
      <c r="K220" s="109"/>
    </row>
    <row r="221" spans="3:11">
      <c r="C221" s="13"/>
      <c r="J221" s="108"/>
      <c r="K221" s="109"/>
    </row>
    <row r="222" spans="3:11">
      <c r="C222" s="13"/>
      <c r="J222" s="108"/>
      <c r="K222" s="109"/>
    </row>
    <row r="223" spans="3:11">
      <c r="C223" s="13"/>
      <c r="J223" s="108"/>
      <c r="K223" s="109"/>
    </row>
    <row r="224" spans="3:11">
      <c r="C224" s="13"/>
      <c r="J224" s="108"/>
      <c r="K224" s="109"/>
    </row>
    <row r="225" spans="3:11">
      <c r="C225" s="13"/>
      <c r="J225" s="108"/>
      <c r="K225" s="109"/>
    </row>
    <row r="226" spans="3:11">
      <c r="C226" s="13"/>
      <c r="J226" s="108"/>
      <c r="K226" s="109"/>
    </row>
    <row r="227" spans="3:11">
      <c r="C227" s="13"/>
      <c r="J227" s="108"/>
      <c r="K227" s="109"/>
    </row>
    <row r="228" spans="3:11">
      <c r="C228" s="13"/>
      <c r="J228" s="108"/>
      <c r="K228" s="109"/>
    </row>
    <row r="229" spans="3:11">
      <c r="C229" s="13"/>
      <c r="J229" s="108"/>
      <c r="K229" s="109"/>
    </row>
    <row r="230" spans="3:11">
      <c r="C230" s="13"/>
      <c r="J230" s="108"/>
      <c r="K230" s="109"/>
    </row>
    <row r="231" spans="3:11">
      <c r="C231" s="13"/>
      <c r="J231" s="108"/>
      <c r="K231" s="109"/>
    </row>
    <row r="232" spans="3:11">
      <c r="C232" s="13"/>
      <c r="J232" s="108"/>
      <c r="K232" s="109"/>
    </row>
    <row r="233" spans="3:11">
      <c r="C233" s="13"/>
      <c r="J233" s="108"/>
      <c r="K233" s="109"/>
    </row>
    <row r="234" spans="3:11">
      <c r="C234" s="13"/>
      <c r="J234" s="108"/>
      <c r="K234" s="109"/>
    </row>
    <row r="235" spans="3:11">
      <c r="C235" s="13"/>
      <c r="J235" s="108"/>
      <c r="K235" s="109"/>
    </row>
    <row r="236" spans="3:11">
      <c r="C236" s="13"/>
      <c r="J236" s="108"/>
      <c r="K236" s="109"/>
    </row>
    <row r="237" spans="3:11">
      <c r="C237" s="13"/>
      <c r="J237" s="108"/>
      <c r="K237" s="109"/>
    </row>
    <row r="238" spans="3:11">
      <c r="C238" s="13"/>
      <c r="J238" s="108"/>
      <c r="K238" s="109"/>
    </row>
    <row r="239" spans="3:11">
      <c r="C239" s="13"/>
      <c r="J239" s="108"/>
      <c r="K239" s="109"/>
    </row>
    <row r="240" spans="3:11">
      <c r="C240" s="13"/>
      <c r="J240" s="108"/>
      <c r="K240" s="109"/>
    </row>
    <row r="241" spans="3:11">
      <c r="C241" s="13"/>
      <c r="J241" s="108"/>
      <c r="K241" s="109"/>
    </row>
    <row r="242" spans="3:11">
      <c r="C242" s="13"/>
      <c r="J242" s="108"/>
      <c r="K242" s="109"/>
    </row>
    <row r="243" spans="3:11">
      <c r="C243" s="13"/>
      <c r="J243" s="108"/>
      <c r="K243" s="109"/>
    </row>
    <row r="244" spans="3:11">
      <c r="C244" s="13"/>
      <c r="J244" s="108"/>
      <c r="K244" s="109"/>
    </row>
    <row r="245" spans="3:11">
      <c r="C245" s="13"/>
      <c r="J245" s="108"/>
      <c r="K245" s="109"/>
    </row>
    <row r="246" spans="3:11">
      <c r="C246" s="13"/>
      <c r="J246" s="108"/>
      <c r="K246" s="109"/>
    </row>
    <row r="247" spans="3:11">
      <c r="C247" s="13"/>
      <c r="J247" s="108"/>
      <c r="K247" s="109"/>
    </row>
    <row r="248" spans="3:11">
      <c r="C248" s="13"/>
      <c r="J248" s="108"/>
      <c r="K248" s="109"/>
    </row>
    <row r="249" spans="3:11">
      <c r="C249" s="13"/>
      <c r="J249" s="108"/>
      <c r="K249" s="109"/>
    </row>
    <row r="250" spans="3:11">
      <c r="C250" s="13"/>
      <c r="J250" s="108"/>
      <c r="K250" s="109"/>
    </row>
    <row r="251" spans="3:11">
      <c r="C251" s="13"/>
      <c r="J251" s="108"/>
      <c r="K251" s="109"/>
    </row>
    <row r="252" spans="3:11">
      <c r="C252" s="13"/>
      <c r="J252" s="108"/>
      <c r="K252" s="109"/>
    </row>
    <row r="253" spans="3:11">
      <c r="C253" s="13"/>
      <c r="J253" s="108"/>
      <c r="K253" s="109"/>
    </row>
    <row r="254" spans="3:11">
      <c r="C254" s="13"/>
      <c r="J254" s="108"/>
      <c r="K254" s="109"/>
    </row>
    <row r="255" spans="3:11">
      <c r="C255" s="13"/>
      <c r="J255" s="108"/>
      <c r="K255" s="109"/>
    </row>
    <row r="256" spans="3:11">
      <c r="C256" s="13"/>
      <c r="J256" s="108"/>
      <c r="K256" s="109"/>
    </row>
    <row r="257" spans="3:11">
      <c r="C257" s="13"/>
      <c r="J257" s="108"/>
      <c r="K257" s="109"/>
    </row>
    <row r="258" spans="3:11">
      <c r="C258" s="13"/>
      <c r="J258" s="108"/>
      <c r="K258" s="109"/>
    </row>
    <row r="259" spans="3:11">
      <c r="C259" s="13"/>
      <c r="J259" s="108"/>
      <c r="K259" s="109"/>
    </row>
    <row r="260" spans="3:11">
      <c r="C260" s="13"/>
      <c r="J260" s="108"/>
      <c r="K260" s="109"/>
    </row>
    <row r="261" spans="3:11">
      <c r="C261" s="13"/>
      <c r="J261" s="108"/>
      <c r="K261" s="109"/>
    </row>
    <row r="262" spans="3:11">
      <c r="C262" s="13"/>
      <c r="J262" s="108"/>
      <c r="K262" s="109"/>
    </row>
    <row r="263" spans="3:11">
      <c r="C263" s="13"/>
      <c r="J263" s="108"/>
      <c r="K263" s="109"/>
    </row>
    <row r="264" spans="3:11">
      <c r="C264" s="13"/>
      <c r="J264" s="108"/>
      <c r="K264" s="109"/>
    </row>
    <row r="265" spans="3:11">
      <c r="C265" s="13"/>
      <c r="J265" s="108"/>
      <c r="K265" s="109"/>
    </row>
    <row r="266" spans="3:11">
      <c r="C266" s="13"/>
      <c r="J266" s="108"/>
      <c r="K266" s="109"/>
    </row>
    <row r="267" spans="3:11">
      <c r="C267" s="13"/>
      <c r="J267" s="108"/>
      <c r="K267" s="109"/>
    </row>
    <row r="268" spans="3:11">
      <c r="C268" s="13"/>
      <c r="J268" s="108"/>
      <c r="K268" s="109"/>
    </row>
    <row r="269" spans="3:11">
      <c r="C269" s="13"/>
      <c r="J269" s="108"/>
      <c r="K269" s="109"/>
    </row>
    <row r="270" spans="3:11">
      <c r="C270" s="13"/>
      <c r="J270" s="108"/>
      <c r="K270" s="109"/>
    </row>
    <row r="271" spans="3:11">
      <c r="C271" s="13"/>
      <c r="J271" s="108"/>
      <c r="K271" s="109"/>
    </row>
    <row r="272" spans="3:11">
      <c r="C272" s="13"/>
      <c r="J272" s="108"/>
      <c r="K272" s="109"/>
    </row>
    <row r="273" spans="3:11">
      <c r="C273" s="13"/>
      <c r="J273" s="108"/>
      <c r="K273" s="109"/>
    </row>
    <row r="274" spans="3:11">
      <c r="C274" s="13"/>
      <c r="J274" s="108"/>
      <c r="K274" s="109"/>
    </row>
    <row r="275" spans="3:11">
      <c r="C275" s="13"/>
      <c r="J275" s="108"/>
      <c r="K275" s="109"/>
    </row>
    <row r="276" spans="3:11">
      <c r="C276" s="13"/>
      <c r="J276" s="108"/>
      <c r="K276" s="109"/>
    </row>
    <row r="277" spans="3:11">
      <c r="C277" s="13"/>
      <c r="J277" s="108"/>
      <c r="K277" s="109"/>
    </row>
    <row r="278" spans="3:11">
      <c r="C278" s="13"/>
      <c r="J278" s="108"/>
      <c r="K278" s="109"/>
    </row>
    <row r="279" spans="3:11">
      <c r="C279" s="13"/>
      <c r="J279" s="108"/>
      <c r="K279" s="109"/>
    </row>
    <row r="280" spans="3:11">
      <c r="C280" s="13"/>
      <c r="J280" s="108"/>
      <c r="K280" s="109"/>
    </row>
    <row r="281" spans="3:11">
      <c r="C281" s="13"/>
      <c r="J281" s="108"/>
      <c r="K281" s="109"/>
    </row>
    <row r="282" spans="3:11">
      <c r="C282" s="13"/>
      <c r="J282" s="108"/>
      <c r="K282" s="109"/>
    </row>
    <row r="283" spans="3:11">
      <c r="C283" s="13"/>
      <c r="J283" s="108"/>
      <c r="K283" s="109"/>
    </row>
    <row r="284" spans="3:11">
      <c r="C284" s="13"/>
      <c r="J284" s="108"/>
      <c r="K284" s="109"/>
    </row>
    <row r="285" spans="3:11">
      <c r="C285" s="13"/>
      <c r="J285" s="108"/>
      <c r="K285" s="109"/>
    </row>
    <row r="286" spans="3:11">
      <c r="C286" s="13"/>
      <c r="J286" s="108"/>
      <c r="K286" s="109"/>
    </row>
    <row r="287" spans="3:11">
      <c r="C287" s="13"/>
      <c r="J287" s="108"/>
      <c r="K287" s="109"/>
    </row>
    <row r="288" spans="3:11">
      <c r="C288" s="13"/>
      <c r="J288" s="108"/>
      <c r="K288" s="109"/>
    </row>
    <row r="289" spans="3:11">
      <c r="C289" s="13"/>
      <c r="J289" s="108"/>
      <c r="K289" s="109"/>
    </row>
    <row r="290" spans="3:11">
      <c r="C290" s="13"/>
      <c r="J290" s="108"/>
      <c r="K290" s="109"/>
    </row>
    <row r="291" spans="3:11">
      <c r="C291" s="13"/>
      <c r="J291" s="108"/>
      <c r="K291" s="109"/>
    </row>
    <row r="292" spans="3:11">
      <c r="C292" s="13"/>
      <c r="J292" s="108"/>
      <c r="K292" s="109"/>
    </row>
    <row r="293" spans="3:11">
      <c r="C293" s="13"/>
      <c r="J293" s="108"/>
      <c r="K293" s="109"/>
    </row>
    <row r="294" spans="3:11">
      <c r="C294" s="13"/>
      <c r="J294" s="108"/>
      <c r="K294" s="109"/>
    </row>
    <row r="295" spans="3:11">
      <c r="C295" s="13"/>
      <c r="J295" s="108"/>
      <c r="K295" s="109"/>
    </row>
    <row r="296" spans="3:11">
      <c r="C296" s="13"/>
      <c r="J296" s="108"/>
      <c r="K296" s="109"/>
    </row>
    <row r="297" spans="3:11">
      <c r="C297" s="13"/>
      <c r="J297" s="108"/>
      <c r="K297" s="109"/>
    </row>
    <row r="298" spans="3:11">
      <c r="C298" s="13"/>
      <c r="J298" s="108"/>
      <c r="K298" s="109"/>
    </row>
    <row r="299" spans="3:11">
      <c r="C299" s="13"/>
      <c r="J299" s="108"/>
      <c r="K299" s="109"/>
    </row>
    <row r="300" spans="3:11">
      <c r="C300" s="13"/>
      <c r="J300" s="108"/>
      <c r="K300" s="109"/>
    </row>
    <row r="301" spans="3:11">
      <c r="C301" s="13"/>
      <c r="J301" s="108"/>
      <c r="K301" s="109"/>
    </row>
    <row r="302" spans="3:11">
      <c r="C302" s="13"/>
      <c r="J302" s="108"/>
      <c r="K302" s="109"/>
    </row>
    <row r="303" spans="3:11">
      <c r="C303" s="13"/>
      <c r="J303" s="108"/>
      <c r="K303" s="109"/>
    </row>
    <row r="304" spans="3:11">
      <c r="C304" s="13"/>
      <c r="J304" s="108"/>
      <c r="K304" s="109"/>
    </row>
    <row r="305" spans="3:11">
      <c r="C305" s="13"/>
      <c r="J305" s="108"/>
      <c r="K305" s="109"/>
    </row>
    <row r="306" spans="3:11">
      <c r="C306" s="13"/>
      <c r="J306" s="108"/>
      <c r="K306" s="109"/>
    </row>
    <row r="307" spans="3:11">
      <c r="C307" s="13"/>
      <c r="J307" s="108"/>
      <c r="K307" s="109"/>
    </row>
    <row r="308" spans="3:11">
      <c r="C308" s="13"/>
      <c r="J308" s="108"/>
      <c r="K308" s="109"/>
    </row>
    <row r="309" spans="3:11">
      <c r="C309" s="13"/>
      <c r="J309" s="108"/>
      <c r="K309" s="109"/>
    </row>
    <row r="310" spans="3:11">
      <c r="C310" s="13"/>
      <c r="J310" s="108"/>
      <c r="K310" s="109"/>
    </row>
    <row r="311" spans="3:11">
      <c r="C311" s="13"/>
      <c r="J311" s="108"/>
      <c r="K311" s="109"/>
    </row>
    <row r="312" spans="3:11">
      <c r="C312" s="13"/>
      <c r="J312" s="108"/>
      <c r="K312" s="109"/>
    </row>
    <row r="313" spans="3:11">
      <c r="C313" s="13"/>
      <c r="J313" s="108"/>
      <c r="K313" s="109"/>
    </row>
    <row r="314" spans="3:11">
      <c r="C314" s="13"/>
      <c r="J314" s="108"/>
      <c r="K314" s="109"/>
    </row>
    <row r="315" spans="3:11">
      <c r="C315" s="13"/>
      <c r="J315" s="108"/>
      <c r="K315" s="109"/>
    </row>
    <row r="316" spans="3:11">
      <c r="C316" s="13"/>
      <c r="J316" s="108"/>
      <c r="K316" s="109"/>
    </row>
    <row r="317" spans="3:11">
      <c r="C317" s="13"/>
      <c r="J317" s="108"/>
      <c r="K317" s="109"/>
    </row>
    <row r="318" spans="3:11">
      <c r="C318" s="13"/>
      <c r="J318" s="108"/>
      <c r="K318" s="109"/>
    </row>
    <row r="319" spans="3:11">
      <c r="C319" s="13"/>
      <c r="J319" s="108"/>
      <c r="K319" s="109"/>
    </row>
    <row r="320" spans="3:11">
      <c r="C320" s="13"/>
      <c r="J320" s="108"/>
      <c r="K320" s="109"/>
    </row>
    <row r="321" spans="3:11">
      <c r="C321" s="13"/>
      <c r="J321" s="108"/>
      <c r="K321" s="109"/>
    </row>
    <row r="322" spans="3:11">
      <c r="C322" s="13"/>
      <c r="J322" s="108"/>
      <c r="K322" s="109"/>
    </row>
    <row r="323" spans="3:11">
      <c r="C323" s="13"/>
      <c r="J323" s="108"/>
      <c r="K323" s="109"/>
    </row>
    <row r="324" spans="3:11">
      <c r="C324" s="13"/>
      <c r="J324" s="108"/>
      <c r="K324" s="109"/>
    </row>
    <row r="325" spans="3:11">
      <c r="C325" s="13"/>
      <c r="J325" s="108"/>
      <c r="K325" s="109"/>
    </row>
    <row r="326" spans="3:11">
      <c r="C326" s="13"/>
      <c r="J326" s="108"/>
      <c r="K326" s="109"/>
    </row>
    <row r="327" spans="3:11">
      <c r="C327" s="13"/>
      <c r="J327" s="108"/>
      <c r="K327" s="109"/>
    </row>
    <row r="328" spans="3:11">
      <c r="C328" s="13"/>
      <c r="J328" s="108"/>
      <c r="K328" s="109"/>
    </row>
    <row r="329" spans="3:11">
      <c r="C329" s="13"/>
      <c r="J329" s="108"/>
      <c r="K329" s="109"/>
    </row>
    <row r="330" spans="3:11">
      <c r="C330" s="13"/>
      <c r="J330" s="108"/>
      <c r="K330" s="109"/>
    </row>
    <row r="331" spans="3:11">
      <c r="C331" s="13"/>
      <c r="J331" s="108"/>
      <c r="K331" s="109"/>
    </row>
    <row r="332" spans="3:11">
      <c r="C332" s="13"/>
      <c r="J332" s="108"/>
      <c r="K332" s="109"/>
    </row>
    <row r="333" spans="3:11">
      <c r="C333" s="13"/>
      <c r="J333" s="108"/>
      <c r="K333" s="109"/>
    </row>
    <row r="334" spans="3:11">
      <c r="C334" s="13"/>
      <c r="J334" s="108"/>
      <c r="K334" s="109"/>
    </row>
    <row r="335" spans="3:11">
      <c r="C335" s="13"/>
      <c r="J335" s="108"/>
      <c r="K335" s="109"/>
    </row>
    <row r="336" spans="3:11">
      <c r="C336" s="13"/>
      <c r="J336" s="108"/>
      <c r="K336" s="109"/>
    </row>
    <row r="337" spans="3:11">
      <c r="C337" s="13"/>
      <c r="J337" s="108"/>
      <c r="K337" s="109"/>
    </row>
    <row r="338" spans="3:11">
      <c r="C338" s="13"/>
      <c r="J338" s="108"/>
      <c r="K338" s="109"/>
    </row>
    <row r="339" spans="3:11">
      <c r="C339" s="13"/>
      <c r="J339" s="108"/>
      <c r="K339" s="109"/>
    </row>
    <row r="340" spans="3:11">
      <c r="C340" s="13"/>
      <c r="J340" s="108"/>
      <c r="K340" s="109"/>
    </row>
    <row r="341" spans="3:11">
      <c r="C341" s="13"/>
      <c r="J341" s="108"/>
      <c r="K341" s="109"/>
    </row>
    <row r="342" spans="3:11">
      <c r="C342" s="13"/>
      <c r="J342" s="108"/>
      <c r="K342" s="109"/>
    </row>
    <row r="343" spans="3:11">
      <c r="C343" s="13"/>
      <c r="J343" s="108"/>
      <c r="K343" s="109"/>
    </row>
    <row r="344" spans="3:11">
      <c r="C344" s="13"/>
      <c r="J344" s="108"/>
      <c r="K344" s="109"/>
    </row>
    <row r="345" spans="3:11">
      <c r="C345" s="13"/>
      <c r="J345" s="108"/>
      <c r="K345" s="109"/>
    </row>
    <row r="346" spans="3:11">
      <c r="C346" s="13"/>
      <c r="J346" s="108"/>
      <c r="K346" s="109"/>
    </row>
    <row r="347" spans="3:11">
      <c r="C347" s="13"/>
      <c r="J347" s="108"/>
      <c r="K347" s="109"/>
    </row>
    <row r="348" spans="3:11">
      <c r="C348" s="13"/>
      <c r="J348" s="108"/>
      <c r="K348" s="109"/>
    </row>
    <row r="349" spans="3:11">
      <c r="C349" s="13"/>
      <c r="J349" s="108"/>
      <c r="K349" s="109"/>
    </row>
    <row r="350" spans="3:11">
      <c r="C350" s="13"/>
      <c r="J350" s="108"/>
      <c r="K350" s="109"/>
    </row>
    <row r="351" spans="3:11">
      <c r="C351" s="13"/>
      <c r="J351" s="108"/>
      <c r="K351" s="109"/>
    </row>
    <row r="352" spans="3:11">
      <c r="C352" s="13"/>
      <c r="J352" s="108"/>
      <c r="K352" s="109"/>
    </row>
    <row r="353" spans="3:11">
      <c r="C353" s="13"/>
      <c r="J353" s="108"/>
      <c r="K353" s="109"/>
    </row>
    <row r="354" spans="3:11">
      <c r="C354" s="13"/>
      <c r="J354" s="108"/>
      <c r="K354" s="109"/>
    </row>
    <row r="355" spans="3:11">
      <c r="C355" s="13"/>
      <c r="J355" s="108"/>
      <c r="K355" s="109"/>
    </row>
    <row r="356" spans="3:11">
      <c r="C356" s="13"/>
      <c r="J356" s="108"/>
      <c r="K356" s="109"/>
    </row>
    <row r="357" spans="3:11">
      <c r="C357" s="13"/>
      <c r="J357" s="108"/>
      <c r="K357" s="109"/>
    </row>
    <row r="358" spans="3:11">
      <c r="C358" s="13"/>
      <c r="J358" s="108"/>
      <c r="K358" s="109"/>
    </row>
    <row r="359" spans="3:11">
      <c r="C359" s="13"/>
      <c r="J359" s="108"/>
      <c r="K359" s="109"/>
    </row>
    <row r="360" spans="3:11">
      <c r="C360" s="13"/>
      <c r="J360" s="108"/>
      <c r="K360" s="109"/>
    </row>
    <row r="361" spans="3:11">
      <c r="C361" s="13"/>
      <c r="J361" s="108"/>
      <c r="K361" s="109"/>
    </row>
    <row r="362" spans="3:11">
      <c r="C362" s="13"/>
      <c r="J362" s="108"/>
      <c r="K362" s="109"/>
    </row>
    <row r="363" spans="3:11">
      <c r="C363" s="13"/>
      <c r="J363" s="108"/>
      <c r="K363" s="109"/>
    </row>
    <row r="364" spans="3:11">
      <c r="C364" s="13"/>
      <c r="J364" s="108"/>
      <c r="K364" s="109"/>
    </row>
    <row r="365" spans="3:11">
      <c r="C365" s="13"/>
      <c r="J365" s="108"/>
      <c r="K365" s="109"/>
    </row>
    <row r="366" spans="3:11">
      <c r="C366" s="13"/>
      <c r="J366" s="108"/>
      <c r="K366" s="109"/>
    </row>
    <row r="367" spans="3:11">
      <c r="C367" s="13"/>
      <c r="J367" s="108"/>
      <c r="K367" s="109"/>
    </row>
    <row r="368" spans="3:11">
      <c r="C368" s="13"/>
      <c r="J368" s="108"/>
      <c r="K368" s="109"/>
    </row>
    <row r="369" spans="3:11">
      <c r="C369" s="13"/>
      <c r="J369" s="108"/>
      <c r="K369" s="109"/>
    </row>
    <row r="370" spans="3:11">
      <c r="C370" s="13"/>
      <c r="J370" s="108"/>
      <c r="K370" s="109"/>
    </row>
    <row r="371" spans="3:11">
      <c r="C371" s="13"/>
      <c r="J371" s="108"/>
      <c r="K371" s="109"/>
    </row>
    <row r="372" spans="3:11">
      <c r="C372" s="13"/>
      <c r="J372" s="108"/>
      <c r="K372" s="109"/>
    </row>
    <row r="373" spans="3:11">
      <c r="C373" s="13"/>
      <c r="J373" s="108"/>
      <c r="K373" s="109"/>
    </row>
    <row r="374" spans="3:11">
      <c r="C374" s="13"/>
      <c r="J374" s="108"/>
      <c r="K374" s="109"/>
    </row>
    <row r="375" spans="3:11">
      <c r="C375" s="13"/>
      <c r="J375" s="108"/>
      <c r="K375" s="109"/>
    </row>
    <row r="376" spans="3:11">
      <c r="C376" s="13"/>
      <c r="J376" s="108"/>
      <c r="K376" s="109"/>
    </row>
    <row r="377" spans="3:11">
      <c r="C377" s="13"/>
      <c r="J377" s="108"/>
      <c r="K377" s="109"/>
    </row>
    <row r="378" spans="3:11">
      <c r="C378" s="13"/>
      <c r="J378" s="108"/>
      <c r="K378" s="109"/>
    </row>
    <row r="379" spans="3:11">
      <c r="C379" s="13"/>
      <c r="J379" s="108"/>
      <c r="K379" s="109"/>
    </row>
    <row r="380" spans="3:11">
      <c r="C380" s="13"/>
      <c r="J380" s="108"/>
      <c r="K380" s="109"/>
    </row>
    <row r="381" spans="3:11">
      <c r="C381" s="13"/>
      <c r="J381" s="108"/>
      <c r="K381" s="109"/>
    </row>
    <row r="382" spans="3:11">
      <c r="C382" s="13"/>
      <c r="J382" s="108"/>
      <c r="K382" s="109"/>
    </row>
    <row r="383" spans="3:11">
      <c r="C383" s="13"/>
      <c r="J383" s="108"/>
      <c r="K383" s="109"/>
    </row>
    <row r="384" spans="3:11">
      <c r="C384" s="13"/>
      <c r="J384" s="108"/>
      <c r="K384" s="109"/>
    </row>
    <row r="385" spans="3:11">
      <c r="C385" s="13"/>
      <c r="J385" s="108"/>
      <c r="K385" s="109"/>
    </row>
    <row r="386" spans="3:11">
      <c r="C386" s="13"/>
      <c r="J386" s="108"/>
      <c r="K386" s="109"/>
    </row>
    <row r="387" spans="3:11">
      <c r="C387" s="13"/>
      <c r="J387" s="108"/>
      <c r="K387" s="109"/>
    </row>
    <row r="388" spans="3:11">
      <c r="C388" s="13"/>
      <c r="J388" s="108"/>
      <c r="K388" s="109"/>
    </row>
    <row r="389" spans="3:11">
      <c r="C389" s="13"/>
      <c r="J389" s="108"/>
      <c r="K389" s="109"/>
    </row>
    <row r="390" spans="3:11">
      <c r="C390" s="13"/>
      <c r="J390" s="108"/>
      <c r="K390" s="109"/>
    </row>
    <row r="391" spans="3:11">
      <c r="C391" s="13"/>
      <c r="J391" s="108"/>
      <c r="K391" s="109"/>
    </row>
    <row r="392" spans="3:11">
      <c r="C392" s="13"/>
      <c r="J392" s="108"/>
      <c r="K392" s="109"/>
    </row>
    <row r="393" spans="3:11">
      <c r="C393" s="13"/>
      <c r="J393" s="108"/>
      <c r="K393" s="109"/>
    </row>
    <row r="394" spans="3:11">
      <c r="C394" s="13"/>
      <c r="J394" s="108"/>
      <c r="K394" s="109"/>
    </row>
    <row r="395" spans="3:11">
      <c r="C395" s="13"/>
      <c r="J395" s="108"/>
      <c r="K395" s="109"/>
    </row>
    <row r="396" spans="3:11">
      <c r="C396" s="13"/>
      <c r="J396" s="108"/>
      <c r="K396" s="109"/>
    </row>
    <row r="397" spans="3:11">
      <c r="C397" s="13"/>
      <c r="J397" s="108"/>
      <c r="K397" s="109"/>
    </row>
    <row r="398" spans="3:11">
      <c r="C398" s="13"/>
      <c r="J398" s="108"/>
      <c r="K398" s="109"/>
    </row>
    <row r="399" spans="3:11">
      <c r="C399" s="13"/>
      <c r="J399" s="108"/>
      <c r="K399" s="109"/>
    </row>
    <row r="400" spans="3:11">
      <c r="C400" s="13"/>
      <c r="J400" s="108"/>
      <c r="K400" s="109"/>
    </row>
    <row r="401" spans="3:11">
      <c r="C401" s="13"/>
      <c r="J401" s="108"/>
      <c r="K401" s="109"/>
    </row>
    <row r="402" spans="3:11">
      <c r="C402" s="13"/>
      <c r="J402" s="108"/>
      <c r="K402" s="109"/>
    </row>
    <row r="403" spans="3:11">
      <c r="C403" s="13"/>
      <c r="J403" s="108"/>
      <c r="K403" s="109"/>
    </row>
    <row r="404" spans="3:11">
      <c r="C404" s="13"/>
      <c r="J404" s="108"/>
      <c r="K404" s="109"/>
    </row>
    <row r="405" spans="3:11">
      <c r="C405" s="13"/>
      <c r="J405" s="108"/>
      <c r="K405" s="109"/>
    </row>
    <row r="406" spans="3:11">
      <c r="C406" s="13"/>
      <c r="J406" s="108"/>
      <c r="K406" s="109"/>
    </row>
    <row r="407" spans="3:11">
      <c r="C407" s="13"/>
      <c r="J407" s="108"/>
      <c r="K407" s="109"/>
    </row>
    <row r="408" spans="3:11">
      <c r="C408" s="13"/>
      <c r="J408" s="108"/>
      <c r="K408" s="109"/>
    </row>
    <row r="409" spans="3:11">
      <c r="C409" s="13"/>
      <c r="J409" s="108"/>
      <c r="K409" s="109"/>
    </row>
    <row r="410" spans="3:11">
      <c r="C410" s="13"/>
      <c r="J410" s="108"/>
      <c r="K410" s="109"/>
    </row>
    <row r="411" spans="3:11">
      <c r="C411" s="13"/>
      <c r="J411" s="108"/>
      <c r="K411" s="109"/>
    </row>
    <row r="412" spans="3:11">
      <c r="C412" s="13"/>
      <c r="J412" s="108"/>
      <c r="K412" s="109"/>
    </row>
    <row r="413" spans="3:11">
      <c r="C413" s="13"/>
      <c r="J413" s="108"/>
      <c r="K413" s="109"/>
    </row>
    <row r="414" spans="3:11">
      <c r="C414" s="13"/>
      <c r="J414" s="108"/>
      <c r="K414" s="109"/>
    </row>
    <row r="415" spans="3:11">
      <c r="C415" s="13"/>
      <c r="J415" s="108"/>
      <c r="K415" s="109"/>
    </row>
    <row r="416" spans="3:11">
      <c r="C416" s="13"/>
      <c r="J416" s="108"/>
      <c r="K416" s="109"/>
    </row>
    <row r="417" spans="3:11">
      <c r="C417" s="13"/>
      <c r="J417" s="108"/>
      <c r="K417" s="109"/>
    </row>
    <row r="418" spans="3:11">
      <c r="C418" s="13"/>
      <c r="J418" s="108"/>
      <c r="K418" s="109"/>
    </row>
    <row r="419" spans="3:11">
      <c r="C419" s="13"/>
      <c r="J419" s="108"/>
      <c r="K419" s="109"/>
    </row>
    <row r="420" spans="3:11">
      <c r="C420" s="13"/>
      <c r="J420" s="108"/>
      <c r="K420" s="109"/>
    </row>
    <row r="421" spans="3:11">
      <c r="C421" s="13"/>
      <c r="J421" s="108"/>
      <c r="K421" s="109"/>
    </row>
    <row r="422" spans="3:11">
      <c r="C422" s="13"/>
      <c r="J422" s="108"/>
      <c r="K422" s="109"/>
    </row>
    <row r="423" spans="3:11">
      <c r="C423" s="13"/>
      <c r="J423" s="108"/>
      <c r="K423" s="109"/>
    </row>
    <row r="424" spans="3:11">
      <c r="C424" s="13"/>
      <c r="J424" s="108"/>
      <c r="K424" s="109"/>
    </row>
    <row r="425" spans="3:11">
      <c r="C425" s="13"/>
      <c r="J425" s="108"/>
      <c r="K425" s="109"/>
    </row>
    <row r="426" spans="3:11">
      <c r="C426" s="13"/>
      <c r="J426" s="108"/>
      <c r="K426" s="109"/>
    </row>
    <row r="427" spans="3:11">
      <c r="C427" s="13"/>
      <c r="J427" s="108"/>
      <c r="K427" s="109"/>
    </row>
    <row r="428" spans="3:11">
      <c r="C428" s="13"/>
      <c r="J428" s="108"/>
      <c r="K428" s="109"/>
    </row>
    <row r="429" spans="3:11">
      <c r="C429" s="13"/>
      <c r="J429" s="108"/>
      <c r="K429" s="109"/>
    </row>
    <row r="430" spans="3:11">
      <c r="C430" s="13"/>
      <c r="J430" s="108"/>
      <c r="K430" s="109"/>
    </row>
    <row r="431" spans="3:11">
      <c r="C431" s="13"/>
      <c r="J431" s="108"/>
      <c r="K431" s="109"/>
    </row>
    <row r="432" spans="3:11">
      <c r="C432" s="13"/>
      <c r="J432" s="108"/>
      <c r="K432" s="109"/>
    </row>
    <row r="433" spans="3:11">
      <c r="C433" s="13"/>
      <c r="J433" s="108"/>
      <c r="K433" s="109"/>
    </row>
    <row r="434" spans="3:11">
      <c r="C434" s="13"/>
      <c r="J434" s="108"/>
      <c r="K434" s="109"/>
    </row>
    <row r="435" spans="3:11">
      <c r="C435" s="13"/>
      <c r="J435" s="108"/>
      <c r="K435" s="109"/>
    </row>
    <row r="436" spans="3:11">
      <c r="C436" s="13"/>
      <c r="J436" s="108"/>
      <c r="K436" s="109"/>
    </row>
    <row r="437" spans="3:11">
      <c r="C437" s="13"/>
      <c r="J437" s="108"/>
      <c r="K437" s="109"/>
    </row>
    <row r="438" spans="3:11">
      <c r="C438" s="13"/>
      <c r="J438" s="108"/>
      <c r="K438" s="109"/>
    </row>
    <row r="439" spans="3:11">
      <c r="C439" s="13"/>
      <c r="J439" s="108"/>
      <c r="K439" s="109"/>
    </row>
    <row r="440" spans="3:11">
      <c r="C440" s="13"/>
      <c r="J440" s="108"/>
      <c r="K440" s="109"/>
    </row>
    <row r="441" spans="3:11">
      <c r="C441" s="13"/>
      <c r="J441" s="108"/>
      <c r="K441" s="109"/>
    </row>
    <row r="442" spans="3:11">
      <c r="C442" s="13"/>
      <c r="J442" s="108"/>
      <c r="K442" s="109"/>
    </row>
    <row r="443" spans="3:11">
      <c r="C443" s="13"/>
      <c r="J443" s="108"/>
      <c r="K443" s="109"/>
    </row>
    <row r="444" spans="3:11">
      <c r="C444" s="13"/>
      <c r="J444" s="108"/>
      <c r="K444" s="109"/>
    </row>
    <row r="445" spans="3:11">
      <c r="C445" s="13"/>
      <c r="J445" s="108"/>
      <c r="K445" s="109"/>
    </row>
    <row r="446" spans="3:11">
      <c r="C446" s="13"/>
      <c r="J446" s="108"/>
      <c r="K446" s="109"/>
    </row>
    <row r="447" spans="3:11">
      <c r="C447" s="13"/>
      <c r="J447" s="108"/>
      <c r="K447" s="109"/>
    </row>
    <row r="448" spans="3:11">
      <c r="C448" s="13"/>
      <c r="J448" s="108"/>
      <c r="K448" s="109"/>
    </row>
    <row r="449" spans="3:11">
      <c r="C449" s="13"/>
      <c r="J449" s="108"/>
      <c r="K449" s="109"/>
    </row>
    <row r="450" spans="3:11">
      <c r="C450" s="13"/>
      <c r="J450" s="108"/>
      <c r="K450" s="109"/>
    </row>
    <row r="451" spans="3:11">
      <c r="C451" s="13"/>
      <c r="J451" s="108"/>
      <c r="K451" s="109"/>
    </row>
    <row r="452" spans="3:11">
      <c r="C452" s="13"/>
      <c r="J452" s="108"/>
      <c r="K452" s="109"/>
    </row>
    <row r="453" spans="3:11">
      <c r="C453" s="13"/>
      <c r="J453" s="108"/>
      <c r="K453" s="109"/>
    </row>
    <row r="454" spans="3:11">
      <c r="C454" s="13"/>
      <c r="J454" s="108"/>
      <c r="K454" s="109"/>
    </row>
    <row r="455" spans="3:11">
      <c r="C455" s="13"/>
      <c r="J455" s="108"/>
      <c r="K455" s="109"/>
    </row>
    <row r="456" spans="3:11">
      <c r="C456" s="13"/>
      <c r="J456" s="108"/>
      <c r="K456" s="109"/>
    </row>
    <row r="457" spans="3:11">
      <c r="C457" s="13"/>
      <c r="J457" s="108"/>
      <c r="K457" s="109"/>
    </row>
    <row r="458" spans="3:11">
      <c r="C458" s="13"/>
      <c r="J458" s="108"/>
      <c r="K458" s="109"/>
    </row>
    <row r="459" spans="3:11">
      <c r="C459" s="13"/>
      <c r="J459" s="108"/>
      <c r="K459" s="109"/>
    </row>
    <row r="460" spans="3:11">
      <c r="C460" s="13"/>
      <c r="J460" s="108"/>
      <c r="K460" s="109"/>
    </row>
    <row r="461" spans="3:11">
      <c r="C461" s="13"/>
      <c r="J461" s="108"/>
      <c r="K461" s="109"/>
    </row>
    <row r="462" spans="3:11">
      <c r="C462" s="13"/>
      <c r="J462" s="108"/>
      <c r="K462" s="109"/>
    </row>
    <row r="463" spans="3:11">
      <c r="C463" s="13"/>
      <c r="J463" s="108"/>
      <c r="K463" s="109"/>
    </row>
    <row r="464" spans="3:11">
      <c r="C464" s="13"/>
      <c r="J464" s="108"/>
      <c r="K464" s="109"/>
    </row>
    <row r="465" spans="3:11">
      <c r="C465" s="13"/>
      <c r="J465" s="108"/>
      <c r="K465" s="109"/>
    </row>
    <row r="466" spans="3:11">
      <c r="C466" s="13"/>
      <c r="J466" s="108"/>
      <c r="K466" s="109"/>
    </row>
    <row r="467" spans="3:11">
      <c r="C467" s="13"/>
      <c r="J467" s="108"/>
      <c r="K467" s="109"/>
    </row>
    <row r="468" spans="3:11">
      <c r="C468" s="13"/>
      <c r="J468" s="108"/>
      <c r="K468" s="109"/>
    </row>
    <row r="469" spans="3:11">
      <c r="C469" s="13"/>
      <c r="J469" s="108"/>
      <c r="K469" s="109"/>
    </row>
    <row r="470" spans="3:11">
      <c r="C470" s="13"/>
      <c r="J470" s="108"/>
      <c r="K470" s="109"/>
    </row>
    <row r="471" spans="3:11">
      <c r="C471" s="13"/>
      <c r="J471" s="108"/>
      <c r="K471" s="109"/>
    </row>
    <row r="472" spans="3:11">
      <c r="C472" s="13"/>
      <c r="J472" s="108"/>
      <c r="K472" s="109"/>
    </row>
    <row r="473" spans="3:11">
      <c r="C473" s="13"/>
      <c r="J473" s="108"/>
      <c r="K473" s="109"/>
    </row>
    <row r="474" spans="3:11">
      <c r="C474" s="13"/>
      <c r="J474" s="108"/>
      <c r="K474" s="109"/>
    </row>
    <row r="475" spans="3:11">
      <c r="C475" s="13"/>
      <c r="J475" s="108"/>
      <c r="K475" s="109"/>
    </row>
    <row r="476" spans="3:11">
      <c r="C476" s="13"/>
      <c r="J476" s="108"/>
      <c r="K476" s="109"/>
    </row>
    <row r="477" spans="3:11">
      <c r="C477" s="13"/>
      <c r="J477" s="108"/>
      <c r="K477" s="109"/>
    </row>
    <row r="478" spans="3:11">
      <c r="C478" s="13"/>
      <c r="J478" s="108"/>
      <c r="K478" s="109"/>
    </row>
    <row r="479" spans="3:11">
      <c r="C479" s="13"/>
      <c r="J479" s="108"/>
      <c r="K479" s="109"/>
    </row>
    <row r="480" spans="3:11">
      <c r="C480" s="13"/>
      <c r="J480" s="108"/>
      <c r="K480" s="109"/>
    </row>
    <row r="481" spans="3:11">
      <c r="C481" s="13"/>
      <c r="J481" s="108"/>
      <c r="K481" s="109"/>
    </row>
    <row r="482" spans="3:11">
      <c r="C482" s="13"/>
      <c r="J482" s="108"/>
      <c r="K482" s="109"/>
    </row>
    <row r="483" spans="3:11">
      <c r="C483" s="13"/>
      <c r="J483" s="108"/>
      <c r="K483" s="109"/>
    </row>
    <row r="484" spans="3:11">
      <c r="C484" s="13"/>
      <c r="J484" s="108"/>
      <c r="K484" s="109"/>
    </row>
    <row r="485" spans="3:11">
      <c r="C485" s="13"/>
      <c r="J485" s="108"/>
      <c r="K485" s="109"/>
    </row>
    <row r="486" spans="3:11">
      <c r="C486" s="13"/>
      <c r="J486" s="108"/>
      <c r="K486" s="109"/>
    </row>
    <row r="487" spans="3:11">
      <c r="C487" s="13"/>
      <c r="J487" s="108"/>
      <c r="K487" s="109"/>
    </row>
    <row r="488" spans="3:11">
      <c r="C488" s="13"/>
      <c r="J488" s="108"/>
      <c r="K488" s="109"/>
    </row>
    <row r="489" spans="3:11">
      <c r="C489" s="13"/>
      <c r="J489" s="108"/>
      <c r="K489" s="109"/>
    </row>
    <row r="490" spans="3:11">
      <c r="C490" s="13"/>
      <c r="J490" s="108"/>
      <c r="K490" s="109"/>
    </row>
    <row r="491" spans="3:11">
      <c r="C491" s="13"/>
      <c r="J491" s="108"/>
      <c r="K491" s="109"/>
    </row>
    <row r="492" spans="3:11">
      <c r="C492" s="13"/>
      <c r="J492" s="108"/>
      <c r="K492" s="109"/>
    </row>
    <row r="493" spans="3:11">
      <c r="C493" s="13"/>
      <c r="J493" s="108"/>
      <c r="K493" s="109"/>
    </row>
    <row r="494" spans="3:11">
      <c r="C494" s="13"/>
      <c r="J494" s="108"/>
      <c r="K494" s="109"/>
    </row>
    <row r="495" spans="3:11">
      <c r="C495" s="13"/>
      <c r="J495" s="108"/>
      <c r="K495" s="109"/>
    </row>
    <row r="496" spans="3:11">
      <c r="C496" s="13"/>
      <c r="J496" s="108"/>
      <c r="K496" s="109"/>
    </row>
    <row r="497" spans="3:11">
      <c r="C497" s="13"/>
      <c r="J497" s="108"/>
      <c r="K497" s="109"/>
    </row>
    <row r="498" spans="3:11">
      <c r="C498" s="13"/>
      <c r="J498" s="108"/>
      <c r="K498" s="109"/>
    </row>
    <row r="499" spans="3:11">
      <c r="C499" s="13"/>
      <c r="J499" s="108"/>
      <c r="K499" s="109"/>
    </row>
    <row r="500" spans="3:11">
      <c r="C500" s="13"/>
      <c r="J500" s="108"/>
      <c r="K500" s="109"/>
    </row>
    <row r="501" spans="3:11">
      <c r="C501" s="13"/>
      <c r="J501" s="108"/>
      <c r="K501" s="109"/>
    </row>
    <row r="502" spans="3:11">
      <c r="C502" s="13"/>
      <c r="J502" s="108"/>
      <c r="K502" s="109"/>
    </row>
    <row r="503" spans="3:11">
      <c r="C503" s="13"/>
      <c r="J503" s="108"/>
      <c r="K503" s="109"/>
    </row>
    <row r="504" spans="3:11">
      <c r="C504" s="13"/>
      <c r="J504" s="108"/>
      <c r="K504" s="109"/>
    </row>
    <row r="505" spans="3:11">
      <c r="C505" s="13"/>
      <c r="J505" s="108"/>
      <c r="K505" s="109"/>
    </row>
    <row r="506" spans="3:11">
      <c r="C506" s="13"/>
      <c r="J506" s="108"/>
      <c r="K506" s="109"/>
    </row>
    <row r="507" spans="3:11">
      <c r="C507" s="13"/>
      <c r="J507" s="108"/>
      <c r="K507" s="109"/>
    </row>
    <row r="508" spans="3:11">
      <c r="C508" s="13"/>
      <c r="J508" s="108"/>
      <c r="K508" s="109"/>
    </row>
    <row r="509" spans="3:11">
      <c r="C509" s="13"/>
      <c r="J509" s="108"/>
      <c r="K509" s="109"/>
    </row>
    <row r="510" spans="3:11">
      <c r="C510" s="13"/>
      <c r="J510" s="108"/>
      <c r="K510" s="109"/>
    </row>
    <row r="511" spans="3:11">
      <c r="C511" s="13"/>
      <c r="J511" s="108"/>
      <c r="K511" s="109"/>
    </row>
    <row r="512" spans="3:11">
      <c r="C512" s="13"/>
      <c r="J512" s="108"/>
      <c r="K512" s="109"/>
    </row>
    <row r="513" spans="3:11">
      <c r="C513" s="13"/>
      <c r="J513" s="108"/>
      <c r="K513" s="109"/>
    </row>
    <row r="514" spans="3:11">
      <c r="C514" s="13"/>
      <c r="J514" s="108"/>
      <c r="K514" s="109"/>
    </row>
    <row r="515" spans="3:11">
      <c r="C515" s="13"/>
      <c r="J515" s="108"/>
      <c r="K515" s="109"/>
    </row>
    <row r="516" spans="3:11">
      <c r="C516" s="13"/>
      <c r="J516" s="108"/>
      <c r="K516" s="109"/>
    </row>
    <row r="517" spans="3:11">
      <c r="C517" s="13"/>
      <c r="J517" s="108"/>
      <c r="K517" s="109"/>
    </row>
    <row r="518" spans="3:11">
      <c r="C518" s="13"/>
      <c r="J518" s="108"/>
      <c r="K518" s="109"/>
    </row>
    <row r="519" spans="3:11">
      <c r="C519" s="13"/>
      <c r="J519" s="108"/>
      <c r="K519" s="109"/>
    </row>
    <row r="520" spans="3:11">
      <c r="C520" s="13"/>
      <c r="J520" s="108"/>
      <c r="K520" s="109"/>
    </row>
    <row r="521" spans="3:11">
      <c r="C521" s="13"/>
      <c r="J521" s="108"/>
      <c r="K521" s="109"/>
    </row>
    <row r="522" spans="3:11">
      <c r="C522" s="13"/>
      <c r="J522" s="108"/>
      <c r="K522" s="109"/>
    </row>
    <row r="523" spans="3:11">
      <c r="C523" s="13"/>
      <c r="J523" s="108"/>
      <c r="K523" s="109"/>
    </row>
    <row r="524" spans="3:11">
      <c r="C524" s="13"/>
      <c r="J524" s="108"/>
      <c r="K524" s="109"/>
    </row>
    <row r="525" spans="3:11">
      <c r="C525" s="13"/>
      <c r="J525" s="108"/>
      <c r="K525" s="109"/>
    </row>
    <row r="526" spans="3:11">
      <c r="C526" s="13"/>
      <c r="J526" s="108"/>
      <c r="K526" s="109"/>
    </row>
    <row r="527" spans="3:11">
      <c r="C527" s="13"/>
      <c r="J527" s="108"/>
      <c r="K527" s="109"/>
    </row>
    <row r="528" spans="3:11">
      <c r="C528" s="13"/>
      <c r="J528" s="108"/>
      <c r="K528" s="109"/>
    </row>
    <row r="529" spans="3:11">
      <c r="C529" s="13"/>
      <c r="J529" s="108"/>
      <c r="K529" s="109"/>
    </row>
    <row r="530" spans="3:11">
      <c r="C530" s="13"/>
      <c r="J530" s="108"/>
      <c r="K530" s="109"/>
    </row>
    <row r="531" spans="3:11">
      <c r="C531" s="13"/>
      <c r="J531" s="108"/>
      <c r="K531" s="109"/>
    </row>
    <row r="532" spans="3:11">
      <c r="C532" s="13"/>
      <c r="J532" s="108"/>
      <c r="K532" s="109"/>
    </row>
    <row r="533" spans="3:11">
      <c r="C533" s="13"/>
      <c r="J533" s="108"/>
      <c r="K533" s="109"/>
    </row>
    <row r="534" spans="3:11">
      <c r="C534" s="13"/>
      <c r="J534" s="108"/>
      <c r="K534" s="109"/>
    </row>
    <row r="535" spans="3:11">
      <c r="C535" s="13"/>
      <c r="J535" s="108"/>
      <c r="K535" s="109"/>
    </row>
    <row r="536" spans="3:11">
      <c r="C536" s="13"/>
      <c r="J536" s="108"/>
      <c r="K536" s="109"/>
    </row>
    <row r="537" spans="3:11">
      <c r="C537" s="13"/>
      <c r="J537" s="108"/>
      <c r="K537" s="109"/>
    </row>
    <row r="538" spans="3:11">
      <c r="C538" s="13"/>
      <c r="J538" s="108"/>
      <c r="K538" s="109"/>
    </row>
    <row r="539" spans="3:11">
      <c r="C539" s="13"/>
      <c r="J539" s="108"/>
      <c r="K539" s="109"/>
    </row>
    <row r="540" spans="3:11">
      <c r="C540" s="13"/>
      <c r="J540" s="108"/>
      <c r="K540" s="109"/>
    </row>
    <row r="541" spans="3:11">
      <c r="C541" s="13"/>
      <c r="J541" s="108"/>
      <c r="K541" s="109"/>
    </row>
    <row r="542" spans="3:11">
      <c r="C542" s="13"/>
      <c r="J542" s="108"/>
      <c r="K542" s="109"/>
    </row>
    <row r="543" spans="3:11">
      <c r="C543" s="13"/>
      <c r="J543" s="108"/>
      <c r="K543" s="109"/>
    </row>
    <row r="544" spans="3:11">
      <c r="C544" s="13"/>
      <c r="J544" s="108"/>
      <c r="K544" s="109"/>
    </row>
    <row r="545" spans="3:11">
      <c r="C545" s="13"/>
      <c r="J545" s="108"/>
      <c r="K545" s="109"/>
    </row>
    <row r="546" spans="3:11">
      <c r="C546" s="13"/>
      <c r="J546" s="108"/>
      <c r="K546" s="109"/>
    </row>
    <row r="547" spans="3:11">
      <c r="C547" s="13"/>
      <c r="J547" s="108"/>
      <c r="K547" s="109"/>
    </row>
    <row r="548" spans="3:11">
      <c r="C548" s="13"/>
      <c r="J548" s="108"/>
      <c r="K548" s="109"/>
    </row>
    <row r="549" spans="3:11">
      <c r="C549" s="13"/>
      <c r="J549" s="108"/>
      <c r="K549" s="109"/>
    </row>
    <row r="550" spans="3:11">
      <c r="C550" s="13"/>
      <c r="J550" s="108"/>
      <c r="K550" s="109"/>
    </row>
    <row r="551" spans="3:11">
      <c r="C551" s="13"/>
      <c r="J551" s="108"/>
      <c r="K551" s="109"/>
    </row>
    <row r="552" spans="3:11">
      <c r="C552" s="13"/>
      <c r="J552" s="108"/>
      <c r="K552" s="109"/>
    </row>
    <row r="553" spans="3:11">
      <c r="C553" s="13"/>
      <c r="J553" s="108"/>
      <c r="K553" s="109"/>
    </row>
    <row r="554" spans="3:11">
      <c r="C554" s="13"/>
      <c r="J554" s="108"/>
      <c r="K554" s="109"/>
    </row>
    <row r="555" spans="3:11">
      <c r="C555" s="13"/>
      <c r="J555" s="108"/>
      <c r="K555" s="109"/>
    </row>
    <row r="556" spans="3:11">
      <c r="C556" s="13"/>
      <c r="J556" s="108"/>
      <c r="K556" s="109"/>
    </row>
    <row r="557" spans="3:11">
      <c r="C557" s="13"/>
      <c r="J557" s="108"/>
      <c r="K557" s="109"/>
    </row>
    <row r="558" spans="3:11">
      <c r="C558" s="13"/>
      <c r="J558" s="108"/>
      <c r="K558" s="109"/>
    </row>
    <row r="559" spans="3:11">
      <c r="C559" s="13"/>
      <c r="J559" s="108"/>
      <c r="K559" s="109"/>
    </row>
    <row r="560" spans="3:11">
      <c r="C560" s="13"/>
      <c r="J560" s="108"/>
      <c r="K560" s="109"/>
    </row>
    <row r="561" spans="3:11">
      <c r="C561" s="13"/>
      <c r="J561" s="108"/>
      <c r="K561" s="109"/>
    </row>
    <row r="562" spans="3:11">
      <c r="C562" s="13"/>
      <c r="J562" s="108"/>
      <c r="K562" s="109"/>
    </row>
    <row r="563" spans="3:11">
      <c r="C563" s="13"/>
      <c r="J563" s="108"/>
      <c r="K563" s="109"/>
    </row>
    <row r="564" spans="3:11">
      <c r="C564" s="13"/>
      <c r="J564" s="108"/>
      <c r="K564" s="109"/>
    </row>
    <row r="565" spans="3:11">
      <c r="C565" s="13"/>
      <c r="J565" s="108"/>
      <c r="K565" s="109"/>
    </row>
    <row r="566" spans="3:11">
      <c r="C566" s="13"/>
      <c r="J566" s="108"/>
      <c r="K566" s="109"/>
    </row>
    <row r="567" spans="3:11">
      <c r="C567" s="13"/>
      <c r="J567" s="108"/>
      <c r="K567" s="109"/>
    </row>
    <row r="568" spans="3:11">
      <c r="C568" s="13"/>
      <c r="J568" s="108"/>
      <c r="K568" s="109"/>
    </row>
    <row r="569" spans="3:11">
      <c r="C569" s="13"/>
      <c r="J569" s="108"/>
      <c r="K569" s="109"/>
    </row>
    <row r="570" spans="3:11">
      <c r="C570" s="13"/>
      <c r="J570" s="108"/>
      <c r="K570" s="109"/>
    </row>
    <row r="571" spans="3:11">
      <c r="C571" s="13"/>
      <c r="J571" s="108"/>
      <c r="K571" s="109"/>
    </row>
    <row r="572" spans="3:11">
      <c r="C572" s="13"/>
      <c r="J572" s="108"/>
      <c r="K572" s="109"/>
    </row>
    <row r="573" spans="3:11">
      <c r="C573" s="13"/>
      <c r="J573" s="108"/>
      <c r="K573" s="109"/>
    </row>
    <row r="574" spans="3:11">
      <c r="C574" s="13"/>
      <c r="J574" s="108"/>
      <c r="K574" s="109"/>
    </row>
    <row r="575" spans="3:11">
      <c r="C575" s="13"/>
      <c r="J575" s="108"/>
      <c r="K575" s="109"/>
    </row>
    <row r="576" spans="3:11">
      <c r="C576" s="13"/>
      <c r="J576" s="108"/>
      <c r="K576" s="109"/>
    </row>
    <row r="577" spans="3:11">
      <c r="C577" s="13"/>
      <c r="J577" s="108"/>
      <c r="K577" s="109"/>
    </row>
    <row r="578" spans="3:11">
      <c r="C578" s="13"/>
      <c r="J578" s="108"/>
      <c r="K578" s="109"/>
    </row>
    <row r="579" spans="3:11">
      <c r="C579" s="13"/>
      <c r="J579" s="108"/>
      <c r="K579" s="109"/>
    </row>
    <row r="580" spans="3:11">
      <c r="C580" s="13"/>
      <c r="J580" s="108"/>
      <c r="K580" s="109"/>
    </row>
    <row r="581" spans="3:11">
      <c r="C581" s="13"/>
      <c r="J581" s="108"/>
      <c r="K581" s="109"/>
    </row>
    <row r="582" spans="3:11">
      <c r="C582" s="13"/>
      <c r="J582" s="108"/>
      <c r="K582" s="109"/>
    </row>
    <row r="583" spans="3:11">
      <c r="C583" s="13"/>
      <c r="J583" s="108"/>
      <c r="K583" s="109"/>
    </row>
    <row r="584" spans="3:11">
      <c r="C584" s="13"/>
      <c r="J584" s="108"/>
      <c r="K584" s="109"/>
    </row>
    <row r="585" spans="3:11">
      <c r="C585" s="13"/>
      <c r="J585" s="108"/>
      <c r="K585" s="109"/>
    </row>
    <row r="586" spans="3:11">
      <c r="C586" s="13"/>
      <c r="J586" s="108"/>
      <c r="K586" s="109"/>
    </row>
    <row r="587" spans="3:11">
      <c r="C587" s="13"/>
      <c r="J587" s="108"/>
      <c r="K587" s="109"/>
    </row>
    <row r="588" spans="3:11">
      <c r="C588" s="13"/>
      <c r="J588" s="108"/>
      <c r="K588" s="109"/>
    </row>
    <row r="589" spans="3:11">
      <c r="C589" s="13"/>
      <c r="J589" s="108"/>
      <c r="K589" s="109"/>
    </row>
    <row r="590" spans="3:11">
      <c r="C590" s="13"/>
      <c r="J590" s="108"/>
      <c r="K590" s="109"/>
    </row>
    <row r="591" spans="3:11">
      <c r="C591" s="13"/>
      <c r="J591" s="108"/>
      <c r="K591" s="109"/>
    </row>
    <row r="592" spans="3:11">
      <c r="C592" s="13"/>
      <c r="J592" s="108"/>
      <c r="K592" s="109"/>
    </row>
    <row r="593" spans="3:11">
      <c r="C593" s="13"/>
      <c r="J593" s="108"/>
      <c r="K593" s="109"/>
    </row>
    <row r="594" spans="3:11">
      <c r="C594" s="13"/>
      <c r="J594" s="108"/>
      <c r="K594" s="109"/>
    </row>
    <row r="595" spans="3:11">
      <c r="C595" s="13"/>
      <c r="J595" s="108"/>
      <c r="K595" s="109"/>
    </row>
    <row r="596" spans="3:11">
      <c r="C596" s="13"/>
      <c r="J596" s="108"/>
      <c r="K596" s="109"/>
    </row>
    <row r="597" spans="3:11">
      <c r="C597" s="13"/>
      <c r="J597" s="108"/>
      <c r="K597" s="109"/>
    </row>
    <row r="598" spans="3:11">
      <c r="C598" s="13"/>
      <c r="J598" s="108"/>
      <c r="K598" s="109"/>
    </row>
    <row r="599" spans="3:11">
      <c r="C599" s="13"/>
      <c r="J599" s="108"/>
      <c r="K599" s="109"/>
    </row>
    <row r="600" spans="3:11">
      <c r="C600" s="13"/>
      <c r="J600" s="108"/>
      <c r="K600" s="109"/>
    </row>
    <row r="601" spans="3:11">
      <c r="C601" s="13"/>
      <c r="J601" s="108"/>
      <c r="K601" s="109"/>
    </row>
    <row r="602" spans="3:11">
      <c r="C602" s="13"/>
      <c r="J602" s="108"/>
      <c r="K602" s="109"/>
    </row>
    <row r="603" spans="3:11">
      <c r="C603" s="13"/>
      <c r="J603" s="108"/>
      <c r="K603" s="109"/>
    </row>
    <row r="604" spans="3:11">
      <c r="C604" s="13"/>
      <c r="J604" s="108"/>
      <c r="K604" s="109"/>
    </row>
    <row r="605" spans="3:11">
      <c r="C605" s="13"/>
      <c r="J605" s="108"/>
      <c r="K605" s="109"/>
    </row>
    <row r="606" spans="3:11">
      <c r="C606" s="13"/>
      <c r="J606" s="108"/>
      <c r="K606" s="109"/>
    </row>
    <row r="607" spans="3:11">
      <c r="C607" s="13"/>
      <c r="J607" s="108"/>
      <c r="K607" s="109"/>
    </row>
    <row r="608" spans="3:11">
      <c r="C608" s="13"/>
      <c r="J608" s="108"/>
      <c r="K608" s="109"/>
    </row>
    <row r="609" spans="3:11">
      <c r="C609" s="13"/>
      <c r="J609" s="108"/>
      <c r="K609" s="109"/>
    </row>
    <row r="610" spans="3:11">
      <c r="C610" s="13"/>
      <c r="J610" s="108"/>
      <c r="K610" s="109"/>
    </row>
    <row r="611" spans="3:11">
      <c r="C611" s="13"/>
      <c r="J611" s="108"/>
      <c r="K611" s="109"/>
    </row>
    <row r="612" spans="3:11">
      <c r="C612" s="13"/>
      <c r="J612" s="108"/>
      <c r="K612" s="109"/>
    </row>
    <row r="613" spans="3:11">
      <c r="C613" s="13"/>
      <c r="J613" s="108"/>
      <c r="K613" s="109"/>
    </row>
    <row r="614" spans="3:11">
      <c r="C614" s="13"/>
      <c r="J614" s="108"/>
      <c r="K614" s="109"/>
    </row>
    <row r="615" spans="3:11">
      <c r="C615" s="13"/>
      <c r="J615" s="108"/>
      <c r="K615" s="109"/>
    </row>
    <row r="616" spans="3:11">
      <c r="C616" s="13"/>
      <c r="J616" s="108"/>
      <c r="K616" s="109"/>
    </row>
    <row r="617" spans="3:11">
      <c r="C617" s="13"/>
      <c r="J617" s="108"/>
      <c r="K617" s="109"/>
    </row>
    <row r="618" spans="3:11">
      <c r="C618" s="13"/>
      <c r="J618" s="108"/>
      <c r="K618" s="109"/>
    </row>
    <row r="619" spans="3:11">
      <c r="C619" s="13"/>
      <c r="J619" s="108"/>
      <c r="K619" s="109"/>
    </row>
    <row r="620" spans="3:11">
      <c r="C620" s="13"/>
      <c r="J620" s="108"/>
      <c r="K620" s="109"/>
    </row>
    <row r="621" spans="3:11">
      <c r="C621" s="13"/>
      <c r="J621" s="108"/>
      <c r="K621" s="109"/>
    </row>
    <row r="622" spans="3:11">
      <c r="C622" s="13"/>
      <c r="J622" s="108"/>
      <c r="K622" s="109"/>
    </row>
    <row r="623" spans="3:11">
      <c r="C623" s="13"/>
      <c r="J623" s="108"/>
      <c r="K623" s="109"/>
    </row>
    <row r="624" spans="3:11">
      <c r="C624" s="13"/>
      <c r="J624" s="108"/>
      <c r="K624" s="109"/>
    </row>
    <row r="625" spans="3:11">
      <c r="C625" s="13"/>
      <c r="J625" s="108"/>
      <c r="K625" s="109"/>
    </row>
    <row r="626" spans="3:11">
      <c r="C626" s="13"/>
      <c r="J626" s="108"/>
      <c r="K626" s="109"/>
    </row>
    <row r="627" spans="3:11">
      <c r="C627" s="13"/>
      <c r="J627" s="108"/>
      <c r="K627" s="109"/>
    </row>
    <row r="628" spans="3:11">
      <c r="C628" s="13"/>
      <c r="J628" s="108"/>
      <c r="K628" s="109"/>
    </row>
    <row r="629" spans="3:11">
      <c r="C629" s="13"/>
      <c r="J629" s="108"/>
      <c r="K629" s="109"/>
    </row>
    <row r="630" spans="3:11">
      <c r="C630" s="13"/>
      <c r="J630" s="108"/>
      <c r="K630" s="109"/>
    </row>
    <row r="631" spans="3:11">
      <c r="C631" s="13"/>
      <c r="J631" s="108"/>
      <c r="K631" s="109"/>
    </row>
    <row r="632" spans="3:11">
      <c r="C632" s="13"/>
      <c r="J632" s="108"/>
      <c r="K632" s="109"/>
    </row>
    <row r="633" spans="3:11">
      <c r="C633" s="13"/>
      <c r="J633" s="108"/>
      <c r="K633" s="109"/>
    </row>
    <row r="634" spans="3:11">
      <c r="C634" s="13"/>
      <c r="J634" s="108"/>
      <c r="K634" s="109"/>
    </row>
    <row r="635" spans="3:11">
      <c r="C635" s="13"/>
      <c r="J635" s="108"/>
      <c r="K635" s="109"/>
    </row>
    <row r="636" spans="3:11">
      <c r="C636" s="13"/>
      <c r="J636" s="108"/>
      <c r="K636" s="109"/>
    </row>
    <row r="637" spans="3:11">
      <c r="C637" s="13"/>
      <c r="J637" s="108"/>
      <c r="K637" s="109"/>
    </row>
    <row r="638" spans="3:11">
      <c r="C638" s="13"/>
      <c r="J638" s="108"/>
      <c r="K638" s="109"/>
    </row>
    <row r="639" spans="3:11">
      <c r="C639" s="13"/>
      <c r="J639" s="108"/>
      <c r="K639" s="109"/>
    </row>
    <row r="640" spans="3:11">
      <c r="C640" s="13"/>
      <c r="J640" s="108"/>
      <c r="K640" s="109"/>
    </row>
    <row r="641" spans="3:11">
      <c r="C641" s="13"/>
      <c r="J641" s="108"/>
      <c r="K641" s="109"/>
    </row>
    <row r="642" spans="3:11">
      <c r="C642" s="13"/>
      <c r="J642" s="108"/>
      <c r="K642" s="109"/>
    </row>
    <row r="643" spans="3:11">
      <c r="C643" s="13"/>
      <c r="J643" s="108"/>
      <c r="K643" s="109"/>
    </row>
    <row r="644" spans="3:11">
      <c r="C644" s="13"/>
      <c r="J644" s="108"/>
      <c r="K644" s="109"/>
    </row>
    <row r="645" spans="3:11">
      <c r="C645" s="13"/>
      <c r="J645" s="108"/>
      <c r="K645" s="109"/>
    </row>
    <row r="646" spans="3:11">
      <c r="C646" s="13"/>
      <c r="J646" s="108"/>
      <c r="K646" s="109"/>
    </row>
    <row r="647" spans="3:11">
      <c r="C647" s="13"/>
      <c r="J647" s="108"/>
      <c r="K647" s="109"/>
    </row>
    <row r="648" spans="3:11">
      <c r="C648" s="13"/>
      <c r="J648" s="108"/>
      <c r="K648" s="109"/>
    </row>
    <row r="649" spans="3:11">
      <c r="C649" s="13"/>
      <c r="J649" s="108"/>
      <c r="K649" s="109"/>
    </row>
    <row r="650" spans="3:11">
      <c r="C650" s="13"/>
      <c r="J650" s="108"/>
      <c r="K650" s="109"/>
    </row>
    <row r="651" spans="3:11">
      <c r="C651" s="13"/>
      <c r="J651" s="108"/>
      <c r="K651" s="109"/>
    </row>
    <row r="652" spans="3:11">
      <c r="C652" s="13"/>
      <c r="J652" s="108"/>
      <c r="K652" s="109"/>
    </row>
    <row r="653" spans="3:11">
      <c r="C653" s="13"/>
      <c r="J653" s="108"/>
      <c r="K653" s="109"/>
    </row>
    <row r="654" spans="3:11">
      <c r="C654" s="13"/>
      <c r="J654" s="108"/>
      <c r="K654" s="109"/>
    </row>
    <row r="655" spans="3:11">
      <c r="C655" s="13"/>
      <c r="J655" s="108"/>
      <c r="K655" s="109"/>
    </row>
    <row r="656" spans="3:11">
      <c r="C656" s="13"/>
      <c r="J656" s="108"/>
      <c r="K656" s="109"/>
    </row>
    <row r="657" spans="3:11">
      <c r="C657" s="13"/>
      <c r="J657" s="108"/>
      <c r="K657" s="109"/>
    </row>
    <row r="658" spans="3:11">
      <c r="C658" s="13"/>
      <c r="J658" s="108"/>
      <c r="K658" s="109"/>
    </row>
    <row r="659" spans="3:11">
      <c r="C659" s="13"/>
      <c r="J659" s="108"/>
      <c r="K659" s="109"/>
    </row>
    <row r="660" spans="3:11">
      <c r="C660" s="13"/>
      <c r="J660" s="108"/>
      <c r="K660" s="109"/>
    </row>
    <row r="661" spans="3:11">
      <c r="C661" s="13"/>
      <c r="J661" s="108"/>
      <c r="K661" s="109"/>
    </row>
    <row r="662" spans="3:11">
      <c r="C662" s="13"/>
      <c r="J662" s="108"/>
      <c r="K662" s="109"/>
    </row>
    <row r="663" spans="3:11">
      <c r="C663" s="13"/>
      <c r="J663" s="108"/>
      <c r="K663" s="109"/>
    </row>
    <row r="664" spans="3:11">
      <c r="C664" s="13"/>
      <c r="J664" s="108"/>
      <c r="K664" s="109"/>
    </row>
    <row r="665" spans="3:11">
      <c r="C665" s="13"/>
      <c r="J665" s="108"/>
      <c r="K665" s="109"/>
    </row>
    <row r="666" spans="3:11">
      <c r="C666" s="13"/>
      <c r="J666" s="108"/>
      <c r="K666" s="109"/>
    </row>
    <row r="667" spans="3:11">
      <c r="C667" s="13"/>
      <c r="J667" s="108"/>
      <c r="K667" s="109"/>
    </row>
    <row r="668" spans="3:11">
      <c r="C668" s="13"/>
      <c r="J668" s="108"/>
      <c r="K668" s="109"/>
    </row>
    <row r="669" spans="3:11">
      <c r="C669" s="13"/>
      <c r="J669" s="108"/>
      <c r="K669" s="109"/>
    </row>
    <row r="670" spans="3:11">
      <c r="C670" s="13"/>
      <c r="J670" s="108"/>
      <c r="K670" s="109"/>
    </row>
    <row r="671" spans="3:11">
      <c r="C671" s="13"/>
      <c r="J671" s="108"/>
      <c r="K671" s="109"/>
    </row>
    <row r="672" spans="3:11">
      <c r="C672" s="13"/>
      <c r="J672" s="108"/>
      <c r="K672" s="109"/>
    </row>
    <row r="673" spans="3:11">
      <c r="C673" s="13"/>
      <c r="J673" s="108"/>
      <c r="K673" s="109"/>
    </row>
    <row r="674" spans="3:11">
      <c r="C674" s="13"/>
      <c r="J674" s="108"/>
      <c r="K674" s="109"/>
    </row>
    <row r="675" spans="3:11">
      <c r="C675" s="13"/>
      <c r="J675" s="108"/>
      <c r="K675" s="109"/>
    </row>
    <row r="676" spans="3:11">
      <c r="C676" s="13"/>
      <c r="J676" s="108"/>
      <c r="K676" s="109"/>
    </row>
    <row r="677" spans="3:11">
      <c r="C677" s="13"/>
      <c r="J677" s="108"/>
      <c r="K677" s="109"/>
    </row>
    <row r="678" spans="3:11">
      <c r="C678" s="13"/>
      <c r="J678" s="108"/>
      <c r="K678" s="109"/>
    </row>
    <row r="679" spans="3:11">
      <c r="C679" s="13"/>
      <c r="J679" s="108"/>
      <c r="K679" s="109"/>
    </row>
    <row r="680" spans="3:11">
      <c r="C680" s="13"/>
      <c r="J680" s="108"/>
      <c r="K680" s="109"/>
    </row>
    <row r="681" spans="3:11">
      <c r="C681" s="13"/>
      <c r="J681" s="108"/>
      <c r="K681" s="109"/>
    </row>
    <row r="682" spans="3:11">
      <c r="C682" s="13"/>
      <c r="J682" s="108"/>
      <c r="K682" s="109"/>
    </row>
    <row r="683" spans="3:11">
      <c r="C683" s="13"/>
      <c r="J683" s="108"/>
      <c r="K683" s="109"/>
    </row>
    <row r="684" spans="3:11">
      <c r="C684" s="13"/>
      <c r="J684" s="108"/>
      <c r="K684" s="109"/>
    </row>
    <row r="685" spans="3:11">
      <c r="C685" s="13"/>
      <c r="J685" s="108"/>
      <c r="K685" s="109"/>
    </row>
    <row r="686" spans="3:11">
      <c r="C686" s="13"/>
      <c r="J686" s="108"/>
      <c r="K686" s="109"/>
    </row>
    <row r="687" spans="3:11">
      <c r="C687" s="13"/>
      <c r="J687" s="108"/>
      <c r="K687" s="109"/>
    </row>
    <row r="688" spans="3:11">
      <c r="C688" s="13"/>
      <c r="J688" s="108"/>
      <c r="K688" s="109"/>
    </row>
    <row r="689" spans="3:11">
      <c r="C689" s="13"/>
      <c r="J689" s="108"/>
      <c r="K689" s="109"/>
    </row>
    <row r="690" spans="3:11">
      <c r="C690" s="13"/>
      <c r="J690" s="108"/>
      <c r="K690" s="109"/>
    </row>
    <row r="691" spans="3:11">
      <c r="C691" s="13"/>
      <c r="J691" s="108"/>
      <c r="K691" s="109"/>
    </row>
    <row r="692" spans="3:11">
      <c r="C692" s="13"/>
      <c r="J692" s="108"/>
      <c r="K692" s="109"/>
    </row>
    <row r="693" spans="3:11">
      <c r="C693" s="13"/>
      <c r="J693" s="108"/>
      <c r="K693" s="109"/>
    </row>
    <row r="694" spans="3:11">
      <c r="C694" s="13"/>
      <c r="J694" s="108"/>
      <c r="K694" s="109"/>
    </row>
    <row r="695" spans="3:11">
      <c r="C695" s="13"/>
      <c r="J695" s="108"/>
      <c r="K695" s="109"/>
    </row>
    <row r="696" spans="3:11">
      <c r="C696" s="13"/>
      <c r="J696" s="108"/>
      <c r="K696" s="109"/>
    </row>
    <row r="697" spans="3:11">
      <c r="C697" s="13"/>
      <c r="J697" s="108"/>
      <c r="K697" s="109"/>
    </row>
    <row r="698" spans="3:11">
      <c r="C698" s="13"/>
      <c r="J698" s="108"/>
      <c r="K698" s="109"/>
    </row>
    <row r="699" spans="3:11">
      <c r="C699" s="13"/>
      <c r="J699" s="108"/>
      <c r="K699" s="109"/>
    </row>
    <row r="700" spans="3:11">
      <c r="C700" s="13"/>
      <c r="J700" s="108"/>
      <c r="K700" s="109"/>
    </row>
    <row r="701" spans="3:11">
      <c r="C701" s="13"/>
      <c r="J701" s="108"/>
      <c r="K701" s="109"/>
    </row>
    <row r="702" spans="3:11">
      <c r="C702" s="13"/>
      <c r="J702" s="108"/>
      <c r="K702" s="109"/>
    </row>
    <row r="703" spans="3:11">
      <c r="C703" s="13"/>
      <c r="J703" s="108"/>
      <c r="K703" s="109"/>
    </row>
    <row r="704" spans="3:11">
      <c r="C704" s="13"/>
      <c r="J704" s="108"/>
      <c r="K704" s="109"/>
    </row>
    <row r="705" spans="3:11">
      <c r="C705" s="13"/>
      <c r="J705" s="108"/>
      <c r="K705" s="109"/>
    </row>
    <row r="706" spans="3:11">
      <c r="C706" s="13"/>
      <c r="J706" s="108"/>
      <c r="K706" s="109"/>
    </row>
    <row r="707" spans="3:11">
      <c r="C707" s="13"/>
      <c r="J707" s="108"/>
      <c r="K707" s="109"/>
    </row>
    <row r="708" spans="3:11">
      <c r="C708" s="13"/>
      <c r="J708" s="108"/>
      <c r="K708" s="109"/>
    </row>
    <row r="709" spans="3:11">
      <c r="C709" s="13"/>
      <c r="J709" s="108"/>
      <c r="K709" s="109"/>
    </row>
    <row r="710" spans="3:11">
      <c r="C710" s="13"/>
      <c r="J710" s="108"/>
      <c r="K710" s="109"/>
    </row>
    <row r="711" spans="3:11">
      <c r="C711" s="13"/>
      <c r="J711" s="108"/>
      <c r="K711" s="109"/>
    </row>
    <row r="712" spans="3:11">
      <c r="C712" s="13"/>
      <c r="J712" s="108"/>
      <c r="K712" s="109"/>
    </row>
    <row r="713" spans="3:11">
      <c r="C713" s="13"/>
      <c r="J713" s="108"/>
      <c r="K713" s="109"/>
    </row>
    <row r="714" spans="3:11">
      <c r="C714" s="13"/>
      <c r="J714" s="108"/>
      <c r="K714" s="109"/>
    </row>
    <row r="715" spans="3:11">
      <c r="C715" s="13"/>
      <c r="J715" s="108"/>
      <c r="K715" s="109"/>
    </row>
    <row r="716" spans="3:11">
      <c r="C716" s="13"/>
      <c r="J716" s="108"/>
      <c r="K716" s="109"/>
    </row>
    <row r="717" spans="3:11">
      <c r="C717" s="13"/>
      <c r="J717" s="108"/>
      <c r="K717" s="109"/>
    </row>
    <row r="718" spans="3:11">
      <c r="C718" s="13"/>
      <c r="J718" s="108"/>
      <c r="K718" s="109"/>
    </row>
    <row r="719" spans="3:11">
      <c r="C719" s="13"/>
      <c r="J719" s="108"/>
      <c r="K719" s="109"/>
    </row>
    <row r="720" spans="3:11">
      <c r="C720" s="13"/>
      <c r="J720" s="108"/>
      <c r="K720" s="109"/>
    </row>
    <row r="721" spans="3:11">
      <c r="C721" s="13"/>
      <c r="J721" s="108"/>
      <c r="K721" s="109"/>
    </row>
    <row r="722" spans="3:11">
      <c r="C722" s="13"/>
      <c r="J722" s="108"/>
      <c r="K722" s="109"/>
    </row>
    <row r="723" spans="3:11">
      <c r="C723" s="13"/>
      <c r="J723" s="108"/>
      <c r="K723" s="109"/>
    </row>
    <row r="724" spans="3:11">
      <c r="C724" s="13"/>
      <c r="J724" s="108"/>
      <c r="K724" s="109"/>
    </row>
    <row r="725" spans="3:11">
      <c r="C725" s="13"/>
      <c r="J725" s="108"/>
      <c r="K725" s="109"/>
    </row>
    <row r="726" spans="3:11">
      <c r="C726" s="13"/>
      <c r="J726" s="108"/>
      <c r="K726" s="109"/>
    </row>
    <row r="727" spans="3:11">
      <c r="C727" s="13"/>
      <c r="J727" s="108"/>
      <c r="K727" s="109"/>
    </row>
    <row r="728" spans="3:11">
      <c r="C728" s="13"/>
      <c r="J728" s="108"/>
      <c r="K728" s="109"/>
    </row>
    <row r="729" spans="3:11">
      <c r="C729" s="13"/>
      <c r="J729" s="108"/>
      <c r="K729" s="109"/>
    </row>
    <row r="730" spans="3:11">
      <c r="C730" s="13"/>
      <c r="J730" s="108"/>
      <c r="K730" s="109"/>
    </row>
    <row r="731" spans="3:11">
      <c r="C731" s="13"/>
      <c r="J731" s="108"/>
      <c r="K731" s="109"/>
    </row>
    <row r="732" spans="3:11">
      <c r="C732" s="13"/>
      <c r="J732" s="108"/>
      <c r="K732" s="109"/>
    </row>
    <row r="733" spans="3:11">
      <c r="C733" s="13"/>
      <c r="J733" s="108"/>
      <c r="K733" s="109"/>
    </row>
    <row r="734" spans="3:11">
      <c r="C734" s="13"/>
      <c r="J734" s="108"/>
      <c r="K734" s="109"/>
    </row>
    <row r="735" spans="3:11">
      <c r="C735" s="13"/>
      <c r="J735" s="108"/>
      <c r="K735" s="109"/>
    </row>
    <row r="736" spans="3:11">
      <c r="C736" s="13"/>
      <c r="J736" s="108"/>
      <c r="K736" s="109"/>
    </row>
    <row r="737" spans="3:11">
      <c r="C737" s="13"/>
      <c r="J737" s="108"/>
      <c r="K737" s="109"/>
    </row>
    <row r="738" spans="3:11">
      <c r="C738" s="13"/>
      <c r="J738" s="108"/>
      <c r="K738" s="109"/>
    </row>
    <row r="739" spans="3:11">
      <c r="C739" s="13"/>
      <c r="J739" s="108"/>
      <c r="K739" s="109"/>
    </row>
    <row r="740" spans="3:11">
      <c r="C740" s="13"/>
      <c r="J740" s="108"/>
      <c r="K740" s="109"/>
    </row>
    <row r="741" spans="3:11">
      <c r="C741" s="13"/>
      <c r="J741" s="108"/>
      <c r="K741" s="109"/>
    </row>
    <row r="742" spans="3:11">
      <c r="C742" s="13"/>
      <c r="J742" s="108"/>
      <c r="K742" s="109"/>
    </row>
    <row r="743" spans="3:11">
      <c r="C743" s="13"/>
      <c r="J743" s="108"/>
      <c r="K743" s="109"/>
    </row>
    <row r="744" spans="3:11">
      <c r="C744" s="13"/>
      <c r="J744" s="108"/>
      <c r="K744" s="109"/>
    </row>
    <row r="745" spans="3:11">
      <c r="C745" s="13"/>
      <c r="J745" s="108"/>
      <c r="K745" s="109"/>
    </row>
    <row r="746" spans="3:11">
      <c r="C746" s="13"/>
      <c r="J746" s="108"/>
      <c r="K746" s="109"/>
    </row>
    <row r="747" spans="3:11">
      <c r="C747" s="13"/>
      <c r="J747" s="108"/>
      <c r="K747" s="109"/>
    </row>
    <row r="748" spans="3:11">
      <c r="C748" s="13"/>
      <c r="J748" s="108"/>
      <c r="K748" s="109"/>
    </row>
    <row r="749" spans="3:11">
      <c r="C749" s="13"/>
      <c r="J749" s="108"/>
      <c r="K749" s="109"/>
    </row>
    <row r="750" spans="3:11">
      <c r="C750" s="13"/>
      <c r="J750" s="108"/>
      <c r="K750" s="109"/>
    </row>
    <row r="751" spans="3:11">
      <c r="C751" s="13"/>
      <c r="J751" s="108"/>
      <c r="K751" s="109"/>
    </row>
    <row r="752" spans="3:11">
      <c r="C752" s="13"/>
      <c r="J752" s="108"/>
      <c r="K752" s="109"/>
    </row>
    <row r="753" spans="3:11">
      <c r="C753" s="13"/>
      <c r="J753" s="108"/>
      <c r="K753" s="109"/>
    </row>
    <row r="754" spans="3:11">
      <c r="C754" s="13"/>
      <c r="J754" s="108"/>
      <c r="K754" s="109"/>
    </row>
    <row r="755" spans="3:11">
      <c r="C755" s="13"/>
      <c r="J755" s="108"/>
      <c r="K755" s="109"/>
    </row>
    <row r="756" spans="3:11">
      <c r="C756" s="13"/>
      <c r="J756" s="108"/>
      <c r="K756" s="109"/>
    </row>
    <row r="757" spans="3:11">
      <c r="C757" s="13"/>
      <c r="J757" s="108"/>
      <c r="K757" s="109"/>
    </row>
    <row r="758" spans="3:11">
      <c r="C758" s="13"/>
      <c r="J758" s="108"/>
      <c r="K758" s="109"/>
    </row>
    <row r="759" spans="3:11">
      <c r="C759" s="13"/>
      <c r="J759" s="108"/>
      <c r="K759" s="109"/>
    </row>
    <row r="760" spans="3:11">
      <c r="C760" s="13"/>
      <c r="J760" s="108"/>
      <c r="K760" s="109"/>
    </row>
    <row r="761" spans="3:11">
      <c r="C761" s="13"/>
      <c r="J761" s="108"/>
      <c r="K761" s="109"/>
    </row>
    <row r="762" spans="3:11">
      <c r="C762" s="13"/>
      <c r="J762" s="108"/>
      <c r="K762" s="109"/>
    </row>
    <row r="763" spans="3:11">
      <c r="C763" s="13"/>
      <c r="J763" s="108"/>
      <c r="K763" s="109"/>
    </row>
    <row r="764" spans="3:11">
      <c r="C764" s="13"/>
      <c r="J764" s="108"/>
      <c r="K764" s="109"/>
    </row>
    <row r="765" spans="3:11">
      <c r="C765" s="13"/>
      <c r="J765" s="108"/>
      <c r="K765" s="109"/>
    </row>
    <row r="766" spans="3:11">
      <c r="C766" s="13"/>
      <c r="J766" s="108"/>
      <c r="K766" s="109"/>
    </row>
    <row r="767" spans="3:11">
      <c r="C767" s="13"/>
      <c r="J767" s="108"/>
      <c r="K767" s="109"/>
    </row>
    <row r="768" spans="3:11">
      <c r="C768" s="13"/>
      <c r="J768" s="108"/>
      <c r="K768" s="109"/>
    </row>
    <row r="769" spans="3:11">
      <c r="C769" s="13"/>
      <c r="J769" s="108"/>
      <c r="K769" s="109"/>
    </row>
    <row r="770" spans="3:11">
      <c r="C770" s="13"/>
      <c r="J770" s="108"/>
      <c r="K770" s="109"/>
    </row>
    <row r="771" spans="3:11">
      <c r="C771" s="13"/>
      <c r="J771" s="108"/>
      <c r="K771" s="109"/>
    </row>
    <row r="772" spans="3:11">
      <c r="C772" s="13"/>
      <c r="J772" s="108"/>
      <c r="K772" s="109"/>
    </row>
    <row r="773" spans="3:11">
      <c r="C773" s="13"/>
      <c r="J773" s="108"/>
      <c r="K773" s="109"/>
    </row>
    <row r="774" spans="3:11">
      <c r="C774" s="13"/>
      <c r="J774" s="108"/>
      <c r="K774" s="109"/>
    </row>
    <row r="775" spans="3:11">
      <c r="C775" s="13"/>
      <c r="J775" s="108"/>
      <c r="K775" s="109"/>
    </row>
    <row r="776" spans="3:11">
      <c r="C776" s="13"/>
      <c r="J776" s="108"/>
      <c r="K776" s="109"/>
    </row>
    <row r="777" spans="3:11">
      <c r="C777" s="13"/>
      <c r="J777" s="108"/>
      <c r="K777" s="109"/>
    </row>
    <row r="778" spans="3:11">
      <c r="C778" s="13"/>
      <c r="J778" s="108"/>
      <c r="K778" s="109"/>
    </row>
    <row r="779" spans="3:11">
      <c r="C779" s="13"/>
      <c r="J779" s="108"/>
      <c r="K779" s="109"/>
    </row>
    <row r="780" spans="3:11">
      <c r="C780" s="13"/>
      <c r="J780" s="108"/>
      <c r="K780" s="109"/>
    </row>
    <row r="781" spans="3:11">
      <c r="C781" s="13"/>
      <c r="J781" s="108"/>
      <c r="K781" s="109"/>
    </row>
    <row r="782" spans="3:11">
      <c r="C782" s="13"/>
      <c r="J782" s="108"/>
      <c r="K782" s="109"/>
    </row>
    <row r="783" spans="3:11">
      <c r="C783" s="13"/>
      <c r="J783" s="108"/>
      <c r="K783" s="109"/>
    </row>
    <row r="784" spans="3:11">
      <c r="C784" s="13"/>
      <c r="J784" s="108"/>
      <c r="K784" s="109"/>
    </row>
    <row r="785" spans="3:11">
      <c r="C785" s="13"/>
      <c r="J785" s="108"/>
      <c r="K785" s="109"/>
    </row>
    <row r="786" spans="3:11">
      <c r="C786" s="13"/>
      <c r="J786" s="108"/>
      <c r="K786" s="109"/>
    </row>
    <row r="787" spans="3:11">
      <c r="C787" s="13"/>
      <c r="J787" s="108"/>
      <c r="K787" s="109"/>
    </row>
    <row r="788" spans="3:11">
      <c r="C788" s="13"/>
      <c r="J788" s="108"/>
      <c r="K788" s="109"/>
    </row>
    <row r="789" spans="3:11">
      <c r="C789" s="13"/>
      <c r="J789" s="108"/>
      <c r="K789" s="109"/>
    </row>
    <row r="790" spans="3:11">
      <c r="C790" s="13"/>
      <c r="J790" s="108"/>
      <c r="K790" s="109"/>
    </row>
    <row r="791" spans="3:11">
      <c r="C791" s="13"/>
      <c r="J791" s="108"/>
      <c r="K791" s="109"/>
    </row>
    <row r="792" spans="3:11">
      <c r="C792" s="13"/>
      <c r="J792" s="108"/>
      <c r="K792" s="109"/>
    </row>
    <row r="793" spans="3:11">
      <c r="C793" s="13"/>
      <c r="J793" s="108"/>
      <c r="K793" s="109"/>
    </row>
    <row r="794" spans="3:11">
      <c r="C794" s="13"/>
      <c r="J794" s="108"/>
      <c r="K794" s="109"/>
    </row>
    <row r="795" spans="3:11">
      <c r="C795" s="13"/>
      <c r="J795" s="108"/>
      <c r="K795" s="109"/>
    </row>
    <row r="796" spans="3:11">
      <c r="C796" s="13"/>
      <c r="J796" s="108"/>
      <c r="K796" s="109"/>
    </row>
    <row r="797" spans="3:11">
      <c r="C797" s="13"/>
      <c r="J797" s="108"/>
      <c r="K797" s="109"/>
    </row>
    <row r="798" spans="3:11">
      <c r="C798" s="13"/>
      <c r="J798" s="108"/>
      <c r="K798" s="109"/>
    </row>
    <row r="799" spans="3:11">
      <c r="C799" s="13"/>
      <c r="J799" s="108"/>
      <c r="K799" s="109"/>
    </row>
    <row r="800" spans="3:11">
      <c r="C800" s="13"/>
      <c r="J800" s="108"/>
      <c r="K800" s="109"/>
    </row>
    <row r="801" spans="3:11">
      <c r="C801" s="13"/>
      <c r="J801" s="108"/>
      <c r="K801" s="109"/>
    </row>
    <row r="802" spans="3:11">
      <c r="C802" s="13"/>
      <c r="J802" s="108"/>
      <c r="K802" s="109"/>
    </row>
    <row r="803" spans="3:11">
      <c r="C803" s="13"/>
      <c r="J803" s="108"/>
      <c r="K803" s="109"/>
    </row>
    <row r="804" spans="3:11">
      <c r="C804" s="13"/>
      <c r="J804" s="108"/>
      <c r="K804" s="109"/>
    </row>
    <row r="805" spans="3:11">
      <c r="C805" s="13"/>
      <c r="J805" s="108"/>
      <c r="K805" s="109"/>
    </row>
    <row r="806" spans="3:11">
      <c r="C806" s="13"/>
      <c r="J806" s="108"/>
      <c r="K806" s="109"/>
    </row>
    <row r="807" spans="3:11">
      <c r="C807" s="13"/>
      <c r="J807" s="108"/>
      <c r="K807" s="109"/>
    </row>
    <row r="808" spans="3:11">
      <c r="C808" s="13"/>
      <c r="J808" s="108"/>
      <c r="K808" s="109"/>
    </row>
    <row r="809" spans="3:11">
      <c r="C809" s="13"/>
      <c r="J809" s="108"/>
      <c r="K809" s="109"/>
    </row>
    <row r="810" spans="3:11">
      <c r="C810" s="13"/>
      <c r="J810" s="108"/>
      <c r="K810" s="109"/>
    </row>
    <row r="811" spans="3:11">
      <c r="C811" s="13"/>
      <c r="J811" s="108"/>
      <c r="K811" s="109"/>
    </row>
    <row r="812" spans="3:11">
      <c r="C812" s="13"/>
      <c r="J812" s="108"/>
      <c r="K812" s="109"/>
    </row>
    <row r="813" spans="3:11">
      <c r="C813" s="13"/>
      <c r="J813" s="108"/>
      <c r="K813" s="109"/>
    </row>
    <row r="814" spans="3:11">
      <c r="C814" s="13"/>
      <c r="J814" s="108"/>
      <c r="K814" s="109"/>
    </row>
    <row r="815" spans="3:11">
      <c r="C815" s="13"/>
      <c r="J815" s="108"/>
      <c r="K815" s="109"/>
    </row>
    <row r="816" spans="3:11">
      <c r="C816" s="13"/>
      <c r="J816" s="108"/>
      <c r="K816" s="109"/>
    </row>
    <row r="817" spans="3:11">
      <c r="C817" s="13"/>
      <c r="J817" s="108"/>
      <c r="K817" s="109"/>
    </row>
    <row r="818" spans="3:11">
      <c r="C818" s="13"/>
      <c r="J818" s="108"/>
      <c r="K818" s="109"/>
    </row>
    <row r="819" spans="3:11">
      <c r="C819" s="13"/>
      <c r="J819" s="108"/>
      <c r="K819" s="109"/>
    </row>
    <row r="820" spans="3:11">
      <c r="C820" s="13"/>
      <c r="J820" s="108"/>
      <c r="K820" s="109"/>
    </row>
    <row r="821" spans="3:11">
      <c r="C821" s="13"/>
      <c r="J821" s="108"/>
      <c r="K821" s="109"/>
    </row>
    <row r="822" spans="3:11">
      <c r="C822" s="13"/>
      <c r="J822" s="108"/>
      <c r="K822" s="109"/>
    </row>
    <row r="823" spans="3:11">
      <c r="C823" s="13"/>
      <c r="J823" s="108"/>
      <c r="K823" s="109"/>
    </row>
    <row r="824" spans="3:11">
      <c r="C824" s="13"/>
      <c r="J824" s="108"/>
      <c r="K824" s="109"/>
    </row>
    <row r="825" spans="3:11">
      <c r="C825" s="13"/>
      <c r="J825" s="108"/>
      <c r="K825" s="109"/>
    </row>
    <row r="826" spans="3:11">
      <c r="C826" s="13"/>
      <c r="J826" s="108"/>
      <c r="K826" s="109"/>
    </row>
    <row r="827" spans="3:11">
      <c r="C827" s="13"/>
      <c r="J827" s="108"/>
      <c r="K827" s="109"/>
    </row>
    <row r="828" spans="3:11">
      <c r="C828" s="13"/>
      <c r="J828" s="108"/>
      <c r="K828" s="109"/>
    </row>
    <row r="829" spans="3:11">
      <c r="C829" s="13"/>
      <c r="J829" s="108"/>
      <c r="K829" s="109"/>
    </row>
    <row r="830" spans="3:11">
      <c r="C830" s="13"/>
      <c r="J830" s="108"/>
      <c r="K830" s="109"/>
    </row>
    <row r="831" spans="3:11">
      <c r="C831" s="13"/>
      <c r="J831" s="108"/>
      <c r="K831" s="109"/>
    </row>
    <row r="832" spans="3:11">
      <c r="C832" s="13"/>
      <c r="J832" s="108"/>
      <c r="K832" s="109"/>
    </row>
    <row r="833" spans="3:11">
      <c r="C833" s="13"/>
      <c r="J833" s="108"/>
      <c r="K833" s="109"/>
    </row>
    <row r="834" spans="3:11">
      <c r="C834" s="13"/>
      <c r="J834" s="108"/>
      <c r="K834" s="109"/>
    </row>
    <row r="835" spans="3:11">
      <c r="C835" s="13"/>
      <c r="J835" s="108"/>
      <c r="K835" s="109"/>
    </row>
    <row r="836" spans="3:11">
      <c r="C836" s="13"/>
      <c r="J836" s="108"/>
      <c r="K836" s="109"/>
    </row>
    <row r="837" spans="3:11">
      <c r="C837" s="13"/>
      <c r="J837" s="108"/>
      <c r="K837" s="109"/>
    </row>
    <row r="838" spans="3:11">
      <c r="C838" s="13"/>
      <c r="J838" s="108"/>
      <c r="K838" s="109"/>
    </row>
    <row r="839" spans="3:11">
      <c r="C839" s="13"/>
      <c r="J839" s="108"/>
      <c r="K839" s="109"/>
    </row>
    <row r="840" spans="3:11">
      <c r="C840" s="13"/>
      <c r="J840" s="108"/>
      <c r="K840" s="109"/>
    </row>
    <row r="841" spans="3:11">
      <c r="C841" s="13"/>
      <c r="J841" s="108"/>
      <c r="K841" s="109"/>
    </row>
    <row r="842" spans="3:11">
      <c r="C842" s="13"/>
      <c r="J842" s="108"/>
      <c r="K842" s="109"/>
    </row>
    <row r="843" spans="3:11">
      <c r="C843" s="13"/>
      <c r="J843" s="108"/>
      <c r="K843" s="109"/>
    </row>
    <row r="844" spans="3:11">
      <c r="C844" s="13"/>
      <c r="J844" s="108"/>
      <c r="K844" s="109"/>
    </row>
    <row r="845" spans="3:11">
      <c r="C845" s="13"/>
      <c r="J845" s="108"/>
      <c r="K845" s="109"/>
    </row>
    <row r="846" spans="3:11">
      <c r="C846" s="13"/>
      <c r="J846" s="108"/>
      <c r="K846" s="109"/>
    </row>
    <row r="847" spans="3:11">
      <c r="C847" s="13"/>
      <c r="J847" s="108"/>
      <c r="K847" s="109"/>
    </row>
    <row r="848" spans="3:11">
      <c r="C848" s="13"/>
      <c r="J848" s="108"/>
      <c r="K848" s="109"/>
    </row>
    <row r="849" spans="3:11">
      <c r="C849" s="13"/>
      <c r="J849" s="108"/>
      <c r="K849" s="109"/>
    </row>
    <row r="850" spans="3:11">
      <c r="C850" s="13"/>
      <c r="J850" s="108"/>
      <c r="K850" s="109"/>
    </row>
    <row r="851" spans="3:11">
      <c r="C851" s="13"/>
      <c r="J851" s="108"/>
      <c r="K851" s="109"/>
    </row>
    <row r="852" spans="3:11">
      <c r="C852" s="13"/>
      <c r="J852" s="108"/>
      <c r="K852" s="109"/>
    </row>
    <row r="853" spans="3:11">
      <c r="C853" s="13"/>
      <c r="J853" s="108"/>
      <c r="K853" s="109"/>
    </row>
    <row r="854" spans="3:11">
      <c r="C854" s="13"/>
      <c r="J854" s="108"/>
      <c r="K854" s="109"/>
    </row>
    <row r="855" spans="3:11">
      <c r="C855" s="13"/>
      <c r="J855" s="108"/>
      <c r="K855" s="109"/>
    </row>
    <row r="856" spans="3:11">
      <c r="C856" s="13"/>
      <c r="J856" s="108"/>
      <c r="K856" s="109"/>
    </row>
    <row r="857" spans="3:11">
      <c r="C857" s="13"/>
      <c r="J857" s="108"/>
      <c r="K857" s="109"/>
    </row>
    <row r="858" spans="3:11">
      <c r="C858" s="13"/>
      <c r="J858" s="108"/>
      <c r="K858" s="109"/>
    </row>
    <row r="859" spans="3:11">
      <c r="C859" s="13"/>
      <c r="J859" s="108"/>
      <c r="K859" s="109"/>
    </row>
    <row r="860" spans="3:11">
      <c r="C860" s="13"/>
      <c r="J860" s="108"/>
      <c r="K860" s="109"/>
    </row>
    <row r="861" spans="3:11">
      <c r="C861" s="13"/>
      <c r="J861" s="108"/>
      <c r="K861" s="109"/>
    </row>
    <row r="862" spans="3:11">
      <c r="C862" s="13"/>
      <c r="J862" s="108"/>
      <c r="K862" s="109"/>
    </row>
    <row r="863" spans="3:11">
      <c r="C863" s="13"/>
      <c r="J863" s="108"/>
      <c r="K863" s="109"/>
    </row>
    <row r="864" spans="3:11">
      <c r="C864" s="13"/>
      <c r="J864" s="108"/>
      <c r="K864" s="109"/>
    </row>
    <row r="865" spans="3:11">
      <c r="C865" s="13"/>
      <c r="J865" s="108"/>
      <c r="K865" s="109"/>
    </row>
    <row r="866" spans="3:11">
      <c r="C866" s="13"/>
      <c r="J866" s="108"/>
      <c r="K866" s="109"/>
    </row>
    <row r="867" spans="3:11">
      <c r="C867" s="13"/>
      <c r="J867" s="108"/>
      <c r="K867" s="109"/>
    </row>
    <row r="868" spans="3:11">
      <c r="C868" s="13"/>
      <c r="J868" s="108"/>
      <c r="K868" s="109"/>
    </row>
    <row r="869" spans="3:11">
      <c r="C869" s="13"/>
      <c r="J869" s="108"/>
      <c r="K869" s="109"/>
    </row>
    <row r="870" spans="3:11">
      <c r="C870" s="13"/>
      <c r="J870" s="108"/>
      <c r="K870" s="109"/>
    </row>
    <row r="871" spans="3:11">
      <c r="C871" s="13"/>
      <c r="J871" s="108"/>
      <c r="K871" s="109"/>
    </row>
    <row r="872" spans="3:11">
      <c r="C872" s="13"/>
      <c r="J872" s="108"/>
      <c r="K872" s="109"/>
    </row>
    <row r="873" spans="3:11">
      <c r="C873" s="13"/>
      <c r="J873" s="108"/>
      <c r="K873" s="109"/>
    </row>
    <row r="874" spans="3:11">
      <c r="C874" s="13"/>
      <c r="J874" s="108"/>
      <c r="K874" s="109"/>
    </row>
    <row r="875" spans="3:11">
      <c r="C875" s="13"/>
      <c r="J875" s="108"/>
      <c r="K875" s="109"/>
    </row>
    <row r="876" spans="3:11">
      <c r="C876" s="13"/>
      <c r="J876" s="108"/>
      <c r="K876" s="109"/>
    </row>
    <row r="877" spans="3:11">
      <c r="C877" s="13"/>
      <c r="J877" s="108"/>
      <c r="K877" s="109"/>
    </row>
    <row r="878" spans="3:11">
      <c r="C878" s="13"/>
      <c r="J878" s="108"/>
      <c r="K878" s="109"/>
    </row>
    <row r="879" spans="3:11">
      <c r="C879" s="13"/>
      <c r="J879" s="108"/>
      <c r="K879" s="109"/>
    </row>
    <row r="880" spans="3:11">
      <c r="C880" s="13"/>
      <c r="J880" s="108"/>
      <c r="K880" s="109"/>
    </row>
    <row r="881" spans="3:11">
      <c r="C881" s="13"/>
      <c r="J881" s="108"/>
      <c r="K881" s="109"/>
    </row>
    <row r="882" spans="3:11">
      <c r="C882" s="13"/>
      <c r="J882" s="108"/>
      <c r="K882" s="109"/>
    </row>
    <row r="883" spans="3:11">
      <c r="C883" s="13"/>
      <c r="J883" s="108"/>
      <c r="K883" s="109"/>
    </row>
    <row r="884" spans="3:11">
      <c r="C884" s="13"/>
      <c r="J884" s="108"/>
      <c r="K884" s="109"/>
    </row>
    <row r="885" spans="3:11">
      <c r="C885" s="13"/>
      <c r="J885" s="108"/>
      <c r="K885" s="109"/>
    </row>
    <row r="886" spans="3:11">
      <c r="C886" s="13"/>
      <c r="J886" s="108"/>
      <c r="K886" s="109"/>
    </row>
    <row r="887" spans="3:11">
      <c r="C887" s="13"/>
      <c r="J887" s="108"/>
      <c r="K887" s="109"/>
    </row>
    <row r="888" spans="3:11">
      <c r="C888" s="13"/>
      <c r="J888" s="108"/>
      <c r="K888" s="109"/>
    </row>
    <row r="889" spans="3:11">
      <c r="C889" s="13"/>
      <c r="J889" s="108"/>
      <c r="K889" s="109"/>
    </row>
    <row r="890" spans="3:11">
      <c r="C890" s="13"/>
      <c r="J890" s="108"/>
      <c r="K890" s="109"/>
    </row>
    <row r="891" spans="3:11">
      <c r="C891" s="13"/>
      <c r="J891" s="108"/>
      <c r="K891" s="109"/>
    </row>
    <row r="892" spans="3:11">
      <c r="C892" s="13"/>
      <c r="J892" s="108"/>
      <c r="K892" s="109"/>
    </row>
    <row r="893" spans="3:11">
      <c r="C893" s="13"/>
      <c r="J893" s="108"/>
      <c r="K893" s="109"/>
    </row>
    <row r="894" spans="3:11">
      <c r="C894" s="13"/>
      <c r="J894" s="108"/>
      <c r="K894" s="109"/>
    </row>
    <row r="895" spans="3:11">
      <c r="C895" s="13"/>
      <c r="J895" s="108"/>
      <c r="K895" s="109"/>
    </row>
    <row r="896" spans="3:11">
      <c r="C896" s="13"/>
      <c r="J896" s="108"/>
      <c r="K896" s="109"/>
    </row>
    <row r="897" spans="3:11">
      <c r="C897" s="13"/>
      <c r="J897" s="108"/>
      <c r="K897" s="109"/>
    </row>
    <row r="898" spans="3:11">
      <c r="C898" s="13"/>
      <c r="J898" s="108"/>
      <c r="K898" s="109"/>
    </row>
    <row r="899" spans="3:11">
      <c r="C899" s="13"/>
      <c r="J899" s="108"/>
      <c r="K899" s="109"/>
    </row>
    <row r="900" spans="3:11">
      <c r="C900" s="13"/>
      <c r="J900" s="108"/>
      <c r="K900" s="109"/>
    </row>
    <row r="901" spans="3:11">
      <c r="C901" s="13"/>
      <c r="J901" s="108"/>
      <c r="K901" s="109"/>
    </row>
    <row r="902" spans="3:11">
      <c r="C902" s="13"/>
      <c r="J902" s="108"/>
      <c r="K902" s="109"/>
    </row>
    <row r="903" spans="3:11">
      <c r="C903" s="13"/>
      <c r="J903" s="108"/>
      <c r="K903" s="109"/>
    </row>
    <row r="904" spans="3:11">
      <c r="C904" s="13"/>
      <c r="J904" s="108"/>
      <c r="K904" s="109"/>
    </row>
    <row r="905" spans="3:11">
      <c r="C905" s="13"/>
      <c r="J905" s="108"/>
      <c r="K905" s="109"/>
    </row>
    <row r="906" spans="3:11">
      <c r="C906" s="13"/>
      <c r="J906" s="108"/>
      <c r="K906" s="109"/>
    </row>
    <row r="907" spans="3:11">
      <c r="C907" s="13"/>
      <c r="J907" s="108"/>
      <c r="K907" s="109"/>
    </row>
    <row r="908" spans="3:11">
      <c r="C908" s="13"/>
      <c r="J908" s="108"/>
      <c r="K908" s="109"/>
    </row>
    <row r="909" spans="3:11">
      <c r="C909" s="13"/>
      <c r="J909" s="108"/>
      <c r="K909" s="109"/>
    </row>
    <row r="910" spans="3:11">
      <c r="C910" s="13"/>
      <c r="J910" s="108"/>
      <c r="K910" s="109"/>
    </row>
    <row r="911" spans="3:11">
      <c r="C911" s="13"/>
      <c r="J911" s="108"/>
      <c r="K911" s="109"/>
    </row>
    <row r="912" spans="3:11">
      <c r="C912" s="13"/>
      <c r="J912" s="108"/>
      <c r="K912" s="109"/>
    </row>
    <row r="913" spans="3:11">
      <c r="C913" s="13"/>
      <c r="J913" s="108"/>
      <c r="K913" s="109"/>
    </row>
    <row r="914" spans="3:11">
      <c r="C914" s="13"/>
      <c r="J914" s="108"/>
      <c r="K914" s="109"/>
    </row>
    <row r="915" spans="3:11">
      <c r="C915" s="13"/>
      <c r="J915" s="108"/>
      <c r="K915" s="109"/>
    </row>
    <row r="916" spans="3:11">
      <c r="C916" s="13"/>
      <c r="J916" s="108"/>
      <c r="K916" s="109"/>
    </row>
    <row r="917" spans="3:11">
      <c r="C917" s="13"/>
      <c r="J917" s="108"/>
      <c r="K917" s="109"/>
    </row>
    <row r="918" spans="3:11">
      <c r="C918" s="13"/>
      <c r="J918" s="108"/>
      <c r="K918" s="109"/>
    </row>
    <row r="919" spans="3:11">
      <c r="C919" s="13"/>
      <c r="J919" s="108"/>
      <c r="K919" s="109"/>
    </row>
    <row r="920" spans="3:11">
      <c r="C920" s="13"/>
      <c r="J920" s="108"/>
      <c r="K920" s="109"/>
    </row>
    <row r="921" spans="3:11">
      <c r="C921" s="13"/>
      <c r="J921" s="108"/>
      <c r="K921" s="109"/>
    </row>
    <row r="922" spans="3:11">
      <c r="C922" s="13"/>
      <c r="J922" s="108"/>
      <c r="K922" s="109"/>
    </row>
    <row r="923" spans="3:11">
      <c r="C923" s="13"/>
      <c r="J923" s="108"/>
      <c r="K923" s="109"/>
    </row>
    <row r="924" spans="3:11">
      <c r="C924" s="13"/>
      <c r="J924" s="108"/>
      <c r="K924" s="109"/>
    </row>
    <row r="925" spans="3:11">
      <c r="C925" s="13"/>
      <c r="J925" s="108"/>
      <c r="K925" s="109"/>
    </row>
    <row r="926" spans="3:11">
      <c r="C926" s="13"/>
      <c r="J926" s="108"/>
      <c r="K926" s="109"/>
    </row>
    <row r="927" spans="3:11">
      <c r="C927" s="13"/>
      <c r="J927" s="108"/>
      <c r="K927" s="109"/>
    </row>
    <row r="928" spans="3:11">
      <c r="C928" s="13"/>
      <c r="J928" s="108"/>
      <c r="K928" s="109"/>
    </row>
    <row r="929" spans="3:11">
      <c r="C929" s="13"/>
      <c r="J929" s="108"/>
      <c r="K929" s="109"/>
    </row>
    <row r="930" spans="3:11">
      <c r="C930" s="13"/>
      <c r="J930" s="108"/>
      <c r="K930" s="109"/>
    </row>
    <row r="931" spans="3:11">
      <c r="C931" s="13"/>
      <c r="J931" s="108"/>
      <c r="K931" s="109"/>
    </row>
    <row r="932" spans="3:11">
      <c r="C932" s="13"/>
      <c r="J932" s="108"/>
      <c r="K932" s="109"/>
    </row>
    <row r="933" spans="3:11">
      <c r="C933" s="13"/>
      <c r="J933" s="108"/>
      <c r="K933" s="109"/>
    </row>
    <row r="934" spans="3:11">
      <c r="C934" s="13"/>
      <c r="J934" s="108"/>
      <c r="K934" s="109"/>
    </row>
    <row r="935" spans="3:11">
      <c r="C935" s="13"/>
      <c r="J935" s="108"/>
      <c r="K935" s="109"/>
    </row>
    <row r="936" spans="3:11">
      <c r="C936" s="13"/>
      <c r="J936" s="108"/>
      <c r="K936" s="109"/>
    </row>
    <row r="937" spans="3:11">
      <c r="C937" s="13"/>
      <c r="J937" s="108"/>
      <c r="K937" s="109"/>
    </row>
    <row r="938" spans="3:11">
      <c r="C938" s="13"/>
      <c r="J938" s="108"/>
      <c r="K938" s="109"/>
    </row>
    <row r="939" spans="3:11">
      <c r="C939" s="13"/>
      <c r="J939" s="108"/>
      <c r="K939" s="109"/>
    </row>
    <row r="940" spans="3:11">
      <c r="C940" s="13"/>
      <c r="J940" s="108"/>
      <c r="K940" s="109"/>
    </row>
    <row r="941" spans="3:11">
      <c r="C941" s="13"/>
      <c r="J941" s="108"/>
      <c r="K941" s="109"/>
    </row>
    <row r="942" spans="3:11">
      <c r="C942" s="13"/>
      <c r="J942" s="108"/>
      <c r="K942" s="109"/>
    </row>
    <row r="943" spans="3:11">
      <c r="C943" s="13"/>
      <c r="J943" s="108"/>
      <c r="K943" s="109"/>
    </row>
    <row r="944" spans="3:11">
      <c r="C944" s="13"/>
      <c r="J944" s="108"/>
      <c r="K944" s="109"/>
    </row>
    <row r="945" spans="3:11">
      <c r="C945" s="13"/>
      <c r="J945" s="108"/>
      <c r="K945" s="109"/>
    </row>
    <row r="946" spans="3:11">
      <c r="C946" s="13"/>
      <c r="J946" s="108"/>
      <c r="K946" s="109"/>
    </row>
    <row r="947" spans="3:11">
      <c r="C947" s="13"/>
      <c r="J947" s="108"/>
      <c r="K947" s="109"/>
    </row>
    <row r="948" spans="3:11">
      <c r="C948" s="13"/>
      <c r="J948" s="108"/>
      <c r="K948" s="109"/>
    </row>
    <row r="949" spans="3:11">
      <c r="C949" s="13"/>
      <c r="J949" s="108"/>
      <c r="K949" s="109"/>
    </row>
    <row r="950" spans="3:11">
      <c r="C950" s="13"/>
      <c r="J950" s="108"/>
      <c r="K950" s="109"/>
    </row>
    <row r="951" spans="3:11">
      <c r="C951" s="13"/>
      <c r="J951" s="108"/>
      <c r="K951" s="109"/>
    </row>
    <row r="952" spans="3:11">
      <c r="C952" s="13"/>
      <c r="J952" s="108"/>
      <c r="K952" s="109"/>
    </row>
    <row r="953" spans="3:11">
      <c r="C953" s="13"/>
      <c r="J953" s="108"/>
      <c r="K953" s="109"/>
    </row>
    <row r="954" spans="3:11">
      <c r="C954" s="13"/>
      <c r="J954" s="108"/>
      <c r="K954" s="109"/>
    </row>
    <row r="955" spans="3:11">
      <c r="C955" s="13"/>
      <c r="J955" s="108"/>
      <c r="K955" s="109"/>
    </row>
    <row r="956" spans="3:11">
      <c r="C956" s="13"/>
      <c r="J956" s="108"/>
      <c r="K956" s="109"/>
    </row>
    <row r="957" spans="3:11">
      <c r="C957" s="13"/>
      <c r="J957" s="108"/>
      <c r="K957" s="109"/>
    </row>
    <row r="958" spans="3:11">
      <c r="C958" s="13"/>
      <c r="J958" s="108"/>
      <c r="K958" s="109"/>
    </row>
    <row r="959" spans="3:11">
      <c r="C959" s="13"/>
      <c r="J959" s="108"/>
      <c r="K959" s="109"/>
    </row>
    <row r="960" spans="3:11">
      <c r="C960" s="13"/>
      <c r="J960" s="108"/>
      <c r="K960" s="109"/>
    </row>
    <row r="961" spans="3:11">
      <c r="C961" s="13"/>
      <c r="J961" s="108"/>
      <c r="K961" s="109"/>
    </row>
    <row r="962" spans="3:11">
      <c r="C962" s="13"/>
      <c r="J962" s="108"/>
      <c r="K962" s="109"/>
    </row>
    <row r="963" spans="3:11">
      <c r="C963" s="13"/>
      <c r="J963" s="108"/>
      <c r="K963" s="109"/>
    </row>
    <row r="964" spans="3:11">
      <c r="C964" s="13"/>
      <c r="J964" s="108"/>
      <c r="K964" s="109"/>
    </row>
    <row r="965" spans="3:11">
      <c r="C965" s="13"/>
      <c r="J965" s="108"/>
      <c r="K965" s="109"/>
    </row>
    <row r="966" spans="3:11">
      <c r="C966" s="13"/>
      <c r="J966" s="108"/>
      <c r="K966" s="109"/>
    </row>
    <row r="967" spans="3:11">
      <c r="C967" s="13"/>
      <c r="J967" s="108"/>
      <c r="K967" s="109"/>
    </row>
    <row r="968" spans="3:11">
      <c r="C968" s="13"/>
      <c r="J968" s="108"/>
      <c r="K968" s="109"/>
    </row>
    <row r="969" spans="3:11">
      <c r="C969" s="13"/>
      <c r="J969" s="108"/>
      <c r="K969" s="109"/>
    </row>
    <row r="970" spans="3:11">
      <c r="C970" s="13"/>
      <c r="J970" s="108"/>
      <c r="K970" s="109"/>
    </row>
    <row r="971" spans="3:11">
      <c r="C971" s="13"/>
      <c r="J971" s="108"/>
      <c r="K971" s="109"/>
    </row>
    <row r="972" spans="3:11">
      <c r="C972" s="13"/>
      <c r="J972" s="108"/>
      <c r="K972" s="109"/>
    </row>
    <row r="973" spans="3:11">
      <c r="C973" s="13"/>
      <c r="J973" s="108"/>
      <c r="K973" s="109"/>
    </row>
    <row r="974" spans="3:11">
      <c r="C974" s="13"/>
      <c r="J974" s="108"/>
      <c r="K974" s="109"/>
    </row>
    <row r="975" spans="3:11">
      <c r="C975" s="13"/>
      <c r="J975" s="108"/>
      <c r="K975" s="109"/>
    </row>
    <row r="976" spans="3:11">
      <c r="C976" s="13"/>
      <c r="J976" s="108"/>
      <c r="K976" s="109"/>
    </row>
    <row r="977" spans="3:11">
      <c r="C977" s="13"/>
      <c r="J977" s="108"/>
      <c r="K977" s="109"/>
    </row>
    <row r="978" spans="3:11">
      <c r="C978" s="13"/>
      <c r="J978" s="108"/>
      <c r="K978" s="109"/>
    </row>
    <row r="979" spans="3:11">
      <c r="C979" s="13"/>
      <c r="J979" s="108"/>
      <c r="K979" s="109"/>
    </row>
    <row r="980" spans="3:11">
      <c r="C980" s="13"/>
      <c r="J980" s="108"/>
      <c r="K980" s="109"/>
    </row>
    <row r="981" spans="3:11">
      <c r="C981" s="13"/>
      <c r="J981" s="108"/>
      <c r="K981" s="109"/>
    </row>
    <row r="982" spans="3:11">
      <c r="C982" s="13"/>
      <c r="J982" s="108"/>
      <c r="K982" s="109"/>
    </row>
    <row r="983" spans="3:11">
      <c r="C983" s="13"/>
      <c r="J983" s="108"/>
      <c r="K983" s="109"/>
    </row>
    <row r="984" spans="3:11">
      <c r="C984" s="13"/>
      <c r="J984" s="108"/>
      <c r="K984" s="109"/>
    </row>
    <row r="985" spans="3:11">
      <c r="C985" s="13"/>
      <c r="J985" s="108"/>
      <c r="K985" s="109"/>
    </row>
    <row r="986" spans="3:11">
      <c r="C986" s="13"/>
      <c r="J986" s="108"/>
      <c r="K986" s="109"/>
    </row>
    <row r="987" spans="3:11">
      <c r="C987" s="13"/>
      <c r="J987" s="108"/>
      <c r="K987" s="109"/>
    </row>
    <row r="988" spans="3:11">
      <c r="C988" s="13"/>
      <c r="J988" s="108"/>
      <c r="K988" s="109"/>
    </row>
    <row r="989" spans="3:11">
      <c r="C989" s="13"/>
      <c r="J989" s="108"/>
      <c r="K989" s="109"/>
    </row>
    <row r="990" spans="3:11">
      <c r="C990" s="13"/>
      <c r="J990" s="108"/>
      <c r="K990" s="109"/>
    </row>
    <row r="991" spans="3:11">
      <c r="C991" s="13"/>
      <c r="J991" s="108"/>
      <c r="K991" s="109"/>
    </row>
    <row r="992" spans="3:11">
      <c r="C992" s="13"/>
      <c r="J992" s="108"/>
      <c r="K992" s="109"/>
    </row>
    <row r="993" spans="3:11">
      <c r="C993" s="13"/>
      <c r="J993" s="108"/>
      <c r="K993" s="109"/>
    </row>
    <row r="994" spans="3:11">
      <c r="C994" s="13"/>
      <c r="J994" s="108"/>
      <c r="K994" s="109"/>
    </row>
    <row r="995" spans="3:11">
      <c r="C995" s="13"/>
      <c r="J995" s="108"/>
      <c r="K995" s="109"/>
    </row>
    <row r="996" spans="3:11">
      <c r="C996" s="13"/>
      <c r="J996" s="108"/>
      <c r="K996" s="109"/>
    </row>
    <row r="997" spans="3:11">
      <c r="C997" s="13"/>
      <c r="J997" s="108"/>
      <c r="K997" s="109"/>
    </row>
    <row r="998" spans="3:11">
      <c r="C998" s="13"/>
      <c r="J998" s="108"/>
      <c r="K998" s="109"/>
    </row>
    <row r="999" spans="3:11">
      <c r="C999" s="13"/>
      <c r="J999" s="108"/>
      <c r="K999" s="109"/>
    </row>
    <row r="1000" spans="3:11">
      <c r="C1000" s="13"/>
      <c r="J1000" s="108"/>
      <c r="K1000" s="109"/>
    </row>
    <row r="1001" spans="3:11">
      <c r="C1001" s="13"/>
      <c r="J1001" s="108"/>
      <c r="K1001" s="109"/>
    </row>
    <row r="1002" spans="3:11">
      <c r="C1002" s="13"/>
      <c r="J1002" s="108"/>
      <c r="K1002" s="109"/>
    </row>
    <row r="1003" spans="3:11">
      <c r="C1003" s="13"/>
      <c r="J1003" s="108"/>
      <c r="K1003" s="109"/>
    </row>
    <row r="1004" spans="3:11">
      <c r="C1004" s="13"/>
      <c r="J1004" s="108"/>
      <c r="K1004" s="109"/>
    </row>
    <row r="1005" spans="3:11">
      <c r="C1005" s="13"/>
      <c r="J1005" s="108"/>
      <c r="K1005" s="109"/>
    </row>
    <row r="1006" spans="3:11">
      <c r="C1006" s="13"/>
      <c r="J1006" s="108"/>
      <c r="K1006" s="109"/>
    </row>
    <row r="1007" spans="3:11">
      <c r="C1007" s="13"/>
      <c r="J1007" s="108"/>
      <c r="K1007" s="109"/>
    </row>
    <row r="1008" spans="3:11">
      <c r="C1008" s="13"/>
      <c r="J1008" s="108"/>
      <c r="K1008" s="109"/>
    </row>
    <row r="1009" spans="3:11">
      <c r="C1009" s="13"/>
      <c r="J1009" s="108"/>
      <c r="K1009" s="109"/>
    </row>
    <row r="1010" spans="3:11">
      <c r="C1010" s="13"/>
      <c r="J1010" s="108"/>
      <c r="K1010" s="109"/>
    </row>
    <row r="1011" spans="3:11">
      <c r="C1011" s="13"/>
      <c r="J1011" s="108"/>
      <c r="K1011" s="109"/>
    </row>
    <row r="1012" spans="3:11">
      <c r="C1012" s="13"/>
      <c r="J1012" s="108"/>
      <c r="K1012" s="109"/>
    </row>
    <row r="1013" spans="3:11">
      <c r="C1013" s="13"/>
      <c r="J1013" s="108"/>
      <c r="K1013" s="109"/>
    </row>
    <row r="1014" spans="3:11">
      <c r="C1014" s="13"/>
      <c r="J1014" s="108"/>
      <c r="K1014" s="109"/>
    </row>
    <row r="1015" spans="3:11">
      <c r="C1015" s="13"/>
      <c r="J1015" s="108"/>
      <c r="K1015" s="109"/>
    </row>
    <row r="1016" spans="3:11">
      <c r="C1016" s="13"/>
      <c r="J1016" s="108"/>
      <c r="K1016" s="109"/>
    </row>
    <row r="1017" spans="3:11">
      <c r="C1017" s="13"/>
      <c r="J1017" s="108"/>
      <c r="K1017" s="109"/>
    </row>
    <row r="1018" spans="3:11">
      <c r="C1018" s="13"/>
      <c r="J1018" s="108"/>
      <c r="K1018" s="109"/>
    </row>
    <row r="1019" spans="3:11">
      <c r="C1019" s="13"/>
      <c r="J1019" s="108"/>
      <c r="K1019" s="109"/>
    </row>
    <row r="1020" spans="3:11">
      <c r="C1020" s="13"/>
      <c r="J1020" s="108"/>
      <c r="K1020" s="109"/>
    </row>
    <row r="1021" spans="3:11">
      <c r="C1021" s="13"/>
      <c r="J1021" s="108"/>
      <c r="K1021" s="109"/>
    </row>
    <row r="1022" spans="3:11">
      <c r="C1022" s="13"/>
      <c r="J1022" s="108"/>
      <c r="K1022" s="109"/>
    </row>
    <row r="1023" spans="3:11">
      <c r="C1023" s="13"/>
      <c r="J1023" s="108"/>
      <c r="K1023" s="109"/>
    </row>
    <row r="1024" spans="3:11">
      <c r="C1024" s="13"/>
      <c r="J1024" s="108"/>
      <c r="K1024" s="109"/>
    </row>
    <row r="1025" spans="3:11">
      <c r="C1025" s="13"/>
      <c r="J1025" s="108"/>
      <c r="K1025" s="109"/>
    </row>
    <row r="1026" spans="3:11">
      <c r="C1026" s="13"/>
      <c r="J1026" s="108"/>
      <c r="K1026" s="109"/>
    </row>
    <row r="1027" spans="3:11">
      <c r="C1027" s="13"/>
      <c r="J1027" s="108"/>
      <c r="K1027" s="109"/>
    </row>
    <row r="1028" spans="3:11">
      <c r="C1028" s="13"/>
      <c r="J1028" s="108"/>
      <c r="K1028" s="109"/>
    </row>
    <row r="1029" spans="3:11">
      <c r="C1029" s="13"/>
      <c r="J1029" s="108"/>
      <c r="K1029" s="109"/>
    </row>
    <row r="1030" spans="3:11">
      <c r="C1030" s="13"/>
      <c r="J1030" s="108"/>
      <c r="K1030" s="109"/>
    </row>
    <row r="1031" spans="3:11">
      <c r="C1031" s="13"/>
      <c r="J1031" s="108"/>
      <c r="K1031" s="109"/>
    </row>
    <row r="1032" spans="3:11">
      <c r="C1032" s="13"/>
      <c r="J1032" s="108"/>
      <c r="K1032" s="109"/>
    </row>
    <row r="1033" spans="3:11">
      <c r="C1033" s="13"/>
      <c r="J1033" s="108"/>
      <c r="K1033" s="109"/>
    </row>
    <row r="1034" spans="3:11">
      <c r="C1034" s="13"/>
      <c r="J1034" s="108"/>
      <c r="K1034" s="109"/>
    </row>
    <row r="1035" spans="3:11">
      <c r="C1035" s="13"/>
      <c r="J1035" s="108"/>
      <c r="K1035" s="109"/>
    </row>
    <row r="1036" spans="3:11">
      <c r="C1036" s="13"/>
      <c r="J1036" s="108"/>
      <c r="K1036" s="109"/>
    </row>
    <row r="1037" spans="3:11">
      <c r="C1037" s="13"/>
      <c r="J1037" s="108"/>
      <c r="K1037" s="109"/>
    </row>
    <row r="1038" spans="3:11">
      <c r="C1038" s="13"/>
      <c r="J1038" s="108"/>
      <c r="K1038" s="109"/>
    </row>
    <row r="1039" spans="3:11">
      <c r="C1039" s="13"/>
      <c r="J1039" s="108"/>
      <c r="K1039" s="109"/>
    </row>
    <row r="1040" spans="3:11">
      <c r="C1040" s="13"/>
      <c r="J1040" s="108"/>
      <c r="K1040" s="109"/>
    </row>
    <row r="1041" spans="3:11">
      <c r="C1041" s="13"/>
      <c r="J1041" s="108"/>
      <c r="K1041" s="109"/>
    </row>
    <row r="1042" spans="3:11">
      <c r="C1042" s="13"/>
      <c r="J1042" s="108"/>
      <c r="K1042" s="109"/>
    </row>
    <row r="1043" spans="3:11">
      <c r="C1043" s="13"/>
      <c r="J1043" s="108"/>
      <c r="K1043" s="109"/>
    </row>
    <row r="1044" spans="3:11">
      <c r="C1044" s="13"/>
      <c r="J1044" s="108"/>
      <c r="K1044" s="109"/>
    </row>
    <row r="1045" spans="3:11">
      <c r="C1045" s="13"/>
      <c r="J1045" s="108"/>
      <c r="K1045" s="109"/>
    </row>
    <row r="1046" spans="3:11">
      <c r="C1046" s="13"/>
      <c r="J1046" s="108"/>
      <c r="K1046" s="109"/>
    </row>
    <row r="1047" spans="3:11">
      <c r="C1047" s="13"/>
      <c r="J1047" s="108"/>
      <c r="K1047" s="109"/>
    </row>
    <row r="1048" spans="3:11">
      <c r="C1048" s="13"/>
      <c r="J1048" s="108"/>
      <c r="K1048" s="109"/>
    </row>
    <row r="1049" spans="3:11">
      <c r="C1049" s="13"/>
      <c r="J1049" s="108"/>
      <c r="K1049" s="109"/>
    </row>
    <row r="1050" spans="3:11">
      <c r="C1050" s="13"/>
      <c r="J1050" s="108"/>
      <c r="K1050" s="109"/>
    </row>
    <row r="1051" spans="3:11">
      <c r="C1051" s="13"/>
      <c r="J1051" s="108"/>
      <c r="K1051" s="109"/>
    </row>
    <row r="1052" spans="3:11">
      <c r="C1052" s="13"/>
      <c r="J1052" s="108"/>
      <c r="K1052" s="109"/>
    </row>
    <row r="1053" spans="3:11">
      <c r="C1053" s="13"/>
      <c r="J1053" s="108"/>
      <c r="K1053" s="109"/>
    </row>
    <row r="1054" spans="3:11">
      <c r="C1054" s="13"/>
      <c r="J1054" s="108"/>
      <c r="K1054" s="109"/>
    </row>
    <row r="1055" spans="3:11">
      <c r="C1055" s="13"/>
      <c r="J1055" s="108"/>
      <c r="K1055" s="109"/>
    </row>
    <row r="1056" spans="3:11">
      <c r="C1056" s="13"/>
      <c r="J1056" s="108"/>
      <c r="K1056" s="109"/>
    </row>
    <row r="1057" spans="3:11">
      <c r="C1057" s="13"/>
      <c r="J1057" s="108"/>
      <c r="K1057" s="109"/>
    </row>
    <row r="1058" spans="3:11">
      <c r="C1058" s="13"/>
      <c r="J1058" s="108"/>
      <c r="K1058" s="109"/>
    </row>
    <row r="1059" spans="3:11">
      <c r="C1059" s="13"/>
      <c r="J1059" s="108"/>
      <c r="K1059" s="109"/>
    </row>
    <row r="1060" spans="3:11">
      <c r="C1060" s="13"/>
      <c r="J1060" s="108"/>
      <c r="K1060" s="109"/>
    </row>
    <row r="1061" spans="3:11">
      <c r="C1061" s="13"/>
      <c r="J1061" s="108"/>
      <c r="K1061" s="109"/>
    </row>
    <row r="1062" spans="3:11">
      <c r="C1062" s="13"/>
      <c r="J1062" s="108"/>
      <c r="K1062" s="109"/>
    </row>
    <row r="1063" spans="3:11">
      <c r="C1063" s="13"/>
      <c r="J1063" s="108"/>
      <c r="K1063" s="109"/>
    </row>
    <row r="1064" spans="3:11">
      <c r="C1064" s="13"/>
      <c r="J1064" s="108"/>
      <c r="K1064" s="109"/>
    </row>
    <row r="1065" spans="3:11">
      <c r="C1065" s="13"/>
      <c r="J1065" s="108"/>
      <c r="K1065" s="109"/>
    </row>
    <row r="1066" spans="3:11">
      <c r="C1066" s="13"/>
      <c r="J1066" s="108"/>
      <c r="K1066" s="109"/>
    </row>
    <row r="1067" spans="3:11">
      <c r="C1067" s="13"/>
      <c r="J1067" s="108"/>
      <c r="K1067" s="109"/>
    </row>
    <row r="1068" spans="3:11">
      <c r="C1068" s="13"/>
      <c r="J1068" s="108"/>
      <c r="K1068" s="109"/>
    </row>
    <row r="1069" spans="3:11">
      <c r="C1069" s="13"/>
      <c r="J1069" s="108"/>
      <c r="K1069" s="109"/>
    </row>
    <row r="1070" spans="3:11">
      <c r="C1070" s="13"/>
      <c r="J1070" s="108"/>
      <c r="K1070" s="109"/>
    </row>
    <row r="1071" spans="3:11">
      <c r="C1071" s="13"/>
      <c r="J1071" s="108"/>
      <c r="K1071" s="109"/>
    </row>
    <row r="1072" spans="3:11">
      <c r="C1072" s="13"/>
      <c r="J1072" s="108"/>
      <c r="K1072" s="109"/>
    </row>
    <row r="1073" spans="3:11">
      <c r="C1073" s="13"/>
      <c r="J1073" s="108"/>
      <c r="K1073" s="109"/>
    </row>
    <row r="1074" spans="3:11">
      <c r="C1074" s="13"/>
      <c r="J1074" s="108"/>
      <c r="K1074" s="109"/>
    </row>
    <row r="1075" spans="3:11">
      <c r="C1075" s="13"/>
      <c r="J1075" s="108"/>
      <c r="K1075" s="109"/>
    </row>
    <row r="1076" spans="3:11">
      <c r="C1076" s="13"/>
      <c r="J1076" s="108"/>
      <c r="K1076" s="109"/>
    </row>
    <row r="1077" spans="3:11">
      <c r="C1077" s="13"/>
      <c r="J1077" s="108"/>
      <c r="K1077" s="109"/>
    </row>
    <row r="1078" spans="3:11">
      <c r="C1078" s="13"/>
      <c r="J1078" s="108"/>
      <c r="K1078" s="109"/>
    </row>
    <row r="1079" spans="3:11">
      <c r="C1079" s="13"/>
      <c r="J1079" s="108"/>
      <c r="K1079" s="109"/>
    </row>
    <row r="1080" spans="3:11">
      <c r="C1080" s="13"/>
      <c r="J1080" s="108"/>
      <c r="K1080" s="109"/>
    </row>
    <row r="1081" spans="3:11">
      <c r="C1081" s="13"/>
      <c r="J1081" s="108"/>
      <c r="K1081" s="109"/>
    </row>
    <row r="1082" spans="3:11">
      <c r="C1082" s="13"/>
      <c r="J1082" s="108"/>
      <c r="K1082" s="109"/>
    </row>
    <row r="1083" spans="3:11">
      <c r="C1083" s="13"/>
      <c r="J1083" s="108"/>
      <c r="K1083" s="109"/>
    </row>
    <row r="1084" spans="3:11">
      <c r="C1084" s="13"/>
      <c r="J1084" s="108"/>
      <c r="K1084" s="109"/>
    </row>
    <row r="1085" spans="3:11">
      <c r="C1085" s="13"/>
      <c r="J1085" s="108"/>
      <c r="K1085" s="109"/>
    </row>
    <row r="1086" spans="3:11">
      <c r="C1086" s="13"/>
      <c r="J1086" s="108"/>
      <c r="K1086" s="109"/>
    </row>
    <row r="1087" spans="3:11">
      <c r="C1087" s="13"/>
      <c r="J1087" s="108"/>
      <c r="K1087" s="109"/>
    </row>
    <row r="1088" spans="3:11">
      <c r="C1088" s="13"/>
      <c r="J1088" s="108"/>
      <c r="K1088" s="109"/>
    </row>
    <row r="1089" spans="3:11">
      <c r="C1089" s="13"/>
      <c r="J1089" s="108"/>
      <c r="K1089" s="109"/>
    </row>
    <row r="1090" spans="3:11">
      <c r="C1090" s="13"/>
      <c r="J1090" s="108"/>
      <c r="K1090" s="109"/>
    </row>
    <row r="1091" spans="3:11">
      <c r="C1091" s="13"/>
      <c r="J1091" s="108"/>
      <c r="K1091" s="109"/>
    </row>
    <row r="1092" spans="3:11">
      <c r="C1092" s="13"/>
      <c r="J1092" s="108"/>
      <c r="K1092" s="109"/>
    </row>
    <row r="1093" spans="3:11">
      <c r="C1093" s="13"/>
      <c r="J1093" s="108"/>
      <c r="K1093" s="109"/>
    </row>
    <row r="1094" spans="3:11">
      <c r="C1094" s="13"/>
      <c r="J1094" s="108"/>
      <c r="K1094" s="109"/>
    </row>
    <row r="1095" spans="3:11">
      <c r="C1095" s="13"/>
      <c r="J1095" s="108"/>
      <c r="K1095" s="109"/>
    </row>
    <row r="1096" spans="3:11">
      <c r="C1096" s="13"/>
      <c r="J1096" s="108"/>
      <c r="K1096" s="109"/>
    </row>
    <row r="1097" spans="3:11">
      <c r="C1097" s="13"/>
      <c r="J1097" s="108"/>
      <c r="K1097" s="109"/>
    </row>
    <row r="1098" spans="3:11">
      <c r="C1098" s="13"/>
      <c r="J1098" s="108"/>
      <c r="K1098" s="109"/>
    </row>
    <row r="1099" spans="3:11">
      <c r="C1099" s="13"/>
      <c r="J1099" s="108"/>
      <c r="K1099" s="109"/>
    </row>
    <row r="1100" spans="3:11">
      <c r="C1100" s="13"/>
      <c r="J1100" s="108"/>
      <c r="K1100" s="109"/>
    </row>
    <row r="1101" spans="3:11">
      <c r="C1101" s="13"/>
      <c r="J1101" s="108"/>
      <c r="K1101" s="109"/>
    </row>
    <row r="1102" spans="3:11">
      <c r="C1102" s="13"/>
      <c r="J1102" s="108"/>
      <c r="K1102" s="109"/>
    </row>
    <row r="1103" spans="3:11">
      <c r="C1103" s="13"/>
      <c r="J1103" s="108"/>
      <c r="K1103" s="109"/>
    </row>
    <row r="1104" spans="3:11">
      <c r="C1104" s="13"/>
      <c r="J1104" s="108"/>
      <c r="K1104" s="109"/>
    </row>
    <row r="1105" spans="3:11">
      <c r="C1105" s="13"/>
      <c r="J1105" s="108"/>
      <c r="K1105" s="109"/>
    </row>
    <row r="1106" spans="3:11">
      <c r="C1106" s="13"/>
      <c r="J1106" s="108"/>
      <c r="K1106" s="109"/>
    </row>
    <row r="1107" spans="3:11">
      <c r="C1107" s="13"/>
      <c r="J1107" s="108"/>
      <c r="K1107" s="109"/>
    </row>
    <row r="1108" spans="3:11">
      <c r="C1108" s="13"/>
      <c r="J1108" s="108"/>
      <c r="K1108" s="109"/>
    </row>
    <row r="1109" spans="3:11">
      <c r="C1109" s="13"/>
      <c r="J1109" s="108"/>
      <c r="K1109" s="109"/>
    </row>
    <row r="1110" spans="3:11">
      <c r="C1110" s="13"/>
      <c r="J1110" s="108"/>
      <c r="K1110" s="109"/>
    </row>
    <row r="1111" spans="3:11">
      <c r="C1111" s="13"/>
      <c r="J1111" s="108"/>
      <c r="K1111" s="109"/>
    </row>
    <row r="1112" spans="3:11">
      <c r="C1112" s="13"/>
      <c r="J1112" s="108"/>
      <c r="K1112" s="109"/>
    </row>
    <row r="1113" spans="3:11">
      <c r="C1113" s="13"/>
      <c r="J1113" s="108"/>
      <c r="K1113" s="109"/>
    </row>
    <row r="1114" spans="3:11">
      <c r="C1114" s="13"/>
      <c r="J1114" s="108"/>
      <c r="K1114" s="109"/>
    </row>
    <row r="1115" spans="3:11">
      <c r="C1115" s="13"/>
      <c r="J1115" s="108"/>
      <c r="K1115" s="109"/>
    </row>
    <row r="1116" spans="3:11">
      <c r="C1116" s="13"/>
      <c r="J1116" s="108"/>
      <c r="K1116" s="109"/>
    </row>
    <row r="1117" spans="3:11">
      <c r="C1117" s="13"/>
      <c r="J1117" s="108"/>
      <c r="K1117" s="109"/>
    </row>
    <row r="1118" spans="3:11">
      <c r="C1118" s="13"/>
      <c r="J1118" s="108"/>
      <c r="K1118" s="109"/>
    </row>
    <row r="1119" spans="3:11">
      <c r="C1119" s="13"/>
      <c r="J1119" s="108"/>
      <c r="K1119" s="109"/>
    </row>
    <row r="1120" spans="3:11">
      <c r="C1120" s="13"/>
      <c r="J1120" s="108"/>
      <c r="K1120" s="109"/>
    </row>
    <row r="1121" spans="3:11">
      <c r="C1121" s="13"/>
      <c r="J1121" s="108"/>
      <c r="K1121" s="109"/>
    </row>
    <row r="1122" spans="3:11">
      <c r="C1122" s="13"/>
      <c r="J1122" s="108"/>
      <c r="K1122" s="109"/>
    </row>
    <row r="1123" spans="3:11">
      <c r="C1123" s="13"/>
      <c r="J1123" s="108"/>
      <c r="K1123" s="109"/>
    </row>
    <row r="1124" spans="3:11">
      <c r="C1124" s="13"/>
      <c r="J1124" s="108"/>
      <c r="K1124" s="109"/>
    </row>
    <row r="1125" spans="3:11">
      <c r="C1125" s="13"/>
      <c r="J1125" s="108"/>
      <c r="K1125" s="109"/>
    </row>
    <row r="1126" spans="3:11">
      <c r="C1126" s="13"/>
      <c r="J1126" s="108"/>
      <c r="K1126" s="109"/>
    </row>
    <row r="1127" spans="3:11">
      <c r="C1127" s="13"/>
      <c r="J1127" s="108"/>
      <c r="K1127" s="109"/>
    </row>
    <row r="1128" spans="3:11">
      <c r="C1128" s="13"/>
      <c r="J1128" s="108"/>
      <c r="K1128" s="109"/>
    </row>
    <row r="1129" spans="3:11">
      <c r="C1129" s="13"/>
      <c r="J1129" s="108"/>
      <c r="K1129" s="109"/>
    </row>
    <row r="1130" spans="3:11">
      <c r="C1130" s="13"/>
      <c r="J1130" s="108"/>
      <c r="K1130" s="109"/>
    </row>
    <row r="1131" spans="3:11">
      <c r="C1131" s="13"/>
      <c r="J1131" s="108"/>
      <c r="K1131" s="109"/>
    </row>
    <row r="1132" spans="3:11">
      <c r="C1132" s="13"/>
      <c r="J1132" s="108"/>
      <c r="K1132" s="109"/>
    </row>
    <row r="1133" spans="3:11">
      <c r="C1133" s="13"/>
      <c r="J1133" s="108"/>
      <c r="K1133" s="109"/>
    </row>
    <row r="1134" spans="3:11">
      <c r="C1134" s="13"/>
      <c r="J1134" s="108"/>
      <c r="K1134" s="109"/>
    </row>
    <row r="1135" spans="3:11">
      <c r="C1135" s="13"/>
      <c r="J1135" s="108"/>
      <c r="K1135" s="109"/>
    </row>
    <row r="1136" spans="3:11">
      <c r="C1136" s="13"/>
      <c r="J1136" s="108"/>
      <c r="K1136" s="109"/>
    </row>
    <row r="1137" spans="3:11">
      <c r="C1137" s="13"/>
      <c r="J1137" s="108"/>
      <c r="K1137" s="109"/>
    </row>
    <row r="1138" spans="3:11">
      <c r="C1138" s="13"/>
      <c r="J1138" s="108"/>
      <c r="K1138" s="109"/>
    </row>
    <row r="1139" spans="3:11">
      <c r="C1139" s="13"/>
      <c r="J1139" s="108"/>
      <c r="K1139" s="109"/>
    </row>
    <row r="1140" spans="3:11">
      <c r="C1140" s="13"/>
      <c r="J1140" s="108"/>
      <c r="K1140" s="109"/>
    </row>
    <row r="1141" spans="3:11">
      <c r="C1141" s="13"/>
      <c r="J1141" s="108"/>
      <c r="K1141" s="109"/>
    </row>
    <row r="1142" spans="3:11">
      <c r="C1142" s="13"/>
      <c r="J1142" s="108"/>
      <c r="K1142" s="109"/>
    </row>
    <row r="1143" spans="3:11">
      <c r="C1143" s="13"/>
      <c r="J1143" s="108"/>
      <c r="K1143" s="109"/>
    </row>
    <row r="1144" spans="3:11">
      <c r="C1144" s="13"/>
      <c r="J1144" s="108"/>
      <c r="K1144" s="109"/>
    </row>
    <row r="1145" spans="3:11">
      <c r="C1145" s="13"/>
      <c r="J1145" s="108"/>
      <c r="K1145" s="109"/>
    </row>
    <row r="1146" spans="3:11">
      <c r="C1146" s="13"/>
      <c r="J1146" s="108"/>
      <c r="K1146" s="109"/>
    </row>
    <row r="1147" spans="3:11">
      <c r="C1147" s="13"/>
      <c r="J1147" s="108"/>
      <c r="K1147" s="109"/>
    </row>
    <row r="1148" spans="3:11">
      <c r="C1148" s="13"/>
      <c r="J1148" s="108"/>
      <c r="K1148" s="109"/>
    </row>
    <row r="1149" spans="3:11">
      <c r="C1149" s="13"/>
      <c r="J1149" s="108"/>
      <c r="K1149" s="109"/>
    </row>
    <row r="1150" spans="3:11">
      <c r="C1150" s="13"/>
      <c r="J1150" s="108"/>
      <c r="K1150" s="109"/>
    </row>
    <row r="1151" spans="3:11">
      <c r="C1151" s="13"/>
      <c r="J1151" s="108"/>
      <c r="K1151" s="109"/>
    </row>
    <row r="1152" spans="3:11">
      <c r="C1152" s="13"/>
      <c r="J1152" s="108"/>
      <c r="K1152" s="109"/>
    </row>
    <row r="1153" spans="3:11">
      <c r="C1153" s="13"/>
      <c r="J1153" s="108"/>
      <c r="K1153" s="109"/>
    </row>
    <row r="1154" spans="3:11">
      <c r="C1154" s="13"/>
      <c r="J1154" s="108"/>
      <c r="K1154" s="109"/>
    </row>
    <row r="1155" spans="3:11">
      <c r="C1155" s="13"/>
      <c r="J1155" s="108"/>
      <c r="K1155" s="109"/>
    </row>
    <row r="1156" spans="3:11">
      <c r="C1156" s="13"/>
      <c r="J1156" s="108"/>
      <c r="K1156" s="109"/>
    </row>
    <row r="1157" spans="3:11">
      <c r="C1157" s="13"/>
      <c r="J1157" s="108"/>
      <c r="K1157" s="109"/>
    </row>
    <row r="1158" spans="3:11">
      <c r="C1158" s="13"/>
      <c r="J1158" s="108"/>
      <c r="K1158" s="109"/>
    </row>
    <row r="1159" spans="3:11">
      <c r="C1159" s="13"/>
      <c r="J1159" s="108"/>
      <c r="K1159" s="109"/>
    </row>
    <row r="1160" spans="3:11">
      <c r="C1160" s="13"/>
      <c r="J1160" s="108"/>
      <c r="K1160" s="109"/>
    </row>
    <row r="1161" spans="3:11">
      <c r="C1161" s="13"/>
      <c r="J1161" s="108"/>
      <c r="K1161" s="109"/>
    </row>
    <row r="1162" spans="3:11">
      <c r="C1162" s="13"/>
      <c r="J1162" s="108"/>
      <c r="K1162" s="109"/>
    </row>
    <row r="1163" spans="3:11">
      <c r="C1163" s="13"/>
      <c r="J1163" s="108"/>
      <c r="K1163" s="109"/>
    </row>
    <row r="1164" spans="3:11">
      <c r="C1164" s="13"/>
      <c r="J1164" s="108"/>
      <c r="K1164" s="109"/>
    </row>
    <row r="1165" spans="3:11">
      <c r="C1165" s="13"/>
      <c r="J1165" s="108"/>
      <c r="K1165" s="109"/>
    </row>
    <row r="1166" spans="3:11">
      <c r="C1166" s="13"/>
      <c r="J1166" s="108"/>
      <c r="K1166" s="109"/>
    </row>
    <row r="1167" spans="3:11">
      <c r="C1167" s="13"/>
      <c r="J1167" s="108"/>
      <c r="K1167" s="109"/>
    </row>
    <row r="1168" spans="3:11">
      <c r="C1168" s="13"/>
      <c r="J1168" s="108"/>
      <c r="K1168" s="109"/>
    </row>
    <row r="1169" spans="3:11">
      <c r="C1169" s="13"/>
      <c r="J1169" s="108"/>
      <c r="K1169" s="109"/>
    </row>
    <row r="1170" spans="3:11">
      <c r="C1170" s="13"/>
      <c r="J1170" s="108"/>
      <c r="K1170" s="109"/>
    </row>
    <row r="1171" spans="3:11">
      <c r="C1171" s="13"/>
      <c r="J1171" s="108"/>
      <c r="K1171" s="109"/>
    </row>
    <row r="1172" spans="3:11">
      <c r="C1172" s="13"/>
      <c r="J1172" s="108"/>
      <c r="K1172" s="109"/>
    </row>
    <row r="1173" spans="3:11">
      <c r="C1173" s="13"/>
      <c r="J1173" s="108"/>
      <c r="K1173" s="109"/>
    </row>
    <row r="1174" spans="3:11">
      <c r="C1174" s="13"/>
      <c r="J1174" s="108"/>
      <c r="K1174" s="109"/>
    </row>
    <row r="1175" spans="3:11">
      <c r="C1175" s="13"/>
      <c r="J1175" s="108"/>
      <c r="K1175" s="109"/>
    </row>
    <row r="1176" spans="3:11">
      <c r="C1176" s="13"/>
      <c r="J1176" s="108"/>
      <c r="K1176" s="109"/>
    </row>
    <row r="1177" spans="3:11">
      <c r="C1177" s="13"/>
      <c r="J1177" s="108"/>
      <c r="K1177" s="109"/>
    </row>
    <row r="1178" spans="3:11">
      <c r="C1178" s="13"/>
      <c r="J1178" s="108"/>
      <c r="K1178" s="109"/>
    </row>
    <row r="1179" spans="3:11">
      <c r="C1179" s="13"/>
      <c r="J1179" s="108"/>
      <c r="K1179" s="109"/>
    </row>
    <row r="1180" spans="3:11">
      <c r="C1180" s="13"/>
      <c r="J1180" s="108"/>
      <c r="K1180" s="109"/>
    </row>
    <row r="1181" spans="3:11">
      <c r="C1181" s="13"/>
      <c r="J1181" s="108"/>
      <c r="K1181" s="109"/>
    </row>
    <row r="1182" spans="3:11">
      <c r="C1182" s="13"/>
      <c r="J1182" s="108"/>
      <c r="K1182" s="109"/>
    </row>
    <row r="1183" spans="3:11">
      <c r="C1183" s="13"/>
      <c r="J1183" s="108"/>
      <c r="K1183" s="109"/>
    </row>
    <row r="1184" spans="3:11">
      <c r="C1184" s="13"/>
      <c r="J1184" s="108"/>
      <c r="K1184" s="109"/>
    </row>
    <row r="1185" spans="3:11">
      <c r="C1185" s="13"/>
      <c r="J1185" s="108"/>
      <c r="K1185" s="109"/>
    </row>
    <row r="1186" spans="3:11">
      <c r="C1186" s="13"/>
      <c r="J1186" s="108"/>
      <c r="K1186" s="109"/>
    </row>
    <row r="1187" spans="3:11">
      <c r="C1187" s="13"/>
      <c r="J1187" s="108"/>
      <c r="K1187" s="109"/>
    </row>
    <row r="1188" spans="3:11">
      <c r="C1188" s="13"/>
      <c r="J1188" s="108"/>
      <c r="K1188" s="109"/>
    </row>
    <row r="1189" spans="3:11">
      <c r="C1189" s="13"/>
      <c r="J1189" s="108"/>
      <c r="K1189" s="109"/>
    </row>
    <row r="1190" spans="3:11">
      <c r="C1190" s="13"/>
      <c r="J1190" s="108"/>
      <c r="K1190" s="109"/>
    </row>
    <row r="1191" spans="3:11">
      <c r="C1191" s="13"/>
      <c r="J1191" s="108"/>
      <c r="K1191" s="109"/>
    </row>
    <row r="1192" spans="3:11">
      <c r="C1192" s="13"/>
      <c r="J1192" s="108"/>
      <c r="K1192" s="109"/>
    </row>
    <row r="1193" spans="3:11">
      <c r="C1193" s="13"/>
      <c r="J1193" s="108"/>
      <c r="K1193" s="109"/>
    </row>
    <row r="1194" spans="3:11">
      <c r="C1194" s="13"/>
      <c r="J1194" s="108"/>
      <c r="K1194" s="109"/>
    </row>
    <row r="1195" spans="3:11">
      <c r="C1195" s="13"/>
      <c r="J1195" s="108"/>
      <c r="K1195" s="109"/>
    </row>
    <row r="1196" spans="3:11">
      <c r="C1196" s="13"/>
      <c r="J1196" s="108"/>
      <c r="K1196" s="109"/>
    </row>
    <row r="1197" spans="3:11">
      <c r="C1197" s="13"/>
      <c r="J1197" s="108"/>
      <c r="K1197" s="109"/>
    </row>
    <row r="1198" spans="3:11">
      <c r="C1198" s="13"/>
      <c r="J1198" s="108"/>
      <c r="K1198" s="109"/>
    </row>
    <row r="1199" spans="3:11">
      <c r="C1199" s="13"/>
      <c r="J1199" s="108"/>
      <c r="K1199" s="109"/>
    </row>
    <row r="1200" spans="3:11">
      <c r="C1200" s="13"/>
      <c r="J1200" s="108"/>
      <c r="K1200" s="109"/>
    </row>
    <row r="1201" spans="3:11">
      <c r="C1201" s="13"/>
      <c r="J1201" s="108"/>
      <c r="K1201" s="109"/>
    </row>
    <row r="1202" spans="3:11">
      <c r="C1202" s="13"/>
      <c r="J1202" s="108"/>
      <c r="K1202" s="109"/>
    </row>
    <row r="1203" spans="3:11">
      <c r="C1203" s="13"/>
      <c r="J1203" s="108"/>
      <c r="K1203" s="109"/>
    </row>
    <row r="1204" spans="3:11">
      <c r="C1204" s="13"/>
      <c r="J1204" s="108"/>
      <c r="K1204" s="109"/>
    </row>
    <row r="1205" spans="3:11">
      <c r="C1205" s="13"/>
      <c r="J1205" s="108"/>
      <c r="K1205" s="109"/>
    </row>
    <row r="1206" spans="3:11">
      <c r="C1206" s="13"/>
      <c r="J1206" s="108"/>
      <c r="K1206" s="109"/>
    </row>
    <row r="1207" spans="3:11">
      <c r="C1207" s="13"/>
      <c r="J1207" s="108"/>
      <c r="K1207" s="109"/>
    </row>
    <row r="1208" spans="3:11">
      <c r="C1208" s="13"/>
      <c r="J1208" s="108"/>
      <c r="K1208" s="109"/>
    </row>
    <row r="1209" spans="3:11">
      <c r="C1209" s="13"/>
      <c r="J1209" s="108"/>
      <c r="K1209" s="109"/>
    </row>
    <row r="1210" spans="3:11">
      <c r="C1210" s="13"/>
      <c r="J1210" s="108"/>
      <c r="K1210" s="109"/>
    </row>
    <row r="1211" spans="3:11">
      <c r="C1211" s="13"/>
      <c r="J1211" s="108"/>
      <c r="K1211" s="109"/>
    </row>
    <row r="1212" spans="3:11">
      <c r="C1212" s="13"/>
      <c r="J1212" s="108"/>
      <c r="K1212" s="109"/>
    </row>
    <row r="1213" spans="3:11">
      <c r="C1213" s="13"/>
      <c r="J1213" s="108"/>
      <c r="K1213" s="109"/>
    </row>
    <row r="1214" spans="3:11">
      <c r="C1214" s="13"/>
      <c r="J1214" s="108"/>
      <c r="K1214" s="109"/>
    </row>
    <row r="1215" spans="3:11">
      <c r="C1215" s="13"/>
      <c r="J1215" s="108"/>
      <c r="K1215" s="109"/>
    </row>
    <row r="1216" spans="3:11">
      <c r="C1216" s="13"/>
      <c r="J1216" s="108"/>
      <c r="K1216" s="109"/>
    </row>
    <row r="1217" spans="3:11">
      <c r="C1217" s="13"/>
      <c r="J1217" s="108"/>
      <c r="K1217" s="109"/>
    </row>
    <row r="1218" spans="3:11">
      <c r="C1218" s="13"/>
      <c r="J1218" s="108"/>
      <c r="K1218" s="109"/>
    </row>
    <row r="1219" spans="3:11">
      <c r="C1219" s="13"/>
      <c r="J1219" s="108"/>
      <c r="K1219" s="109"/>
    </row>
    <row r="1220" spans="3:11">
      <c r="C1220" s="13"/>
      <c r="J1220" s="108"/>
      <c r="K1220" s="109"/>
    </row>
    <row r="1221" spans="3:11">
      <c r="C1221" s="13"/>
      <c r="J1221" s="108"/>
      <c r="K1221" s="109"/>
    </row>
    <row r="1222" spans="3:11">
      <c r="C1222" s="13"/>
      <c r="J1222" s="108"/>
      <c r="K1222" s="109"/>
    </row>
    <row r="1223" spans="3:11">
      <c r="C1223" s="13"/>
      <c r="J1223" s="108"/>
      <c r="K1223" s="109"/>
    </row>
    <row r="1224" spans="3:11">
      <c r="C1224" s="13"/>
      <c r="J1224" s="108"/>
      <c r="K1224" s="109"/>
    </row>
    <row r="1225" spans="3:11">
      <c r="C1225" s="13"/>
      <c r="J1225" s="108"/>
      <c r="K1225" s="109"/>
    </row>
    <row r="1226" spans="3:11">
      <c r="C1226" s="13"/>
      <c r="J1226" s="108"/>
      <c r="K1226" s="109"/>
    </row>
    <row r="1227" spans="3:11">
      <c r="C1227" s="13"/>
      <c r="J1227" s="108"/>
      <c r="K1227" s="109"/>
    </row>
    <row r="1228" spans="3:11">
      <c r="C1228" s="13"/>
      <c r="J1228" s="108"/>
      <c r="K1228" s="109"/>
    </row>
    <row r="1229" spans="3:11">
      <c r="C1229" s="13"/>
      <c r="J1229" s="108"/>
      <c r="K1229" s="109"/>
    </row>
    <row r="1230" spans="3:11">
      <c r="C1230" s="13"/>
      <c r="J1230" s="108"/>
      <c r="K1230" s="109"/>
    </row>
    <row r="1231" spans="3:11">
      <c r="C1231" s="13"/>
      <c r="J1231" s="108"/>
      <c r="K1231" s="109"/>
    </row>
    <row r="1232" spans="3:11">
      <c r="C1232" s="13"/>
      <c r="J1232" s="108"/>
      <c r="K1232" s="109"/>
    </row>
    <row r="1233" spans="3:11">
      <c r="C1233" s="13"/>
      <c r="J1233" s="108"/>
      <c r="K1233" s="109"/>
    </row>
    <row r="1234" spans="3:11">
      <c r="C1234" s="13"/>
      <c r="J1234" s="108"/>
      <c r="K1234" s="109"/>
    </row>
    <row r="1235" spans="3:11">
      <c r="C1235" s="13"/>
      <c r="J1235" s="108"/>
      <c r="K1235" s="109"/>
    </row>
    <row r="1236" spans="3:11">
      <c r="C1236" s="13"/>
      <c r="J1236" s="108"/>
      <c r="K1236" s="109"/>
    </row>
    <row r="1237" spans="3:11">
      <c r="C1237" s="13"/>
      <c r="J1237" s="108"/>
      <c r="K1237" s="109"/>
    </row>
    <row r="1238" spans="3:11">
      <c r="C1238" s="13"/>
      <c r="J1238" s="108"/>
      <c r="K1238" s="109"/>
    </row>
    <row r="1239" spans="3:11">
      <c r="C1239" s="13"/>
      <c r="J1239" s="108"/>
      <c r="K1239" s="109"/>
    </row>
    <row r="1240" spans="3:11">
      <c r="C1240" s="13"/>
      <c r="J1240" s="108"/>
      <c r="K1240" s="109"/>
    </row>
    <row r="1241" spans="3:11">
      <c r="C1241" s="13"/>
      <c r="J1241" s="108"/>
      <c r="K1241" s="109"/>
    </row>
    <row r="1242" spans="3:11">
      <c r="C1242" s="13"/>
      <c r="J1242" s="108"/>
      <c r="K1242" s="109"/>
    </row>
    <row r="1243" spans="3:11">
      <c r="C1243" s="13"/>
      <c r="J1243" s="108"/>
      <c r="K1243" s="109"/>
    </row>
    <row r="1244" spans="3:11">
      <c r="C1244" s="13"/>
      <c r="J1244" s="108"/>
      <c r="K1244" s="109"/>
    </row>
    <row r="1245" spans="3:11">
      <c r="C1245" s="13"/>
      <c r="J1245" s="108"/>
      <c r="K1245" s="109"/>
    </row>
    <row r="1246" spans="3:11">
      <c r="C1246" s="13"/>
      <c r="J1246" s="108"/>
      <c r="K1246" s="109"/>
    </row>
    <row r="1247" spans="3:11">
      <c r="C1247" s="13"/>
      <c r="J1247" s="108"/>
      <c r="K1247" s="109"/>
    </row>
    <row r="1248" spans="3:11">
      <c r="C1248" s="13"/>
      <c r="J1248" s="108"/>
      <c r="K1248" s="109"/>
    </row>
    <row r="1249" spans="3:11">
      <c r="C1249" s="13"/>
      <c r="J1249" s="108"/>
      <c r="K1249" s="109"/>
    </row>
    <row r="1250" spans="3:11">
      <c r="C1250" s="13"/>
      <c r="J1250" s="108"/>
      <c r="K1250" s="109"/>
    </row>
    <row r="1251" spans="3:11">
      <c r="C1251" s="13"/>
      <c r="J1251" s="108"/>
      <c r="K1251" s="109"/>
    </row>
    <row r="1252" spans="3:11">
      <c r="C1252" s="13"/>
      <c r="J1252" s="108"/>
      <c r="K1252" s="109"/>
    </row>
    <row r="1253" spans="3:11">
      <c r="C1253" s="13"/>
      <c r="J1253" s="108"/>
      <c r="K1253" s="109"/>
    </row>
    <row r="1254" spans="3:11">
      <c r="C1254" s="13"/>
      <c r="J1254" s="108"/>
      <c r="K1254" s="109"/>
    </row>
    <row r="1255" spans="3:11">
      <c r="C1255" s="13"/>
      <c r="J1255" s="108"/>
      <c r="K1255" s="109"/>
    </row>
    <row r="1256" spans="3:11">
      <c r="C1256" s="13"/>
      <c r="J1256" s="108"/>
      <c r="K1256" s="109"/>
    </row>
    <row r="1257" spans="3:11">
      <c r="C1257" s="13"/>
      <c r="J1257" s="108"/>
      <c r="K1257" s="109"/>
    </row>
    <row r="1258" spans="3:11">
      <c r="C1258" s="13"/>
      <c r="J1258" s="108"/>
      <c r="K1258" s="109"/>
    </row>
    <row r="1259" spans="3:11">
      <c r="C1259" s="13"/>
      <c r="J1259" s="108"/>
      <c r="K1259" s="109"/>
    </row>
    <row r="1260" spans="3:11">
      <c r="C1260" s="13"/>
      <c r="J1260" s="108"/>
      <c r="K1260" s="109"/>
    </row>
    <row r="1261" spans="3:11">
      <c r="C1261" s="13"/>
      <c r="J1261" s="108"/>
      <c r="K1261" s="109"/>
    </row>
    <row r="1262" spans="3:11">
      <c r="C1262" s="13"/>
      <c r="J1262" s="108"/>
      <c r="K1262" s="109"/>
    </row>
    <row r="1263" spans="3:11">
      <c r="C1263" s="13"/>
      <c r="J1263" s="108"/>
      <c r="K1263" s="109"/>
    </row>
    <row r="1264" spans="3:11">
      <c r="C1264" s="13"/>
      <c r="J1264" s="108"/>
      <c r="K1264" s="109"/>
    </row>
    <row r="1265" spans="3:11">
      <c r="C1265" s="13"/>
      <c r="J1265" s="108"/>
      <c r="K1265" s="109"/>
    </row>
    <row r="1266" spans="3:11">
      <c r="C1266" s="13"/>
      <c r="J1266" s="108"/>
      <c r="K1266" s="109"/>
    </row>
    <row r="1267" spans="3:11">
      <c r="C1267" s="13"/>
      <c r="J1267" s="108"/>
      <c r="K1267" s="109"/>
    </row>
    <row r="1268" spans="3:11">
      <c r="C1268" s="13"/>
      <c r="J1268" s="108"/>
      <c r="K1268" s="109"/>
    </row>
    <row r="1269" spans="3:11">
      <c r="C1269" s="13"/>
      <c r="J1269" s="108"/>
      <c r="K1269" s="109"/>
    </row>
    <row r="1270" spans="3:11">
      <c r="C1270" s="13"/>
      <c r="J1270" s="108"/>
      <c r="K1270" s="109"/>
    </row>
    <row r="1271" spans="3:11">
      <c r="C1271" s="13"/>
      <c r="J1271" s="108"/>
      <c r="K1271" s="109"/>
    </row>
    <row r="1272" spans="3:11">
      <c r="C1272" s="13"/>
      <c r="J1272" s="108"/>
      <c r="K1272" s="109"/>
    </row>
    <row r="1273" spans="3:11">
      <c r="C1273" s="13"/>
      <c r="J1273" s="108"/>
      <c r="K1273" s="109"/>
    </row>
    <row r="1274" spans="3:11">
      <c r="C1274" s="13"/>
      <c r="J1274" s="108"/>
      <c r="K1274" s="109"/>
    </row>
    <row r="1275" spans="3:11">
      <c r="C1275" s="13"/>
      <c r="J1275" s="108"/>
      <c r="K1275" s="109"/>
    </row>
    <row r="1276" spans="3:11">
      <c r="C1276" s="13"/>
      <c r="J1276" s="108"/>
      <c r="K1276" s="109"/>
    </row>
    <row r="1277" spans="3:11">
      <c r="C1277" s="13"/>
      <c r="J1277" s="108"/>
      <c r="K1277" s="109"/>
    </row>
    <row r="1278" spans="3:11">
      <c r="C1278" s="13"/>
      <c r="J1278" s="108"/>
      <c r="K1278" s="109"/>
    </row>
    <row r="1279" spans="3:11">
      <c r="C1279" s="13"/>
      <c r="J1279" s="108"/>
      <c r="K1279" s="109"/>
    </row>
    <row r="1280" spans="3:11">
      <c r="C1280" s="13"/>
      <c r="J1280" s="108"/>
      <c r="K1280" s="109"/>
    </row>
    <row r="1281" spans="3:11">
      <c r="C1281" s="13"/>
      <c r="J1281" s="108"/>
      <c r="K1281" s="109"/>
    </row>
    <row r="1282" spans="3:11">
      <c r="C1282" s="13"/>
      <c r="J1282" s="108"/>
      <c r="K1282" s="109"/>
    </row>
    <row r="1283" spans="3:11">
      <c r="C1283" s="13"/>
      <c r="J1283" s="108"/>
      <c r="K1283" s="109"/>
    </row>
    <row r="1284" spans="3:11">
      <c r="C1284" s="13"/>
      <c r="J1284" s="108"/>
      <c r="K1284" s="109"/>
    </row>
    <row r="1285" spans="3:11">
      <c r="C1285" s="13"/>
      <c r="J1285" s="108"/>
      <c r="K1285" s="109"/>
    </row>
    <row r="1286" spans="3:11">
      <c r="C1286" s="13"/>
      <c r="J1286" s="108"/>
      <c r="K1286" s="109"/>
    </row>
    <row r="1287" spans="3:11">
      <c r="C1287" s="13"/>
      <c r="J1287" s="108"/>
      <c r="K1287" s="109"/>
    </row>
    <row r="1288" spans="3:11">
      <c r="C1288" s="13"/>
      <c r="J1288" s="108"/>
      <c r="K1288" s="109"/>
    </row>
    <row r="1289" spans="3:11">
      <c r="C1289" s="13"/>
      <c r="J1289" s="108"/>
      <c r="K1289" s="109"/>
    </row>
    <row r="1290" spans="3:11">
      <c r="C1290" s="13"/>
      <c r="J1290" s="108"/>
      <c r="K1290" s="109"/>
    </row>
    <row r="1291" spans="3:11">
      <c r="C1291" s="13"/>
      <c r="J1291" s="108"/>
      <c r="K1291" s="109"/>
    </row>
    <row r="1292" spans="3:11">
      <c r="C1292" s="13"/>
      <c r="J1292" s="108"/>
      <c r="K1292" s="109"/>
    </row>
    <row r="1293" spans="3:11">
      <c r="C1293" s="13"/>
      <c r="J1293" s="108"/>
      <c r="K1293" s="109"/>
    </row>
    <row r="1294" spans="3:11">
      <c r="C1294" s="13"/>
      <c r="J1294" s="108"/>
      <c r="K1294" s="109"/>
    </row>
    <row r="1295" spans="3:11">
      <c r="C1295" s="13"/>
      <c r="J1295" s="108"/>
      <c r="K1295" s="109"/>
    </row>
    <row r="1296" spans="3:11">
      <c r="C1296" s="13"/>
      <c r="J1296" s="108"/>
      <c r="K1296" s="109"/>
    </row>
    <row r="1297" spans="3:11">
      <c r="C1297" s="13"/>
      <c r="J1297" s="108"/>
      <c r="K1297" s="109"/>
    </row>
    <row r="1298" spans="3:11">
      <c r="C1298" s="13"/>
      <c r="J1298" s="108"/>
      <c r="K1298" s="109"/>
    </row>
    <row r="1299" spans="3:11">
      <c r="C1299" s="13"/>
      <c r="J1299" s="108"/>
      <c r="K1299" s="109"/>
    </row>
    <row r="1300" spans="3:11">
      <c r="C1300" s="13"/>
      <c r="J1300" s="108"/>
      <c r="K1300" s="109"/>
    </row>
    <row r="1301" spans="3:11">
      <c r="C1301" s="13"/>
      <c r="J1301" s="108"/>
      <c r="K1301" s="109"/>
    </row>
    <row r="1302" spans="3:11">
      <c r="C1302" s="13"/>
      <c r="J1302" s="108"/>
      <c r="K1302" s="109"/>
    </row>
    <row r="1303" spans="3:11">
      <c r="C1303" s="13"/>
      <c r="J1303" s="108"/>
      <c r="K1303" s="109"/>
    </row>
    <row r="1304" spans="3:11">
      <c r="C1304" s="13"/>
      <c r="J1304" s="108"/>
      <c r="K1304" s="109"/>
    </row>
    <row r="1305" spans="3:11">
      <c r="C1305" s="13"/>
      <c r="J1305" s="108"/>
      <c r="K1305" s="109"/>
    </row>
    <row r="1306" spans="3:11">
      <c r="C1306" s="13"/>
      <c r="J1306" s="108"/>
      <c r="K1306" s="109"/>
    </row>
    <row r="1307" spans="3:11">
      <c r="C1307" s="13"/>
      <c r="J1307" s="108"/>
      <c r="K1307" s="109"/>
    </row>
    <row r="1308" spans="3:11">
      <c r="C1308" s="13"/>
      <c r="J1308" s="108"/>
      <c r="K1308" s="109"/>
    </row>
    <row r="1309" spans="3:11">
      <c r="C1309" s="13"/>
      <c r="J1309" s="108"/>
      <c r="K1309" s="109"/>
    </row>
    <row r="1310" spans="3:11">
      <c r="C1310" s="13"/>
      <c r="J1310" s="108"/>
      <c r="K1310" s="109"/>
    </row>
    <row r="1311" spans="3:11">
      <c r="C1311" s="13"/>
      <c r="J1311" s="108"/>
      <c r="K1311" s="109"/>
    </row>
    <row r="1312" spans="3:11">
      <c r="C1312" s="13"/>
      <c r="J1312" s="108"/>
      <c r="K1312" s="109"/>
    </row>
    <row r="1313" spans="3:11">
      <c r="C1313" s="13"/>
      <c r="J1313" s="108"/>
      <c r="K1313" s="109"/>
    </row>
    <row r="1314" spans="3:11">
      <c r="C1314" s="13"/>
      <c r="J1314" s="108"/>
      <c r="K1314" s="109"/>
    </row>
    <row r="1315" spans="3:11">
      <c r="C1315" s="13"/>
      <c r="J1315" s="108"/>
      <c r="K1315" s="109"/>
    </row>
    <row r="1316" spans="3:11">
      <c r="C1316" s="13"/>
      <c r="J1316" s="108"/>
      <c r="K1316" s="109"/>
    </row>
    <row r="1317" spans="3:11">
      <c r="C1317" s="13"/>
      <c r="J1317" s="108"/>
      <c r="K1317" s="109"/>
    </row>
    <row r="1318" spans="3:11">
      <c r="C1318" s="13"/>
      <c r="J1318" s="108"/>
      <c r="K1318" s="109"/>
    </row>
    <row r="1319" spans="3:11">
      <c r="C1319" s="13"/>
      <c r="J1319" s="108"/>
      <c r="K1319" s="109"/>
    </row>
    <row r="1320" spans="3:11">
      <c r="C1320" s="13"/>
      <c r="J1320" s="108"/>
      <c r="K1320" s="109"/>
    </row>
    <row r="1321" spans="3:11">
      <c r="C1321" s="13"/>
      <c r="J1321" s="108"/>
      <c r="K1321" s="109"/>
    </row>
    <row r="1322" spans="3:11">
      <c r="C1322" s="13"/>
      <c r="J1322" s="108"/>
      <c r="K1322" s="109"/>
    </row>
    <row r="1323" spans="3:11">
      <c r="C1323" s="13"/>
      <c r="J1323" s="108"/>
      <c r="K1323" s="109"/>
    </row>
    <row r="1324" spans="3:11">
      <c r="C1324" s="13"/>
      <c r="J1324" s="108"/>
      <c r="K1324" s="109"/>
    </row>
    <row r="1325" spans="3:11">
      <c r="C1325" s="13"/>
      <c r="J1325" s="108"/>
      <c r="K1325" s="109"/>
    </row>
    <row r="1326" spans="3:11">
      <c r="C1326" s="13"/>
      <c r="J1326" s="108"/>
      <c r="K1326" s="109"/>
    </row>
    <row r="1327" spans="3:11">
      <c r="C1327" s="13"/>
      <c r="J1327" s="108"/>
      <c r="K1327" s="109"/>
    </row>
    <row r="1328" spans="3:11">
      <c r="C1328" s="13"/>
      <c r="J1328" s="108"/>
      <c r="K1328" s="109"/>
    </row>
    <row r="1329" spans="3:11">
      <c r="C1329" s="13"/>
      <c r="J1329" s="108"/>
      <c r="K1329" s="109"/>
    </row>
    <row r="1330" spans="3:11">
      <c r="C1330" s="13"/>
      <c r="J1330" s="108"/>
      <c r="K1330" s="109"/>
    </row>
    <row r="1331" spans="3:11">
      <c r="C1331" s="13"/>
      <c r="J1331" s="108"/>
      <c r="K1331" s="109"/>
    </row>
    <row r="1332" spans="3:11">
      <c r="C1332" s="13"/>
      <c r="J1332" s="108"/>
      <c r="K1332" s="109"/>
    </row>
    <row r="1333" spans="3:11">
      <c r="C1333" s="13"/>
      <c r="J1333" s="108"/>
      <c r="K1333" s="109"/>
    </row>
    <row r="1334" spans="3:11">
      <c r="C1334" s="13"/>
      <c r="J1334" s="108"/>
      <c r="K1334" s="109"/>
    </row>
    <row r="1335" spans="3:11">
      <c r="C1335" s="13"/>
      <c r="J1335" s="108"/>
      <c r="K1335" s="109"/>
    </row>
    <row r="1336" spans="3:11">
      <c r="C1336" s="13"/>
      <c r="J1336" s="108"/>
      <c r="K1336" s="109"/>
    </row>
    <row r="1337" spans="3:11">
      <c r="C1337" s="13"/>
      <c r="J1337" s="108"/>
      <c r="K1337" s="109"/>
    </row>
    <row r="1338" spans="3:11">
      <c r="C1338" s="13"/>
      <c r="J1338" s="108"/>
      <c r="K1338" s="109"/>
    </row>
    <row r="1339" spans="3:11">
      <c r="C1339" s="13"/>
      <c r="J1339" s="108"/>
      <c r="K1339" s="109"/>
    </row>
    <row r="1340" spans="3:11">
      <c r="C1340" s="13"/>
      <c r="J1340" s="108"/>
      <c r="K1340" s="109"/>
    </row>
    <row r="1341" spans="3:11">
      <c r="C1341" s="13"/>
      <c r="J1341" s="108"/>
      <c r="K1341" s="109"/>
    </row>
    <row r="1342" spans="3:11">
      <c r="C1342" s="13"/>
      <c r="J1342" s="108"/>
      <c r="K1342" s="109"/>
    </row>
    <row r="1343" spans="3:11">
      <c r="C1343" s="13"/>
      <c r="J1343" s="108"/>
      <c r="K1343" s="109"/>
    </row>
    <row r="1344" spans="3:11">
      <c r="C1344" s="13"/>
      <c r="J1344" s="108"/>
      <c r="K1344" s="109"/>
    </row>
    <row r="1345" spans="3:11">
      <c r="C1345" s="13"/>
      <c r="J1345" s="108"/>
      <c r="K1345" s="109"/>
    </row>
    <row r="1346" spans="3:11">
      <c r="C1346" s="13"/>
      <c r="J1346" s="108"/>
      <c r="K1346" s="109"/>
    </row>
    <row r="1347" spans="3:11">
      <c r="C1347" s="13"/>
      <c r="J1347" s="108"/>
      <c r="K1347" s="109"/>
    </row>
    <row r="1348" spans="3:11">
      <c r="C1348" s="13"/>
      <c r="J1348" s="108"/>
      <c r="K1348" s="109"/>
    </row>
    <row r="1349" spans="3:11">
      <c r="C1349" s="13"/>
      <c r="J1349" s="108"/>
      <c r="K1349" s="109"/>
    </row>
    <row r="1350" spans="3:11">
      <c r="C1350" s="13"/>
      <c r="J1350" s="108"/>
      <c r="K1350" s="109"/>
    </row>
    <row r="1351" spans="3:11">
      <c r="C1351" s="13"/>
      <c r="J1351" s="108"/>
      <c r="K1351" s="109"/>
    </row>
    <row r="1352" spans="3:11">
      <c r="C1352" s="13"/>
      <c r="J1352" s="108"/>
      <c r="K1352" s="109"/>
    </row>
    <row r="1353" spans="3:11">
      <c r="C1353" s="13"/>
      <c r="J1353" s="108"/>
      <c r="K1353" s="109"/>
    </row>
    <row r="1354" spans="3:11">
      <c r="C1354" s="13"/>
      <c r="J1354" s="108"/>
      <c r="K1354" s="109"/>
    </row>
    <row r="1355" spans="3:11">
      <c r="C1355" s="13"/>
      <c r="J1355" s="108"/>
      <c r="K1355" s="109"/>
    </row>
    <row r="1356" spans="3:11">
      <c r="C1356" s="13"/>
      <c r="J1356" s="108"/>
      <c r="K1356" s="109"/>
    </row>
    <row r="1357" spans="3:11">
      <c r="C1357" s="13"/>
      <c r="J1357" s="108"/>
      <c r="K1357" s="109"/>
    </row>
    <row r="1358" spans="3:11">
      <c r="C1358" s="13"/>
      <c r="J1358" s="108"/>
      <c r="K1358" s="109"/>
    </row>
    <row r="1359" spans="3:11">
      <c r="C1359" s="13"/>
      <c r="J1359" s="108"/>
      <c r="K1359" s="109"/>
    </row>
    <row r="1360" spans="3:11">
      <c r="C1360" s="13"/>
      <c r="J1360" s="108"/>
      <c r="K1360" s="109"/>
    </row>
    <row r="1361" spans="3:11">
      <c r="C1361" s="13"/>
      <c r="J1361" s="108"/>
      <c r="K1361" s="109"/>
    </row>
    <row r="1362" spans="3:11">
      <c r="C1362" s="13"/>
      <c r="J1362" s="108"/>
      <c r="K1362" s="109"/>
    </row>
    <row r="1363" spans="3:11">
      <c r="C1363" s="13"/>
      <c r="J1363" s="108"/>
      <c r="K1363" s="109"/>
    </row>
    <row r="1364" spans="3:11">
      <c r="C1364" s="13"/>
      <c r="J1364" s="108"/>
      <c r="K1364" s="109"/>
    </row>
    <row r="1365" spans="3:11">
      <c r="C1365" s="13"/>
      <c r="J1365" s="108"/>
      <c r="K1365" s="109"/>
    </row>
    <row r="1366" spans="3:11">
      <c r="C1366" s="13"/>
      <c r="J1366" s="108"/>
      <c r="K1366" s="109"/>
    </row>
    <row r="1367" spans="3:11">
      <c r="C1367" s="13"/>
      <c r="J1367" s="108"/>
      <c r="K1367" s="109"/>
    </row>
    <row r="1368" spans="3:11">
      <c r="C1368" s="13"/>
      <c r="J1368" s="108"/>
      <c r="K1368" s="109"/>
    </row>
    <row r="1369" spans="3:11">
      <c r="C1369" s="13"/>
      <c r="J1369" s="108"/>
      <c r="K1369" s="109"/>
    </row>
    <row r="1370" spans="3:11">
      <c r="C1370" s="13"/>
      <c r="J1370" s="108"/>
      <c r="K1370" s="109"/>
    </row>
    <row r="1371" spans="3:11">
      <c r="C1371" s="13"/>
      <c r="J1371" s="108"/>
      <c r="K1371" s="109"/>
    </row>
    <row r="1372" spans="3:11">
      <c r="C1372" s="13"/>
      <c r="J1372" s="108"/>
      <c r="K1372" s="109"/>
    </row>
    <row r="1373" spans="3:11">
      <c r="C1373" s="13"/>
      <c r="J1373" s="108"/>
      <c r="K1373" s="109"/>
    </row>
    <row r="1374" spans="3:11">
      <c r="C1374" s="13"/>
      <c r="J1374" s="108"/>
      <c r="K1374" s="109"/>
    </row>
    <row r="1375" spans="3:11">
      <c r="C1375" s="13"/>
      <c r="J1375" s="108"/>
      <c r="K1375" s="109"/>
    </row>
    <row r="1376" spans="3:11">
      <c r="C1376" s="13"/>
      <c r="J1376" s="108"/>
      <c r="K1376" s="109"/>
    </row>
    <row r="1377" spans="3:11">
      <c r="C1377" s="13"/>
      <c r="J1377" s="108"/>
      <c r="K1377" s="109"/>
    </row>
    <row r="1378" spans="3:11">
      <c r="C1378" s="13"/>
      <c r="J1378" s="108"/>
      <c r="K1378" s="109"/>
    </row>
    <row r="1379" spans="3:11">
      <c r="C1379" s="13"/>
      <c r="J1379" s="108"/>
      <c r="K1379" s="109"/>
    </row>
    <row r="1380" spans="3:11">
      <c r="C1380" s="13"/>
      <c r="J1380" s="108"/>
      <c r="K1380" s="109"/>
    </row>
    <row r="1381" spans="3:11">
      <c r="C1381" s="13"/>
      <c r="J1381" s="108"/>
      <c r="K1381" s="109"/>
    </row>
    <row r="1382" spans="3:11">
      <c r="C1382" s="13"/>
      <c r="J1382" s="108"/>
      <c r="K1382" s="109"/>
    </row>
    <row r="1383" spans="3:11">
      <c r="C1383" s="13"/>
      <c r="J1383" s="108"/>
      <c r="K1383" s="109"/>
    </row>
    <row r="1384" spans="3:11">
      <c r="C1384" s="13"/>
      <c r="J1384" s="108"/>
      <c r="K1384" s="109"/>
    </row>
    <row r="1385" spans="3:11">
      <c r="C1385" s="13"/>
      <c r="J1385" s="108"/>
      <c r="K1385" s="109"/>
    </row>
    <row r="1386" spans="3:11">
      <c r="C1386" s="13"/>
      <c r="J1386" s="108"/>
      <c r="K1386" s="109"/>
    </row>
    <row r="1387" spans="3:11">
      <c r="C1387" s="13"/>
      <c r="J1387" s="108"/>
      <c r="K1387" s="109"/>
    </row>
    <row r="1388" spans="3:11">
      <c r="C1388" s="13"/>
      <c r="J1388" s="108"/>
      <c r="K1388" s="109"/>
    </row>
    <row r="1389" spans="3:11">
      <c r="C1389" s="13"/>
      <c r="J1389" s="108"/>
      <c r="K1389" s="109"/>
    </row>
    <row r="1390" spans="3:11">
      <c r="C1390" s="13"/>
      <c r="J1390" s="108"/>
      <c r="K1390" s="109"/>
    </row>
    <row r="1391" spans="3:11">
      <c r="C1391" s="13"/>
      <c r="J1391" s="108"/>
      <c r="K1391" s="109"/>
    </row>
    <row r="1392" spans="3:11">
      <c r="C1392" s="13"/>
      <c r="J1392" s="108"/>
      <c r="K1392" s="109"/>
    </row>
    <row r="1393" spans="3:11">
      <c r="C1393" s="13"/>
      <c r="J1393" s="108"/>
      <c r="K1393" s="109"/>
    </row>
    <row r="1394" spans="3:11">
      <c r="C1394" s="13"/>
      <c r="J1394" s="108"/>
      <c r="K1394" s="109"/>
    </row>
    <row r="1395" spans="3:11">
      <c r="C1395" s="13"/>
      <c r="J1395" s="108"/>
      <c r="K1395" s="109"/>
    </row>
    <row r="1396" spans="3:11">
      <c r="C1396" s="13"/>
      <c r="J1396" s="108"/>
      <c r="K1396" s="109"/>
    </row>
    <row r="1397" spans="3:11">
      <c r="C1397" s="13"/>
      <c r="J1397" s="108"/>
      <c r="K1397" s="109"/>
    </row>
    <row r="1398" spans="3:11">
      <c r="C1398" s="13"/>
      <c r="J1398" s="108"/>
      <c r="K1398" s="109"/>
    </row>
    <row r="1399" spans="3:11">
      <c r="C1399" s="13"/>
      <c r="J1399" s="108"/>
      <c r="K1399" s="109"/>
    </row>
    <row r="1400" spans="3:11">
      <c r="C1400" s="13"/>
      <c r="J1400" s="108"/>
      <c r="K1400" s="109"/>
    </row>
    <row r="1401" spans="3:11">
      <c r="C1401" s="13"/>
      <c r="J1401" s="108"/>
      <c r="K1401" s="109"/>
    </row>
    <row r="1402" spans="3:11">
      <c r="C1402" s="13"/>
      <c r="J1402" s="108"/>
      <c r="K1402" s="109"/>
    </row>
    <row r="1403" spans="3:11">
      <c r="C1403" s="13"/>
      <c r="J1403" s="108"/>
      <c r="K1403" s="109"/>
    </row>
    <row r="1404" spans="3:11">
      <c r="C1404" s="13"/>
      <c r="J1404" s="108"/>
      <c r="K1404" s="109"/>
    </row>
    <row r="1405" spans="3:11">
      <c r="C1405" s="13"/>
      <c r="J1405" s="108"/>
      <c r="K1405" s="109"/>
    </row>
    <row r="1406" spans="3:11">
      <c r="C1406" s="13"/>
      <c r="J1406" s="108"/>
      <c r="K1406" s="109"/>
    </row>
    <row r="1407" spans="3:11">
      <c r="C1407" s="13"/>
      <c r="J1407" s="108"/>
      <c r="K1407" s="109"/>
    </row>
    <row r="1408" spans="3:11">
      <c r="C1408" s="13"/>
      <c r="J1408" s="108"/>
      <c r="K1408" s="109"/>
    </row>
    <row r="1409" spans="3:11">
      <c r="C1409" s="13"/>
      <c r="J1409" s="108"/>
      <c r="K1409" s="109"/>
    </row>
    <row r="1410" spans="3:11">
      <c r="C1410" s="13"/>
      <c r="J1410" s="108"/>
      <c r="K1410" s="109"/>
    </row>
    <row r="1411" spans="3:11">
      <c r="C1411" s="13"/>
      <c r="J1411" s="108"/>
      <c r="K1411" s="109"/>
    </row>
    <row r="1412" spans="3:11">
      <c r="C1412" s="13"/>
      <c r="J1412" s="108"/>
      <c r="K1412" s="109"/>
    </row>
    <row r="1413" spans="3:11">
      <c r="C1413" s="13"/>
      <c r="J1413" s="108"/>
      <c r="K1413" s="109"/>
    </row>
    <row r="1414" spans="3:11">
      <c r="C1414" s="13"/>
      <c r="J1414" s="108"/>
      <c r="K1414" s="109"/>
    </row>
    <row r="1415" spans="3:11">
      <c r="C1415" s="13"/>
      <c r="J1415" s="108"/>
      <c r="K1415" s="109"/>
    </row>
    <row r="1416" spans="3:11">
      <c r="C1416" s="13"/>
      <c r="J1416" s="108"/>
      <c r="K1416" s="109"/>
    </row>
    <row r="1417" spans="3:11">
      <c r="C1417" s="13"/>
      <c r="J1417" s="108"/>
      <c r="K1417" s="109"/>
    </row>
    <row r="1418" spans="3:11">
      <c r="C1418" s="13"/>
      <c r="J1418" s="108"/>
      <c r="K1418" s="109"/>
    </row>
    <row r="1419" spans="3:11">
      <c r="C1419" s="13"/>
      <c r="J1419" s="108"/>
      <c r="K1419" s="109"/>
    </row>
    <row r="1420" spans="3:11">
      <c r="C1420" s="13"/>
      <c r="J1420" s="108"/>
      <c r="K1420" s="109"/>
    </row>
    <row r="1421" spans="3:11">
      <c r="C1421" s="13"/>
      <c r="J1421" s="108"/>
      <c r="K1421" s="109"/>
    </row>
    <row r="1422" spans="3:11">
      <c r="C1422" s="13"/>
      <c r="J1422" s="108"/>
      <c r="K1422" s="109"/>
    </row>
    <row r="1423" spans="3:11">
      <c r="C1423" s="13"/>
      <c r="J1423" s="108"/>
      <c r="K1423" s="109"/>
    </row>
    <row r="1424" spans="3:11">
      <c r="C1424" s="13"/>
      <c r="J1424" s="108"/>
      <c r="K1424" s="109"/>
    </row>
    <row r="1425" spans="3:11">
      <c r="C1425" s="13"/>
      <c r="J1425" s="108"/>
      <c r="K1425" s="109"/>
    </row>
    <row r="1426" spans="3:11">
      <c r="C1426" s="13"/>
      <c r="J1426" s="108"/>
      <c r="K1426" s="109"/>
    </row>
    <row r="1427" spans="3:11">
      <c r="C1427" s="13"/>
      <c r="J1427" s="108"/>
      <c r="K1427" s="109"/>
    </row>
    <row r="1428" spans="3:11">
      <c r="C1428" s="13"/>
      <c r="J1428" s="108"/>
      <c r="K1428" s="109"/>
    </row>
    <row r="1429" spans="3:11">
      <c r="C1429" s="13"/>
      <c r="J1429" s="108"/>
      <c r="K1429" s="109"/>
    </row>
    <row r="1430" spans="3:11">
      <c r="C1430" s="13"/>
      <c r="J1430" s="108"/>
      <c r="K1430" s="109"/>
    </row>
    <row r="1431" spans="3:11">
      <c r="C1431" s="13"/>
      <c r="J1431" s="108"/>
      <c r="K1431" s="109"/>
    </row>
    <row r="1432" spans="3:11">
      <c r="C1432" s="13"/>
      <c r="J1432" s="108"/>
      <c r="K1432" s="109"/>
    </row>
    <row r="1433" spans="3:11">
      <c r="C1433" s="13"/>
      <c r="J1433" s="108"/>
      <c r="K1433" s="109"/>
    </row>
    <row r="1434" spans="3:11">
      <c r="C1434" s="13"/>
      <c r="J1434" s="108"/>
      <c r="K1434" s="109"/>
    </row>
    <row r="1435" spans="3:11">
      <c r="C1435" s="13"/>
      <c r="J1435" s="108"/>
      <c r="K1435" s="109"/>
    </row>
    <row r="1436" spans="3:11">
      <c r="C1436" s="13"/>
      <c r="J1436" s="108"/>
      <c r="K1436" s="109"/>
    </row>
    <row r="1437" spans="3:11">
      <c r="C1437" s="13"/>
      <c r="J1437" s="108"/>
      <c r="K1437" s="109"/>
    </row>
    <row r="1438" spans="3:11">
      <c r="C1438" s="13"/>
      <c r="J1438" s="108"/>
      <c r="K1438" s="109"/>
    </row>
  </sheetData>
  <autoFilter ref="A7:L1438" xr:uid="{00000000-0009-0000-0000-000005000000}"/>
  <customSheetViews>
    <customSheetView guid="{973ECC17-1FC7-46AC-9FAE-72CFE59B5A9C}" showAutoFilter="1">
      <pane ySplit="7" topLeftCell="A8" activePane="bottomLeft" state="frozen"/>
      <selection pane="bottomLeft" activeCell="H651" sqref="H651"/>
      <pageMargins left="0.75" right="0.75" top="1" bottom="1" header="0.51200000000000001" footer="0.51200000000000001"/>
      <pageSetup paperSize="9" orientation="portrait" r:id="rId1"/>
      <headerFooter alignWithMargins="0"/>
      <autoFilter ref="A7:L1438" xr:uid="{0329CB26-3A1D-4C67-AA7D-3AF4A132BE40}"/>
    </customSheetView>
    <customSheetView guid="{7F90F6BF-AAFE-4B41-87EA-2390EC2C7378}" showAutoFilter="1">
      <pane ySplit="7" topLeftCell="A8" activePane="bottomLeft" state="frozen"/>
      <selection pane="bottomLeft" activeCell="H651" sqref="H651"/>
      <pageMargins left="0.75" right="0.75" top="1" bottom="1" header="0.51200000000000001" footer="0.51200000000000001"/>
      <pageSetup paperSize="9" orientation="portrait" r:id="rId2"/>
      <headerFooter alignWithMargins="0"/>
      <autoFilter ref="A7:L1438" xr:uid="{D7D5C48F-BED0-43B4-AB3D-6C112F471EE6}"/>
    </customSheetView>
    <customSheetView guid="{3C29C2C7-5DB1-41FB-9E95-64C17F07BBDB}" showAutoFilter="1">
      <pane ySplit="7" topLeftCell="A8" activePane="bottomLeft" state="frozen"/>
      <selection pane="bottomLeft" activeCell="H651" sqref="H651"/>
      <pageMargins left="0.75" right="0.75" top="1" bottom="1" header="0.51200000000000001" footer="0.51200000000000001"/>
      <pageSetup paperSize="9" orientation="portrait" r:id="rId3"/>
      <headerFooter alignWithMargins="0"/>
      <autoFilter ref="A7:L1438" xr:uid="{9C890CDC-4C2C-4418-B2ED-24CE6078037A}"/>
    </customSheetView>
  </customSheetViews>
  <phoneticPr fontId="2"/>
  <conditionalFormatting sqref="G8:G17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</conditionalFormatting>
  <conditionalFormatting sqref="G8:G1438">
    <cfRule type="duplicateValues" dxfId="6" priority="1"/>
  </conditionalFormatting>
  <conditionalFormatting sqref="G18:G1438"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  <cfRule type="duplicateValues" dxfId="0" priority="14"/>
  </conditionalFormatting>
  <pageMargins left="0.75" right="0.75" top="1" bottom="1" header="0.51200000000000001" footer="0.51200000000000001"/>
  <pageSetup paperSize="9" orientation="portrait" r:id="rId4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V1436"/>
  <sheetViews>
    <sheetView workbookViewId="0">
      <selection activeCell="F18" sqref="F18"/>
    </sheetView>
  </sheetViews>
  <sheetFormatPr defaultColWidth="8.875" defaultRowHeight="15.75"/>
  <cols>
    <col min="1" max="1" width="4.125" style="3" customWidth="1"/>
    <col min="2" max="2" width="9.375" style="3" customWidth="1"/>
    <col min="3" max="3" width="6.25" style="3" bestFit="1" customWidth="1"/>
    <col min="4" max="4" width="14.125" style="97" bestFit="1" customWidth="1"/>
    <col min="5" max="5" width="12.5" style="97" bestFit="1" customWidth="1"/>
    <col min="6" max="6" width="10" style="3" bestFit="1" customWidth="1"/>
    <col min="7" max="7" width="14.25" style="3" customWidth="1"/>
    <col min="8" max="8" width="11.875" style="3" customWidth="1"/>
    <col min="9" max="9" width="12.125" style="3" customWidth="1"/>
    <col min="10" max="10" width="16.125" style="3" customWidth="1"/>
    <col min="11" max="14" width="2.375" style="3" customWidth="1"/>
    <col min="15" max="15" width="40.625" style="3" customWidth="1"/>
    <col min="16" max="16" width="9.375" style="3" customWidth="1"/>
    <col min="17" max="17" width="11.875" style="86" customWidth="1"/>
    <col min="18" max="18" width="10" style="3" bestFit="1" customWidth="1"/>
    <col min="19" max="19" width="10.125" style="3" bestFit="1" customWidth="1"/>
    <col min="20" max="20" width="10" style="3" bestFit="1" customWidth="1"/>
    <col min="21" max="21" width="13.5" style="3" bestFit="1" customWidth="1"/>
    <col min="22" max="22" width="13" style="3" bestFit="1" customWidth="1"/>
    <col min="23" max="16384" width="8.875" style="3"/>
  </cols>
  <sheetData>
    <row r="1" spans="1:22" ht="43.5" customHeight="1">
      <c r="A1" s="68" t="s">
        <v>9</v>
      </c>
      <c r="B1" s="69" t="s">
        <v>102</v>
      </c>
      <c r="C1" s="70" t="s">
        <v>103</v>
      </c>
      <c r="D1" s="71" t="s">
        <v>104</v>
      </c>
      <c r="E1" s="71" t="s">
        <v>105</v>
      </c>
      <c r="F1" s="70" t="s">
        <v>106</v>
      </c>
      <c r="G1" s="69" t="s">
        <v>107</v>
      </c>
      <c r="H1" s="69" t="s">
        <v>108</v>
      </c>
      <c r="I1" s="70" t="s">
        <v>109</v>
      </c>
      <c r="J1" s="69" t="s">
        <v>110</v>
      </c>
      <c r="K1" s="72" t="s">
        <v>111</v>
      </c>
      <c r="L1" s="72" t="s">
        <v>112</v>
      </c>
      <c r="M1" s="72" t="s">
        <v>113</v>
      </c>
      <c r="N1" s="72" t="s">
        <v>114</v>
      </c>
      <c r="O1" s="69" t="s">
        <v>115</v>
      </c>
      <c r="P1" s="72" t="s">
        <v>116</v>
      </c>
      <c r="Q1" s="73" t="s">
        <v>6</v>
      </c>
      <c r="R1" s="69" t="s">
        <v>117</v>
      </c>
      <c r="S1" s="70" t="s">
        <v>7</v>
      </c>
      <c r="T1" s="70" t="s">
        <v>8</v>
      </c>
      <c r="U1" s="69" t="s">
        <v>118</v>
      </c>
      <c r="V1" s="69" t="s">
        <v>119</v>
      </c>
    </row>
    <row r="2" spans="1:22">
      <c r="B2" s="74" t="s">
        <v>12</v>
      </c>
      <c r="C2" s="75" t="s">
        <v>10</v>
      </c>
      <c r="D2" s="76" t="s">
        <v>12</v>
      </c>
      <c r="E2" s="76" t="s">
        <v>12</v>
      </c>
      <c r="F2" s="75" t="s">
        <v>10</v>
      </c>
      <c r="G2" s="75" t="s">
        <v>10</v>
      </c>
      <c r="H2" s="75" t="s">
        <v>10</v>
      </c>
      <c r="J2" s="74" t="s">
        <v>12</v>
      </c>
      <c r="K2" s="271" t="s">
        <v>11</v>
      </c>
      <c r="L2" s="271"/>
      <c r="M2" s="271"/>
      <c r="N2" s="271"/>
      <c r="O2" s="74" t="s">
        <v>12</v>
      </c>
      <c r="P2" s="77" t="s">
        <v>11</v>
      </c>
      <c r="Q2" s="78" t="s">
        <v>10</v>
      </c>
      <c r="R2" s="75" t="s">
        <v>10</v>
      </c>
      <c r="S2" s="74" t="s">
        <v>12</v>
      </c>
      <c r="T2" s="75" t="s">
        <v>10</v>
      </c>
      <c r="U2" s="75" t="s">
        <v>10</v>
      </c>
      <c r="V2" s="75" t="s">
        <v>10</v>
      </c>
    </row>
    <row r="3" spans="1:22">
      <c r="B3" s="79" t="s">
        <v>15</v>
      </c>
      <c r="C3" s="75">
        <v>1</v>
      </c>
      <c r="D3" s="80" t="s">
        <v>16</v>
      </c>
      <c r="E3" s="80" t="s">
        <v>17</v>
      </c>
      <c r="F3" s="81" t="s">
        <v>48</v>
      </c>
      <c r="G3" s="203" t="s">
        <v>226</v>
      </c>
      <c r="H3" s="81" t="s">
        <v>50</v>
      </c>
      <c r="J3" s="79" t="s">
        <v>18</v>
      </c>
      <c r="K3" s="77"/>
      <c r="L3" s="77"/>
      <c r="M3" s="77"/>
      <c r="N3" s="77"/>
      <c r="O3" s="79" t="s">
        <v>19</v>
      </c>
      <c r="P3" s="77"/>
      <c r="Q3" s="82">
        <v>1</v>
      </c>
      <c r="R3" s="83" t="s">
        <v>13</v>
      </c>
      <c r="S3" s="79" t="s">
        <v>20</v>
      </c>
      <c r="T3" s="84">
        <v>1</v>
      </c>
      <c r="U3" s="81" t="s">
        <v>14</v>
      </c>
      <c r="V3" s="81" t="s">
        <v>98</v>
      </c>
    </row>
    <row r="4" spans="1:22">
      <c r="A4" s="3" t="s">
        <v>35</v>
      </c>
      <c r="C4" s="3">
        <v>1</v>
      </c>
      <c r="D4" s="85">
        <v>20190617</v>
      </c>
      <c r="E4" s="85">
        <v>20190628</v>
      </c>
      <c r="F4" s="3" t="s">
        <v>47</v>
      </c>
      <c r="G4" s="126" t="s">
        <v>226</v>
      </c>
      <c r="H4" s="3" t="s">
        <v>49</v>
      </c>
      <c r="Q4" s="86">
        <v>1</v>
      </c>
      <c r="R4" s="87" t="s">
        <v>13</v>
      </c>
      <c r="T4" s="3">
        <v>1</v>
      </c>
      <c r="U4" s="3" t="s">
        <v>51</v>
      </c>
      <c r="V4" s="3" t="s">
        <v>99</v>
      </c>
    </row>
    <row r="5" spans="1:22">
      <c r="A5" s="88" t="s">
        <v>23</v>
      </c>
      <c r="B5" s="88" t="s">
        <v>21</v>
      </c>
      <c r="C5" s="88"/>
      <c r="D5" s="89" t="s">
        <v>22</v>
      </c>
      <c r="E5" s="89"/>
      <c r="F5" s="88"/>
      <c r="G5" s="88"/>
      <c r="H5" s="88"/>
      <c r="I5" s="88"/>
      <c r="J5" s="88" t="s">
        <v>52</v>
      </c>
      <c r="K5" s="88"/>
      <c r="L5" s="88"/>
      <c r="M5" s="88"/>
      <c r="N5" s="88"/>
      <c r="O5" s="88" t="s">
        <v>53</v>
      </c>
      <c r="P5" s="88"/>
      <c r="Q5" s="90"/>
      <c r="R5" s="91"/>
      <c r="S5" s="92" t="s">
        <v>44</v>
      </c>
      <c r="T5" s="88"/>
      <c r="U5" s="88"/>
      <c r="V5" s="88"/>
    </row>
    <row r="6" spans="1:22">
      <c r="A6" s="12">
        <v>1</v>
      </c>
      <c r="B6" s="93">
        <f>バッチ!M8</f>
        <v>0</v>
      </c>
      <c r="C6" s="12">
        <f>$C$4</f>
        <v>1</v>
      </c>
      <c r="D6" s="94">
        <f>$D$4</f>
        <v>20190617</v>
      </c>
      <c r="E6" s="94">
        <f>$E$4</f>
        <v>20190628</v>
      </c>
      <c r="F6" s="12" t="str">
        <f>$F$4</f>
        <v>z100</v>
      </c>
      <c r="G6" s="12" t="str">
        <f>$G$4</f>
        <v>0WH</v>
      </c>
      <c r="H6" s="12" t="str">
        <f>$H$4</f>
        <v>A230</v>
      </c>
      <c r="I6" s="12"/>
      <c r="J6" s="12">
        <f>バッチ!L8</f>
        <v>0</v>
      </c>
      <c r="K6" s="12"/>
      <c r="L6" s="12"/>
      <c r="M6" s="12"/>
      <c r="N6" s="12"/>
      <c r="O6" s="12">
        <f>バッチ!A8</f>
        <v>0</v>
      </c>
      <c r="P6" s="12"/>
      <c r="Q6" s="95">
        <f>$Q$4</f>
        <v>1</v>
      </c>
      <c r="R6" s="87" t="str">
        <f>$R$4</f>
        <v>PC</v>
      </c>
      <c r="S6" s="96">
        <f>バッチ!K8</f>
        <v>0</v>
      </c>
      <c r="T6" s="12">
        <f>$T$4</f>
        <v>1</v>
      </c>
      <c r="U6" s="12" t="str">
        <f>$U$4</f>
        <v>LFD</v>
      </c>
      <c r="V6" s="12" t="s">
        <v>99</v>
      </c>
    </row>
    <row r="7" spans="1:22">
      <c r="A7" s="12"/>
      <c r="B7" s="93"/>
      <c r="C7" s="12"/>
      <c r="D7" s="94"/>
      <c r="E7" s="94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5"/>
      <c r="R7" s="87"/>
      <c r="S7" s="96"/>
      <c r="T7" s="12"/>
      <c r="U7" s="12"/>
      <c r="V7" s="12"/>
    </row>
    <row r="8" spans="1:22">
      <c r="A8" s="12"/>
      <c r="B8" s="93"/>
      <c r="C8" s="12"/>
      <c r="D8" s="94"/>
      <c r="E8" s="94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95"/>
      <c r="R8" s="87"/>
      <c r="S8" s="96"/>
      <c r="T8" s="12"/>
      <c r="U8" s="12"/>
      <c r="V8" s="12"/>
    </row>
    <row r="9" spans="1:22">
      <c r="A9" s="12"/>
      <c r="B9" s="93"/>
      <c r="C9" s="12"/>
      <c r="D9" s="94"/>
      <c r="E9" s="94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95"/>
      <c r="R9" s="87"/>
      <c r="S9" s="96"/>
      <c r="T9" s="12"/>
      <c r="U9" s="12"/>
      <c r="V9" s="12"/>
    </row>
    <row r="10" spans="1:22">
      <c r="A10" s="12"/>
      <c r="B10" s="93"/>
      <c r="C10" s="12"/>
      <c r="D10" s="94"/>
      <c r="E10" s="94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95"/>
      <c r="R10" s="87"/>
      <c r="S10" s="96"/>
      <c r="T10" s="12"/>
      <c r="U10" s="12"/>
      <c r="V10" s="12"/>
    </row>
    <row r="11" spans="1:22">
      <c r="A11" s="12"/>
      <c r="B11" s="93"/>
      <c r="C11" s="12"/>
      <c r="D11" s="94"/>
      <c r="E11" s="94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95"/>
      <c r="R11" s="87"/>
      <c r="S11" s="96"/>
      <c r="T11" s="12"/>
      <c r="U11" s="12"/>
      <c r="V11" s="12"/>
    </row>
    <row r="12" spans="1:22">
      <c r="A12" s="12"/>
      <c r="B12" s="93"/>
      <c r="C12" s="12"/>
      <c r="D12" s="94"/>
      <c r="E12" s="94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95"/>
      <c r="R12" s="87"/>
      <c r="S12" s="96"/>
      <c r="T12" s="12"/>
      <c r="U12" s="12"/>
      <c r="V12" s="12"/>
    </row>
    <row r="13" spans="1:22">
      <c r="A13" s="12"/>
      <c r="B13" s="93"/>
      <c r="C13" s="12"/>
      <c r="D13" s="94"/>
      <c r="E13" s="94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95"/>
      <c r="R13" s="87"/>
      <c r="S13" s="96"/>
      <c r="T13" s="12"/>
      <c r="U13" s="12"/>
      <c r="V13" s="12"/>
    </row>
    <row r="14" spans="1:22">
      <c r="A14" s="12"/>
      <c r="B14" s="93"/>
      <c r="C14" s="12"/>
      <c r="D14" s="94"/>
      <c r="E14" s="94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95"/>
      <c r="R14" s="87"/>
      <c r="S14" s="96"/>
      <c r="T14" s="12"/>
      <c r="U14" s="12"/>
      <c r="V14" s="12"/>
    </row>
    <row r="15" spans="1:22">
      <c r="A15" s="12"/>
      <c r="B15" s="93"/>
      <c r="C15" s="12"/>
      <c r="D15" s="94"/>
      <c r="E15" s="94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5"/>
      <c r="R15" s="87"/>
      <c r="S15" s="96"/>
      <c r="T15" s="12"/>
      <c r="U15" s="12"/>
      <c r="V15" s="12"/>
    </row>
    <row r="16" spans="1:22">
      <c r="A16" s="12"/>
      <c r="B16" s="93"/>
      <c r="C16" s="12"/>
      <c r="D16" s="94"/>
      <c r="E16" s="94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95"/>
      <c r="R16" s="87"/>
      <c r="S16" s="96"/>
      <c r="T16" s="12"/>
      <c r="U16" s="12"/>
      <c r="V16" s="12"/>
    </row>
    <row r="17" spans="1:22">
      <c r="A17" s="12"/>
      <c r="B17" s="93"/>
      <c r="C17" s="12"/>
      <c r="D17" s="94"/>
      <c r="E17" s="94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95"/>
      <c r="R17" s="87"/>
      <c r="S17" s="96"/>
      <c r="T17" s="12"/>
      <c r="U17" s="12"/>
      <c r="V17" s="12"/>
    </row>
    <row r="18" spans="1:22">
      <c r="A18" s="12"/>
      <c r="B18" s="93"/>
      <c r="C18" s="12"/>
      <c r="D18" s="94"/>
      <c r="E18" s="94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95"/>
      <c r="R18" s="87"/>
      <c r="S18" s="96"/>
      <c r="T18" s="12"/>
      <c r="U18" s="12"/>
      <c r="V18" s="12"/>
    </row>
    <row r="19" spans="1:22">
      <c r="A19" s="12"/>
      <c r="B19" s="93"/>
      <c r="C19" s="12"/>
      <c r="D19" s="94"/>
      <c r="E19" s="94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95"/>
      <c r="R19" s="87"/>
      <c r="S19" s="96"/>
      <c r="T19" s="12"/>
      <c r="U19" s="12"/>
      <c r="V19" s="12"/>
    </row>
    <row r="20" spans="1:22">
      <c r="A20" s="12"/>
      <c r="B20" s="93"/>
      <c r="C20" s="12"/>
      <c r="D20" s="94"/>
      <c r="E20" s="9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95"/>
      <c r="R20" s="87"/>
      <c r="S20" s="96"/>
      <c r="T20" s="12"/>
      <c r="U20" s="12"/>
      <c r="V20" s="12"/>
    </row>
    <row r="21" spans="1:22">
      <c r="A21" s="12"/>
      <c r="B21" s="93"/>
      <c r="C21" s="12"/>
      <c r="D21" s="94"/>
      <c r="E21" s="9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95"/>
      <c r="R21" s="87"/>
      <c r="S21" s="96"/>
      <c r="T21" s="12"/>
      <c r="U21" s="12"/>
      <c r="V21" s="12"/>
    </row>
    <row r="22" spans="1:22">
      <c r="A22" s="12"/>
      <c r="B22" s="93"/>
      <c r="C22" s="12"/>
      <c r="D22" s="94"/>
      <c r="E22" s="9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95"/>
      <c r="R22" s="87"/>
      <c r="S22" s="96"/>
      <c r="T22" s="12"/>
      <c r="U22" s="12"/>
      <c r="V22" s="12"/>
    </row>
    <row r="23" spans="1:22">
      <c r="A23" s="12"/>
      <c r="B23" s="93"/>
      <c r="C23" s="12"/>
      <c r="D23" s="94"/>
      <c r="E23" s="94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95"/>
      <c r="R23" s="87"/>
      <c r="S23" s="96"/>
      <c r="T23" s="12"/>
      <c r="U23" s="12"/>
      <c r="V23" s="12"/>
    </row>
    <row r="24" spans="1:22">
      <c r="A24" s="12"/>
      <c r="B24" s="93"/>
      <c r="C24" s="12"/>
      <c r="D24" s="94"/>
      <c r="E24" s="94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95"/>
      <c r="R24" s="87"/>
      <c r="S24" s="96"/>
      <c r="T24" s="12"/>
      <c r="U24" s="12"/>
      <c r="V24" s="12"/>
    </row>
    <row r="25" spans="1:22">
      <c r="A25" s="12"/>
      <c r="B25" s="93"/>
      <c r="C25" s="12"/>
      <c r="D25" s="94"/>
      <c r="E25" s="94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95"/>
      <c r="R25" s="87"/>
      <c r="S25" s="96"/>
      <c r="T25" s="12"/>
      <c r="U25" s="12"/>
      <c r="V25" s="12"/>
    </row>
    <row r="26" spans="1:22">
      <c r="A26" s="12"/>
      <c r="B26" s="93"/>
      <c r="C26" s="12"/>
      <c r="D26" s="94"/>
      <c r="E26" s="94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95"/>
      <c r="R26" s="87"/>
      <c r="S26" s="96"/>
      <c r="T26" s="12"/>
      <c r="U26" s="12"/>
      <c r="V26" s="12"/>
    </row>
    <row r="27" spans="1:22">
      <c r="A27" s="12"/>
      <c r="B27" s="93"/>
      <c r="C27" s="12"/>
      <c r="D27" s="94"/>
      <c r="E27" s="9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95"/>
      <c r="R27" s="87"/>
      <c r="S27" s="96"/>
      <c r="T27" s="12"/>
      <c r="U27" s="12"/>
      <c r="V27" s="12"/>
    </row>
    <row r="28" spans="1:22">
      <c r="A28" s="12"/>
      <c r="B28" s="93"/>
      <c r="C28" s="12"/>
      <c r="D28" s="94"/>
      <c r="E28" s="94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95"/>
      <c r="R28" s="87"/>
      <c r="S28" s="96"/>
      <c r="T28" s="12"/>
      <c r="U28" s="12"/>
      <c r="V28" s="12"/>
    </row>
    <row r="29" spans="1:22">
      <c r="A29" s="12"/>
      <c r="B29" s="93"/>
      <c r="C29" s="12"/>
      <c r="D29" s="94"/>
      <c r="E29" s="94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95"/>
      <c r="R29" s="87"/>
      <c r="S29" s="96"/>
      <c r="T29" s="12"/>
      <c r="U29" s="12"/>
      <c r="V29" s="12"/>
    </row>
    <row r="30" spans="1:22">
      <c r="A30" s="12"/>
      <c r="B30" s="93"/>
      <c r="C30" s="12"/>
      <c r="D30" s="94"/>
      <c r="E30" s="94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95"/>
      <c r="R30" s="87"/>
      <c r="S30" s="96"/>
      <c r="T30" s="12"/>
      <c r="U30" s="12"/>
      <c r="V30" s="12"/>
    </row>
    <row r="31" spans="1:22">
      <c r="A31" s="12"/>
      <c r="B31" s="93"/>
      <c r="C31" s="12"/>
      <c r="D31" s="94"/>
      <c r="E31" s="94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95"/>
      <c r="R31" s="87"/>
      <c r="S31" s="96"/>
      <c r="T31" s="12"/>
      <c r="U31" s="12"/>
      <c r="V31" s="12"/>
    </row>
    <row r="32" spans="1:22">
      <c r="A32" s="12"/>
      <c r="B32" s="93"/>
      <c r="C32" s="12"/>
      <c r="D32" s="94"/>
      <c r="E32" s="94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95"/>
      <c r="R32" s="87"/>
      <c r="S32" s="96"/>
      <c r="T32" s="12"/>
      <c r="U32" s="12"/>
      <c r="V32" s="12"/>
    </row>
    <row r="33" spans="1:22">
      <c r="A33" s="12"/>
      <c r="B33" s="93"/>
      <c r="C33" s="12"/>
      <c r="D33" s="94"/>
      <c r="E33" s="94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95"/>
      <c r="R33" s="87"/>
      <c r="S33" s="96"/>
      <c r="T33" s="12"/>
      <c r="U33" s="12"/>
      <c r="V33" s="12"/>
    </row>
    <row r="34" spans="1:22">
      <c r="A34" s="12"/>
      <c r="B34" s="93"/>
      <c r="C34" s="12"/>
      <c r="D34" s="94"/>
      <c r="E34" s="94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95"/>
      <c r="R34" s="87"/>
      <c r="S34" s="96"/>
      <c r="T34" s="12"/>
      <c r="U34" s="12"/>
      <c r="V34" s="12"/>
    </row>
    <row r="35" spans="1:22">
      <c r="A35" s="12"/>
      <c r="B35" s="93"/>
      <c r="C35" s="12"/>
      <c r="D35" s="94"/>
      <c r="E35" s="94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95"/>
      <c r="R35" s="87"/>
      <c r="S35" s="96"/>
      <c r="T35" s="12"/>
      <c r="U35" s="12"/>
      <c r="V35" s="12"/>
    </row>
    <row r="36" spans="1:22">
      <c r="A36" s="12"/>
      <c r="B36" s="93"/>
      <c r="C36" s="12"/>
      <c r="D36" s="94"/>
      <c r="E36" s="94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95"/>
      <c r="R36" s="87"/>
      <c r="S36" s="96"/>
      <c r="T36" s="12"/>
      <c r="U36" s="12"/>
      <c r="V36" s="12"/>
    </row>
    <row r="37" spans="1:22">
      <c r="A37" s="12"/>
      <c r="B37" s="93"/>
      <c r="C37" s="12"/>
      <c r="D37" s="94"/>
      <c r="E37" s="94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95"/>
      <c r="R37" s="87"/>
      <c r="S37" s="96"/>
      <c r="T37" s="12"/>
      <c r="U37" s="12"/>
      <c r="V37" s="12"/>
    </row>
    <row r="38" spans="1:22">
      <c r="A38" s="12"/>
      <c r="B38" s="93"/>
      <c r="C38" s="12"/>
      <c r="D38" s="94"/>
      <c r="E38" s="94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95"/>
      <c r="R38" s="87"/>
      <c r="S38" s="96"/>
      <c r="T38" s="12"/>
      <c r="U38" s="12"/>
      <c r="V38" s="12"/>
    </row>
    <row r="39" spans="1:22">
      <c r="A39" s="12"/>
      <c r="B39" s="93"/>
      <c r="C39" s="12"/>
      <c r="D39" s="94"/>
      <c r="E39" s="9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95"/>
      <c r="R39" s="87"/>
      <c r="S39" s="96"/>
      <c r="T39" s="12"/>
      <c r="U39" s="12"/>
      <c r="V39" s="12"/>
    </row>
    <row r="40" spans="1:22">
      <c r="A40" s="12"/>
      <c r="B40" s="93"/>
      <c r="C40" s="12"/>
      <c r="D40" s="94"/>
      <c r="E40" s="94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95"/>
      <c r="R40" s="87"/>
      <c r="S40" s="96"/>
      <c r="T40" s="12"/>
      <c r="U40" s="12"/>
      <c r="V40" s="12"/>
    </row>
    <row r="41" spans="1:22">
      <c r="A41" s="12"/>
      <c r="B41" s="93"/>
      <c r="C41" s="12"/>
      <c r="D41" s="94"/>
      <c r="E41" s="94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95"/>
      <c r="R41" s="87"/>
      <c r="S41" s="96"/>
      <c r="T41" s="12"/>
      <c r="U41" s="12"/>
      <c r="V41" s="12"/>
    </row>
    <row r="42" spans="1:22">
      <c r="A42" s="12"/>
      <c r="B42" s="93"/>
      <c r="C42" s="12"/>
      <c r="D42" s="94"/>
      <c r="E42" s="94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95"/>
      <c r="R42" s="87"/>
      <c r="S42" s="96"/>
      <c r="T42" s="12"/>
      <c r="U42" s="12"/>
      <c r="V42" s="12"/>
    </row>
    <row r="43" spans="1:22">
      <c r="A43" s="12"/>
      <c r="B43" s="93"/>
      <c r="C43" s="12"/>
      <c r="D43" s="94"/>
      <c r="E43" s="9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95"/>
      <c r="R43" s="87"/>
      <c r="S43" s="96"/>
      <c r="T43" s="12"/>
      <c r="U43" s="12"/>
      <c r="V43" s="12"/>
    </row>
    <row r="44" spans="1:22">
      <c r="A44" s="12"/>
      <c r="B44" s="93"/>
      <c r="C44" s="12"/>
      <c r="D44" s="94"/>
      <c r="E44" s="94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95"/>
      <c r="R44" s="87"/>
      <c r="S44" s="96"/>
      <c r="T44" s="12"/>
      <c r="U44" s="12"/>
      <c r="V44" s="12"/>
    </row>
    <row r="45" spans="1:22">
      <c r="A45" s="12"/>
      <c r="B45" s="93"/>
      <c r="C45" s="12"/>
      <c r="D45" s="94"/>
      <c r="E45" s="9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95"/>
      <c r="R45" s="87"/>
      <c r="S45" s="96"/>
      <c r="T45" s="12"/>
      <c r="U45" s="12"/>
      <c r="V45" s="12"/>
    </row>
    <row r="46" spans="1:22">
      <c r="A46" s="12"/>
      <c r="B46" s="93"/>
      <c r="C46" s="12"/>
      <c r="D46" s="94"/>
      <c r="E46" s="94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95"/>
      <c r="R46" s="87"/>
      <c r="S46" s="96"/>
      <c r="T46" s="12"/>
      <c r="U46" s="12"/>
      <c r="V46" s="12"/>
    </row>
    <row r="47" spans="1:22">
      <c r="A47" s="12"/>
      <c r="B47" s="93"/>
      <c r="C47" s="12"/>
      <c r="D47" s="94"/>
      <c r="E47" s="94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95"/>
      <c r="R47" s="87"/>
      <c r="S47" s="96"/>
      <c r="T47" s="12"/>
      <c r="U47" s="12"/>
      <c r="V47" s="12"/>
    </row>
    <row r="48" spans="1:22">
      <c r="A48" s="12"/>
      <c r="B48" s="93"/>
      <c r="C48" s="12"/>
      <c r="D48" s="94"/>
      <c r="E48" s="94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95"/>
      <c r="R48" s="87"/>
      <c r="S48" s="96"/>
      <c r="T48" s="12"/>
      <c r="U48" s="12"/>
      <c r="V48" s="12"/>
    </row>
    <row r="49" spans="1:22">
      <c r="A49" s="12"/>
      <c r="B49" s="93"/>
      <c r="C49" s="12"/>
      <c r="D49" s="94"/>
      <c r="E49" s="94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95"/>
      <c r="R49" s="87"/>
      <c r="S49" s="96"/>
      <c r="T49" s="12"/>
      <c r="U49" s="12"/>
      <c r="V49" s="12"/>
    </row>
    <row r="50" spans="1:22">
      <c r="A50" s="12"/>
      <c r="B50" s="93"/>
      <c r="C50" s="12"/>
      <c r="D50" s="94"/>
      <c r="E50" s="94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95"/>
      <c r="R50" s="87"/>
      <c r="S50" s="96"/>
      <c r="T50" s="12"/>
      <c r="U50" s="12"/>
      <c r="V50" s="12"/>
    </row>
    <row r="51" spans="1:22">
      <c r="A51" s="12"/>
      <c r="B51" s="93"/>
      <c r="C51" s="12"/>
      <c r="D51" s="94"/>
      <c r="E51" s="94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95"/>
      <c r="R51" s="87"/>
      <c r="S51" s="96"/>
      <c r="T51" s="12"/>
      <c r="U51" s="12"/>
      <c r="V51" s="12"/>
    </row>
    <row r="52" spans="1:22">
      <c r="A52" s="12"/>
      <c r="B52" s="93"/>
      <c r="C52" s="12"/>
      <c r="D52" s="94"/>
      <c r="E52" s="94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95"/>
      <c r="R52" s="87"/>
      <c r="S52" s="96"/>
      <c r="T52" s="12"/>
      <c r="U52" s="12"/>
      <c r="V52" s="12"/>
    </row>
    <row r="53" spans="1:22">
      <c r="A53" s="12"/>
      <c r="B53" s="93"/>
      <c r="C53" s="12"/>
      <c r="D53" s="94"/>
      <c r="E53" s="94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95"/>
      <c r="R53" s="87"/>
      <c r="S53" s="96"/>
      <c r="T53" s="12"/>
      <c r="U53" s="12"/>
      <c r="V53" s="12"/>
    </row>
    <row r="54" spans="1:22">
      <c r="A54" s="12"/>
      <c r="B54" s="93"/>
      <c r="C54" s="12"/>
      <c r="D54" s="94"/>
      <c r="E54" s="94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95"/>
      <c r="R54" s="87"/>
      <c r="S54" s="96"/>
      <c r="T54" s="12"/>
      <c r="U54" s="12"/>
      <c r="V54" s="12"/>
    </row>
    <row r="55" spans="1:22">
      <c r="A55" s="12"/>
      <c r="B55" s="93"/>
      <c r="C55" s="12"/>
      <c r="D55" s="94"/>
      <c r="E55" s="94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95"/>
      <c r="R55" s="87"/>
      <c r="S55" s="96"/>
      <c r="T55" s="12"/>
      <c r="U55" s="12"/>
      <c r="V55" s="12"/>
    </row>
    <row r="56" spans="1:22">
      <c r="A56" s="12"/>
      <c r="B56" s="93"/>
      <c r="C56" s="12"/>
      <c r="D56" s="94"/>
      <c r="E56" s="94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95"/>
      <c r="R56" s="87"/>
      <c r="S56" s="96"/>
      <c r="T56" s="12"/>
      <c r="U56" s="12"/>
      <c r="V56" s="12"/>
    </row>
    <row r="57" spans="1:22">
      <c r="A57" s="12"/>
      <c r="B57" s="93"/>
      <c r="C57" s="12"/>
      <c r="D57" s="94"/>
      <c r="E57" s="94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95"/>
      <c r="R57" s="87"/>
      <c r="S57" s="96"/>
      <c r="T57" s="12"/>
      <c r="U57" s="12"/>
      <c r="V57" s="12"/>
    </row>
    <row r="58" spans="1:22">
      <c r="A58" s="12"/>
      <c r="B58" s="93"/>
      <c r="C58" s="12"/>
      <c r="D58" s="94"/>
      <c r="E58" s="94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95"/>
      <c r="R58" s="87"/>
      <c r="S58" s="96"/>
      <c r="T58" s="12"/>
      <c r="U58" s="12"/>
      <c r="V58" s="12"/>
    </row>
    <row r="59" spans="1:22">
      <c r="A59" s="12"/>
      <c r="B59" s="93"/>
      <c r="C59" s="12"/>
      <c r="D59" s="94"/>
      <c r="E59" s="94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95"/>
      <c r="R59" s="87"/>
      <c r="S59" s="96"/>
      <c r="T59" s="12"/>
      <c r="U59" s="12"/>
      <c r="V59" s="12"/>
    </row>
    <row r="60" spans="1:22">
      <c r="A60" s="12"/>
      <c r="B60" s="93"/>
      <c r="C60" s="12"/>
      <c r="D60" s="94"/>
      <c r="E60" s="94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95"/>
      <c r="R60" s="87"/>
      <c r="S60" s="96"/>
      <c r="T60" s="12"/>
      <c r="U60" s="12"/>
      <c r="V60" s="12"/>
    </row>
    <row r="61" spans="1:22">
      <c r="A61" s="12"/>
      <c r="B61" s="93"/>
      <c r="C61" s="12"/>
      <c r="D61" s="94"/>
      <c r="E61" s="94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95"/>
      <c r="R61" s="87"/>
      <c r="S61" s="96"/>
      <c r="T61" s="12"/>
      <c r="U61" s="12"/>
      <c r="V61" s="12"/>
    </row>
    <row r="62" spans="1:22">
      <c r="A62" s="12"/>
      <c r="B62" s="93"/>
      <c r="C62" s="12"/>
      <c r="D62" s="94"/>
      <c r="E62" s="94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95"/>
      <c r="R62" s="87"/>
      <c r="S62" s="96"/>
      <c r="T62" s="12"/>
      <c r="U62" s="12"/>
      <c r="V62" s="12"/>
    </row>
    <row r="63" spans="1:22">
      <c r="A63" s="12"/>
      <c r="B63" s="93"/>
      <c r="C63" s="12"/>
      <c r="D63" s="94"/>
      <c r="E63" s="94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95"/>
      <c r="R63" s="87"/>
      <c r="S63" s="96"/>
      <c r="T63" s="12"/>
      <c r="U63" s="12"/>
      <c r="V63" s="12"/>
    </row>
    <row r="64" spans="1:22">
      <c r="A64" s="12"/>
      <c r="B64" s="93"/>
      <c r="C64" s="12"/>
      <c r="D64" s="94"/>
      <c r="E64" s="94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95"/>
      <c r="R64" s="87"/>
      <c r="S64" s="96"/>
      <c r="T64" s="12"/>
      <c r="U64" s="12"/>
      <c r="V64" s="12"/>
    </row>
    <row r="65" spans="1:22">
      <c r="A65" s="12"/>
      <c r="B65" s="93"/>
      <c r="C65" s="12"/>
      <c r="D65" s="94"/>
      <c r="E65" s="94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95"/>
      <c r="R65" s="87"/>
      <c r="S65" s="96"/>
      <c r="T65" s="12"/>
      <c r="U65" s="12"/>
      <c r="V65" s="12"/>
    </row>
    <row r="66" spans="1:22">
      <c r="A66" s="12"/>
      <c r="B66" s="93"/>
      <c r="C66" s="12"/>
      <c r="D66" s="94"/>
      <c r="E66" s="94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95"/>
      <c r="R66" s="87"/>
      <c r="S66" s="96"/>
      <c r="T66" s="12"/>
      <c r="U66" s="12"/>
      <c r="V66" s="12"/>
    </row>
    <row r="67" spans="1:22">
      <c r="A67" s="12"/>
      <c r="B67" s="93"/>
      <c r="C67" s="12"/>
      <c r="D67" s="94"/>
      <c r="E67" s="94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95"/>
      <c r="R67" s="87"/>
      <c r="S67" s="96"/>
      <c r="T67" s="12"/>
      <c r="U67" s="12"/>
      <c r="V67" s="12"/>
    </row>
    <row r="68" spans="1:22">
      <c r="A68" s="12"/>
      <c r="B68" s="93"/>
      <c r="C68" s="12"/>
      <c r="D68" s="94"/>
      <c r="E68" s="94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95"/>
      <c r="R68" s="87"/>
      <c r="S68" s="96"/>
      <c r="T68" s="12"/>
      <c r="U68" s="12"/>
      <c r="V68" s="12"/>
    </row>
    <row r="69" spans="1:22">
      <c r="A69" s="12"/>
      <c r="B69" s="93"/>
      <c r="C69" s="12"/>
      <c r="D69" s="94"/>
      <c r="E69" s="94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95"/>
      <c r="R69" s="87"/>
      <c r="S69" s="96"/>
      <c r="T69" s="12"/>
      <c r="U69" s="12"/>
      <c r="V69" s="12"/>
    </row>
    <row r="70" spans="1:22">
      <c r="A70" s="12"/>
      <c r="B70" s="93"/>
      <c r="C70" s="12"/>
      <c r="D70" s="94"/>
      <c r="E70" s="94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95"/>
      <c r="R70" s="87"/>
      <c r="S70" s="96"/>
      <c r="T70" s="12"/>
      <c r="U70" s="12"/>
      <c r="V70" s="12"/>
    </row>
    <row r="71" spans="1:22">
      <c r="A71" s="12"/>
      <c r="B71" s="93"/>
      <c r="C71" s="12"/>
      <c r="D71" s="94"/>
      <c r="E71" s="94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95"/>
      <c r="R71" s="87"/>
      <c r="S71" s="96"/>
      <c r="T71" s="12"/>
      <c r="U71" s="12"/>
      <c r="V71" s="12"/>
    </row>
    <row r="72" spans="1:22">
      <c r="A72" s="12"/>
      <c r="B72" s="93"/>
      <c r="C72" s="12"/>
      <c r="D72" s="94"/>
      <c r="E72" s="94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95"/>
      <c r="R72" s="87"/>
      <c r="S72" s="96"/>
      <c r="T72" s="12"/>
      <c r="U72" s="12"/>
      <c r="V72" s="12"/>
    </row>
    <row r="73" spans="1:22">
      <c r="A73" s="12"/>
      <c r="B73" s="93"/>
      <c r="C73" s="12"/>
      <c r="D73" s="94"/>
      <c r="E73" s="94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95"/>
      <c r="R73" s="87"/>
      <c r="S73" s="96"/>
      <c r="T73" s="12"/>
      <c r="U73" s="12"/>
      <c r="V73" s="12"/>
    </row>
    <row r="74" spans="1:22">
      <c r="A74" s="12"/>
      <c r="B74" s="93"/>
      <c r="C74" s="12"/>
      <c r="D74" s="94"/>
      <c r="E74" s="94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95"/>
      <c r="R74" s="87"/>
      <c r="S74" s="96"/>
      <c r="T74" s="12"/>
      <c r="U74" s="12"/>
      <c r="V74" s="12"/>
    </row>
    <row r="75" spans="1:22">
      <c r="A75" s="12"/>
      <c r="B75" s="93"/>
      <c r="C75" s="12"/>
      <c r="D75" s="94"/>
      <c r="E75" s="94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95"/>
      <c r="R75" s="87"/>
      <c r="S75" s="96"/>
      <c r="T75" s="12"/>
      <c r="U75" s="12"/>
      <c r="V75" s="12"/>
    </row>
    <row r="76" spans="1:22">
      <c r="A76" s="12"/>
      <c r="B76" s="93"/>
      <c r="C76" s="12"/>
      <c r="D76" s="94"/>
      <c r="E76" s="94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95"/>
      <c r="R76" s="87"/>
      <c r="S76" s="96"/>
      <c r="T76" s="12"/>
      <c r="U76" s="12"/>
      <c r="V76" s="12"/>
    </row>
    <row r="77" spans="1:22">
      <c r="A77" s="12"/>
      <c r="B77" s="93"/>
      <c r="C77" s="12"/>
      <c r="D77" s="94"/>
      <c r="E77" s="94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95"/>
      <c r="R77" s="87"/>
      <c r="S77" s="96"/>
      <c r="T77" s="12"/>
      <c r="U77" s="12"/>
      <c r="V77" s="12"/>
    </row>
    <row r="78" spans="1:22">
      <c r="A78" s="12"/>
      <c r="B78" s="93"/>
      <c r="C78" s="12"/>
      <c r="D78" s="94"/>
      <c r="E78" s="94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95"/>
      <c r="R78" s="87"/>
      <c r="S78" s="96"/>
      <c r="T78" s="12"/>
      <c r="U78" s="12"/>
      <c r="V78" s="12"/>
    </row>
    <row r="79" spans="1:22">
      <c r="A79" s="12"/>
      <c r="B79" s="93"/>
      <c r="C79" s="12"/>
      <c r="D79" s="94"/>
      <c r="E79" s="94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95"/>
      <c r="R79" s="87"/>
      <c r="S79" s="96"/>
      <c r="T79" s="12"/>
      <c r="U79" s="12"/>
      <c r="V79" s="12"/>
    </row>
    <row r="80" spans="1:22">
      <c r="A80" s="12"/>
      <c r="B80" s="93"/>
      <c r="C80" s="12"/>
      <c r="D80" s="94"/>
      <c r="E80" s="94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95"/>
      <c r="R80" s="87"/>
      <c r="S80" s="96"/>
      <c r="T80" s="12"/>
      <c r="U80" s="12"/>
      <c r="V80" s="12"/>
    </row>
    <row r="81" spans="1:22">
      <c r="A81" s="12"/>
      <c r="B81" s="93"/>
      <c r="C81" s="12"/>
      <c r="D81" s="94"/>
      <c r="E81" s="94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95"/>
      <c r="R81" s="87"/>
      <c r="S81" s="96"/>
      <c r="T81" s="12"/>
      <c r="U81" s="12"/>
      <c r="V81" s="12"/>
    </row>
    <row r="82" spans="1:22">
      <c r="A82" s="12"/>
      <c r="B82" s="93"/>
      <c r="C82" s="12"/>
      <c r="D82" s="94"/>
      <c r="E82" s="94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95"/>
      <c r="R82" s="87"/>
      <c r="S82" s="96"/>
      <c r="T82" s="12"/>
      <c r="U82" s="12"/>
      <c r="V82" s="12"/>
    </row>
    <row r="83" spans="1:22">
      <c r="A83" s="12"/>
      <c r="B83" s="93"/>
      <c r="C83" s="12"/>
      <c r="D83" s="94"/>
      <c r="E83" s="94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95"/>
      <c r="R83" s="87"/>
      <c r="S83" s="96"/>
      <c r="T83" s="12"/>
      <c r="U83" s="12"/>
      <c r="V83" s="12"/>
    </row>
    <row r="84" spans="1:22">
      <c r="A84" s="12"/>
      <c r="B84" s="93"/>
      <c r="C84" s="12"/>
      <c r="D84" s="94"/>
      <c r="E84" s="94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95"/>
      <c r="R84" s="87"/>
      <c r="S84" s="96"/>
      <c r="T84" s="12"/>
      <c r="U84" s="12"/>
      <c r="V84" s="12"/>
    </row>
    <row r="85" spans="1:22">
      <c r="A85" s="12"/>
      <c r="B85" s="93"/>
      <c r="C85" s="12"/>
      <c r="D85" s="94"/>
      <c r="E85" s="94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95"/>
      <c r="R85" s="87"/>
      <c r="S85" s="96"/>
      <c r="T85" s="12"/>
      <c r="U85" s="12"/>
      <c r="V85" s="12"/>
    </row>
    <row r="86" spans="1:22">
      <c r="A86" s="12"/>
      <c r="B86" s="93"/>
      <c r="C86" s="12"/>
      <c r="D86" s="94"/>
      <c r="E86" s="94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95"/>
      <c r="R86" s="87"/>
      <c r="S86" s="96"/>
      <c r="T86" s="12"/>
      <c r="U86" s="12"/>
      <c r="V86" s="12"/>
    </row>
    <row r="87" spans="1:22">
      <c r="A87" s="12"/>
      <c r="B87" s="93"/>
      <c r="C87" s="12"/>
      <c r="D87" s="94"/>
      <c r="E87" s="94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95"/>
      <c r="R87" s="87"/>
      <c r="S87" s="96"/>
      <c r="T87" s="12"/>
      <c r="U87" s="12"/>
      <c r="V87" s="12"/>
    </row>
    <row r="88" spans="1:22">
      <c r="A88" s="12"/>
      <c r="B88" s="93"/>
      <c r="C88" s="12"/>
      <c r="D88" s="94"/>
      <c r="E88" s="94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95"/>
      <c r="R88" s="87"/>
      <c r="S88" s="96"/>
      <c r="T88" s="12"/>
      <c r="U88" s="12"/>
      <c r="V88" s="12"/>
    </row>
    <row r="89" spans="1:22">
      <c r="A89" s="12"/>
      <c r="B89" s="93"/>
      <c r="C89" s="12"/>
      <c r="D89" s="94"/>
      <c r="E89" s="94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95"/>
      <c r="R89" s="87"/>
      <c r="S89" s="96"/>
      <c r="T89" s="12"/>
      <c r="U89" s="12"/>
      <c r="V89" s="12"/>
    </row>
    <row r="90" spans="1:22">
      <c r="A90" s="12"/>
      <c r="B90" s="93"/>
      <c r="C90" s="12"/>
      <c r="D90" s="94"/>
      <c r="E90" s="94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95"/>
      <c r="R90" s="87"/>
      <c r="S90" s="96"/>
      <c r="T90" s="12"/>
      <c r="U90" s="12"/>
      <c r="V90" s="12"/>
    </row>
    <row r="91" spans="1:22">
      <c r="A91" s="12"/>
      <c r="B91" s="93"/>
      <c r="C91" s="12"/>
      <c r="D91" s="94"/>
      <c r="E91" s="94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95"/>
      <c r="R91" s="87"/>
      <c r="S91" s="96"/>
      <c r="T91" s="12"/>
      <c r="U91" s="12"/>
      <c r="V91" s="12"/>
    </row>
    <row r="92" spans="1:22">
      <c r="A92" s="12"/>
      <c r="B92" s="93"/>
      <c r="C92" s="12"/>
      <c r="D92" s="94"/>
      <c r="E92" s="94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95"/>
      <c r="R92" s="87"/>
      <c r="S92" s="96"/>
      <c r="T92" s="12"/>
      <c r="U92" s="12"/>
      <c r="V92" s="12"/>
    </row>
    <row r="93" spans="1:22">
      <c r="A93" s="12"/>
      <c r="B93" s="93"/>
      <c r="C93" s="12"/>
      <c r="D93" s="94"/>
      <c r="E93" s="94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95"/>
      <c r="R93" s="87"/>
      <c r="S93" s="96"/>
      <c r="T93" s="12"/>
      <c r="U93" s="12"/>
      <c r="V93" s="12"/>
    </row>
    <row r="94" spans="1:22">
      <c r="A94" s="12"/>
      <c r="B94" s="93"/>
      <c r="C94" s="12"/>
      <c r="D94" s="94"/>
      <c r="E94" s="94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95"/>
      <c r="R94" s="87"/>
      <c r="S94" s="96"/>
      <c r="T94" s="12"/>
      <c r="U94" s="12"/>
      <c r="V94" s="12"/>
    </row>
    <row r="95" spans="1:22">
      <c r="A95" s="12"/>
      <c r="B95" s="93"/>
      <c r="C95" s="12"/>
      <c r="D95" s="94"/>
      <c r="E95" s="94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95"/>
      <c r="R95" s="87"/>
      <c r="S95" s="96"/>
      <c r="T95" s="12"/>
      <c r="U95" s="12"/>
      <c r="V95" s="12"/>
    </row>
    <row r="96" spans="1:22">
      <c r="A96" s="12"/>
      <c r="B96" s="93"/>
      <c r="C96" s="12"/>
      <c r="D96" s="94"/>
      <c r="E96" s="94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95"/>
      <c r="R96" s="87"/>
      <c r="S96" s="96"/>
      <c r="T96" s="12"/>
      <c r="U96" s="12"/>
      <c r="V96" s="12"/>
    </row>
    <row r="97" spans="1:22">
      <c r="A97" s="12"/>
      <c r="B97" s="93"/>
      <c r="C97" s="12"/>
      <c r="D97" s="94"/>
      <c r="E97" s="94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95"/>
      <c r="R97" s="87"/>
      <c r="S97" s="96"/>
      <c r="T97" s="12"/>
      <c r="U97" s="12"/>
      <c r="V97" s="12"/>
    </row>
    <row r="98" spans="1:22">
      <c r="A98" s="12"/>
      <c r="B98" s="93"/>
      <c r="C98" s="12"/>
      <c r="D98" s="94"/>
      <c r="E98" s="94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95"/>
      <c r="R98" s="87"/>
      <c r="S98" s="96"/>
      <c r="T98" s="12"/>
      <c r="U98" s="12"/>
      <c r="V98" s="12"/>
    </row>
    <row r="99" spans="1:22">
      <c r="A99" s="12"/>
      <c r="B99" s="93"/>
      <c r="C99" s="12"/>
      <c r="D99" s="94"/>
      <c r="E99" s="94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95"/>
      <c r="R99" s="87"/>
      <c r="S99" s="96"/>
      <c r="T99" s="12"/>
      <c r="U99" s="12"/>
      <c r="V99" s="12"/>
    </row>
    <row r="100" spans="1:22">
      <c r="A100" s="12"/>
      <c r="B100" s="93"/>
      <c r="C100" s="12"/>
      <c r="D100" s="94"/>
      <c r="E100" s="94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95"/>
      <c r="R100" s="87"/>
      <c r="S100" s="96"/>
      <c r="T100" s="12"/>
      <c r="U100" s="12"/>
      <c r="V100" s="12"/>
    </row>
    <row r="101" spans="1:22">
      <c r="A101" s="12"/>
      <c r="B101" s="93"/>
      <c r="C101" s="12"/>
      <c r="D101" s="94"/>
      <c r="E101" s="94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95"/>
      <c r="R101" s="87"/>
      <c r="S101" s="96"/>
      <c r="T101" s="12"/>
      <c r="U101" s="12"/>
      <c r="V101" s="12"/>
    </row>
    <row r="102" spans="1:22">
      <c r="A102" s="12"/>
      <c r="B102" s="93"/>
      <c r="C102" s="12"/>
      <c r="D102" s="94"/>
      <c r="E102" s="94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95"/>
      <c r="R102" s="87"/>
      <c r="S102" s="96"/>
      <c r="T102" s="12"/>
      <c r="U102" s="12"/>
      <c r="V102" s="12"/>
    </row>
    <row r="103" spans="1:22">
      <c r="A103" s="12"/>
      <c r="B103" s="93"/>
      <c r="C103" s="12"/>
      <c r="D103" s="94"/>
      <c r="E103" s="94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95"/>
      <c r="R103" s="87"/>
      <c r="S103" s="96"/>
      <c r="T103" s="12"/>
      <c r="U103" s="12"/>
      <c r="V103" s="12"/>
    </row>
    <row r="104" spans="1:22">
      <c r="A104" s="12"/>
      <c r="B104" s="93"/>
      <c r="C104" s="12"/>
      <c r="D104" s="94"/>
      <c r="E104" s="94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95"/>
      <c r="R104" s="87"/>
      <c r="S104" s="96"/>
      <c r="T104" s="12"/>
      <c r="U104" s="12"/>
      <c r="V104" s="12"/>
    </row>
    <row r="105" spans="1:22">
      <c r="A105" s="12"/>
      <c r="B105" s="93"/>
      <c r="C105" s="12"/>
      <c r="D105" s="94"/>
      <c r="E105" s="94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95"/>
      <c r="R105" s="87"/>
      <c r="S105" s="96"/>
      <c r="T105" s="12"/>
      <c r="U105" s="12"/>
      <c r="V105" s="12"/>
    </row>
    <row r="106" spans="1:22">
      <c r="A106" s="12"/>
      <c r="B106" s="93"/>
      <c r="C106" s="12"/>
      <c r="D106" s="94"/>
      <c r="E106" s="94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95"/>
      <c r="R106" s="87"/>
      <c r="S106" s="96"/>
      <c r="T106" s="12"/>
      <c r="U106" s="12"/>
      <c r="V106" s="12"/>
    </row>
    <row r="107" spans="1:22">
      <c r="A107" s="12"/>
      <c r="B107" s="93"/>
      <c r="C107" s="12"/>
      <c r="D107" s="94"/>
      <c r="E107" s="94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95"/>
      <c r="R107" s="87"/>
      <c r="S107" s="96"/>
      <c r="T107" s="12"/>
      <c r="U107" s="12"/>
      <c r="V107" s="12"/>
    </row>
    <row r="108" spans="1:22">
      <c r="A108" s="12"/>
      <c r="B108" s="93"/>
      <c r="C108" s="12"/>
      <c r="D108" s="94"/>
      <c r="E108" s="94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95"/>
      <c r="R108" s="87"/>
      <c r="S108" s="96"/>
      <c r="T108" s="12"/>
      <c r="U108" s="12"/>
      <c r="V108" s="12"/>
    </row>
    <row r="109" spans="1:22">
      <c r="A109" s="12"/>
      <c r="B109" s="93"/>
      <c r="C109" s="12"/>
      <c r="D109" s="94"/>
      <c r="E109" s="94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95"/>
      <c r="R109" s="87"/>
      <c r="S109" s="96"/>
      <c r="T109" s="12"/>
      <c r="U109" s="12"/>
      <c r="V109" s="12"/>
    </row>
    <row r="110" spans="1:22">
      <c r="A110" s="12"/>
      <c r="B110" s="93"/>
      <c r="C110" s="12"/>
      <c r="D110" s="94"/>
      <c r="E110" s="94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95"/>
      <c r="R110" s="87"/>
      <c r="S110" s="96"/>
      <c r="T110" s="12"/>
      <c r="U110" s="12"/>
      <c r="V110" s="12"/>
    </row>
    <row r="111" spans="1:22">
      <c r="A111" s="12"/>
      <c r="B111" s="93"/>
      <c r="C111" s="12"/>
      <c r="D111" s="94"/>
      <c r="E111" s="94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95"/>
      <c r="R111" s="87"/>
      <c r="S111" s="96"/>
      <c r="T111" s="12"/>
      <c r="U111" s="12"/>
      <c r="V111" s="12"/>
    </row>
    <row r="112" spans="1:22">
      <c r="A112" s="12"/>
      <c r="B112" s="93"/>
      <c r="C112" s="12"/>
      <c r="D112" s="94"/>
      <c r="E112" s="94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95"/>
      <c r="R112" s="87"/>
      <c r="S112" s="96"/>
      <c r="T112" s="12"/>
      <c r="U112" s="12"/>
      <c r="V112" s="12"/>
    </row>
    <row r="113" spans="1:22">
      <c r="A113" s="12"/>
      <c r="B113" s="93"/>
      <c r="C113" s="12"/>
      <c r="D113" s="94"/>
      <c r="E113" s="94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95"/>
      <c r="R113" s="87"/>
      <c r="S113" s="96"/>
      <c r="T113" s="12"/>
      <c r="U113" s="12"/>
      <c r="V113" s="12"/>
    </row>
    <row r="114" spans="1:22">
      <c r="A114" s="12"/>
      <c r="B114" s="93"/>
      <c r="C114" s="12"/>
      <c r="D114" s="94"/>
      <c r="E114" s="94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95"/>
      <c r="R114" s="87"/>
      <c r="S114" s="96"/>
      <c r="T114" s="12"/>
      <c r="U114" s="12"/>
      <c r="V114" s="12"/>
    </row>
    <row r="115" spans="1:22">
      <c r="A115" s="12"/>
      <c r="B115" s="93"/>
      <c r="C115" s="12"/>
      <c r="D115" s="94"/>
      <c r="E115" s="94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95"/>
      <c r="R115" s="87"/>
      <c r="S115" s="96"/>
      <c r="T115" s="12"/>
      <c r="U115" s="12"/>
      <c r="V115" s="12"/>
    </row>
    <row r="116" spans="1:22">
      <c r="A116" s="12"/>
      <c r="B116" s="93"/>
      <c r="C116" s="12"/>
      <c r="D116" s="94"/>
      <c r="E116" s="94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95"/>
      <c r="R116" s="87"/>
      <c r="S116" s="96"/>
      <c r="T116" s="12"/>
      <c r="U116" s="12"/>
      <c r="V116" s="12"/>
    </row>
    <row r="117" spans="1:22">
      <c r="A117" s="12"/>
      <c r="B117" s="93"/>
      <c r="C117" s="12"/>
      <c r="D117" s="94"/>
      <c r="E117" s="94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95"/>
      <c r="R117" s="87"/>
      <c r="S117" s="96"/>
      <c r="T117" s="12"/>
      <c r="U117" s="12"/>
      <c r="V117" s="12"/>
    </row>
    <row r="118" spans="1:22">
      <c r="A118" s="12"/>
      <c r="B118" s="93"/>
      <c r="C118" s="12"/>
      <c r="D118" s="94"/>
      <c r="E118" s="94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95"/>
      <c r="R118" s="87"/>
      <c r="S118" s="96"/>
      <c r="T118" s="12"/>
      <c r="U118" s="12"/>
      <c r="V118" s="12"/>
    </row>
    <row r="119" spans="1:22">
      <c r="A119" s="12"/>
      <c r="B119" s="93"/>
      <c r="C119" s="12"/>
      <c r="D119" s="94"/>
      <c r="E119" s="94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95"/>
      <c r="R119" s="87"/>
      <c r="S119" s="96"/>
      <c r="T119" s="12"/>
      <c r="U119" s="12"/>
      <c r="V119" s="12"/>
    </row>
    <row r="120" spans="1:22">
      <c r="A120" s="12"/>
      <c r="B120" s="93"/>
      <c r="C120" s="12"/>
      <c r="D120" s="94"/>
      <c r="E120" s="94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95"/>
      <c r="R120" s="87"/>
      <c r="S120" s="96"/>
      <c r="T120" s="12"/>
      <c r="U120" s="12"/>
      <c r="V120" s="12"/>
    </row>
    <row r="121" spans="1:22">
      <c r="A121" s="12"/>
      <c r="B121" s="93"/>
      <c r="C121" s="12"/>
      <c r="D121" s="94"/>
      <c r="E121" s="94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95"/>
      <c r="R121" s="87"/>
      <c r="S121" s="96"/>
      <c r="T121" s="12"/>
      <c r="U121" s="12"/>
      <c r="V121" s="12"/>
    </row>
    <row r="122" spans="1:22">
      <c r="A122" s="12"/>
      <c r="B122" s="93"/>
      <c r="C122" s="12"/>
      <c r="D122" s="94"/>
      <c r="E122" s="94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95"/>
      <c r="R122" s="87"/>
      <c r="S122" s="96"/>
      <c r="T122" s="12"/>
      <c r="U122" s="12"/>
      <c r="V122" s="12"/>
    </row>
    <row r="123" spans="1:22">
      <c r="A123" s="12"/>
      <c r="B123" s="93"/>
      <c r="C123" s="12"/>
      <c r="D123" s="94"/>
      <c r="E123" s="94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95"/>
      <c r="R123" s="87"/>
      <c r="S123" s="96"/>
      <c r="T123" s="12"/>
      <c r="U123" s="12"/>
      <c r="V123" s="12"/>
    </row>
    <row r="124" spans="1:22">
      <c r="A124" s="12"/>
      <c r="B124" s="93"/>
      <c r="C124" s="12"/>
      <c r="D124" s="94"/>
      <c r="E124" s="94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95"/>
      <c r="R124" s="87"/>
      <c r="S124" s="96"/>
      <c r="T124" s="12"/>
      <c r="U124" s="12"/>
      <c r="V124" s="12"/>
    </row>
    <row r="125" spans="1:22">
      <c r="A125" s="12"/>
      <c r="B125" s="93"/>
      <c r="C125" s="12"/>
      <c r="D125" s="94"/>
      <c r="E125" s="94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95"/>
      <c r="R125" s="87"/>
      <c r="S125" s="96"/>
      <c r="T125" s="12"/>
      <c r="U125" s="12"/>
      <c r="V125" s="12"/>
    </row>
    <row r="126" spans="1:22">
      <c r="A126" s="12"/>
      <c r="B126" s="93"/>
      <c r="C126" s="12"/>
      <c r="D126" s="94"/>
      <c r="E126" s="94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95"/>
      <c r="R126" s="87"/>
      <c r="S126" s="96"/>
      <c r="T126" s="12"/>
      <c r="U126" s="12"/>
      <c r="V126" s="12"/>
    </row>
    <row r="127" spans="1:22">
      <c r="A127" s="12"/>
      <c r="B127" s="93"/>
      <c r="C127" s="12"/>
      <c r="D127" s="94"/>
      <c r="E127" s="94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95"/>
      <c r="R127" s="87"/>
      <c r="S127" s="96"/>
      <c r="T127" s="12"/>
      <c r="U127" s="12"/>
      <c r="V127" s="12"/>
    </row>
    <row r="128" spans="1:22">
      <c r="A128" s="12"/>
      <c r="B128" s="93"/>
      <c r="C128" s="12"/>
      <c r="D128" s="94"/>
      <c r="E128" s="94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95"/>
      <c r="R128" s="87"/>
      <c r="S128" s="96"/>
      <c r="T128" s="12"/>
      <c r="U128" s="12"/>
      <c r="V128" s="12"/>
    </row>
    <row r="129" spans="1:22">
      <c r="A129" s="12"/>
      <c r="B129" s="93"/>
      <c r="C129" s="12"/>
      <c r="D129" s="94"/>
      <c r="E129" s="94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95"/>
      <c r="R129" s="87"/>
      <c r="S129" s="96"/>
      <c r="T129" s="12"/>
      <c r="U129" s="12"/>
      <c r="V129" s="12"/>
    </row>
    <row r="130" spans="1:22">
      <c r="A130" s="12"/>
      <c r="B130" s="93"/>
      <c r="C130" s="12"/>
      <c r="D130" s="94"/>
      <c r="E130" s="94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95"/>
      <c r="R130" s="87"/>
      <c r="S130" s="96"/>
      <c r="T130" s="12"/>
      <c r="U130" s="12"/>
      <c r="V130" s="12"/>
    </row>
    <row r="131" spans="1:22">
      <c r="A131" s="12"/>
      <c r="B131" s="93"/>
      <c r="C131" s="12"/>
      <c r="D131" s="94"/>
      <c r="E131" s="94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95"/>
      <c r="R131" s="87"/>
      <c r="S131" s="96"/>
      <c r="T131" s="12"/>
      <c r="U131" s="12"/>
      <c r="V131" s="12"/>
    </row>
    <row r="132" spans="1:22">
      <c r="A132" s="12"/>
      <c r="B132" s="93"/>
      <c r="C132" s="12"/>
      <c r="D132" s="94"/>
      <c r="E132" s="94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95"/>
      <c r="R132" s="87"/>
      <c r="S132" s="96"/>
      <c r="T132" s="12"/>
      <c r="U132" s="12"/>
      <c r="V132" s="12"/>
    </row>
    <row r="133" spans="1:22">
      <c r="A133" s="12"/>
      <c r="B133" s="93"/>
      <c r="C133" s="12"/>
      <c r="D133" s="94"/>
      <c r="E133" s="94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95"/>
      <c r="R133" s="87"/>
      <c r="S133" s="96"/>
      <c r="T133" s="12"/>
      <c r="U133" s="12"/>
      <c r="V133" s="12"/>
    </row>
    <row r="134" spans="1:22">
      <c r="A134" s="12"/>
      <c r="B134" s="93"/>
      <c r="C134" s="12"/>
      <c r="D134" s="94"/>
      <c r="E134" s="94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95"/>
      <c r="R134" s="87"/>
      <c r="S134" s="96"/>
      <c r="T134" s="12"/>
      <c r="U134" s="12"/>
      <c r="V134" s="12"/>
    </row>
    <row r="135" spans="1:22">
      <c r="A135" s="12"/>
      <c r="B135" s="93"/>
      <c r="C135" s="12"/>
      <c r="D135" s="94"/>
      <c r="E135" s="94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95"/>
      <c r="R135" s="87"/>
      <c r="S135" s="96"/>
      <c r="T135" s="12"/>
      <c r="U135" s="12"/>
      <c r="V135" s="12"/>
    </row>
    <row r="136" spans="1:22">
      <c r="A136" s="12"/>
      <c r="B136" s="93"/>
      <c r="C136" s="12"/>
      <c r="D136" s="94"/>
      <c r="E136" s="94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95"/>
      <c r="R136" s="87"/>
      <c r="S136" s="96"/>
      <c r="T136" s="12"/>
      <c r="U136" s="12"/>
      <c r="V136" s="12"/>
    </row>
    <row r="137" spans="1:22">
      <c r="A137" s="12"/>
      <c r="B137" s="93"/>
      <c r="C137" s="12"/>
      <c r="D137" s="94"/>
      <c r="E137" s="94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95"/>
      <c r="R137" s="87"/>
      <c r="S137" s="96"/>
      <c r="T137" s="12"/>
      <c r="U137" s="12"/>
      <c r="V137" s="12"/>
    </row>
    <row r="138" spans="1:22">
      <c r="A138" s="12"/>
      <c r="B138" s="93"/>
      <c r="C138" s="12"/>
      <c r="D138" s="94"/>
      <c r="E138" s="94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95"/>
      <c r="R138" s="87"/>
      <c r="S138" s="96"/>
      <c r="T138" s="12"/>
      <c r="U138" s="12"/>
      <c r="V138" s="12"/>
    </row>
    <row r="139" spans="1:22">
      <c r="A139" s="12"/>
      <c r="B139" s="93"/>
      <c r="C139" s="12"/>
      <c r="D139" s="94"/>
      <c r="E139" s="94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95"/>
      <c r="R139" s="87"/>
      <c r="S139" s="96"/>
      <c r="T139" s="12"/>
      <c r="U139" s="12"/>
      <c r="V139" s="12"/>
    </row>
    <row r="140" spans="1:22">
      <c r="A140" s="12"/>
      <c r="B140" s="93"/>
      <c r="C140" s="12"/>
      <c r="D140" s="94"/>
      <c r="E140" s="94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95"/>
      <c r="R140" s="87"/>
      <c r="S140" s="96"/>
      <c r="T140" s="12"/>
      <c r="U140" s="12"/>
      <c r="V140" s="12"/>
    </row>
    <row r="141" spans="1:22">
      <c r="A141" s="12"/>
      <c r="B141" s="93"/>
      <c r="C141" s="12"/>
      <c r="D141" s="94"/>
      <c r="E141" s="94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95"/>
      <c r="R141" s="87"/>
      <c r="S141" s="96"/>
      <c r="T141" s="12"/>
      <c r="U141" s="12"/>
      <c r="V141" s="12"/>
    </row>
    <row r="142" spans="1:22">
      <c r="A142" s="12"/>
      <c r="B142" s="93"/>
      <c r="C142" s="12"/>
      <c r="D142" s="94"/>
      <c r="E142" s="94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95"/>
      <c r="R142" s="87"/>
      <c r="S142" s="96"/>
      <c r="T142" s="12"/>
      <c r="U142" s="12"/>
      <c r="V142" s="12"/>
    </row>
    <row r="143" spans="1:22">
      <c r="A143" s="12"/>
      <c r="B143" s="93"/>
      <c r="C143" s="12"/>
      <c r="D143" s="94"/>
      <c r="E143" s="94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95"/>
      <c r="R143" s="87"/>
      <c r="S143" s="96"/>
      <c r="T143" s="12"/>
      <c r="U143" s="12"/>
      <c r="V143" s="12"/>
    </row>
    <row r="144" spans="1:22">
      <c r="A144" s="12"/>
      <c r="B144" s="93"/>
      <c r="C144" s="12"/>
      <c r="D144" s="94"/>
      <c r="E144" s="94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95"/>
      <c r="R144" s="87"/>
      <c r="S144" s="96"/>
      <c r="T144" s="12"/>
      <c r="U144" s="12"/>
      <c r="V144" s="12"/>
    </row>
    <row r="145" spans="1:22">
      <c r="A145" s="12"/>
      <c r="B145" s="93"/>
      <c r="C145" s="12"/>
      <c r="D145" s="94"/>
      <c r="E145" s="94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95"/>
      <c r="R145" s="87"/>
      <c r="S145" s="96"/>
      <c r="T145" s="12"/>
      <c r="U145" s="12"/>
      <c r="V145" s="12"/>
    </row>
    <row r="146" spans="1:22">
      <c r="A146" s="12"/>
      <c r="B146" s="93"/>
      <c r="C146" s="12"/>
      <c r="D146" s="94"/>
      <c r="E146" s="94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95"/>
      <c r="R146" s="87"/>
      <c r="S146" s="96"/>
      <c r="T146" s="12"/>
      <c r="U146" s="12"/>
      <c r="V146" s="12"/>
    </row>
    <row r="147" spans="1:22">
      <c r="A147" s="12"/>
      <c r="B147" s="93"/>
      <c r="C147" s="12"/>
      <c r="D147" s="94"/>
      <c r="E147" s="94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95"/>
      <c r="R147" s="87"/>
      <c r="S147" s="96"/>
      <c r="T147" s="12"/>
      <c r="U147" s="12"/>
      <c r="V147" s="12"/>
    </row>
    <row r="148" spans="1:22">
      <c r="A148" s="12"/>
      <c r="B148" s="93"/>
      <c r="C148" s="12"/>
      <c r="D148" s="94"/>
      <c r="E148" s="94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95"/>
      <c r="R148" s="87"/>
      <c r="S148" s="96"/>
      <c r="T148" s="12"/>
      <c r="U148" s="12"/>
      <c r="V148" s="12"/>
    </row>
    <row r="149" spans="1:22">
      <c r="A149" s="12"/>
      <c r="B149" s="93"/>
      <c r="C149" s="12"/>
      <c r="D149" s="94"/>
      <c r="E149" s="94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95"/>
      <c r="R149" s="87"/>
      <c r="S149" s="96"/>
      <c r="T149" s="12"/>
      <c r="U149" s="12"/>
      <c r="V149" s="12"/>
    </row>
    <row r="150" spans="1:22">
      <c r="A150" s="12"/>
      <c r="B150" s="93"/>
      <c r="C150" s="12"/>
      <c r="D150" s="94"/>
      <c r="E150" s="94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95"/>
      <c r="R150" s="87"/>
      <c r="S150" s="96"/>
      <c r="T150" s="12"/>
      <c r="U150" s="12"/>
      <c r="V150" s="12"/>
    </row>
    <row r="151" spans="1:22">
      <c r="A151" s="12"/>
      <c r="B151" s="93"/>
      <c r="C151" s="12"/>
      <c r="D151" s="94"/>
      <c r="E151" s="94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95"/>
      <c r="R151" s="87"/>
      <c r="S151" s="96"/>
      <c r="T151" s="12"/>
      <c r="U151" s="12"/>
      <c r="V151" s="12"/>
    </row>
    <row r="152" spans="1:22">
      <c r="A152" s="12"/>
      <c r="B152" s="93"/>
      <c r="C152" s="12"/>
      <c r="D152" s="94"/>
      <c r="E152" s="94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95"/>
      <c r="R152" s="87"/>
      <c r="S152" s="96"/>
      <c r="T152" s="12"/>
      <c r="U152" s="12"/>
      <c r="V152" s="12"/>
    </row>
    <row r="153" spans="1:22">
      <c r="A153" s="12"/>
      <c r="B153" s="93"/>
      <c r="C153" s="12"/>
      <c r="D153" s="94"/>
      <c r="E153" s="94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95"/>
      <c r="R153" s="87"/>
      <c r="S153" s="96"/>
      <c r="T153" s="12"/>
      <c r="U153" s="12"/>
      <c r="V153" s="12"/>
    </row>
    <row r="154" spans="1:22">
      <c r="A154" s="12"/>
      <c r="B154" s="93"/>
      <c r="C154" s="12"/>
      <c r="D154" s="94"/>
      <c r="E154" s="94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95"/>
      <c r="R154" s="87"/>
      <c r="S154" s="96"/>
      <c r="T154" s="12"/>
      <c r="U154" s="12"/>
      <c r="V154" s="12"/>
    </row>
    <row r="155" spans="1:22">
      <c r="A155" s="12"/>
      <c r="B155" s="93"/>
      <c r="C155" s="12"/>
      <c r="D155" s="94"/>
      <c r="E155" s="94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95"/>
      <c r="R155" s="87"/>
      <c r="S155" s="96"/>
      <c r="T155" s="12"/>
      <c r="U155" s="12"/>
      <c r="V155" s="12"/>
    </row>
    <row r="156" spans="1:22">
      <c r="A156" s="12"/>
      <c r="B156" s="93"/>
      <c r="C156" s="12"/>
      <c r="D156" s="94"/>
      <c r="E156" s="94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95"/>
      <c r="R156" s="87"/>
      <c r="S156" s="96"/>
      <c r="T156" s="12"/>
      <c r="U156" s="12"/>
      <c r="V156" s="12"/>
    </row>
    <row r="157" spans="1:22">
      <c r="A157" s="12"/>
      <c r="B157" s="93"/>
      <c r="C157" s="12"/>
      <c r="D157" s="94"/>
      <c r="E157" s="94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95"/>
      <c r="R157" s="87"/>
      <c r="S157" s="96"/>
      <c r="T157" s="12"/>
      <c r="U157" s="12"/>
      <c r="V157" s="12"/>
    </row>
    <row r="158" spans="1:22">
      <c r="A158" s="12"/>
      <c r="B158" s="93"/>
      <c r="C158" s="12"/>
      <c r="D158" s="94"/>
      <c r="E158" s="94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95"/>
      <c r="R158" s="87"/>
      <c r="S158" s="96"/>
      <c r="T158" s="12"/>
      <c r="U158" s="12"/>
      <c r="V158" s="12"/>
    </row>
    <row r="159" spans="1:22">
      <c r="A159" s="12"/>
      <c r="B159" s="93"/>
      <c r="C159" s="12"/>
      <c r="D159" s="94"/>
      <c r="E159" s="94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95"/>
      <c r="R159" s="87"/>
      <c r="S159" s="96"/>
      <c r="T159" s="12"/>
      <c r="U159" s="12"/>
      <c r="V159" s="12"/>
    </row>
    <row r="160" spans="1:22">
      <c r="A160" s="12"/>
      <c r="B160" s="93"/>
      <c r="C160" s="12"/>
      <c r="D160" s="94"/>
      <c r="E160" s="94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95"/>
      <c r="R160" s="87"/>
      <c r="S160" s="96"/>
      <c r="T160" s="12"/>
      <c r="U160" s="12"/>
      <c r="V160" s="12"/>
    </row>
    <row r="161" spans="1:22">
      <c r="A161" s="12"/>
      <c r="B161" s="93"/>
      <c r="C161" s="12"/>
      <c r="D161" s="94"/>
      <c r="E161" s="94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95"/>
      <c r="R161" s="87"/>
      <c r="S161" s="96"/>
      <c r="T161" s="12"/>
      <c r="U161" s="12"/>
      <c r="V161" s="12"/>
    </row>
    <row r="162" spans="1:22">
      <c r="A162" s="12"/>
      <c r="B162" s="93"/>
      <c r="C162" s="12"/>
      <c r="D162" s="94"/>
      <c r="E162" s="94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95"/>
      <c r="R162" s="87"/>
      <c r="S162" s="96"/>
      <c r="T162" s="12"/>
      <c r="U162" s="12"/>
      <c r="V162" s="12"/>
    </row>
    <row r="163" spans="1:22">
      <c r="A163" s="12"/>
      <c r="B163" s="93"/>
      <c r="C163" s="12"/>
      <c r="D163" s="94"/>
      <c r="E163" s="94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95"/>
      <c r="R163" s="87"/>
      <c r="S163" s="96"/>
      <c r="T163" s="12"/>
      <c r="U163" s="12"/>
      <c r="V163" s="12"/>
    </row>
    <row r="164" spans="1:22">
      <c r="A164" s="12"/>
      <c r="B164" s="93"/>
      <c r="C164" s="12"/>
      <c r="D164" s="94"/>
      <c r="E164" s="94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95"/>
      <c r="R164" s="87"/>
      <c r="S164" s="96"/>
      <c r="T164" s="12"/>
      <c r="U164" s="12"/>
      <c r="V164" s="12"/>
    </row>
    <row r="165" spans="1:22">
      <c r="A165" s="12"/>
      <c r="B165" s="93"/>
      <c r="C165" s="12"/>
      <c r="D165" s="94"/>
      <c r="E165" s="94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95"/>
      <c r="R165" s="87"/>
      <c r="S165" s="96"/>
      <c r="T165" s="12"/>
      <c r="U165" s="12"/>
      <c r="V165" s="12"/>
    </row>
    <row r="166" spans="1:22">
      <c r="A166" s="12"/>
      <c r="B166" s="93"/>
      <c r="C166" s="12"/>
      <c r="D166" s="94"/>
      <c r="E166" s="94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95"/>
      <c r="R166" s="87"/>
      <c r="S166" s="96"/>
      <c r="T166" s="12"/>
      <c r="U166" s="12"/>
      <c r="V166" s="12"/>
    </row>
    <row r="167" spans="1:22">
      <c r="A167" s="12"/>
      <c r="B167" s="93"/>
      <c r="C167" s="12"/>
      <c r="D167" s="94"/>
      <c r="E167" s="94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95"/>
      <c r="R167" s="87"/>
      <c r="S167" s="96"/>
      <c r="T167" s="12"/>
      <c r="U167" s="12"/>
      <c r="V167" s="12"/>
    </row>
    <row r="168" spans="1:22">
      <c r="A168" s="12"/>
      <c r="B168" s="93"/>
      <c r="C168" s="12"/>
      <c r="D168" s="94"/>
      <c r="E168" s="94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95"/>
      <c r="R168" s="87"/>
      <c r="S168" s="96"/>
      <c r="T168" s="12"/>
      <c r="U168" s="12"/>
      <c r="V168" s="12"/>
    </row>
    <row r="169" spans="1:22">
      <c r="A169" s="12"/>
      <c r="B169" s="93"/>
      <c r="C169" s="12"/>
      <c r="D169" s="94"/>
      <c r="E169" s="94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95"/>
      <c r="R169" s="87"/>
      <c r="S169" s="96"/>
      <c r="T169" s="12"/>
      <c r="U169" s="12"/>
      <c r="V169" s="12"/>
    </row>
    <row r="170" spans="1:22">
      <c r="A170" s="12"/>
      <c r="B170" s="93"/>
      <c r="C170" s="12"/>
      <c r="D170" s="94"/>
      <c r="E170" s="94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95"/>
      <c r="R170" s="87"/>
      <c r="S170" s="96"/>
      <c r="T170" s="12"/>
      <c r="U170" s="12"/>
      <c r="V170" s="12"/>
    </row>
    <row r="171" spans="1:22">
      <c r="A171" s="12"/>
      <c r="B171" s="93"/>
      <c r="C171" s="12"/>
      <c r="D171" s="94"/>
      <c r="E171" s="94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95"/>
      <c r="R171" s="87"/>
      <c r="S171" s="96"/>
      <c r="T171" s="12"/>
      <c r="U171" s="12"/>
      <c r="V171" s="12"/>
    </row>
    <row r="172" spans="1:22">
      <c r="A172" s="12"/>
      <c r="B172" s="93"/>
      <c r="C172" s="12"/>
      <c r="D172" s="94"/>
      <c r="E172" s="94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95"/>
      <c r="R172" s="87"/>
      <c r="S172" s="96"/>
      <c r="T172" s="12"/>
      <c r="U172" s="12"/>
      <c r="V172" s="12"/>
    </row>
    <row r="173" spans="1:22">
      <c r="A173" s="12"/>
      <c r="B173" s="93"/>
      <c r="C173" s="12"/>
      <c r="D173" s="94"/>
      <c r="E173" s="94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95"/>
      <c r="R173" s="87"/>
      <c r="S173" s="96"/>
      <c r="T173" s="12"/>
      <c r="U173" s="12"/>
      <c r="V173" s="12"/>
    </row>
    <row r="174" spans="1:22">
      <c r="A174" s="12"/>
      <c r="B174" s="93"/>
      <c r="C174" s="12"/>
      <c r="D174" s="94"/>
      <c r="E174" s="94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95"/>
      <c r="R174" s="87"/>
      <c r="S174" s="96"/>
      <c r="T174" s="12"/>
      <c r="U174" s="12"/>
      <c r="V174" s="12"/>
    </row>
    <row r="175" spans="1:22">
      <c r="A175" s="12"/>
      <c r="B175" s="93"/>
      <c r="C175" s="12"/>
      <c r="D175" s="94"/>
      <c r="E175" s="94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95"/>
      <c r="R175" s="87"/>
      <c r="S175" s="96"/>
      <c r="T175" s="12"/>
      <c r="U175" s="12"/>
      <c r="V175" s="12"/>
    </row>
    <row r="176" spans="1:22">
      <c r="A176" s="12"/>
      <c r="B176" s="93"/>
      <c r="C176" s="12"/>
      <c r="D176" s="94"/>
      <c r="E176" s="94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95"/>
      <c r="R176" s="87"/>
      <c r="S176" s="96"/>
      <c r="T176" s="12"/>
      <c r="U176" s="12"/>
      <c r="V176" s="12"/>
    </row>
    <row r="177" spans="1:22">
      <c r="A177" s="12"/>
      <c r="B177" s="93"/>
      <c r="C177" s="12"/>
      <c r="D177" s="94"/>
      <c r="E177" s="94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95"/>
      <c r="R177" s="87"/>
      <c r="S177" s="96"/>
      <c r="T177" s="12"/>
      <c r="U177" s="12"/>
      <c r="V177" s="12"/>
    </row>
    <row r="178" spans="1:22">
      <c r="A178" s="12"/>
      <c r="B178" s="93"/>
      <c r="C178" s="12"/>
      <c r="D178" s="94"/>
      <c r="E178" s="94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95"/>
      <c r="R178" s="87"/>
      <c r="S178" s="96"/>
      <c r="T178" s="12"/>
      <c r="U178" s="12"/>
      <c r="V178" s="12"/>
    </row>
    <row r="179" spans="1:22">
      <c r="A179" s="12"/>
      <c r="B179" s="93"/>
      <c r="C179" s="12"/>
      <c r="D179" s="94"/>
      <c r="E179" s="94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95"/>
      <c r="R179" s="87"/>
      <c r="S179" s="96"/>
      <c r="T179" s="12"/>
      <c r="U179" s="12"/>
      <c r="V179" s="12"/>
    </row>
    <row r="180" spans="1:22">
      <c r="A180" s="12"/>
      <c r="B180" s="93"/>
      <c r="C180" s="12"/>
      <c r="D180" s="94"/>
      <c r="E180" s="94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95"/>
      <c r="R180" s="87"/>
      <c r="S180" s="96"/>
      <c r="T180" s="12"/>
      <c r="U180" s="12"/>
      <c r="V180" s="12"/>
    </row>
    <row r="181" spans="1:22">
      <c r="A181" s="12"/>
      <c r="B181" s="93"/>
      <c r="C181" s="12"/>
      <c r="D181" s="94"/>
      <c r="E181" s="94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95"/>
      <c r="R181" s="87"/>
      <c r="S181" s="96"/>
      <c r="T181" s="12"/>
      <c r="U181" s="12"/>
      <c r="V181" s="12"/>
    </row>
    <row r="182" spans="1:22">
      <c r="A182" s="12"/>
      <c r="B182" s="93"/>
      <c r="C182" s="12"/>
      <c r="D182" s="94"/>
      <c r="E182" s="94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95"/>
      <c r="R182" s="87"/>
      <c r="S182" s="96"/>
      <c r="T182" s="12"/>
      <c r="U182" s="12"/>
      <c r="V182" s="12"/>
    </row>
    <row r="183" spans="1:22">
      <c r="A183" s="12"/>
      <c r="B183" s="93"/>
      <c r="C183" s="12"/>
      <c r="D183" s="94"/>
      <c r="E183" s="94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95"/>
      <c r="R183" s="87"/>
      <c r="S183" s="96"/>
      <c r="T183" s="12"/>
      <c r="U183" s="12"/>
      <c r="V183" s="12"/>
    </row>
    <row r="184" spans="1:22">
      <c r="A184" s="12"/>
      <c r="B184" s="93"/>
      <c r="C184" s="12"/>
      <c r="D184" s="94"/>
      <c r="E184" s="94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95"/>
      <c r="R184" s="87"/>
      <c r="S184" s="96"/>
      <c r="T184" s="12"/>
      <c r="U184" s="12"/>
      <c r="V184" s="12"/>
    </row>
    <row r="185" spans="1:22">
      <c r="A185" s="12"/>
      <c r="B185" s="93"/>
      <c r="C185" s="12"/>
      <c r="D185" s="94"/>
      <c r="E185" s="94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95"/>
      <c r="R185" s="87"/>
      <c r="S185" s="96"/>
      <c r="T185" s="12"/>
      <c r="U185" s="12"/>
      <c r="V185" s="12"/>
    </row>
    <row r="186" spans="1:22">
      <c r="A186" s="12"/>
      <c r="B186" s="93"/>
      <c r="C186" s="12"/>
      <c r="D186" s="94"/>
      <c r="E186" s="94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95"/>
      <c r="R186" s="87"/>
      <c r="S186" s="96"/>
      <c r="T186" s="12"/>
      <c r="U186" s="12"/>
      <c r="V186" s="12"/>
    </row>
    <row r="187" spans="1:22">
      <c r="A187" s="12"/>
      <c r="B187" s="93"/>
      <c r="C187" s="12"/>
      <c r="D187" s="94"/>
      <c r="E187" s="94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95"/>
      <c r="R187" s="87"/>
      <c r="S187" s="96"/>
      <c r="T187" s="12"/>
      <c r="U187" s="12"/>
      <c r="V187" s="12"/>
    </row>
    <row r="188" spans="1:22">
      <c r="A188" s="12"/>
      <c r="B188" s="93"/>
      <c r="C188" s="12"/>
      <c r="D188" s="94"/>
      <c r="E188" s="94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95"/>
      <c r="R188" s="87"/>
      <c r="S188" s="96"/>
      <c r="T188" s="12"/>
      <c r="U188" s="12"/>
      <c r="V188" s="12"/>
    </row>
    <row r="189" spans="1:22">
      <c r="A189" s="12"/>
      <c r="B189" s="93"/>
      <c r="C189" s="12"/>
      <c r="D189" s="94"/>
      <c r="E189" s="94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95"/>
      <c r="R189" s="87"/>
      <c r="S189" s="96"/>
      <c r="T189" s="12"/>
      <c r="U189" s="12"/>
      <c r="V189" s="12"/>
    </row>
    <row r="190" spans="1:22">
      <c r="A190" s="12"/>
      <c r="B190" s="93"/>
      <c r="C190" s="12"/>
      <c r="D190" s="94"/>
      <c r="E190" s="94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95"/>
      <c r="R190" s="87"/>
      <c r="S190" s="96"/>
      <c r="T190" s="12"/>
      <c r="U190" s="12"/>
      <c r="V190" s="12"/>
    </row>
    <row r="191" spans="1:22">
      <c r="A191" s="12"/>
      <c r="B191" s="93"/>
      <c r="C191" s="12"/>
      <c r="D191" s="94"/>
      <c r="E191" s="94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95"/>
      <c r="R191" s="87"/>
      <c r="S191" s="96"/>
      <c r="T191" s="12"/>
      <c r="U191" s="12"/>
      <c r="V191" s="12"/>
    </row>
    <row r="192" spans="1:22">
      <c r="A192" s="12"/>
      <c r="B192" s="93"/>
      <c r="C192" s="12"/>
      <c r="D192" s="94"/>
      <c r="E192" s="94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95"/>
      <c r="R192" s="87"/>
      <c r="S192" s="96"/>
      <c r="T192" s="12"/>
      <c r="U192" s="12"/>
      <c r="V192" s="12"/>
    </row>
    <row r="193" spans="1:22">
      <c r="A193" s="12"/>
      <c r="B193" s="93"/>
      <c r="C193" s="12"/>
      <c r="D193" s="94"/>
      <c r="E193" s="94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95"/>
      <c r="R193" s="87"/>
      <c r="S193" s="96"/>
      <c r="T193" s="12"/>
      <c r="U193" s="12"/>
      <c r="V193" s="12"/>
    </row>
    <row r="194" spans="1:22">
      <c r="A194" s="12"/>
      <c r="B194" s="93"/>
      <c r="C194" s="12"/>
      <c r="D194" s="94"/>
      <c r="E194" s="94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95"/>
      <c r="R194" s="87"/>
      <c r="S194" s="96"/>
      <c r="T194" s="12"/>
      <c r="U194" s="12"/>
      <c r="V194" s="12"/>
    </row>
    <row r="195" spans="1:22">
      <c r="A195" s="12"/>
      <c r="B195" s="93"/>
      <c r="C195" s="12"/>
      <c r="D195" s="94"/>
      <c r="E195" s="94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95"/>
      <c r="R195" s="87"/>
      <c r="S195" s="96"/>
      <c r="T195" s="12"/>
      <c r="U195" s="12"/>
      <c r="V195" s="12"/>
    </row>
    <row r="196" spans="1:22">
      <c r="A196" s="12"/>
      <c r="B196" s="93"/>
      <c r="C196" s="12"/>
      <c r="D196" s="94"/>
      <c r="E196" s="94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95"/>
      <c r="R196" s="87"/>
      <c r="S196" s="96"/>
      <c r="T196" s="12"/>
      <c r="U196" s="12"/>
      <c r="V196" s="12"/>
    </row>
    <row r="197" spans="1:22">
      <c r="A197" s="12"/>
      <c r="B197" s="93"/>
      <c r="C197" s="12"/>
      <c r="D197" s="94"/>
      <c r="E197" s="94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95"/>
      <c r="R197" s="87"/>
      <c r="S197" s="96"/>
      <c r="T197" s="12"/>
      <c r="U197" s="12"/>
      <c r="V197" s="12"/>
    </row>
    <row r="198" spans="1:22">
      <c r="A198" s="12"/>
      <c r="B198" s="93"/>
      <c r="C198" s="12"/>
      <c r="D198" s="94"/>
      <c r="E198" s="94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95"/>
      <c r="R198" s="87"/>
      <c r="S198" s="96"/>
      <c r="T198" s="12"/>
      <c r="U198" s="12"/>
      <c r="V198" s="12"/>
    </row>
    <row r="199" spans="1:22">
      <c r="A199" s="12"/>
      <c r="B199" s="93"/>
      <c r="C199" s="12"/>
      <c r="D199" s="94"/>
      <c r="E199" s="94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95"/>
      <c r="R199" s="87"/>
      <c r="S199" s="96"/>
      <c r="T199" s="12"/>
      <c r="U199" s="12"/>
      <c r="V199" s="12"/>
    </row>
    <row r="200" spans="1:22">
      <c r="A200" s="12"/>
      <c r="B200" s="93"/>
      <c r="C200" s="12"/>
      <c r="D200" s="94"/>
      <c r="E200" s="94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95"/>
      <c r="R200" s="87"/>
      <c r="S200" s="96"/>
      <c r="T200" s="12"/>
      <c r="U200" s="12"/>
      <c r="V200" s="12"/>
    </row>
    <row r="201" spans="1:22">
      <c r="A201" s="12"/>
      <c r="B201" s="93"/>
      <c r="C201" s="12"/>
      <c r="D201" s="94"/>
      <c r="E201" s="94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95"/>
      <c r="R201" s="87"/>
      <c r="S201" s="96"/>
      <c r="T201" s="12"/>
      <c r="U201" s="12"/>
      <c r="V201" s="12"/>
    </row>
    <row r="202" spans="1:22">
      <c r="A202" s="12"/>
      <c r="B202" s="93"/>
      <c r="C202" s="12"/>
      <c r="D202" s="94"/>
      <c r="E202" s="94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95"/>
      <c r="R202" s="87"/>
      <c r="S202" s="96"/>
      <c r="T202" s="12"/>
      <c r="U202" s="12"/>
      <c r="V202" s="12"/>
    </row>
    <row r="203" spans="1:22">
      <c r="A203" s="12"/>
      <c r="B203" s="93"/>
      <c r="C203" s="12"/>
      <c r="D203" s="94"/>
      <c r="E203" s="94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95"/>
      <c r="R203" s="87"/>
      <c r="S203" s="96"/>
      <c r="T203" s="12"/>
      <c r="U203" s="12"/>
      <c r="V203" s="12"/>
    </row>
    <row r="204" spans="1:22">
      <c r="A204" s="12"/>
      <c r="B204" s="93"/>
      <c r="C204" s="12"/>
      <c r="D204" s="94"/>
      <c r="E204" s="94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95"/>
      <c r="R204" s="87"/>
      <c r="S204" s="96"/>
      <c r="T204" s="12"/>
      <c r="U204" s="12"/>
      <c r="V204" s="12"/>
    </row>
    <row r="205" spans="1:22">
      <c r="A205" s="12"/>
      <c r="B205" s="93"/>
      <c r="C205" s="12"/>
      <c r="D205" s="94"/>
      <c r="E205" s="94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95"/>
      <c r="R205" s="87"/>
      <c r="S205" s="96"/>
      <c r="T205" s="12"/>
      <c r="U205" s="12"/>
      <c r="V205" s="12"/>
    </row>
    <row r="206" spans="1:22">
      <c r="A206" s="12"/>
      <c r="B206" s="93"/>
      <c r="C206" s="12"/>
      <c r="D206" s="94"/>
      <c r="E206" s="94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95"/>
      <c r="R206" s="87"/>
      <c r="S206" s="96"/>
      <c r="T206" s="12"/>
      <c r="U206" s="12"/>
      <c r="V206" s="12"/>
    </row>
    <row r="207" spans="1:22">
      <c r="A207" s="12"/>
      <c r="B207" s="93"/>
      <c r="C207" s="12"/>
      <c r="D207" s="94"/>
      <c r="E207" s="94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95"/>
      <c r="R207" s="87"/>
      <c r="S207" s="96"/>
      <c r="T207" s="12"/>
      <c r="U207" s="12"/>
      <c r="V207" s="12"/>
    </row>
    <row r="208" spans="1:22">
      <c r="A208" s="12"/>
      <c r="B208" s="93"/>
      <c r="C208" s="12"/>
      <c r="D208" s="94"/>
      <c r="E208" s="94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95"/>
      <c r="R208" s="87"/>
      <c r="S208" s="96"/>
      <c r="T208" s="12"/>
      <c r="U208" s="12"/>
      <c r="V208" s="12"/>
    </row>
    <row r="209" spans="1:22">
      <c r="A209" s="12"/>
      <c r="B209" s="93"/>
      <c r="C209" s="12"/>
      <c r="D209" s="94"/>
      <c r="E209" s="94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95"/>
      <c r="R209" s="87"/>
      <c r="S209" s="96"/>
      <c r="T209" s="12"/>
      <c r="U209" s="12"/>
      <c r="V209" s="12"/>
    </row>
    <row r="210" spans="1:22">
      <c r="A210" s="12"/>
      <c r="B210" s="93"/>
      <c r="C210" s="12"/>
      <c r="D210" s="94"/>
      <c r="E210" s="94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95"/>
      <c r="R210" s="87"/>
      <c r="S210" s="96"/>
      <c r="T210" s="12"/>
      <c r="U210" s="12"/>
      <c r="V210" s="12"/>
    </row>
    <row r="211" spans="1:22">
      <c r="A211" s="12"/>
      <c r="B211" s="93"/>
      <c r="C211" s="12"/>
      <c r="D211" s="94"/>
      <c r="E211" s="94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95"/>
      <c r="R211" s="87"/>
      <c r="S211" s="96"/>
      <c r="T211" s="12"/>
      <c r="U211" s="12"/>
      <c r="V211" s="12"/>
    </row>
    <row r="212" spans="1:22">
      <c r="A212" s="12"/>
      <c r="B212" s="93"/>
      <c r="C212" s="12"/>
      <c r="D212" s="94"/>
      <c r="E212" s="94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95"/>
      <c r="R212" s="87"/>
      <c r="S212" s="96"/>
      <c r="T212" s="12"/>
      <c r="U212" s="12"/>
      <c r="V212" s="12"/>
    </row>
    <row r="213" spans="1:22">
      <c r="A213" s="12"/>
      <c r="B213" s="93"/>
      <c r="C213" s="12"/>
      <c r="D213" s="94"/>
      <c r="E213" s="94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95"/>
      <c r="R213" s="87"/>
      <c r="S213" s="96"/>
      <c r="T213" s="12"/>
      <c r="U213" s="12"/>
      <c r="V213" s="12"/>
    </row>
    <row r="214" spans="1:22">
      <c r="A214" s="12"/>
      <c r="B214" s="93"/>
      <c r="C214" s="12"/>
      <c r="D214" s="94"/>
      <c r="E214" s="94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95"/>
      <c r="R214" s="87"/>
      <c r="S214" s="96"/>
      <c r="T214" s="12"/>
      <c r="U214" s="12"/>
      <c r="V214" s="12"/>
    </row>
    <row r="215" spans="1:22">
      <c r="A215" s="12"/>
      <c r="B215" s="93"/>
      <c r="C215" s="12"/>
      <c r="D215" s="94"/>
      <c r="E215" s="94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95"/>
      <c r="R215" s="87"/>
      <c r="S215" s="96"/>
      <c r="T215" s="12"/>
      <c r="U215" s="12"/>
      <c r="V215" s="12"/>
    </row>
    <row r="216" spans="1:22">
      <c r="A216" s="12"/>
      <c r="B216" s="93"/>
      <c r="C216" s="12"/>
      <c r="D216" s="94"/>
      <c r="E216" s="94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95"/>
      <c r="R216" s="87"/>
      <c r="S216" s="96"/>
      <c r="T216" s="12"/>
      <c r="U216" s="12"/>
      <c r="V216" s="12"/>
    </row>
    <row r="217" spans="1:22">
      <c r="A217" s="12"/>
      <c r="B217" s="93"/>
      <c r="C217" s="12"/>
      <c r="D217" s="94"/>
      <c r="E217" s="94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95"/>
      <c r="R217" s="87"/>
      <c r="S217" s="96"/>
      <c r="T217" s="12"/>
      <c r="U217" s="12"/>
      <c r="V217" s="12"/>
    </row>
    <row r="218" spans="1:22">
      <c r="A218" s="12"/>
      <c r="B218" s="93"/>
      <c r="C218" s="12"/>
      <c r="D218" s="94"/>
      <c r="E218" s="94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95"/>
      <c r="R218" s="87"/>
      <c r="S218" s="96"/>
      <c r="T218" s="12"/>
      <c r="U218" s="12"/>
      <c r="V218" s="12"/>
    </row>
    <row r="219" spans="1:22">
      <c r="A219" s="12"/>
      <c r="B219" s="93"/>
      <c r="C219" s="12"/>
      <c r="D219" s="94"/>
      <c r="E219" s="94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95"/>
      <c r="R219" s="87"/>
      <c r="S219" s="96"/>
      <c r="T219" s="12"/>
      <c r="U219" s="12"/>
      <c r="V219" s="12"/>
    </row>
    <row r="220" spans="1:22">
      <c r="A220" s="12"/>
      <c r="B220" s="93"/>
      <c r="C220" s="12"/>
      <c r="D220" s="94"/>
      <c r="E220" s="94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95"/>
      <c r="R220" s="87"/>
      <c r="S220" s="96"/>
      <c r="T220" s="12"/>
      <c r="U220" s="12"/>
      <c r="V220" s="12"/>
    </row>
    <row r="221" spans="1:22">
      <c r="A221" s="12"/>
      <c r="B221" s="93"/>
      <c r="C221" s="12"/>
      <c r="D221" s="94"/>
      <c r="E221" s="94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95"/>
      <c r="R221" s="87"/>
      <c r="S221" s="96"/>
      <c r="T221" s="12"/>
      <c r="U221" s="12"/>
      <c r="V221" s="12"/>
    </row>
    <row r="222" spans="1:22">
      <c r="A222" s="12"/>
      <c r="B222" s="93"/>
      <c r="C222" s="12"/>
      <c r="D222" s="94"/>
      <c r="E222" s="94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95"/>
      <c r="R222" s="87"/>
      <c r="S222" s="96"/>
      <c r="T222" s="12"/>
      <c r="U222" s="12"/>
      <c r="V222" s="12"/>
    </row>
    <row r="223" spans="1:22">
      <c r="A223" s="12"/>
      <c r="B223" s="93"/>
      <c r="C223" s="12"/>
      <c r="D223" s="94"/>
      <c r="E223" s="94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95"/>
      <c r="R223" s="87"/>
      <c r="S223" s="96"/>
      <c r="T223" s="12"/>
      <c r="U223" s="12"/>
      <c r="V223" s="12"/>
    </row>
    <row r="224" spans="1:22">
      <c r="A224" s="12"/>
      <c r="B224" s="93"/>
      <c r="C224" s="12"/>
      <c r="D224" s="94"/>
      <c r="E224" s="94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95"/>
      <c r="R224" s="87"/>
      <c r="S224" s="96"/>
      <c r="T224" s="12"/>
      <c r="U224" s="12"/>
      <c r="V224" s="12"/>
    </row>
    <row r="225" spans="1:22">
      <c r="A225" s="12"/>
      <c r="B225" s="93"/>
      <c r="C225" s="12"/>
      <c r="D225" s="94"/>
      <c r="E225" s="94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95"/>
      <c r="R225" s="87"/>
      <c r="S225" s="96"/>
      <c r="T225" s="12"/>
      <c r="U225" s="12"/>
      <c r="V225" s="12"/>
    </row>
    <row r="226" spans="1:22">
      <c r="A226" s="12"/>
      <c r="B226" s="93"/>
      <c r="C226" s="12"/>
      <c r="D226" s="94"/>
      <c r="E226" s="94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95"/>
      <c r="R226" s="87"/>
      <c r="S226" s="96"/>
      <c r="T226" s="12"/>
      <c r="U226" s="12"/>
      <c r="V226" s="12"/>
    </row>
    <row r="227" spans="1:22">
      <c r="A227" s="12"/>
      <c r="B227" s="93"/>
      <c r="C227" s="12"/>
      <c r="D227" s="94"/>
      <c r="E227" s="94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95"/>
      <c r="R227" s="87"/>
      <c r="S227" s="96"/>
      <c r="T227" s="12"/>
      <c r="U227" s="12"/>
      <c r="V227" s="12"/>
    </row>
    <row r="228" spans="1:22">
      <c r="A228" s="12"/>
      <c r="B228" s="93"/>
      <c r="C228" s="12"/>
      <c r="D228" s="94"/>
      <c r="E228" s="94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95"/>
      <c r="R228" s="87"/>
      <c r="S228" s="96"/>
      <c r="T228" s="12"/>
      <c r="U228" s="12"/>
      <c r="V228" s="12"/>
    </row>
    <row r="229" spans="1:22">
      <c r="A229" s="12"/>
      <c r="B229" s="93"/>
      <c r="C229" s="12"/>
      <c r="D229" s="94"/>
      <c r="E229" s="94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95"/>
      <c r="R229" s="87"/>
      <c r="S229" s="96"/>
      <c r="T229" s="12"/>
      <c r="U229" s="12"/>
      <c r="V229" s="12"/>
    </row>
    <row r="230" spans="1:22">
      <c r="A230" s="12"/>
      <c r="B230" s="93"/>
      <c r="C230" s="12"/>
      <c r="D230" s="94"/>
      <c r="E230" s="94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95"/>
      <c r="R230" s="87"/>
      <c r="S230" s="96"/>
      <c r="T230" s="12"/>
      <c r="U230" s="12"/>
      <c r="V230" s="12"/>
    </row>
    <row r="231" spans="1:22">
      <c r="A231" s="12"/>
      <c r="B231" s="93"/>
      <c r="C231" s="12"/>
      <c r="D231" s="94"/>
      <c r="E231" s="94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95"/>
      <c r="R231" s="87"/>
      <c r="S231" s="96"/>
      <c r="T231" s="12"/>
      <c r="U231" s="12"/>
      <c r="V231" s="12"/>
    </row>
    <row r="232" spans="1:22">
      <c r="A232" s="12"/>
      <c r="B232" s="93"/>
      <c r="C232" s="12"/>
      <c r="D232" s="94"/>
      <c r="E232" s="94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95"/>
      <c r="R232" s="87"/>
      <c r="S232" s="96"/>
      <c r="T232" s="12"/>
      <c r="U232" s="12"/>
      <c r="V232" s="12"/>
    </row>
    <row r="233" spans="1:22">
      <c r="A233" s="12"/>
      <c r="B233" s="93"/>
      <c r="C233" s="12"/>
      <c r="D233" s="94"/>
      <c r="E233" s="94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95"/>
      <c r="R233" s="87"/>
      <c r="S233" s="96"/>
      <c r="T233" s="12"/>
      <c r="U233" s="12"/>
      <c r="V233" s="12"/>
    </row>
    <row r="234" spans="1:22">
      <c r="A234" s="12"/>
      <c r="B234" s="93"/>
      <c r="C234" s="12"/>
      <c r="D234" s="94"/>
      <c r="E234" s="94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95"/>
      <c r="R234" s="87"/>
      <c r="S234" s="96"/>
      <c r="T234" s="12"/>
      <c r="U234" s="12"/>
      <c r="V234" s="12"/>
    </row>
    <row r="235" spans="1:22">
      <c r="A235" s="12"/>
      <c r="B235" s="93"/>
      <c r="C235" s="12"/>
      <c r="D235" s="94"/>
      <c r="E235" s="94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95"/>
      <c r="R235" s="87"/>
      <c r="S235" s="96"/>
      <c r="T235" s="12"/>
      <c r="U235" s="12"/>
      <c r="V235" s="12"/>
    </row>
    <row r="236" spans="1:22">
      <c r="A236" s="12"/>
      <c r="B236" s="93"/>
      <c r="C236" s="12"/>
      <c r="D236" s="94"/>
      <c r="E236" s="94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95"/>
      <c r="R236" s="87"/>
      <c r="S236" s="96"/>
      <c r="T236" s="12"/>
      <c r="U236" s="12"/>
      <c r="V236" s="12"/>
    </row>
    <row r="237" spans="1:22">
      <c r="A237" s="12"/>
      <c r="B237" s="93"/>
      <c r="C237" s="12"/>
      <c r="D237" s="94"/>
      <c r="E237" s="94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95"/>
      <c r="R237" s="87"/>
      <c r="S237" s="96"/>
      <c r="T237" s="12"/>
      <c r="U237" s="12"/>
      <c r="V237" s="12"/>
    </row>
    <row r="238" spans="1:22">
      <c r="A238" s="12"/>
      <c r="B238" s="93"/>
      <c r="C238" s="12"/>
      <c r="D238" s="94"/>
      <c r="E238" s="94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95"/>
      <c r="R238" s="87"/>
      <c r="S238" s="96"/>
      <c r="T238" s="12"/>
      <c r="U238" s="12"/>
      <c r="V238" s="12"/>
    </row>
    <row r="239" spans="1:22">
      <c r="A239" s="12"/>
      <c r="B239" s="93"/>
      <c r="C239" s="12"/>
      <c r="D239" s="94"/>
      <c r="E239" s="94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95"/>
      <c r="R239" s="87"/>
      <c r="S239" s="96"/>
      <c r="T239" s="12"/>
      <c r="U239" s="12"/>
      <c r="V239" s="12"/>
    </row>
    <row r="240" spans="1:22">
      <c r="A240" s="12"/>
      <c r="B240" s="93"/>
      <c r="C240" s="12"/>
      <c r="D240" s="94"/>
      <c r="E240" s="94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95"/>
      <c r="R240" s="87"/>
      <c r="S240" s="96"/>
      <c r="T240" s="12"/>
      <c r="U240" s="12"/>
      <c r="V240" s="12"/>
    </row>
    <row r="241" spans="1:22">
      <c r="A241" s="12"/>
      <c r="B241" s="93"/>
      <c r="C241" s="12"/>
      <c r="D241" s="94"/>
      <c r="E241" s="94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95"/>
      <c r="R241" s="87"/>
      <c r="S241" s="96"/>
      <c r="T241" s="12"/>
      <c r="U241" s="12"/>
      <c r="V241" s="12"/>
    </row>
    <row r="242" spans="1:22">
      <c r="A242" s="12"/>
      <c r="B242" s="93"/>
      <c r="C242" s="12"/>
      <c r="D242" s="94"/>
      <c r="E242" s="94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95"/>
      <c r="R242" s="87"/>
      <c r="S242" s="96"/>
      <c r="T242" s="12"/>
      <c r="U242" s="12"/>
      <c r="V242" s="12"/>
    </row>
    <row r="243" spans="1:22">
      <c r="A243" s="12"/>
      <c r="B243" s="93"/>
      <c r="C243" s="12"/>
      <c r="D243" s="94"/>
      <c r="E243" s="94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95"/>
      <c r="R243" s="87"/>
      <c r="S243" s="96"/>
      <c r="T243" s="12"/>
      <c r="U243" s="12"/>
      <c r="V243" s="12"/>
    </row>
    <row r="244" spans="1:22">
      <c r="A244" s="12"/>
      <c r="B244" s="93"/>
      <c r="C244" s="12"/>
      <c r="D244" s="94"/>
      <c r="E244" s="94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95"/>
      <c r="R244" s="87"/>
      <c r="S244" s="96"/>
      <c r="T244" s="12"/>
      <c r="U244" s="12"/>
      <c r="V244" s="12"/>
    </row>
    <row r="245" spans="1:22">
      <c r="A245" s="12"/>
      <c r="B245" s="93"/>
      <c r="C245" s="12"/>
      <c r="D245" s="94"/>
      <c r="E245" s="94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95"/>
      <c r="R245" s="87"/>
      <c r="S245" s="96"/>
      <c r="T245" s="12"/>
      <c r="U245" s="12"/>
      <c r="V245" s="12"/>
    </row>
    <row r="246" spans="1:22">
      <c r="A246" s="12"/>
      <c r="B246" s="93"/>
      <c r="C246" s="12"/>
      <c r="D246" s="94"/>
      <c r="E246" s="94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95"/>
      <c r="R246" s="87"/>
      <c r="S246" s="96"/>
      <c r="T246" s="12"/>
      <c r="U246" s="12"/>
      <c r="V246" s="12"/>
    </row>
    <row r="247" spans="1:22">
      <c r="A247" s="12"/>
      <c r="B247" s="93"/>
      <c r="C247" s="12"/>
      <c r="D247" s="94"/>
      <c r="E247" s="94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95"/>
      <c r="R247" s="87"/>
      <c r="S247" s="96"/>
      <c r="T247" s="12"/>
      <c r="U247" s="12"/>
      <c r="V247" s="12"/>
    </row>
    <row r="248" spans="1:22">
      <c r="A248" s="12"/>
      <c r="B248" s="93"/>
      <c r="C248" s="12"/>
      <c r="D248" s="94"/>
      <c r="E248" s="94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95"/>
      <c r="R248" s="87"/>
      <c r="S248" s="96"/>
      <c r="T248" s="12"/>
      <c r="U248" s="12"/>
      <c r="V248" s="12"/>
    </row>
    <row r="249" spans="1:22">
      <c r="A249" s="12"/>
      <c r="B249" s="93"/>
      <c r="C249" s="12"/>
      <c r="D249" s="94"/>
      <c r="E249" s="94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95"/>
      <c r="R249" s="87"/>
      <c r="S249" s="96"/>
      <c r="T249" s="12"/>
      <c r="U249" s="12"/>
      <c r="V249" s="12"/>
    </row>
    <row r="250" spans="1:22">
      <c r="A250" s="12"/>
      <c r="B250" s="93"/>
      <c r="C250" s="12"/>
      <c r="D250" s="94"/>
      <c r="E250" s="94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95"/>
      <c r="R250" s="87"/>
      <c r="S250" s="96"/>
      <c r="T250" s="12"/>
      <c r="U250" s="12"/>
      <c r="V250" s="12"/>
    </row>
    <row r="251" spans="1:22">
      <c r="A251" s="12"/>
      <c r="B251" s="93"/>
      <c r="C251" s="12"/>
      <c r="D251" s="94"/>
      <c r="E251" s="94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95"/>
      <c r="R251" s="87"/>
      <c r="S251" s="96"/>
      <c r="T251" s="12"/>
      <c r="U251" s="12"/>
      <c r="V251" s="12"/>
    </row>
    <row r="252" spans="1:22">
      <c r="A252" s="12"/>
      <c r="B252" s="93"/>
      <c r="C252" s="12"/>
      <c r="D252" s="94"/>
      <c r="E252" s="94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95"/>
      <c r="R252" s="87"/>
      <c r="S252" s="96"/>
      <c r="T252" s="12"/>
      <c r="U252" s="12"/>
      <c r="V252" s="12"/>
    </row>
    <row r="253" spans="1:22">
      <c r="A253" s="12"/>
      <c r="B253" s="93"/>
      <c r="C253" s="12"/>
      <c r="D253" s="94"/>
      <c r="E253" s="94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95"/>
      <c r="R253" s="87"/>
      <c r="S253" s="96"/>
      <c r="T253" s="12"/>
      <c r="U253" s="12"/>
      <c r="V253" s="12"/>
    </row>
    <row r="254" spans="1:22">
      <c r="A254" s="12"/>
      <c r="B254" s="93"/>
      <c r="C254" s="12"/>
      <c r="D254" s="94"/>
      <c r="E254" s="94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95"/>
      <c r="R254" s="87"/>
      <c r="S254" s="96"/>
      <c r="T254" s="12"/>
      <c r="U254" s="12"/>
      <c r="V254" s="12"/>
    </row>
    <row r="255" spans="1:22">
      <c r="A255" s="12"/>
      <c r="B255" s="93"/>
      <c r="C255" s="12"/>
      <c r="D255" s="94"/>
      <c r="E255" s="94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95"/>
      <c r="R255" s="87"/>
      <c r="S255" s="96"/>
      <c r="T255" s="12"/>
      <c r="U255" s="12"/>
      <c r="V255" s="12"/>
    </row>
    <row r="256" spans="1:22">
      <c r="A256" s="12"/>
      <c r="B256" s="93"/>
      <c r="C256" s="12"/>
      <c r="D256" s="94"/>
      <c r="E256" s="94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95"/>
      <c r="R256" s="87"/>
      <c r="S256" s="96"/>
      <c r="T256" s="12"/>
      <c r="U256" s="12"/>
      <c r="V256" s="12"/>
    </row>
    <row r="257" spans="1:22">
      <c r="A257" s="12"/>
      <c r="B257" s="93"/>
      <c r="C257" s="12"/>
      <c r="D257" s="94"/>
      <c r="E257" s="94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95"/>
      <c r="R257" s="87"/>
      <c r="S257" s="96"/>
      <c r="T257" s="12"/>
      <c r="U257" s="12"/>
      <c r="V257" s="12"/>
    </row>
    <row r="258" spans="1:22">
      <c r="A258" s="12"/>
      <c r="B258" s="93"/>
      <c r="C258" s="12"/>
      <c r="D258" s="94"/>
      <c r="E258" s="94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95"/>
      <c r="R258" s="87"/>
      <c r="S258" s="96"/>
      <c r="T258" s="12"/>
      <c r="U258" s="12"/>
      <c r="V258" s="12"/>
    </row>
    <row r="259" spans="1:22">
      <c r="A259" s="12"/>
      <c r="B259" s="93"/>
      <c r="C259" s="12"/>
      <c r="D259" s="94"/>
      <c r="E259" s="94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95"/>
      <c r="R259" s="87"/>
      <c r="S259" s="96"/>
      <c r="T259" s="12"/>
      <c r="U259" s="12"/>
      <c r="V259" s="12"/>
    </row>
    <row r="260" spans="1:22">
      <c r="A260" s="12"/>
      <c r="B260" s="93"/>
      <c r="C260" s="12"/>
      <c r="D260" s="94"/>
      <c r="E260" s="94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95"/>
      <c r="R260" s="87"/>
      <c r="S260" s="96"/>
      <c r="T260" s="12"/>
      <c r="U260" s="12"/>
      <c r="V260" s="12"/>
    </row>
    <row r="261" spans="1:22">
      <c r="A261" s="12"/>
      <c r="B261" s="93"/>
      <c r="C261" s="12"/>
      <c r="D261" s="94"/>
      <c r="E261" s="94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95"/>
      <c r="R261" s="87"/>
      <c r="S261" s="96"/>
      <c r="T261" s="12"/>
      <c r="U261" s="12"/>
      <c r="V261" s="12"/>
    </row>
    <row r="262" spans="1:22">
      <c r="A262" s="12"/>
      <c r="B262" s="93"/>
      <c r="C262" s="12"/>
      <c r="D262" s="94"/>
      <c r="E262" s="94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95"/>
      <c r="R262" s="87"/>
      <c r="S262" s="96"/>
      <c r="T262" s="12"/>
      <c r="U262" s="12"/>
      <c r="V262" s="12"/>
    </row>
    <row r="263" spans="1:22">
      <c r="A263" s="12"/>
      <c r="B263" s="93"/>
      <c r="C263" s="12"/>
      <c r="D263" s="94"/>
      <c r="E263" s="94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95"/>
      <c r="R263" s="87"/>
      <c r="S263" s="96"/>
      <c r="T263" s="12"/>
      <c r="U263" s="12"/>
      <c r="V263" s="12"/>
    </row>
    <row r="264" spans="1:22">
      <c r="A264" s="12"/>
      <c r="B264" s="93"/>
      <c r="C264" s="12"/>
      <c r="D264" s="94"/>
      <c r="E264" s="94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95"/>
      <c r="R264" s="87"/>
      <c r="S264" s="96"/>
      <c r="T264" s="12"/>
      <c r="U264" s="12"/>
      <c r="V264" s="12"/>
    </row>
    <row r="265" spans="1:22">
      <c r="A265" s="12"/>
      <c r="B265" s="93"/>
      <c r="C265" s="12"/>
      <c r="D265" s="94"/>
      <c r="E265" s="94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95"/>
      <c r="R265" s="87"/>
      <c r="S265" s="96"/>
      <c r="T265" s="12"/>
      <c r="U265" s="12"/>
      <c r="V265" s="12"/>
    </row>
    <row r="266" spans="1:22">
      <c r="A266" s="12"/>
      <c r="B266" s="93"/>
      <c r="C266" s="12"/>
      <c r="D266" s="94"/>
      <c r="E266" s="94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95"/>
      <c r="R266" s="87"/>
      <c r="S266" s="96"/>
      <c r="T266" s="12"/>
      <c r="U266" s="12"/>
      <c r="V266" s="12"/>
    </row>
    <row r="267" spans="1:22">
      <c r="A267" s="12"/>
      <c r="B267" s="93"/>
      <c r="C267" s="12"/>
      <c r="D267" s="94"/>
      <c r="E267" s="94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95"/>
      <c r="R267" s="87"/>
      <c r="S267" s="96"/>
      <c r="T267" s="12"/>
      <c r="U267" s="12"/>
      <c r="V267" s="12"/>
    </row>
    <row r="268" spans="1:22">
      <c r="A268" s="12"/>
      <c r="B268" s="93"/>
      <c r="C268" s="12"/>
      <c r="D268" s="94"/>
      <c r="E268" s="94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95"/>
      <c r="R268" s="87"/>
      <c r="S268" s="96"/>
      <c r="T268" s="12"/>
      <c r="U268" s="12"/>
      <c r="V268" s="12"/>
    </row>
    <row r="269" spans="1:22">
      <c r="A269" s="12"/>
      <c r="B269" s="93"/>
      <c r="C269" s="12"/>
      <c r="D269" s="94"/>
      <c r="E269" s="94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95"/>
      <c r="R269" s="87"/>
      <c r="S269" s="96"/>
      <c r="T269" s="12"/>
      <c r="U269" s="12"/>
      <c r="V269" s="12"/>
    </row>
    <row r="270" spans="1:22">
      <c r="A270" s="12"/>
      <c r="B270" s="93"/>
      <c r="C270" s="12"/>
      <c r="D270" s="94"/>
      <c r="E270" s="94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95"/>
      <c r="R270" s="87"/>
      <c r="S270" s="96"/>
      <c r="T270" s="12"/>
      <c r="U270" s="12"/>
      <c r="V270" s="12"/>
    </row>
    <row r="271" spans="1:22">
      <c r="A271" s="12"/>
      <c r="B271" s="93"/>
      <c r="C271" s="12"/>
      <c r="D271" s="94"/>
      <c r="E271" s="94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95"/>
      <c r="R271" s="87"/>
      <c r="S271" s="96"/>
      <c r="T271" s="12"/>
      <c r="U271" s="12"/>
      <c r="V271" s="12"/>
    </row>
    <row r="272" spans="1:22">
      <c r="A272" s="12"/>
      <c r="B272" s="93"/>
      <c r="C272" s="12"/>
      <c r="D272" s="94"/>
      <c r="E272" s="94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95"/>
      <c r="R272" s="87"/>
      <c r="S272" s="96"/>
      <c r="T272" s="12"/>
      <c r="U272" s="12"/>
      <c r="V272" s="12"/>
    </row>
    <row r="273" spans="1:22">
      <c r="A273" s="12"/>
      <c r="B273" s="93"/>
      <c r="C273" s="12"/>
      <c r="D273" s="94"/>
      <c r="E273" s="94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95"/>
      <c r="R273" s="87"/>
      <c r="S273" s="96"/>
      <c r="T273" s="12"/>
      <c r="U273" s="12"/>
      <c r="V273" s="12"/>
    </row>
    <row r="274" spans="1:22">
      <c r="A274" s="12"/>
      <c r="B274" s="93"/>
      <c r="C274" s="12"/>
      <c r="D274" s="94"/>
      <c r="E274" s="94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95"/>
      <c r="R274" s="87"/>
      <c r="S274" s="96"/>
      <c r="T274" s="12"/>
      <c r="U274" s="12"/>
      <c r="V274" s="12"/>
    </row>
    <row r="275" spans="1:22">
      <c r="A275" s="12"/>
      <c r="B275" s="93"/>
      <c r="C275" s="12"/>
      <c r="D275" s="94"/>
      <c r="E275" s="94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95"/>
      <c r="R275" s="87"/>
      <c r="S275" s="96"/>
      <c r="T275" s="12"/>
      <c r="U275" s="12"/>
      <c r="V275" s="12"/>
    </row>
    <row r="276" spans="1:22">
      <c r="A276" s="12"/>
      <c r="B276" s="93"/>
      <c r="C276" s="12"/>
      <c r="D276" s="94"/>
      <c r="E276" s="94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95"/>
      <c r="R276" s="87"/>
      <c r="S276" s="96"/>
      <c r="T276" s="12"/>
      <c r="U276" s="12"/>
      <c r="V276" s="12"/>
    </row>
    <row r="277" spans="1:22">
      <c r="A277" s="12"/>
      <c r="B277" s="93"/>
      <c r="C277" s="12"/>
      <c r="D277" s="94"/>
      <c r="E277" s="94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95"/>
      <c r="R277" s="87"/>
      <c r="S277" s="96"/>
      <c r="T277" s="12"/>
      <c r="U277" s="12"/>
      <c r="V277" s="12"/>
    </row>
    <row r="278" spans="1:22">
      <c r="A278" s="12"/>
      <c r="B278" s="93"/>
      <c r="C278" s="12"/>
      <c r="D278" s="94"/>
      <c r="E278" s="94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95"/>
      <c r="R278" s="87"/>
      <c r="S278" s="96"/>
      <c r="T278" s="12"/>
      <c r="U278" s="12"/>
      <c r="V278" s="12"/>
    </row>
    <row r="279" spans="1:22">
      <c r="A279" s="12"/>
      <c r="B279" s="93"/>
      <c r="C279" s="12"/>
      <c r="D279" s="94"/>
      <c r="E279" s="94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95"/>
      <c r="R279" s="87"/>
      <c r="S279" s="96"/>
      <c r="T279" s="12"/>
      <c r="U279" s="12"/>
      <c r="V279" s="12"/>
    </row>
    <row r="280" spans="1:22">
      <c r="A280" s="12"/>
      <c r="B280" s="93"/>
      <c r="C280" s="12"/>
      <c r="D280" s="94"/>
      <c r="E280" s="94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95"/>
      <c r="R280" s="87"/>
      <c r="S280" s="96"/>
      <c r="T280" s="12"/>
      <c r="U280" s="12"/>
      <c r="V280" s="12"/>
    </row>
    <row r="281" spans="1:22">
      <c r="A281" s="12"/>
      <c r="B281" s="93"/>
      <c r="C281" s="12"/>
      <c r="D281" s="94"/>
      <c r="E281" s="94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95"/>
      <c r="R281" s="87"/>
      <c r="S281" s="96"/>
      <c r="T281" s="12"/>
      <c r="U281" s="12"/>
      <c r="V281" s="12"/>
    </row>
    <row r="282" spans="1:22">
      <c r="A282" s="12"/>
      <c r="B282" s="93"/>
      <c r="C282" s="12"/>
      <c r="D282" s="94"/>
      <c r="E282" s="94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95"/>
      <c r="R282" s="87"/>
      <c r="S282" s="96"/>
      <c r="T282" s="12"/>
      <c r="U282" s="12"/>
      <c r="V282" s="12"/>
    </row>
    <row r="283" spans="1:22">
      <c r="A283" s="12"/>
      <c r="B283" s="93"/>
      <c r="C283" s="12"/>
      <c r="D283" s="94"/>
      <c r="E283" s="94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95"/>
      <c r="R283" s="87"/>
      <c r="S283" s="96"/>
      <c r="T283" s="12"/>
      <c r="U283" s="12"/>
      <c r="V283" s="12"/>
    </row>
    <row r="284" spans="1:22">
      <c r="A284" s="12"/>
      <c r="B284" s="93"/>
      <c r="C284" s="12"/>
      <c r="D284" s="94"/>
      <c r="E284" s="94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95"/>
      <c r="R284" s="87"/>
      <c r="S284" s="96"/>
      <c r="T284" s="12"/>
      <c r="U284" s="12"/>
      <c r="V284" s="12"/>
    </row>
    <row r="285" spans="1:22">
      <c r="A285" s="12"/>
      <c r="B285" s="93"/>
      <c r="C285" s="12"/>
      <c r="D285" s="94"/>
      <c r="E285" s="94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95"/>
      <c r="R285" s="87"/>
      <c r="S285" s="96"/>
      <c r="T285" s="12"/>
      <c r="U285" s="12"/>
      <c r="V285" s="12"/>
    </row>
    <row r="286" spans="1:22">
      <c r="A286" s="12"/>
      <c r="B286" s="93"/>
      <c r="C286" s="12"/>
      <c r="D286" s="94"/>
      <c r="E286" s="94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95"/>
      <c r="R286" s="87"/>
      <c r="S286" s="96"/>
      <c r="T286" s="12"/>
      <c r="U286" s="12"/>
      <c r="V286" s="12"/>
    </row>
    <row r="287" spans="1:22">
      <c r="A287" s="12"/>
      <c r="B287" s="93"/>
      <c r="C287" s="12"/>
      <c r="D287" s="94"/>
      <c r="E287" s="94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95"/>
      <c r="R287" s="87"/>
      <c r="S287" s="96"/>
      <c r="T287" s="12"/>
      <c r="U287" s="12"/>
      <c r="V287" s="12"/>
    </row>
    <row r="288" spans="1:22">
      <c r="A288" s="12"/>
      <c r="B288" s="93"/>
      <c r="C288" s="12"/>
      <c r="D288" s="94"/>
      <c r="E288" s="94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95"/>
      <c r="R288" s="87"/>
      <c r="S288" s="96"/>
      <c r="T288" s="12"/>
      <c r="U288" s="12"/>
      <c r="V288" s="12"/>
    </row>
    <row r="289" spans="1:22">
      <c r="A289" s="12"/>
      <c r="B289" s="93"/>
      <c r="C289" s="12"/>
      <c r="D289" s="94"/>
      <c r="E289" s="94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95"/>
      <c r="R289" s="87"/>
      <c r="S289" s="96"/>
      <c r="T289" s="12"/>
      <c r="U289" s="12"/>
      <c r="V289" s="12"/>
    </row>
    <row r="290" spans="1:22">
      <c r="A290" s="12"/>
      <c r="B290" s="93"/>
      <c r="C290" s="12"/>
      <c r="D290" s="94"/>
      <c r="E290" s="94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95"/>
      <c r="R290" s="87"/>
      <c r="S290" s="96"/>
      <c r="T290" s="12"/>
      <c r="U290" s="12"/>
      <c r="V290" s="12"/>
    </row>
    <row r="291" spans="1:22">
      <c r="A291" s="12"/>
      <c r="B291" s="93"/>
      <c r="C291" s="12"/>
      <c r="D291" s="94"/>
      <c r="E291" s="94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95"/>
      <c r="R291" s="87"/>
      <c r="S291" s="96"/>
      <c r="T291" s="12"/>
      <c r="U291" s="12"/>
      <c r="V291" s="12"/>
    </row>
    <row r="292" spans="1:22">
      <c r="A292" s="12"/>
      <c r="B292" s="93"/>
      <c r="C292" s="12"/>
      <c r="D292" s="94"/>
      <c r="E292" s="94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95"/>
      <c r="R292" s="87"/>
      <c r="S292" s="96"/>
      <c r="T292" s="12"/>
      <c r="U292" s="12"/>
      <c r="V292" s="12"/>
    </row>
    <row r="293" spans="1:22">
      <c r="A293" s="12"/>
      <c r="B293" s="93"/>
      <c r="C293" s="12"/>
      <c r="D293" s="94"/>
      <c r="E293" s="94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95"/>
      <c r="R293" s="87"/>
      <c r="S293" s="96"/>
      <c r="T293" s="12"/>
      <c r="U293" s="12"/>
      <c r="V293" s="12"/>
    </row>
    <row r="294" spans="1:22">
      <c r="A294" s="12"/>
      <c r="B294" s="93"/>
      <c r="C294" s="12"/>
      <c r="D294" s="94"/>
      <c r="E294" s="94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95"/>
      <c r="R294" s="87"/>
      <c r="S294" s="96"/>
      <c r="T294" s="12"/>
      <c r="U294" s="12"/>
      <c r="V294" s="12"/>
    </row>
    <row r="295" spans="1:22">
      <c r="A295" s="12"/>
      <c r="B295" s="93"/>
      <c r="C295" s="12"/>
      <c r="D295" s="94"/>
      <c r="E295" s="94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95"/>
      <c r="R295" s="87"/>
      <c r="S295" s="96"/>
      <c r="T295" s="12"/>
      <c r="U295" s="12"/>
      <c r="V295" s="12"/>
    </row>
    <row r="296" spans="1:22">
      <c r="A296" s="12"/>
      <c r="B296" s="93"/>
      <c r="C296" s="12"/>
      <c r="D296" s="94"/>
      <c r="E296" s="94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95"/>
      <c r="R296" s="87"/>
      <c r="S296" s="96"/>
      <c r="T296" s="12"/>
      <c r="U296" s="12"/>
      <c r="V296" s="12"/>
    </row>
    <row r="297" spans="1:22">
      <c r="A297" s="12"/>
      <c r="B297" s="93"/>
      <c r="C297" s="12"/>
      <c r="D297" s="94"/>
      <c r="E297" s="94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95"/>
      <c r="R297" s="87"/>
      <c r="S297" s="96"/>
      <c r="T297" s="12"/>
      <c r="U297" s="12"/>
      <c r="V297" s="12"/>
    </row>
    <row r="298" spans="1:22">
      <c r="A298" s="12"/>
      <c r="B298" s="93"/>
      <c r="C298" s="12"/>
      <c r="D298" s="94"/>
      <c r="E298" s="94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95"/>
      <c r="R298" s="87"/>
      <c r="S298" s="96"/>
      <c r="T298" s="12"/>
      <c r="U298" s="12"/>
      <c r="V298" s="12"/>
    </row>
    <row r="299" spans="1:22">
      <c r="A299" s="12"/>
      <c r="B299" s="93"/>
      <c r="C299" s="12"/>
      <c r="D299" s="94"/>
      <c r="E299" s="94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95"/>
      <c r="R299" s="87"/>
      <c r="S299" s="96"/>
      <c r="T299" s="12"/>
      <c r="U299" s="12"/>
      <c r="V299" s="12"/>
    </row>
    <row r="300" spans="1:22">
      <c r="A300" s="12"/>
      <c r="B300" s="93"/>
      <c r="C300" s="12"/>
      <c r="D300" s="94"/>
      <c r="E300" s="94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95"/>
      <c r="R300" s="87"/>
      <c r="S300" s="96"/>
      <c r="T300" s="12"/>
      <c r="U300" s="12"/>
      <c r="V300" s="12"/>
    </row>
    <row r="301" spans="1:22">
      <c r="A301" s="12"/>
      <c r="B301" s="93"/>
      <c r="C301" s="12"/>
      <c r="D301" s="94"/>
      <c r="E301" s="94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95"/>
      <c r="R301" s="87"/>
      <c r="S301" s="96"/>
      <c r="T301" s="12"/>
      <c r="U301" s="12"/>
      <c r="V301" s="12"/>
    </row>
    <row r="302" spans="1:22">
      <c r="A302" s="12"/>
      <c r="B302" s="93"/>
      <c r="C302" s="12"/>
      <c r="D302" s="94"/>
      <c r="E302" s="94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95"/>
      <c r="R302" s="87"/>
      <c r="S302" s="96"/>
      <c r="T302" s="12"/>
      <c r="U302" s="12"/>
      <c r="V302" s="12"/>
    </row>
    <row r="303" spans="1:22">
      <c r="A303" s="12"/>
      <c r="B303" s="93"/>
      <c r="C303" s="12"/>
      <c r="D303" s="94"/>
      <c r="E303" s="94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95"/>
      <c r="R303" s="87"/>
      <c r="S303" s="96"/>
      <c r="T303" s="12"/>
      <c r="U303" s="12"/>
      <c r="V303" s="12"/>
    </row>
    <row r="304" spans="1:22">
      <c r="A304" s="12"/>
      <c r="B304" s="93"/>
      <c r="C304" s="12"/>
      <c r="D304" s="94"/>
      <c r="E304" s="94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95"/>
      <c r="R304" s="87"/>
      <c r="S304" s="96"/>
      <c r="T304" s="12"/>
      <c r="U304" s="12"/>
      <c r="V304" s="12"/>
    </row>
    <row r="305" spans="1:22">
      <c r="A305" s="12"/>
      <c r="B305" s="93"/>
      <c r="C305" s="12"/>
      <c r="D305" s="94"/>
      <c r="E305" s="94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95"/>
      <c r="R305" s="87"/>
      <c r="S305" s="96"/>
      <c r="T305" s="12"/>
      <c r="U305" s="12"/>
      <c r="V305" s="12"/>
    </row>
    <row r="306" spans="1:22">
      <c r="A306" s="12"/>
      <c r="B306" s="93"/>
      <c r="C306" s="12"/>
      <c r="D306" s="94"/>
      <c r="E306" s="94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95"/>
      <c r="R306" s="87"/>
      <c r="S306" s="96"/>
      <c r="T306" s="12"/>
      <c r="U306" s="12"/>
      <c r="V306" s="12"/>
    </row>
    <row r="307" spans="1:22">
      <c r="A307" s="12"/>
      <c r="B307" s="93"/>
      <c r="C307" s="12"/>
      <c r="D307" s="94"/>
      <c r="E307" s="94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95"/>
      <c r="R307" s="87"/>
      <c r="S307" s="96"/>
      <c r="T307" s="12"/>
      <c r="U307" s="12"/>
      <c r="V307" s="12"/>
    </row>
    <row r="308" spans="1:22">
      <c r="A308" s="12"/>
      <c r="B308" s="93"/>
      <c r="C308" s="12"/>
      <c r="D308" s="94"/>
      <c r="E308" s="94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95"/>
      <c r="R308" s="87"/>
      <c r="S308" s="96"/>
      <c r="T308" s="12"/>
      <c r="U308" s="12"/>
      <c r="V308" s="12"/>
    </row>
    <row r="309" spans="1:22">
      <c r="A309" s="12"/>
      <c r="B309" s="93"/>
      <c r="C309" s="12"/>
      <c r="D309" s="94"/>
      <c r="E309" s="94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95"/>
      <c r="R309" s="87"/>
      <c r="S309" s="96"/>
      <c r="T309" s="12"/>
      <c r="U309" s="12"/>
      <c r="V309" s="12"/>
    </row>
    <row r="310" spans="1:22">
      <c r="A310" s="12"/>
      <c r="B310" s="93"/>
      <c r="C310" s="12"/>
      <c r="D310" s="94"/>
      <c r="E310" s="94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95"/>
      <c r="R310" s="87"/>
      <c r="S310" s="96"/>
      <c r="T310" s="12"/>
      <c r="U310" s="12"/>
      <c r="V310" s="12"/>
    </row>
    <row r="311" spans="1:22">
      <c r="A311" s="12"/>
      <c r="B311" s="93"/>
      <c r="C311" s="12"/>
      <c r="D311" s="94"/>
      <c r="E311" s="94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95"/>
      <c r="R311" s="87"/>
      <c r="S311" s="96"/>
      <c r="T311" s="12"/>
      <c r="U311" s="12"/>
      <c r="V311" s="12"/>
    </row>
    <row r="312" spans="1:22">
      <c r="A312" s="12"/>
      <c r="B312" s="93"/>
      <c r="C312" s="12"/>
      <c r="D312" s="94"/>
      <c r="E312" s="94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95"/>
      <c r="R312" s="87"/>
      <c r="S312" s="96"/>
      <c r="T312" s="12"/>
      <c r="U312" s="12"/>
      <c r="V312" s="12"/>
    </row>
    <row r="313" spans="1:22">
      <c r="A313" s="12"/>
      <c r="B313" s="93"/>
      <c r="C313" s="12"/>
      <c r="D313" s="94"/>
      <c r="E313" s="94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95"/>
      <c r="R313" s="87"/>
      <c r="S313" s="96"/>
      <c r="T313" s="12"/>
      <c r="U313" s="12"/>
      <c r="V313" s="12"/>
    </row>
    <row r="314" spans="1:22">
      <c r="A314" s="12"/>
      <c r="B314" s="93"/>
      <c r="C314" s="12"/>
      <c r="D314" s="94"/>
      <c r="E314" s="94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95"/>
      <c r="R314" s="87"/>
      <c r="S314" s="96"/>
      <c r="T314" s="12"/>
      <c r="U314" s="12"/>
      <c r="V314" s="12"/>
    </row>
    <row r="315" spans="1:22">
      <c r="A315" s="12"/>
      <c r="B315" s="93"/>
      <c r="C315" s="12"/>
      <c r="D315" s="94"/>
      <c r="E315" s="94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95"/>
      <c r="R315" s="87"/>
      <c r="S315" s="96"/>
      <c r="T315" s="12"/>
      <c r="U315" s="12"/>
      <c r="V315" s="12"/>
    </row>
    <row r="316" spans="1:22">
      <c r="A316" s="12"/>
      <c r="B316" s="93"/>
      <c r="C316" s="12"/>
      <c r="D316" s="94"/>
      <c r="E316" s="94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95"/>
      <c r="R316" s="87"/>
      <c r="S316" s="96"/>
      <c r="T316" s="12"/>
      <c r="U316" s="12"/>
      <c r="V316" s="12"/>
    </row>
    <row r="317" spans="1:22">
      <c r="A317" s="12"/>
      <c r="B317" s="93"/>
      <c r="C317" s="12"/>
      <c r="D317" s="94"/>
      <c r="E317" s="94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95"/>
      <c r="R317" s="87"/>
      <c r="S317" s="96"/>
      <c r="T317" s="12"/>
      <c r="U317" s="12"/>
      <c r="V317" s="12"/>
    </row>
    <row r="318" spans="1:22">
      <c r="A318" s="12"/>
      <c r="B318" s="93"/>
      <c r="C318" s="12"/>
      <c r="D318" s="94"/>
      <c r="E318" s="94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95"/>
      <c r="R318" s="87"/>
      <c r="S318" s="96"/>
      <c r="T318" s="12"/>
      <c r="U318" s="12"/>
      <c r="V318" s="12"/>
    </row>
    <row r="319" spans="1:22">
      <c r="A319" s="12"/>
      <c r="B319" s="93"/>
      <c r="C319" s="12"/>
      <c r="D319" s="94"/>
      <c r="E319" s="94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95"/>
      <c r="R319" s="87"/>
      <c r="S319" s="96"/>
      <c r="T319" s="12"/>
      <c r="U319" s="12"/>
      <c r="V319" s="12"/>
    </row>
    <row r="320" spans="1:22">
      <c r="A320" s="12"/>
      <c r="B320" s="93"/>
      <c r="C320" s="12"/>
      <c r="D320" s="94"/>
      <c r="E320" s="94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95"/>
      <c r="R320" s="87"/>
      <c r="S320" s="96"/>
      <c r="T320" s="12"/>
      <c r="U320" s="12"/>
      <c r="V320" s="12"/>
    </row>
    <row r="321" spans="1:22">
      <c r="A321" s="12"/>
      <c r="B321" s="93"/>
      <c r="C321" s="12"/>
      <c r="D321" s="94"/>
      <c r="E321" s="94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95"/>
      <c r="R321" s="87"/>
      <c r="S321" s="96"/>
      <c r="T321" s="12"/>
      <c r="U321" s="12"/>
      <c r="V321" s="12"/>
    </row>
    <row r="322" spans="1:22">
      <c r="A322" s="12"/>
      <c r="B322" s="93"/>
      <c r="C322" s="12"/>
      <c r="D322" s="94"/>
      <c r="E322" s="94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95"/>
      <c r="R322" s="87"/>
      <c r="S322" s="96"/>
      <c r="T322" s="12"/>
      <c r="U322" s="12"/>
      <c r="V322" s="12"/>
    </row>
    <row r="323" spans="1:22">
      <c r="A323" s="12"/>
      <c r="B323" s="93"/>
      <c r="C323" s="12"/>
      <c r="D323" s="94"/>
      <c r="E323" s="94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95"/>
      <c r="R323" s="87"/>
      <c r="S323" s="96"/>
      <c r="T323" s="12"/>
      <c r="U323" s="12"/>
      <c r="V323" s="12"/>
    </row>
    <row r="324" spans="1:22">
      <c r="A324" s="12"/>
      <c r="B324" s="93"/>
      <c r="C324" s="12"/>
      <c r="D324" s="94"/>
      <c r="E324" s="94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95"/>
      <c r="R324" s="87"/>
      <c r="S324" s="96"/>
      <c r="T324" s="12"/>
      <c r="U324" s="12"/>
      <c r="V324" s="12"/>
    </row>
    <row r="325" spans="1:22">
      <c r="A325" s="12"/>
      <c r="B325" s="93"/>
      <c r="C325" s="12"/>
      <c r="D325" s="94"/>
      <c r="E325" s="94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95"/>
      <c r="R325" s="87"/>
      <c r="S325" s="96"/>
      <c r="T325" s="12"/>
      <c r="U325" s="12"/>
      <c r="V325" s="12"/>
    </row>
    <row r="326" spans="1:22">
      <c r="A326" s="12"/>
      <c r="B326" s="93"/>
      <c r="C326" s="12"/>
      <c r="D326" s="94"/>
      <c r="E326" s="94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95"/>
      <c r="R326" s="87"/>
      <c r="S326" s="96"/>
      <c r="T326" s="12"/>
      <c r="U326" s="12"/>
      <c r="V326" s="12"/>
    </row>
    <row r="327" spans="1:22">
      <c r="A327" s="12"/>
      <c r="B327" s="93"/>
      <c r="C327" s="12"/>
      <c r="D327" s="94"/>
      <c r="E327" s="94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95"/>
      <c r="R327" s="87"/>
      <c r="S327" s="96"/>
      <c r="T327" s="12"/>
      <c r="U327" s="12"/>
      <c r="V327" s="12"/>
    </row>
    <row r="328" spans="1:22">
      <c r="A328" s="12"/>
      <c r="B328" s="93"/>
      <c r="C328" s="12"/>
      <c r="D328" s="94"/>
      <c r="E328" s="94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95"/>
      <c r="R328" s="87"/>
      <c r="S328" s="96"/>
      <c r="T328" s="12"/>
      <c r="U328" s="12"/>
      <c r="V328" s="12"/>
    </row>
    <row r="329" spans="1:22">
      <c r="A329" s="12"/>
      <c r="B329" s="93"/>
      <c r="C329" s="12"/>
      <c r="D329" s="94"/>
      <c r="E329" s="94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95"/>
      <c r="R329" s="87"/>
      <c r="S329" s="96"/>
      <c r="T329" s="12"/>
      <c r="U329" s="12"/>
      <c r="V329" s="12"/>
    </row>
    <row r="330" spans="1:22">
      <c r="A330" s="12"/>
      <c r="B330" s="93"/>
      <c r="C330" s="12"/>
      <c r="D330" s="94"/>
      <c r="E330" s="94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95"/>
      <c r="R330" s="87"/>
      <c r="S330" s="96"/>
      <c r="T330" s="12"/>
      <c r="U330" s="12"/>
      <c r="V330" s="12"/>
    </row>
    <row r="331" spans="1:22">
      <c r="A331" s="12"/>
      <c r="B331" s="93"/>
      <c r="C331" s="12"/>
      <c r="D331" s="94"/>
      <c r="E331" s="94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95"/>
      <c r="R331" s="87"/>
      <c r="S331" s="96"/>
      <c r="T331" s="12"/>
      <c r="U331" s="12"/>
      <c r="V331" s="12"/>
    </row>
    <row r="332" spans="1:22">
      <c r="A332" s="12"/>
      <c r="B332" s="93"/>
      <c r="C332" s="12"/>
      <c r="D332" s="94"/>
      <c r="E332" s="94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95"/>
      <c r="R332" s="87"/>
      <c r="S332" s="96"/>
      <c r="T332" s="12"/>
      <c r="U332" s="12"/>
      <c r="V332" s="12"/>
    </row>
    <row r="333" spans="1:22">
      <c r="A333" s="12"/>
      <c r="B333" s="93"/>
      <c r="C333" s="12"/>
      <c r="D333" s="94"/>
      <c r="E333" s="94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95"/>
      <c r="R333" s="87"/>
      <c r="S333" s="96"/>
      <c r="T333" s="12"/>
      <c r="U333" s="12"/>
      <c r="V333" s="12"/>
    </row>
    <row r="334" spans="1:22">
      <c r="A334" s="12"/>
      <c r="B334" s="93"/>
      <c r="C334" s="12"/>
      <c r="D334" s="94"/>
      <c r="E334" s="94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95"/>
      <c r="R334" s="87"/>
      <c r="S334" s="96"/>
      <c r="T334" s="12"/>
      <c r="U334" s="12"/>
      <c r="V334" s="12"/>
    </row>
    <row r="335" spans="1:22">
      <c r="A335" s="12"/>
      <c r="B335" s="93"/>
      <c r="C335" s="12"/>
      <c r="D335" s="94"/>
      <c r="E335" s="94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95"/>
      <c r="R335" s="87"/>
      <c r="S335" s="96"/>
      <c r="T335" s="12"/>
      <c r="U335" s="12"/>
      <c r="V335" s="12"/>
    </row>
    <row r="336" spans="1:22">
      <c r="A336" s="12"/>
      <c r="B336" s="93"/>
      <c r="C336" s="12"/>
      <c r="D336" s="94"/>
      <c r="E336" s="94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95"/>
      <c r="R336" s="87"/>
      <c r="S336" s="96"/>
      <c r="T336" s="12"/>
      <c r="U336" s="12"/>
      <c r="V336" s="12"/>
    </row>
    <row r="337" spans="1:22">
      <c r="A337" s="12"/>
      <c r="B337" s="93"/>
      <c r="C337" s="12"/>
      <c r="D337" s="94"/>
      <c r="E337" s="94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95"/>
      <c r="R337" s="87"/>
      <c r="S337" s="96"/>
      <c r="T337" s="12"/>
      <c r="U337" s="12"/>
      <c r="V337" s="12"/>
    </row>
    <row r="338" spans="1:22">
      <c r="A338" s="12"/>
      <c r="B338" s="93"/>
      <c r="C338" s="12"/>
      <c r="D338" s="94"/>
      <c r="E338" s="94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95"/>
      <c r="R338" s="87"/>
      <c r="S338" s="96"/>
      <c r="T338" s="12"/>
      <c r="U338" s="12"/>
      <c r="V338" s="12"/>
    </row>
    <row r="339" spans="1:22">
      <c r="A339" s="12"/>
      <c r="B339" s="93"/>
      <c r="C339" s="12"/>
      <c r="D339" s="94"/>
      <c r="E339" s="94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95"/>
      <c r="R339" s="87"/>
      <c r="S339" s="96"/>
      <c r="T339" s="12"/>
      <c r="U339" s="12"/>
      <c r="V339" s="12"/>
    </row>
    <row r="340" spans="1:22">
      <c r="A340" s="12"/>
      <c r="B340" s="93"/>
      <c r="C340" s="12"/>
      <c r="D340" s="94"/>
      <c r="E340" s="94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95"/>
      <c r="R340" s="87"/>
      <c r="S340" s="96"/>
      <c r="T340" s="12"/>
      <c r="U340" s="12"/>
      <c r="V340" s="12"/>
    </row>
    <row r="341" spans="1:22">
      <c r="A341" s="12"/>
      <c r="B341" s="93"/>
      <c r="C341" s="12"/>
      <c r="D341" s="94"/>
      <c r="E341" s="94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95"/>
      <c r="R341" s="87"/>
      <c r="S341" s="96"/>
      <c r="T341" s="12"/>
      <c r="U341" s="12"/>
      <c r="V341" s="12"/>
    </row>
    <row r="342" spans="1:22">
      <c r="A342" s="12"/>
      <c r="B342" s="93"/>
      <c r="C342" s="12"/>
      <c r="D342" s="94"/>
      <c r="E342" s="94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95"/>
      <c r="R342" s="87"/>
      <c r="S342" s="96"/>
      <c r="T342" s="12"/>
      <c r="U342" s="12"/>
      <c r="V342" s="12"/>
    </row>
    <row r="343" spans="1:22">
      <c r="A343" s="12"/>
      <c r="B343" s="93"/>
      <c r="C343" s="12"/>
      <c r="D343" s="94"/>
      <c r="E343" s="94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95"/>
      <c r="R343" s="87"/>
      <c r="S343" s="96"/>
      <c r="T343" s="12"/>
      <c r="U343" s="12"/>
      <c r="V343" s="12"/>
    </row>
    <row r="344" spans="1:22">
      <c r="A344" s="12"/>
      <c r="B344" s="93"/>
      <c r="C344" s="12"/>
      <c r="D344" s="94"/>
      <c r="E344" s="94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95"/>
      <c r="R344" s="87"/>
      <c r="S344" s="96"/>
      <c r="T344" s="12"/>
      <c r="U344" s="12"/>
      <c r="V344" s="12"/>
    </row>
    <row r="345" spans="1:22">
      <c r="A345" s="12"/>
      <c r="B345" s="93"/>
      <c r="C345" s="12"/>
      <c r="D345" s="94"/>
      <c r="E345" s="94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95"/>
      <c r="R345" s="87"/>
      <c r="S345" s="96"/>
      <c r="T345" s="12"/>
      <c r="U345" s="12"/>
      <c r="V345" s="12"/>
    </row>
    <row r="346" spans="1:22">
      <c r="A346" s="12"/>
      <c r="B346" s="93"/>
      <c r="C346" s="12"/>
      <c r="D346" s="94"/>
      <c r="E346" s="94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95"/>
      <c r="R346" s="87"/>
      <c r="S346" s="96"/>
      <c r="T346" s="12"/>
      <c r="U346" s="12"/>
      <c r="V346" s="12"/>
    </row>
    <row r="347" spans="1:22">
      <c r="A347" s="12"/>
      <c r="B347" s="93"/>
      <c r="C347" s="12"/>
      <c r="D347" s="94"/>
      <c r="E347" s="94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95"/>
      <c r="R347" s="87"/>
      <c r="S347" s="96"/>
      <c r="T347" s="12"/>
      <c r="U347" s="12"/>
      <c r="V347" s="12"/>
    </row>
    <row r="348" spans="1:22">
      <c r="A348" s="12"/>
      <c r="B348" s="93"/>
      <c r="C348" s="12"/>
      <c r="D348" s="94"/>
      <c r="E348" s="94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95"/>
      <c r="R348" s="87"/>
      <c r="S348" s="96"/>
      <c r="T348" s="12"/>
      <c r="U348" s="12"/>
      <c r="V348" s="12"/>
    </row>
    <row r="349" spans="1:22">
      <c r="A349" s="12"/>
      <c r="B349" s="93"/>
      <c r="C349" s="12"/>
      <c r="D349" s="94"/>
      <c r="E349" s="94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95"/>
      <c r="R349" s="87"/>
      <c r="S349" s="96"/>
      <c r="T349" s="12"/>
      <c r="U349" s="12"/>
      <c r="V349" s="12"/>
    </row>
    <row r="350" spans="1:22">
      <c r="A350" s="12"/>
      <c r="B350" s="93"/>
      <c r="C350" s="12"/>
      <c r="D350" s="94"/>
      <c r="E350" s="94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95"/>
      <c r="R350" s="87"/>
      <c r="S350" s="96"/>
      <c r="T350" s="12"/>
      <c r="U350" s="12"/>
      <c r="V350" s="12"/>
    </row>
    <row r="351" spans="1:22">
      <c r="A351" s="12"/>
      <c r="B351" s="93"/>
      <c r="C351" s="12"/>
      <c r="D351" s="94"/>
      <c r="E351" s="94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95"/>
      <c r="R351" s="87"/>
      <c r="S351" s="96"/>
      <c r="T351" s="12"/>
      <c r="U351" s="12"/>
      <c r="V351" s="12"/>
    </row>
    <row r="352" spans="1:22">
      <c r="A352" s="12"/>
      <c r="B352" s="93"/>
      <c r="C352" s="12"/>
      <c r="D352" s="94"/>
      <c r="E352" s="94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95"/>
      <c r="R352" s="87"/>
      <c r="S352" s="96"/>
      <c r="T352" s="12"/>
      <c r="U352" s="12"/>
      <c r="V352" s="12"/>
    </row>
    <row r="353" spans="1:22">
      <c r="A353" s="12"/>
      <c r="B353" s="93"/>
      <c r="C353" s="12"/>
      <c r="D353" s="94"/>
      <c r="E353" s="94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95"/>
      <c r="R353" s="87"/>
      <c r="S353" s="96"/>
      <c r="T353" s="12"/>
      <c r="U353" s="12"/>
      <c r="V353" s="12"/>
    </row>
    <row r="354" spans="1:22">
      <c r="A354" s="12"/>
      <c r="B354" s="93"/>
      <c r="C354" s="12"/>
      <c r="D354" s="94"/>
      <c r="E354" s="94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95"/>
      <c r="R354" s="87"/>
      <c r="S354" s="96"/>
      <c r="T354" s="12"/>
      <c r="U354" s="12"/>
      <c r="V354" s="12"/>
    </row>
    <row r="355" spans="1:22">
      <c r="A355" s="12"/>
      <c r="B355" s="93"/>
      <c r="C355" s="12"/>
      <c r="D355" s="94"/>
      <c r="E355" s="94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95"/>
      <c r="R355" s="87"/>
      <c r="S355" s="96"/>
      <c r="T355" s="12"/>
      <c r="U355" s="12"/>
      <c r="V355" s="12"/>
    </row>
    <row r="356" spans="1:22">
      <c r="A356" s="12"/>
      <c r="B356" s="93"/>
      <c r="C356" s="12"/>
      <c r="D356" s="94"/>
      <c r="E356" s="94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95"/>
      <c r="R356" s="87"/>
      <c r="S356" s="96"/>
      <c r="T356" s="12"/>
      <c r="U356" s="12"/>
      <c r="V356" s="12"/>
    </row>
    <row r="357" spans="1:22">
      <c r="A357" s="12"/>
      <c r="B357" s="93"/>
      <c r="C357" s="12"/>
      <c r="D357" s="94"/>
      <c r="E357" s="94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95"/>
      <c r="R357" s="87"/>
      <c r="S357" s="96"/>
      <c r="T357" s="12"/>
      <c r="U357" s="12"/>
      <c r="V357" s="12"/>
    </row>
    <row r="358" spans="1:22">
      <c r="A358" s="12"/>
      <c r="B358" s="93"/>
      <c r="C358" s="12"/>
      <c r="D358" s="94"/>
      <c r="E358" s="94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95"/>
      <c r="R358" s="87"/>
      <c r="S358" s="96"/>
      <c r="T358" s="12"/>
      <c r="U358" s="12"/>
      <c r="V358" s="12"/>
    </row>
    <row r="359" spans="1:22">
      <c r="A359" s="12"/>
      <c r="B359" s="93"/>
      <c r="C359" s="12"/>
      <c r="D359" s="94"/>
      <c r="E359" s="94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95"/>
      <c r="R359" s="87"/>
      <c r="S359" s="96"/>
      <c r="T359" s="12"/>
      <c r="U359" s="12"/>
      <c r="V359" s="12"/>
    </row>
    <row r="360" spans="1:22">
      <c r="A360" s="12"/>
      <c r="B360" s="93"/>
      <c r="C360" s="12"/>
      <c r="D360" s="94"/>
      <c r="E360" s="94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95"/>
      <c r="R360" s="87"/>
      <c r="S360" s="96"/>
      <c r="T360" s="12"/>
      <c r="U360" s="12"/>
      <c r="V360" s="12"/>
    </row>
    <row r="361" spans="1:22">
      <c r="A361" s="12"/>
      <c r="B361" s="93"/>
      <c r="C361" s="12"/>
      <c r="D361" s="94"/>
      <c r="E361" s="94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95"/>
      <c r="R361" s="87"/>
      <c r="S361" s="96"/>
      <c r="T361" s="12"/>
      <c r="U361" s="12"/>
      <c r="V361" s="12"/>
    </row>
    <row r="362" spans="1:22">
      <c r="A362" s="12"/>
      <c r="B362" s="93"/>
      <c r="C362" s="12"/>
      <c r="D362" s="94"/>
      <c r="E362" s="94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95"/>
      <c r="R362" s="87"/>
      <c r="S362" s="96"/>
      <c r="T362" s="12"/>
      <c r="U362" s="12"/>
      <c r="V362" s="12"/>
    </row>
    <row r="363" spans="1:22">
      <c r="A363" s="12"/>
      <c r="B363" s="93"/>
      <c r="C363" s="12"/>
      <c r="D363" s="94"/>
      <c r="E363" s="94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95"/>
      <c r="R363" s="87"/>
      <c r="S363" s="96"/>
      <c r="T363" s="12"/>
      <c r="U363" s="12"/>
      <c r="V363" s="12"/>
    </row>
    <row r="364" spans="1:22">
      <c r="A364" s="12"/>
      <c r="B364" s="93"/>
      <c r="C364" s="12"/>
      <c r="D364" s="94"/>
      <c r="E364" s="94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95"/>
      <c r="R364" s="87"/>
      <c r="S364" s="96"/>
      <c r="T364" s="12"/>
      <c r="U364" s="12"/>
      <c r="V364" s="12"/>
    </row>
    <row r="365" spans="1:22">
      <c r="A365" s="12"/>
      <c r="B365" s="93"/>
      <c r="C365" s="12"/>
      <c r="D365" s="94"/>
      <c r="E365" s="94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95"/>
      <c r="R365" s="87"/>
      <c r="S365" s="96"/>
      <c r="T365" s="12"/>
      <c r="U365" s="12"/>
      <c r="V365" s="12"/>
    </row>
    <row r="366" spans="1:22">
      <c r="A366" s="12"/>
      <c r="B366" s="93"/>
      <c r="C366" s="12"/>
      <c r="D366" s="94"/>
      <c r="E366" s="94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95"/>
      <c r="R366" s="87"/>
      <c r="S366" s="96"/>
      <c r="T366" s="12"/>
      <c r="U366" s="12"/>
      <c r="V366" s="12"/>
    </row>
    <row r="367" spans="1:22">
      <c r="A367" s="12"/>
      <c r="B367" s="93"/>
      <c r="C367" s="12"/>
      <c r="D367" s="94"/>
      <c r="E367" s="94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95"/>
      <c r="R367" s="87"/>
      <c r="S367" s="96"/>
      <c r="T367" s="12"/>
      <c r="U367" s="12"/>
      <c r="V367" s="12"/>
    </row>
    <row r="368" spans="1:22">
      <c r="A368" s="12"/>
      <c r="B368" s="93"/>
      <c r="C368" s="12"/>
      <c r="D368" s="94"/>
      <c r="E368" s="94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95"/>
      <c r="R368" s="87"/>
      <c r="S368" s="96"/>
      <c r="T368" s="12"/>
      <c r="U368" s="12"/>
      <c r="V368" s="12"/>
    </row>
    <row r="369" spans="1:22">
      <c r="A369" s="12"/>
      <c r="B369" s="93"/>
      <c r="C369" s="12"/>
      <c r="D369" s="94"/>
      <c r="E369" s="94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95"/>
      <c r="R369" s="87"/>
      <c r="S369" s="96"/>
      <c r="T369" s="12"/>
      <c r="U369" s="12"/>
      <c r="V369" s="12"/>
    </row>
    <row r="370" spans="1:22">
      <c r="A370" s="12"/>
      <c r="B370" s="93"/>
      <c r="C370" s="12"/>
      <c r="D370" s="94"/>
      <c r="E370" s="94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95"/>
      <c r="R370" s="87"/>
      <c r="S370" s="96"/>
      <c r="T370" s="12"/>
      <c r="U370" s="12"/>
      <c r="V370" s="12"/>
    </row>
    <row r="371" spans="1:22">
      <c r="A371" s="12"/>
      <c r="B371" s="93"/>
      <c r="C371" s="12"/>
      <c r="D371" s="94"/>
      <c r="E371" s="94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95"/>
      <c r="R371" s="87"/>
      <c r="S371" s="96"/>
      <c r="T371" s="12"/>
      <c r="U371" s="12"/>
      <c r="V371" s="12"/>
    </row>
    <row r="372" spans="1:22">
      <c r="A372" s="12"/>
      <c r="B372" s="93"/>
      <c r="C372" s="12"/>
      <c r="D372" s="94"/>
      <c r="E372" s="94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95"/>
      <c r="R372" s="87"/>
      <c r="S372" s="96"/>
      <c r="T372" s="12"/>
      <c r="U372" s="12"/>
      <c r="V372" s="12"/>
    </row>
    <row r="373" spans="1:22">
      <c r="A373" s="12"/>
      <c r="B373" s="93"/>
      <c r="C373" s="12"/>
      <c r="D373" s="94"/>
      <c r="E373" s="94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95"/>
      <c r="R373" s="87"/>
      <c r="S373" s="96"/>
      <c r="T373" s="12"/>
      <c r="U373" s="12"/>
      <c r="V373" s="12"/>
    </row>
    <row r="374" spans="1:22">
      <c r="A374" s="12"/>
      <c r="B374" s="93"/>
      <c r="C374" s="12"/>
      <c r="D374" s="94"/>
      <c r="E374" s="94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95"/>
      <c r="R374" s="87"/>
      <c r="S374" s="96"/>
      <c r="T374" s="12"/>
      <c r="U374" s="12"/>
      <c r="V374" s="12"/>
    </row>
    <row r="375" spans="1:22">
      <c r="A375" s="12"/>
      <c r="B375" s="93"/>
      <c r="C375" s="12"/>
      <c r="D375" s="94"/>
      <c r="E375" s="94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95"/>
      <c r="R375" s="87"/>
      <c r="S375" s="96"/>
      <c r="T375" s="12"/>
      <c r="U375" s="12"/>
      <c r="V375" s="12"/>
    </row>
    <row r="376" spans="1:22">
      <c r="A376" s="12"/>
      <c r="B376" s="93"/>
      <c r="C376" s="12"/>
      <c r="D376" s="94"/>
      <c r="E376" s="94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95"/>
      <c r="R376" s="87"/>
      <c r="S376" s="96"/>
      <c r="T376" s="12"/>
      <c r="U376" s="12"/>
      <c r="V376" s="12"/>
    </row>
    <row r="377" spans="1:22">
      <c r="A377" s="12"/>
      <c r="B377" s="93"/>
      <c r="C377" s="12"/>
      <c r="D377" s="94"/>
      <c r="E377" s="94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95"/>
      <c r="R377" s="87"/>
      <c r="S377" s="96"/>
      <c r="T377" s="12"/>
      <c r="U377" s="12"/>
      <c r="V377" s="12"/>
    </row>
    <row r="378" spans="1:22">
      <c r="A378" s="12"/>
      <c r="B378" s="93"/>
      <c r="C378" s="12"/>
      <c r="D378" s="94"/>
      <c r="E378" s="94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95"/>
      <c r="R378" s="87"/>
      <c r="S378" s="96"/>
      <c r="T378" s="12"/>
      <c r="U378" s="12"/>
      <c r="V378" s="12"/>
    </row>
    <row r="379" spans="1:22">
      <c r="A379" s="12"/>
      <c r="B379" s="93"/>
      <c r="C379" s="12"/>
      <c r="D379" s="94"/>
      <c r="E379" s="94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95"/>
      <c r="R379" s="87"/>
      <c r="S379" s="96"/>
      <c r="T379" s="12"/>
      <c r="U379" s="12"/>
      <c r="V379" s="12"/>
    </row>
    <row r="380" spans="1:22">
      <c r="A380" s="12"/>
      <c r="B380" s="93"/>
      <c r="C380" s="12"/>
      <c r="D380" s="94"/>
      <c r="E380" s="94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95"/>
      <c r="R380" s="87"/>
      <c r="S380" s="96"/>
      <c r="T380" s="12"/>
      <c r="U380" s="12"/>
      <c r="V380" s="12"/>
    </row>
    <row r="381" spans="1:22">
      <c r="A381" s="12"/>
      <c r="B381" s="93"/>
      <c r="C381" s="12"/>
      <c r="D381" s="94"/>
      <c r="E381" s="94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95"/>
      <c r="R381" s="87"/>
      <c r="S381" s="96"/>
      <c r="T381" s="12"/>
      <c r="U381" s="12"/>
      <c r="V381" s="12"/>
    </row>
    <row r="382" spans="1:22">
      <c r="A382" s="12"/>
      <c r="B382" s="93"/>
      <c r="C382" s="12"/>
      <c r="D382" s="94"/>
      <c r="E382" s="94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95"/>
      <c r="R382" s="87"/>
      <c r="S382" s="96"/>
      <c r="T382" s="12"/>
      <c r="U382" s="12"/>
      <c r="V382" s="12"/>
    </row>
    <row r="383" spans="1:22">
      <c r="A383" s="12"/>
      <c r="B383" s="93"/>
      <c r="C383" s="12"/>
      <c r="D383" s="94"/>
      <c r="E383" s="94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95"/>
      <c r="R383" s="87"/>
      <c r="S383" s="96"/>
      <c r="T383" s="12"/>
      <c r="U383" s="12"/>
      <c r="V383" s="12"/>
    </row>
    <row r="384" spans="1:22">
      <c r="A384" s="12"/>
      <c r="B384" s="93"/>
      <c r="C384" s="12"/>
      <c r="D384" s="94"/>
      <c r="E384" s="94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95"/>
      <c r="R384" s="87"/>
      <c r="S384" s="96"/>
      <c r="T384" s="12"/>
      <c r="U384" s="12"/>
      <c r="V384" s="12"/>
    </row>
    <row r="385" spans="1:22">
      <c r="A385" s="12"/>
      <c r="B385" s="93"/>
      <c r="C385" s="12"/>
      <c r="D385" s="94"/>
      <c r="E385" s="94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95"/>
      <c r="R385" s="87"/>
      <c r="S385" s="96"/>
      <c r="T385" s="12"/>
      <c r="U385" s="12"/>
      <c r="V385" s="12"/>
    </row>
    <row r="386" spans="1:22">
      <c r="A386" s="12"/>
      <c r="B386" s="93"/>
      <c r="C386" s="12"/>
      <c r="D386" s="94"/>
      <c r="E386" s="94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95"/>
      <c r="R386" s="87"/>
      <c r="S386" s="96"/>
      <c r="T386" s="12"/>
      <c r="U386" s="12"/>
      <c r="V386" s="12"/>
    </row>
    <row r="387" spans="1:22">
      <c r="A387" s="12"/>
      <c r="B387" s="93"/>
      <c r="C387" s="12"/>
      <c r="D387" s="94"/>
      <c r="E387" s="94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95"/>
      <c r="R387" s="87"/>
      <c r="S387" s="96"/>
      <c r="T387" s="12"/>
      <c r="U387" s="12"/>
      <c r="V387" s="12"/>
    </row>
    <row r="388" spans="1:22">
      <c r="A388" s="12"/>
      <c r="B388" s="93"/>
      <c r="C388" s="12"/>
      <c r="D388" s="94"/>
      <c r="E388" s="94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95"/>
      <c r="R388" s="87"/>
      <c r="S388" s="96"/>
      <c r="T388" s="12"/>
      <c r="U388" s="12"/>
      <c r="V388" s="12"/>
    </row>
    <row r="389" spans="1:22">
      <c r="A389" s="12"/>
      <c r="B389" s="93"/>
      <c r="C389" s="12"/>
      <c r="D389" s="94"/>
      <c r="E389" s="94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95"/>
      <c r="R389" s="87"/>
      <c r="S389" s="96"/>
      <c r="T389" s="12"/>
      <c r="U389" s="12"/>
      <c r="V389" s="12"/>
    </row>
    <row r="390" spans="1:22">
      <c r="A390" s="12"/>
      <c r="B390" s="93"/>
      <c r="C390" s="12"/>
      <c r="D390" s="94"/>
      <c r="E390" s="94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95"/>
      <c r="R390" s="87"/>
      <c r="S390" s="96"/>
      <c r="T390" s="12"/>
      <c r="U390" s="12"/>
      <c r="V390" s="12"/>
    </row>
    <row r="391" spans="1:22">
      <c r="A391" s="12"/>
      <c r="B391" s="93"/>
      <c r="C391" s="12"/>
      <c r="D391" s="94"/>
      <c r="E391" s="94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95"/>
      <c r="R391" s="87"/>
      <c r="S391" s="96"/>
      <c r="T391" s="12"/>
      <c r="U391" s="12"/>
      <c r="V391" s="12"/>
    </row>
    <row r="392" spans="1:22">
      <c r="A392" s="12"/>
      <c r="B392" s="93"/>
      <c r="C392" s="12"/>
      <c r="D392" s="94"/>
      <c r="E392" s="94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95"/>
      <c r="R392" s="87"/>
      <c r="S392" s="96"/>
      <c r="T392" s="12"/>
      <c r="U392" s="12"/>
      <c r="V392" s="12"/>
    </row>
    <row r="393" spans="1:22">
      <c r="A393" s="12"/>
      <c r="B393" s="93"/>
      <c r="C393" s="12"/>
      <c r="D393" s="94"/>
      <c r="E393" s="94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95"/>
      <c r="R393" s="87"/>
      <c r="S393" s="96"/>
      <c r="T393" s="12"/>
      <c r="U393" s="12"/>
      <c r="V393" s="12"/>
    </row>
    <row r="394" spans="1:22">
      <c r="A394" s="12"/>
      <c r="B394" s="93"/>
      <c r="C394" s="12"/>
      <c r="D394" s="94"/>
      <c r="E394" s="94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95"/>
      <c r="R394" s="87"/>
      <c r="S394" s="96"/>
      <c r="T394" s="12"/>
      <c r="U394" s="12"/>
      <c r="V394" s="12"/>
    </row>
    <row r="395" spans="1:22">
      <c r="A395" s="12"/>
      <c r="B395" s="93"/>
      <c r="C395" s="12"/>
      <c r="D395" s="94"/>
      <c r="E395" s="94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95"/>
      <c r="R395" s="87"/>
      <c r="S395" s="96"/>
      <c r="T395" s="12"/>
      <c r="U395" s="12"/>
      <c r="V395" s="12"/>
    </row>
    <row r="396" spans="1:22">
      <c r="A396" s="12"/>
      <c r="B396" s="93"/>
      <c r="C396" s="12"/>
      <c r="D396" s="94"/>
      <c r="E396" s="94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95"/>
      <c r="R396" s="87"/>
      <c r="S396" s="96"/>
      <c r="T396" s="12"/>
      <c r="U396" s="12"/>
      <c r="V396" s="12"/>
    </row>
    <row r="397" spans="1:22">
      <c r="A397" s="12"/>
      <c r="B397" s="93"/>
      <c r="C397" s="12"/>
      <c r="D397" s="94"/>
      <c r="E397" s="94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95"/>
      <c r="R397" s="87"/>
      <c r="S397" s="96"/>
      <c r="T397" s="12"/>
      <c r="U397" s="12"/>
      <c r="V397" s="12"/>
    </row>
    <row r="398" spans="1:22">
      <c r="A398" s="12"/>
      <c r="B398" s="93"/>
      <c r="C398" s="12"/>
      <c r="D398" s="94"/>
      <c r="E398" s="94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95"/>
      <c r="R398" s="87"/>
      <c r="S398" s="96"/>
      <c r="T398" s="12"/>
      <c r="U398" s="12"/>
      <c r="V398" s="12"/>
    </row>
    <row r="399" spans="1:22">
      <c r="A399" s="12"/>
      <c r="B399" s="93"/>
      <c r="C399" s="12"/>
      <c r="D399" s="94"/>
      <c r="E399" s="94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95"/>
      <c r="R399" s="87"/>
      <c r="S399" s="96"/>
      <c r="T399" s="12"/>
      <c r="U399" s="12"/>
      <c r="V399" s="12"/>
    </row>
    <row r="400" spans="1:22">
      <c r="A400" s="12"/>
      <c r="B400" s="93"/>
      <c r="C400" s="12"/>
      <c r="D400" s="94"/>
      <c r="E400" s="94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95"/>
      <c r="R400" s="87"/>
      <c r="S400" s="96"/>
      <c r="T400" s="12"/>
      <c r="U400" s="12"/>
      <c r="V400" s="12"/>
    </row>
    <row r="401" spans="1:22">
      <c r="A401" s="12"/>
      <c r="B401" s="93"/>
      <c r="C401" s="12"/>
      <c r="D401" s="94"/>
      <c r="E401" s="94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95"/>
      <c r="R401" s="87"/>
      <c r="S401" s="96"/>
      <c r="T401" s="12"/>
      <c r="U401" s="12"/>
      <c r="V401" s="12"/>
    </row>
    <row r="402" spans="1:22">
      <c r="A402" s="12"/>
      <c r="B402" s="93"/>
      <c r="C402" s="12"/>
      <c r="D402" s="94"/>
      <c r="E402" s="94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95"/>
      <c r="R402" s="87"/>
      <c r="S402" s="96"/>
      <c r="T402" s="12"/>
      <c r="U402" s="12"/>
      <c r="V402" s="12"/>
    </row>
    <row r="403" spans="1:22">
      <c r="A403" s="12"/>
      <c r="B403" s="93"/>
      <c r="C403" s="12"/>
      <c r="D403" s="94"/>
      <c r="E403" s="94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95"/>
      <c r="R403" s="87"/>
      <c r="S403" s="96"/>
      <c r="T403" s="12"/>
      <c r="U403" s="12"/>
      <c r="V403" s="12"/>
    </row>
    <row r="404" spans="1:22">
      <c r="A404" s="12"/>
      <c r="B404" s="93"/>
      <c r="C404" s="12"/>
      <c r="D404" s="94"/>
      <c r="E404" s="94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95"/>
      <c r="R404" s="87"/>
      <c r="S404" s="96"/>
      <c r="T404" s="12"/>
      <c r="U404" s="12"/>
      <c r="V404" s="12"/>
    </row>
    <row r="405" spans="1:22">
      <c r="A405" s="12"/>
      <c r="B405" s="93"/>
      <c r="C405" s="12"/>
      <c r="D405" s="94"/>
      <c r="E405" s="94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95"/>
      <c r="R405" s="87"/>
      <c r="S405" s="96"/>
      <c r="T405" s="12"/>
      <c r="U405" s="12"/>
      <c r="V405" s="12"/>
    </row>
    <row r="406" spans="1:22">
      <c r="A406" s="12"/>
      <c r="B406" s="93"/>
      <c r="C406" s="12"/>
      <c r="D406" s="94"/>
      <c r="E406" s="94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95"/>
      <c r="R406" s="87"/>
      <c r="S406" s="96"/>
      <c r="T406" s="12"/>
      <c r="U406" s="12"/>
      <c r="V406" s="12"/>
    </row>
    <row r="407" spans="1:22">
      <c r="A407" s="12"/>
      <c r="B407" s="93"/>
      <c r="C407" s="12"/>
      <c r="D407" s="94"/>
      <c r="E407" s="94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95"/>
      <c r="R407" s="87"/>
      <c r="S407" s="96"/>
      <c r="T407" s="12"/>
      <c r="U407" s="12"/>
      <c r="V407" s="12"/>
    </row>
    <row r="408" spans="1:22">
      <c r="A408" s="12"/>
      <c r="B408" s="93"/>
      <c r="C408" s="12"/>
      <c r="D408" s="94"/>
      <c r="E408" s="94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95"/>
      <c r="R408" s="87"/>
      <c r="S408" s="96"/>
      <c r="T408" s="12"/>
      <c r="U408" s="12"/>
      <c r="V408" s="12"/>
    </row>
    <row r="409" spans="1:22">
      <c r="A409" s="12"/>
      <c r="B409" s="93"/>
      <c r="C409" s="12"/>
      <c r="D409" s="94"/>
      <c r="E409" s="94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95"/>
      <c r="R409" s="87"/>
      <c r="S409" s="96"/>
      <c r="T409" s="12"/>
      <c r="U409" s="12"/>
      <c r="V409" s="12"/>
    </row>
    <row r="410" spans="1:22">
      <c r="A410" s="12"/>
      <c r="B410" s="93"/>
      <c r="C410" s="12"/>
      <c r="D410" s="94"/>
      <c r="E410" s="94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95"/>
      <c r="R410" s="87"/>
      <c r="S410" s="96"/>
      <c r="T410" s="12"/>
      <c r="U410" s="12"/>
      <c r="V410" s="12"/>
    </row>
    <row r="411" spans="1:22">
      <c r="A411" s="12"/>
      <c r="B411" s="93"/>
      <c r="C411" s="12"/>
      <c r="D411" s="94"/>
      <c r="E411" s="94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95"/>
      <c r="R411" s="87"/>
      <c r="S411" s="96"/>
      <c r="T411" s="12"/>
      <c r="U411" s="12"/>
      <c r="V411" s="12"/>
    </row>
    <row r="412" spans="1:22">
      <c r="A412" s="12"/>
      <c r="B412" s="93"/>
      <c r="C412" s="12"/>
      <c r="D412" s="94"/>
      <c r="E412" s="94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95"/>
      <c r="R412" s="87"/>
      <c r="S412" s="96"/>
      <c r="T412" s="12"/>
      <c r="U412" s="12"/>
      <c r="V412" s="12"/>
    </row>
    <row r="413" spans="1:22">
      <c r="A413" s="12"/>
      <c r="B413" s="93"/>
      <c r="C413" s="12"/>
      <c r="D413" s="94"/>
      <c r="E413" s="94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95"/>
      <c r="R413" s="87"/>
      <c r="S413" s="96"/>
      <c r="T413" s="12"/>
      <c r="U413" s="12"/>
      <c r="V413" s="12"/>
    </row>
    <row r="414" spans="1:22">
      <c r="A414" s="12"/>
      <c r="B414" s="93"/>
      <c r="C414" s="12"/>
      <c r="D414" s="94"/>
      <c r="E414" s="94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95"/>
      <c r="R414" s="87"/>
      <c r="S414" s="96"/>
      <c r="T414" s="12"/>
      <c r="U414" s="12"/>
      <c r="V414" s="12"/>
    </row>
    <row r="415" spans="1:22">
      <c r="A415" s="12"/>
      <c r="B415" s="93"/>
      <c r="C415" s="12"/>
      <c r="D415" s="94"/>
      <c r="E415" s="94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95"/>
      <c r="R415" s="87"/>
      <c r="S415" s="96"/>
      <c r="T415" s="12"/>
      <c r="U415" s="12"/>
      <c r="V415" s="12"/>
    </row>
    <row r="416" spans="1:22">
      <c r="A416" s="12"/>
      <c r="B416" s="93"/>
      <c r="C416" s="12"/>
      <c r="D416" s="94"/>
      <c r="E416" s="94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95"/>
      <c r="R416" s="87"/>
      <c r="S416" s="96"/>
      <c r="T416" s="12"/>
      <c r="U416" s="12"/>
      <c r="V416" s="12"/>
    </row>
    <row r="417" spans="1:22">
      <c r="A417" s="12"/>
      <c r="B417" s="93"/>
      <c r="C417" s="12"/>
      <c r="D417" s="94"/>
      <c r="E417" s="94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95"/>
      <c r="R417" s="87"/>
      <c r="S417" s="96"/>
      <c r="T417" s="12"/>
      <c r="U417" s="12"/>
      <c r="V417" s="12"/>
    </row>
    <row r="418" spans="1:22">
      <c r="A418" s="12"/>
      <c r="B418" s="93"/>
      <c r="C418" s="12"/>
      <c r="D418" s="94"/>
      <c r="E418" s="94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95"/>
      <c r="R418" s="87"/>
      <c r="S418" s="96"/>
      <c r="T418" s="12"/>
      <c r="U418" s="12"/>
      <c r="V418" s="12"/>
    </row>
    <row r="419" spans="1:22">
      <c r="A419" s="12"/>
      <c r="B419" s="93"/>
      <c r="C419" s="12"/>
      <c r="D419" s="94"/>
      <c r="E419" s="94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95"/>
      <c r="R419" s="87"/>
      <c r="S419" s="96"/>
      <c r="T419" s="12"/>
      <c r="U419" s="12"/>
      <c r="V419" s="12"/>
    </row>
    <row r="420" spans="1:22">
      <c r="A420" s="12"/>
      <c r="B420" s="93"/>
      <c r="C420" s="12"/>
      <c r="D420" s="94"/>
      <c r="E420" s="94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95"/>
      <c r="R420" s="87"/>
      <c r="S420" s="96"/>
      <c r="T420" s="12"/>
      <c r="U420" s="12"/>
      <c r="V420" s="12"/>
    </row>
    <row r="421" spans="1:22">
      <c r="A421" s="12"/>
      <c r="B421" s="93"/>
      <c r="C421" s="12"/>
      <c r="D421" s="94"/>
      <c r="E421" s="94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95"/>
      <c r="R421" s="87"/>
      <c r="S421" s="96"/>
      <c r="T421" s="12"/>
      <c r="U421" s="12"/>
      <c r="V421" s="12"/>
    </row>
    <row r="422" spans="1:22">
      <c r="A422" s="12"/>
      <c r="B422" s="93"/>
      <c r="C422" s="12"/>
      <c r="D422" s="94"/>
      <c r="E422" s="94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95"/>
      <c r="R422" s="87"/>
      <c r="S422" s="96"/>
      <c r="T422" s="12"/>
      <c r="U422" s="12"/>
      <c r="V422" s="12"/>
    </row>
    <row r="423" spans="1:22">
      <c r="A423" s="12"/>
      <c r="B423" s="93"/>
      <c r="C423" s="12"/>
      <c r="D423" s="94"/>
      <c r="E423" s="94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95"/>
      <c r="R423" s="87"/>
      <c r="S423" s="96"/>
      <c r="T423" s="12"/>
      <c r="U423" s="12"/>
      <c r="V423" s="12"/>
    </row>
    <row r="424" spans="1:22">
      <c r="A424" s="12"/>
      <c r="B424" s="93"/>
      <c r="C424" s="12"/>
      <c r="D424" s="94"/>
      <c r="E424" s="94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95"/>
      <c r="R424" s="87"/>
      <c r="S424" s="96"/>
      <c r="T424" s="12"/>
      <c r="U424" s="12"/>
      <c r="V424" s="12"/>
    </row>
    <row r="425" spans="1:22">
      <c r="A425" s="12"/>
      <c r="B425" s="93"/>
      <c r="C425" s="12"/>
      <c r="D425" s="94"/>
      <c r="E425" s="94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95"/>
      <c r="R425" s="87"/>
      <c r="S425" s="96"/>
      <c r="T425" s="12"/>
      <c r="U425" s="12"/>
      <c r="V425" s="12"/>
    </row>
    <row r="426" spans="1:22">
      <c r="A426" s="12"/>
      <c r="B426" s="93"/>
      <c r="C426" s="12"/>
      <c r="D426" s="94"/>
      <c r="E426" s="94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95"/>
      <c r="R426" s="87"/>
      <c r="S426" s="96"/>
      <c r="T426" s="12"/>
      <c r="U426" s="12"/>
      <c r="V426" s="12"/>
    </row>
    <row r="427" spans="1:22">
      <c r="A427" s="12"/>
      <c r="B427" s="93"/>
      <c r="C427" s="12"/>
      <c r="D427" s="94"/>
      <c r="E427" s="94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95"/>
      <c r="R427" s="87"/>
      <c r="S427" s="96"/>
      <c r="T427" s="12"/>
      <c r="U427" s="12"/>
      <c r="V427" s="12"/>
    </row>
    <row r="428" spans="1:22">
      <c r="A428" s="12"/>
      <c r="B428" s="93"/>
      <c r="C428" s="12"/>
      <c r="D428" s="94"/>
      <c r="E428" s="94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95"/>
      <c r="R428" s="87"/>
      <c r="S428" s="96"/>
      <c r="T428" s="12"/>
      <c r="U428" s="12"/>
      <c r="V428" s="12"/>
    </row>
    <row r="429" spans="1:22">
      <c r="A429" s="12"/>
      <c r="B429" s="93"/>
      <c r="C429" s="12"/>
      <c r="D429" s="94"/>
      <c r="E429" s="94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95"/>
      <c r="R429" s="87"/>
      <c r="S429" s="96"/>
      <c r="T429" s="12"/>
      <c r="U429" s="12"/>
      <c r="V429" s="12"/>
    </row>
    <row r="430" spans="1:22">
      <c r="A430" s="12"/>
      <c r="B430" s="93"/>
      <c r="C430" s="12"/>
      <c r="D430" s="94"/>
      <c r="E430" s="94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95"/>
      <c r="R430" s="87"/>
      <c r="S430" s="96"/>
      <c r="T430" s="12"/>
      <c r="U430" s="12"/>
      <c r="V430" s="12"/>
    </row>
    <row r="431" spans="1:22">
      <c r="A431" s="12"/>
      <c r="B431" s="93"/>
      <c r="C431" s="12"/>
      <c r="D431" s="94"/>
      <c r="E431" s="94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95"/>
      <c r="R431" s="87"/>
      <c r="S431" s="96"/>
      <c r="T431" s="12"/>
      <c r="U431" s="12"/>
      <c r="V431" s="12"/>
    </row>
    <row r="432" spans="1:22">
      <c r="A432" s="12"/>
      <c r="B432" s="93"/>
      <c r="C432" s="12"/>
      <c r="D432" s="94"/>
      <c r="E432" s="94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95"/>
      <c r="R432" s="87"/>
      <c r="S432" s="96"/>
      <c r="T432" s="12"/>
      <c r="U432" s="12"/>
      <c r="V432" s="12"/>
    </row>
    <row r="433" spans="1:22">
      <c r="A433" s="12"/>
      <c r="B433" s="93"/>
      <c r="C433" s="12"/>
      <c r="D433" s="94"/>
      <c r="E433" s="94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95"/>
      <c r="R433" s="87"/>
      <c r="S433" s="96"/>
      <c r="T433" s="12"/>
      <c r="U433" s="12"/>
      <c r="V433" s="12"/>
    </row>
    <row r="434" spans="1:22">
      <c r="A434" s="12"/>
      <c r="B434" s="93"/>
      <c r="C434" s="12"/>
      <c r="D434" s="94"/>
      <c r="E434" s="94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95"/>
      <c r="R434" s="87"/>
      <c r="S434" s="96"/>
      <c r="T434" s="12"/>
      <c r="U434" s="12"/>
      <c r="V434" s="12"/>
    </row>
    <row r="435" spans="1:22">
      <c r="A435" s="12"/>
      <c r="B435" s="93"/>
      <c r="C435" s="12"/>
      <c r="D435" s="94"/>
      <c r="E435" s="94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95"/>
      <c r="R435" s="87"/>
      <c r="S435" s="96"/>
      <c r="T435" s="12"/>
      <c r="U435" s="12"/>
      <c r="V435" s="12"/>
    </row>
    <row r="436" spans="1:22">
      <c r="A436" s="12"/>
      <c r="B436" s="93"/>
      <c r="C436" s="12"/>
      <c r="D436" s="94"/>
      <c r="E436" s="94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95"/>
      <c r="R436" s="87"/>
      <c r="S436" s="96"/>
      <c r="T436" s="12"/>
      <c r="U436" s="12"/>
      <c r="V436" s="12"/>
    </row>
    <row r="437" spans="1:22">
      <c r="A437" s="12"/>
      <c r="B437" s="93"/>
      <c r="C437" s="12"/>
      <c r="D437" s="94"/>
      <c r="E437" s="94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95"/>
      <c r="R437" s="87"/>
      <c r="S437" s="96"/>
      <c r="T437" s="12"/>
      <c r="U437" s="12"/>
      <c r="V437" s="12"/>
    </row>
    <row r="438" spans="1:22">
      <c r="A438" s="12"/>
      <c r="B438" s="93"/>
      <c r="C438" s="12"/>
      <c r="D438" s="94"/>
      <c r="E438" s="94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95"/>
      <c r="R438" s="87"/>
      <c r="S438" s="96"/>
      <c r="T438" s="12"/>
      <c r="U438" s="12"/>
      <c r="V438" s="12"/>
    </row>
    <row r="439" spans="1:22">
      <c r="A439" s="12"/>
      <c r="B439" s="93"/>
      <c r="C439" s="12"/>
      <c r="D439" s="94"/>
      <c r="E439" s="94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95"/>
      <c r="R439" s="87"/>
      <c r="S439" s="96"/>
      <c r="T439" s="12"/>
      <c r="U439" s="12"/>
      <c r="V439" s="12"/>
    </row>
    <row r="440" spans="1:22">
      <c r="A440" s="12"/>
      <c r="B440" s="93"/>
      <c r="C440" s="12"/>
      <c r="D440" s="94"/>
      <c r="E440" s="94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95"/>
      <c r="R440" s="87"/>
      <c r="S440" s="96"/>
      <c r="T440" s="12"/>
      <c r="U440" s="12"/>
      <c r="V440" s="12"/>
    </row>
    <row r="441" spans="1:22">
      <c r="A441" s="12"/>
      <c r="B441" s="93"/>
      <c r="C441" s="12"/>
      <c r="D441" s="94"/>
      <c r="E441" s="94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95"/>
      <c r="R441" s="87"/>
      <c r="S441" s="96"/>
      <c r="T441" s="12"/>
      <c r="U441" s="12"/>
      <c r="V441" s="12"/>
    </row>
    <row r="442" spans="1:22">
      <c r="A442" s="12"/>
      <c r="B442" s="93"/>
      <c r="C442" s="12"/>
      <c r="D442" s="94"/>
      <c r="E442" s="94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95"/>
      <c r="R442" s="87"/>
      <c r="S442" s="96"/>
      <c r="T442" s="12"/>
      <c r="U442" s="12"/>
      <c r="V442" s="12"/>
    </row>
    <row r="443" spans="1:22">
      <c r="A443" s="12"/>
      <c r="B443" s="93"/>
      <c r="C443" s="12"/>
      <c r="D443" s="94"/>
      <c r="E443" s="94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95"/>
      <c r="R443" s="87"/>
      <c r="S443" s="96"/>
      <c r="T443" s="12"/>
      <c r="U443" s="12"/>
      <c r="V443" s="12"/>
    </row>
    <row r="444" spans="1:22">
      <c r="A444" s="12"/>
      <c r="B444" s="93"/>
      <c r="C444" s="12"/>
      <c r="D444" s="94"/>
      <c r="E444" s="94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95"/>
      <c r="R444" s="87"/>
      <c r="S444" s="96"/>
      <c r="T444" s="12"/>
      <c r="U444" s="12"/>
      <c r="V444" s="12"/>
    </row>
    <row r="445" spans="1:22">
      <c r="A445" s="12"/>
      <c r="B445" s="93"/>
      <c r="C445" s="12"/>
      <c r="D445" s="94"/>
      <c r="E445" s="94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95"/>
      <c r="R445" s="87"/>
      <c r="S445" s="96"/>
      <c r="T445" s="12"/>
      <c r="U445" s="12"/>
      <c r="V445" s="12"/>
    </row>
    <row r="446" spans="1:22">
      <c r="A446" s="12"/>
      <c r="B446" s="93"/>
      <c r="C446" s="12"/>
      <c r="D446" s="94"/>
      <c r="E446" s="94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95"/>
      <c r="R446" s="87"/>
      <c r="S446" s="96"/>
      <c r="T446" s="12"/>
      <c r="U446" s="12"/>
      <c r="V446" s="12"/>
    </row>
    <row r="447" spans="1:22">
      <c r="A447" s="12"/>
      <c r="B447" s="93"/>
      <c r="C447" s="12"/>
      <c r="D447" s="94"/>
      <c r="E447" s="94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95"/>
      <c r="R447" s="87"/>
      <c r="S447" s="96"/>
      <c r="T447" s="12"/>
      <c r="U447" s="12"/>
      <c r="V447" s="12"/>
    </row>
    <row r="448" spans="1:22">
      <c r="A448" s="12"/>
      <c r="B448" s="93"/>
      <c r="C448" s="12"/>
      <c r="D448" s="94"/>
      <c r="E448" s="94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95"/>
      <c r="R448" s="87"/>
      <c r="S448" s="96"/>
      <c r="T448" s="12"/>
      <c r="U448" s="12"/>
      <c r="V448" s="12"/>
    </row>
    <row r="449" spans="1:22">
      <c r="A449" s="12"/>
      <c r="B449" s="93"/>
      <c r="C449" s="12"/>
      <c r="D449" s="94"/>
      <c r="E449" s="94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95"/>
      <c r="R449" s="87"/>
      <c r="S449" s="96"/>
      <c r="T449" s="12"/>
      <c r="U449" s="12"/>
      <c r="V449" s="12"/>
    </row>
    <row r="450" spans="1:22">
      <c r="A450" s="12"/>
      <c r="B450" s="93"/>
      <c r="C450" s="12"/>
      <c r="D450" s="94"/>
      <c r="E450" s="94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95"/>
      <c r="R450" s="87"/>
      <c r="S450" s="96"/>
      <c r="T450" s="12"/>
      <c r="U450" s="12"/>
      <c r="V450" s="12"/>
    </row>
    <row r="451" spans="1:22">
      <c r="A451" s="12"/>
      <c r="B451" s="93"/>
      <c r="C451" s="12"/>
      <c r="D451" s="94"/>
      <c r="E451" s="94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95"/>
      <c r="R451" s="87"/>
      <c r="S451" s="96"/>
      <c r="T451" s="12"/>
      <c r="U451" s="12"/>
      <c r="V451" s="12"/>
    </row>
    <row r="452" spans="1:22">
      <c r="A452" s="12"/>
      <c r="B452" s="93"/>
      <c r="C452" s="12"/>
      <c r="D452" s="94"/>
      <c r="E452" s="94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95"/>
      <c r="R452" s="87"/>
      <c r="S452" s="96"/>
      <c r="T452" s="12"/>
      <c r="U452" s="12"/>
      <c r="V452" s="12"/>
    </row>
    <row r="453" spans="1:22">
      <c r="A453" s="12"/>
      <c r="B453" s="93"/>
      <c r="C453" s="12"/>
      <c r="D453" s="94"/>
      <c r="E453" s="94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95"/>
      <c r="R453" s="87"/>
      <c r="S453" s="96"/>
      <c r="T453" s="12"/>
      <c r="U453" s="12"/>
      <c r="V453" s="12"/>
    </row>
    <row r="454" spans="1:22">
      <c r="A454" s="12"/>
      <c r="B454" s="93"/>
      <c r="C454" s="12"/>
      <c r="D454" s="94"/>
      <c r="E454" s="94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95"/>
      <c r="R454" s="87"/>
      <c r="S454" s="96"/>
      <c r="T454" s="12"/>
      <c r="U454" s="12"/>
      <c r="V454" s="12"/>
    </row>
    <row r="455" spans="1:22">
      <c r="A455" s="12"/>
      <c r="B455" s="93"/>
      <c r="C455" s="12"/>
      <c r="D455" s="94"/>
      <c r="E455" s="94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95"/>
      <c r="R455" s="87"/>
      <c r="S455" s="96"/>
      <c r="T455" s="12"/>
      <c r="U455" s="12"/>
      <c r="V455" s="12"/>
    </row>
    <row r="456" spans="1:22">
      <c r="A456" s="12"/>
      <c r="B456" s="93"/>
      <c r="C456" s="12"/>
      <c r="D456" s="94"/>
      <c r="E456" s="94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95"/>
      <c r="R456" s="87"/>
      <c r="S456" s="96"/>
      <c r="T456" s="12"/>
      <c r="U456" s="12"/>
      <c r="V456" s="12"/>
    </row>
    <row r="457" spans="1:22">
      <c r="A457" s="12"/>
      <c r="B457" s="93"/>
      <c r="C457" s="12"/>
      <c r="D457" s="94"/>
      <c r="E457" s="94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95"/>
      <c r="R457" s="87"/>
      <c r="S457" s="96"/>
      <c r="T457" s="12"/>
      <c r="U457" s="12"/>
      <c r="V457" s="12"/>
    </row>
    <row r="458" spans="1:22">
      <c r="A458" s="12"/>
      <c r="B458" s="93"/>
      <c r="C458" s="12"/>
      <c r="D458" s="94"/>
      <c r="E458" s="94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95"/>
      <c r="R458" s="87"/>
      <c r="S458" s="96"/>
      <c r="T458" s="12"/>
      <c r="U458" s="12"/>
      <c r="V458" s="12"/>
    </row>
    <row r="459" spans="1:22">
      <c r="A459" s="12"/>
      <c r="B459" s="93"/>
      <c r="C459" s="12"/>
      <c r="D459" s="94"/>
      <c r="E459" s="94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95"/>
      <c r="R459" s="87"/>
      <c r="S459" s="96"/>
      <c r="T459" s="12"/>
      <c r="U459" s="12"/>
      <c r="V459" s="12"/>
    </row>
    <row r="460" spans="1:22">
      <c r="A460" s="12"/>
      <c r="B460" s="93"/>
      <c r="C460" s="12"/>
      <c r="D460" s="94"/>
      <c r="E460" s="94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95"/>
      <c r="R460" s="87"/>
      <c r="S460" s="96"/>
      <c r="T460" s="12"/>
      <c r="U460" s="12"/>
      <c r="V460" s="12"/>
    </row>
    <row r="461" spans="1:22">
      <c r="A461" s="12"/>
      <c r="B461" s="93"/>
      <c r="C461" s="12"/>
      <c r="D461" s="94"/>
      <c r="E461" s="94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95"/>
      <c r="R461" s="87"/>
      <c r="S461" s="96"/>
      <c r="T461" s="12"/>
      <c r="U461" s="12"/>
      <c r="V461" s="12"/>
    </row>
    <row r="462" spans="1:22">
      <c r="A462" s="12"/>
      <c r="B462" s="93"/>
      <c r="C462" s="12"/>
      <c r="D462" s="94"/>
      <c r="E462" s="94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95"/>
      <c r="R462" s="87"/>
      <c r="S462" s="96"/>
      <c r="T462" s="12"/>
      <c r="U462" s="12"/>
      <c r="V462" s="12"/>
    </row>
    <row r="463" spans="1:22">
      <c r="A463" s="12"/>
      <c r="B463" s="93"/>
      <c r="C463" s="12"/>
      <c r="D463" s="94"/>
      <c r="E463" s="94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95"/>
      <c r="R463" s="87"/>
      <c r="S463" s="96"/>
      <c r="T463" s="12"/>
      <c r="U463" s="12"/>
      <c r="V463" s="12"/>
    </row>
    <row r="464" spans="1:22">
      <c r="A464" s="12"/>
      <c r="B464" s="93"/>
      <c r="C464" s="12"/>
      <c r="D464" s="94"/>
      <c r="E464" s="94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95"/>
      <c r="R464" s="87"/>
      <c r="S464" s="96"/>
      <c r="T464" s="12"/>
      <c r="U464" s="12"/>
      <c r="V464" s="12"/>
    </row>
    <row r="465" spans="1:22">
      <c r="A465" s="12"/>
      <c r="B465" s="93"/>
      <c r="C465" s="12"/>
      <c r="D465" s="94"/>
      <c r="E465" s="94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95"/>
      <c r="R465" s="87"/>
      <c r="S465" s="96"/>
      <c r="T465" s="12"/>
      <c r="U465" s="12"/>
      <c r="V465" s="12"/>
    </row>
    <row r="466" spans="1:22">
      <c r="A466" s="12"/>
      <c r="B466" s="93"/>
      <c r="C466" s="12"/>
      <c r="D466" s="94"/>
      <c r="E466" s="94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95"/>
      <c r="R466" s="87"/>
      <c r="S466" s="96"/>
      <c r="T466" s="12"/>
      <c r="U466" s="12"/>
      <c r="V466" s="12"/>
    </row>
    <row r="467" spans="1:22">
      <c r="A467" s="12"/>
      <c r="B467" s="93"/>
      <c r="C467" s="12"/>
      <c r="D467" s="94"/>
      <c r="E467" s="94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95"/>
      <c r="R467" s="87"/>
      <c r="S467" s="96"/>
      <c r="T467" s="12"/>
      <c r="U467" s="12"/>
      <c r="V467" s="12"/>
    </row>
    <row r="468" spans="1:22">
      <c r="A468" s="12"/>
      <c r="B468" s="93"/>
      <c r="C468" s="12"/>
      <c r="D468" s="94"/>
      <c r="E468" s="94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95"/>
      <c r="R468" s="87"/>
      <c r="S468" s="96"/>
      <c r="T468" s="12"/>
      <c r="U468" s="12"/>
      <c r="V468" s="12"/>
    </row>
    <row r="469" spans="1:22">
      <c r="A469" s="12"/>
      <c r="B469" s="93"/>
      <c r="C469" s="12"/>
      <c r="D469" s="94"/>
      <c r="E469" s="94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95"/>
      <c r="R469" s="87"/>
      <c r="S469" s="96"/>
      <c r="T469" s="12"/>
      <c r="U469" s="12"/>
      <c r="V469" s="12"/>
    </row>
    <row r="470" spans="1:22">
      <c r="A470" s="12"/>
      <c r="B470" s="93"/>
      <c r="C470" s="12"/>
      <c r="D470" s="94"/>
      <c r="E470" s="94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95"/>
      <c r="R470" s="87"/>
      <c r="S470" s="96"/>
      <c r="T470" s="12"/>
      <c r="U470" s="12"/>
      <c r="V470" s="12"/>
    </row>
    <row r="471" spans="1:22">
      <c r="A471" s="12"/>
      <c r="B471" s="93"/>
      <c r="C471" s="12"/>
      <c r="D471" s="94"/>
      <c r="E471" s="94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95"/>
      <c r="R471" s="87"/>
      <c r="S471" s="96"/>
      <c r="T471" s="12"/>
      <c r="U471" s="12"/>
      <c r="V471" s="12"/>
    </row>
    <row r="472" spans="1:22">
      <c r="A472" s="12"/>
      <c r="B472" s="93"/>
      <c r="C472" s="12"/>
      <c r="D472" s="94"/>
      <c r="E472" s="94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95"/>
      <c r="R472" s="87"/>
      <c r="S472" s="96"/>
      <c r="T472" s="12"/>
      <c r="U472" s="12"/>
      <c r="V472" s="12"/>
    </row>
    <row r="473" spans="1:22">
      <c r="A473" s="12"/>
      <c r="B473" s="93"/>
      <c r="C473" s="12"/>
      <c r="D473" s="94"/>
      <c r="E473" s="94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95"/>
      <c r="R473" s="87"/>
      <c r="S473" s="96"/>
      <c r="T473" s="12"/>
      <c r="U473" s="12"/>
      <c r="V473" s="12"/>
    </row>
    <row r="474" spans="1:22">
      <c r="A474" s="12"/>
      <c r="B474" s="93"/>
      <c r="C474" s="12"/>
      <c r="D474" s="94"/>
      <c r="E474" s="94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95"/>
      <c r="R474" s="87"/>
      <c r="S474" s="96"/>
      <c r="T474" s="12"/>
      <c r="U474" s="12"/>
      <c r="V474" s="12"/>
    </row>
    <row r="475" spans="1:22">
      <c r="A475" s="12"/>
      <c r="B475" s="93"/>
      <c r="C475" s="12"/>
      <c r="D475" s="94"/>
      <c r="E475" s="94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95"/>
      <c r="R475" s="87"/>
      <c r="S475" s="96"/>
      <c r="T475" s="12"/>
      <c r="U475" s="12"/>
      <c r="V475" s="12"/>
    </row>
    <row r="476" spans="1:22">
      <c r="A476" s="12"/>
      <c r="B476" s="93"/>
      <c r="C476" s="12"/>
      <c r="D476" s="94"/>
      <c r="E476" s="94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95"/>
      <c r="R476" s="87"/>
      <c r="S476" s="96"/>
      <c r="T476" s="12"/>
      <c r="U476" s="12"/>
      <c r="V476" s="12"/>
    </row>
    <row r="477" spans="1:22">
      <c r="A477" s="12"/>
      <c r="B477" s="93"/>
      <c r="C477" s="12"/>
      <c r="D477" s="94"/>
      <c r="E477" s="94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95"/>
      <c r="R477" s="87"/>
      <c r="S477" s="96"/>
      <c r="T477" s="12"/>
      <c r="U477" s="12"/>
      <c r="V477" s="12"/>
    </row>
    <row r="478" spans="1:22">
      <c r="A478" s="12"/>
      <c r="B478" s="93"/>
      <c r="C478" s="12"/>
      <c r="D478" s="94"/>
      <c r="E478" s="94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95"/>
      <c r="R478" s="87"/>
      <c r="S478" s="96"/>
      <c r="T478" s="12"/>
      <c r="U478" s="12"/>
      <c r="V478" s="12"/>
    </row>
    <row r="479" spans="1:22">
      <c r="A479" s="12"/>
      <c r="B479" s="93"/>
      <c r="C479" s="12"/>
      <c r="D479" s="94"/>
      <c r="E479" s="94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95"/>
      <c r="R479" s="87"/>
      <c r="S479" s="96"/>
      <c r="T479" s="12"/>
      <c r="U479" s="12"/>
      <c r="V479" s="12"/>
    </row>
    <row r="480" spans="1:22">
      <c r="A480" s="12"/>
      <c r="B480" s="93"/>
      <c r="C480" s="12"/>
      <c r="D480" s="94"/>
      <c r="E480" s="94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95"/>
      <c r="R480" s="87"/>
      <c r="S480" s="96"/>
      <c r="T480" s="12"/>
      <c r="U480" s="12"/>
      <c r="V480" s="12"/>
    </row>
    <row r="481" spans="1:22">
      <c r="A481" s="12"/>
      <c r="B481" s="93"/>
      <c r="C481" s="12"/>
      <c r="D481" s="94"/>
      <c r="E481" s="94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95"/>
      <c r="R481" s="87"/>
      <c r="S481" s="96"/>
      <c r="T481" s="12"/>
      <c r="U481" s="12"/>
      <c r="V481" s="12"/>
    </row>
    <row r="482" spans="1:22">
      <c r="A482" s="12"/>
      <c r="B482" s="93"/>
      <c r="C482" s="12"/>
      <c r="D482" s="94"/>
      <c r="E482" s="94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95"/>
      <c r="R482" s="87"/>
      <c r="S482" s="96"/>
      <c r="T482" s="12"/>
      <c r="U482" s="12"/>
      <c r="V482" s="12"/>
    </row>
    <row r="483" spans="1:22">
      <c r="A483" s="12"/>
      <c r="B483" s="93"/>
      <c r="C483" s="12"/>
      <c r="D483" s="94"/>
      <c r="E483" s="94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95"/>
      <c r="R483" s="87"/>
      <c r="S483" s="96"/>
      <c r="T483" s="12"/>
      <c r="U483" s="12"/>
      <c r="V483" s="12"/>
    </row>
    <row r="484" spans="1:22">
      <c r="A484" s="12"/>
      <c r="B484" s="93"/>
      <c r="C484" s="12"/>
      <c r="D484" s="94"/>
      <c r="E484" s="94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95"/>
      <c r="R484" s="87"/>
      <c r="S484" s="96"/>
      <c r="T484" s="12"/>
      <c r="U484" s="12"/>
      <c r="V484" s="12"/>
    </row>
    <row r="485" spans="1:22">
      <c r="A485" s="12"/>
      <c r="B485" s="93"/>
      <c r="C485" s="12"/>
      <c r="D485" s="94"/>
      <c r="E485" s="94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95"/>
      <c r="R485" s="87"/>
      <c r="S485" s="96"/>
      <c r="T485" s="12"/>
      <c r="U485" s="12"/>
      <c r="V485" s="12"/>
    </row>
    <row r="486" spans="1:22">
      <c r="A486" s="12"/>
      <c r="B486" s="93"/>
      <c r="C486" s="12"/>
      <c r="D486" s="94"/>
      <c r="E486" s="94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95"/>
      <c r="R486" s="87"/>
      <c r="S486" s="96"/>
      <c r="T486" s="12"/>
      <c r="U486" s="12"/>
      <c r="V486" s="12"/>
    </row>
    <row r="487" spans="1:22">
      <c r="A487" s="12"/>
      <c r="B487" s="93"/>
      <c r="C487" s="12"/>
      <c r="D487" s="94"/>
      <c r="E487" s="94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95"/>
      <c r="R487" s="87"/>
      <c r="S487" s="96"/>
      <c r="T487" s="12"/>
      <c r="U487" s="12"/>
      <c r="V487" s="12"/>
    </row>
    <row r="488" spans="1:22">
      <c r="A488" s="12"/>
      <c r="B488" s="93"/>
      <c r="C488" s="12"/>
      <c r="D488" s="94"/>
      <c r="E488" s="94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95"/>
      <c r="R488" s="87"/>
      <c r="S488" s="96"/>
      <c r="T488" s="12"/>
      <c r="U488" s="12"/>
      <c r="V488" s="12"/>
    </row>
    <row r="489" spans="1:22">
      <c r="A489" s="12"/>
      <c r="B489" s="93"/>
      <c r="C489" s="12"/>
      <c r="D489" s="94"/>
      <c r="E489" s="94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95"/>
      <c r="R489" s="87"/>
      <c r="S489" s="96"/>
      <c r="T489" s="12"/>
      <c r="U489" s="12"/>
      <c r="V489" s="12"/>
    </row>
    <row r="490" spans="1:22">
      <c r="A490" s="12"/>
      <c r="B490" s="93"/>
      <c r="C490" s="12"/>
      <c r="D490" s="94"/>
      <c r="E490" s="94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95"/>
      <c r="R490" s="87"/>
      <c r="S490" s="96"/>
      <c r="T490" s="12"/>
      <c r="U490" s="12"/>
      <c r="V490" s="12"/>
    </row>
    <row r="491" spans="1:22">
      <c r="A491" s="12"/>
      <c r="B491" s="93"/>
      <c r="C491" s="12"/>
      <c r="D491" s="94"/>
      <c r="E491" s="94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95"/>
      <c r="R491" s="87"/>
      <c r="S491" s="96"/>
      <c r="T491" s="12"/>
      <c r="U491" s="12"/>
      <c r="V491" s="12"/>
    </row>
    <row r="492" spans="1:22">
      <c r="A492" s="12"/>
      <c r="B492" s="93"/>
      <c r="C492" s="12"/>
      <c r="D492" s="94"/>
      <c r="E492" s="94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95"/>
      <c r="R492" s="87"/>
      <c r="S492" s="96"/>
      <c r="T492" s="12"/>
      <c r="U492" s="12"/>
      <c r="V492" s="12"/>
    </row>
    <row r="493" spans="1:22">
      <c r="A493" s="12"/>
      <c r="B493" s="93"/>
      <c r="C493" s="12"/>
      <c r="D493" s="94"/>
      <c r="E493" s="94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95"/>
      <c r="R493" s="87"/>
      <c r="S493" s="96"/>
      <c r="T493" s="12"/>
      <c r="U493" s="12"/>
      <c r="V493" s="12"/>
    </row>
    <row r="494" spans="1:22">
      <c r="A494" s="12"/>
      <c r="B494" s="93"/>
      <c r="C494" s="12"/>
      <c r="D494" s="94"/>
      <c r="E494" s="94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95"/>
      <c r="R494" s="87"/>
      <c r="S494" s="96"/>
      <c r="T494" s="12"/>
      <c r="U494" s="12"/>
      <c r="V494" s="12"/>
    </row>
    <row r="495" spans="1:22">
      <c r="A495" s="12"/>
      <c r="B495" s="93"/>
      <c r="C495" s="12"/>
      <c r="D495" s="94"/>
      <c r="E495" s="94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95"/>
      <c r="R495" s="87"/>
      <c r="S495" s="96"/>
      <c r="T495" s="12"/>
      <c r="U495" s="12"/>
      <c r="V495" s="12"/>
    </row>
    <row r="496" spans="1:22">
      <c r="A496" s="12"/>
      <c r="B496" s="93"/>
      <c r="C496" s="12"/>
      <c r="D496" s="94"/>
      <c r="E496" s="94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95"/>
      <c r="R496" s="87"/>
      <c r="S496" s="96"/>
      <c r="T496" s="12"/>
      <c r="U496" s="12"/>
      <c r="V496" s="12"/>
    </row>
    <row r="497" spans="1:22">
      <c r="A497" s="12"/>
      <c r="B497" s="93"/>
      <c r="C497" s="12"/>
      <c r="D497" s="94"/>
      <c r="E497" s="94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95"/>
      <c r="R497" s="87"/>
      <c r="S497" s="96"/>
      <c r="T497" s="12"/>
      <c r="U497" s="12"/>
      <c r="V497" s="12"/>
    </row>
    <row r="498" spans="1:22">
      <c r="A498" s="12"/>
      <c r="B498" s="93"/>
      <c r="C498" s="12"/>
      <c r="D498" s="94"/>
      <c r="E498" s="94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95"/>
      <c r="R498" s="87"/>
      <c r="S498" s="96"/>
      <c r="T498" s="12"/>
      <c r="U498" s="12"/>
      <c r="V498" s="12"/>
    </row>
    <row r="499" spans="1:22">
      <c r="A499" s="12"/>
      <c r="B499" s="93"/>
      <c r="C499" s="12"/>
      <c r="D499" s="94"/>
      <c r="E499" s="94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95"/>
      <c r="R499" s="87"/>
      <c r="S499" s="96"/>
      <c r="T499" s="12"/>
      <c r="U499" s="12"/>
      <c r="V499" s="12"/>
    </row>
    <row r="500" spans="1:22">
      <c r="A500" s="12"/>
      <c r="B500" s="93"/>
      <c r="C500" s="12"/>
      <c r="D500" s="94"/>
      <c r="E500" s="94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95"/>
      <c r="R500" s="87"/>
      <c r="S500" s="96"/>
      <c r="T500" s="12"/>
      <c r="U500" s="12"/>
      <c r="V500" s="12"/>
    </row>
    <row r="501" spans="1:22">
      <c r="A501" s="12"/>
      <c r="B501" s="93"/>
      <c r="C501" s="12"/>
      <c r="D501" s="94"/>
      <c r="E501" s="94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95"/>
      <c r="R501" s="87"/>
      <c r="S501" s="96"/>
      <c r="T501" s="12"/>
      <c r="U501" s="12"/>
      <c r="V501" s="12"/>
    </row>
    <row r="502" spans="1:22">
      <c r="A502" s="12"/>
      <c r="B502" s="93"/>
      <c r="C502" s="12"/>
      <c r="D502" s="94"/>
      <c r="E502" s="94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95"/>
      <c r="R502" s="87"/>
      <c r="S502" s="96"/>
      <c r="T502" s="12"/>
      <c r="U502" s="12"/>
      <c r="V502" s="12"/>
    </row>
    <row r="503" spans="1:22">
      <c r="A503" s="12"/>
      <c r="B503" s="93"/>
      <c r="C503" s="12"/>
      <c r="D503" s="94"/>
      <c r="E503" s="94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95"/>
      <c r="R503" s="87"/>
      <c r="S503" s="96"/>
      <c r="T503" s="12"/>
      <c r="U503" s="12"/>
      <c r="V503" s="12"/>
    </row>
    <row r="504" spans="1:22">
      <c r="A504" s="12"/>
      <c r="B504" s="93"/>
      <c r="C504" s="12"/>
      <c r="D504" s="94"/>
      <c r="E504" s="94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95"/>
      <c r="R504" s="87"/>
      <c r="S504" s="96"/>
      <c r="T504" s="12"/>
      <c r="U504" s="12"/>
      <c r="V504" s="12"/>
    </row>
    <row r="505" spans="1:22">
      <c r="A505" s="12"/>
      <c r="B505" s="93"/>
      <c r="C505" s="12"/>
      <c r="D505" s="94"/>
      <c r="E505" s="94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95"/>
      <c r="R505" s="87"/>
      <c r="S505" s="96"/>
      <c r="T505" s="12"/>
      <c r="U505" s="12"/>
      <c r="V505" s="12"/>
    </row>
    <row r="506" spans="1:22">
      <c r="A506" s="12"/>
      <c r="B506" s="93"/>
      <c r="C506" s="12"/>
      <c r="D506" s="94"/>
      <c r="E506" s="94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95"/>
      <c r="R506" s="87"/>
      <c r="S506" s="96"/>
      <c r="T506" s="12"/>
      <c r="U506" s="12"/>
      <c r="V506" s="12"/>
    </row>
    <row r="507" spans="1:22">
      <c r="A507" s="12"/>
      <c r="B507" s="93"/>
      <c r="C507" s="12"/>
      <c r="D507" s="94"/>
      <c r="E507" s="94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95"/>
      <c r="R507" s="87"/>
      <c r="S507" s="96"/>
      <c r="T507" s="12"/>
      <c r="U507" s="12"/>
      <c r="V507" s="12"/>
    </row>
    <row r="508" spans="1:22">
      <c r="A508" s="12"/>
      <c r="B508" s="93"/>
      <c r="C508" s="12"/>
      <c r="D508" s="94"/>
      <c r="E508" s="94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95"/>
      <c r="R508" s="87"/>
      <c r="S508" s="96"/>
      <c r="T508" s="12"/>
      <c r="U508" s="12"/>
      <c r="V508" s="12"/>
    </row>
    <row r="509" spans="1:22">
      <c r="A509" s="12"/>
      <c r="B509" s="93"/>
      <c r="C509" s="12"/>
      <c r="D509" s="94"/>
      <c r="E509" s="94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95"/>
      <c r="R509" s="87"/>
      <c r="S509" s="96"/>
      <c r="T509" s="12"/>
      <c r="U509" s="12"/>
      <c r="V509" s="12"/>
    </row>
    <row r="510" spans="1:22">
      <c r="A510" s="12"/>
      <c r="B510" s="93"/>
      <c r="C510" s="12"/>
      <c r="D510" s="94"/>
      <c r="E510" s="94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95"/>
      <c r="R510" s="87"/>
      <c r="S510" s="96"/>
      <c r="T510" s="12"/>
      <c r="U510" s="12"/>
      <c r="V510" s="12"/>
    </row>
    <row r="511" spans="1:22">
      <c r="A511" s="12"/>
      <c r="B511" s="93"/>
      <c r="C511" s="12"/>
      <c r="D511" s="94"/>
      <c r="E511" s="94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95"/>
      <c r="R511" s="87"/>
      <c r="S511" s="96"/>
      <c r="T511" s="12"/>
      <c r="U511" s="12"/>
      <c r="V511" s="12"/>
    </row>
    <row r="512" spans="1:22">
      <c r="A512" s="12"/>
      <c r="B512" s="93"/>
      <c r="C512" s="12"/>
      <c r="D512" s="94"/>
      <c r="E512" s="94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95"/>
      <c r="R512" s="87"/>
      <c r="S512" s="96"/>
      <c r="T512" s="12"/>
      <c r="U512" s="12"/>
      <c r="V512" s="12"/>
    </row>
    <row r="513" spans="1:22">
      <c r="A513" s="12"/>
      <c r="B513" s="93"/>
      <c r="C513" s="12"/>
      <c r="D513" s="94"/>
      <c r="E513" s="94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95"/>
      <c r="R513" s="87"/>
      <c r="S513" s="96"/>
      <c r="T513" s="12"/>
      <c r="U513" s="12"/>
      <c r="V513" s="12"/>
    </row>
    <row r="514" spans="1:22">
      <c r="A514" s="12"/>
      <c r="B514" s="93"/>
      <c r="C514" s="12"/>
      <c r="D514" s="94"/>
      <c r="E514" s="94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95"/>
      <c r="R514" s="87"/>
      <c r="S514" s="96"/>
      <c r="T514" s="12"/>
      <c r="U514" s="12"/>
      <c r="V514" s="12"/>
    </row>
    <row r="515" spans="1:22">
      <c r="A515" s="12"/>
      <c r="B515" s="93"/>
      <c r="C515" s="12"/>
      <c r="D515" s="94"/>
      <c r="E515" s="94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95"/>
      <c r="R515" s="87"/>
      <c r="S515" s="96"/>
      <c r="T515" s="12"/>
      <c r="U515" s="12"/>
      <c r="V515" s="12"/>
    </row>
    <row r="516" spans="1:22">
      <c r="A516" s="12"/>
      <c r="B516" s="93"/>
      <c r="C516" s="12"/>
      <c r="D516" s="94"/>
      <c r="E516" s="94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95"/>
      <c r="R516" s="87"/>
      <c r="S516" s="96"/>
      <c r="T516" s="12"/>
      <c r="U516" s="12"/>
      <c r="V516" s="12"/>
    </row>
    <row r="517" spans="1:22">
      <c r="A517" s="12"/>
      <c r="B517" s="93"/>
      <c r="C517" s="12"/>
      <c r="D517" s="94"/>
      <c r="E517" s="94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95"/>
      <c r="R517" s="87"/>
      <c r="S517" s="96"/>
      <c r="T517" s="12"/>
      <c r="U517" s="12"/>
      <c r="V517" s="12"/>
    </row>
    <row r="518" spans="1:22">
      <c r="A518" s="12"/>
      <c r="B518" s="93"/>
      <c r="C518" s="12"/>
      <c r="D518" s="94"/>
      <c r="E518" s="94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95"/>
      <c r="R518" s="87"/>
      <c r="S518" s="96"/>
      <c r="T518" s="12"/>
      <c r="U518" s="12"/>
      <c r="V518" s="12"/>
    </row>
    <row r="519" spans="1:22">
      <c r="A519" s="12"/>
      <c r="B519" s="93"/>
      <c r="C519" s="12"/>
      <c r="D519" s="94"/>
      <c r="E519" s="94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95"/>
      <c r="R519" s="87"/>
      <c r="S519" s="96"/>
      <c r="T519" s="12"/>
      <c r="U519" s="12"/>
      <c r="V519" s="12"/>
    </row>
    <row r="520" spans="1:22">
      <c r="A520" s="12"/>
      <c r="B520" s="93"/>
      <c r="C520" s="12"/>
      <c r="D520" s="94"/>
      <c r="E520" s="94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95"/>
      <c r="R520" s="87"/>
      <c r="S520" s="96"/>
      <c r="T520" s="12"/>
      <c r="U520" s="12"/>
      <c r="V520" s="12"/>
    </row>
    <row r="521" spans="1:22">
      <c r="A521" s="12"/>
      <c r="B521" s="93"/>
      <c r="C521" s="12"/>
      <c r="D521" s="94"/>
      <c r="E521" s="94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95"/>
      <c r="R521" s="87"/>
      <c r="S521" s="96"/>
      <c r="T521" s="12"/>
      <c r="U521" s="12"/>
      <c r="V521" s="12"/>
    </row>
    <row r="522" spans="1:22">
      <c r="A522" s="12"/>
      <c r="B522" s="93"/>
      <c r="C522" s="12"/>
      <c r="D522" s="94"/>
      <c r="E522" s="94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95"/>
      <c r="R522" s="87"/>
      <c r="S522" s="96"/>
      <c r="T522" s="12"/>
      <c r="U522" s="12"/>
      <c r="V522" s="12"/>
    </row>
    <row r="523" spans="1:22">
      <c r="A523" s="12"/>
      <c r="B523" s="93"/>
      <c r="C523" s="12"/>
      <c r="D523" s="94"/>
      <c r="E523" s="94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95"/>
      <c r="R523" s="87"/>
      <c r="S523" s="96"/>
      <c r="T523" s="12"/>
      <c r="U523" s="12"/>
      <c r="V523" s="12"/>
    </row>
    <row r="524" spans="1:22">
      <c r="A524" s="12"/>
      <c r="B524" s="93"/>
      <c r="C524" s="12"/>
      <c r="D524" s="94"/>
      <c r="E524" s="94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95"/>
      <c r="R524" s="87"/>
      <c r="S524" s="96"/>
      <c r="T524" s="12"/>
      <c r="U524" s="12"/>
      <c r="V524" s="12"/>
    </row>
    <row r="525" spans="1:22">
      <c r="A525" s="12"/>
      <c r="B525" s="93"/>
      <c r="C525" s="12"/>
      <c r="D525" s="94"/>
      <c r="E525" s="94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95"/>
      <c r="R525" s="87"/>
      <c r="S525" s="96"/>
      <c r="T525" s="12"/>
      <c r="U525" s="12"/>
      <c r="V525" s="12"/>
    </row>
    <row r="526" spans="1:22">
      <c r="A526" s="12"/>
      <c r="B526" s="93"/>
      <c r="C526" s="12"/>
      <c r="D526" s="94"/>
      <c r="E526" s="94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95"/>
      <c r="R526" s="87"/>
      <c r="S526" s="96"/>
      <c r="T526" s="12"/>
      <c r="U526" s="12"/>
      <c r="V526" s="12"/>
    </row>
    <row r="527" spans="1:22">
      <c r="A527" s="12"/>
      <c r="B527" s="93"/>
      <c r="C527" s="12"/>
      <c r="D527" s="94"/>
      <c r="E527" s="94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95"/>
      <c r="R527" s="87"/>
      <c r="S527" s="96"/>
      <c r="T527" s="12"/>
      <c r="U527" s="12"/>
      <c r="V527" s="12"/>
    </row>
    <row r="528" spans="1:22">
      <c r="A528" s="12"/>
      <c r="B528" s="93"/>
      <c r="C528" s="12"/>
      <c r="D528" s="94"/>
      <c r="E528" s="94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95"/>
      <c r="R528" s="87"/>
      <c r="S528" s="96"/>
      <c r="T528" s="12"/>
      <c r="U528" s="12"/>
      <c r="V528" s="12"/>
    </row>
    <row r="529" spans="1:22">
      <c r="A529" s="12"/>
      <c r="B529" s="93"/>
      <c r="C529" s="12"/>
      <c r="D529" s="94"/>
      <c r="E529" s="94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95"/>
      <c r="R529" s="87"/>
      <c r="S529" s="96"/>
      <c r="T529" s="12"/>
      <c r="U529" s="12"/>
      <c r="V529" s="12"/>
    </row>
    <row r="530" spans="1:22">
      <c r="A530" s="12"/>
      <c r="B530" s="93"/>
      <c r="C530" s="12"/>
      <c r="D530" s="94"/>
      <c r="E530" s="94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95"/>
      <c r="R530" s="87"/>
      <c r="S530" s="96"/>
      <c r="T530" s="12"/>
      <c r="U530" s="12"/>
      <c r="V530" s="12"/>
    </row>
    <row r="531" spans="1:22">
      <c r="A531" s="12"/>
      <c r="B531" s="93"/>
      <c r="C531" s="12"/>
      <c r="D531" s="94"/>
      <c r="E531" s="94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95"/>
      <c r="R531" s="87"/>
      <c r="S531" s="96"/>
      <c r="T531" s="12"/>
      <c r="U531" s="12"/>
      <c r="V531" s="12"/>
    </row>
    <row r="532" spans="1:22">
      <c r="A532" s="12"/>
      <c r="B532" s="93"/>
      <c r="C532" s="12"/>
      <c r="D532" s="94"/>
      <c r="E532" s="94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95"/>
      <c r="R532" s="87"/>
      <c r="S532" s="96"/>
      <c r="T532" s="12"/>
      <c r="U532" s="12"/>
      <c r="V532" s="12"/>
    </row>
    <row r="533" spans="1:22">
      <c r="A533" s="12"/>
      <c r="B533" s="93"/>
      <c r="C533" s="12"/>
      <c r="D533" s="94"/>
      <c r="E533" s="94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95"/>
      <c r="R533" s="87"/>
      <c r="S533" s="96"/>
      <c r="T533" s="12"/>
      <c r="U533" s="12"/>
      <c r="V533" s="12"/>
    </row>
    <row r="534" spans="1:22">
      <c r="A534" s="12"/>
      <c r="B534" s="93"/>
      <c r="C534" s="12"/>
      <c r="D534" s="94"/>
      <c r="E534" s="94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95"/>
      <c r="R534" s="87"/>
      <c r="S534" s="96"/>
      <c r="T534" s="12"/>
      <c r="U534" s="12"/>
      <c r="V534" s="12"/>
    </row>
    <row r="535" spans="1:22">
      <c r="A535" s="12"/>
      <c r="B535" s="93"/>
      <c r="C535" s="12"/>
      <c r="D535" s="94"/>
      <c r="E535" s="94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95"/>
      <c r="R535" s="87"/>
      <c r="S535" s="96"/>
      <c r="T535" s="12"/>
      <c r="U535" s="12"/>
      <c r="V535" s="12"/>
    </row>
    <row r="536" spans="1:22">
      <c r="A536" s="12"/>
      <c r="B536" s="93"/>
      <c r="C536" s="12"/>
      <c r="D536" s="94"/>
      <c r="E536" s="94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95"/>
      <c r="R536" s="87"/>
      <c r="S536" s="96"/>
      <c r="T536" s="12"/>
      <c r="U536" s="12"/>
      <c r="V536" s="12"/>
    </row>
    <row r="537" spans="1:22">
      <c r="A537" s="12"/>
      <c r="B537" s="93"/>
      <c r="C537" s="12"/>
      <c r="D537" s="94"/>
      <c r="E537" s="94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95"/>
      <c r="R537" s="87"/>
      <c r="S537" s="96"/>
      <c r="T537" s="12"/>
      <c r="U537" s="12"/>
      <c r="V537" s="12"/>
    </row>
    <row r="538" spans="1:22">
      <c r="A538" s="12"/>
      <c r="B538" s="93"/>
      <c r="C538" s="12"/>
      <c r="D538" s="94"/>
      <c r="E538" s="94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95"/>
      <c r="R538" s="87"/>
      <c r="S538" s="96"/>
      <c r="T538" s="12"/>
      <c r="U538" s="12"/>
      <c r="V538" s="12"/>
    </row>
    <row r="539" spans="1:22">
      <c r="A539" s="12"/>
      <c r="B539" s="93"/>
      <c r="C539" s="12"/>
      <c r="D539" s="94"/>
      <c r="E539" s="94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95"/>
      <c r="R539" s="87"/>
      <c r="S539" s="96"/>
      <c r="T539" s="12"/>
      <c r="U539" s="12"/>
      <c r="V539" s="12"/>
    </row>
    <row r="540" spans="1:22">
      <c r="A540" s="12"/>
      <c r="B540" s="93"/>
      <c r="C540" s="12"/>
      <c r="D540" s="94"/>
      <c r="E540" s="94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95"/>
      <c r="R540" s="87"/>
      <c r="S540" s="96"/>
      <c r="T540" s="12"/>
      <c r="U540" s="12"/>
      <c r="V540" s="12"/>
    </row>
    <row r="541" spans="1:22">
      <c r="A541" s="12"/>
      <c r="B541" s="93"/>
      <c r="C541" s="12"/>
      <c r="D541" s="94"/>
      <c r="E541" s="94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95"/>
      <c r="R541" s="87"/>
      <c r="S541" s="96"/>
      <c r="T541" s="12"/>
      <c r="U541" s="12"/>
      <c r="V541" s="12"/>
    </row>
    <row r="542" spans="1:22">
      <c r="A542" s="12"/>
      <c r="B542" s="93"/>
      <c r="C542" s="12"/>
      <c r="D542" s="94"/>
      <c r="E542" s="94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95"/>
      <c r="R542" s="87"/>
      <c r="S542" s="96"/>
      <c r="T542" s="12"/>
      <c r="U542" s="12"/>
      <c r="V542" s="12"/>
    </row>
    <row r="543" spans="1:22">
      <c r="A543" s="12"/>
      <c r="B543" s="93"/>
      <c r="C543" s="12"/>
      <c r="D543" s="94"/>
      <c r="E543" s="94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95"/>
      <c r="R543" s="87"/>
      <c r="S543" s="96"/>
      <c r="T543" s="12"/>
      <c r="U543" s="12"/>
      <c r="V543" s="12"/>
    </row>
    <row r="544" spans="1:22">
      <c r="A544" s="12"/>
      <c r="B544" s="93"/>
      <c r="C544" s="12"/>
      <c r="D544" s="94"/>
      <c r="E544" s="94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95"/>
      <c r="R544" s="87"/>
      <c r="S544" s="96"/>
      <c r="T544" s="12"/>
      <c r="U544" s="12"/>
      <c r="V544" s="12"/>
    </row>
    <row r="545" spans="1:22">
      <c r="A545" s="12"/>
      <c r="B545" s="93"/>
      <c r="C545" s="12"/>
      <c r="D545" s="94"/>
      <c r="E545" s="94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95"/>
      <c r="R545" s="87"/>
      <c r="S545" s="96"/>
      <c r="T545" s="12"/>
      <c r="U545" s="12"/>
      <c r="V545" s="12"/>
    </row>
    <row r="546" spans="1:22">
      <c r="A546" s="12"/>
      <c r="B546" s="93"/>
      <c r="C546" s="12"/>
      <c r="D546" s="94"/>
      <c r="E546" s="94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95"/>
      <c r="R546" s="87"/>
      <c r="S546" s="96"/>
      <c r="T546" s="12"/>
      <c r="U546" s="12"/>
      <c r="V546" s="12"/>
    </row>
    <row r="547" spans="1:22">
      <c r="A547" s="12"/>
      <c r="B547" s="93"/>
      <c r="C547" s="12"/>
      <c r="D547" s="94"/>
      <c r="E547" s="94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95"/>
      <c r="R547" s="87"/>
      <c r="S547" s="96"/>
      <c r="T547" s="12"/>
      <c r="U547" s="12"/>
      <c r="V547" s="12"/>
    </row>
    <row r="548" spans="1:22">
      <c r="A548" s="12"/>
      <c r="B548" s="93"/>
      <c r="C548" s="12"/>
      <c r="D548" s="94"/>
      <c r="E548" s="94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95"/>
      <c r="R548" s="87"/>
      <c r="S548" s="96"/>
      <c r="T548" s="12"/>
      <c r="U548" s="12"/>
      <c r="V548" s="12"/>
    </row>
    <row r="549" spans="1:22">
      <c r="A549" s="12"/>
      <c r="B549" s="93"/>
      <c r="C549" s="12"/>
      <c r="D549" s="94"/>
      <c r="E549" s="94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95"/>
      <c r="R549" s="87"/>
      <c r="S549" s="96"/>
      <c r="T549" s="12"/>
      <c r="U549" s="12"/>
      <c r="V549" s="12"/>
    </row>
    <row r="550" spans="1:22">
      <c r="A550" s="12"/>
      <c r="B550" s="93"/>
      <c r="C550" s="12"/>
      <c r="D550" s="94"/>
      <c r="E550" s="94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95"/>
      <c r="R550" s="87"/>
      <c r="S550" s="96"/>
      <c r="T550" s="12"/>
      <c r="U550" s="12"/>
      <c r="V550" s="12"/>
    </row>
    <row r="551" spans="1:22">
      <c r="A551" s="12"/>
      <c r="B551" s="93"/>
      <c r="C551" s="12"/>
      <c r="D551" s="94"/>
      <c r="E551" s="94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95"/>
      <c r="R551" s="87"/>
      <c r="S551" s="96"/>
      <c r="T551" s="12"/>
      <c r="U551" s="12"/>
      <c r="V551" s="12"/>
    </row>
    <row r="552" spans="1:22">
      <c r="A552" s="12"/>
      <c r="B552" s="93"/>
      <c r="C552" s="12"/>
      <c r="D552" s="94"/>
      <c r="E552" s="94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95"/>
      <c r="R552" s="87"/>
      <c r="S552" s="96"/>
      <c r="T552" s="12"/>
      <c r="U552" s="12"/>
      <c r="V552" s="12"/>
    </row>
    <row r="553" spans="1:22">
      <c r="A553" s="12"/>
      <c r="B553" s="93"/>
      <c r="C553" s="12"/>
      <c r="D553" s="94"/>
      <c r="E553" s="94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95"/>
      <c r="R553" s="87"/>
      <c r="S553" s="96"/>
      <c r="T553" s="12"/>
      <c r="U553" s="12"/>
      <c r="V553" s="12"/>
    </row>
    <row r="554" spans="1:22">
      <c r="A554" s="12"/>
      <c r="B554" s="93"/>
      <c r="C554" s="12"/>
      <c r="D554" s="94"/>
      <c r="E554" s="94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95"/>
      <c r="R554" s="87"/>
      <c r="S554" s="96"/>
      <c r="T554" s="12"/>
      <c r="U554" s="12"/>
      <c r="V554" s="12"/>
    </row>
    <row r="555" spans="1:22">
      <c r="A555" s="12"/>
      <c r="B555" s="93"/>
      <c r="C555" s="12"/>
      <c r="D555" s="94"/>
      <c r="E555" s="94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95"/>
      <c r="R555" s="87"/>
      <c r="S555" s="96"/>
      <c r="T555" s="12"/>
      <c r="U555" s="12"/>
      <c r="V555" s="12"/>
    </row>
    <row r="556" spans="1:22">
      <c r="A556" s="12"/>
      <c r="B556" s="93"/>
      <c r="C556" s="12"/>
      <c r="D556" s="94"/>
      <c r="E556" s="94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95"/>
      <c r="R556" s="87"/>
      <c r="S556" s="96"/>
      <c r="T556" s="12"/>
      <c r="U556" s="12"/>
      <c r="V556" s="12"/>
    </row>
    <row r="557" spans="1:22">
      <c r="A557" s="12"/>
      <c r="B557" s="93"/>
      <c r="C557" s="12"/>
      <c r="D557" s="94"/>
      <c r="E557" s="94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95"/>
      <c r="R557" s="87"/>
      <c r="S557" s="96"/>
      <c r="T557" s="12"/>
      <c r="U557" s="12"/>
      <c r="V557" s="12"/>
    </row>
    <row r="558" spans="1:22">
      <c r="A558" s="12"/>
      <c r="B558" s="93"/>
      <c r="C558" s="12"/>
      <c r="D558" s="94"/>
      <c r="E558" s="94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95"/>
      <c r="R558" s="87"/>
      <c r="S558" s="96"/>
      <c r="T558" s="12"/>
      <c r="U558" s="12"/>
      <c r="V558" s="12"/>
    </row>
    <row r="559" spans="1:22">
      <c r="A559" s="12"/>
      <c r="B559" s="93"/>
      <c r="C559" s="12"/>
      <c r="D559" s="94"/>
      <c r="E559" s="94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95"/>
      <c r="R559" s="87"/>
      <c r="S559" s="96"/>
      <c r="T559" s="12"/>
      <c r="U559" s="12"/>
      <c r="V559" s="12"/>
    </row>
    <row r="560" spans="1:22">
      <c r="A560" s="12"/>
      <c r="B560" s="93"/>
      <c r="C560" s="12"/>
      <c r="D560" s="94"/>
      <c r="E560" s="94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95"/>
      <c r="R560" s="87"/>
      <c r="S560" s="96"/>
      <c r="T560" s="12"/>
      <c r="U560" s="12"/>
      <c r="V560" s="12"/>
    </row>
    <row r="561" spans="1:22">
      <c r="A561" s="12"/>
      <c r="B561" s="93"/>
      <c r="C561" s="12"/>
      <c r="D561" s="94"/>
      <c r="E561" s="94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95"/>
      <c r="R561" s="87"/>
      <c r="S561" s="96"/>
      <c r="T561" s="12"/>
      <c r="U561" s="12"/>
      <c r="V561" s="12"/>
    </row>
    <row r="562" spans="1:22">
      <c r="A562" s="12"/>
      <c r="B562" s="93"/>
      <c r="C562" s="12"/>
      <c r="D562" s="94"/>
      <c r="E562" s="94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95"/>
      <c r="R562" s="87"/>
      <c r="S562" s="96"/>
      <c r="T562" s="12"/>
      <c r="U562" s="12"/>
      <c r="V562" s="12"/>
    </row>
    <row r="563" spans="1:22">
      <c r="A563" s="12"/>
      <c r="B563" s="93"/>
      <c r="C563" s="12"/>
      <c r="D563" s="94"/>
      <c r="E563" s="94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95"/>
      <c r="R563" s="87"/>
      <c r="S563" s="96"/>
      <c r="T563" s="12"/>
      <c r="U563" s="12"/>
      <c r="V563" s="12"/>
    </row>
    <row r="564" spans="1:22">
      <c r="A564" s="12"/>
      <c r="B564" s="93"/>
      <c r="C564" s="12"/>
      <c r="D564" s="94"/>
      <c r="E564" s="94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95"/>
      <c r="R564" s="87"/>
      <c r="S564" s="96"/>
      <c r="T564" s="12"/>
      <c r="U564" s="12"/>
      <c r="V564" s="12"/>
    </row>
    <row r="565" spans="1:22">
      <c r="A565" s="12"/>
      <c r="B565" s="93"/>
      <c r="C565" s="12"/>
      <c r="D565" s="94"/>
      <c r="E565" s="94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95"/>
      <c r="R565" s="87"/>
      <c r="S565" s="96"/>
      <c r="T565" s="12"/>
      <c r="U565" s="12"/>
      <c r="V565" s="12"/>
    </row>
    <row r="566" spans="1:22">
      <c r="A566" s="12"/>
      <c r="B566" s="93"/>
      <c r="C566" s="12"/>
      <c r="D566" s="94"/>
      <c r="E566" s="94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95"/>
      <c r="R566" s="87"/>
      <c r="S566" s="96"/>
      <c r="T566" s="12"/>
      <c r="U566" s="12"/>
      <c r="V566" s="12"/>
    </row>
    <row r="567" spans="1:22">
      <c r="A567" s="12"/>
      <c r="B567" s="93"/>
      <c r="C567" s="12"/>
      <c r="D567" s="94"/>
      <c r="E567" s="94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95"/>
      <c r="R567" s="87"/>
      <c r="S567" s="96"/>
      <c r="T567" s="12"/>
      <c r="U567" s="12"/>
      <c r="V567" s="12"/>
    </row>
    <row r="568" spans="1:22">
      <c r="A568" s="12"/>
      <c r="B568" s="93"/>
      <c r="C568" s="12"/>
      <c r="D568" s="94"/>
      <c r="E568" s="94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95"/>
      <c r="R568" s="87"/>
      <c r="S568" s="96"/>
      <c r="T568" s="12"/>
      <c r="U568" s="12"/>
      <c r="V568" s="12"/>
    </row>
    <row r="569" spans="1:22">
      <c r="A569" s="12"/>
      <c r="B569" s="93"/>
      <c r="C569" s="12"/>
      <c r="D569" s="94"/>
      <c r="E569" s="94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95"/>
      <c r="R569" s="87"/>
      <c r="S569" s="96"/>
      <c r="T569" s="12"/>
      <c r="U569" s="12"/>
      <c r="V569" s="12"/>
    </row>
    <row r="570" spans="1:22">
      <c r="A570" s="12"/>
      <c r="B570" s="93"/>
      <c r="C570" s="12"/>
      <c r="D570" s="94"/>
      <c r="E570" s="94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95"/>
      <c r="R570" s="87"/>
      <c r="S570" s="96"/>
      <c r="T570" s="12"/>
      <c r="U570" s="12"/>
      <c r="V570" s="12"/>
    </row>
    <row r="571" spans="1:22">
      <c r="A571" s="12"/>
      <c r="B571" s="93"/>
      <c r="C571" s="12"/>
      <c r="D571" s="94"/>
      <c r="E571" s="94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95"/>
      <c r="R571" s="87"/>
      <c r="S571" s="96"/>
      <c r="T571" s="12"/>
      <c r="U571" s="12"/>
      <c r="V571" s="12"/>
    </row>
    <row r="572" spans="1:22">
      <c r="A572" s="12"/>
      <c r="B572" s="93"/>
      <c r="C572" s="12"/>
      <c r="D572" s="94"/>
      <c r="E572" s="94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95"/>
      <c r="R572" s="87"/>
      <c r="S572" s="96"/>
      <c r="T572" s="12"/>
      <c r="U572" s="12"/>
      <c r="V572" s="12"/>
    </row>
    <row r="573" spans="1:22">
      <c r="A573" s="12"/>
      <c r="B573" s="93"/>
      <c r="C573" s="12"/>
      <c r="D573" s="94"/>
      <c r="E573" s="94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95"/>
      <c r="R573" s="87"/>
      <c r="S573" s="96"/>
      <c r="T573" s="12"/>
      <c r="U573" s="12"/>
      <c r="V573" s="12"/>
    </row>
    <row r="574" spans="1:22">
      <c r="A574" s="12"/>
      <c r="B574" s="93"/>
      <c r="C574" s="12"/>
      <c r="D574" s="94"/>
      <c r="E574" s="94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95"/>
      <c r="R574" s="87"/>
      <c r="S574" s="96"/>
      <c r="T574" s="12"/>
      <c r="U574" s="12"/>
      <c r="V574" s="12"/>
    </row>
    <row r="575" spans="1:22">
      <c r="A575" s="12"/>
      <c r="B575" s="93"/>
      <c r="C575" s="12"/>
      <c r="D575" s="94"/>
      <c r="E575" s="94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95"/>
      <c r="R575" s="87"/>
      <c r="S575" s="96"/>
      <c r="T575" s="12"/>
      <c r="U575" s="12"/>
      <c r="V575" s="12"/>
    </row>
    <row r="576" spans="1:22">
      <c r="A576" s="12"/>
      <c r="B576" s="93"/>
      <c r="C576" s="12"/>
      <c r="D576" s="94"/>
      <c r="E576" s="94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95"/>
      <c r="R576" s="87"/>
      <c r="S576" s="96"/>
      <c r="T576" s="12"/>
      <c r="U576" s="12"/>
      <c r="V576" s="12"/>
    </row>
    <row r="577" spans="1:22">
      <c r="A577" s="12"/>
      <c r="B577" s="93"/>
      <c r="C577" s="12"/>
      <c r="D577" s="94"/>
      <c r="E577" s="94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95"/>
      <c r="R577" s="87"/>
      <c r="S577" s="96"/>
      <c r="T577" s="12"/>
      <c r="U577" s="12"/>
      <c r="V577" s="12"/>
    </row>
    <row r="578" spans="1:22">
      <c r="A578" s="12"/>
      <c r="B578" s="93"/>
      <c r="C578" s="12"/>
      <c r="D578" s="94"/>
      <c r="E578" s="94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95"/>
      <c r="R578" s="87"/>
      <c r="S578" s="96"/>
      <c r="T578" s="12"/>
      <c r="U578" s="12"/>
      <c r="V578" s="12"/>
    </row>
    <row r="579" spans="1:22">
      <c r="A579" s="12"/>
      <c r="B579" s="93"/>
      <c r="C579" s="12"/>
      <c r="D579" s="94"/>
      <c r="E579" s="94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95"/>
      <c r="R579" s="87"/>
      <c r="S579" s="96"/>
      <c r="T579" s="12"/>
      <c r="U579" s="12"/>
      <c r="V579" s="12"/>
    </row>
    <row r="580" spans="1:22">
      <c r="A580" s="12"/>
      <c r="B580" s="93"/>
      <c r="C580" s="12"/>
      <c r="D580" s="94"/>
      <c r="E580" s="94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95"/>
      <c r="R580" s="87"/>
      <c r="S580" s="96"/>
      <c r="T580" s="12"/>
      <c r="U580" s="12"/>
      <c r="V580" s="12"/>
    </row>
    <row r="581" spans="1:22">
      <c r="A581" s="12"/>
      <c r="B581" s="93"/>
      <c r="C581" s="12"/>
      <c r="D581" s="94"/>
      <c r="E581" s="94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95"/>
      <c r="R581" s="87"/>
      <c r="S581" s="96"/>
      <c r="T581" s="12"/>
      <c r="U581" s="12"/>
      <c r="V581" s="12"/>
    </row>
    <row r="582" spans="1:22">
      <c r="A582" s="12"/>
      <c r="B582" s="93"/>
      <c r="C582" s="12"/>
      <c r="D582" s="94"/>
      <c r="E582" s="94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95"/>
      <c r="R582" s="87"/>
      <c r="S582" s="96"/>
      <c r="T582" s="12"/>
      <c r="U582" s="12"/>
      <c r="V582" s="12"/>
    </row>
    <row r="583" spans="1:22">
      <c r="A583" s="12"/>
      <c r="B583" s="93"/>
      <c r="C583" s="12"/>
      <c r="D583" s="94"/>
      <c r="E583" s="94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95"/>
      <c r="R583" s="87"/>
      <c r="S583" s="96"/>
      <c r="T583" s="12"/>
      <c r="U583" s="12"/>
      <c r="V583" s="12"/>
    </row>
    <row r="584" spans="1:22">
      <c r="A584" s="12"/>
      <c r="B584" s="93"/>
      <c r="C584" s="12"/>
      <c r="D584" s="94"/>
      <c r="E584" s="94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95"/>
      <c r="R584" s="87"/>
      <c r="S584" s="96"/>
      <c r="T584" s="12"/>
      <c r="U584" s="12"/>
      <c r="V584" s="12"/>
    </row>
    <row r="585" spans="1:22">
      <c r="A585" s="12"/>
      <c r="B585" s="93"/>
      <c r="C585" s="12"/>
      <c r="D585" s="94"/>
      <c r="E585" s="94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95"/>
      <c r="R585" s="87"/>
      <c r="S585" s="96"/>
      <c r="T585" s="12"/>
      <c r="U585" s="12"/>
      <c r="V585" s="12"/>
    </row>
    <row r="586" spans="1:22">
      <c r="A586" s="12"/>
      <c r="B586" s="93"/>
      <c r="C586" s="12"/>
      <c r="D586" s="94"/>
      <c r="E586" s="94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95"/>
      <c r="R586" s="87"/>
      <c r="S586" s="96"/>
      <c r="T586" s="12"/>
      <c r="U586" s="12"/>
      <c r="V586" s="12"/>
    </row>
    <row r="587" spans="1:22">
      <c r="A587" s="12"/>
      <c r="B587" s="93"/>
      <c r="C587" s="12"/>
      <c r="D587" s="94"/>
      <c r="E587" s="94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95"/>
      <c r="R587" s="87"/>
      <c r="S587" s="96"/>
      <c r="T587" s="12"/>
      <c r="U587" s="12"/>
      <c r="V587" s="12"/>
    </row>
    <row r="588" spans="1:22">
      <c r="A588" s="12"/>
      <c r="B588" s="93"/>
      <c r="C588" s="12"/>
      <c r="D588" s="94"/>
      <c r="E588" s="94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95"/>
      <c r="R588" s="87"/>
      <c r="S588" s="96"/>
      <c r="T588" s="12"/>
      <c r="U588" s="12"/>
      <c r="V588" s="12"/>
    </row>
    <row r="589" spans="1:22">
      <c r="A589" s="12"/>
      <c r="B589" s="93"/>
      <c r="C589" s="12"/>
      <c r="D589" s="94"/>
      <c r="E589" s="94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95"/>
      <c r="R589" s="87"/>
      <c r="S589" s="96"/>
      <c r="T589" s="12"/>
      <c r="U589" s="12"/>
      <c r="V589" s="12"/>
    </row>
    <row r="590" spans="1:22">
      <c r="A590" s="12"/>
      <c r="B590" s="93"/>
      <c r="C590" s="12"/>
      <c r="D590" s="94"/>
      <c r="E590" s="94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95"/>
      <c r="R590" s="87"/>
      <c r="S590" s="96"/>
      <c r="T590" s="12"/>
      <c r="U590" s="12"/>
      <c r="V590" s="12"/>
    </row>
    <row r="591" spans="1:22">
      <c r="A591" s="12"/>
      <c r="B591" s="93"/>
      <c r="C591" s="12"/>
      <c r="D591" s="94"/>
      <c r="E591" s="94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95"/>
      <c r="R591" s="87"/>
      <c r="S591" s="96"/>
      <c r="T591" s="12"/>
      <c r="U591" s="12"/>
      <c r="V591" s="12"/>
    </row>
    <row r="592" spans="1:22">
      <c r="A592" s="12"/>
      <c r="B592" s="93"/>
      <c r="C592" s="12"/>
      <c r="D592" s="94"/>
      <c r="E592" s="94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95"/>
      <c r="R592" s="87"/>
      <c r="S592" s="96"/>
      <c r="T592" s="12"/>
      <c r="U592" s="12"/>
      <c r="V592" s="12"/>
    </row>
    <row r="593" spans="1:22">
      <c r="A593" s="12"/>
      <c r="B593" s="93"/>
      <c r="C593" s="12"/>
      <c r="D593" s="94"/>
      <c r="E593" s="94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95"/>
      <c r="R593" s="87"/>
      <c r="S593" s="96"/>
      <c r="T593" s="12"/>
      <c r="U593" s="12"/>
      <c r="V593" s="12"/>
    </row>
    <row r="594" spans="1:22">
      <c r="A594" s="12"/>
      <c r="B594" s="93"/>
      <c r="C594" s="12"/>
      <c r="D594" s="94"/>
      <c r="E594" s="94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95"/>
      <c r="R594" s="87"/>
      <c r="S594" s="96"/>
      <c r="T594" s="12"/>
      <c r="U594" s="12"/>
      <c r="V594" s="12"/>
    </row>
    <row r="595" spans="1:22">
      <c r="A595" s="12"/>
      <c r="B595" s="93"/>
      <c r="C595" s="12"/>
      <c r="D595" s="94"/>
      <c r="E595" s="94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95"/>
      <c r="R595" s="87"/>
      <c r="S595" s="96"/>
      <c r="T595" s="12"/>
      <c r="U595" s="12"/>
      <c r="V595" s="12"/>
    </row>
    <row r="596" spans="1:22">
      <c r="A596" s="12"/>
      <c r="B596" s="93"/>
      <c r="C596" s="12"/>
      <c r="D596" s="94"/>
      <c r="E596" s="94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95"/>
      <c r="R596" s="87"/>
      <c r="S596" s="96"/>
      <c r="T596" s="12"/>
      <c r="U596" s="12"/>
      <c r="V596" s="12"/>
    </row>
    <row r="597" spans="1:22">
      <c r="A597" s="12"/>
      <c r="B597" s="93"/>
      <c r="C597" s="12"/>
      <c r="D597" s="94"/>
      <c r="E597" s="94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95"/>
      <c r="R597" s="87"/>
      <c r="S597" s="96"/>
      <c r="T597" s="12"/>
      <c r="U597" s="12"/>
      <c r="V597" s="12"/>
    </row>
    <row r="598" spans="1:22">
      <c r="A598" s="12"/>
      <c r="B598" s="93"/>
      <c r="C598" s="12"/>
      <c r="D598" s="94"/>
      <c r="E598" s="94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95"/>
      <c r="R598" s="87"/>
      <c r="S598" s="96"/>
      <c r="T598" s="12"/>
      <c r="U598" s="12"/>
      <c r="V598" s="12"/>
    </row>
    <row r="599" spans="1:22">
      <c r="A599" s="12"/>
      <c r="B599" s="93"/>
      <c r="C599" s="12"/>
      <c r="D599" s="94"/>
      <c r="E599" s="94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95"/>
      <c r="R599" s="87"/>
      <c r="S599" s="96"/>
      <c r="T599" s="12"/>
      <c r="U599" s="12"/>
      <c r="V599" s="12"/>
    </row>
    <row r="600" spans="1:22">
      <c r="A600" s="12"/>
      <c r="B600" s="93"/>
      <c r="C600" s="12"/>
      <c r="D600" s="94"/>
      <c r="E600" s="94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95"/>
      <c r="R600" s="87"/>
      <c r="S600" s="96"/>
      <c r="T600" s="12"/>
      <c r="U600" s="12"/>
      <c r="V600" s="12"/>
    </row>
    <row r="601" spans="1:22">
      <c r="A601" s="12"/>
      <c r="B601" s="93"/>
      <c r="C601" s="12"/>
      <c r="D601" s="94"/>
      <c r="E601" s="94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95"/>
      <c r="R601" s="87"/>
      <c r="S601" s="96"/>
      <c r="T601" s="12"/>
      <c r="U601" s="12"/>
      <c r="V601" s="12"/>
    </row>
    <row r="602" spans="1:22">
      <c r="A602" s="12"/>
      <c r="B602" s="93"/>
      <c r="C602" s="12"/>
      <c r="D602" s="94"/>
      <c r="E602" s="94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95"/>
      <c r="R602" s="87"/>
      <c r="S602" s="96"/>
      <c r="T602" s="12"/>
      <c r="U602" s="12"/>
      <c r="V602" s="12"/>
    </row>
    <row r="603" spans="1:22">
      <c r="A603" s="12"/>
      <c r="B603" s="93"/>
      <c r="C603" s="12"/>
      <c r="D603" s="94"/>
      <c r="E603" s="94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95"/>
      <c r="R603" s="87"/>
      <c r="S603" s="96"/>
      <c r="T603" s="12"/>
      <c r="U603" s="12"/>
      <c r="V603" s="12"/>
    </row>
    <row r="604" spans="1:22">
      <c r="A604" s="12"/>
      <c r="B604" s="93"/>
      <c r="C604" s="12"/>
      <c r="D604" s="94"/>
      <c r="E604" s="94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95"/>
      <c r="R604" s="87"/>
      <c r="S604" s="96"/>
      <c r="T604" s="12"/>
      <c r="U604" s="12"/>
      <c r="V604" s="12"/>
    </row>
    <row r="605" spans="1:22">
      <c r="A605" s="12"/>
      <c r="B605" s="93"/>
      <c r="C605" s="12"/>
      <c r="D605" s="94"/>
      <c r="E605" s="94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95"/>
      <c r="R605" s="87"/>
      <c r="S605" s="96"/>
      <c r="T605" s="12"/>
      <c r="U605" s="12"/>
      <c r="V605" s="12"/>
    </row>
    <row r="606" spans="1:22">
      <c r="A606" s="12"/>
      <c r="B606" s="93"/>
      <c r="C606" s="12"/>
      <c r="D606" s="94"/>
      <c r="E606" s="94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95"/>
      <c r="R606" s="87"/>
      <c r="S606" s="96"/>
      <c r="T606" s="12"/>
      <c r="U606" s="12"/>
      <c r="V606" s="12"/>
    </row>
    <row r="607" spans="1:22">
      <c r="A607" s="12"/>
      <c r="B607" s="93"/>
      <c r="C607" s="12"/>
      <c r="D607" s="94"/>
      <c r="E607" s="94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95"/>
      <c r="R607" s="87"/>
      <c r="S607" s="96"/>
      <c r="T607" s="12"/>
      <c r="U607" s="12"/>
      <c r="V607" s="12"/>
    </row>
    <row r="608" spans="1:22">
      <c r="A608" s="12"/>
      <c r="B608" s="93"/>
      <c r="C608" s="12"/>
      <c r="D608" s="94"/>
      <c r="E608" s="94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95"/>
      <c r="R608" s="87"/>
      <c r="S608" s="96"/>
      <c r="T608" s="12"/>
      <c r="U608" s="12"/>
      <c r="V608" s="12"/>
    </row>
    <row r="609" spans="1:22">
      <c r="A609" s="12"/>
      <c r="B609" s="93"/>
      <c r="C609" s="12"/>
      <c r="D609" s="94"/>
      <c r="E609" s="94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95"/>
      <c r="R609" s="87"/>
      <c r="S609" s="96"/>
      <c r="T609" s="12"/>
      <c r="U609" s="12"/>
      <c r="V609" s="12"/>
    </row>
    <row r="610" spans="1:22">
      <c r="A610" s="12"/>
      <c r="B610" s="93"/>
      <c r="C610" s="12"/>
      <c r="D610" s="94"/>
      <c r="E610" s="94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95"/>
      <c r="R610" s="87"/>
      <c r="S610" s="96"/>
      <c r="T610" s="12"/>
      <c r="U610" s="12"/>
      <c r="V610" s="12"/>
    </row>
    <row r="611" spans="1:22">
      <c r="A611" s="12"/>
      <c r="B611" s="93"/>
      <c r="C611" s="12"/>
      <c r="D611" s="94"/>
      <c r="E611" s="94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95"/>
      <c r="R611" s="87"/>
      <c r="S611" s="96"/>
      <c r="T611" s="12"/>
      <c r="U611" s="12"/>
      <c r="V611" s="12"/>
    </row>
    <row r="612" spans="1:22">
      <c r="A612" s="12"/>
      <c r="B612" s="93"/>
      <c r="C612" s="12"/>
      <c r="D612" s="94"/>
      <c r="E612" s="94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95"/>
      <c r="R612" s="87"/>
      <c r="S612" s="96"/>
      <c r="T612" s="12"/>
      <c r="U612" s="12"/>
      <c r="V612" s="12"/>
    </row>
    <row r="613" spans="1:22">
      <c r="A613" s="12"/>
      <c r="B613" s="93"/>
      <c r="C613" s="12"/>
      <c r="D613" s="94"/>
      <c r="E613" s="94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95"/>
      <c r="R613" s="87"/>
      <c r="S613" s="96"/>
      <c r="T613" s="12"/>
      <c r="U613" s="12"/>
      <c r="V613" s="12"/>
    </row>
    <row r="614" spans="1:22">
      <c r="A614" s="12"/>
      <c r="B614" s="93"/>
      <c r="C614" s="12"/>
      <c r="D614" s="94"/>
      <c r="E614" s="94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95"/>
      <c r="R614" s="87"/>
      <c r="S614" s="96"/>
      <c r="T614" s="12"/>
      <c r="U614" s="12"/>
      <c r="V614" s="12"/>
    </row>
    <row r="615" spans="1:22">
      <c r="A615" s="12"/>
      <c r="B615" s="93"/>
      <c r="C615" s="12"/>
      <c r="D615" s="94"/>
      <c r="E615" s="94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95"/>
      <c r="R615" s="87"/>
      <c r="S615" s="96"/>
      <c r="T615" s="12"/>
      <c r="U615" s="12"/>
      <c r="V615" s="12"/>
    </row>
    <row r="616" spans="1:22">
      <c r="A616" s="12"/>
      <c r="B616" s="93"/>
      <c r="C616" s="12"/>
      <c r="D616" s="94"/>
      <c r="E616" s="94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95"/>
      <c r="R616" s="87"/>
      <c r="S616" s="96"/>
      <c r="T616" s="12"/>
      <c r="U616" s="12"/>
      <c r="V616" s="12"/>
    </row>
    <row r="617" spans="1:22">
      <c r="A617" s="12"/>
      <c r="B617" s="93"/>
      <c r="C617" s="12"/>
      <c r="D617" s="94"/>
      <c r="E617" s="94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95"/>
      <c r="R617" s="87"/>
      <c r="S617" s="96"/>
      <c r="T617" s="12"/>
      <c r="U617" s="12"/>
      <c r="V617" s="12"/>
    </row>
    <row r="618" spans="1:22">
      <c r="A618" s="12"/>
      <c r="B618" s="93"/>
      <c r="C618" s="12"/>
      <c r="D618" s="94"/>
      <c r="E618" s="94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95"/>
      <c r="R618" s="87"/>
      <c r="S618" s="96"/>
      <c r="T618" s="12"/>
      <c r="U618" s="12"/>
      <c r="V618" s="12"/>
    </row>
    <row r="619" spans="1:22">
      <c r="A619" s="12"/>
      <c r="B619" s="93"/>
      <c r="C619" s="12"/>
      <c r="D619" s="94"/>
      <c r="E619" s="94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95"/>
      <c r="R619" s="87"/>
      <c r="S619" s="96"/>
      <c r="T619" s="12"/>
      <c r="U619" s="12"/>
      <c r="V619" s="12"/>
    </row>
    <row r="620" spans="1:22">
      <c r="A620" s="12"/>
      <c r="B620" s="93"/>
      <c r="C620" s="12"/>
      <c r="D620" s="94"/>
      <c r="E620" s="94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95"/>
      <c r="R620" s="87"/>
      <c r="S620" s="96"/>
      <c r="T620" s="12"/>
      <c r="U620" s="12"/>
      <c r="V620" s="12"/>
    </row>
    <row r="621" spans="1:22">
      <c r="A621" s="12"/>
      <c r="B621" s="93"/>
      <c r="C621" s="12"/>
      <c r="D621" s="94"/>
      <c r="E621" s="94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95"/>
      <c r="R621" s="87"/>
      <c r="S621" s="96"/>
      <c r="T621" s="12"/>
      <c r="U621" s="12"/>
      <c r="V621" s="12"/>
    </row>
    <row r="622" spans="1:22">
      <c r="A622" s="12"/>
      <c r="B622" s="93"/>
      <c r="C622" s="12"/>
      <c r="D622" s="94"/>
      <c r="E622" s="94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95"/>
      <c r="R622" s="87"/>
      <c r="S622" s="96"/>
      <c r="T622" s="12"/>
      <c r="U622" s="12"/>
      <c r="V622" s="12"/>
    </row>
    <row r="623" spans="1:22">
      <c r="A623" s="12"/>
      <c r="B623" s="93"/>
      <c r="C623" s="12"/>
      <c r="D623" s="94"/>
      <c r="E623" s="94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95"/>
      <c r="R623" s="87"/>
      <c r="S623" s="96"/>
      <c r="T623" s="12"/>
      <c r="U623" s="12"/>
      <c r="V623" s="12"/>
    </row>
    <row r="624" spans="1:22">
      <c r="A624" s="12"/>
      <c r="B624" s="93"/>
      <c r="C624" s="12"/>
      <c r="D624" s="94"/>
      <c r="E624" s="94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95"/>
      <c r="R624" s="87"/>
      <c r="S624" s="96"/>
      <c r="T624" s="12"/>
      <c r="U624" s="12"/>
      <c r="V624" s="12"/>
    </row>
    <row r="625" spans="1:22">
      <c r="A625" s="12"/>
      <c r="B625" s="93"/>
      <c r="C625" s="12"/>
      <c r="D625" s="94"/>
      <c r="E625" s="94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95"/>
      <c r="R625" s="87"/>
      <c r="S625" s="96"/>
      <c r="T625" s="12"/>
      <c r="U625" s="12"/>
      <c r="V625" s="12"/>
    </row>
    <row r="626" spans="1:22">
      <c r="A626" s="12"/>
      <c r="B626" s="93"/>
      <c r="C626" s="12"/>
      <c r="D626" s="94"/>
      <c r="E626" s="94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95"/>
      <c r="R626" s="87"/>
      <c r="S626" s="96"/>
      <c r="T626" s="12"/>
      <c r="U626" s="12"/>
      <c r="V626" s="12"/>
    </row>
    <row r="627" spans="1:22">
      <c r="A627" s="12"/>
      <c r="B627" s="93"/>
      <c r="C627" s="12"/>
      <c r="D627" s="94"/>
      <c r="E627" s="94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95"/>
      <c r="R627" s="87"/>
      <c r="S627" s="96"/>
      <c r="T627" s="12"/>
      <c r="U627" s="12"/>
      <c r="V627" s="12"/>
    </row>
    <row r="628" spans="1:22">
      <c r="A628" s="12"/>
      <c r="B628" s="93"/>
      <c r="C628" s="12"/>
      <c r="D628" s="94"/>
      <c r="E628" s="94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95"/>
      <c r="R628" s="87"/>
      <c r="S628" s="96"/>
      <c r="T628" s="12"/>
      <c r="U628" s="12"/>
      <c r="V628" s="12"/>
    </row>
    <row r="629" spans="1:22">
      <c r="A629" s="12"/>
      <c r="B629" s="93"/>
      <c r="C629" s="12"/>
      <c r="D629" s="94"/>
      <c r="E629" s="94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95"/>
      <c r="R629" s="87"/>
      <c r="S629" s="96"/>
      <c r="T629" s="12"/>
      <c r="U629" s="12"/>
      <c r="V629" s="12"/>
    </row>
    <row r="630" spans="1:22">
      <c r="A630" s="12"/>
      <c r="B630" s="93"/>
      <c r="C630" s="12"/>
      <c r="D630" s="94"/>
      <c r="E630" s="94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95"/>
      <c r="R630" s="87"/>
      <c r="S630" s="96"/>
      <c r="T630" s="12"/>
      <c r="U630" s="12"/>
      <c r="V630" s="12"/>
    </row>
    <row r="631" spans="1:22">
      <c r="A631" s="12"/>
      <c r="B631" s="93"/>
      <c r="C631" s="12"/>
      <c r="D631" s="94"/>
      <c r="E631" s="94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95"/>
      <c r="R631" s="87"/>
      <c r="S631" s="96"/>
      <c r="T631" s="12"/>
      <c r="U631" s="12"/>
      <c r="V631" s="12"/>
    </row>
    <row r="632" spans="1:22">
      <c r="A632" s="12"/>
      <c r="B632" s="93"/>
      <c r="C632" s="12"/>
      <c r="D632" s="94"/>
      <c r="E632" s="94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95"/>
      <c r="R632" s="87"/>
      <c r="S632" s="96"/>
      <c r="T632" s="12"/>
      <c r="U632" s="12"/>
      <c r="V632" s="12"/>
    </row>
    <row r="633" spans="1:22">
      <c r="A633" s="12"/>
      <c r="B633" s="93"/>
      <c r="C633" s="12"/>
      <c r="D633" s="94"/>
      <c r="E633" s="94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95"/>
      <c r="R633" s="87"/>
      <c r="S633" s="96"/>
      <c r="T633" s="12"/>
      <c r="U633" s="12"/>
      <c r="V633" s="12"/>
    </row>
    <row r="634" spans="1:22">
      <c r="A634" s="12"/>
      <c r="B634" s="93"/>
      <c r="C634" s="12"/>
      <c r="D634" s="94"/>
      <c r="E634" s="94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95"/>
      <c r="R634" s="87"/>
      <c r="S634" s="96"/>
      <c r="T634" s="12"/>
      <c r="U634" s="12"/>
      <c r="V634" s="12"/>
    </row>
    <row r="635" spans="1:22">
      <c r="A635" s="12"/>
      <c r="B635" s="93"/>
      <c r="C635" s="12"/>
      <c r="D635" s="94"/>
      <c r="E635" s="94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95"/>
      <c r="R635" s="87"/>
      <c r="S635" s="96"/>
      <c r="T635" s="12"/>
      <c r="U635" s="12"/>
      <c r="V635" s="12"/>
    </row>
    <row r="636" spans="1:22">
      <c r="A636" s="12"/>
      <c r="B636" s="93"/>
      <c r="C636" s="12"/>
      <c r="D636" s="94"/>
      <c r="E636" s="94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95"/>
      <c r="R636" s="87"/>
      <c r="S636" s="96"/>
      <c r="T636" s="12"/>
      <c r="U636" s="12"/>
      <c r="V636" s="12"/>
    </row>
    <row r="637" spans="1:22">
      <c r="A637" s="12"/>
      <c r="B637" s="93"/>
      <c r="C637" s="12"/>
      <c r="D637" s="94"/>
      <c r="E637" s="94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95"/>
      <c r="R637" s="87"/>
      <c r="S637" s="96"/>
      <c r="T637" s="12"/>
      <c r="U637" s="12"/>
      <c r="V637" s="12"/>
    </row>
    <row r="638" spans="1:22">
      <c r="A638" s="12"/>
      <c r="B638" s="93"/>
      <c r="C638" s="12"/>
      <c r="D638" s="94"/>
      <c r="E638" s="94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95"/>
      <c r="R638" s="87"/>
      <c r="S638" s="96"/>
      <c r="T638" s="12"/>
      <c r="U638" s="12"/>
      <c r="V638" s="12"/>
    </row>
    <row r="639" spans="1:22">
      <c r="A639" s="12"/>
      <c r="B639" s="93"/>
      <c r="C639" s="12"/>
      <c r="D639" s="94"/>
      <c r="E639" s="94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95"/>
      <c r="R639" s="87"/>
      <c r="S639" s="96"/>
      <c r="T639" s="12"/>
      <c r="U639" s="12"/>
      <c r="V639" s="12"/>
    </row>
    <row r="640" spans="1:22">
      <c r="A640" s="12"/>
      <c r="B640" s="93"/>
      <c r="C640" s="12"/>
      <c r="D640" s="94"/>
      <c r="E640" s="94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95"/>
      <c r="R640" s="87"/>
      <c r="S640" s="96"/>
      <c r="T640" s="12"/>
      <c r="U640" s="12"/>
      <c r="V640" s="12"/>
    </row>
    <row r="641" spans="1:22">
      <c r="A641" s="12"/>
      <c r="B641" s="93"/>
      <c r="C641" s="12"/>
      <c r="D641" s="94"/>
      <c r="E641" s="94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95"/>
      <c r="R641" s="87"/>
      <c r="S641" s="96"/>
      <c r="T641" s="12"/>
      <c r="U641" s="12"/>
      <c r="V641" s="12"/>
    </row>
    <row r="642" spans="1:22">
      <c r="A642" s="12"/>
      <c r="B642" s="93"/>
      <c r="C642" s="12"/>
      <c r="D642" s="94"/>
      <c r="E642" s="94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95"/>
      <c r="R642" s="87"/>
      <c r="S642" s="96"/>
      <c r="T642" s="12"/>
      <c r="U642" s="12"/>
      <c r="V642" s="12"/>
    </row>
    <row r="643" spans="1:22">
      <c r="A643" s="12"/>
      <c r="B643" s="93"/>
      <c r="C643" s="12"/>
      <c r="D643" s="94"/>
      <c r="E643" s="94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95"/>
      <c r="R643" s="87"/>
      <c r="S643" s="96"/>
      <c r="T643" s="12"/>
      <c r="U643" s="12"/>
      <c r="V643" s="12"/>
    </row>
    <row r="644" spans="1:22">
      <c r="A644" s="12"/>
      <c r="B644" s="93"/>
      <c r="C644" s="12"/>
      <c r="D644" s="94"/>
      <c r="E644" s="94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95"/>
      <c r="R644" s="87"/>
      <c r="S644" s="96"/>
      <c r="T644" s="12"/>
      <c r="U644" s="12"/>
      <c r="V644" s="12"/>
    </row>
    <row r="645" spans="1:22">
      <c r="A645" s="12"/>
      <c r="B645" s="93"/>
      <c r="C645" s="12"/>
      <c r="D645" s="94"/>
      <c r="E645" s="94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95"/>
      <c r="R645" s="87"/>
      <c r="S645" s="96"/>
      <c r="T645" s="12"/>
      <c r="U645" s="12"/>
      <c r="V645" s="12"/>
    </row>
    <row r="646" spans="1:22">
      <c r="A646" s="12"/>
      <c r="B646" s="93"/>
      <c r="C646" s="12"/>
      <c r="D646" s="94"/>
      <c r="E646" s="94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95"/>
      <c r="R646" s="87"/>
      <c r="S646" s="96"/>
      <c r="T646" s="12"/>
      <c r="U646" s="12"/>
      <c r="V646" s="12"/>
    </row>
    <row r="647" spans="1:22">
      <c r="A647" s="12"/>
      <c r="B647" s="93"/>
      <c r="C647" s="12"/>
      <c r="D647" s="94"/>
      <c r="E647" s="94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95"/>
      <c r="R647" s="87"/>
      <c r="S647" s="96"/>
      <c r="T647" s="12"/>
      <c r="U647" s="12"/>
      <c r="V647" s="12"/>
    </row>
    <row r="648" spans="1:22">
      <c r="A648" s="12"/>
      <c r="B648" s="93"/>
      <c r="C648" s="12"/>
      <c r="D648" s="94"/>
      <c r="E648" s="94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95"/>
      <c r="R648" s="87"/>
      <c r="S648" s="96"/>
      <c r="T648" s="12"/>
      <c r="U648" s="12"/>
      <c r="V648" s="12"/>
    </row>
    <row r="649" spans="1:22">
      <c r="A649" s="12"/>
      <c r="B649" s="93"/>
      <c r="C649" s="12"/>
      <c r="D649" s="94"/>
      <c r="E649" s="94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95"/>
      <c r="R649" s="87"/>
      <c r="S649" s="96"/>
      <c r="T649" s="12"/>
      <c r="U649" s="12"/>
      <c r="V649" s="12"/>
    </row>
    <row r="650" spans="1:22">
      <c r="A650" s="12"/>
      <c r="B650" s="93"/>
      <c r="C650" s="12"/>
      <c r="D650" s="94"/>
      <c r="E650" s="94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95"/>
      <c r="R650" s="87"/>
      <c r="S650" s="96"/>
      <c r="T650" s="12"/>
      <c r="U650" s="12"/>
      <c r="V650" s="12"/>
    </row>
    <row r="651" spans="1:22">
      <c r="A651" s="12"/>
      <c r="B651" s="93"/>
      <c r="C651" s="12"/>
      <c r="D651" s="94"/>
      <c r="E651" s="94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95"/>
      <c r="R651" s="87"/>
      <c r="S651" s="96"/>
      <c r="T651" s="12"/>
      <c r="U651" s="12"/>
      <c r="V651" s="12"/>
    </row>
    <row r="652" spans="1:22">
      <c r="A652" s="12"/>
      <c r="B652" s="93"/>
      <c r="C652" s="12"/>
      <c r="D652" s="94"/>
      <c r="E652" s="94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95"/>
      <c r="R652" s="87"/>
      <c r="S652" s="96"/>
      <c r="T652" s="12"/>
      <c r="U652" s="12"/>
      <c r="V652" s="12"/>
    </row>
    <row r="653" spans="1:22">
      <c r="A653" s="12"/>
      <c r="B653" s="93"/>
      <c r="C653" s="12"/>
      <c r="D653" s="94"/>
      <c r="E653" s="94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95"/>
      <c r="R653" s="87"/>
      <c r="S653" s="96"/>
      <c r="T653" s="12"/>
      <c r="U653" s="12"/>
      <c r="V653" s="12"/>
    </row>
    <row r="654" spans="1:22">
      <c r="A654" s="12"/>
      <c r="B654" s="93"/>
      <c r="C654" s="12"/>
      <c r="D654" s="94"/>
      <c r="E654" s="94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95"/>
      <c r="R654" s="87"/>
      <c r="S654" s="96"/>
      <c r="T654" s="12"/>
      <c r="U654" s="12"/>
      <c r="V654" s="12"/>
    </row>
    <row r="655" spans="1:22">
      <c r="A655" s="12"/>
      <c r="B655" s="93"/>
      <c r="C655" s="12"/>
      <c r="D655" s="94"/>
      <c r="E655" s="94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95"/>
      <c r="R655" s="87"/>
      <c r="S655" s="96"/>
      <c r="T655" s="12"/>
      <c r="U655" s="12"/>
      <c r="V655" s="12"/>
    </row>
    <row r="656" spans="1:22">
      <c r="A656" s="12"/>
      <c r="B656" s="93"/>
      <c r="C656" s="12"/>
      <c r="D656" s="94"/>
      <c r="E656" s="94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95"/>
      <c r="R656" s="87"/>
      <c r="S656" s="96"/>
      <c r="T656" s="12"/>
      <c r="U656" s="12"/>
      <c r="V656" s="12"/>
    </row>
    <row r="657" spans="1:22">
      <c r="A657" s="12"/>
      <c r="B657" s="93"/>
      <c r="C657" s="12"/>
      <c r="D657" s="94"/>
      <c r="E657" s="94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95"/>
      <c r="R657" s="87"/>
      <c r="S657" s="96"/>
      <c r="T657" s="12"/>
      <c r="U657" s="12"/>
      <c r="V657" s="12"/>
    </row>
    <row r="658" spans="1:22">
      <c r="A658" s="12"/>
      <c r="B658" s="93"/>
      <c r="C658" s="12"/>
      <c r="D658" s="94"/>
      <c r="E658" s="94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95"/>
      <c r="R658" s="87"/>
      <c r="S658" s="96"/>
      <c r="T658" s="12"/>
      <c r="U658" s="12"/>
      <c r="V658" s="12"/>
    </row>
    <row r="659" spans="1:22">
      <c r="A659" s="12"/>
      <c r="B659" s="93"/>
      <c r="C659" s="12"/>
      <c r="D659" s="94"/>
      <c r="E659" s="94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95"/>
      <c r="R659" s="87"/>
      <c r="S659" s="96"/>
      <c r="T659" s="12"/>
      <c r="U659" s="12"/>
      <c r="V659" s="12"/>
    </row>
    <row r="660" spans="1:22">
      <c r="A660" s="12"/>
      <c r="B660" s="93"/>
      <c r="C660" s="12"/>
      <c r="D660" s="94"/>
      <c r="E660" s="94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95"/>
      <c r="R660" s="87"/>
      <c r="S660" s="96"/>
      <c r="T660" s="12"/>
      <c r="U660" s="12"/>
      <c r="V660" s="12"/>
    </row>
    <row r="661" spans="1:22">
      <c r="A661" s="12"/>
      <c r="B661" s="93"/>
      <c r="C661" s="12"/>
      <c r="D661" s="94"/>
      <c r="E661" s="94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95"/>
      <c r="R661" s="87"/>
      <c r="S661" s="96"/>
      <c r="T661" s="12"/>
      <c r="U661" s="12"/>
      <c r="V661" s="12"/>
    </row>
    <row r="662" spans="1:22">
      <c r="A662" s="12"/>
      <c r="B662" s="93"/>
      <c r="C662" s="12"/>
      <c r="D662" s="94"/>
      <c r="E662" s="94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95"/>
      <c r="R662" s="87"/>
      <c r="S662" s="96"/>
      <c r="T662" s="12"/>
      <c r="U662" s="12"/>
      <c r="V662" s="12"/>
    </row>
    <row r="663" spans="1:22">
      <c r="A663" s="12"/>
      <c r="B663" s="93"/>
      <c r="C663" s="12"/>
      <c r="D663" s="94"/>
      <c r="E663" s="94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95"/>
      <c r="R663" s="87"/>
      <c r="S663" s="96"/>
      <c r="T663" s="12"/>
      <c r="U663" s="12"/>
      <c r="V663" s="12"/>
    </row>
    <row r="664" spans="1:22">
      <c r="A664" s="12"/>
      <c r="B664" s="93"/>
      <c r="C664" s="12"/>
      <c r="D664" s="94"/>
      <c r="E664" s="94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95"/>
      <c r="R664" s="87"/>
      <c r="S664" s="96"/>
      <c r="T664" s="12"/>
      <c r="U664" s="12"/>
      <c r="V664" s="12"/>
    </row>
    <row r="665" spans="1:22">
      <c r="A665" s="12"/>
      <c r="B665" s="93"/>
      <c r="C665" s="12"/>
      <c r="D665" s="94"/>
      <c r="E665" s="94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95"/>
      <c r="R665" s="87"/>
      <c r="S665" s="96"/>
      <c r="T665" s="12"/>
      <c r="U665" s="12"/>
      <c r="V665" s="12"/>
    </row>
    <row r="666" spans="1:22">
      <c r="A666" s="12"/>
      <c r="B666" s="93"/>
      <c r="C666" s="12"/>
      <c r="D666" s="94"/>
      <c r="E666" s="94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95"/>
      <c r="R666" s="87"/>
      <c r="S666" s="96"/>
      <c r="T666" s="12"/>
      <c r="U666" s="12"/>
      <c r="V666" s="12"/>
    </row>
    <row r="667" spans="1:22">
      <c r="A667" s="12"/>
      <c r="B667" s="93"/>
      <c r="C667" s="12"/>
      <c r="D667" s="94"/>
      <c r="E667" s="94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95"/>
      <c r="R667" s="87"/>
      <c r="S667" s="96"/>
      <c r="T667" s="12"/>
      <c r="U667" s="12"/>
      <c r="V667" s="12"/>
    </row>
    <row r="668" spans="1:22">
      <c r="A668" s="12"/>
      <c r="B668" s="93"/>
      <c r="C668" s="12"/>
      <c r="D668" s="94"/>
      <c r="E668" s="94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95"/>
      <c r="R668" s="87"/>
      <c r="S668" s="96"/>
      <c r="T668" s="12"/>
      <c r="U668" s="12"/>
      <c r="V668" s="12"/>
    </row>
    <row r="669" spans="1:22">
      <c r="A669" s="12"/>
      <c r="B669" s="93"/>
      <c r="C669" s="12"/>
      <c r="D669" s="94"/>
      <c r="E669" s="94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95"/>
      <c r="R669" s="87"/>
      <c r="S669" s="96"/>
      <c r="T669" s="12"/>
      <c r="U669" s="12"/>
      <c r="V669" s="12"/>
    </row>
    <row r="670" spans="1:22">
      <c r="A670" s="12"/>
      <c r="B670" s="93"/>
      <c r="C670" s="12"/>
      <c r="D670" s="94"/>
      <c r="E670" s="94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95"/>
      <c r="R670" s="87"/>
      <c r="S670" s="96"/>
      <c r="T670" s="12"/>
      <c r="U670" s="12"/>
      <c r="V670" s="12"/>
    </row>
    <row r="671" spans="1:22">
      <c r="A671" s="12"/>
      <c r="B671" s="93"/>
      <c r="C671" s="12"/>
      <c r="D671" s="94"/>
      <c r="E671" s="94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95"/>
      <c r="R671" s="87"/>
      <c r="S671" s="96"/>
      <c r="T671" s="12"/>
      <c r="U671" s="12"/>
      <c r="V671" s="12"/>
    </row>
    <row r="672" spans="1:22">
      <c r="A672" s="12"/>
      <c r="B672" s="93"/>
      <c r="C672" s="12"/>
      <c r="D672" s="94"/>
      <c r="E672" s="94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95"/>
      <c r="R672" s="87"/>
      <c r="S672" s="96"/>
      <c r="T672" s="12"/>
      <c r="U672" s="12"/>
      <c r="V672" s="12"/>
    </row>
    <row r="673" spans="1:22">
      <c r="A673" s="12"/>
      <c r="B673" s="93"/>
      <c r="C673" s="12"/>
      <c r="D673" s="94"/>
      <c r="E673" s="94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95"/>
      <c r="R673" s="87"/>
      <c r="S673" s="96"/>
      <c r="T673" s="12"/>
      <c r="U673" s="12"/>
      <c r="V673" s="12"/>
    </row>
    <row r="674" spans="1:22">
      <c r="A674" s="12"/>
      <c r="B674" s="93"/>
      <c r="C674" s="12"/>
      <c r="D674" s="94"/>
      <c r="E674" s="94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95"/>
      <c r="R674" s="87"/>
      <c r="S674" s="96"/>
      <c r="T674" s="12"/>
      <c r="U674" s="12"/>
      <c r="V674" s="12"/>
    </row>
    <row r="675" spans="1:22">
      <c r="A675" s="12"/>
      <c r="B675" s="93"/>
      <c r="C675" s="12"/>
      <c r="D675" s="94"/>
      <c r="E675" s="94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95"/>
      <c r="R675" s="87"/>
      <c r="S675" s="96"/>
      <c r="T675" s="12"/>
      <c r="U675" s="12"/>
      <c r="V675" s="12"/>
    </row>
    <row r="676" spans="1:22">
      <c r="A676" s="12"/>
      <c r="B676" s="93"/>
      <c r="C676" s="12"/>
      <c r="D676" s="94"/>
      <c r="E676" s="94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95"/>
      <c r="R676" s="87"/>
      <c r="S676" s="96"/>
      <c r="T676" s="12"/>
      <c r="U676" s="12"/>
      <c r="V676" s="12"/>
    </row>
    <row r="677" spans="1:22">
      <c r="A677" s="12"/>
      <c r="B677" s="93"/>
      <c r="C677" s="12"/>
      <c r="D677" s="94"/>
      <c r="E677" s="94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95"/>
      <c r="R677" s="87"/>
      <c r="S677" s="96"/>
      <c r="T677" s="12"/>
      <c r="U677" s="12"/>
      <c r="V677" s="12"/>
    </row>
    <row r="678" spans="1:22">
      <c r="A678" s="12"/>
      <c r="B678" s="93"/>
      <c r="C678" s="12"/>
      <c r="D678" s="94"/>
      <c r="E678" s="94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95"/>
      <c r="R678" s="87"/>
      <c r="S678" s="96"/>
      <c r="T678" s="12"/>
      <c r="U678" s="12"/>
      <c r="V678" s="12"/>
    </row>
    <row r="679" spans="1:22">
      <c r="A679" s="12"/>
      <c r="B679" s="93"/>
      <c r="C679" s="12"/>
      <c r="D679" s="94"/>
      <c r="E679" s="94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95"/>
      <c r="R679" s="87"/>
      <c r="S679" s="96"/>
      <c r="T679" s="12"/>
      <c r="U679" s="12"/>
      <c r="V679" s="12"/>
    </row>
    <row r="680" spans="1:22">
      <c r="A680" s="12"/>
      <c r="B680" s="93"/>
      <c r="C680" s="12"/>
      <c r="D680" s="94"/>
      <c r="E680" s="94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95"/>
      <c r="R680" s="87"/>
      <c r="S680" s="96"/>
      <c r="T680" s="12"/>
      <c r="U680" s="12"/>
      <c r="V680" s="12"/>
    </row>
    <row r="681" spans="1:22">
      <c r="A681" s="12"/>
      <c r="B681" s="93"/>
      <c r="C681" s="12"/>
      <c r="D681" s="94"/>
      <c r="E681" s="94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95"/>
      <c r="R681" s="87"/>
      <c r="S681" s="96"/>
      <c r="T681" s="12"/>
      <c r="U681" s="12"/>
      <c r="V681" s="12"/>
    </row>
    <row r="682" spans="1:22">
      <c r="A682" s="12"/>
      <c r="B682" s="93"/>
      <c r="C682" s="12"/>
      <c r="D682" s="94"/>
      <c r="E682" s="94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95"/>
      <c r="R682" s="87"/>
      <c r="S682" s="96"/>
      <c r="T682" s="12"/>
      <c r="U682" s="12"/>
      <c r="V682" s="12"/>
    </row>
    <row r="683" spans="1:22">
      <c r="A683" s="12"/>
      <c r="B683" s="93"/>
      <c r="C683" s="12"/>
      <c r="D683" s="94"/>
      <c r="E683" s="94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95"/>
      <c r="R683" s="87"/>
      <c r="S683" s="96"/>
      <c r="T683" s="12"/>
      <c r="U683" s="12"/>
      <c r="V683" s="12"/>
    </row>
    <row r="684" spans="1:22">
      <c r="A684" s="12"/>
      <c r="B684" s="93"/>
      <c r="C684" s="12"/>
      <c r="D684" s="94"/>
      <c r="E684" s="94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95"/>
      <c r="R684" s="87"/>
      <c r="S684" s="96"/>
      <c r="T684" s="12"/>
      <c r="U684" s="12"/>
      <c r="V684" s="12"/>
    </row>
    <row r="685" spans="1:22">
      <c r="A685" s="12"/>
      <c r="B685" s="93"/>
      <c r="C685" s="12"/>
      <c r="D685" s="94"/>
      <c r="E685" s="94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95"/>
      <c r="R685" s="87"/>
      <c r="S685" s="96"/>
      <c r="T685" s="12"/>
      <c r="U685" s="12"/>
      <c r="V685" s="12"/>
    </row>
    <row r="686" spans="1:22">
      <c r="A686" s="12"/>
      <c r="B686" s="93"/>
      <c r="C686" s="12"/>
      <c r="D686" s="94"/>
      <c r="E686" s="94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95"/>
      <c r="R686" s="87"/>
      <c r="S686" s="96"/>
      <c r="T686" s="12"/>
      <c r="U686" s="12"/>
      <c r="V686" s="12"/>
    </row>
    <row r="687" spans="1:22">
      <c r="A687" s="12"/>
      <c r="B687" s="93"/>
      <c r="C687" s="12"/>
      <c r="D687" s="94"/>
      <c r="E687" s="94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95"/>
      <c r="R687" s="87"/>
      <c r="S687" s="96"/>
      <c r="T687" s="12"/>
      <c r="U687" s="12"/>
      <c r="V687" s="12"/>
    </row>
    <row r="688" spans="1:22">
      <c r="A688" s="12"/>
      <c r="B688" s="93"/>
      <c r="C688" s="12"/>
      <c r="D688" s="94"/>
      <c r="E688" s="94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95"/>
      <c r="R688" s="87"/>
      <c r="S688" s="96"/>
      <c r="T688" s="12"/>
      <c r="U688" s="12"/>
      <c r="V688" s="12"/>
    </row>
    <row r="689" spans="1:22">
      <c r="A689" s="12"/>
      <c r="B689" s="93"/>
      <c r="C689" s="12"/>
      <c r="D689" s="94"/>
      <c r="E689" s="94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95"/>
      <c r="R689" s="87"/>
      <c r="S689" s="96"/>
      <c r="T689" s="12"/>
      <c r="U689" s="12"/>
      <c r="V689" s="12"/>
    </row>
    <row r="690" spans="1:22">
      <c r="A690" s="12"/>
      <c r="B690" s="93"/>
      <c r="C690" s="12"/>
      <c r="D690" s="94"/>
      <c r="E690" s="94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95"/>
      <c r="R690" s="87"/>
      <c r="S690" s="96"/>
      <c r="T690" s="12"/>
      <c r="U690" s="12"/>
      <c r="V690" s="12"/>
    </row>
    <row r="691" spans="1:22">
      <c r="A691" s="12"/>
      <c r="B691" s="93"/>
      <c r="C691" s="12"/>
      <c r="D691" s="94"/>
      <c r="E691" s="94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95"/>
      <c r="R691" s="87"/>
      <c r="S691" s="96"/>
      <c r="T691" s="12"/>
      <c r="U691" s="12"/>
      <c r="V691" s="12"/>
    </row>
    <row r="692" spans="1:22">
      <c r="A692" s="12"/>
      <c r="B692" s="93"/>
      <c r="C692" s="12"/>
      <c r="D692" s="94"/>
      <c r="E692" s="94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95"/>
      <c r="R692" s="87"/>
      <c r="S692" s="96"/>
      <c r="T692" s="12"/>
      <c r="U692" s="12"/>
      <c r="V692" s="12"/>
    </row>
    <row r="693" spans="1:22">
      <c r="A693" s="12"/>
      <c r="B693" s="93"/>
      <c r="C693" s="12"/>
      <c r="D693" s="94"/>
      <c r="E693" s="94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95"/>
      <c r="R693" s="87"/>
      <c r="S693" s="96"/>
      <c r="T693" s="12"/>
      <c r="U693" s="12"/>
      <c r="V693" s="12"/>
    </row>
    <row r="694" spans="1:22">
      <c r="A694" s="12"/>
      <c r="B694" s="93"/>
      <c r="C694" s="12"/>
      <c r="D694" s="94"/>
      <c r="E694" s="94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95"/>
      <c r="R694" s="87"/>
      <c r="S694" s="96"/>
      <c r="T694" s="12"/>
      <c r="U694" s="12"/>
      <c r="V694" s="12"/>
    </row>
    <row r="695" spans="1:22">
      <c r="A695" s="12"/>
      <c r="B695" s="93"/>
      <c r="C695" s="12"/>
      <c r="D695" s="94"/>
      <c r="E695" s="94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95"/>
      <c r="R695" s="87"/>
      <c r="S695" s="96"/>
      <c r="T695" s="12"/>
      <c r="U695" s="12"/>
      <c r="V695" s="12"/>
    </row>
    <row r="696" spans="1:22">
      <c r="A696" s="12"/>
      <c r="B696" s="93"/>
      <c r="C696" s="12"/>
      <c r="D696" s="94"/>
      <c r="E696" s="94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95"/>
      <c r="R696" s="87"/>
      <c r="S696" s="96"/>
      <c r="T696" s="12"/>
      <c r="U696" s="12"/>
      <c r="V696" s="12"/>
    </row>
    <row r="697" spans="1:22">
      <c r="A697" s="12"/>
      <c r="B697" s="93"/>
      <c r="C697" s="12"/>
      <c r="D697" s="94"/>
      <c r="E697" s="94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95"/>
      <c r="R697" s="87"/>
      <c r="S697" s="96"/>
      <c r="T697" s="12"/>
      <c r="U697" s="12"/>
      <c r="V697" s="12"/>
    </row>
    <row r="698" spans="1:22">
      <c r="A698" s="12"/>
      <c r="B698" s="93"/>
      <c r="C698" s="12"/>
      <c r="D698" s="94"/>
      <c r="E698" s="94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95"/>
      <c r="R698" s="87"/>
      <c r="S698" s="96"/>
      <c r="T698" s="12"/>
      <c r="U698" s="12"/>
      <c r="V698" s="12"/>
    </row>
    <row r="699" spans="1:22">
      <c r="A699" s="12"/>
      <c r="B699" s="93"/>
      <c r="C699" s="12"/>
      <c r="D699" s="94"/>
      <c r="E699" s="94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95"/>
      <c r="R699" s="87"/>
      <c r="S699" s="96"/>
      <c r="T699" s="12"/>
      <c r="U699" s="12"/>
      <c r="V699" s="12"/>
    </row>
    <row r="700" spans="1:22">
      <c r="A700" s="12"/>
      <c r="B700" s="93"/>
      <c r="C700" s="12"/>
      <c r="D700" s="94"/>
      <c r="E700" s="94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95"/>
      <c r="R700" s="87"/>
      <c r="S700" s="96"/>
      <c r="T700" s="12"/>
      <c r="U700" s="12"/>
      <c r="V700" s="12"/>
    </row>
    <row r="701" spans="1:22">
      <c r="A701" s="12"/>
      <c r="B701" s="93"/>
      <c r="C701" s="12"/>
      <c r="D701" s="94"/>
      <c r="E701" s="94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95"/>
      <c r="R701" s="87"/>
      <c r="S701" s="96"/>
      <c r="T701" s="12"/>
      <c r="U701" s="12"/>
      <c r="V701" s="12"/>
    </row>
    <row r="702" spans="1:22">
      <c r="A702" s="12"/>
      <c r="B702" s="93"/>
      <c r="C702" s="12"/>
      <c r="D702" s="94"/>
      <c r="E702" s="94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95"/>
      <c r="R702" s="87"/>
      <c r="S702" s="96"/>
      <c r="T702" s="12"/>
      <c r="U702" s="12"/>
      <c r="V702" s="12"/>
    </row>
    <row r="703" spans="1:22">
      <c r="A703" s="12"/>
      <c r="B703" s="93"/>
      <c r="C703" s="12"/>
      <c r="D703" s="94"/>
      <c r="E703" s="94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95"/>
      <c r="R703" s="87"/>
      <c r="S703" s="96"/>
      <c r="T703" s="12"/>
      <c r="U703" s="12"/>
      <c r="V703" s="12"/>
    </row>
    <row r="704" spans="1:22">
      <c r="A704" s="12"/>
      <c r="B704" s="93"/>
      <c r="C704" s="12"/>
      <c r="D704" s="94"/>
      <c r="E704" s="94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95"/>
      <c r="R704" s="87"/>
      <c r="S704" s="96"/>
      <c r="T704" s="12"/>
      <c r="U704" s="12"/>
      <c r="V704" s="12"/>
    </row>
    <row r="705" spans="1:22">
      <c r="A705" s="12"/>
      <c r="B705" s="93"/>
      <c r="C705" s="12"/>
      <c r="D705" s="94"/>
      <c r="E705" s="94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95"/>
      <c r="R705" s="87"/>
      <c r="S705" s="96"/>
      <c r="T705" s="12"/>
      <c r="U705" s="12"/>
      <c r="V705" s="12"/>
    </row>
    <row r="706" spans="1:22">
      <c r="A706" s="12"/>
      <c r="B706" s="93"/>
      <c r="C706" s="12"/>
      <c r="D706" s="94"/>
      <c r="E706" s="94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95"/>
      <c r="R706" s="87"/>
      <c r="S706" s="96"/>
      <c r="T706" s="12"/>
      <c r="U706" s="12"/>
      <c r="V706" s="12"/>
    </row>
    <row r="707" spans="1:22">
      <c r="A707" s="12"/>
      <c r="B707" s="93"/>
      <c r="C707" s="12"/>
      <c r="D707" s="94"/>
      <c r="E707" s="94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95"/>
      <c r="R707" s="87"/>
      <c r="S707" s="96"/>
      <c r="T707" s="12"/>
      <c r="U707" s="12"/>
      <c r="V707" s="12"/>
    </row>
    <row r="708" spans="1:22">
      <c r="A708" s="12"/>
      <c r="B708" s="93"/>
      <c r="C708" s="12"/>
      <c r="D708" s="94"/>
      <c r="E708" s="94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95"/>
      <c r="R708" s="87"/>
      <c r="S708" s="96"/>
      <c r="T708" s="12"/>
      <c r="U708" s="12"/>
      <c r="V708" s="12"/>
    </row>
    <row r="709" spans="1:22">
      <c r="A709" s="12"/>
      <c r="B709" s="93"/>
      <c r="C709" s="12"/>
      <c r="D709" s="94"/>
      <c r="E709" s="94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95"/>
      <c r="R709" s="87"/>
      <c r="S709" s="96"/>
      <c r="T709" s="12"/>
      <c r="U709" s="12"/>
      <c r="V709" s="12"/>
    </row>
    <row r="710" spans="1:22">
      <c r="A710" s="12"/>
      <c r="B710" s="93"/>
      <c r="C710" s="12"/>
      <c r="D710" s="94"/>
      <c r="E710" s="94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95"/>
      <c r="R710" s="87"/>
      <c r="S710" s="96"/>
      <c r="T710" s="12"/>
      <c r="U710" s="12"/>
      <c r="V710" s="12"/>
    </row>
    <row r="711" spans="1:22">
      <c r="A711" s="12"/>
      <c r="B711" s="93"/>
      <c r="C711" s="12"/>
      <c r="D711" s="94"/>
      <c r="E711" s="94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95"/>
      <c r="R711" s="87"/>
      <c r="S711" s="96"/>
      <c r="T711" s="12"/>
      <c r="U711" s="12"/>
      <c r="V711" s="12"/>
    </row>
    <row r="712" spans="1:22">
      <c r="A712" s="12"/>
      <c r="B712" s="93"/>
      <c r="C712" s="12"/>
      <c r="D712" s="94"/>
      <c r="E712" s="94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95"/>
      <c r="R712" s="87"/>
      <c r="S712" s="96"/>
      <c r="T712" s="12"/>
      <c r="U712" s="12"/>
      <c r="V712" s="12"/>
    </row>
    <row r="713" spans="1:22">
      <c r="A713" s="12"/>
      <c r="B713" s="93"/>
      <c r="C713" s="12"/>
      <c r="D713" s="94"/>
      <c r="E713" s="94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95"/>
      <c r="R713" s="87"/>
      <c r="S713" s="96"/>
      <c r="T713" s="12"/>
      <c r="U713" s="12"/>
      <c r="V713" s="12"/>
    </row>
    <row r="714" spans="1:22">
      <c r="A714" s="12"/>
      <c r="B714" s="93"/>
      <c r="C714" s="12"/>
      <c r="D714" s="94"/>
      <c r="E714" s="94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95"/>
      <c r="R714" s="87"/>
      <c r="S714" s="96"/>
      <c r="T714" s="12"/>
      <c r="U714" s="12"/>
      <c r="V714" s="12"/>
    </row>
    <row r="715" spans="1:22">
      <c r="A715" s="12"/>
      <c r="B715" s="93"/>
      <c r="C715" s="12"/>
      <c r="D715" s="94"/>
      <c r="E715" s="94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95"/>
      <c r="R715" s="87"/>
      <c r="S715" s="96"/>
      <c r="T715" s="12"/>
      <c r="U715" s="12"/>
      <c r="V715" s="12"/>
    </row>
    <row r="716" spans="1:22">
      <c r="A716" s="12"/>
      <c r="B716" s="93"/>
      <c r="C716" s="12"/>
      <c r="D716" s="94"/>
      <c r="E716" s="94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95"/>
      <c r="R716" s="87"/>
      <c r="S716" s="96"/>
      <c r="T716" s="12"/>
      <c r="U716" s="12"/>
      <c r="V716" s="12"/>
    </row>
    <row r="717" spans="1:22">
      <c r="A717" s="12"/>
      <c r="B717" s="93"/>
      <c r="C717" s="12"/>
      <c r="D717" s="94"/>
      <c r="E717" s="94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95"/>
      <c r="R717" s="87"/>
      <c r="S717" s="96"/>
      <c r="T717" s="12"/>
      <c r="U717" s="12"/>
      <c r="V717" s="12"/>
    </row>
    <row r="718" spans="1:22">
      <c r="A718" s="12"/>
      <c r="B718" s="93"/>
      <c r="C718" s="12"/>
      <c r="D718" s="94"/>
      <c r="E718" s="94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95"/>
      <c r="R718" s="87"/>
      <c r="S718" s="96"/>
      <c r="T718" s="12"/>
      <c r="U718" s="12"/>
      <c r="V718" s="12"/>
    </row>
    <row r="719" spans="1:22">
      <c r="A719" s="12"/>
      <c r="B719" s="93"/>
      <c r="C719" s="12"/>
      <c r="D719" s="94"/>
      <c r="E719" s="94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95"/>
      <c r="R719" s="87"/>
      <c r="S719" s="96"/>
      <c r="T719" s="12"/>
      <c r="U719" s="12"/>
      <c r="V719" s="12"/>
    </row>
    <row r="720" spans="1:22">
      <c r="A720" s="12"/>
      <c r="B720" s="93"/>
      <c r="C720" s="12"/>
      <c r="D720" s="94"/>
      <c r="E720" s="94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95"/>
      <c r="R720" s="87"/>
      <c r="S720" s="96"/>
      <c r="T720" s="12"/>
      <c r="U720" s="12"/>
      <c r="V720" s="12"/>
    </row>
    <row r="721" spans="1:22">
      <c r="A721" s="12"/>
      <c r="B721" s="93"/>
      <c r="C721" s="12"/>
      <c r="D721" s="94"/>
      <c r="E721" s="94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95"/>
      <c r="R721" s="87"/>
      <c r="S721" s="96"/>
      <c r="T721" s="12"/>
      <c r="U721" s="12"/>
      <c r="V721" s="12"/>
    </row>
    <row r="722" spans="1:22">
      <c r="A722" s="12"/>
      <c r="B722" s="93"/>
      <c r="C722" s="12"/>
      <c r="D722" s="94"/>
      <c r="E722" s="94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95"/>
      <c r="R722" s="87"/>
      <c r="S722" s="96"/>
      <c r="T722" s="12"/>
      <c r="U722" s="12"/>
      <c r="V722" s="12"/>
    </row>
    <row r="723" spans="1:22">
      <c r="A723" s="12"/>
      <c r="B723" s="93"/>
      <c r="C723" s="12"/>
      <c r="D723" s="94"/>
      <c r="E723" s="94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95"/>
      <c r="R723" s="87"/>
      <c r="S723" s="96"/>
      <c r="T723" s="12"/>
      <c r="U723" s="12"/>
      <c r="V723" s="12"/>
    </row>
    <row r="724" spans="1:22">
      <c r="A724" s="12"/>
      <c r="B724" s="93"/>
      <c r="C724" s="12"/>
      <c r="D724" s="94"/>
      <c r="E724" s="94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95"/>
      <c r="R724" s="87"/>
      <c r="S724" s="96"/>
      <c r="T724" s="12"/>
      <c r="U724" s="12"/>
      <c r="V724" s="12"/>
    </row>
    <row r="725" spans="1:22">
      <c r="A725" s="12"/>
      <c r="B725" s="93"/>
      <c r="C725" s="12"/>
      <c r="D725" s="94"/>
      <c r="E725" s="94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95"/>
      <c r="R725" s="87"/>
      <c r="S725" s="96"/>
      <c r="T725" s="12"/>
      <c r="U725" s="12"/>
      <c r="V725" s="12"/>
    </row>
    <row r="726" spans="1:22">
      <c r="A726" s="12"/>
      <c r="B726" s="93"/>
      <c r="C726" s="12"/>
      <c r="D726" s="94"/>
      <c r="E726" s="94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95"/>
      <c r="R726" s="87"/>
      <c r="S726" s="96"/>
      <c r="T726" s="12"/>
      <c r="U726" s="12"/>
      <c r="V726" s="12"/>
    </row>
    <row r="727" spans="1:22">
      <c r="A727" s="12"/>
      <c r="B727" s="93"/>
      <c r="C727" s="12"/>
      <c r="D727" s="94"/>
      <c r="E727" s="94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95"/>
      <c r="R727" s="87"/>
      <c r="S727" s="96"/>
      <c r="T727" s="12"/>
      <c r="U727" s="12"/>
      <c r="V727" s="12"/>
    </row>
    <row r="728" spans="1:22">
      <c r="A728" s="12"/>
      <c r="B728" s="93"/>
      <c r="C728" s="12"/>
      <c r="D728" s="94"/>
      <c r="E728" s="94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95"/>
      <c r="R728" s="87"/>
      <c r="S728" s="96"/>
      <c r="T728" s="12"/>
      <c r="U728" s="12"/>
      <c r="V728" s="12"/>
    </row>
    <row r="729" spans="1:22">
      <c r="A729" s="12"/>
      <c r="B729" s="93"/>
      <c r="C729" s="12"/>
      <c r="D729" s="94"/>
      <c r="E729" s="94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95"/>
      <c r="R729" s="87"/>
      <c r="S729" s="96"/>
      <c r="T729" s="12"/>
      <c r="U729" s="12"/>
      <c r="V729" s="12"/>
    </row>
    <row r="730" spans="1:22">
      <c r="A730" s="12"/>
      <c r="B730" s="93"/>
      <c r="C730" s="12"/>
      <c r="D730" s="94"/>
      <c r="E730" s="94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95"/>
      <c r="R730" s="87"/>
      <c r="S730" s="96"/>
      <c r="T730" s="12"/>
      <c r="U730" s="12"/>
      <c r="V730" s="12"/>
    </row>
    <row r="731" spans="1:22">
      <c r="A731" s="12"/>
      <c r="B731" s="93"/>
      <c r="C731" s="12"/>
      <c r="D731" s="94"/>
      <c r="E731" s="94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95"/>
      <c r="R731" s="87"/>
      <c r="S731" s="96"/>
      <c r="T731" s="12"/>
      <c r="U731" s="12"/>
      <c r="V731" s="12"/>
    </row>
    <row r="732" spans="1:22">
      <c r="A732" s="12"/>
      <c r="B732" s="93"/>
      <c r="C732" s="12"/>
      <c r="D732" s="94"/>
      <c r="E732" s="94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95"/>
      <c r="R732" s="87"/>
      <c r="S732" s="96"/>
      <c r="T732" s="12"/>
      <c r="U732" s="12"/>
      <c r="V732" s="12"/>
    </row>
    <row r="733" spans="1:22">
      <c r="A733" s="12"/>
      <c r="B733" s="93"/>
      <c r="C733" s="12"/>
      <c r="D733" s="94"/>
      <c r="E733" s="94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95"/>
      <c r="R733" s="87"/>
      <c r="S733" s="96"/>
      <c r="T733" s="12"/>
      <c r="U733" s="12"/>
      <c r="V733" s="12"/>
    </row>
    <row r="734" spans="1:22">
      <c r="A734" s="12"/>
      <c r="B734" s="93"/>
      <c r="C734" s="12"/>
      <c r="D734" s="94"/>
      <c r="E734" s="94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95"/>
      <c r="R734" s="87"/>
      <c r="S734" s="96"/>
      <c r="T734" s="12"/>
      <c r="U734" s="12"/>
      <c r="V734" s="12"/>
    </row>
    <row r="735" spans="1:22">
      <c r="A735" s="12"/>
      <c r="B735" s="93"/>
      <c r="C735" s="12"/>
      <c r="D735" s="94"/>
      <c r="E735" s="94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95"/>
      <c r="R735" s="87"/>
      <c r="S735" s="96"/>
      <c r="T735" s="12"/>
      <c r="U735" s="12"/>
      <c r="V735" s="12"/>
    </row>
    <row r="736" spans="1:22">
      <c r="A736" s="12"/>
      <c r="B736" s="93"/>
      <c r="C736" s="12"/>
      <c r="D736" s="94"/>
      <c r="E736" s="94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95"/>
      <c r="R736" s="87"/>
      <c r="S736" s="96"/>
      <c r="T736" s="12"/>
      <c r="U736" s="12"/>
      <c r="V736" s="12"/>
    </row>
    <row r="737" spans="1:22">
      <c r="A737" s="12"/>
      <c r="B737" s="93"/>
      <c r="C737" s="12"/>
      <c r="D737" s="94"/>
      <c r="E737" s="94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95"/>
      <c r="R737" s="87"/>
      <c r="S737" s="96"/>
      <c r="T737" s="12"/>
      <c r="U737" s="12"/>
      <c r="V737" s="12"/>
    </row>
    <row r="738" spans="1:22">
      <c r="A738" s="12"/>
      <c r="B738" s="93"/>
      <c r="C738" s="12"/>
      <c r="D738" s="94"/>
      <c r="E738" s="94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95"/>
      <c r="R738" s="87"/>
      <c r="S738" s="96"/>
      <c r="T738" s="12"/>
      <c r="U738" s="12"/>
      <c r="V738" s="12"/>
    </row>
    <row r="739" spans="1:22">
      <c r="A739" s="12"/>
      <c r="B739" s="93"/>
      <c r="C739" s="12"/>
      <c r="D739" s="94"/>
      <c r="E739" s="94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95"/>
      <c r="R739" s="87"/>
      <c r="S739" s="96"/>
      <c r="T739" s="12"/>
      <c r="U739" s="12"/>
      <c r="V739" s="12"/>
    </row>
    <row r="740" spans="1:22">
      <c r="A740" s="12"/>
      <c r="B740" s="93"/>
      <c r="C740" s="12"/>
      <c r="D740" s="94"/>
      <c r="E740" s="94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95"/>
      <c r="R740" s="87"/>
      <c r="S740" s="96"/>
      <c r="T740" s="12"/>
      <c r="U740" s="12"/>
      <c r="V740" s="12"/>
    </row>
    <row r="741" spans="1:22">
      <c r="A741" s="12"/>
      <c r="B741" s="93"/>
      <c r="C741" s="12"/>
      <c r="D741" s="94"/>
      <c r="E741" s="94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95"/>
      <c r="R741" s="87"/>
      <c r="S741" s="96"/>
      <c r="T741" s="12"/>
      <c r="U741" s="12"/>
      <c r="V741" s="12"/>
    </row>
    <row r="742" spans="1:22">
      <c r="A742" s="12"/>
      <c r="B742" s="93"/>
      <c r="C742" s="12"/>
      <c r="D742" s="94"/>
      <c r="E742" s="94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95"/>
      <c r="R742" s="87"/>
      <c r="S742" s="96"/>
      <c r="T742" s="12"/>
      <c r="U742" s="12"/>
      <c r="V742" s="12"/>
    </row>
    <row r="743" spans="1:22">
      <c r="A743" s="12"/>
      <c r="B743" s="93"/>
      <c r="C743" s="12"/>
      <c r="D743" s="94"/>
      <c r="E743" s="94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95"/>
      <c r="R743" s="87"/>
      <c r="S743" s="96"/>
      <c r="T743" s="12"/>
      <c r="U743" s="12"/>
      <c r="V743" s="12"/>
    </row>
    <row r="744" spans="1:22">
      <c r="A744" s="12"/>
      <c r="B744" s="93"/>
      <c r="C744" s="12"/>
      <c r="D744" s="94"/>
      <c r="E744" s="94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95"/>
      <c r="R744" s="87"/>
      <c r="S744" s="96"/>
      <c r="T744" s="12"/>
      <c r="U744" s="12"/>
      <c r="V744" s="12"/>
    </row>
    <row r="745" spans="1:22">
      <c r="A745" s="12"/>
      <c r="B745" s="93"/>
      <c r="C745" s="12"/>
      <c r="D745" s="94"/>
      <c r="E745" s="94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95"/>
      <c r="R745" s="87"/>
      <c r="S745" s="96"/>
      <c r="T745" s="12"/>
      <c r="U745" s="12"/>
      <c r="V745" s="12"/>
    </row>
    <row r="746" spans="1:22">
      <c r="A746" s="12"/>
      <c r="B746" s="93"/>
      <c r="C746" s="12"/>
      <c r="D746" s="94"/>
      <c r="E746" s="94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95"/>
      <c r="R746" s="87"/>
      <c r="S746" s="96"/>
      <c r="T746" s="12"/>
      <c r="U746" s="12"/>
      <c r="V746" s="12"/>
    </row>
    <row r="747" spans="1:22">
      <c r="A747" s="12"/>
      <c r="B747" s="93"/>
      <c r="C747" s="12"/>
      <c r="D747" s="94"/>
      <c r="E747" s="94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95"/>
      <c r="R747" s="87"/>
      <c r="S747" s="96"/>
      <c r="T747" s="12"/>
      <c r="U747" s="12"/>
      <c r="V747" s="12"/>
    </row>
    <row r="748" spans="1:22">
      <c r="A748" s="12"/>
      <c r="B748" s="93"/>
      <c r="C748" s="12"/>
      <c r="D748" s="94"/>
      <c r="E748" s="94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95"/>
      <c r="R748" s="87"/>
      <c r="S748" s="96"/>
      <c r="T748" s="12"/>
      <c r="U748" s="12"/>
      <c r="V748" s="12"/>
    </row>
    <row r="749" spans="1:22">
      <c r="A749" s="12"/>
      <c r="B749" s="93"/>
      <c r="C749" s="12"/>
      <c r="D749" s="94"/>
      <c r="E749" s="94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95"/>
      <c r="R749" s="87"/>
      <c r="S749" s="96"/>
      <c r="T749" s="12"/>
      <c r="U749" s="12"/>
      <c r="V749" s="12"/>
    </row>
    <row r="750" spans="1:22">
      <c r="A750" s="12"/>
      <c r="B750" s="93"/>
      <c r="C750" s="12"/>
      <c r="D750" s="94"/>
      <c r="E750" s="94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95"/>
      <c r="R750" s="87"/>
      <c r="S750" s="96"/>
      <c r="T750" s="12"/>
      <c r="U750" s="12"/>
      <c r="V750" s="12"/>
    </row>
    <row r="751" spans="1:22">
      <c r="A751" s="12"/>
      <c r="B751" s="93"/>
      <c r="C751" s="12"/>
      <c r="D751" s="94"/>
      <c r="E751" s="94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95"/>
      <c r="R751" s="87"/>
      <c r="S751" s="96"/>
      <c r="T751" s="12"/>
      <c r="U751" s="12"/>
      <c r="V751" s="12"/>
    </row>
    <row r="752" spans="1:22">
      <c r="A752" s="12"/>
      <c r="B752" s="93"/>
      <c r="C752" s="12"/>
      <c r="D752" s="94"/>
      <c r="E752" s="94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95"/>
      <c r="R752" s="87"/>
      <c r="S752" s="96"/>
      <c r="T752" s="12"/>
      <c r="U752" s="12"/>
      <c r="V752" s="12"/>
    </row>
    <row r="753" spans="1:22">
      <c r="A753" s="12"/>
      <c r="B753" s="93"/>
      <c r="C753" s="12"/>
      <c r="D753" s="94"/>
      <c r="E753" s="94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95"/>
      <c r="R753" s="87"/>
      <c r="S753" s="96"/>
      <c r="T753" s="12"/>
      <c r="U753" s="12"/>
      <c r="V753" s="12"/>
    </row>
    <row r="754" spans="1:22">
      <c r="A754" s="12"/>
      <c r="B754" s="93"/>
      <c r="C754" s="12"/>
      <c r="D754" s="94"/>
      <c r="E754" s="94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95"/>
      <c r="R754" s="87"/>
      <c r="S754" s="96"/>
      <c r="T754" s="12"/>
      <c r="U754" s="12"/>
      <c r="V754" s="12"/>
    </row>
    <row r="755" spans="1:22">
      <c r="A755" s="12"/>
      <c r="B755" s="93"/>
      <c r="C755" s="12"/>
      <c r="D755" s="94"/>
      <c r="E755" s="94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95"/>
      <c r="R755" s="87"/>
      <c r="S755" s="96"/>
      <c r="T755" s="12"/>
      <c r="U755" s="12"/>
      <c r="V755" s="12"/>
    </row>
    <row r="756" spans="1:22">
      <c r="A756" s="12"/>
      <c r="B756" s="93"/>
      <c r="C756" s="12"/>
      <c r="D756" s="94"/>
      <c r="E756" s="94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95"/>
      <c r="R756" s="87"/>
      <c r="S756" s="96"/>
      <c r="T756" s="12"/>
      <c r="U756" s="12"/>
      <c r="V756" s="12"/>
    </row>
    <row r="757" spans="1:22">
      <c r="A757" s="12"/>
      <c r="B757" s="93"/>
      <c r="C757" s="12"/>
      <c r="D757" s="94"/>
      <c r="E757" s="94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95"/>
      <c r="R757" s="87"/>
      <c r="S757" s="96"/>
      <c r="T757" s="12"/>
      <c r="U757" s="12"/>
      <c r="V757" s="12"/>
    </row>
    <row r="758" spans="1:22">
      <c r="A758" s="12"/>
      <c r="B758" s="93"/>
      <c r="C758" s="12"/>
      <c r="D758" s="94"/>
      <c r="E758" s="94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95"/>
      <c r="R758" s="87"/>
      <c r="S758" s="96"/>
      <c r="T758" s="12"/>
      <c r="U758" s="12"/>
      <c r="V758" s="12"/>
    </row>
    <row r="759" spans="1:22">
      <c r="A759" s="12"/>
      <c r="B759" s="93"/>
      <c r="C759" s="12"/>
      <c r="D759" s="94"/>
      <c r="E759" s="94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95"/>
      <c r="R759" s="87"/>
      <c r="S759" s="96"/>
      <c r="T759" s="12"/>
      <c r="U759" s="12"/>
      <c r="V759" s="12"/>
    </row>
    <row r="760" spans="1:22">
      <c r="A760" s="12"/>
      <c r="B760" s="93"/>
      <c r="C760" s="12"/>
      <c r="D760" s="94"/>
      <c r="E760" s="94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95"/>
      <c r="R760" s="87"/>
      <c r="S760" s="96"/>
      <c r="T760" s="12"/>
      <c r="U760" s="12"/>
      <c r="V760" s="12"/>
    </row>
    <row r="761" spans="1:22">
      <c r="A761" s="12"/>
      <c r="B761" s="93"/>
      <c r="C761" s="12"/>
      <c r="D761" s="94"/>
      <c r="E761" s="94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95"/>
      <c r="R761" s="87"/>
      <c r="S761" s="96"/>
      <c r="T761" s="12"/>
      <c r="U761" s="12"/>
      <c r="V761" s="12"/>
    </row>
    <row r="762" spans="1:22">
      <c r="A762" s="12"/>
      <c r="B762" s="93"/>
      <c r="C762" s="12"/>
      <c r="D762" s="94"/>
      <c r="E762" s="94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95"/>
      <c r="R762" s="87"/>
      <c r="S762" s="96"/>
      <c r="T762" s="12"/>
      <c r="U762" s="12"/>
      <c r="V762" s="12"/>
    </row>
    <row r="763" spans="1:22">
      <c r="A763" s="12"/>
      <c r="B763" s="93"/>
      <c r="C763" s="12"/>
      <c r="D763" s="94"/>
      <c r="E763" s="94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95"/>
      <c r="R763" s="87"/>
      <c r="S763" s="96"/>
      <c r="T763" s="12"/>
      <c r="U763" s="12"/>
      <c r="V763" s="12"/>
    </row>
    <row r="764" spans="1:22">
      <c r="A764" s="12"/>
      <c r="B764" s="93"/>
      <c r="C764" s="12"/>
      <c r="D764" s="94"/>
      <c r="E764" s="94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95"/>
      <c r="R764" s="87"/>
      <c r="S764" s="96"/>
      <c r="T764" s="12"/>
      <c r="U764" s="12"/>
      <c r="V764" s="12"/>
    </row>
    <row r="765" spans="1:22">
      <c r="A765" s="12"/>
      <c r="B765" s="93"/>
      <c r="C765" s="12"/>
      <c r="D765" s="94"/>
      <c r="E765" s="94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95"/>
      <c r="R765" s="87"/>
      <c r="S765" s="96"/>
      <c r="T765" s="12"/>
      <c r="U765" s="12"/>
      <c r="V765" s="12"/>
    </row>
    <row r="766" spans="1:22">
      <c r="A766" s="12"/>
      <c r="B766" s="93"/>
      <c r="C766" s="12"/>
      <c r="D766" s="94"/>
      <c r="E766" s="94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95"/>
      <c r="R766" s="87"/>
      <c r="S766" s="96"/>
      <c r="T766" s="12"/>
      <c r="U766" s="12"/>
      <c r="V766" s="12"/>
    </row>
    <row r="767" spans="1:22">
      <c r="A767" s="12"/>
      <c r="B767" s="93"/>
      <c r="C767" s="12"/>
      <c r="D767" s="94"/>
      <c r="E767" s="94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95"/>
      <c r="R767" s="87"/>
      <c r="S767" s="96"/>
      <c r="T767" s="12"/>
      <c r="U767" s="12"/>
      <c r="V767" s="12"/>
    </row>
    <row r="768" spans="1:22">
      <c r="A768" s="12"/>
      <c r="B768" s="93"/>
      <c r="C768" s="12"/>
      <c r="D768" s="94"/>
      <c r="E768" s="94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95"/>
      <c r="R768" s="87"/>
      <c r="S768" s="96"/>
      <c r="T768" s="12"/>
      <c r="U768" s="12"/>
      <c r="V768" s="12"/>
    </row>
    <row r="769" spans="1:22">
      <c r="A769" s="12"/>
      <c r="B769" s="93"/>
      <c r="C769" s="12"/>
      <c r="D769" s="94"/>
      <c r="E769" s="94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95"/>
      <c r="R769" s="87"/>
      <c r="S769" s="96"/>
      <c r="T769" s="12"/>
      <c r="U769" s="12"/>
      <c r="V769" s="12"/>
    </row>
    <row r="770" spans="1:22">
      <c r="A770" s="12"/>
      <c r="B770" s="93"/>
      <c r="C770" s="12"/>
      <c r="D770" s="94"/>
      <c r="E770" s="94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95"/>
      <c r="R770" s="87"/>
      <c r="S770" s="96"/>
      <c r="T770" s="12"/>
      <c r="U770" s="12"/>
      <c r="V770" s="12"/>
    </row>
    <row r="771" spans="1:22">
      <c r="A771" s="12"/>
      <c r="B771" s="93"/>
      <c r="C771" s="12"/>
      <c r="D771" s="94"/>
      <c r="E771" s="94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95"/>
      <c r="R771" s="87"/>
      <c r="S771" s="96"/>
      <c r="T771" s="12"/>
      <c r="U771" s="12"/>
      <c r="V771" s="12"/>
    </row>
    <row r="772" spans="1:22">
      <c r="A772" s="12"/>
      <c r="B772" s="93"/>
      <c r="C772" s="12"/>
      <c r="D772" s="94"/>
      <c r="E772" s="94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95"/>
      <c r="R772" s="87"/>
      <c r="S772" s="96"/>
      <c r="T772" s="12"/>
      <c r="U772" s="12"/>
      <c r="V772" s="12"/>
    </row>
    <row r="773" spans="1:22">
      <c r="A773" s="12"/>
      <c r="B773" s="93"/>
      <c r="C773" s="12"/>
      <c r="D773" s="94"/>
      <c r="E773" s="94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95"/>
      <c r="R773" s="87"/>
      <c r="S773" s="96"/>
      <c r="T773" s="12"/>
      <c r="U773" s="12"/>
      <c r="V773" s="12"/>
    </row>
    <row r="774" spans="1:22">
      <c r="A774" s="12"/>
      <c r="B774" s="93"/>
      <c r="C774" s="12"/>
      <c r="D774" s="94"/>
      <c r="E774" s="94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95"/>
      <c r="R774" s="87"/>
      <c r="S774" s="96"/>
      <c r="T774" s="12"/>
      <c r="U774" s="12"/>
      <c r="V774" s="12"/>
    </row>
    <row r="775" spans="1:22">
      <c r="A775" s="12"/>
      <c r="B775" s="93"/>
      <c r="C775" s="12"/>
      <c r="D775" s="94"/>
      <c r="E775" s="94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95"/>
      <c r="R775" s="87"/>
      <c r="S775" s="96"/>
      <c r="T775" s="12"/>
      <c r="U775" s="12"/>
      <c r="V775" s="12"/>
    </row>
    <row r="776" spans="1:22">
      <c r="A776" s="12"/>
      <c r="B776" s="93"/>
      <c r="C776" s="12"/>
      <c r="D776" s="94"/>
      <c r="E776" s="94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95"/>
      <c r="R776" s="87"/>
      <c r="S776" s="96"/>
      <c r="T776" s="12"/>
      <c r="U776" s="12"/>
      <c r="V776" s="12"/>
    </row>
    <row r="777" spans="1:22">
      <c r="A777" s="12"/>
      <c r="B777" s="93"/>
      <c r="C777" s="12"/>
      <c r="D777" s="94"/>
      <c r="E777" s="94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95"/>
      <c r="R777" s="87"/>
      <c r="S777" s="96"/>
      <c r="T777" s="12"/>
      <c r="U777" s="12"/>
      <c r="V777" s="12"/>
    </row>
    <row r="778" spans="1:22">
      <c r="A778" s="12"/>
      <c r="B778" s="93"/>
      <c r="C778" s="12"/>
      <c r="D778" s="94"/>
      <c r="E778" s="94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95"/>
      <c r="R778" s="87"/>
      <c r="S778" s="96"/>
      <c r="T778" s="12"/>
      <c r="U778" s="12"/>
      <c r="V778" s="12"/>
    </row>
    <row r="779" spans="1:22">
      <c r="A779" s="12"/>
      <c r="B779" s="93"/>
      <c r="C779" s="12"/>
      <c r="D779" s="94"/>
      <c r="E779" s="94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95"/>
      <c r="R779" s="87"/>
      <c r="S779" s="96"/>
      <c r="T779" s="12"/>
      <c r="U779" s="12"/>
      <c r="V779" s="12"/>
    </row>
    <row r="780" spans="1:22">
      <c r="A780" s="12"/>
      <c r="B780" s="93"/>
      <c r="C780" s="12"/>
      <c r="D780" s="94"/>
      <c r="E780" s="94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95"/>
      <c r="R780" s="87"/>
      <c r="S780" s="96"/>
      <c r="T780" s="12"/>
      <c r="U780" s="12"/>
      <c r="V780" s="12"/>
    </row>
    <row r="781" spans="1:22">
      <c r="A781" s="12"/>
      <c r="B781" s="93"/>
      <c r="C781" s="12"/>
      <c r="D781" s="94"/>
      <c r="E781" s="94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95"/>
      <c r="R781" s="87"/>
      <c r="S781" s="96"/>
      <c r="T781" s="12"/>
      <c r="U781" s="12"/>
      <c r="V781" s="12"/>
    </row>
    <row r="782" spans="1:22">
      <c r="A782" s="12"/>
      <c r="B782" s="93"/>
      <c r="C782" s="12"/>
      <c r="D782" s="94"/>
      <c r="E782" s="94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95"/>
      <c r="R782" s="87"/>
      <c r="S782" s="96"/>
      <c r="T782" s="12"/>
      <c r="U782" s="12"/>
      <c r="V782" s="12"/>
    </row>
    <row r="783" spans="1:22">
      <c r="A783" s="12"/>
      <c r="B783" s="93"/>
      <c r="C783" s="12"/>
      <c r="D783" s="94"/>
      <c r="E783" s="94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95"/>
      <c r="R783" s="87"/>
      <c r="S783" s="96"/>
      <c r="T783" s="12"/>
      <c r="U783" s="12"/>
      <c r="V783" s="12"/>
    </row>
    <row r="784" spans="1:22">
      <c r="A784" s="12"/>
      <c r="B784" s="93"/>
      <c r="C784" s="12"/>
      <c r="D784" s="94"/>
      <c r="E784" s="94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95"/>
      <c r="R784" s="87"/>
      <c r="S784" s="96"/>
      <c r="T784" s="12"/>
      <c r="U784" s="12"/>
      <c r="V784" s="12"/>
    </row>
    <row r="785" spans="1:22">
      <c r="A785" s="12"/>
      <c r="B785" s="93"/>
      <c r="C785" s="12"/>
      <c r="D785" s="94"/>
      <c r="E785" s="94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95"/>
      <c r="R785" s="87"/>
      <c r="S785" s="96"/>
      <c r="T785" s="12"/>
      <c r="U785" s="12"/>
      <c r="V785" s="12"/>
    </row>
    <row r="786" spans="1:22">
      <c r="A786" s="12"/>
      <c r="B786" s="93"/>
      <c r="C786" s="12"/>
      <c r="D786" s="94"/>
      <c r="E786" s="94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95"/>
      <c r="R786" s="87"/>
      <c r="S786" s="96"/>
      <c r="T786" s="12"/>
      <c r="U786" s="12"/>
      <c r="V786" s="12"/>
    </row>
    <row r="787" spans="1:22">
      <c r="A787" s="12"/>
      <c r="B787" s="93"/>
      <c r="C787" s="12"/>
      <c r="D787" s="94"/>
      <c r="E787" s="94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95"/>
      <c r="R787" s="87"/>
      <c r="S787" s="96"/>
      <c r="T787" s="12"/>
      <c r="U787" s="12"/>
      <c r="V787" s="12"/>
    </row>
    <row r="788" spans="1:22">
      <c r="A788" s="12"/>
      <c r="B788" s="93"/>
      <c r="C788" s="12"/>
      <c r="D788" s="94"/>
      <c r="E788" s="94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95"/>
      <c r="R788" s="87"/>
      <c r="S788" s="96"/>
      <c r="T788" s="12"/>
      <c r="U788" s="12"/>
      <c r="V788" s="12"/>
    </row>
    <row r="789" spans="1:22">
      <c r="A789" s="12"/>
      <c r="B789" s="93"/>
      <c r="C789" s="12"/>
      <c r="D789" s="94"/>
      <c r="E789" s="94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95"/>
      <c r="R789" s="87"/>
      <c r="S789" s="96"/>
      <c r="T789" s="12"/>
      <c r="U789" s="12"/>
      <c r="V789" s="12"/>
    </row>
    <row r="790" spans="1:22">
      <c r="A790" s="12"/>
      <c r="B790" s="93"/>
      <c r="C790" s="12"/>
      <c r="D790" s="94"/>
      <c r="E790" s="94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95"/>
      <c r="R790" s="87"/>
      <c r="S790" s="96"/>
      <c r="T790" s="12"/>
      <c r="U790" s="12"/>
      <c r="V790" s="12"/>
    </row>
    <row r="791" spans="1:22">
      <c r="A791" s="12"/>
      <c r="B791" s="93"/>
      <c r="C791" s="12"/>
      <c r="D791" s="94"/>
      <c r="E791" s="94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95"/>
      <c r="R791" s="87"/>
      <c r="S791" s="96"/>
      <c r="T791" s="12"/>
      <c r="U791" s="12"/>
      <c r="V791" s="12"/>
    </row>
    <row r="792" spans="1:22">
      <c r="A792" s="12"/>
      <c r="B792" s="93"/>
      <c r="C792" s="12"/>
      <c r="D792" s="94"/>
      <c r="E792" s="94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95"/>
      <c r="R792" s="87"/>
      <c r="S792" s="96"/>
      <c r="T792" s="12"/>
      <c r="U792" s="12"/>
      <c r="V792" s="12"/>
    </row>
    <row r="793" spans="1:22">
      <c r="A793" s="12"/>
      <c r="B793" s="93"/>
      <c r="C793" s="12"/>
      <c r="D793" s="94"/>
      <c r="E793" s="94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95"/>
      <c r="R793" s="87"/>
      <c r="S793" s="96"/>
      <c r="T793" s="12"/>
      <c r="U793" s="12"/>
      <c r="V793" s="12"/>
    </row>
    <row r="794" spans="1:22">
      <c r="A794" s="12"/>
      <c r="B794" s="93"/>
      <c r="C794" s="12"/>
      <c r="D794" s="94"/>
      <c r="E794" s="94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95"/>
      <c r="R794" s="87"/>
      <c r="S794" s="96"/>
      <c r="T794" s="12"/>
      <c r="U794" s="12"/>
      <c r="V794" s="12"/>
    </row>
    <row r="795" spans="1:22">
      <c r="A795" s="12"/>
      <c r="B795" s="93"/>
      <c r="C795" s="12"/>
      <c r="D795" s="94"/>
      <c r="E795" s="94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95"/>
      <c r="R795" s="87"/>
      <c r="S795" s="96"/>
      <c r="T795" s="12"/>
      <c r="U795" s="12"/>
      <c r="V795" s="12"/>
    </row>
    <row r="796" spans="1:22">
      <c r="A796" s="12"/>
      <c r="B796" s="93"/>
      <c r="C796" s="12"/>
      <c r="D796" s="94"/>
      <c r="E796" s="94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95"/>
      <c r="R796" s="87"/>
      <c r="S796" s="96"/>
      <c r="T796" s="12"/>
      <c r="U796" s="12"/>
      <c r="V796" s="12"/>
    </row>
    <row r="797" spans="1:22">
      <c r="A797" s="12"/>
      <c r="B797" s="93"/>
      <c r="C797" s="12"/>
      <c r="D797" s="94"/>
      <c r="E797" s="94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95"/>
      <c r="R797" s="87"/>
      <c r="S797" s="96"/>
      <c r="T797" s="12"/>
      <c r="U797" s="12"/>
      <c r="V797" s="12"/>
    </row>
    <row r="798" spans="1:22">
      <c r="A798" s="12"/>
      <c r="B798" s="93"/>
      <c r="C798" s="12"/>
      <c r="D798" s="94"/>
      <c r="E798" s="94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95"/>
      <c r="R798" s="87"/>
      <c r="S798" s="96"/>
      <c r="T798" s="12"/>
      <c r="U798" s="12"/>
      <c r="V798" s="12"/>
    </row>
    <row r="799" spans="1:22">
      <c r="A799" s="12"/>
      <c r="B799" s="93"/>
      <c r="C799" s="12"/>
      <c r="D799" s="94"/>
      <c r="E799" s="94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95"/>
      <c r="R799" s="87"/>
      <c r="S799" s="96"/>
      <c r="T799" s="12"/>
      <c r="U799" s="12"/>
      <c r="V799" s="12"/>
    </row>
    <row r="800" spans="1:22">
      <c r="A800" s="12"/>
      <c r="B800" s="93"/>
      <c r="C800" s="12"/>
      <c r="D800" s="94"/>
      <c r="E800" s="94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95"/>
      <c r="R800" s="87"/>
      <c r="S800" s="96"/>
      <c r="T800" s="12"/>
      <c r="U800" s="12"/>
      <c r="V800" s="12"/>
    </row>
    <row r="801" spans="1:22">
      <c r="A801" s="12"/>
      <c r="B801" s="93"/>
      <c r="C801" s="12"/>
      <c r="D801" s="94"/>
      <c r="E801" s="94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95"/>
      <c r="R801" s="87"/>
      <c r="S801" s="96"/>
      <c r="T801" s="12"/>
      <c r="U801" s="12"/>
      <c r="V801" s="12"/>
    </row>
    <row r="802" spans="1:22">
      <c r="A802" s="12"/>
      <c r="B802" s="93"/>
      <c r="C802" s="12"/>
      <c r="D802" s="94"/>
      <c r="E802" s="94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95"/>
      <c r="R802" s="87"/>
      <c r="S802" s="96"/>
      <c r="T802" s="12"/>
      <c r="U802" s="12"/>
      <c r="V802" s="12"/>
    </row>
    <row r="803" spans="1:22">
      <c r="A803" s="12"/>
      <c r="B803" s="93"/>
      <c r="C803" s="12"/>
      <c r="D803" s="94"/>
      <c r="E803" s="94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95"/>
      <c r="R803" s="87"/>
      <c r="S803" s="96"/>
      <c r="T803" s="12"/>
      <c r="U803" s="12"/>
      <c r="V803" s="12"/>
    </row>
    <row r="804" spans="1:22">
      <c r="A804" s="12"/>
      <c r="B804" s="93"/>
      <c r="C804" s="12"/>
      <c r="D804" s="94"/>
      <c r="E804" s="94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95"/>
      <c r="R804" s="87"/>
      <c r="S804" s="96"/>
      <c r="T804" s="12"/>
      <c r="U804" s="12"/>
      <c r="V804" s="12"/>
    </row>
    <row r="805" spans="1:22">
      <c r="A805" s="12"/>
      <c r="B805" s="93"/>
      <c r="C805" s="12"/>
      <c r="D805" s="94"/>
      <c r="E805" s="94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95"/>
      <c r="R805" s="87"/>
      <c r="S805" s="96"/>
      <c r="T805" s="12"/>
      <c r="U805" s="12"/>
      <c r="V805" s="12"/>
    </row>
    <row r="806" spans="1:22">
      <c r="A806" s="12"/>
      <c r="B806" s="93"/>
      <c r="C806" s="12"/>
      <c r="D806" s="94"/>
      <c r="E806" s="94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95"/>
      <c r="R806" s="87"/>
      <c r="S806" s="96"/>
      <c r="T806" s="12"/>
      <c r="U806" s="12"/>
      <c r="V806" s="12"/>
    </row>
    <row r="807" spans="1:22">
      <c r="A807" s="12"/>
      <c r="B807" s="93"/>
      <c r="C807" s="12"/>
      <c r="D807" s="94"/>
      <c r="E807" s="94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95"/>
      <c r="R807" s="87"/>
      <c r="S807" s="96"/>
      <c r="T807" s="12"/>
      <c r="U807" s="12"/>
      <c r="V807" s="12"/>
    </row>
    <row r="808" spans="1:22">
      <c r="A808" s="12"/>
      <c r="B808" s="93"/>
      <c r="C808" s="12"/>
      <c r="D808" s="94"/>
      <c r="E808" s="94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95"/>
      <c r="R808" s="87"/>
      <c r="S808" s="96"/>
      <c r="T808" s="12"/>
      <c r="U808" s="12"/>
      <c r="V808" s="12"/>
    </row>
    <row r="809" spans="1:22">
      <c r="A809" s="12"/>
      <c r="B809" s="93"/>
      <c r="C809" s="12"/>
      <c r="D809" s="94"/>
      <c r="E809" s="94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95"/>
      <c r="R809" s="87"/>
      <c r="S809" s="96"/>
      <c r="T809" s="12"/>
      <c r="U809" s="12"/>
      <c r="V809" s="12"/>
    </row>
    <row r="810" spans="1:22">
      <c r="A810" s="12"/>
      <c r="B810" s="93"/>
      <c r="C810" s="12"/>
      <c r="D810" s="94"/>
      <c r="E810" s="94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95"/>
      <c r="R810" s="87"/>
      <c r="S810" s="96"/>
      <c r="T810" s="12"/>
      <c r="U810" s="12"/>
      <c r="V810" s="12"/>
    </row>
    <row r="811" spans="1:22">
      <c r="A811" s="12"/>
      <c r="B811" s="93"/>
      <c r="C811" s="12"/>
      <c r="D811" s="94"/>
      <c r="E811" s="94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95"/>
      <c r="R811" s="87"/>
      <c r="S811" s="96"/>
      <c r="T811" s="12"/>
      <c r="U811" s="12"/>
      <c r="V811" s="12"/>
    </row>
    <row r="812" spans="1:22">
      <c r="A812" s="12"/>
      <c r="B812" s="93"/>
      <c r="C812" s="12"/>
      <c r="D812" s="94"/>
      <c r="E812" s="94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95"/>
      <c r="R812" s="87"/>
      <c r="S812" s="96"/>
      <c r="T812" s="12"/>
      <c r="U812" s="12"/>
      <c r="V812" s="12"/>
    </row>
    <row r="813" spans="1:22">
      <c r="A813" s="12"/>
      <c r="B813" s="93"/>
      <c r="C813" s="12"/>
      <c r="D813" s="94"/>
      <c r="E813" s="94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95"/>
      <c r="R813" s="87"/>
      <c r="S813" s="96"/>
      <c r="T813" s="12"/>
      <c r="U813" s="12"/>
      <c r="V813" s="12"/>
    </row>
    <row r="814" spans="1:22">
      <c r="A814" s="12"/>
      <c r="B814" s="93"/>
      <c r="C814" s="12"/>
      <c r="D814" s="94"/>
      <c r="E814" s="94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95"/>
      <c r="R814" s="87"/>
      <c r="S814" s="96"/>
      <c r="T814" s="12"/>
      <c r="U814" s="12"/>
      <c r="V814" s="12"/>
    </row>
    <row r="815" spans="1:22">
      <c r="A815" s="12"/>
      <c r="B815" s="93"/>
      <c r="C815" s="12"/>
      <c r="D815" s="94"/>
      <c r="E815" s="94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95"/>
      <c r="R815" s="87"/>
      <c r="S815" s="96"/>
      <c r="T815" s="12"/>
      <c r="U815" s="12"/>
      <c r="V815" s="12"/>
    </row>
    <row r="816" spans="1:22">
      <c r="A816" s="12"/>
      <c r="B816" s="93"/>
      <c r="C816" s="12"/>
      <c r="D816" s="94"/>
      <c r="E816" s="94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95"/>
      <c r="R816" s="87"/>
      <c r="S816" s="96"/>
      <c r="T816" s="12"/>
      <c r="U816" s="12"/>
      <c r="V816" s="12"/>
    </row>
    <row r="817" spans="1:22">
      <c r="A817" s="12"/>
      <c r="B817" s="93"/>
      <c r="C817" s="12"/>
      <c r="D817" s="94"/>
      <c r="E817" s="94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95"/>
      <c r="R817" s="87"/>
      <c r="S817" s="96"/>
      <c r="T817" s="12"/>
      <c r="U817" s="12"/>
      <c r="V817" s="12"/>
    </row>
    <row r="818" spans="1:22">
      <c r="A818" s="12"/>
      <c r="B818" s="93"/>
      <c r="C818" s="12"/>
      <c r="D818" s="94"/>
      <c r="E818" s="94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95"/>
      <c r="R818" s="87"/>
      <c r="S818" s="96"/>
      <c r="T818" s="12"/>
      <c r="U818" s="12"/>
      <c r="V818" s="12"/>
    </row>
    <row r="819" spans="1:22">
      <c r="A819" s="12"/>
      <c r="B819" s="93"/>
      <c r="C819" s="12"/>
      <c r="D819" s="94"/>
      <c r="E819" s="94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95"/>
      <c r="R819" s="87"/>
      <c r="S819" s="96"/>
      <c r="T819" s="12"/>
      <c r="U819" s="12"/>
      <c r="V819" s="12"/>
    </row>
    <row r="820" spans="1:22">
      <c r="A820" s="12"/>
      <c r="B820" s="93"/>
      <c r="C820" s="12"/>
      <c r="D820" s="94"/>
      <c r="E820" s="94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95"/>
      <c r="R820" s="87"/>
      <c r="S820" s="96"/>
      <c r="T820" s="12"/>
      <c r="U820" s="12"/>
      <c r="V820" s="12"/>
    </row>
    <row r="821" spans="1:22">
      <c r="A821" s="12"/>
      <c r="B821" s="93"/>
      <c r="C821" s="12"/>
      <c r="D821" s="94"/>
      <c r="E821" s="94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95"/>
      <c r="R821" s="87"/>
      <c r="S821" s="96"/>
      <c r="T821" s="12"/>
      <c r="U821" s="12"/>
      <c r="V821" s="12"/>
    </row>
    <row r="822" spans="1:22">
      <c r="A822" s="12"/>
      <c r="B822" s="93"/>
      <c r="C822" s="12"/>
      <c r="D822" s="94"/>
      <c r="E822" s="94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95"/>
      <c r="R822" s="87"/>
      <c r="S822" s="96"/>
      <c r="T822" s="12"/>
      <c r="U822" s="12"/>
      <c r="V822" s="12"/>
    </row>
    <row r="823" spans="1:22">
      <c r="A823" s="12"/>
      <c r="B823" s="93"/>
      <c r="C823" s="12"/>
      <c r="D823" s="94"/>
      <c r="E823" s="94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95"/>
      <c r="R823" s="87"/>
      <c r="S823" s="96"/>
      <c r="T823" s="12"/>
      <c r="U823" s="12"/>
      <c r="V823" s="12"/>
    </row>
    <row r="824" spans="1:22">
      <c r="A824" s="12"/>
      <c r="B824" s="93"/>
      <c r="C824" s="12"/>
      <c r="D824" s="94"/>
      <c r="E824" s="94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95"/>
      <c r="R824" s="87"/>
      <c r="S824" s="96"/>
      <c r="T824" s="12"/>
      <c r="U824" s="12"/>
      <c r="V824" s="12"/>
    </row>
    <row r="825" spans="1:22">
      <c r="A825" s="12"/>
      <c r="B825" s="93"/>
      <c r="C825" s="12"/>
      <c r="D825" s="94"/>
      <c r="E825" s="94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95"/>
      <c r="R825" s="87"/>
      <c r="S825" s="96"/>
      <c r="T825" s="12"/>
      <c r="U825" s="12"/>
      <c r="V825" s="12"/>
    </row>
    <row r="826" spans="1:22">
      <c r="A826" s="12"/>
      <c r="B826" s="93"/>
      <c r="C826" s="12"/>
      <c r="D826" s="94"/>
      <c r="E826" s="94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95"/>
      <c r="R826" s="87"/>
      <c r="S826" s="96"/>
      <c r="T826" s="12"/>
      <c r="U826" s="12"/>
      <c r="V826" s="12"/>
    </row>
    <row r="827" spans="1:22">
      <c r="A827" s="12"/>
      <c r="B827" s="93"/>
      <c r="C827" s="12"/>
      <c r="D827" s="94"/>
      <c r="E827" s="94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95"/>
      <c r="R827" s="87"/>
      <c r="S827" s="96"/>
      <c r="T827" s="12"/>
      <c r="U827" s="12"/>
      <c r="V827" s="12"/>
    </row>
    <row r="828" spans="1:22">
      <c r="A828" s="12"/>
      <c r="B828" s="93"/>
      <c r="C828" s="12"/>
      <c r="D828" s="94"/>
      <c r="E828" s="94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95"/>
      <c r="R828" s="87"/>
      <c r="S828" s="96"/>
      <c r="T828" s="12"/>
      <c r="U828" s="12"/>
      <c r="V828" s="12"/>
    </row>
    <row r="829" spans="1:22">
      <c r="A829" s="12"/>
      <c r="B829" s="93"/>
      <c r="C829" s="12"/>
      <c r="D829" s="94"/>
      <c r="E829" s="94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95"/>
      <c r="R829" s="87"/>
      <c r="S829" s="96"/>
      <c r="T829" s="12"/>
      <c r="U829" s="12"/>
      <c r="V829" s="12"/>
    </row>
    <row r="830" spans="1:22">
      <c r="A830" s="12"/>
      <c r="B830" s="93"/>
      <c r="C830" s="12"/>
      <c r="D830" s="94"/>
      <c r="E830" s="94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95"/>
      <c r="R830" s="87"/>
      <c r="S830" s="96"/>
      <c r="T830" s="12"/>
      <c r="U830" s="12"/>
      <c r="V830" s="12"/>
    </row>
    <row r="831" spans="1:22">
      <c r="A831" s="12"/>
      <c r="B831" s="93"/>
      <c r="C831" s="12"/>
      <c r="D831" s="94"/>
      <c r="E831" s="94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95"/>
      <c r="R831" s="87"/>
      <c r="S831" s="96"/>
      <c r="T831" s="12"/>
      <c r="U831" s="12"/>
      <c r="V831" s="12"/>
    </row>
    <row r="832" spans="1:22">
      <c r="A832" s="12"/>
      <c r="B832" s="93"/>
      <c r="C832" s="12"/>
      <c r="D832" s="94"/>
      <c r="E832" s="94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95"/>
      <c r="R832" s="87"/>
      <c r="S832" s="96"/>
      <c r="T832" s="12"/>
      <c r="U832" s="12"/>
      <c r="V832" s="12"/>
    </row>
    <row r="833" spans="1:22">
      <c r="A833" s="12"/>
      <c r="B833" s="93"/>
      <c r="C833" s="12"/>
      <c r="D833" s="94"/>
      <c r="E833" s="94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95"/>
      <c r="R833" s="87"/>
      <c r="S833" s="96"/>
      <c r="T833" s="12"/>
      <c r="U833" s="12"/>
      <c r="V833" s="12"/>
    </row>
    <row r="834" spans="1:22">
      <c r="A834" s="12"/>
      <c r="B834" s="93"/>
      <c r="C834" s="12"/>
      <c r="D834" s="94"/>
      <c r="E834" s="94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95"/>
      <c r="R834" s="87"/>
      <c r="S834" s="96"/>
      <c r="T834" s="12"/>
      <c r="U834" s="12"/>
      <c r="V834" s="12"/>
    </row>
    <row r="835" spans="1:22">
      <c r="A835" s="12"/>
      <c r="B835" s="93"/>
      <c r="C835" s="12"/>
      <c r="D835" s="94"/>
      <c r="E835" s="94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95"/>
      <c r="R835" s="87"/>
      <c r="S835" s="96"/>
      <c r="T835" s="12"/>
      <c r="U835" s="12"/>
      <c r="V835" s="12"/>
    </row>
    <row r="836" spans="1:22">
      <c r="A836" s="12"/>
      <c r="B836" s="93"/>
      <c r="C836" s="12"/>
      <c r="D836" s="94"/>
      <c r="E836" s="94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95"/>
      <c r="R836" s="87"/>
      <c r="S836" s="96"/>
      <c r="T836" s="12"/>
      <c r="U836" s="12"/>
      <c r="V836" s="12"/>
    </row>
    <row r="837" spans="1:22">
      <c r="A837" s="12"/>
      <c r="B837" s="93"/>
      <c r="C837" s="12"/>
      <c r="D837" s="94"/>
      <c r="E837" s="94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95"/>
      <c r="R837" s="87"/>
      <c r="S837" s="96"/>
      <c r="T837" s="12"/>
      <c r="U837" s="12"/>
      <c r="V837" s="12"/>
    </row>
    <row r="838" spans="1:22">
      <c r="A838" s="12"/>
      <c r="B838" s="93"/>
      <c r="C838" s="12"/>
      <c r="D838" s="94"/>
      <c r="E838" s="94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95"/>
      <c r="R838" s="87"/>
      <c r="S838" s="96"/>
      <c r="T838" s="12"/>
      <c r="U838" s="12"/>
      <c r="V838" s="12"/>
    </row>
    <row r="839" spans="1:22">
      <c r="A839" s="12"/>
      <c r="B839" s="93"/>
      <c r="C839" s="12"/>
      <c r="D839" s="94"/>
      <c r="E839" s="94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95"/>
      <c r="R839" s="87"/>
      <c r="S839" s="96"/>
      <c r="T839" s="12"/>
      <c r="U839" s="12"/>
      <c r="V839" s="12"/>
    </row>
    <row r="840" spans="1:22">
      <c r="A840" s="12"/>
      <c r="B840" s="93"/>
      <c r="C840" s="12"/>
      <c r="D840" s="94"/>
      <c r="E840" s="94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95"/>
      <c r="R840" s="87"/>
      <c r="S840" s="96"/>
      <c r="T840" s="12"/>
      <c r="U840" s="12"/>
      <c r="V840" s="12"/>
    </row>
    <row r="841" spans="1:22">
      <c r="A841" s="12"/>
      <c r="B841" s="93"/>
      <c r="C841" s="12"/>
      <c r="D841" s="94"/>
      <c r="E841" s="94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95"/>
      <c r="R841" s="87"/>
      <c r="S841" s="96"/>
      <c r="T841" s="12"/>
      <c r="U841" s="12"/>
      <c r="V841" s="12"/>
    </row>
    <row r="842" spans="1:22">
      <c r="A842" s="12"/>
      <c r="B842" s="93"/>
      <c r="C842" s="12"/>
      <c r="D842" s="94"/>
      <c r="E842" s="94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95"/>
      <c r="R842" s="87"/>
      <c r="S842" s="96"/>
      <c r="T842" s="12"/>
      <c r="U842" s="12"/>
      <c r="V842" s="12"/>
    </row>
    <row r="843" spans="1:22">
      <c r="A843" s="12"/>
      <c r="B843" s="93"/>
      <c r="C843" s="12"/>
      <c r="D843" s="94"/>
      <c r="E843" s="94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95"/>
      <c r="R843" s="87"/>
      <c r="S843" s="96"/>
      <c r="T843" s="12"/>
      <c r="U843" s="12"/>
      <c r="V843" s="12"/>
    </row>
    <row r="844" spans="1:22">
      <c r="A844" s="12"/>
      <c r="B844" s="93"/>
      <c r="C844" s="12"/>
      <c r="D844" s="94"/>
      <c r="E844" s="94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95"/>
      <c r="R844" s="87"/>
      <c r="S844" s="96"/>
      <c r="T844" s="12"/>
      <c r="U844" s="12"/>
      <c r="V844" s="12"/>
    </row>
    <row r="845" spans="1:22">
      <c r="A845" s="12"/>
      <c r="B845" s="93"/>
      <c r="C845" s="12"/>
      <c r="D845" s="94"/>
      <c r="E845" s="94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95"/>
      <c r="R845" s="87"/>
      <c r="S845" s="96"/>
      <c r="T845" s="12"/>
      <c r="U845" s="12"/>
      <c r="V845" s="12"/>
    </row>
    <row r="846" spans="1:22">
      <c r="A846" s="12"/>
      <c r="B846" s="93"/>
      <c r="C846" s="12"/>
      <c r="D846" s="94"/>
      <c r="E846" s="94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95"/>
      <c r="R846" s="87"/>
      <c r="S846" s="96"/>
      <c r="T846" s="12"/>
      <c r="U846" s="12"/>
      <c r="V846" s="12"/>
    </row>
    <row r="847" spans="1:22">
      <c r="A847" s="12"/>
      <c r="B847" s="93"/>
      <c r="C847" s="12"/>
      <c r="D847" s="94"/>
      <c r="E847" s="94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95"/>
      <c r="R847" s="87"/>
      <c r="S847" s="96"/>
      <c r="T847" s="12"/>
      <c r="U847" s="12"/>
      <c r="V847" s="12"/>
    </row>
    <row r="848" spans="1:22">
      <c r="A848" s="12"/>
      <c r="B848" s="93"/>
      <c r="C848" s="12"/>
      <c r="D848" s="94"/>
      <c r="E848" s="94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95"/>
      <c r="R848" s="87"/>
      <c r="S848" s="96"/>
      <c r="T848" s="12"/>
      <c r="U848" s="12"/>
      <c r="V848" s="12"/>
    </row>
    <row r="849" spans="1:22">
      <c r="A849" s="12"/>
      <c r="B849" s="93"/>
      <c r="C849" s="12"/>
      <c r="D849" s="94"/>
      <c r="E849" s="94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95"/>
      <c r="R849" s="87"/>
      <c r="S849" s="96"/>
      <c r="T849" s="12"/>
      <c r="U849" s="12"/>
      <c r="V849" s="12"/>
    </row>
    <row r="850" spans="1:22">
      <c r="A850" s="12"/>
      <c r="B850" s="93"/>
      <c r="C850" s="12"/>
      <c r="D850" s="94"/>
      <c r="E850" s="94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95"/>
      <c r="R850" s="87"/>
      <c r="S850" s="96"/>
      <c r="T850" s="12"/>
      <c r="U850" s="12"/>
      <c r="V850" s="12"/>
    </row>
    <row r="851" spans="1:22">
      <c r="A851" s="12"/>
      <c r="B851" s="93"/>
      <c r="C851" s="12"/>
      <c r="D851" s="94"/>
      <c r="E851" s="94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95"/>
      <c r="R851" s="87"/>
      <c r="S851" s="96"/>
      <c r="T851" s="12"/>
      <c r="U851" s="12"/>
      <c r="V851" s="12"/>
    </row>
    <row r="852" spans="1:22">
      <c r="A852" s="12"/>
      <c r="B852" s="93"/>
      <c r="C852" s="12"/>
      <c r="D852" s="94"/>
      <c r="E852" s="94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95"/>
      <c r="R852" s="87"/>
      <c r="S852" s="96"/>
      <c r="T852" s="12"/>
      <c r="U852" s="12"/>
      <c r="V852" s="12"/>
    </row>
    <row r="853" spans="1:22">
      <c r="A853" s="12"/>
      <c r="B853" s="93"/>
      <c r="C853" s="12"/>
      <c r="D853" s="94"/>
      <c r="E853" s="94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95"/>
      <c r="R853" s="87"/>
      <c r="S853" s="96"/>
      <c r="T853" s="12"/>
      <c r="U853" s="12"/>
      <c r="V853" s="12"/>
    </row>
    <row r="854" spans="1:22">
      <c r="A854" s="12"/>
      <c r="B854" s="93"/>
      <c r="C854" s="12"/>
      <c r="D854" s="94"/>
      <c r="E854" s="94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95"/>
      <c r="R854" s="87"/>
      <c r="S854" s="96"/>
      <c r="T854" s="12"/>
      <c r="U854" s="12"/>
      <c r="V854" s="12"/>
    </row>
    <row r="855" spans="1:22">
      <c r="A855" s="12"/>
      <c r="B855" s="93"/>
      <c r="C855" s="12"/>
      <c r="D855" s="94"/>
      <c r="E855" s="94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95"/>
      <c r="R855" s="87"/>
      <c r="S855" s="96"/>
      <c r="T855" s="12"/>
      <c r="U855" s="12"/>
      <c r="V855" s="12"/>
    </row>
    <row r="856" spans="1:22">
      <c r="A856" s="12"/>
      <c r="B856" s="93"/>
      <c r="C856" s="12"/>
      <c r="D856" s="94"/>
      <c r="E856" s="94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95"/>
      <c r="R856" s="87"/>
      <c r="S856" s="96"/>
      <c r="T856" s="12"/>
      <c r="U856" s="12"/>
      <c r="V856" s="12"/>
    </row>
    <row r="857" spans="1:22">
      <c r="A857" s="12"/>
      <c r="B857" s="93"/>
      <c r="C857" s="12"/>
      <c r="D857" s="94"/>
      <c r="E857" s="94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95"/>
      <c r="R857" s="87"/>
      <c r="S857" s="96"/>
      <c r="T857" s="12"/>
      <c r="U857" s="12"/>
      <c r="V857" s="12"/>
    </row>
    <row r="858" spans="1:22">
      <c r="A858" s="12"/>
      <c r="B858" s="93"/>
      <c r="C858" s="12"/>
      <c r="D858" s="94"/>
      <c r="E858" s="94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95"/>
      <c r="R858" s="87"/>
      <c r="S858" s="96"/>
      <c r="T858" s="12"/>
      <c r="U858" s="12"/>
      <c r="V858" s="12"/>
    </row>
    <row r="859" spans="1:22">
      <c r="A859" s="12"/>
      <c r="B859" s="93"/>
      <c r="C859" s="12"/>
      <c r="D859" s="94"/>
      <c r="E859" s="94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95"/>
      <c r="R859" s="87"/>
      <c r="S859" s="96"/>
      <c r="T859" s="12"/>
      <c r="U859" s="12"/>
      <c r="V859" s="12"/>
    </row>
    <row r="860" spans="1:22">
      <c r="A860" s="12"/>
      <c r="B860" s="93"/>
      <c r="C860" s="12"/>
      <c r="D860" s="94"/>
      <c r="E860" s="94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95"/>
      <c r="R860" s="87"/>
      <c r="S860" s="96"/>
      <c r="T860" s="12"/>
      <c r="U860" s="12"/>
      <c r="V860" s="12"/>
    </row>
    <row r="861" spans="1:22">
      <c r="A861" s="12"/>
      <c r="B861" s="93"/>
      <c r="C861" s="12"/>
      <c r="D861" s="94"/>
      <c r="E861" s="94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95"/>
      <c r="R861" s="87"/>
      <c r="S861" s="96"/>
      <c r="T861" s="12"/>
      <c r="U861" s="12"/>
      <c r="V861" s="12"/>
    </row>
    <row r="862" spans="1:22">
      <c r="A862" s="12"/>
      <c r="B862" s="93"/>
      <c r="C862" s="12"/>
      <c r="D862" s="94"/>
      <c r="E862" s="94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95"/>
      <c r="R862" s="87"/>
      <c r="S862" s="96"/>
      <c r="T862" s="12"/>
      <c r="U862" s="12"/>
      <c r="V862" s="12"/>
    </row>
    <row r="863" spans="1:22">
      <c r="A863" s="12"/>
      <c r="B863" s="93"/>
      <c r="C863" s="12"/>
      <c r="D863" s="94"/>
      <c r="E863" s="94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95"/>
      <c r="R863" s="87"/>
      <c r="S863" s="96"/>
      <c r="T863" s="12"/>
      <c r="U863" s="12"/>
      <c r="V863" s="12"/>
    </row>
    <row r="864" spans="1:22">
      <c r="A864" s="12"/>
      <c r="B864" s="93"/>
      <c r="C864" s="12"/>
      <c r="D864" s="94"/>
      <c r="E864" s="94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95"/>
      <c r="R864" s="87"/>
      <c r="S864" s="96"/>
      <c r="T864" s="12"/>
      <c r="U864" s="12"/>
      <c r="V864" s="12"/>
    </row>
    <row r="865" spans="1:22">
      <c r="A865" s="12"/>
      <c r="B865" s="93"/>
      <c r="C865" s="12"/>
      <c r="D865" s="94"/>
      <c r="E865" s="94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95"/>
      <c r="R865" s="87"/>
      <c r="S865" s="96"/>
      <c r="T865" s="12"/>
      <c r="U865" s="12"/>
      <c r="V865" s="12"/>
    </row>
    <row r="866" spans="1:22">
      <c r="A866" s="12"/>
      <c r="B866" s="93"/>
      <c r="C866" s="12"/>
      <c r="D866" s="94"/>
      <c r="E866" s="94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95"/>
      <c r="R866" s="87"/>
      <c r="S866" s="96"/>
      <c r="T866" s="12"/>
      <c r="U866" s="12"/>
      <c r="V866" s="12"/>
    </row>
    <row r="867" spans="1:22">
      <c r="A867" s="12"/>
      <c r="B867" s="93"/>
      <c r="C867" s="12"/>
      <c r="D867" s="94"/>
      <c r="E867" s="94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95"/>
      <c r="R867" s="87"/>
      <c r="S867" s="96"/>
      <c r="T867" s="12"/>
      <c r="U867" s="12"/>
      <c r="V867" s="12"/>
    </row>
    <row r="868" spans="1:22">
      <c r="A868" s="12"/>
      <c r="B868" s="93"/>
      <c r="C868" s="12"/>
      <c r="D868" s="94"/>
      <c r="E868" s="94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95"/>
      <c r="R868" s="87"/>
      <c r="S868" s="96"/>
      <c r="T868" s="12"/>
      <c r="U868" s="12"/>
      <c r="V868" s="12"/>
    </row>
    <row r="869" spans="1:22">
      <c r="A869" s="12"/>
      <c r="B869" s="93"/>
      <c r="C869" s="12"/>
      <c r="D869" s="94"/>
      <c r="E869" s="94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95"/>
      <c r="R869" s="87"/>
      <c r="S869" s="96"/>
      <c r="T869" s="12"/>
      <c r="U869" s="12"/>
      <c r="V869" s="12"/>
    </row>
    <row r="870" spans="1:22">
      <c r="A870" s="12"/>
      <c r="B870" s="93"/>
      <c r="C870" s="12"/>
      <c r="D870" s="94"/>
      <c r="E870" s="94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95"/>
      <c r="R870" s="87"/>
      <c r="S870" s="96"/>
      <c r="T870" s="12"/>
      <c r="U870" s="12"/>
      <c r="V870" s="12"/>
    </row>
    <row r="871" spans="1:22">
      <c r="A871" s="12"/>
      <c r="B871" s="93"/>
      <c r="C871" s="12"/>
      <c r="D871" s="94"/>
      <c r="E871" s="94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95"/>
      <c r="R871" s="87"/>
      <c r="S871" s="96"/>
      <c r="T871" s="12"/>
      <c r="U871" s="12"/>
      <c r="V871" s="12"/>
    </row>
    <row r="872" spans="1:22">
      <c r="A872" s="12"/>
      <c r="B872" s="93"/>
      <c r="C872" s="12"/>
      <c r="D872" s="94"/>
      <c r="E872" s="94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95"/>
      <c r="R872" s="87"/>
      <c r="S872" s="96"/>
      <c r="T872" s="12"/>
      <c r="U872" s="12"/>
      <c r="V872" s="12"/>
    </row>
    <row r="873" spans="1:22">
      <c r="A873" s="12"/>
      <c r="B873" s="93"/>
      <c r="C873" s="12"/>
      <c r="D873" s="94"/>
      <c r="E873" s="94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95"/>
      <c r="R873" s="87"/>
      <c r="S873" s="96"/>
      <c r="T873" s="12"/>
      <c r="U873" s="12"/>
      <c r="V873" s="12"/>
    </row>
    <row r="874" spans="1:22">
      <c r="A874" s="12"/>
      <c r="B874" s="93"/>
      <c r="C874" s="12"/>
      <c r="D874" s="94"/>
      <c r="E874" s="94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95"/>
      <c r="R874" s="87"/>
      <c r="S874" s="96"/>
      <c r="T874" s="12"/>
      <c r="U874" s="12"/>
      <c r="V874" s="12"/>
    </row>
    <row r="875" spans="1:22">
      <c r="A875" s="12"/>
      <c r="B875" s="93"/>
      <c r="C875" s="12"/>
      <c r="D875" s="94"/>
      <c r="E875" s="94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95"/>
      <c r="R875" s="87"/>
      <c r="S875" s="96"/>
      <c r="T875" s="12"/>
      <c r="U875" s="12"/>
      <c r="V875" s="12"/>
    </row>
    <row r="876" spans="1:22">
      <c r="A876" s="12"/>
      <c r="B876" s="93"/>
      <c r="C876" s="12"/>
      <c r="D876" s="94"/>
      <c r="E876" s="94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95"/>
      <c r="R876" s="87"/>
      <c r="S876" s="96"/>
      <c r="T876" s="12"/>
      <c r="U876" s="12"/>
      <c r="V876" s="12"/>
    </row>
    <row r="877" spans="1:22">
      <c r="A877" s="12"/>
      <c r="B877" s="93"/>
      <c r="C877" s="12"/>
      <c r="D877" s="94"/>
      <c r="E877" s="94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95"/>
      <c r="R877" s="87"/>
      <c r="S877" s="96"/>
      <c r="T877" s="12"/>
      <c r="U877" s="12"/>
      <c r="V877" s="12"/>
    </row>
    <row r="878" spans="1:22">
      <c r="A878" s="12"/>
      <c r="B878" s="93"/>
      <c r="C878" s="12"/>
      <c r="D878" s="94"/>
      <c r="E878" s="94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95"/>
      <c r="R878" s="87"/>
      <c r="S878" s="96"/>
      <c r="T878" s="12"/>
      <c r="U878" s="12"/>
      <c r="V878" s="12"/>
    </row>
    <row r="879" spans="1:22">
      <c r="A879" s="12"/>
      <c r="B879" s="93"/>
      <c r="C879" s="12"/>
      <c r="D879" s="94"/>
      <c r="E879" s="94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95"/>
      <c r="R879" s="87"/>
      <c r="S879" s="96"/>
      <c r="T879" s="12"/>
      <c r="U879" s="12"/>
      <c r="V879" s="12"/>
    </row>
    <row r="880" spans="1:22">
      <c r="A880" s="12"/>
      <c r="B880" s="93"/>
      <c r="C880" s="12"/>
      <c r="D880" s="94"/>
      <c r="E880" s="94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95"/>
      <c r="R880" s="87"/>
      <c r="S880" s="96"/>
      <c r="T880" s="12"/>
      <c r="U880" s="12"/>
      <c r="V880" s="12"/>
    </row>
    <row r="881" spans="1:22">
      <c r="A881" s="12"/>
      <c r="B881" s="93"/>
      <c r="C881" s="12"/>
      <c r="D881" s="94"/>
      <c r="E881" s="94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95"/>
      <c r="R881" s="87"/>
      <c r="S881" s="96"/>
      <c r="T881" s="12"/>
      <c r="U881" s="12"/>
      <c r="V881" s="12"/>
    </row>
    <row r="882" spans="1:22">
      <c r="A882" s="12"/>
      <c r="B882" s="93"/>
      <c r="C882" s="12"/>
      <c r="D882" s="94"/>
      <c r="E882" s="94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95"/>
      <c r="R882" s="87"/>
      <c r="S882" s="96"/>
      <c r="T882" s="12"/>
      <c r="U882" s="12"/>
      <c r="V882" s="12"/>
    </row>
    <row r="883" spans="1:22">
      <c r="A883" s="12"/>
      <c r="B883" s="93"/>
      <c r="C883" s="12"/>
      <c r="D883" s="94"/>
      <c r="E883" s="94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95"/>
      <c r="R883" s="87"/>
      <c r="S883" s="96"/>
      <c r="T883" s="12"/>
      <c r="U883" s="12"/>
      <c r="V883" s="12"/>
    </row>
    <row r="884" spans="1:22">
      <c r="A884" s="12"/>
      <c r="B884" s="93"/>
      <c r="C884" s="12"/>
      <c r="D884" s="94"/>
      <c r="E884" s="94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95"/>
      <c r="R884" s="87"/>
      <c r="S884" s="96"/>
      <c r="T884" s="12"/>
      <c r="U884" s="12"/>
      <c r="V884" s="12"/>
    </row>
    <row r="885" spans="1:22">
      <c r="A885" s="12"/>
      <c r="B885" s="93"/>
      <c r="C885" s="12"/>
      <c r="D885" s="94"/>
      <c r="E885" s="94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95"/>
      <c r="R885" s="87"/>
      <c r="S885" s="96"/>
      <c r="T885" s="12"/>
      <c r="U885" s="12"/>
      <c r="V885" s="12"/>
    </row>
    <row r="886" spans="1:22">
      <c r="A886" s="12"/>
      <c r="B886" s="93"/>
      <c r="C886" s="12"/>
      <c r="D886" s="94"/>
      <c r="E886" s="94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95"/>
      <c r="R886" s="87"/>
      <c r="S886" s="96"/>
      <c r="T886" s="12"/>
      <c r="U886" s="12"/>
      <c r="V886" s="12"/>
    </row>
    <row r="887" spans="1:22">
      <c r="A887" s="12"/>
      <c r="B887" s="93"/>
      <c r="C887" s="12"/>
      <c r="D887" s="94"/>
      <c r="E887" s="94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95"/>
      <c r="R887" s="87"/>
      <c r="S887" s="96"/>
      <c r="T887" s="12"/>
      <c r="U887" s="12"/>
      <c r="V887" s="12"/>
    </row>
    <row r="888" spans="1:22">
      <c r="A888" s="12"/>
      <c r="B888" s="93"/>
      <c r="C888" s="12"/>
      <c r="D888" s="94"/>
      <c r="E888" s="94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95"/>
      <c r="R888" s="87"/>
      <c r="S888" s="96"/>
      <c r="T888" s="12"/>
      <c r="U888" s="12"/>
      <c r="V888" s="12"/>
    </row>
    <row r="889" spans="1:22">
      <c r="A889" s="12"/>
      <c r="B889" s="93"/>
      <c r="C889" s="12"/>
      <c r="D889" s="94"/>
      <c r="E889" s="94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95"/>
      <c r="R889" s="87"/>
      <c r="S889" s="96"/>
      <c r="T889" s="12"/>
      <c r="U889" s="12"/>
      <c r="V889" s="12"/>
    </row>
    <row r="890" spans="1:22">
      <c r="A890" s="12"/>
      <c r="B890" s="93"/>
      <c r="C890" s="12"/>
      <c r="D890" s="94"/>
      <c r="E890" s="94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95"/>
      <c r="R890" s="87"/>
      <c r="S890" s="96"/>
      <c r="T890" s="12"/>
      <c r="U890" s="12"/>
      <c r="V890" s="12"/>
    </row>
    <row r="891" spans="1:22">
      <c r="A891" s="12"/>
      <c r="B891" s="93"/>
      <c r="C891" s="12"/>
      <c r="D891" s="94"/>
      <c r="E891" s="94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95"/>
      <c r="R891" s="87"/>
      <c r="S891" s="96"/>
      <c r="T891" s="12"/>
      <c r="U891" s="12"/>
      <c r="V891" s="12"/>
    </row>
    <row r="892" spans="1:22">
      <c r="A892" s="12"/>
      <c r="B892" s="93"/>
      <c r="C892" s="12"/>
      <c r="D892" s="94"/>
      <c r="E892" s="94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95"/>
      <c r="R892" s="87"/>
      <c r="S892" s="96"/>
      <c r="T892" s="12"/>
      <c r="U892" s="12"/>
      <c r="V892" s="12"/>
    </row>
    <row r="893" spans="1:22">
      <c r="A893" s="12"/>
      <c r="B893" s="93"/>
      <c r="C893" s="12"/>
      <c r="D893" s="94"/>
      <c r="E893" s="94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95"/>
      <c r="R893" s="87"/>
      <c r="S893" s="96"/>
      <c r="T893" s="12"/>
      <c r="U893" s="12"/>
      <c r="V893" s="12"/>
    </row>
    <row r="894" spans="1:22">
      <c r="A894" s="12"/>
      <c r="B894" s="93"/>
      <c r="C894" s="12"/>
      <c r="D894" s="94"/>
      <c r="E894" s="94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95"/>
      <c r="R894" s="87"/>
      <c r="S894" s="96"/>
      <c r="T894" s="12"/>
      <c r="U894" s="12"/>
      <c r="V894" s="12"/>
    </row>
    <row r="895" spans="1:22">
      <c r="A895" s="12"/>
      <c r="B895" s="93"/>
      <c r="C895" s="12"/>
      <c r="D895" s="94"/>
      <c r="E895" s="94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95"/>
      <c r="R895" s="87"/>
      <c r="S895" s="96"/>
      <c r="T895" s="12"/>
      <c r="U895" s="12"/>
      <c r="V895" s="12"/>
    </row>
    <row r="896" spans="1:22">
      <c r="A896" s="12"/>
      <c r="B896" s="93"/>
      <c r="C896" s="12"/>
      <c r="D896" s="94"/>
      <c r="E896" s="94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95"/>
      <c r="R896" s="87"/>
      <c r="S896" s="96"/>
      <c r="T896" s="12"/>
      <c r="U896" s="12"/>
      <c r="V896" s="12"/>
    </row>
    <row r="897" spans="1:22">
      <c r="A897" s="12"/>
      <c r="B897" s="93"/>
      <c r="C897" s="12"/>
      <c r="D897" s="94"/>
      <c r="E897" s="94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95"/>
      <c r="R897" s="87"/>
      <c r="S897" s="96"/>
      <c r="T897" s="12"/>
      <c r="U897" s="12"/>
      <c r="V897" s="12"/>
    </row>
    <row r="898" spans="1:22">
      <c r="A898" s="12"/>
      <c r="B898" s="93"/>
      <c r="C898" s="12"/>
      <c r="D898" s="94"/>
      <c r="E898" s="94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95"/>
      <c r="R898" s="87"/>
      <c r="S898" s="96"/>
      <c r="T898" s="12"/>
      <c r="U898" s="12"/>
      <c r="V898" s="12"/>
    </row>
    <row r="899" spans="1:22">
      <c r="A899" s="12"/>
      <c r="B899" s="93"/>
      <c r="C899" s="12"/>
      <c r="D899" s="94"/>
      <c r="E899" s="94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95"/>
      <c r="R899" s="87"/>
      <c r="S899" s="96"/>
      <c r="T899" s="12"/>
      <c r="U899" s="12"/>
      <c r="V899" s="12"/>
    </row>
    <row r="900" spans="1:22">
      <c r="A900" s="12"/>
      <c r="B900" s="93"/>
      <c r="C900" s="12"/>
      <c r="D900" s="94"/>
      <c r="E900" s="94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95"/>
      <c r="R900" s="87"/>
      <c r="S900" s="96"/>
      <c r="T900" s="12"/>
      <c r="U900" s="12"/>
      <c r="V900" s="12"/>
    </row>
    <row r="901" spans="1:22">
      <c r="A901" s="12"/>
      <c r="B901" s="93"/>
      <c r="C901" s="12"/>
      <c r="D901" s="94"/>
      <c r="E901" s="94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95"/>
      <c r="R901" s="87"/>
      <c r="S901" s="96"/>
      <c r="T901" s="12"/>
      <c r="U901" s="12"/>
      <c r="V901" s="12"/>
    </row>
    <row r="902" spans="1:22">
      <c r="A902" s="12"/>
      <c r="B902" s="93"/>
      <c r="C902" s="12"/>
      <c r="D902" s="94"/>
      <c r="E902" s="94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95"/>
      <c r="R902" s="87"/>
      <c r="S902" s="96"/>
      <c r="T902" s="12"/>
      <c r="U902" s="12"/>
      <c r="V902" s="12"/>
    </row>
    <row r="903" spans="1:22">
      <c r="A903" s="12"/>
      <c r="B903" s="93"/>
      <c r="C903" s="12"/>
      <c r="D903" s="94"/>
      <c r="E903" s="94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95"/>
      <c r="R903" s="87"/>
      <c r="S903" s="96"/>
      <c r="T903" s="12"/>
      <c r="U903" s="12"/>
      <c r="V903" s="12"/>
    </row>
    <row r="904" spans="1:22">
      <c r="A904" s="12"/>
      <c r="B904" s="93"/>
      <c r="C904" s="12"/>
      <c r="D904" s="94"/>
      <c r="E904" s="94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95"/>
      <c r="R904" s="87"/>
      <c r="S904" s="96"/>
      <c r="T904" s="12"/>
      <c r="U904" s="12"/>
      <c r="V904" s="12"/>
    </row>
    <row r="905" spans="1:22">
      <c r="A905" s="12"/>
      <c r="B905" s="93"/>
      <c r="C905" s="12"/>
      <c r="D905" s="94"/>
      <c r="E905" s="94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95"/>
      <c r="R905" s="87"/>
      <c r="S905" s="96"/>
      <c r="T905" s="12"/>
      <c r="U905" s="12"/>
      <c r="V905" s="12"/>
    </row>
    <row r="906" spans="1:22">
      <c r="A906" s="12"/>
      <c r="B906" s="93"/>
      <c r="C906" s="12"/>
      <c r="D906" s="94"/>
      <c r="E906" s="94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95"/>
      <c r="R906" s="87"/>
      <c r="S906" s="96"/>
      <c r="T906" s="12"/>
      <c r="U906" s="12"/>
      <c r="V906" s="12"/>
    </row>
    <row r="907" spans="1:22">
      <c r="A907" s="12"/>
      <c r="B907" s="93"/>
      <c r="C907" s="12"/>
      <c r="D907" s="94"/>
      <c r="E907" s="94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95"/>
      <c r="R907" s="87"/>
      <c r="S907" s="96"/>
      <c r="T907" s="12"/>
      <c r="U907" s="12"/>
      <c r="V907" s="12"/>
    </row>
    <row r="908" spans="1:22">
      <c r="A908" s="12"/>
      <c r="B908" s="93"/>
      <c r="C908" s="12"/>
      <c r="D908" s="94"/>
      <c r="E908" s="94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95"/>
      <c r="R908" s="87"/>
      <c r="S908" s="96"/>
      <c r="T908" s="12"/>
      <c r="U908" s="12"/>
      <c r="V908" s="12"/>
    </row>
    <row r="909" spans="1:22">
      <c r="A909" s="12"/>
      <c r="B909" s="93"/>
      <c r="C909" s="12"/>
      <c r="D909" s="94"/>
      <c r="E909" s="94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95"/>
      <c r="R909" s="87"/>
      <c r="S909" s="96"/>
      <c r="T909" s="12"/>
      <c r="U909" s="12"/>
      <c r="V909" s="12"/>
    </row>
    <row r="910" spans="1:22">
      <c r="A910" s="12"/>
      <c r="B910" s="93"/>
      <c r="C910" s="12"/>
      <c r="D910" s="94"/>
      <c r="E910" s="94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95"/>
      <c r="R910" s="87"/>
      <c r="S910" s="96"/>
      <c r="T910" s="12"/>
      <c r="U910" s="12"/>
      <c r="V910" s="12"/>
    </row>
    <row r="911" spans="1:22">
      <c r="A911" s="12"/>
      <c r="B911" s="93"/>
      <c r="C911" s="12"/>
      <c r="D911" s="94"/>
      <c r="E911" s="94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95"/>
      <c r="R911" s="87"/>
      <c r="S911" s="96"/>
      <c r="T911" s="12"/>
      <c r="U911" s="12"/>
      <c r="V911" s="12"/>
    </row>
    <row r="912" spans="1:22">
      <c r="A912" s="12"/>
      <c r="B912" s="93"/>
      <c r="C912" s="12"/>
      <c r="D912" s="94"/>
      <c r="E912" s="94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95"/>
      <c r="R912" s="87"/>
      <c r="S912" s="96"/>
      <c r="T912" s="12"/>
      <c r="U912" s="12"/>
      <c r="V912" s="12"/>
    </row>
    <row r="913" spans="1:22">
      <c r="A913" s="12"/>
      <c r="B913" s="93"/>
      <c r="C913" s="12"/>
      <c r="D913" s="94"/>
      <c r="E913" s="94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95"/>
      <c r="R913" s="87"/>
      <c r="S913" s="96"/>
      <c r="T913" s="12"/>
      <c r="U913" s="12"/>
      <c r="V913" s="12"/>
    </row>
    <row r="914" spans="1:22">
      <c r="A914" s="12"/>
      <c r="B914" s="93"/>
      <c r="C914" s="12"/>
      <c r="D914" s="94"/>
      <c r="E914" s="94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95"/>
      <c r="R914" s="87"/>
      <c r="S914" s="96"/>
      <c r="T914" s="12"/>
      <c r="U914" s="12"/>
      <c r="V914" s="12"/>
    </row>
    <row r="915" spans="1:22">
      <c r="A915" s="12"/>
      <c r="B915" s="93"/>
      <c r="C915" s="12"/>
      <c r="D915" s="94"/>
      <c r="E915" s="94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95"/>
      <c r="R915" s="87"/>
      <c r="S915" s="96"/>
      <c r="T915" s="12"/>
      <c r="U915" s="12"/>
      <c r="V915" s="12"/>
    </row>
    <row r="916" spans="1:22">
      <c r="A916" s="12"/>
      <c r="B916" s="93"/>
      <c r="C916" s="12"/>
      <c r="D916" s="94"/>
      <c r="E916" s="94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95"/>
      <c r="R916" s="87"/>
      <c r="S916" s="96"/>
      <c r="T916" s="12"/>
      <c r="U916" s="12"/>
      <c r="V916" s="12"/>
    </row>
    <row r="917" spans="1:22">
      <c r="A917" s="12"/>
      <c r="B917" s="93"/>
      <c r="C917" s="12"/>
      <c r="D917" s="94"/>
      <c r="E917" s="94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95"/>
      <c r="R917" s="87"/>
      <c r="S917" s="96"/>
      <c r="T917" s="12"/>
      <c r="U917" s="12"/>
      <c r="V917" s="12"/>
    </row>
    <row r="918" spans="1:22">
      <c r="A918" s="12"/>
      <c r="B918" s="93"/>
      <c r="C918" s="12"/>
      <c r="D918" s="94"/>
      <c r="E918" s="94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95"/>
      <c r="R918" s="87"/>
      <c r="S918" s="96"/>
      <c r="T918" s="12"/>
      <c r="U918" s="12"/>
      <c r="V918" s="12"/>
    </row>
    <row r="919" spans="1:22">
      <c r="A919" s="12"/>
      <c r="B919" s="93"/>
      <c r="C919" s="12"/>
      <c r="D919" s="94"/>
      <c r="E919" s="94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95"/>
      <c r="R919" s="87"/>
      <c r="S919" s="96"/>
      <c r="T919" s="12"/>
      <c r="U919" s="12"/>
      <c r="V919" s="12"/>
    </row>
    <row r="920" spans="1:22">
      <c r="A920" s="12"/>
      <c r="B920" s="93"/>
      <c r="C920" s="12"/>
      <c r="D920" s="94"/>
      <c r="E920" s="94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95"/>
      <c r="R920" s="87"/>
      <c r="S920" s="96"/>
      <c r="T920" s="12"/>
      <c r="U920" s="12"/>
      <c r="V920" s="12"/>
    </row>
    <row r="921" spans="1:22">
      <c r="A921" s="12"/>
      <c r="B921" s="93"/>
      <c r="C921" s="12"/>
      <c r="D921" s="94"/>
      <c r="E921" s="94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95"/>
      <c r="R921" s="87"/>
      <c r="S921" s="96"/>
      <c r="T921" s="12"/>
      <c r="U921" s="12"/>
      <c r="V921" s="12"/>
    </row>
    <row r="922" spans="1:22">
      <c r="A922" s="12"/>
      <c r="B922" s="93"/>
      <c r="C922" s="12"/>
      <c r="D922" s="94"/>
      <c r="E922" s="94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95"/>
      <c r="R922" s="87"/>
      <c r="S922" s="96"/>
      <c r="T922" s="12"/>
      <c r="U922" s="12"/>
      <c r="V922" s="12"/>
    </row>
    <row r="923" spans="1:22">
      <c r="A923" s="12"/>
      <c r="B923" s="93"/>
      <c r="C923" s="12"/>
      <c r="D923" s="94"/>
      <c r="E923" s="94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95"/>
      <c r="R923" s="87"/>
      <c r="S923" s="96"/>
      <c r="T923" s="12"/>
      <c r="U923" s="12"/>
      <c r="V923" s="12"/>
    </row>
    <row r="924" spans="1:22">
      <c r="A924" s="12"/>
      <c r="B924" s="93"/>
      <c r="C924" s="12"/>
      <c r="D924" s="94"/>
      <c r="E924" s="94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95"/>
      <c r="R924" s="87"/>
      <c r="S924" s="96"/>
      <c r="T924" s="12"/>
      <c r="U924" s="12"/>
      <c r="V924" s="12"/>
    </row>
    <row r="925" spans="1:22">
      <c r="A925" s="12"/>
      <c r="B925" s="93"/>
      <c r="C925" s="12"/>
      <c r="D925" s="94"/>
      <c r="E925" s="94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95"/>
      <c r="R925" s="87"/>
      <c r="S925" s="96"/>
      <c r="T925" s="12"/>
      <c r="U925" s="12"/>
      <c r="V925" s="12"/>
    </row>
    <row r="926" spans="1:22">
      <c r="A926" s="12"/>
      <c r="B926" s="93"/>
      <c r="C926" s="12"/>
      <c r="D926" s="94"/>
      <c r="E926" s="94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95"/>
      <c r="R926" s="87"/>
      <c r="S926" s="96"/>
      <c r="T926" s="12"/>
      <c r="U926" s="12"/>
      <c r="V926" s="12"/>
    </row>
    <row r="927" spans="1:22">
      <c r="A927" s="12"/>
      <c r="B927" s="93"/>
      <c r="C927" s="12"/>
      <c r="D927" s="94"/>
      <c r="E927" s="94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95"/>
      <c r="R927" s="87"/>
      <c r="S927" s="96"/>
      <c r="T927" s="12"/>
      <c r="U927" s="12"/>
      <c r="V927" s="12"/>
    </row>
    <row r="928" spans="1:22">
      <c r="A928" s="12"/>
      <c r="B928" s="93"/>
      <c r="C928" s="12"/>
      <c r="D928" s="94"/>
      <c r="E928" s="94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95"/>
      <c r="R928" s="87"/>
      <c r="S928" s="96"/>
      <c r="T928" s="12"/>
      <c r="U928" s="12"/>
      <c r="V928" s="12"/>
    </row>
    <row r="929" spans="1:22">
      <c r="A929" s="12"/>
      <c r="B929" s="93"/>
      <c r="C929" s="12"/>
      <c r="D929" s="94"/>
      <c r="E929" s="94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95"/>
      <c r="R929" s="87"/>
      <c r="S929" s="96"/>
      <c r="T929" s="12"/>
      <c r="U929" s="12"/>
      <c r="V929" s="12"/>
    </row>
    <row r="930" spans="1:22">
      <c r="A930" s="12"/>
      <c r="B930" s="93"/>
      <c r="C930" s="12"/>
      <c r="D930" s="94"/>
      <c r="E930" s="94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95"/>
      <c r="R930" s="87"/>
      <c r="S930" s="96"/>
      <c r="T930" s="12"/>
      <c r="U930" s="12"/>
      <c r="V930" s="12"/>
    </row>
    <row r="931" spans="1:22">
      <c r="A931" s="12"/>
      <c r="B931" s="93"/>
      <c r="C931" s="12"/>
      <c r="D931" s="94"/>
      <c r="E931" s="94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95"/>
      <c r="R931" s="87"/>
      <c r="S931" s="96"/>
      <c r="T931" s="12"/>
      <c r="U931" s="12"/>
      <c r="V931" s="12"/>
    </row>
    <row r="932" spans="1:22">
      <c r="A932" s="12"/>
      <c r="B932" s="93"/>
      <c r="C932" s="12"/>
      <c r="D932" s="94"/>
      <c r="E932" s="94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95"/>
      <c r="R932" s="87"/>
      <c r="S932" s="96"/>
      <c r="T932" s="12"/>
      <c r="U932" s="12"/>
      <c r="V932" s="12"/>
    </row>
    <row r="933" spans="1:22">
      <c r="A933" s="12"/>
      <c r="B933" s="93"/>
      <c r="C933" s="12"/>
      <c r="D933" s="94"/>
      <c r="E933" s="94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95"/>
      <c r="R933" s="87"/>
      <c r="S933" s="96"/>
      <c r="T933" s="12"/>
      <c r="U933" s="12"/>
      <c r="V933" s="12"/>
    </row>
    <row r="934" spans="1:22">
      <c r="A934" s="12"/>
      <c r="B934" s="93"/>
      <c r="C934" s="12"/>
      <c r="D934" s="94"/>
      <c r="E934" s="94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95"/>
      <c r="R934" s="87"/>
      <c r="S934" s="96"/>
      <c r="T934" s="12"/>
      <c r="U934" s="12"/>
      <c r="V934" s="12"/>
    </row>
    <row r="935" spans="1:22">
      <c r="A935" s="12"/>
      <c r="B935" s="93"/>
      <c r="C935" s="12"/>
      <c r="D935" s="94"/>
      <c r="E935" s="94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95"/>
      <c r="R935" s="87"/>
      <c r="S935" s="96"/>
      <c r="T935" s="12"/>
      <c r="U935" s="12"/>
      <c r="V935" s="12"/>
    </row>
    <row r="936" spans="1:22">
      <c r="A936" s="12"/>
      <c r="B936" s="93"/>
      <c r="C936" s="12"/>
      <c r="D936" s="94"/>
      <c r="E936" s="94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95"/>
      <c r="R936" s="87"/>
      <c r="S936" s="96"/>
      <c r="T936" s="12"/>
      <c r="U936" s="12"/>
      <c r="V936" s="12"/>
    </row>
    <row r="937" spans="1:22">
      <c r="A937" s="12"/>
      <c r="B937" s="93"/>
      <c r="C937" s="12"/>
      <c r="D937" s="94"/>
      <c r="E937" s="94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95"/>
      <c r="R937" s="87"/>
      <c r="S937" s="96"/>
      <c r="T937" s="12"/>
      <c r="U937" s="12"/>
      <c r="V937" s="12"/>
    </row>
    <row r="938" spans="1:22">
      <c r="A938" s="12"/>
      <c r="B938" s="93"/>
      <c r="C938" s="12"/>
      <c r="D938" s="94"/>
      <c r="E938" s="94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95"/>
      <c r="R938" s="87"/>
      <c r="S938" s="96"/>
      <c r="T938" s="12"/>
      <c r="U938" s="12"/>
      <c r="V938" s="12"/>
    </row>
    <row r="939" spans="1:22">
      <c r="A939" s="12"/>
      <c r="B939" s="93"/>
      <c r="C939" s="12"/>
      <c r="D939" s="94"/>
      <c r="E939" s="94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95"/>
      <c r="R939" s="87"/>
      <c r="S939" s="96"/>
      <c r="T939" s="12"/>
      <c r="U939" s="12"/>
      <c r="V939" s="12"/>
    </row>
    <row r="940" spans="1:22">
      <c r="A940" s="12"/>
      <c r="B940" s="93"/>
      <c r="C940" s="12"/>
      <c r="D940" s="94"/>
      <c r="E940" s="94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95"/>
      <c r="R940" s="87"/>
      <c r="S940" s="96"/>
      <c r="T940" s="12"/>
      <c r="U940" s="12"/>
      <c r="V940" s="12"/>
    </row>
    <row r="941" spans="1:22">
      <c r="A941" s="12"/>
      <c r="B941" s="93"/>
      <c r="C941" s="12"/>
      <c r="D941" s="94"/>
      <c r="E941" s="94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95"/>
      <c r="R941" s="87"/>
      <c r="S941" s="96"/>
      <c r="T941" s="12"/>
      <c r="U941" s="12"/>
      <c r="V941" s="12"/>
    </row>
    <row r="942" spans="1:22">
      <c r="A942" s="12"/>
      <c r="B942" s="93"/>
      <c r="C942" s="12"/>
      <c r="D942" s="94"/>
      <c r="E942" s="94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95"/>
      <c r="R942" s="87"/>
      <c r="S942" s="96"/>
      <c r="T942" s="12"/>
      <c r="U942" s="12"/>
      <c r="V942" s="12"/>
    </row>
    <row r="943" spans="1:22">
      <c r="A943" s="12"/>
      <c r="B943" s="93"/>
      <c r="C943" s="12"/>
      <c r="D943" s="94"/>
      <c r="E943" s="94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95"/>
      <c r="R943" s="87"/>
      <c r="S943" s="96"/>
      <c r="T943" s="12"/>
      <c r="U943" s="12"/>
      <c r="V943" s="12"/>
    </row>
    <row r="944" spans="1:22">
      <c r="A944" s="12"/>
      <c r="B944" s="93"/>
      <c r="C944" s="12"/>
      <c r="D944" s="94"/>
      <c r="E944" s="94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95"/>
      <c r="R944" s="87"/>
      <c r="S944" s="96"/>
      <c r="T944" s="12"/>
      <c r="U944" s="12"/>
      <c r="V944" s="12"/>
    </row>
    <row r="945" spans="1:22">
      <c r="A945" s="12"/>
      <c r="B945" s="93"/>
      <c r="C945" s="12"/>
      <c r="D945" s="94"/>
      <c r="E945" s="94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95"/>
      <c r="R945" s="87"/>
      <c r="S945" s="96"/>
      <c r="T945" s="12"/>
      <c r="U945" s="12"/>
      <c r="V945" s="12"/>
    </row>
    <row r="946" spans="1:22">
      <c r="A946" s="12"/>
      <c r="B946" s="93"/>
      <c r="C946" s="12"/>
      <c r="D946" s="94"/>
      <c r="E946" s="94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95"/>
      <c r="R946" s="87"/>
      <c r="S946" s="96"/>
      <c r="T946" s="12"/>
      <c r="U946" s="12"/>
      <c r="V946" s="12"/>
    </row>
    <row r="947" spans="1:22">
      <c r="A947" s="12"/>
      <c r="B947" s="93"/>
      <c r="C947" s="12"/>
      <c r="D947" s="94"/>
      <c r="E947" s="94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95"/>
      <c r="R947" s="87"/>
      <c r="S947" s="96"/>
      <c r="T947" s="12"/>
      <c r="U947" s="12"/>
      <c r="V947" s="12"/>
    </row>
    <row r="948" spans="1:22">
      <c r="A948" s="12"/>
      <c r="B948" s="93"/>
      <c r="C948" s="12"/>
      <c r="D948" s="94"/>
      <c r="E948" s="94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95"/>
      <c r="R948" s="87"/>
      <c r="S948" s="96"/>
      <c r="T948" s="12"/>
      <c r="U948" s="12"/>
      <c r="V948" s="12"/>
    </row>
    <row r="949" spans="1:22">
      <c r="A949" s="12"/>
      <c r="B949" s="93"/>
      <c r="C949" s="12"/>
      <c r="D949" s="94"/>
      <c r="E949" s="94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95"/>
      <c r="R949" s="87"/>
      <c r="S949" s="96"/>
      <c r="T949" s="12"/>
      <c r="U949" s="12"/>
      <c r="V949" s="12"/>
    </row>
    <row r="950" spans="1:22">
      <c r="A950" s="12"/>
      <c r="B950" s="93"/>
      <c r="C950" s="12"/>
      <c r="D950" s="94"/>
      <c r="E950" s="94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95"/>
      <c r="R950" s="87"/>
      <c r="S950" s="96"/>
      <c r="T950" s="12"/>
      <c r="U950" s="12"/>
      <c r="V950" s="12"/>
    </row>
    <row r="951" spans="1:22">
      <c r="A951" s="12"/>
      <c r="B951" s="93"/>
      <c r="C951" s="12"/>
      <c r="D951" s="94"/>
      <c r="E951" s="94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95"/>
      <c r="R951" s="87"/>
      <c r="S951" s="96"/>
      <c r="T951" s="12"/>
      <c r="U951" s="12"/>
      <c r="V951" s="12"/>
    </row>
    <row r="952" spans="1:22">
      <c r="A952" s="12"/>
      <c r="B952" s="93"/>
      <c r="C952" s="12"/>
      <c r="D952" s="94"/>
      <c r="E952" s="94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95"/>
      <c r="R952" s="87"/>
      <c r="S952" s="96"/>
      <c r="T952" s="12"/>
      <c r="U952" s="12"/>
      <c r="V952" s="12"/>
    </row>
    <row r="953" spans="1:22">
      <c r="A953" s="12"/>
      <c r="B953" s="93"/>
      <c r="C953" s="12"/>
      <c r="D953" s="94"/>
      <c r="E953" s="94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95"/>
      <c r="R953" s="87"/>
      <c r="S953" s="96"/>
      <c r="T953" s="12"/>
      <c r="U953" s="12"/>
      <c r="V953" s="12"/>
    </row>
    <row r="954" spans="1:22">
      <c r="A954" s="12"/>
      <c r="B954" s="93"/>
      <c r="C954" s="12"/>
      <c r="D954" s="94"/>
      <c r="E954" s="94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95"/>
      <c r="R954" s="87"/>
      <c r="S954" s="96"/>
      <c r="T954" s="12"/>
      <c r="U954" s="12"/>
      <c r="V954" s="12"/>
    </row>
    <row r="955" spans="1:22">
      <c r="A955" s="12"/>
      <c r="B955" s="93"/>
      <c r="C955" s="12"/>
      <c r="D955" s="94"/>
      <c r="E955" s="94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95"/>
      <c r="R955" s="87"/>
      <c r="S955" s="96"/>
      <c r="T955" s="12"/>
      <c r="U955" s="12"/>
      <c r="V955" s="12"/>
    </row>
    <row r="956" spans="1:22">
      <c r="A956" s="12"/>
      <c r="B956" s="93"/>
      <c r="C956" s="12"/>
      <c r="D956" s="94"/>
      <c r="E956" s="94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95"/>
      <c r="R956" s="87"/>
      <c r="S956" s="96"/>
      <c r="T956" s="12"/>
      <c r="U956" s="12"/>
      <c r="V956" s="12"/>
    </row>
    <row r="957" spans="1:22">
      <c r="A957" s="12"/>
      <c r="B957" s="93"/>
      <c r="C957" s="12"/>
      <c r="D957" s="94"/>
      <c r="E957" s="94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95"/>
      <c r="R957" s="87"/>
      <c r="S957" s="96"/>
      <c r="T957" s="12"/>
      <c r="U957" s="12"/>
      <c r="V957" s="12"/>
    </row>
    <row r="958" spans="1:22">
      <c r="A958" s="12"/>
      <c r="B958" s="93"/>
      <c r="C958" s="12"/>
      <c r="D958" s="94"/>
      <c r="E958" s="94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95"/>
      <c r="R958" s="87"/>
      <c r="S958" s="96"/>
      <c r="T958" s="12"/>
      <c r="U958" s="12"/>
      <c r="V958" s="12"/>
    </row>
    <row r="959" spans="1:22">
      <c r="A959" s="12"/>
      <c r="B959" s="93"/>
      <c r="C959" s="12"/>
      <c r="D959" s="94"/>
      <c r="E959" s="94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95"/>
      <c r="R959" s="87"/>
      <c r="S959" s="96"/>
      <c r="T959" s="12"/>
      <c r="U959" s="12"/>
      <c r="V959" s="12"/>
    </row>
    <row r="960" spans="1:22">
      <c r="A960" s="12"/>
      <c r="B960" s="93"/>
      <c r="C960" s="12"/>
      <c r="D960" s="94"/>
      <c r="E960" s="94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95"/>
      <c r="R960" s="87"/>
      <c r="S960" s="96"/>
      <c r="T960" s="12"/>
      <c r="U960" s="12"/>
      <c r="V960" s="12"/>
    </row>
    <row r="961" spans="1:22">
      <c r="A961" s="12"/>
      <c r="B961" s="93"/>
      <c r="C961" s="12"/>
      <c r="D961" s="94"/>
      <c r="E961" s="94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95"/>
      <c r="R961" s="87"/>
      <c r="S961" s="96"/>
      <c r="T961" s="12"/>
      <c r="U961" s="12"/>
      <c r="V961" s="12"/>
    </row>
    <row r="962" spans="1:22">
      <c r="A962" s="12"/>
      <c r="B962" s="93"/>
      <c r="C962" s="12"/>
      <c r="D962" s="94"/>
      <c r="E962" s="94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95"/>
      <c r="R962" s="87"/>
      <c r="S962" s="96"/>
      <c r="T962" s="12"/>
      <c r="U962" s="12"/>
      <c r="V962" s="12"/>
    </row>
    <row r="963" spans="1:22">
      <c r="A963" s="12"/>
      <c r="B963" s="93"/>
      <c r="C963" s="12"/>
      <c r="D963" s="94"/>
      <c r="E963" s="94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95"/>
      <c r="R963" s="87"/>
      <c r="S963" s="96"/>
      <c r="T963" s="12"/>
      <c r="U963" s="12"/>
      <c r="V963" s="12"/>
    </row>
    <row r="964" spans="1:22">
      <c r="A964" s="12"/>
      <c r="B964" s="93"/>
      <c r="C964" s="12"/>
      <c r="D964" s="94"/>
      <c r="E964" s="94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95"/>
      <c r="R964" s="87"/>
      <c r="S964" s="96"/>
      <c r="T964" s="12"/>
      <c r="U964" s="12"/>
      <c r="V964" s="12"/>
    </row>
    <row r="965" spans="1:22">
      <c r="A965" s="12"/>
      <c r="B965" s="93"/>
      <c r="C965" s="12"/>
      <c r="D965" s="94"/>
      <c r="E965" s="94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95"/>
      <c r="R965" s="87"/>
      <c r="S965" s="96"/>
      <c r="T965" s="12"/>
      <c r="U965" s="12"/>
      <c r="V965" s="12"/>
    </row>
    <row r="966" spans="1:22">
      <c r="A966" s="12"/>
      <c r="B966" s="93"/>
      <c r="C966" s="12"/>
      <c r="D966" s="94"/>
      <c r="E966" s="94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95"/>
      <c r="R966" s="87"/>
      <c r="S966" s="96"/>
      <c r="T966" s="12"/>
      <c r="U966" s="12"/>
      <c r="V966" s="12"/>
    </row>
    <row r="967" spans="1:22">
      <c r="A967" s="12"/>
      <c r="B967" s="93"/>
      <c r="C967" s="12"/>
      <c r="D967" s="94"/>
      <c r="E967" s="94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95"/>
      <c r="R967" s="87"/>
      <c r="S967" s="96"/>
      <c r="T967" s="12"/>
      <c r="U967" s="12"/>
      <c r="V967" s="12"/>
    </row>
    <row r="968" spans="1:22">
      <c r="A968" s="12"/>
      <c r="B968" s="93"/>
      <c r="C968" s="12"/>
      <c r="D968" s="94"/>
      <c r="E968" s="94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95"/>
      <c r="R968" s="87"/>
      <c r="S968" s="96"/>
      <c r="T968" s="12"/>
      <c r="U968" s="12"/>
      <c r="V968" s="12"/>
    </row>
    <row r="969" spans="1:22">
      <c r="A969" s="12"/>
      <c r="B969" s="93"/>
      <c r="C969" s="12"/>
      <c r="D969" s="94"/>
      <c r="E969" s="94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95"/>
      <c r="R969" s="87"/>
      <c r="S969" s="96"/>
      <c r="T969" s="12"/>
      <c r="U969" s="12"/>
      <c r="V969" s="12"/>
    </row>
    <row r="970" spans="1:22">
      <c r="A970" s="12"/>
      <c r="B970" s="93"/>
      <c r="C970" s="12"/>
      <c r="D970" s="94"/>
      <c r="E970" s="94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95"/>
      <c r="R970" s="87"/>
      <c r="S970" s="96"/>
      <c r="T970" s="12"/>
      <c r="U970" s="12"/>
      <c r="V970" s="12"/>
    </row>
    <row r="971" spans="1:22">
      <c r="A971" s="12"/>
      <c r="B971" s="93"/>
      <c r="C971" s="12"/>
      <c r="D971" s="94"/>
      <c r="E971" s="94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95"/>
      <c r="R971" s="87"/>
      <c r="S971" s="96"/>
      <c r="T971" s="12"/>
      <c r="U971" s="12"/>
      <c r="V971" s="12"/>
    </row>
    <row r="972" spans="1:22">
      <c r="A972" s="12"/>
      <c r="B972" s="93"/>
      <c r="C972" s="12"/>
      <c r="D972" s="94"/>
      <c r="E972" s="94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95"/>
      <c r="R972" s="87"/>
      <c r="S972" s="96"/>
      <c r="T972" s="12"/>
      <c r="U972" s="12"/>
      <c r="V972" s="12"/>
    </row>
    <row r="973" spans="1:22">
      <c r="A973" s="12"/>
      <c r="B973" s="93"/>
      <c r="C973" s="12"/>
      <c r="D973" s="94"/>
      <c r="E973" s="94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95"/>
      <c r="R973" s="87"/>
      <c r="S973" s="96"/>
      <c r="T973" s="12"/>
      <c r="U973" s="12"/>
      <c r="V973" s="12"/>
    </row>
    <row r="974" spans="1:22">
      <c r="A974" s="12"/>
      <c r="B974" s="93"/>
      <c r="C974" s="12"/>
      <c r="D974" s="94"/>
      <c r="E974" s="94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95"/>
      <c r="R974" s="87"/>
      <c r="S974" s="96"/>
      <c r="T974" s="12"/>
      <c r="U974" s="12"/>
      <c r="V974" s="12"/>
    </row>
    <row r="975" spans="1:22">
      <c r="A975" s="12"/>
      <c r="B975" s="93"/>
      <c r="C975" s="12"/>
      <c r="D975" s="94"/>
      <c r="E975" s="94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95"/>
      <c r="R975" s="87"/>
      <c r="S975" s="96"/>
      <c r="T975" s="12"/>
      <c r="U975" s="12"/>
      <c r="V975" s="12"/>
    </row>
    <row r="976" spans="1:22">
      <c r="A976" s="12"/>
      <c r="B976" s="93"/>
      <c r="C976" s="12"/>
      <c r="D976" s="94"/>
      <c r="E976" s="94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95"/>
      <c r="R976" s="87"/>
      <c r="S976" s="96"/>
      <c r="T976" s="12"/>
      <c r="U976" s="12"/>
      <c r="V976" s="12"/>
    </row>
    <row r="977" spans="1:22">
      <c r="A977" s="12"/>
      <c r="B977" s="93"/>
      <c r="C977" s="12"/>
      <c r="D977" s="94"/>
      <c r="E977" s="94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95"/>
      <c r="R977" s="87"/>
      <c r="S977" s="96"/>
      <c r="T977" s="12"/>
      <c r="U977" s="12"/>
      <c r="V977" s="12"/>
    </row>
    <row r="978" spans="1:22">
      <c r="A978" s="12"/>
      <c r="B978" s="93"/>
      <c r="C978" s="12"/>
      <c r="D978" s="94"/>
      <c r="E978" s="94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95"/>
      <c r="R978" s="87"/>
      <c r="S978" s="96"/>
      <c r="T978" s="12"/>
      <c r="U978" s="12"/>
      <c r="V978" s="12"/>
    </row>
    <row r="979" spans="1:22">
      <c r="A979" s="12"/>
      <c r="B979" s="93"/>
      <c r="C979" s="12"/>
      <c r="D979" s="94"/>
      <c r="E979" s="94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95"/>
      <c r="R979" s="87"/>
      <c r="S979" s="96"/>
      <c r="T979" s="12"/>
      <c r="U979" s="12"/>
      <c r="V979" s="12"/>
    </row>
    <row r="980" spans="1:22">
      <c r="A980" s="12"/>
      <c r="B980" s="93"/>
      <c r="C980" s="12"/>
      <c r="D980" s="94"/>
      <c r="E980" s="94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95"/>
      <c r="R980" s="87"/>
      <c r="S980" s="96"/>
      <c r="T980" s="12"/>
      <c r="U980" s="12"/>
      <c r="V980" s="12"/>
    </row>
    <row r="981" spans="1:22">
      <c r="A981" s="12"/>
      <c r="B981" s="93"/>
      <c r="C981" s="12"/>
      <c r="D981" s="94"/>
      <c r="E981" s="94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95"/>
      <c r="R981" s="87"/>
      <c r="S981" s="96"/>
      <c r="T981" s="12"/>
      <c r="U981" s="12"/>
      <c r="V981" s="12"/>
    </row>
    <row r="982" spans="1:22">
      <c r="A982" s="12"/>
      <c r="B982" s="93"/>
      <c r="C982" s="12"/>
      <c r="D982" s="94"/>
      <c r="E982" s="94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95"/>
      <c r="R982" s="87"/>
      <c r="S982" s="96"/>
      <c r="T982" s="12"/>
      <c r="U982" s="12"/>
      <c r="V982" s="12"/>
    </row>
    <row r="983" spans="1:22">
      <c r="A983" s="12"/>
      <c r="B983" s="93"/>
      <c r="C983" s="12"/>
      <c r="D983" s="94"/>
      <c r="E983" s="94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95"/>
      <c r="R983" s="87"/>
      <c r="S983" s="96"/>
      <c r="T983" s="12"/>
      <c r="U983" s="12"/>
      <c r="V983" s="12"/>
    </row>
    <row r="984" spans="1:22">
      <c r="A984" s="12"/>
      <c r="B984" s="93"/>
      <c r="C984" s="12"/>
      <c r="D984" s="94"/>
      <c r="E984" s="94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95"/>
      <c r="R984" s="87"/>
      <c r="S984" s="96"/>
      <c r="T984" s="12"/>
      <c r="U984" s="12"/>
      <c r="V984" s="12"/>
    </row>
    <row r="985" spans="1:22">
      <c r="A985" s="12"/>
      <c r="B985" s="93"/>
      <c r="C985" s="12"/>
      <c r="D985" s="94"/>
      <c r="E985" s="94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95"/>
      <c r="R985" s="87"/>
      <c r="S985" s="96"/>
      <c r="T985" s="12"/>
      <c r="U985" s="12"/>
      <c r="V985" s="12"/>
    </row>
    <row r="986" spans="1:22">
      <c r="A986" s="12"/>
      <c r="B986" s="93"/>
      <c r="C986" s="12"/>
      <c r="D986" s="94"/>
      <c r="E986" s="94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95"/>
      <c r="R986" s="87"/>
      <c r="S986" s="96"/>
      <c r="T986" s="12"/>
      <c r="U986" s="12"/>
      <c r="V986" s="12"/>
    </row>
    <row r="987" spans="1:22">
      <c r="A987" s="12"/>
      <c r="B987" s="93"/>
      <c r="C987" s="12"/>
      <c r="D987" s="94"/>
      <c r="E987" s="94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95"/>
      <c r="R987" s="87"/>
      <c r="S987" s="96"/>
      <c r="T987" s="12"/>
      <c r="U987" s="12"/>
      <c r="V987" s="12"/>
    </row>
    <row r="988" spans="1:22">
      <c r="A988" s="12"/>
      <c r="B988" s="93"/>
      <c r="C988" s="12"/>
      <c r="D988" s="94"/>
      <c r="E988" s="94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95"/>
      <c r="R988" s="87"/>
      <c r="S988" s="96"/>
      <c r="T988" s="12"/>
      <c r="U988" s="12"/>
      <c r="V988" s="12"/>
    </row>
    <row r="989" spans="1:22">
      <c r="A989" s="12"/>
      <c r="B989" s="93"/>
      <c r="C989" s="12"/>
      <c r="D989" s="94"/>
      <c r="E989" s="94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95"/>
      <c r="R989" s="87"/>
      <c r="S989" s="96"/>
      <c r="T989" s="12"/>
      <c r="U989" s="12"/>
      <c r="V989" s="12"/>
    </row>
    <row r="990" spans="1:22">
      <c r="A990" s="12"/>
      <c r="B990" s="93"/>
      <c r="C990" s="12"/>
      <c r="D990" s="94"/>
      <c r="E990" s="94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95"/>
      <c r="R990" s="87"/>
      <c r="S990" s="96"/>
      <c r="T990" s="12"/>
      <c r="U990" s="12"/>
      <c r="V990" s="12"/>
    </row>
    <row r="991" spans="1:22">
      <c r="A991" s="12"/>
      <c r="B991" s="93"/>
      <c r="C991" s="12"/>
      <c r="D991" s="94"/>
      <c r="E991" s="94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95"/>
      <c r="R991" s="87"/>
      <c r="S991" s="96"/>
      <c r="T991" s="12"/>
      <c r="U991" s="12"/>
      <c r="V991" s="12"/>
    </row>
    <row r="992" spans="1:22">
      <c r="A992" s="12"/>
      <c r="B992" s="93"/>
      <c r="C992" s="12"/>
      <c r="D992" s="94"/>
      <c r="E992" s="94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95"/>
      <c r="R992" s="87"/>
      <c r="S992" s="96"/>
      <c r="T992" s="12"/>
      <c r="U992" s="12"/>
      <c r="V992" s="12"/>
    </row>
    <row r="993" spans="1:22">
      <c r="A993" s="12"/>
      <c r="B993" s="93"/>
      <c r="C993" s="12"/>
      <c r="D993" s="94"/>
      <c r="E993" s="94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95"/>
      <c r="R993" s="87"/>
      <c r="S993" s="96"/>
      <c r="T993" s="12"/>
      <c r="U993" s="12"/>
      <c r="V993" s="12"/>
    </row>
    <row r="994" spans="1:22">
      <c r="A994" s="12"/>
      <c r="B994" s="93"/>
      <c r="C994" s="12"/>
      <c r="D994" s="94"/>
      <c r="E994" s="94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95"/>
      <c r="R994" s="87"/>
      <c r="S994" s="96"/>
      <c r="T994" s="12"/>
      <c r="U994" s="12"/>
      <c r="V994" s="12"/>
    </row>
    <row r="995" spans="1:22">
      <c r="A995" s="12"/>
      <c r="B995" s="93"/>
      <c r="C995" s="12"/>
      <c r="D995" s="94"/>
      <c r="E995" s="94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95"/>
      <c r="R995" s="87"/>
      <c r="S995" s="96"/>
      <c r="T995" s="12"/>
      <c r="U995" s="12"/>
      <c r="V995" s="12"/>
    </row>
    <row r="996" spans="1:22">
      <c r="A996" s="12"/>
      <c r="B996" s="93"/>
      <c r="C996" s="12"/>
      <c r="D996" s="94"/>
      <c r="E996" s="94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95"/>
      <c r="R996" s="87"/>
      <c r="S996" s="96"/>
      <c r="T996" s="12"/>
      <c r="U996" s="12"/>
      <c r="V996" s="12"/>
    </row>
    <row r="997" spans="1:22">
      <c r="A997" s="12"/>
      <c r="B997" s="93"/>
      <c r="C997" s="12"/>
      <c r="D997" s="94"/>
      <c r="E997" s="94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95"/>
      <c r="R997" s="87"/>
      <c r="S997" s="96"/>
      <c r="T997" s="12"/>
      <c r="U997" s="12"/>
      <c r="V997" s="12"/>
    </row>
    <row r="998" spans="1:22">
      <c r="A998" s="12"/>
      <c r="B998" s="93"/>
      <c r="C998" s="12"/>
      <c r="D998" s="94"/>
      <c r="E998" s="94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95"/>
      <c r="R998" s="87"/>
      <c r="S998" s="96"/>
      <c r="T998" s="12"/>
      <c r="U998" s="12"/>
      <c r="V998" s="12"/>
    </row>
    <row r="999" spans="1:22">
      <c r="A999" s="12"/>
      <c r="B999" s="93"/>
      <c r="C999" s="12"/>
      <c r="D999" s="94"/>
      <c r="E999" s="94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95"/>
      <c r="R999" s="87"/>
      <c r="S999" s="96"/>
      <c r="T999" s="12"/>
      <c r="U999" s="12"/>
      <c r="V999" s="12"/>
    </row>
    <row r="1000" spans="1:22">
      <c r="A1000" s="12"/>
      <c r="B1000" s="93"/>
      <c r="C1000" s="12"/>
      <c r="D1000" s="94"/>
      <c r="E1000" s="94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95"/>
      <c r="R1000" s="87"/>
      <c r="S1000" s="96"/>
      <c r="T1000" s="12"/>
      <c r="U1000" s="12"/>
      <c r="V1000" s="12"/>
    </row>
    <row r="1001" spans="1:22">
      <c r="A1001" s="12"/>
      <c r="B1001" s="93"/>
      <c r="C1001" s="12"/>
      <c r="D1001" s="94"/>
      <c r="E1001" s="94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95"/>
      <c r="R1001" s="87"/>
      <c r="S1001" s="96"/>
      <c r="T1001" s="12"/>
      <c r="U1001" s="12"/>
      <c r="V1001" s="12"/>
    </row>
    <row r="1002" spans="1:22">
      <c r="A1002" s="12"/>
      <c r="B1002" s="93"/>
      <c r="C1002" s="12"/>
      <c r="D1002" s="94"/>
      <c r="E1002" s="94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95"/>
      <c r="R1002" s="87"/>
      <c r="S1002" s="96"/>
      <c r="T1002" s="12"/>
      <c r="U1002" s="12"/>
      <c r="V1002" s="12"/>
    </row>
    <row r="1003" spans="1:22">
      <c r="A1003" s="12"/>
      <c r="B1003" s="93"/>
      <c r="C1003" s="12"/>
      <c r="D1003" s="94"/>
      <c r="E1003" s="94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95"/>
      <c r="R1003" s="87"/>
      <c r="S1003" s="96"/>
      <c r="T1003" s="12"/>
      <c r="U1003" s="12"/>
      <c r="V1003" s="12"/>
    </row>
    <row r="1004" spans="1:22">
      <c r="A1004" s="12"/>
      <c r="B1004" s="93"/>
      <c r="C1004" s="12"/>
      <c r="D1004" s="94"/>
      <c r="E1004" s="94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95"/>
      <c r="R1004" s="87"/>
      <c r="S1004" s="96"/>
      <c r="T1004" s="12"/>
      <c r="U1004" s="12"/>
      <c r="V1004" s="12"/>
    </row>
    <row r="1005" spans="1:22">
      <c r="A1005" s="12"/>
      <c r="B1005" s="93"/>
      <c r="C1005" s="12"/>
      <c r="D1005" s="94"/>
      <c r="E1005" s="94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95"/>
      <c r="R1005" s="87"/>
      <c r="S1005" s="96"/>
      <c r="T1005" s="12"/>
      <c r="U1005" s="12"/>
      <c r="V1005" s="12"/>
    </row>
    <row r="1006" spans="1:22">
      <c r="A1006" s="12"/>
      <c r="B1006" s="93"/>
      <c r="C1006" s="12"/>
      <c r="D1006" s="94"/>
      <c r="E1006" s="94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95"/>
      <c r="R1006" s="87"/>
      <c r="S1006" s="96"/>
      <c r="T1006" s="12"/>
      <c r="U1006" s="12"/>
      <c r="V1006" s="12"/>
    </row>
    <row r="1007" spans="1:22">
      <c r="A1007" s="12"/>
      <c r="B1007" s="93"/>
      <c r="C1007" s="12"/>
      <c r="D1007" s="94"/>
      <c r="E1007" s="94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95"/>
      <c r="R1007" s="87"/>
      <c r="S1007" s="96"/>
      <c r="T1007" s="12"/>
      <c r="U1007" s="12"/>
      <c r="V1007" s="12"/>
    </row>
    <row r="1008" spans="1:22">
      <c r="A1008" s="12"/>
      <c r="B1008" s="93"/>
      <c r="C1008" s="12"/>
      <c r="D1008" s="94"/>
      <c r="E1008" s="94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95"/>
      <c r="R1008" s="87"/>
      <c r="S1008" s="96"/>
      <c r="T1008" s="12"/>
      <c r="U1008" s="12"/>
      <c r="V1008" s="12"/>
    </row>
    <row r="1009" spans="1:22">
      <c r="A1009" s="12"/>
      <c r="B1009" s="93"/>
      <c r="C1009" s="12"/>
      <c r="D1009" s="94"/>
      <c r="E1009" s="94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95"/>
      <c r="R1009" s="87"/>
      <c r="S1009" s="96"/>
      <c r="T1009" s="12"/>
      <c r="U1009" s="12"/>
      <c r="V1009" s="12"/>
    </row>
    <row r="1010" spans="1:22">
      <c r="A1010" s="12"/>
      <c r="B1010" s="93"/>
      <c r="C1010" s="12"/>
      <c r="D1010" s="94"/>
      <c r="E1010" s="94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95"/>
      <c r="R1010" s="87"/>
      <c r="S1010" s="96"/>
      <c r="T1010" s="12"/>
      <c r="U1010" s="12"/>
      <c r="V1010" s="12"/>
    </row>
    <row r="1011" spans="1:22">
      <c r="A1011" s="12"/>
      <c r="B1011" s="93"/>
      <c r="C1011" s="12"/>
      <c r="D1011" s="94"/>
      <c r="E1011" s="94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95"/>
      <c r="R1011" s="87"/>
      <c r="S1011" s="96"/>
      <c r="T1011" s="12"/>
      <c r="U1011" s="12"/>
      <c r="V1011" s="12"/>
    </row>
    <row r="1012" spans="1:22">
      <c r="A1012" s="12"/>
      <c r="B1012" s="93"/>
      <c r="C1012" s="12"/>
      <c r="D1012" s="94"/>
      <c r="E1012" s="94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95"/>
      <c r="R1012" s="87"/>
      <c r="S1012" s="96"/>
      <c r="T1012" s="12"/>
      <c r="U1012" s="12"/>
      <c r="V1012" s="12"/>
    </row>
    <row r="1013" spans="1:22">
      <c r="A1013" s="12"/>
      <c r="B1013" s="93"/>
      <c r="C1013" s="12"/>
      <c r="D1013" s="94"/>
      <c r="E1013" s="94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95"/>
      <c r="R1013" s="87"/>
      <c r="S1013" s="96"/>
      <c r="T1013" s="12"/>
      <c r="U1013" s="12"/>
      <c r="V1013" s="12"/>
    </row>
    <row r="1014" spans="1:22">
      <c r="A1014" s="12"/>
      <c r="B1014" s="93"/>
      <c r="C1014" s="12"/>
      <c r="D1014" s="94"/>
      <c r="E1014" s="94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95"/>
      <c r="R1014" s="87"/>
      <c r="S1014" s="96"/>
      <c r="T1014" s="12"/>
      <c r="U1014" s="12"/>
      <c r="V1014" s="12"/>
    </row>
    <row r="1015" spans="1:22">
      <c r="A1015" s="12"/>
      <c r="B1015" s="93"/>
      <c r="C1015" s="12"/>
      <c r="D1015" s="94"/>
      <c r="E1015" s="94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95"/>
      <c r="R1015" s="87"/>
      <c r="S1015" s="96"/>
      <c r="T1015" s="12"/>
      <c r="U1015" s="12"/>
      <c r="V1015" s="12"/>
    </row>
    <row r="1016" spans="1:22">
      <c r="A1016" s="12"/>
      <c r="B1016" s="93"/>
      <c r="C1016" s="12"/>
      <c r="D1016" s="94"/>
      <c r="E1016" s="94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95"/>
      <c r="R1016" s="87"/>
      <c r="S1016" s="96"/>
      <c r="T1016" s="12"/>
      <c r="U1016" s="12"/>
      <c r="V1016" s="12"/>
    </row>
    <row r="1017" spans="1:22">
      <c r="A1017" s="12"/>
      <c r="B1017" s="93"/>
      <c r="C1017" s="12"/>
      <c r="D1017" s="94"/>
      <c r="E1017" s="94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95"/>
      <c r="R1017" s="87"/>
      <c r="S1017" s="96"/>
      <c r="T1017" s="12"/>
      <c r="U1017" s="12"/>
      <c r="V1017" s="12"/>
    </row>
    <row r="1018" spans="1:22">
      <c r="A1018" s="12"/>
      <c r="B1018" s="93"/>
      <c r="C1018" s="12"/>
      <c r="D1018" s="94"/>
      <c r="E1018" s="94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95"/>
      <c r="R1018" s="87"/>
      <c r="S1018" s="96"/>
      <c r="T1018" s="12"/>
      <c r="U1018" s="12"/>
      <c r="V1018" s="12"/>
    </row>
    <row r="1019" spans="1:22">
      <c r="A1019" s="12"/>
      <c r="B1019" s="93"/>
      <c r="C1019" s="12"/>
      <c r="D1019" s="94"/>
      <c r="E1019" s="94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95"/>
      <c r="R1019" s="87"/>
      <c r="S1019" s="96"/>
      <c r="T1019" s="12"/>
      <c r="U1019" s="12"/>
      <c r="V1019" s="12"/>
    </row>
    <row r="1020" spans="1:22">
      <c r="A1020" s="12"/>
      <c r="B1020" s="93"/>
      <c r="C1020" s="12"/>
      <c r="D1020" s="94"/>
      <c r="E1020" s="94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95"/>
      <c r="R1020" s="87"/>
      <c r="S1020" s="96"/>
      <c r="T1020" s="12"/>
      <c r="U1020" s="12"/>
      <c r="V1020" s="12"/>
    </row>
    <row r="1021" spans="1:22">
      <c r="A1021" s="12"/>
      <c r="B1021" s="93"/>
      <c r="C1021" s="12"/>
      <c r="D1021" s="94"/>
      <c r="E1021" s="94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95"/>
      <c r="R1021" s="87"/>
      <c r="S1021" s="96"/>
      <c r="T1021" s="12"/>
      <c r="U1021" s="12"/>
      <c r="V1021" s="12"/>
    </row>
    <row r="1022" spans="1:22">
      <c r="A1022" s="12"/>
      <c r="B1022" s="93"/>
      <c r="C1022" s="12"/>
      <c r="D1022" s="94"/>
      <c r="E1022" s="94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95"/>
      <c r="R1022" s="87"/>
      <c r="S1022" s="96"/>
      <c r="T1022" s="12"/>
      <c r="U1022" s="12"/>
      <c r="V1022" s="12"/>
    </row>
    <row r="1023" spans="1:22">
      <c r="A1023" s="12"/>
      <c r="B1023" s="93"/>
      <c r="C1023" s="12"/>
      <c r="D1023" s="94"/>
      <c r="E1023" s="94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95"/>
      <c r="R1023" s="87"/>
      <c r="S1023" s="96"/>
      <c r="T1023" s="12"/>
      <c r="U1023" s="12"/>
      <c r="V1023" s="12"/>
    </row>
    <row r="1024" spans="1:22">
      <c r="A1024" s="12"/>
      <c r="B1024" s="93"/>
      <c r="C1024" s="12"/>
      <c r="D1024" s="94"/>
      <c r="E1024" s="94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95"/>
      <c r="R1024" s="87"/>
      <c r="S1024" s="96"/>
      <c r="T1024" s="12"/>
      <c r="U1024" s="12"/>
      <c r="V1024" s="12"/>
    </row>
    <row r="1025" spans="1:22">
      <c r="A1025" s="12"/>
      <c r="B1025" s="93"/>
      <c r="C1025" s="12"/>
      <c r="D1025" s="94"/>
      <c r="E1025" s="94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95"/>
      <c r="R1025" s="87"/>
      <c r="S1025" s="96"/>
      <c r="T1025" s="12"/>
      <c r="U1025" s="12"/>
      <c r="V1025" s="12"/>
    </row>
    <row r="1026" spans="1:22">
      <c r="A1026" s="12"/>
      <c r="B1026" s="93"/>
      <c r="C1026" s="12"/>
      <c r="D1026" s="94"/>
      <c r="E1026" s="94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95"/>
      <c r="R1026" s="87"/>
      <c r="S1026" s="96"/>
      <c r="T1026" s="12"/>
      <c r="U1026" s="12"/>
      <c r="V1026" s="12"/>
    </row>
    <row r="1027" spans="1:22">
      <c r="A1027" s="12"/>
      <c r="B1027" s="93"/>
      <c r="C1027" s="12"/>
      <c r="D1027" s="94"/>
      <c r="E1027" s="94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95"/>
      <c r="R1027" s="87"/>
      <c r="S1027" s="96"/>
      <c r="T1027" s="12"/>
      <c r="U1027" s="12"/>
      <c r="V1027" s="12"/>
    </row>
    <row r="1028" spans="1:22">
      <c r="A1028" s="12"/>
      <c r="B1028" s="93"/>
      <c r="C1028" s="12"/>
      <c r="D1028" s="94"/>
      <c r="E1028" s="94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95"/>
      <c r="R1028" s="87"/>
      <c r="S1028" s="96"/>
      <c r="T1028" s="12"/>
      <c r="U1028" s="12"/>
      <c r="V1028" s="12"/>
    </row>
    <row r="1029" spans="1:22">
      <c r="A1029" s="12"/>
      <c r="B1029" s="93"/>
      <c r="C1029" s="12"/>
      <c r="D1029" s="94"/>
      <c r="E1029" s="94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95"/>
      <c r="R1029" s="87"/>
      <c r="S1029" s="96"/>
      <c r="T1029" s="12"/>
      <c r="U1029" s="12"/>
      <c r="V1029" s="12"/>
    </row>
    <row r="1030" spans="1:22">
      <c r="A1030" s="12"/>
      <c r="B1030" s="93"/>
      <c r="C1030" s="12"/>
      <c r="D1030" s="94"/>
      <c r="E1030" s="94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95"/>
      <c r="R1030" s="87"/>
      <c r="S1030" s="96"/>
      <c r="T1030" s="12"/>
      <c r="U1030" s="12"/>
      <c r="V1030" s="12"/>
    </row>
    <row r="1031" spans="1:22">
      <c r="A1031" s="12"/>
      <c r="B1031" s="93"/>
      <c r="C1031" s="12"/>
      <c r="D1031" s="94"/>
      <c r="E1031" s="94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95"/>
      <c r="R1031" s="87"/>
      <c r="S1031" s="96"/>
      <c r="T1031" s="12"/>
      <c r="U1031" s="12"/>
      <c r="V1031" s="12"/>
    </row>
    <row r="1032" spans="1:22">
      <c r="A1032" s="12"/>
      <c r="B1032" s="93"/>
      <c r="C1032" s="12"/>
      <c r="D1032" s="94"/>
      <c r="E1032" s="94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95"/>
      <c r="R1032" s="87"/>
      <c r="S1032" s="96"/>
      <c r="T1032" s="12"/>
      <c r="U1032" s="12"/>
      <c r="V1032" s="12"/>
    </row>
    <row r="1033" spans="1:22">
      <c r="A1033" s="12"/>
      <c r="B1033" s="93"/>
      <c r="C1033" s="12"/>
      <c r="D1033" s="94"/>
      <c r="E1033" s="94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95"/>
      <c r="R1033" s="87"/>
      <c r="S1033" s="96"/>
      <c r="T1033" s="12"/>
      <c r="U1033" s="12"/>
      <c r="V1033" s="12"/>
    </row>
    <row r="1034" spans="1:22">
      <c r="A1034" s="12"/>
      <c r="B1034" s="93"/>
      <c r="C1034" s="12"/>
      <c r="D1034" s="94"/>
      <c r="E1034" s="94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95"/>
      <c r="R1034" s="87"/>
      <c r="S1034" s="96"/>
      <c r="T1034" s="12"/>
      <c r="U1034" s="12"/>
      <c r="V1034" s="12"/>
    </row>
    <row r="1035" spans="1:22">
      <c r="A1035" s="12"/>
      <c r="B1035" s="93"/>
      <c r="C1035" s="12"/>
      <c r="D1035" s="94"/>
      <c r="E1035" s="94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95"/>
      <c r="R1035" s="87"/>
      <c r="S1035" s="96"/>
      <c r="T1035" s="12"/>
      <c r="U1035" s="12"/>
      <c r="V1035" s="12"/>
    </row>
    <row r="1036" spans="1:22">
      <c r="A1036" s="12"/>
      <c r="B1036" s="93"/>
      <c r="C1036" s="12"/>
      <c r="D1036" s="94"/>
      <c r="E1036" s="94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95"/>
      <c r="R1036" s="87"/>
      <c r="S1036" s="96"/>
      <c r="T1036" s="12"/>
      <c r="U1036" s="12"/>
      <c r="V1036" s="12"/>
    </row>
    <row r="1037" spans="1:22">
      <c r="A1037" s="12"/>
      <c r="B1037" s="93"/>
      <c r="C1037" s="12"/>
      <c r="D1037" s="94"/>
      <c r="E1037" s="94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95"/>
      <c r="R1037" s="87"/>
      <c r="S1037" s="96"/>
      <c r="T1037" s="12"/>
      <c r="U1037" s="12"/>
      <c r="V1037" s="12"/>
    </row>
    <row r="1038" spans="1:22">
      <c r="A1038" s="12"/>
      <c r="B1038" s="93"/>
      <c r="C1038" s="12"/>
      <c r="D1038" s="94"/>
      <c r="E1038" s="94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95"/>
      <c r="R1038" s="87"/>
      <c r="S1038" s="96"/>
      <c r="T1038" s="12"/>
      <c r="U1038" s="12"/>
      <c r="V1038" s="12"/>
    </row>
    <row r="1039" spans="1:22">
      <c r="A1039" s="12"/>
      <c r="B1039" s="93"/>
      <c r="C1039" s="12"/>
      <c r="D1039" s="94"/>
      <c r="E1039" s="94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95"/>
      <c r="R1039" s="87"/>
      <c r="S1039" s="96"/>
      <c r="T1039" s="12"/>
      <c r="U1039" s="12"/>
      <c r="V1039" s="12"/>
    </row>
    <row r="1040" spans="1:22">
      <c r="A1040" s="12"/>
      <c r="B1040" s="93"/>
      <c r="C1040" s="12"/>
      <c r="D1040" s="94"/>
      <c r="E1040" s="94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95"/>
      <c r="R1040" s="87"/>
      <c r="S1040" s="96"/>
      <c r="T1040" s="12"/>
      <c r="U1040" s="12"/>
      <c r="V1040" s="12"/>
    </row>
    <row r="1041" spans="1:22">
      <c r="A1041" s="12"/>
      <c r="B1041" s="93"/>
      <c r="C1041" s="12"/>
      <c r="D1041" s="94"/>
      <c r="E1041" s="94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95"/>
      <c r="R1041" s="87"/>
      <c r="S1041" s="96"/>
      <c r="T1041" s="12"/>
      <c r="U1041" s="12"/>
      <c r="V1041" s="12"/>
    </row>
    <row r="1042" spans="1:22">
      <c r="A1042" s="12"/>
      <c r="B1042" s="93"/>
      <c r="C1042" s="12"/>
      <c r="D1042" s="94"/>
      <c r="E1042" s="94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95"/>
      <c r="R1042" s="87"/>
      <c r="S1042" s="96"/>
      <c r="T1042" s="12"/>
      <c r="U1042" s="12"/>
      <c r="V1042" s="12"/>
    </row>
    <row r="1043" spans="1:22">
      <c r="A1043" s="12"/>
      <c r="B1043" s="93"/>
      <c r="C1043" s="12"/>
      <c r="D1043" s="94"/>
      <c r="E1043" s="94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95"/>
      <c r="R1043" s="87"/>
      <c r="S1043" s="96"/>
      <c r="T1043" s="12"/>
      <c r="U1043" s="12"/>
      <c r="V1043" s="12"/>
    </row>
    <row r="1044" spans="1:22">
      <c r="A1044" s="12"/>
      <c r="B1044" s="93"/>
      <c r="C1044" s="12"/>
      <c r="D1044" s="94"/>
      <c r="E1044" s="94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95"/>
      <c r="R1044" s="87"/>
      <c r="S1044" s="96"/>
      <c r="T1044" s="12"/>
      <c r="U1044" s="12"/>
      <c r="V1044" s="12"/>
    </row>
    <row r="1045" spans="1:22">
      <c r="A1045" s="12"/>
      <c r="B1045" s="93"/>
      <c r="C1045" s="12"/>
      <c r="D1045" s="94"/>
      <c r="E1045" s="94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95"/>
      <c r="R1045" s="87"/>
      <c r="S1045" s="96"/>
      <c r="T1045" s="12"/>
      <c r="U1045" s="12"/>
      <c r="V1045" s="12"/>
    </row>
    <row r="1046" spans="1:22">
      <c r="A1046" s="12"/>
      <c r="B1046" s="93"/>
      <c r="C1046" s="12"/>
      <c r="D1046" s="94"/>
      <c r="E1046" s="94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95"/>
      <c r="R1046" s="87"/>
      <c r="S1046" s="96"/>
      <c r="T1046" s="12"/>
      <c r="U1046" s="12"/>
      <c r="V1046" s="12"/>
    </row>
    <row r="1047" spans="1:22">
      <c r="A1047" s="12"/>
      <c r="B1047" s="93"/>
      <c r="C1047" s="12"/>
      <c r="D1047" s="94"/>
      <c r="E1047" s="94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95"/>
      <c r="R1047" s="87"/>
      <c r="S1047" s="96"/>
      <c r="T1047" s="12"/>
      <c r="U1047" s="12"/>
      <c r="V1047" s="12"/>
    </row>
    <row r="1048" spans="1:22">
      <c r="A1048" s="12"/>
      <c r="B1048" s="93"/>
      <c r="C1048" s="12"/>
      <c r="D1048" s="94"/>
      <c r="E1048" s="94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95"/>
      <c r="R1048" s="87"/>
      <c r="S1048" s="96"/>
      <c r="T1048" s="12"/>
      <c r="U1048" s="12"/>
      <c r="V1048" s="12"/>
    </row>
    <row r="1049" spans="1:22">
      <c r="A1049" s="12"/>
      <c r="B1049" s="93"/>
      <c r="C1049" s="12"/>
      <c r="D1049" s="94"/>
      <c r="E1049" s="94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95"/>
      <c r="R1049" s="87"/>
      <c r="S1049" s="96"/>
      <c r="T1049" s="12"/>
      <c r="U1049" s="12"/>
      <c r="V1049" s="12"/>
    </row>
    <row r="1050" spans="1:22">
      <c r="A1050" s="12"/>
      <c r="B1050" s="93"/>
      <c r="C1050" s="12"/>
      <c r="D1050" s="94"/>
      <c r="E1050" s="94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95"/>
      <c r="R1050" s="87"/>
      <c r="S1050" s="96"/>
      <c r="T1050" s="12"/>
      <c r="U1050" s="12"/>
      <c r="V1050" s="12"/>
    </row>
    <row r="1051" spans="1:22">
      <c r="A1051" s="12"/>
      <c r="B1051" s="93"/>
      <c r="C1051" s="12"/>
      <c r="D1051" s="94"/>
      <c r="E1051" s="94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95"/>
      <c r="R1051" s="87"/>
      <c r="S1051" s="96"/>
      <c r="T1051" s="12"/>
      <c r="U1051" s="12"/>
      <c r="V1051" s="12"/>
    </row>
    <row r="1052" spans="1:22">
      <c r="A1052" s="12"/>
      <c r="B1052" s="93"/>
      <c r="C1052" s="12"/>
      <c r="D1052" s="94"/>
      <c r="E1052" s="94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95"/>
      <c r="R1052" s="87"/>
      <c r="S1052" s="96"/>
      <c r="T1052" s="12"/>
      <c r="U1052" s="12"/>
      <c r="V1052" s="12"/>
    </row>
    <row r="1053" spans="1:22">
      <c r="A1053" s="12"/>
      <c r="B1053" s="93"/>
      <c r="C1053" s="12"/>
      <c r="D1053" s="94"/>
      <c r="E1053" s="94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95"/>
      <c r="R1053" s="87"/>
      <c r="S1053" s="96"/>
      <c r="T1053" s="12"/>
      <c r="U1053" s="12"/>
      <c r="V1053" s="12"/>
    </row>
    <row r="1054" spans="1:22">
      <c r="A1054" s="12"/>
      <c r="B1054" s="93"/>
      <c r="C1054" s="12"/>
      <c r="D1054" s="94"/>
      <c r="E1054" s="94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95"/>
      <c r="R1054" s="87"/>
      <c r="S1054" s="96"/>
      <c r="T1054" s="12"/>
      <c r="U1054" s="12"/>
      <c r="V1054" s="12"/>
    </row>
    <row r="1055" spans="1:22">
      <c r="A1055" s="12"/>
      <c r="B1055" s="93"/>
      <c r="C1055" s="12"/>
      <c r="D1055" s="94"/>
      <c r="E1055" s="94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95"/>
      <c r="R1055" s="87"/>
      <c r="S1055" s="96"/>
      <c r="T1055" s="12"/>
      <c r="U1055" s="12"/>
      <c r="V1055" s="12"/>
    </row>
    <row r="1056" spans="1:22">
      <c r="A1056" s="12"/>
      <c r="B1056" s="93"/>
      <c r="C1056" s="12"/>
      <c r="D1056" s="94"/>
      <c r="E1056" s="94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95"/>
      <c r="R1056" s="87"/>
      <c r="S1056" s="96"/>
      <c r="T1056" s="12"/>
      <c r="U1056" s="12"/>
      <c r="V1056" s="12"/>
    </row>
    <row r="1057" spans="1:22">
      <c r="A1057" s="12"/>
      <c r="B1057" s="93"/>
      <c r="C1057" s="12"/>
      <c r="D1057" s="94"/>
      <c r="E1057" s="94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95"/>
      <c r="R1057" s="87"/>
      <c r="S1057" s="96"/>
      <c r="T1057" s="12"/>
      <c r="U1057" s="12"/>
      <c r="V1057" s="12"/>
    </row>
    <row r="1058" spans="1:22">
      <c r="A1058" s="12"/>
      <c r="B1058" s="93"/>
      <c r="C1058" s="12"/>
      <c r="D1058" s="94"/>
      <c r="E1058" s="94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95"/>
      <c r="R1058" s="87"/>
      <c r="S1058" s="96"/>
      <c r="T1058" s="12"/>
      <c r="U1058" s="12"/>
      <c r="V1058" s="12"/>
    </row>
    <row r="1059" spans="1:22">
      <c r="A1059" s="12"/>
      <c r="B1059" s="93"/>
      <c r="C1059" s="12"/>
      <c r="D1059" s="94"/>
      <c r="E1059" s="94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95"/>
      <c r="R1059" s="87"/>
      <c r="S1059" s="96"/>
      <c r="T1059" s="12"/>
      <c r="U1059" s="12"/>
      <c r="V1059" s="12"/>
    </row>
    <row r="1060" spans="1:22">
      <c r="A1060" s="12"/>
      <c r="B1060" s="93"/>
      <c r="C1060" s="12"/>
      <c r="D1060" s="94"/>
      <c r="E1060" s="94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95"/>
      <c r="R1060" s="87"/>
      <c r="S1060" s="96"/>
      <c r="T1060" s="12"/>
      <c r="U1060" s="12"/>
      <c r="V1060" s="12"/>
    </row>
    <row r="1061" spans="1:22">
      <c r="A1061" s="12"/>
      <c r="B1061" s="93"/>
      <c r="C1061" s="12"/>
      <c r="D1061" s="94"/>
      <c r="E1061" s="94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95"/>
      <c r="R1061" s="87"/>
      <c r="S1061" s="96"/>
      <c r="T1061" s="12"/>
      <c r="U1061" s="12"/>
      <c r="V1061" s="12"/>
    </row>
    <row r="1062" spans="1:22">
      <c r="A1062" s="12"/>
      <c r="B1062" s="93"/>
      <c r="C1062" s="12"/>
      <c r="D1062" s="94"/>
      <c r="E1062" s="94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95"/>
      <c r="R1062" s="87"/>
      <c r="S1062" s="96"/>
      <c r="T1062" s="12"/>
      <c r="U1062" s="12"/>
      <c r="V1062" s="12"/>
    </row>
    <row r="1063" spans="1:22">
      <c r="A1063" s="12"/>
      <c r="B1063" s="93"/>
      <c r="C1063" s="12"/>
      <c r="D1063" s="94"/>
      <c r="E1063" s="94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95"/>
      <c r="R1063" s="87"/>
      <c r="S1063" s="96"/>
      <c r="T1063" s="12"/>
      <c r="U1063" s="12"/>
      <c r="V1063" s="12"/>
    </row>
    <row r="1064" spans="1:22">
      <c r="A1064" s="12"/>
      <c r="B1064" s="93"/>
      <c r="C1064" s="12"/>
      <c r="D1064" s="94"/>
      <c r="E1064" s="94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95"/>
      <c r="R1064" s="87"/>
      <c r="S1064" s="96"/>
      <c r="T1064" s="12"/>
      <c r="U1064" s="12"/>
      <c r="V1064" s="12"/>
    </row>
    <row r="1065" spans="1:22">
      <c r="A1065" s="12"/>
      <c r="B1065" s="93"/>
      <c r="C1065" s="12"/>
      <c r="D1065" s="94"/>
      <c r="E1065" s="94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95"/>
      <c r="R1065" s="87"/>
      <c r="S1065" s="96"/>
      <c r="T1065" s="12"/>
      <c r="U1065" s="12"/>
      <c r="V1065" s="12"/>
    </row>
    <row r="1066" spans="1:22">
      <c r="A1066" s="12"/>
      <c r="B1066" s="93"/>
      <c r="C1066" s="12"/>
      <c r="D1066" s="94"/>
      <c r="E1066" s="94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95"/>
      <c r="R1066" s="87"/>
      <c r="S1066" s="96"/>
      <c r="T1066" s="12"/>
      <c r="U1066" s="12"/>
      <c r="V1066" s="12"/>
    </row>
    <row r="1067" spans="1:22">
      <c r="A1067" s="12"/>
      <c r="B1067" s="93"/>
      <c r="C1067" s="12"/>
      <c r="D1067" s="94"/>
      <c r="E1067" s="94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95"/>
      <c r="R1067" s="87"/>
      <c r="S1067" s="96"/>
      <c r="T1067" s="12"/>
      <c r="U1067" s="12"/>
      <c r="V1067" s="12"/>
    </row>
    <row r="1068" spans="1:22">
      <c r="A1068" s="12"/>
      <c r="B1068" s="93"/>
      <c r="C1068" s="12"/>
      <c r="D1068" s="94"/>
      <c r="E1068" s="94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95"/>
      <c r="R1068" s="87"/>
      <c r="S1068" s="96"/>
      <c r="T1068" s="12"/>
      <c r="U1068" s="12"/>
      <c r="V1068" s="12"/>
    </row>
    <row r="1069" spans="1:22">
      <c r="A1069" s="12"/>
      <c r="B1069" s="93"/>
      <c r="C1069" s="12"/>
      <c r="D1069" s="94"/>
      <c r="E1069" s="94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95"/>
      <c r="R1069" s="87"/>
      <c r="S1069" s="96"/>
      <c r="T1069" s="12"/>
      <c r="U1069" s="12"/>
      <c r="V1069" s="12"/>
    </row>
    <row r="1070" spans="1:22">
      <c r="A1070" s="12"/>
      <c r="B1070" s="93"/>
      <c r="C1070" s="12"/>
      <c r="D1070" s="94"/>
      <c r="E1070" s="94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95"/>
      <c r="R1070" s="87"/>
      <c r="S1070" s="96"/>
      <c r="T1070" s="12"/>
      <c r="U1070" s="12"/>
      <c r="V1070" s="12"/>
    </row>
    <row r="1071" spans="1:22">
      <c r="A1071" s="12"/>
      <c r="B1071" s="93"/>
      <c r="C1071" s="12"/>
      <c r="D1071" s="94"/>
      <c r="E1071" s="94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95"/>
      <c r="R1071" s="87"/>
      <c r="S1071" s="96"/>
      <c r="T1071" s="12"/>
      <c r="U1071" s="12"/>
      <c r="V1071" s="12"/>
    </row>
    <row r="1072" spans="1:22">
      <c r="A1072" s="12"/>
      <c r="B1072" s="93"/>
      <c r="C1072" s="12"/>
      <c r="D1072" s="94"/>
      <c r="E1072" s="94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95"/>
      <c r="R1072" s="87"/>
      <c r="S1072" s="96"/>
      <c r="T1072" s="12"/>
      <c r="U1072" s="12"/>
      <c r="V1072" s="12"/>
    </row>
    <row r="1073" spans="1:22">
      <c r="A1073" s="12"/>
      <c r="B1073" s="93"/>
      <c r="C1073" s="12"/>
      <c r="D1073" s="94"/>
      <c r="E1073" s="94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95"/>
      <c r="R1073" s="87"/>
      <c r="S1073" s="96"/>
      <c r="T1073" s="12"/>
      <c r="U1073" s="12"/>
      <c r="V1073" s="12"/>
    </row>
    <row r="1074" spans="1:22">
      <c r="A1074" s="12"/>
      <c r="B1074" s="93"/>
      <c r="C1074" s="12"/>
      <c r="D1074" s="94"/>
      <c r="E1074" s="94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95"/>
      <c r="R1074" s="87"/>
      <c r="S1074" s="96"/>
      <c r="T1074" s="12"/>
      <c r="U1074" s="12"/>
      <c r="V1074" s="12"/>
    </row>
    <row r="1075" spans="1:22">
      <c r="A1075" s="12"/>
      <c r="B1075" s="93"/>
      <c r="C1075" s="12"/>
      <c r="D1075" s="94"/>
      <c r="E1075" s="94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95"/>
      <c r="R1075" s="87"/>
      <c r="S1075" s="96"/>
      <c r="T1075" s="12"/>
      <c r="U1075" s="12"/>
      <c r="V1075" s="12"/>
    </row>
    <row r="1076" spans="1:22">
      <c r="A1076" s="12"/>
      <c r="B1076" s="93"/>
      <c r="C1076" s="12"/>
      <c r="D1076" s="94"/>
      <c r="E1076" s="94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95"/>
      <c r="R1076" s="87"/>
      <c r="S1076" s="96"/>
      <c r="T1076" s="12"/>
      <c r="U1076" s="12"/>
      <c r="V1076" s="12"/>
    </row>
    <row r="1077" spans="1:22">
      <c r="A1077" s="12"/>
      <c r="B1077" s="93"/>
      <c r="C1077" s="12"/>
      <c r="D1077" s="94"/>
      <c r="E1077" s="94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95"/>
      <c r="R1077" s="87"/>
      <c r="S1077" s="96"/>
      <c r="T1077" s="12"/>
      <c r="U1077" s="12"/>
      <c r="V1077" s="12"/>
    </row>
    <row r="1078" spans="1:22">
      <c r="A1078" s="12"/>
      <c r="B1078" s="93"/>
      <c r="C1078" s="12"/>
      <c r="D1078" s="94"/>
      <c r="E1078" s="94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95"/>
      <c r="R1078" s="87"/>
      <c r="S1078" s="96"/>
      <c r="T1078" s="12"/>
      <c r="U1078" s="12"/>
      <c r="V1078" s="12"/>
    </row>
    <row r="1079" spans="1:22">
      <c r="A1079" s="12"/>
      <c r="B1079" s="93"/>
      <c r="C1079" s="12"/>
      <c r="D1079" s="94"/>
      <c r="E1079" s="94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95"/>
      <c r="R1079" s="87"/>
      <c r="S1079" s="96"/>
      <c r="T1079" s="12"/>
      <c r="U1079" s="12"/>
      <c r="V1079" s="12"/>
    </row>
    <row r="1080" spans="1:22">
      <c r="A1080" s="12"/>
      <c r="B1080" s="93"/>
      <c r="C1080" s="12"/>
      <c r="D1080" s="94"/>
      <c r="E1080" s="94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95"/>
      <c r="R1080" s="87"/>
      <c r="S1080" s="96"/>
      <c r="T1080" s="12"/>
      <c r="U1080" s="12"/>
      <c r="V1080" s="12"/>
    </row>
    <row r="1081" spans="1:22">
      <c r="A1081" s="12"/>
      <c r="B1081" s="93"/>
      <c r="C1081" s="12"/>
      <c r="D1081" s="94"/>
      <c r="E1081" s="94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95"/>
      <c r="R1081" s="87"/>
      <c r="S1081" s="96"/>
      <c r="T1081" s="12"/>
      <c r="U1081" s="12"/>
      <c r="V1081" s="12"/>
    </row>
    <row r="1082" spans="1:22">
      <c r="A1082" s="12"/>
      <c r="B1082" s="93"/>
      <c r="C1082" s="12"/>
      <c r="D1082" s="94"/>
      <c r="E1082" s="94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95"/>
      <c r="R1082" s="87"/>
      <c r="S1082" s="96"/>
      <c r="T1082" s="12"/>
      <c r="U1082" s="12"/>
      <c r="V1082" s="12"/>
    </row>
    <row r="1083" spans="1:22">
      <c r="A1083" s="12"/>
      <c r="B1083" s="93"/>
      <c r="C1083" s="12"/>
      <c r="D1083" s="94"/>
      <c r="E1083" s="94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95"/>
      <c r="R1083" s="87"/>
      <c r="S1083" s="96"/>
      <c r="T1083" s="12"/>
      <c r="U1083" s="12"/>
      <c r="V1083" s="12"/>
    </row>
    <row r="1084" spans="1:22">
      <c r="A1084" s="12"/>
      <c r="B1084" s="93"/>
      <c r="C1084" s="12"/>
      <c r="D1084" s="94"/>
      <c r="E1084" s="94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95"/>
      <c r="R1084" s="87"/>
      <c r="S1084" s="96"/>
      <c r="T1084" s="12"/>
      <c r="U1084" s="12"/>
      <c r="V1084" s="12"/>
    </row>
    <row r="1085" spans="1:22">
      <c r="A1085" s="12"/>
      <c r="B1085" s="93"/>
      <c r="C1085" s="12"/>
      <c r="D1085" s="94"/>
      <c r="E1085" s="94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95"/>
      <c r="R1085" s="87"/>
      <c r="S1085" s="96"/>
      <c r="T1085" s="12"/>
      <c r="U1085" s="12"/>
      <c r="V1085" s="12"/>
    </row>
    <row r="1086" spans="1:22">
      <c r="A1086" s="12"/>
      <c r="B1086" s="93"/>
      <c r="C1086" s="12"/>
      <c r="D1086" s="94"/>
      <c r="E1086" s="94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95"/>
      <c r="R1086" s="87"/>
      <c r="S1086" s="96"/>
      <c r="T1086" s="12"/>
      <c r="U1086" s="12"/>
      <c r="V1086" s="12"/>
    </row>
    <row r="1087" spans="1:22">
      <c r="A1087" s="12"/>
      <c r="B1087" s="93"/>
      <c r="C1087" s="12"/>
      <c r="D1087" s="94"/>
      <c r="E1087" s="94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95"/>
      <c r="R1087" s="87"/>
      <c r="S1087" s="96"/>
      <c r="T1087" s="12"/>
      <c r="U1087" s="12"/>
      <c r="V1087" s="12"/>
    </row>
    <row r="1088" spans="1:22">
      <c r="A1088" s="12"/>
      <c r="B1088" s="93"/>
      <c r="C1088" s="12"/>
      <c r="D1088" s="94"/>
      <c r="E1088" s="94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95"/>
      <c r="R1088" s="87"/>
      <c r="S1088" s="96"/>
      <c r="T1088" s="12"/>
      <c r="U1088" s="12"/>
      <c r="V1088" s="12"/>
    </row>
    <row r="1089" spans="1:22">
      <c r="A1089" s="12"/>
      <c r="B1089" s="93"/>
      <c r="C1089" s="12"/>
      <c r="D1089" s="94"/>
      <c r="E1089" s="94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95"/>
      <c r="R1089" s="87"/>
      <c r="S1089" s="96"/>
      <c r="T1089" s="12"/>
      <c r="U1089" s="12"/>
      <c r="V1089" s="12"/>
    </row>
    <row r="1090" spans="1:22">
      <c r="A1090" s="12"/>
      <c r="B1090" s="93"/>
      <c r="C1090" s="12"/>
      <c r="D1090" s="94"/>
      <c r="E1090" s="94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95"/>
      <c r="R1090" s="87"/>
      <c r="S1090" s="96"/>
      <c r="T1090" s="12"/>
      <c r="U1090" s="12"/>
      <c r="V1090" s="12"/>
    </row>
    <row r="1091" spans="1:22">
      <c r="A1091" s="12"/>
      <c r="B1091" s="93"/>
      <c r="C1091" s="12"/>
      <c r="D1091" s="94"/>
      <c r="E1091" s="94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95"/>
      <c r="R1091" s="87"/>
      <c r="S1091" s="96"/>
      <c r="T1091" s="12"/>
      <c r="U1091" s="12"/>
      <c r="V1091" s="12"/>
    </row>
    <row r="1092" spans="1:22">
      <c r="A1092" s="12"/>
      <c r="B1092" s="93"/>
      <c r="C1092" s="12"/>
      <c r="D1092" s="94"/>
      <c r="E1092" s="94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95"/>
      <c r="R1092" s="87"/>
      <c r="S1092" s="96"/>
      <c r="T1092" s="12"/>
      <c r="U1092" s="12"/>
      <c r="V1092" s="12"/>
    </row>
    <row r="1093" spans="1:22">
      <c r="A1093" s="12"/>
      <c r="B1093" s="93"/>
      <c r="C1093" s="12"/>
      <c r="D1093" s="94"/>
      <c r="E1093" s="94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95"/>
      <c r="R1093" s="87"/>
      <c r="S1093" s="96"/>
      <c r="T1093" s="12"/>
      <c r="U1093" s="12"/>
      <c r="V1093" s="12"/>
    </row>
    <row r="1094" spans="1:22">
      <c r="A1094" s="12"/>
      <c r="B1094" s="93"/>
      <c r="C1094" s="12"/>
      <c r="D1094" s="94"/>
      <c r="E1094" s="94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95"/>
      <c r="R1094" s="87"/>
      <c r="S1094" s="96"/>
      <c r="T1094" s="12"/>
      <c r="U1094" s="12"/>
      <c r="V1094" s="12"/>
    </row>
    <row r="1095" spans="1:22">
      <c r="A1095" s="12"/>
      <c r="B1095" s="93"/>
      <c r="C1095" s="12"/>
      <c r="D1095" s="94"/>
      <c r="E1095" s="94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95"/>
      <c r="R1095" s="87"/>
      <c r="S1095" s="96"/>
      <c r="T1095" s="12"/>
      <c r="U1095" s="12"/>
      <c r="V1095" s="12"/>
    </row>
    <row r="1096" spans="1:22">
      <c r="A1096" s="12"/>
      <c r="B1096" s="93"/>
      <c r="C1096" s="12"/>
      <c r="D1096" s="94"/>
      <c r="E1096" s="94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95"/>
      <c r="R1096" s="87"/>
      <c r="S1096" s="96"/>
      <c r="T1096" s="12"/>
      <c r="U1096" s="12"/>
      <c r="V1096" s="12"/>
    </row>
    <row r="1097" spans="1:22">
      <c r="A1097" s="12"/>
      <c r="B1097" s="93"/>
      <c r="C1097" s="12"/>
      <c r="D1097" s="94"/>
      <c r="E1097" s="94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95"/>
      <c r="R1097" s="87"/>
      <c r="S1097" s="96"/>
      <c r="T1097" s="12"/>
      <c r="U1097" s="12"/>
      <c r="V1097" s="12"/>
    </row>
    <row r="1098" spans="1:22">
      <c r="A1098" s="12"/>
      <c r="B1098" s="93"/>
      <c r="C1098" s="12"/>
      <c r="D1098" s="94"/>
      <c r="E1098" s="94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95"/>
      <c r="R1098" s="87"/>
      <c r="S1098" s="96"/>
      <c r="T1098" s="12"/>
      <c r="U1098" s="12"/>
      <c r="V1098" s="12"/>
    </row>
    <row r="1099" spans="1:22">
      <c r="A1099" s="12"/>
      <c r="B1099" s="93"/>
      <c r="C1099" s="12"/>
      <c r="D1099" s="94"/>
      <c r="E1099" s="94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95"/>
      <c r="R1099" s="87"/>
      <c r="S1099" s="96"/>
      <c r="T1099" s="12"/>
      <c r="U1099" s="12"/>
      <c r="V1099" s="12"/>
    </row>
    <row r="1100" spans="1:22">
      <c r="A1100" s="12"/>
      <c r="B1100" s="93"/>
      <c r="C1100" s="12"/>
      <c r="D1100" s="94"/>
      <c r="E1100" s="94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95"/>
      <c r="R1100" s="87"/>
      <c r="S1100" s="96"/>
      <c r="T1100" s="12"/>
      <c r="U1100" s="12"/>
      <c r="V1100" s="12"/>
    </row>
    <row r="1101" spans="1:22">
      <c r="A1101" s="12"/>
      <c r="B1101" s="93"/>
      <c r="C1101" s="12"/>
      <c r="D1101" s="94"/>
      <c r="E1101" s="94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95"/>
      <c r="R1101" s="87"/>
      <c r="S1101" s="96"/>
      <c r="T1101" s="12"/>
      <c r="U1101" s="12"/>
      <c r="V1101" s="12"/>
    </row>
    <row r="1102" spans="1:22">
      <c r="A1102" s="12"/>
      <c r="B1102" s="93"/>
      <c r="C1102" s="12"/>
      <c r="D1102" s="94"/>
      <c r="E1102" s="94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95"/>
      <c r="R1102" s="87"/>
      <c r="S1102" s="96"/>
      <c r="T1102" s="12"/>
      <c r="U1102" s="12"/>
      <c r="V1102" s="12"/>
    </row>
    <row r="1103" spans="1:22">
      <c r="A1103" s="12"/>
      <c r="B1103" s="93"/>
      <c r="C1103" s="12"/>
      <c r="D1103" s="94"/>
      <c r="E1103" s="94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95"/>
      <c r="R1103" s="87"/>
      <c r="S1103" s="96"/>
      <c r="T1103" s="12"/>
      <c r="U1103" s="12"/>
      <c r="V1103" s="12"/>
    </row>
    <row r="1104" spans="1:22">
      <c r="A1104" s="12"/>
      <c r="B1104" s="93"/>
      <c r="C1104" s="12"/>
      <c r="D1104" s="94"/>
      <c r="E1104" s="94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95"/>
      <c r="R1104" s="87"/>
      <c r="S1104" s="96"/>
      <c r="T1104" s="12"/>
      <c r="U1104" s="12"/>
      <c r="V1104" s="12"/>
    </row>
    <row r="1105" spans="1:22">
      <c r="A1105" s="12"/>
      <c r="B1105" s="93"/>
      <c r="C1105" s="12"/>
      <c r="D1105" s="94"/>
      <c r="E1105" s="94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95"/>
      <c r="R1105" s="87"/>
      <c r="S1105" s="96"/>
      <c r="T1105" s="12"/>
      <c r="U1105" s="12"/>
      <c r="V1105" s="12"/>
    </row>
    <row r="1106" spans="1:22">
      <c r="A1106" s="12"/>
      <c r="B1106" s="93"/>
      <c r="C1106" s="12"/>
      <c r="D1106" s="94"/>
      <c r="E1106" s="94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95"/>
      <c r="R1106" s="87"/>
      <c r="S1106" s="96"/>
      <c r="T1106" s="12"/>
      <c r="U1106" s="12"/>
      <c r="V1106" s="12"/>
    </row>
    <row r="1107" spans="1:22">
      <c r="A1107" s="12"/>
      <c r="B1107" s="93"/>
      <c r="C1107" s="12"/>
      <c r="D1107" s="94"/>
      <c r="E1107" s="94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95"/>
      <c r="R1107" s="87"/>
      <c r="S1107" s="96"/>
      <c r="T1107" s="12"/>
      <c r="U1107" s="12"/>
      <c r="V1107" s="12"/>
    </row>
    <row r="1108" spans="1:22">
      <c r="A1108" s="12"/>
      <c r="B1108" s="93"/>
      <c r="C1108" s="12"/>
      <c r="D1108" s="94"/>
      <c r="E1108" s="94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95"/>
      <c r="R1108" s="87"/>
      <c r="S1108" s="96"/>
      <c r="T1108" s="12"/>
      <c r="U1108" s="12"/>
      <c r="V1108" s="12"/>
    </row>
    <row r="1109" spans="1:22">
      <c r="A1109" s="12"/>
      <c r="B1109" s="93"/>
      <c r="C1109" s="12"/>
      <c r="D1109" s="94"/>
      <c r="E1109" s="94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95"/>
      <c r="R1109" s="87"/>
      <c r="S1109" s="96"/>
      <c r="T1109" s="12"/>
      <c r="U1109" s="12"/>
      <c r="V1109" s="12"/>
    </row>
    <row r="1110" spans="1:22">
      <c r="A1110" s="12"/>
      <c r="B1110" s="93"/>
      <c r="C1110" s="12"/>
      <c r="D1110" s="94"/>
      <c r="E1110" s="94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95"/>
      <c r="R1110" s="87"/>
      <c r="S1110" s="96"/>
      <c r="T1110" s="12"/>
      <c r="U1110" s="12"/>
      <c r="V1110" s="12"/>
    </row>
    <row r="1111" spans="1:22">
      <c r="A1111" s="12"/>
      <c r="B1111" s="93"/>
      <c r="C1111" s="12"/>
      <c r="D1111" s="94"/>
      <c r="E1111" s="94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95"/>
      <c r="R1111" s="87"/>
      <c r="S1111" s="96"/>
      <c r="T1111" s="12"/>
      <c r="U1111" s="12"/>
      <c r="V1111" s="12"/>
    </row>
    <row r="1112" spans="1:22">
      <c r="A1112" s="12"/>
      <c r="B1112" s="93"/>
      <c r="C1112" s="12"/>
      <c r="D1112" s="94"/>
      <c r="E1112" s="94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95"/>
      <c r="R1112" s="87"/>
      <c r="S1112" s="96"/>
      <c r="T1112" s="12"/>
      <c r="U1112" s="12"/>
      <c r="V1112" s="12"/>
    </row>
    <row r="1113" spans="1:22">
      <c r="A1113" s="12"/>
      <c r="B1113" s="93"/>
      <c r="C1113" s="12"/>
      <c r="D1113" s="94"/>
      <c r="E1113" s="94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95"/>
      <c r="R1113" s="87"/>
      <c r="S1113" s="96"/>
      <c r="T1113" s="12"/>
      <c r="U1113" s="12"/>
      <c r="V1113" s="12"/>
    </row>
    <row r="1114" spans="1:22">
      <c r="A1114" s="12"/>
      <c r="B1114" s="93"/>
      <c r="C1114" s="12"/>
      <c r="D1114" s="94"/>
      <c r="E1114" s="94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95"/>
      <c r="R1114" s="87"/>
      <c r="S1114" s="96"/>
      <c r="T1114" s="12"/>
      <c r="U1114" s="12"/>
      <c r="V1114" s="12"/>
    </row>
    <row r="1115" spans="1:22">
      <c r="A1115" s="12"/>
      <c r="B1115" s="93"/>
      <c r="C1115" s="12"/>
      <c r="D1115" s="94"/>
      <c r="E1115" s="94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95"/>
      <c r="R1115" s="87"/>
      <c r="S1115" s="96"/>
      <c r="T1115" s="12"/>
      <c r="U1115" s="12"/>
      <c r="V1115" s="12"/>
    </row>
    <row r="1116" spans="1:22">
      <c r="A1116" s="12"/>
      <c r="B1116" s="93"/>
      <c r="C1116" s="12"/>
      <c r="D1116" s="94"/>
      <c r="E1116" s="94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95"/>
      <c r="R1116" s="87"/>
      <c r="S1116" s="96"/>
      <c r="T1116" s="12"/>
      <c r="U1116" s="12"/>
      <c r="V1116" s="12"/>
    </row>
    <row r="1117" spans="1:22">
      <c r="A1117" s="12"/>
      <c r="B1117" s="93"/>
      <c r="C1117" s="12"/>
      <c r="D1117" s="94"/>
      <c r="E1117" s="94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95"/>
      <c r="R1117" s="87"/>
      <c r="S1117" s="96"/>
      <c r="T1117" s="12"/>
      <c r="U1117" s="12"/>
      <c r="V1117" s="12"/>
    </row>
    <row r="1118" spans="1:22">
      <c r="A1118" s="12"/>
      <c r="B1118" s="93"/>
      <c r="C1118" s="12"/>
      <c r="D1118" s="94"/>
      <c r="E1118" s="94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95"/>
      <c r="R1118" s="87"/>
      <c r="S1118" s="96"/>
      <c r="T1118" s="12"/>
      <c r="U1118" s="12"/>
      <c r="V1118" s="12"/>
    </row>
    <row r="1119" spans="1:22">
      <c r="A1119" s="12"/>
      <c r="B1119" s="93"/>
      <c r="C1119" s="12"/>
      <c r="D1119" s="94"/>
      <c r="E1119" s="94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95"/>
      <c r="R1119" s="87"/>
      <c r="S1119" s="96"/>
      <c r="T1119" s="12"/>
      <c r="U1119" s="12"/>
      <c r="V1119" s="12"/>
    </row>
    <row r="1120" spans="1:22">
      <c r="A1120" s="12"/>
      <c r="B1120" s="93"/>
      <c r="C1120" s="12"/>
      <c r="D1120" s="94"/>
      <c r="E1120" s="94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95"/>
      <c r="R1120" s="87"/>
      <c r="S1120" s="96"/>
      <c r="T1120" s="12"/>
      <c r="U1120" s="12"/>
      <c r="V1120" s="12"/>
    </row>
    <row r="1121" spans="1:22">
      <c r="A1121" s="12"/>
      <c r="B1121" s="93"/>
      <c r="C1121" s="12"/>
      <c r="D1121" s="94"/>
      <c r="E1121" s="94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95"/>
      <c r="R1121" s="87"/>
      <c r="S1121" s="96"/>
      <c r="T1121" s="12"/>
      <c r="U1121" s="12"/>
      <c r="V1121" s="12"/>
    </row>
    <row r="1122" spans="1:22">
      <c r="A1122" s="12"/>
      <c r="B1122" s="93"/>
      <c r="C1122" s="12"/>
      <c r="D1122" s="94"/>
      <c r="E1122" s="94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95"/>
      <c r="R1122" s="87"/>
      <c r="S1122" s="96"/>
      <c r="T1122" s="12"/>
      <c r="U1122" s="12"/>
      <c r="V1122" s="12"/>
    </row>
    <row r="1123" spans="1:22">
      <c r="A1123" s="12"/>
      <c r="B1123" s="93"/>
      <c r="C1123" s="12"/>
      <c r="D1123" s="94"/>
      <c r="E1123" s="94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95"/>
      <c r="R1123" s="87"/>
      <c r="S1123" s="96"/>
      <c r="T1123" s="12"/>
      <c r="U1123" s="12"/>
      <c r="V1123" s="12"/>
    </row>
    <row r="1124" spans="1:22">
      <c r="A1124" s="12"/>
      <c r="B1124" s="93"/>
      <c r="C1124" s="12"/>
      <c r="D1124" s="94"/>
      <c r="E1124" s="94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95"/>
      <c r="R1124" s="87"/>
      <c r="S1124" s="96"/>
      <c r="T1124" s="12"/>
      <c r="U1124" s="12"/>
      <c r="V1124" s="12"/>
    </row>
    <row r="1125" spans="1:22">
      <c r="A1125" s="12"/>
      <c r="B1125" s="93"/>
      <c r="C1125" s="12"/>
      <c r="D1125" s="94"/>
      <c r="E1125" s="94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95"/>
      <c r="R1125" s="87"/>
      <c r="S1125" s="96"/>
      <c r="T1125" s="12"/>
      <c r="U1125" s="12"/>
      <c r="V1125" s="12"/>
    </row>
    <row r="1126" spans="1:22">
      <c r="A1126" s="12"/>
      <c r="B1126" s="93"/>
      <c r="C1126" s="12"/>
      <c r="D1126" s="94"/>
      <c r="E1126" s="94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95"/>
      <c r="R1126" s="87"/>
      <c r="S1126" s="96"/>
      <c r="T1126" s="12"/>
      <c r="U1126" s="12"/>
      <c r="V1126" s="12"/>
    </row>
    <row r="1127" spans="1:22">
      <c r="A1127" s="12"/>
      <c r="B1127" s="93"/>
      <c r="C1127" s="12"/>
      <c r="D1127" s="94"/>
      <c r="E1127" s="94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95"/>
      <c r="R1127" s="87"/>
      <c r="S1127" s="96"/>
      <c r="T1127" s="12"/>
      <c r="U1127" s="12"/>
      <c r="V1127" s="12"/>
    </row>
    <row r="1128" spans="1:22">
      <c r="A1128" s="12"/>
      <c r="B1128" s="93"/>
      <c r="C1128" s="12"/>
      <c r="D1128" s="94"/>
      <c r="E1128" s="94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95"/>
      <c r="R1128" s="87"/>
      <c r="S1128" s="96"/>
      <c r="T1128" s="12"/>
      <c r="U1128" s="12"/>
      <c r="V1128" s="12"/>
    </row>
    <row r="1129" spans="1:22">
      <c r="A1129" s="12"/>
      <c r="B1129" s="93"/>
      <c r="C1129" s="12"/>
      <c r="D1129" s="94"/>
      <c r="E1129" s="94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95"/>
      <c r="R1129" s="87"/>
      <c r="S1129" s="96"/>
      <c r="T1129" s="12"/>
      <c r="U1129" s="12"/>
      <c r="V1129" s="12"/>
    </row>
    <row r="1130" spans="1:22">
      <c r="A1130" s="12"/>
      <c r="B1130" s="93"/>
      <c r="C1130" s="12"/>
      <c r="D1130" s="94"/>
      <c r="E1130" s="94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95"/>
      <c r="R1130" s="87"/>
      <c r="S1130" s="96"/>
      <c r="T1130" s="12"/>
      <c r="U1130" s="12"/>
      <c r="V1130" s="12"/>
    </row>
    <row r="1131" spans="1:22">
      <c r="A1131" s="12"/>
      <c r="B1131" s="93"/>
      <c r="C1131" s="12"/>
      <c r="D1131" s="94"/>
      <c r="E1131" s="94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95"/>
      <c r="R1131" s="87"/>
      <c r="S1131" s="96"/>
      <c r="T1131" s="12"/>
      <c r="U1131" s="12"/>
      <c r="V1131" s="12"/>
    </row>
    <row r="1132" spans="1:22">
      <c r="A1132" s="12"/>
      <c r="B1132" s="93"/>
      <c r="C1132" s="12"/>
      <c r="D1132" s="94"/>
      <c r="E1132" s="94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95"/>
      <c r="R1132" s="87"/>
      <c r="S1132" s="96"/>
      <c r="T1132" s="12"/>
      <c r="U1132" s="12"/>
      <c r="V1132" s="12"/>
    </row>
    <row r="1133" spans="1:22">
      <c r="A1133" s="12"/>
      <c r="B1133" s="93"/>
      <c r="C1133" s="12"/>
      <c r="D1133" s="94"/>
      <c r="E1133" s="94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95"/>
      <c r="R1133" s="87"/>
      <c r="S1133" s="96"/>
      <c r="T1133" s="12"/>
      <c r="U1133" s="12"/>
      <c r="V1133" s="12"/>
    </row>
    <row r="1134" spans="1:22">
      <c r="A1134" s="12"/>
      <c r="B1134" s="93"/>
      <c r="C1134" s="12"/>
      <c r="D1134" s="94"/>
      <c r="E1134" s="94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95"/>
      <c r="R1134" s="87"/>
      <c r="S1134" s="96"/>
      <c r="T1134" s="12"/>
      <c r="U1134" s="12"/>
      <c r="V1134" s="12"/>
    </row>
    <row r="1135" spans="1:22">
      <c r="A1135" s="12"/>
      <c r="B1135" s="93"/>
      <c r="C1135" s="12"/>
      <c r="D1135" s="94"/>
      <c r="E1135" s="94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95"/>
      <c r="R1135" s="87"/>
      <c r="S1135" s="96"/>
      <c r="T1135" s="12"/>
      <c r="U1135" s="12"/>
      <c r="V1135" s="12"/>
    </row>
    <row r="1136" spans="1:22">
      <c r="A1136" s="12"/>
      <c r="B1136" s="93"/>
      <c r="C1136" s="12"/>
      <c r="D1136" s="94"/>
      <c r="E1136" s="94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95"/>
      <c r="R1136" s="87"/>
      <c r="S1136" s="96"/>
      <c r="T1136" s="12"/>
      <c r="U1136" s="12"/>
      <c r="V1136" s="12"/>
    </row>
    <row r="1137" spans="1:22">
      <c r="A1137" s="12"/>
      <c r="B1137" s="93"/>
      <c r="C1137" s="12"/>
      <c r="D1137" s="94"/>
      <c r="E1137" s="94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95"/>
      <c r="R1137" s="87"/>
      <c r="S1137" s="96"/>
      <c r="T1137" s="12"/>
      <c r="U1137" s="12"/>
      <c r="V1137" s="12"/>
    </row>
    <row r="1138" spans="1:22">
      <c r="A1138" s="12"/>
      <c r="B1138" s="93"/>
      <c r="C1138" s="12"/>
      <c r="D1138" s="94"/>
      <c r="E1138" s="94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95"/>
      <c r="R1138" s="87"/>
      <c r="S1138" s="96"/>
      <c r="T1138" s="12"/>
      <c r="U1138" s="12"/>
      <c r="V1138" s="12"/>
    </row>
    <row r="1139" spans="1:22">
      <c r="A1139" s="12"/>
      <c r="B1139" s="93"/>
      <c r="C1139" s="12"/>
      <c r="D1139" s="94"/>
      <c r="E1139" s="94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95"/>
      <c r="R1139" s="87"/>
      <c r="S1139" s="96"/>
      <c r="T1139" s="12"/>
      <c r="U1139" s="12"/>
      <c r="V1139" s="12"/>
    </row>
    <row r="1140" spans="1:22">
      <c r="A1140" s="12"/>
      <c r="B1140" s="93"/>
      <c r="C1140" s="12"/>
      <c r="D1140" s="94"/>
      <c r="E1140" s="94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95"/>
      <c r="R1140" s="87"/>
      <c r="S1140" s="96"/>
      <c r="T1140" s="12"/>
      <c r="U1140" s="12"/>
      <c r="V1140" s="12"/>
    </row>
    <row r="1141" spans="1:22">
      <c r="A1141" s="12"/>
      <c r="B1141" s="93"/>
      <c r="C1141" s="12"/>
      <c r="D1141" s="94"/>
      <c r="E1141" s="94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95"/>
      <c r="R1141" s="87"/>
      <c r="S1141" s="96"/>
      <c r="T1141" s="12"/>
      <c r="U1141" s="12"/>
      <c r="V1141" s="12"/>
    </row>
    <row r="1142" spans="1:22">
      <c r="A1142" s="12"/>
      <c r="B1142" s="93"/>
      <c r="C1142" s="12"/>
      <c r="D1142" s="94"/>
      <c r="E1142" s="94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95"/>
      <c r="R1142" s="87"/>
      <c r="S1142" s="96"/>
      <c r="T1142" s="12"/>
      <c r="U1142" s="12"/>
      <c r="V1142" s="12"/>
    </row>
    <row r="1143" spans="1:22">
      <c r="A1143" s="12"/>
      <c r="B1143" s="93"/>
      <c r="C1143" s="12"/>
      <c r="D1143" s="94"/>
      <c r="E1143" s="94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95"/>
      <c r="R1143" s="87"/>
      <c r="S1143" s="96"/>
      <c r="T1143" s="12"/>
      <c r="U1143" s="12"/>
      <c r="V1143" s="12"/>
    </row>
    <row r="1144" spans="1:22">
      <c r="A1144" s="12"/>
      <c r="B1144" s="93"/>
      <c r="C1144" s="12"/>
      <c r="D1144" s="94"/>
      <c r="E1144" s="94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95"/>
      <c r="R1144" s="87"/>
      <c r="S1144" s="96"/>
      <c r="T1144" s="12"/>
      <c r="U1144" s="12"/>
      <c r="V1144" s="12"/>
    </row>
    <row r="1145" spans="1:22">
      <c r="A1145" s="12"/>
      <c r="B1145" s="93"/>
      <c r="C1145" s="12"/>
      <c r="D1145" s="94"/>
      <c r="E1145" s="94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95"/>
      <c r="R1145" s="87"/>
      <c r="S1145" s="96"/>
      <c r="T1145" s="12"/>
      <c r="U1145" s="12"/>
      <c r="V1145" s="12"/>
    </row>
    <row r="1146" spans="1:22">
      <c r="A1146" s="12"/>
      <c r="B1146" s="93"/>
      <c r="C1146" s="12"/>
      <c r="D1146" s="94"/>
      <c r="E1146" s="94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95"/>
      <c r="R1146" s="87"/>
      <c r="S1146" s="96"/>
      <c r="T1146" s="12"/>
      <c r="U1146" s="12"/>
      <c r="V1146" s="12"/>
    </row>
    <row r="1147" spans="1:22">
      <c r="A1147" s="12"/>
      <c r="B1147" s="93"/>
      <c r="C1147" s="12"/>
      <c r="D1147" s="94"/>
      <c r="E1147" s="94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95"/>
      <c r="R1147" s="87"/>
      <c r="S1147" s="96"/>
      <c r="T1147" s="12"/>
      <c r="U1147" s="12"/>
      <c r="V1147" s="12"/>
    </row>
    <row r="1148" spans="1:22">
      <c r="A1148" s="12"/>
      <c r="B1148" s="93"/>
      <c r="C1148" s="12"/>
      <c r="D1148" s="94"/>
      <c r="E1148" s="94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95"/>
      <c r="R1148" s="87"/>
      <c r="S1148" s="96"/>
      <c r="T1148" s="12"/>
      <c r="U1148" s="12"/>
      <c r="V1148" s="12"/>
    </row>
    <row r="1149" spans="1:22">
      <c r="A1149" s="12"/>
      <c r="B1149" s="93"/>
      <c r="C1149" s="12"/>
      <c r="D1149" s="94"/>
      <c r="E1149" s="94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95"/>
      <c r="R1149" s="87"/>
      <c r="S1149" s="96"/>
      <c r="T1149" s="12"/>
      <c r="U1149" s="12"/>
      <c r="V1149" s="12"/>
    </row>
    <row r="1150" spans="1:22">
      <c r="A1150" s="12"/>
      <c r="B1150" s="93"/>
      <c r="C1150" s="12"/>
      <c r="D1150" s="94"/>
      <c r="E1150" s="94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95"/>
      <c r="R1150" s="87"/>
      <c r="S1150" s="96"/>
      <c r="T1150" s="12"/>
      <c r="U1150" s="12"/>
      <c r="V1150" s="12"/>
    </row>
    <row r="1151" spans="1:22">
      <c r="A1151" s="12"/>
      <c r="B1151" s="93"/>
      <c r="C1151" s="12"/>
      <c r="D1151" s="94"/>
      <c r="E1151" s="94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95"/>
      <c r="R1151" s="87"/>
      <c r="S1151" s="96"/>
      <c r="T1151" s="12"/>
      <c r="U1151" s="12"/>
      <c r="V1151" s="12"/>
    </row>
    <row r="1152" spans="1:22">
      <c r="A1152" s="12"/>
      <c r="B1152" s="93"/>
      <c r="C1152" s="12"/>
      <c r="D1152" s="94"/>
      <c r="E1152" s="94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95"/>
      <c r="R1152" s="87"/>
      <c r="S1152" s="96"/>
      <c r="T1152" s="12"/>
      <c r="U1152" s="12"/>
      <c r="V1152" s="12"/>
    </row>
    <row r="1153" spans="1:22">
      <c r="A1153" s="12"/>
      <c r="B1153" s="93"/>
      <c r="C1153" s="12"/>
      <c r="D1153" s="94"/>
      <c r="E1153" s="94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95"/>
      <c r="R1153" s="87"/>
      <c r="S1153" s="96"/>
      <c r="T1153" s="12"/>
      <c r="U1153" s="12"/>
      <c r="V1153" s="12"/>
    </row>
    <row r="1154" spans="1:22">
      <c r="A1154" s="12"/>
      <c r="B1154" s="93"/>
      <c r="C1154" s="12"/>
      <c r="D1154" s="94"/>
      <c r="E1154" s="94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95"/>
      <c r="R1154" s="87"/>
      <c r="S1154" s="96"/>
      <c r="T1154" s="12"/>
      <c r="U1154" s="12"/>
      <c r="V1154" s="12"/>
    </row>
    <row r="1155" spans="1:22">
      <c r="A1155" s="12"/>
      <c r="B1155" s="93"/>
      <c r="C1155" s="12"/>
      <c r="D1155" s="94"/>
      <c r="E1155" s="94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95"/>
      <c r="R1155" s="87"/>
      <c r="S1155" s="96"/>
      <c r="T1155" s="12"/>
      <c r="U1155" s="12"/>
      <c r="V1155" s="12"/>
    </row>
    <row r="1156" spans="1:22">
      <c r="A1156" s="12"/>
      <c r="B1156" s="93"/>
      <c r="C1156" s="12"/>
      <c r="D1156" s="94"/>
      <c r="E1156" s="94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95"/>
      <c r="R1156" s="87"/>
      <c r="S1156" s="96"/>
      <c r="T1156" s="12"/>
      <c r="U1156" s="12"/>
      <c r="V1156" s="12"/>
    </row>
    <row r="1157" spans="1:22">
      <c r="A1157" s="12"/>
      <c r="B1157" s="93"/>
      <c r="C1157" s="12"/>
      <c r="D1157" s="94"/>
      <c r="E1157" s="94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95"/>
      <c r="R1157" s="87"/>
      <c r="S1157" s="96"/>
      <c r="T1157" s="12"/>
      <c r="U1157" s="12"/>
      <c r="V1157" s="12"/>
    </row>
    <row r="1158" spans="1:22">
      <c r="A1158" s="12"/>
      <c r="B1158" s="93"/>
      <c r="C1158" s="12"/>
      <c r="D1158" s="94"/>
      <c r="E1158" s="94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95"/>
      <c r="R1158" s="87"/>
      <c r="S1158" s="96"/>
      <c r="T1158" s="12"/>
      <c r="U1158" s="12"/>
      <c r="V1158" s="12"/>
    </row>
    <row r="1159" spans="1:22">
      <c r="A1159" s="12"/>
      <c r="B1159" s="93"/>
      <c r="C1159" s="12"/>
      <c r="D1159" s="94"/>
      <c r="E1159" s="94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95"/>
      <c r="R1159" s="87"/>
      <c r="S1159" s="96"/>
      <c r="T1159" s="12"/>
      <c r="U1159" s="12"/>
      <c r="V1159" s="12"/>
    </row>
    <row r="1160" spans="1:22">
      <c r="A1160" s="12"/>
      <c r="B1160" s="93"/>
      <c r="C1160" s="12"/>
      <c r="D1160" s="94"/>
      <c r="E1160" s="94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95"/>
      <c r="R1160" s="87"/>
      <c r="S1160" s="96"/>
      <c r="T1160" s="12"/>
      <c r="U1160" s="12"/>
      <c r="V1160" s="12"/>
    </row>
    <row r="1161" spans="1:22">
      <c r="A1161" s="12"/>
      <c r="B1161" s="93"/>
      <c r="C1161" s="12"/>
      <c r="D1161" s="94"/>
      <c r="E1161" s="94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95"/>
      <c r="R1161" s="87"/>
      <c r="S1161" s="96"/>
      <c r="T1161" s="12"/>
      <c r="U1161" s="12"/>
      <c r="V1161" s="12"/>
    </row>
    <row r="1162" spans="1:22">
      <c r="A1162" s="12"/>
      <c r="B1162" s="93"/>
      <c r="C1162" s="12"/>
      <c r="D1162" s="94"/>
      <c r="E1162" s="94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95"/>
      <c r="R1162" s="87"/>
      <c r="S1162" s="96"/>
      <c r="T1162" s="12"/>
      <c r="U1162" s="12"/>
      <c r="V1162" s="12"/>
    </row>
    <row r="1163" spans="1:22">
      <c r="A1163" s="12"/>
      <c r="B1163" s="93"/>
      <c r="C1163" s="12"/>
      <c r="D1163" s="94"/>
      <c r="E1163" s="94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95"/>
      <c r="R1163" s="87"/>
      <c r="S1163" s="96"/>
      <c r="T1163" s="12"/>
      <c r="U1163" s="12"/>
      <c r="V1163" s="12"/>
    </row>
    <row r="1164" spans="1:22">
      <c r="A1164" s="12"/>
      <c r="B1164" s="93"/>
      <c r="C1164" s="12"/>
      <c r="D1164" s="94"/>
      <c r="E1164" s="94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95"/>
      <c r="R1164" s="87"/>
      <c r="S1164" s="96"/>
      <c r="T1164" s="12"/>
      <c r="U1164" s="12"/>
      <c r="V1164" s="12"/>
    </row>
    <row r="1165" spans="1:22">
      <c r="A1165" s="12"/>
      <c r="B1165" s="93"/>
      <c r="C1165" s="12"/>
      <c r="D1165" s="94"/>
      <c r="E1165" s="94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95"/>
      <c r="R1165" s="87"/>
      <c r="S1165" s="96"/>
      <c r="T1165" s="12"/>
      <c r="U1165" s="12"/>
      <c r="V1165" s="12"/>
    </row>
    <row r="1166" spans="1:22">
      <c r="A1166" s="12"/>
      <c r="B1166" s="93"/>
      <c r="C1166" s="12"/>
      <c r="D1166" s="94"/>
      <c r="E1166" s="94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95"/>
      <c r="R1166" s="87"/>
      <c r="S1166" s="96"/>
      <c r="T1166" s="12"/>
      <c r="U1166" s="12"/>
      <c r="V1166" s="12"/>
    </row>
    <row r="1167" spans="1:22">
      <c r="A1167" s="12"/>
      <c r="B1167" s="93"/>
      <c r="C1167" s="12"/>
      <c r="D1167" s="94"/>
      <c r="E1167" s="94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95"/>
      <c r="R1167" s="87"/>
      <c r="S1167" s="96"/>
      <c r="T1167" s="12"/>
      <c r="U1167" s="12"/>
      <c r="V1167" s="12"/>
    </row>
    <row r="1168" spans="1:22">
      <c r="A1168" s="12"/>
      <c r="B1168" s="93"/>
      <c r="C1168" s="12"/>
      <c r="D1168" s="94"/>
      <c r="E1168" s="94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95"/>
      <c r="R1168" s="87"/>
      <c r="S1168" s="96"/>
      <c r="T1168" s="12"/>
      <c r="U1168" s="12"/>
      <c r="V1168" s="12"/>
    </row>
    <row r="1169" spans="1:22">
      <c r="A1169" s="12"/>
      <c r="B1169" s="93"/>
      <c r="C1169" s="12"/>
      <c r="D1169" s="94"/>
      <c r="E1169" s="94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95"/>
      <c r="R1169" s="87"/>
      <c r="S1169" s="96"/>
      <c r="T1169" s="12"/>
      <c r="U1169" s="12"/>
      <c r="V1169" s="12"/>
    </row>
    <row r="1170" spans="1:22">
      <c r="A1170" s="12"/>
      <c r="B1170" s="93"/>
      <c r="C1170" s="12"/>
      <c r="D1170" s="94"/>
      <c r="E1170" s="94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95"/>
      <c r="R1170" s="87"/>
      <c r="S1170" s="96"/>
      <c r="T1170" s="12"/>
      <c r="U1170" s="12"/>
      <c r="V1170" s="12"/>
    </row>
    <row r="1171" spans="1:22">
      <c r="A1171" s="12"/>
      <c r="B1171" s="93"/>
      <c r="C1171" s="12"/>
      <c r="D1171" s="94"/>
      <c r="E1171" s="94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95"/>
      <c r="R1171" s="87"/>
      <c r="S1171" s="96"/>
      <c r="T1171" s="12"/>
      <c r="U1171" s="12"/>
      <c r="V1171" s="12"/>
    </row>
    <row r="1172" spans="1:22">
      <c r="A1172" s="12"/>
      <c r="B1172" s="93"/>
      <c r="C1172" s="12"/>
      <c r="D1172" s="94"/>
      <c r="E1172" s="94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95"/>
      <c r="R1172" s="87"/>
      <c r="S1172" s="96"/>
      <c r="T1172" s="12"/>
      <c r="U1172" s="12"/>
      <c r="V1172" s="12"/>
    </row>
    <row r="1173" spans="1:22">
      <c r="A1173" s="12"/>
      <c r="B1173" s="93"/>
      <c r="C1173" s="12"/>
      <c r="D1173" s="94"/>
      <c r="E1173" s="94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95"/>
      <c r="R1173" s="87"/>
      <c r="S1173" s="96"/>
      <c r="T1173" s="12"/>
      <c r="U1173" s="12"/>
      <c r="V1173" s="12"/>
    </row>
    <row r="1174" spans="1:22">
      <c r="A1174" s="12"/>
      <c r="B1174" s="93"/>
      <c r="C1174" s="12"/>
      <c r="D1174" s="94"/>
      <c r="E1174" s="94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95"/>
      <c r="R1174" s="87"/>
      <c r="S1174" s="96"/>
      <c r="T1174" s="12"/>
      <c r="U1174" s="12"/>
      <c r="V1174" s="12"/>
    </row>
    <row r="1175" spans="1:22">
      <c r="A1175" s="12"/>
      <c r="B1175" s="93"/>
      <c r="C1175" s="12"/>
      <c r="D1175" s="94"/>
      <c r="E1175" s="94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95"/>
      <c r="R1175" s="87"/>
      <c r="S1175" s="96"/>
      <c r="T1175" s="12"/>
      <c r="U1175" s="12"/>
      <c r="V1175" s="12"/>
    </row>
    <row r="1176" spans="1:22">
      <c r="A1176" s="12"/>
      <c r="B1176" s="93"/>
      <c r="C1176" s="12"/>
      <c r="D1176" s="94"/>
      <c r="E1176" s="94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95"/>
      <c r="R1176" s="87"/>
      <c r="S1176" s="96"/>
      <c r="T1176" s="12"/>
      <c r="U1176" s="12"/>
      <c r="V1176" s="12"/>
    </row>
    <row r="1177" spans="1:22">
      <c r="A1177" s="12"/>
      <c r="B1177" s="93"/>
      <c r="C1177" s="12"/>
      <c r="D1177" s="94"/>
      <c r="E1177" s="94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95"/>
      <c r="R1177" s="87"/>
      <c r="S1177" s="96"/>
      <c r="T1177" s="12"/>
      <c r="U1177" s="12"/>
      <c r="V1177" s="12"/>
    </row>
    <row r="1178" spans="1:22">
      <c r="A1178" s="12"/>
      <c r="B1178" s="93"/>
      <c r="C1178" s="12"/>
      <c r="D1178" s="94"/>
      <c r="E1178" s="94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95"/>
      <c r="R1178" s="87"/>
      <c r="S1178" s="96"/>
      <c r="T1178" s="12"/>
      <c r="U1178" s="12"/>
      <c r="V1178" s="12"/>
    </row>
    <row r="1179" spans="1:22">
      <c r="A1179" s="12"/>
      <c r="B1179" s="93"/>
      <c r="C1179" s="12"/>
      <c r="D1179" s="94"/>
      <c r="E1179" s="94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95"/>
      <c r="R1179" s="87"/>
      <c r="S1179" s="96"/>
      <c r="T1179" s="12"/>
      <c r="U1179" s="12"/>
      <c r="V1179" s="12"/>
    </row>
    <row r="1180" spans="1:22">
      <c r="A1180" s="12"/>
      <c r="B1180" s="93"/>
      <c r="C1180" s="12"/>
      <c r="D1180" s="94"/>
      <c r="E1180" s="94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95"/>
      <c r="R1180" s="87"/>
      <c r="S1180" s="96"/>
      <c r="T1180" s="12"/>
      <c r="U1180" s="12"/>
      <c r="V1180" s="12"/>
    </row>
    <row r="1181" spans="1:22">
      <c r="A1181" s="12"/>
      <c r="B1181" s="93"/>
      <c r="C1181" s="12"/>
      <c r="D1181" s="94"/>
      <c r="E1181" s="94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95"/>
      <c r="R1181" s="87"/>
      <c r="S1181" s="96"/>
      <c r="T1181" s="12"/>
      <c r="U1181" s="12"/>
      <c r="V1181" s="12"/>
    </row>
    <row r="1182" spans="1:22">
      <c r="A1182" s="12"/>
      <c r="B1182" s="93"/>
      <c r="C1182" s="12"/>
      <c r="D1182" s="94"/>
      <c r="E1182" s="94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95"/>
      <c r="R1182" s="87"/>
      <c r="S1182" s="96"/>
      <c r="T1182" s="12"/>
      <c r="U1182" s="12"/>
      <c r="V1182" s="12"/>
    </row>
    <row r="1183" spans="1:22">
      <c r="A1183" s="12"/>
      <c r="B1183" s="93"/>
      <c r="C1183" s="12"/>
      <c r="D1183" s="94"/>
      <c r="E1183" s="94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95"/>
      <c r="R1183" s="87"/>
      <c r="S1183" s="96"/>
      <c r="T1183" s="12"/>
      <c r="U1183" s="12"/>
      <c r="V1183" s="12"/>
    </row>
    <row r="1184" spans="1:22">
      <c r="A1184" s="12"/>
      <c r="B1184" s="93"/>
      <c r="C1184" s="12"/>
      <c r="D1184" s="94"/>
      <c r="E1184" s="94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95"/>
      <c r="R1184" s="87"/>
      <c r="S1184" s="96"/>
      <c r="T1184" s="12"/>
      <c r="U1184" s="12"/>
      <c r="V1184" s="12"/>
    </row>
    <row r="1185" spans="1:22">
      <c r="A1185" s="12"/>
      <c r="B1185" s="93"/>
      <c r="C1185" s="12"/>
      <c r="D1185" s="94"/>
      <c r="E1185" s="94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95"/>
      <c r="R1185" s="87"/>
      <c r="S1185" s="96"/>
      <c r="T1185" s="12"/>
      <c r="U1185" s="12"/>
      <c r="V1185" s="12"/>
    </row>
    <row r="1186" spans="1:22">
      <c r="A1186" s="12"/>
      <c r="B1186" s="93"/>
      <c r="C1186" s="12"/>
      <c r="D1186" s="94"/>
      <c r="E1186" s="94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95"/>
      <c r="R1186" s="87"/>
      <c r="S1186" s="96"/>
      <c r="T1186" s="12"/>
      <c r="U1186" s="12"/>
      <c r="V1186" s="12"/>
    </row>
    <row r="1187" spans="1:22">
      <c r="A1187" s="12"/>
      <c r="B1187" s="93"/>
      <c r="C1187" s="12"/>
      <c r="D1187" s="94"/>
      <c r="E1187" s="94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95"/>
      <c r="R1187" s="87"/>
      <c r="S1187" s="96"/>
      <c r="T1187" s="12"/>
      <c r="U1187" s="12"/>
      <c r="V1187" s="12"/>
    </row>
    <row r="1188" spans="1:22">
      <c r="A1188" s="12"/>
      <c r="B1188" s="93"/>
      <c r="C1188" s="12"/>
      <c r="D1188" s="94"/>
      <c r="E1188" s="94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95"/>
      <c r="R1188" s="87"/>
      <c r="S1188" s="96"/>
      <c r="T1188" s="12"/>
      <c r="U1188" s="12"/>
      <c r="V1188" s="12"/>
    </row>
    <row r="1189" spans="1:22">
      <c r="A1189" s="12"/>
      <c r="B1189" s="93"/>
      <c r="C1189" s="12"/>
      <c r="D1189" s="94"/>
      <c r="E1189" s="94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95"/>
      <c r="R1189" s="87"/>
      <c r="S1189" s="96"/>
      <c r="T1189" s="12"/>
      <c r="U1189" s="12"/>
      <c r="V1189" s="12"/>
    </row>
    <row r="1190" spans="1:22">
      <c r="A1190" s="12"/>
      <c r="B1190" s="93"/>
      <c r="C1190" s="12"/>
      <c r="D1190" s="94"/>
      <c r="E1190" s="94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95"/>
      <c r="R1190" s="87"/>
      <c r="S1190" s="96"/>
      <c r="T1190" s="12"/>
      <c r="U1190" s="12"/>
      <c r="V1190" s="12"/>
    </row>
    <row r="1191" spans="1:22">
      <c r="A1191" s="12"/>
      <c r="B1191" s="93"/>
      <c r="C1191" s="12"/>
      <c r="D1191" s="94"/>
      <c r="E1191" s="94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95"/>
      <c r="R1191" s="87"/>
      <c r="S1191" s="96"/>
      <c r="T1191" s="12"/>
      <c r="U1191" s="12"/>
      <c r="V1191" s="12"/>
    </row>
    <row r="1192" spans="1:22">
      <c r="A1192" s="12"/>
      <c r="B1192" s="93"/>
      <c r="C1192" s="12"/>
      <c r="D1192" s="94"/>
      <c r="E1192" s="94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95"/>
      <c r="R1192" s="87"/>
      <c r="S1192" s="96"/>
      <c r="T1192" s="12"/>
      <c r="U1192" s="12"/>
      <c r="V1192" s="12"/>
    </row>
    <row r="1193" spans="1:22">
      <c r="A1193" s="12"/>
      <c r="B1193" s="93"/>
      <c r="C1193" s="12"/>
      <c r="D1193" s="94"/>
      <c r="E1193" s="94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95"/>
      <c r="R1193" s="87"/>
      <c r="S1193" s="96"/>
      <c r="T1193" s="12"/>
      <c r="U1193" s="12"/>
      <c r="V1193" s="12"/>
    </row>
    <row r="1194" spans="1:22">
      <c r="A1194" s="12"/>
      <c r="B1194" s="93"/>
      <c r="C1194" s="12"/>
      <c r="D1194" s="94"/>
      <c r="E1194" s="94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95"/>
      <c r="R1194" s="87"/>
      <c r="S1194" s="96"/>
      <c r="T1194" s="12"/>
      <c r="U1194" s="12"/>
      <c r="V1194" s="12"/>
    </row>
    <row r="1195" spans="1:22">
      <c r="A1195" s="12"/>
      <c r="B1195" s="93"/>
      <c r="C1195" s="12"/>
      <c r="D1195" s="94"/>
      <c r="E1195" s="94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95"/>
      <c r="R1195" s="87"/>
      <c r="S1195" s="96"/>
      <c r="T1195" s="12"/>
      <c r="U1195" s="12"/>
      <c r="V1195" s="12"/>
    </row>
    <row r="1196" spans="1:22">
      <c r="A1196" s="12"/>
      <c r="B1196" s="93"/>
      <c r="C1196" s="12"/>
      <c r="D1196" s="94"/>
      <c r="E1196" s="94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95"/>
      <c r="R1196" s="87"/>
      <c r="S1196" s="96"/>
      <c r="T1196" s="12"/>
      <c r="U1196" s="12"/>
      <c r="V1196" s="12"/>
    </row>
    <row r="1197" spans="1:22">
      <c r="A1197" s="12"/>
      <c r="B1197" s="93"/>
      <c r="C1197" s="12"/>
      <c r="D1197" s="94"/>
      <c r="E1197" s="94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95"/>
      <c r="R1197" s="87"/>
      <c r="S1197" s="96"/>
      <c r="T1197" s="12"/>
      <c r="U1197" s="12"/>
      <c r="V1197" s="12"/>
    </row>
    <row r="1198" spans="1:22">
      <c r="A1198" s="12"/>
      <c r="B1198" s="93"/>
      <c r="C1198" s="12"/>
      <c r="D1198" s="94"/>
      <c r="E1198" s="94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95"/>
      <c r="R1198" s="87"/>
      <c r="S1198" s="96"/>
      <c r="T1198" s="12"/>
      <c r="U1198" s="12"/>
      <c r="V1198" s="12"/>
    </row>
    <row r="1199" spans="1:22">
      <c r="A1199" s="12"/>
      <c r="B1199" s="93"/>
      <c r="C1199" s="12"/>
      <c r="D1199" s="94"/>
      <c r="E1199" s="94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95"/>
      <c r="R1199" s="87"/>
      <c r="S1199" s="96"/>
      <c r="T1199" s="12"/>
      <c r="U1199" s="12"/>
      <c r="V1199" s="12"/>
    </row>
    <row r="1200" spans="1:22">
      <c r="A1200" s="12"/>
      <c r="B1200" s="93"/>
      <c r="C1200" s="12"/>
      <c r="D1200" s="94"/>
      <c r="E1200" s="94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95"/>
      <c r="R1200" s="87"/>
      <c r="S1200" s="96"/>
      <c r="T1200" s="12"/>
      <c r="U1200" s="12"/>
      <c r="V1200" s="12"/>
    </row>
    <row r="1201" spans="1:22">
      <c r="A1201" s="12"/>
      <c r="B1201" s="93"/>
      <c r="C1201" s="12"/>
      <c r="D1201" s="94"/>
      <c r="E1201" s="94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95"/>
      <c r="R1201" s="87"/>
      <c r="S1201" s="96"/>
      <c r="T1201" s="12"/>
      <c r="U1201" s="12"/>
      <c r="V1201" s="12"/>
    </row>
    <row r="1202" spans="1:22">
      <c r="A1202" s="12"/>
      <c r="B1202" s="93"/>
      <c r="C1202" s="12"/>
      <c r="D1202" s="94"/>
      <c r="E1202" s="94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95"/>
      <c r="R1202" s="87"/>
      <c r="S1202" s="96"/>
      <c r="T1202" s="12"/>
      <c r="U1202" s="12"/>
      <c r="V1202" s="12"/>
    </row>
    <row r="1203" spans="1:22">
      <c r="A1203" s="12"/>
      <c r="B1203" s="93"/>
      <c r="C1203" s="12"/>
      <c r="D1203" s="94"/>
      <c r="E1203" s="94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95"/>
      <c r="R1203" s="87"/>
      <c r="S1203" s="96"/>
      <c r="T1203" s="12"/>
      <c r="U1203" s="12"/>
      <c r="V1203" s="12"/>
    </row>
    <row r="1204" spans="1:22">
      <c r="A1204" s="12"/>
      <c r="B1204" s="93"/>
      <c r="C1204" s="12"/>
      <c r="D1204" s="94"/>
      <c r="E1204" s="94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95"/>
      <c r="R1204" s="87"/>
      <c r="S1204" s="96"/>
      <c r="T1204" s="12"/>
      <c r="U1204" s="12"/>
      <c r="V1204" s="12"/>
    </row>
    <row r="1205" spans="1:22">
      <c r="A1205" s="12"/>
      <c r="B1205" s="93"/>
      <c r="C1205" s="12"/>
      <c r="D1205" s="94"/>
      <c r="E1205" s="94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95"/>
      <c r="R1205" s="87"/>
      <c r="S1205" s="96"/>
      <c r="T1205" s="12"/>
      <c r="U1205" s="12"/>
      <c r="V1205" s="12"/>
    </row>
    <row r="1206" spans="1:22">
      <c r="A1206" s="12"/>
      <c r="B1206" s="93"/>
      <c r="C1206" s="12"/>
      <c r="D1206" s="94"/>
      <c r="E1206" s="94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95"/>
      <c r="R1206" s="87"/>
      <c r="S1206" s="96"/>
      <c r="T1206" s="12"/>
      <c r="U1206" s="12"/>
      <c r="V1206" s="12"/>
    </row>
    <row r="1207" spans="1:22">
      <c r="A1207" s="12"/>
      <c r="B1207" s="93"/>
      <c r="C1207" s="12"/>
      <c r="D1207" s="94"/>
      <c r="E1207" s="94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95"/>
      <c r="R1207" s="87"/>
      <c r="S1207" s="96"/>
      <c r="T1207" s="12"/>
      <c r="U1207" s="12"/>
      <c r="V1207" s="12"/>
    </row>
    <row r="1208" spans="1:22">
      <c r="A1208" s="12"/>
      <c r="B1208" s="93"/>
      <c r="C1208" s="12"/>
      <c r="D1208" s="94"/>
      <c r="E1208" s="94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95"/>
      <c r="R1208" s="87"/>
      <c r="S1208" s="96"/>
      <c r="T1208" s="12"/>
      <c r="U1208" s="12"/>
      <c r="V1208" s="12"/>
    </row>
    <row r="1209" spans="1:22">
      <c r="A1209" s="12"/>
      <c r="B1209" s="93"/>
      <c r="C1209" s="12"/>
      <c r="D1209" s="94"/>
      <c r="E1209" s="94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95"/>
      <c r="R1209" s="87"/>
      <c r="S1209" s="96"/>
      <c r="T1209" s="12"/>
      <c r="U1209" s="12"/>
      <c r="V1209" s="12"/>
    </row>
    <row r="1210" spans="1:22">
      <c r="A1210" s="12"/>
      <c r="B1210" s="93"/>
      <c r="C1210" s="12"/>
      <c r="D1210" s="94"/>
      <c r="E1210" s="94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95"/>
      <c r="R1210" s="87"/>
      <c r="S1210" s="96"/>
      <c r="T1210" s="12"/>
      <c r="U1210" s="12"/>
      <c r="V1210" s="12"/>
    </row>
    <row r="1211" spans="1:22">
      <c r="A1211" s="12"/>
      <c r="B1211" s="93"/>
      <c r="C1211" s="12"/>
      <c r="D1211" s="94"/>
      <c r="E1211" s="94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95"/>
      <c r="R1211" s="87"/>
      <c r="S1211" s="96"/>
      <c r="T1211" s="12"/>
      <c r="U1211" s="12"/>
      <c r="V1211" s="12"/>
    </row>
    <row r="1212" spans="1:22">
      <c r="A1212" s="12"/>
      <c r="B1212" s="93"/>
      <c r="C1212" s="12"/>
      <c r="D1212" s="94"/>
      <c r="E1212" s="94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95"/>
      <c r="R1212" s="87"/>
      <c r="S1212" s="96"/>
      <c r="T1212" s="12"/>
      <c r="U1212" s="12"/>
      <c r="V1212" s="12"/>
    </row>
    <row r="1213" spans="1:22">
      <c r="A1213" s="12"/>
      <c r="B1213" s="93"/>
      <c r="C1213" s="12"/>
      <c r="D1213" s="94"/>
      <c r="E1213" s="94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95"/>
      <c r="R1213" s="87"/>
      <c r="S1213" s="96"/>
      <c r="T1213" s="12"/>
      <c r="U1213" s="12"/>
      <c r="V1213" s="12"/>
    </row>
    <row r="1214" spans="1:22">
      <c r="A1214" s="12"/>
      <c r="B1214" s="93"/>
      <c r="C1214" s="12"/>
      <c r="D1214" s="94"/>
      <c r="E1214" s="94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95"/>
      <c r="R1214" s="87"/>
      <c r="S1214" s="96"/>
      <c r="T1214" s="12"/>
      <c r="U1214" s="12"/>
      <c r="V1214" s="12"/>
    </row>
    <row r="1215" spans="1:22">
      <c r="A1215" s="12"/>
      <c r="B1215" s="93"/>
      <c r="C1215" s="12"/>
      <c r="D1215" s="94"/>
      <c r="E1215" s="94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95"/>
      <c r="R1215" s="87"/>
      <c r="S1215" s="96"/>
      <c r="T1215" s="12"/>
      <c r="U1215" s="12"/>
      <c r="V1215" s="12"/>
    </row>
    <row r="1216" spans="1:22">
      <c r="A1216" s="12"/>
      <c r="B1216" s="93"/>
      <c r="C1216" s="12"/>
      <c r="D1216" s="94"/>
      <c r="E1216" s="94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95"/>
      <c r="R1216" s="87"/>
      <c r="S1216" s="96"/>
      <c r="T1216" s="12"/>
      <c r="U1216" s="12"/>
      <c r="V1216" s="12"/>
    </row>
    <row r="1217" spans="1:22">
      <c r="A1217" s="12"/>
      <c r="B1217" s="93"/>
      <c r="C1217" s="12"/>
      <c r="D1217" s="94"/>
      <c r="E1217" s="94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95"/>
      <c r="R1217" s="87"/>
      <c r="S1217" s="96"/>
      <c r="T1217" s="12"/>
      <c r="U1217" s="12"/>
      <c r="V1217" s="12"/>
    </row>
    <row r="1218" spans="1:22">
      <c r="A1218" s="12"/>
      <c r="B1218" s="93"/>
      <c r="C1218" s="12"/>
      <c r="D1218" s="94"/>
      <c r="E1218" s="94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95"/>
      <c r="R1218" s="87"/>
      <c r="S1218" s="96"/>
      <c r="T1218" s="12"/>
      <c r="U1218" s="12"/>
      <c r="V1218" s="12"/>
    </row>
    <row r="1219" spans="1:22">
      <c r="A1219" s="12"/>
      <c r="B1219" s="93"/>
      <c r="C1219" s="12"/>
      <c r="D1219" s="94"/>
      <c r="E1219" s="94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95"/>
      <c r="R1219" s="87"/>
      <c r="S1219" s="96"/>
      <c r="T1219" s="12"/>
      <c r="U1219" s="12"/>
      <c r="V1219" s="12"/>
    </row>
    <row r="1220" spans="1:22">
      <c r="A1220" s="12"/>
      <c r="B1220" s="93"/>
      <c r="C1220" s="12"/>
      <c r="D1220" s="94"/>
      <c r="E1220" s="94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95"/>
      <c r="R1220" s="87"/>
      <c r="S1220" s="96"/>
      <c r="T1220" s="12"/>
      <c r="U1220" s="12"/>
      <c r="V1220" s="12"/>
    </row>
    <row r="1221" spans="1:22">
      <c r="A1221" s="12"/>
      <c r="B1221" s="93"/>
      <c r="C1221" s="12"/>
      <c r="D1221" s="94"/>
      <c r="E1221" s="94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95"/>
      <c r="R1221" s="87"/>
      <c r="S1221" s="96"/>
      <c r="T1221" s="12"/>
      <c r="U1221" s="12"/>
      <c r="V1221" s="12"/>
    </row>
    <row r="1222" spans="1:22">
      <c r="A1222" s="12"/>
      <c r="B1222" s="93"/>
      <c r="C1222" s="12"/>
      <c r="D1222" s="94"/>
      <c r="E1222" s="94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95"/>
      <c r="R1222" s="87"/>
      <c r="S1222" s="96"/>
      <c r="T1222" s="12"/>
      <c r="U1222" s="12"/>
      <c r="V1222" s="12"/>
    </row>
    <row r="1223" spans="1:22">
      <c r="A1223" s="12"/>
      <c r="B1223" s="93"/>
      <c r="C1223" s="12"/>
      <c r="D1223" s="94"/>
      <c r="E1223" s="94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95"/>
      <c r="R1223" s="87"/>
      <c r="S1223" s="96"/>
      <c r="T1223" s="12"/>
      <c r="U1223" s="12"/>
      <c r="V1223" s="12"/>
    </row>
    <row r="1224" spans="1:22">
      <c r="A1224" s="12"/>
      <c r="B1224" s="93"/>
      <c r="C1224" s="12"/>
      <c r="D1224" s="94"/>
      <c r="E1224" s="94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95"/>
      <c r="R1224" s="87"/>
      <c r="S1224" s="96"/>
      <c r="T1224" s="12"/>
      <c r="U1224" s="12"/>
      <c r="V1224" s="12"/>
    </row>
    <row r="1225" spans="1:22">
      <c r="A1225" s="12"/>
      <c r="B1225" s="93"/>
      <c r="C1225" s="12"/>
      <c r="D1225" s="94"/>
      <c r="E1225" s="94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95"/>
      <c r="R1225" s="87"/>
      <c r="S1225" s="96"/>
      <c r="T1225" s="12"/>
      <c r="U1225" s="12"/>
      <c r="V1225" s="12"/>
    </row>
    <row r="1226" spans="1:22">
      <c r="A1226" s="12"/>
      <c r="B1226" s="93"/>
      <c r="C1226" s="12"/>
      <c r="D1226" s="94"/>
      <c r="E1226" s="94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95"/>
      <c r="R1226" s="87"/>
      <c r="S1226" s="96"/>
      <c r="T1226" s="12"/>
      <c r="U1226" s="12"/>
      <c r="V1226" s="12"/>
    </row>
    <row r="1227" spans="1:22">
      <c r="A1227" s="12"/>
      <c r="B1227" s="93"/>
      <c r="C1227" s="12"/>
      <c r="D1227" s="94"/>
      <c r="E1227" s="94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95"/>
      <c r="R1227" s="87"/>
      <c r="S1227" s="96"/>
      <c r="T1227" s="12"/>
      <c r="U1227" s="12"/>
      <c r="V1227" s="12"/>
    </row>
    <row r="1228" spans="1:22">
      <c r="A1228" s="12"/>
      <c r="B1228" s="93"/>
      <c r="C1228" s="12"/>
      <c r="D1228" s="94"/>
      <c r="E1228" s="94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95"/>
      <c r="R1228" s="87"/>
      <c r="S1228" s="96"/>
      <c r="T1228" s="12"/>
      <c r="U1228" s="12"/>
      <c r="V1228" s="12"/>
    </row>
    <row r="1229" spans="1:22">
      <c r="A1229" s="12"/>
      <c r="B1229" s="93"/>
      <c r="C1229" s="12"/>
      <c r="D1229" s="94"/>
      <c r="E1229" s="94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95"/>
      <c r="R1229" s="87"/>
      <c r="S1229" s="96"/>
      <c r="T1229" s="12"/>
      <c r="U1229" s="12"/>
      <c r="V1229" s="12"/>
    </row>
    <row r="1230" spans="1:22">
      <c r="A1230" s="12"/>
      <c r="B1230" s="93"/>
      <c r="C1230" s="12"/>
      <c r="D1230" s="94"/>
      <c r="E1230" s="94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95"/>
      <c r="R1230" s="87"/>
      <c r="S1230" s="96"/>
      <c r="T1230" s="12"/>
      <c r="U1230" s="12"/>
      <c r="V1230" s="12"/>
    </row>
    <row r="1231" spans="1:22">
      <c r="A1231" s="12"/>
      <c r="B1231" s="93"/>
      <c r="C1231" s="12"/>
      <c r="D1231" s="94"/>
      <c r="E1231" s="94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95"/>
      <c r="R1231" s="87"/>
      <c r="S1231" s="96"/>
      <c r="T1231" s="12"/>
      <c r="U1231" s="12"/>
      <c r="V1231" s="12"/>
    </row>
    <row r="1232" spans="1:22">
      <c r="A1232" s="12"/>
      <c r="B1232" s="93"/>
      <c r="C1232" s="12"/>
      <c r="D1232" s="94"/>
      <c r="E1232" s="94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95"/>
      <c r="R1232" s="87"/>
      <c r="S1232" s="96"/>
      <c r="T1232" s="12"/>
      <c r="U1232" s="12"/>
      <c r="V1232" s="12"/>
    </row>
    <row r="1233" spans="1:22">
      <c r="A1233" s="12"/>
      <c r="B1233" s="93"/>
      <c r="C1233" s="12"/>
      <c r="D1233" s="94"/>
      <c r="E1233" s="94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95"/>
      <c r="R1233" s="87"/>
      <c r="S1233" s="96"/>
      <c r="T1233" s="12"/>
      <c r="U1233" s="12"/>
      <c r="V1233" s="12"/>
    </row>
    <row r="1234" spans="1:22">
      <c r="A1234" s="12"/>
      <c r="B1234" s="93"/>
      <c r="C1234" s="12"/>
      <c r="D1234" s="94"/>
      <c r="E1234" s="94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95"/>
      <c r="R1234" s="87"/>
      <c r="S1234" s="96"/>
      <c r="T1234" s="12"/>
      <c r="U1234" s="12"/>
      <c r="V1234" s="12"/>
    </row>
    <row r="1235" spans="1:22">
      <c r="A1235" s="12"/>
      <c r="B1235" s="93"/>
      <c r="C1235" s="12"/>
      <c r="D1235" s="94"/>
      <c r="E1235" s="94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95"/>
      <c r="R1235" s="87"/>
      <c r="S1235" s="96"/>
      <c r="T1235" s="12"/>
      <c r="U1235" s="12"/>
      <c r="V1235" s="12"/>
    </row>
    <row r="1236" spans="1:22">
      <c r="A1236" s="12"/>
      <c r="B1236" s="93"/>
      <c r="C1236" s="12"/>
      <c r="D1236" s="94"/>
      <c r="E1236" s="94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95"/>
      <c r="R1236" s="87"/>
      <c r="S1236" s="96"/>
      <c r="T1236" s="12"/>
      <c r="U1236" s="12"/>
      <c r="V1236" s="12"/>
    </row>
    <row r="1237" spans="1:22">
      <c r="A1237" s="12"/>
      <c r="B1237" s="93"/>
      <c r="C1237" s="12"/>
      <c r="D1237" s="94"/>
      <c r="E1237" s="94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95"/>
      <c r="R1237" s="87"/>
      <c r="S1237" s="96"/>
      <c r="T1237" s="12"/>
      <c r="U1237" s="12"/>
      <c r="V1237" s="12"/>
    </row>
    <row r="1238" spans="1:22">
      <c r="A1238" s="12"/>
      <c r="B1238" s="93"/>
      <c r="C1238" s="12"/>
      <c r="D1238" s="94"/>
      <c r="E1238" s="94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95"/>
      <c r="R1238" s="87"/>
      <c r="S1238" s="96"/>
      <c r="T1238" s="12"/>
      <c r="U1238" s="12"/>
      <c r="V1238" s="12"/>
    </row>
    <row r="1239" spans="1:22">
      <c r="A1239" s="12"/>
      <c r="B1239" s="93"/>
      <c r="C1239" s="12"/>
      <c r="D1239" s="94"/>
      <c r="E1239" s="94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95"/>
      <c r="R1239" s="87"/>
      <c r="S1239" s="96"/>
      <c r="T1239" s="12"/>
      <c r="U1239" s="12"/>
      <c r="V1239" s="12"/>
    </row>
    <row r="1240" spans="1:22">
      <c r="A1240" s="12"/>
      <c r="B1240" s="93"/>
      <c r="C1240" s="12"/>
      <c r="D1240" s="94"/>
      <c r="E1240" s="94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95"/>
      <c r="R1240" s="87"/>
      <c r="S1240" s="96"/>
      <c r="T1240" s="12"/>
      <c r="U1240" s="12"/>
      <c r="V1240" s="12"/>
    </row>
    <row r="1241" spans="1:22">
      <c r="A1241" s="12"/>
      <c r="B1241" s="93"/>
      <c r="C1241" s="12"/>
      <c r="D1241" s="94"/>
      <c r="E1241" s="94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95"/>
      <c r="R1241" s="87"/>
      <c r="S1241" s="96"/>
      <c r="T1241" s="12"/>
      <c r="U1241" s="12"/>
      <c r="V1241" s="12"/>
    </row>
    <row r="1242" spans="1:22">
      <c r="A1242" s="12"/>
      <c r="B1242" s="93"/>
      <c r="C1242" s="12"/>
      <c r="D1242" s="94"/>
      <c r="E1242" s="94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95"/>
      <c r="R1242" s="87"/>
      <c r="S1242" s="96"/>
      <c r="T1242" s="12"/>
      <c r="U1242" s="12"/>
      <c r="V1242" s="12"/>
    </row>
    <row r="1243" spans="1:22">
      <c r="A1243" s="12"/>
      <c r="B1243" s="93"/>
      <c r="C1243" s="12"/>
      <c r="D1243" s="94"/>
      <c r="E1243" s="94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95"/>
      <c r="R1243" s="87"/>
      <c r="S1243" s="96"/>
      <c r="T1243" s="12"/>
      <c r="U1243" s="12"/>
      <c r="V1243" s="12"/>
    </row>
    <row r="1244" spans="1:22">
      <c r="A1244" s="12"/>
      <c r="B1244" s="93"/>
      <c r="C1244" s="12"/>
      <c r="D1244" s="94"/>
      <c r="E1244" s="94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95"/>
      <c r="R1244" s="87"/>
      <c r="S1244" s="96"/>
      <c r="T1244" s="12"/>
      <c r="U1244" s="12"/>
      <c r="V1244" s="12"/>
    </row>
    <row r="1245" spans="1:22">
      <c r="A1245" s="12"/>
      <c r="B1245" s="93"/>
      <c r="C1245" s="12"/>
      <c r="D1245" s="94"/>
      <c r="E1245" s="94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95"/>
      <c r="R1245" s="87"/>
      <c r="S1245" s="96"/>
      <c r="T1245" s="12"/>
      <c r="U1245" s="12"/>
      <c r="V1245" s="12"/>
    </row>
    <row r="1246" spans="1:22">
      <c r="A1246" s="12"/>
      <c r="B1246" s="93"/>
      <c r="C1246" s="12"/>
      <c r="D1246" s="94"/>
      <c r="E1246" s="94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95"/>
      <c r="R1246" s="87"/>
      <c r="S1246" s="96"/>
      <c r="T1246" s="12"/>
      <c r="U1246" s="12"/>
      <c r="V1246" s="12"/>
    </row>
    <row r="1247" spans="1:22">
      <c r="A1247" s="12"/>
      <c r="B1247" s="93"/>
      <c r="C1247" s="12"/>
      <c r="D1247" s="94"/>
      <c r="E1247" s="94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95"/>
      <c r="R1247" s="87"/>
      <c r="S1247" s="96"/>
      <c r="T1247" s="12"/>
      <c r="U1247" s="12"/>
      <c r="V1247" s="12"/>
    </row>
    <row r="1248" spans="1:22">
      <c r="A1248" s="12"/>
      <c r="B1248" s="93"/>
      <c r="C1248" s="12"/>
      <c r="D1248" s="94"/>
      <c r="E1248" s="94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95"/>
      <c r="R1248" s="87"/>
      <c r="S1248" s="96"/>
      <c r="T1248" s="12"/>
      <c r="U1248" s="12"/>
      <c r="V1248" s="12"/>
    </row>
    <row r="1249" spans="1:22">
      <c r="A1249" s="12"/>
      <c r="B1249" s="93"/>
      <c r="C1249" s="12"/>
      <c r="D1249" s="94"/>
      <c r="E1249" s="94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95"/>
      <c r="R1249" s="87"/>
      <c r="S1249" s="96"/>
      <c r="T1249" s="12"/>
      <c r="U1249" s="12"/>
      <c r="V1249" s="12"/>
    </row>
    <row r="1250" spans="1:22">
      <c r="A1250" s="12"/>
      <c r="B1250" s="93"/>
      <c r="C1250" s="12"/>
      <c r="D1250" s="94"/>
      <c r="E1250" s="94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95"/>
      <c r="R1250" s="87"/>
      <c r="S1250" s="96"/>
      <c r="T1250" s="12"/>
      <c r="U1250" s="12"/>
      <c r="V1250" s="12"/>
    </row>
    <row r="1251" spans="1:22">
      <c r="A1251" s="12"/>
      <c r="B1251" s="93"/>
      <c r="C1251" s="12"/>
      <c r="D1251" s="94"/>
      <c r="E1251" s="94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95"/>
      <c r="R1251" s="87"/>
      <c r="S1251" s="96"/>
      <c r="T1251" s="12"/>
      <c r="U1251" s="12"/>
      <c r="V1251" s="12"/>
    </row>
    <row r="1252" spans="1:22">
      <c r="A1252" s="12"/>
      <c r="B1252" s="93"/>
      <c r="C1252" s="12"/>
      <c r="D1252" s="94"/>
      <c r="E1252" s="94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95"/>
      <c r="R1252" s="87"/>
      <c r="S1252" s="96"/>
      <c r="T1252" s="12"/>
      <c r="U1252" s="12"/>
      <c r="V1252" s="12"/>
    </row>
    <row r="1253" spans="1:22">
      <c r="A1253" s="12"/>
      <c r="B1253" s="93"/>
      <c r="C1253" s="12"/>
      <c r="D1253" s="94"/>
      <c r="E1253" s="94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95"/>
      <c r="R1253" s="87"/>
      <c r="S1253" s="96"/>
      <c r="T1253" s="12"/>
      <c r="U1253" s="12"/>
      <c r="V1253" s="12"/>
    </row>
    <row r="1254" spans="1:22">
      <c r="A1254" s="12"/>
      <c r="B1254" s="93"/>
      <c r="C1254" s="12"/>
      <c r="D1254" s="94"/>
      <c r="E1254" s="94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95"/>
      <c r="R1254" s="87"/>
      <c r="S1254" s="96"/>
      <c r="T1254" s="12"/>
      <c r="U1254" s="12"/>
      <c r="V1254" s="12"/>
    </row>
    <row r="1255" spans="1:22">
      <c r="A1255" s="12"/>
      <c r="B1255" s="93"/>
      <c r="C1255" s="12"/>
      <c r="D1255" s="94"/>
      <c r="E1255" s="94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95"/>
      <c r="R1255" s="87"/>
      <c r="S1255" s="96"/>
      <c r="T1255" s="12"/>
      <c r="U1255" s="12"/>
      <c r="V1255" s="12"/>
    </row>
    <row r="1256" spans="1:22">
      <c r="A1256" s="12"/>
      <c r="B1256" s="93"/>
      <c r="C1256" s="12"/>
      <c r="D1256" s="94"/>
      <c r="E1256" s="94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95"/>
      <c r="R1256" s="87"/>
      <c r="S1256" s="96"/>
      <c r="T1256" s="12"/>
      <c r="U1256" s="12"/>
      <c r="V1256" s="12"/>
    </row>
    <row r="1257" spans="1:22">
      <c r="A1257" s="12"/>
      <c r="B1257" s="93"/>
      <c r="C1257" s="12"/>
      <c r="D1257" s="94"/>
      <c r="E1257" s="94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95"/>
      <c r="R1257" s="87"/>
      <c r="S1257" s="96"/>
      <c r="T1257" s="12"/>
      <c r="U1257" s="12"/>
      <c r="V1257" s="12"/>
    </row>
    <row r="1258" spans="1:22">
      <c r="A1258" s="12"/>
      <c r="B1258" s="93"/>
      <c r="C1258" s="12"/>
      <c r="D1258" s="94"/>
      <c r="E1258" s="94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95"/>
      <c r="R1258" s="87"/>
      <c r="S1258" s="96"/>
      <c r="T1258" s="12"/>
      <c r="U1258" s="12"/>
      <c r="V1258" s="12"/>
    </row>
    <row r="1259" spans="1:22">
      <c r="A1259" s="12"/>
      <c r="B1259" s="93"/>
      <c r="C1259" s="12"/>
      <c r="D1259" s="94"/>
      <c r="E1259" s="94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95"/>
      <c r="R1259" s="87"/>
      <c r="S1259" s="96"/>
      <c r="T1259" s="12"/>
      <c r="U1259" s="12"/>
      <c r="V1259" s="12"/>
    </row>
    <row r="1260" spans="1:22">
      <c r="A1260" s="12"/>
      <c r="B1260" s="93"/>
      <c r="C1260" s="12"/>
      <c r="D1260" s="94"/>
      <c r="E1260" s="94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95"/>
      <c r="R1260" s="87"/>
      <c r="S1260" s="96"/>
      <c r="T1260" s="12"/>
      <c r="U1260" s="12"/>
      <c r="V1260" s="12"/>
    </row>
    <row r="1261" spans="1:22">
      <c r="A1261" s="12"/>
      <c r="B1261" s="93"/>
      <c r="C1261" s="12"/>
      <c r="D1261" s="94"/>
      <c r="E1261" s="94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95"/>
      <c r="R1261" s="87"/>
      <c r="S1261" s="96"/>
      <c r="T1261" s="12"/>
      <c r="U1261" s="12"/>
      <c r="V1261" s="12"/>
    </row>
    <row r="1262" spans="1:22">
      <c r="A1262" s="12"/>
      <c r="B1262" s="93"/>
      <c r="C1262" s="12"/>
      <c r="D1262" s="94"/>
      <c r="E1262" s="94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95"/>
      <c r="R1262" s="87"/>
      <c r="S1262" s="96"/>
      <c r="T1262" s="12"/>
      <c r="U1262" s="12"/>
      <c r="V1262" s="12"/>
    </row>
    <row r="1263" spans="1:22">
      <c r="A1263" s="12"/>
      <c r="B1263" s="93"/>
      <c r="C1263" s="12"/>
      <c r="D1263" s="94"/>
      <c r="E1263" s="94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95"/>
      <c r="R1263" s="87"/>
      <c r="S1263" s="96"/>
      <c r="T1263" s="12"/>
      <c r="U1263" s="12"/>
      <c r="V1263" s="12"/>
    </row>
    <row r="1264" spans="1:22">
      <c r="A1264" s="12"/>
      <c r="B1264" s="93"/>
      <c r="C1264" s="12"/>
      <c r="D1264" s="94"/>
      <c r="E1264" s="94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95"/>
      <c r="R1264" s="87"/>
      <c r="S1264" s="96"/>
      <c r="T1264" s="12"/>
      <c r="U1264" s="12"/>
      <c r="V1264" s="12"/>
    </row>
    <row r="1265" spans="1:22">
      <c r="A1265" s="12"/>
      <c r="B1265" s="93"/>
      <c r="C1265" s="12"/>
      <c r="D1265" s="94"/>
      <c r="E1265" s="94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95"/>
      <c r="R1265" s="87"/>
      <c r="S1265" s="96"/>
      <c r="T1265" s="12"/>
      <c r="U1265" s="12"/>
      <c r="V1265" s="12"/>
    </row>
    <row r="1266" spans="1:22">
      <c r="A1266" s="12"/>
      <c r="B1266" s="93"/>
      <c r="C1266" s="12"/>
      <c r="D1266" s="94"/>
      <c r="E1266" s="94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95"/>
      <c r="R1266" s="87"/>
      <c r="S1266" s="96"/>
      <c r="T1266" s="12"/>
      <c r="U1266" s="12"/>
      <c r="V1266" s="12"/>
    </row>
    <row r="1267" spans="1:22">
      <c r="A1267" s="12"/>
      <c r="B1267" s="93"/>
      <c r="C1267" s="12"/>
      <c r="D1267" s="94"/>
      <c r="E1267" s="94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95"/>
      <c r="R1267" s="87"/>
      <c r="S1267" s="96"/>
      <c r="T1267" s="12"/>
      <c r="U1267" s="12"/>
      <c r="V1267" s="12"/>
    </row>
    <row r="1268" spans="1:22">
      <c r="A1268" s="12"/>
      <c r="B1268" s="93"/>
      <c r="C1268" s="12"/>
      <c r="D1268" s="94"/>
      <c r="E1268" s="94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95"/>
      <c r="R1268" s="87"/>
      <c r="S1268" s="96"/>
      <c r="T1268" s="12"/>
      <c r="U1268" s="12"/>
      <c r="V1268" s="12"/>
    </row>
    <row r="1269" spans="1:22">
      <c r="A1269" s="12"/>
      <c r="B1269" s="93"/>
      <c r="C1269" s="12"/>
      <c r="D1269" s="94"/>
      <c r="E1269" s="94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95"/>
      <c r="R1269" s="87"/>
      <c r="S1269" s="96"/>
      <c r="T1269" s="12"/>
      <c r="U1269" s="12"/>
      <c r="V1269" s="12"/>
    </row>
    <row r="1270" spans="1:22">
      <c r="A1270" s="12"/>
      <c r="B1270" s="93"/>
      <c r="C1270" s="12"/>
      <c r="D1270" s="94"/>
      <c r="E1270" s="94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95"/>
      <c r="R1270" s="87"/>
      <c r="S1270" s="96"/>
      <c r="T1270" s="12"/>
      <c r="U1270" s="12"/>
      <c r="V1270" s="12"/>
    </row>
    <row r="1271" spans="1:22">
      <c r="A1271" s="12"/>
      <c r="B1271" s="93"/>
      <c r="C1271" s="12"/>
      <c r="D1271" s="94"/>
      <c r="E1271" s="94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95"/>
      <c r="R1271" s="87"/>
      <c r="S1271" s="96"/>
      <c r="T1271" s="12"/>
      <c r="U1271" s="12"/>
      <c r="V1271" s="12"/>
    </row>
    <row r="1272" spans="1:22">
      <c r="A1272" s="12"/>
      <c r="B1272" s="93"/>
      <c r="C1272" s="12"/>
      <c r="D1272" s="94"/>
      <c r="E1272" s="94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95"/>
      <c r="R1272" s="87"/>
      <c r="S1272" s="96"/>
      <c r="T1272" s="12"/>
      <c r="U1272" s="12"/>
      <c r="V1272" s="12"/>
    </row>
    <row r="1273" spans="1:22">
      <c r="A1273" s="12"/>
      <c r="B1273" s="93"/>
      <c r="C1273" s="12"/>
      <c r="D1273" s="94"/>
      <c r="E1273" s="94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95"/>
      <c r="R1273" s="87"/>
      <c r="S1273" s="96"/>
      <c r="T1273" s="12"/>
      <c r="U1273" s="12"/>
      <c r="V1273" s="12"/>
    </row>
    <row r="1274" spans="1:22">
      <c r="A1274" s="12"/>
      <c r="B1274" s="93"/>
      <c r="C1274" s="12"/>
      <c r="D1274" s="94"/>
      <c r="E1274" s="94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95"/>
      <c r="R1274" s="87"/>
      <c r="S1274" s="96"/>
      <c r="T1274" s="12"/>
      <c r="U1274" s="12"/>
      <c r="V1274" s="12"/>
    </row>
    <row r="1275" spans="1:22">
      <c r="A1275" s="12"/>
      <c r="B1275" s="93"/>
      <c r="C1275" s="12"/>
      <c r="D1275" s="94"/>
      <c r="E1275" s="94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95"/>
      <c r="R1275" s="87"/>
      <c r="S1275" s="96"/>
      <c r="T1275" s="12"/>
      <c r="U1275" s="12"/>
      <c r="V1275" s="12"/>
    </row>
    <row r="1276" spans="1:22">
      <c r="A1276" s="12"/>
      <c r="B1276" s="93"/>
      <c r="C1276" s="12"/>
      <c r="D1276" s="94"/>
      <c r="E1276" s="94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95"/>
      <c r="R1276" s="87"/>
      <c r="S1276" s="96"/>
      <c r="T1276" s="12"/>
      <c r="U1276" s="12"/>
      <c r="V1276" s="12"/>
    </row>
    <row r="1277" spans="1:22">
      <c r="A1277" s="12"/>
      <c r="B1277" s="93"/>
      <c r="C1277" s="12"/>
      <c r="D1277" s="94"/>
      <c r="E1277" s="94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95"/>
      <c r="R1277" s="87"/>
      <c r="S1277" s="96"/>
      <c r="T1277" s="12"/>
      <c r="U1277" s="12"/>
      <c r="V1277" s="12"/>
    </row>
    <row r="1278" spans="1:22">
      <c r="A1278" s="12"/>
      <c r="B1278" s="93"/>
      <c r="C1278" s="12"/>
      <c r="D1278" s="94"/>
      <c r="E1278" s="94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95"/>
      <c r="R1278" s="87"/>
      <c r="S1278" s="96"/>
      <c r="T1278" s="12"/>
      <c r="U1278" s="12"/>
      <c r="V1278" s="12"/>
    </row>
    <row r="1279" spans="1:22">
      <c r="A1279" s="12"/>
      <c r="B1279" s="93"/>
      <c r="C1279" s="12"/>
      <c r="D1279" s="94"/>
      <c r="E1279" s="94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95"/>
      <c r="R1279" s="87"/>
      <c r="S1279" s="96"/>
      <c r="T1279" s="12"/>
      <c r="U1279" s="12"/>
      <c r="V1279" s="12"/>
    </row>
    <row r="1280" spans="1:22">
      <c r="A1280" s="12"/>
      <c r="B1280" s="93"/>
      <c r="C1280" s="12"/>
      <c r="D1280" s="94"/>
      <c r="E1280" s="94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95"/>
      <c r="R1280" s="87"/>
      <c r="S1280" s="96"/>
      <c r="T1280" s="12"/>
      <c r="U1280" s="12"/>
      <c r="V1280" s="12"/>
    </row>
    <row r="1281" spans="1:22">
      <c r="A1281" s="12"/>
      <c r="B1281" s="93"/>
      <c r="C1281" s="12"/>
      <c r="D1281" s="94"/>
      <c r="E1281" s="94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95"/>
      <c r="R1281" s="87"/>
      <c r="S1281" s="96"/>
      <c r="T1281" s="12"/>
      <c r="U1281" s="12"/>
      <c r="V1281" s="12"/>
    </row>
    <row r="1282" spans="1:22">
      <c r="A1282" s="12"/>
      <c r="B1282" s="93"/>
      <c r="C1282" s="12"/>
      <c r="D1282" s="94"/>
      <c r="E1282" s="94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95"/>
      <c r="R1282" s="87"/>
      <c r="S1282" s="96"/>
      <c r="T1282" s="12"/>
      <c r="U1282" s="12"/>
      <c r="V1282" s="12"/>
    </row>
    <row r="1283" spans="1:22">
      <c r="A1283" s="12"/>
      <c r="B1283" s="93"/>
      <c r="C1283" s="12"/>
      <c r="D1283" s="94"/>
      <c r="E1283" s="94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95"/>
      <c r="R1283" s="87"/>
      <c r="S1283" s="96"/>
      <c r="T1283" s="12"/>
      <c r="U1283" s="12"/>
      <c r="V1283" s="12"/>
    </row>
    <row r="1284" spans="1:22">
      <c r="A1284" s="12"/>
      <c r="B1284" s="93"/>
      <c r="C1284" s="12"/>
      <c r="D1284" s="94"/>
      <c r="E1284" s="94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95"/>
      <c r="R1284" s="87"/>
      <c r="S1284" s="96"/>
      <c r="T1284" s="12"/>
      <c r="U1284" s="12"/>
      <c r="V1284" s="12"/>
    </row>
    <row r="1285" spans="1:22">
      <c r="A1285" s="12"/>
      <c r="B1285" s="93"/>
      <c r="C1285" s="12"/>
      <c r="D1285" s="94"/>
      <c r="E1285" s="94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95"/>
      <c r="R1285" s="87"/>
      <c r="S1285" s="96"/>
      <c r="T1285" s="12"/>
      <c r="U1285" s="12"/>
      <c r="V1285" s="12"/>
    </row>
    <row r="1286" spans="1:22">
      <c r="A1286" s="12"/>
      <c r="B1286" s="93"/>
      <c r="C1286" s="12"/>
      <c r="D1286" s="94"/>
      <c r="E1286" s="94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95"/>
      <c r="R1286" s="87"/>
      <c r="S1286" s="96"/>
      <c r="T1286" s="12"/>
      <c r="U1286" s="12"/>
      <c r="V1286" s="12"/>
    </row>
    <row r="1287" spans="1:22">
      <c r="A1287" s="12"/>
      <c r="B1287" s="93"/>
      <c r="C1287" s="12"/>
      <c r="D1287" s="94"/>
      <c r="E1287" s="94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95"/>
      <c r="R1287" s="87"/>
      <c r="S1287" s="96"/>
      <c r="T1287" s="12"/>
      <c r="U1287" s="12"/>
      <c r="V1287" s="12"/>
    </row>
    <row r="1288" spans="1:22">
      <c r="A1288" s="12"/>
      <c r="B1288" s="93"/>
      <c r="C1288" s="12"/>
      <c r="D1288" s="94"/>
      <c r="E1288" s="94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95"/>
      <c r="R1288" s="87"/>
      <c r="S1288" s="96"/>
      <c r="T1288" s="12"/>
      <c r="U1288" s="12"/>
      <c r="V1288" s="12"/>
    </row>
    <row r="1289" spans="1:22">
      <c r="A1289" s="12"/>
      <c r="B1289" s="93"/>
      <c r="C1289" s="12"/>
      <c r="D1289" s="94"/>
      <c r="E1289" s="94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95"/>
      <c r="R1289" s="87"/>
      <c r="S1289" s="96"/>
      <c r="T1289" s="12"/>
      <c r="U1289" s="12"/>
      <c r="V1289" s="12"/>
    </row>
    <row r="1290" spans="1:22">
      <c r="A1290" s="12"/>
      <c r="B1290" s="93"/>
      <c r="C1290" s="12"/>
      <c r="D1290" s="94"/>
      <c r="E1290" s="94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95"/>
      <c r="R1290" s="87"/>
      <c r="S1290" s="96"/>
      <c r="T1290" s="12"/>
      <c r="U1290" s="12"/>
      <c r="V1290" s="12"/>
    </row>
    <row r="1291" spans="1:22">
      <c r="A1291" s="12"/>
      <c r="B1291" s="93"/>
      <c r="C1291" s="12"/>
      <c r="D1291" s="94"/>
      <c r="E1291" s="94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95"/>
      <c r="R1291" s="87"/>
      <c r="S1291" s="96"/>
      <c r="T1291" s="12"/>
      <c r="U1291" s="12"/>
      <c r="V1291" s="12"/>
    </row>
    <row r="1292" spans="1:22">
      <c r="A1292" s="12"/>
      <c r="B1292" s="93"/>
      <c r="C1292" s="12"/>
      <c r="D1292" s="94"/>
      <c r="E1292" s="94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95"/>
      <c r="R1292" s="87"/>
      <c r="S1292" s="96"/>
      <c r="T1292" s="12"/>
      <c r="U1292" s="12"/>
      <c r="V1292" s="12"/>
    </row>
    <row r="1293" spans="1:22">
      <c r="A1293" s="12"/>
      <c r="B1293" s="93"/>
      <c r="C1293" s="12"/>
      <c r="D1293" s="94"/>
      <c r="E1293" s="94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95"/>
      <c r="R1293" s="87"/>
      <c r="S1293" s="96"/>
      <c r="T1293" s="12"/>
      <c r="U1293" s="12"/>
      <c r="V1293" s="12"/>
    </row>
    <row r="1294" spans="1:22">
      <c r="A1294" s="12"/>
      <c r="B1294" s="93"/>
      <c r="C1294" s="12"/>
      <c r="D1294" s="94"/>
      <c r="E1294" s="94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95"/>
      <c r="R1294" s="87"/>
      <c r="S1294" s="96"/>
      <c r="T1294" s="12"/>
      <c r="U1294" s="12"/>
      <c r="V1294" s="12"/>
    </row>
    <row r="1295" spans="1:22">
      <c r="A1295" s="12"/>
      <c r="B1295" s="93"/>
      <c r="C1295" s="12"/>
      <c r="D1295" s="94"/>
      <c r="E1295" s="94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95"/>
      <c r="R1295" s="87"/>
      <c r="S1295" s="96"/>
      <c r="T1295" s="12"/>
      <c r="U1295" s="12"/>
      <c r="V1295" s="12"/>
    </row>
    <row r="1296" spans="1:22">
      <c r="A1296" s="12"/>
      <c r="B1296" s="93"/>
      <c r="C1296" s="12"/>
      <c r="D1296" s="94"/>
      <c r="E1296" s="94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95"/>
      <c r="R1296" s="87"/>
      <c r="S1296" s="96"/>
      <c r="T1296" s="12"/>
      <c r="U1296" s="12"/>
      <c r="V1296" s="12"/>
    </row>
    <row r="1297" spans="1:22">
      <c r="A1297" s="12"/>
      <c r="B1297" s="93"/>
      <c r="C1297" s="12"/>
      <c r="D1297" s="94"/>
      <c r="E1297" s="94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95"/>
      <c r="R1297" s="87"/>
      <c r="S1297" s="96"/>
      <c r="T1297" s="12"/>
      <c r="U1297" s="12"/>
      <c r="V1297" s="12"/>
    </row>
    <row r="1298" spans="1:22">
      <c r="A1298" s="12"/>
      <c r="B1298" s="93"/>
      <c r="C1298" s="12"/>
      <c r="D1298" s="94"/>
      <c r="E1298" s="94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95"/>
      <c r="R1298" s="87"/>
      <c r="S1298" s="96"/>
      <c r="T1298" s="12"/>
      <c r="U1298" s="12"/>
      <c r="V1298" s="12"/>
    </row>
    <row r="1299" spans="1:22">
      <c r="A1299" s="12"/>
      <c r="B1299" s="93"/>
      <c r="C1299" s="12"/>
      <c r="D1299" s="94"/>
      <c r="E1299" s="94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95"/>
      <c r="R1299" s="87"/>
      <c r="S1299" s="96"/>
      <c r="T1299" s="12"/>
      <c r="U1299" s="12"/>
      <c r="V1299" s="12"/>
    </row>
    <row r="1300" spans="1:22">
      <c r="A1300" s="12"/>
      <c r="B1300" s="93"/>
      <c r="C1300" s="12"/>
      <c r="D1300" s="94"/>
      <c r="E1300" s="94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95"/>
      <c r="R1300" s="87"/>
      <c r="S1300" s="96"/>
      <c r="T1300" s="12"/>
      <c r="U1300" s="12"/>
      <c r="V1300" s="12"/>
    </row>
    <row r="1301" spans="1:22">
      <c r="A1301" s="12"/>
      <c r="B1301" s="93"/>
      <c r="C1301" s="12"/>
      <c r="D1301" s="94"/>
      <c r="E1301" s="94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95"/>
      <c r="R1301" s="87"/>
      <c r="S1301" s="96"/>
      <c r="T1301" s="12"/>
      <c r="U1301" s="12"/>
      <c r="V1301" s="12"/>
    </row>
    <row r="1302" spans="1:22">
      <c r="A1302" s="12"/>
      <c r="B1302" s="93"/>
      <c r="C1302" s="12"/>
      <c r="D1302" s="94"/>
      <c r="E1302" s="94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95"/>
      <c r="R1302" s="87"/>
      <c r="S1302" s="96"/>
      <c r="T1302" s="12"/>
      <c r="U1302" s="12"/>
      <c r="V1302" s="12"/>
    </row>
    <row r="1303" spans="1:22">
      <c r="A1303" s="12"/>
      <c r="B1303" s="93"/>
      <c r="C1303" s="12"/>
      <c r="D1303" s="94"/>
      <c r="E1303" s="94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95"/>
      <c r="R1303" s="87"/>
      <c r="S1303" s="96"/>
      <c r="T1303" s="12"/>
      <c r="U1303" s="12"/>
      <c r="V1303" s="12"/>
    </row>
    <row r="1304" spans="1:22">
      <c r="A1304" s="12"/>
      <c r="B1304" s="93"/>
      <c r="C1304" s="12"/>
      <c r="D1304" s="94"/>
      <c r="E1304" s="94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95"/>
      <c r="R1304" s="87"/>
      <c r="S1304" s="96"/>
      <c r="T1304" s="12"/>
      <c r="U1304" s="12"/>
      <c r="V1304" s="12"/>
    </row>
    <row r="1305" spans="1:22">
      <c r="A1305" s="12"/>
      <c r="B1305" s="93"/>
      <c r="C1305" s="12"/>
      <c r="D1305" s="94"/>
      <c r="E1305" s="94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95"/>
      <c r="R1305" s="87"/>
      <c r="S1305" s="96"/>
      <c r="T1305" s="12"/>
      <c r="U1305" s="12"/>
      <c r="V1305" s="12"/>
    </row>
    <row r="1306" spans="1:22">
      <c r="A1306" s="12"/>
      <c r="B1306" s="93"/>
      <c r="C1306" s="12"/>
      <c r="D1306" s="94"/>
      <c r="E1306" s="94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95"/>
      <c r="R1306" s="87"/>
      <c r="S1306" s="96"/>
      <c r="T1306" s="12"/>
      <c r="U1306" s="12"/>
      <c r="V1306" s="12"/>
    </row>
    <row r="1307" spans="1:22">
      <c r="A1307" s="12"/>
      <c r="B1307" s="93"/>
      <c r="C1307" s="12"/>
      <c r="D1307" s="94"/>
      <c r="E1307" s="94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95"/>
      <c r="R1307" s="87"/>
      <c r="S1307" s="96"/>
      <c r="T1307" s="12"/>
      <c r="U1307" s="12"/>
      <c r="V1307" s="12"/>
    </row>
    <row r="1308" spans="1:22">
      <c r="A1308" s="12"/>
      <c r="B1308" s="93"/>
      <c r="C1308" s="12"/>
      <c r="D1308" s="94"/>
      <c r="E1308" s="94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95"/>
      <c r="R1308" s="87"/>
      <c r="S1308" s="96"/>
      <c r="T1308" s="12"/>
      <c r="U1308" s="12"/>
      <c r="V1308" s="12"/>
    </row>
    <row r="1309" spans="1:22">
      <c r="A1309" s="12"/>
      <c r="B1309" s="93"/>
      <c r="C1309" s="12"/>
      <c r="D1309" s="94"/>
      <c r="E1309" s="94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95"/>
      <c r="R1309" s="87"/>
      <c r="S1309" s="96"/>
      <c r="T1309" s="12"/>
      <c r="U1309" s="12"/>
      <c r="V1309" s="12"/>
    </row>
    <row r="1310" spans="1:22">
      <c r="A1310" s="12"/>
      <c r="B1310" s="93"/>
      <c r="C1310" s="12"/>
      <c r="D1310" s="94"/>
      <c r="E1310" s="94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95"/>
      <c r="R1310" s="87"/>
      <c r="S1310" s="96"/>
      <c r="T1310" s="12"/>
      <c r="U1310" s="12"/>
      <c r="V1310" s="12"/>
    </row>
    <row r="1311" spans="1:22">
      <c r="A1311" s="12"/>
      <c r="B1311" s="93"/>
      <c r="C1311" s="12"/>
      <c r="D1311" s="94"/>
      <c r="E1311" s="94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95"/>
      <c r="R1311" s="87"/>
      <c r="S1311" s="96"/>
      <c r="T1311" s="12"/>
      <c r="U1311" s="12"/>
      <c r="V1311" s="12"/>
    </row>
    <row r="1312" spans="1:22">
      <c r="A1312" s="12"/>
      <c r="B1312" s="93"/>
      <c r="C1312" s="12"/>
      <c r="D1312" s="94"/>
      <c r="E1312" s="94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95"/>
      <c r="R1312" s="87"/>
      <c r="S1312" s="96"/>
      <c r="T1312" s="12"/>
      <c r="U1312" s="12"/>
      <c r="V1312" s="12"/>
    </row>
    <row r="1313" spans="1:22">
      <c r="A1313" s="12"/>
      <c r="B1313" s="93"/>
      <c r="C1313" s="12"/>
      <c r="D1313" s="94"/>
      <c r="E1313" s="94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95"/>
      <c r="R1313" s="87"/>
      <c r="S1313" s="96"/>
      <c r="T1313" s="12"/>
      <c r="U1313" s="12"/>
      <c r="V1313" s="12"/>
    </row>
    <row r="1314" spans="1:22">
      <c r="A1314" s="12"/>
      <c r="B1314" s="93"/>
      <c r="C1314" s="12"/>
      <c r="D1314" s="94"/>
      <c r="E1314" s="94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95"/>
      <c r="R1314" s="87"/>
      <c r="S1314" s="96"/>
      <c r="T1314" s="12"/>
      <c r="U1314" s="12"/>
      <c r="V1314" s="12"/>
    </row>
    <row r="1315" spans="1:22">
      <c r="A1315" s="12"/>
      <c r="B1315" s="93"/>
      <c r="C1315" s="12"/>
      <c r="D1315" s="94"/>
      <c r="E1315" s="94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95"/>
      <c r="R1315" s="87"/>
      <c r="S1315" s="96"/>
      <c r="T1315" s="12"/>
      <c r="U1315" s="12"/>
      <c r="V1315" s="12"/>
    </row>
    <row r="1316" spans="1:22">
      <c r="A1316" s="12"/>
      <c r="B1316" s="93"/>
      <c r="C1316" s="12"/>
      <c r="D1316" s="94"/>
      <c r="E1316" s="94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95"/>
      <c r="R1316" s="87"/>
      <c r="S1316" s="96"/>
      <c r="T1316" s="12"/>
      <c r="U1316" s="12"/>
      <c r="V1316" s="12"/>
    </row>
    <row r="1317" spans="1:22">
      <c r="A1317" s="12"/>
      <c r="B1317" s="93"/>
      <c r="C1317" s="12"/>
      <c r="D1317" s="94"/>
      <c r="E1317" s="94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95"/>
      <c r="R1317" s="87"/>
      <c r="S1317" s="96"/>
      <c r="T1317" s="12"/>
      <c r="U1317" s="12"/>
      <c r="V1317" s="12"/>
    </row>
    <row r="1318" spans="1:22">
      <c r="A1318" s="12"/>
      <c r="B1318" s="93"/>
      <c r="C1318" s="12"/>
      <c r="D1318" s="94"/>
      <c r="E1318" s="94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95"/>
      <c r="R1318" s="87"/>
      <c r="S1318" s="96"/>
      <c r="T1318" s="12"/>
      <c r="U1318" s="12"/>
      <c r="V1318" s="12"/>
    </row>
    <row r="1319" spans="1:22">
      <c r="A1319" s="12"/>
      <c r="B1319" s="93"/>
      <c r="C1319" s="12"/>
      <c r="D1319" s="94"/>
      <c r="E1319" s="94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95"/>
      <c r="R1319" s="87"/>
      <c r="S1319" s="96"/>
      <c r="T1319" s="12"/>
      <c r="U1319" s="12"/>
      <c r="V1319" s="12"/>
    </row>
    <row r="1320" spans="1:22">
      <c r="A1320" s="12"/>
      <c r="B1320" s="93"/>
      <c r="C1320" s="12"/>
      <c r="D1320" s="94"/>
      <c r="E1320" s="94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95"/>
      <c r="R1320" s="87"/>
      <c r="S1320" s="96"/>
      <c r="T1320" s="12"/>
      <c r="U1320" s="12"/>
      <c r="V1320" s="12"/>
    </row>
    <row r="1321" spans="1:22">
      <c r="A1321" s="12"/>
      <c r="B1321" s="93"/>
      <c r="C1321" s="12"/>
      <c r="D1321" s="94"/>
      <c r="E1321" s="94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95"/>
      <c r="R1321" s="87"/>
      <c r="S1321" s="96"/>
      <c r="T1321" s="12"/>
      <c r="U1321" s="12"/>
      <c r="V1321" s="12"/>
    </row>
    <row r="1322" spans="1:22">
      <c r="A1322" s="12"/>
      <c r="B1322" s="93"/>
      <c r="C1322" s="12"/>
      <c r="D1322" s="94"/>
      <c r="E1322" s="94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95"/>
      <c r="R1322" s="87"/>
      <c r="S1322" s="96"/>
      <c r="T1322" s="12"/>
      <c r="U1322" s="12"/>
      <c r="V1322" s="12"/>
    </row>
    <row r="1323" spans="1:22">
      <c r="A1323" s="12"/>
      <c r="B1323" s="93"/>
      <c r="C1323" s="12"/>
      <c r="D1323" s="94"/>
      <c r="E1323" s="94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95"/>
      <c r="R1323" s="87"/>
      <c r="S1323" s="96"/>
      <c r="T1323" s="12"/>
      <c r="U1323" s="12"/>
      <c r="V1323" s="12"/>
    </row>
    <row r="1324" spans="1:22">
      <c r="A1324" s="12"/>
      <c r="B1324" s="93"/>
      <c r="C1324" s="12"/>
      <c r="D1324" s="94"/>
      <c r="E1324" s="94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95"/>
      <c r="R1324" s="87"/>
      <c r="S1324" s="96"/>
      <c r="T1324" s="12"/>
      <c r="U1324" s="12"/>
      <c r="V1324" s="12"/>
    </row>
    <row r="1325" spans="1:22">
      <c r="A1325" s="12"/>
      <c r="B1325" s="93"/>
      <c r="C1325" s="12"/>
      <c r="D1325" s="94"/>
      <c r="E1325" s="94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95"/>
      <c r="R1325" s="87"/>
      <c r="S1325" s="96"/>
      <c r="T1325" s="12"/>
      <c r="U1325" s="12"/>
      <c r="V1325" s="12"/>
    </row>
    <row r="1326" spans="1:22">
      <c r="A1326" s="12"/>
      <c r="B1326" s="93"/>
      <c r="C1326" s="12"/>
      <c r="D1326" s="94"/>
      <c r="E1326" s="94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95"/>
      <c r="R1326" s="87"/>
      <c r="S1326" s="96"/>
      <c r="T1326" s="12"/>
      <c r="U1326" s="12"/>
      <c r="V1326" s="12"/>
    </row>
    <row r="1327" spans="1:22">
      <c r="A1327" s="12"/>
      <c r="B1327" s="93"/>
      <c r="C1327" s="12"/>
      <c r="D1327" s="94"/>
      <c r="E1327" s="94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95"/>
      <c r="R1327" s="87"/>
      <c r="S1327" s="96"/>
      <c r="T1327" s="12"/>
      <c r="U1327" s="12"/>
      <c r="V1327" s="12"/>
    </row>
    <row r="1328" spans="1:22">
      <c r="A1328" s="12"/>
      <c r="B1328" s="93"/>
      <c r="C1328" s="12"/>
      <c r="D1328" s="94"/>
      <c r="E1328" s="94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95"/>
      <c r="R1328" s="87"/>
      <c r="S1328" s="96"/>
      <c r="T1328" s="12"/>
      <c r="U1328" s="12"/>
      <c r="V1328" s="12"/>
    </row>
    <row r="1329" spans="1:22">
      <c r="A1329" s="12"/>
      <c r="B1329" s="93"/>
      <c r="C1329" s="12"/>
      <c r="D1329" s="94"/>
      <c r="E1329" s="94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95"/>
      <c r="R1329" s="87"/>
      <c r="S1329" s="96"/>
      <c r="T1329" s="12"/>
      <c r="U1329" s="12"/>
      <c r="V1329" s="12"/>
    </row>
    <row r="1330" spans="1:22">
      <c r="A1330" s="12"/>
      <c r="B1330" s="93"/>
      <c r="C1330" s="12"/>
      <c r="D1330" s="94"/>
      <c r="E1330" s="94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95"/>
      <c r="R1330" s="87"/>
      <c r="S1330" s="96"/>
      <c r="T1330" s="12"/>
      <c r="U1330" s="12"/>
      <c r="V1330" s="12"/>
    </row>
    <row r="1331" spans="1:22">
      <c r="A1331" s="12"/>
      <c r="B1331" s="93"/>
      <c r="C1331" s="12"/>
      <c r="D1331" s="94"/>
      <c r="E1331" s="94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95"/>
      <c r="R1331" s="87"/>
      <c r="S1331" s="96"/>
      <c r="T1331" s="12"/>
      <c r="U1331" s="12"/>
      <c r="V1331" s="12"/>
    </row>
    <row r="1332" spans="1:22">
      <c r="A1332" s="12"/>
      <c r="B1332" s="93"/>
      <c r="C1332" s="12"/>
      <c r="D1332" s="94"/>
      <c r="E1332" s="94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95"/>
      <c r="R1332" s="87"/>
      <c r="S1332" s="96"/>
      <c r="T1332" s="12"/>
      <c r="U1332" s="12"/>
      <c r="V1332" s="12"/>
    </row>
    <row r="1333" spans="1:22">
      <c r="A1333" s="12"/>
      <c r="B1333" s="93"/>
      <c r="C1333" s="12"/>
      <c r="D1333" s="94"/>
      <c r="E1333" s="94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95"/>
      <c r="R1333" s="87"/>
      <c r="S1333" s="96"/>
      <c r="T1333" s="12"/>
      <c r="U1333" s="12"/>
      <c r="V1333" s="12"/>
    </row>
    <row r="1334" spans="1:22">
      <c r="A1334" s="12"/>
      <c r="B1334" s="93"/>
      <c r="C1334" s="12"/>
      <c r="D1334" s="94"/>
      <c r="E1334" s="94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95"/>
      <c r="R1334" s="87"/>
      <c r="S1334" s="96"/>
      <c r="T1334" s="12"/>
      <c r="U1334" s="12"/>
      <c r="V1334" s="12"/>
    </row>
    <row r="1335" spans="1:22">
      <c r="A1335" s="12"/>
      <c r="B1335" s="93"/>
      <c r="C1335" s="12"/>
      <c r="D1335" s="94"/>
      <c r="E1335" s="94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95"/>
      <c r="R1335" s="87"/>
      <c r="S1335" s="96"/>
      <c r="T1335" s="12"/>
      <c r="U1335" s="12"/>
      <c r="V1335" s="12"/>
    </row>
    <row r="1336" spans="1:22">
      <c r="A1336" s="12"/>
      <c r="B1336" s="93"/>
      <c r="C1336" s="12"/>
      <c r="D1336" s="94"/>
      <c r="E1336" s="94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95"/>
      <c r="R1336" s="87"/>
      <c r="S1336" s="96"/>
      <c r="T1336" s="12"/>
      <c r="U1336" s="12"/>
      <c r="V1336" s="12"/>
    </row>
    <row r="1337" spans="1:22">
      <c r="A1337" s="12"/>
      <c r="B1337" s="93"/>
      <c r="C1337" s="12"/>
      <c r="D1337" s="94"/>
      <c r="E1337" s="94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95"/>
      <c r="R1337" s="87"/>
      <c r="S1337" s="96"/>
      <c r="T1337" s="12"/>
      <c r="U1337" s="12"/>
      <c r="V1337" s="12"/>
    </row>
    <row r="1338" spans="1:22">
      <c r="A1338" s="12"/>
      <c r="B1338" s="93"/>
      <c r="C1338" s="12"/>
      <c r="D1338" s="94"/>
      <c r="E1338" s="94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95"/>
      <c r="R1338" s="87"/>
      <c r="S1338" s="96"/>
      <c r="T1338" s="12"/>
      <c r="U1338" s="12"/>
      <c r="V1338" s="12"/>
    </row>
    <row r="1339" spans="1:22">
      <c r="A1339" s="12"/>
      <c r="B1339" s="93"/>
      <c r="C1339" s="12"/>
      <c r="D1339" s="94"/>
      <c r="E1339" s="94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95"/>
      <c r="R1339" s="87"/>
      <c r="S1339" s="96"/>
      <c r="T1339" s="12"/>
      <c r="U1339" s="12"/>
      <c r="V1339" s="12"/>
    </row>
    <row r="1340" spans="1:22">
      <c r="A1340" s="12"/>
      <c r="B1340" s="93"/>
      <c r="C1340" s="12"/>
      <c r="D1340" s="94"/>
      <c r="E1340" s="94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95"/>
      <c r="R1340" s="87"/>
      <c r="S1340" s="96"/>
      <c r="T1340" s="12"/>
      <c r="U1340" s="12"/>
      <c r="V1340" s="12"/>
    </row>
    <row r="1341" spans="1:22">
      <c r="A1341" s="12"/>
      <c r="B1341" s="93"/>
      <c r="C1341" s="12"/>
      <c r="D1341" s="94"/>
      <c r="E1341" s="94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95"/>
      <c r="R1341" s="87"/>
      <c r="S1341" s="96"/>
      <c r="T1341" s="12"/>
      <c r="U1341" s="12"/>
      <c r="V1341" s="12"/>
    </row>
    <row r="1342" spans="1:22">
      <c r="A1342" s="12"/>
      <c r="B1342" s="93"/>
      <c r="C1342" s="12"/>
      <c r="D1342" s="94"/>
      <c r="E1342" s="94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95"/>
      <c r="R1342" s="87"/>
      <c r="S1342" s="96"/>
      <c r="T1342" s="12"/>
      <c r="U1342" s="12"/>
      <c r="V1342" s="12"/>
    </row>
    <row r="1343" spans="1:22">
      <c r="A1343" s="12"/>
      <c r="B1343" s="93"/>
      <c r="C1343" s="12"/>
      <c r="D1343" s="94"/>
      <c r="E1343" s="94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95"/>
      <c r="R1343" s="87"/>
      <c r="S1343" s="96"/>
      <c r="T1343" s="12"/>
      <c r="U1343" s="12"/>
      <c r="V1343" s="12"/>
    </row>
    <row r="1344" spans="1:22">
      <c r="A1344" s="12"/>
      <c r="B1344" s="93"/>
      <c r="C1344" s="12"/>
      <c r="D1344" s="94"/>
      <c r="E1344" s="94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95"/>
      <c r="R1344" s="87"/>
      <c r="S1344" s="96"/>
      <c r="T1344" s="12"/>
      <c r="U1344" s="12"/>
      <c r="V1344" s="12"/>
    </row>
    <row r="1345" spans="1:22">
      <c r="A1345" s="12"/>
      <c r="B1345" s="93"/>
      <c r="C1345" s="12"/>
      <c r="D1345" s="94"/>
      <c r="E1345" s="94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95"/>
      <c r="R1345" s="87"/>
      <c r="S1345" s="96"/>
      <c r="T1345" s="12"/>
      <c r="U1345" s="12"/>
      <c r="V1345" s="12"/>
    </row>
    <row r="1346" spans="1:22">
      <c r="A1346" s="12"/>
      <c r="B1346" s="93"/>
      <c r="C1346" s="12"/>
      <c r="D1346" s="94"/>
      <c r="E1346" s="94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95"/>
      <c r="R1346" s="87"/>
      <c r="S1346" s="96"/>
      <c r="T1346" s="12"/>
      <c r="U1346" s="12"/>
      <c r="V1346" s="12"/>
    </row>
    <row r="1347" spans="1:22">
      <c r="A1347" s="12"/>
      <c r="B1347" s="93"/>
      <c r="C1347" s="12"/>
      <c r="D1347" s="94"/>
      <c r="E1347" s="94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95"/>
      <c r="R1347" s="87"/>
      <c r="S1347" s="96"/>
      <c r="T1347" s="12"/>
      <c r="U1347" s="12"/>
      <c r="V1347" s="12"/>
    </row>
    <row r="1348" spans="1:22">
      <c r="A1348" s="12"/>
      <c r="B1348" s="93"/>
      <c r="C1348" s="12"/>
      <c r="D1348" s="94"/>
      <c r="E1348" s="94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95"/>
      <c r="R1348" s="87"/>
      <c r="S1348" s="96"/>
      <c r="T1348" s="12"/>
      <c r="U1348" s="12"/>
      <c r="V1348" s="12"/>
    </row>
    <row r="1349" spans="1:22">
      <c r="A1349" s="12"/>
      <c r="B1349" s="93"/>
      <c r="C1349" s="12"/>
      <c r="D1349" s="94"/>
      <c r="E1349" s="94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95"/>
      <c r="R1349" s="87"/>
      <c r="S1349" s="96"/>
      <c r="T1349" s="12"/>
      <c r="U1349" s="12"/>
      <c r="V1349" s="12"/>
    </row>
    <row r="1350" spans="1:22">
      <c r="A1350" s="12"/>
      <c r="B1350" s="93"/>
      <c r="C1350" s="12"/>
      <c r="D1350" s="94"/>
      <c r="E1350" s="94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95"/>
      <c r="R1350" s="87"/>
      <c r="S1350" s="96"/>
      <c r="T1350" s="12"/>
      <c r="U1350" s="12"/>
      <c r="V1350" s="12"/>
    </row>
    <row r="1351" spans="1:22">
      <c r="A1351" s="12"/>
      <c r="B1351" s="93"/>
      <c r="C1351" s="12"/>
      <c r="D1351" s="94"/>
      <c r="E1351" s="94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95"/>
      <c r="R1351" s="87"/>
      <c r="S1351" s="96"/>
      <c r="T1351" s="12"/>
      <c r="U1351" s="12"/>
      <c r="V1351" s="12"/>
    </row>
    <row r="1352" spans="1:22">
      <c r="A1352" s="12"/>
      <c r="B1352" s="93"/>
      <c r="C1352" s="12"/>
      <c r="D1352" s="94"/>
      <c r="E1352" s="94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95"/>
      <c r="R1352" s="87"/>
      <c r="S1352" s="96"/>
      <c r="T1352" s="12"/>
      <c r="U1352" s="12"/>
      <c r="V1352" s="12"/>
    </row>
    <row r="1353" spans="1:22">
      <c r="A1353" s="12"/>
      <c r="B1353" s="93"/>
      <c r="C1353" s="12"/>
      <c r="D1353" s="94"/>
      <c r="E1353" s="94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95"/>
      <c r="R1353" s="87"/>
      <c r="S1353" s="96"/>
      <c r="T1353" s="12"/>
      <c r="U1353" s="12"/>
      <c r="V1353" s="12"/>
    </row>
    <row r="1354" spans="1:22">
      <c r="A1354" s="12"/>
      <c r="B1354" s="93"/>
      <c r="C1354" s="12"/>
      <c r="D1354" s="94"/>
      <c r="E1354" s="94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95"/>
      <c r="R1354" s="87"/>
      <c r="S1354" s="96"/>
      <c r="T1354" s="12"/>
      <c r="U1354" s="12"/>
      <c r="V1354" s="12"/>
    </row>
    <row r="1355" spans="1:22">
      <c r="A1355" s="12"/>
      <c r="B1355" s="93"/>
      <c r="C1355" s="12"/>
      <c r="D1355" s="94"/>
      <c r="E1355" s="94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95"/>
      <c r="R1355" s="87"/>
      <c r="S1355" s="96"/>
      <c r="T1355" s="12"/>
      <c r="U1355" s="12"/>
      <c r="V1355" s="12"/>
    </row>
    <row r="1356" spans="1:22">
      <c r="A1356" s="12"/>
      <c r="B1356" s="93"/>
      <c r="C1356" s="12"/>
      <c r="D1356" s="94"/>
      <c r="E1356" s="94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95"/>
      <c r="R1356" s="87"/>
      <c r="S1356" s="96"/>
      <c r="T1356" s="12"/>
      <c r="U1356" s="12"/>
      <c r="V1356" s="12"/>
    </row>
    <row r="1357" spans="1:22">
      <c r="A1357" s="12"/>
      <c r="B1357" s="93"/>
      <c r="C1357" s="12"/>
      <c r="D1357" s="94"/>
      <c r="E1357" s="94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95"/>
      <c r="R1357" s="87"/>
      <c r="S1357" s="96"/>
      <c r="T1357" s="12"/>
      <c r="U1357" s="12"/>
      <c r="V1357" s="12"/>
    </row>
    <row r="1358" spans="1:22">
      <c r="A1358" s="12"/>
      <c r="B1358" s="93"/>
      <c r="C1358" s="12"/>
      <c r="D1358" s="94"/>
      <c r="E1358" s="94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95"/>
      <c r="R1358" s="87"/>
      <c r="S1358" s="96"/>
      <c r="T1358" s="12"/>
      <c r="U1358" s="12"/>
      <c r="V1358" s="12"/>
    </row>
    <row r="1359" spans="1:22">
      <c r="A1359" s="12"/>
      <c r="B1359" s="93"/>
      <c r="C1359" s="12"/>
      <c r="D1359" s="94"/>
      <c r="E1359" s="94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95"/>
      <c r="R1359" s="87"/>
      <c r="S1359" s="96"/>
      <c r="T1359" s="12"/>
      <c r="U1359" s="12"/>
      <c r="V1359" s="12"/>
    </row>
    <row r="1360" spans="1:22">
      <c r="A1360" s="12"/>
      <c r="B1360" s="93"/>
      <c r="C1360" s="12"/>
      <c r="D1360" s="94"/>
      <c r="E1360" s="94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95"/>
      <c r="R1360" s="87"/>
      <c r="S1360" s="96"/>
      <c r="T1360" s="12"/>
      <c r="U1360" s="12"/>
      <c r="V1360" s="12"/>
    </row>
    <row r="1361" spans="1:22">
      <c r="A1361" s="12"/>
      <c r="B1361" s="93"/>
      <c r="C1361" s="12"/>
      <c r="D1361" s="94"/>
      <c r="E1361" s="94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95"/>
      <c r="R1361" s="87"/>
      <c r="S1361" s="96"/>
      <c r="T1361" s="12"/>
      <c r="U1361" s="12"/>
      <c r="V1361" s="12"/>
    </row>
    <row r="1362" spans="1:22">
      <c r="A1362" s="12"/>
      <c r="B1362" s="93"/>
      <c r="C1362" s="12"/>
      <c r="D1362" s="94"/>
      <c r="E1362" s="94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95"/>
      <c r="R1362" s="87"/>
      <c r="S1362" s="96"/>
      <c r="T1362" s="12"/>
      <c r="U1362" s="12"/>
      <c r="V1362" s="12"/>
    </row>
    <row r="1363" spans="1:22">
      <c r="A1363" s="12"/>
      <c r="B1363" s="93"/>
      <c r="C1363" s="12"/>
      <c r="D1363" s="94"/>
      <c r="E1363" s="94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95"/>
      <c r="R1363" s="87"/>
      <c r="S1363" s="96"/>
      <c r="T1363" s="12"/>
      <c r="U1363" s="12"/>
      <c r="V1363" s="12"/>
    </row>
    <row r="1364" spans="1:22">
      <c r="A1364" s="12"/>
      <c r="B1364" s="93"/>
      <c r="C1364" s="12"/>
      <c r="D1364" s="94"/>
      <c r="E1364" s="94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95"/>
      <c r="R1364" s="87"/>
      <c r="S1364" s="96"/>
      <c r="T1364" s="12"/>
      <c r="U1364" s="12"/>
      <c r="V1364" s="12"/>
    </row>
    <row r="1365" spans="1:22">
      <c r="A1365" s="12"/>
      <c r="B1365" s="93"/>
      <c r="C1365" s="12"/>
      <c r="D1365" s="94"/>
      <c r="E1365" s="94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95"/>
      <c r="R1365" s="87"/>
      <c r="S1365" s="96"/>
      <c r="T1365" s="12"/>
      <c r="U1365" s="12"/>
      <c r="V1365" s="12"/>
    </row>
    <row r="1366" spans="1:22">
      <c r="A1366" s="12"/>
      <c r="B1366" s="93"/>
      <c r="C1366" s="12"/>
      <c r="D1366" s="94"/>
      <c r="E1366" s="94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95"/>
      <c r="R1366" s="87"/>
      <c r="S1366" s="96"/>
      <c r="T1366" s="12"/>
      <c r="U1366" s="12"/>
      <c r="V1366" s="12"/>
    </row>
    <row r="1367" spans="1:22">
      <c r="A1367" s="12"/>
      <c r="B1367" s="93"/>
      <c r="C1367" s="12"/>
      <c r="D1367" s="94"/>
      <c r="E1367" s="94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95"/>
      <c r="R1367" s="87"/>
      <c r="S1367" s="96"/>
      <c r="T1367" s="12"/>
      <c r="U1367" s="12"/>
      <c r="V1367" s="12"/>
    </row>
    <row r="1368" spans="1:22">
      <c r="A1368" s="12"/>
      <c r="B1368" s="93"/>
      <c r="C1368" s="12"/>
      <c r="D1368" s="94"/>
      <c r="E1368" s="94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95"/>
      <c r="R1368" s="87"/>
      <c r="S1368" s="96"/>
      <c r="T1368" s="12"/>
      <c r="U1368" s="12"/>
      <c r="V1368" s="12"/>
    </row>
    <row r="1369" spans="1:22">
      <c r="A1369" s="12"/>
      <c r="B1369" s="93"/>
      <c r="C1369" s="12"/>
      <c r="D1369" s="94"/>
      <c r="E1369" s="94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95"/>
      <c r="R1369" s="87"/>
      <c r="S1369" s="96"/>
      <c r="T1369" s="12"/>
      <c r="U1369" s="12"/>
      <c r="V1369" s="12"/>
    </row>
    <row r="1370" spans="1:22">
      <c r="A1370" s="12"/>
      <c r="B1370" s="93"/>
      <c r="C1370" s="12"/>
      <c r="D1370" s="94"/>
      <c r="E1370" s="94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95"/>
      <c r="R1370" s="87"/>
      <c r="S1370" s="96"/>
      <c r="T1370" s="12"/>
      <c r="U1370" s="12"/>
      <c r="V1370" s="12"/>
    </row>
    <row r="1371" spans="1:22">
      <c r="A1371" s="12"/>
      <c r="B1371" s="93"/>
      <c r="C1371" s="12"/>
      <c r="D1371" s="94"/>
      <c r="E1371" s="94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95"/>
      <c r="R1371" s="87"/>
      <c r="S1371" s="96"/>
      <c r="T1371" s="12"/>
      <c r="U1371" s="12"/>
      <c r="V1371" s="12"/>
    </row>
    <row r="1372" spans="1:22">
      <c r="A1372" s="12"/>
      <c r="B1372" s="93"/>
      <c r="C1372" s="12"/>
      <c r="D1372" s="94"/>
      <c r="E1372" s="94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95"/>
      <c r="R1372" s="87"/>
      <c r="S1372" s="96"/>
      <c r="T1372" s="12"/>
      <c r="U1372" s="12"/>
      <c r="V1372" s="12"/>
    </row>
    <row r="1373" spans="1:22">
      <c r="A1373" s="12"/>
      <c r="B1373" s="93"/>
      <c r="C1373" s="12"/>
      <c r="D1373" s="94"/>
      <c r="E1373" s="94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95"/>
      <c r="R1373" s="87"/>
      <c r="S1373" s="96"/>
      <c r="T1373" s="12"/>
      <c r="U1373" s="12"/>
      <c r="V1373" s="12"/>
    </row>
    <row r="1374" spans="1:22">
      <c r="A1374" s="12"/>
      <c r="B1374" s="93"/>
      <c r="C1374" s="12"/>
      <c r="D1374" s="94"/>
      <c r="E1374" s="94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95"/>
      <c r="R1374" s="87"/>
      <c r="S1374" s="96"/>
      <c r="T1374" s="12"/>
      <c r="U1374" s="12"/>
      <c r="V1374" s="12"/>
    </row>
    <row r="1375" spans="1:22">
      <c r="A1375" s="12"/>
      <c r="B1375" s="93"/>
      <c r="C1375" s="12"/>
      <c r="D1375" s="94"/>
      <c r="E1375" s="94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95"/>
      <c r="R1375" s="87"/>
      <c r="S1375" s="96"/>
      <c r="T1375" s="12"/>
      <c r="U1375" s="12"/>
      <c r="V1375" s="12"/>
    </row>
    <row r="1376" spans="1:22">
      <c r="A1376" s="12"/>
      <c r="B1376" s="93"/>
      <c r="C1376" s="12"/>
      <c r="D1376" s="94"/>
      <c r="E1376" s="94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95"/>
      <c r="R1376" s="87"/>
      <c r="S1376" s="96"/>
      <c r="T1376" s="12"/>
      <c r="U1376" s="12"/>
      <c r="V1376" s="12"/>
    </row>
    <row r="1377" spans="1:22">
      <c r="A1377" s="12"/>
      <c r="B1377" s="93"/>
      <c r="C1377" s="12"/>
      <c r="D1377" s="94"/>
      <c r="E1377" s="94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95"/>
      <c r="R1377" s="87"/>
      <c r="S1377" s="96"/>
      <c r="T1377" s="12"/>
      <c r="U1377" s="12"/>
      <c r="V1377" s="12"/>
    </row>
    <row r="1378" spans="1:22">
      <c r="A1378" s="12"/>
      <c r="B1378" s="93"/>
      <c r="C1378" s="12"/>
      <c r="D1378" s="94"/>
      <c r="E1378" s="94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95"/>
      <c r="R1378" s="87"/>
      <c r="S1378" s="96"/>
      <c r="T1378" s="12"/>
      <c r="U1378" s="12"/>
      <c r="V1378" s="12"/>
    </row>
    <row r="1379" spans="1:22">
      <c r="A1379" s="12"/>
      <c r="B1379" s="93"/>
      <c r="C1379" s="12"/>
      <c r="D1379" s="94"/>
      <c r="E1379" s="94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95"/>
      <c r="R1379" s="87"/>
      <c r="S1379" s="96"/>
      <c r="T1379" s="12"/>
      <c r="U1379" s="12"/>
      <c r="V1379" s="12"/>
    </row>
    <row r="1380" spans="1:22">
      <c r="A1380" s="12"/>
      <c r="B1380" s="93"/>
      <c r="C1380" s="12"/>
      <c r="D1380" s="94"/>
      <c r="E1380" s="94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95"/>
      <c r="R1380" s="87"/>
      <c r="S1380" s="96"/>
      <c r="T1380" s="12"/>
      <c r="U1380" s="12"/>
      <c r="V1380" s="12"/>
    </row>
    <row r="1381" spans="1:22">
      <c r="A1381" s="12"/>
      <c r="B1381" s="93"/>
      <c r="C1381" s="12"/>
      <c r="D1381" s="94"/>
      <c r="E1381" s="94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95"/>
      <c r="R1381" s="87"/>
      <c r="S1381" s="96"/>
      <c r="T1381" s="12"/>
      <c r="U1381" s="12"/>
      <c r="V1381" s="12"/>
    </row>
    <row r="1382" spans="1:22">
      <c r="A1382" s="12"/>
      <c r="B1382" s="93"/>
      <c r="C1382" s="12"/>
      <c r="D1382" s="94"/>
      <c r="E1382" s="94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95"/>
      <c r="R1382" s="87"/>
      <c r="S1382" s="96"/>
      <c r="T1382" s="12"/>
      <c r="U1382" s="12"/>
      <c r="V1382" s="12"/>
    </row>
    <row r="1383" spans="1:22">
      <c r="A1383" s="12"/>
      <c r="B1383" s="93"/>
      <c r="C1383" s="12"/>
      <c r="D1383" s="94"/>
      <c r="E1383" s="94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95"/>
      <c r="R1383" s="87"/>
      <c r="S1383" s="96"/>
      <c r="T1383" s="12"/>
      <c r="U1383" s="12"/>
      <c r="V1383" s="12"/>
    </row>
    <row r="1384" spans="1:22">
      <c r="A1384" s="12"/>
      <c r="B1384" s="93"/>
      <c r="C1384" s="12"/>
      <c r="D1384" s="94"/>
      <c r="E1384" s="94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95"/>
      <c r="R1384" s="87"/>
      <c r="S1384" s="96"/>
      <c r="T1384" s="12"/>
      <c r="U1384" s="12"/>
      <c r="V1384" s="12"/>
    </row>
    <row r="1385" spans="1:22">
      <c r="A1385" s="12"/>
      <c r="B1385" s="93"/>
      <c r="C1385" s="12"/>
      <c r="D1385" s="94"/>
      <c r="E1385" s="94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95"/>
      <c r="R1385" s="87"/>
      <c r="S1385" s="96"/>
      <c r="T1385" s="12"/>
      <c r="U1385" s="12"/>
      <c r="V1385" s="12"/>
    </row>
    <row r="1386" spans="1:22">
      <c r="A1386" s="12"/>
      <c r="B1386" s="93"/>
      <c r="C1386" s="12"/>
      <c r="D1386" s="94"/>
      <c r="E1386" s="94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95"/>
      <c r="R1386" s="87"/>
      <c r="S1386" s="96"/>
      <c r="T1386" s="12"/>
      <c r="U1386" s="12"/>
      <c r="V1386" s="12"/>
    </row>
    <row r="1387" spans="1:22">
      <c r="A1387" s="12"/>
      <c r="B1387" s="93"/>
      <c r="C1387" s="12"/>
      <c r="D1387" s="94"/>
      <c r="E1387" s="94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95"/>
      <c r="R1387" s="87"/>
      <c r="S1387" s="96"/>
      <c r="T1387" s="12"/>
      <c r="U1387" s="12"/>
      <c r="V1387" s="12"/>
    </row>
    <row r="1388" spans="1:22">
      <c r="A1388" s="12"/>
      <c r="B1388" s="93"/>
      <c r="C1388" s="12"/>
      <c r="D1388" s="94"/>
      <c r="E1388" s="94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95"/>
      <c r="R1388" s="87"/>
      <c r="S1388" s="96"/>
      <c r="T1388" s="12"/>
      <c r="U1388" s="12"/>
      <c r="V1388" s="12"/>
    </row>
    <row r="1389" spans="1:22">
      <c r="A1389" s="12"/>
      <c r="B1389" s="93"/>
      <c r="C1389" s="12"/>
      <c r="D1389" s="94"/>
      <c r="E1389" s="94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95"/>
      <c r="R1389" s="87"/>
      <c r="S1389" s="96"/>
      <c r="T1389" s="12"/>
      <c r="U1389" s="12"/>
      <c r="V1389" s="12"/>
    </row>
    <row r="1390" spans="1:22">
      <c r="A1390" s="12"/>
      <c r="B1390" s="93"/>
      <c r="C1390" s="12"/>
      <c r="D1390" s="94"/>
      <c r="E1390" s="94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95"/>
      <c r="R1390" s="87"/>
      <c r="S1390" s="96"/>
      <c r="T1390" s="12"/>
      <c r="U1390" s="12"/>
      <c r="V1390" s="12"/>
    </row>
    <row r="1391" spans="1:22">
      <c r="A1391" s="12"/>
      <c r="B1391" s="93"/>
      <c r="C1391" s="12"/>
      <c r="D1391" s="94"/>
      <c r="E1391" s="94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95"/>
      <c r="R1391" s="87"/>
      <c r="S1391" s="96"/>
      <c r="T1391" s="12"/>
      <c r="U1391" s="12"/>
      <c r="V1391" s="12"/>
    </row>
    <row r="1392" spans="1:22">
      <c r="A1392" s="12"/>
      <c r="B1392" s="93"/>
      <c r="C1392" s="12"/>
      <c r="D1392" s="94"/>
      <c r="E1392" s="94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95"/>
      <c r="R1392" s="87"/>
      <c r="S1392" s="96"/>
      <c r="T1392" s="12"/>
      <c r="U1392" s="12"/>
      <c r="V1392" s="12"/>
    </row>
    <row r="1393" spans="1:22">
      <c r="A1393" s="12"/>
      <c r="B1393" s="93"/>
      <c r="C1393" s="12"/>
      <c r="D1393" s="94"/>
      <c r="E1393" s="94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95"/>
      <c r="R1393" s="87"/>
      <c r="S1393" s="96"/>
      <c r="T1393" s="12"/>
      <c r="U1393" s="12"/>
      <c r="V1393" s="12"/>
    </row>
    <row r="1394" spans="1:22">
      <c r="A1394" s="12"/>
      <c r="B1394" s="93"/>
      <c r="C1394" s="12"/>
      <c r="D1394" s="94"/>
      <c r="E1394" s="94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95"/>
      <c r="R1394" s="87"/>
      <c r="S1394" s="96"/>
      <c r="T1394" s="12"/>
      <c r="U1394" s="12"/>
      <c r="V1394" s="12"/>
    </row>
    <row r="1395" spans="1:22">
      <c r="A1395" s="12"/>
      <c r="B1395" s="93"/>
      <c r="C1395" s="12"/>
      <c r="D1395" s="94"/>
      <c r="E1395" s="94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95"/>
      <c r="R1395" s="87"/>
      <c r="S1395" s="96"/>
      <c r="T1395" s="12"/>
      <c r="U1395" s="12"/>
      <c r="V1395" s="12"/>
    </row>
    <row r="1396" spans="1:22">
      <c r="A1396" s="12"/>
      <c r="B1396" s="93"/>
      <c r="C1396" s="12"/>
      <c r="D1396" s="94"/>
      <c r="E1396" s="94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95"/>
      <c r="R1396" s="87"/>
      <c r="S1396" s="96"/>
      <c r="T1396" s="12"/>
      <c r="U1396" s="12"/>
      <c r="V1396" s="12"/>
    </row>
    <row r="1397" spans="1:22">
      <c r="A1397" s="12"/>
      <c r="B1397" s="93"/>
      <c r="C1397" s="12"/>
      <c r="D1397" s="94"/>
      <c r="E1397" s="94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95"/>
      <c r="R1397" s="87"/>
      <c r="S1397" s="96"/>
      <c r="T1397" s="12"/>
      <c r="U1397" s="12"/>
      <c r="V1397" s="12"/>
    </row>
    <row r="1398" spans="1:22">
      <c r="A1398" s="12"/>
      <c r="B1398" s="93"/>
      <c r="C1398" s="12"/>
      <c r="D1398" s="94"/>
      <c r="E1398" s="94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95"/>
      <c r="R1398" s="87"/>
      <c r="S1398" s="96"/>
      <c r="T1398" s="12"/>
      <c r="U1398" s="12"/>
      <c r="V1398" s="12"/>
    </row>
    <row r="1399" spans="1:22">
      <c r="A1399" s="12"/>
      <c r="B1399" s="93"/>
      <c r="C1399" s="12"/>
      <c r="D1399" s="94"/>
      <c r="E1399" s="94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95"/>
      <c r="R1399" s="87"/>
      <c r="S1399" s="96"/>
      <c r="T1399" s="12"/>
      <c r="U1399" s="12"/>
      <c r="V1399" s="12"/>
    </row>
    <row r="1400" spans="1:22">
      <c r="A1400" s="12"/>
      <c r="B1400" s="93"/>
      <c r="C1400" s="12"/>
      <c r="D1400" s="94"/>
      <c r="E1400" s="94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95"/>
      <c r="R1400" s="87"/>
      <c r="S1400" s="96"/>
      <c r="T1400" s="12"/>
      <c r="U1400" s="12"/>
      <c r="V1400" s="12"/>
    </row>
    <row r="1401" spans="1:22">
      <c r="A1401" s="12"/>
      <c r="B1401" s="93"/>
      <c r="C1401" s="12"/>
      <c r="D1401" s="94"/>
      <c r="E1401" s="94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95"/>
      <c r="R1401" s="87"/>
      <c r="S1401" s="96"/>
      <c r="T1401" s="12"/>
      <c r="U1401" s="12"/>
      <c r="V1401" s="12"/>
    </row>
    <row r="1402" spans="1:22">
      <c r="A1402" s="12"/>
      <c r="B1402" s="93"/>
      <c r="C1402" s="12"/>
      <c r="D1402" s="94"/>
      <c r="E1402" s="94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95"/>
      <c r="R1402" s="87"/>
      <c r="S1402" s="96"/>
      <c r="T1402" s="12"/>
      <c r="U1402" s="12"/>
      <c r="V1402" s="12"/>
    </row>
    <row r="1403" spans="1:22">
      <c r="A1403" s="12"/>
      <c r="B1403" s="93"/>
      <c r="C1403" s="12"/>
      <c r="D1403" s="94"/>
      <c r="E1403" s="94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95"/>
      <c r="R1403" s="87"/>
      <c r="S1403" s="96"/>
      <c r="T1403" s="12"/>
      <c r="U1403" s="12"/>
      <c r="V1403" s="12"/>
    </row>
    <row r="1404" spans="1:22">
      <c r="A1404" s="12"/>
      <c r="B1404" s="93"/>
      <c r="C1404" s="12"/>
      <c r="D1404" s="94"/>
      <c r="E1404" s="94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95"/>
      <c r="R1404" s="87"/>
      <c r="S1404" s="96"/>
      <c r="T1404" s="12"/>
      <c r="U1404" s="12"/>
      <c r="V1404" s="12"/>
    </row>
    <row r="1405" spans="1:22">
      <c r="A1405" s="12"/>
      <c r="B1405" s="93"/>
      <c r="C1405" s="12"/>
      <c r="D1405" s="94"/>
      <c r="E1405" s="94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95"/>
      <c r="R1405" s="87"/>
      <c r="S1405" s="96"/>
      <c r="T1405" s="12"/>
      <c r="U1405" s="12"/>
      <c r="V1405" s="12"/>
    </row>
    <row r="1406" spans="1:22">
      <c r="A1406" s="12"/>
      <c r="B1406" s="93"/>
      <c r="C1406" s="12"/>
      <c r="D1406" s="94"/>
      <c r="E1406" s="94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95"/>
      <c r="R1406" s="87"/>
      <c r="S1406" s="96"/>
      <c r="T1406" s="12"/>
      <c r="U1406" s="12"/>
      <c r="V1406" s="12"/>
    </row>
    <row r="1407" spans="1:22">
      <c r="A1407" s="12"/>
      <c r="B1407" s="93"/>
      <c r="C1407" s="12"/>
      <c r="D1407" s="94"/>
      <c r="E1407" s="94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95"/>
      <c r="R1407" s="87"/>
      <c r="S1407" s="96"/>
      <c r="T1407" s="12"/>
      <c r="U1407" s="12"/>
      <c r="V1407" s="12"/>
    </row>
    <row r="1408" spans="1:22">
      <c r="A1408" s="12"/>
      <c r="B1408" s="93"/>
      <c r="C1408" s="12"/>
      <c r="D1408" s="94"/>
      <c r="E1408" s="94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95"/>
      <c r="R1408" s="87"/>
      <c r="S1408" s="96"/>
      <c r="T1408" s="12"/>
      <c r="U1408" s="12"/>
      <c r="V1408" s="12"/>
    </row>
    <row r="1409" spans="1:22">
      <c r="A1409" s="12"/>
      <c r="B1409" s="93"/>
      <c r="C1409" s="12"/>
      <c r="D1409" s="94"/>
      <c r="E1409" s="94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95"/>
      <c r="R1409" s="87"/>
      <c r="S1409" s="96"/>
      <c r="T1409" s="12"/>
      <c r="U1409" s="12"/>
      <c r="V1409" s="12"/>
    </row>
    <row r="1410" spans="1:22">
      <c r="A1410" s="12"/>
      <c r="B1410" s="93"/>
      <c r="C1410" s="12"/>
      <c r="D1410" s="94"/>
      <c r="E1410" s="94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95"/>
      <c r="R1410" s="87"/>
      <c r="S1410" s="96"/>
      <c r="T1410" s="12"/>
      <c r="U1410" s="12"/>
      <c r="V1410" s="12"/>
    </row>
    <row r="1411" spans="1:22">
      <c r="A1411" s="12"/>
      <c r="B1411" s="93"/>
      <c r="C1411" s="12"/>
      <c r="D1411" s="94"/>
      <c r="E1411" s="94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95"/>
      <c r="R1411" s="87"/>
      <c r="S1411" s="96"/>
      <c r="T1411" s="12"/>
      <c r="U1411" s="12"/>
      <c r="V1411" s="12"/>
    </row>
    <row r="1412" spans="1:22">
      <c r="A1412" s="12"/>
      <c r="B1412" s="93"/>
      <c r="C1412" s="12"/>
      <c r="D1412" s="94"/>
      <c r="E1412" s="94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95"/>
      <c r="R1412" s="87"/>
      <c r="S1412" s="96"/>
      <c r="T1412" s="12"/>
      <c r="U1412" s="12"/>
      <c r="V1412" s="12"/>
    </row>
    <row r="1413" spans="1:22">
      <c r="A1413" s="12"/>
      <c r="B1413" s="93"/>
      <c r="C1413" s="12"/>
      <c r="D1413" s="94"/>
      <c r="E1413" s="94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95"/>
      <c r="R1413" s="87"/>
      <c r="S1413" s="96"/>
      <c r="T1413" s="12"/>
      <c r="U1413" s="12"/>
      <c r="V1413" s="12"/>
    </row>
    <row r="1414" spans="1:22">
      <c r="A1414" s="12"/>
      <c r="B1414" s="93"/>
      <c r="C1414" s="12"/>
      <c r="D1414" s="94"/>
      <c r="E1414" s="94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95"/>
      <c r="R1414" s="87"/>
      <c r="S1414" s="96"/>
      <c r="T1414" s="12"/>
      <c r="U1414" s="12"/>
      <c r="V1414" s="12"/>
    </row>
    <row r="1415" spans="1:22">
      <c r="A1415" s="12"/>
      <c r="B1415" s="93"/>
      <c r="C1415" s="12"/>
      <c r="D1415" s="94"/>
      <c r="E1415" s="94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95"/>
      <c r="R1415" s="87"/>
      <c r="S1415" s="96"/>
      <c r="T1415" s="12"/>
      <c r="U1415" s="12"/>
      <c r="V1415" s="12"/>
    </row>
    <row r="1416" spans="1:22">
      <c r="A1416" s="12"/>
      <c r="B1416" s="93"/>
      <c r="C1416" s="12"/>
      <c r="D1416" s="94"/>
      <c r="E1416" s="94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95"/>
      <c r="R1416" s="87"/>
      <c r="S1416" s="96"/>
      <c r="T1416" s="12"/>
      <c r="U1416" s="12"/>
      <c r="V1416" s="12"/>
    </row>
    <row r="1417" spans="1:22">
      <c r="A1417" s="12"/>
      <c r="B1417" s="93"/>
      <c r="C1417" s="12"/>
      <c r="D1417" s="94"/>
      <c r="E1417" s="94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95"/>
      <c r="R1417" s="87"/>
      <c r="S1417" s="96"/>
      <c r="T1417" s="12"/>
      <c r="U1417" s="12"/>
      <c r="V1417" s="12"/>
    </row>
    <row r="1418" spans="1:22">
      <c r="A1418" s="12"/>
      <c r="B1418" s="93"/>
      <c r="C1418" s="12"/>
      <c r="D1418" s="94"/>
      <c r="E1418" s="94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95"/>
      <c r="R1418" s="87"/>
      <c r="S1418" s="96"/>
      <c r="T1418" s="12"/>
      <c r="U1418" s="12"/>
      <c r="V1418" s="12"/>
    </row>
    <row r="1419" spans="1:22">
      <c r="A1419" s="12"/>
      <c r="B1419" s="93"/>
      <c r="C1419" s="12"/>
      <c r="D1419" s="94"/>
      <c r="E1419" s="94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95"/>
      <c r="R1419" s="87"/>
      <c r="S1419" s="96"/>
      <c r="T1419" s="12"/>
      <c r="U1419" s="12"/>
      <c r="V1419" s="12"/>
    </row>
    <row r="1420" spans="1:22">
      <c r="A1420" s="12"/>
      <c r="B1420" s="93"/>
      <c r="C1420" s="12"/>
      <c r="D1420" s="94"/>
      <c r="E1420" s="94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95"/>
      <c r="R1420" s="87"/>
      <c r="S1420" s="96"/>
      <c r="T1420" s="12"/>
      <c r="U1420" s="12"/>
      <c r="V1420" s="12"/>
    </row>
    <row r="1421" spans="1:22">
      <c r="A1421" s="12"/>
      <c r="B1421" s="93"/>
      <c r="C1421" s="12"/>
      <c r="D1421" s="94"/>
      <c r="E1421" s="94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95"/>
      <c r="R1421" s="87"/>
      <c r="S1421" s="96"/>
      <c r="T1421" s="12"/>
      <c r="U1421" s="12"/>
      <c r="V1421" s="12"/>
    </row>
    <row r="1422" spans="1:22">
      <c r="A1422" s="12"/>
      <c r="B1422" s="93"/>
      <c r="C1422" s="12"/>
      <c r="D1422" s="94"/>
      <c r="E1422" s="94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95"/>
      <c r="R1422" s="87"/>
      <c r="S1422" s="96"/>
      <c r="T1422" s="12"/>
      <c r="U1422" s="12"/>
      <c r="V1422" s="12"/>
    </row>
    <row r="1423" spans="1:22">
      <c r="A1423" s="12"/>
      <c r="B1423" s="93"/>
      <c r="C1423" s="12"/>
      <c r="D1423" s="94"/>
      <c r="E1423" s="94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95"/>
      <c r="R1423" s="87"/>
      <c r="S1423" s="96"/>
      <c r="T1423" s="12"/>
      <c r="U1423" s="12"/>
      <c r="V1423" s="12"/>
    </row>
    <row r="1424" spans="1:22">
      <c r="A1424" s="12"/>
      <c r="B1424" s="93"/>
      <c r="C1424" s="12"/>
      <c r="D1424" s="94"/>
      <c r="E1424" s="94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95"/>
      <c r="R1424" s="87"/>
      <c r="S1424" s="96"/>
      <c r="T1424" s="12"/>
      <c r="U1424" s="12"/>
      <c r="V1424" s="12"/>
    </row>
    <row r="1425" spans="1:22">
      <c r="A1425" s="12"/>
      <c r="B1425" s="93"/>
      <c r="C1425" s="12"/>
      <c r="D1425" s="94"/>
      <c r="E1425" s="94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95"/>
      <c r="R1425" s="87"/>
      <c r="S1425" s="96"/>
      <c r="T1425" s="12"/>
      <c r="U1425" s="12"/>
      <c r="V1425" s="12"/>
    </row>
    <row r="1426" spans="1:22">
      <c r="A1426" s="12"/>
      <c r="B1426" s="93"/>
      <c r="C1426" s="12"/>
      <c r="D1426" s="94"/>
      <c r="E1426" s="94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95"/>
      <c r="R1426" s="87"/>
      <c r="S1426" s="96"/>
      <c r="T1426" s="12"/>
      <c r="U1426" s="12"/>
      <c r="V1426" s="12"/>
    </row>
    <row r="1427" spans="1:22">
      <c r="A1427" s="12"/>
      <c r="B1427" s="93"/>
      <c r="C1427" s="12"/>
      <c r="D1427" s="94"/>
      <c r="E1427" s="94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95"/>
      <c r="R1427" s="87"/>
      <c r="S1427" s="96"/>
      <c r="T1427" s="12"/>
      <c r="U1427" s="12"/>
      <c r="V1427" s="12"/>
    </row>
    <row r="1428" spans="1:22">
      <c r="A1428" s="12"/>
      <c r="B1428" s="93"/>
      <c r="C1428" s="12"/>
      <c r="D1428" s="94"/>
      <c r="E1428" s="94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95"/>
      <c r="R1428" s="87"/>
      <c r="S1428" s="96"/>
      <c r="T1428" s="12"/>
      <c r="U1428" s="12"/>
      <c r="V1428" s="12"/>
    </row>
    <row r="1429" spans="1:22">
      <c r="A1429" s="12"/>
      <c r="B1429" s="93"/>
      <c r="C1429" s="12"/>
      <c r="D1429" s="94"/>
      <c r="E1429" s="94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95"/>
      <c r="R1429" s="87"/>
      <c r="S1429" s="96"/>
      <c r="T1429" s="12"/>
      <c r="U1429" s="12"/>
      <c r="V1429" s="12"/>
    </row>
    <row r="1430" spans="1:22">
      <c r="A1430" s="12"/>
      <c r="B1430" s="93"/>
      <c r="C1430" s="12"/>
      <c r="D1430" s="94"/>
      <c r="E1430" s="94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95"/>
      <c r="R1430" s="87"/>
      <c r="S1430" s="96"/>
      <c r="T1430" s="12"/>
      <c r="U1430" s="12"/>
      <c r="V1430" s="12"/>
    </row>
    <row r="1431" spans="1:22">
      <c r="A1431" s="12"/>
      <c r="B1431" s="93"/>
      <c r="C1431" s="12"/>
      <c r="D1431" s="94"/>
      <c r="E1431" s="94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95"/>
      <c r="R1431" s="87"/>
      <c r="S1431" s="96"/>
      <c r="T1431" s="12"/>
      <c r="U1431" s="12"/>
      <c r="V1431" s="12"/>
    </row>
    <row r="1432" spans="1:22">
      <c r="A1432" s="12"/>
      <c r="B1432" s="93"/>
      <c r="C1432" s="12"/>
      <c r="D1432" s="94"/>
      <c r="E1432" s="94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95"/>
      <c r="R1432" s="87"/>
      <c r="S1432" s="96"/>
      <c r="T1432" s="12"/>
      <c r="U1432" s="12"/>
      <c r="V1432" s="12"/>
    </row>
    <row r="1433" spans="1:22">
      <c r="A1433" s="12"/>
      <c r="B1433" s="93"/>
      <c r="C1433" s="12"/>
      <c r="D1433" s="94"/>
      <c r="E1433" s="94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95"/>
      <c r="R1433" s="87"/>
      <c r="S1433" s="96"/>
      <c r="T1433" s="12"/>
      <c r="U1433" s="12"/>
      <c r="V1433" s="12"/>
    </row>
    <row r="1434" spans="1:22">
      <c r="A1434" s="12"/>
      <c r="B1434" s="93"/>
      <c r="C1434" s="12"/>
      <c r="D1434" s="94"/>
      <c r="E1434" s="94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95"/>
      <c r="R1434" s="87"/>
      <c r="S1434" s="96"/>
      <c r="T1434" s="12"/>
      <c r="U1434" s="12"/>
      <c r="V1434" s="12"/>
    </row>
    <row r="1435" spans="1:22">
      <c r="A1435" s="12"/>
      <c r="B1435" s="93"/>
      <c r="C1435" s="12"/>
      <c r="D1435" s="94"/>
      <c r="E1435" s="94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95"/>
      <c r="R1435" s="87"/>
      <c r="S1435" s="96"/>
      <c r="T1435" s="12"/>
      <c r="U1435" s="12"/>
      <c r="V1435" s="12"/>
    </row>
    <row r="1436" spans="1:22">
      <c r="A1436" s="12"/>
      <c r="B1436" s="93"/>
      <c r="C1436" s="12"/>
      <c r="D1436" s="94"/>
      <c r="E1436" s="94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95"/>
      <c r="R1436" s="87"/>
      <c r="S1436" s="96"/>
      <c r="T1436" s="12"/>
      <c r="U1436" s="12"/>
      <c r="V1436" s="12"/>
    </row>
  </sheetData>
  <autoFilter ref="A5:V1436" xr:uid="{00000000-0009-0000-0000-000006000000}"/>
  <customSheetViews>
    <customSheetView guid="{973ECC17-1FC7-46AC-9FAE-72CFE59B5A9C}" showAutoFilter="1">
      <pane ySplit="317" topLeftCell="A323" activePane="bottomLeft" state="frozen"/>
      <selection pane="bottomLeft" activeCell="D12" sqref="D12"/>
      <pageMargins left="0.75" right="0.75" top="1" bottom="1" header="0.51200000000000001" footer="0.51200000000000001"/>
      <pageSetup paperSize="9" orientation="portrait" r:id="rId1"/>
      <headerFooter alignWithMargins="0"/>
      <autoFilter ref="A5:V1436" xr:uid="{3F107D64-8449-4FCE-8DF5-700219126C3B}"/>
    </customSheetView>
    <customSheetView guid="{7F90F6BF-AAFE-4B41-87EA-2390EC2C7378}" showAutoFilter="1">
      <pane ySplit="317" topLeftCell="A323" activePane="bottomLeft" state="frozen"/>
      <selection pane="bottomLeft" activeCell="D12" sqref="D12"/>
      <pageMargins left="0.75" right="0.75" top="1" bottom="1" header="0.51200000000000001" footer="0.51200000000000001"/>
      <pageSetup paperSize="9" orientation="portrait" r:id="rId2"/>
      <headerFooter alignWithMargins="0"/>
      <autoFilter ref="A5:V1436" xr:uid="{1A63C9FE-6914-47B1-B33F-6EA0E5D84231}"/>
    </customSheetView>
    <customSheetView guid="{3C29C2C7-5DB1-41FB-9E95-64C17F07BBDB}" showAutoFilter="1">
      <pane ySplit="317" topLeftCell="A323" activePane="bottomLeft" state="frozen"/>
      <selection pane="bottomLeft" activeCell="D12" sqref="D12"/>
      <pageMargins left="0.75" right="0.75" top="1" bottom="1" header="0.51200000000000001" footer="0.51200000000000001"/>
      <pageSetup paperSize="9" orientation="portrait" r:id="rId3"/>
      <headerFooter alignWithMargins="0"/>
      <autoFilter ref="A5:V1436" xr:uid="{3AC2B11B-77A1-4609-BDF7-5F6862846F3D}"/>
    </customSheetView>
  </customSheetViews>
  <mergeCells count="1">
    <mergeCell ref="K2:N2"/>
  </mergeCells>
  <phoneticPr fontId="2"/>
  <dataValidations count="2">
    <dataValidation type="list" allowBlank="1" showInputMessage="1" showErrorMessage="1" prompt="PC：個_x000a_SE：式_x000a_KG：キログラム_x000a_MT：メートル_x000a_%：パーセント" sqref="R3:R5" xr:uid="{00000000-0002-0000-0600-000000000000}">
      <formula1>"PC,SE,KG,MT,%"</formula1>
    </dataValidation>
    <dataValidation type="list" allowBlank="1" showInputMessage="1" showErrorMessage="1" prompt="V3：課税（10％）_x000a_V0：非課税_x000a_VA：課税収入　軽減税率（8％）" sqref="V3" xr:uid="{00000000-0002-0000-0600-000001000000}">
      <formula1>"V3,V0,VA"</formula1>
    </dataValidation>
  </dataValidations>
  <pageMargins left="0.75" right="0.75" top="1" bottom="1" header="0.51200000000000001" footer="0.51200000000000001"/>
  <pageSetup paperSize="9" orientation="portrait" r:id="rId4"/>
  <headerFooter alignWithMargins="0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63"/>
  <sheetViews>
    <sheetView topLeftCell="A48" workbookViewId="0">
      <selection activeCell="D58" sqref="D58"/>
    </sheetView>
  </sheetViews>
  <sheetFormatPr defaultColWidth="8.875" defaultRowHeight="15.75"/>
  <cols>
    <col min="1" max="1" width="72.375" style="126" customWidth="1"/>
    <col min="2" max="2" width="31.5" style="133" bestFit="1" customWidth="1"/>
    <col min="3" max="3" width="10.375" style="126" customWidth="1"/>
    <col min="4" max="4" width="8.875" style="126"/>
    <col min="5" max="5" width="22.875" style="126" customWidth="1"/>
    <col min="6" max="6" width="15.75" style="126" customWidth="1"/>
    <col min="7" max="16384" width="8.875" style="126"/>
  </cols>
  <sheetData>
    <row r="1" spans="1:9" ht="40.15" customHeight="1">
      <c r="A1" s="123" t="s">
        <v>131</v>
      </c>
      <c r="B1" s="124" t="s">
        <v>55</v>
      </c>
      <c r="C1" s="123" t="s">
        <v>341</v>
      </c>
      <c r="D1" s="125" t="s">
        <v>36</v>
      </c>
      <c r="E1" s="133"/>
      <c r="G1" s="126" t="s">
        <v>345</v>
      </c>
    </row>
    <row r="2" spans="1:9" ht="40.15" customHeight="1">
      <c r="A2" s="123" t="s">
        <v>132</v>
      </c>
      <c r="B2" s="124" t="s">
        <v>59</v>
      </c>
      <c r="C2" s="123" t="s">
        <v>82</v>
      </c>
      <c r="D2" s="125" t="s">
        <v>36</v>
      </c>
      <c r="E2" s="133"/>
      <c r="G2" s="232" t="s">
        <v>4</v>
      </c>
      <c r="H2" s="232" t="s">
        <v>342</v>
      </c>
      <c r="I2" s="232"/>
    </row>
    <row r="3" spans="1:9" ht="40.15" customHeight="1">
      <c r="A3" s="123" t="s">
        <v>133</v>
      </c>
      <c r="B3" s="127" t="s">
        <v>84</v>
      </c>
      <c r="C3" s="123" t="s">
        <v>83</v>
      </c>
      <c r="D3" s="125" t="s">
        <v>36</v>
      </c>
      <c r="E3" s="133"/>
      <c r="G3" s="232" t="s">
        <v>343</v>
      </c>
      <c r="H3" s="232" t="s">
        <v>330</v>
      </c>
      <c r="I3" s="232"/>
    </row>
    <row r="4" spans="1:9" ht="40.15" customHeight="1">
      <c r="A4" s="123" t="s">
        <v>134</v>
      </c>
      <c r="B4" s="124" t="s">
        <v>46</v>
      </c>
      <c r="C4" s="123" t="s">
        <v>85</v>
      </c>
      <c r="D4" s="125" t="s">
        <v>36</v>
      </c>
      <c r="E4" s="133"/>
      <c r="F4" s="128"/>
      <c r="G4" s="232" t="s">
        <v>343</v>
      </c>
      <c r="H4" s="232" t="s">
        <v>333</v>
      </c>
      <c r="I4" s="232"/>
    </row>
    <row r="5" spans="1:9" ht="40.15" customHeight="1">
      <c r="A5" s="123" t="s">
        <v>135</v>
      </c>
      <c r="B5" s="124" t="s">
        <v>57</v>
      </c>
      <c r="C5" s="123" t="s">
        <v>292</v>
      </c>
      <c r="D5" s="125" t="s">
        <v>36</v>
      </c>
      <c r="E5" s="133"/>
      <c r="F5" s="128"/>
      <c r="G5" s="232" t="s">
        <v>97</v>
      </c>
      <c r="H5" s="232" t="s">
        <v>333</v>
      </c>
      <c r="I5" s="232"/>
    </row>
    <row r="6" spans="1:9" ht="40.15" customHeight="1">
      <c r="A6" s="123" t="s">
        <v>136</v>
      </c>
      <c r="B6" s="124" t="s">
        <v>3</v>
      </c>
      <c r="C6" s="123" t="s">
        <v>293</v>
      </c>
      <c r="D6" s="125" t="s">
        <v>36</v>
      </c>
      <c r="E6" s="133"/>
      <c r="F6" s="128"/>
    </row>
    <row r="7" spans="1:9" ht="40.15" customHeight="1">
      <c r="A7" s="123" t="s">
        <v>138</v>
      </c>
      <c r="B7" s="124" t="s">
        <v>139</v>
      </c>
      <c r="C7" s="123" t="s">
        <v>87</v>
      </c>
      <c r="D7" s="125" t="s">
        <v>36</v>
      </c>
      <c r="E7" s="133"/>
      <c r="F7" s="128"/>
    </row>
    <row r="8" spans="1:9" ht="40.15" customHeight="1">
      <c r="A8" s="123" t="s">
        <v>294</v>
      </c>
      <c r="B8" s="129" t="s">
        <v>76</v>
      </c>
      <c r="C8" s="123" t="s">
        <v>295</v>
      </c>
      <c r="D8" s="125" t="s">
        <v>36</v>
      </c>
      <c r="E8" s="133"/>
      <c r="F8" s="128"/>
    </row>
    <row r="9" spans="1:9" ht="40.15" customHeight="1">
      <c r="A9" s="123" t="s">
        <v>140</v>
      </c>
      <c r="B9" s="124" t="s">
        <v>121</v>
      </c>
      <c r="C9" s="123" t="s">
        <v>89</v>
      </c>
      <c r="D9" s="125" t="s">
        <v>36</v>
      </c>
      <c r="E9" s="133"/>
    </row>
    <row r="10" spans="1:9" ht="40.15" customHeight="1">
      <c r="A10" s="123" t="s">
        <v>141</v>
      </c>
      <c r="B10" s="124" t="s">
        <v>54</v>
      </c>
      <c r="C10" s="123" t="s">
        <v>142</v>
      </c>
      <c r="D10" s="125" t="s">
        <v>36</v>
      </c>
      <c r="E10" s="133"/>
    </row>
    <row r="11" spans="1:9" ht="40.15" customHeight="1">
      <c r="A11" s="123" t="s">
        <v>143</v>
      </c>
      <c r="B11" s="124" t="s">
        <v>144</v>
      </c>
      <c r="C11" s="123" t="s">
        <v>145</v>
      </c>
      <c r="D11" s="125" t="s">
        <v>36</v>
      </c>
      <c r="E11" s="133"/>
    </row>
    <row r="12" spans="1:9" ht="40.15" customHeight="1">
      <c r="A12" s="123" t="s">
        <v>296</v>
      </c>
      <c r="B12" s="124" t="s">
        <v>289</v>
      </c>
      <c r="C12" s="123" t="s">
        <v>268</v>
      </c>
      <c r="D12" s="125" t="s">
        <v>154</v>
      </c>
      <c r="E12" s="133"/>
      <c r="F12" s="205"/>
    </row>
    <row r="13" spans="1:9" ht="40.15" customHeight="1">
      <c r="A13" s="123" t="s">
        <v>297</v>
      </c>
      <c r="B13" s="124" t="s">
        <v>269</v>
      </c>
      <c r="C13" s="123" t="s">
        <v>146</v>
      </c>
      <c r="D13" s="125" t="s">
        <v>36</v>
      </c>
      <c r="E13" s="133"/>
    </row>
    <row r="14" spans="1:9" ht="40.15" customHeight="1">
      <c r="A14" s="123" t="s">
        <v>147</v>
      </c>
      <c r="B14" s="124" t="s">
        <v>72</v>
      </c>
      <c r="C14" s="123" t="s">
        <v>73</v>
      </c>
      <c r="D14" s="125" t="s">
        <v>36</v>
      </c>
      <c r="E14" s="133"/>
    </row>
    <row r="15" spans="1:9" ht="40.15" customHeight="1">
      <c r="A15" s="123" t="s">
        <v>148</v>
      </c>
      <c r="B15" s="124" t="s">
        <v>74</v>
      </c>
      <c r="C15" s="123" t="s">
        <v>75</v>
      </c>
      <c r="D15" s="125" t="s">
        <v>36</v>
      </c>
      <c r="E15" s="133"/>
    </row>
    <row r="16" spans="1:9" ht="40.15" customHeight="1">
      <c r="A16" s="123" t="s">
        <v>298</v>
      </c>
      <c r="B16" s="129" t="s">
        <v>291</v>
      </c>
      <c r="C16" s="123" t="s">
        <v>149</v>
      </c>
      <c r="D16" s="125" t="s">
        <v>36</v>
      </c>
      <c r="E16" s="133"/>
    </row>
    <row r="17" spans="1:11" ht="40.35" customHeight="1">
      <c r="A17" s="123" t="s">
        <v>214</v>
      </c>
      <c r="B17" s="124" t="s">
        <v>215</v>
      </c>
      <c r="C17" s="125" t="s">
        <v>216</v>
      </c>
      <c r="D17" s="125" t="s">
        <v>36</v>
      </c>
      <c r="E17" s="133"/>
    </row>
    <row r="18" spans="1:11" ht="40.15" customHeight="1">
      <c r="A18" s="123" t="s">
        <v>213</v>
      </c>
      <c r="B18" s="129" t="s">
        <v>211</v>
      </c>
      <c r="C18" s="123" t="s">
        <v>212</v>
      </c>
      <c r="D18" s="125" t="s">
        <v>36</v>
      </c>
      <c r="E18" s="133"/>
    </row>
    <row r="19" spans="1:11" ht="40.15" customHeight="1">
      <c r="A19" s="123" t="s">
        <v>227</v>
      </c>
      <c r="B19" s="129" t="s">
        <v>228</v>
      </c>
      <c r="C19" s="123" t="s">
        <v>260</v>
      </c>
      <c r="D19" s="125" t="s">
        <v>36</v>
      </c>
      <c r="E19" s="133"/>
    </row>
    <row r="20" spans="1:11" ht="31.5">
      <c r="A20" s="123" t="s">
        <v>250</v>
      </c>
      <c r="B20" s="124" t="s">
        <v>251</v>
      </c>
      <c r="C20" s="123" t="s">
        <v>270</v>
      </c>
      <c r="D20" s="125" t="s">
        <v>36</v>
      </c>
      <c r="E20" s="133"/>
      <c r="F20" s="205"/>
    </row>
    <row r="21" spans="1:11" ht="40.15" customHeight="1">
      <c r="A21" s="123" t="s">
        <v>151</v>
      </c>
      <c r="B21" s="124" t="s">
        <v>307</v>
      </c>
      <c r="C21" s="123" t="s">
        <v>37</v>
      </c>
      <c r="D21" s="125" t="s">
        <v>150</v>
      </c>
      <c r="E21" s="133" t="s">
        <v>304</v>
      </c>
      <c r="F21" s="233" t="s">
        <v>308</v>
      </c>
      <c r="G21" s="233" t="s">
        <v>97</v>
      </c>
      <c r="H21" s="233"/>
      <c r="I21" s="233"/>
      <c r="J21" s="233"/>
      <c r="K21" s="233"/>
    </row>
    <row r="22" spans="1:11" ht="40.15" customHeight="1">
      <c r="A22" s="123" t="s">
        <v>152</v>
      </c>
      <c r="B22" s="127" t="s">
        <v>69</v>
      </c>
      <c r="C22" s="123" t="s">
        <v>38</v>
      </c>
      <c r="D22" s="125" t="s">
        <v>150</v>
      </c>
      <c r="E22" s="133" t="s">
        <v>304</v>
      </c>
      <c r="F22" s="233"/>
      <c r="G22" s="233"/>
      <c r="H22" s="233"/>
      <c r="I22" s="233"/>
      <c r="J22" s="233"/>
      <c r="K22" s="233"/>
    </row>
    <row r="23" spans="1:11" ht="40.15" customHeight="1">
      <c r="A23" s="123" t="s">
        <v>153</v>
      </c>
      <c r="B23" s="124" t="s">
        <v>310</v>
      </c>
      <c r="C23" s="123" t="s">
        <v>340</v>
      </c>
      <c r="D23" s="125" t="s">
        <v>154</v>
      </c>
      <c r="E23" s="133" t="s">
        <v>304</v>
      </c>
      <c r="F23" s="233"/>
      <c r="G23" s="233"/>
      <c r="H23" s="233"/>
      <c r="I23" s="233"/>
      <c r="J23" s="233"/>
      <c r="K23" s="233"/>
    </row>
    <row r="24" spans="1:11" ht="40.15" customHeight="1">
      <c r="A24" s="123" t="s">
        <v>155</v>
      </c>
      <c r="B24" s="124" t="s">
        <v>58</v>
      </c>
      <c r="C24" s="123" t="s">
        <v>331</v>
      </c>
      <c r="D24" s="125" t="s">
        <v>154</v>
      </c>
      <c r="E24" s="133"/>
      <c r="F24" s="233"/>
      <c r="G24" s="233"/>
      <c r="H24" s="233"/>
      <c r="I24" s="235"/>
      <c r="J24" s="233"/>
      <c r="K24" s="233"/>
    </row>
    <row r="25" spans="1:11" ht="40.15" customHeight="1">
      <c r="A25" s="123" t="s">
        <v>157</v>
      </c>
      <c r="B25" s="124" t="s">
        <v>123</v>
      </c>
      <c r="C25" s="123" t="s">
        <v>332</v>
      </c>
      <c r="D25" s="125" t="s">
        <v>154</v>
      </c>
      <c r="E25" s="133"/>
      <c r="F25" s="233"/>
      <c r="G25" s="233"/>
      <c r="H25" s="233"/>
      <c r="I25" s="233"/>
      <c r="J25" s="233"/>
      <c r="K25" s="233"/>
    </row>
    <row r="26" spans="1:11" ht="40.15" customHeight="1">
      <c r="A26" s="123" t="s">
        <v>158</v>
      </c>
      <c r="B26" s="124" t="s">
        <v>56</v>
      </c>
      <c r="C26" s="123" t="s">
        <v>334</v>
      </c>
      <c r="D26" s="125" t="s">
        <v>154</v>
      </c>
      <c r="E26" s="133"/>
      <c r="F26" s="233"/>
      <c r="G26" s="233"/>
      <c r="H26" s="233"/>
      <c r="I26" s="233"/>
      <c r="J26" s="233"/>
      <c r="K26" s="233"/>
    </row>
    <row r="27" spans="1:11" ht="40.15" customHeight="1">
      <c r="A27" s="123" t="s">
        <v>159</v>
      </c>
      <c r="B27" s="124" t="s">
        <v>305</v>
      </c>
      <c r="C27" s="123" t="s">
        <v>335</v>
      </c>
      <c r="D27" s="125" t="s">
        <v>154</v>
      </c>
      <c r="E27" s="133" t="s">
        <v>304</v>
      </c>
      <c r="F27" s="233" t="s">
        <v>306</v>
      </c>
      <c r="G27" s="233" t="s">
        <v>309</v>
      </c>
      <c r="H27" s="233"/>
      <c r="I27" s="233"/>
      <c r="J27" s="233"/>
      <c r="K27" s="233"/>
    </row>
    <row r="28" spans="1:11" ht="40.15" customHeight="1">
      <c r="A28" s="123" t="s">
        <v>160</v>
      </c>
      <c r="B28" s="130" t="s">
        <v>311</v>
      </c>
      <c r="C28" s="123" t="s">
        <v>161</v>
      </c>
      <c r="D28" s="125" t="s">
        <v>154</v>
      </c>
      <c r="E28" s="133" t="s">
        <v>304</v>
      </c>
      <c r="F28" s="233"/>
      <c r="G28" s="233" t="s">
        <v>314</v>
      </c>
      <c r="H28" s="233"/>
      <c r="I28" s="233"/>
      <c r="J28" s="233"/>
      <c r="K28" s="233"/>
    </row>
    <row r="29" spans="1:11" ht="40.15" customHeight="1">
      <c r="A29" s="123" t="s">
        <v>162</v>
      </c>
      <c r="B29" s="124" t="s">
        <v>312</v>
      </c>
      <c r="C29" s="123" t="s">
        <v>336</v>
      </c>
      <c r="D29" s="125" t="s">
        <v>36</v>
      </c>
      <c r="E29" s="133"/>
      <c r="F29" s="233"/>
      <c r="G29" s="233"/>
      <c r="H29" s="233"/>
      <c r="I29" s="235"/>
      <c r="J29" s="233"/>
      <c r="K29" s="233"/>
    </row>
    <row r="30" spans="1:11" ht="40.15" customHeight="1">
      <c r="A30" s="123" t="s">
        <v>163</v>
      </c>
      <c r="B30" s="124" t="s">
        <v>313</v>
      </c>
      <c r="C30" s="123" t="s">
        <v>337</v>
      </c>
      <c r="D30" s="125" t="s">
        <v>154</v>
      </c>
      <c r="E30" s="133" t="s">
        <v>304</v>
      </c>
      <c r="F30" s="233"/>
      <c r="G30" s="233" t="s">
        <v>314</v>
      </c>
      <c r="H30" s="233"/>
      <c r="I30" s="233"/>
      <c r="J30" s="233"/>
      <c r="K30" s="233"/>
    </row>
    <row r="31" spans="1:11" ht="40.15" customHeight="1">
      <c r="A31" s="123" t="s">
        <v>164</v>
      </c>
      <c r="B31" s="124" t="s">
        <v>165</v>
      </c>
      <c r="C31" s="123" t="s">
        <v>338</v>
      </c>
      <c r="D31" s="125" t="s">
        <v>154</v>
      </c>
      <c r="E31" s="133"/>
      <c r="F31" s="233"/>
      <c r="G31" s="233"/>
      <c r="H31" s="233"/>
      <c r="I31" s="233"/>
      <c r="J31" s="233"/>
      <c r="K31" s="233"/>
    </row>
    <row r="32" spans="1:11" ht="40.15" customHeight="1">
      <c r="A32" s="123" t="s">
        <v>167</v>
      </c>
      <c r="B32" s="124" t="s">
        <v>315</v>
      </c>
      <c r="C32" s="123" t="s">
        <v>339</v>
      </c>
      <c r="D32" s="125" t="s">
        <v>154</v>
      </c>
      <c r="E32" s="133"/>
      <c r="F32" s="233"/>
      <c r="G32" s="233"/>
      <c r="H32" s="233"/>
      <c r="I32" s="233"/>
      <c r="J32" s="233"/>
      <c r="K32" s="233"/>
    </row>
    <row r="33" spans="1:11" ht="40.15" customHeight="1">
      <c r="A33" s="123" t="s">
        <v>169</v>
      </c>
      <c r="B33" s="130" t="s">
        <v>316</v>
      </c>
      <c r="C33" s="123" t="s">
        <v>71</v>
      </c>
      <c r="D33" s="132" t="s">
        <v>172</v>
      </c>
      <c r="E33" s="133"/>
      <c r="F33" s="233"/>
      <c r="G33" s="233"/>
      <c r="H33" s="233"/>
      <c r="I33" s="233"/>
      <c r="J33" s="233"/>
      <c r="K33" s="233"/>
    </row>
    <row r="34" spans="1:11" ht="40.15" customHeight="1">
      <c r="A34" s="131" t="s">
        <v>170</v>
      </c>
      <c r="B34" s="127" t="s">
        <v>317</v>
      </c>
      <c r="C34" s="123" t="s">
        <v>171</v>
      </c>
      <c r="D34" s="132" t="s">
        <v>172</v>
      </c>
      <c r="E34" s="133"/>
      <c r="F34" s="233"/>
      <c r="G34" s="233"/>
      <c r="H34" s="233"/>
      <c r="I34" s="233"/>
      <c r="J34" s="233"/>
      <c r="K34" s="233"/>
    </row>
    <row r="35" spans="1:11" ht="40.15" customHeight="1">
      <c r="A35" s="131" t="s">
        <v>173</v>
      </c>
      <c r="B35" s="130" t="s">
        <v>318</v>
      </c>
      <c r="C35" s="123" t="s">
        <v>174</v>
      </c>
      <c r="D35" s="132" t="s">
        <v>172</v>
      </c>
      <c r="E35" s="133"/>
      <c r="F35" s="233"/>
      <c r="G35" s="233"/>
      <c r="H35" s="233"/>
      <c r="I35" s="233"/>
      <c r="J35" s="233"/>
      <c r="K35" s="233"/>
    </row>
    <row r="36" spans="1:11" ht="40.15" customHeight="1">
      <c r="A36" s="131" t="s">
        <v>175</v>
      </c>
      <c r="B36" s="130" t="s">
        <v>176</v>
      </c>
      <c r="C36" s="123" t="s">
        <v>177</v>
      </c>
      <c r="D36" s="132" t="s">
        <v>172</v>
      </c>
      <c r="E36" s="133"/>
      <c r="F36" s="233" t="s">
        <v>319</v>
      </c>
      <c r="G36" s="233" t="s">
        <v>309</v>
      </c>
      <c r="H36" s="233"/>
      <c r="I36" s="233"/>
      <c r="J36" s="233"/>
      <c r="K36" s="233"/>
    </row>
    <row r="37" spans="1:11" ht="40.15" customHeight="1">
      <c r="A37" s="123" t="s">
        <v>178</v>
      </c>
      <c r="B37" s="130" t="s">
        <v>321</v>
      </c>
      <c r="C37" s="123" t="s">
        <v>320</v>
      </c>
      <c r="D37" s="132" t="s">
        <v>179</v>
      </c>
      <c r="E37" s="133"/>
      <c r="F37" s="233"/>
      <c r="G37" s="233"/>
      <c r="H37" s="233"/>
      <c r="I37" s="233"/>
      <c r="J37" s="233"/>
      <c r="K37" s="233"/>
    </row>
    <row r="38" spans="1:11" ht="40.15" customHeight="1">
      <c r="A38" s="123" t="s">
        <v>180</v>
      </c>
      <c r="B38" s="124" t="s">
        <v>322</v>
      </c>
      <c r="C38" s="123" t="s">
        <v>181</v>
      </c>
      <c r="D38" s="132" t="s">
        <v>172</v>
      </c>
      <c r="E38" s="133"/>
      <c r="F38" s="233"/>
      <c r="G38" s="233"/>
      <c r="H38" s="233"/>
      <c r="I38" s="233"/>
      <c r="J38" s="233"/>
      <c r="K38" s="233"/>
    </row>
    <row r="39" spans="1:11" ht="40.15" customHeight="1">
      <c r="A39" s="123" t="s">
        <v>182</v>
      </c>
      <c r="B39" s="124" t="s">
        <v>323</v>
      </c>
      <c r="C39" s="123" t="s">
        <v>183</v>
      </c>
      <c r="D39" s="132" t="s">
        <v>172</v>
      </c>
      <c r="E39" s="133"/>
      <c r="F39" s="233"/>
      <c r="G39" s="233"/>
      <c r="H39" s="233"/>
      <c r="I39" s="233"/>
      <c r="J39" s="233"/>
      <c r="K39" s="233"/>
    </row>
    <row r="40" spans="1:11" ht="40.15" customHeight="1">
      <c r="A40" s="123" t="s">
        <v>184</v>
      </c>
      <c r="B40" s="124" t="s">
        <v>324</v>
      </c>
      <c r="C40" s="123" t="s">
        <v>325</v>
      </c>
      <c r="D40" s="132" t="s">
        <v>172</v>
      </c>
      <c r="E40" s="133" t="s">
        <v>326</v>
      </c>
      <c r="F40" s="233"/>
      <c r="G40" s="233"/>
      <c r="H40" s="233"/>
      <c r="I40" s="233"/>
      <c r="J40" s="233"/>
      <c r="K40" s="233"/>
    </row>
    <row r="41" spans="1:11" ht="40.15" customHeight="1">
      <c r="A41" s="123" t="s">
        <v>185</v>
      </c>
      <c r="B41" s="124" t="s">
        <v>327</v>
      </c>
      <c r="C41" s="123" t="s">
        <v>186</v>
      </c>
      <c r="D41" s="132" t="s">
        <v>172</v>
      </c>
      <c r="E41" s="133"/>
    </row>
    <row r="42" spans="1:11" ht="40.15" customHeight="1">
      <c r="A42" s="123" t="s">
        <v>244</v>
      </c>
      <c r="B42" s="124" t="s">
        <v>265</v>
      </c>
      <c r="C42" s="123" t="s">
        <v>187</v>
      </c>
      <c r="D42" s="132" t="s">
        <v>242</v>
      </c>
      <c r="E42" s="133"/>
      <c r="F42" s="205" t="s">
        <v>271</v>
      </c>
      <c r="K42" s="126" t="s">
        <v>240</v>
      </c>
    </row>
    <row r="43" spans="1:11" ht="40.15" customHeight="1">
      <c r="A43" s="131" t="s">
        <v>346</v>
      </c>
      <c r="B43" s="124" t="s">
        <v>188</v>
      </c>
      <c r="C43" s="123" t="s">
        <v>189</v>
      </c>
      <c r="D43" s="132" t="s">
        <v>172</v>
      </c>
      <c r="E43" s="133" t="s">
        <v>347</v>
      </c>
    </row>
    <row r="44" spans="1:11" ht="40.15" customHeight="1">
      <c r="A44" s="123" t="s">
        <v>190</v>
      </c>
      <c r="B44" s="124" t="s">
        <v>191</v>
      </c>
      <c r="C44" s="123" t="s">
        <v>192</v>
      </c>
      <c r="D44" s="132" t="s">
        <v>172</v>
      </c>
      <c r="E44" s="133"/>
    </row>
    <row r="45" spans="1:11" ht="40.15" customHeight="1">
      <c r="A45" s="123" t="s">
        <v>193</v>
      </c>
      <c r="B45" s="124" t="s">
        <v>194</v>
      </c>
      <c r="C45" s="123" t="s">
        <v>195</v>
      </c>
      <c r="D45" s="132" t="s">
        <v>172</v>
      </c>
      <c r="E45" s="133" t="s">
        <v>245</v>
      </c>
      <c r="F45" s="233" t="s">
        <v>328</v>
      </c>
      <c r="G45" s="233" t="s">
        <v>309</v>
      </c>
    </row>
    <row r="46" spans="1:11" ht="40.15" customHeight="1">
      <c r="A46" s="123" t="s">
        <v>196</v>
      </c>
      <c r="B46" s="124" t="s">
        <v>329</v>
      </c>
      <c r="C46" s="123" t="s">
        <v>344</v>
      </c>
      <c r="D46" s="132" t="s">
        <v>172</v>
      </c>
      <c r="E46" s="133"/>
    </row>
    <row r="47" spans="1:11" ht="40.15" customHeight="1">
      <c r="A47" s="123" t="s">
        <v>198</v>
      </c>
      <c r="B47" s="124" t="s">
        <v>199</v>
      </c>
      <c r="C47" s="123" t="s">
        <v>200</v>
      </c>
      <c r="D47" s="132" t="s">
        <v>172</v>
      </c>
      <c r="E47" s="133" t="s">
        <v>246</v>
      </c>
    </row>
    <row r="48" spans="1:11" ht="40.15" customHeight="1">
      <c r="A48" s="123" t="s">
        <v>201</v>
      </c>
      <c r="B48" s="124" t="s">
        <v>202</v>
      </c>
      <c r="C48" s="123" t="s">
        <v>203</v>
      </c>
      <c r="D48" s="132" t="s">
        <v>172</v>
      </c>
      <c r="E48" s="133"/>
    </row>
    <row r="49" spans="1:8" ht="40.15" customHeight="1">
      <c r="A49" s="131" t="s">
        <v>348</v>
      </c>
      <c r="B49" s="124" t="s">
        <v>299</v>
      </c>
      <c r="C49" s="123" t="s">
        <v>272</v>
      </c>
      <c r="D49" s="132" t="s">
        <v>172</v>
      </c>
      <c r="E49" s="133"/>
      <c r="F49" s="126" t="s">
        <v>254</v>
      </c>
    </row>
    <row r="50" spans="1:8" ht="40.15" customHeight="1">
      <c r="A50" s="123" t="s">
        <v>257</v>
      </c>
      <c r="B50" s="124" t="s">
        <v>236</v>
      </c>
      <c r="C50" s="223" t="s">
        <v>273</v>
      </c>
      <c r="D50" s="132" t="s">
        <v>274</v>
      </c>
      <c r="E50" s="133" t="s">
        <v>247</v>
      </c>
      <c r="F50" s="205" t="s">
        <v>237</v>
      </c>
      <c r="H50" s="201" t="s">
        <v>258</v>
      </c>
    </row>
    <row r="51" spans="1:8" ht="40.15" customHeight="1">
      <c r="A51" s="209" t="s">
        <v>239</v>
      </c>
      <c r="B51" s="210" t="s">
        <v>275</v>
      </c>
      <c r="C51" s="209" t="s">
        <v>276</v>
      </c>
      <c r="D51" s="132" t="s">
        <v>233</v>
      </c>
      <c r="E51" s="133"/>
      <c r="F51" s="205" t="s">
        <v>234</v>
      </c>
    </row>
    <row r="52" spans="1:8" ht="31.5">
      <c r="A52" s="123" t="s">
        <v>252</v>
      </c>
      <c r="B52" s="124" t="s">
        <v>278</v>
      </c>
      <c r="C52" s="123" t="s">
        <v>267</v>
      </c>
      <c r="D52" s="132" t="s">
        <v>172</v>
      </c>
      <c r="E52" s="133" t="s">
        <v>248</v>
      </c>
      <c r="F52" s="205" t="s">
        <v>253</v>
      </c>
    </row>
    <row r="53" spans="1:8" ht="40.15" customHeight="1">
      <c r="A53" s="131" t="s">
        <v>301</v>
      </c>
      <c r="B53" s="130" t="s">
        <v>282</v>
      </c>
      <c r="C53" s="123" t="s">
        <v>302</v>
      </c>
      <c r="D53" s="132" t="s">
        <v>172</v>
      </c>
      <c r="E53" s="231" t="s">
        <v>285</v>
      </c>
      <c r="F53" s="126" t="s">
        <v>303</v>
      </c>
    </row>
    <row r="54" spans="1:8" ht="40.15" customHeight="1">
      <c r="A54" s="131" t="s">
        <v>349</v>
      </c>
      <c r="B54" s="130" t="s">
        <v>350</v>
      </c>
      <c r="C54" s="123" t="s">
        <v>351</v>
      </c>
      <c r="D54" s="132" t="s">
        <v>97</v>
      </c>
      <c r="E54" s="231" t="s">
        <v>285</v>
      </c>
      <c r="F54" s="126" t="s">
        <v>352</v>
      </c>
    </row>
    <row r="55" spans="1:8" ht="40.15" customHeight="1">
      <c r="A55" s="131" t="s">
        <v>353</v>
      </c>
      <c r="B55" s="130" t="s">
        <v>354</v>
      </c>
      <c r="C55" s="123" t="s">
        <v>355</v>
      </c>
      <c r="D55" s="132" t="s">
        <v>97</v>
      </c>
      <c r="E55" s="231" t="s">
        <v>285</v>
      </c>
      <c r="F55" s="126" t="s">
        <v>356</v>
      </c>
    </row>
    <row r="56" spans="1:8" ht="40.15" customHeight="1">
      <c r="A56" s="123" t="s">
        <v>368</v>
      </c>
      <c r="B56" s="278"/>
      <c r="C56" s="123" t="s">
        <v>365</v>
      </c>
      <c r="D56" s="125" t="s">
        <v>36</v>
      </c>
      <c r="E56" s="231"/>
      <c r="F56" s="126" t="s">
        <v>369</v>
      </c>
    </row>
    <row r="57" spans="1:8" s="277" customFormat="1" ht="40.15" customHeight="1">
      <c r="A57" s="273"/>
      <c r="B57" s="274"/>
      <c r="C57" s="273"/>
      <c r="D57" s="275"/>
      <c r="E57" s="276"/>
    </row>
    <row r="58" spans="1:8" ht="40.15" customHeight="1">
      <c r="A58" s="126" t="s">
        <v>370</v>
      </c>
      <c r="B58" s="133" t="s">
        <v>358</v>
      </c>
      <c r="C58" s="230"/>
      <c r="E58" s="231"/>
    </row>
    <row r="59" spans="1:8" ht="40.15" customHeight="1">
      <c r="A59" s="230"/>
      <c r="B59" s="236"/>
      <c r="C59" s="230"/>
      <c r="E59" s="231"/>
    </row>
    <row r="60" spans="1:8">
      <c r="A60" s="230"/>
      <c r="B60" s="236"/>
      <c r="C60" s="230"/>
      <c r="E60" s="231"/>
    </row>
    <row r="61" spans="1:8">
      <c r="A61" s="230"/>
      <c r="C61" s="230"/>
      <c r="E61" s="133"/>
      <c r="F61" s="205"/>
    </row>
    <row r="62" spans="1:8">
      <c r="A62" s="230"/>
      <c r="C62" s="230"/>
      <c r="E62" s="133"/>
      <c r="F62" s="205"/>
    </row>
    <row r="63" spans="1:8">
      <c r="A63" s="230"/>
      <c r="C63" s="230"/>
      <c r="E63" s="133"/>
      <c r="F63" s="205"/>
    </row>
  </sheetData>
  <customSheetViews>
    <customSheetView guid="{973ECC17-1FC7-46AC-9FAE-72CFE59B5A9C}" topLeftCell="A24">
      <selection activeCell="A38" sqref="A38"/>
      <pageMargins left="0.75" right="0.75" top="1" bottom="1" header="0.51200000000000001" footer="0.51200000000000001"/>
      <pageSetup paperSize="9" orientation="portrait" r:id="rId1"/>
      <headerFooter alignWithMargins="0"/>
    </customSheetView>
    <customSheetView guid="{7F90F6BF-AAFE-4B41-87EA-2390EC2C7378}" topLeftCell="A24">
      <selection activeCell="A38" sqref="A38"/>
      <pageMargins left="0.75" right="0.75" top="1" bottom="1" header="0.51200000000000001" footer="0.51200000000000001"/>
      <pageSetup paperSize="9" orientation="portrait" r:id="rId2"/>
      <headerFooter alignWithMargins="0"/>
    </customSheetView>
    <customSheetView guid="{3C29C2C7-5DB1-41FB-9E95-64C17F07BBDB}" topLeftCell="A26">
      <selection activeCell="A33" sqref="A33"/>
      <pageMargins left="0.75" right="0.75" top="1" bottom="1" header="0.51200000000000001" footer="0.51200000000000001"/>
      <pageSetup paperSize="9" orientation="portrait" r:id="rId3"/>
      <headerFooter alignWithMargins="0"/>
    </customSheetView>
  </customSheetViews>
  <phoneticPr fontId="2"/>
  <pageMargins left="0.75" right="0.75" top="1" bottom="1" header="0.51200000000000001" footer="0.51200000000000001"/>
  <pageSetup paperSize="9" orientation="portrait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取引先別実績一覧</vt:lpstr>
      <vt:lpstr>実績</vt:lpstr>
      <vt:lpstr>支払不要</vt:lpstr>
      <vt:lpstr>支払一覧</vt:lpstr>
      <vt:lpstr>印刷用</vt:lpstr>
      <vt:lpstr>バッチ</vt:lpstr>
      <vt:lpstr>バッチリスト</vt:lpstr>
      <vt:lpstr>支払先リスト</vt:lpstr>
      <vt:lpstr>印刷用!Print_Area</vt:lpstr>
      <vt:lpstr>実績!Print_Area</vt:lpstr>
      <vt:lpstr>印刷用!Print_Titles</vt:lpstr>
      <vt:lpstr>支払先リスト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日比 麻奈美</dc:creator>
  <cp:lastModifiedBy>山本 美由紀(Miyuki YAMAMOTO)</cp:lastModifiedBy>
  <cp:lastPrinted>2023-01-05T07:19:25Z</cp:lastPrinted>
  <dcterms:created xsi:type="dcterms:W3CDTF">2013-07-05T00:27:41Z</dcterms:created>
  <dcterms:modified xsi:type="dcterms:W3CDTF">2026-03-31T05:33:47Z</dcterms:modified>
</cp:coreProperties>
</file>