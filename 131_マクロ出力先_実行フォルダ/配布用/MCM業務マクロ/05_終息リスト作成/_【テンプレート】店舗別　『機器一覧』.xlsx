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04054.JOHO-OSAKA\Desktop\東澤業務\終息リスト\"/>
    </mc:Choice>
  </mc:AlternateContent>
  <xr:revisionPtr revIDLastSave="0" documentId="13_ncr:1_{1F0DCAA0-8F50-49E1-B17A-CF5F6F2FD0BB}" xr6:coauthVersionLast="47" xr6:coauthVersionMax="47" xr10:uidLastSave="{00000000-0000-0000-0000-000000000000}"/>
  <bookViews>
    <workbookView xWindow="-13830" yWindow="-14370" windowWidth="52725" windowHeight="8865" xr2:uid="{00000000-000D-0000-FFFF-FFFF00000000}"/>
  </bookViews>
  <sheets>
    <sheet name="ALL" sheetId="1" r:id="rId1"/>
  </sheets>
  <definedNames>
    <definedName name="_xlnm._FilterDatabase" localSheetId="0" hidden="1">ALL!$A$14:$DS$14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T9" i="1" l="1"/>
  <c r="Z4" i="1"/>
  <c r="AC4" i="1"/>
  <c r="DJ9" i="1" l="1"/>
  <c r="DK9" i="1" s="1"/>
  <c r="DL9" i="1" s="1"/>
  <c r="M9" i="1" l="1"/>
  <c r="DK13" i="1" l="1"/>
  <c r="DK7" i="1" s="1"/>
  <c r="DK4" i="1" l="1"/>
  <c r="X4" i="1" s="1"/>
  <c r="DK5" i="1"/>
  <c r="DK6" i="1"/>
  <c r="V3" i="1"/>
  <c r="DM13" i="1"/>
  <c r="DO9" i="1" l="1"/>
  <c r="DN9" i="1"/>
  <c r="F9" i="1"/>
  <c r="DM9" i="1" l="1"/>
</calcChain>
</file>

<file path=xl/sharedStrings.xml><?xml version="1.0" encoding="utf-8"?>
<sst xmlns="http://schemas.openxmlformats.org/spreadsheetml/2006/main" count="159" uniqueCount="145">
  <si>
    <t>台数集計</t>
    <rPh sb="0" eb="2">
      <t>ダイスウ</t>
    </rPh>
    <rPh sb="2" eb="4">
      <t>シュウケイ</t>
    </rPh>
    <phoneticPr fontId="4"/>
  </si>
  <si>
    <t>台</t>
    <rPh sb="0" eb="1">
      <t>ダイ</t>
    </rPh>
    <phoneticPr fontId="4"/>
  </si>
  <si>
    <t>終息情報</t>
  </si>
  <si>
    <t>契約中</t>
    <rPh sb="0" eb="3">
      <t>ケイヤクチュウ</t>
    </rPh>
    <phoneticPr fontId="4"/>
  </si>
  <si>
    <t>保守終息済み</t>
    <rPh sb="0" eb="2">
      <t>ホシュ</t>
    </rPh>
    <rPh sb="2" eb="4">
      <t>シュウソク</t>
    </rPh>
    <rPh sb="4" eb="5">
      <t>ズ</t>
    </rPh>
    <phoneticPr fontId="4"/>
  </si>
  <si>
    <t>集計日</t>
    <rPh sb="0" eb="2">
      <t>シュウケイ</t>
    </rPh>
    <rPh sb="2" eb="3">
      <t>ビ</t>
    </rPh>
    <phoneticPr fontId="4"/>
  </si>
  <si>
    <t>解約済み</t>
    <rPh sb="0" eb="2">
      <t>カイヤク</t>
    </rPh>
    <rPh sb="2" eb="3">
      <t>ズ</t>
    </rPh>
    <phoneticPr fontId="4"/>
  </si>
  <si>
    <t>終息１年以内</t>
    <rPh sb="0" eb="2">
      <t>シュウソク</t>
    </rPh>
    <rPh sb="3" eb="4">
      <t>ネン</t>
    </rPh>
    <rPh sb="4" eb="6">
      <t>イナイ</t>
    </rPh>
    <phoneticPr fontId="4"/>
  </si>
  <si>
    <t>0_)"ヶ月";[赤](0)</t>
  </si>
  <si>
    <t>ユーザ情報</t>
    <rPh sb="3" eb="5">
      <t>ジョウホウ</t>
    </rPh>
    <phoneticPr fontId="1"/>
  </si>
  <si>
    <t>システム保守契約　（客先契約）</t>
    <rPh sb="4" eb="6">
      <t>ホシュ</t>
    </rPh>
    <rPh sb="10" eb="12">
      <t>キャクサキ</t>
    </rPh>
    <rPh sb="12" eb="14">
      <t>ケイヤク</t>
    </rPh>
    <phoneticPr fontId="4"/>
  </si>
  <si>
    <t>メーカ契約</t>
    <phoneticPr fontId="4"/>
  </si>
  <si>
    <t>案内内容</t>
    <rPh sb="0" eb="2">
      <t>アンナイ</t>
    </rPh>
    <rPh sb="2" eb="4">
      <t>ナイヨウ</t>
    </rPh>
    <phoneticPr fontId="4"/>
  </si>
  <si>
    <t>納入日</t>
    <rPh sb="0" eb="2">
      <t>ノウニュウ</t>
    </rPh>
    <rPh sb="2" eb="3">
      <t>ビ</t>
    </rPh>
    <phoneticPr fontId="4"/>
  </si>
  <si>
    <t>メーカ（取引先）契約　【詳細】</t>
    <rPh sb="12" eb="14">
      <t>ショウサイ</t>
    </rPh>
    <phoneticPr fontId="4"/>
  </si>
  <si>
    <t>システム保守契約　【詳細】</t>
    <rPh sb="10" eb="12">
      <t>ショウサイ</t>
    </rPh>
    <phoneticPr fontId="4"/>
  </si>
  <si>
    <t>機器情報詳細</t>
    <phoneticPr fontId="4"/>
  </si>
  <si>
    <t>点検情報</t>
    <rPh sb="0" eb="2">
      <t>テンケン</t>
    </rPh>
    <rPh sb="2" eb="4">
      <t>ジョウホウ</t>
    </rPh>
    <phoneticPr fontId="4"/>
  </si>
  <si>
    <t>点検月</t>
    <rPh sb="2" eb="3">
      <t>ツキ</t>
    </rPh>
    <phoneticPr fontId="4"/>
  </si>
  <si>
    <t>その他</t>
  </si>
  <si>
    <t>支払月</t>
    <rPh sb="0" eb="2">
      <t>シハライ</t>
    </rPh>
    <rPh sb="2" eb="3">
      <t>ヅキ</t>
    </rPh>
    <phoneticPr fontId="4"/>
  </si>
  <si>
    <t>ユーザ名</t>
    <rPh sb="3" eb="4">
      <t>メイ</t>
    </rPh>
    <phoneticPr fontId="1"/>
  </si>
  <si>
    <t>住所</t>
  </si>
  <si>
    <t>システム名</t>
  </si>
  <si>
    <t>状態</t>
  </si>
  <si>
    <t>状態</t>
    <phoneticPr fontId="4"/>
  </si>
  <si>
    <t>メーカ</t>
    <phoneticPr fontId="4"/>
  </si>
  <si>
    <t>品名</t>
    <rPh sb="0" eb="2">
      <t>ヒンメイ</t>
    </rPh>
    <phoneticPr fontId="4"/>
  </si>
  <si>
    <t>型式</t>
    <rPh sb="0" eb="2">
      <t>カタシキ</t>
    </rPh>
    <phoneticPr fontId="4"/>
  </si>
  <si>
    <t>数量</t>
    <rPh sb="0" eb="2">
      <t>スウリョウ</t>
    </rPh>
    <phoneticPr fontId="4"/>
  </si>
  <si>
    <r>
      <t xml:space="preserve">終息日
</t>
    </r>
    <r>
      <rPr>
        <sz val="9"/>
        <color indexed="23"/>
        <rFont val="ＭＳ Ｐゴシック"/>
        <family val="3"/>
        <charset val="128"/>
      </rPr>
      <t>（空白＝未確認）</t>
    </r>
    <rPh sb="0" eb="2">
      <t>シュウソク</t>
    </rPh>
    <rPh sb="2" eb="3">
      <t>ビ</t>
    </rPh>
    <rPh sb="6" eb="8">
      <t>クウハク</t>
    </rPh>
    <rPh sb="9" eb="12">
      <t>ミカクニン</t>
    </rPh>
    <phoneticPr fontId="4"/>
  </si>
  <si>
    <t xml:space="preserve">
メーカ終息</t>
    <rPh sb="4" eb="6">
      <t>シュウソク</t>
    </rPh>
    <phoneticPr fontId="4"/>
  </si>
  <si>
    <t xml:space="preserve">
⇒延長終息</t>
    <rPh sb="2" eb="4">
      <t>エンチョウ</t>
    </rPh>
    <rPh sb="4" eb="6">
      <t>シュウソク</t>
    </rPh>
    <phoneticPr fontId="4"/>
  </si>
  <si>
    <t xml:space="preserve">
延長
期間</t>
    <rPh sb="1" eb="3">
      <t>エンチョウ</t>
    </rPh>
    <rPh sb="4" eb="6">
      <t>キカン</t>
    </rPh>
    <phoneticPr fontId="4"/>
  </si>
  <si>
    <t>一次納入日
（メーカ出荷）</t>
    <rPh sb="0" eb="2">
      <t>イチジ</t>
    </rPh>
    <rPh sb="2" eb="4">
      <t>ノウニュウ</t>
    </rPh>
    <rPh sb="4" eb="5">
      <t>ビ</t>
    </rPh>
    <rPh sb="10" eb="12">
      <t>シュッカ</t>
    </rPh>
    <phoneticPr fontId="4"/>
  </si>
  <si>
    <t>二次納入日
（客先納入）</t>
    <rPh sb="7" eb="9">
      <t>キャクサキ</t>
    </rPh>
    <rPh sb="9" eb="11">
      <t>ノウニュウ</t>
    </rPh>
    <phoneticPr fontId="4"/>
  </si>
  <si>
    <t>取引先名</t>
  </si>
  <si>
    <t>契約番号</t>
  </si>
  <si>
    <t>契約日</t>
  </si>
  <si>
    <t>契約満了日</t>
  </si>
  <si>
    <t>延長契約満了日</t>
  </si>
  <si>
    <t>解約日</t>
  </si>
  <si>
    <t>備考１</t>
  </si>
  <si>
    <t>備考２</t>
  </si>
  <si>
    <t>契約内容</t>
  </si>
  <si>
    <t>保守金額</t>
  </si>
  <si>
    <t>初回契約日</t>
  </si>
  <si>
    <t>製番開始日</t>
  </si>
  <si>
    <t>製番終了日</t>
    <rPh sb="2" eb="4">
      <t>シュウリョウ</t>
    </rPh>
    <phoneticPr fontId="4"/>
  </si>
  <si>
    <t>ハード製番</t>
    <phoneticPr fontId="4"/>
  </si>
  <si>
    <t>ソフト製番</t>
    <phoneticPr fontId="4"/>
  </si>
  <si>
    <t>管理番号　（連番）付</t>
    <rPh sb="0" eb="2">
      <t>カンリ</t>
    </rPh>
    <rPh sb="2" eb="4">
      <t>バンゴウ</t>
    </rPh>
    <phoneticPr fontId="4"/>
  </si>
  <si>
    <t>機器分類</t>
  </si>
  <si>
    <t>MAE</t>
  </si>
  <si>
    <t>MAF</t>
  </si>
  <si>
    <t>MAG</t>
  </si>
  <si>
    <t>シリアル番号</t>
  </si>
  <si>
    <t>撤去日</t>
  </si>
  <si>
    <t>設置場所</t>
  </si>
  <si>
    <t>備考</t>
  </si>
  <si>
    <t>納入区分</t>
    <phoneticPr fontId="4"/>
  </si>
  <si>
    <t>ブランド</t>
    <phoneticPr fontId="4"/>
  </si>
  <si>
    <t>手配製番</t>
  </si>
  <si>
    <t>点検有無</t>
  </si>
  <si>
    <t>保守契約時間</t>
  </si>
  <si>
    <t>点検可能曜日</t>
  </si>
  <si>
    <t>回数</t>
    <phoneticPr fontId="4"/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</si>
  <si>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</si>
  <si>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</si>
  <si>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</si>
  <si>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</si>
  <si>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</si>
  <si>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</si>
  <si>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</si>
  <si>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</si>
  <si>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</si>
  <si>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1月</t>
  </si>
  <si>
    <t>2月</t>
  </si>
  <si>
    <t>3月</t>
  </si>
  <si>
    <t>納入先カナ</t>
  </si>
  <si>
    <t>契約番号（客先）</t>
    <rPh sb="5" eb="7">
      <t>キャクサキ</t>
    </rPh>
    <phoneticPr fontId="4"/>
  </si>
  <si>
    <t>契約ＩＤ（ユーザ）</t>
  </si>
  <si>
    <t>契約日（客先）</t>
    <phoneticPr fontId="4"/>
  </si>
  <si>
    <t>契約満了日（客先）</t>
    <phoneticPr fontId="4"/>
  </si>
  <si>
    <t>延長契約満了日（客先）</t>
    <phoneticPr fontId="4"/>
  </si>
  <si>
    <t>ソフトウェア契約</t>
  </si>
  <si>
    <t>DREMOS契約</t>
  </si>
  <si>
    <t>リモート契約</t>
  </si>
  <si>
    <t>備考（客先）</t>
    <rPh sb="3" eb="5">
      <t>キャクサキ</t>
    </rPh>
    <phoneticPr fontId="4"/>
  </si>
  <si>
    <t>取引先コード</t>
  </si>
  <si>
    <t>保守会社</t>
  </si>
  <si>
    <t>初回契約日（取引先）</t>
    <rPh sb="0" eb="2">
      <t>ショカイ</t>
    </rPh>
    <rPh sb="2" eb="5">
      <t>ケイヤクビ</t>
    </rPh>
    <rPh sb="6" eb="8">
      <t>トリヒキ</t>
    </rPh>
    <rPh sb="8" eb="9">
      <t>サキ</t>
    </rPh>
    <phoneticPr fontId="4"/>
  </si>
  <si>
    <t>パック契約</t>
  </si>
  <si>
    <t>自動更新</t>
  </si>
  <si>
    <t>標準価格</t>
  </si>
  <si>
    <t>仕切り価格</t>
  </si>
  <si>
    <t>合計価格</t>
  </si>
  <si>
    <t>支払回数</t>
  </si>
  <si>
    <t>1月</t>
    <rPh sb="1" eb="2">
      <t>ガツ</t>
    </rPh>
    <phoneticPr fontId="4"/>
  </si>
  <si>
    <t>システム数</t>
    <rPh sb="4" eb="5">
      <t>スウ</t>
    </rPh>
    <phoneticPr fontId="4"/>
  </si>
  <si>
    <t>契約</t>
    <rPh sb="0" eb="2">
      <t>ケイヤク</t>
    </rPh>
    <phoneticPr fontId="4"/>
  </si>
  <si>
    <t>ＩＤ</t>
    <phoneticPr fontId="4"/>
  </si>
  <si>
    <t>値のみ貼付</t>
  </si>
  <si>
    <t>↓</t>
    <phoneticPr fontId="4"/>
  </si>
  <si>
    <t>システム保守契約状態（客先）</t>
    <rPh sb="4" eb="6">
      <t>ホシュ</t>
    </rPh>
    <rPh sb="6" eb="8">
      <t>ケイヤク</t>
    </rPh>
    <rPh sb="8" eb="10">
      <t>ジョウタイ</t>
    </rPh>
    <rPh sb="11" eb="13">
      <t>キャクサキ</t>
    </rPh>
    <phoneticPr fontId="4"/>
  </si>
  <si>
    <t>メーカ契約状態</t>
    <rPh sb="3" eb="5">
      <t>ケイヤク</t>
    </rPh>
    <rPh sb="5" eb="7">
      <t>ジョウタイ</t>
    </rPh>
    <phoneticPr fontId="4"/>
  </si>
  <si>
    <t>更新月
（製番期限）</t>
    <rPh sb="0" eb="2">
      <t>コウシン</t>
    </rPh>
    <rPh sb="2" eb="3">
      <t>ヅキ</t>
    </rPh>
    <rPh sb="5" eb="6">
      <t>セイ</t>
    </rPh>
    <rPh sb="6" eb="7">
      <t>バン</t>
    </rPh>
    <rPh sb="7" eb="9">
      <t>キゲン</t>
    </rPh>
    <phoneticPr fontId="4"/>
  </si>
  <si>
    <t>時間</t>
    <rPh sb="0" eb="2">
      <t>ジカン</t>
    </rPh>
    <phoneticPr fontId="4"/>
  </si>
  <si>
    <t>納入先</t>
    <phoneticPr fontId="4"/>
  </si>
  <si>
    <t>機器明細作成日</t>
    <phoneticPr fontId="2"/>
  </si>
  <si>
    <t>納入先名</t>
  </si>
  <si>
    <t>納入先工場名</t>
  </si>
  <si>
    <t>ブランド詳細名</t>
  </si>
  <si>
    <t>機器構成名</t>
  </si>
  <si>
    <t>終息済み</t>
    <rPh sb="0" eb="2">
      <t>シュウソク</t>
    </rPh>
    <rPh sb="2" eb="3">
      <t>ス</t>
    </rPh>
    <phoneticPr fontId="4"/>
  </si>
  <si>
    <t>終息半年以内</t>
    <rPh sb="0" eb="2">
      <t>シュウソク</t>
    </rPh>
    <rPh sb="2" eb="4">
      <t>ハントシ</t>
    </rPh>
    <rPh sb="4" eb="6">
      <t>イナイ</t>
    </rPh>
    <phoneticPr fontId="2"/>
  </si>
  <si>
    <t>終息1年未満</t>
    <rPh sb="0" eb="2">
      <t>シュウソク</t>
    </rPh>
    <rPh sb="3" eb="4">
      <t>ネン</t>
    </rPh>
    <rPh sb="4" eb="6">
      <t>ミマン</t>
    </rPh>
    <phoneticPr fontId="4"/>
  </si>
  <si>
    <t>終息2年未満</t>
    <rPh sb="0" eb="2">
      <t>シュウソク</t>
    </rPh>
    <rPh sb="3" eb="4">
      <t>ネン</t>
    </rPh>
    <rPh sb="4" eb="6">
      <t>ミマン</t>
    </rPh>
    <phoneticPr fontId="4"/>
  </si>
  <si>
    <t>終息3年未満</t>
    <rPh sb="0" eb="2">
      <t>シュウソク</t>
    </rPh>
    <rPh sb="3" eb="4">
      <t>ネン</t>
    </rPh>
    <rPh sb="4" eb="6">
      <t>ミマン</t>
    </rPh>
    <phoneticPr fontId="4"/>
  </si>
  <si>
    <t>基準日⇒</t>
    <rPh sb="0" eb="3">
      <t>キジュンビ</t>
    </rPh>
    <phoneticPr fontId="2"/>
  </si>
  <si>
    <t>終息日</t>
    <rPh sb="0" eb="2">
      <t>シュウソク</t>
    </rPh>
    <rPh sb="2" eb="3">
      <t>ビ</t>
    </rPh>
    <phoneticPr fontId="2"/>
  </si>
  <si>
    <t>終息まで</t>
    <rPh sb="0" eb="2">
      <t>シュウソク</t>
    </rPh>
    <phoneticPr fontId="2"/>
  </si>
  <si>
    <t>半年以内</t>
    <rPh sb="0" eb="2">
      <t>ハントシ</t>
    </rPh>
    <rPh sb="2" eb="4">
      <t>イナイ</t>
    </rPh>
    <phoneticPr fontId="2"/>
  </si>
  <si>
    <t>終息</t>
    <rPh sb="0" eb="2">
      <t>シュウソク</t>
    </rPh>
    <phoneticPr fontId="2"/>
  </si>
  <si>
    <t>延長終息</t>
    <rPh sb="0" eb="2">
      <t>エンチョウ</t>
    </rPh>
    <rPh sb="2" eb="4">
      <t>シュウソク</t>
    </rPh>
    <phoneticPr fontId="2"/>
  </si>
  <si>
    <t>契約時間</t>
    <rPh sb="0" eb="2">
      <t>ケイヤク</t>
    </rPh>
    <rPh sb="2" eb="4">
      <t>ジカン</t>
    </rPh>
    <phoneticPr fontId="2"/>
  </si>
  <si>
    <t>その他</t>
    <rPh sb="2" eb="3">
      <t>タ</t>
    </rPh>
    <phoneticPr fontId="2"/>
  </si>
  <si>
    <t>機器ID</t>
    <rPh sb="0" eb="2">
      <t>キキ</t>
    </rPh>
    <phoneticPr fontId="2"/>
  </si>
  <si>
    <t>解約済み</t>
    <rPh sb="0" eb="2">
      <t>カイヤク</t>
    </rPh>
    <rPh sb="2" eb="3">
      <t>ズ</t>
    </rPh>
    <phoneticPr fontId="2"/>
  </si>
  <si>
    <t>機器構成ID</t>
    <rPh sb="0" eb="2">
      <t>キキ</t>
    </rPh>
    <rPh sb="2" eb="4">
      <t>コウセイ</t>
    </rPh>
    <phoneticPr fontId="4"/>
  </si>
  <si>
    <t>店舗</t>
    <phoneticPr fontId="4"/>
  </si>
  <si>
    <t>分類</t>
    <rPh sb="0" eb="2">
      <t>ブンルイ</t>
    </rPh>
    <phoneticPr fontId="4"/>
  </si>
  <si>
    <t>機器</t>
    <rPh sb="0" eb="2">
      <t>キキ</t>
    </rPh>
    <phoneticPr fontId="1"/>
  </si>
  <si>
    <t>作成後は行削除</t>
    <rPh sb="0" eb="3">
      <t>サクセイゴ</t>
    </rPh>
    <rPh sb="4" eb="5">
      <t>ギョウ</t>
    </rPh>
    <rPh sb="5" eb="7">
      <t>サクジョ</t>
    </rPh>
    <phoneticPr fontId="4"/>
  </si>
  <si>
    <t xml:space="preserve">
終息までの期間</t>
    <rPh sb="1" eb="3">
      <t>シュウソク</t>
    </rPh>
    <rPh sb="6" eb="8">
      <t>キカン</t>
    </rPh>
    <phoneticPr fontId="1"/>
  </si>
  <si>
    <t>Excelデータ修正箇所</t>
    <rPh sb="8" eb="10">
      <t>シュウセイ</t>
    </rPh>
    <rPh sb="10" eb="12">
      <t>カショ</t>
    </rPh>
    <phoneticPr fontId="4"/>
  </si>
  <si>
    <t>⇒案内データは以降の不要列を削除</t>
    <rPh sb="10" eb="12">
      <t>フヨウ</t>
    </rPh>
    <rPh sb="12" eb="13">
      <t>レツ</t>
    </rPh>
    <phoneticPr fontId="4"/>
  </si>
  <si>
    <t xml:space="preserve">
解約情報</t>
    <rPh sb="3" eb="5">
      <t>ジョウホウ</t>
    </rPh>
    <phoneticPr fontId="4"/>
  </si>
  <si>
    <t>MCMサポートID</t>
    <phoneticPr fontId="4"/>
  </si>
  <si>
    <t>保守取引先</t>
    <rPh sb="0" eb="4">
      <t>ホシュトリヒキ</t>
    </rPh>
    <rPh sb="4" eb="5">
      <t>サキ</t>
    </rPh>
    <phoneticPr fontId="2"/>
  </si>
  <si>
    <t>個体名</t>
    <rPh sb="0" eb="1">
      <t>コ</t>
    </rPh>
    <phoneticPr fontId="4"/>
  </si>
  <si>
    <t>サポートID</t>
    <phoneticPr fontId="4"/>
  </si>
  <si>
    <t>最終提案
年月日</t>
    <phoneticPr fontId="4"/>
  </si>
  <si>
    <t>提案状況</t>
    <phoneticPr fontId="4"/>
  </si>
  <si>
    <t>備考</t>
    <rPh sb="0" eb="2">
      <t>ビコウ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</si>
</sst>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¥&quot;#,##0;&quot;¥&quot;\-#,##0"/>
    <numFmt numFmtId="176" formatCode="0000000"/>
    <numFmt numFmtId="177" formatCode="General&quot;H&quot;"/>
    <numFmt numFmtId="178" formatCode="yyyy&quot;年&quot;m&quot;月末&quot;;@"/>
    <numFmt numFmtId="179" formatCode="0.0&quot;年&quot;\ ;[Red]\-0.0&quot;年&quot;"/>
    <numFmt numFmtId="180" formatCode="yyyy&quot;年&quot;m&quot;月終息&quot;;@"/>
  </numFmts>
  <fonts count="14" x14ac:knownFonts="1">
    <font>
      <sz val="11"/>
      <color theme="1"/>
      <name val="ＭＳ Ｐゴシック"/>
      <family val="2"/>
      <charset val="128"/>
      <scheme val="minor"/>
    </font>
    <font>
      <sz val="9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9"/>
      <color indexed="12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9"/>
      <color indexed="12"/>
      <name val="ＭＳ Ｐゴシック"/>
      <family val="3"/>
      <charset val="128"/>
    </font>
    <font>
      <sz val="4"/>
      <name val="ＭＳ Ｐゴシック"/>
      <family val="3"/>
      <charset val="128"/>
    </font>
    <font>
      <sz val="4"/>
      <color indexed="12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color indexed="23"/>
      <name val="ＭＳ Ｐゴシック"/>
      <family val="3"/>
      <charset val="128"/>
    </font>
    <font>
      <sz val="9"/>
      <color rgb="FFFF0000"/>
      <name val="ＭＳ Ｐゴシック"/>
      <family val="3"/>
      <charset val="128"/>
    </font>
    <font>
      <sz val="9"/>
      <color rgb="FF0000FF"/>
      <name val="ＭＳ Ｐゴシック"/>
      <family val="3"/>
      <charset val="128"/>
    </font>
    <font>
      <sz val="9"/>
      <color rgb="FFFF00FF"/>
      <name val="ＭＳ Ｐゴシック"/>
      <family val="3"/>
      <charset val="128"/>
    </font>
  </fonts>
  <fills count="2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CC"/>
        <bgColor indexed="64"/>
      </patternFill>
    </fill>
  </fills>
  <borders count="44">
    <border>
      <left/>
      <right/>
      <top/>
      <bottom/>
      <diagonal/>
    </border>
    <border>
      <left style="thin">
        <color indexed="12"/>
      </left>
      <right/>
      <top style="thin">
        <color indexed="12"/>
      </top>
      <bottom/>
      <diagonal/>
    </border>
    <border>
      <left/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/>
      <top/>
      <bottom style="thin">
        <color indexed="12"/>
      </bottom>
      <diagonal/>
    </border>
    <border>
      <left/>
      <right style="thin">
        <color indexed="12"/>
      </right>
      <top/>
      <bottom style="thin">
        <color indexed="1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12"/>
      </left>
      <right style="thin">
        <color indexed="12"/>
      </right>
      <top/>
      <bottom style="thin">
        <color indexed="12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>
      <alignment vertical="center"/>
    </xf>
  </cellStyleXfs>
  <cellXfs count="291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1" fillId="2" borderId="0" xfId="0" applyFont="1" applyFill="1">
      <alignment vertical="center"/>
    </xf>
    <xf numFmtId="176" fontId="1" fillId="2" borderId="0" xfId="0" applyNumberFormat="1" applyFont="1" applyFill="1" applyAlignment="1">
      <alignment horizontal="center" vertical="center"/>
    </xf>
    <xf numFmtId="176" fontId="1" fillId="2" borderId="0" xfId="0" applyNumberFormat="1" applyFont="1" applyFill="1" applyAlignment="1">
      <alignment horizontal="left" vertical="center"/>
    </xf>
    <xf numFmtId="177" fontId="1" fillId="2" borderId="0" xfId="0" applyNumberFormat="1" applyFont="1" applyFill="1">
      <alignment vertical="center"/>
    </xf>
    <xf numFmtId="178" fontId="1" fillId="2" borderId="0" xfId="0" applyNumberFormat="1" applyFont="1" applyFill="1" applyAlignment="1">
      <alignment horizontal="left" vertical="center"/>
    </xf>
    <xf numFmtId="0" fontId="1" fillId="2" borderId="0" xfId="0" applyFont="1" applyFill="1" applyBorder="1">
      <alignment vertical="center"/>
    </xf>
    <xf numFmtId="14" fontId="1" fillId="2" borderId="0" xfId="0" applyNumberFormat="1" applyFont="1" applyFill="1" applyAlignment="1">
      <alignment horizontal="left" vertical="center"/>
    </xf>
    <xf numFmtId="179" fontId="1" fillId="2" borderId="0" xfId="0" applyNumberFormat="1" applyFont="1" applyFill="1" applyAlignment="1">
      <alignment horizontal="left" vertical="center"/>
    </xf>
    <xf numFmtId="5" fontId="1" fillId="2" borderId="0" xfId="0" applyNumberFormat="1" applyFont="1" applyFill="1">
      <alignment vertical="center"/>
    </xf>
    <xf numFmtId="0" fontId="1" fillId="2" borderId="0" xfId="0" applyNumberFormat="1" applyFont="1" applyFill="1" applyAlignment="1">
      <alignment horizontal="left" vertical="center"/>
    </xf>
    <xf numFmtId="0" fontId="1" fillId="5" borderId="5" xfId="0" applyFont="1" applyFill="1" applyBorder="1">
      <alignment vertical="center"/>
    </xf>
    <xf numFmtId="177" fontId="1" fillId="5" borderId="6" xfId="0" applyNumberFormat="1" applyFont="1" applyFill="1" applyBorder="1">
      <alignment vertical="center"/>
    </xf>
    <xf numFmtId="178" fontId="1" fillId="5" borderId="6" xfId="0" applyNumberFormat="1" applyFont="1" applyFill="1" applyBorder="1" applyAlignment="1">
      <alignment horizontal="left" vertical="center"/>
    </xf>
    <xf numFmtId="0" fontId="1" fillId="6" borderId="5" xfId="0" applyFont="1" applyFill="1" applyBorder="1">
      <alignment vertical="center"/>
    </xf>
    <xf numFmtId="0" fontId="1" fillId="6" borderId="6" xfId="0" applyFont="1" applyFill="1" applyBorder="1">
      <alignment vertical="center"/>
    </xf>
    <xf numFmtId="180" fontId="1" fillId="6" borderId="6" xfId="0" applyNumberFormat="1" applyFont="1" applyFill="1" applyBorder="1" applyAlignment="1">
      <alignment horizontal="left" vertical="center"/>
    </xf>
    <xf numFmtId="14" fontId="1" fillId="6" borderId="6" xfId="0" applyNumberFormat="1" applyFont="1" applyFill="1" applyBorder="1" applyAlignment="1">
      <alignment horizontal="left" vertical="center"/>
    </xf>
    <xf numFmtId="179" fontId="1" fillId="6" borderId="7" xfId="0" applyNumberFormat="1" applyFont="1" applyFill="1" applyBorder="1" applyAlignment="1">
      <alignment horizontal="left" vertical="center"/>
    </xf>
    <xf numFmtId="0" fontId="3" fillId="7" borderId="0" xfId="0" applyNumberFormat="1" applyFont="1" applyFill="1" applyAlignment="1">
      <alignment horizontal="left" vertical="center"/>
    </xf>
    <xf numFmtId="14" fontId="1" fillId="7" borderId="0" xfId="0" applyNumberFormat="1" applyFont="1" applyFill="1" applyAlignment="1">
      <alignment horizontal="left" vertical="center"/>
    </xf>
    <xf numFmtId="0" fontId="1" fillId="7" borderId="0" xfId="0" applyFont="1" applyFill="1">
      <alignment vertical="center"/>
    </xf>
    <xf numFmtId="0" fontId="1" fillId="8" borderId="8" xfId="0" applyFont="1" applyFill="1" applyBorder="1">
      <alignment vertical="center"/>
    </xf>
    <xf numFmtId="0" fontId="1" fillId="8" borderId="9" xfId="0" applyFont="1" applyFill="1" applyBorder="1">
      <alignment vertical="center"/>
    </xf>
    <xf numFmtId="180" fontId="1" fillId="8" borderId="9" xfId="0" applyNumberFormat="1" applyFont="1" applyFill="1" applyBorder="1" applyAlignment="1">
      <alignment horizontal="left" vertical="center"/>
    </xf>
    <xf numFmtId="14" fontId="1" fillId="8" borderId="9" xfId="0" applyNumberFormat="1" applyFont="1" applyFill="1" applyBorder="1" applyAlignment="1">
      <alignment horizontal="left" vertical="center"/>
    </xf>
    <xf numFmtId="179" fontId="1" fillId="8" borderId="10" xfId="0" applyNumberFormat="1" applyFont="1" applyFill="1" applyBorder="1" applyAlignment="1">
      <alignment horizontal="left" vertical="center"/>
    </xf>
    <xf numFmtId="0" fontId="5" fillId="7" borderId="12" xfId="0" applyFont="1" applyFill="1" applyBorder="1">
      <alignment vertical="center"/>
    </xf>
    <xf numFmtId="0" fontId="1" fillId="7" borderId="14" xfId="0" applyFont="1" applyFill="1" applyBorder="1">
      <alignment vertical="center"/>
    </xf>
    <xf numFmtId="0" fontId="1" fillId="7" borderId="13" xfId="0" applyFont="1" applyFill="1" applyBorder="1">
      <alignment vertical="center"/>
    </xf>
    <xf numFmtId="0" fontId="1" fillId="9" borderId="12" xfId="0" applyFont="1" applyFill="1" applyBorder="1">
      <alignment vertical="center"/>
    </xf>
    <xf numFmtId="0" fontId="1" fillId="9" borderId="13" xfId="0" applyFont="1" applyFill="1" applyBorder="1">
      <alignment vertical="center"/>
    </xf>
    <xf numFmtId="180" fontId="1" fillId="9" borderId="13" xfId="0" applyNumberFormat="1" applyFont="1" applyFill="1" applyBorder="1" applyAlignment="1">
      <alignment horizontal="left" vertical="center"/>
    </xf>
    <xf numFmtId="14" fontId="1" fillId="9" borderId="13" xfId="0" applyNumberFormat="1" applyFont="1" applyFill="1" applyBorder="1" applyAlignment="1">
      <alignment horizontal="left" vertical="center"/>
    </xf>
    <xf numFmtId="179" fontId="1" fillId="9" borderId="14" xfId="0" applyNumberFormat="1" applyFont="1" applyFill="1" applyBorder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1" fillId="10" borderId="16" xfId="0" applyFont="1" applyFill="1" applyBorder="1">
      <alignment vertical="center"/>
    </xf>
    <xf numFmtId="0" fontId="1" fillId="10" borderId="17" xfId="0" applyFont="1" applyFill="1" applyBorder="1">
      <alignment vertical="center"/>
    </xf>
    <xf numFmtId="180" fontId="1" fillId="10" borderId="17" xfId="0" applyNumberFormat="1" applyFont="1" applyFill="1" applyBorder="1" applyAlignment="1">
      <alignment horizontal="left" vertical="center"/>
    </xf>
    <xf numFmtId="14" fontId="1" fillId="10" borderId="17" xfId="0" applyNumberFormat="1" applyFont="1" applyFill="1" applyBorder="1" applyAlignment="1">
      <alignment horizontal="left" vertical="center"/>
    </xf>
    <xf numFmtId="179" fontId="1" fillId="10" borderId="18" xfId="0" applyNumberFormat="1" applyFont="1" applyFill="1" applyBorder="1" applyAlignment="1">
      <alignment horizontal="left" vertical="center"/>
    </xf>
    <xf numFmtId="0" fontId="3" fillId="2" borderId="0" xfId="0" applyFont="1" applyFill="1">
      <alignment vertical="center"/>
    </xf>
    <xf numFmtId="0" fontId="1" fillId="11" borderId="0" xfId="0" applyFont="1" applyFill="1" applyAlignment="1">
      <alignment horizontal="left" vertical="center"/>
    </xf>
    <xf numFmtId="0" fontId="1" fillId="11" borderId="0" xfId="0" applyNumberFormat="1" applyFont="1" applyFill="1" applyBorder="1">
      <alignment vertical="center"/>
    </xf>
    <xf numFmtId="0" fontId="1" fillId="11" borderId="0" xfId="0" applyFont="1" applyFill="1" applyBorder="1">
      <alignment vertical="center"/>
    </xf>
    <xf numFmtId="180" fontId="1" fillId="11" borderId="0" xfId="0" applyNumberFormat="1" applyFont="1" applyFill="1" applyBorder="1" applyAlignment="1">
      <alignment horizontal="left" vertical="center"/>
    </xf>
    <xf numFmtId="14" fontId="1" fillId="2" borderId="0" xfId="0" applyNumberFormat="1" applyFont="1" applyFill="1" applyBorder="1" applyAlignment="1">
      <alignment horizontal="left" vertical="center"/>
    </xf>
    <xf numFmtId="179" fontId="1" fillId="11" borderId="0" xfId="0" applyNumberFormat="1" applyFont="1" applyFill="1" applyBorder="1" applyAlignment="1">
      <alignment horizontal="left" vertical="center"/>
    </xf>
    <xf numFmtId="0" fontId="1" fillId="11" borderId="0" xfId="0" applyFont="1" applyFill="1">
      <alignment vertical="center"/>
    </xf>
    <xf numFmtId="0" fontId="7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7" fillId="2" borderId="0" xfId="0" applyFont="1" applyFill="1">
      <alignment vertical="center"/>
    </xf>
    <xf numFmtId="176" fontId="7" fillId="2" borderId="0" xfId="0" applyNumberFormat="1" applyFont="1" applyFill="1" applyAlignment="1">
      <alignment horizontal="center" vertical="center"/>
    </xf>
    <xf numFmtId="176" fontId="7" fillId="2" borderId="0" xfId="0" applyNumberFormat="1" applyFont="1" applyFill="1" applyAlignment="1">
      <alignment horizontal="left" vertical="center"/>
    </xf>
    <xf numFmtId="177" fontId="7" fillId="2" borderId="0" xfId="0" applyNumberFormat="1" applyFont="1" applyFill="1">
      <alignment vertical="center"/>
    </xf>
    <xf numFmtId="178" fontId="7" fillId="2" borderId="0" xfId="0" applyNumberFormat="1" applyFont="1" applyFill="1" applyAlignment="1">
      <alignment horizontal="left" vertical="center"/>
    </xf>
    <xf numFmtId="180" fontId="7" fillId="2" borderId="0" xfId="0" applyNumberFormat="1" applyFont="1" applyFill="1" applyAlignment="1">
      <alignment horizontal="left" vertical="center"/>
    </xf>
    <xf numFmtId="14" fontId="7" fillId="2" borderId="0" xfId="0" applyNumberFormat="1" applyFont="1" applyFill="1" applyAlignment="1">
      <alignment horizontal="left" vertical="center"/>
    </xf>
    <xf numFmtId="179" fontId="7" fillId="2" borderId="0" xfId="0" applyNumberFormat="1" applyFont="1" applyFill="1" applyAlignment="1">
      <alignment horizontal="left" vertical="center"/>
    </xf>
    <xf numFmtId="5" fontId="7" fillId="2" borderId="0" xfId="0" applyNumberFormat="1" applyFont="1" applyFill="1">
      <alignment vertical="center"/>
    </xf>
    <xf numFmtId="0" fontId="7" fillId="2" borderId="0" xfId="0" applyNumberFormat="1" applyFont="1" applyFill="1" applyAlignment="1">
      <alignment horizontal="left" vertical="center"/>
    </xf>
    <xf numFmtId="0" fontId="7" fillId="12" borderId="19" xfId="0" applyFont="1" applyFill="1" applyBorder="1" applyAlignment="1">
      <alignment horizontal="left" vertical="center"/>
    </xf>
    <xf numFmtId="0" fontId="8" fillId="12" borderId="19" xfId="0" applyFont="1" applyFill="1" applyBorder="1" applyAlignment="1">
      <alignment horizontal="left" vertical="center"/>
    </xf>
    <xf numFmtId="176" fontId="7" fillId="12" borderId="20" xfId="0" applyNumberFormat="1" applyFont="1" applyFill="1" applyBorder="1" applyAlignment="1">
      <alignment horizontal="left" vertical="center"/>
    </xf>
    <xf numFmtId="176" fontId="7" fillId="12" borderId="21" xfId="0" applyNumberFormat="1" applyFont="1" applyFill="1" applyBorder="1" applyAlignment="1">
      <alignment horizontal="left" vertical="center"/>
    </xf>
    <xf numFmtId="0" fontId="7" fillId="12" borderId="21" xfId="0" applyFont="1" applyFill="1" applyBorder="1">
      <alignment vertical="center"/>
    </xf>
    <xf numFmtId="0" fontId="7" fillId="12" borderId="22" xfId="0" applyFont="1" applyFill="1" applyBorder="1">
      <alignment vertical="center"/>
    </xf>
    <xf numFmtId="0" fontId="7" fillId="5" borderId="20" xfId="0" applyFont="1" applyFill="1" applyBorder="1">
      <alignment vertical="center"/>
    </xf>
    <xf numFmtId="177" fontId="7" fillId="5" borderId="21" xfId="0" applyNumberFormat="1" applyFont="1" applyFill="1" applyBorder="1">
      <alignment vertical="center"/>
    </xf>
    <xf numFmtId="178" fontId="7" fillId="5" borderId="21" xfId="0" applyNumberFormat="1" applyFont="1" applyFill="1" applyBorder="1" applyAlignment="1">
      <alignment horizontal="left" vertical="center"/>
    </xf>
    <xf numFmtId="0" fontId="7" fillId="5" borderId="21" xfId="0" applyFont="1" applyFill="1" applyBorder="1">
      <alignment vertical="center"/>
    </xf>
    <xf numFmtId="0" fontId="7" fillId="5" borderId="6" xfId="0" applyFont="1" applyFill="1" applyBorder="1">
      <alignment vertical="center"/>
    </xf>
    <xf numFmtId="180" fontId="7" fillId="5" borderId="6" xfId="0" applyNumberFormat="1" applyFont="1" applyFill="1" applyBorder="1" applyAlignment="1">
      <alignment horizontal="left" vertical="center"/>
    </xf>
    <xf numFmtId="14" fontId="7" fillId="5" borderId="6" xfId="0" applyNumberFormat="1" applyFont="1" applyFill="1" applyBorder="1" applyAlignment="1">
      <alignment horizontal="left" vertical="center"/>
    </xf>
    <xf numFmtId="179" fontId="7" fillId="5" borderId="6" xfId="0" applyNumberFormat="1" applyFont="1" applyFill="1" applyBorder="1" applyAlignment="1">
      <alignment horizontal="left" vertical="center"/>
    </xf>
    <xf numFmtId="5" fontId="7" fillId="5" borderId="21" xfId="0" applyNumberFormat="1" applyFont="1" applyFill="1" applyBorder="1">
      <alignment vertical="center"/>
    </xf>
    <xf numFmtId="14" fontId="7" fillId="5" borderId="21" xfId="0" applyNumberFormat="1" applyFont="1" applyFill="1" applyBorder="1" applyAlignment="1">
      <alignment horizontal="left" vertical="center"/>
    </xf>
    <xf numFmtId="14" fontId="7" fillId="5" borderId="22" xfId="0" applyNumberFormat="1" applyFont="1" applyFill="1" applyBorder="1" applyAlignment="1">
      <alignment horizontal="left" vertical="center"/>
    </xf>
    <xf numFmtId="0" fontId="7" fillId="7" borderId="21" xfId="0" applyNumberFormat="1" applyFont="1" applyFill="1" applyBorder="1" applyAlignment="1">
      <alignment horizontal="left" vertical="center"/>
    </xf>
    <xf numFmtId="0" fontId="7" fillId="7" borderId="20" xfId="0" applyFont="1" applyFill="1" applyBorder="1">
      <alignment vertical="center"/>
    </xf>
    <xf numFmtId="0" fontId="7" fillId="7" borderId="21" xfId="0" applyFont="1" applyFill="1" applyBorder="1">
      <alignment vertical="center"/>
    </xf>
    <xf numFmtId="14" fontId="7" fillId="7" borderId="21" xfId="0" applyNumberFormat="1" applyFont="1" applyFill="1" applyBorder="1" applyAlignment="1">
      <alignment horizontal="left" vertical="center"/>
    </xf>
    <xf numFmtId="0" fontId="7" fillId="7" borderId="22" xfId="0" applyFont="1" applyFill="1" applyBorder="1">
      <alignment vertical="center"/>
    </xf>
    <xf numFmtId="0" fontId="7" fillId="12" borderId="23" xfId="0" applyFont="1" applyFill="1" applyBorder="1" applyAlignment="1">
      <alignment horizontal="left" vertical="center"/>
    </xf>
    <xf numFmtId="0" fontId="8" fillId="12" borderId="23" xfId="0" applyFont="1" applyFill="1" applyBorder="1" applyAlignment="1">
      <alignment horizontal="left" vertical="center"/>
    </xf>
    <xf numFmtId="176" fontId="7" fillId="12" borderId="24" xfId="0" applyNumberFormat="1" applyFont="1" applyFill="1" applyBorder="1" applyAlignment="1">
      <alignment horizontal="left" vertical="center"/>
    </xf>
    <xf numFmtId="176" fontId="7" fillId="12" borderId="0" xfId="0" applyNumberFormat="1" applyFont="1" applyFill="1" applyBorder="1" applyAlignment="1">
      <alignment horizontal="left" vertical="center"/>
    </xf>
    <xf numFmtId="0" fontId="7" fillId="12" borderId="0" xfId="0" applyFont="1" applyFill="1" applyBorder="1">
      <alignment vertical="center"/>
    </xf>
    <xf numFmtId="0" fontId="7" fillId="12" borderId="25" xfId="0" applyFont="1" applyFill="1" applyBorder="1">
      <alignment vertical="center"/>
    </xf>
    <xf numFmtId="0" fontId="7" fillId="5" borderId="24" xfId="0" applyFont="1" applyFill="1" applyBorder="1">
      <alignment vertical="center"/>
    </xf>
    <xf numFmtId="177" fontId="7" fillId="5" borderId="0" xfId="0" applyNumberFormat="1" applyFont="1" applyFill="1" applyBorder="1">
      <alignment vertical="center"/>
    </xf>
    <xf numFmtId="178" fontId="7" fillId="5" borderId="0" xfId="0" applyNumberFormat="1" applyFont="1" applyFill="1" applyBorder="1" applyAlignment="1">
      <alignment horizontal="left" vertical="center"/>
    </xf>
    <xf numFmtId="5" fontId="7" fillId="5" borderId="24" xfId="0" applyNumberFormat="1" applyFont="1" applyFill="1" applyBorder="1">
      <alignment vertical="center"/>
    </xf>
    <xf numFmtId="14" fontId="7" fillId="5" borderId="0" xfId="0" applyNumberFormat="1" applyFont="1" applyFill="1" applyBorder="1" applyAlignment="1">
      <alignment horizontal="left" vertical="center"/>
    </xf>
    <xf numFmtId="0" fontId="7" fillId="5" borderId="0" xfId="0" applyFont="1" applyFill="1" applyBorder="1">
      <alignment vertical="center"/>
    </xf>
    <xf numFmtId="14" fontId="7" fillId="5" borderId="25" xfId="0" applyNumberFormat="1" applyFont="1" applyFill="1" applyBorder="1" applyAlignment="1">
      <alignment horizontal="left" vertical="center"/>
    </xf>
    <xf numFmtId="0" fontId="7" fillId="7" borderId="0" xfId="0" applyNumberFormat="1" applyFont="1" applyFill="1" applyBorder="1" applyAlignment="1">
      <alignment horizontal="left" vertical="center"/>
    </xf>
    <xf numFmtId="0" fontId="7" fillId="7" borderId="24" xfId="0" applyFont="1" applyFill="1" applyBorder="1">
      <alignment vertical="center"/>
    </xf>
    <xf numFmtId="0" fontId="7" fillId="7" borderId="0" xfId="0" applyFont="1" applyFill="1" applyBorder="1">
      <alignment vertical="center"/>
    </xf>
    <xf numFmtId="14" fontId="7" fillId="7" borderId="0" xfId="0" applyNumberFormat="1" applyFont="1" applyFill="1" applyBorder="1" applyAlignment="1">
      <alignment horizontal="left" vertical="center"/>
    </xf>
    <xf numFmtId="0" fontId="7" fillId="7" borderId="25" xfId="0" applyFont="1" applyFill="1" applyBorder="1">
      <alignment vertical="center"/>
    </xf>
    <xf numFmtId="0" fontId="1" fillId="12" borderId="23" xfId="0" applyFont="1" applyFill="1" applyBorder="1" applyAlignment="1">
      <alignment horizontal="left" vertical="center"/>
    </xf>
    <xf numFmtId="0" fontId="3" fillId="12" borderId="23" xfId="0" applyFont="1" applyFill="1" applyBorder="1" applyAlignment="1">
      <alignment horizontal="left" vertical="center"/>
    </xf>
    <xf numFmtId="176" fontId="9" fillId="12" borderId="26" xfId="0" applyNumberFormat="1" applyFont="1" applyFill="1" applyBorder="1" applyAlignment="1">
      <alignment horizontal="left" vertical="center"/>
    </xf>
    <xf numFmtId="176" fontId="9" fillId="12" borderId="27" xfId="0" applyNumberFormat="1" applyFont="1" applyFill="1" applyBorder="1" applyAlignment="1">
      <alignment horizontal="left" vertical="center"/>
    </xf>
    <xf numFmtId="0" fontId="1" fillId="12" borderId="27" xfId="0" applyFont="1" applyFill="1" applyBorder="1">
      <alignment vertical="center"/>
    </xf>
    <xf numFmtId="0" fontId="1" fillId="12" borderId="28" xfId="0" applyFont="1" applyFill="1" applyBorder="1">
      <alignment vertical="center"/>
    </xf>
    <xf numFmtId="0" fontId="9" fillId="5" borderId="26" xfId="0" applyFont="1" applyFill="1" applyBorder="1">
      <alignment vertical="center"/>
    </xf>
    <xf numFmtId="177" fontId="9" fillId="5" borderId="27" xfId="0" applyNumberFormat="1" applyFont="1" applyFill="1" applyBorder="1">
      <alignment vertical="center"/>
    </xf>
    <xf numFmtId="178" fontId="1" fillId="5" borderId="27" xfId="0" applyNumberFormat="1" applyFont="1" applyFill="1" applyBorder="1" applyAlignment="1">
      <alignment horizontal="left" vertical="center"/>
    </xf>
    <xf numFmtId="0" fontId="1" fillId="6" borderId="8" xfId="0" applyFont="1" applyFill="1" applyBorder="1">
      <alignment vertical="center"/>
    </xf>
    <xf numFmtId="0" fontId="1" fillId="6" borderId="10" xfId="0" applyFont="1" applyFill="1" applyBorder="1">
      <alignment vertical="center"/>
    </xf>
    <xf numFmtId="180" fontId="9" fillId="6" borderId="20" xfId="0" applyNumberFormat="1" applyFont="1" applyFill="1" applyBorder="1" applyAlignment="1">
      <alignment horizontal="left" vertical="center"/>
    </xf>
    <xf numFmtId="14" fontId="1" fillId="6" borderId="9" xfId="0" applyNumberFormat="1" applyFont="1" applyFill="1" applyBorder="1" applyAlignment="1">
      <alignment horizontal="left" vertical="center"/>
    </xf>
    <xf numFmtId="179" fontId="1" fillId="6" borderId="9" xfId="0" applyNumberFormat="1" applyFont="1" applyFill="1" applyBorder="1" applyAlignment="1">
      <alignment horizontal="left" vertical="center"/>
    </xf>
    <xf numFmtId="14" fontId="9" fillId="6" borderId="9" xfId="0" applyNumberFormat="1" applyFont="1" applyFill="1" applyBorder="1" applyAlignment="1">
      <alignment horizontal="left" vertical="center"/>
    </xf>
    <xf numFmtId="14" fontId="1" fillId="6" borderId="10" xfId="0" applyNumberFormat="1" applyFont="1" applyFill="1" applyBorder="1" applyAlignment="1">
      <alignment horizontal="left" vertical="center"/>
    </xf>
    <xf numFmtId="5" fontId="9" fillId="5" borderId="26" xfId="0" applyNumberFormat="1" applyFont="1" applyFill="1" applyBorder="1">
      <alignment vertical="center"/>
    </xf>
    <xf numFmtId="5" fontId="9" fillId="5" borderId="27" xfId="0" applyNumberFormat="1" applyFont="1" applyFill="1" applyBorder="1">
      <alignment vertical="center"/>
    </xf>
    <xf numFmtId="14" fontId="1" fillId="5" borderId="27" xfId="0" applyNumberFormat="1" applyFont="1" applyFill="1" applyBorder="1" applyAlignment="1">
      <alignment horizontal="left" vertical="center"/>
    </xf>
    <xf numFmtId="0" fontId="1" fillId="5" borderId="27" xfId="0" applyFont="1" applyFill="1" applyBorder="1">
      <alignment vertical="center"/>
    </xf>
    <xf numFmtId="14" fontId="1" fillId="5" borderId="28" xfId="0" applyNumberFormat="1" applyFont="1" applyFill="1" applyBorder="1" applyAlignment="1">
      <alignment horizontal="left" vertical="center"/>
    </xf>
    <xf numFmtId="0" fontId="1" fillId="7" borderId="27" xfId="0" applyNumberFormat="1" applyFont="1" applyFill="1" applyBorder="1" applyAlignment="1">
      <alignment horizontal="left" vertical="center"/>
    </xf>
    <xf numFmtId="0" fontId="1" fillId="7" borderId="26" xfId="0" applyFont="1" applyFill="1" applyBorder="1">
      <alignment vertical="center"/>
    </xf>
    <xf numFmtId="0" fontId="1" fillId="7" borderId="27" xfId="0" applyFont="1" applyFill="1" applyBorder="1">
      <alignment vertical="center"/>
    </xf>
    <xf numFmtId="14" fontId="1" fillId="7" borderId="27" xfId="0" applyNumberFormat="1" applyFont="1" applyFill="1" applyBorder="1" applyAlignment="1">
      <alignment horizontal="left" vertical="center"/>
    </xf>
    <xf numFmtId="0" fontId="1" fillId="7" borderId="28" xfId="0" applyFont="1" applyFill="1" applyBorder="1">
      <alignment vertical="center"/>
    </xf>
    <xf numFmtId="0" fontId="3" fillId="7" borderId="8" xfId="0" applyFont="1" applyFill="1" applyBorder="1">
      <alignment vertical="center"/>
    </xf>
    <xf numFmtId="0" fontId="3" fillId="7" borderId="9" xfId="0" applyFont="1" applyFill="1" applyBorder="1">
      <alignment vertical="center"/>
    </xf>
    <xf numFmtId="0" fontId="3" fillId="7" borderId="10" xfId="0" applyFont="1" applyFill="1" applyBorder="1">
      <alignment vertical="center"/>
    </xf>
    <xf numFmtId="0" fontId="1" fillId="7" borderId="29" xfId="0" applyFont="1" applyFill="1" applyBorder="1">
      <alignment vertical="center"/>
    </xf>
    <xf numFmtId="0" fontId="3" fillId="12" borderId="30" xfId="0" applyFont="1" applyFill="1" applyBorder="1" applyAlignment="1">
      <alignment horizontal="left" vertical="top" wrapText="1"/>
    </xf>
    <xf numFmtId="0" fontId="1" fillId="2" borderId="0" xfId="0" applyFont="1" applyFill="1" applyBorder="1" applyAlignment="1">
      <alignment vertical="top"/>
    </xf>
    <xf numFmtId="176" fontId="1" fillId="12" borderId="12" xfId="0" applyNumberFormat="1" applyFont="1" applyFill="1" applyBorder="1" applyAlignment="1">
      <alignment horizontal="left" vertical="top"/>
    </xf>
    <xf numFmtId="176" fontId="1" fillId="12" borderId="13" xfId="0" applyNumberFormat="1" applyFont="1" applyFill="1" applyBorder="1" applyAlignment="1">
      <alignment horizontal="left" vertical="top" wrapText="1"/>
    </xf>
    <xf numFmtId="0" fontId="1" fillId="12" borderId="13" xfId="0" applyFont="1" applyFill="1" applyBorder="1" applyAlignment="1">
      <alignment vertical="top"/>
    </xf>
    <xf numFmtId="0" fontId="1" fillId="12" borderId="13" xfId="0" applyFont="1" applyFill="1" applyBorder="1" applyAlignment="1">
      <alignment vertical="top" wrapText="1"/>
    </xf>
    <xf numFmtId="0" fontId="1" fillId="12" borderId="14" xfId="0" applyFont="1" applyFill="1" applyBorder="1" applyAlignment="1">
      <alignment vertical="top"/>
    </xf>
    <xf numFmtId="0" fontId="1" fillId="5" borderId="13" xfId="0" applyFont="1" applyFill="1" applyBorder="1" applyAlignment="1">
      <alignment vertical="top"/>
    </xf>
    <xf numFmtId="177" fontId="1" fillId="5" borderId="13" xfId="0" applyNumberFormat="1" applyFont="1" applyFill="1" applyBorder="1" applyAlignment="1">
      <alignment vertical="top" wrapText="1"/>
    </xf>
    <xf numFmtId="178" fontId="1" fillId="5" borderId="13" xfId="0" applyNumberFormat="1" applyFont="1" applyFill="1" applyBorder="1" applyAlignment="1">
      <alignment horizontal="left"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13" xfId="0" applyFont="1" applyFill="1" applyBorder="1" applyAlignment="1">
      <alignment vertical="top" wrapText="1"/>
    </xf>
    <xf numFmtId="180" fontId="1" fillId="6" borderId="31" xfId="0" applyNumberFormat="1" applyFont="1" applyFill="1" applyBorder="1" applyAlignment="1">
      <alignment horizontal="left" vertical="top" wrapText="1"/>
    </xf>
    <xf numFmtId="14" fontId="1" fillId="10" borderId="13" xfId="0" applyNumberFormat="1" applyFont="1" applyFill="1" applyBorder="1" applyAlignment="1">
      <alignment horizontal="left" vertical="top" wrapText="1"/>
    </xf>
    <xf numFmtId="179" fontId="1" fillId="10" borderId="14" xfId="0" applyNumberFormat="1" applyFont="1" applyFill="1" applyBorder="1" applyAlignment="1">
      <alignment horizontal="left" vertical="top" wrapText="1"/>
    </xf>
    <xf numFmtId="14" fontId="1" fillId="10" borderId="12" xfId="0" applyNumberFormat="1" applyFont="1" applyFill="1" applyBorder="1" applyAlignment="1">
      <alignment horizontal="left" vertical="top" wrapText="1"/>
    </xf>
    <xf numFmtId="14" fontId="1" fillId="10" borderId="14" xfId="0" applyNumberFormat="1" applyFont="1" applyFill="1" applyBorder="1" applyAlignment="1">
      <alignment horizontal="left" vertical="top" wrapText="1"/>
    </xf>
    <xf numFmtId="5" fontId="1" fillId="5" borderId="12" xfId="0" applyNumberFormat="1" applyFont="1" applyFill="1" applyBorder="1" applyAlignment="1">
      <alignment vertical="top"/>
    </xf>
    <xf numFmtId="14" fontId="1" fillId="5" borderId="13" xfId="0" applyNumberFormat="1" applyFont="1" applyFill="1" applyBorder="1" applyAlignment="1">
      <alignment horizontal="left" vertical="top"/>
    </xf>
    <xf numFmtId="14" fontId="1" fillId="5" borderId="14" xfId="0" applyNumberFormat="1" applyFont="1" applyFill="1" applyBorder="1" applyAlignment="1">
      <alignment horizontal="left" vertical="top"/>
    </xf>
    <xf numFmtId="0" fontId="1" fillId="7" borderId="0" xfId="0" applyNumberFormat="1" applyFont="1" applyFill="1" applyAlignment="1">
      <alignment horizontal="left" vertical="top" wrapText="1"/>
    </xf>
    <xf numFmtId="0" fontId="1" fillId="7" borderId="12" xfId="0" applyFont="1" applyFill="1" applyBorder="1" applyAlignment="1">
      <alignment vertical="top"/>
    </xf>
    <xf numFmtId="0" fontId="1" fillId="7" borderId="13" xfId="0" applyFont="1" applyFill="1" applyBorder="1" applyAlignment="1">
      <alignment vertical="top"/>
    </xf>
    <xf numFmtId="14" fontId="1" fillId="7" borderId="13" xfId="0" applyNumberFormat="1" applyFont="1" applyFill="1" applyBorder="1" applyAlignment="1">
      <alignment horizontal="left" vertical="top"/>
    </xf>
    <xf numFmtId="0" fontId="1" fillId="7" borderId="13" xfId="0" applyFont="1" applyFill="1" applyBorder="1" applyAlignment="1">
      <alignment horizontal="left" vertical="top" wrapText="1"/>
    </xf>
    <xf numFmtId="0" fontId="3" fillId="7" borderId="14" xfId="0" applyFont="1" applyFill="1" applyBorder="1" applyAlignment="1">
      <alignment vertical="top"/>
    </xf>
    <xf numFmtId="0" fontId="3" fillId="7" borderId="32" xfId="0" applyFont="1" applyFill="1" applyBorder="1" applyAlignment="1">
      <alignment vertical="top"/>
    </xf>
    <xf numFmtId="0" fontId="3" fillId="7" borderId="13" xfId="0" applyFont="1" applyFill="1" applyBorder="1" applyAlignment="1">
      <alignment vertical="top"/>
    </xf>
    <xf numFmtId="0" fontId="1" fillId="7" borderId="29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2" borderId="33" xfId="0" applyFont="1" applyFill="1" applyBorder="1" applyAlignment="1">
      <alignment horizontal="left" vertical="center"/>
    </xf>
    <xf numFmtId="0" fontId="3" fillId="2" borderId="33" xfId="0" applyFont="1" applyFill="1" applyBorder="1" applyAlignment="1">
      <alignment horizontal="left" vertical="center"/>
    </xf>
    <xf numFmtId="176" fontId="1" fillId="2" borderId="12" xfId="0" applyNumberFormat="1" applyFont="1" applyFill="1" applyBorder="1" applyAlignment="1">
      <alignment horizontal="center" vertical="center"/>
    </xf>
    <xf numFmtId="176" fontId="1" fillId="2" borderId="13" xfId="0" applyNumberFormat="1" applyFont="1" applyFill="1" applyBorder="1" applyAlignment="1">
      <alignment horizontal="left" vertical="center"/>
    </xf>
    <xf numFmtId="0" fontId="1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1" fillId="2" borderId="12" xfId="0" applyFont="1" applyFill="1" applyBorder="1">
      <alignment vertical="center"/>
    </xf>
    <xf numFmtId="177" fontId="1" fillId="2" borderId="13" xfId="0" applyNumberFormat="1" applyFont="1" applyFill="1" applyBorder="1">
      <alignment vertical="center"/>
    </xf>
    <xf numFmtId="178" fontId="1" fillId="2" borderId="13" xfId="0" applyNumberFormat="1" applyFont="1" applyFill="1" applyBorder="1" applyAlignment="1">
      <alignment horizontal="left" vertical="center"/>
    </xf>
    <xf numFmtId="180" fontId="1" fillId="2" borderId="34" xfId="0" applyNumberFormat="1" applyFont="1" applyFill="1" applyBorder="1" applyAlignment="1">
      <alignment horizontal="left" vertical="center"/>
    </xf>
    <xf numFmtId="14" fontId="10" fillId="2" borderId="13" xfId="0" applyNumberFormat="1" applyFont="1" applyFill="1" applyBorder="1" applyAlignment="1">
      <alignment horizontal="left" vertical="center"/>
    </xf>
    <xf numFmtId="179" fontId="10" fillId="2" borderId="14" xfId="0" applyNumberFormat="1" applyFont="1" applyFill="1" applyBorder="1" applyAlignment="1">
      <alignment horizontal="left" vertical="center"/>
    </xf>
    <xf numFmtId="14" fontId="10" fillId="2" borderId="12" xfId="0" applyNumberFormat="1" applyFont="1" applyFill="1" applyBorder="1" applyAlignment="1">
      <alignment horizontal="left" vertical="center"/>
    </xf>
    <xf numFmtId="14" fontId="10" fillId="2" borderId="14" xfId="0" applyNumberFormat="1" applyFont="1" applyFill="1" applyBorder="1" applyAlignment="1">
      <alignment horizontal="left" vertical="center"/>
    </xf>
    <xf numFmtId="14" fontId="1" fillId="2" borderId="13" xfId="0" applyNumberFormat="1" applyFont="1" applyFill="1" applyBorder="1" applyAlignment="1">
      <alignment horizontal="left" vertical="center"/>
    </xf>
    <xf numFmtId="5" fontId="1" fillId="2" borderId="12" xfId="0" applyNumberFormat="1" applyFont="1" applyFill="1" applyBorder="1">
      <alignment vertical="center"/>
    </xf>
    <xf numFmtId="14" fontId="1" fillId="2" borderId="14" xfId="0" applyNumberFormat="1" applyFont="1" applyFill="1" applyBorder="1" applyAlignment="1">
      <alignment horizontal="lef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24" xfId="0" applyFont="1" applyBorder="1">
      <alignment vertical="center"/>
    </xf>
    <xf numFmtId="0" fontId="1" fillId="0" borderId="0" xfId="0" applyFont="1">
      <alignment vertical="center"/>
    </xf>
    <xf numFmtId="14" fontId="1" fillId="0" borderId="0" xfId="0" applyNumberFormat="1" applyFont="1" applyAlignment="1">
      <alignment horizontal="left" vertical="center"/>
    </xf>
    <xf numFmtId="0" fontId="1" fillId="0" borderId="25" xfId="0" applyFont="1" applyBorder="1">
      <alignment vertical="center"/>
    </xf>
    <xf numFmtId="0" fontId="1" fillId="0" borderId="35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14" borderId="5" xfId="0" applyFont="1" applyFill="1" applyBorder="1">
      <alignment vertical="center"/>
    </xf>
    <xf numFmtId="0" fontId="1" fillId="14" borderId="6" xfId="0" applyFont="1" applyFill="1" applyBorder="1">
      <alignment vertical="center"/>
    </xf>
    <xf numFmtId="0" fontId="1" fillId="14" borderId="7" xfId="0" applyFont="1" applyFill="1" applyBorder="1">
      <alignment vertical="center"/>
    </xf>
    <xf numFmtId="0" fontId="7" fillId="14" borderId="20" xfId="0" applyFont="1" applyFill="1" applyBorder="1">
      <alignment vertical="center"/>
    </xf>
    <xf numFmtId="0" fontId="7" fillId="14" borderId="21" xfId="0" applyFont="1" applyFill="1" applyBorder="1">
      <alignment vertical="center"/>
    </xf>
    <xf numFmtId="0" fontId="9" fillId="14" borderId="26" xfId="0" applyFont="1" applyFill="1" applyBorder="1">
      <alignment vertical="center"/>
    </xf>
    <xf numFmtId="0" fontId="1" fillId="14" borderId="27" xfId="0" applyFont="1" applyFill="1" applyBorder="1">
      <alignment vertical="center"/>
    </xf>
    <xf numFmtId="0" fontId="1" fillId="14" borderId="28" xfId="0" applyFont="1" applyFill="1" applyBorder="1">
      <alignment vertical="center"/>
    </xf>
    <xf numFmtId="0" fontId="1" fillId="14" borderId="12" xfId="0" applyFont="1" applyFill="1" applyBorder="1" applyAlignment="1">
      <alignment vertical="top"/>
    </xf>
    <xf numFmtId="0" fontId="1" fillId="14" borderId="13" xfId="0" applyFont="1" applyFill="1" applyBorder="1" applyAlignment="1">
      <alignment vertical="top"/>
    </xf>
    <xf numFmtId="0" fontId="1" fillId="14" borderId="14" xfId="0" applyFont="1" applyFill="1" applyBorder="1" applyAlignment="1">
      <alignment vertical="top" wrapText="1"/>
    </xf>
    <xf numFmtId="180" fontId="7" fillId="14" borderId="21" xfId="0" applyNumberFormat="1" applyFont="1" applyFill="1" applyBorder="1" applyAlignment="1">
      <alignment horizontal="left" vertical="center"/>
    </xf>
    <xf numFmtId="14" fontId="7" fillId="14" borderId="21" xfId="0" applyNumberFormat="1" applyFont="1" applyFill="1" applyBorder="1" applyAlignment="1">
      <alignment horizontal="left" vertical="center"/>
    </xf>
    <xf numFmtId="179" fontId="7" fillId="14" borderId="21" xfId="0" applyNumberFormat="1" applyFont="1" applyFill="1" applyBorder="1" applyAlignment="1">
      <alignment horizontal="left" vertical="center"/>
    </xf>
    <xf numFmtId="0" fontId="7" fillId="14" borderId="22" xfId="0" applyFont="1" applyFill="1" applyBorder="1">
      <alignment vertical="center"/>
    </xf>
    <xf numFmtId="0" fontId="9" fillId="14" borderId="27" xfId="0" applyFont="1" applyFill="1" applyBorder="1">
      <alignment vertical="center"/>
    </xf>
    <xf numFmtId="14" fontId="1" fillId="14" borderId="27" xfId="0" applyNumberFormat="1" applyFont="1" applyFill="1" applyBorder="1" applyAlignment="1">
      <alignment horizontal="left" vertical="center"/>
    </xf>
    <xf numFmtId="14" fontId="1" fillId="14" borderId="13" xfId="0" applyNumberFormat="1" applyFont="1" applyFill="1" applyBorder="1" applyAlignment="1">
      <alignment horizontal="left" vertical="top"/>
    </xf>
    <xf numFmtId="0" fontId="1" fillId="14" borderId="14" xfId="0" applyFont="1" applyFill="1" applyBorder="1" applyAlignment="1">
      <alignment vertical="top"/>
    </xf>
    <xf numFmtId="0" fontId="3" fillId="15" borderId="11" xfId="0" applyFont="1" applyFill="1" applyBorder="1">
      <alignment vertical="center"/>
    </xf>
    <xf numFmtId="14" fontId="3" fillId="15" borderId="15" xfId="0" applyNumberFormat="1" applyFont="1" applyFill="1" applyBorder="1">
      <alignment vertical="center"/>
    </xf>
    <xf numFmtId="0" fontId="3" fillId="15" borderId="2" xfId="0" applyFont="1" applyFill="1" applyBorder="1" applyAlignment="1">
      <alignment horizontal="left" vertical="center"/>
    </xf>
    <xf numFmtId="0" fontId="3" fillId="15" borderId="4" xfId="0" applyFont="1" applyFill="1" applyBorder="1" applyAlignment="1">
      <alignment horizontal="left" vertical="center"/>
    </xf>
    <xf numFmtId="0" fontId="1" fillId="7" borderId="39" xfId="0" applyFont="1" applyFill="1" applyBorder="1">
      <alignment vertical="center"/>
    </xf>
    <xf numFmtId="14" fontId="1" fillId="7" borderId="0" xfId="0" applyNumberFormat="1" applyFont="1" applyFill="1" applyBorder="1" applyAlignment="1">
      <alignment horizontal="left" vertical="center"/>
    </xf>
    <xf numFmtId="14" fontId="7" fillId="2" borderId="38" xfId="0" applyNumberFormat="1" applyFont="1" applyFill="1" applyBorder="1" applyAlignment="1">
      <alignment horizontal="left" vertical="center"/>
    </xf>
    <xf numFmtId="14" fontId="7" fillId="7" borderId="22" xfId="0" applyNumberFormat="1" applyFont="1" applyFill="1" applyBorder="1" applyAlignment="1">
      <alignment horizontal="left" vertical="center"/>
    </xf>
    <xf numFmtId="14" fontId="7" fillId="7" borderId="25" xfId="0" applyNumberFormat="1" applyFont="1" applyFill="1" applyBorder="1" applyAlignment="1">
      <alignment horizontal="left" vertical="center"/>
    </xf>
    <xf numFmtId="14" fontId="1" fillId="7" borderId="28" xfId="0" applyNumberFormat="1" applyFont="1" applyFill="1" applyBorder="1" applyAlignment="1">
      <alignment horizontal="left" vertical="center"/>
    </xf>
    <xf numFmtId="14" fontId="1" fillId="7" borderId="37" xfId="0" applyNumberFormat="1" applyFont="1" applyFill="1" applyBorder="1" applyAlignment="1">
      <alignment horizontal="left" vertical="top"/>
    </xf>
    <xf numFmtId="14" fontId="1" fillId="0" borderId="37" xfId="0" applyNumberFormat="1" applyFont="1" applyBorder="1" applyAlignment="1">
      <alignment horizontal="left" vertical="center"/>
    </xf>
    <xf numFmtId="0" fontId="1" fillId="16" borderId="13" xfId="0" applyFont="1" applyFill="1" applyBorder="1" applyAlignment="1">
      <alignment vertical="top"/>
    </xf>
    <xf numFmtId="0" fontId="7" fillId="2" borderId="38" xfId="0" applyFont="1" applyFill="1" applyBorder="1">
      <alignment vertical="center"/>
    </xf>
    <xf numFmtId="0" fontId="1" fillId="5" borderId="6" xfId="0" applyFont="1" applyFill="1" applyBorder="1">
      <alignment vertical="center"/>
    </xf>
    <xf numFmtId="0" fontId="1" fillId="5" borderId="13" xfId="0" applyFont="1" applyFill="1" applyBorder="1" applyAlignment="1">
      <alignment vertical="top" wrapText="1"/>
    </xf>
    <xf numFmtId="0" fontId="7" fillId="2" borderId="0" xfId="0" applyFont="1" applyFill="1" applyBorder="1">
      <alignment vertical="center"/>
    </xf>
    <xf numFmtId="14" fontId="1" fillId="0" borderId="0" xfId="0" applyNumberFormat="1" applyFont="1" applyBorder="1" applyAlignment="1">
      <alignment horizontal="left" vertical="center"/>
    </xf>
    <xf numFmtId="14" fontId="11" fillId="17" borderId="0" xfId="0" applyNumberFormat="1" applyFont="1" applyFill="1" applyBorder="1" applyAlignment="1">
      <alignment horizontal="left" vertical="center"/>
    </xf>
    <xf numFmtId="14" fontId="1" fillId="18" borderId="0" xfId="0" applyNumberFormat="1" applyFont="1" applyFill="1" applyAlignment="1">
      <alignment horizontal="left" vertical="center"/>
    </xf>
    <xf numFmtId="14" fontId="1" fillId="19" borderId="0" xfId="0" applyNumberFormat="1" applyFont="1" applyFill="1" applyBorder="1" applyAlignment="1">
      <alignment horizontal="left" vertical="center"/>
    </xf>
    <xf numFmtId="14" fontId="1" fillId="20" borderId="0" xfId="0" applyNumberFormat="1" applyFont="1" applyFill="1" applyBorder="1" applyAlignment="1">
      <alignment horizontal="left" vertical="center"/>
    </xf>
    <xf numFmtId="14" fontId="1" fillId="21" borderId="0" xfId="0" applyNumberFormat="1" applyFont="1" applyFill="1" applyBorder="1" applyAlignment="1">
      <alignment horizontal="left" vertical="center"/>
    </xf>
    <xf numFmtId="0" fontId="1" fillId="14" borderId="6" xfId="0" applyFont="1" applyFill="1" applyBorder="1" applyAlignment="1">
      <alignment horizontal="left" vertical="center"/>
    </xf>
    <xf numFmtId="0" fontId="1" fillId="7" borderId="13" xfId="0" applyFont="1" applyFill="1" applyBorder="1" applyAlignment="1">
      <alignment horizontal="left" vertical="center"/>
    </xf>
    <xf numFmtId="0" fontId="7" fillId="5" borderId="6" xfId="0" applyFont="1" applyFill="1" applyBorder="1" applyAlignment="1">
      <alignment horizontal="left" vertical="center"/>
    </xf>
    <xf numFmtId="0" fontId="7" fillId="14" borderId="21" xfId="0" applyFont="1" applyFill="1" applyBorder="1" applyAlignment="1">
      <alignment horizontal="left" vertical="center"/>
    </xf>
    <xf numFmtId="0" fontId="1" fillId="14" borderId="27" xfId="0" applyFont="1" applyFill="1" applyBorder="1" applyAlignment="1">
      <alignment horizontal="left" vertical="center"/>
    </xf>
    <xf numFmtId="0" fontId="1" fillId="14" borderId="13" xfId="0" applyFont="1" applyFill="1" applyBorder="1" applyAlignment="1">
      <alignment horizontal="left" vertical="top"/>
    </xf>
    <xf numFmtId="0" fontId="1" fillId="2" borderId="13" xfId="0" applyFont="1" applyFill="1" applyBorder="1" applyAlignment="1">
      <alignment horizontal="left" vertical="center"/>
    </xf>
    <xf numFmtId="0" fontId="3" fillId="15" borderId="1" xfId="0" applyFont="1" applyFill="1" applyBorder="1" applyAlignment="1">
      <alignment horizontal="right" vertical="center"/>
    </xf>
    <xf numFmtId="0" fontId="3" fillId="15" borderId="3" xfId="0" applyFont="1" applyFill="1" applyBorder="1" applyAlignment="1">
      <alignment horizontal="right" vertical="center"/>
    </xf>
    <xf numFmtId="0" fontId="1" fillId="0" borderId="0" xfId="0" applyFont="1" applyBorder="1">
      <alignment vertical="center"/>
    </xf>
    <xf numFmtId="14" fontId="1" fillId="0" borderId="0" xfId="0" applyNumberFormat="1" applyFont="1" applyFill="1" applyBorder="1" applyAlignment="1">
      <alignment horizontal="right" vertical="center"/>
    </xf>
    <xf numFmtId="0" fontId="11" fillId="16" borderId="12" xfId="0" applyFont="1" applyFill="1" applyBorder="1">
      <alignment vertical="center"/>
    </xf>
    <xf numFmtId="177" fontId="11" fillId="16" borderId="13" xfId="0" applyNumberFormat="1" applyFont="1" applyFill="1" applyBorder="1" applyAlignment="1">
      <alignment horizontal="left" vertical="center"/>
    </xf>
    <xf numFmtId="178" fontId="11" fillId="16" borderId="13" xfId="0" applyNumberFormat="1" applyFont="1" applyFill="1" applyBorder="1" applyAlignment="1">
      <alignment horizontal="left" vertical="center"/>
    </xf>
    <xf numFmtId="0" fontId="11" fillId="16" borderId="13" xfId="0" applyFont="1" applyFill="1" applyBorder="1">
      <alignment vertical="center"/>
    </xf>
    <xf numFmtId="0" fontId="1" fillId="2" borderId="40" xfId="0" applyFont="1" applyFill="1" applyBorder="1">
      <alignment vertical="center"/>
    </xf>
    <xf numFmtId="177" fontId="1" fillId="2" borderId="41" xfId="0" applyNumberFormat="1" applyFont="1" applyFill="1" applyBorder="1" applyAlignment="1">
      <alignment horizontal="left" vertical="center"/>
    </xf>
    <xf numFmtId="178" fontId="1" fillId="2" borderId="41" xfId="0" applyNumberFormat="1" applyFont="1" applyFill="1" applyBorder="1" applyAlignment="1">
      <alignment horizontal="left" vertical="center"/>
    </xf>
    <xf numFmtId="0" fontId="1" fillId="2" borderId="41" xfId="0" applyFont="1" applyFill="1" applyBorder="1">
      <alignment vertical="center"/>
    </xf>
    <xf numFmtId="0" fontId="1" fillId="2" borderId="21" xfId="0" applyFont="1" applyFill="1" applyBorder="1">
      <alignment vertical="center"/>
    </xf>
    <xf numFmtId="177" fontId="1" fillId="2" borderId="21" xfId="0" applyNumberFormat="1" applyFont="1" applyFill="1" applyBorder="1">
      <alignment vertical="center"/>
    </xf>
    <xf numFmtId="178" fontId="1" fillId="11" borderId="21" xfId="0" applyNumberFormat="1" applyFont="1" applyFill="1" applyBorder="1" applyAlignment="1">
      <alignment horizontal="left" vertical="center"/>
    </xf>
    <xf numFmtId="0" fontId="1" fillId="2" borderId="41" xfId="0" applyFont="1" applyFill="1" applyBorder="1" applyAlignment="1">
      <alignment horizontal="left" vertical="center"/>
    </xf>
    <xf numFmtId="0" fontId="1" fillId="2" borderId="42" xfId="0" applyFont="1" applyFill="1" applyBorder="1">
      <alignment vertical="center"/>
    </xf>
    <xf numFmtId="0" fontId="1" fillId="2" borderId="21" xfId="0" applyFont="1" applyFill="1" applyBorder="1" applyAlignment="1">
      <alignment horizontal="left" vertical="center"/>
    </xf>
    <xf numFmtId="0" fontId="12" fillId="13" borderId="26" xfId="0" applyFont="1" applyFill="1" applyBorder="1">
      <alignment vertical="center"/>
    </xf>
    <xf numFmtId="177" fontId="12" fillId="13" borderId="27" xfId="0" applyNumberFormat="1" applyFont="1" applyFill="1" applyBorder="1" applyAlignment="1">
      <alignment horizontal="left" vertical="center"/>
    </xf>
    <xf numFmtId="178" fontId="12" fillId="13" borderId="27" xfId="0" applyNumberFormat="1" applyFont="1" applyFill="1" applyBorder="1" applyAlignment="1">
      <alignment horizontal="left" vertical="center"/>
    </xf>
    <xf numFmtId="0" fontId="12" fillId="13" borderId="27" xfId="0" applyFont="1" applyFill="1" applyBorder="1">
      <alignment vertical="center"/>
    </xf>
    <xf numFmtId="0" fontId="3" fillId="4" borderId="26" xfId="0" applyFont="1" applyFill="1" applyBorder="1">
      <alignment vertical="center"/>
    </xf>
    <xf numFmtId="0" fontId="1" fillId="4" borderId="27" xfId="0" applyFont="1" applyFill="1" applyBorder="1">
      <alignment vertical="center"/>
    </xf>
    <xf numFmtId="0" fontId="1" fillId="4" borderId="27" xfId="0" applyFont="1" applyFill="1" applyBorder="1" applyAlignment="1">
      <alignment horizontal="left" vertical="center"/>
    </xf>
    <xf numFmtId="0" fontId="1" fillId="4" borderId="28" xfId="0" applyFont="1" applyFill="1" applyBorder="1">
      <alignment vertical="center"/>
    </xf>
    <xf numFmtId="0" fontId="3" fillId="22" borderId="0" xfId="0" applyFont="1" applyFill="1" applyAlignment="1">
      <alignment horizontal="right" vertical="center"/>
    </xf>
    <xf numFmtId="14" fontId="3" fillId="22" borderId="0" xfId="0" applyNumberFormat="1" applyFont="1" applyFill="1" applyAlignment="1">
      <alignment horizontal="left" vertical="center"/>
    </xf>
    <xf numFmtId="0" fontId="1" fillId="22" borderId="0" xfId="0" applyFont="1" applyFill="1" applyBorder="1">
      <alignment vertical="center"/>
    </xf>
    <xf numFmtId="179" fontId="1" fillId="22" borderId="0" xfId="0" applyNumberFormat="1" applyFont="1" applyFill="1" applyBorder="1" applyAlignment="1">
      <alignment horizontal="left" vertical="center"/>
    </xf>
    <xf numFmtId="180" fontId="1" fillId="22" borderId="0" xfId="0" applyNumberFormat="1" applyFont="1" applyFill="1" applyBorder="1" applyAlignment="1">
      <alignment horizontal="left" vertical="center"/>
    </xf>
    <xf numFmtId="0" fontId="1" fillId="12" borderId="30" xfId="0" applyFont="1" applyFill="1" applyBorder="1" applyAlignment="1">
      <alignment horizontal="left" vertical="top" wrapText="1"/>
    </xf>
    <xf numFmtId="0" fontId="1" fillId="18" borderId="27" xfId="0" applyNumberFormat="1" applyFont="1" applyFill="1" applyBorder="1" applyAlignment="1">
      <alignment horizontal="left" vertical="center"/>
    </xf>
    <xf numFmtId="0" fontId="1" fillId="22" borderId="0" xfId="0" applyNumberFormat="1" applyFont="1" applyFill="1" applyAlignment="1">
      <alignment horizontal="left" vertical="center"/>
    </xf>
    <xf numFmtId="0" fontId="12" fillId="7" borderId="0" xfId="0" applyNumberFormat="1" applyFont="1" applyFill="1" applyAlignment="1">
      <alignment horizontal="left" vertical="top" wrapText="1"/>
    </xf>
    <xf numFmtId="0" fontId="12" fillId="7" borderId="0" xfId="0" applyFont="1" applyFill="1" applyAlignment="1">
      <alignment horizontal="left" vertical="top" wrapText="1"/>
    </xf>
    <xf numFmtId="0" fontId="1" fillId="22" borderId="0" xfId="0" applyFont="1" applyFill="1">
      <alignment vertical="center"/>
    </xf>
    <xf numFmtId="0" fontId="13" fillId="22" borderId="0" xfId="0" applyNumberFormat="1" applyFont="1" applyFill="1">
      <alignment vertical="center"/>
    </xf>
    <xf numFmtId="14" fontId="7" fillId="23" borderId="20" xfId="0" applyNumberFormat="1" applyFont="1" applyFill="1" applyBorder="1">
      <alignment vertical="center"/>
    </xf>
    <xf numFmtId="14" fontId="7" fillId="23" borderId="24" xfId="0" applyNumberFormat="1" applyFont="1" applyFill="1" applyBorder="1">
      <alignment vertical="center"/>
    </xf>
    <xf numFmtId="14" fontId="1" fillId="23" borderId="24" xfId="0" applyNumberFormat="1" applyFont="1" applyFill="1" applyBorder="1">
      <alignment vertical="center"/>
    </xf>
    <xf numFmtId="14" fontId="3" fillId="23" borderId="40" xfId="0" applyNumberFormat="1" applyFont="1" applyFill="1" applyBorder="1" applyAlignment="1">
      <alignment vertical="top" wrapText="1"/>
    </xf>
    <xf numFmtId="0" fontId="7" fillId="23" borderId="19" xfId="0" applyFont="1" applyFill="1" applyBorder="1">
      <alignment vertical="center"/>
    </xf>
    <xf numFmtId="0" fontId="7" fillId="23" borderId="23" xfId="0" applyFont="1" applyFill="1" applyBorder="1">
      <alignment vertical="center"/>
    </xf>
    <xf numFmtId="0" fontId="1" fillId="23" borderId="23" xfId="0" applyFont="1" applyFill="1" applyBorder="1">
      <alignment vertical="center"/>
    </xf>
    <xf numFmtId="0" fontId="3" fillId="23" borderId="43" xfId="0" applyFont="1" applyFill="1" applyBorder="1" applyAlignment="1">
      <alignment vertical="top"/>
    </xf>
    <xf numFmtId="0" fontId="1" fillId="0" borderId="24" xfId="0" applyFont="1" applyFill="1" applyBorder="1">
      <alignment vertical="center"/>
    </xf>
    <xf numFmtId="0" fontId="1" fillId="0" borderId="23" xfId="0" applyFont="1" applyFill="1" applyBorder="1">
      <alignment vertical="center"/>
    </xf>
    <xf numFmtId="14" fontId="7" fillId="23" borderId="19" xfId="0" applyNumberFormat="1" applyFont="1" applyFill="1" applyBorder="1">
      <alignment vertical="center"/>
    </xf>
    <xf numFmtId="14" fontId="7" fillId="23" borderId="23" xfId="0" applyNumberFormat="1" applyFont="1" applyFill="1" applyBorder="1">
      <alignment vertical="center"/>
    </xf>
    <xf numFmtId="14" fontId="1" fillId="23" borderId="23" xfId="0" applyNumberFormat="1" applyFont="1" applyFill="1" applyBorder="1">
      <alignment vertical="center"/>
    </xf>
    <xf numFmtId="14" fontId="3" fillId="23" borderId="43" xfId="0" applyNumberFormat="1" applyFont="1" applyFill="1" applyBorder="1" applyAlignment="1">
      <alignment vertical="top" wrapText="1"/>
    </xf>
  </cellXfs>
  <cellStyles count="1">
    <cellStyle name="標準" xfId="0" builtinId="0"/>
  </cellStyles>
  <dxfs count="40">
    <dxf>
      <fill>
        <patternFill>
          <bgColor indexed="43"/>
        </patternFill>
      </fill>
    </dxf>
    <dxf>
      <fill>
        <patternFill>
          <bgColor indexed="47"/>
        </patternFill>
      </fill>
    </dxf>
    <dxf>
      <fill>
        <patternFill>
          <bgColor indexed="45"/>
        </patternFill>
      </fill>
    </dxf>
    <dxf>
      <font>
        <condense val="0"/>
        <extend val="0"/>
        <color indexed="12"/>
      </font>
      <fill>
        <patternFill>
          <bgColor indexed="15"/>
        </patternFill>
      </fill>
    </dxf>
    <dxf>
      <font>
        <condense val="0"/>
        <extend val="0"/>
        <color indexed="12"/>
      </font>
      <fill>
        <patternFill>
          <bgColor indexed="15"/>
        </patternFill>
      </fill>
    </dxf>
    <dxf>
      <font>
        <condense val="0"/>
        <extend val="0"/>
        <color indexed="12"/>
      </font>
      <fill>
        <patternFill>
          <bgColor indexed="15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ill>
        <patternFill>
          <bgColor indexed="43"/>
        </patternFill>
      </fill>
    </dxf>
    <dxf>
      <fill>
        <patternFill>
          <bgColor indexed="47"/>
        </patternFill>
      </fill>
    </dxf>
    <dxf>
      <fill>
        <patternFill>
          <bgColor indexed="45"/>
        </patternFill>
      </fill>
    </dxf>
    <dxf>
      <fill>
        <patternFill>
          <bgColor indexed="43"/>
        </patternFill>
      </fill>
    </dxf>
    <dxf>
      <fill>
        <patternFill>
          <bgColor indexed="47"/>
        </patternFill>
      </fill>
    </dxf>
    <dxf>
      <fill>
        <patternFill>
          <bgColor indexed="45"/>
        </patternFill>
      </fill>
    </dxf>
    <dxf>
      <fill>
        <patternFill>
          <bgColor indexed="43"/>
        </patternFill>
      </fill>
    </dxf>
    <dxf>
      <fill>
        <patternFill>
          <bgColor indexed="47"/>
        </patternFill>
      </fill>
    </dxf>
    <dxf>
      <fill>
        <patternFill>
          <bgColor indexed="45"/>
        </patternFill>
      </fill>
    </dxf>
    <dxf>
      <fill>
        <patternFill>
          <bgColor indexed="43"/>
        </patternFill>
      </fill>
    </dxf>
    <dxf>
      <fill>
        <patternFill>
          <bgColor indexed="47"/>
        </patternFill>
      </fill>
    </dxf>
    <dxf>
      <fill>
        <patternFill>
          <bgColor indexed="45"/>
        </patternFill>
      </fill>
    </dxf>
    <dxf>
      <fill>
        <patternFill>
          <bgColor indexed="43"/>
        </patternFill>
      </fill>
    </dxf>
    <dxf>
      <fill>
        <patternFill>
          <bgColor indexed="47"/>
        </patternFill>
      </fill>
    </dxf>
    <dxf>
      <fill>
        <patternFill>
          <bgColor indexed="45"/>
        </patternFill>
      </fill>
    </dxf>
    <dxf>
      <fill>
        <patternFill>
          <bgColor indexed="43"/>
        </patternFill>
      </fill>
    </dxf>
    <dxf>
      <fill>
        <patternFill>
          <bgColor indexed="47"/>
        </patternFill>
      </fill>
    </dxf>
    <dxf>
      <fill>
        <patternFill>
          <bgColor indexed="45"/>
        </patternFill>
      </fill>
    </dxf>
    <dxf>
      <font>
        <condense val="0"/>
        <extend val="0"/>
        <color indexed="23"/>
      </font>
    </dxf>
    <dxf>
      <font>
        <condense val="0"/>
        <extend val="0"/>
        <color indexed="23"/>
      </font>
    </dxf>
    <dxf>
      <font>
        <condense val="0"/>
        <extend val="0"/>
        <color indexed="23"/>
      </font>
    </dxf>
    <dxf>
      <font>
        <condense val="0"/>
        <extend val="0"/>
        <color indexed="23"/>
      </font>
    </dxf>
    <dxf>
      <font>
        <condense val="0"/>
        <extend val="0"/>
        <color indexed="12"/>
      </font>
      <fill>
        <patternFill>
          <bgColor rgb="FFCCFFFF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2"/>
      </font>
      <fill>
        <patternFill>
          <bgColor rgb="FF00FFFF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2"/>
      </font>
      <fill>
        <patternFill>
          <bgColor rgb="FF00FFFF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ndense val="0"/>
        <extend val="0"/>
        <color indexed="10"/>
      </font>
      <fill>
        <patternFill>
          <bgColor indexed="22"/>
        </patternFill>
      </fill>
    </dxf>
    <dxf>
      <font>
        <color theme="0" tint="-0.499984740745262"/>
      </font>
    </dxf>
    <dxf>
      <font>
        <color theme="0" tint="-0.499984740745262"/>
      </font>
    </dxf>
  </dxfs>
  <tableStyles count="0" defaultTableStyle="TableStyleMedium2" defaultPivotStyle="PivotStyleLight16"/>
  <colors>
    <mruColors>
      <color rgb="FFFF00FF"/>
      <color rgb="FF0000FF"/>
      <color rgb="FFCCFFCC"/>
      <color rgb="FF99FFCC"/>
      <color rgb="FFCC99FF"/>
      <color rgb="FF00FF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83866</xdr:colOff>
      <xdr:row>0</xdr:row>
      <xdr:rowOff>102600</xdr:rowOff>
    </xdr:from>
    <xdr:ext cx="2887238" cy="371490"/>
    <xdr:sp macro="" textlink="">
      <xdr:nvSpPr>
        <xdr:cNvPr id="5" name="AutoShape 138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4753439" y="102600"/>
          <a:ext cx="2887238" cy="371490"/>
        </a:xfrm>
        <a:prstGeom prst="bevel">
          <a:avLst>
            <a:gd name="adj" fmla="val 12500"/>
          </a:avLst>
        </a:prstGeom>
        <a:gradFill flip="none" rotWithShape="1">
          <a:gsLst>
            <a:gs pos="77000">
              <a:schemeClr val="tx1"/>
            </a:gs>
            <a:gs pos="2439">
              <a:schemeClr val="tx1">
                <a:lumMod val="50000"/>
                <a:lumOff val="50000"/>
              </a:schemeClr>
            </a:gs>
            <a:gs pos="100000">
              <a:srgbClr val="00FFFF"/>
            </a:gs>
          </a:gsLst>
          <a:lin ang="2700000" scaled="1"/>
          <a:tileRect/>
        </a:gradFill>
        <a:ln w="12700">
          <a:solidFill>
            <a:srgbClr val="00FFFF"/>
          </a:solidFill>
          <a:miter lim="800000"/>
          <a:headEnd/>
          <a:tailEnd/>
        </a:ln>
        <a:effectLst>
          <a:softEdge rad="0"/>
        </a:effectLst>
        <a:scene3d>
          <a:camera prst="orthographicFront"/>
          <a:lightRig rig="threePt" dir="t">
            <a:rot lat="0" lon="0" rev="0"/>
          </a:lightRig>
        </a:scene3d>
      </xdr:spPr>
      <xdr:txBody>
        <a:bodyPr vertOverflow="clip" wrap="square" lIns="54864" tIns="22860" rIns="54864" bIns="22860" anchor="ctr" upright="1">
          <a:spAutoFit/>
        </a:bodyPr>
        <a:lstStyle/>
        <a:p>
          <a:pPr algn="ctr" rtl="0">
            <a:defRPr sz="1000"/>
          </a:pPr>
          <a:r>
            <a:rPr lang="ja-JP" altLang="en-US" sz="1400" b="0" i="0" u="none" strike="noStrike" baseline="0">
              <a:ln>
                <a:noFill/>
              </a:ln>
              <a:solidFill>
                <a:srgbClr val="00FFFF"/>
              </a:solidFill>
              <a:effectLst>
                <a:glow rad="190500">
                  <a:srgbClr val="00FFFF">
                    <a:alpha val="40000"/>
                  </a:srgbClr>
                </a:glow>
              </a:effectLst>
              <a:latin typeface="HG丸ｺﾞｼｯｸM-PRO"/>
              <a:ea typeface="HG丸ｺﾞｼｯｸM-PRO"/>
            </a:rPr>
            <a:t>機器一覧（</a:t>
          </a:r>
          <a:r>
            <a:rPr lang="en-US" altLang="ja-JP" sz="1400" b="0" i="0" u="none" strike="noStrike" baseline="0">
              <a:ln>
                <a:noFill/>
              </a:ln>
              <a:solidFill>
                <a:srgbClr val="00FFFF"/>
              </a:solidFill>
              <a:effectLst>
                <a:glow rad="190500">
                  <a:srgbClr val="00FFFF">
                    <a:alpha val="40000"/>
                  </a:srgbClr>
                </a:glow>
              </a:effectLst>
              <a:latin typeface="HG丸ｺﾞｼｯｸM-PRO"/>
              <a:ea typeface="HG丸ｺﾞｼｯｸM-PRO"/>
            </a:rPr>
            <a:t>20</a:t>
          </a:r>
          <a:r>
            <a:rPr lang="ja-JP" altLang="en-US" sz="1400" b="0" i="0" u="none" strike="noStrike" baseline="0">
              <a:ln>
                <a:noFill/>
              </a:ln>
              <a:solidFill>
                <a:srgbClr val="00FFFF"/>
              </a:solidFill>
              <a:effectLst>
                <a:glow rad="190500">
                  <a:srgbClr val="00FFFF">
                    <a:alpha val="40000"/>
                  </a:srgbClr>
                </a:glow>
              </a:effectLst>
              <a:latin typeface="HG丸ｺﾞｼｯｸM-PRO"/>
              <a:ea typeface="HG丸ｺﾞｼｯｸM-PRO"/>
            </a:rPr>
            <a:t>ＸＸ年ＸＸ月版）</a:t>
          </a:r>
        </a:p>
      </xdr:txBody>
    </xdr:sp>
    <xdr:clientData/>
  </xdr:oneCellAnchor>
  <xdr:twoCellAnchor>
    <xdr:from>
      <xdr:col>1</xdr:col>
      <xdr:colOff>92926</xdr:colOff>
      <xdr:row>7</xdr:row>
      <xdr:rowOff>69695</xdr:rowOff>
    </xdr:from>
    <xdr:to>
      <xdr:col>2</xdr:col>
      <xdr:colOff>46461</xdr:colOff>
      <xdr:row>9</xdr:row>
      <xdr:rowOff>58079</xdr:rowOff>
    </xdr:to>
    <xdr:sp macro="" textlink="">
      <xdr:nvSpPr>
        <xdr:cNvPr id="6" name="矢印: 下 5">
          <a:extLst>
            <a:ext uri="{FF2B5EF4-FFF2-40B4-BE49-F238E27FC236}">
              <a16:creationId xmlns:a16="http://schemas.microsoft.com/office/drawing/2014/main" id="{866B94CC-95D0-45DB-AF1D-ED2CD71ACDCD}"/>
            </a:ext>
          </a:extLst>
        </xdr:cNvPr>
        <xdr:cNvSpPr/>
      </xdr:nvSpPr>
      <xdr:spPr>
        <a:xfrm>
          <a:off x="778261" y="1045427"/>
          <a:ext cx="278779" cy="267164"/>
        </a:xfrm>
        <a:prstGeom prst="downArrow">
          <a:avLst/>
        </a:prstGeom>
        <a:solidFill>
          <a:srgbClr val="0000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116159</xdr:colOff>
      <xdr:row>7</xdr:row>
      <xdr:rowOff>116159</xdr:rowOff>
    </xdr:from>
    <xdr:to>
      <xdr:col>0</xdr:col>
      <xdr:colOff>371707</xdr:colOff>
      <xdr:row>12</xdr:row>
      <xdr:rowOff>23232</xdr:rowOff>
    </xdr:to>
    <xdr:sp macro="" textlink="">
      <xdr:nvSpPr>
        <xdr:cNvPr id="7" name="矢印: 下 6">
          <a:extLst>
            <a:ext uri="{FF2B5EF4-FFF2-40B4-BE49-F238E27FC236}">
              <a16:creationId xmlns:a16="http://schemas.microsoft.com/office/drawing/2014/main" id="{E7A41A5D-B53E-4409-A3B7-D1712317B919}"/>
            </a:ext>
          </a:extLst>
        </xdr:cNvPr>
        <xdr:cNvSpPr/>
      </xdr:nvSpPr>
      <xdr:spPr>
        <a:xfrm>
          <a:off x="116159" y="1173202"/>
          <a:ext cx="255548" cy="441402"/>
        </a:xfrm>
        <a:prstGeom prst="downArrow">
          <a:avLst/>
        </a:prstGeom>
        <a:solidFill>
          <a:srgbClr val="0000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</xdr:col>
      <xdr:colOff>139390</xdr:colOff>
      <xdr:row>0</xdr:row>
      <xdr:rowOff>104543</xdr:rowOff>
    </xdr:from>
    <xdr:ext cx="1030327" cy="1059201"/>
    <xdr:sp macro="" textlink="">
      <xdr:nvSpPr>
        <xdr:cNvPr id="8" name="Text Box 140">
          <a:extLst>
            <a:ext uri="{FF2B5EF4-FFF2-40B4-BE49-F238E27FC236}">
              <a16:creationId xmlns:a16="http://schemas.microsoft.com/office/drawing/2014/main" id="{78D01528-786D-4B99-B379-365C575D0C4F}"/>
            </a:ext>
          </a:extLst>
        </xdr:cNvPr>
        <xdr:cNvSpPr txBox="1">
          <a:spLocks noChangeArrowheads="1"/>
        </xdr:cNvSpPr>
      </xdr:nvSpPr>
      <xdr:spPr bwMode="auto">
        <a:xfrm>
          <a:off x="824725" y="104543"/>
          <a:ext cx="1030327" cy="1059201"/>
        </a:xfrm>
        <a:prstGeom prst="rect">
          <a:avLst/>
        </a:prstGeom>
        <a:solidFill>
          <a:schemeClr val="bg1">
            <a:lumMod val="95000"/>
          </a:schemeClr>
        </a:solidFill>
        <a:ln w="158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  <xdr:txBody>
        <a:bodyPr wrap="square" lIns="18288" tIns="18288" rIns="0" bIns="0" anchor="t" upright="1">
          <a:spAutoFit/>
        </a:bodyPr>
        <a:lstStyle/>
        <a:p>
          <a:pPr algn="l" rtl="0">
            <a:lnSpc>
              <a:spcPts val="1100"/>
            </a:lnSpc>
            <a:defRPr sz="1000"/>
          </a:pPr>
          <a:r>
            <a:rPr lang="ja-JP" altLang="en-US" sz="1000" b="1" i="0" u="none" strike="noStrike" baseline="0">
              <a:solidFill>
                <a:srgbClr val="0000FF"/>
              </a:solidFill>
              <a:latin typeface="+mj-ea"/>
              <a:ea typeface="+mj-ea"/>
            </a:rPr>
            <a:t>■　　代表装置</a:t>
          </a:r>
          <a:endParaRPr lang="en-US" altLang="ja-JP" sz="1000" b="1" i="0" u="none" strike="noStrike" baseline="0">
            <a:solidFill>
              <a:srgbClr val="0000FF"/>
            </a:solidFill>
            <a:latin typeface="+mj-ea"/>
            <a:ea typeface="+mj-ea"/>
          </a:endParaRPr>
        </a:p>
        <a:p>
          <a:pPr algn="l" rtl="0">
            <a:lnSpc>
              <a:spcPts val="1100"/>
            </a:lnSpc>
            <a:defRPr sz="1000"/>
          </a:pPr>
          <a:r>
            <a:rPr lang="ja-JP" altLang="en-US" sz="1000" b="1" i="0" u="none" strike="noStrike" baseline="0">
              <a:solidFill>
                <a:srgbClr val="0000FF"/>
              </a:solidFill>
              <a:latin typeface="+mj-ea"/>
              <a:ea typeface="+mj-ea"/>
            </a:rPr>
            <a:t>■D　ﾃﾞｨｽﾌﾟﾚｲ </a:t>
          </a:r>
          <a:r>
            <a:rPr lang="en-US" altLang="ja-JP" sz="1000" b="1" i="0" u="none" strike="noStrike" baseline="0">
              <a:solidFill>
                <a:srgbClr val="0000FF"/>
              </a:solidFill>
              <a:latin typeface="+mj-ea"/>
              <a:ea typeface="+mj-ea"/>
            </a:rPr>
            <a:t>	</a:t>
          </a:r>
          <a:endParaRPr lang="ja-JP" altLang="en-US" sz="1000" b="1" i="0" u="none" strike="noStrike" baseline="0">
            <a:solidFill>
              <a:srgbClr val="0000FF"/>
            </a:solidFill>
            <a:latin typeface="+mj-ea"/>
            <a:ea typeface="+mj-ea"/>
          </a:endParaRPr>
        </a:p>
        <a:p>
          <a:pPr algn="l" rtl="0">
            <a:defRPr sz="1000"/>
          </a:pPr>
          <a:r>
            <a:rPr lang="ja-JP" altLang="en-US" sz="1000" b="1" i="0" u="none" strike="noStrike" baseline="0">
              <a:solidFill>
                <a:srgbClr val="0000FF"/>
              </a:solidFill>
              <a:latin typeface="+mj-ea"/>
              <a:ea typeface="+mj-ea"/>
            </a:rPr>
            <a:t>■P　ﾌﾟﾘﾝﾀｰ </a:t>
          </a:r>
        </a:p>
        <a:p>
          <a:pPr algn="l" rtl="0">
            <a:defRPr sz="1000"/>
          </a:pPr>
          <a:r>
            <a:rPr lang="ja-JP" altLang="en-US" sz="1000" b="1" i="0" u="none" strike="noStrike" baseline="0">
              <a:solidFill>
                <a:srgbClr val="0000FF"/>
              </a:solidFill>
              <a:latin typeface="+mj-ea"/>
              <a:ea typeface="+mj-ea"/>
            </a:rPr>
            <a:t>□　　ｺﾝﾄﾛｰﾗ </a:t>
          </a:r>
        </a:p>
        <a:p>
          <a:pPr algn="l" rtl="0">
            <a:lnSpc>
              <a:spcPts val="1100"/>
            </a:lnSpc>
            <a:defRPr sz="1000"/>
          </a:pPr>
          <a:r>
            <a:rPr lang="ja-JP" altLang="en-US" sz="1000" b="1" i="0" u="none" strike="noStrike" baseline="0">
              <a:solidFill>
                <a:srgbClr val="0000FF"/>
              </a:solidFill>
              <a:latin typeface="+mj-ea"/>
              <a:ea typeface="+mj-ea"/>
            </a:rPr>
            <a:t>○　　UPS </a:t>
          </a:r>
          <a:endParaRPr lang="en-US" altLang="ja-JP" sz="1000" b="1" i="0" u="none" strike="noStrike" baseline="0">
            <a:solidFill>
              <a:srgbClr val="0000FF"/>
            </a:solidFill>
            <a:latin typeface="+mj-ea"/>
            <a:ea typeface="+mj-ea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1000" b="1" i="0" u="none" strike="noStrike" baseline="0">
              <a:solidFill>
                <a:srgbClr val="0000FF"/>
              </a:solidFill>
              <a:latin typeface="+mj-ea"/>
              <a:ea typeface="+mj-ea"/>
            </a:rPr>
            <a:t>※</a:t>
          </a:r>
          <a:r>
            <a:rPr lang="ja-JP" altLang="ja-JP" sz="1000" b="1" i="0" baseline="0">
              <a:solidFill>
                <a:srgbClr val="0000FF"/>
              </a:solidFill>
              <a:effectLst/>
              <a:latin typeface="+mj-ea"/>
              <a:ea typeface="+mj-ea"/>
              <a:cs typeface="+mn-cs"/>
            </a:rPr>
            <a:t>　　</a:t>
          </a:r>
          <a:r>
            <a:rPr lang="ja-JP" altLang="en-US" sz="1000" b="1" i="0" baseline="0">
              <a:solidFill>
                <a:srgbClr val="0000FF"/>
              </a:solidFill>
              <a:effectLst/>
              <a:latin typeface="+mj-ea"/>
              <a:ea typeface="+mj-ea"/>
              <a:cs typeface="+mn-cs"/>
            </a:rPr>
            <a:t>パック契約</a:t>
          </a:r>
          <a:endParaRPr lang="en-US" altLang="ja-JP" sz="1000" b="1" i="0" baseline="0">
            <a:solidFill>
              <a:srgbClr val="0000FF"/>
            </a:solidFill>
            <a:effectLst/>
            <a:latin typeface="+mj-ea"/>
            <a:ea typeface="+mj-ea"/>
            <a:cs typeface="+mn-cs"/>
          </a:endParaRPr>
        </a:p>
        <a:p>
          <a:pPr algn="l" rtl="0">
            <a:lnSpc>
              <a:spcPts val="1100"/>
            </a:lnSpc>
            <a:defRPr sz="1000"/>
          </a:pPr>
          <a:r>
            <a:rPr lang="ja-JP" altLang="en-US" sz="1000" b="1" i="0" u="none" strike="noStrike" baseline="0">
              <a:solidFill>
                <a:srgbClr val="0000FF"/>
              </a:solidFill>
              <a:latin typeface="+mj-ea"/>
              <a:ea typeface="+mj-ea"/>
            </a:rPr>
            <a:t> ・　　その他</a:t>
          </a:r>
        </a:p>
      </xdr:txBody>
    </xdr:sp>
    <xdr:clientData/>
  </xdr:oneCellAnchor>
  <xdr:oneCellAnchor>
    <xdr:from>
      <xdr:col>0</xdr:col>
      <xdr:colOff>58080</xdr:colOff>
      <xdr:row>0</xdr:row>
      <xdr:rowOff>58079</xdr:rowOff>
    </xdr:from>
    <xdr:ext cx="696951" cy="1219665"/>
    <xdr:sp macro="" textlink="">
      <xdr:nvSpPr>
        <xdr:cNvPr id="2" name="Text Box 139">
          <a:extLst>
            <a:ext uri="{FF2B5EF4-FFF2-40B4-BE49-F238E27FC236}">
              <a16:creationId xmlns:a16="http://schemas.microsoft.com/office/drawing/2014/main" id="{EDD107C5-E31C-4422-B484-DD7873F61EDC}"/>
            </a:ext>
          </a:extLst>
        </xdr:cNvPr>
        <xdr:cNvSpPr txBox="1">
          <a:spLocks noChangeArrowheads="1"/>
        </xdr:cNvSpPr>
      </xdr:nvSpPr>
      <xdr:spPr bwMode="auto">
        <a:xfrm>
          <a:off x="58080" y="58079"/>
          <a:ext cx="696951" cy="1219665"/>
        </a:xfrm>
        <a:prstGeom prst="rect">
          <a:avLst/>
        </a:prstGeom>
        <a:solidFill>
          <a:schemeClr val="bg1">
            <a:lumMod val="95000"/>
          </a:schemeClr>
        </a:solidFill>
        <a:ln w="158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  <xdr:txBody>
        <a:bodyPr wrap="square" lIns="18288" tIns="18288" rIns="0" bIns="0" anchor="t" upright="1">
          <a:noAutofit/>
        </a:bodyPr>
        <a:lstStyle/>
        <a:p>
          <a:pPr algn="l" rtl="0">
            <a:lnSpc>
              <a:spcPts val="1100"/>
            </a:lnSpc>
            <a:defRPr sz="1000"/>
          </a:pPr>
          <a:r>
            <a:rPr lang="ja-JP" altLang="en-US" sz="900" b="0" i="0" u="none" strike="noStrike" baseline="0">
              <a:solidFill>
                <a:srgbClr val="0000FF"/>
              </a:solidFill>
              <a:latin typeface="+mj-ea"/>
              <a:ea typeface="+mj-ea"/>
            </a:rPr>
            <a:t>1xx　東北</a:t>
          </a:r>
          <a:endParaRPr lang="en-US" altLang="ja-JP" sz="900" b="0" i="0" u="none" strike="noStrike" baseline="0">
            <a:solidFill>
              <a:srgbClr val="0000FF"/>
            </a:solidFill>
            <a:latin typeface="+mj-ea"/>
            <a:ea typeface="+mj-ea"/>
          </a:endParaRPr>
        </a:p>
        <a:p>
          <a:pPr algn="l" rtl="0">
            <a:lnSpc>
              <a:spcPts val="1100"/>
            </a:lnSpc>
            <a:defRPr sz="1000"/>
          </a:pPr>
          <a:r>
            <a:rPr lang="ja-JP" altLang="en-US" sz="900" b="0" i="0" u="none" strike="noStrike" baseline="0">
              <a:solidFill>
                <a:srgbClr val="0000FF"/>
              </a:solidFill>
              <a:latin typeface="+mj-ea"/>
              <a:ea typeface="+mj-ea"/>
            </a:rPr>
            <a:t>2xx　東部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FF"/>
              </a:solidFill>
              <a:latin typeface="+mj-ea"/>
              <a:ea typeface="+mj-ea"/>
            </a:rPr>
            <a:t>3xx　首都圏4xx　西関東</a:t>
          </a:r>
          <a:endParaRPr lang="en-US" altLang="ja-JP" sz="900" b="0" i="0" u="none" strike="noStrike" baseline="0">
            <a:solidFill>
              <a:srgbClr val="0000FF"/>
            </a:solidFill>
            <a:latin typeface="+mj-ea"/>
            <a:ea typeface="+mj-ea"/>
          </a:endParaRP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FF"/>
              </a:solidFill>
              <a:latin typeface="+mj-ea"/>
              <a:ea typeface="+mj-ea"/>
            </a:rPr>
            <a:t>5</a:t>
          </a:r>
          <a:r>
            <a:rPr lang="ja-JP" altLang="en-US" sz="900" b="0" i="0" u="none" strike="noStrike" baseline="0">
              <a:solidFill>
                <a:srgbClr val="0000FF"/>
              </a:solidFill>
              <a:latin typeface="+mj-ea"/>
              <a:ea typeface="+mj-ea"/>
            </a:rPr>
            <a:t>ｘｘ　中部</a:t>
          </a:r>
          <a:endParaRPr lang="en-US" altLang="ja-JP" sz="900" b="0" i="0" u="none" strike="noStrike" baseline="0">
            <a:solidFill>
              <a:srgbClr val="0000FF"/>
            </a:solidFill>
            <a:latin typeface="+mj-ea"/>
            <a:ea typeface="+mj-ea"/>
          </a:endParaRP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FF"/>
              </a:solidFill>
              <a:latin typeface="+mj-ea"/>
              <a:ea typeface="+mj-ea"/>
            </a:rPr>
            <a:t>6</a:t>
          </a:r>
          <a:r>
            <a:rPr lang="ja-JP" altLang="en-US" sz="900" b="0" i="0" u="none" strike="noStrike" baseline="0">
              <a:solidFill>
                <a:srgbClr val="0000FF"/>
              </a:solidFill>
              <a:latin typeface="+mj-ea"/>
              <a:ea typeface="+mj-ea"/>
            </a:rPr>
            <a:t>ｘｘ　大阪</a:t>
          </a:r>
          <a:endParaRPr lang="en-US" altLang="ja-JP" sz="900" b="0" i="0" u="none" strike="noStrike" baseline="0">
            <a:solidFill>
              <a:srgbClr val="0000FF"/>
            </a:solidFill>
            <a:latin typeface="+mj-ea"/>
            <a:ea typeface="+mj-ea"/>
          </a:endParaRP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FF"/>
              </a:solidFill>
              <a:latin typeface="+mj-ea"/>
              <a:ea typeface="+mj-ea"/>
            </a:rPr>
            <a:t>7xx</a:t>
          </a:r>
          <a:r>
            <a:rPr lang="ja-JP" altLang="en-US" sz="900" b="0" i="0" u="none" strike="noStrike" baseline="0">
              <a:solidFill>
                <a:srgbClr val="0000FF"/>
              </a:solidFill>
              <a:latin typeface="+mj-ea"/>
              <a:ea typeface="+mj-ea"/>
            </a:rPr>
            <a:t>　関西</a:t>
          </a:r>
          <a:endParaRPr lang="en-US" altLang="ja-JP" sz="900" b="0" i="0" u="none" strike="noStrike" baseline="0">
            <a:solidFill>
              <a:srgbClr val="0000FF"/>
            </a:solidFill>
            <a:latin typeface="+mj-ea"/>
            <a:ea typeface="+mj-ea"/>
          </a:endParaRPr>
        </a:p>
        <a:p>
          <a:pPr algn="l" rtl="0">
            <a:defRPr sz="1000"/>
          </a:pPr>
          <a:r>
            <a:rPr lang="en-US" altLang="ja-JP" sz="900" b="0" i="0" baseline="0">
              <a:solidFill>
                <a:srgbClr val="0000FF"/>
              </a:solidFill>
              <a:effectLst/>
              <a:latin typeface="+mj-ea"/>
              <a:ea typeface="+mj-ea"/>
              <a:cs typeface="+mn-cs"/>
            </a:rPr>
            <a:t>8xx</a:t>
          </a:r>
          <a:r>
            <a:rPr lang="ja-JP" altLang="en-US" sz="900" b="0" i="0" baseline="0">
              <a:solidFill>
                <a:srgbClr val="0000FF"/>
              </a:solidFill>
              <a:effectLst/>
              <a:latin typeface="+mj-ea"/>
              <a:ea typeface="+mj-ea"/>
              <a:cs typeface="+mn-cs"/>
            </a:rPr>
            <a:t>　西部</a:t>
          </a:r>
          <a:endParaRPr lang="en-US" altLang="ja-JP" sz="900" b="0" i="0" baseline="0">
            <a:solidFill>
              <a:srgbClr val="0000FF"/>
            </a:solidFill>
            <a:effectLst/>
            <a:latin typeface="+mj-ea"/>
            <a:ea typeface="+mj-ea"/>
            <a:cs typeface="+mn-cs"/>
          </a:endParaRPr>
        </a:p>
        <a:p>
          <a:pPr algn="l" rtl="0">
            <a:defRPr sz="1000"/>
          </a:pPr>
          <a:endParaRPr lang="ja-JP" altLang="en-US" sz="900" b="0" i="0" u="none" strike="noStrike" baseline="0">
            <a:solidFill>
              <a:srgbClr val="0000FF"/>
            </a:solidFill>
            <a:latin typeface="+mj-ea"/>
            <a:ea typeface="+mj-ea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T32"/>
  <sheetViews>
    <sheetView tabSelected="1" topLeftCell="A3" zoomScale="82" zoomScaleNormal="82" workbookViewId="0">
      <selection activeCell="A3" sqref="A3"/>
    </sheetView>
  </sheetViews>
  <sheetFormatPr defaultColWidth="9" defaultRowHeight="11.25" x14ac:dyDescent="0.15"/>
  <cols>
    <col min="1" max="1" width="9" style="163"/>
    <col min="2" max="2" width="4.25" style="164" customWidth="1"/>
    <col min="3" max="3" width="5.375" style="3" customWidth="1"/>
    <col min="4" max="4" width="9" style="165"/>
    <col min="5" max="5" width="5.5" style="166" customWidth="1"/>
    <col min="6" max="6" width="16.25" style="167" customWidth="1"/>
    <col min="7" max="8" width="5.875" style="167" customWidth="1"/>
    <col min="9" max="9" width="4.25" style="167" customWidth="1"/>
    <col min="10" max="10" width="8.5" style="168" customWidth="1"/>
    <col min="11" max="11" width="4.75" style="169" customWidth="1"/>
    <col min="12" max="12" width="3.875" style="170" customWidth="1"/>
    <col min="13" max="13" width="12.375" style="171" bestFit="1" customWidth="1"/>
    <col min="14" max="17" width="5.375" style="167" customWidth="1"/>
    <col min="18" max="18" width="5.125" style="169" customWidth="1"/>
    <col min="19" max="19" width="7.375" style="167" customWidth="1"/>
    <col min="20" max="20" width="12.125" style="167" customWidth="1"/>
    <col min="21" max="22" width="12.125" style="238" customWidth="1"/>
    <col min="23" max="23" width="3.125" style="168" customWidth="1"/>
    <col min="24" max="24" width="12.25" style="169" customWidth="1"/>
    <col min="25" max="25" width="9.375" style="168" customWidth="1"/>
    <col min="26" max="26" width="13.125" style="172" customWidth="1"/>
    <col min="27" max="27" width="10.625" style="173" customWidth="1"/>
    <col min="28" max="28" width="10.375" style="173" customWidth="1"/>
    <col min="29" max="29" width="6.25" style="174" customWidth="1"/>
    <col min="30" max="30" width="11" style="175" customWidth="1"/>
    <col min="31" max="31" width="11" style="176" customWidth="1"/>
    <col min="32" max="32" width="11" style="173" customWidth="1"/>
    <col min="33" max="33" width="9" style="169"/>
    <col min="34" max="34" width="9" style="167"/>
    <col min="35" max="35" width="9" style="177"/>
    <col min="36" max="36" width="10.5" style="177" bestFit="1" customWidth="1"/>
    <col min="37" max="38" width="9" style="177"/>
    <col min="39" max="40" width="9" style="167"/>
    <col min="41" max="41" width="9" style="168"/>
    <col min="42" max="42" width="9" style="178"/>
    <col min="43" max="44" width="9" style="177"/>
    <col min="45" max="45" width="10.5" style="177" bestFit="1" customWidth="1"/>
    <col min="46" max="47" width="9" style="167"/>
    <col min="48" max="48" width="9.25" style="179" bestFit="1" customWidth="1"/>
    <col min="49" max="49" width="9.25" style="180" customWidth="1"/>
    <col min="50" max="51" width="9.25" style="242" customWidth="1"/>
    <col min="52" max="54" width="9.25" style="180" customWidth="1"/>
    <col min="55" max="55" width="9" style="181"/>
    <col min="56" max="56" width="9" style="241"/>
    <col min="57" max="59" width="3.875" style="182" customWidth="1"/>
    <col min="60" max="62" width="9" style="182"/>
    <col min="63" max="63" width="9" style="184"/>
    <col min="64" max="64" width="8.25" style="181" customWidth="1"/>
    <col min="65" max="66" width="8.25" style="182" customWidth="1"/>
    <col min="67" max="67" width="4.5" style="185" customWidth="1"/>
    <col min="68" max="78" width="3.75" style="186" customWidth="1"/>
    <col min="79" max="79" width="3.75" style="187" customWidth="1"/>
    <col min="80" max="80" width="9" style="182"/>
    <col min="81" max="81" width="9" style="183"/>
    <col min="82" max="83" width="9" style="182"/>
    <col min="84" max="84" width="9" style="183"/>
    <col min="85" max="85" width="10.25" style="183" customWidth="1"/>
    <col min="86" max="86" width="9" style="183"/>
    <col min="87" max="87" width="9" style="182"/>
    <col min="88" max="90" width="9" style="188"/>
    <col min="91" max="93" width="9" style="182"/>
    <col min="94" max="94" width="9" style="183"/>
    <col min="95" max="99" width="9" style="182"/>
    <col min="100" max="100" width="9" style="188"/>
    <col min="101" max="101" width="3.875" style="189" customWidth="1"/>
    <col min="102" max="112" width="3.875" style="186" customWidth="1"/>
    <col min="113" max="113" width="11.75" style="220" customWidth="1"/>
    <col min="114" max="116" width="11.75" style="226" customWidth="1"/>
    <col min="117" max="117" width="9" style="3"/>
    <col min="118" max="121" width="4.75" style="3" customWidth="1"/>
    <col min="122" max="122" width="9" style="285"/>
    <col min="123" max="124" width="9" style="286"/>
    <col min="125" max="16384" width="9" style="3"/>
  </cols>
  <sheetData>
    <row r="1" spans="1:124" ht="12.75" customHeight="1" x14ac:dyDescent="0.15">
      <c r="A1" s="1"/>
      <c r="B1" s="2"/>
      <c r="D1" s="4"/>
      <c r="E1" s="5"/>
      <c r="F1" s="3"/>
      <c r="G1" s="8"/>
      <c r="H1" s="8"/>
      <c r="I1" s="3"/>
      <c r="J1" s="3"/>
      <c r="K1" s="3"/>
      <c r="L1" s="6"/>
      <c r="M1" s="7"/>
      <c r="N1" s="3"/>
      <c r="O1" s="8"/>
      <c r="P1" s="3"/>
      <c r="Q1" s="3"/>
      <c r="R1" s="3"/>
      <c r="S1" s="3"/>
      <c r="T1" s="3"/>
      <c r="U1" s="1"/>
      <c r="V1" s="1"/>
      <c r="W1" s="8"/>
      <c r="X1" s="265"/>
      <c r="Y1" s="266"/>
      <c r="Z1" s="9"/>
      <c r="AA1" s="9"/>
      <c r="AB1" s="9"/>
      <c r="AC1" s="10"/>
      <c r="AD1" s="9"/>
      <c r="AE1" s="9"/>
      <c r="AF1" s="9"/>
      <c r="AG1" s="3"/>
      <c r="AH1" s="3"/>
      <c r="AI1" s="9"/>
      <c r="AJ1" s="9"/>
      <c r="AK1" s="9"/>
      <c r="AL1" s="9"/>
      <c r="AM1" s="3"/>
      <c r="AN1" s="3"/>
      <c r="AO1" s="3"/>
      <c r="AP1" s="11"/>
      <c r="AQ1" s="9"/>
      <c r="AR1" s="9"/>
      <c r="AS1" s="9"/>
      <c r="AT1" s="3"/>
      <c r="AU1" s="3"/>
      <c r="AV1" s="9"/>
      <c r="AW1" s="12"/>
      <c r="AX1" s="12"/>
      <c r="AY1" s="12"/>
      <c r="AZ1" s="12"/>
      <c r="BA1" s="12"/>
      <c r="BB1" s="12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9"/>
      <c r="CD1" s="3"/>
      <c r="CE1" s="3"/>
      <c r="CF1" s="9"/>
      <c r="CG1" s="9"/>
      <c r="CH1" s="9"/>
      <c r="CI1" s="3"/>
      <c r="CJ1" s="3"/>
      <c r="CK1" s="3"/>
      <c r="CL1" s="3"/>
      <c r="CM1" s="3"/>
      <c r="CN1" s="3"/>
      <c r="CO1" s="3"/>
      <c r="CP1" s="9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48"/>
      <c r="DJ1" s="48"/>
      <c r="DK1" s="48"/>
      <c r="DL1" s="48"/>
      <c r="DR1" s="3"/>
      <c r="DS1" s="3"/>
      <c r="DT1" s="3"/>
    </row>
    <row r="2" spans="1:124" ht="12.75" customHeight="1" x14ac:dyDescent="0.15">
      <c r="A2" s="1"/>
      <c r="B2" s="2"/>
      <c r="D2" s="4"/>
      <c r="E2" s="5"/>
      <c r="F2" s="3"/>
      <c r="G2" s="8"/>
      <c r="H2" s="8"/>
      <c r="I2" s="3"/>
      <c r="J2" s="3"/>
      <c r="K2" s="3"/>
      <c r="L2" s="6"/>
      <c r="M2" s="7"/>
      <c r="N2" s="3"/>
      <c r="O2" s="8"/>
      <c r="P2" s="3"/>
      <c r="Q2" s="3"/>
      <c r="R2" s="3"/>
      <c r="S2" s="3"/>
      <c r="T2" s="3"/>
      <c r="U2" s="1"/>
      <c r="V2" s="239" t="s">
        <v>0</v>
      </c>
      <c r="W2" s="211"/>
      <c r="X2" s="265"/>
      <c r="Y2" s="266"/>
      <c r="Z2" s="9"/>
      <c r="AA2" s="9"/>
      <c r="AB2" s="9"/>
      <c r="AC2" s="10"/>
      <c r="AD2" s="9"/>
      <c r="AE2" s="9"/>
      <c r="AF2" s="9"/>
      <c r="AG2" s="3"/>
      <c r="AH2" s="3"/>
      <c r="AI2" s="9"/>
      <c r="AJ2" s="9"/>
      <c r="AK2" s="9"/>
      <c r="AL2" s="9"/>
      <c r="AM2" s="3"/>
      <c r="AN2" s="3"/>
      <c r="AO2" s="3"/>
      <c r="AP2" s="11"/>
      <c r="AQ2" s="9"/>
      <c r="AR2" s="9"/>
      <c r="AS2" s="9"/>
      <c r="AT2" s="3"/>
      <c r="AU2" s="3"/>
      <c r="AV2" s="9"/>
      <c r="AW2" s="12"/>
      <c r="AX2" s="12"/>
      <c r="AY2" s="12"/>
      <c r="AZ2" s="12"/>
      <c r="BA2" s="12"/>
      <c r="BB2" s="12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9"/>
      <c r="CD2" s="3"/>
      <c r="CE2" s="3"/>
      <c r="CF2" s="9"/>
      <c r="CG2" s="9"/>
      <c r="CH2" s="9"/>
      <c r="CI2" s="3"/>
      <c r="CJ2" s="3"/>
      <c r="CK2" s="3"/>
      <c r="CL2" s="3"/>
      <c r="CM2" s="3"/>
      <c r="CN2" s="3"/>
      <c r="CO2" s="3"/>
      <c r="CP2" s="9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48"/>
      <c r="DJ2" s="48"/>
      <c r="DK2" s="48"/>
      <c r="DL2" s="48"/>
      <c r="DR2" s="3"/>
      <c r="DS2" s="3"/>
      <c r="DT2" s="3"/>
    </row>
    <row r="3" spans="1:124" ht="12.75" customHeight="1" x14ac:dyDescent="0.15">
      <c r="A3" s="1"/>
      <c r="B3" s="2"/>
      <c r="D3" s="4"/>
      <c r="E3" s="5"/>
      <c r="F3" s="3"/>
      <c r="G3" s="8"/>
      <c r="H3" s="8"/>
      <c r="I3" s="3"/>
      <c r="J3" s="3"/>
      <c r="K3" s="3"/>
      <c r="L3" s="6"/>
      <c r="M3" s="7"/>
      <c r="N3" s="3"/>
      <c r="O3" s="8"/>
      <c r="P3" s="3"/>
      <c r="Q3" s="3"/>
      <c r="R3" s="3"/>
      <c r="S3" s="3"/>
      <c r="T3" s="3"/>
      <c r="U3" s="1"/>
      <c r="V3" s="240">
        <f>SUBTOTAL(9,W15:W500000)</f>
        <v>0</v>
      </c>
      <c r="W3" s="212" t="s">
        <v>1</v>
      </c>
      <c r="X3" s="265"/>
      <c r="Y3" s="266"/>
      <c r="Z3" s="9"/>
      <c r="AA3" s="9"/>
      <c r="AB3" s="9"/>
      <c r="AC3" s="10"/>
      <c r="AD3" s="9"/>
      <c r="AE3" s="9"/>
      <c r="AF3" s="9"/>
      <c r="AG3" s="3"/>
      <c r="AH3" s="3"/>
      <c r="AI3" s="9"/>
      <c r="AJ3" s="9"/>
      <c r="AK3" s="9"/>
      <c r="AL3" s="9"/>
      <c r="AM3" s="3"/>
      <c r="AN3" s="3"/>
      <c r="AO3" s="3"/>
      <c r="AP3" s="11"/>
      <c r="AQ3" s="9"/>
      <c r="AR3" s="9"/>
      <c r="AS3" s="9"/>
      <c r="AT3" s="3"/>
      <c r="AU3" s="3"/>
      <c r="AV3" s="9"/>
      <c r="AW3" s="12"/>
      <c r="AX3" s="12"/>
      <c r="AY3" s="12"/>
      <c r="AZ3" s="12"/>
      <c r="BA3" s="12"/>
      <c r="BB3" s="12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9"/>
      <c r="CD3" s="3"/>
      <c r="CE3" s="3"/>
      <c r="CF3" s="9"/>
      <c r="CG3" s="9"/>
      <c r="CH3" s="9"/>
      <c r="CI3" s="3"/>
      <c r="CJ3" s="3"/>
      <c r="CK3" s="3"/>
      <c r="CL3" s="3"/>
      <c r="CM3" s="3"/>
      <c r="CN3" s="3"/>
      <c r="CO3" s="3"/>
      <c r="CP3" s="9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48"/>
      <c r="DJ3" s="227" t="s">
        <v>114</v>
      </c>
      <c r="DK3" s="3"/>
      <c r="DL3" s="48"/>
      <c r="DR3" s="3"/>
      <c r="DS3" s="3"/>
      <c r="DT3" s="3"/>
    </row>
    <row r="4" spans="1:124" ht="12.75" customHeight="1" x14ac:dyDescent="0.15">
      <c r="A4" s="1"/>
      <c r="B4" s="2"/>
      <c r="D4" s="4"/>
      <c r="E4" s="5"/>
      <c r="F4" s="3"/>
      <c r="G4" s="8"/>
      <c r="H4" s="8"/>
      <c r="I4" s="3"/>
      <c r="J4" s="3"/>
      <c r="K4" s="3"/>
      <c r="L4" s="6"/>
      <c r="M4" s="7"/>
      <c r="N4" s="3"/>
      <c r="O4" s="8"/>
      <c r="P4" s="3"/>
      <c r="Q4" s="3"/>
      <c r="R4" s="3"/>
      <c r="S4" s="3"/>
      <c r="T4" s="3"/>
      <c r="U4" s="1"/>
      <c r="V4" s="1"/>
      <c r="W4" s="37" t="s">
        <v>103</v>
      </c>
      <c r="X4" s="46">
        <f>IF(DL4="",DK4,DK4&amp;"("&amp;DL4&amp;")")</f>
        <v>213</v>
      </c>
      <c r="Y4" s="3"/>
      <c r="Z4" s="47" t="str">
        <f>IF(AA4="未定","未定",IF(AA4="",IF(AB4="","",IF(AB4&lt;$F$8,"保守終息",IF(AB4=EOMONTH(AB4,0),AB4,EOMONTH(AB4,-1)))),IF(MAX(AA4:AB4)&lt;$F$8,"保守終息",IF(MAX(AA4:AB4)=EOMONTH(MAX(AA4:AB4),0),MAX(AA4:AB4),EOMONTH(MAX(AA4:AB4),-1)))))</f>
        <v/>
      </c>
      <c r="AA4" s="9"/>
      <c r="AB4" s="9"/>
      <c r="AC4" s="49" t="str">
        <f>IF(AB4="","",(AB4-AA4)/365)</f>
        <v/>
      </c>
      <c r="AD4" s="9"/>
      <c r="AE4" s="9"/>
      <c r="AF4" s="9"/>
      <c r="AG4" s="3"/>
      <c r="AH4" s="3"/>
      <c r="AI4" s="9"/>
      <c r="AJ4" s="9"/>
      <c r="AK4" s="9"/>
      <c r="AL4" s="9"/>
      <c r="AM4" s="3"/>
      <c r="AN4" s="3"/>
      <c r="AO4" s="3"/>
      <c r="AP4" s="11"/>
      <c r="AQ4" s="9"/>
      <c r="AR4" s="9"/>
      <c r="AS4" s="9"/>
      <c r="AT4" s="3"/>
      <c r="AU4" s="3"/>
      <c r="AV4" s="9"/>
      <c r="AW4" s="12"/>
      <c r="AX4" s="12"/>
      <c r="AY4" s="12"/>
      <c r="AZ4" s="12"/>
      <c r="BA4" s="12"/>
      <c r="BB4" s="12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9"/>
      <c r="CD4" s="3"/>
      <c r="CE4" s="3"/>
      <c r="CF4" s="9"/>
      <c r="CG4" s="9"/>
      <c r="CH4" s="9"/>
      <c r="CI4" s="3"/>
      <c r="CJ4" s="3"/>
      <c r="CK4" s="3"/>
      <c r="CL4" s="3"/>
      <c r="CM4" s="3"/>
      <c r="CN4" s="3"/>
      <c r="CO4" s="3"/>
      <c r="CP4" s="9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48"/>
      <c r="DJ4" s="228" t="s">
        <v>115</v>
      </c>
      <c r="DK4" s="9">
        <f>DATE(YEAR($DK$13),MONTH($DK$13)+7,1)-1</f>
        <v>213</v>
      </c>
      <c r="DL4" s="9"/>
      <c r="DR4" s="3"/>
      <c r="DS4" s="3"/>
      <c r="DT4" s="3"/>
    </row>
    <row r="5" spans="1:124" ht="12.75" customHeight="1" x14ac:dyDescent="0.15">
      <c r="A5" s="1"/>
      <c r="B5" s="2"/>
      <c r="D5" s="4"/>
      <c r="E5" s="5"/>
      <c r="F5" s="3"/>
      <c r="G5" s="8"/>
      <c r="H5" s="8"/>
      <c r="I5" s="3"/>
      <c r="J5" s="3"/>
      <c r="K5" s="13" t="s">
        <v>104</v>
      </c>
      <c r="L5" s="14"/>
      <c r="M5" s="15"/>
      <c r="N5" s="223"/>
      <c r="O5" s="223"/>
      <c r="P5" s="223"/>
      <c r="Q5" s="223"/>
      <c r="R5" s="190" t="s">
        <v>105</v>
      </c>
      <c r="S5" s="191"/>
      <c r="T5" s="191"/>
      <c r="U5" s="232"/>
      <c r="V5" s="232"/>
      <c r="W5" s="192"/>
      <c r="X5" s="16"/>
      <c r="Y5" s="17"/>
      <c r="Z5" s="18" t="s">
        <v>2</v>
      </c>
      <c r="AA5" s="19"/>
      <c r="AB5" s="19"/>
      <c r="AC5" s="20"/>
      <c r="AD5" s="9"/>
      <c r="AE5" s="9"/>
      <c r="AF5" s="9"/>
      <c r="AG5" s="3"/>
      <c r="AH5" s="3"/>
      <c r="AI5" s="9"/>
      <c r="AJ5" s="9"/>
      <c r="AK5" s="9"/>
      <c r="AL5" s="9"/>
      <c r="AM5" s="3"/>
      <c r="AN5" s="3"/>
      <c r="AO5" s="3"/>
      <c r="AP5" s="11"/>
      <c r="AQ5" s="9"/>
      <c r="AR5" s="9"/>
      <c r="AS5" s="9"/>
      <c r="AT5" s="3"/>
      <c r="AU5" s="3"/>
      <c r="AV5" s="9"/>
      <c r="AW5" s="21" t="s">
        <v>136</v>
      </c>
      <c r="AX5" s="21"/>
      <c r="AY5" s="21"/>
      <c r="AZ5" s="21"/>
      <c r="BA5" s="21"/>
      <c r="BB5" s="21"/>
      <c r="BC5" s="21"/>
      <c r="BD5" s="21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2"/>
      <c r="CD5" s="23"/>
      <c r="CE5" s="23"/>
      <c r="CF5" s="22"/>
      <c r="CG5" s="22"/>
      <c r="CH5" s="22"/>
      <c r="CI5" s="23"/>
      <c r="CJ5" s="23"/>
      <c r="CK5" s="23"/>
      <c r="CL5" s="23"/>
      <c r="CM5" s="23"/>
      <c r="CN5" s="23"/>
      <c r="CO5" s="23"/>
      <c r="CP5" s="22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14"/>
      <c r="DJ5" s="229" t="s">
        <v>116</v>
      </c>
      <c r="DK5" s="9">
        <f>DATE(YEAR($DK$13)+1,MONTH($DK$13)+1,1)-1</f>
        <v>397</v>
      </c>
      <c r="DL5" s="9"/>
      <c r="DR5" s="3"/>
      <c r="DS5" s="3"/>
      <c r="DT5" s="3"/>
    </row>
    <row r="6" spans="1:124" ht="12.75" customHeight="1" x14ac:dyDescent="0.15">
      <c r="A6" s="1"/>
      <c r="B6" s="2"/>
      <c r="D6" s="4"/>
      <c r="E6" s="5"/>
      <c r="F6" s="3"/>
      <c r="G6" s="8"/>
      <c r="H6" s="8"/>
      <c r="I6" s="3"/>
      <c r="J6" s="3"/>
      <c r="K6" s="257" t="s">
        <v>3</v>
      </c>
      <c r="L6" s="258"/>
      <c r="M6" s="259"/>
      <c r="N6" s="260"/>
      <c r="O6" s="260"/>
      <c r="P6" s="260"/>
      <c r="Q6" s="260"/>
      <c r="R6" s="261" t="s">
        <v>3</v>
      </c>
      <c r="S6" s="262"/>
      <c r="T6" s="262"/>
      <c r="U6" s="263"/>
      <c r="V6" s="263"/>
      <c r="W6" s="264"/>
      <c r="X6" s="24"/>
      <c r="Y6" s="25"/>
      <c r="Z6" s="26" t="s">
        <v>4</v>
      </c>
      <c r="AA6" s="27"/>
      <c r="AB6" s="27"/>
      <c r="AC6" s="28"/>
      <c r="AD6" s="9"/>
      <c r="AE6" s="9"/>
      <c r="AF6" s="9"/>
      <c r="AG6" s="3"/>
      <c r="AH6" s="3"/>
      <c r="AI6" s="9"/>
      <c r="AJ6" s="9"/>
      <c r="AK6" s="9"/>
      <c r="AL6" s="9"/>
      <c r="AM6" s="3"/>
      <c r="AN6" s="3"/>
      <c r="AO6" s="3"/>
      <c r="AP6" s="11"/>
      <c r="AQ6" s="9"/>
      <c r="AR6" s="9"/>
      <c r="AS6" s="9"/>
      <c r="AT6" s="3"/>
      <c r="AU6" s="3"/>
      <c r="AV6" s="9"/>
      <c r="AW6" s="21"/>
      <c r="AX6" s="21"/>
      <c r="AY6" s="21"/>
      <c r="AZ6" s="21"/>
      <c r="BA6" s="21"/>
      <c r="BB6" s="21"/>
      <c r="BC6" s="21"/>
      <c r="BD6" s="21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2"/>
      <c r="CD6" s="23"/>
      <c r="CE6" s="23"/>
      <c r="CF6" s="22"/>
      <c r="CG6" s="22"/>
      <c r="CH6" s="22"/>
      <c r="CI6" s="23"/>
      <c r="CJ6" s="23"/>
      <c r="CK6" s="23"/>
      <c r="CL6" s="23"/>
      <c r="CM6" s="23"/>
      <c r="CN6" s="23"/>
      <c r="CO6" s="23"/>
      <c r="CP6" s="22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14"/>
      <c r="DJ6" s="230" t="s">
        <v>117</v>
      </c>
      <c r="DK6" s="9">
        <f>DATE(YEAR($DK$13)+2,MONTH($DK$13)+1,1)-1</f>
        <v>762</v>
      </c>
      <c r="DL6" s="9"/>
      <c r="DR6" s="3"/>
      <c r="DS6" s="3"/>
      <c r="DT6" s="3"/>
    </row>
    <row r="7" spans="1:124" ht="12.75" customHeight="1" x14ac:dyDescent="0.15">
      <c r="A7" s="1"/>
      <c r="B7" s="2"/>
      <c r="D7" s="4"/>
      <c r="E7" s="5"/>
      <c r="F7" s="209" t="s">
        <v>5</v>
      </c>
      <c r="G7" s="8"/>
      <c r="H7" s="8"/>
      <c r="I7" s="3"/>
      <c r="J7" s="3"/>
      <c r="K7" s="243" t="s">
        <v>128</v>
      </c>
      <c r="L7" s="244"/>
      <c r="M7" s="245"/>
      <c r="N7" s="246"/>
      <c r="O7" s="246"/>
      <c r="P7" s="246"/>
      <c r="Q7" s="246"/>
      <c r="R7" s="29" t="s">
        <v>6</v>
      </c>
      <c r="S7" s="31"/>
      <c r="T7" s="31"/>
      <c r="U7" s="233"/>
      <c r="V7" s="233"/>
      <c r="W7" s="30"/>
      <c r="X7" s="32"/>
      <c r="Y7" s="33"/>
      <c r="Z7" s="34" t="s">
        <v>7</v>
      </c>
      <c r="AA7" s="35"/>
      <c r="AB7" s="35"/>
      <c r="AC7" s="36"/>
      <c r="AD7" s="9"/>
      <c r="AE7" s="9"/>
      <c r="AF7" s="9"/>
      <c r="AG7" s="3"/>
      <c r="AH7" s="3"/>
      <c r="AI7" s="9"/>
      <c r="AJ7" s="9"/>
      <c r="AK7" s="9"/>
      <c r="AL7" s="9"/>
      <c r="AM7" s="3"/>
      <c r="AN7" s="3"/>
      <c r="AO7" s="3"/>
      <c r="AP7" s="11"/>
      <c r="AQ7" s="9"/>
      <c r="AR7" s="9"/>
      <c r="AS7" s="9"/>
      <c r="AT7" s="3"/>
      <c r="AU7" s="3"/>
      <c r="AV7" s="9"/>
      <c r="AW7" s="12"/>
      <c r="AX7" s="12"/>
      <c r="AY7" s="12"/>
      <c r="AZ7" s="12"/>
      <c r="BA7" s="12"/>
      <c r="BB7" s="12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9"/>
      <c r="CD7" s="3"/>
      <c r="CE7" s="3"/>
      <c r="CF7" s="9"/>
      <c r="CG7" s="9"/>
      <c r="CH7" s="9"/>
      <c r="CI7" s="3"/>
      <c r="CJ7" s="3"/>
      <c r="CK7" s="3"/>
      <c r="CL7" s="3"/>
      <c r="CM7" s="3"/>
      <c r="CN7" s="3"/>
      <c r="CO7" s="3"/>
      <c r="CP7" s="9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48"/>
      <c r="DJ7" s="231" t="s">
        <v>118</v>
      </c>
      <c r="DK7" s="9">
        <f>DATE(YEAR($DK$13)+3,MONTH($DK$13)+1,1)-1</f>
        <v>1127</v>
      </c>
      <c r="DL7" s="9"/>
      <c r="DR7" s="3"/>
      <c r="DS7" s="3"/>
      <c r="DT7" s="3"/>
    </row>
    <row r="8" spans="1:124" ht="12.75" customHeight="1" x14ac:dyDescent="0.15">
      <c r="A8" s="37"/>
      <c r="B8" s="37"/>
      <c r="D8" s="4"/>
      <c r="E8" s="5"/>
      <c r="F8" s="210"/>
      <c r="G8" s="8"/>
      <c r="H8" s="8"/>
      <c r="I8" s="3"/>
      <c r="J8" s="3"/>
      <c r="K8" s="247"/>
      <c r="L8" s="248"/>
      <c r="M8" s="249"/>
      <c r="N8" s="250"/>
      <c r="O8" s="250"/>
      <c r="P8" s="250"/>
      <c r="Q8" s="250"/>
      <c r="R8" s="247"/>
      <c r="S8" s="250"/>
      <c r="T8" s="250"/>
      <c r="U8" s="254"/>
      <c r="V8" s="254"/>
      <c r="W8" s="255"/>
      <c r="X8" s="38"/>
      <c r="Y8" s="39"/>
      <c r="Z8" s="40"/>
      <c r="AA8" s="41"/>
      <c r="AB8" s="41"/>
      <c r="AC8" s="42"/>
      <c r="AD8" s="9"/>
      <c r="AE8" s="9"/>
      <c r="AF8" s="9"/>
      <c r="AG8" s="3"/>
      <c r="AH8" s="3"/>
      <c r="AI8" s="9"/>
      <c r="AJ8" s="9"/>
      <c r="AK8" s="9"/>
      <c r="AL8" s="9"/>
      <c r="AM8" s="3"/>
      <c r="AN8" s="3"/>
      <c r="AO8" s="3"/>
      <c r="AP8" s="11"/>
      <c r="AQ8" s="9"/>
      <c r="AR8" s="9"/>
      <c r="AS8" s="9"/>
      <c r="AT8" s="50"/>
      <c r="AU8" s="3"/>
      <c r="AV8" s="9"/>
      <c r="AW8" s="12"/>
      <c r="AX8" s="12"/>
      <c r="AY8" s="12"/>
      <c r="AZ8" s="12"/>
      <c r="BA8" s="12"/>
      <c r="BB8" s="275"/>
      <c r="BC8" s="43"/>
      <c r="BD8" s="4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9"/>
      <c r="CD8" s="3"/>
      <c r="CE8" s="3"/>
      <c r="CF8" s="9"/>
      <c r="CG8" s="9"/>
      <c r="CH8" s="9"/>
      <c r="CI8" s="3"/>
      <c r="CJ8" s="3"/>
      <c r="CK8" s="3"/>
      <c r="CL8" s="3"/>
      <c r="CM8" s="3"/>
      <c r="CN8" s="3"/>
      <c r="CO8" s="3"/>
      <c r="CP8" s="9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48"/>
      <c r="DJ8" s="12"/>
      <c r="DK8" s="12"/>
      <c r="DL8" s="12"/>
      <c r="DM8" s="12"/>
      <c r="DN8" s="12"/>
      <c r="DO8" s="12"/>
      <c r="DP8" s="12"/>
      <c r="DQ8" s="12"/>
      <c r="DR8" s="12"/>
      <c r="DS8" s="3"/>
      <c r="DT8" s="12"/>
    </row>
    <row r="9" spans="1:124" x14ac:dyDescent="0.15">
      <c r="A9" s="44" t="s">
        <v>133</v>
      </c>
      <c r="B9" s="2"/>
      <c r="D9" s="4"/>
      <c r="E9" s="5"/>
      <c r="F9" s="45">
        <f>IF(H9="",G9,CONCATENATE(G9&amp;"　"&amp;H9))</f>
        <v>0</v>
      </c>
      <c r="G9" s="8"/>
      <c r="H9" s="8"/>
      <c r="I9" s="3"/>
      <c r="J9" s="3"/>
      <c r="K9" s="251"/>
      <c r="L9" s="252"/>
      <c r="M9" s="253" t="str">
        <f>IF(AV9="",IF(AS9="","契約無し",AS9),IF(AV9&lt;$F$8,"解約","解約予定"&amp;YEAR(AV9)&amp;"/"&amp;MONTH(AV9)))</f>
        <v>契約無し</v>
      </c>
      <c r="N9" s="251"/>
      <c r="O9" s="251"/>
      <c r="P9" s="251"/>
      <c r="Q9" s="251"/>
      <c r="R9" s="251"/>
      <c r="S9" s="251"/>
      <c r="T9" s="251"/>
      <c r="U9" s="256"/>
      <c r="V9" s="256"/>
      <c r="W9" s="251"/>
      <c r="X9" s="267"/>
      <c r="Y9" s="8"/>
      <c r="Z9" s="269"/>
      <c r="AA9" s="48"/>
      <c r="AB9" s="48"/>
      <c r="AC9" s="268"/>
      <c r="AD9" s="9"/>
      <c r="AE9" s="9"/>
      <c r="AF9" s="9"/>
      <c r="AG9" s="3"/>
      <c r="AH9" s="3"/>
      <c r="AI9" s="9"/>
      <c r="AJ9" s="9"/>
      <c r="AK9" s="9"/>
      <c r="AL9" s="9"/>
      <c r="AM9" s="3"/>
      <c r="AN9" s="3"/>
      <c r="AO9" s="3"/>
      <c r="AP9" s="11"/>
      <c r="AQ9" s="9"/>
      <c r="AR9" s="9"/>
      <c r="AS9" s="9"/>
      <c r="AT9" s="50" t="str">
        <f>IF(AS15="","",DATEDIF(AR15,AS15+1,"M"))</f>
        <v/>
      </c>
      <c r="AU9" s="50" t="s">
        <v>8</v>
      </c>
      <c r="AV9" s="9"/>
      <c r="AW9" s="272"/>
      <c r="AX9" s="272"/>
      <c r="AY9" s="272"/>
      <c r="AZ9" s="272"/>
      <c r="BA9" s="272"/>
      <c r="BB9" s="276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9"/>
      <c r="CD9" s="3"/>
      <c r="CE9" s="3"/>
      <c r="CF9" s="9"/>
      <c r="CG9" s="9"/>
      <c r="CH9" s="9"/>
      <c r="CI9" s="3"/>
      <c r="CJ9" s="3"/>
      <c r="CK9" s="3"/>
      <c r="CL9" s="3"/>
      <c r="CM9" s="3"/>
      <c r="CN9" s="3"/>
      <c r="CO9" s="3"/>
      <c r="CP9" s="9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48"/>
      <c r="DJ9" s="50" t="str">
        <f>IF(AA9="","",(MAX(AA9:AB9)))</f>
        <v/>
      </c>
      <c r="DK9" s="50" t="str">
        <f>IF(DJ9="","",IF(DJ9&lt;$DK$13,$DJ$3,IF(DJ9&lt;=$DK$4,$DJ$4,(IF(DJ9&lt;=$DK$5,$DJ$5,(IF(DJ9&lt;=$DK$6,$DJ$6,IF(DJ9&lt;=$DK$7,$DJ$7,""))))))))</f>
        <v/>
      </c>
      <c r="DL9" s="50" t="str">
        <f>IF(DK9=$DJ$4,MONTH(DJ9)&amp;"月","")</f>
        <v/>
      </c>
      <c r="DM9" s="50">
        <f>IF(DO9=1,1,IF(DN9=1,IF(K9="契約",1,0),0))</f>
        <v>0</v>
      </c>
      <c r="DN9" s="50">
        <f>IF(CONCATENATE(D9,J9,AP9,AT9,CD9,CE9)=CONCATENATE(D8,J8,AP8,AT8,CD8,CE8),0,1)</f>
        <v>0</v>
      </c>
      <c r="DO9" s="50">
        <f>IF(CONCATENATE(D9,J9)=CONCATENATE(D8,J8),0,1)</f>
        <v>0</v>
      </c>
      <c r="DP9" s="275"/>
      <c r="DQ9" s="275"/>
      <c r="DR9" s="3"/>
      <c r="DS9" s="3"/>
      <c r="DT9" s="3"/>
    </row>
    <row r="10" spans="1:124" s="53" customFormat="1" ht="6.75" x14ac:dyDescent="0.15">
      <c r="A10" s="51"/>
      <c r="B10" s="52"/>
      <c r="D10" s="54"/>
      <c r="E10" s="55"/>
      <c r="G10" s="222"/>
      <c r="H10" s="222"/>
      <c r="L10" s="56"/>
      <c r="M10" s="57"/>
      <c r="O10" s="225"/>
      <c r="U10" s="51"/>
      <c r="V10" s="51"/>
      <c r="Z10" s="58"/>
      <c r="AA10" s="59"/>
      <c r="AB10" s="59"/>
      <c r="AC10" s="60"/>
      <c r="AD10" s="59"/>
      <c r="AE10" s="59"/>
      <c r="AF10" s="59"/>
      <c r="AI10" s="59"/>
      <c r="AJ10" s="59"/>
      <c r="AK10" s="59"/>
      <c r="AL10" s="59"/>
      <c r="AP10" s="61"/>
      <c r="AQ10" s="59"/>
      <c r="AR10" s="59"/>
      <c r="AS10" s="59"/>
      <c r="AV10" s="59"/>
      <c r="AW10" s="62"/>
      <c r="AX10" s="62"/>
      <c r="AY10" s="62"/>
      <c r="AZ10" s="62"/>
      <c r="BA10" s="62"/>
      <c r="BB10" s="62"/>
      <c r="CC10" s="59"/>
      <c r="CF10" s="59"/>
      <c r="CG10" s="59"/>
      <c r="CH10" s="59"/>
      <c r="CP10" s="59"/>
      <c r="DI10" s="215"/>
      <c r="DJ10" s="59"/>
      <c r="DK10" s="59"/>
      <c r="DL10" s="59"/>
    </row>
    <row r="11" spans="1:124" s="53" customFormat="1" ht="6.75" x14ac:dyDescent="0.15">
      <c r="A11" s="63"/>
      <c r="B11" s="64"/>
      <c r="D11" s="65"/>
      <c r="E11" s="66"/>
      <c r="F11" s="67"/>
      <c r="G11" s="67"/>
      <c r="H11" s="67"/>
      <c r="I11" s="67"/>
      <c r="J11" s="68"/>
      <c r="K11" s="69"/>
      <c r="L11" s="70"/>
      <c r="M11" s="71"/>
      <c r="N11" s="72"/>
      <c r="O11" s="72"/>
      <c r="P11" s="72"/>
      <c r="Q11" s="72"/>
      <c r="R11" s="73"/>
      <c r="S11" s="73"/>
      <c r="T11" s="73"/>
      <c r="U11" s="234"/>
      <c r="V11" s="234"/>
      <c r="W11" s="73"/>
      <c r="X11" s="73"/>
      <c r="Y11" s="73"/>
      <c r="Z11" s="74"/>
      <c r="AA11" s="75"/>
      <c r="AB11" s="75"/>
      <c r="AC11" s="76"/>
      <c r="AD11" s="75"/>
      <c r="AE11" s="75"/>
      <c r="AF11" s="75"/>
      <c r="AG11" s="73"/>
      <c r="AH11" s="73"/>
      <c r="AI11" s="75"/>
      <c r="AJ11" s="75"/>
      <c r="AK11" s="75"/>
      <c r="AL11" s="75"/>
      <c r="AM11" s="73"/>
      <c r="AN11" s="73"/>
      <c r="AO11" s="73"/>
      <c r="AP11" s="77"/>
      <c r="AQ11" s="78"/>
      <c r="AR11" s="78"/>
      <c r="AS11" s="78"/>
      <c r="AT11" s="72"/>
      <c r="AU11" s="72"/>
      <c r="AV11" s="79"/>
      <c r="AW11" s="80"/>
      <c r="AX11" s="80"/>
      <c r="AY11" s="80"/>
      <c r="AZ11" s="80"/>
      <c r="BA11" s="80"/>
      <c r="BB11" s="80"/>
      <c r="BC11" s="81"/>
      <c r="BD11" s="82"/>
      <c r="BE11" s="82"/>
      <c r="BF11" s="82"/>
      <c r="BG11" s="82"/>
      <c r="BH11" s="82"/>
      <c r="BI11" s="82"/>
      <c r="BJ11" s="82"/>
      <c r="BK11" s="84"/>
      <c r="BL11" s="81"/>
      <c r="BM11" s="82"/>
      <c r="BN11" s="82"/>
      <c r="BO11" s="82"/>
      <c r="BP11" s="82"/>
      <c r="BQ11" s="82"/>
      <c r="BR11" s="82"/>
      <c r="BS11" s="82"/>
      <c r="BT11" s="82"/>
      <c r="BU11" s="82"/>
      <c r="BV11" s="82"/>
      <c r="BW11" s="82"/>
      <c r="BX11" s="82"/>
      <c r="BY11" s="82"/>
      <c r="BZ11" s="82"/>
      <c r="CA11" s="84"/>
      <c r="CB11" s="82"/>
      <c r="CC11" s="83"/>
      <c r="CD11" s="82"/>
      <c r="CE11" s="82"/>
      <c r="CF11" s="83"/>
      <c r="CG11" s="83"/>
      <c r="CH11" s="83"/>
      <c r="CI11" s="82"/>
      <c r="CJ11" s="82"/>
      <c r="CK11" s="82"/>
      <c r="CL11" s="82"/>
      <c r="CM11" s="82"/>
      <c r="CN11" s="82"/>
      <c r="CO11" s="82"/>
      <c r="CP11" s="83"/>
      <c r="CQ11" s="82"/>
      <c r="CR11" s="82"/>
      <c r="CS11" s="82"/>
      <c r="CT11" s="82"/>
      <c r="CU11" s="82"/>
      <c r="CV11" s="82"/>
      <c r="CW11" s="82"/>
      <c r="CX11" s="82"/>
      <c r="CY11" s="82"/>
      <c r="CZ11" s="82"/>
      <c r="DA11" s="82"/>
      <c r="DB11" s="82"/>
      <c r="DC11" s="82"/>
      <c r="DD11" s="82"/>
      <c r="DE11" s="82"/>
      <c r="DF11" s="82"/>
      <c r="DG11" s="82"/>
      <c r="DH11" s="82"/>
      <c r="DI11" s="216"/>
      <c r="DJ11" s="59"/>
      <c r="DK11" s="59"/>
      <c r="DL11" s="59"/>
      <c r="DR11" s="277"/>
      <c r="DS11" s="281"/>
      <c r="DT11" s="287"/>
    </row>
    <row r="12" spans="1:124" s="53" customFormat="1" ht="6.75" x14ac:dyDescent="0.15">
      <c r="A12" s="85"/>
      <c r="B12" s="86"/>
      <c r="D12" s="87"/>
      <c r="E12" s="88"/>
      <c r="F12" s="89"/>
      <c r="G12" s="89"/>
      <c r="H12" s="89"/>
      <c r="I12" s="89"/>
      <c r="J12" s="90"/>
      <c r="K12" s="91"/>
      <c r="L12" s="92"/>
      <c r="M12" s="93"/>
      <c r="N12" s="96"/>
      <c r="O12" s="96"/>
      <c r="P12" s="96"/>
      <c r="Q12" s="96"/>
      <c r="R12" s="193"/>
      <c r="S12" s="194"/>
      <c r="T12" s="194"/>
      <c r="U12" s="235"/>
      <c r="V12" s="235"/>
      <c r="W12" s="194"/>
      <c r="X12" s="194"/>
      <c r="Y12" s="194"/>
      <c r="Z12" s="201"/>
      <c r="AA12" s="202"/>
      <c r="AB12" s="202"/>
      <c r="AC12" s="203"/>
      <c r="AD12" s="202"/>
      <c r="AE12" s="202"/>
      <c r="AF12" s="202"/>
      <c r="AG12" s="194"/>
      <c r="AH12" s="194"/>
      <c r="AI12" s="202"/>
      <c r="AJ12" s="202"/>
      <c r="AK12" s="202"/>
      <c r="AL12" s="202"/>
      <c r="AM12" s="194"/>
      <c r="AN12" s="194"/>
      <c r="AO12" s="204"/>
      <c r="AP12" s="94"/>
      <c r="AQ12" s="95"/>
      <c r="AR12" s="95"/>
      <c r="AS12" s="95"/>
      <c r="AT12" s="96"/>
      <c r="AU12" s="96"/>
      <c r="AV12" s="97"/>
      <c r="AW12" s="98"/>
      <c r="AX12" s="98"/>
      <c r="AY12" s="98"/>
      <c r="AZ12" s="98"/>
      <c r="BA12" s="98"/>
      <c r="BB12" s="98"/>
      <c r="BC12" s="99"/>
      <c r="BD12" s="100"/>
      <c r="BE12" s="100"/>
      <c r="BF12" s="100"/>
      <c r="BG12" s="100"/>
      <c r="BH12" s="100"/>
      <c r="BI12" s="100"/>
      <c r="BJ12" s="100"/>
      <c r="BK12" s="102"/>
      <c r="BL12" s="99"/>
      <c r="BM12" s="100"/>
      <c r="BN12" s="100"/>
      <c r="BO12" s="100"/>
      <c r="BP12" s="100"/>
      <c r="BQ12" s="100"/>
      <c r="BR12" s="100"/>
      <c r="BS12" s="100"/>
      <c r="BT12" s="100"/>
      <c r="BU12" s="100"/>
      <c r="BV12" s="100"/>
      <c r="BW12" s="100"/>
      <c r="BX12" s="100"/>
      <c r="BY12" s="100"/>
      <c r="BZ12" s="100"/>
      <c r="CA12" s="102"/>
      <c r="CB12" s="100"/>
      <c r="CC12" s="101"/>
      <c r="CD12" s="100"/>
      <c r="CE12" s="100"/>
      <c r="CF12" s="101"/>
      <c r="CG12" s="101"/>
      <c r="CH12" s="101"/>
      <c r="CI12" s="100"/>
      <c r="CJ12" s="100"/>
      <c r="CK12" s="100"/>
      <c r="CL12" s="100"/>
      <c r="CM12" s="100"/>
      <c r="CN12" s="100"/>
      <c r="CO12" s="100"/>
      <c r="CP12" s="101"/>
      <c r="CQ12" s="100"/>
      <c r="CR12" s="100"/>
      <c r="CS12" s="100"/>
      <c r="CT12" s="100"/>
      <c r="CU12" s="100"/>
      <c r="CV12" s="100"/>
      <c r="CW12" s="100"/>
      <c r="CX12" s="100"/>
      <c r="CY12" s="100"/>
      <c r="CZ12" s="100"/>
      <c r="DA12" s="100"/>
      <c r="DB12" s="100"/>
      <c r="DC12" s="100"/>
      <c r="DD12" s="100"/>
      <c r="DE12" s="100"/>
      <c r="DF12" s="100"/>
      <c r="DG12" s="100"/>
      <c r="DH12" s="100"/>
      <c r="DI12" s="217"/>
      <c r="DJ12" s="59"/>
      <c r="DK12" s="59"/>
      <c r="DL12" s="59"/>
      <c r="DR12" s="278"/>
      <c r="DS12" s="282"/>
      <c r="DT12" s="288"/>
    </row>
    <row r="13" spans="1:124" s="8" customFormat="1" ht="14.25" thickBot="1" x14ac:dyDescent="0.2">
      <c r="A13" s="103"/>
      <c r="B13" s="104" t="s">
        <v>132</v>
      </c>
      <c r="D13" s="105" t="s">
        <v>9</v>
      </c>
      <c r="E13" s="106"/>
      <c r="F13" s="107"/>
      <c r="G13" s="107"/>
      <c r="H13" s="107"/>
      <c r="I13" s="107"/>
      <c r="J13" s="108"/>
      <c r="K13" s="109" t="s">
        <v>10</v>
      </c>
      <c r="L13" s="110"/>
      <c r="M13" s="111"/>
      <c r="N13" s="122"/>
      <c r="O13" s="122"/>
      <c r="P13" s="122"/>
      <c r="Q13" s="122"/>
      <c r="R13" s="195" t="s">
        <v>11</v>
      </c>
      <c r="S13" s="196"/>
      <c r="T13" s="196"/>
      <c r="U13" s="236"/>
      <c r="V13" s="236"/>
      <c r="W13" s="197"/>
      <c r="X13" s="112" t="s">
        <v>12</v>
      </c>
      <c r="Y13" s="113"/>
      <c r="Z13" s="114" t="s">
        <v>2</v>
      </c>
      <c r="AA13" s="115"/>
      <c r="AB13" s="115"/>
      <c r="AC13" s="116"/>
      <c r="AD13" s="117" t="s">
        <v>13</v>
      </c>
      <c r="AE13" s="115"/>
      <c r="AF13" s="118"/>
      <c r="AG13" s="205" t="s">
        <v>14</v>
      </c>
      <c r="AH13" s="196"/>
      <c r="AI13" s="206"/>
      <c r="AJ13" s="206"/>
      <c r="AK13" s="206"/>
      <c r="AL13" s="206"/>
      <c r="AM13" s="196"/>
      <c r="AN13" s="196"/>
      <c r="AO13" s="197"/>
      <c r="AP13" s="119"/>
      <c r="AQ13" s="120" t="s">
        <v>15</v>
      </c>
      <c r="AR13" s="121"/>
      <c r="AS13" s="121"/>
      <c r="AT13" s="122"/>
      <c r="AU13" s="122"/>
      <c r="AV13" s="123"/>
      <c r="AW13" s="124"/>
      <c r="AX13" s="271" t="s">
        <v>135</v>
      </c>
      <c r="AY13" s="271"/>
      <c r="AZ13" s="271"/>
      <c r="BA13" s="271"/>
      <c r="BB13" s="124"/>
      <c r="BC13" s="125" t="s">
        <v>16</v>
      </c>
      <c r="BD13" s="126"/>
      <c r="BE13" s="126"/>
      <c r="BF13" s="126"/>
      <c r="BG13" s="126"/>
      <c r="BH13" s="126"/>
      <c r="BI13" s="126"/>
      <c r="BJ13" s="126"/>
      <c r="BK13" s="128"/>
      <c r="BL13" s="125" t="s">
        <v>17</v>
      </c>
      <c r="BM13" s="126"/>
      <c r="BN13" s="126"/>
      <c r="BO13" s="129" t="s">
        <v>18</v>
      </c>
      <c r="BP13" s="130"/>
      <c r="BQ13" s="130"/>
      <c r="BR13" s="130"/>
      <c r="BS13" s="130"/>
      <c r="BT13" s="130"/>
      <c r="BU13" s="130"/>
      <c r="BV13" s="130"/>
      <c r="BW13" s="130"/>
      <c r="BX13" s="130"/>
      <c r="BY13" s="130"/>
      <c r="BZ13" s="130"/>
      <c r="CA13" s="131"/>
      <c r="CB13" s="126" t="s">
        <v>19</v>
      </c>
      <c r="CC13" s="127"/>
      <c r="CD13" s="126"/>
      <c r="CE13" s="126"/>
      <c r="CF13" s="127"/>
      <c r="CG13" s="127"/>
      <c r="CH13" s="127"/>
      <c r="CI13" s="126"/>
      <c r="CJ13" s="126"/>
      <c r="CK13" s="126"/>
      <c r="CL13" s="126"/>
      <c r="CM13" s="126"/>
      <c r="CN13" s="126"/>
      <c r="CO13" s="126"/>
      <c r="CP13" s="127"/>
      <c r="CQ13" s="126"/>
      <c r="CR13" s="126"/>
      <c r="CS13" s="126"/>
      <c r="CT13" s="126"/>
      <c r="CU13" s="126"/>
      <c r="CV13" s="126"/>
      <c r="CW13" s="132" t="s">
        <v>20</v>
      </c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213"/>
      <c r="DI13" s="218"/>
      <c r="DJ13" s="48" t="s">
        <v>119</v>
      </c>
      <c r="DK13" s="48">
        <f>DATE(YEAR($F$8),MONTH($F$8)+1,1)-1</f>
        <v>31</v>
      </c>
      <c r="DL13" s="48"/>
      <c r="DM13" s="8">
        <f>SUBTOTAL(9,DM15:DM500000)</f>
        <v>0</v>
      </c>
      <c r="DR13" s="279"/>
      <c r="DS13" s="283"/>
      <c r="DT13" s="289"/>
    </row>
    <row r="14" spans="1:124" s="162" customFormat="1" ht="34.5" thickTop="1" x14ac:dyDescent="0.15">
      <c r="A14" s="270" t="s">
        <v>130</v>
      </c>
      <c r="B14" s="133" t="s">
        <v>131</v>
      </c>
      <c r="C14" s="134"/>
      <c r="D14" s="135" t="s">
        <v>141</v>
      </c>
      <c r="E14" s="136" t="s">
        <v>108</v>
      </c>
      <c r="F14" s="137" t="s">
        <v>21</v>
      </c>
      <c r="G14" s="221" t="s">
        <v>110</v>
      </c>
      <c r="H14" s="221" t="s">
        <v>111</v>
      </c>
      <c r="I14" s="138" t="s">
        <v>22</v>
      </c>
      <c r="J14" s="139" t="s">
        <v>23</v>
      </c>
      <c r="K14" s="140" t="s">
        <v>24</v>
      </c>
      <c r="L14" s="141" t="s">
        <v>107</v>
      </c>
      <c r="M14" s="142" t="s">
        <v>106</v>
      </c>
      <c r="N14" s="224" t="s">
        <v>112</v>
      </c>
      <c r="O14" s="224" t="s">
        <v>113</v>
      </c>
      <c r="P14" s="224" t="s">
        <v>140</v>
      </c>
      <c r="Q14" s="224" t="s">
        <v>58</v>
      </c>
      <c r="R14" s="198" t="s">
        <v>25</v>
      </c>
      <c r="S14" s="199" t="s">
        <v>26</v>
      </c>
      <c r="T14" s="199" t="s">
        <v>27</v>
      </c>
      <c r="U14" s="237" t="s">
        <v>28</v>
      </c>
      <c r="V14" s="237" t="s">
        <v>56</v>
      </c>
      <c r="W14" s="200" t="s">
        <v>29</v>
      </c>
      <c r="X14" s="143" t="s">
        <v>134</v>
      </c>
      <c r="Y14" s="144" t="s">
        <v>137</v>
      </c>
      <c r="Z14" s="145" t="s">
        <v>30</v>
      </c>
      <c r="AA14" s="146" t="s">
        <v>31</v>
      </c>
      <c r="AB14" s="146" t="s">
        <v>32</v>
      </c>
      <c r="AC14" s="147" t="s">
        <v>33</v>
      </c>
      <c r="AD14" s="148" t="s">
        <v>34</v>
      </c>
      <c r="AE14" s="149" t="s">
        <v>35</v>
      </c>
      <c r="AF14" s="146" t="s">
        <v>57</v>
      </c>
      <c r="AG14" s="198" t="s">
        <v>36</v>
      </c>
      <c r="AH14" s="199" t="s">
        <v>37</v>
      </c>
      <c r="AI14" s="207" t="s">
        <v>38</v>
      </c>
      <c r="AJ14" s="207" t="s">
        <v>39</v>
      </c>
      <c r="AK14" s="207" t="s">
        <v>40</v>
      </c>
      <c r="AL14" s="207" t="s">
        <v>41</v>
      </c>
      <c r="AM14" s="199" t="s">
        <v>42</v>
      </c>
      <c r="AN14" s="199" t="s">
        <v>43</v>
      </c>
      <c r="AO14" s="208" t="s">
        <v>44</v>
      </c>
      <c r="AP14" s="150" t="s">
        <v>45</v>
      </c>
      <c r="AQ14" s="151" t="s">
        <v>46</v>
      </c>
      <c r="AR14" s="151" t="s">
        <v>47</v>
      </c>
      <c r="AS14" s="151" t="s">
        <v>48</v>
      </c>
      <c r="AT14" s="140" t="s">
        <v>49</v>
      </c>
      <c r="AU14" s="140" t="s">
        <v>50</v>
      </c>
      <c r="AV14" s="152" t="s">
        <v>41</v>
      </c>
      <c r="AW14" s="273" t="s">
        <v>51</v>
      </c>
      <c r="AX14" s="153" t="s">
        <v>123</v>
      </c>
      <c r="AY14" s="153" t="s">
        <v>124</v>
      </c>
      <c r="AZ14" s="153" t="s">
        <v>125</v>
      </c>
      <c r="BA14" s="153" t="s">
        <v>126</v>
      </c>
      <c r="BB14" s="274" t="s">
        <v>139</v>
      </c>
      <c r="BC14" s="154" t="s">
        <v>127</v>
      </c>
      <c r="BD14" s="155" t="s">
        <v>52</v>
      </c>
      <c r="BE14" s="155" t="s">
        <v>53</v>
      </c>
      <c r="BF14" s="155" t="s">
        <v>54</v>
      </c>
      <c r="BG14" s="155" t="s">
        <v>55</v>
      </c>
      <c r="BH14" s="155" t="s">
        <v>59</v>
      </c>
      <c r="BI14" s="157" t="s">
        <v>60</v>
      </c>
      <c r="BJ14" s="155" t="s">
        <v>61</v>
      </c>
      <c r="BK14" s="158" t="s">
        <v>62</v>
      </c>
      <c r="BL14" s="154" t="s">
        <v>63</v>
      </c>
      <c r="BM14" s="155" t="s">
        <v>64</v>
      </c>
      <c r="BN14" s="155" t="s">
        <v>65</v>
      </c>
      <c r="BO14" s="159" t="s">
        <v>66</v>
      </c>
      <c r="BP14" s="160" t="s">
        <v>67</v>
      </c>
      <c r="BQ14" s="160" t="s">
        <v>68</v>
      </c>
      <c r="BR14" s="160" t="s">
        <v>69</v>
      </c>
      <c r="BS14" s="160" t="s">
        <v>70</v>
      </c>
      <c r="BT14" s="160" t="s">
        <v>71</v>
      </c>
      <c r="BU14" s="160" t="s">
        <v>72</v>
      </c>
      <c r="BV14" s="160" t="s">
        <v>73</v>
      </c>
      <c r="BW14" s="160" t="s">
        <v>74</v>
      </c>
      <c r="BX14" s="160" t="s">
        <v>75</v>
      </c>
      <c r="BY14" s="160" t="s">
        <v>76</v>
      </c>
      <c r="BZ14" s="160" t="s">
        <v>77</v>
      </c>
      <c r="CA14" s="158" t="s">
        <v>78</v>
      </c>
      <c r="CB14" s="155" t="s">
        <v>79</v>
      </c>
      <c r="CC14" s="156" t="s">
        <v>129</v>
      </c>
      <c r="CD14" s="155" t="s">
        <v>80</v>
      </c>
      <c r="CE14" s="155" t="s">
        <v>81</v>
      </c>
      <c r="CF14" s="156" t="s">
        <v>82</v>
      </c>
      <c r="CG14" s="156" t="s">
        <v>83</v>
      </c>
      <c r="CH14" s="156" t="s">
        <v>84</v>
      </c>
      <c r="CI14" s="160" t="s">
        <v>138</v>
      </c>
      <c r="CJ14" s="160" t="s">
        <v>85</v>
      </c>
      <c r="CK14" s="160" t="s">
        <v>86</v>
      </c>
      <c r="CL14" s="160" t="s">
        <v>87</v>
      </c>
      <c r="CM14" s="155" t="s">
        <v>88</v>
      </c>
      <c r="CN14" s="155" t="s">
        <v>89</v>
      </c>
      <c r="CO14" s="155" t="s">
        <v>90</v>
      </c>
      <c r="CP14" s="156" t="s">
        <v>91</v>
      </c>
      <c r="CQ14" s="155" t="s">
        <v>92</v>
      </c>
      <c r="CR14" s="155" t="s">
        <v>93</v>
      </c>
      <c r="CS14" s="155" t="s">
        <v>94</v>
      </c>
      <c r="CT14" s="155" t="s">
        <v>95</v>
      </c>
      <c r="CU14" s="155" t="s">
        <v>96</v>
      </c>
      <c r="CV14" s="155" t="s">
        <v>97</v>
      </c>
      <c r="CW14" s="161" t="s">
        <v>98</v>
      </c>
      <c r="CX14" s="155" t="s">
        <v>77</v>
      </c>
      <c r="CY14" s="155" t="s">
        <v>78</v>
      </c>
      <c r="CZ14" s="155" t="s">
        <v>67</v>
      </c>
      <c r="DA14" s="155" t="s">
        <v>68</v>
      </c>
      <c r="DB14" s="155" t="s">
        <v>69</v>
      </c>
      <c r="DC14" s="155" t="s">
        <v>70</v>
      </c>
      <c r="DD14" s="155" t="s">
        <v>71</v>
      </c>
      <c r="DE14" s="155" t="s">
        <v>72</v>
      </c>
      <c r="DF14" s="155" t="s">
        <v>73</v>
      </c>
      <c r="DG14" s="155" t="s">
        <v>74</v>
      </c>
      <c r="DH14" s="155" t="s">
        <v>75</v>
      </c>
      <c r="DI14" s="219" t="s">
        <v>109</v>
      </c>
      <c r="DJ14" s="9" t="s">
        <v>120</v>
      </c>
      <c r="DK14" s="9" t="s">
        <v>121</v>
      </c>
      <c r="DL14" s="9" t="s">
        <v>122</v>
      </c>
      <c r="DM14" s="162" t="s">
        <v>99</v>
      </c>
      <c r="DN14" s="162" t="s">
        <v>100</v>
      </c>
      <c r="DO14" s="162" t="s">
        <v>101</v>
      </c>
      <c r="DR14" s="280" t="s">
        <v>142</v>
      </c>
      <c r="DS14" s="284" t="s">
        <v>143</v>
      </c>
      <c r="DT14" s="290" t="s">
        <v>144</v>
      </c>
    </row>
    <row r="15" spans="1:124" x14ac:dyDescent="0.15">
      <c r="A15" s="163" t="s">
        <v>102</v>
      </c>
      <c r="Y15" s="167"/>
    </row>
    <row r="16" spans="1:124" x14ac:dyDescent="0.15">
      <c r="Y16" s="167"/>
    </row>
    <row r="17" spans="25:25" x14ac:dyDescent="0.15">
      <c r="Y17" s="167"/>
    </row>
    <row r="18" spans="25:25" x14ac:dyDescent="0.15">
      <c r="Y18" s="167"/>
    </row>
    <row r="19" spans="25:25" x14ac:dyDescent="0.15">
      <c r="Y19" s="167"/>
    </row>
    <row r="20" spans="25:25" x14ac:dyDescent="0.15">
      <c r="Y20" s="167"/>
    </row>
    <row r="21" spans="25:25" x14ac:dyDescent="0.15">
      <c r="Y21" s="167"/>
    </row>
    <row r="22" spans="25:25" x14ac:dyDescent="0.15">
      <c r="Y22" s="167"/>
    </row>
    <row r="23" spans="25:25" x14ac:dyDescent="0.15">
      <c r="Y23" s="167"/>
    </row>
    <row r="24" spans="25:25" x14ac:dyDescent="0.15">
      <c r="Y24" s="167"/>
    </row>
    <row r="25" spans="25:25" x14ac:dyDescent="0.15">
      <c r="Y25" s="167"/>
    </row>
    <row r="26" spans="25:25" x14ac:dyDescent="0.15">
      <c r="Y26" s="167"/>
    </row>
    <row r="27" spans="25:25" x14ac:dyDescent="0.15">
      <c r="Y27" s="167"/>
    </row>
    <row r="28" spans="25:25" x14ac:dyDescent="0.15">
      <c r="Y28" s="167"/>
    </row>
    <row r="29" spans="25:25" x14ac:dyDescent="0.15">
      <c r="Y29" s="167"/>
    </row>
    <row r="30" spans="25:25" x14ac:dyDescent="0.15">
      <c r="Y30" s="167"/>
    </row>
    <row r="31" spans="25:25" x14ac:dyDescent="0.15">
      <c r="Y31" s="167"/>
    </row>
    <row r="32" spans="25:25" x14ac:dyDescent="0.15">
      <c r="Y32" s="167"/>
    </row>
  </sheetData>
  <phoneticPr fontId="4"/>
  <conditionalFormatting sqref="G15:G500000">
    <cfRule type="expression" dxfId="39" priority="17">
      <formula>F15&lt;&gt;""</formula>
    </cfRule>
  </conditionalFormatting>
  <conditionalFormatting sqref="H15:H500000">
    <cfRule type="expression" dxfId="38" priority="16">
      <formula>F15&lt;&gt;""</formula>
    </cfRule>
  </conditionalFormatting>
  <conditionalFormatting sqref="K6:K8">
    <cfRule type="cellIs" dxfId="37" priority="1" stopIfTrue="1" operator="equal">
      <formula>"解約"</formula>
    </cfRule>
    <cfRule type="cellIs" dxfId="36" priority="2" stopIfTrue="1" operator="equal">
      <formula>"途中解約"</formula>
    </cfRule>
    <cfRule type="cellIs" dxfId="35" priority="3" stopIfTrue="1" operator="equal">
      <formula>"契約"</formula>
    </cfRule>
  </conditionalFormatting>
  <conditionalFormatting sqref="K15:K500000">
    <cfRule type="cellIs" dxfId="34" priority="33" stopIfTrue="1" operator="equal">
      <formula>"途中解約"</formula>
    </cfRule>
    <cfRule type="cellIs" dxfId="33" priority="34" stopIfTrue="1" operator="equal">
      <formula>"契約"</formula>
    </cfRule>
    <cfRule type="cellIs" dxfId="32" priority="32" stopIfTrue="1" operator="equal">
      <formula>"解約"</formula>
    </cfRule>
  </conditionalFormatting>
  <conditionalFormatting sqref="T15:T500000">
    <cfRule type="expression" dxfId="29" priority="24" stopIfTrue="1">
      <formula>B15=" "</formula>
    </cfRule>
  </conditionalFormatting>
  <conditionalFormatting sqref="U15:U500000">
    <cfRule type="expression" dxfId="28" priority="18" stopIfTrue="1">
      <formula>B15=" "</formula>
    </cfRule>
  </conditionalFormatting>
  <conditionalFormatting sqref="V15:V500000">
    <cfRule type="expression" dxfId="27" priority="25" stopIfTrue="1">
      <formula>B15=" "</formula>
    </cfRule>
  </conditionalFormatting>
  <conditionalFormatting sqref="W15:W500000">
    <cfRule type="expression" dxfId="26" priority="26" stopIfTrue="1">
      <formula>B15=" "</formula>
    </cfRule>
  </conditionalFormatting>
  <conditionalFormatting sqref="X15:X500000">
    <cfRule type="expression" dxfId="25" priority="35" stopIfTrue="1">
      <formula>Z15="保守終息"</formula>
    </cfRule>
    <cfRule type="expression" dxfId="24" priority="36" stopIfTrue="1">
      <formula>Z15&lt;DATE(YEAR($F$8)+1,MONTH($F$8),DAY($F$8)+1)</formula>
    </cfRule>
    <cfRule type="expression" dxfId="23" priority="37" stopIfTrue="1">
      <formula>Z15&lt;DATE(YEAR($F$8)+2,MONTH($F$8),DAY($F$8)+1)</formula>
    </cfRule>
  </conditionalFormatting>
  <conditionalFormatting sqref="Y15:Y500000">
    <cfRule type="expression" dxfId="22" priority="38" stopIfTrue="1">
      <formula>Z15="保守終息"</formula>
    </cfRule>
    <cfRule type="expression" dxfId="21" priority="39" stopIfTrue="1">
      <formula>Z15&lt;DATE(YEAR($F$8)+1,MONTH($F$8),DAY($F$8)+1)</formula>
    </cfRule>
    <cfRule type="expression" dxfId="20" priority="40" stopIfTrue="1">
      <formula>Z15&lt;DATE(YEAR($F$8)+2,MONTH($F$8),DAY($F$8)+1)</formula>
    </cfRule>
  </conditionalFormatting>
  <conditionalFormatting sqref="Z15:Z500000">
    <cfRule type="expression" dxfId="19" priority="41" stopIfTrue="1">
      <formula>Z15="保守終息"</formula>
    </cfRule>
    <cfRule type="expression" dxfId="18" priority="42" stopIfTrue="1">
      <formula>Z15&lt;DATE(YEAR($F$8)+1,MONTH($F$8),DAY($F$8)+1)</formula>
    </cfRule>
    <cfRule type="expression" dxfId="17" priority="43" stopIfTrue="1">
      <formula>Z15&lt;DATE(YEAR($F$8)+2,MONTH($F$8),DAY($F$8)+1)</formula>
    </cfRule>
  </conditionalFormatting>
  <conditionalFormatting sqref="AA15:AA500000">
    <cfRule type="expression" dxfId="16" priority="44" stopIfTrue="1">
      <formula>Z15="保守終息"</formula>
    </cfRule>
    <cfRule type="expression" dxfId="15" priority="45" stopIfTrue="1">
      <formula>Z15&lt;DATE(YEAR($F$8)+1,MONTH($F$8),DAY($F$8)+1)</formula>
    </cfRule>
    <cfRule type="expression" dxfId="14" priority="46" stopIfTrue="1">
      <formula>Z15&lt;DATE(YEAR($F$8)+2,MONTH($F$8),DAY($F$8)+1)</formula>
    </cfRule>
  </conditionalFormatting>
  <conditionalFormatting sqref="AB15:AB500000">
    <cfRule type="expression" dxfId="13" priority="47" stopIfTrue="1">
      <formula>Z15="保守終息"</formula>
    </cfRule>
    <cfRule type="expression" dxfId="12" priority="48" stopIfTrue="1">
      <formula>Z15&lt;DATE(YEAR($F$8)+1,MONTH($F$8),DAY($F$8)+1)</formula>
    </cfRule>
    <cfRule type="expression" dxfId="11" priority="49" stopIfTrue="1">
      <formula>Z15&lt;DATE(YEAR($F$8)+2,MONTH($F$8),DAY($F$8)+1)</formula>
    </cfRule>
  </conditionalFormatting>
  <conditionalFormatting sqref="AC15:AC500000">
    <cfRule type="expression" dxfId="10" priority="50" stopIfTrue="1">
      <formula>Z15="保守終息"</formula>
    </cfRule>
    <cfRule type="expression" dxfId="9" priority="51" stopIfTrue="1">
      <formula>Z15&lt;DATE(YEAR($F$8)+1,MONTH($F$8),DAY($F$8)+1)</formula>
    </cfRule>
    <cfRule type="expression" dxfId="8" priority="52" stopIfTrue="1">
      <formula>Z15&lt;DATE(YEAR($F$8)+2,MONTH($F$8),DAY($F$8)+1)</formula>
    </cfRule>
  </conditionalFormatting>
  <conditionalFormatting sqref="AJ1:AK500000 AR1:AS500000">
    <cfRule type="cellIs" dxfId="7" priority="22" stopIfTrue="1" operator="notEqual">
      <formula>""</formula>
    </cfRule>
  </conditionalFormatting>
  <conditionalFormatting sqref="AL1:AL500000 AV1:AV500000">
    <cfRule type="cellIs" dxfId="6" priority="23" stopIfTrue="1" operator="notEqual">
      <formula>""</formula>
    </cfRule>
  </conditionalFormatting>
  <conditionalFormatting sqref="BO15:BO500000">
    <cfRule type="cellIs" dxfId="5" priority="30" stopIfTrue="1" operator="greaterThanOrEqual">
      <formula>1</formula>
    </cfRule>
  </conditionalFormatting>
  <conditionalFormatting sqref="BP15:CA500000">
    <cfRule type="cellIs" dxfId="4" priority="31" stopIfTrue="1" operator="equal">
      <formula>"○"</formula>
    </cfRule>
  </conditionalFormatting>
  <conditionalFormatting sqref="CJ15:CL500000">
    <cfRule type="cellIs" dxfId="3" priority="29" stopIfTrue="1" operator="equal">
      <formula>"有"</formula>
    </cfRule>
  </conditionalFormatting>
  <conditionalFormatting sqref="DK4:DL7">
    <cfRule type="cellIs" dxfId="2" priority="10" stopIfTrue="1" operator="equal">
      <formula>"保守終息済み"</formula>
    </cfRule>
    <cfRule type="cellIs" dxfId="1" priority="11" stopIfTrue="1" operator="equal">
      <formula>"終息1年未満"</formula>
    </cfRule>
    <cfRule type="cellIs" dxfId="0" priority="12" stopIfTrue="1" operator="equal">
      <formula>"終息2年未満"</formula>
    </cfRule>
  </conditionalFormatting>
  <dataValidations count="1">
    <dataValidation type="list" allowBlank="1" showInputMessage="1" showErrorMessage="1" sqref="DS15:DS1048576" xr:uid="{D45AA087-9744-46D9-A9EB-7023679E804B}">
      <formula1>"未提案,見積提出済,受注,失注"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9" stopIfTrue="1" operator="containsText" id="{A5B23657-F7D3-4C1D-80F4-319FD077DAAB}">
            <xm:f>NOT(ISERROR(SEARCH("解約",R15)))</xm:f>
            <xm:f>"解約"</xm:f>
            <x14:dxf>
              <font>
                <condense val="0"/>
                <extend val="0"/>
                <color indexed="10"/>
              </font>
              <fill>
                <patternFill>
                  <bgColor indexed="22"/>
                </patternFill>
              </fill>
            </x14:dxf>
          </x14:cfRule>
          <x14:cfRule type="containsText" priority="21" stopIfTrue="1" operator="containsText" id="{4BB75D71-8441-4AB4-9EB4-A9BC17E8B8C7}">
            <xm:f>NOT(ISERROR(SEARCH("契約",R15)))</xm:f>
            <xm:f>"契約"</xm:f>
            <x14:dxf>
              <font>
                <condense val="0"/>
                <extend val="0"/>
                <color indexed="12"/>
              </font>
              <fill>
                <patternFill>
                  <bgColor rgb="FFCCFFFF"/>
                </patternFill>
              </fill>
            </x14:dxf>
          </x14:cfRule>
          <xm:sqref>R15:R500000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AE491EDD13764D88190719B6224ADB" ma:contentTypeVersion="15" ma:contentTypeDescription="Create a new document." ma:contentTypeScope="" ma:versionID="823c389d00895c76704bda9034064646">
  <xsd:schema xmlns:xsd="http://www.w3.org/2001/XMLSchema" xmlns:xs="http://www.w3.org/2001/XMLSchema" xmlns:p="http://schemas.microsoft.com/office/2006/metadata/properties" xmlns:ns2="b075ea47-188e-4a1d-9770-01fa05ab10ec" xmlns:ns3="48bd5459-a69d-4fed-9917-44094b6c9e77" targetNamespace="http://schemas.microsoft.com/office/2006/metadata/properties" ma:root="true" ma:fieldsID="4d0e0a333e99821a446cddc18d889e13" ns2:_="" ns3:_="">
    <xsd:import namespace="b075ea47-188e-4a1d-9770-01fa05ab10ec"/>
    <xsd:import namespace="48bd5459-a69d-4fed-9917-44094b6c9e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_x627f__x8a8d__x30b9__x30c6__x30fc__x30bf__x30b9_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75ea47-188e-4a1d-9770-01fa05ab10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_x627f__x8a8d__x30b9__x30c6__x30fc__x30bf__x30b9_" ma:index="12" nillable="true" ma:displayName="承認ステータス" ma:format="Dropdown" ma:internalName="_x627f__x8a8d__x30b9__x30c6__x30fc__x30bf__x30b9_">
      <xsd:simpleType>
        <xsd:restriction base="dms:Choice">
          <xsd:enumeration value="未承認"/>
          <xsd:enumeration value="承認済"/>
          <xsd:enumeration value="選択肢 3"/>
        </xsd:restriction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34f751fe-e508-435b-9695-4e1b110d1f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bd5459-a69d-4fed-9917-44094b6c9e7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2d0d7532-2674-4ef1-91a7-8fd484d2f6a5}" ma:internalName="TaxCatchAll" ma:showField="CatchAllData" ma:web="48bd5459-a69d-4fed-9917-44094b6c9e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75ea47-188e-4a1d-9770-01fa05ab10ec">
      <Terms xmlns="http://schemas.microsoft.com/office/infopath/2007/PartnerControls"/>
    </lcf76f155ced4ddcb4097134ff3c332f>
    <_x627f__x8a8d__x30b9__x30c6__x30fc__x30bf__x30b9_ xmlns="b075ea47-188e-4a1d-9770-01fa05ab10ec" xsi:nil="true"/>
    <TaxCatchAll xmlns="48bd5459-a69d-4fed-9917-44094b6c9e77" xsi:nil="true"/>
    <SharedWithUsers xmlns="48bd5459-a69d-4fed-9917-44094b6c9e7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72442F11-7BBE-4660-8B7A-89528E42AC3C}"/>
</file>

<file path=customXml/itemProps2.xml><?xml version="1.0" encoding="utf-8"?>
<ds:datastoreItem xmlns:ds="http://schemas.openxmlformats.org/officeDocument/2006/customXml" ds:itemID="{68244BF3-3E7C-4853-B0F8-573E4D9F6684}"/>
</file>

<file path=customXml/itemProps3.xml><?xml version="1.0" encoding="utf-8"?>
<ds:datastoreItem xmlns:ds="http://schemas.openxmlformats.org/officeDocument/2006/customXml" ds:itemID="{4A5B4D05-7D81-4CE1-BE08-CA79824EDF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ALL</vt:lpstr>
    </vt:vector>
  </TitlesOfParts>
  <Company>（株）ダイフク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杉江 康一</dc:creator>
  <cp:lastModifiedBy>東澤 弘美(Hiromi HIGASHIZAWA)</cp:lastModifiedBy>
  <dcterms:created xsi:type="dcterms:W3CDTF">2014-11-17T23:12:45Z</dcterms:created>
  <dcterms:modified xsi:type="dcterms:W3CDTF">2025-04-02T02:24:10Z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0x010100DAAE491EDD13764D88190719B6224ADB</vt:lpwstr>
  </property>
  <property fmtid="{D5CDD505-2E9C-101B-9397-08002B2CF9AE}" pid="3" name="Order">
    <vt:r8>3658700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MediaServiceImageTags">
    <vt:lpwstr/>
  </property>
</Properties>
</file>