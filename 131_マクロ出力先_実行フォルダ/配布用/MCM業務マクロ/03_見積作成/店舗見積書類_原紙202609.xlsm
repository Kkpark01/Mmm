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保守見積作成\"/>
    </mc:Choice>
  </mc:AlternateContent>
  <xr:revisionPtr revIDLastSave="0" documentId="13_ncr:1_{8D83DF1A-60C1-481C-B196-9CF2FC65811A}" xr6:coauthVersionLast="47" xr6:coauthVersionMax="47" xr10:uidLastSave="{00000000-0000-0000-0000-000000000000}"/>
  <bookViews>
    <workbookView xWindow="615" yWindow="990" windowWidth="27735" windowHeight="14325" tabRatio="770" firstSheet="1" activeTab="1" xr2:uid="{00000000-000D-0000-FFFF-FFFF00000000}"/>
  </bookViews>
  <sheets>
    <sheet name="管理データ" sheetId="89" state="hidden" r:id="rId1"/>
    <sheet name="見積総括表" sheetId="56" r:id="rId2"/>
    <sheet name="RN前との比較" sheetId="91" r:id="rId3"/>
    <sheet name="特記事項" sheetId="81" r:id="rId4"/>
    <sheet name="保守仕様明細②-8H" sheetId="59" r:id="rId5"/>
    <sheet name="保守仕様明細②-24H" sheetId="74" r:id="rId6"/>
    <sheet name="原価明細②" sheetId="69" r:id="rId7"/>
    <sheet name="導入費④" sheetId="84" state="hidden" r:id="rId8"/>
    <sheet name="（別紙）8H保守時間表" sheetId="88" r:id="rId9"/>
  </sheets>
  <functionGroups builtInGroupCount="19"/>
  <definedNames>
    <definedName name="_xlnm._FilterDatabase" localSheetId="6" hidden="1">原価明細②!$L$1:$L$249</definedName>
    <definedName name="gencho" localSheetId="0">#REF!</definedName>
    <definedName name="genkeihi" localSheetId="0">#REF!</definedName>
    <definedName name="ksekkei" localSheetId="0">#REF!</definedName>
    <definedName name="pgkai" localSheetId="0">#REF!</definedName>
    <definedName name="_xlnm.Print_Area" localSheetId="8">'（別紙）8H保守時間表'!$A$1:$H$38</definedName>
    <definedName name="_xlnm.Print_Area" localSheetId="2">RN前との比較!$A$1:$AJ$59</definedName>
    <definedName name="_xlnm.Print_Area" localSheetId="1">見積総括表!$A$1:$AJ$58</definedName>
    <definedName name="_xlnm.Print_Area" localSheetId="6">原価明細②!$A$1:$L$250</definedName>
    <definedName name="_xlnm.Print_Area" localSheetId="7">導入費④!$A$1:$U$59</definedName>
    <definedName name="_xlnm.Print_Titles" localSheetId="6">原価明細②!$1:$5</definedName>
    <definedName name="_xlnm.Print_Titles" localSheetId="7">導入費④!$1:$5</definedName>
    <definedName name="ssekkei" localSheetId="0">#REF!</definedName>
    <definedName name="コントローラ費" localSheetId="0">#REF!</definedName>
    <definedName name="工事費計" localSheetId="0">#REF!</definedName>
    <definedName name="合計" localSheetId="0">#REF!</definedName>
    <definedName name="制作費計" localSheetId="0">#REF!</definedName>
  </definedNames>
  <calcPr calcId="191028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56" l="1"/>
  <c r="P44" i="56" s="1"/>
  <c r="Z43" i="56"/>
  <c r="Z44" i="56" s="1"/>
  <c r="AC44" i="56"/>
  <c r="S44" i="56"/>
  <c r="S237" i="69" l="1"/>
  <c r="R237" i="69"/>
  <c r="S202" i="69"/>
  <c r="R202" i="69"/>
  <c r="S167" i="69"/>
  <c r="R167" i="69"/>
  <c r="S132" i="69"/>
  <c r="R132" i="69"/>
  <c r="S97" i="69"/>
  <c r="R97" i="69"/>
  <c r="S62" i="69"/>
  <c r="R62" i="69"/>
  <c r="S27" i="69"/>
  <c r="R27" i="69"/>
  <c r="K222" i="69"/>
  <c r="K187" i="69"/>
  <c r="K152" i="69"/>
  <c r="K117" i="69"/>
  <c r="K82" i="69"/>
  <c r="K47" i="69"/>
  <c r="I222" i="69"/>
  <c r="I187" i="69"/>
  <c r="I152" i="69"/>
  <c r="I117" i="69"/>
  <c r="I82" i="69"/>
  <c r="I47" i="69"/>
  <c r="Q237" i="69"/>
  <c r="P237" i="69"/>
  <c r="Q202" i="69"/>
  <c r="P202" i="69"/>
  <c r="Q167" i="69"/>
  <c r="P167" i="69"/>
  <c r="Q132" i="69"/>
  <c r="P132" i="69"/>
  <c r="Q97" i="69"/>
  <c r="P97" i="69"/>
  <c r="Q62" i="69"/>
  <c r="P62" i="69"/>
  <c r="Q27" i="69"/>
  <c r="P27" i="69"/>
  <c r="O237" i="69"/>
  <c r="Q222" i="69"/>
  <c r="P222" i="69"/>
  <c r="O202" i="69"/>
  <c r="Q187" i="69"/>
  <c r="P187" i="69"/>
  <c r="O167" i="69"/>
  <c r="Q152" i="69"/>
  <c r="P152" i="69"/>
  <c r="O132" i="69"/>
  <c r="Q117" i="69"/>
  <c r="P117" i="69"/>
  <c r="O97" i="69"/>
  <c r="Q82" i="69"/>
  <c r="P82" i="69"/>
  <c r="B249" i="69"/>
  <c r="B214" i="69"/>
  <c r="B179" i="69"/>
  <c r="B144" i="69"/>
  <c r="B109" i="69"/>
  <c r="B74" i="69"/>
  <c r="B39" i="69"/>
  <c r="Q47" i="69"/>
  <c r="P47" i="69"/>
  <c r="P12" i="69" l="1"/>
  <c r="Q12" i="69"/>
  <c r="P174" i="69"/>
  <c r="P139" i="69"/>
  <c r="P104" i="69"/>
  <c r="P69" i="69"/>
  <c r="O62" i="69"/>
  <c r="P34" i="69"/>
  <c r="O27" i="69"/>
  <c r="O5" i="69"/>
  <c r="O2" i="69"/>
  <c r="O17" i="91"/>
  <c r="O11" i="91"/>
  <c r="I225" i="69"/>
  <c r="K225" i="69"/>
  <c r="K155" i="69"/>
  <c r="I190" i="69"/>
  <c r="I155" i="69"/>
  <c r="K120" i="69"/>
  <c r="I85" i="69"/>
  <c r="K85" i="69"/>
  <c r="I120" i="69"/>
  <c r="K50" i="69"/>
  <c r="K15" i="69"/>
  <c r="K190" i="69"/>
  <c r="I15" i="69"/>
  <c r="I50" i="69"/>
  <c r="L4" i="69" l="1"/>
  <c r="E4" i="69"/>
  <c r="E3" i="69"/>
  <c r="L2" i="69"/>
  <c r="E2" i="69"/>
  <c r="AE4" i="91"/>
  <c r="F4" i="91"/>
  <c r="F3" i="91"/>
  <c r="AE2" i="91"/>
  <c r="F2" i="91"/>
  <c r="AE4" i="81"/>
  <c r="F4" i="81"/>
  <c r="F3" i="81"/>
  <c r="AE2" i="81"/>
  <c r="F2" i="81"/>
  <c r="N2" i="74"/>
  <c r="N2" i="59"/>
  <c r="K245" i="69" l="1"/>
  <c r="S245" i="69" s="1"/>
  <c r="I245" i="69"/>
  <c r="R245" i="69" s="1"/>
  <c r="J244" i="69"/>
  <c r="S243" i="69" s="1"/>
  <c r="H244" i="69"/>
  <c r="J237" i="69"/>
  <c r="H237" i="69"/>
  <c r="J236" i="69"/>
  <c r="H236" i="69"/>
  <c r="J235" i="69"/>
  <c r="H235" i="69"/>
  <c r="J234" i="69"/>
  <c r="H234" i="69"/>
  <c r="J233" i="69"/>
  <c r="H233" i="69"/>
  <c r="J232" i="69"/>
  <c r="H232" i="69"/>
  <c r="J224" i="69"/>
  <c r="H224" i="69"/>
  <c r="J223" i="69"/>
  <c r="H223" i="69"/>
  <c r="J222" i="69"/>
  <c r="H222" i="69"/>
  <c r="K210" i="69"/>
  <c r="S210" i="69" s="1"/>
  <c r="I210" i="69"/>
  <c r="R210" i="69" s="1"/>
  <c r="J209" i="69"/>
  <c r="S208" i="69" s="1"/>
  <c r="H209" i="69"/>
  <c r="R208" i="69" s="1"/>
  <c r="J202" i="69"/>
  <c r="H202" i="69"/>
  <c r="J201" i="69"/>
  <c r="H201" i="69"/>
  <c r="J200" i="69"/>
  <c r="H200" i="69"/>
  <c r="J199" i="69"/>
  <c r="H199" i="69"/>
  <c r="J198" i="69"/>
  <c r="H198" i="69"/>
  <c r="J197" i="69"/>
  <c r="H197" i="69"/>
  <c r="J189" i="69"/>
  <c r="H189" i="69"/>
  <c r="J188" i="69"/>
  <c r="H188" i="69"/>
  <c r="J187" i="69"/>
  <c r="H187" i="69"/>
  <c r="K175" i="69"/>
  <c r="S175" i="69" s="1"/>
  <c r="I175" i="69"/>
  <c r="R175" i="69" s="1"/>
  <c r="J174" i="69"/>
  <c r="H174" i="69"/>
  <c r="R173" i="69" s="1"/>
  <c r="J167" i="69"/>
  <c r="H167" i="69"/>
  <c r="J166" i="69"/>
  <c r="H166" i="69"/>
  <c r="J165" i="69"/>
  <c r="H165" i="69"/>
  <c r="J164" i="69"/>
  <c r="H164" i="69"/>
  <c r="J163" i="69"/>
  <c r="H163" i="69"/>
  <c r="J162" i="69"/>
  <c r="H162" i="69"/>
  <c r="J154" i="69"/>
  <c r="H154" i="69"/>
  <c r="J153" i="69"/>
  <c r="H153" i="69"/>
  <c r="J152" i="69"/>
  <c r="H152" i="69"/>
  <c r="K140" i="69"/>
  <c r="S140" i="69" s="1"/>
  <c r="I140" i="69"/>
  <c r="R140" i="69" s="1"/>
  <c r="J139" i="69"/>
  <c r="S138" i="69" s="1"/>
  <c r="H139" i="69"/>
  <c r="J132" i="69"/>
  <c r="H132" i="69"/>
  <c r="J131" i="69"/>
  <c r="H131" i="69"/>
  <c r="J130" i="69"/>
  <c r="H130" i="69"/>
  <c r="J129" i="69"/>
  <c r="H129" i="69"/>
  <c r="J128" i="69"/>
  <c r="H128" i="69"/>
  <c r="J127" i="69"/>
  <c r="H127" i="69"/>
  <c r="J119" i="69"/>
  <c r="H119" i="69"/>
  <c r="J118" i="69"/>
  <c r="H118" i="69"/>
  <c r="J117" i="69"/>
  <c r="H117" i="69"/>
  <c r="K105" i="69"/>
  <c r="S105" i="69" s="1"/>
  <c r="I105" i="69"/>
  <c r="R105" i="69" s="1"/>
  <c r="J104" i="69"/>
  <c r="H104" i="69"/>
  <c r="J97" i="69"/>
  <c r="H97" i="69"/>
  <c r="J96" i="69"/>
  <c r="H96" i="69"/>
  <c r="J95" i="69"/>
  <c r="H95" i="69"/>
  <c r="J94" i="69"/>
  <c r="H94" i="69"/>
  <c r="J93" i="69"/>
  <c r="H93" i="69"/>
  <c r="J92" i="69"/>
  <c r="H92" i="69"/>
  <c r="J84" i="69"/>
  <c r="H84" i="69"/>
  <c r="J83" i="69"/>
  <c r="H83" i="69"/>
  <c r="J82" i="69"/>
  <c r="H82" i="69"/>
  <c r="K70" i="69"/>
  <c r="S70" i="69" s="1"/>
  <c r="I70" i="69"/>
  <c r="R70" i="69" s="1"/>
  <c r="J69" i="69"/>
  <c r="S68" i="69" s="1"/>
  <c r="H69" i="69"/>
  <c r="J62" i="69"/>
  <c r="H62" i="69"/>
  <c r="J61" i="69"/>
  <c r="H61" i="69"/>
  <c r="J60" i="69"/>
  <c r="H60" i="69"/>
  <c r="J59" i="69"/>
  <c r="H59" i="69"/>
  <c r="J58" i="69"/>
  <c r="H58" i="69"/>
  <c r="J57" i="69"/>
  <c r="H57" i="69"/>
  <c r="J49" i="69"/>
  <c r="H49" i="69"/>
  <c r="J48" i="69"/>
  <c r="H48" i="69"/>
  <c r="J47" i="69"/>
  <c r="H47" i="69"/>
  <c r="K35" i="69"/>
  <c r="S35" i="69" s="1"/>
  <c r="I35" i="69"/>
  <c r="R35" i="69" s="1"/>
  <c r="J34" i="69"/>
  <c r="S33" i="69" s="1"/>
  <c r="H34" i="69"/>
  <c r="R33" i="69" s="1"/>
  <c r="J27" i="69"/>
  <c r="H27" i="69"/>
  <c r="J26" i="69"/>
  <c r="H26" i="69"/>
  <c r="J25" i="69"/>
  <c r="H25" i="69"/>
  <c r="J24" i="69"/>
  <c r="H24" i="69"/>
  <c r="J23" i="69"/>
  <c r="H23" i="69"/>
  <c r="J22" i="69"/>
  <c r="H22" i="69"/>
  <c r="J14" i="69"/>
  <c r="H14" i="69"/>
  <c r="J13" i="69"/>
  <c r="H13" i="69"/>
  <c r="J12" i="69"/>
  <c r="H12" i="69"/>
  <c r="I12" i="69" l="1"/>
  <c r="K12" i="69"/>
  <c r="R104" i="69"/>
  <c r="R103" i="69"/>
  <c r="K104" i="69"/>
  <c r="S103" i="69"/>
  <c r="I139" i="69"/>
  <c r="R138" i="69"/>
  <c r="K174" i="69"/>
  <c r="S173" i="69"/>
  <c r="I244" i="69"/>
  <c r="R243" i="69"/>
  <c r="I69" i="69"/>
  <c r="R68" i="69"/>
  <c r="I209" i="69"/>
  <c r="S209" i="69"/>
  <c r="K209" i="69"/>
  <c r="R174" i="69"/>
  <c r="S34" i="69"/>
  <c r="K69" i="69"/>
  <c r="I104" i="69"/>
  <c r="S104" i="69"/>
  <c r="K139" i="69"/>
  <c r="I174" i="69"/>
  <c r="S174" i="69"/>
  <c r="K244" i="69"/>
  <c r="R34" i="69"/>
  <c r="R69" i="69"/>
  <c r="R139" i="69"/>
  <c r="R244" i="69"/>
  <c r="S69" i="69"/>
  <c r="S139" i="69"/>
  <c r="R209" i="69"/>
  <c r="S244" i="69"/>
  <c r="I21" i="91" l="1"/>
  <c r="I20" i="91"/>
  <c r="I15" i="91"/>
  <c r="I14" i="91"/>
  <c r="U21" i="91"/>
  <c r="U20" i="91"/>
  <c r="U19" i="91"/>
  <c r="U18" i="91"/>
  <c r="U15" i="91"/>
  <c r="U14" i="91"/>
  <c r="U13" i="91"/>
  <c r="U12" i="91"/>
  <c r="AH46" i="56" l="1"/>
  <c r="X46" i="56"/>
  <c r="AE3" i="91" l="1"/>
  <c r="Q249" i="69" l="1"/>
  <c r="Q214" i="69"/>
  <c r="Q179" i="69"/>
  <c r="Q144" i="69"/>
  <c r="Q109" i="69"/>
  <c r="Q74" i="69"/>
  <c r="Q39" i="69"/>
  <c r="P18" i="56"/>
  <c r="X18" i="56" s="1"/>
  <c r="P17" i="56"/>
  <c r="X17" i="56" s="1"/>
  <c r="P16" i="56"/>
  <c r="X16" i="56" s="1"/>
  <c r="P15" i="56"/>
  <c r="X15" i="56" s="1"/>
  <c r="Z18" i="56"/>
  <c r="AH18" i="56" s="1"/>
  <c r="Z17" i="56"/>
  <c r="AH17" i="56" s="1"/>
  <c r="Z16" i="56"/>
  <c r="AH16" i="56" s="1"/>
  <c r="Z15" i="56"/>
  <c r="AH15" i="56" s="1"/>
  <c r="AC18" i="56"/>
  <c r="AC17" i="56"/>
  <c r="AC16" i="56"/>
  <c r="AC15" i="56"/>
  <c r="P13" i="56"/>
  <c r="Z13" i="56"/>
  <c r="AC12" i="56"/>
  <c r="P12" i="56"/>
  <c r="AC13" i="56"/>
  <c r="P14" i="56"/>
  <c r="Z12" i="56"/>
  <c r="AC14" i="56"/>
  <c r="Z14" i="56"/>
  <c r="AH14" i="56" l="1"/>
  <c r="AH12" i="56"/>
  <c r="AH13" i="56"/>
  <c r="X14" i="56"/>
  <c r="X12" i="56"/>
  <c r="X13" i="56"/>
  <c r="Z19" i="56"/>
  <c r="AH19" i="56" s="1"/>
  <c r="P19" i="56"/>
  <c r="X19" i="56" s="1"/>
  <c r="AC19" i="56"/>
  <c r="A27" i="59" l="1"/>
  <c r="A26" i="59"/>
  <c r="A25" i="59"/>
  <c r="A27" i="74"/>
  <c r="A26" i="74"/>
  <c r="A25" i="74"/>
  <c r="P19" i="84"/>
  <c r="P244" i="69" l="1"/>
  <c r="P209" i="69"/>
  <c r="K34" i="69" l="1"/>
  <c r="I34" i="69"/>
  <c r="S4" i="84" l="1"/>
  <c r="S3" i="84"/>
  <c r="S2" i="84"/>
  <c r="E4" i="84"/>
  <c r="E3" i="84"/>
  <c r="E2" i="84"/>
  <c r="AE3" i="81"/>
  <c r="R39" i="69" l="1"/>
  <c r="S39" i="69"/>
  <c r="S18" i="56"/>
  <c r="S17" i="56"/>
  <c r="S16" i="56"/>
  <c r="S15" i="56"/>
  <c r="S14" i="56"/>
  <c r="S13" i="56"/>
  <c r="S12" i="56"/>
  <c r="S19" i="56" l="1"/>
  <c r="E42" i="56"/>
  <c r="E41" i="56"/>
  <c r="E40" i="56"/>
  <c r="E39" i="56"/>
  <c r="E38" i="56"/>
  <c r="E37" i="56"/>
  <c r="E36" i="56"/>
  <c r="E34" i="56"/>
  <c r="E33" i="56"/>
  <c r="E32" i="56"/>
  <c r="E31" i="56"/>
  <c r="E30" i="56"/>
  <c r="E29" i="56"/>
  <c r="E28" i="56"/>
  <c r="E26" i="56"/>
  <c r="E25" i="56"/>
  <c r="E24" i="56"/>
  <c r="E23" i="56"/>
  <c r="E22" i="56"/>
  <c r="E21" i="56"/>
  <c r="E20" i="56"/>
  <c r="S32" i="56" l="1"/>
  <c r="AC32" i="56"/>
  <c r="Q154" i="69" s="1"/>
  <c r="Z32" i="56"/>
  <c r="AH32" i="56" s="1"/>
  <c r="P32" i="56"/>
  <c r="X32" i="56" s="1"/>
  <c r="H4" i="74"/>
  <c r="H4" i="59"/>
  <c r="A42" i="69"/>
  <c r="AC31" i="56"/>
  <c r="P31" i="56"/>
  <c r="X31" i="56" s="1"/>
  <c r="Z31" i="56"/>
  <c r="AH31" i="56" s="1"/>
  <c r="S31" i="56"/>
  <c r="P119" i="69" s="1"/>
  <c r="S33" i="56"/>
  <c r="P189" i="69" s="1"/>
  <c r="Z33" i="56"/>
  <c r="AH33" i="56" s="1"/>
  <c r="AC33" i="56"/>
  <c r="P33" i="56"/>
  <c r="X33" i="56" s="1"/>
  <c r="I4" i="59"/>
  <c r="A77" i="69"/>
  <c r="I4" i="74"/>
  <c r="M4" i="59"/>
  <c r="M4" i="74"/>
  <c r="A217" i="69"/>
  <c r="A7" i="69"/>
  <c r="G4" i="59"/>
  <c r="G4" i="74"/>
  <c r="P34" i="56"/>
  <c r="Z34" i="56"/>
  <c r="S34" i="56"/>
  <c r="P224" i="69" s="1"/>
  <c r="AC34" i="56"/>
  <c r="J4" i="59"/>
  <c r="A112" i="69"/>
  <c r="J4" i="74"/>
  <c r="K4" i="59"/>
  <c r="A147" i="69"/>
  <c r="K4" i="74"/>
  <c r="L4" i="74"/>
  <c r="A182" i="69"/>
  <c r="L4" i="59"/>
  <c r="Z28" i="56"/>
  <c r="AH28" i="56" s="1"/>
  <c r="P28" i="56"/>
  <c r="X28" i="56" s="1"/>
  <c r="S28" i="56"/>
  <c r="AC28" i="56"/>
  <c r="AC29" i="56"/>
  <c r="S29" i="56"/>
  <c r="P29" i="56"/>
  <c r="X29" i="56" s="1"/>
  <c r="Z29" i="56"/>
  <c r="AH29" i="56" s="1"/>
  <c r="AC30" i="56"/>
  <c r="Z30" i="56"/>
  <c r="AH30" i="56" s="1"/>
  <c r="S30" i="56"/>
  <c r="P30" i="56"/>
  <c r="X30" i="56" s="1"/>
  <c r="AC26" i="56"/>
  <c r="Z26" i="56"/>
  <c r="AH26" i="56" s="1"/>
  <c r="P26" i="56"/>
  <c r="X26" i="56" s="1"/>
  <c r="P42" i="56"/>
  <c r="X42" i="56" s="1"/>
  <c r="AC42" i="56"/>
  <c r="Z42" i="56"/>
  <c r="AH42" i="56" s="1"/>
  <c r="S42" i="56"/>
  <c r="AC41" i="56"/>
  <c r="Z41" i="56"/>
  <c r="AH41" i="56" s="1"/>
  <c r="P41" i="56"/>
  <c r="X41" i="56" s="1"/>
  <c r="S41" i="56"/>
  <c r="AC25" i="56"/>
  <c r="Z25" i="56"/>
  <c r="AH25" i="56" s="1"/>
  <c r="P25" i="56"/>
  <c r="X25" i="56" s="1"/>
  <c r="P40" i="56"/>
  <c r="X40" i="56" s="1"/>
  <c r="Z40" i="56"/>
  <c r="AH40" i="56" s="1"/>
  <c r="S40" i="56"/>
  <c r="AC40" i="56"/>
  <c r="AC24" i="56"/>
  <c r="Z24" i="56"/>
  <c r="AH24" i="56" s="1"/>
  <c r="P24" i="56"/>
  <c r="X24" i="56" s="1"/>
  <c r="AC23" i="56"/>
  <c r="Z23" i="56"/>
  <c r="AH23" i="56" s="1"/>
  <c r="P23" i="56"/>
  <c r="X23" i="56" s="1"/>
  <c r="AC39" i="56"/>
  <c r="P39" i="56"/>
  <c r="X39" i="56" s="1"/>
  <c r="Z39" i="56"/>
  <c r="AH39" i="56" s="1"/>
  <c r="S39" i="56"/>
  <c r="S25" i="56"/>
  <c r="S26" i="56"/>
  <c r="S23" i="56"/>
  <c r="S24" i="56"/>
  <c r="Q119" i="69" l="1"/>
  <c r="Q224" i="69"/>
  <c r="Q189" i="69"/>
  <c r="P154" i="69"/>
  <c r="X34" i="56"/>
  <c r="AH34" i="56"/>
  <c r="P35" i="56"/>
  <c r="AC35" i="56"/>
  <c r="Z35" i="56"/>
  <c r="S35" i="56"/>
  <c r="Q22" i="84"/>
  <c r="Q21" i="84"/>
  <c r="Q20" i="84"/>
  <c r="Q19" i="84"/>
  <c r="Q13" i="84"/>
  <c r="Q12" i="84"/>
  <c r="Q11" i="84"/>
  <c r="Q10" i="84"/>
  <c r="Q9" i="84"/>
  <c r="I28" i="69"/>
  <c r="Z20" i="56"/>
  <c r="Z22" i="56"/>
  <c r="AC22" i="56"/>
  <c r="S22" i="56"/>
  <c r="Z21" i="56"/>
  <c r="AC21" i="56"/>
  <c r="P21" i="56"/>
  <c r="S21" i="56"/>
  <c r="P22" i="56"/>
  <c r="P20" i="56"/>
  <c r="S179" i="69" l="1"/>
  <c r="X35" i="56"/>
  <c r="AH35" i="56"/>
  <c r="Q14" i="84"/>
  <c r="I133" i="69"/>
  <c r="R144" i="69"/>
  <c r="K203" i="69"/>
  <c r="S214" i="69"/>
  <c r="I238" i="69"/>
  <c r="R249" i="69"/>
  <c r="I98" i="69"/>
  <c r="R109" i="69"/>
  <c r="I63" i="69"/>
  <c r="R74" i="69"/>
  <c r="K133" i="69"/>
  <c r="S144" i="69"/>
  <c r="I168" i="69"/>
  <c r="R179" i="69"/>
  <c r="K238" i="69"/>
  <c r="S249" i="69"/>
  <c r="K63" i="69"/>
  <c r="S74" i="69"/>
  <c r="K168" i="69"/>
  <c r="I203" i="69"/>
  <c r="R214" i="69"/>
  <c r="K98" i="69"/>
  <c r="S109" i="69"/>
  <c r="AH21" i="56"/>
  <c r="AH22" i="56"/>
  <c r="AH20" i="56"/>
  <c r="X20" i="56"/>
  <c r="X22" i="56"/>
  <c r="X21" i="56"/>
  <c r="P27" i="56"/>
  <c r="X27" i="56" s="1"/>
  <c r="P36" i="56"/>
  <c r="P14" i="69" s="1"/>
  <c r="P38" i="56"/>
  <c r="P37" i="56"/>
  <c r="P49" i="69" s="1"/>
  <c r="Z38" i="56"/>
  <c r="Z37" i="56"/>
  <c r="Z36" i="56"/>
  <c r="Q14" i="69" s="1"/>
  <c r="Z27" i="56"/>
  <c r="AH27" i="56" s="1"/>
  <c r="S38" i="56"/>
  <c r="S37" i="56"/>
  <c r="AC38" i="56"/>
  <c r="AC37" i="56"/>
  <c r="I106" i="69"/>
  <c r="K71" i="69"/>
  <c r="I246" i="69"/>
  <c r="K141" i="69"/>
  <c r="K176" i="69"/>
  <c r="I176" i="69"/>
  <c r="I141" i="69"/>
  <c r="K106" i="69"/>
  <c r="I71" i="69"/>
  <c r="K36" i="69"/>
  <c r="K28" i="69"/>
  <c r="Q23" i="84"/>
  <c r="Q26" i="84" s="1"/>
  <c r="I211" i="69"/>
  <c r="K246" i="69"/>
  <c r="I36" i="69"/>
  <c r="K211" i="69"/>
  <c r="AC20" i="56"/>
  <c r="X38" i="56" l="1"/>
  <c r="P84" i="69"/>
  <c r="AH37" i="56"/>
  <c r="Q49" i="69"/>
  <c r="AH38" i="56"/>
  <c r="Q84" i="69"/>
  <c r="K226" i="69"/>
  <c r="K249" i="69" s="1"/>
  <c r="K191" i="69"/>
  <c r="K214" i="69" s="1"/>
  <c r="I156" i="69"/>
  <c r="I179" i="69" s="1"/>
  <c r="I121" i="69"/>
  <c r="I144" i="69" s="1"/>
  <c r="K121" i="69"/>
  <c r="K144" i="69" s="1"/>
  <c r="I86" i="69"/>
  <c r="I109" i="69" s="1"/>
  <c r="K86" i="69"/>
  <c r="K109" i="69" s="1"/>
  <c r="I16" i="69"/>
  <c r="I39" i="69" s="1"/>
  <c r="K16" i="69"/>
  <c r="K39" i="69" s="1"/>
  <c r="X37" i="56"/>
  <c r="I226" i="69"/>
  <c r="I249" i="69" s="1"/>
  <c r="I191" i="69"/>
  <c r="I214" i="69" s="1"/>
  <c r="O19" i="91"/>
  <c r="X36" i="56"/>
  <c r="O13" i="91"/>
  <c r="AH36" i="56"/>
  <c r="AC36" i="56"/>
  <c r="AC27" i="56"/>
  <c r="S20" i="56"/>
  <c r="K156" i="69" l="1"/>
  <c r="K179" i="69" s="1"/>
  <c r="K51" i="69"/>
  <c r="K74" i="69" s="1"/>
  <c r="I51" i="69"/>
  <c r="I74" i="69" s="1"/>
  <c r="AH44" i="56"/>
  <c r="AC45" i="56"/>
  <c r="AC46" i="56" s="1"/>
  <c r="X44" i="56"/>
  <c r="S27" i="56"/>
  <c r="S36" i="56"/>
  <c r="AC50" i="56" l="1"/>
  <c r="O18" i="91" s="1"/>
  <c r="Z47" i="56"/>
  <c r="Z49" i="56"/>
  <c r="Z48" i="56"/>
  <c r="S45" i="56"/>
  <c r="S46" i="56" s="1"/>
  <c r="S50" i="56" s="1"/>
  <c r="O20" i="91" l="1"/>
  <c r="O21" i="91" s="1"/>
  <c r="O12" i="91"/>
  <c r="P47" i="56"/>
  <c r="P48" i="56"/>
  <c r="P49" i="56"/>
  <c r="Z50" i="56"/>
  <c r="AH50" i="56" s="1"/>
  <c r="O14" i="91" l="1"/>
  <c r="O15" i="91" s="1"/>
  <c r="P50" i="56"/>
  <c r="X50" i="56" s="1"/>
</calcChain>
</file>

<file path=xl/sharedStrings.xml><?xml version="1.0" encoding="utf-8"?>
<sst xmlns="http://schemas.openxmlformats.org/spreadsheetml/2006/main" count="1032" uniqueCount="314">
  <si>
    <t>シート名</t>
    <rPh sb="3" eb="4">
      <t>メイ</t>
    </rPh>
    <phoneticPr fontId="21"/>
  </si>
  <si>
    <t>項目列</t>
    <rPh sb="0" eb="2">
      <t>コウモク</t>
    </rPh>
    <rPh sb="2" eb="3">
      <t>レツ</t>
    </rPh>
    <phoneticPr fontId="21"/>
  </si>
  <si>
    <t>8h保守金額</t>
    <rPh sb="2" eb="4">
      <t>ホシュ</t>
    </rPh>
    <rPh sb="4" eb="6">
      <t>キンガク</t>
    </rPh>
    <phoneticPr fontId="21"/>
  </si>
  <si>
    <t>24h保守金額</t>
    <rPh sb="3" eb="5">
      <t>ホシュ</t>
    </rPh>
    <rPh sb="5" eb="7">
      <t>キンガク</t>
    </rPh>
    <phoneticPr fontId="21"/>
  </si>
  <si>
    <t>8h原価</t>
    <rPh sb="2" eb="4">
      <t>ゲンカ</t>
    </rPh>
    <phoneticPr fontId="21"/>
  </si>
  <si>
    <t>24h原価</t>
    <rPh sb="3" eb="5">
      <t>ゲンカ</t>
    </rPh>
    <phoneticPr fontId="21"/>
  </si>
  <si>
    <t>構成シート</t>
    <rPh sb="0" eb="2">
      <t>コウセイ</t>
    </rPh>
    <phoneticPr fontId="21"/>
  </si>
  <si>
    <t>原価明細①'!</t>
    <phoneticPr fontId="21"/>
  </si>
  <si>
    <t>B:B</t>
    <phoneticPr fontId="21"/>
  </si>
  <si>
    <t>J:J</t>
    <phoneticPr fontId="21"/>
  </si>
  <si>
    <t>O:O</t>
    <phoneticPr fontId="21"/>
  </si>
  <si>
    <t>H:H</t>
    <phoneticPr fontId="21"/>
  </si>
  <si>
    <t>M:M</t>
    <phoneticPr fontId="21"/>
  </si>
  <si>
    <t>原価明細②'!</t>
    <phoneticPr fontId="21"/>
  </si>
  <si>
    <t>I:I</t>
    <phoneticPr fontId="21"/>
  </si>
  <si>
    <t>K:K</t>
    <phoneticPr fontId="21"/>
  </si>
  <si>
    <t>R:R</t>
    <phoneticPr fontId="21"/>
  </si>
  <si>
    <t>S:S</t>
    <phoneticPr fontId="21"/>
  </si>
  <si>
    <t>原価明細(BoxCell)③'!</t>
    <phoneticPr fontId="21"/>
  </si>
  <si>
    <t>原価明細(PC)③'!</t>
    <phoneticPr fontId="21"/>
  </si>
  <si>
    <t>システム保守見積原価計算書</t>
    <rPh sb="8" eb="10">
      <t>ゲンカ</t>
    </rPh>
    <rPh sb="10" eb="13">
      <t>ケイサンショ</t>
    </rPh>
    <phoneticPr fontId="21"/>
  </si>
  <si>
    <t>作成日</t>
    <rPh sb="0" eb="3">
      <t>サクセイビ</t>
    </rPh>
    <phoneticPr fontId="21"/>
  </si>
  <si>
    <t>見積有効期限</t>
    <rPh sb="0" eb="6">
      <t>ミツモリユウコウキゲン</t>
    </rPh>
    <phoneticPr fontId="21"/>
  </si>
  <si>
    <t>作成日より3ヶ月間</t>
    <rPh sb="0" eb="3">
      <t>サクセイビ</t>
    </rPh>
    <rPh sb="7" eb="8">
      <t>ゲツ</t>
    </rPh>
    <rPh sb="8" eb="9">
      <t>カン</t>
    </rPh>
    <phoneticPr fontId="21"/>
  </si>
  <si>
    <t>納入先</t>
    <rPh sb="0" eb="2">
      <t>ノウニュウ</t>
    </rPh>
    <rPh sb="2" eb="3">
      <t>サキ</t>
    </rPh>
    <phoneticPr fontId="21"/>
  </si>
  <si>
    <t>工場名</t>
    <rPh sb="0" eb="2">
      <t>コウジョウ</t>
    </rPh>
    <rPh sb="2" eb="3">
      <t>メイ</t>
    </rPh>
    <phoneticPr fontId="21"/>
  </si>
  <si>
    <t>システム名</t>
    <rPh sb="4" eb="5">
      <t>メイ</t>
    </rPh>
    <phoneticPr fontId="21"/>
  </si>
  <si>
    <t>サポートID</t>
    <phoneticPr fontId="21"/>
  </si>
  <si>
    <t>担当店舗</t>
    <rPh sb="0" eb="2">
      <t>タントウ</t>
    </rPh>
    <rPh sb="2" eb="4">
      <t>テンポ</t>
    </rPh>
    <phoneticPr fontId="21"/>
  </si>
  <si>
    <t>適用期間</t>
    <rPh sb="0" eb="2">
      <t>テキヨウ</t>
    </rPh>
    <rPh sb="2" eb="4">
      <t>キカン</t>
    </rPh>
    <phoneticPr fontId="21"/>
  </si>
  <si>
    <t>8時間保守</t>
    <rPh sb="1" eb="3">
      <t>ジカン</t>
    </rPh>
    <rPh sb="3" eb="5">
      <t>ホシュ</t>
    </rPh>
    <phoneticPr fontId="21"/>
  </si>
  <si>
    <t>24時間保守</t>
    <rPh sb="2" eb="4">
      <t>ジカン</t>
    </rPh>
    <rPh sb="4" eb="6">
      <t>ホシュ</t>
    </rPh>
    <phoneticPr fontId="21"/>
  </si>
  <si>
    <t>見積No</t>
    <rPh sb="0" eb="2">
      <t>ミツモリ</t>
    </rPh>
    <phoneticPr fontId="21"/>
  </si>
  <si>
    <t>05SC4911</t>
    <phoneticPr fontId="21"/>
  </si>
  <si>
    <t>05SC4911</t>
  </si>
  <si>
    <t>①情報系ハード</t>
    <rPh sb="1" eb="4">
      <t>ジョウホウケイ</t>
    </rPh>
    <phoneticPr fontId="21"/>
  </si>
  <si>
    <t>項</t>
    <rPh sb="0" eb="1">
      <t>コウ</t>
    </rPh>
    <phoneticPr fontId="21"/>
  </si>
  <si>
    <t>プロダクト名</t>
    <rPh sb="5" eb="6">
      <t>メイ</t>
    </rPh>
    <phoneticPr fontId="21"/>
  </si>
  <si>
    <t>原価金額</t>
    <rPh sb="0" eb="2">
      <t>ゲンカ</t>
    </rPh>
    <rPh sb="2" eb="4">
      <t>キンガク</t>
    </rPh>
    <phoneticPr fontId="21"/>
  </si>
  <si>
    <t>見積金額</t>
    <rPh sb="0" eb="2">
      <t>ミツモリ</t>
    </rPh>
    <rPh sb="2" eb="4">
      <t>キンガク</t>
    </rPh>
    <phoneticPr fontId="21"/>
  </si>
  <si>
    <t>原価率</t>
    <rPh sb="0" eb="2">
      <t>ゲンカ</t>
    </rPh>
    <rPh sb="2" eb="3">
      <t>リツ</t>
    </rPh>
    <phoneticPr fontId="21"/>
  </si>
  <si>
    <t>①-1</t>
    <phoneticPr fontId="21"/>
  </si>
  <si>
    <t>①-2</t>
    <phoneticPr fontId="21"/>
  </si>
  <si>
    <t>①-3</t>
    <phoneticPr fontId="21"/>
  </si>
  <si>
    <t>①-4</t>
  </si>
  <si>
    <t>①-5</t>
  </si>
  <si>
    <t>①-6</t>
  </si>
  <si>
    <t>①-7</t>
  </si>
  <si>
    <t>＜小計＞（情報系ハードウェア保守費）</t>
    <rPh sb="1" eb="3">
      <t>ショウケイ</t>
    </rPh>
    <rPh sb="5" eb="8">
      <t>ジョウホウケイ</t>
    </rPh>
    <rPh sb="14" eb="16">
      <t>ホシュ</t>
    </rPh>
    <rPh sb="16" eb="17">
      <t>ヒ</t>
    </rPh>
    <phoneticPr fontId="21"/>
  </si>
  <si>
    <t>②システムサポート</t>
    <phoneticPr fontId="21"/>
  </si>
  <si>
    <t>②-1</t>
    <phoneticPr fontId="21"/>
  </si>
  <si>
    <t>②-2</t>
    <phoneticPr fontId="21"/>
  </si>
  <si>
    <t>②-3</t>
    <phoneticPr fontId="21"/>
  </si>
  <si>
    <t>②-4</t>
  </si>
  <si>
    <t>②-5</t>
  </si>
  <si>
    <t>②-6</t>
  </si>
  <si>
    <t>②-7</t>
  </si>
  <si>
    <t>&lt;小計&gt;（システムサポート費）</t>
    <rPh sb="1" eb="3">
      <t>ショウケイ</t>
    </rPh>
    <rPh sb="13" eb="14">
      <t>ヒ</t>
    </rPh>
    <phoneticPr fontId="21"/>
  </si>
  <si>
    <t>③制御系ハード</t>
    <rPh sb="1" eb="4">
      <t>セイギョケイ</t>
    </rPh>
    <phoneticPr fontId="21"/>
  </si>
  <si>
    <t>③-1</t>
    <phoneticPr fontId="21"/>
  </si>
  <si>
    <t>③-2</t>
    <phoneticPr fontId="21"/>
  </si>
  <si>
    <t>③-3</t>
    <phoneticPr fontId="21"/>
  </si>
  <si>
    <t>③-4</t>
  </si>
  <si>
    <t>③-5</t>
  </si>
  <si>
    <t>③-6</t>
  </si>
  <si>
    <t>③-7</t>
  </si>
  <si>
    <t>&lt;小計&gt;（制御系ハードウェア保守費）</t>
    <rPh sb="1" eb="3">
      <t>ショウケイ</t>
    </rPh>
    <rPh sb="5" eb="8">
      <t>セイギョケイ</t>
    </rPh>
    <rPh sb="14" eb="16">
      <t>ホシュ</t>
    </rPh>
    <rPh sb="16" eb="17">
      <t>ヒ</t>
    </rPh>
    <phoneticPr fontId="21"/>
  </si>
  <si>
    <t>&lt;中計&gt;</t>
    <rPh sb="1" eb="3">
      <t>チュウケイ</t>
    </rPh>
    <phoneticPr fontId="21"/>
  </si>
  <si>
    <t>合計金額</t>
    <rPh sb="0" eb="2">
      <t>ゴウケイ</t>
    </rPh>
    <rPh sb="2" eb="4">
      <t>キンガク</t>
    </rPh>
    <phoneticPr fontId="21"/>
  </si>
  <si>
    <t>保守原価</t>
    <rPh sb="0" eb="4">
      <t>ホシュゲンカ</t>
    </rPh>
    <phoneticPr fontId="21"/>
  </si>
  <si>
    <t>値引き</t>
    <rPh sb="0" eb="2">
      <t>ネビ</t>
    </rPh>
    <phoneticPr fontId="21"/>
  </si>
  <si>
    <t>見積金額（年間保守費）</t>
    <rPh sb="0" eb="2">
      <t>ミツモリ</t>
    </rPh>
    <rPh sb="2" eb="4">
      <t>キンガク</t>
    </rPh>
    <rPh sb="5" eb="7">
      <t>ネンカン</t>
    </rPh>
    <rPh sb="7" eb="9">
      <t>ホシュ</t>
    </rPh>
    <rPh sb="9" eb="10">
      <t>ヒ</t>
    </rPh>
    <phoneticPr fontId="21"/>
  </si>
  <si>
    <t>配賦</t>
    <rPh sb="0" eb="2">
      <t>ハイフ</t>
    </rPh>
    <phoneticPr fontId="21"/>
  </si>
  <si>
    <t>一般配賦</t>
    <rPh sb="0" eb="2">
      <t>イッパン</t>
    </rPh>
    <rPh sb="2" eb="4">
      <t>ハイフ</t>
    </rPh>
    <phoneticPr fontId="21"/>
  </si>
  <si>
    <t>SSC・業革配賦</t>
    <rPh sb="4" eb="6">
      <t>ギョウカク</t>
    </rPh>
    <rPh sb="6" eb="8">
      <t>ハイフ</t>
    </rPh>
    <phoneticPr fontId="21"/>
  </si>
  <si>
    <t>ダイフクロイヤリティー</t>
    <phoneticPr fontId="21"/>
  </si>
  <si>
    <t>総計（年間保守費）</t>
    <rPh sb="0" eb="2">
      <t>ソウケイ</t>
    </rPh>
    <phoneticPr fontId="21"/>
  </si>
  <si>
    <t>総原価</t>
    <rPh sb="0" eb="3">
      <t>ソウゲンカ</t>
    </rPh>
    <phoneticPr fontId="21"/>
  </si>
  <si>
    <t>（備考）</t>
    <rPh sb="1" eb="3">
      <t>ビコウ</t>
    </rPh>
    <phoneticPr fontId="21"/>
  </si>
  <si>
    <t>参考 掲示額</t>
    <rPh sb="0" eb="2">
      <t>サンコウ</t>
    </rPh>
    <rPh sb="3" eb="6">
      <t>ケイジガク</t>
    </rPh>
    <phoneticPr fontId="21"/>
  </si>
  <si>
    <t>納入先</t>
    <rPh sb="0" eb="3">
      <t>ノウニュウサキ</t>
    </rPh>
    <phoneticPr fontId="21"/>
  </si>
  <si>
    <t>納入先工場</t>
    <rPh sb="0" eb="2">
      <t>ノウニュウ</t>
    </rPh>
    <rPh sb="2" eb="3">
      <t>サキ</t>
    </rPh>
    <rPh sb="3" eb="5">
      <t>コウジョウ</t>
    </rPh>
    <phoneticPr fontId="21"/>
  </si>
  <si>
    <t>作成者</t>
    <rPh sb="0" eb="3">
      <t>サクセイシャ</t>
    </rPh>
    <phoneticPr fontId="21"/>
  </si>
  <si>
    <t>（リニューアル前保守見積との比較）</t>
    <rPh sb="7" eb="8">
      <t>マエ</t>
    </rPh>
    <rPh sb="8" eb="10">
      <t>ホシュ</t>
    </rPh>
    <rPh sb="10" eb="12">
      <t>ミツモリ</t>
    </rPh>
    <rPh sb="14" eb="16">
      <t>ヒカク</t>
    </rPh>
    <phoneticPr fontId="21"/>
  </si>
  <si>
    <t>①保守費用の比較</t>
    <rPh sb="1" eb="3">
      <t>ホシュ</t>
    </rPh>
    <rPh sb="3" eb="5">
      <t>ヒヨウ</t>
    </rPh>
    <rPh sb="6" eb="8">
      <t>ヒカク</t>
    </rPh>
    <phoneticPr fontId="21"/>
  </si>
  <si>
    <t>リニューアル前</t>
    <rPh sb="6" eb="7">
      <t>マエ</t>
    </rPh>
    <phoneticPr fontId="21"/>
  </si>
  <si>
    <t>リニューアル後</t>
    <rPh sb="6" eb="7">
      <t>ゴ</t>
    </rPh>
    <phoneticPr fontId="21"/>
  </si>
  <si>
    <t>差額</t>
    <rPh sb="0" eb="2">
      <t>サガク</t>
    </rPh>
    <phoneticPr fontId="21"/>
  </si>
  <si>
    <t>見積番号</t>
    <rPh sb="0" eb="2">
      <t>ミツモリ</t>
    </rPh>
    <rPh sb="2" eb="4">
      <t>バンゴウ</t>
    </rPh>
    <phoneticPr fontId="21"/>
  </si>
  <si>
    <t>見積原価</t>
    <rPh sb="0" eb="2">
      <t>ミツモリ</t>
    </rPh>
    <rPh sb="2" eb="4">
      <t>ゲンカ</t>
    </rPh>
    <phoneticPr fontId="21"/>
  </si>
  <si>
    <t>配賦（47％）</t>
    <rPh sb="0" eb="2">
      <t>ハイフ</t>
    </rPh>
    <phoneticPr fontId="21"/>
  </si>
  <si>
    <t>・保守メニュー変更</t>
    <rPh sb="1" eb="3">
      <t>ホシュ</t>
    </rPh>
    <rPh sb="7" eb="9">
      <t>ヘンコウ</t>
    </rPh>
    <phoneticPr fontId="21"/>
  </si>
  <si>
    <t>・保守費算出基準変更（○○期基準　⇒　106期基準）</t>
    <rPh sb="1" eb="3">
      <t>ホシュ</t>
    </rPh>
    <rPh sb="3" eb="4">
      <t>ヒ</t>
    </rPh>
    <rPh sb="4" eb="6">
      <t>サンシュツ</t>
    </rPh>
    <rPh sb="6" eb="8">
      <t>キジュン</t>
    </rPh>
    <rPh sb="8" eb="10">
      <t>ヘンコウ</t>
    </rPh>
    <rPh sb="13" eb="14">
      <t>キ</t>
    </rPh>
    <rPh sb="14" eb="16">
      <t>キジュン</t>
    </rPh>
    <rPh sb="22" eb="23">
      <t>キ</t>
    </rPh>
    <rPh sb="23" eb="25">
      <t>キジュン</t>
    </rPh>
    <phoneticPr fontId="21"/>
  </si>
  <si>
    <t xml:space="preserve">・管理費： </t>
    <rPh sb="1" eb="4">
      <t>カンリヒ</t>
    </rPh>
    <phoneticPr fontId="21"/>
  </si>
  <si>
    <t>（注意）上記「リニューアル前」保守費は当該見積番号の見積金額です。</t>
    <rPh sb="1" eb="3">
      <t>チュウイ</t>
    </rPh>
    <rPh sb="4" eb="6">
      <t>ジョウキ</t>
    </rPh>
    <rPh sb="13" eb="14">
      <t>マエ</t>
    </rPh>
    <rPh sb="15" eb="17">
      <t>ホシュ</t>
    </rPh>
    <rPh sb="17" eb="18">
      <t>ヒ</t>
    </rPh>
    <rPh sb="19" eb="21">
      <t>トウガイ</t>
    </rPh>
    <rPh sb="21" eb="23">
      <t>ミツモリ</t>
    </rPh>
    <rPh sb="23" eb="25">
      <t>バンゴウ</t>
    </rPh>
    <rPh sb="26" eb="28">
      <t>ミツモリ</t>
    </rPh>
    <rPh sb="28" eb="30">
      <t>キンガク</t>
    </rPh>
    <phoneticPr fontId="21"/>
  </si>
  <si>
    <t>HW保守費 x20％</t>
    <phoneticPr fontId="21"/>
  </si>
  <si>
    <t>⇒</t>
    <phoneticPr fontId="21"/>
  </si>
  <si>
    <r>
      <t>HW保守費 x40％</t>
    </r>
    <r>
      <rPr>
        <sz val="10"/>
        <color rgb="FFFF0000"/>
        <rFont val="ＭＳ Ｐゴシック"/>
        <family val="3"/>
        <charset val="128"/>
      </rPr>
      <t>（掛率UP）</t>
    </r>
    <phoneticPr fontId="21"/>
  </si>
  <si>
    <t>現状の契約実態とは異なりますのでご注意願います。</t>
    <rPh sb="5" eb="7">
      <t>ジッタイ</t>
    </rPh>
    <phoneticPr fontId="21"/>
  </si>
  <si>
    <t>・ソフトウェア保守費：</t>
    <rPh sb="7" eb="9">
      <t>ホシュ</t>
    </rPh>
    <rPh sb="9" eb="10">
      <t>ヒ</t>
    </rPh>
    <phoneticPr fontId="21"/>
  </si>
  <si>
    <t>SW製作コストより算出</t>
    <rPh sb="0" eb="11">
      <t>ツイカ</t>
    </rPh>
    <phoneticPr fontId="21"/>
  </si>
  <si>
    <r>
      <t>SW製作コストより算出 + サービスサポート費（HW保守費 x15％）</t>
    </r>
    <r>
      <rPr>
        <sz val="10"/>
        <color rgb="FFFF0000"/>
        <rFont val="ＭＳ Ｐゴシック"/>
        <family val="3"/>
        <charset val="128"/>
      </rPr>
      <t>（⇐追加）</t>
    </r>
    <rPh sb="26" eb="28">
      <t>ホシュ</t>
    </rPh>
    <rPh sb="28" eb="29">
      <t>ヒ</t>
    </rPh>
    <phoneticPr fontId="21"/>
  </si>
  <si>
    <t>②見積条件の主な変更点</t>
    <rPh sb="1" eb="3">
      <t>ミツモリ</t>
    </rPh>
    <rPh sb="3" eb="5">
      <t>ジョウケン</t>
    </rPh>
    <rPh sb="6" eb="7">
      <t>オモ</t>
    </rPh>
    <rPh sb="8" eb="11">
      <t>ヘンコウテン</t>
    </rPh>
    <phoneticPr fontId="21"/>
  </si>
  <si>
    <t>・システム保守見積（○○期基準）　　⇒　　　HW単独保守見積（106期新設算出基準適用）</t>
    <rPh sb="5" eb="7">
      <t>ホシュ</t>
    </rPh>
    <rPh sb="7" eb="9">
      <t>ミツモリ</t>
    </rPh>
    <rPh sb="12" eb="13">
      <t>キ</t>
    </rPh>
    <rPh sb="13" eb="15">
      <t>キジュン</t>
    </rPh>
    <rPh sb="24" eb="26">
      <t>タンドク</t>
    </rPh>
    <rPh sb="26" eb="28">
      <t>ホシュ</t>
    </rPh>
    <rPh sb="28" eb="30">
      <t>ミツモリ</t>
    </rPh>
    <rPh sb="34" eb="35">
      <t>キ</t>
    </rPh>
    <rPh sb="35" eb="37">
      <t>シンセツ</t>
    </rPh>
    <rPh sb="37" eb="39">
      <t>サンシュツ</t>
    </rPh>
    <rPh sb="39" eb="41">
      <t>キジュン</t>
    </rPh>
    <rPh sb="41" eb="43">
      <t>テキヨウ</t>
    </rPh>
    <phoneticPr fontId="21"/>
  </si>
  <si>
    <t>・HW保守管理費：</t>
    <rPh sb="3" eb="5">
      <t>ホシュ</t>
    </rPh>
    <rPh sb="5" eb="8">
      <t>カンリヒ</t>
    </rPh>
    <phoneticPr fontId="21"/>
  </si>
  <si>
    <r>
      <t>HW保守費 x40％</t>
    </r>
    <r>
      <rPr>
        <sz val="10"/>
        <color indexed="10"/>
        <rFont val="ＭＳ Ｐゴシック"/>
        <family val="3"/>
        <charset val="128"/>
      </rPr>
      <t>（掛率UP）</t>
    </r>
    <phoneticPr fontId="21"/>
  </si>
  <si>
    <t>SW製作コストより算出（テーブル参照方式）</t>
    <rPh sb="0" eb="11">
      <t>ツイカ</t>
    </rPh>
    <rPh sb="16" eb="18">
      <t>サンショウ</t>
    </rPh>
    <rPh sb="18" eb="20">
      <t>ホウシキ</t>
    </rPh>
    <phoneticPr fontId="21"/>
  </si>
  <si>
    <r>
      <t>・ソフトウェア保守費：</t>
    </r>
    <r>
      <rPr>
        <sz val="10"/>
        <color indexed="12"/>
        <rFont val="ＭＳ Ｐゴシック"/>
        <family val="3"/>
        <charset val="128"/>
      </rPr>
      <t>（⇐削除）</t>
    </r>
    <rPh sb="7" eb="9">
      <t>ホシュ</t>
    </rPh>
    <rPh sb="9" eb="10">
      <t>ヒ</t>
    </rPh>
    <rPh sb="13" eb="15">
      <t>サクジョ</t>
    </rPh>
    <phoneticPr fontId="21"/>
  </si>
  <si>
    <r>
      <t>SW製作コストより算出（割合算出方式） + サービスサポート費（HW保守費 x15％）</t>
    </r>
    <r>
      <rPr>
        <sz val="10"/>
        <color rgb="FFFF0000"/>
        <rFont val="ＭＳ Ｐゴシック"/>
        <family val="3"/>
        <charset val="128"/>
      </rPr>
      <t>（⇐追加）</t>
    </r>
    <rPh sb="12" eb="14">
      <t>ワリアイ</t>
    </rPh>
    <rPh sb="14" eb="16">
      <t>サンシュツ</t>
    </rPh>
    <rPh sb="16" eb="18">
      <t>ホウシキ</t>
    </rPh>
    <rPh sb="34" eb="36">
      <t>ホシュ</t>
    </rPh>
    <rPh sb="36" eb="37">
      <t>ヒ</t>
    </rPh>
    <phoneticPr fontId="21"/>
  </si>
  <si>
    <t>ソフトウェア保守費見積対象外</t>
    <rPh sb="6" eb="8">
      <t>ホシュ</t>
    </rPh>
    <rPh sb="8" eb="9">
      <t>ヒ</t>
    </rPh>
    <rPh sb="9" eb="11">
      <t>ミツモリ</t>
    </rPh>
    <rPh sb="11" eb="14">
      <t>タイショウガイ</t>
    </rPh>
    <phoneticPr fontId="21"/>
  </si>
  <si>
    <r>
      <t>・リモート監視サービス（DREMOS）費用</t>
    </r>
    <r>
      <rPr>
        <sz val="10"/>
        <color rgb="FF0070C0"/>
        <rFont val="ＭＳ Ｐゴシック"/>
        <family val="3"/>
        <charset val="128"/>
      </rPr>
      <t>（⇐サービス終息により削減）</t>
    </r>
    <rPh sb="5" eb="7">
      <t>カンシ</t>
    </rPh>
    <rPh sb="19" eb="21">
      <t>ヒヨウ</t>
    </rPh>
    <rPh sb="27" eb="29">
      <t>シュウソク</t>
    </rPh>
    <rPh sb="32" eb="34">
      <t>サクゲン</t>
    </rPh>
    <phoneticPr fontId="21"/>
  </si>
  <si>
    <r>
      <t>・サービスサポート費：</t>
    </r>
    <r>
      <rPr>
        <sz val="10"/>
        <color indexed="10"/>
        <rFont val="ＭＳ Ｐゴシック"/>
        <family val="3"/>
        <charset val="128"/>
      </rPr>
      <t>（⇐追加）</t>
    </r>
    <rPh sb="9" eb="10">
      <t>ヒ</t>
    </rPh>
    <rPh sb="13" eb="15">
      <t>ツイカ</t>
    </rPh>
    <phoneticPr fontId="21"/>
  </si>
  <si>
    <r>
      <t>・VPNリモートメンテナンスサービス費用</t>
    </r>
    <r>
      <rPr>
        <sz val="10"/>
        <color rgb="FFFF0000"/>
        <rFont val="ＭＳ Ｐゴシック"/>
        <family val="3"/>
        <charset val="128"/>
      </rPr>
      <t>（⇐追加）</t>
    </r>
    <rPh sb="18" eb="20">
      <t>ヒヨウ</t>
    </rPh>
    <rPh sb="22" eb="24">
      <t>ツイカ</t>
    </rPh>
    <phoneticPr fontId="21"/>
  </si>
  <si>
    <t>サービスサポート費無し</t>
    <rPh sb="8" eb="9">
      <t>ヒ</t>
    </rPh>
    <rPh sb="9" eb="10">
      <t>ナ</t>
    </rPh>
    <phoneticPr fontId="21"/>
  </si>
  <si>
    <t>HW保守費 x30％</t>
    <phoneticPr fontId="21"/>
  </si>
  <si>
    <r>
      <t>・予防保守サービス</t>
    </r>
    <r>
      <rPr>
        <sz val="10"/>
        <color rgb="FFFF0000"/>
        <rFont val="ＭＳ Ｐゴシック"/>
        <family val="3"/>
        <charset val="128"/>
      </rPr>
      <t>（⇐追加）</t>
    </r>
    <r>
      <rPr>
        <sz val="10"/>
        <rFont val="ＭＳ Ｐゴシック"/>
        <family val="3"/>
        <charset val="128"/>
      </rPr>
      <t>（注1）</t>
    </r>
    <rPh sb="1" eb="3">
      <t>ヨボウ</t>
    </rPh>
    <rPh sb="3" eb="5">
      <t>ホシュ</t>
    </rPh>
    <rPh sb="11" eb="13">
      <t>ツイカ</t>
    </rPh>
    <rPh sb="15" eb="16">
      <t>チュウ</t>
    </rPh>
    <phoneticPr fontId="21"/>
  </si>
  <si>
    <t>・配賦：</t>
    <rPh sb="1" eb="3">
      <t>ハイフ</t>
    </rPh>
    <phoneticPr fontId="21"/>
  </si>
  <si>
    <t>※対象：</t>
    <rPh sb="1" eb="3">
      <t>タイショウ</t>
    </rPh>
    <phoneticPr fontId="21"/>
  </si>
  <si>
    <t>HW単独保守配賦　47％</t>
    <rPh sb="2" eb="4">
      <t>タンドク</t>
    </rPh>
    <rPh sb="4" eb="6">
      <t>ホシュ</t>
    </rPh>
    <rPh sb="6" eb="8">
      <t>ハイフ</t>
    </rPh>
    <phoneticPr fontId="21"/>
  </si>
  <si>
    <r>
      <t>HW単独保守配賦　21％</t>
    </r>
    <r>
      <rPr>
        <sz val="10"/>
        <color indexed="12"/>
        <rFont val="ＭＳ Ｐゴシック"/>
        <family val="3"/>
        <charset val="128"/>
      </rPr>
      <t>（掛率DOWN）</t>
    </r>
    <rPh sb="2" eb="4">
      <t>タンドク</t>
    </rPh>
    <rPh sb="4" eb="6">
      <t>ホシュ</t>
    </rPh>
    <rPh sb="6" eb="8">
      <t>ハイフ</t>
    </rPh>
    <rPh sb="13" eb="14">
      <t>カ</t>
    </rPh>
    <rPh sb="14" eb="15">
      <t>リツ</t>
    </rPh>
    <phoneticPr fontId="21"/>
  </si>
  <si>
    <t>・FC-S36W x2台</t>
    <phoneticPr fontId="21"/>
  </si>
  <si>
    <t>・FC-E22U x6台</t>
    <phoneticPr fontId="21"/>
  </si>
  <si>
    <t>③直近リニューアルによる更新ハードウェア</t>
    <rPh sb="1" eb="3">
      <t>チョッキン</t>
    </rPh>
    <rPh sb="12" eb="14">
      <t>コウシン</t>
    </rPh>
    <phoneticPr fontId="21"/>
  </si>
  <si>
    <t>・システム保守見積（○○期基準）　　⇒　　　SW単独保守見積（106期新設算出基準適用）</t>
    <rPh sb="5" eb="7">
      <t>ホシュ</t>
    </rPh>
    <rPh sb="7" eb="9">
      <t>ミツモリ</t>
    </rPh>
    <rPh sb="12" eb="13">
      <t>キ</t>
    </rPh>
    <rPh sb="13" eb="15">
      <t>キジュン</t>
    </rPh>
    <rPh sb="24" eb="26">
      <t>タンドク</t>
    </rPh>
    <rPh sb="26" eb="28">
      <t>ホシュ</t>
    </rPh>
    <rPh sb="28" eb="30">
      <t>ミツモリ</t>
    </rPh>
    <rPh sb="34" eb="35">
      <t>キ</t>
    </rPh>
    <rPh sb="35" eb="37">
      <t>シンセツ</t>
    </rPh>
    <rPh sb="37" eb="39">
      <t>サンシュツ</t>
    </rPh>
    <rPh sb="39" eb="41">
      <t>キジュン</t>
    </rPh>
    <rPh sb="41" eb="43">
      <t>テキヨウ</t>
    </rPh>
    <phoneticPr fontId="21"/>
  </si>
  <si>
    <t>※詳細は添付資料『契約仕様書』をご参照ください。</t>
    <rPh sb="1" eb="3">
      <t>ショウサイ</t>
    </rPh>
    <rPh sb="4" eb="6">
      <t>テンプ</t>
    </rPh>
    <rPh sb="6" eb="8">
      <t>シリョウ</t>
    </rPh>
    <rPh sb="9" eb="11">
      <t>ケイヤク</t>
    </rPh>
    <rPh sb="11" eb="14">
      <t>シヨウショ</t>
    </rPh>
    <rPh sb="17" eb="19">
      <t>サンショウ</t>
    </rPh>
    <phoneticPr fontId="21"/>
  </si>
  <si>
    <t>ハードウェア保守費見積対象外</t>
    <rPh sb="6" eb="8">
      <t>ホシュ</t>
    </rPh>
    <rPh sb="8" eb="9">
      <t>ヒ</t>
    </rPh>
    <rPh sb="9" eb="11">
      <t>ミツモ</t>
    </rPh>
    <rPh sb="11" eb="14">
      <t>タイショウガイ</t>
    </rPh>
    <phoneticPr fontId="21"/>
  </si>
  <si>
    <r>
      <t>・ソフトウェア保守費：</t>
    </r>
    <r>
      <rPr>
        <sz val="10"/>
        <color indexed="12"/>
        <rFont val="ＭＳ Ｐゴシック"/>
        <family val="3"/>
        <charset val="128"/>
      </rPr>
      <t>（変更なし）</t>
    </r>
    <rPh sb="7" eb="9">
      <t>ホシュ</t>
    </rPh>
    <rPh sb="9" eb="10">
      <t>ヒ</t>
    </rPh>
    <rPh sb="12" eb="14">
      <t>ヘンコウ</t>
    </rPh>
    <phoneticPr fontId="21"/>
  </si>
  <si>
    <t>SW保守費 x25％</t>
    <phoneticPr fontId="21"/>
  </si>
  <si>
    <t>SW保守費 x50％</t>
    <phoneticPr fontId="21"/>
  </si>
  <si>
    <t>※調整費に25%分加算</t>
    <rPh sb="1" eb="3">
      <t>チョウセイ</t>
    </rPh>
    <rPh sb="3" eb="4">
      <t>ヒ</t>
    </rPh>
    <rPh sb="8" eb="9">
      <t>ブン</t>
    </rPh>
    <rPh sb="9" eb="11">
      <t>カサン</t>
    </rPh>
    <phoneticPr fontId="21"/>
  </si>
  <si>
    <t>（特記事項）</t>
    <rPh sb="1" eb="3">
      <t>トッキ</t>
    </rPh>
    <rPh sb="3" eb="5">
      <t>ジコウ</t>
    </rPh>
    <phoneticPr fontId="21"/>
  </si>
  <si>
    <t>システム保守仕様明細目録（ソフトウェア）</t>
    <phoneticPr fontId="21"/>
  </si>
  <si>
    <t>品名</t>
    <phoneticPr fontId="21"/>
  </si>
  <si>
    <t>契約</t>
    <phoneticPr fontId="21"/>
  </si>
  <si>
    <t>備考</t>
    <phoneticPr fontId="21"/>
  </si>
  <si>
    <t>◆ソフトウェア保守</t>
    <rPh sb="7" eb="9">
      <t>ホシュ</t>
    </rPh>
    <phoneticPr fontId="21"/>
  </si>
  <si>
    <t>8Hサポート</t>
    <phoneticPr fontId="21"/>
  </si>
  <si>
    <t>月～金 9：00～17：00(祝日、年末年始、弊社休日を除く)</t>
    <phoneticPr fontId="21"/>
  </si>
  <si>
    <t>①</t>
    <phoneticPr fontId="21"/>
  </si>
  <si>
    <t>復旧支援</t>
    <phoneticPr fontId="21"/>
  </si>
  <si>
    <t>②</t>
    <phoneticPr fontId="21"/>
  </si>
  <si>
    <t>運用支援(データメンテナンス)</t>
    <phoneticPr fontId="21"/>
  </si>
  <si>
    <t>24Hサポート(受付)</t>
    <phoneticPr fontId="21"/>
  </si>
  <si>
    <t>◆点検</t>
    <rPh sb="1" eb="3">
      <t>テンケン</t>
    </rPh>
    <phoneticPr fontId="21"/>
  </si>
  <si>
    <t>システム診断</t>
    <rPh sb="4" eb="6">
      <t>シンダン</t>
    </rPh>
    <phoneticPr fontId="21"/>
  </si>
  <si>
    <t>ソフトウェア点検</t>
    <rPh sb="6" eb="8">
      <t>テンケン</t>
    </rPh>
    <phoneticPr fontId="21"/>
  </si>
  <si>
    <t>コンピュータ点検</t>
    <rPh sb="6" eb="8">
      <t>テンケン</t>
    </rPh>
    <phoneticPr fontId="21"/>
  </si>
  <si>
    <t>③</t>
    <phoneticPr fontId="21"/>
  </si>
  <si>
    <t>BoxCell点検</t>
    <rPh sb="7" eb="9">
      <t>テンケン</t>
    </rPh>
    <phoneticPr fontId="21"/>
  </si>
  <si>
    <t>④</t>
    <phoneticPr fontId="21"/>
  </si>
  <si>
    <t>ウイルスチェック</t>
    <phoneticPr fontId="21"/>
  </si>
  <si>
    <t>コンピュータメーカー点検管理</t>
    <rPh sb="10" eb="12">
      <t>テンケン</t>
    </rPh>
    <rPh sb="12" eb="14">
      <t>カンリ</t>
    </rPh>
    <phoneticPr fontId="21"/>
  </si>
  <si>
    <t>寿命品予防交換サービス</t>
    <rPh sb="0" eb="2">
      <t>ジュミョウ</t>
    </rPh>
    <rPh sb="2" eb="3">
      <t>ヒン</t>
    </rPh>
    <rPh sb="3" eb="5">
      <t>ヨボウ</t>
    </rPh>
    <rPh sb="5" eb="7">
      <t>コウカン</t>
    </rPh>
    <phoneticPr fontId="21"/>
  </si>
  <si>
    <t>◆リモートメンテナンスサービス</t>
  </si>
  <si>
    <t>VPN方式</t>
    <rPh sb="3" eb="5">
      <t>ホウシキ</t>
    </rPh>
    <phoneticPr fontId="21"/>
  </si>
  <si>
    <t>（注記）</t>
    <phoneticPr fontId="21"/>
  </si>
  <si>
    <t>システムサポート費明細</t>
    <phoneticPr fontId="21"/>
  </si>
  <si>
    <t>VPNリモート原価</t>
    <rPh sb="7" eb="9">
      <t>ゲンカ</t>
    </rPh>
    <phoneticPr fontId="21"/>
  </si>
  <si>
    <t>基本料金</t>
    <rPh sb="0" eb="2">
      <t>キホン</t>
    </rPh>
    <rPh sb="2" eb="4">
      <t>リョウキン</t>
    </rPh>
    <phoneticPr fontId="21"/>
  </si>
  <si>
    <t>端末SW保守費</t>
    <rPh sb="0" eb="2">
      <t>タンマツ</t>
    </rPh>
    <rPh sb="4" eb="6">
      <t>ホシュ</t>
    </rPh>
    <rPh sb="6" eb="7">
      <t>ヒ</t>
    </rPh>
    <phoneticPr fontId="21"/>
  </si>
  <si>
    <t>接続数追加単価</t>
    <rPh sb="0" eb="2">
      <t>セツゾク</t>
    </rPh>
    <rPh sb="2" eb="3">
      <t>スウ</t>
    </rPh>
    <rPh sb="3" eb="5">
      <t>ツイカ</t>
    </rPh>
    <rPh sb="5" eb="7">
      <t>タンカ</t>
    </rPh>
    <phoneticPr fontId="21"/>
  </si>
  <si>
    <t>機器費用</t>
    <rPh sb="0" eb="2">
      <t>キキ</t>
    </rPh>
    <rPh sb="2" eb="4">
      <t>ヒヨウ</t>
    </rPh>
    <phoneticPr fontId="21"/>
  </si>
  <si>
    <t>通信回線費</t>
    <rPh sb="0" eb="2">
      <t>ツウシン</t>
    </rPh>
    <rPh sb="2" eb="4">
      <t>カイセン</t>
    </rPh>
    <rPh sb="4" eb="5">
      <t>ヒ</t>
    </rPh>
    <phoneticPr fontId="21"/>
  </si>
  <si>
    <t>ソフトウェア保守</t>
    <rPh sb="6" eb="8">
      <t>ホシュ</t>
    </rPh>
    <phoneticPr fontId="21"/>
  </si>
  <si>
    <t>NO</t>
    <phoneticPr fontId="21"/>
  </si>
  <si>
    <t>品名</t>
    <rPh sb="0" eb="2">
      <t>ヒンメイ</t>
    </rPh>
    <phoneticPr fontId="21"/>
  </si>
  <si>
    <t>契約</t>
    <rPh sb="0" eb="2">
      <t>ケイヤク</t>
    </rPh>
    <phoneticPr fontId="21"/>
  </si>
  <si>
    <t>保守費</t>
    <rPh sb="0" eb="2">
      <t>ホシュ</t>
    </rPh>
    <rPh sb="2" eb="3">
      <t>ヒ</t>
    </rPh>
    <phoneticPr fontId="21"/>
  </si>
  <si>
    <t>備考</t>
    <rPh sb="0" eb="2">
      <t>ビコウ</t>
    </rPh>
    <phoneticPr fontId="21"/>
  </si>
  <si>
    <t>②-1</t>
  </si>
  <si>
    <t>８Hサポート</t>
    <phoneticPr fontId="21"/>
  </si>
  <si>
    <t>SW製作費</t>
    <rPh sb="2" eb="5">
      <t>セイサクヒ</t>
    </rPh>
    <phoneticPr fontId="21"/>
  </si>
  <si>
    <t>復旧支援</t>
    <rPh sb="0" eb="2">
      <t>フッキュウ</t>
    </rPh>
    <rPh sb="2" eb="4">
      <t>シエン</t>
    </rPh>
    <phoneticPr fontId="21"/>
  </si>
  <si>
    <t>運用支援(データメンテナンス)</t>
    <rPh sb="0" eb="2">
      <t>ウンヨウ</t>
    </rPh>
    <rPh sb="2" eb="4">
      <t>シエン</t>
    </rPh>
    <phoneticPr fontId="21"/>
  </si>
  <si>
    <t>24Hサポート(受付)</t>
    <rPh sb="8" eb="10">
      <t>ウケツケ</t>
    </rPh>
    <phoneticPr fontId="21"/>
  </si>
  <si>
    <t>-</t>
    <phoneticPr fontId="21"/>
  </si>
  <si>
    <t>サービスサポート費</t>
    <rPh sb="8" eb="9">
      <t>ヒ</t>
    </rPh>
    <phoneticPr fontId="21"/>
  </si>
  <si>
    <t>サポートサービス費</t>
    <rPh sb="8" eb="9">
      <t>ヒ</t>
    </rPh>
    <phoneticPr fontId="21"/>
  </si>
  <si>
    <t>ﾊｰﾄﾞｳｪｱ/ｺﾝﾄﾛｰﾗ原価の15%</t>
    <rPh sb="14" eb="16">
      <t>ゲンカ</t>
    </rPh>
    <phoneticPr fontId="21"/>
  </si>
  <si>
    <t>SW保守費ﾃｰﾌﾞﾙ調整</t>
    <rPh sb="2" eb="4">
      <t>ホシュ</t>
    </rPh>
    <rPh sb="4" eb="5">
      <t>ヒ</t>
    </rPh>
    <rPh sb="10" eb="12">
      <t>チョウセイ</t>
    </rPh>
    <phoneticPr fontId="21"/>
  </si>
  <si>
    <t>調整費</t>
    <rPh sb="0" eb="3">
      <t>チョウセイヒ</t>
    </rPh>
    <phoneticPr fontId="21"/>
  </si>
  <si>
    <t>小計</t>
  </si>
  <si>
    <t>点検</t>
    <rPh sb="0" eb="2">
      <t>テンケン</t>
    </rPh>
    <phoneticPr fontId="21"/>
  </si>
  <si>
    <t>サーバ機</t>
    <rPh sb="3" eb="4">
      <t>キ</t>
    </rPh>
    <phoneticPr fontId="21"/>
  </si>
  <si>
    <t>ソフトウェア保守費に含む</t>
    <rPh sb="6" eb="8">
      <t>ホシュ</t>
    </rPh>
    <rPh sb="8" eb="9">
      <t>ヒ</t>
    </rPh>
    <rPh sb="10" eb="11">
      <t>フク</t>
    </rPh>
    <phoneticPr fontId="21"/>
  </si>
  <si>
    <t>SE作業員数</t>
    <rPh sb="2" eb="4">
      <t>サギョウ</t>
    </rPh>
    <rPh sb="4" eb="6">
      <t>インズウ</t>
    </rPh>
    <phoneticPr fontId="21"/>
  </si>
  <si>
    <t>SE作業費(1人)</t>
    <rPh sb="2" eb="4">
      <t>サギョウ</t>
    </rPh>
    <rPh sb="4" eb="5">
      <t>ヒ</t>
    </rPh>
    <rPh sb="7" eb="8">
      <t>リ</t>
    </rPh>
    <phoneticPr fontId="21"/>
  </si>
  <si>
    <t>5年目 計1回</t>
    <rPh sb="1" eb="3">
      <t>ネンメ</t>
    </rPh>
    <rPh sb="4" eb="5">
      <t>ケイ</t>
    </rPh>
    <rPh sb="6" eb="7">
      <t>カイ</t>
    </rPh>
    <phoneticPr fontId="21"/>
  </si>
  <si>
    <t>FC機</t>
    <rPh sb="2" eb="3">
      <t>キ</t>
    </rPh>
    <phoneticPr fontId="21"/>
  </si>
  <si>
    <t>4・8年目 計2回</t>
    <rPh sb="3" eb="5">
      <t>ネンメ</t>
    </rPh>
    <rPh sb="6" eb="7">
      <t>ケイ</t>
    </rPh>
    <rPh sb="8" eb="9">
      <t>カイ</t>
    </rPh>
    <phoneticPr fontId="21"/>
  </si>
  <si>
    <t>SE作業費合計</t>
    <rPh sb="2" eb="4">
      <t>サギョウ</t>
    </rPh>
    <rPh sb="4" eb="5">
      <t>ヒ</t>
    </rPh>
    <rPh sb="5" eb="7">
      <t>ゴウケイ</t>
    </rPh>
    <phoneticPr fontId="21"/>
  </si>
  <si>
    <t>コピーツール費</t>
    <rPh sb="6" eb="7">
      <t>ヒ</t>
    </rPh>
    <phoneticPr fontId="21"/>
  </si>
  <si>
    <t>リモートメンテナンスサービス</t>
  </si>
  <si>
    <t>リモートメンテナンス(VPN)</t>
  </si>
  <si>
    <t>システム利用料（年額）</t>
    <rPh sb="4" eb="7">
      <t>リヨウリョウ</t>
    </rPh>
    <rPh sb="8" eb="10">
      <t>ネンガク</t>
    </rPh>
    <phoneticPr fontId="21"/>
  </si>
  <si>
    <t>追加接続数</t>
    <rPh sb="0" eb="2">
      <t>ツイカ</t>
    </rPh>
    <rPh sb="2" eb="4">
      <t>セツゾク</t>
    </rPh>
    <rPh sb="4" eb="5">
      <t>スウ</t>
    </rPh>
    <phoneticPr fontId="21"/>
  </si>
  <si>
    <t>追加単価</t>
    <rPh sb="0" eb="2">
      <t>ツイカ</t>
    </rPh>
    <rPh sb="2" eb="4">
      <t>タンカ</t>
    </rPh>
    <phoneticPr fontId="21"/>
  </si>
  <si>
    <t>通信回線使用料</t>
    <rPh sb="0" eb="2">
      <t>ツウシン</t>
    </rPh>
    <rPh sb="2" eb="4">
      <t>カイセン</t>
    </rPh>
    <rPh sb="4" eb="7">
      <t>シヨウリョウ</t>
    </rPh>
    <phoneticPr fontId="21"/>
  </si>
  <si>
    <t>×</t>
    <phoneticPr fontId="21"/>
  </si>
  <si>
    <t>お客様ご用意</t>
    <rPh sb="1" eb="3">
      <t>キャクサマ</t>
    </rPh>
    <rPh sb="4" eb="6">
      <t>ヨウイ</t>
    </rPh>
    <phoneticPr fontId="21"/>
  </si>
  <si>
    <t>R-1</t>
    <phoneticPr fontId="21"/>
  </si>
  <si>
    <t>②-2</t>
  </si>
  <si>
    <t>R-2</t>
    <phoneticPr fontId="21"/>
  </si>
  <si>
    <t>②-3</t>
  </si>
  <si>
    <t>R-3</t>
    <phoneticPr fontId="21"/>
  </si>
  <si>
    <t>R-4</t>
    <phoneticPr fontId="21"/>
  </si>
  <si>
    <t>R-5</t>
    <phoneticPr fontId="21"/>
  </si>
  <si>
    <t>R-6</t>
    <phoneticPr fontId="21"/>
  </si>
  <si>
    <t>R-7</t>
    <phoneticPr fontId="21"/>
  </si>
  <si>
    <t>リモートメンテナンスサービス(VPN) 初期導入費明細</t>
    <rPh sb="20" eb="22">
      <t>ショキ</t>
    </rPh>
    <rPh sb="22" eb="24">
      <t>ドウニュウ</t>
    </rPh>
    <phoneticPr fontId="21"/>
  </si>
  <si>
    <t>リモート接続用ソフトウェア購入費</t>
    <rPh sb="4" eb="7">
      <t>セツゾクヨウ</t>
    </rPh>
    <rPh sb="13" eb="16">
      <t>コウニュウヒ</t>
    </rPh>
    <phoneticPr fontId="21"/>
  </si>
  <si>
    <t>数量</t>
    <rPh sb="0" eb="2">
      <t>スウリョウ</t>
    </rPh>
    <phoneticPr fontId="21"/>
  </si>
  <si>
    <t>原価</t>
    <rPh sb="0" eb="2">
      <t>ゲンカ</t>
    </rPh>
    <phoneticPr fontId="21"/>
  </si>
  <si>
    <t>単価</t>
    <rPh sb="0" eb="2">
      <t>タンカ</t>
    </rPh>
    <phoneticPr fontId="21"/>
  </si>
  <si>
    <t>合計</t>
    <rPh sb="0" eb="2">
      <t>ゴウケイ</t>
    </rPh>
    <phoneticPr fontId="21"/>
  </si>
  <si>
    <t>LAPLINK 2ライセンスパック</t>
    <phoneticPr fontId="21"/>
  </si>
  <si>
    <t>セットアップ作業費</t>
    <rPh sb="6" eb="8">
      <t>サギョウ</t>
    </rPh>
    <rPh sb="8" eb="9">
      <t>ヒ</t>
    </rPh>
    <phoneticPr fontId="21"/>
  </si>
  <si>
    <t>WMS</t>
    <phoneticPr fontId="21"/>
  </si>
  <si>
    <t>SE派遣必須</t>
    <rPh sb="2" eb="4">
      <t>ハケン</t>
    </rPh>
    <rPh sb="4" eb="6">
      <t>ヒッス</t>
    </rPh>
    <phoneticPr fontId="21"/>
  </si>
  <si>
    <t>SW仕切</t>
    <rPh sb="2" eb="4">
      <t>シキリ</t>
    </rPh>
    <phoneticPr fontId="21"/>
  </si>
  <si>
    <t>コントローラ</t>
    <phoneticPr fontId="21"/>
  </si>
  <si>
    <t>各店舗サービス員にて対応</t>
    <rPh sb="0" eb="1">
      <t>カク</t>
    </rPh>
    <rPh sb="1" eb="3">
      <t>テンポ</t>
    </rPh>
    <rPh sb="7" eb="8">
      <t>イン</t>
    </rPh>
    <rPh sb="10" eb="12">
      <t>タイオウ</t>
    </rPh>
    <phoneticPr fontId="21"/>
  </si>
  <si>
    <t>認証クライアント</t>
    <rPh sb="0" eb="2">
      <t>ニンショウ</t>
    </rPh>
    <phoneticPr fontId="21"/>
  </si>
  <si>
    <t>VPN事業者による初期設定作業</t>
    <rPh sb="3" eb="6">
      <t>ジギョウシャ</t>
    </rPh>
    <rPh sb="9" eb="11">
      <t>ショキ</t>
    </rPh>
    <rPh sb="11" eb="13">
      <t>セッテイ</t>
    </rPh>
    <rPh sb="13" eb="15">
      <t>サギョウ</t>
    </rPh>
    <phoneticPr fontId="21"/>
  </si>
  <si>
    <t>Internet回線ルータ</t>
    <rPh sb="8" eb="10">
      <t>カイセン</t>
    </rPh>
    <phoneticPr fontId="21"/>
  </si>
  <si>
    <t>VPN事業者による初期設定作業</t>
    <phoneticPr fontId="21"/>
  </si>
  <si>
    <t>原価合計</t>
    <rPh sb="0" eb="2">
      <t>ゲンカ</t>
    </rPh>
    <rPh sb="2" eb="4">
      <t>ゴウケイ</t>
    </rPh>
    <phoneticPr fontId="21"/>
  </si>
  <si>
    <t>※上記初期導入費明細は、原価となっています。　売価はサービス店舗にて費用設定願います。</t>
    <rPh sb="1" eb="3">
      <t>ジョウキ</t>
    </rPh>
    <rPh sb="3" eb="5">
      <t>ショキ</t>
    </rPh>
    <rPh sb="5" eb="7">
      <t>ドウニュウ</t>
    </rPh>
    <rPh sb="7" eb="8">
      <t>ヒ</t>
    </rPh>
    <rPh sb="8" eb="10">
      <t>メイサイ</t>
    </rPh>
    <rPh sb="12" eb="14">
      <t>ゲンカ</t>
    </rPh>
    <phoneticPr fontId="21"/>
  </si>
  <si>
    <t>導入対象：</t>
    <rPh sb="0" eb="2">
      <t>ドウニュウ</t>
    </rPh>
    <rPh sb="2" eb="4">
      <t>タイショウ</t>
    </rPh>
    <phoneticPr fontId="21"/>
  </si>
  <si>
    <t>・AWC4本体</t>
    <rPh sb="5" eb="7">
      <t>ホンタイ</t>
    </rPh>
    <phoneticPr fontId="21"/>
  </si>
  <si>
    <t>注意事項：</t>
    <rPh sb="0" eb="2">
      <t>チュウイ</t>
    </rPh>
    <rPh sb="2" eb="4">
      <t>ジコウ</t>
    </rPh>
    <phoneticPr fontId="21"/>
  </si>
  <si>
    <t>・事前にお客様にてインターネット回線と インターネット回線ルータをご準備ください。</t>
    <rPh sb="27" eb="29">
      <t>カイセン</t>
    </rPh>
    <phoneticPr fontId="21"/>
  </si>
  <si>
    <t>　加えて、お客様にて インターネットサービスプロバイダとのインターネット回線契約をお願いします。</t>
    <rPh sb="1" eb="2">
      <t>クワ</t>
    </rPh>
    <rPh sb="6" eb="8">
      <t>キャクサマ</t>
    </rPh>
    <rPh sb="36" eb="38">
      <t>カイセン</t>
    </rPh>
    <rPh sb="38" eb="40">
      <t>ケイヤク</t>
    </rPh>
    <rPh sb="42" eb="43">
      <t>ネガ</t>
    </rPh>
    <phoneticPr fontId="21"/>
  </si>
  <si>
    <t>・お客様ご用意のインターネット回線からクライアント認証装置までのLANケーブルを店舗様にて別途ご用意ください。</t>
    <phoneticPr fontId="21"/>
  </si>
  <si>
    <t>・導入作業にあたり1日間のシステム停止が必要です。</t>
    <rPh sb="1" eb="3">
      <t>ドウニュウ</t>
    </rPh>
    <rPh sb="3" eb="5">
      <t>サギョウ</t>
    </rPh>
    <rPh sb="10" eb="11">
      <t>ニチ</t>
    </rPh>
    <rPh sb="11" eb="12">
      <t>カン</t>
    </rPh>
    <rPh sb="17" eb="19">
      <t>テイシ</t>
    </rPh>
    <rPh sb="20" eb="22">
      <t>ヒツヨウ</t>
    </rPh>
    <phoneticPr fontId="21"/>
  </si>
  <si>
    <t>（作業工程は別紙「リモートメンテナンス導入作業 スケジュール表」をご参照ください。）</t>
    <rPh sb="1" eb="3">
      <t>サギョウ</t>
    </rPh>
    <rPh sb="3" eb="5">
      <t>コウテイ</t>
    </rPh>
    <rPh sb="6" eb="8">
      <t>ベッシ</t>
    </rPh>
    <rPh sb="19" eb="21">
      <t>ドウニュウ</t>
    </rPh>
    <rPh sb="21" eb="23">
      <t>サギョウ</t>
    </rPh>
    <rPh sb="30" eb="31">
      <t>ヒョウ</t>
    </rPh>
    <rPh sb="34" eb="36">
      <t>サンショウ</t>
    </rPh>
    <phoneticPr fontId="21"/>
  </si>
  <si>
    <t>・本見積にリモートメンテナンスセットアップ作業のサービス立会費は含まれておりません。店舗にて別途見積をお願いします。</t>
    <rPh sb="1" eb="2">
      <t>ホン</t>
    </rPh>
    <rPh sb="2" eb="4">
      <t>ミツモリ</t>
    </rPh>
    <rPh sb="21" eb="23">
      <t>サギョウ</t>
    </rPh>
    <rPh sb="28" eb="30">
      <t>タチア</t>
    </rPh>
    <rPh sb="30" eb="31">
      <t>ヒ</t>
    </rPh>
    <rPh sb="32" eb="33">
      <t>フク</t>
    </rPh>
    <rPh sb="42" eb="44">
      <t>テンポ</t>
    </rPh>
    <rPh sb="46" eb="48">
      <t>ベット</t>
    </rPh>
    <rPh sb="48" eb="50">
      <t>ミツモリ</t>
    </rPh>
    <rPh sb="52" eb="53">
      <t>ネガ</t>
    </rPh>
    <phoneticPr fontId="21"/>
  </si>
  <si>
    <t>・本サービスをご利用するためには、「VPNリモートメンテナンス契約」の締結が必要です。</t>
    <rPh sb="1" eb="2">
      <t>ホン</t>
    </rPh>
    <rPh sb="8" eb="10">
      <t>リヨウ</t>
    </rPh>
    <rPh sb="31" eb="33">
      <t>ケイヤク</t>
    </rPh>
    <rPh sb="35" eb="37">
      <t>テイケツ</t>
    </rPh>
    <rPh sb="38" eb="40">
      <t>ヒツヨウ</t>
    </rPh>
    <phoneticPr fontId="21"/>
  </si>
  <si>
    <r>
      <t>　（「システム保守契約書」とは別に、</t>
    </r>
    <r>
      <rPr>
        <b/>
        <sz val="12"/>
        <rFont val="ＭＳ Ｐゴシック"/>
        <family val="3"/>
        <charset val="128"/>
      </rPr>
      <t>「VPNリモートメンテナンスに関する覚書」</t>
    </r>
    <r>
      <rPr>
        <sz val="11"/>
        <rFont val="ＭＳ Ｐゴシック"/>
        <family val="3"/>
        <charset val="128"/>
      </rPr>
      <t>を交わしていただきますようお願いします。）</t>
    </r>
    <rPh sb="7" eb="9">
      <t>ホシュ</t>
    </rPh>
    <rPh sb="9" eb="12">
      <t>ケイヤクショ</t>
    </rPh>
    <rPh sb="15" eb="16">
      <t>ベツ</t>
    </rPh>
    <rPh sb="33" eb="34">
      <t>カン</t>
    </rPh>
    <rPh sb="36" eb="38">
      <t>オボエガキ</t>
    </rPh>
    <rPh sb="40" eb="41">
      <t>カ</t>
    </rPh>
    <rPh sb="53" eb="54">
      <t>ネガ</t>
    </rPh>
    <phoneticPr fontId="21"/>
  </si>
  <si>
    <t>（別紙）8時間保守 対応時間表</t>
    <rPh sb="1" eb="3">
      <t>ベッシ</t>
    </rPh>
    <rPh sb="5" eb="7">
      <t>ジカン</t>
    </rPh>
    <rPh sb="7" eb="9">
      <t>ホシュ</t>
    </rPh>
    <rPh sb="10" eb="12">
      <t>タイオウ</t>
    </rPh>
    <rPh sb="12" eb="14">
      <t>ジカン</t>
    </rPh>
    <rPh sb="14" eb="15">
      <t>ヒョウ</t>
    </rPh>
    <phoneticPr fontId="21"/>
  </si>
  <si>
    <t>製造メーカー</t>
    <rPh sb="0" eb="2">
      <t>セイゾウ</t>
    </rPh>
    <phoneticPr fontId="21"/>
  </si>
  <si>
    <t>機器分類</t>
    <phoneticPr fontId="21"/>
  </si>
  <si>
    <t>対象品名</t>
    <rPh sb="0" eb="2">
      <t>タイショウ</t>
    </rPh>
    <rPh sb="2" eb="4">
      <t>ヒンメイ</t>
    </rPh>
    <phoneticPr fontId="21"/>
  </si>
  <si>
    <t>対応時間</t>
    <rPh sb="0" eb="2">
      <t>タイオウ</t>
    </rPh>
    <rPh sb="2" eb="4">
      <t>ジカン</t>
    </rPh>
    <phoneticPr fontId="21"/>
  </si>
  <si>
    <t>NEC</t>
    <phoneticPr fontId="21"/>
  </si>
  <si>
    <t>パソコン</t>
    <phoneticPr fontId="21"/>
  </si>
  <si>
    <t>PPSupportService</t>
    <phoneticPr fontId="21"/>
  </si>
  <si>
    <t>～</t>
    <phoneticPr fontId="21"/>
  </si>
  <si>
    <t>月～金</t>
    <rPh sb="0" eb="1">
      <t>ゲツ</t>
    </rPh>
    <rPh sb="2" eb="3">
      <t>キン</t>
    </rPh>
    <phoneticPr fontId="21"/>
  </si>
  <si>
    <t>（祝日除く）</t>
    <phoneticPr fontId="21"/>
  </si>
  <si>
    <t>上記以外</t>
    <rPh sb="0" eb="2">
      <t>ジョウキ</t>
    </rPh>
    <rPh sb="2" eb="4">
      <t>イガイ</t>
    </rPh>
    <phoneticPr fontId="21"/>
  </si>
  <si>
    <t>～</t>
  </si>
  <si>
    <t>365日</t>
    <rPh sb="3" eb="4">
      <t>ニチ</t>
    </rPh>
    <phoneticPr fontId="21"/>
  </si>
  <si>
    <t>FUJITSU</t>
    <phoneticPr fontId="21"/>
  </si>
  <si>
    <t>対象製品全て</t>
    <rPh sb="0" eb="2">
      <t>タイショウ</t>
    </rPh>
    <rPh sb="2" eb="4">
      <t>セイヒン</t>
    </rPh>
    <rPh sb="4" eb="5">
      <t>スベ</t>
    </rPh>
    <phoneticPr fontId="21"/>
  </si>
  <si>
    <t>HITACHI</t>
    <phoneticPr fontId="21"/>
  </si>
  <si>
    <t>ディスプライ</t>
    <phoneticPr fontId="21"/>
  </si>
  <si>
    <t>EP8000 シリーズ
HA8000 シリーズ</t>
    <phoneticPr fontId="21"/>
  </si>
  <si>
    <t>ProDesk・ProBook シリーズ
EliteDesk・EliteBook シリーズ</t>
    <phoneticPr fontId="21"/>
  </si>
  <si>
    <t>ﾀｯﾁﾊﾟﾈﾙ情報端末</t>
    <rPh sb="7" eb="9">
      <t>ジョウホウ</t>
    </rPh>
    <rPh sb="9" eb="11">
      <t>タンマツ</t>
    </rPh>
    <phoneticPr fontId="21"/>
  </si>
  <si>
    <t>日立ｻﾎﾟｰﾄ360</t>
    <rPh sb="0" eb="2">
      <t>ヒタチ</t>
    </rPh>
    <phoneticPr fontId="21"/>
  </si>
  <si>
    <t>寿命品予防交換作業</t>
    <rPh sb="0" eb="2">
      <t>ジュミョウ</t>
    </rPh>
    <rPh sb="2" eb="3">
      <t>ヒン</t>
    </rPh>
    <rPh sb="3" eb="5">
      <t>ヨボウ</t>
    </rPh>
    <rPh sb="5" eb="7">
      <t>コウカン</t>
    </rPh>
    <rPh sb="7" eb="9">
      <t>サギョウ</t>
    </rPh>
    <phoneticPr fontId="21"/>
  </si>
  <si>
    <t>プリンタ</t>
    <phoneticPr fontId="21"/>
  </si>
  <si>
    <t>土</t>
    <rPh sb="0" eb="1">
      <t>ド</t>
    </rPh>
    <phoneticPr fontId="21"/>
  </si>
  <si>
    <t>TOSHIBA</t>
    <phoneticPr fontId="21"/>
  </si>
  <si>
    <t>EQUIUM シリーズ</t>
    <phoneticPr fontId="21"/>
  </si>
  <si>
    <t>IBM</t>
    <phoneticPr fontId="21"/>
  </si>
  <si>
    <t>ディスプレイ</t>
    <phoneticPr fontId="21"/>
  </si>
  <si>
    <t>Software Maintenance</t>
    <phoneticPr fontId="21"/>
  </si>
  <si>
    <t>Lenovo</t>
    <phoneticPr fontId="21"/>
  </si>
  <si>
    <t>ThinkCentre シリーズ
ThinkVision シリーズ</t>
    <phoneticPr fontId="21"/>
  </si>
  <si>
    <t>DELL</t>
    <phoneticPr fontId="21"/>
  </si>
  <si>
    <t>Latitudeシリーズ</t>
    <phoneticPr fontId="21"/>
  </si>
  <si>
    <t>BUFFALO</t>
    <phoneticPr fontId="21"/>
  </si>
  <si>
    <t>TeraStationシリーズ</t>
    <phoneticPr fontId="21"/>
  </si>
  <si>
    <t>OKI</t>
    <phoneticPr fontId="21"/>
  </si>
  <si>
    <t>ﾌﾟﾘﾝﾀ製品</t>
    <rPh sb="5" eb="7">
      <t>セイヒン</t>
    </rPh>
    <phoneticPr fontId="21"/>
  </si>
  <si>
    <t>CANON</t>
    <phoneticPr fontId="21"/>
  </si>
  <si>
    <t>EPSON</t>
    <phoneticPr fontId="21"/>
  </si>
  <si>
    <t>RICOH</t>
    <phoneticPr fontId="21"/>
  </si>
  <si>
    <t>月～土</t>
    <rPh sb="0" eb="1">
      <t>ゲツ</t>
    </rPh>
    <rPh sb="2" eb="3">
      <t>ド</t>
    </rPh>
    <phoneticPr fontId="21"/>
  </si>
  <si>
    <t>FUJI XEROX</t>
  </si>
  <si>
    <t>SATO</t>
    <phoneticPr fontId="21"/>
  </si>
  <si>
    <t>RAIDディスク</t>
    <phoneticPr fontId="21"/>
  </si>
  <si>
    <t>ｵｰﾄﾗﾍﾞﾗ
ﾗﾍﾞﾙﾌﾟﾘﾝﾀ</t>
    <phoneticPr fontId="21"/>
  </si>
  <si>
    <t>ｲｼﾀﾞ</t>
    <phoneticPr fontId="21"/>
  </si>
  <si>
    <t>ラベラ</t>
    <phoneticPr fontId="21"/>
  </si>
  <si>
    <t>ﾀｯﾁﾊﾟﾈﾙｼｽﾃﾑｽﾞ</t>
    <phoneticPr fontId="21"/>
  </si>
  <si>
    <t>ﾀｯﾁﾊﾟﾈﾙﾃﾞｨｽﾌﾟﾚｲ</t>
    <phoneticPr fontId="21"/>
  </si>
  <si>
    <t>ﾌﾙﾉｼｽﾃﾑｽﾞ</t>
    <phoneticPr fontId="21"/>
  </si>
  <si>
    <t>無線ﾊﾝﾃﾞｨﾀｰﾐﾅﾙ
ｱｸｾｽﾎﾟｲﾝﾄ</t>
    <rPh sb="0" eb="2">
      <t>ムセン</t>
    </rPh>
    <phoneticPr fontId="21"/>
  </si>
  <si>
    <t>CASIO</t>
    <phoneticPr fontId="21"/>
  </si>
  <si>
    <t>KEYENCE</t>
    <phoneticPr fontId="21"/>
  </si>
  <si>
    <t>ハンディ製品</t>
    <rPh sb="4" eb="6">
      <t>セイヒン</t>
    </rPh>
    <phoneticPr fontId="21"/>
  </si>
  <si>
    <t>無線ﾊﾝﾃﾞｨﾀｰﾐﾅﾙ</t>
    <rPh sb="0" eb="2">
      <t>ムセン</t>
    </rPh>
    <phoneticPr fontId="21"/>
  </si>
  <si>
    <t>welcat</t>
    <phoneticPr fontId="21"/>
  </si>
  <si>
    <t>ｳｪｱﾗﾌﾞﾙ端末</t>
    <phoneticPr fontId="21"/>
  </si>
  <si>
    <t>Panasonic</t>
    <phoneticPr fontId="21"/>
  </si>
  <si>
    <t>TOUGHPAD</t>
    <phoneticPr fontId="21"/>
  </si>
  <si>
    <t>（12/30-01/04を除く）</t>
    <rPh sb="13" eb="14">
      <t>ノゾ</t>
    </rPh>
    <phoneticPr fontId="21"/>
  </si>
  <si>
    <t>TOUGHBOOK</t>
    <phoneticPr fontId="21"/>
  </si>
  <si>
    <t>（祝日除く）</t>
  </si>
  <si>
    <t>eSOL</t>
    <phoneticPr fontId="21"/>
  </si>
  <si>
    <t>東芝TEC</t>
    <phoneticPr fontId="21"/>
  </si>
  <si>
    <t>ﾗﾍﾞﾙﾌﾟﾘﾝﾀ</t>
    <phoneticPr fontId="21"/>
  </si>
  <si>
    <t>（休業日除く）</t>
    <rPh sb="1" eb="4">
      <t>キュウギョウビ</t>
    </rPh>
    <rPh sb="4" eb="5">
      <t>ノゾ</t>
    </rPh>
    <phoneticPr fontId="21"/>
  </si>
  <si>
    <t>映像検索ｼｽﾃﾑ</t>
    <rPh sb="0" eb="4">
      <t>エイゾウケンサク</t>
    </rPh>
    <phoneticPr fontId="21"/>
  </si>
  <si>
    <t>DAIFUKU</t>
    <phoneticPr fontId="21"/>
  </si>
  <si>
    <t>制御ｺﾝﾄﾛｰﾗ</t>
    <rPh sb="0" eb="2">
      <t>セイギョ</t>
    </rPh>
    <phoneticPr fontId="21"/>
  </si>
  <si>
    <t>調整費</t>
    <rPh sb="0" eb="3">
      <t>チョウセイヒ</t>
    </rPh>
    <phoneticPr fontId="21"/>
  </si>
  <si>
    <t>8h</t>
    <phoneticPr fontId="21"/>
  </si>
  <si>
    <t>24h</t>
    <phoneticPr fontId="21"/>
  </si>
  <si>
    <t>ソフトウェア保守費</t>
    <rPh sb="6" eb="9">
      <t>ホシュヒ</t>
    </rPh>
    <phoneticPr fontId="21"/>
  </si>
  <si>
    <t>予防保守SE作業費減額</t>
    <rPh sb="0" eb="4">
      <t>ヨボウホシュ</t>
    </rPh>
    <rPh sb="6" eb="9">
      <t>サギョウヒ</t>
    </rPh>
    <rPh sb="9" eb="11">
      <t>ゲンガク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</si>
</sst>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¥&quot;#,##0;&quot;¥&quot;\-#,##0"/>
    <numFmt numFmtId="6" formatCode="&quot;¥&quot;#,##0;[Red]&quot;¥&quot;\-#,##0"/>
    <numFmt numFmtId="8" formatCode="&quot;¥&quot;#,##0.00;[Red]&quot;¥&quot;\-#,##0.00"/>
    <numFmt numFmtId="176" formatCode="0.0%"/>
    <numFmt numFmtId="177" formatCode="0000000"/>
    <numFmt numFmtId="178" formatCode="yyyy/mm/dd;@"/>
    <numFmt numFmtId="179" formatCode="General&quot;人&quot;"/>
    <numFmt numFmtId="180" formatCode="&quot;¥&quot;#,##0;&quot;¥&quot;\-#,##0;\-"/>
    <numFmt numFmtId="181" formatCode="General;General;&quot;&quot;"/>
    <numFmt numFmtId="182" formatCode="General&quot;台&quot;"/>
    <numFmt numFmtId="183" formatCode="General&quot;式&quot;"/>
    <numFmt numFmtId="184" formatCode="&quot;¥&quot;#,##0_);[Red]\(&quot;¥&quot;#,##0\)"/>
    <numFmt numFmtId="185" formatCode="[Blue]\+&quot;¥&quot;#,##0;[Red]&quot;¥&quot;\-#,##0"/>
    <numFmt numFmtId="186" formatCode="[Blue]\+0.0%;[Red]\-0.0%;"/>
    <numFmt numFmtId="187" formatCode="#,##0;&quot;▲ &quot;#,##0;\-"/>
  </numFmts>
  <fonts count="43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rgb="FF0070C0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10"/>
      <color indexed="1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C0C0C0"/>
      <name val="ＭＳ Ｐゴシック"/>
      <family val="3"/>
      <charset val="128"/>
    </font>
    <font>
      <sz val="9"/>
      <color rgb="FFC0C0C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120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 style="slantDashDot">
        <color indexed="64"/>
      </left>
      <right/>
      <top style="thin">
        <color indexed="64"/>
      </top>
      <bottom style="hair">
        <color indexed="64"/>
      </bottom>
      <diagonal/>
    </border>
    <border>
      <left style="slantDashDot">
        <color indexed="64"/>
      </left>
      <right/>
      <top style="hair">
        <color indexed="64"/>
      </top>
      <bottom style="hair">
        <color indexed="64"/>
      </bottom>
      <diagonal/>
    </border>
    <border>
      <left style="slantDashDot">
        <color indexed="64"/>
      </left>
      <right/>
      <top style="hair">
        <color indexed="64"/>
      </top>
      <bottom style="thin">
        <color indexed="64"/>
      </bottom>
      <diagonal/>
    </border>
    <border>
      <left style="slantDashDot">
        <color indexed="64"/>
      </left>
      <right/>
      <top style="thin">
        <color indexed="64"/>
      </top>
      <bottom style="double">
        <color indexed="64"/>
      </bottom>
      <diagonal/>
    </border>
    <border>
      <left style="slantDashDot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double">
        <color indexed="64"/>
      </top>
      <bottom style="hair">
        <color indexed="64"/>
      </bottom>
      <diagonal/>
    </border>
    <border>
      <left/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slantDashDot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slantDashDot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slantDashDot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23" borderId="4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23" borderId="9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8" fontId="3" fillId="0" borderId="0" applyFont="0" applyFill="0" applyBorder="0" applyAlignment="0" applyProtection="0"/>
    <xf numFmtId="0" fontId="19" fillId="7" borderId="4" applyNumberFormat="0" applyAlignment="0" applyProtection="0">
      <alignment vertical="center"/>
    </xf>
    <xf numFmtId="0" fontId="3" fillId="0" borderId="0"/>
    <xf numFmtId="0" fontId="26" fillId="0" borderId="0">
      <alignment vertical="center"/>
    </xf>
    <xf numFmtId="0" fontId="20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6" fontId="3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8" fontId="3" fillId="0" borderId="0" applyFont="0" applyFill="0" applyBorder="0" applyAlignment="0" applyProtection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</cellStyleXfs>
  <cellXfs count="616">
    <xf numFmtId="0" fontId="0" fillId="0" borderId="0" xfId="0">
      <alignment vertical="center"/>
    </xf>
    <xf numFmtId="0" fontId="3" fillId="0" borderId="0" xfId="42" applyAlignment="1">
      <alignment horizontal="left" vertical="center"/>
    </xf>
    <xf numFmtId="0" fontId="3" fillId="0" borderId="10" xfId="42" applyBorder="1" applyAlignment="1">
      <alignment horizontal="left" vertical="center"/>
    </xf>
    <xf numFmtId="0" fontId="3" fillId="0" borderId="11" xfId="42" applyBorder="1" applyAlignment="1">
      <alignment horizontal="left" vertical="center"/>
    </xf>
    <xf numFmtId="0" fontId="3" fillId="0" borderId="13" xfId="42" applyBorder="1" applyAlignment="1">
      <alignment horizontal="left" vertical="center"/>
    </xf>
    <xf numFmtId="0" fontId="3" fillId="0" borderId="14" xfId="42" applyBorder="1" applyAlignment="1">
      <alignment horizontal="left" vertical="center"/>
    </xf>
    <xf numFmtId="0" fontId="3" fillId="0" borderId="0" xfId="42" applyAlignment="1">
      <alignment vertical="center"/>
    </xf>
    <xf numFmtId="0" fontId="3" fillId="0" borderId="0" xfId="42" applyAlignment="1">
      <alignment horizontal="right" vertical="center"/>
    </xf>
    <xf numFmtId="0" fontId="3" fillId="0" borderId="15" xfId="42" applyBorder="1" applyAlignment="1">
      <alignment horizontal="center" vertical="center"/>
    </xf>
    <xf numFmtId="0" fontId="3" fillId="0" borderId="16" xfId="42" applyBorder="1" applyAlignment="1">
      <alignment horizontal="left" vertical="center"/>
    </xf>
    <xf numFmtId="0" fontId="3" fillId="0" borderId="15" xfId="42" applyBorder="1" applyAlignment="1">
      <alignment horizontal="left" vertical="center"/>
    </xf>
    <xf numFmtId="0" fontId="3" fillId="0" borderId="17" xfId="42" applyBorder="1" applyAlignment="1">
      <alignment horizontal="left" vertical="center"/>
    </xf>
    <xf numFmtId="0" fontId="3" fillId="0" borderId="18" xfId="42" applyBorder="1" applyAlignment="1">
      <alignment horizontal="left" vertical="center"/>
    </xf>
    <xf numFmtId="0" fontId="26" fillId="0" borderId="0" xfId="42" applyFont="1" applyAlignment="1">
      <alignment vertical="center"/>
    </xf>
    <xf numFmtId="0" fontId="26" fillId="0" borderId="0" xfId="42" applyFont="1" applyAlignment="1">
      <alignment horizontal="left" vertical="center"/>
    </xf>
    <xf numFmtId="0" fontId="3" fillId="0" borderId="11" xfId="42" applyBorder="1" applyAlignment="1">
      <alignment vertical="center"/>
    </xf>
    <xf numFmtId="0" fontId="3" fillId="0" borderId="14" xfId="42" applyBorder="1" applyAlignment="1">
      <alignment vertical="center"/>
    </xf>
    <xf numFmtId="49" fontId="26" fillId="0" borderId="11" xfId="42" applyNumberFormat="1" applyFont="1" applyBorder="1" applyAlignment="1">
      <alignment horizontal="left" vertical="center"/>
    </xf>
    <xf numFmtId="49" fontId="26" fillId="0" borderId="19" xfId="42" applyNumberFormat="1" applyFont="1" applyBorder="1" applyAlignment="1">
      <alignment horizontal="left" vertical="center"/>
    </xf>
    <xf numFmtId="49" fontId="26" fillId="0" borderId="12" xfId="42" applyNumberFormat="1" applyFont="1" applyBorder="1" applyAlignment="1">
      <alignment vertical="center"/>
    </xf>
    <xf numFmtId="0" fontId="26" fillId="0" borderId="20" xfId="42" applyFont="1" applyBorder="1" applyAlignment="1">
      <alignment horizontal="center" vertical="center"/>
    </xf>
    <xf numFmtId="0" fontId="26" fillId="0" borderId="0" xfId="42" applyFont="1" applyAlignment="1">
      <alignment horizontal="right" vertical="center"/>
    </xf>
    <xf numFmtId="0" fontId="22" fillId="0" borderId="0" xfId="42" applyFont="1" applyAlignment="1">
      <alignment vertical="center"/>
    </xf>
    <xf numFmtId="0" fontId="23" fillId="0" borderId="0" xfId="42" applyFont="1" applyAlignment="1">
      <alignment vertical="center"/>
    </xf>
    <xf numFmtId="0" fontId="3" fillId="0" borderId="22" xfId="42" applyBorder="1" applyAlignment="1">
      <alignment horizontal="left" vertical="center"/>
    </xf>
    <xf numFmtId="0" fontId="3" fillId="0" borderId="23" xfId="42" applyBorder="1" applyAlignment="1">
      <alignment horizontal="left" vertical="center"/>
    </xf>
    <xf numFmtId="0" fontId="23" fillId="0" borderId="0" xfId="42" applyFont="1" applyAlignment="1">
      <alignment horizontal="center" vertical="center"/>
    </xf>
    <xf numFmtId="0" fontId="29" fillId="24" borderId="24" xfId="42" applyFont="1" applyFill="1" applyBorder="1" applyAlignment="1">
      <alignment horizontal="center" vertical="center"/>
    </xf>
    <xf numFmtId="0" fontId="23" fillId="0" borderId="14" xfId="42" applyFont="1" applyBorder="1" applyAlignment="1">
      <alignment vertical="center"/>
    </xf>
    <xf numFmtId="0" fontId="23" fillId="0" borderId="14" xfId="42" applyFont="1" applyBorder="1" applyAlignment="1">
      <alignment horizontal="right" vertical="center"/>
    </xf>
    <xf numFmtId="0" fontId="23" fillId="0" borderId="0" xfId="42" applyFont="1" applyAlignment="1">
      <alignment horizontal="right" vertical="center"/>
    </xf>
    <xf numFmtId="0" fontId="23" fillId="0" borderId="13" xfId="42" applyFont="1" applyBorder="1" applyAlignment="1">
      <alignment vertical="center"/>
    </xf>
    <xf numFmtId="0" fontId="23" fillId="0" borderId="25" xfId="42" applyFont="1" applyBorder="1" applyAlignment="1">
      <alignment vertical="center"/>
    </xf>
    <xf numFmtId="0" fontId="23" fillId="0" borderId="0" xfId="42" applyFont="1" applyAlignment="1">
      <alignment horizontal="left" vertical="center"/>
    </xf>
    <xf numFmtId="0" fontId="23" fillId="0" borderId="20" xfId="42" applyFont="1" applyBorder="1" applyAlignment="1">
      <alignment vertical="center"/>
    </xf>
    <xf numFmtId="0" fontId="23" fillId="0" borderId="15" xfId="42" applyFont="1" applyBorder="1" applyAlignment="1">
      <alignment vertical="center"/>
    </xf>
    <xf numFmtId="0" fontId="23" fillId="0" borderId="15" xfId="42" applyFont="1" applyBorder="1" applyAlignment="1">
      <alignment horizontal="right" vertical="center"/>
    </xf>
    <xf numFmtId="0" fontId="27" fillId="0" borderId="0" xfId="42" applyFont="1" applyAlignment="1">
      <alignment horizontal="left" vertical="center"/>
    </xf>
    <xf numFmtId="0" fontId="24" fillId="0" borderId="0" xfId="42" applyFont="1" applyAlignment="1">
      <alignment horizontal="left" vertical="center"/>
    </xf>
    <xf numFmtId="0" fontId="27" fillId="0" borderId="0" xfId="42" applyFont="1" applyAlignment="1">
      <alignment horizontal="right" vertical="center"/>
    </xf>
    <xf numFmtId="49" fontId="27" fillId="0" borderId="0" xfId="42" applyNumberFormat="1" applyFont="1" applyAlignment="1">
      <alignment horizontal="left" vertical="center"/>
    </xf>
    <xf numFmtId="49" fontId="26" fillId="0" borderId="0" xfId="42" applyNumberFormat="1" applyFont="1" applyAlignment="1">
      <alignment horizontal="left" vertical="center"/>
    </xf>
    <xf numFmtId="0" fontId="30" fillId="0" borderId="0" xfId="42" applyFont="1" applyAlignment="1">
      <alignment horizontal="left" vertical="center"/>
    </xf>
    <xf numFmtId="0" fontId="26" fillId="0" borderId="20" xfId="42" applyFont="1" applyBorder="1" applyAlignment="1">
      <alignment vertical="center"/>
    </xf>
    <xf numFmtId="0" fontId="26" fillId="0" borderId="14" xfId="42" applyFont="1" applyBorder="1" applyAlignment="1">
      <alignment vertical="center"/>
    </xf>
    <xf numFmtId="0" fontId="26" fillId="0" borderId="14" xfId="42" applyFont="1" applyBorder="1" applyAlignment="1">
      <alignment horizontal="right" vertical="center"/>
    </xf>
    <xf numFmtId="0" fontId="26" fillId="0" borderId="14" xfId="42" applyFont="1" applyBorder="1" applyAlignment="1">
      <alignment horizontal="left" vertical="center"/>
    </xf>
    <xf numFmtId="0" fontId="26" fillId="0" borderId="26" xfId="42" applyFont="1" applyBorder="1" applyAlignment="1">
      <alignment horizontal="right" vertical="center"/>
    </xf>
    <xf numFmtId="0" fontId="26" fillId="0" borderId="26" xfId="42" applyFont="1" applyBorder="1" applyAlignment="1">
      <alignment horizontal="left" vertical="center"/>
    </xf>
    <xf numFmtId="5" fontId="26" fillId="0" borderId="26" xfId="42" applyNumberFormat="1" applyFont="1" applyBorder="1" applyAlignment="1">
      <alignment horizontal="right" vertical="center"/>
    </xf>
    <xf numFmtId="0" fontId="26" fillId="0" borderId="27" xfId="42" applyFont="1" applyBorder="1" applyAlignment="1">
      <alignment horizontal="right" vertical="center"/>
    </xf>
    <xf numFmtId="0" fontId="26" fillId="0" borderId="28" xfId="42" applyFont="1" applyBorder="1" applyAlignment="1">
      <alignment horizontal="right" vertical="center"/>
    </xf>
    <xf numFmtId="0" fontId="26" fillId="0" borderId="28" xfId="42" applyFont="1" applyBorder="1" applyAlignment="1">
      <alignment horizontal="left" vertical="center"/>
    </xf>
    <xf numFmtId="0" fontId="26" fillId="0" borderId="13" xfId="42" applyFont="1" applyBorder="1" applyAlignment="1">
      <alignment vertical="center"/>
    </xf>
    <xf numFmtId="176" fontId="26" fillId="0" borderId="0" xfId="42" applyNumberFormat="1" applyFont="1" applyAlignment="1">
      <alignment horizontal="right" vertical="center"/>
    </xf>
    <xf numFmtId="0" fontId="26" fillId="0" borderId="29" xfId="42" applyFont="1" applyBorder="1" applyAlignment="1">
      <alignment horizontal="right" vertical="center"/>
    </xf>
    <xf numFmtId="0" fontId="26" fillId="0" borderId="29" xfId="42" applyFont="1" applyBorder="1" applyAlignment="1">
      <alignment horizontal="left" vertical="center"/>
    </xf>
    <xf numFmtId="0" fontId="26" fillId="0" borderId="30" xfId="42" applyFont="1" applyBorder="1" applyAlignment="1">
      <alignment horizontal="right" vertical="center"/>
    </xf>
    <xf numFmtId="49" fontId="26" fillId="0" borderId="10" xfId="42" applyNumberFormat="1" applyFont="1" applyBorder="1" applyAlignment="1">
      <alignment vertical="center"/>
    </xf>
    <xf numFmtId="0" fontId="0" fillId="0" borderId="10" xfId="42" applyFont="1" applyBorder="1" applyAlignment="1">
      <alignment horizontal="left" vertical="center"/>
    </xf>
    <xf numFmtId="0" fontId="3" fillId="0" borderId="32" xfId="42" applyBorder="1" applyAlignment="1">
      <alignment vertical="center"/>
    </xf>
    <xf numFmtId="0" fontId="3" fillId="0" borderId="23" xfId="42" applyBorder="1" applyAlignment="1">
      <alignment vertical="center"/>
    </xf>
    <xf numFmtId="0" fontId="0" fillId="0" borderId="33" xfId="42" applyFont="1" applyBorder="1" applyAlignment="1">
      <alignment horizontal="left" vertical="center"/>
    </xf>
    <xf numFmtId="0" fontId="0" fillId="0" borderId="22" xfId="42" applyFont="1" applyBorder="1" applyAlignment="1">
      <alignment horizontal="left" vertical="center"/>
    </xf>
    <xf numFmtId="0" fontId="22" fillId="24" borderId="11" xfId="42" applyFont="1" applyFill="1" applyBorder="1" applyAlignment="1">
      <alignment horizontal="center" vertical="center"/>
    </xf>
    <xf numFmtId="0" fontId="22" fillId="24" borderId="12" xfId="42" applyFont="1" applyFill="1" applyBorder="1" applyAlignment="1">
      <alignment horizontal="center" vertical="center"/>
    </xf>
    <xf numFmtId="0" fontId="28" fillId="0" borderId="0" xfId="42" applyFont="1" applyAlignment="1">
      <alignment horizontal="right" vertical="center"/>
    </xf>
    <xf numFmtId="0" fontId="23" fillId="0" borderId="26" xfId="42" applyFont="1" applyBorder="1" applyAlignment="1">
      <alignment horizontal="center" vertical="center"/>
    </xf>
    <xf numFmtId="0" fontId="23" fillId="0" borderId="26" xfId="42" applyFont="1" applyBorder="1" applyAlignment="1">
      <alignment horizontal="left" vertical="center"/>
    </xf>
    <xf numFmtId="0" fontId="23" fillId="0" borderId="28" xfId="42" applyFont="1" applyBorder="1" applyAlignment="1">
      <alignment horizontal="center" vertical="center"/>
    </xf>
    <xf numFmtId="0" fontId="23" fillId="0" borderId="28" xfId="42" applyFont="1" applyBorder="1" applyAlignment="1">
      <alignment horizontal="left" vertical="center"/>
    </xf>
    <xf numFmtId="0" fontId="23" fillId="0" borderId="27" xfId="42" applyFont="1" applyBorder="1" applyAlignment="1">
      <alignment horizontal="center" vertical="center"/>
    </xf>
    <xf numFmtId="0" fontId="23" fillId="0" borderId="27" xfId="42" applyFont="1" applyBorder="1" applyAlignment="1">
      <alignment horizontal="left" vertical="center"/>
    </xf>
    <xf numFmtId="0" fontId="23" fillId="0" borderId="36" xfId="42" applyFont="1" applyBorder="1" applyAlignment="1">
      <alignment horizontal="left" vertical="center"/>
    </xf>
    <xf numFmtId="0" fontId="23" fillId="0" borderId="37" xfId="42" applyFont="1" applyBorder="1" applyAlignment="1">
      <alignment horizontal="left" vertical="center"/>
    </xf>
    <xf numFmtId="0" fontId="23" fillId="0" borderId="18" xfId="42" applyFont="1" applyBorder="1" applyAlignment="1">
      <alignment horizontal="center" vertical="center"/>
    </xf>
    <xf numFmtId="0" fontId="23" fillId="0" borderId="16" xfId="42" applyFont="1" applyBorder="1" applyAlignment="1">
      <alignment horizontal="center" vertical="center"/>
    </xf>
    <xf numFmtId="0" fontId="23" fillId="0" borderId="17" xfId="42" applyFont="1" applyBorder="1" applyAlignment="1">
      <alignment horizontal="center" vertical="center"/>
    </xf>
    <xf numFmtId="0" fontId="27" fillId="0" borderId="0" xfId="42" applyFont="1" applyAlignment="1">
      <alignment horizontal="center" vertical="center"/>
    </xf>
    <xf numFmtId="0" fontId="26" fillId="0" borderId="0" xfId="42" applyFont="1" applyAlignment="1">
      <alignment horizontal="center" vertical="center"/>
    </xf>
    <xf numFmtId="0" fontId="0" fillId="0" borderId="10" xfId="42" applyFont="1" applyBorder="1" applyAlignment="1">
      <alignment vertical="center"/>
    </xf>
    <xf numFmtId="49" fontId="26" fillId="0" borderId="11" xfId="42" applyNumberFormat="1" applyFont="1" applyBorder="1" applyAlignment="1">
      <alignment vertical="center"/>
    </xf>
    <xf numFmtId="5" fontId="26" fillId="0" borderId="19" xfId="42" applyNumberFormat="1" applyFont="1" applyBorder="1" applyAlignment="1">
      <alignment vertical="center"/>
    </xf>
    <xf numFmtId="0" fontId="22" fillId="24" borderId="38" xfId="42" applyFont="1" applyFill="1" applyBorder="1" applyAlignment="1">
      <alignment horizontal="center" vertical="center"/>
    </xf>
    <xf numFmtId="0" fontId="26" fillId="0" borderId="39" xfId="42" applyFont="1" applyBorder="1" applyAlignment="1">
      <alignment horizontal="right" vertical="center"/>
    </xf>
    <xf numFmtId="0" fontId="26" fillId="0" borderId="40" xfId="42" applyFont="1" applyBorder="1" applyAlignment="1">
      <alignment horizontal="right" vertical="center"/>
    </xf>
    <xf numFmtId="0" fontId="26" fillId="24" borderId="41" xfId="42" applyFont="1" applyFill="1" applyBorder="1" applyAlignment="1">
      <alignment horizontal="left" vertical="center"/>
    </xf>
    <xf numFmtId="0" fontId="26" fillId="24" borderId="41" xfId="42" applyFont="1" applyFill="1" applyBorder="1" applyAlignment="1">
      <alignment vertical="center"/>
    </xf>
    <xf numFmtId="0" fontId="26" fillId="24" borderId="24" xfId="42" applyFont="1" applyFill="1" applyBorder="1" applyAlignment="1">
      <alignment vertical="center"/>
    </xf>
    <xf numFmtId="0" fontId="23" fillId="0" borderId="33" xfId="42" applyFont="1" applyBorder="1" applyAlignment="1">
      <alignment horizontal="left" vertical="center"/>
    </xf>
    <xf numFmtId="0" fontId="23" fillId="0" borderId="32" xfId="42" applyFont="1" applyBorder="1" applyAlignment="1">
      <alignment horizontal="left" vertical="center"/>
    </xf>
    <xf numFmtId="0" fontId="23" fillId="0" borderId="22" xfId="42" applyFont="1" applyBorder="1" applyAlignment="1">
      <alignment horizontal="left" vertical="center"/>
    </xf>
    <xf numFmtId="0" fontId="23" fillId="0" borderId="23" xfId="42" applyFont="1" applyBorder="1" applyAlignment="1">
      <alignment horizontal="left" vertical="center"/>
    </xf>
    <xf numFmtId="0" fontId="29" fillId="24" borderId="13" xfId="42" applyFont="1" applyFill="1" applyBorder="1" applyAlignment="1">
      <alignment vertical="center"/>
    </xf>
    <xf numFmtId="0" fontId="29" fillId="24" borderId="14" xfId="42" applyFont="1" applyFill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14" xfId="42" applyFont="1" applyBorder="1" applyAlignment="1">
      <alignment vertical="center"/>
    </xf>
    <xf numFmtId="0" fontId="29" fillId="0" borderId="31" xfId="42" applyFont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11" xfId="42" applyFont="1" applyBorder="1" applyAlignment="1">
      <alignment vertical="center"/>
    </xf>
    <xf numFmtId="0" fontId="23" fillId="0" borderId="19" xfId="42" applyFont="1" applyBorder="1" applyAlignment="1">
      <alignment horizontal="center" vertical="center"/>
    </xf>
    <xf numFmtId="0" fontId="23" fillId="0" borderId="19" xfId="42" applyFont="1" applyBorder="1" applyAlignment="1">
      <alignment horizontal="left" vertical="center"/>
    </xf>
    <xf numFmtId="0" fontId="23" fillId="0" borderId="31" xfId="42" applyFont="1" applyBorder="1" applyAlignment="1">
      <alignment horizontal="center" vertical="center"/>
    </xf>
    <xf numFmtId="0" fontId="23" fillId="0" borderId="13" xfId="42" applyFont="1" applyBorder="1" applyAlignment="1">
      <alignment horizontal="left" vertical="center"/>
    </xf>
    <xf numFmtId="0" fontId="23" fillId="0" borderId="14" xfId="42" applyFont="1" applyBorder="1" applyAlignment="1">
      <alignment horizontal="left" vertical="center"/>
    </xf>
    <xf numFmtId="0" fontId="23" fillId="0" borderId="31" xfId="42" applyFont="1" applyBorder="1" applyAlignment="1">
      <alignment horizontal="left" vertical="center"/>
    </xf>
    <xf numFmtId="0" fontId="29" fillId="24" borderId="14" xfId="42" applyFont="1" applyFill="1" applyBorder="1" applyAlignment="1">
      <alignment horizontal="center" vertical="center"/>
    </xf>
    <xf numFmtId="0" fontId="29" fillId="24" borderId="20" xfId="42" applyFont="1" applyFill="1" applyBorder="1" applyAlignment="1">
      <alignment vertical="center"/>
    </xf>
    <xf numFmtId="0" fontId="29" fillId="24" borderId="15" xfId="42" applyFont="1" applyFill="1" applyBorder="1" applyAlignment="1">
      <alignment vertical="center"/>
    </xf>
    <xf numFmtId="0" fontId="22" fillId="0" borderId="0" xfId="42" applyFont="1" applyAlignment="1">
      <alignment horizontal="centerContinuous" vertical="center"/>
    </xf>
    <xf numFmtId="0" fontId="26" fillId="0" borderId="32" xfId="42" applyFont="1" applyBorder="1" applyAlignment="1">
      <alignment horizontal="left" vertical="center"/>
    </xf>
    <xf numFmtId="0" fontId="26" fillId="0" borderId="34" xfId="42" applyFont="1" applyBorder="1" applyAlignment="1">
      <alignment horizontal="left" vertical="center"/>
    </xf>
    <xf numFmtId="0" fontId="26" fillId="0" borderId="23" xfId="42" applyFont="1" applyBorder="1" applyAlignment="1">
      <alignment horizontal="left" vertical="center"/>
    </xf>
    <xf numFmtId="0" fontId="26" fillId="0" borderId="37" xfId="42" applyFont="1" applyBorder="1" applyAlignment="1">
      <alignment horizontal="left" vertical="center"/>
    </xf>
    <xf numFmtId="0" fontId="26" fillId="0" borderId="35" xfId="42" applyFont="1" applyBorder="1" applyAlignment="1">
      <alignment horizontal="left" vertical="center"/>
    </xf>
    <xf numFmtId="0" fontId="0" fillId="0" borderId="0" xfId="42" applyFont="1" applyAlignment="1">
      <alignment horizontal="left" vertical="center"/>
    </xf>
    <xf numFmtId="0" fontId="26" fillId="0" borderId="33" xfId="42" applyFont="1" applyBorder="1" applyAlignment="1">
      <alignment horizontal="left" vertical="center"/>
    </xf>
    <xf numFmtId="0" fontId="26" fillId="0" borderId="22" xfId="42" applyFont="1" applyBorder="1" applyAlignment="1">
      <alignment horizontal="left" vertical="center"/>
    </xf>
    <xf numFmtId="0" fontId="26" fillId="0" borderId="42" xfId="42" applyFont="1" applyBorder="1" applyAlignment="1">
      <alignment horizontal="left" vertical="center"/>
    </xf>
    <xf numFmtId="0" fontId="26" fillId="0" borderId="31" xfId="42" applyFont="1" applyBorder="1" applyAlignment="1">
      <alignment horizontal="right" vertical="center"/>
    </xf>
    <xf numFmtId="0" fontId="26" fillId="0" borderId="41" xfId="42" applyFont="1" applyBorder="1" applyAlignment="1">
      <alignment horizontal="right" vertical="center"/>
    </xf>
    <xf numFmtId="0" fontId="26" fillId="0" borderId="43" xfId="42" applyFont="1" applyBorder="1" applyAlignment="1">
      <alignment horizontal="left" vertical="center"/>
    </xf>
    <xf numFmtId="0" fontId="26" fillId="0" borderId="10" xfId="42" applyFont="1" applyBorder="1" applyAlignment="1">
      <alignment horizontal="left" vertical="center"/>
    </xf>
    <xf numFmtId="0" fontId="26" fillId="0" borderId="11" xfId="42" applyFont="1" applyBorder="1" applyAlignment="1">
      <alignment horizontal="left" vertical="center"/>
    </xf>
    <xf numFmtId="0" fontId="29" fillId="24" borderId="31" xfId="42" applyFont="1" applyFill="1" applyBorder="1" applyAlignment="1">
      <alignment vertical="center"/>
    </xf>
    <xf numFmtId="0" fontId="0" fillId="0" borderId="14" xfId="0" applyBorder="1">
      <alignment vertical="center"/>
    </xf>
    <xf numFmtId="0" fontId="26" fillId="0" borderId="18" xfId="42" applyFont="1" applyBorder="1" applyAlignment="1">
      <alignment horizontal="left" vertical="center"/>
    </xf>
    <xf numFmtId="177" fontId="3" fillId="0" borderId="0" xfId="42" applyNumberFormat="1" applyAlignment="1">
      <alignment vertical="center"/>
    </xf>
    <xf numFmtId="49" fontId="26" fillId="0" borderId="0" xfId="42" applyNumberFormat="1" applyFont="1" applyAlignment="1">
      <alignment vertical="center"/>
    </xf>
    <xf numFmtId="0" fontId="29" fillId="24" borderId="19" xfId="42" applyFont="1" applyFill="1" applyBorder="1" applyAlignment="1">
      <alignment vertical="center"/>
    </xf>
    <xf numFmtId="0" fontId="23" fillId="0" borderId="45" xfId="42" applyFont="1" applyBorder="1" applyAlignment="1">
      <alignment horizontal="left" vertical="center"/>
    </xf>
    <xf numFmtId="0" fontId="23" fillId="0" borderId="42" xfId="42" applyFont="1" applyBorder="1" applyAlignment="1">
      <alignment horizontal="left" vertical="center"/>
    </xf>
    <xf numFmtId="0" fontId="23" fillId="0" borderId="29" xfId="42" applyFont="1" applyBorder="1" applyAlignment="1">
      <alignment horizontal="center" vertical="center"/>
    </xf>
    <xf numFmtId="0" fontId="23" fillId="0" borderId="29" xfId="42" applyFont="1" applyBorder="1" applyAlignment="1">
      <alignment horizontal="left" vertical="center"/>
    </xf>
    <xf numFmtId="0" fontId="23" fillId="0" borderId="31" xfId="42" applyFont="1" applyBorder="1" applyAlignment="1">
      <alignment horizontal="right" vertical="center"/>
    </xf>
    <xf numFmtId="0" fontId="23" fillId="0" borderId="41" xfId="42" applyFont="1" applyBorder="1" applyAlignment="1">
      <alignment horizontal="right" vertical="center"/>
    </xf>
    <xf numFmtId="0" fontId="23" fillId="0" borderId="28" xfId="42" applyFont="1" applyBorder="1" applyAlignment="1">
      <alignment horizontal="right" vertical="center"/>
    </xf>
    <xf numFmtId="0" fontId="23" fillId="0" borderId="30" xfId="42" applyFont="1" applyBorder="1" applyAlignment="1">
      <alignment horizontal="right" vertical="center"/>
    </xf>
    <xf numFmtId="0" fontId="23" fillId="0" borderId="27" xfId="42" applyFont="1" applyBorder="1" applyAlignment="1">
      <alignment horizontal="right" vertical="center"/>
    </xf>
    <xf numFmtId="0" fontId="23" fillId="0" borderId="33" xfId="42" applyFont="1" applyBorder="1" applyAlignment="1">
      <alignment horizontal="right" vertical="center"/>
    </xf>
    <xf numFmtId="0" fontId="23" fillId="0" borderId="45" xfId="42" applyFont="1" applyBorder="1" applyAlignment="1">
      <alignment horizontal="right" vertical="center"/>
    </xf>
    <xf numFmtId="0" fontId="23" fillId="0" borderId="26" xfId="42" applyFont="1" applyBorder="1" applyAlignment="1">
      <alignment horizontal="right" vertical="center"/>
    </xf>
    <xf numFmtId="0" fontId="26" fillId="0" borderId="45" xfId="42" applyFont="1" applyBorder="1" applyAlignment="1">
      <alignment horizontal="left" vertical="center"/>
    </xf>
    <xf numFmtId="0" fontId="26" fillId="0" borderId="36" xfId="42" applyFont="1" applyBorder="1" applyAlignment="1">
      <alignment horizontal="left" vertical="center"/>
    </xf>
    <xf numFmtId="0" fontId="26" fillId="0" borderId="18" xfId="42" applyFont="1" applyBorder="1" applyAlignment="1">
      <alignment vertical="center"/>
    </xf>
    <xf numFmtId="5" fontId="26" fillId="0" borderId="31" xfId="42" applyNumberFormat="1" applyFont="1" applyBorder="1" applyAlignment="1">
      <alignment horizontal="right" vertical="center"/>
    </xf>
    <xf numFmtId="6" fontId="26" fillId="0" borderId="19" xfId="42" applyNumberFormat="1" applyFont="1" applyBorder="1" applyAlignment="1">
      <alignment vertical="center"/>
    </xf>
    <xf numFmtId="5" fontId="3" fillId="0" borderId="11" xfId="42" applyNumberFormat="1" applyBorder="1" applyAlignment="1">
      <alignment horizontal="right" vertical="center"/>
    </xf>
    <xf numFmtId="0" fontId="3" fillId="0" borderId="11" xfId="42" applyBorder="1" applyAlignment="1">
      <alignment horizontal="center" vertical="center"/>
    </xf>
    <xf numFmtId="0" fontId="26" fillId="0" borderId="18" xfId="42" applyFont="1" applyBorder="1" applyAlignment="1">
      <alignment horizontal="center" vertical="center"/>
    </xf>
    <xf numFmtId="0" fontId="3" fillId="0" borderId="17" xfId="42" applyBorder="1" applyAlignment="1">
      <alignment horizontal="center" vertical="center"/>
    </xf>
    <xf numFmtId="0" fontId="26" fillId="0" borderId="17" xfId="42" applyFont="1" applyBorder="1" applyAlignment="1">
      <alignment vertical="center"/>
    </xf>
    <xf numFmtId="0" fontId="26" fillId="0" borderId="16" xfId="42" applyFont="1" applyBorder="1" applyAlignment="1">
      <alignment horizontal="left" vertical="center"/>
    </xf>
    <xf numFmtId="0" fontId="26" fillId="0" borderId="15" xfId="42" applyFont="1" applyBorder="1" applyAlignment="1">
      <alignment vertical="center"/>
    </xf>
    <xf numFmtId="0" fontId="26" fillId="0" borderId="14" xfId="42" applyFont="1" applyBorder="1" applyAlignment="1">
      <alignment horizontal="center" vertical="center"/>
    </xf>
    <xf numFmtId="0" fontId="26" fillId="0" borderId="20" xfId="42" applyFont="1" applyBorder="1" applyAlignment="1">
      <alignment horizontal="left" vertical="center"/>
    </xf>
    <xf numFmtId="0" fontId="26" fillId="0" borderId="17" xfId="42" applyFont="1" applyBorder="1" applyAlignment="1">
      <alignment horizontal="center" vertical="center"/>
    </xf>
    <xf numFmtId="0" fontId="26" fillId="0" borderId="15" xfId="42" applyFont="1" applyBorder="1" applyAlignment="1">
      <alignment horizontal="right" vertical="center"/>
    </xf>
    <xf numFmtId="0" fontId="26" fillId="0" borderId="24" xfId="42" applyFont="1" applyBorder="1" applyAlignment="1">
      <alignment horizontal="right" vertical="center"/>
    </xf>
    <xf numFmtId="0" fontId="26" fillId="0" borderId="40" xfId="42" applyFont="1" applyBorder="1" applyAlignment="1">
      <alignment horizontal="left" vertical="center"/>
    </xf>
    <xf numFmtId="0" fontId="0" fillId="0" borderId="11" xfId="42" applyFont="1" applyBorder="1" applyAlignment="1">
      <alignment horizontal="center" vertical="center"/>
    </xf>
    <xf numFmtId="5" fontId="26" fillId="0" borderId="33" xfId="42" applyNumberFormat="1" applyFont="1" applyBorder="1" applyAlignment="1">
      <alignment horizontal="right" vertical="center"/>
    </xf>
    <xf numFmtId="178" fontId="0" fillId="0" borderId="0" xfId="42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/>
    </xf>
    <xf numFmtId="0" fontId="0" fillId="0" borderId="0" xfId="42" applyFont="1" applyAlignment="1">
      <alignment vertical="center"/>
    </xf>
    <xf numFmtId="0" fontId="3" fillId="0" borderId="48" xfId="42" applyBorder="1" applyAlignment="1">
      <alignment horizontal="left" vertical="center"/>
    </xf>
    <xf numFmtId="0" fontId="26" fillId="0" borderId="50" xfId="42" applyFont="1" applyBorder="1" applyAlignment="1">
      <alignment horizontal="centerContinuous" vertical="center"/>
    </xf>
    <xf numFmtId="0" fontId="22" fillId="24" borderId="51" xfId="42" applyFont="1" applyFill="1" applyBorder="1" applyAlignment="1">
      <alignment horizontal="center" vertical="center"/>
    </xf>
    <xf numFmtId="0" fontId="26" fillId="0" borderId="52" xfId="42" applyFont="1" applyBorder="1" applyAlignment="1">
      <alignment horizontal="right" vertical="center"/>
    </xf>
    <xf numFmtId="0" fontId="26" fillId="0" borderId="53" xfId="42" applyFont="1" applyBorder="1" applyAlignment="1">
      <alignment vertical="center"/>
    </xf>
    <xf numFmtId="0" fontId="26" fillId="0" borderId="54" xfId="42" applyFont="1" applyBorder="1" applyAlignment="1">
      <alignment horizontal="center" vertical="center"/>
    </xf>
    <xf numFmtId="5" fontId="26" fillId="0" borderId="56" xfId="42" applyNumberFormat="1" applyFont="1" applyBorder="1" applyAlignment="1">
      <alignment vertical="center"/>
    </xf>
    <xf numFmtId="0" fontId="26" fillId="0" borderId="57" xfId="42" applyFont="1" applyBorder="1" applyAlignment="1">
      <alignment horizontal="right" vertical="center"/>
    </xf>
    <xf numFmtId="5" fontId="26" fillId="0" borderId="53" xfId="42" applyNumberFormat="1" applyFont="1" applyBorder="1" applyAlignment="1">
      <alignment horizontal="right" vertical="center"/>
    </xf>
    <xf numFmtId="0" fontId="26" fillId="0" borderId="49" xfId="42" applyFont="1" applyBorder="1" applyAlignment="1">
      <alignment horizontal="centerContinuous" vertical="center"/>
    </xf>
    <xf numFmtId="0" fontId="26" fillId="0" borderId="58" xfId="42" applyFont="1" applyBorder="1" applyAlignment="1">
      <alignment horizontal="center" vertical="center"/>
    </xf>
    <xf numFmtId="0" fontId="26" fillId="0" borderId="59" xfId="42" applyFont="1" applyBorder="1" applyAlignment="1">
      <alignment horizontal="center" vertical="center" wrapText="1"/>
    </xf>
    <xf numFmtId="0" fontId="3" fillId="0" borderId="60" xfId="42" applyBorder="1" applyAlignment="1">
      <alignment horizontal="center" vertical="center"/>
    </xf>
    <xf numFmtId="0" fontId="26" fillId="0" borderId="59" xfId="42" applyFont="1" applyBorder="1" applyAlignment="1">
      <alignment horizontal="center" vertical="center"/>
    </xf>
    <xf numFmtId="0" fontId="26" fillId="0" borderId="61" xfId="42" applyFont="1" applyBorder="1" applyAlignment="1">
      <alignment horizontal="center" vertical="center"/>
    </xf>
    <xf numFmtId="5" fontId="26" fillId="0" borderId="53" xfId="42" applyNumberFormat="1" applyFont="1" applyBorder="1" applyAlignment="1">
      <alignment horizontal="right" vertical="center" shrinkToFit="1"/>
    </xf>
    <xf numFmtId="5" fontId="26" fillId="0" borderId="62" xfId="42" applyNumberFormat="1" applyFont="1" applyBorder="1" applyAlignment="1">
      <alignment horizontal="right" vertical="center" shrinkToFit="1"/>
    </xf>
    <xf numFmtId="0" fontId="26" fillId="0" borderId="63" xfId="42" applyFont="1" applyBorder="1" applyAlignment="1">
      <alignment horizontal="center" vertical="center"/>
    </xf>
    <xf numFmtId="5" fontId="26" fillId="0" borderId="55" xfId="42" applyNumberFormat="1" applyFont="1" applyBorder="1" applyAlignment="1">
      <alignment horizontal="right" vertical="center" shrinkToFit="1"/>
    </xf>
    <xf numFmtId="0" fontId="26" fillId="0" borderId="64" xfId="42" applyFont="1" applyBorder="1" applyAlignment="1">
      <alignment horizontal="center" vertical="center"/>
    </xf>
    <xf numFmtId="5" fontId="26" fillId="0" borderId="56" xfId="42" applyNumberFormat="1" applyFont="1" applyBorder="1" applyAlignment="1">
      <alignment horizontal="right" vertical="center"/>
    </xf>
    <xf numFmtId="5" fontId="26" fillId="0" borderId="65" xfId="42" applyNumberFormat="1" applyFont="1" applyBorder="1" applyAlignment="1">
      <alignment horizontal="right" vertical="center" wrapText="1" shrinkToFit="1"/>
    </xf>
    <xf numFmtId="0" fontId="26" fillId="0" borderId="66" xfId="42" applyFont="1" applyBorder="1" applyAlignment="1">
      <alignment horizontal="center" vertical="center"/>
    </xf>
    <xf numFmtId="5" fontId="26" fillId="0" borderId="67" xfId="42" applyNumberFormat="1" applyFont="1" applyBorder="1" applyAlignment="1">
      <alignment horizontal="right" vertical="center" wrapText="1" shrinkToFit="1"/>
    </xf>
    <xf numFmtId="5" fontId="26" fillId="0" borderId="62" xfId="42" applyNumberFormat="1" applyFont="1" applyBorder="1" applyAlignment="1">
      <alignment horizontal="right" vertical="center" wrapText="1" shrinkToFit="1"/>
    </xf>
    <xf numFmtId="0" fontId="0" fillId="0" borderId="59" xfId="0" applyBorder="1">
      <alignment vertical="center"/>
    </xf>
    <xf numFmtId="0" fontId="26" fillId="0" borderId="15" xfId="42" applyFont="1" applyBorder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9" fillId="24" borderId="12" xfId="42" applyFont="1" applyFill="1" applyBorder="1" applyAlignment="1">
      <alignment vertical="center"/>
    </xf>
    <xf numFmtId="0" fontId="29" fillId="24" borderId="10" xfId="42" applyFont="1" applyFill="1" applyBorder="1" applyAlignment="1">
      <alignment vertical="center"/>
    </xf>
    <xf numFmtId="0" fontId="29" fillId="24" borderId="11" xfId="42" applyFont="1" applyFill="1" applyBorder="1" applyAlignment="1">
      <alignment vertical="center"/>
    </xf>
    <xf numFmtId="0" fontId="23" fillId="0" borderId="31" xfId="0" applyFont="1" applyBorder="1">
      <alignment vertical="center"/>
    </xf>
    <xf numFmtId="0" fontId="23" fillId="0" borderId="14" xfId="0" applyFont="1" applyBorder="1">
      <alignment vertical="center"/>
    </xf>
    <xf numFmtId="20" fontId="23" fillId="0" borderId="25" xfId="0" applyNumberFormat="1" applyFont="1" applyBorder="1" applyAlignment="1">
      <alignment horizontal="center" vertical="center"/>
    </xf>
    <xf numFmtId="0" fontId="23" fillId="0" borderId="41" xfId="0" applyFont="1" applyBorder="1">
      <alignment vertical="center"/>
    </xf>
    <xf numFmtId="0" fontId="23" fillId="0" borderId="37" xfId="0" applyFont="1" applyBorder="1">
      <alignment vertical="center"/>
    </xf>
    <xf numFmtId="20" fontId="23" fillId="0" borderId="36" xfId="0" applyNumberFormat="1" applyFont="1" applyBorder="1" applyAlignment="1">
      <alignment horizontal="center" vertical="center"/>
    </xf>
    <xf numFmtId="20" fontId="23" fillId="0" borderId="37" xfId="0" applyNumberFormat="1" applyFont="1" applyBorder="1" applyAlignment="1">
      <alignment horizontal="center" vertical="center"/>
    </xf>
    <xf numFmtId="20" fontId="23" fillId="0" borderId="35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vertical="top"/>
    </xf>
    <xf numFmtId="0" fontId="23" fillId="0" borderId="32" xfId="0" applyFont="1" applyBorder="1" applyAlignment="1">
      <alignment vertical="center" wrapText="1"/>
    </xf>
    <xf numFmtId="20" fontId="23" fillId="0" borderId="33" xfId="0" applyNumberFormat="1" applyFont="1" applyBorder="1" applyAlignment="1">
      <alignment horizontal="center" vertical="center"/>
    </xf>
    <xf numFmtId="20" fontId="23" fillId="0" borderId="32" xfId="0" applyNumberFormat="1" applyFont="1" applyBorder="1" applyAlignment="1">
      <alignment horizontal="center" vertical="center"/>
    </xf>
    <xf numFmtId="0" fontId="23" fillId="0" borderId="23" xfId="0" applyFont="1" applyBorder="1" applyAlignment="1">
      <alignment vertical="center" wrapText="1"/>
    </xf>
    <xf numFmtId="20" fontId="23" fillId="0" borderId="22" xfId="0" applyNumberFormat="1" applyFont="1" applyBorder="1" applyAlignment="1">
      <alignment horizontal="center" vertical="center"/>
    </xf>
    <xf numFmtId="20" fontId="23" fillId="0" borderId="23" xfId="0" applyNumberFormat="1" applyFont="1" applyBorder="1" applyAlignment="1">
      <alignment horizontal="center" vertical="center"/>
    </xf>
    <xf numFmtId="20" fontId="23" fillId="0" borderId="45" xfId="0" applyNumberFormat="1" applyFont="1" applyBorder="1" applyAlignment="1">
      <alignment horizontal="center" vertical="center"/>
    </xf>
    <xf numFmtId="20" fontId="23" fillId="0" borderId="42" xfId="0" applyNumberFormat="1" applyFont="1" applyBorder="1" applyAlignment="1">
      <alignment horizontal="center" vertical="center"/>
    </xf>
    <xf numFmtId="0" fontId="23" fillId="0" borderId="21" xfId="0" applyFont="1" applyBorder="1">
      <alignment vertical="center"/>
    </xf>
    <xf numFmtId="0" fontId="23" fillId="0" borderId="11" xfId="0" applyFont="1" applyBorder="1">
      <alignment vertical="center"/>
    </xf>
    <xf numFmtId="0" fontId="23" fillId="0" borderId="42" xfId="0" applyFont="1" applyBorder="1">
      <alignment vertical="center"/>
    </xf>
    <xf numFmtId="0" fontId="23" fillId="0" borderId="43" xfId="0" applyFont="1" applyBorder="1">
      <alignment vertical="center"/>
    </xf>
    <xf numFmtId="20" fontId="23" fillId="0" borderId="68" xfId="0" applyNumberFormat="1" applyFont="1" applyBorder="1" applyAlignment="1">
      <alignment horizontal="center" vertical="center"/>
    </xf>
    <xf numFmtId="20" fontId="23" fillId="0" borderId="43" xfId="0" applyNumberFormat="1" applyFont="1" applyBorder="1" applyAlignment="1">
      <alignment horizontal="center" vertical="center"/>
    </xf>
    <xf numFmtId="20" fontId="23" fillId="0" borderId="13" xfId="0" applyNumberFormat="1" applyFont="1" applyBorder="1" applyAlignment="1">
      <alignment horizontal="center" vertical="center"/>
    </xf>
    <xf numFmtId="20" fontId="23" fillId="0" borderId="14" xfId="0" applyNumberFormat="1" applyFont="1" applyBorder="1" applyAlignment="1">
      <alignment horizontal="center" vertical="center"/>
    </xf>
    <xf numFmtId="0" fontId="23" fillId="0" borderId="24" xfId="0" applyFont="1" applyBorder="1">
      <alignment vertical="center"/>
    </xf>
    <xf numFmtId="0" fontId="23" fillId="0" borderId="14" xfId="0" applyFont="1" applyBorder="1" applyAlignment="1">
      <alignment vertical="center" wrapText="1"/>
    </xf>
    <xf numFmtId="0" fontId="23" fillId="0" borderId="19" xfId="0" applyFont="1" applyBorder="1">
      <alignment vertical="center"/>
    </xf>
    <xf numFmtId="0" fontId="0" fillId="0" borderId="25" xfId="0" applyBorder="1">
      <alignment vertical="center"/>
    </xf>
    <xf numFmtId="0" fontId="23" fillId="0" borderId="15" xfId="0" applyFont="1" applyBorder="1">
      <alignment vertical="center"/>
    </xf>
    <xf numFmtId="0" fontId="23" fillId="0" borderId="11" xfId="0" applyFont="1" applyBorder="1" applyAlignment="1">
      <alignment vertical="center" wrapText="1"/>
    </xf>
    <xf numFmtId="0" fontId="26" fillId="0" borderId="19" xfId="42" applyFont="1" applyBorder="1" applyAlignment="1">
      <alignment vertical="center"/>
    </xf>
    <xf numFmtId="179" fontId="26" fillId="0" borderId="19" xfId="42" applyNumberFormat="1" applyFont="1" applyBorder="1" applyAlignment="1">
      <alignment vertical="center"/>
    </xf>
    <xf numFmtId="6" fontId="26" fillId="0" borderId="31" xfId="42" applyNumberFormat="1" applyFont="1" applyBorder="1" applyAlignment="1">
      <alignment vertical="center"/>
    </xf>
    <xf numFmtId="0" fontId="26" fillId="0" borderId="69" xfId="42" applyFont="1" applyBorder="1" applyAlignment="1">
      <alignment vertical="center"/>
    </xf>
    <xf numFmtId="6" fontId="26" fillId="0" borderId="69" xfId="42" applyNumberFormat="1" applyFont="1" applyBorder="1" applyAlignment="1">
      <alignment vertical="center"/>
    </xf>
    <xf numFmtId="0" fontId="29" fillId="24" borderId="12" xfId="42" applyFont="1" applyFill="1" applyBorder="1" applyAlignment="1">
      <alignment horizontal="center" vertical="center"/>
    </xf>
    <xf numFmtId="0" fontId="26" fillId="0" borderId="19" xfId="42" applyFont="1" applyBorder="1" applyAlignment="1">
      <alignment vertical="center" shrinkToFit="1"/>
    </xf>
    <xf numFmtId="20" fontId="23" fillId="0" borderId="10" xfId="0" applyNumberFormat="1" applyFont="1" applyBorder="1" applyAlignment="1">
      <alignment horizontal="center" vertical="center"/>
    </xf>
    <xf numFmtId="20" fontId="23" fillId="0" borderId="11" xfId="0" applyNumberFormat="1" applyFont="1" applyBorder="1" applyAlignment="1">
      <alignment horizontal="center" vertical="center"/>
    </xf>
    <xf numFmtId="5" fontId="26" fillId="0" borderId="10" xfId="42" applyNumberFormat="1" applyFont="1" applyBorder="1" applyAlignment="1">
      <alignment vertical="center"/>
    </xf>
    <xf numFmtId="0" fontId="26" fillId="0" borderId="31" xfId="42" applyFont="1" applyBorder="1" applyAlignment="1">
      <alignment horizontal="center" vertical="center" wrapText="1"/>
    </xf>
    <xf numFmtId="0" fontId="3" fillId="0" borderId="24" xfId="42" applyBorder="1" applyAlignment="1">
      <alignment horizontal="center" vertical="center"/>
    </xf>
    <xf numFmtId="0" fontId="26" fillId="0" borderId="19" xfId="42" applyFont="1" applyBorder="1" applyAlignment="1">
      <alignment horizontal="center" vertical="center"/>
    </xf>
    <xf numFmtId="0" fontId="26" fillId="0" borderId="16" xfId="42" applyFont="1" applyBorder="1" applyAlignment="1">
      <alignment vertical="center"/>
    </xf>
    <xf numFmtId="0" fontId="30" fillId="0" borderId="15" xfId="42" applyFont="1" applyBorder="1" applyAlignment="1">
      <alignment horizontal="left" vertical="center"/>
    </xf>
    <xf numFmtId="5" fontId="26" fillId="0" borderId="45" xfId="42" applyNumberFormat="1" applyFont="1" applyBorder="1" applyAlignment="1">
      <alignment horizontal="right" vertical="center" shrinkToFit="1"/>
    </xf>
    <xf numFmtId="5" fontId="26" fillId="0" borderId="29" xfId="42" applyNumberFormat="1" applyFont="1" applyBorder="1" applyAlignment="1">
      <alignment horizontal="right" vertical="center" shrinkToFit="1"/>
    </xf>
    <xf numFmtId="0" fontId="26" fillId="0" borderId="27" xfId="42" applyFont="1" applyBorder="1" applyAlignment="1">
      <alignment vertical="center"/>
    </xf>
    <xf numFmtId="5" fontId="26" fillId="0" borderId="23" xfId="42" applyNumberFormat="1" applyFont="1" applyBorder="1" applyAlignment="1">
      <alignment horizontal="right" vertical="center" wrapText="1" shrinkToFit="1"/>
    </xf>
    <xf numFmtId="5" fontId="26" fillId="0" borderId="27" xfId="42" applyNumberFormat="1" applyFont="1" applyBorder="1" applyAlignment="1">
      <alignment horizontal="right" vertical="center" wrapText="1" shrinkToFit="1"/>
    </xf>
    <xf numFmtId="5" fontId="26" fillId="0" borderId="22" xfId="42" applyNumberFormat="1" applyFont="1" applyBorder="1" applyAlignment="1">
      <alignment horizontal="right" vertical="center" wrapText="1" shrinkToFit="1"/>
    </xf>
    <xf numFmtId="0" fontId="26" fillId="0" borderId="22" xfId="42" applyFont="1" applyBorder="1" applyAlignment="1">
      <alignment vertical="center"/>
    </xf>
    <xf numFmtId="0" fontId="26" fillId="0" borderId="25" xfId="42" applyFont="1" applyBorder="1" applyAlignment="1">
      <alignment horizontal="left" vertical="center"/>
    </xf>
    <xf numFmtId="49" fontId="27" fillId="0" borderId="11" xfId="42" applyNumberFormat="1" applyFont="1" applyBorder="1" applyAlignment="1">
      <alignment horizontal="left" vertical="center"/>
    </xf>
    <xf numFmtId="0" fontId="26" fillId="0" borderId="12" xfId="42" applyFont="1" applyBorder="1" applyAlignment="1">
      <alignment vertical="center"/>
    </xf>
    <xf numFmtId="0" fontId="31" fillId="0" borderId="13" xfId="42" applyFont="1" applyBorder="1" applyAlignment="1">
      <alignment horizontal="left" vertical="center"/>
    </xf>
    <xf numFmtId="49" fontId="26" fillId="0" borderId="25" xfId="42" applyNumberFormat="1" applyFont="1" applyBorder="1" applyAlignment="1">
      <alignment vertical="center"/>
    </xf>
    <xf numFmtId="0" fontId="3" fillId="0" borderId="0" xfId="42"/>
    <xf numFmtId="0" fontId="3" fillId="0" borderId="0" xfId="42" applyAlignment="1">
      <alignment horizontal="right"/>
    </xf>
    <xf numFmtId="0" fontId="3" fillId="0" borderId="25" xfId="42" applyBorder="1" applyAlignment="1">
      <alignment horizontal="left" vertical="center"/>
    </xf>
    <xf numFmtId="0" fontId="3" fillId="0" borderId="25" xfId="42" applyBorder="1" applyAlignment="1">
      <alignment vertical="center"/>
    </xf>
    <xf numFmtId="0" fontId="3" fillId="0" borderId="16" xfId="42" applyBorder="1" applyAlignment="1">
      <alignment vertical="center"/>
    </xf>
    <xf numFmtId="0" fontId="25" fillId="24" borderId="13" xfId="42" applyFont="1" applyFill="1" applyBorder="1" applyAlignment="1">
      <alignment vertical="center"/>
    </xf>
    <xf numFmtId="0" fontId="29" fillId="24" borderId="19" xfId="42" applyFont="1" applyFill="1" applyBorder="1" applyAlignment="1">
      <alignment horizontal="center" vertical="center"/>
    </xf>
    <xf numFmtId="38" fontId="26" fillId="0" borderId="19" xfId="42" applyNumberFormat="1" applyFont="1" applyBorder="1" applyAlignment="1">
      <alignment vertical="center"/>
    </xf>
    <xf numFmtId="0" fontId="3" fillId="0" borderId="13" xfId="42" applyBorder="1" applyAlignment="1">
      <alignment vertical="center"/>
    </xf>
    <xf numFmtId="0" fontId="26" fillId="0" borderId="25" xfId="42" applyFont="1" applyBorder="1" applyAlignment="1">
      <alignment vertical="center"/>
    </xf>
    <xf numFmtId="0" fontId="26" fillId="0" borderId="0" xfId="43">
      <alignment vertical="center"/>
    </xf>
    <xf numFmtId="0" fontId="3" fillId="0" borderId="0" xfId="43" applyFont="1">
      <alignment vertical="center"/>
    </xf>
    <xf numFmtId="5" fontId="26" fillId="0" borderId="25" xfId="42" applyNumberFormat="1" applyFont="1" applyBorder="1" applyAlignment="1">
      <alignment vertical="center"/>
    </xf>
    <xf numFmtId="5" fontId="26" fillId="0" borderId="0" xfId="42" applyNumberFormat="1" applyFont="1" applyAlignment="1">
      <alignment vertical="center"/>
    </xf>
    <xf numFmtId="5" fontId="26" fillId="0" borderId="16" xfId="42" applyNumberFormat="1" applyFont="1" applyBorder="1" applyAlignment="1">
      <alignment vertical="center"/>
    </xf>
    <xf numFmtId="5" fontId="26" fillId="0" borderId="45" xfId="42" applyNumberFormat="1" applyFont="1" applyBorder="1" applyAlignment="1">
      <alignment vertical="center"/>
    </xf>
    <xf numFmtId="5" fontId="26" fillId="0" borderId="42" xfId="42" applyNumberFormat="1" applyFont="1" applyBorder="1" applyAlignment="1">
      <alignment vertical="center"/>
    </xf>
    <xf numFmtId="5" fontId="26" fillId="0" borderId="40" xfId="42" applyNumberFormat="1" applyFont="1" applyBorder="1" applyAlignment="1">
      <alignment vertical="center"/>
    </xf>
    <xf numFmtId="0" fontId="0" fillId="0" borderId="11" xfId="0" applyBorder="1" applyAlignment="1">
      <alignment horizontal="left" vertical="center"/>
    </xf>
    <xf numFmtId="5" fontId="26" fillId="0" borderId="11" xfId="42" applyNumberFormat="1" applyFont="1" applyBorder="1" applyAlignment="1">
      <alignment vertical="center"/>
    </xf>
    <xf numFmtId="5" fontId="26" fillId="0" borderId="12" xfId="42" applyNumberFormat="1" applyFont="1" applyBorder="1" applyAlignment="1">
      <alignment vertical="center"/>
    </xf>
    <xf numFmtId="183" fontId="26" fillId="0" borderId="26" xfId="42" applyNumberFormat="1" applyFont="1" applyBorder="1" applyAlignment="1">
      <alignment vertical="center"/>
    </xf>
    <xf numFmtId="5" fontId="26" fillId="0" borderId="33" xfId="42" applyNumberFormat="1" applyFont="1" applyBorder="1" applyAlignment="1">
      <alignment vertical="center"/>
    </xf>
    <xf numFmtId="5" fontId="26" fillId="0" borderId="32" xfId="42" applyNumberFormat="1" applyFont="1" applyBorder="1" applyAlignment="1">
      <alignment vertical="center"/>
    </xf>
    <xf numFmtId="5" fontId="26" fillId="0" borderId="34" xfId="42" applyNumberFormat="1" applyFont="1" applyBorder="1" applyAlignment="1">
      <alignment vertical="center"/>
    </xf>
    <xf numFmtId="183" fontId="26" fillId="0" borderId="27" xfId="42" applyNumberFormat="1" applyFont="1" applyBorder="1" applyAlignment="1">
      <alignment vertical="center"/>
    </xf>
    <xf numFmtId="5" fontId="26" fillId="0" borderId="22" xfId="42" applyNumberFormat="1" applyFont="1" applyBorder="1" applyAlignment="1">
      <alignment vertical="center"/>
    </xf>
    <xf numFmtId="5" fontId="26" fillId="0" borderId="23" xfId="42" applyNumberFormat="1" applyFont="1" applyBorder="1" applyAlignment="1">
      <alignment vertical="center"/>
    </xf>
    <xf numFmtId="5" fontId="26" fillId="0" borderId="21" xfId="42" applyNumberFormat="1" applyFont="1" applyBorder="1" applyAlignment="1">
      <alignment vertical="center"/>
    </xf>
    <xf numFmtId="182" fontId="26" fillId="0" borderId="27" xfId="42" applyNumberFormat="1" applyFont="1" applyBorder="1" applyAlignment="1">
      <alignment vertical="center"/>
    </xf>
    <xf numFmtId="0" fontId="0" fillId="0" borderId="12" xfId="0" applyBorder="1" applyAlignment="1">
      <alignment horizontal="left" vertical="center"/>
    </xf>
    <xf numFmtId="5" fontId="26" fillId="0" borderId="14" xfId="42" applyNumberFormat="1" applyFont="1" applyBorder="1" applyAlignment="1">
      <alignment horizontal="right" vertical="center"/>
    </xf>
    <xf numFmtId="0" fontId="26" fillId="0" borderId="18" xfId="42" applyFont="1" applyBorder="1" applyAlignment="1">
      <alignment horizontal="right" vertical="center"/>
    </xf>
    <xf numFmtId="0" fontId="26" fillId="0" borderId="16" xfId="42" applyFont="1" applyBorder="1" applyAlignment="1">
      <alignment horizontal="right" vertical="center"/>
    </xf>
    <xf numFmtId="0" fontId="26" fillId="0" borderId="17" xfId="42" applyFont="1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23" fillId="0" borderId="37" xfId="0" applyFont="1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75" xfId="0" applyBorder="1">
      <alignment vertical="center"/>
    </xf>
    <xf numFmtId="5" fontId="26" fillId="0" borderId="76" xfId="42" applyNumberFormat="1" applyFont="1" applyBorder="1" applyAlignment="1">
      <alignment horizontal="right" vertical="center"/>
    </xf>
    <xf numFmtId="0" fontId="3" fillId="0" borderId="0" xfId="42" applyAlignment="1">
      <alignment horizontal="centerContinuous" vertical="center"/>
    </xf>
    <xf numFmtId="0" fontId="26" fillId="0" borderId="73" xfId="42" applyFont="1" applyBorder="1" applyAlignment="1">
      <alignment vertical="center"/>
    </xf>
    <xf numFmtId="6" fontId="26" fillId="0" borderId="73" xfId="42" applyNumberFormat="1" applyFont="1" applyBorder="1" applyAlignment="1">
      <alignment vertical="center"/>
    </xf>
    <xf numFmtId="6" fontId="26" fillId="0" borderId="19" xfId="47" applyFont="1" applyFill="1" applyBorder="1" applyAlignment="1">
      <alignment vertical="center"/>
    </xf>
    <xf numFmtId="5" fontId="30" fillId="0" borderId="18" xfId="42" applyNumberFormat="1" applyFont="1" applyBorder="1" applyAlignment="1">
      <alignment horizontal="right" vertical="center"/>
    </xf>
    <xf numFmtId="0" fontId="26" fillId="0" borderId="24" xfId="42" applyFont="1" applyBorder="1" applyAlignment="1">
      <alignment horizontal="left" vertical="center"/>
    </xf>
    <xf numFmtId="0" fontId="32" fillId="0" borderId="0" xfId="42" applyFont="1" applyAlignment="1">
      <alignment horizontal="left" vertical="center"/>
    </xf>
    <xf numFmtId="0" fontId="30" fillId="0" borderId="25" xfId="42" applyFont="1" applyBorder="1" applyAlignment="1">
      <alignment horizontal="left" vertical="center"/>
    </xf>
    <xf numFmtId="0" fontId="33" fillId="0" borderId="25" xfId="0" applyFont="1" applyBorder="1" applyAlignment="1">
      <alignment horizontal="left" vertical="center"/>
    </xf>
    <xf numFmtId="5" fontId="3" fillId="0" borderId="14" xfId="42" applyNumberFormat="1" applyBorder="1" applyAlignment="1">
      <alignment horizontal="right" vertical="center"/>
    </xf>
    <xf numFmtId="14" fontId="26" fillId="0" borderId="0" xfId="42" applyNumberFormat="1" applyFont="1" applyAlignment="1">
      <alignment vertical="center"/>
    </xf>
    <xf numFmtId="0" fontId="26" fillId="0" borderId="0" xfId="0" applyFont="1">
      <alignment vertical="center"/>
    </xf>
    <xf numFmtId="184" fontId="0" fillId="0" borderId="19" xfId="0" applyNumberFormat="1" applyBorder="1">
      <alignment vertical="center"/>
    </xf>
    <xf numFmtId="0" fontId="0" fillId="0" borderId="11" xfId="42" applyFont="1" applyBorder="1" applyAlignment="1">
      <alignment vertical="center"/>
    </xf>
    <xf numFmtId="0" fontId="0" fillId="0" borderId="25" xfId="42" applyFont="1" applyBorder="1" applyAlignment="1">
      <alignment horizontal="left" vertical="center"/>
    </xf>
    <xf numFmtId="0" fontId="3" fillId="0" borderId="68" xfId="42" applyBorder="1" applyAlignment="1">
      <alignment horizontal="left" vertical="center"/>
    </xf>
    <xf numFmtId="0" fontId="3" fillId="0" borderId="43" xfId="42" applyBorder="1" applyAlignment="1">
      <alignment horizontal="left" vertical="center"/>
    </xf>
    <xf numFmtId="0" fontId="0" fillId="0" borderId="70" xfId="42" applyFont="1" applyBorder="1" applyAlignment="1">
      <alignment horizontal="left" vertical="center"/>
    </xf>
    <xf numFmtId="0" fontId="3" fillId="0" borderId="71" xfId="42" applyBorder="1" applyAlignment="1">
      <alignment vertical="center"/>
    </xf>
    <xf numFmtId="5" fontId="3" fillId="0" borderId="71" xfId="42" applyNumberFormat="1" applyBorder="1" applyAlignment="1">
      <alignment horizontal="right" vertical="center"/>
    </xf>
    <xf numFmtId="5" fontId="3" fillId="0" borderId="72" xfId="42" applyNumberFormat="1" applyBorder="1" applyAlignment="1">
      <alignment horizontal="right" vertical="center"/>
    </xf>
    <xf numFmtId="0" fontId="0" fillId="0" borderId="68" xfId="42" applyFont="1" applyBorder="1" applyAlignment="1">
      <alignment horizontal="left" vertical="center"/>
    </xf>
    <xf numFmtId="5" fontId="3" fillId="0" borderId="12" xfId="42" applyNumberFormat="1" applyBorder="1" applyAlignment="1">
      <alignment horizontal="right" vertical="center"/>
    </xf>
    <xf numFmtId="0" fontId="23" fillId="0" borderId="11" xfId="0" applyFont="1" applyBorder="1" applyAlignment="1">
      <alignment horizontal="center" vertical="center"/>
    </xf>
    <xf numFmtId="20" fontId="23" fillId="0" borderId="12" xfId="0" applyNumberFormat="1" applyFont="1" applyBorder="1">
      <alignment vertical="center"/>
    </xf>
    <xf numFmtId="0" fontId="31" fillId="0" borderId="0" xfId="42" applyFont="1" applyAlignment="1">
      <alignment horizontal="left" vertical="center"/>
    </xf>
    <xf numFmtId="0" fontId="34" fillId="0" borderId="0" xfId="0" applyFont="1">
      <alignment vertical="center"/>
    </xf>
    <xf numFmtId="0" fontId="30" fillId="0" borderId="13" xfId="42" applyFont="1" applyBorder="1" applyAlignment="1">
      <alignment horizontal="left" vertical="center"/>
    </xf>
    <xf numFmtId="0" fontId="30" fillId="0" borderId="14" xfId="42" applyFont="1" applyBorder="1" applyAlignment="1">
      <alignment horizontal="left" vertical="center"/>
    </xf>
    <xf numFmtId="0" fontId="30" fillId="0" borderId="104" xfId="42" applyFont="1" applyBorder="1" applyAlignment="1">
      <alignment horizontal="left" vertical="center"/>
    </xf>
    <xf numFmtId="0" fontId="30" fillId="25" borderId="105" xfId="42" applyFont="1" applyFill="1" applyBorder="1" applyAlignment="1">
      <alignment horizontal="left" vertical="center"/>
    </xf>
    <xf numFmtId="0" fontId="26" fillId="25" borderId="106" xfId="42" applyFont="1" applyFill="1" applyBorder="1" applyAlignment="1">
      <alignment horizontal="left" vertical="center"/>
    </xf>
    <xf numFmtId="0" fontId="26" fillId="25" borderId="107" xfId="42" applyFont="1" applyFill="1" applyBorder="1" applyAlignment="1">
      <alignment horizontal="left" vertical="center"/>
    </xf>
    <xf numFmtId="0" fontId="30" fillId="0" borderId="109" xfId="42" applyFont="1" applyBorder="1" applyAlignment="1">
      <alignment horizontal="left" vertical="center"/>
    </xf>
    <xf numFmtId="0" fontId="30" fillId="0" borderId="110" xfId="42" applyFont="1" applyBorder="1" applyAlignment="1">
      <alignment horizontal="left" vertical="center"/>
    </xf>
    <xf numFmtId="0" fontId="26" fillId="0" borderId="110" xfId="42" applyFont="1" applyBorder="1" applyAlignment="1">
      <alignment horizontal="left" vertical="center"/>
    </xf>
    <xf numFmtId="0" fontId="26" fillId="0" borderId="111" xfId="42" applyFont="1" applyBorder="1" applyAlignment="1">
      <alignment horizontal="left" vertical="center"/>
    </xf>
    <xf numFmtId="0" fontId="26" fillId="0" borderId="112" xfId="42" applyFont="1" applyBorder="1" applyAlignment="1">
      <alignment vertical="center"/>
    </xf>
    <xf numFmtId="5" fontId="26" fillId="0" borderId="110" xfId="0" applyNumberFormat="1" applyFont="1" applyBorder="1">
      <alignment vertical="center"/>
    </xf>
    <xf numFmtId="5" fontId="26" fillId="0" borderId="111" xfId="0" applyNumberFormat="1" applyFont="1" applyBorder="1">
      <alignment vertical="center"/>
    </xf>
    <xf numFmtId="0" fontId="26" fillId="0" borderId="113" xfId="42" applyFont="1" applyBorder="1" applyAlignment="1">
      <alignment vertical="center"/>
    </xf>
    <xf numFmtId="0" fontId="30" fillId="0" borderId="114" xfId="42" applyFont="1" applyBorder="1" applyAlignment="1">
      <alignment horizontal="left" vertical="center"/>
    </xf>
    <xf numFmtId="0" fontId="26" fillId="0" borderId="114" xfId="42" applyFont="1" applyBorder="1" applyAlignment="1">
      <alignment horizontal="left" vertical="center"/>
    </xf>
    <xf numFmtId="0" fontId="26" fillId="0" borderId="115" xfId="42" applyFont="1" applyBorder="1" applyAlignment="1">
      <alignment horizontal="left" vertical="center"/>
    </xf>
    <xf numFmtId="0" fontId="30" fillId="26" borderId="105" xfId="42" applyFont="1" applyFill="1" applyBorder="1" applyAlignment="1">
      <alignment horizontal="left" vertical="center"/>
    </xf>
    <xf numFmtId="0" fontId="26" fillId="26" borderId="106" xfId="42" applyFont="1" applyFill="1" applyBorder="1" applyAlignment="1">
      <alignment horizontal="left" vertical="center"/>
    </xf>
    <xf numFmtId="0" fontId="26" fillId="26" borderId="107" xfId="42" applyFont="1" applyFill="1" applyBorder="1" applyAlignment="1">
      <alignment horizontal="left" vertical="center"/>
    </xf>
    <xf numFmtId="0" fontId="30" fillId="0" borderId="20" xfId="42" applyFont="1" applyBorder="1" applyAlignment="1">
      <alignment horizontal="left" vertical="center"/>
    </xf>
    <xf numFmtId="0" fontId="0" fillId="0" borderId="14" xfId="42" applyFont="1" applyBorder="1" applyAlignment="1">
      <alignment horizontal="left" vertical="center"/>
    </xf>
    <xf numFmtId="0" fontId="26" fillId="0" borderId="60" xfId="42" applyFont="1" applyBorder="1" applyAlignment="1">
      <alignment horizontal="center" vertical="center"/>
    </xf>
    <xf numFmtId="5" fontId="26" fillId="0" borderId="54" xfId="42" applyNumberFormat="1" applyFont="1" applyBorder="1" applyAlignment="1">
      <alignment horizontal="right" vertical="center" shrinkToFit="1"/>
    </xf>
    <xf numFmtId="0" fontId="26" fillId="0" borderId="17" xfId="42" applyFont="1" applyBorder="1" applyAlignment="1">
      <alignment horizontal="left" vertical="center"/>
    </xf>
    <xf numFmtId="0" fontId="26" fillId="0" borderId="12" xfId="42" applyFont="1" applyBorder="1" applyAlignment="1">
      <alignment horizontal="left" vertical="center"/>
    </xf>
    <xf numFmtId="14" fontId="26" fillId="0" borderId="19" xfId="42" applyNumberFormat="1" applyFont="1" applyBorder="1" applyAlignment="1">
      <alignment horizontal="left" vertical="center"/>
    </xf>
    <xf numFmtId="181" fontId="26" fillId="0" borderId="19" xfId="42" applyNumberFormat="1" applyFont="1" applyBorder="1" applyAlignment="1">
      <alignment horizontal="left" vertical="center"/>
    </xf>
    <xf numFmtId="177" fontId="26" fillId="0" borderId="19" xfId="42" applyNumberFormat="1" applyFont="1" applyBorder="1" applyAlignment="1">
      <alignment horizontal="left" vertical="center"/>
    </xf>
    <xf numFmtId="0" fontId="35" fillId="0" borderId="14" xfId="42" applyFont="1" applyBorder="1" applyAlignment="1">
      <alignment horizontal="left" vertical="center"/>
    </xf>
    <xf numFmtId="0" fontId="0" fillId="0" borderId="12" xfId="42" applyFont="1" applyBorder="1" applyAlignment="1">
      <alignment vertical="center"/>
    </xf>
    <xf numFmtId="0" fontId="26" fillId="0" borderId="15" xfId="42" applyFont="1" applyBorder="1" applyAlignment="1">
      <alignment horizontal="left" vertical="center"/>
    </xf>
    <xf numFmtId="0" fontId="23" fillId="0" borderId="37" xfId="42" applyFont="1" applyBorder="1" applyAlignment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20" fontId="23" fillId="0" borderId="0" xfId="0" applyNumberFormat="1" applyFont="1" applyAlignment="1">
      <alignment horizontal="center" vertical="center"/>
    </xf>
    <xf numFmtId="20" fontId="23" fillId="0" borderId="16" xfId="0" applyNumberFormat="1" applyFont="1" applyBorder="1">
      <alignment vertical="center"/>
    </xf>
    <xf numFmtId="0" fontId="23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20" fontId="23" fillId="0" borderId="34" xfId="0" applyNumberFormat="1" applyFont="1" applyBorder="1">
      <alignment vertical="center"/>
    </xf>
    <xf numFmtId="0" fontId="23" fillId="0" borderId="23" xfId="0" applyFont="1" applyBorder="1" applyAlignment="1">
      <alignment horizontal="center" vertical="center"/>
    </xf>
    <xf numFmtId="20" fontId="23" fillId="0" borderId="21" xfId="0" applyNumberFormat="1" applyFont="1" applyBorder="1">
      <alignment vertical="center"/>
    </xf>
    <xf numFmtId="0" fontId="23" fillId="0" borderId="42" xfId="0" applyFont="1" applyBorder="1" applyAlignment="1">
      <alignment horizontal="center" vertical="center"/>
    </xf>
    <xf numFmtId="20" fontId="23" fillId="0" borderId="40" xfId="0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20" fontId="23" fillId="0" borderId="44" xfId="0" applyNumberFormat="1" applyFont="1" applyBorder="1">
      <alignment vertical="center"/>
    </xf>
    <xf numFmtId="0" fontId="23" fillId="0" borderId="14" xfId="0" applyFont="1" applyBorder="1" applyAlignment="1">
      <alignment horizontal="center" vertical="center"/>
    </xf>
    <xf numFmtId="20" fontId="23" fillId="0" borderId="18" xfId="0" applyNumberFormat="1" applyFont="1" applyBorder="1">
      <alignment vertical="center"/>
    </xf>
    <xf numFmtId="20" fontId="23" fillId="0" borderId="35" xfId="0" applyNumberFormat="1" applyFont="1" applyBorder="1">
      <alignment vertical="center"/>
    </xf>
    <xf numFmtId="0" fontId="23" fillId="0" borderId="34" xfId="0" applyFont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5" fontId="26" fillId="0" borderId="56" xfId="42" applyNumberFormat="1" applyFont="1" applyBorder="1" applyAlignment="1">
      <alignment vertical="center" shrinkToFit="1"/>
    </xf>
    <xf numFmtId="0" fontId="23" fillId="0" borderId="25" xfId="42" applyFont="1" applyBorder="1" applyAlignment="1">
      <alignment horizontal="left" vertical="center"/>
    </xf>
    <xf numFmtId="0" fontId="23" fillId="0" borderId="20" xfId="42" applyFont="1" applyBorder="1" applyAlignment="1">
      <alignment horizontal="left" vertical="center"/>
    </xf>
    <xf numFmtId="0" fontId="23" fillId="0" borderId="15" xfId="42" applyFont="1" applyBorder="1" applyAlignment="1">
      <alignment horizontal="left" vertical="center"/>
    </xf>
    <xf numFmtId="0" fontId="26" fillId="0" borderId="59" xfId="42" applyFont="1" applyBorder="1" applyAlignment="1">
      <alignment horizontal="left" vertical="center"/>
    </xf>
    <xf numFmtId="0" fontId="26" fillId="0" borderId="119" xfId="42" applyFont="1" applyBorder="1" applyAlignment="1">
      <alignment horizontal="left" vertical="center"/>
    </xf>
    <xf numFmtId="0" fontId="26" fillId="0" borderId="60" xfId="42" applyFont="1" applyBorder="1" applyAlignment="1">
      <alignment horizontal="left" vertical="center"/>
    </xf>
    <xf numFmtId="14" fontId="0" fillId="0" borderId="10" xfId="42" applyNumberFormat="1" applyFont="1" applyBorder="1" applyAlignment="1">
      <alignment horizontal="left" vertical="center"/>
    </xf>
    <xf numFmtId="14" fontId="0" fillId="0" borderId="11" xfId="42" applyNumberFormat="1" applyFont="1" applyBorder="1" applyAlignment="1">
      <alignment horizontal="left" vertical="center"/>
    </xf>
    <xf numFmtId="14" fontId="0" fillId="0" borderId="12" xfId="42" applyNumberFormat="1" applyFont="1" applyBorder="1" applyAlignment="1">
      <alignment horizontal="left" vertical="center"/>
    </xf>
    <xf numFmtId="0" fontId="0" fillId="0" borderId="10" xfId="42" applyFont="1" applyBorder="1" applyAlignment="1">
      <alignment horizontal="left" vertical="center" shrinkToFit="1"/>
    </xf>
    <xf numFmtId="0" fontId="0" fillId="0" borderId="11" xfId="0" applyBorder="1" applyAlignment="1">
      <alignment horizontal="left" vertical="center" shrinkToFit="1"/>
    </xf>
    <xf numFmtId="0" fontId="0" fillId="0" borderId="12" xfId="0" applyBorder="1" applyAlignment="1">
      <alignment horizontal="left" vertical="center" shrinkToFit="1"/>
    </xf>
    <xf numFmtId="0" fontId="29" fillId="0" borderId="10" xfId="42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8" xfId="42" applyFont="1" applyBorder="1" applyAlignment="1">
      <alignment horizontal="center" vertical="center"/>
    </xf>
    <xf numFmtId="0" fontId="3" fillId="0" borderId="19" xfId="42" applyBorder="1" applyAlignment="1">
      <alignment horizontal="center" vertical="center"/>
    </xf>
    <xf numFmtId="0" fontId="0" fillId="0" borderId="10" xfId="42" applyFont="1" applyBorder="1" applyAlignment="1">
      <alignment horizontal="center" vertical="center"/>
    </xf>
    <xf numFmtId="0" fontId="0" fillId="0" borderId="11" xfId="42" applyFont="1" applyBorder="1" applyAlignment="1">
      <alignment horizontal="center" vertical="center"/>
    </xf>
    <xf numFmtId="0" fontId="0" fillId="0" borderId="12" xfId="42" applyFont="1" applyBorder="1" applyAlignment="1">
      <alignment horizontal="center" vertical="center"/>
    </xf>
    <xf numFmtId="180" fontId="23" fillId="0" borderId="10" xfId="42" applyNumberFormat="1" applyFont="1" applyBorder="1" applyAlignment="1">
      <alignment horizontal="right" vertical="center" shrinkToFit="1"/>
    </xf>
    <xf numFmtId="180" fontId="23" fillId="0" borderId="11" xfId="42" applyNumberFormat="1" applyFont="1" applyBorder="1" applyAlignment="1">
      <alignment horizontal="right" vertical="center" shrinkToFit="1"/>
    </xf>
    <xf numFmtId="180" fontId="23" fillId="0" borderId="12" xfId="42" applyNumberFormat="1" applyFont="1" applyBorder="1" applyAlignment="1">
      <alignment horizontal="right" vertical="center" shrinkToFit="1"/>
    </xf>
    <xf numFmtId="180" fontId="35" fillId="0" borderId="19" xfId="42" applyNumberFormat="1" applyFont="1" applyBorder="1" applyAlignment="1">
      <alignment horizontal="right" vertical="center" shrinkToFit="1"/>
    </xf>
    <xf numFmtId="176" fontId="35" fillId="0" borderId="19" xfId="42" applyNumberFormat="1" applyFont="1" applyBorder="1" applyAlignment="1">
      <alignment horizontal="right" vertical="center" shrinkToFit="1"/>
    </xf>
    <xf numFmtId="176" fontId="35" fillId="0" borderId="83" xfId="0" applyNumberFormat="1" applyFont="1" applyBorder="1" applyAlignment="1">
      <alignment horizontal="right" vertical="center" shrinkToFit="1"/>
    </xf>
    <xf numFmtId="180" fontId="23" fillId="0" borderId="77" xfId="42" applyNumberFormat="1" applyFont="1" applyBorder="1" applyAlignment="1">
      <alignment horizontal="right" vertical="center" shrinkToFit="1"/>
    </xf>
    <xf numFmtId="180" fontId="35" fillId="0" borderId="10" xfId="42" applyNumberFormat="1" applyFont="1" applyBorder="1" applyAlignment="1">
      <alignment horizontal="right" vertical="center" shrinkToFit="1"/>
    </xf>
    <xf numFmtId="180" fontId="35" fillId="0" borderId="11" xfId="42" applyNumberFormat="1" applyFont="1" applyBorder="1" applyAlignment="1">
      <alignment horizontal="right" vertical="center" shrinkToFit="1"/>
    </xf>
    <xf numFmtId="180" fontId="35" fillId="0" borderId="12" xfId="42" applyNumberFormat="1" applyFont="1" applyBorder="1" applyAlignment="1">
      <alignment horizontal="right" vertical="center" shrinkToFit="1"/>
    </xf>
    <xf numFmtId="180" fontId="23" fillId="0" borderId="70" xfId="42" applyNumberFormat="1" applyFont="1" applyBorder="1" applyAlignment="1">
      <alignment horizontal="right" vertical="center" shrinkToFit="1"/>
    </xf>
    <xf numFmtId="180" fontId="23" fillId="0" borderId="71" xfId="42" applyNumberFormat="1" applyFont="1" applyBorder="1" applyAlignment="1">
      <alignment horizontal="right" vertical="center" shrinkToFit="1"/>
    </xf>
    <xf numFmtId="180" fontId="23" fillId="0" borderId="72" xfId="42" applyNumberFormat="1" applyFont="1" applyBorder="1" applyAlignment="1">
      <alignment horizontal="right" vertical="center" shrinkToFit="1"/>
    </xf>
    <xf numFmtId="180" fontId="23" fillId="0" borderId="22" xfId="42" applyNumberFormat="1" applyFont="1" applyBorder="1" applyAlignment="1">
      <alignment horizontal="right" vertical="center" shrinkToFit="1"/>
    </xf>
    <xf numFmtId="180" fontId="23" fillId="0" borderId="23" xfId="42" applyNumberFormat="1" applyFont="1" applyBorder="1" applyAlignment="1">
      <alignment horizontal="right" vertical="center" shrinkToFit="1"/>
    </xf>
    <xf numFmtId="180" fontId="23" fillId="0" borderId="21" xfId="42" applyNumberFormat="1" applyFont="1" applyBorder="1" applyAlignment="1">
      <alignment horizontal="right" vertical="center" shrinkToFit="1"/>
    </xf>
    <xf numFmtId="180" fontId="23" fillId="0" borderId="36" xfId="42" applyNumberFormat="1" applyFont="1" applyBorder="1" applyAlignment="1">
      <alignment horizontal="right" vertical="center" shrinkToFit="1"/>
    </xf>
    <xf numFmtId="180" fontId="23" fillId="0" borderId="37" xfId="42" applyNumberFormat="1" applyFont="1" applyBorder="1" applyAlignment="1">
      <alignment horizontal="right" vertical="center" shrinkToFit="1"/>
    </xf>
    <xf numFmtId="180" fontId="23" fillId="0" borderId="35" xfId="42" applyNumberFormat="1" applyFont="1" applyBorder="1" applyAlignment="1">
      <alignment horizontal="right" vertical="center" shrinkToFit="1"/>
    </xf>
    <xf numFmtId="180" fontId="23" fillId="0" borderId="80" xfId="42" applyNumberFormat="1" applyFont="1" applyBorder="1" applyAlignment="1">
      <alignment horizontal="right" vertical="center" shrinkToFit="1"/>
    </xf>
    <xf numFmtId="180" fontId="3" fillId="0" borderId="27" xfId="42" applyNumberFormat="1" applyBorder="1" applyAlignment="1">
      <alignment horizontal="right" vertical="center"/>
    </xf>
    <xf numFmtId="180" fontId="3" fillId="0" borderId="28" xfId="42" applyNumberFormat="1" applyBorder="1" applyAlignment="1">
      <alignment horizontal="right" vertical="center"/>
    </xf>
    <xf numFmtId="180" fontId="3" fillId="0" borderId="87" xfId="42" applyNumberFormat="1" applyBorder="1" applyAlignment="1">
      <alignment horizontal="right" vertical="center"/>
    </xf>
    <xf numFmtId="176" fontId="3" fillId="0" borderId="27" xfId="42" applyNumberFormat="1" applyBorder="1" applyAlignment="1">
      <alignment horizontal="right" vertical="center" shrinkToFit="1"/>
    </xf>
    <xf numFmtId="176" fontId="0" fillId="0" borderId="85" xfId="0" applyNumberFormat="1" applyBorder="1" applyAlignment="1">
      <alignment horizontal="right" vertical="center" shrinkToFit="1"/>
    </xf>
    <xf numFmtId="0" fontId="0" fillId="0" borderId="68" xfId="42" applyFont="1" applyBorder="1" applyAlignment="1">
      <alignment horizontal="left" vertical="center" shrinkToFit="1"/>
    </xf>
    <xf numFmtId="0" fontId="0" fillId="0" borderId="43" xfId="42" applyFont="1" applyBorder="1" applyAlignment="1">
      <alignment horizontal="left" vertical="center" shrinkToFit="1"/>
    </xf>
    <xf numFmtId="0" fontId="0" fillId="0" borderId="22" xfId="42" applyFont="1" applyBorder="1" applyAlignment="1">
      <alignment horizontal="left" vertical="center" shrinkToFit="1"/>
    </xf>
    <xf numFmtId="0" fontId="0" fillId="0" borderId="23" xfId="42" applyFont="1" applyBorder="1" applyAlignment="1">
      <alignment horizontal="left" vertical="center" shrinkToFit="1"/>
    </xf>
    <xf numFmtId="176" fontId="3" fillId="0" borderId="89" xfId="42" applyNumberFormat="1" applyBorder="1" applyAlignment="1">
      <alignment horizontal="right" vertical="center" shrinkToFit="1"/>
    </xf>
    <xf numFmtId="176" fontId="0" fillId="0" borderId="90" xfId="0" applyNumberFormat="1" applyBorder="1" applyAlignment="1">
      <alignment horizontal="right" vertical="center" shrinkToFit="1"/>
    </xf>
    <xf numFmtId="180" fontId="23" fillId="0" borderId="47" xfId="42" applyNumberFormat="1" applyFont="1" applyBorder="1" applyAlignment="1">
      <alignment horizontal="right" vertical="center" shrinkToFit="1"/>
    </xf>
    <xf numFmtId="180" fontId="23" fillId="0" borderId="46" xfId="42" applyNumberFormat="1" applyFont="1" applyBorder="1" applyAlignment="1">
      <alignment horizontal="right" vertical="center" shrinkToFit="1"/>
    </xf>
    <xf numFmtId="180" fontId="23" fillId="0" borderId="74" xfId="42" applyNumberFormat="1" applyFont="1" applyBorder="1" applyAlignment="1">
      <alignment horizontal="right" vertical="center" shrinkToFit="1"/>
    </xf>
    <xf numFmtId="180" fontId="3" fillId="0" borderId="89" xfId="42" applyNumberFormat="1" applyBorder="1" applyAlignment="1">
      <alignment horizontal="right" vertical="center"/>
    </xf>
    <xf numFmtId="176" fontId="3" fillId="0" borderId="19" xfId="42" applyNumberFormat="1" applyBorder="1" applyAlignment="1">
      <alignment horizontal="right" vertical="center" shrinkToFit="1"/>
    </xf>
    <xf numFmtId="176" fontId="3" fillId="0" borderId="83" xfId="42" applyNumberFormat="1" applyBorder="1" applyAlignment="1">
      <alignment horizontal="right" vertical="center" shrinkToFit="1"/>
    </xf>
    <xf numFmtId="180" fontId="23" fillId="0" borderId="19" xfId="42" applyNumberFormat="1" applyFont="1" applyBorder="1" applyAlignment="1">
      <alignment horizontal="right" vertical="center" shrinkToFit="1"/>
    </xf>
    <xf numFmtId="180" fontId="31" fillId="0" borderId="19" xfId="42" applyNumberFormat="1" applyFont="1" applyBorder="1" applyAlignment="1">
      <alignment horizontal="right" vertical="center"/>
    </xf>
    <xf numFmtId="180" fontId="3" fillId="0" borderId="10" xfId="42" applyNumberFormat="1" applyBorder="1" applyAlignment="1">
      <alignment horizontal="right" vertical="center" shrinkToFit="1"/>
    </xf>
    <xf numFmtId="180" fontId="3" fillId="0" borderId="11" xfId="42" applyNumberFormat="1" applyBorder="1" applyAlignment="1">
      <alignment horizontal="right" vertical="center" shrinkToFit="1"/>
    </xf>
    <xf numFmtId="180" fontId="3" fillId="0" borderId="12" xfId="42" applyNumberFormat="1" applyBorder="1" applyAlignment="1">
      <alignment horizontal="right" vertical="center" shrinkToFit="1"/>
    </xf>
    <xf numFmtId="176" fontId="3" fillId="0" borderId="28" xfId="42" applyNumberFormat="1" applyBorder="1" applyAlignment="1">
      <alignment horizontal="right" vertical="center" shrinkToFit="1"/>
    </xf>
    <xf numFmtId="176" fontId="0" fillId="0" borderId="86" xfId="0" applyNumberFormat="1" applyBorder="1" applyAlignment="1">
      <alignment horizontal="right" vertical="center" shrinkToFit="1"/>
    </xf>
    <xf numFmtId="176" fontId="3" fillId="0" borderId="10" xfId="42" applyNumberFormat="1" applyBorder="1" applyAlignment="1">
      <alignment horizontal="right" vertical="center" shrinkToFit="1"/>
    </xf>
    <xf numFmtId="176" fontId="3" fillId="0" borderId="91" xfId="42" applyNumberFormat="1" applyBorder="1" applyAlignment="1">
      <alignment horizontal="right" vertical="center" shrinkToFit="1"/>
    </xf>
    <xf numFmtId="187" fontId="3" fillId="0" borderId="10" xfId="42" applyNumberFormat="1" applyBorder="1" applyAlignment="1">
      <alignment horizontal="right" vertical="center" shrinkToFit="1"/>
    </xf>
    <xf numFmtId="187" fontId="3" fillId="0" borderId="11" xfId="42" applyNumberFormat="1" applyBorder="1" applyAlignment="1">
      <alignment horizontal="right" vertical="center" shrinkToFit="1"/>
    </xf>
    <xf numFmtId="187" fontId="3" fillId="0" borderId="12" xfId="42" applyNumberFormat="1" applyBorder="1" applyAlignment="1">
      <alignment horizontal="right" vertical="center" shrinkToFit="1"/>
    </xf>
    <xf numFmtId="180" fontId="3" fillId="0" borderId="37" xfId="42" applyNumberFormat="1" applyBorder="1" applyAlignment="1">
      <alignment horizontal="right" vertical="center"/>
    </xf>
    <xf numFmtId="180" fontId="3" fillId="0" borderId="35" xfId="42" applyNumberFormat="1" applyBorder="1" applyAlignment="1">
      <alignment horizontal="right" vertical="center"/>
    </xf>
    <xf numFmtId="180" fontId="3" fillId="0" borderId="23" xfId="42" applyNumberFormat="1" applyBorder="1" applyAlignment="1">
      <alignment horizontal="right" vertical="center"/>
    </xf>
    <xf numFmtId="180" fontId="3" fillId="0" borderId="21" xfId="42" applyNumberFormat="1" applyBorder="1" applyAlignment="1">
      <alignment horizontal="right" vertical="center"/>
    </xf>
    <xf numFmtId="0" fontId="0" fillId="0" borderId="33" xfId="42" applyFont="1" applyBorder="1" applyAlignment="1">
      <alignment horizontal="left" vertical="center" shrinkToFit="1"/>
    </xf>
    <xf numFmtId="0" fontId="0" fillId="0" borderId="32" xfId="42" applyFont="1" applyBorder="1" applyAlignment="1">
      <alignment horizontal="left" vertical="center" shrinkToFit="1"/>
    </xf>
    <xf numFmtId="0" fontId="0" fillId="0" borderId="34" xfId="42" applyFont="1" applyBorder="1" applyAlignment="1">
      <alignment horizontal="left" vertical="center" shrinkToFit="1"/>
    </xf>
    <xf numFmtId="176" fontId="23" fillId="0" borderId="94" xfId="42" applyNumberFormat="1" applyFont="1" applyBorder="1" applyAlignment="1">
      <alignment horizontal="center" vertical="center"/>
    </xf>
    <xf numFmtId="176" fontId="23" fillId="0" borderId="37" xfId="42" applyNumberFormat="1" applyFont="1" applyBorder="1" applyAlignment="1">
      <alignment horizontal="center" vertical="center"/>
    </xf>
    <xf numFmtId="180" fontId="23" fillId="0" borderId="28" xfId="42" applyNumberFormat="1" applyFont="1" applyBorder="1" applyAlignment="1">
      <alignment horizontal="right" vertical="center" shrinkToFit="1"/>
    </xf>
    <xf numFmtId="176" fontId="23" fillId="0" borderId="97" xfId="42" applyNumberFormat="1" applyFont="1" applyBorder="1" applyAlignment="1">
      <alignment horizontal="right" vertical="center" shrinkToFit="1"/>
    </xf>
    <xf numFmtId="176" fontId="23" fillId="0" borderId="96" xfId="42" applyNumberFormat="1" applyFont="1" applyBorder="1" applyAlignment="1">
      <alignment horizontal="right" vertical="center" shrinkToFit="1"/>
    </xf>
    <xf numFmtId="0" fontId="0" fillId="0" borderId="13" xfId="42" applyFont="1" applyBorder="1" applyAlignment="1">
      <alignment horizontal="center" vertical="center"/>
    </xf>
    <xf numFmtId="0" fontId="0" fillId="0" borderId="14" xfId="42" applyFont="1" applyBorder="1" applyAlignment="1">
      <alignment horizontal="center" vertical="center"/>
    </xf>
    <xf numFmtId="0" fontId="0" fillId="0" borderId="18" xfId="42" applyFont="1" applyBorder="1" applyAlignment="1">
      <alignment horizontal="center" vertical="center"/>
    </xf>
    <xf numFmtId="0" fontId="0" fillId="0" borderId="25" xfId="42" applyFont="1" applyBorder="1" applyAlignment="1">
      <alignment horizontal="center" vertical="center"/>
    </xf>
    <xf numFmtId="0" fontId="0" fillId="0" borderId="0" xfId="42" applyFont="1" applyAlignment="1">
      <alignment horizontal="center" vertical="center"/>
    </xf>
    <xf numFmtId="0" fontId="0" fillId="0" borderId="16" xfId="42" applyFont="1" applyBorder="1" applyAlignment="1">
      <alignment horizontal="center" vertical="center"/>
    </xf>
    <xf numFmtId="176" fontId="23" fillId="0" borderId="93" xfId="42" applyNumberFormat="1" applyFont="1" applyBorder="1" applyAlignment="1">
      <alignment horizontal="center" vertical="center"/>
    </xf>
    <xf numFmtId="176" fontId="23" fillId="0" borderId="23" xfId="42" applyNumberFormat="1" applyFont="1" applyBorder="1" applyAlignment="1">
      <alignment horizontal="center" vertical="center"/>
    </xf>
    <xf numFmtId="176" fontId="23" fillId="0" borderId="92" xfId="42" applyNumberFormat="1" applyFont="1" applyBorder="1" applyAlignment="1">
      <alignment horizontal="center" vertical="center"/>
    </xf>
    <xf numFmtId="176" fontId="23" fillId="0" borderId="32" xfId="42" applyNumberFormat="1" applyFont="1" applyBorder="1" applyAlignment="1">
      <alignment horizontal="center" vertical="center"/>
    </xf>
    <xf numFmtId="180" fontId="23" fillId="0" borderId="26" xfId="42" applyNumberFormat="1" applyFont="1" applyBorder="1" applyAlignment="1">
      <alignment horizontal="right" vertical="center" shrinkToFit="1"/>
    </xf>
    <xf numFmtId="180" fontId="23" fillId="0" borderId="27" xfId="42" applyNumberFormat="1" applyFont="1" applyBorder="1" applyAlignment="1">
      <alignment horizontal="right" vertical="center" shrinkToFit="1"/>
    </xf>
    <xf numFmtId="0" fontId="23" fillId="0" borderId="95" xfId="42" applyFont="1" applyBorder="1" applyAlignment="1">
      <alignment horizontal="right" vertical="center"/>
    </xf>
    <xf numFmtId="0" fontId="31" fillId="0" borderId="10" xfId="42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23" fillId="0" borderId="95" xfId="42" applyNumberFormat="1" applyFont="1" applyBorder="1" applyAlignment="1">
      <alignment horizontal="right" vertical="center" shrinkToFit="1"/>
    </xf>
    <xf numFmtId="176" fontId="23" fillId="0" borderId="98" xfId="42" applyNumberFormat="1" applyFont="1" applyBorder="1" applyAlignment="1">
      <alignment horizontal="right" vertical="center" shrinkToFit="1"/>
    </xf>
    <xf numFmtId="0" fontId="23" fillId="0" borderId="96" xfId="42" applyFont="1" applyBorder="1" applyAlignment="1">
      <alignment horizontal="right" vertical="center"/>
    </xf>
    <xf numFmtId="0" fontId="23" fillId="0" borderId="97" xfId="42" applyFont="1" applyBorder="1" applyAlignment="1">
      <alignment horizontal="right" vertical="center"/>
    </xf>
    <xf numFmtId="176" fontId="23" fillId="0" borderId="99" xfId="42" applyNumberFormat="1" applyFont="1" applyBorder="1" applyAlignment="1">
      <alignment horizontal="right" vertical="center" shrinkToFit="1"/>
    </xf>
    <xf numFmtId="176" fontId="23" fillId="0" borderId="100" xfId="42" applyNumberFormat="1" applyFont="1" applyBorder="1" applyAlignment="1">
      <alignment horizontal="right" vertical="center" shrinkToFit="1"/>
    </xf>
    <xf numFmtId="180" fontId="23" fillId="0" borderId="34" xfId="42" applyNumberFormat="1" applyFont="1" applyBorder="1" applyAlignment="1">
      <alignment horizontal="right" vertical="center" shrinkToFit="1"/>
    </xf>
    <xf numFmtId="176" fontId="0" fillId="0" borderId="28" xfId="42" applyNumberFormat="1" applyFont="1" applyBorder="1" applyAlignment="1">
      <alignment horizontal="right" vertical="center" shrinkToFit="1"/>
    </xf>
    <xf numFmtId="176" fontId="0" fillId="0" borderId="10" xfId="42" applyNumberFormat="1" applyFont="1" applyBorder="1" applyAlignment="1">
      <alignment horizontal="right" vertical="center" shrinkToFit="1"/>
    </xf>
    <xf numFmtId="176" fontId="0" fillId="0" borderId="12" xfId="42" applyNumberFormat="1" applyFont="1" applyBorder="1" applyAlignment="1">
      <alignment horizontal="right" vertical="center" shrinkToFit="1"/>
    </xf>
    <xf numFmtId="176" fontId="0" fillId="0" borderId="87" xfId="42" applyNumberFormat="1" applyFont="1" applyBorder="1" applyAlignment="1">
      <alignment horizontal="right" vertical="center" shrinkToFit="1"/>
    </xf>
    <xf numFmtId="176" fontId="0" fillId="0" borderId="30" xfId="42" applyNumberFormat="1" applyFont="1" applyBorder="1" applyAlignment="1">
      <alignment horizontal="right" vertical="center" shrinkToFit="1"/>
    </xf>
    <xf numFmtId="176" fontId="0" fillId="0" borderId="27" xfId="42" applyNumberFormat="1" applyFont="1" applyBorder="1" applyAlignment="1">
      <alignment horizontal="right" vertical="center" shrinkToFit="1"/>
    </xf>
    <xf numFmtId="180" fontId="23" fillId="0" borderId="79" xfId="42" applyNumberFormat="1" applyFont="1" applyBorder="1" applyAlignment="1">
      <alignment horizontal="right" vertical="center" shrinkToFit="1"/>
    </xf>
    <xf numFmtId="180" fontId="23" fillId="0" borderId="81" xfId="42" applyNumberFormat="1" applyFont="1" applyBorder="1" applyAlignment="1">
      <alignment horizontal="right" vertical="center" shrinkToFit="1"/>
    </xf>
    <xf numFmtId="180" fontId="3" fillId="0" borderId="22" xfId="42" applyNumberFormat="1" applyBorder="1" applyAlignment="1">
      <alignment horizontal="right" vertical="center"/>
    </xf>
    <xf numFmtId="180" fontId="3" fillId="0" borderId="36" xfId="42" applyNumberFormat="1" applyBorder="1" applyAlignment="1">
      <alignment horizontal="right" vertical="center"/>
    </xf>
    <xf numFmtId="180" fontId="3" fillId="0" borderId="71" xfId="42" applyNumberFormat="1" applyBorder="1" applyAlignment="1">
      <alignment horizontal="right" vertical="center" shrinkToFit="1"/>
    </xf>
    <xf numFmtId="180" fontId="3" fillId="0" borderId="72" xfId="42" applyNumberFormat="1" applyBorder="1" applyAlignment="1">
      <alignment horizontal="right" vertical="center" shrinkToFit="1"/>
    </xf>
    <xf numFmtId="180" fontId="3" fillId="0" borderId="46" xfId="42" applyNumberFormat="1" applyBorder="1" applyAlignment="1">
      <alignment horizontal="right" vertical="center"/>
    </xf>
    <xf numFmtId="180" fontId="3" fillId="0" borderId="74" xfId="42" applyNumberFormat="1" applyBorder="1" applyAlignment="1">
      <alignment horizontal="right" vertical="center"/>
    </xf>
    <xf numFmtId="180" fontId="23" fillId="0" borderId="82" xfId="42" applyNumberFormat="1" applyFont="1" applyBorder="1" applyAlignment="1">
      <alignment horizontal="right" vertical="center" shrinkToFit="1"/>
    </xf>
    <xf numFmtId="176" fontId="0" fillId="0" borderId="19" xfId="42" applyNumberFormat="1" applyFont="1" applyBorder="1" applyAlignment="1">
      <alignment horizontal="right" vertical="center" shrinkToFit="1"/>
    </xf>
    <xf numFmtId="176" fontId="0" fillId="0" borderId="26" xfId="42" applyNumberFormat="1" applyFont="1" applyBorder="1" applyAlignment="1">
      <alignment horizontal="right" vertical="center" shrinkToFit="1"/>
    </xf>
    <xf numFmtId="176" fontId="3" fillId="0" borderId="85" xfId="42" applyNumberFormat="1" applyBorder="1" applyAlignment="1">
      <alignment horizontal="right" vertical="center" shrinkToFit="1"/>
    </xf>
    <xf numFmtId="176" fontId="0" fillId="0" borderId="83" xfId="0" applyNumberFormat="1" applyBorder="1" applyAlignment="1">
      <alignment horizontal="right" vertical="center" shrinkToFit="1"/>
    </xf>
    <xf numFmtId="176" fontId="3" fillId="0" borderId="26" xfId="42" applyNumberFormat="1" applyBorder="1" applyAlignment="1">
      <alignment horizontal="right" vertical="center" shrinkToFit="1"/>
    </xf>
    <xf numFmtId="176" fontId="0" fillId="0" borderId="84" xfId="0" applyNumberFormat="1" applyBorder="1" applyAlignment="1">
      <alignment horizontal="right" vertical="center" shrinkToFit="1"/>
    </xf>
    <xf numFmtId="180" fontId="3" fillId="0" borderId="26" xfId="42" applyNumberFormat="1" applyBorder="1" applyAlignment="1">
      <alignment horizontal="right" vertical="center"/>
    </xf>
    <xf numFmtId="180" fontId="23" fillId="0" borderId="33" xfId="42" applyNumberFormat="1" applyFont="1" applyBorder="1" applyAlignment="1">
      <alignment horizontal="right" vertical="center" shrinkToFit="1"/>
    </xf>
    <xf numFmtId="180" fontId="23" fillId="0" borderId="32" xfId="42" applyNumberFormat="1" applyFont="1" applyBorder="1" applyAlignment="1">
      <alignment horizontal="right" vertical="center" shrinkToFit="1"/>
    </xf>
    <xf numFmtId="180" fontId="3" fillId="0" borderId="32" xfId="42" applyNumberFormat="1" applyBorder="1" applyAlignment="1">
      <alignment horizontal="right" vertical="center"/>
    </xf>
    <xf numFmtId="180" fontId="3" fillId="0" borderId="34" xfId="42" applyNumberFormat="1" applyBorder="1" applyAlignment="1">
      <alignment horizontal="right" vertical="center"/>
    </xf>
    <xf numFmtId="176" fontId="3" fillId="0" borderId="87" xfId="42" applyNumberFormat="1" applyBorder="1" applyAlignment="1">
      <alignment horizontal="right" vertical="center" shrinkToFit="1"/>
    </xf>
    <xf numFmtId="176" fontId="0" fillId="0" borderId="88" xfId="0" applyNumberFormat="1" applyBorder="1" applyAlignment="1">
      <alignment horizontal="right" vertical="center" shrinkToFit="1"/>
    </xf>
    <xf numFmtId="180" fontId="23" fillId="0" borderId="78" xfId="42" applyNumberFormat="1" applyFont="1" applyBorder="1" applyAlignment="1">
      <alignment horizontal="right" vertical="center" shrinkToFit="1"/>
    </xf>
    <xf numFmtId="0" fontId="0" fillId="0" borderId="73" xfId="42" applyFont="1" applyBorder="1" applyAlignment="1">
      <alignment horizontal="left" vertical="center" textRotation="255"/>
    </xf>
    <xf numFmtId="0" fontId="0" fillId="0" borderId="41" xfId="0" applyBorder="1" applyAlignment="1">
      <alignment horizontal="left" vertical="center" textRotation="255"/>
    </xf>
    <xf numFmtId="0" fontId="0" fillId="0" borderId="24" xfId="0" applyBorder="1" applyAlignment="1">
      <alignment horizontal="left" vertical="center" textRotation="255"/>
    </xf>
    <xf numFmtId="0" fontId="0" fillId="0" borderId="31" xfId="42" applyFont="1" applyBorder="1" applyAlignment="1">
      <alignment horizontal="left" vertical="center" textRotation="255"/>
    </xf>
    <xf numFmtId="0" fontId="3" fillId="0" borderId="41" xfId="42" applyBorder="1" applyAlignment="1">
      <alignment horizontal="left" vertical="center" textRotation="255"/>
    </xf>
    <xf numFmtId="0" fontId="0" fillId="0" borderId="31" xfId="42" applyFont="1" applyBorder="1" applyAlignment="1">
      <alignment vertical="center" textRotation="255"/>
    </xf>
    <xf numFmtId="0" fontId="0" fillId="0" borderId="41" xfId="0" applyBorder="1" applyAlignment="1">
      <alignment vertical="center" textRotation="255"/>
    </xf>
    <xf numFmtId="0" fontId="0" fillId="0" borderId="24" xfId="0" applyBorder="1" applyAlignment="1">
      <alignment vertical="center" textRotation="255"/>
    </xf>
    <xf numFmtId="0" fontId="35" fillId="0" borderId="14" xfId="42" applyFont="1" applyBorder="1" applyAlignment="1">
      <alignment horizontal="left" vertical="center"/>
    </xf>
    <xf numFmtId="180" fontId="3" fillId="0" borderId="33" xfId="42" applyNumberFormat="1" applyBorder="1" applyAlignment="1">
      <alignment horizontal="right" vertical="center"/>
    </xf>
    <xf numFmtId="180" fontId="3" fillId="0" borderId="19" xfId="42" applyNumberFormat="1" applyBorder="1" applyAlignment="1">
      <alignment horizontal="right" vertical="center"/>
    </xf>
    <xf numFmtId="0" fontId="23" fillId="0" borderId="10" xfId="42" applyFont="1" applyBorder="1" applyAlignment="1">
      <alignment horizontal="center" vertical="center"/>
    </xf>
    <xf numFmtId="0" fontId="23" fillId="0" borderId="11" xfId="42" applyFont="1" applyBorder="1" applyAlignment="1">
      <alignment horizontal="center" vertical="center"/>
    </xf>
    <xf numFmtId="0" fontId="23" fillId="0" borderId="12" xfId="42" applyFont="1" applyBorder="1" applyAlignment="1">
      <alignment horizontal="center" vertical="center"/>
    </xf>
    <xf numFmtId="0" fontId="23" fillId="0" borderId="77" xfId="42" applyFont="1" applyBorder="1" applyAlignment="1">
      <alignment horizontal="center" vertical="center"/>
    </xf>
    <xf numFmtId="0" fontId="31" fillId="0" borderId="77" xfId="42" applyFont="1" applyBorder="1" applyAlignment="1">
      <alignment horizontal="center" vertical="center"/>
    </xf>
    <xf numFmtId="0" fontId="31" fillId="0" borderId="11" xfId="42" applyFont="1" applyBorder="1" applyAlignment="1">
      <alignment horizontal="center" vertical="center"/>
    </xf>
    <xf numFmtId="0" fontId="31" fillId="0" borderId="12" xfId="42" applyFont="1" applyBorder="1" applyAlignment="1">
      <alignment horizontal="center" vertical="center"/>
    </xf>
    <xf numFmtId="0" fontId="23" fillId="0" borderId="19" xfId="42" applyFont="1" applyBorder="1" applyAlignment="1">
      <alignment horizontal="center" vertical="center" shrinkToFit="1"/>
    </xf>
    <xf numFmtId="49" fontId="26" fillId="0" borderId="0" xfId="42" applyNumberFormat="1" applyFont="1" applyAlignment="1">
      <alignment horizontal="left" vertical="center"/>
    </xf>
    <xf numFmtId="0" fontId="0" fillId="0" borderId="19" xfId="42" applyFont="1" applyBorder="1" applyAlignment="1">
      <alignment horizontal="center" vertical="center"/>
    </xf>
    <xf numFmtId="0" fontId="23" fillId="0" borderId="83" xfId="42" applyFont="1" applyBorder="1" applyAlignment="1">
      <alignment horizontal="center" vertical="center" shrinkToFit="1"/>
    </xf>
    <xf numFmtId="0" fontId="3" fillId="0" borderId="10" xfId="42" applyBorder="1" applyAlignment="1">
      <alignment horizontal="left" vertical="center"/>
    </xf>
    <xf numFmtId="0" fontId="3" fillId="0" borderId="11" xfId="42" applyBorder="1" applyAlignment="1">
      <alignment horizontal="left" vertical="center"/>
    </xf>
    <xf numFmtId="0" fontId="3" fillId="0" borderId="12" xfId="42" applyBorder="1" applyAlignment="1">
      <alignment horizontal="left" vertical="center"/>
    </xf>
    <xf numFmtId="0" fontId="0" fillId="0" borderId="10" xfId="42" applyFont="1" applyBorder="1" applyAlignment="1">
      <alignment horizontal="left" vertical="center"/>
    </xf>
    <xf numFmtId="0" fontId="0" fillId="0" borderId="11" xfId="42" applyFont="1" applyBorder="1" applyAlignment="1">
      <alignment horizontal="left" vertical="center"/>
    </xf>
    <xf numFmtId="0" fontId="0" fillId="0" borderId="12" xfId="42" applyFont="1" applyBorder="1" applyAlignment="1">
      <alignment horizontal="left" vertical="center"/>
    </xf>
    <xf numFmtId="177" fontId="0" fillId="0" borderId="10" xfId="42" applyNumberFormat="1" applyFont="1" applyBorder="1" applyAlignment="1">
      <alignment horizontal="left" vertical="center"/>
    </xf>
    <xf numFmtId="177" fontId="0" fillId="0" borderId="11" xfId="42" applyNumberFormat="1" applyFont="1" applyBorder="1" applyAlignment="1">
      <alignment horizontal="left" vertical="center"/>
    </xf>
    <xf numFmtId="177" fontId="0" fillId="0" borderId="12" xfId="42" applyNumberFormat="1" applyFont="1" applyBorder="1" applyAlignment="1">
      <alignment horizontal="left" vertical="center"/>
    </xf>
    <xf numFmtId="0" fontId="31" fillId="0" borderId="91" xfId="42" applyFont="1" applyBorder="1" applyAlignment="1">
      <alignment horizontal="center" vertical="center"/>
    </xf>
    <xf numFmtId="176" fontId="3" fillId="0" borderId="84" xfId="42" applyNumberFormat="1" applyBorder="1" applyAlignment="1">
      <alignment horizontal="right" vertical="center" shrinkToFit="1"/>
    </xf>
    <xf numFmtId="0" fontId="26" fillId="0" borderId="112" xfId="42" applyFont="1" applyBorder="1" applyAlignment="1">
      <alignment horizontal="left" vertical="center"/>
    </xf>
    <xf numFmtId="0" fontId="26" fillId="0" borderId="110" xfId="42" applyFont="1" applyBorder="1" applyAlignment="1">
      <alignment horizontal="left" vertical="center"/>
    </xf>
    <xf numFmtId="0" fontId="26" fillId="0" borderId="111" xfId="42" applyFont="1" applyBorder="1" applyAlignment="1">
      <alignment horizontal="left" vertical="center"/>
    </xf>
    <xf numFmtId="176" fontId="26" fillId="0" borderId="116" xfId="42" applyNumberFormat="1" applyFont="1" applyBorder="1" applyAlignment="1">
      <alignment vertical="center"/>
    </xf>
    <xf numFmtId="176" fontId="26" fillId="0" borderId="114" xfId="0" applyNumberFormat="1" applyFont="1" applyBorder="1">
      <alignment vertical="center"/>
    </xf>
    <xf numFmtId="176" fontId="26" fillId="0" borderId="115" xfId="0" applyNumberFormat="1" applyFont="1" applyBorder="1">
      <alignment vertical="center"/>
    </xf>
    <xf numFmtId="186" fontId="26" fillId="0" borderId="117" xfId="42" applyNumberFormat="1" applyFont="1" applyBorder="1" applyAlignment="1">
      <alignment vertical="center"/>
    </xf>
    <xf numFmtId="186" fontId="26" fillId="0" borderId="114" xfId="42" applyNumberFormat="1" applyFont="1" applyBorder="1" applyAlignment="1">
      <alignment vertical="center"/>
    </xf>
    <xf numFmtId="186" fontId="26" fillId="0" borderId="115" xfId="42" applyNumberFormat="1" applyFont="1" applyBorder="1" applyAlignment="1">
      <alignment vertical="center"/>
    </xf>
    <xf numFmtId="5" fontId="26" fillId="0" borderId="112" xfId="42" applyNumberFormat="1" applyFont="1" applyBorder="1" applyAlignment="1">
      <alignment vertical="center"/>
    </xf>
    <xf numFmtId="5" fontId="26" fillId="0" borderId="110" xfId="0" applyNumberFormat="1" applyFont="1" applyBorder="1">
      <alignment vertical="center"/>
    </xf>
    <xf numFmtId="185" fontId="26" fillId="0" borderId="113" xfId="42" applyNumberFormat="1" applyFont="1" applyBorder="1" applyAlignment="1">
      <alignment vertical="center"/>
    </xf>
    <xf numFmtId="185" fontId="26" fillId="0" borderId="110" xfId="42" applyNumberFormat="1" applyFont="1" applyBorder="1" applyAlignment="1">
      <alignment vertical="center"/>
    </xf>
    <xf numFmtId="185" fontId="26" fillId="0" borderId="111" xfId="42" applyNumberFormat="1" applyFont="1" applyBorder="1" applyAlignment="1">
      <alignment vertical="center"/>
    </xf>
    <xf numFmtId="5" fontId="26" fillId="0" borderId="112" xfId="42" applyNumberFormat="1" applyFont="1" applyBorder="1" applyAlignment="1">
      <alignment horizontal="right" vertical="center"/>
    </xf>
    <xf numFmtId="5" fontId="26" fillId="0" borderId="110" xfId="0" applyNumberFormat="1" applyFont="1" applyBorder="1" applyAlignment="1">
      <alignment horizontal="right" vertical="center"/>
    </xf>
    <xf numFmtId="5" fontId="26" fillId="0" borderId="111" xfId="0" applyNumberFormat="1" applyFont="1" applyBorder="1" applyAlignment="1">
      <alignment horizontal="right" vertical="center"/>
    </xf>
    <xf numFmtId="5" fontId="26" fillId="26" borderId="105" xfId="42" applyNumberFormat="1" applyFont="1" applyFill="1" applyBorder="1" applyAlignment="1">
      <alignment horizontal="right" vertical="center"/>
    </xf>
    <xf numFmtId="5" fontId="26" fillId="26" borderId="106" xfId="0" applyNumberFormat="1" applyFont="1" applyFill="1" applyBorder="1" applyAlignment="1">
      <alignment horizontal="right" vertical="center"/>
    </xf>
    <xf numFmtId="5" fontId="26" fillId="26" borderId="107" xfId="0" applyNumberFormat="1" applyFont="1" applyFill="1" applyBorder="1" applyAlignment="1">
      <alignment horizontal="right" vertical="center"/>
    </xf>
    <xf numFmtId="5" fontId="26" fillId="26" borderId="105" xfId="42" applyNumberFormat="1" applyFont="1" applyFill="1" applyBorder="1" applyAlignment="1">
      <alignment vertical="center"/>
    </xf>
    <xf numFmtId="5" fontId="26" fillId="26" borderId="106" xfId="0" applyNumberFormat="1" applyFont="1" applyFill="1" applyBorder="1">
      <alignment vertical="center"/>
    </xf>
    <xf numFmtId="5" fontId="26" fillId="26" borderId="108" xfId="42" applyNumberFormat="1" applyFont="1" applyFill="1" applyBorder="1" applyAlignment="1">
      <alignment vertical="center"/>
    </xf>
    <xf numFmtId="5" fontId="26" fillId="26" borderId="107" xfId="0" applyNumberFormat="1" applyFont="1" applyFill="1" applyBorder="1">
      <alignment vertical="center"/>
    </xf>
    <xf numFmtId="0" fontId="26" fillId="0" borderId="101" xfId="42" applyFont="1" applyBorder="1" applyAlignment="1">
      <alignment horizontal="left" vertical="center"/>
    </xf>
    <xf numFmtId="0" fontId="26" fillId="0" borderId="102" xfId="0" applyFont="1" applyBorder="1" applyAlignment="1">
      <alignment horizontal="left" vertical="center"/>
    </xf>
    <xf numFmtId="0" fontId="26" fillId="0" borderId="103" xfId="0" applyFont="1" applyBorder="1" applyAlignment="1">
      <alignment horizontal="left" vertical="center"/>
    </xf>
    <xf numFmtId="5" fontId="26" fillId="25" borderId="105" xfId="42" applyNumberFormat="1" applyFont="1" applyFill="1" applyBorder="1" applyAlignment="1">
      <alignment horizontal="right" vertical="center"/>
    </xf>
    <xf numFmtId="5" fontId="26" fillId="25" borderId="106" xfId="0" applyNumberFormat="1" applyFont="1" applyFill="1" applyBorder="1" applyAlignment="1">
      <alignment horizontal="right" vertical="center"/>
    </xf>
    <xf numFmtId="5" fontId="26" fillId="25" borderId="107" xfId="0" applyNumberFormat="1" applyFont="1" applyFill="1" applyBorder="1" applyAlignment="1">
      <alignment horizontal="right" vertical="center"/>
    </xf>
    <xf numFmtId="5" fontId="26" fillId="25" borderId="105" xfId="42" applyNumberFormat="1" applyFont="1" applyFill="1" applyBorder="1" applyAlignment="1">
      <alignment vertical="center"/>
    </xf>
    <xf numFmtId="5" fontId="26" fillId="25" borderId="106" xfId="0" applyNumberFormat="1" applyFont="1" applyFill="1" applyBorder="1">
      <alignment vertical="center"/>
    </xf>
    <xf numFmtId="5" fontId="26" fillId="25" borderId="108" xfId="42" applyNumberFormat="1" applyFont="1" applyFill="1" applyBorder="1" applyAlignment="1">
      <alignment vertical="center"/>
    </xf>
    <xf numFmtId="5" fontId="26" fillId="25" borderId="107" xfId="0" applyNumberFormat="1" applyFont="1" applyFill="1" applyBorder="1">
      <alignment vertical="center"/>
    </xf>
    <xf numFmtId="0" fontId="26" fillId="0" borderId="10" xfId="42" applyFont="1" applyBorder="1" applyAlignment="1">
      <alignment horizontal="left" vertical="center"/>
    </xf>
    <xf numFmtId="0" fontId="26" fillId="0" borderId="11" xfId="42" applyFont="1" applyBorder="1" applyAlignment="1">
      <alignment horizontal="left" vertical="center"/>
    </xf>
    <xf numFmtId="0" fontId="26" fillId="0" borderId="12" xfId="42" applyFont="1" applyBorder="1" applyAlignment="1">
      <alignment horizontal="left" vertical="center"/>
    </xf>
    <xf numFmtId="14" fontId="26" fillId="0" borderId="10" xfId="42" applyNumberFormat="1" applyFont="1" applyBorder="1" applyAlignment="1">
      <alignment horizontal="left" vertical="center"/>
    </xf>
    <xf numFmtId="14" fontId="26" fillId="0" borderId="11" xfId="42" applyNumberFormat="1" applyFont="1" applyBorder="1" applyAlignment="1">
      <alignment horizontal="left" vertical="center"/>
    </xf>
    <xf numFmtId="14" fontId="26" fillId="0" borderId="12" xfId="42" applyNumberFormat="1" applyFont="1" applyBorder="1" applyAlignment="1">
      <alignment horizontal="left" vertical="center"/>
    </xf>
    <xf numFmtId="49" fontId="26" fillId="0" borderId="10" xfId="42" applyNumberFormat="1" applyFont="1" applyBorder="1" applyAlignment="1">
      <alignment horizontal="left" vertical="center" shrinkToFit="1"/>
    </xf>
    <xf numFmtId="49" fontId="26" fillId="0" borderId="11" xfId="42" applyNumberFormat="1" applyFont="1" applyBorder="1" applyAlignment="1">
      <alignment horizontal="left" vertical="center" shrinkToFit="1"/>
    </xf>
    <xf numFmtId="49" fontId="26" fillId="0" borderId="12" xfId="42" applyNumberFormat="1" applyFont="1" applyBorder="1" applyAlignment="1">
      <alignment horizontal="left" vertical="center" shrinkToFit="1"/>
    </xf>
    <xf numFmtId="177" fontId="26" fillId="0" borderId="10" xfId="42" applyNumberFormat="1" applyFont="1" applyBorder="1" applyAlignment="1">
      <alignment horizontal="left" vertical="center"/>
    </xf>
    <xf numFmtId="177" fontId="26" fillId="0" borderId="11" xfId="42" applyNumberFormat="1" applyFont="1" applyBorder="1" applyAlignment="1">
      <alignment horizontal="left" vertical="center"/>
    </xf>
    <xf numFmtId="177" fontId="26" fillId="0" borderId="12" xfId="42" applyNumberFormat="1" applyFon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6" fillId="0" borderId="19" xfId="42" applyFont="1" applyBorder="1" applyAlignment="1">
      <alignment horizontal="left" vertical="center"/>
    </xf>
    <xf numFmtId="14" fontId="26" fillId="0" borderId="19" xfId="42" applyNumberFormat="1" applyFont="1" applyBorder="1" applyAlignment="1">
      <alignment horizontal="left" vertical="center"/>
    </xf>
    <xf numFmtId="181" fontId="26" fillId="0" borderId="19" xfId="42" applyNumberFormat="1" applyFont="1" applyBorder="1" applyAlignment="1">
      <alignment horizontal="left" vertical="center"/>
    </xf>
    <xf numFmtId="177" fontId="26" fillId="0" borderId="19" xfId="42" applyNumberFormat="1" applyFont="1" applyBorder="1" applyAlignment="1">
      <alignment horizontal="left" vertical="center"/>
    </xf>
    <xf numFmtId="0" fontId="26" fillId="0" borderId="10" xfId="42" applyFont="1" applyBorder="1" applyAlignment="1">
      <alignment horizontal="center" vertical="center"/>
    </xf>
    <xf numFmtId="0" fontId="26" fillId="0" borderId="12" xfId="42" applyFont="1" applyBorder="1" applyAlignment="1">
      <alignment horizontal="center" vertical="center"/>
    </xf>
    <xf numFmtId="0" fontId="3" fillId="0" borderId="45" xfId="42" applyBorder="1" applyAlignment="1">
      <alignment horizontal="left" vertical="center"/>
    </xf>
    <xf numFmtId="0" fontId="3" fillId="0" borderId="42" xfId="42" applyBorder="1" applyAlignment="1">
      <alignment horizontal="left" vertical="center"/>
    </xf>
    <xf numFmtId="0" fontId="0" fillId="0" borderId="45" xfId="42" applyFont="1" applyBorder="1" applyAlignment="1">
      <alignment horizontal="left" vertical="center" shrinkToFit="1"/>
    </xf>
    <xf numFmtId="0" fontId="0" fillId="0" borderId="42" xfId="42" applyFont="1" applyBorder="1" applyAlignment="1">
      <alignment horizontal="left" vertical="center" shrinkToFit="1"/>
    </xf>
    <xf numFmtId="0" fontId="41" fillId="0" borderId="10" xfId="42" applyFont="1" applyBorder="1" applyAlignment="1">
      <alignment horizontal="left" vertical="center"/>
    </xf>
    <xf numFmtId="0" fontId="41" fillId="0" borderId="11" xfId="0" applyFont="1" applyBorder="1" applyAlignment="1">
      <alignment horizontal="left" vertical="center"/>
    </xf>
    <xf numFmtId="0" fontId="41" fillId="0" borderId="12" xfId="0" applyFont="1" applyBorder="1" applyAlignment="1">
      <alignment horizontal="left" vertical="center"/>
    </xf>
    <xf numFmtId="180" fontId="42" fillId="0" borderId="36" xfId="42" applyNumberFormat="1" applyFont="1" applyBorder="1" applyAlignment="1">
      <alignment horizontal="right" vertical="center" shrinkToFit="1"/>
    </xf>
    <xf numFmtId="180" fontId="42" fillId="0" borderId="37" xfId="42" applyNumberFormat="1" applyFont="1" applyBorder="1" applyAlignment="1">
      <alignment horizontal="right" vertical="center" shrinkToFit="1"/>
    </xf>
    <xf numFmtId="180" fontId="42" fillId="0" borderId="35" xfId="42" applyNumberFormat="1" applyFont="1" applyBorder="1" applyAlignment="1">
      <alignment horizontal="right" vertical="center" shrinkToFit="1"/>
    </xf>
    <xf numFmtId="180" fontId="41" fillId="0" borderId="28" xfId="42" applyNumberFormat="1" applyFont="1" applyBorder="1" applyAlignment="1">
      <alignment horizontal="right" vertical="center"/>
    </xf>
    <xf numFmtId="176" fontId="41" fillId="0" borderId="28" xfId="42" applyNumberFormat="1" applyFont="1" applyBorder="1" applyAlignment="1">
      <alignment horizontal="right" vertical="center" shrinkToFit="1"/>
    </xf>
    <xf numFmtId="176" fontId="41" fillId="0" borderId="86" xfId="0" applyNumberFormat="1" applyFont="1" applyBorder="1" applyAlignment="1">
      <alignment horizontal="right" vertical="center" shrinkToFit="1"/>
    </xf>
    <xf numFmtId="180" fontId="42" fillId="0" borderId="80" xfId="42" applyNumberFormat="1" applyFont="1" applyBorder="1" applyAlignment="1">
      <alignment horizontal="right" vertical="center" shrinkToFit="1"/>
    </xf>
    <xf numFmtId="180" fontId="41" fillId="0" borderId="37" xfId="42" applyNumberFormat="1" applyFont="1" applyBorder="1" applyAlignment="1">
      <alignment horizontal="right" vertical="center"/>
    </xf>
    <xf numFmtId="180" fontId="41" fillId="0" borderId="35" xfId="42" applyNumberFormat="1" applyFont="1" applyBorder="1" applyAlignment="1">
      <alignment horizontal="right" vertical="center"/>
    </xf>
  </cellXfs>
  <cellStyles count="53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通貨" xfId="47" builtinId="7"/>
    <cellStyle name="通貨 2" xfId="48" xr:uid="{BCFB2B59-F1EE-49CC-A368-C571BB414EE7}"/>
    <cellStyle name="通貨 㜘0.0" xfId="40" xr:uid="{00000000-0005-0000-0000-000029000000}"/>
    <cellStyle name="通貨 㜘0.0 2" xfId="49" xr:uid="{55AC11C8-7CD2-49FB-BFAA-B7E0A09CF948}"/>
    <cellStyle name="入力" xfId="41" builtinId="20" customBuiltin="1"/>
    <cellStyle name="標準" xfId="0" builtinId="0"/>
    <cellStyle name="標準 2" xfId="45" xr:uid="{00000000-0005-0000-0000-00002C000000}"/>
    <cellStyle name="標準 2 2" xfId="46" xr:uid="{00000000-0005-0000-0000-00002D000000}"/>
    <cellStyle name="標準 2 2 2" xfId="51" xr:uid="{6ED06F68-F824-43C3-8B74-7B007141B0B6}"/>
    <cellStyle name="標準 2 3" xfId="50" xr:uid="{40EF2AEC-5179-42F7-B0C6-973589111101}"/>
    <cellStyle name="標準 3" xfId="52" xr:uid="{A9FED7E1-C152-4962-B346-510B3EA12DBC}"/>
    <cellStyle name="標準_MCM2001P_店舗見積書類" xfId="42" xr:uid="{00000000-0005-0000-0000-00002E000000}"/>
    <cellStyle name="標準_改造見積(単価5ｋ)" xfId="43" xr:uid="{00000000-0005-0000-0000-00002F000000}"/>
    <cellStyle name="良い" xfId="44" builtinId="26" customBuiltin="1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9525</xdr:colOff>
      <xdr:row>2</xdr:row>
      <xdr:rowOff>0</xdr:rowOff>
    </xdr:from>
    <xdr:to>
      <xdr:col>35</xdr:col>
      <xdr:colOff>19050</xdr:colOff>
      <xdr:row>7</xdr:row>
      <xdr:rowOff>9525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2444F9BD-DD96-42B0-B2D1-119A9E30B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3425" y="257175"/>
          <a:ext cx="2409825" cy="1009650"/>
        </a:xfrm>
        <a:prstGeom prst="rect">
          <a:avLst/>
        </a:prstGeom>
        <a:noFill/>
      </xdr:spPr>
    </xdr:pic>
    <xdr:clientData fPrintsWithSheet="0"/>
  </xdr:twoCellAnchor>
  <xdr:twoCellAnchor editAs="absolute">
    <xdr:from>
      <xdr:col>27</xdr:col>
      <xdr:colOff>19050</xdr:colOff>
      <xdr:row>3</xdr:row>
      <xdr:rowOff>57150</xdr:rowOff>
    </xdr:from>
    <xdr:to>
      <xdr:col>31</xdr:col>
      <xdr:colOff>28575</xdr:colOff>
      <xdr:row>4</xdr:row>
      <xdr:rowOff>133350</xdr:rowOff>
    </xdr:to>
    <xdr:sp macro="" textlink="">
      <xdr:nvSpPr>
        <xdr:cNvPr id="17" name="shinsa_lastname">
          <a:extLst>
            <a:ext uri="{FF2B5EF4-FFF2-40B4-BE49-F238E27FC236}">
              <a16:creationId xmlns:a16="http://schemas.microsoft.com/office/drawing/2014/main" id="{584A1ABB-1777-4C36-8228-CEAF78A2EDC0}"/>
            </a:ext>
          </a:extLst>
        </xdr:cNvPr>
        <xdr:cNvSpPr txBox="1">
          <a:spLocks noChangeArrowheads="1"/>
        </xdr:cNvSpPr>
      </xdr:nvSpPr>
      <xdr:spPr bwMode="auto">
        <a:xfrm>
          <a:off x="5286375" y="514350"/>
          <a:ext cx="809625" cy="27622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27</xdr:col>
      <xdr:colOff>19050</xdr:colOff>
      <xdr:row>5</xdr:row>
      <xdr:rowOff>95250</xdr:rowOff>
    </xdr:from>
    <xdr:to>
      <xdr:col>31</xdr:col>
      <xdr:colOff>28575</xdr:colOff>
      <xdr:row>6</xdr:row>
      <xdr:rowOff>180975</xdr:rowOff>
    </xdr:to>
    <xdr:sp macro="" textlink="">
      <xdr:nvSpPr>
        <xdr:cNvPr id="18" name="shinsa_firstname">
          <a:extLst>
            <a:ext uri="{FF2B5EF4-FFF2-40B4-BE49-F238E27FC236}">
              <a16:creationId xmlns:a16="http://schemas.microsoft.com/office/drawing/2014/main" id="{EF80FB35-ED1F-4FAA-B011-9FFA363B5EF9}"/>
            </a:ext>
          </a:extLst>
        </xdr:cNvPr>
        <xdr:cNvSpPr txBox="1">
          <a:spLocks noChangeArrowheads="1"/>
        </xdr:cNvSpPr>
      </xdr:nvSpPr>
      <xdr:spPr bwMode="auto">
        <a:xfrm>
          <a:off x="5286375" y="952500"/>
          <a:ext cx="809625" cy="285750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27</xdr:col>
      <xdr:colOff>114300</xdr:colOff>
      <xdr:row>4</xdr:row>
      <xdr:rowOff>104775</xdr:rowOff>
    </xdr:from>
    <xdr:to>
      <xdr:col>30</xdr:col>
      <xdr:colOff>142875</xdr:colOff>
      <xdr:row>5</xdr:row>
      <xdr:rowOff>123825</xdr:rowOff>
    </xdr:to>
    <xdr:sp macro="" textlink="">
      <xdr:nvSpPr>
        <xdr:cNvPr id="19" name="shinsa_date">
          <a:extLst>
            <a:ext uri="{FF2B5EF4-FFF2-40B4-BE49-F238E27FC236}">
              <a16:creationId xmlns:a16="http://schemas.microsoft.com/office/drawing/2014/main" id="{3AB595A4-B76A-4EB1-A968-9BD1D12F0248}"/>
            </a:ext>
          </a:extLst>
        </xdr:cNvPr>
        <xdr:cNvSpPr>
          <a:spLocks noChangeArrowheads="1"/>
        </xdr:cNvSpPr>
      </xdr:nvSpPr>
      <xdr:spPr bwMode="auto">
        <a:xfrm>
          <a:off x="5381625" y="762000"/>
          <a:ext cx="628650" cy="21907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23</xdr:col>
      <xdr:colOff>76200</xdr:colOff>
      <xdr:row>3</xdr:row>
      <xdr:rowOff>57150</xdr:rowOff>
    </xdr:from>
    <xdr:to>
      <xdr:col>27</xdr:col>
      <xdr:colOff>85725</xdr:colOff>
      <xdr:row>4</xdr:row>
      <xdr:rowOff>133350</xdr:rowOff>
    </xdr:to>
    <xdr:sp macro="" textlink="">
      <xdr:nvSpPr>
        <xdr:cNvPr id="20" name="shonin_lastname">
          <a:extLst>
            <a:ext uri="{FF2B5EF4-FFF2-40B4-BE49-F238E27FC236}">
              <a16:creationId xmlns:a16="http://schemas.microsoft.com/office/drawing/2014/main" id="{F37B5F35-7A5C-468B-B69D-675386726158}"/>
            </a:ext>
          </a:extLst>
        </xdr:cNvPr>
        <xdr:cNvSpPr txBox="1">
          <a:spLocks noChangeArrowheads="1"/>
        </xdr:cNvSpPr>
      </xdr:nvSpPr>
      <xdr:spPr bwMode="auto">
        <a:xfrm>
          <a:off x="4543425" y="514350"/>
          <a:ext cx="809625" cy="27622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23</xdr:col>
      <xdr:colOff>76200</xdr:colOff>
      <xdr:row>5</xdr:row>
      <xdr:rowOff>95250</xdr:rowOff>
    </xdr:from>
    <xdr:to>
      <xdr:col>27</xdr:col>
      <xdr:colOff>85725</xdr:colOff>
      <xdr:row>6</xdr:row>
      <xdr:rowOff>180975</xdr:rowOff>
    </xdr:to>
    <xdr:sp macro="" textlink="">
      <xdr:nvSpPr>
        <xdr:cNvPr id="21" name="shonin_firstname">
          <a:extLst>
            <a:ext uri="{FF2B5EF4-FFF2-40B4-BE49-F238E27FC236}">
              <a16:creationId xmlns:a16="http://schemas.microsoft.com/office/drawing/2014/main" id="{8D12CD43-60B2-4712-8FCA-C799BA0B7784}"/>
            </a:ext>
          </a:extLst>
        </xdr:cNvPr>
        <xdr:cNvSpPr txBox="1">
          <a:spLocks noChangeArrowheads="1"/>
        </xdr:cNvSpPr>
      </xdr:nvSpPr>
      <xdr:spPr bwMode="auto">
        <a:xfrm>
          <a:off x="4543425" y="952500"/>
          <a:ext cx="809625" cy="285750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24</xdr:col>
      <xdr:colOff>0</xdr:colOff>
      <xdr:row>4</xdr:row>
      <xdr:rowOff>104775</xdr:rowOff>
    </xdr:from>
    <xdr:to>
      <xdr:col>27</xdr:col>
      <xdr:colOff>0</xdr:colOff>
      <xdr:row>5</xdr:row>
      <xdr:rowOff>123825</xdr:rowOff>
    </xdr:to>
    <xdr:sp macro="" textlink="">
      <xdr:nvSpPr>
        <xdr:cNvPr id="22" name="shonin_date">
          <a:extLst>
            <a:ext uri="{FF2B5EF4-FFF2-40B4-BE49-F238E27FC236}">
              <a16:creationId xmlns:a16="http://schemas.microsoft.com/office/drawing/2014/main" id="{89AA6896-4A59-469B-AF97-00B563366B56}"/>
            </a:ext>
          </a:extLst>
        </xdr:cNvPr>
        <xdr:cNvSpPr>
          <a:spLocks noChangeArrowheads="1"/>
        </xdr:cNvSpPr>
      </xdr:nvSpPr>
      <xdr:spPr bwMode="auto">
        <a:xfrm>
          <a:off x="4638675" y="762000"/>
          <a:ext cx="628650" cy="21907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31</xdr:col>
      <xdr:colOff>9525</xdr:colOff>
      <xdr:row>3</xdr:row>
      <xdr:rowOff>66675</xdr:rowOff>
    </xdr:from>
    <xdr:to>
      <xdr:col>35</xdr:col>
      <xdr:colOff>19050</xdr:colOff>
      <xdr:row>4</xdr:row>
      <xdr:rowOff>123825</xdr:rowOff>
    </xdr:to>
    <xdr:sp macro="" textlink="">
      <xdr:nvSpPr>
        <xdr:cNvPr id="23" name="stp_lastname">
          <a:extLst>
            <a:ext uri="{FF2B5EF4-FFF2-40B4-BE49-F238E27FC236}">
              <a16:creationId xmlns:a16="http://schemas.microsoft.com/office/drawing/2014/main" id="{7237F20F-3484-4BED-AC27-6881B8D115E8}"/>
            </a:ext>
          </a:extLst>
        </xdr:cNvPr>
        <xdr:cNvSpPr txBox="1">
          <a:spLocks noChangeArrowheads="1"/>
        </xdr:cNvSpPr>
      </xdr:nvSpPr>
      <xdr:spPr bwMode="auto">
        <a:xfrm>
          <a:off x="6076950" y="523875"/>
          <a:ext cx="809625" cy="25717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FF0000"/>
              </a:solidFill>
              <a:latin typeface="HG正楷書体-PRO"/>
              <a:ea typeface="HG正楷書体-PRO"/>
            </a:rPr>
            <a:t>ｻｰﾋﾞｽ</a:t>
          </a:r>
        </a:p>
      </xdr:txBody>
    </xdr:sp>
    <xdr:clientData fPrintsWithSheet="0"/>
  </xdr:twoCellAnchor>
  <xdr:twoCellAnchor editAs="absolute">
    <xdr:from>
      <xdr:col>31</xdr:col>
      <xdr:colOff>9525</xdr:colOff>
      <xdr:row>5</xdr:row>
      <xdr:rowOff>85725</xdr:rowOff>
    </xdr:from>
    <xdr:to>
      <xdr:col>35</xdr:col>
      <xdr:colOff>19050</xdr:colOff>
      <xdr:row>6</xdr:row>
      <xdr:rowOff>142875</xdr:rowOff>
    </xdr:to>
    <xdr:sp macro="" textlink="">
      <xdr:nvSpPr>
        <xdr:cNvPr id="24" name="stp_firstname">
          <a:extLst>
            <a:ext uri="{FF2B5EF4-FFF2-40B4-BE49-F238E27FC236}">
              <a16:creationId xmlns:a16="http://schemas.microsoft.com/office/drawing/2014/main" id="{EBBF4F77-4FBC-4A45-BB6A-1F8A5C15F162}"/>
            </a:ext>
          </a:extLst>
        </xdr:cNvPr>
        <xdr:cNvSpPr txBox="1">
          <a:spLocks noChangeArrowheads="1"/>
        </xdr:cNvSpPr>
      </xdr:nvSpPr>
      <xdr:spPr bwMode="auto">
        <a:xfrm>
          <a:off x="6076950" y="942975"/>
          <a:ext cx="809625" cy="25717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FF0000"/>
              </a:solidFill>
              <a:latin typeface="HG正楷書体-PRO"/>
              <a:ea typeface="HG正楷書体-PRO"/>
            </a:rPr>
            <a:t>山田</a:t>
          </a:r>
        </a:p>
      </xdr:txBody>
    </xdr:sp>
    <xdr:clientData fPrintsWithSheet="0"/>
  </xdr:twoCellAnchor>
  <xdr:twoCellAnchor editAs="absolute">
    <xdr:from>
      <xdr:col>31</xdr:col>
      <xdr:colOff>104775</xdr:colOff>
      <xdr:row>4</xdr:row>
      <xdr:rowOff>114300</xdr:rowOff>
    </xdr:from>
    <xdr:to>
      <xdr:col>34</xdr:col>
      <xdr:colOff>133350</xdr:colOff>
      <xdr:row>5</xdr:row>
      <xdr:rowOff>104775</xdr:rowOff>
    </xdr:to>
    <xdr:sp macro="" textlink="">
      <xdr:nvSpPr>
        <xdr:cNvPr id="25" name="stp_date">
          <a:extLst>
            <a:ext uri="{FF2B5EF4-FFF2-40B4-BE49-F238E27FC236}">
              <a16:creationId xmlns:a16="http://schemas.microsoft.com/office/drawing/2014/main" id="{0A75B80B-F148-43D9-A970-3593C7398DA6}"/>
            </a:ext>
          </a:extLst>
        </xdr:cNvPr>
        <xdr:cNvSpPr>
          <a:spLocks noChangeArrowheads="1"/>
        </xdr:cNvSpPr>
      </xdr:nvSpPr>
      <xdr:spPr bwMode="auto">
        <a:xfrm>
          <a:off x="6172200" y="771525"/>
          <a:ext cx="628650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800" b="0" i="0" u="none" strike="noStrike" baseline="0">
              <a:solidFill>
                <a:srgbClr val="FF0000"/>
              </a:solidFill>
              <a:latin typeface="GulimChe"/>
              <a:ea typeface="GulimChe"/>
            </a:rPr>
            <a:t>2020.10.28</a:t>
          </a:r>
          <a:endParaRPr lang="ja-JP" altLang="en-US" sz="800" b="0" i="0" u="none" strike="noStrike" baseline="0">
            <a:solidFill>
              <a:srgbClr val="FF0000"/>
            </a:solidFill>
            <a:latin typeface="GulimChe"/>
            <a:ea typeface="GulimChe"/>
          </a:endParaRPr>
        </a:p>
      </xdr:txBody>
    </xdr:sp>
    <xdr:clientData fPrintsWithSheet="0"/>
  </xdr:twoCellAnchor>
  <xdr:twoCellAnchor>
    <xdr:from>
      <xdr:col>31</xdr:col>
      <xdr:colOff>28575</xdr:colOff>
      <xdr:row>3</xdr:row>
      <xdr:rowOff>28575</xdr:rowOff>
    </xdr:from>
    <xdr:to>
      <xdr:col>34</xdr:col>
      <xdr:colOff>171450</xdr:colOff>
      <xdr:row>6</xdr:row>
      <xdr:rowOff>171450</xdr:rowOff>
    </xdr:to>
    <xdr:sp macro="" textlink="">
      <xdr:nvSpPr>
        <xdr:cNvPr id="26" name="stp_circle">
          <a:extLst>
            <a:ext uri="{FF2B5EF4-FFF2-40B4-BE49-F238E27FC236}">
              <a16:creationId xmlns:a16="http://schemas.microsoft.com/office/drawing/2014/main" id="{6B1C0DAC-2340-4ED9-9CF3-E4FDA5969BDA}"/>
            </a:ext>
          </a:extLst>
        </xdr:cNvPr>
        <xdr:cNvSpPr>
          <a:spLocks noChangeAspect="1" noChangeArrowheads="1"/>
        </xdr:cNvSpPr>
      </xdr:nvSpPr>
      <xdr:spPr bwMode="auto">
        <a:xfrm>
          <a:off x="6162675" y="485775"/>
          <a:ext cx="742950" cy="742950"/>
        </a:xfrm>
        <a:prstGeom prst="ellips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/>
        </a:p>
      </xdr:txBody>
    </xdr:sp>
    <xdr:clientData fPrintsWithSheet="0"/>
  </xdr:twoCellAnchor>
  <xdr:twoCellAnchor>
    <xdr:from>
      <xdr:col>31</xdr:col>
      <xdr:colOff>47625</xdr:colOff>
      <xdr:row>4</xdr:row>
      <xdr:rowOff>114300</xdr:rowOff>
    </xdr:from>
    <xdr:to>
      <xdr:col>34</xdr:col>
      <xdr:colOff>152400</xdr:colOff>
      <xdr:row>4</xdr:row>
      <xdr:rowOff>114300</xdr:rowOff>
    </xdr:to>
    <xdr:sp macro="" textlink="">
      <xdr:nvSpPr>
        <xdr:cNvPr id="27" name="stp_topline">
          <a:extLst>
            <a:ext uri="{FF2B5EF4-FFF2-40B4-BE49-F238E27FC236}">
              <a16:creationId xmlns:a16="http://schemas.microsoft.com/office/drawing/2014/main" id="{A53C68BA-A14E-418F-B3E3-13FEE3F40053}"/>
            </a:ext>
          </a:extLst>
        </xdr:cNvPr>
        <xdr:cNvSpPr>
          <a:spLocks noChangeShapeType="1"/>
        </xdr:cNvSpPr>
      </xdr:nvSpPr>
      <xdr:spPr bwMode="auto">
        <a:xfrm>
          <a:off x="6181725" y="771525"/>
          <a:ext cx="7048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31</xdr:col>
      <xdr:colOff>47625</xdr:colOff>
      <xdr:row>5</xdr:row>
      <xdr:rowOff>104775</xdr:rowOff>
    </xdr:from>
    <xdr:to>
      <xdr:col>34</xdr:col>
      <xdr:colOff>152400</xdr:colOff>
      <xdr:row>5</xdr:row>
      <xdr:rowOff>104775</xdr:rowOff>
    </xdr:to>
    <xdr:sp macro="" textlink="">
      <xdr:nvSpPr>
        <xdr:cNvPr id="28" name="stp_btmline">
          <a:extLst>
            <a:ext uri="{FF2B5EF4-FFF2-40B4-BE49-F238E27FC236}">
              <a16:creationId xmlns:a16="http://schemas.microsoft.com/office/drawing/2014/main" id="{9C36B43F-7C00-457A-BF33-E927C13A887D}"/>
            </a:ext>
          </a:extLst>
        </xdr:cNvPr>
        <xdr:cNvSpPr>
          <a:spLocks noChangeShapeType="1"/>
        </xdr:cNvSpPr>
      </xdr:nvSpPr>
      <xdr:spPr bwMode="auto">
        <a:xfrm>
          <a:off x="6181725" y="962025"/>
          <a:ext cx="7048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171450</xdr:colOff>
      <xdr:row>1</xdr:row>
      <xdr:rowOff>0</xdr:rowOff>
    </xdr:from>
    <xdr:to>
      <xdr:col>27</xdr:col>
      <xdr:colOff>975</xdr:colOff>
      <xdr:row>3</xdr:row>
      <xdr:rowOff>204354</xdr:rowOff>
    </xdr:to>
    <xdr:sp macro="" textlink="">
      <xdr:nvSpPr>
        <xdr:cNvPr id="2" name="社外秘テキスト">
          <a:extLst>
            <a:ext uri="{FF2B5EF4-FFF2-40B4-BE49-F238E27FC236}">
              <a16:creationId xmlns:a16="http://schemas.microsoft.com/office/drawing/2014/main" id="{7254B9DB-D2F2-4CD5-AD02-E473E8ED67B3}"/>
            </a:ext>
          </a:extLst>
        </xdr:cNvPr>
        <xdr:cNvSpPr txBox="1"/>
      </xdr:nvSpPr>
      <xdr:spPr>
        <a:xfrm>
          <a:off x="3905250" y="171450"/>
          <a:ext cx="1420200" cy="623454"/>
        </a:xfrm>
        <a:prstGeom prst="rect">
          <a:avLst/>
        </a:prstGeom>
        <a:solidFill>
          <a:srgbClr val="FFFF00">
            <a:alpha val="70000"/>
          </a:srgbClr>
        </a:solidFill>
        <a:ln w="25400" cap="rnd" cmpd="thickThin">
          <a:solidFill>
            <a:srgbClr val="FF0000"/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 i="1" u="sng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社外秘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9525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8"/>
  <sheetViews>
    <sheetView workbookViewId="0">
      <selection activeCell="I12" sqref="I12"/>
    </sheetView>
  </sheetViews>
  <sheetFormatPr defaultRowHeight="13.5" x14ac:dyDescent="0.15"/>
  <cols>
    <col min="1" max="1" width="20" customWidth="1"/>
  </cols>
  <sheetData>
    <row r="1" spans="1:7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15">
      <c r="A2" s="115" t="s">
        <v>7</v>
      </c>
      <c r="B2" s="115" t="s">
        <v>8</v>
      </c>
      <c r="C2" s="115" t="s">
        <v>9</v>
      </c>
      <c r="D2" s="115" t="s">
        <v>10</v>
      </c>
      <c r="E2" s="115" t="s">
        <v>11</v>
      </c>
      <c r="F2" s="115" t="s">
        <v>12</v>
      </c>
    </row>
    <row r="3" spans="1:7" x14ac:dyDescent="0.15">
      <c r="A3" t="s">
        <v>13</v>
      </c>
      <c r="B3" s="115" t="s">
        <v>8</v>
      </c>
      <c r="C3" t="s">
        <v>14</v>
      </c>
      <c r="D3" t="s">
        <v>15</v>
      </c>
      <c r="E3" t="s">
        <v>16</v>
      </c>
      <c r="F3" t="s">
        <v>17</v>
      </c>
    </row>
    <row r="4" spans="1:7" x14ac:dyDescent="0.15">
      <c r="A4" s="115" t="s">
        <v>18</v>
      </c>
      <c r="B4" s="115" t="s">
        <v>8</v>
      </c>
      <c r="C4" t="s">
        <v>14</v>
      </c>
      <c r="D4" t="s">
        <v>14</v>
      </c>
    </row>
    <row r="5" spans="1:7" x14ac:dyDescent="0.15">
      <c r="A5" s="294" t="s">
        <v>19</v>
      </c>
      <c r="B5" s="115" t="s">
        <v>8</v>
      </c>
      <c r="C5" s="115" t="s">
        <v>9</v>
      </c>
      <c r="D5" s="115" t="s">
        <v>10</v>
      </c>
      <c r="E5" s="115" t="s">
        <v>11</v>
      </c>
      <c r="F5" s="115" t="s">
        <v>12</v>
      </c>
    </row>
    <row r="8" spans="1:7" x14ac:dyDescent="0.15">
      <c r="B8" s="115"/>
    </row>
  </sheetData>
  <sortState xmlns:xlrd2="http://schemas.microsoft.com/office/spreadsheetml/2017/richdata2" ref="L2:L15">
    <sortCondition ref="L2:L15" customList="見積総括表,特記事項,保守仕様明細①-8H,保守仕様明細①-24H,原価明細①,保守仕様明細②-8H,保守仕様明細②-24H,原価明細②,保守仕様明細(BoxCell)③,BOXCELL仕様明細目録③,原価明細(BoxCell)③,保守仕様明細(PC)③-8H,保守仕様明細(PC)③-24H,原価明細(PC)③,導入費④,（別紙）8H保守時間表,（別紙）8H保守時間表,管理データ"/>
  </sortState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BR58"/>
  <sheetViews>
    <sheetView showGridLines="0" tabSelected="1" view="pageBreakPreview" topLeftCell="A24" zoomScaleNormal="100" zoomScaleSheetLayoutView="100" workbookViewId="0">
      <selection activeCell="AQ33" sqref="AQ33"/>
    </sheetView>
  </sheetViews>
  <sheetFormatPr defaultColWidth="2.625" defaultRowHeight="13.5" x14ac:dyDescent="0.15"/>
  <cols>
    <col min="1" max="1" width="0.875" style="6" customWidth="1"/>
    <col min="2" max="35" width="2.625" style="6" customWidth="1"/>
    <col min="36" max="36" width="0.875" style="6" customWidth="1"/>
    <col min="37" max="40" width="2.625" style="6"/>
    <col min="41" max="41" width="8.375" style="6" bestFit="1" customWidth="1"/>
    <col min="42" max="16384" width="2.625" style="6"/>
  </cols>
  <sheetData>
    <row r="1" spans="1:70" s="23" customFormat="1" ht="17.25" x14ac:dyDescent="0.15">
      <c r="A1" s="22"/>
      <c r="B1" s="109" t="s">
        <v>20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22"/>
    </row>
    <row r="2" spans="1:70" s="1" customFormat="1" ht="3" customHeight="1" x14ac:dyDescent="0.15"/>
    <row r="3" spans="1:70" s="1" customFormat="1" ht="15.75" customHeight="1" x14ac:dyDescent="0.15">
      <c r="B3" s="59" t="s">
        <v>21</v>
      </c>
      <c r="C3" s="3"/>
      <c r="D3" s="3"/>
      <c r="E3" s="3"/>
      <c r="F3" s="3"/>
      <c r="G3" s="382"/>
      <c r="H3" s="383"/>
      <c r="I3" s="383"/>
      <c r="J3" s="383"/>
      <c r="K3" s="383"/>
      <c r="L3" s="384"/>
      <c r="M3" s="385" t="s">
        <v>22</v>
      </c>
      <c r="N3" s="386"/>
      <c r="O3" s="386"/>
      <c r="P3" s="387"/>
      <c r="Q3" s="385" t="s">
        <v>23</v>
      </c>
      <c r="R3" s="386"/>
      <c r="S3" s="386"/>
      <c r="T3" s="386"/>
      <c r="U3" s="386"/>
      <c r="V3" s="387"/>
      <c r="X3" s="297"/>
      <c r="Y3" s="297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W3" s="41"/>
      <c r="AX3" s="41"/>
      <c r="AY3" s="41"/>
      <c r="AZ3" s="41"/>
      <c r="BA3" s="532"/>
      <c r="BB3" s="532"/>
      <c r="BC3" s="532"/>
      <c r="BD3" s="532"/>
      <c r="BE3" s="532"/>
      <c r="BF3" s="532"/>
      <c r="BG3" s="532"/>
      <c r="BH3" s="532"/>
      <c r="BI3" s="532"/>
      <c r="BJ3" s="532"/>
      <c r="BK3" s="532"/>
      <c r="BL3" s="532"/>
      <c r="BM3" s="532"/>
      <c r="BN3" s="532"/>
      <c r="BO3" s="532"/>
      <c r="BP3" s="532"/>
      <c r="BQ3" s="532"/>
      <c r="BR3" s="532"/>
    </row>
    <row r="4" spans="1:70" s="1" customFormat="1" ht="15.75" customHeight="1" x14ac:dyDescent="0.15">
      <c r="B4" s="2" t="s">
        <v>24</v>
      </c>
      <c r="C4" s="3"/>
      <c r="D4" s="3"/>
      <c r="E4" s="3"/>
      <c r="F4" s="3"/>
      <c r="G4" s="535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36"/>
      <c r="T4" s="536"/>
      <c r="U4" s="536"/>
      <c r="V4" s="537"/>
      <c r="W4" s="127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W4" s="41"/>
      <c r="AX4" s="41"/>
      <c r="AY4" s="41"/>
      <c r="AZ4" s="41"/>
      <c r="BA4" s="532"/>
      <c r="BB4" s="532"/>
      <c r="BC4" s="532"/>
      <c r="BD4" s="532"/>
      <c r="BE4" s="532"/>
      <c r="BF4" s="532"/>
      <c r="BG4" s="532"/>
      <c r="BH4" s="532"/>
      <c r="BI4" s="532"/>
      <c r="BJ4" s="532"/>
      <c r="BK4" s="532"/>
      <c r="BL4" s="532"/>
      <c r="BM4" s="532"/>
      <c r="BN4" s="532"/>
      <c r="BO4" s="532"/>
      <c r="BP4" s="532"/>
      <c r="BQ4" s="532"/>
      <c r="BR4" s="532"/>
    </row>
    <row r="5" spans="1:70" s="1" customFormat="1" ht="15.75" customHeight="1" x14ac:dyDescent="0.15">
      <c r="B5" s="59" t="s">
        <v>25</v>
      </c>
      <c r="C5" s="3"/>
      <c r="D5" s="3"/>
      <c r="E5" s="3"/>
      <c r="F5" s="3"/>
      <c r="G5" s="535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6"/>
      <c r="T5" s="536"/>
      <c r="U5" s="536"/>
      <c r="V5" s="537"/>
      <c r="W5" s="127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</row>
    <row r="6" spans="1:70" s="1" customFormat="1" ht="15.75" customHeight="1" x14ac:dyDescent="0.15">
      <c r="B6" s="59" t="s">
        <v>26</v>
      </c>
      <c r="C6" s="3"/>
      <c r="D6" s="3"/>
      <c r="E6" s="3"/>
      <c r="F6" s="3"/>
      <c r="G6" s="538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40"/>
      <c r="X6" s="194"/>
      <c r="Y6" s="194"/>
      <c r="Z6" s="194"/>
      <c r="AA6" s="194"/>
      <c r="AB6" s="194"/>
      <c r="AC6" s="194"/>
      <c r="AD6" s="194"/>
      <c r="AE6" s="194"/>
      <c r="AF6" s="194"/>
      <c r="AG6" s="194"/>
      <c r="AH6" s="194"/>
      <c r="AI6" s="194"/>
      <c r="AW6" s="41"/>
      <c r="AX6" s="41"/>
      <c r="AY6" s="41"/>
      <c r="AZ6" s="41"/>
      <c r="BA6" s="532"/>
      <c r="BB6" s="532"/>
      <c r="BC6" s="532"/>
      <c r="BD6" s="532"/>
      <c r="BE6" s="532"/>
      <c r="BF6" s="532"/>
      <c r="BG6" s="532"/>
      <c r="BH6" s="532"/>
      <c r="BI6" s="532"/>
      <c r="BJ6" s="41"/>
      <c r="BK6" s="128"/>
      <c r="BL6" s="41"/>
      <c r="BM6" s="532"/>
      <c r="BN6" s="532"/>
      <c r="BO6" s="532"/>
      <c r="BP6" s="532"/>
      <c r="BQ6" s="532"/>
      <c r="BR6" s="532"/>
    </row>
    <row r="7" spans="1:70" s="1" customFormat="1" ht="15.75" customHeight="1" x14ac:dyDescent="0.15">
      <c r="B7" s="59" t="s">
        <v>27</v>
      </c>
      <c r="C7" s="3"/>
      <c r="D7" s="3"/>
      <c r="E7" s="3"/>
      <c r="F7" s="3"/>
      <c r="G7" s="541"/>
      <c r="H7" s="542"/>
      <c r="I7" s="542"/>
      <c r="J7" s="542"/>
      <c r="K7" s="542"/>
      <c r="L7" s="543"/>
      <c r="M7" s="59" t="s">
        <v>28</v>
      </c>
      <c r="N7" s="10"/>
      <c r="O7" s="10"/>
      <c r="P7" s="10"/>
      <c r="Q7" s="538"/>
      <c r="R7" s="539"/>
      <c r="S7" s="539"/>
      <c r="T7" s="539"/>
      <c r="U7" s="539"/>
      <c r="V7" s="540"/>
      <c r="X7" s="194"/>
      <c r="Y7" s="194"/>
      <c r="Z7" s="194"/>
      <c r="AA7" s="194"/>
      <c r="AB7" s="194"/>
      <c r="AC7" s="194"/>
      <c r="AD7" s="194"/>
      <c r="AE7" s="194"/>
      <c r="AF7" s="194"/>
      <c r="AG7" s="194"/>
      <c r="AH7" s="194"/>
      <c r="AI7" s="194"/>
      <c r="AW7" s="41"/>
      <c r="AX7" s="41"/>
      <c r="AY7" s="41"/>
      <c r="AZ7" s="41"/>
      <c r="BA7" s="532"/>
      <c r="BB7" s="532"/>
      <c r="BC7" s="532"/>
      <c r="BD7" s="532"/>
      <c r="BE7" s="532"/>
      <c r="BF7" s="532"/>
      <c r="BG7" s="532"/>
      <c r="BH7" s="532"/>
      <c r="BI7" s="532"/>
      <c r="BJ7" s="41"/>
      <c r="BK7" s="128"/>
      <c r="BL7" s="41"/>
      <c r="BM7" s="532"/>
      <c r="BN7" s="532"/>
      <c r="BO7" s="532"/>
      <c r="BP7" s="532"/>
      <c r="BQ7" s="532"/>
      <c r="BR7" s="532"/>
    </row>
    <row r="8" spans="1:70" s="1" customFormat="1" ht="2.25" customHeight="1" x14ac:dyDescent="0.15">
      <c r="B8" s="353" t="s">
        <v>29</v>
      </c>
      <c r="C8" s="353"/>
      <c r="D8" s="353"/>
      <c r="E8" s="353"/>
      <c r="F8" s="353"/>
      <c r="G8" s="521"/>
      <c r="H8" s="521"/>
      <c r="I8" s="521"/>
      <c r="J8" s="521"/>
      <c r="K8" s="521"/>
      <c r="L8" s="521"/>
      <c r="M8" s="521"/>
      <c r="N8" s="521"/>
      <c r="O8" s="521"/>
      <c r="P8" s="521"/>
      <c r="Q8" s="521"/>
      <c r="R8" s="521"/>
      <c r="S8" s="521"/>
      <c r="T8" s="521"/>
      <c r="U8" s="521"/>
      <c r="V8" s="521"/>
      <c r="X8" s="194"/>
      <c r="Y8" s="194"/>
      <c r="Z8" s="194"/>
      <c r="AA8" s="194"/>
      <c r="AB8" s="194"/>
      <c r="AC8" s="194"/>
      <c r="AD8" s="194"/>
      <c r="AE8" s="194"/>
      <c r="AF8" s="194"/>
      <c r="AG8" s="194"/>
      <c r="AH8" s="194"/>
      <c r="AI8" s="194"/>
    </row>
    <row r="9" spans="1:70" s="1" customFormat="1" ht="13.5" customHeight="1" x14ac:dyDescent="0.15">
      <c r="B9" s="115"/>
      <c r="G9" s="162"/>
      <c r="H9" s="163"/>
      <c r="I9" s="163"/>
      <c r="J9" s="163"/>
      <c r="K9" s="163"/>
      <c r="L9" s="164"/>
      <c r="M9" s="165"/>
      <c r="N9" s="162"/>
      <c r="O9" s="163"/>
      <c r="P9" s="393" t="s">
        <v>30</v>
      </c>
      <c r="Q9" s="393"/>
      <c r="R9" s="393"/>
      <c r="S9" s="393"/>
      <c r="T9" s="393"/>
      <c r="U9" s="393"/>
      <c r="V9" s="393"/>
      <c r="W9" s="393"/>
      <c r="X9" s="393"/>
      <c r="Y9" s="394"/>
      <c r="Z9" s="395" t="s">
        <v>31</v>
      </c>
      <c r="AA9" s="396"/>
      <c r="AB9" s="396"/>
      <c r="AC9" s="396"/>
      <c r="AD9" s="396"/>
      <c r="AE9" s="396"/>
      <c r="AF9" s="396"/>
      <c r="AG9" s="396"/>
      <c r="AH9" s="396"/>
      <c r="AI9" s="396"/>
    </row>
    <row r="10" spans="1:70" s="1" customFormat="1" ht="15.75" customHeight="1" x14ac:dyDescent="0.15">
      <c r="B10" s="166"/>
      <c r="C10" s="80"/>
      <c r="D10" s="310"/>
      <c r="E10" s="310"/>
      <c r="F10" s="310"/>
      <c r="G10" s="310"/>
      <c r="H10" s="310"/>
      <c r="I10" s="310"/>
      <c r="J10" s="310"/>
      <c r="K10" s="310"/>
      <c r="L10" s="354"/>
      <c r="M10" s="397" t="s">
        <v>32</v>
      </c>
      <c r="N10" s="398"/>
      <c r="O10" s="399"/>
      <c r="P10" s="474" t="s">
        <v>33</v>
      </c>
      <c r="Q10" s="529"/>
      <c r="R10" s="529"/>
      <c r="S10" s="529"/>
      <c r="T10" s="529"/>
      <c r="U10" s="529"/>
      <c r="V10" s="529"/>
      <c r="W10" s="529"/>
      <c r="X10" s="529"/>
      <c r="Y10" s="544"/>
      <c r="Z10" s="528" t="s">
        <v>34</v>
      </c>
      <c r="AA10" s="529"/>
      <c r="AB10" s="529"/>
      <c r="AC10" s="529"/>
      <c r="AD10" s="529"/>
      <c r="AE10" s="529"/>
      <c r="AF10" s="529"/>
      <c r="AG10" s="529"/>
      <c r="AH10" s="529"/>
      <c r="AI10" s="530"/>
    </row>
    <row r="11" spans="1:70" s="1" customFormat="1" ht="16.5" customHeight="1" x14ac:dyDescent="0.15">
      <c r="B11" s="516" t="s">
        <v>35</v>
      </c>
      <c r="C11" s="2" t="s">
        <v>36</v>
      </c>
      <c r="D11" s="15"/>
      <c r="E11" s="80" t="s">
        <v>37</v>
      </c>
      <c r="F11" s="15"/>
      <c r="G11" s="15"/>
      <c r="H11" s="15"/>
      <c r="I11" s="15"/>
      <c r="J11" s="15"/>
      <c r="K11" s="15"/>
      <c r="L11" s="160"/>
      <c r="M11" s="148"/>
      <c r="N11" s="148"/>
      <c r="O11" s="148"/>
      <c r="P11" s="524" t="s">
        <v>38</v>
      </c>
      <c r="Q11" s="525"/>
      <c r="R11" s="526"/>
      <c r="S11" s="533" t="s">
        <v>39</v>
      </c>
      <c r="T11" s="533"/>
      <c r="U11" s="533"/>
      <c r="V11" s="533"/>
      <c r="W11" s="533"/>
      <c r="X11" s="531" t="s">
        <v>40</v>
      </c>
      <c r="Y11" s="534"/>
      <c r="Z11" s="527" t="s">
        <v>38</v>
      </c>
      <c r="AA11" s="525"/>
      <c r="AB11" s="526"/>
      <c r="AC11" s="398" t="s">
        <v>39</v>
      </c>
      <c r="AD11" s="398"/>
      <c r="AE11" s="398"/>
      <c r="AF11" s="398"/>
      <c r="AG11" s="399"/>
      <c r="AH11" s="531" t="s">
        <v>40</v>
      </c>
      <c r="AI11" s="531"/>
    </row>
    <row r="12" spans="1:70" s="1" customFormat="1" ht="17.100000000000001" customHeight="1" x14ac:dyDescent="0.15">
      <c r="B12" s="517"/>
      <c r="C12" s="62" t="s">
        <v>41</v>
      </c>
      <c r="D12" s="60"/>
      <c r="E12" s="453"/>
      <c r="F12" s="454"/>
      <c r="G12" s="454"/>
      <c r="H12" s="454"/>
      <c r="I12" s="454"/>
      <c r="J12" s="454"/>
      <c r="K12" s="454"/>
      <c r="L12" s="454"/>
      <c r="M12" s="454"/>
      <c r="N12" s="454"/>
      <c r="O12" s="455"/>
      <c r="P12" s="506" t="str">
        <f ca="1">IF(ISBLANK($E12),"",LocalIFERROR(SUMIF(INDIRECT("'"&amp;管理データ!$A$2&amp;管理データ!$B$2),"合計（"&amp;$C12&amp;"）",INDIRECT("'"&amp;管理データ!$A$2&amp;管理データ!$E$2)),0))</f>
        <v/>
      </c>
      <c r="Q12" s="507"/>
      <c r="R12" s="483"/>
      <c r="S12" s="505" t="str">
        <f ca="1">IF(ISBLANK($E12),"",LocalIFERROR(SUMIF(INDIRECT("'"&amp;管理データ!$A$2&amp;管理データ!$B$2),"合計（"&amp;$C12&amp;"）",INDIRECT("'"&amp;管理データ!$A$2&amp;管理データ!$C$2)),0))</f>
        <v/>
      </c>
      <c r="T12" s="505"/>
      <c r="U12" s="505"/>
      <c r="V12" s="505"/>
      <c r="W12" s="505"/>
      <c r="X12" s="503" t="str">
        <f t="shared" ref="X12:X46" ca="1" si="0">IF(P12="","",IF(P12=0,"-",P12/S12))</f>
        <v/>
      </c>
      <c r="Y12" s="545"/>
      <c r="Z12" s="512" t="str">
        <f ca="1">IF(ISBLANK($E12),"",LocalIFERROR(SUMIF(INDIRECT("'"&amp;管理データ!$A$2&amp;管理データ!$B$2),"合計（"&amp;$C12&amp;"）",INDIRECT("'"&amp;管理データ!$A$2&amp;管理データ!$F$2)),0))</f>
        <v/>
      </c>
      <c r="AA12" s="507"/>
      <c r="AB12" s="483"/>
      <c r="AC12" s="508" t="str">
        <f ca="1">IF(ISBLANK($E12),"",LocalIFERROR(SUMIF(INDIRECT("'"&amp;管理データ!$A$2&amp;管理データ!$B$2),"合計（"&amp;$C12&amp;"）",INDIRECT("'"&amp;管理データ!$A$2&amp;管理データ!$D$2)),0))</f>
        <v/>
      </c>
      <c r="AD12" s="508"/>
      <c r="AE12" s="508"/>
      <c r="AF12" s="508"/>
      <c r="AG12" s="509"/>
      <c r="AH12" s="500" t="str">
        <f t="shared" ref="AH12:AH46" ca="1" si="1">IF(Z12="","",IF(Z12=0,"-",Z12/AC12))</f>
        <v/>
      </c>
      <c r="AI12" s="500"/>
    </row>
    <row r="13" spans="1:70" s="1" customFormat="1" ht="17.100000000000001" customHeight="1" x14ac:dyDescent="0.15">
      <c r="B13" s="517"/>
      <c r="C13" s="63" t="s">
        <v>42</v>
      </c>
      <c r="D13" s="61"/>
      <c r="E13" s="427"/>
      <c r="F13" s="428"/>
      <c r="G13" s="428"/>
      <c r="H13" s="428"/>
      <c r="I13" s="428"/>
      <c r="J13" s="428"/>
      <c r="K13" s="428"/>
      <c r="L13" s="428"/>
      <c r="M13" s="428"/>
      <c r="N13" s="428"/>
      <c r="O13" s="428"/>
      <c r="P13" s="413" t="str">
        <f ca="1">IF(ISBLANK($E13),"",LocalIFERROR(SUMIF(INDIRECT("'"&amp;管理データ!$A$2&amp;管理データ!$B$2),"合計（"&amp;$C13&amp;"）",INDIRECT("'"&amp;管理データ!$A$2&amp;管理データ!$E$2)),0))</f>
        <v/>
      </c>
      <c r="Q13" s="414"/>
      <c r="R13" s="415"/>
      <c r="S13" s="420" t="str">
        <f ca="1">IF(ISBLANK($E13),"",LocalIFERROR(SUMIF(INDIRECT("'"&amp;管理データ!$A$2&amp;管理データ!$B$2),"合計（"&amp;$C13&amp;"）",INDIRECT("'"&amp;管理データ!$A$2&amp;管理データ!$C$2)),0))</f>
        <v/>
      </c>
      <c r="T13" s="420"/>
      <c r="U13" s="420"/>
      <c r="V13" s="420"/>
      <c r="W13" s="420"/>
      <c r="X13" s="423" t="str">
        <f t="shared" ca="1" si="0"/>
        <v/>
      </c>
      <c r="Y13" s="501"/>
      <c r="Z13" s="490" t="str">
        <f ca="1">IF(ISBLANK($E13),"",LocalIFERROR(SUMIF(INDIRECT("'"&amp;管理データ!$A$2&amp;管理データ!$B$2),"合計（"&amp;$C13&amp;"）",INDIRECT("'"&amp;管理データ!$A$2&amp;管理データ!$F$2)),0))</f>
        <v/>
      </c>
      <c r="AA13" s="414"/>
      <c r="AB13" s="415"/>
      <c r="AC13" s="451" t="str">
        <f ca="1">IF(ISBLANK($E13),"",LocalIFERROR(SUMIF(INDIRECT("'"&amp;管理データ!$A$2&amp;管理データ!$B$2),"合計（"&amp;$C13&amp;"）",INDIRECT("'"&amp;管理データ!$A$2&amp;管理データ!$D$2)),0))</f>
        <v/>
      </c>
      <c r="AD13" s="451"/>
      <c r="AE13" s="451"/>
      <c r="AF13" s="451"/>
      <c r="AG13" s="452"/>
      <c r="AH13" s="489" t="str">
        <f t="shared" ca="1" si="1"/>
        <v/>
      </c>
      <c r="AI13" s="489"/>
    </row>
    <row r="14" spans="1:70" s="1" customFormat="1" ht="17.100000000000001" customHeight="1" x14ac:dyDescent="0.15">
      <c r="B14" s="517"/>
      <c r="C14" s="63" t="s">
        <v>43</v>
      </c>
      <c r="D14" s="61"/>
      <c r="E14" s="427"/>
      <c r="F14" s="428"/>
      <c r="G14" s="428"/>
      <c r="H14" s="428"/>
      <c r="I14" s="428"/>
      <c r="J14" s="428"/>
      <c r="K14" s="428"/>
      <c r="L14" s="428"/>
      <c r="M14" s="428"/>
      <c r="N14" s="428"/>
      <c r="O14" s="428"/>
      <c r="P14" s="413" t="str">
        <f ca="1">IF(ISBLANK($E14),"",LocalIFERROR(SUMIF(INDIRECT("'"&amp;管理データ!$A$2&amp;管理データ!$B$2),"合計（"&amp;$C14&amp;"）",INDIRECT("'"&amp;管理データ!$A$2&amp;管理データ!$E$2)),0))</f>
        <v/>
      </c>
      <c r="Q14" s="414"/>
      <c r="R14" s="415"/>
      <c r="S14" s="420" t="str">
        <f ca="1">IF(ISBLANK($E14),"",LocalIFERROR(SUMIF(INDIRECT("'"&amp;管理データ!$A$2&amp;管理データ!$B$2),"合計（"&amp;$C14&amp;"）",INDIRECT("'"&amp;管理データ!$A$2&amp;管理データ!$C$2)),0))</f>
        <v/>
      </c>
      <c r="T14" s="420"/>
      <c r="U14" s="420"/>
      <c r="V14" s="420"/>
      <c r="W14" s="420"/>
      <c r="X14" s="423" t="str">
        <f t="shared" ca="1" si="0"/>
        <v/>
      </c>
      <c r="Y14" s="501"/>
      <c r="Z14" s="490" t="str">
        <f ca="1">IF(ISBLANK($E14),"",LocalIFERROR(SUMIF(INDIRECT("'"&amp;管理データ!$A$2&amp;管理データ!$B$2),"合計（"&amp;$C14&amp;"）",INDIRECT("'"&amp;管理データ!$A$2&amp;管理データ!$F$2)),0))</f>
        <v/>
      </c>
      <c r="AA14" s="414"/>
      <c r="AB14" s="415"/>
      <c r="AC14" s="451" t="str">
        <f ca="1">IF(ISBLANK($E14),"",LocalIFERROR(SUMIF(INDIRECT("'"&amp;管理データ!$A$2&amp;管理データ!$B$2),"合計（"&amp;$C14&amp;"）",INDIRECT("'"&amp;管理データ!$A$2&amp;管理データ!$D$2)),0))</f>
        <v/>
      </c>
      <c r="AD14" s="451"/>
      <c r="AE14" s="451"/>
      <c r="AF14" s="451"/>
      <c r="AG14" s="452"/>
      <c r="AH14" s="489" t="str">
        <f t="shared" ca="1" si="1"/>
        <v/>
      </c>
      <c r="AI14" s="489"/>
    </row>
    <row r="15" spans="1:70" s="1" customFormat="1" ht="17.100000000000001" customHeight="1" x14ac:dyDescent="0.15">
      <c r="B15" s="517"/>
      <c r="C15" s="63" t="s">
        <v>44</v>
      </c>
      <c r="D15" s="25"/>
      <c r="E15" s="427"/>
      <c r="F15" s="428"/>
      <c r="G15" s="428"/>
      <c r="H15" s="428"/>
      <c r="I15" s="428"/>
      <c r="J15" s="428"/>
      <c r="K15" s="428"/>
      <c r="L15" s="428"/>
      <c r="M15" s="428"/>
      <c r="N15" s="428"/>
      <c r="O15" s="428"/>
      <c r="P15" s="413" t="str">
        <f ca="1">IF(ISBLANK($E15),"",LocalIFERROR(SUMIF(INDIRECT("'"&amp;管理データ!$A$2&amp;管理データ!$B$2),"合計（"&amp;$C15&amp;"）",INDIRECT("'"&amp;管理データ!$A$2&amp;管理データ!$E$2)),0))</f>
        <v/>
      </c>
      <c r="Q15" s="414"/>
      <c r="R15" s="415"/>
      <c r="S15" s="420" t="str">
        <f ca="1">IF(ISBLANK($E15),"",LocalIFERROR(SUMIF(INDIRECT("'"&amp;管理データ!$A$2&amp;管理データ!$B$2),"合計（"&amp;$C15&amp;"）",INDIRECT("'"&amp;管理データ!$A$2&amp;管理データ!$C$2)),0))</f>
        <v/>
      </c>
      <c r="T15" s="420"/>
      <c r="U15" s="420"/>
      <c r="V15" s="420"/>
      <c r="W15" s="420"/>
      <c r="X15" s="423" t="str">
        <f t="shared" ca="1" si="0"/>
        <v/>
      </c>
      <c r="Y15" s="501"/>
      <c r="Z15" s="490" t="str">
        <f ca="1">IF(ISBLANK($E15),"",LocalIFERROR(SUMIF(INDIRECT("'"&amp;管理データ!$A$2&amp;管理データ!$B$2),"合計（"&amp;$C15&amp;"）",INDIRECT("'"&amp;管理データ!$A$2&amp;管理データ!$F$2)),0))</f>
        <v/>
      </c>
      <c r="AA15" s="414"/>
      <c r="AB15" s="415"/>
      <c r="AC15" s="451" t="str">
        <f ca="1">IF(ISBLANK($E15),"",LocalIFERROR(SUMIF(INDIRECT("'"&amp;管理データ!$A$2&amp;管理データ!$B$2),"合計（"&amp;$C15&amp;"）",INDIRECT("'"&amp;管理データ!$A$2&amp;管理データ!$D$2)),0))</f>
        <v/>
      </c>
      <c r="AD15" s="451"/>
      <c r="AE15" s="451"/>
      <c r="AF15" s="451"/>
      <c r="AG15" s="452"/>
      <c r="AH15" s="489" t="str">
        <f t="shared" ca="1" si="1"/>
        <v/>
      </c>
      <c r="AI15" s="489"/>
    </row>
    <row r="16" spans="1:70" s="1" customFormat="1" ht="17.100000000000001" customHeight="1" x14ac:dyDescent="0.15">
      <c r="B16" s="517"/>
      <c r="C16" s="63" t="s">
        <v>45</v>
      </c>
      <c r="D16" s="25"/>
      <c r="E16" s="427"/>
      <c r="F16" s="428"/>
      <c r="G16" s="428"/>
      <c r="H16" s="428"/>
      <c r="I16" s="428"/>
      <c r="J16" s="428"/>
      <c r="K16" s="428"/>
      <c r="L16" s="428"/>
      <c r="M16" s="428"/>
      <c r="N16" s="428"/>
      <c r="O16" s="428"/>
      <c r="P16" s="413" t="str">
        <f ca="1">IF(ISBLANK($E16),"",LocalIFERROR(SUMIF(INDIRECT("'"&amp;管理データ!$A$2&amp;管理データ!$B$2),"合計（"&amp;$C16&amp;"）",INDIRECT("'"&amp;管理データ!$A$2&amp;管理データ!$E$2)),0))</f>
        <v/>
      </c>
      <c r="Q16" s="414"/>
      <c r="R16" s="415"/>
      <c r="S16" s="420" t="str">
        <f ca="1">IF(ISBLANK($E16),"",LocalIFERROR(SUMIF(INDIRECT("'"&amp;管理データ!$A$2&amp;管理データ!$B$2),"合計（"&amp;$C16&amp;"）",INDIRECT("'"&amp;管理データ!$A$2&amp;管理データ!$C$2)),0))</f>
        <v/>
      </c>
      <c r="T16" s="420"/>
      <c r="U16" s="420"/>
      <c r="V16" s="420"/>
      <c r="W16" s="420"/>
      <c r="X16" s="423" t="str">
        <f t="shared" ca="1" si="0"/>
        <v/>
      </c>
      <c r="Y16" s="501"/>
      <c r="Z16" s="490" t="str">
        <f ca="1">IF(ISBLANK($E16),"",LocalIFERROR(SUMIF(INDIRECT("'"&amp;管理データ!$A$2&amp;管理データ!$B$2),"合計（"&amp;$C16&amp;"）",INDIRECT("'"&amp;管理データ!$A$2&amp;管理データ!$F$2)),0))</f>
        <v/>
      </c>
      <c r="AA16" s="414"/>
      <c r="AB16" s="415"/>
      <c r="AC16" s="451" t="str">
        <f ca="1">IF(ISBLANK($E16),"",LocalIFERROR(SUMIF(INDIRECT("'"&amp;管理データ!$A$2&amp;管理データ!$B$2),"合計（"&amp;$C16&amp;"）",INDIRECT("'"&amp;管理データ!$A$2&amp;管理データ!$D$2)),0))</f>
        <v/>
      </c>
      <c r="AD16" s="451"/>
      <c r="AE16" s="451"/>
      <c r="AF16" s="451"/>
      <c r="AG16" s="452"/>
      <c r="AH16" s="489" t="str">
        <f t="shared" ca="1" si="1"/>
        <v/>
      </c>
      <c r="AI16" s="489"/>
    </row>
    <row r="17" spans="2:35" s="1" customFormat="1" ht="17.100000000000001" customHeight="1" x14ac:dyDescent="0.15">
      <c r="B17" s="517"/>
      <c r="C17" s="63" t="s">
        <v>46</v>
      </c>
      <c r="D17" s="25"/>
      <c r="E17" s="427"/>
      <c r="F17" s="428"/>
      <c r="G17" s="428"/>
      <c r="H17" s="428"/>
      <c r="I17" s="428"/>
      <c r="J17" s="428"/>
      <c r="K17" s="428"/>
      <c r="L17" s="428"/>
      <c r="M17" s="428"/>
      <c r="N17" s="428"/>
      <c r="O17" s="428"/>
      <c r="P17" s="413" t="str">
        <f ca="1">IF(ISBLANK($E17),"",LocalIFERROR(SUMIF(INDIRECT("'"&amp;管理データ!$A$2&amp;管理データ!$B$2),"合計（"&amp;$C17&amp;"）",INDIRECT("'"&amp;管理データ!$A$2&amp;管理データ!$E$2)),0))</f>
        <v/>
      </c>
      <c r="Q17" s="414"/>
      <c r="R17" s="415"/>
      <c r="S17" s="420" t="str">
        <f ca="1">IF(ISBLANK($E17),"",LocalIFERROR(SUMIF(INDIRECT("'"&amp;管理データ!$A$2&amp;管理データ!$B$2),"合計（"&amp;$C17&amp;"）",INDIRECT("'"&amp;管理データ!$A$2&amp;管理データ!$C$2)),0))</f>
        <v/>
      </c>
      <c r="T17" s="420"/>
      <c r="U17" s="420"/>
      <c r="V17" s="420"/>
      <c r="W17" s="420"/>
      <c r="X17" s="423" t="str">
        <f t="shared" ca="1" si="0"/>
        <v/>
      </c>
      <c r="Y17" s="424"/>
      <c r="Z17" s="490" t="str">
        <f ca="1">IF(ISBLANK($E17),"",LocalIFERROR(SUMIF(INDIRECT("'"&amp;管理データ!$A$2&amp;管理データ!$B$2),"合計（"&amp;$C17&amp;"）",INDIRECT("'"&amp;管理データ!$A$2&amp;管理データ!$F$2)),0))</f>
        <v/>
      </c>
      <c r="AA17" s="414"/>
      <c r="AB17" s="415"/>
      <c r="AC17" s="451" t="str">
        <f ca="1">IF(ISBLANK($E17),"",LocalIFERROR(SUMIF(INDIRECT("'"&amp;管理データ!$A$2&amp;管理データ!$B$2),"合計（"&amp;$C17&amp;"）",INDIRECT("'"&amp;管理データ!$A$2&amp;管理データ!$D$2)),0))</f>
        <v/>
      </c>
      <c r="AD17" s="451"/>
      <c r="AE17" s="451"/>
      <c r="AF17" s="451"/>
      <c r="AG17" s="452"/>
      <c r="AH17" s="489" t="str">
        <f t="shared" ca="1" si="1"/>
        <v/>
      </c>
      <c r="AI17" s="489"/>
    </row>
    <row r="18" spans="2:35" s="1" customFormat="1" ht="17.100000000000001" customHeight="1" x14ac:dyDescent="0.15">
      <c r="B18" s="517"/>
      <c r="C18" s="63" t="s">
        <v>47</v>
      </c>
      <c r="D18" s="25"/>
      <c r="E18" s="427"/>
      <c r="F18" s="428"/>
      <c r="G18" s="428"/>
      <c r="H18" s="428"/>
      <c r="I18" s="428"/>
      <c r="J18" s="428"/>
      <c r="K18" s="428"/>
      <c r="L18" s="428"/>
      <c r="M18" s="428"/>
      <c r="N18" s="428"/>
      <c r="O18" s="428"/>
      <c r="P18" s="416" t="str">
        <f ca="1">IF(ISBLANK($E18),"",LocalIFERROR(SUMIF(INDIRECT("'"&amp;管理データ!$A$2&amp;管理データ!$B$2),"合計（"&amp;$C18&amp;"）",INDIRECT("'"&amp;管理データ!$A$2&amp;管理データ!$E$2)),0))</f>
        <v/>
      </c>
      <c r="Q18" s="417"/>
      <c r="R18" s="418"/>
      <c r="S18" s="421" t="str">
        <f ca="1">IF(ISBLANK($E18),"",LocalIFERROR(SUMIF(INDIRECT("'"&amp;管理データ!$A$2&amp;管理データ!$B$2),"合計（"&amp;$C18&amp;"）",INDIRECT("'"&amp;管理データ!$A$2&amp;管理データ!$C$2)),0))</f>
        <v/>
      </c>
      <c r="T18" s="421"/>
      <c r="U18" s="421"/>
      <c r="V18" s="421"/>
      <c r="W18" s="421"/>
      <c r="X18" s="442" t="str">
        <f t="shared" ca="1" si="0"/>
        <v/>
      </c>
      <c r="Y18" s="443"/>
      <c r="Z18" s="419" t="str">
        <f ca="1">IF(ISBLANK($E18),"",LocalIFERROR(SUMIF(INDIRECT("'"&amp;管理データ!$A$2&amp;管理データ!$B$2),"合計（"&amp;$C18&amp;"）",INDIRECT("'"&amp;管理データ!$A$2&amp;管理データ!$F$2)),0))</f>
        <v/>
      </c>
      <c r="AA18" s="417"/>
      <c r="AB18" s="418"/>
      <c r="AC18" s="449" t="str">
        <f ca="1">IF(ISBLANK($E18),"",LocalIFERROR(SUMIF(INDIRECT("'"&amp;管理データ!$A$2&amp;管理データ!$B$2),"合計（"&amp;$C18&amp;"）",INDIRECT("'"&amp;管理データ!$A$2&amp;管理データ!$D$2)),0))</f>
        <v/>
      </c>
      <c r="AD18" s="449"/>
      <c r="AE18" s="449"/>
      <c r="AF18" s="449"/>
      <c r="AG18" s="450"/>
      <c r="AH18" s="484" t="str">
        <f t="shared" ca="1" si="1"/>
        <v/>
      </c>
      <c r="AI18" s="484"/>
    </row>
    <row r="19" spans="2:35" s="1" customFormat="1" ht="21" customHeight="1" x14ac:dyDescent="0.15">
      <c r="B19" s="517"/>
      <c r="C19" s="59" t="s">
        <v>48</v>
      </c>
      <c r="D19" s="15"/>
      <c r="E19" s="15"/>
      <c r="F19" s="15"/>
      <c r="G19" s="15"/>
      <c r="H19" s="15"/>
      <c r="I19" s="15"/>
      <c r="J19" s="15"/>
      <c r="K19" s="15"/>
      <c r="L19" s="147"/>
      <c r="M19" s="147"/>
      <c r="N19" s="147"/>
      <c r="O19" s="319"/>
      <c r="P19" s="400">
        <f ca="1">SUM(P12:P18)</f>
        <v>0</v>
      </c>
      <c r="Q19" s="401"/>
      <c r="R19" s="402"/>
      <c r="S19" s="523">
        <f ca="1">SUM(S12:S18)</f>
        <v>0</v>
      </c>
      <c r="T19" s="523"/>
      <c r="U19" s="523"/>
      <c r="V19" s="523"/>
      <c r="W19" s="523"/>
      <c r="X19" s="435" t="str">
        <f t="shared" ca="1" si="0"/>
        <v>-</v>
      </c>
      <c r="Y19" s="502"/>
      <c r="Z19" s="406">
        <f ca="1">SUM(Z12:Z18)</f>
        <v>0</v>
      </c>
      <c r="AA19" s="401"/>
      <c r="AB19" s="402"/>
      <c r="AC19" s="440">
        <f ca="1">SUM(AC12:AC18)</f>
        <v>0</v>
      </c>
      <c r="AD19" s="440"/>
      <c r="AE19" s="440"/>
      <c r="AF19" s="440"/>
      <c r="AG19" s="441"/>
      <c r="AH19" s="499" t="str">
        <f t="shared" ca="1" si="1"/>
        <v>-</v>
      </c>
      <c r="AI19" s="499"/>
    </row>
    <row r="20" spans="2:35" s="1" customFormat="1" ht="16.5" customHeight="1" x14ac:dyDescent="0.15">
      <c r="B20" s="518" t="s">
        <v>49</v>
      </c>
      <c r="C20" s="318" t="s">
        <v>50</v>
      </c>
      <c r="D20" s="313"/>
      <c r="E20" s="425" t="str">
        <f>IF(ISBLANK($E$12),"",$E$12)</f>
        <v/>
      </c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506" t="str">
        <f ca="1">IF(LEN($E20)=0,"",LocalIFERROR(SUMIF(INDIRECT("'"&amp;管理データ!$A$3&amp;管理データ!$B$3),"合計（"&amp;$C20&amp;"）",INDIRECT("'"&amp;管理データ!$A$3&amp;管理データ!$E$3)),0))</f>
        <v/>
      </c>
      <c r="Q20" s="507"/>
      <c r="R20" s="483"/>
      <c r="S20" s="505" t="str">
        <f ca="1">IF(LEN($E20)=0,"",LocalIFERROR(SUMIF(INDIRECT("'"&amp;管理データ!$A$3&amp;管理データ!$B$3),"合計（"&amp;$C20&amp;"）",INDIRECT("'"&amp;管理データ!$A$3&amp;管理データ!$C$3)),0))</f>
        <v/>
      </c>
      <c r="T20" s="505"/>
      <c r="U20" s="505"/>
      <c r="V20" s="505"/>
      <c r="W20" s="505"/>
      <c r="X20" s="503" t="str">
        <f t="shared" ca="1" si="0"/>
        <v/>
      </c>
      <c r="Y20" s="504"/>
      <c r="Z20" s="512" t="str">
        <f ca="1">IF(LEN($E20)=0,"",LocalIFERROR(SUMIF(INDIRECT("'"&amp;管理データ!$A$3&amp;管理データ!$B$3),"合計（"&amp;$C20&amp;"）",INDIRECT("'"&amp;管理データ!$A$3&amp;管理データ!$F$3)),0))</f>
        <v/>
      </c>
      <c r="AA20" s="507"/>
      <c r="AB20" s="483"/>
      <c r="AC20" s="508" t="str">
        <f ca="1">IF(LEN($E20)=0,"",LocalIFERROR(SUMIF(INDIRECT("'"&amp;管理データ!$A$3&amp;管理データ!$B$3),"合計（"&amp;$C20&amp;"）",INDIRECT("'"&amp;管理データ!$A$3&amp;管理データ!$D$3)),0))</f>
        <v/>
      </c>
      <c r="AD20" s="508"/>
      <c r="AE20" s="508"/>
      <c r="AF20" s="508"/>
      <c r="AG20" s="509"/>
      <c r="AH20" s="500" t="str">
        <f t="shared" ca="1" si="1"/>
        <v/>
      </c>
      <c r="AI20" s="500"/>
    </row>
    <row r="21" spans="2:35" s="1" customFormat="1" ht="16.5" customHeight="1" x14ac:dyDescent="0.15">
      <c r="B21" s="519"/>
      <c r="C21" s="63" t="s">
        <v>51</v>
      </c>
      <c r="D21" s="25"/>
      <c r="E21" s="427" t="str">
        <f>IF(ISBLANK($E$13),"",$E$13)</f>
        <v/>
      </c>
      <c r="F21" s="428"/>
      <c r="G21" s="428"/>
      <c r="H21" s="428"/>
      <c r="I21" s="428"/>
      <c r="J21" s="428"/>
      <c r="K21" s="428"/>
      <c r="L21" s="428"/>
      <c r="M21" s="428"/>
      <c r="N21" s="428"/>
      <c r="O21" s="428"/>
      <c r="P21" s="413" t="str">
        <f ca="1">IF(LEN($E21)=0,"",LocalIFERROR(SUMIF(INDIRECT("'"&amp;管理データ!$A$3&amp;管理データ!$B$3),"合計（"&amp;$C21&amp;"）",INDIRECT("'"&amp;管理データ!$A$3&amp;管理データ!$E$3)),0))</f>
        <v/>
      </c>
      <c r="Q21" s="414"/>
      <c r="R21" s="415"/>
      <c r="S21" s="420" t="str">
        <f ca="1">IF(LEN($E21)=0,"",LocalIFERROR(SUMIF(INDIRECT("'"&amp;管理データ!$A$3&amp;管理データ!$B$3),"合計（"&amp;$C21&amp;"）",INDIRECT("'"&amp;管理データ!$A$3&amp;管理データ!$C$3)),0))</f>
        <v/>
      </c>
      <c r="T21" s="420"/>
      <c r="U21" s="420"/>
      <c r="V21" s="420"/>
      <c r="W21" s="420"/>
      <c r="X21" s="423" t="str">
        <f t="shared" ca="1" si="0"/>
        <v/>
      </c>
      <c r="Y21" s="424"/>
      <c r="Z21" s="490" t="str">
        <f ca="1">IF(LEN($E21)=0,"",LocalIFERROR(SUMIF(INDIRECT("'"&amp;管理データ!$A$3&amp;管理データ!$B$3),"合計（"&amp;$C21&amp;"）",INDIRECT("'"&amp;管理データ!$A$3&amp;管理データ!$F$3)),0))</f>
        <v/>
      </c>
      <c r="AA21" s="414"/>
      <c r="AB21" s="415"/>
      <c r="AC21" s="451" t="str">
        <f ca="1">IF(LEN($E21)=0,"",LocalIFERROR(SUMIF(INDIRECT("'"&amp;管理データ!$A$3&amp;管理データ!$B$3),"合計（"&amp;$C21&amp;"）",INDIRECT("'"&amp;管理データ!$A$3&amp;管理データ!$D$3)),0))</f>
        <v/>
      </c>
      <c r="AD21" s="451"/>
      <c r="AE21" s="451"/>
      <c r="AF21" s="451"/>
      <c r="AG21" s="452"/>
      <c r="AH21" s="489" t="str">
        <f t="shared" ca="1" si="1"/>
        <v/>
      </c>
      <c r="AI21" s="489"/>
    </row>
    <row r="22" spans="2:35" s="1" customFormat="1" ht="16.5" customHeight="1" x14ac:dyDescent="0.15">
      <c r="B22" s="519"/>
      <c r="C22" s="63" t="s">
        <v>52</v>
      </c>
      <c r="D22" s="25"/>
      <c r="E22" s="427" t="str">
        <f>IF(ISBLANK($E$14),"",$E$14)</f>
        <v/>
      </c>
      <c r="F22" s="428"/>
      <c r="G22" s="428"/>
      <c r="H22" s="428"/>
      <c r="I22" s="428"/>
      <c r="J22" s="428"/>
      <c r="K22" s="428"/>
      <c r="L22" s="428"/>
      <c r="M22" s="428"/>
      <c r="N22" s="428"/>
      <c r="O22" s="428"/>
      <c r="P22" s="413" t="str">
        <f ca="1">IF(LEN($E22)=0,"",LocalIFERROR(SUMIF(INDIRECT("'"&amp;管理データ!$A$3&amp;管理データ!$B$3),"合計（"&amp;$C22&amp;"）",INDIRECT("'"&amp;管理データ!$A$3&amp;管理データ!$E$3)),0))</f>
        <v/>
      </c>
      <c r="Q22" s="414"/>
      <c r="R22" s="415"/>
      <c r="S22" s="420" t="str">
        <f ca="1">IF(LEN($E22)=0,"",LocalIFERROR(SUMIF(INDIRECT("'"&amp;管理データ!$A$3&amp;管理データ!$B$3),"合計（"&amp;$C22&amp;"）",INDIRECT("'"&amp;管理データ!$A$3&amp;管理データ!$C$3)),0))</f>
        <v/>
      </c>
      <c r="T22" s="420"/>
      <c r="U22" s="420"/>
      <c r="V22" s="420"/>
      <c r="W22" s="420"/>
      <c r="X22" s="423" t="str">
        <f t="shared" ca="1" si="0"/>
        <v/>
      </c>
      <c r="Y22" s="424"/>
      <c r="Z22" s="490" t="str">
        <f ca="1">IF(LEN($E22)=0,"",LocalIFERROR(SUMIF(INDIRECT("'"&amp;管理データ!$A$3&amp;管理データ!$B$3),"合計（"&amp;$C22&amp;"）",INDIRECT("'"&amp;管理データ!$A$3&amp;管理データ!$F$3)),0))</f>
        <v/>
      </c>
      <c r="AA22" s="414"/>
      <c r="AB22" s="415"/>
      <c r="AC22" s="451" t="str">
        <f ca="1">IF(LEN($E22)=0,"",LocalIFERROR(SUMIF(INDIRECT("'"&amp;管理データ!$A$3&amp;管理データ!$B$3),"合計（"&amp;$C22&amp;"）",INDIRECT("'"&amp;管理データ!$A$3&amp;管理データ!$D$3)),0))</f>
        <v/>
      </c>
      <c r="AD22" s="451"/>
      <c r="AE22" s="451"/>
      <c r="AF22" s="451"/>
      <c r="AG22" s="452"/>
      <c r="AH22" s="489" t="str">
        <f t="shared" ca="1" si="1"/>
        <v/>
      </c>
      <c r="AI22" s="489"/>
    </row>
    <row r="23" spans="2:35" s="1" customFormat="1" ht="17.100000000000001" customHeight="1" x14ac:dyDescent="0.15">
      <c r="B23" s="519"/>
      <c r="C23" s="63" t="s">
        <v>53</v>
      </c>
      <c r="D23" s="25"/>
      <c r="E23" s="427" t="str">
        <f>IF(ISBLANK($E$15),"",$E$15)</f>
        <v/>
      </c>
      <c r="F23" s="428"/>
      <c r="G23" s="428"/>
      <c r="H23" s="428"/>
      <c r="I23" s="428"/>
      <c r="J23" s="428"/>
      <c r="K23" s="428"/>
      <c r="L23" s="428"/>
      <c r="M23" s="428"/>
      <c r="N23" s="428"/>
      <c r="O23" s="428"/>
      <c r="P23" s="413" t="str">
        <f ca="1">IF(LEN($E23)=0,"",LocalIFERROR(SUMIF(INDIRECT("'"&amp;管理データ!$A$3&amp;管理データ!$B$3),"合計（"&amp;$C23&amp;"）",INDIRECT("'"&amp;管理データ!$A$3&amp;管理データ!$E$3)),0))</f>
        <v/>
      </c>
      <c r="Q23" s="414"/>
      <c r="R23" s="415"/>
      <c r="S23" s="420" t="str">
        <f ca="1">IF(LEN($E23)=0,"",LocalIFERROR(SUMIF(INDIRECT("'"&amp;管理データ!$A$3&amp;管理データ!$B$3),"合計（"&amp;$C23&amp;"）",INDIRECT("'"&amp;管理データ!$A$3&amp;管理データ!$C$3)),0))</f>
        <v/>
      </c>
      <c r="T23" s="420"/>
      <c r="U23" s="420"/>
      <c r="V23" s="420"/>
      <c r="W23" s="420"/>
      <c r="X23" s="423" t="str">
        <f t="shared" ca="1" si="0"/>
        <v/>
      </c>
      <c r="Y23" s="424"/>
      <c r="Z23" s="490" t="str">
        <f ca="1">IF(LEN($E23)=0,"",LocalIFERROR(SUMIF(INDIRECT("'"&amp;管理データ!$A$3&amp;管理データ!$B$3),"合計（"&amp;$C23&amp;"）",INDIRECT("'"&amp;管理データ!$A$3&amp;管理データ!$F$3)),0))</f>
        <v/>
      </c>
      <c r="AA23" s="414"/>
      <c r="AB23" s="415"/>
      <c r="AC23" s="451" t="str">
        <f ca="1">IF(LEN($E23)=0,"",LocalIFERROR(SUMIF(INDIRECT("'"&amp;管理データ!$A$3&amp;管理データ!$B$3),"合計（"&amp;$C23&amp;"）",INDIRECT("'"&amp;管理データ!$A$3&amp;管理データ!$D$3)),0))</f>
        <v/>
      </c>
      <c r="AD23" s="451"/>
      <c r="AE23" s="451"/>
      <c r="AF23" s="451"/>
      <c r="AG23" s="452"/>
      <c r="AH23" s="489" t="str">
        <f t="shared" ca="1" si="1"/>
        <v/>
      </c>
      <c r="AI23" s="489"/>
    </row>
    <row r="24" spans="2:35" s="1" customFormat="1" ht="17.100000000000001" customHeight="1" x14ac:dyDescent="0.15">
      <c r="B24" s="519"/>
      <c r="C24" s="63" t="s">
        <v>54</v>
      </c>
      <c r="D24" s="25"/>
      <c r="E24" s="427" t="str">
        <f>IF(ISBLANK($E$16),"",$E$16)</f>
        <v/>
      </c>
      <c r="F24" s="428"/>
      <c r="G24" s="428"/>
      <c r="H24" s="428"/>
      <c r="I24" s="428"/>
      <c r="J24" s="428"/>
      <c r="K24" s="428"/>
      <c r="L24" s="428"/>
      <c r="M24" s="428"/>
      <c r="N24" s="428"/>
      <c r="O24" s="428"/>
      <c r="P24" s="413" t="str">
        <f ca="1">IF(LEN($E24)=0,"",LocalIFERROR(SUMIF(INDIRECT("'"&amp;管理データ!$A$3&amp;管理データ!$B$3),"合計（"&amp;$C24&amp;"）",INDIRECT("'"&amp;管理データ!$A$3&amp;管理データ!$E$3)),0))</f>
        <v/>
      </c>
      <c r="Q24" s="414"/>
      <c r="R24" s="415"/>
      <c r="S24" s="420" t="str">
        <f ca="1">IF(LEN($E24)=0,"",LocalIFERROR(SUMIF(INDIRECT("'"&amp;管理データ!$A$3&amp;管理データ!$B$3),"合計（"&amp;$C24&amp;"）",INDIRECT("'"&amp;管理データ!$A$3&amp;管理データ!$C$3)),0))</f>
        <v/>
      </c>
      <c r="T24" s="420"/>
      <c r="U24" s="420"/>
      <c r="V24" s="420"/>
      <c r="W24" s="420"/>
      <c r="X24" s="423" t="str">
        <f t="shared" ca="1" si="0"/>
        <v/>
      </c>
      <c r="Y24" s="424"/>
      <c r="Z24" s="490" t="str">
        <f ca="1">IF(LEN($E24)=0,"",LocalIFERROR(SUMIF(INDIRECT("'"&amp;管理データ!$A$3&amp;管理データ!$B$3),"合計（"&amp;$C24&amp;"）",INDIRECT("'"&amp;管理データ!$A$3&amp;管理データ!$F$3)),0))</f>
        <v/>
      </c>
      <c r="AA24" s="414"/>
      <c r="AB24" s="415"/>
      <c r="AC24" s="451" t="str">
        <f ca="1">IF(LEN($E24)=0,"",LocalIFERROR(SUMIF(INDIRECT("'"&amp;管理データ!$A$3&amp;管理データ!$B$3),"合計（"&amp;$C24&amp;"）",INDIRECT("'"&amp;管理データ!$A$3&amp;管理データ!$D$3)),0))</f>
        <v/>
      </c>
      <c r="AD24" s="451"/>
      <c r="AE24" s="451"/>
      <c r="AF24" s="451"/>
      <c r="AG24" s="452"/>
      <c r="AH24" s="489" t="str">
        <f t="shared" ca="1" si="1"/>
        <v/>
      </c>
      <c r="AI24" s="489"/>
    </row>
    <row r="25" spans="2:35" s="1" customFormat="1" ht="17.100000000000001" customHeight="1" x14ac:dyDescent="0.15">
      <c r="B25" s="519"/>
      <c r="C25" s="63" t="s">
        <v>55</v>
      </c>
      <c r="D25" s="25"/>
      <c r="E25" s="427" t="str">
        <f>IF(ISBLANK($E$17),"",$E$17)</f>
        <v/>
      </c>
      <c r="F25" s="428"/>
      <c r="G25" s="428"/>
      <c r="H25" s="428"/>
      <c r="I25" s="428"/>
      <c r="J25" s="428"/>
      <c r="K25" s="428"/>
      <c r="L25" s="428"/>
      <c r="M25" s="428"/>
      <c r="N25" s="428"/>
      <c r="O25" s="428"/>
      <c r="P25" s="413" t="str">
        <f ca="1">IF(LEN($E25)=0,"",LocalIFERROR(SUMIF(INDIRECT("'"&amp;管理データ!$A$3&amp;管理データ!$B$3),"合計（"&amp;$C25&amp;"）",INDIRECT("'"&amp;管理データ!$A$3&amp;管理データ!$E$3)),0))</f>
        <v/>
      </c>
      <c r="Q25" s="414"/>
      <c r="R25" s="415"/>
      <c r="S25" s="420" t="str">
        <f ca="1">IF(LEN($E25)=0,"",LocalIFERROR(SUMIF(INDIRECT("'"&amp;管理データ!$A$3&amp;管理データ!$B$3),"合計（"&amp;$C25&amp;"）",INDIRECT("'"&amp;管理データ!$A$3&amp;管理データ!$C$3)),0))</f>
        <v/>
      </c>
      <c r="T25" s="420"/>
      <c r="U25" s="420"/>
      <c r="V25" s="420"/>
      <c r="W25" s="420"/>
      <c r="X25" s="423" t="str">
        <f t="shared" ca="1" si="0"/>
        <v/>
      </c>
      <c r="Y25" s="424"/>
      <c r="Z25" s="490" t="str">
        <f ca="1">IF(LEN($E25)=0,"",LocalIFERROR(SUMIF(INDIRECT("'"&amp;管理データ!$A$3&amp;管理データ!$B$3),"合計（"&amp;$C25&amp;"）",INDIRECT("'"&amp;管理データ!$A$3&amp;管理データ!$F$3)),0))</f>
        <v/>
      </c>
      <c r="AA25" s="414"/>
      <c r="AB25" s="415"/>
      <c r="AC25" s="451" t="str">
        <f ca="1">IF(LEN($E25)=0,"",LocalIFERROR(SUMIF(INDIRECT("'"&amp;管理データ!$A$3&amp;管理データ!$B$3),"合計（"&amp;$C25&amp;"）",INDIRECT("'"&amp;管理データ!$A$3&amp;管理データ!$D$3)),0))</f>
        <v/>
      </c>
      <c r="AD25" s="451"/>
      <c r="AE25" s="451"/>
      <c r="AF25" s="451"/>
      <c r="AG25" s="452"/>
      <c r="AH25" s="489" t="str">
        <f t="shared" ca="1" si="1"/>
        <v/>
      </c>
      <c r="AI25" s="489"/>
    </row>
    <row r="26" spans="2:35" s="1" customFormat="1" ht="17.100000000000001" customHeight="1" x14ac:dyDescent="0.15">
      <c r="B26" s="519"/>
      <c r="C26" s="63" t="s">
        <v>56</v>
      </c>
      <c r="D26" s="25"/>
      <c r="E26" s="427" t="str">
        <f>IF(ISBLANK($E$18),"",$E$18)</f>
        <v/>
      </c>
      <c r="F26" s="428"/>
      <c r="G26" s="428"/>
      <c r="H26" s="428"/>
      <c r="I26" s="428"/>
      <c r="J26" s="428"/>
      <c r="K26" s="428"/>
      <c r="L26" s="428"/>
      <c r="M26" s="428"/>
      <c r="N26" s="428"/>
      <c r="O26" s="428"/>
      <c r="P26" s="416" t="str">
        <f ca="1">IF(LEN($E26)=0,"",LocalIFERROR(SUMIF(INDIRECT("'"&amp;管理データ!$A$3&amp;管理データ!$B$3),"合計（"&amp;$C26&amp;"）",INDIRECT("'"&amp;管理データ!$A$3&amp;管理データ!$E$3)),0))</f>
        <v/>
      </c>
      <c r="Q26" s="417"/>
      <c r="R26" s="418"/>
      <c r="S26" s="421" t="str">
        <f ca="1">IF(LEN($E26)=0,"",LocalIFERROR(SUMIF(INDIRECT("'"&amp;管理データ!$A$3&amp;管理データ!$B$3),"合計（"&amp;$C26&amp;"）",INDIRECT("'"&amp;管理データ!$A$3&amp;管理データ!$C$3)),0))</f>
        <v/>
      </c>
      <c r="T26" s="421"/>
      <c r="U26" s="421"/>
      <c r="V26" s="421"/>
      <c r="W26" s="421"/>
      <c r="X26" s="442" t="str">
        <f t="shared" ca="1" si="0"/>
        <v/>
      </c>
      <c r="Y26" s="443"/>
      <c r="Z26" s="419" t="str">
        <f ca="1">IF(LEN($E26)=0,"",LocalIFERROR(SUMIF(INDIRECT("'"&amp;管理データ!$A$3&amp;管理データ!$B$3),"合計（"&amp;$C26&amp;"）",INDIRECT("'"&amp;管理データ!$A$3&amp;管理データ!$F$3)),0))</f>
        <v/>
      </c>
      <c r="AA26" s="417"/>
      <c r="AB26" s="418"/>
      <c r="AC26" s="449" t="str">
        <f ca="1">IF(LEN($E26)=0,"",LocalIFERROR(SUMIF(INDIRECT("'"&amp;管理データ!$A$3&amp;管理データ!$B$3),"合計（"&amp;$C26&amp;"）",INDIRECT("'"&amp;管理データ!$A$3&amp;管理データ!$D$3)),0))</f>
        <v/>
      </c>
      <c r="AD26" s="449"/>
      <c r="AE26" s="449"/>
      <c r="AF26" s="449"/>
      <c r="AG26" s="450"/>
      <c r="AH26" s="484" t="str">
        <f t="shared" ca="1" si="1"/>
        <v/>
      </c>
      <c r="AI26" s="484"/>
    </row>
    <row r="27" spans="2:35" s="1" customFormat="1" ht="21" customHeight="1" x14ac:dyDescent="0.15">
      <c r="B27" s="520"/>
      <c r="C27" s="59" t="s">
        <v>57</v>
      </c>
      <c r="D27" s="15"/>
      <c r="E27" s="15"/>
      <c r="F27" s="15"/>
      <c r="G27" s="15"/>
      <c r="H27" s="15"/>
      <c r="I27" s="15"/>
      <c r="J27" s="15"/>
      <c r="K27" s="15"/>
      <c r="L27" s="147"/>
      <c r="M27" s="147"/>
      <c r="N27" s="147"/>
      <c r="O27" s="319"/>
      <c r="P27" s="400">
        <f ca="1">SUM(P20:P26)</f>
        <v>0</v>
      </c>
      <c r="Q27" s="401"/>
      <c r="R27" s="402"/>
      <c r="S27" s="523">
        <f ca="1">SUM(S20:S26)</f>
        <v>0</v>
      </c>
      <c r="T27" s="523"/>
      <c r="U27" s="523"/>
      <c r="V27" s="523"/>
      <c r="W27" s="523"/>
      <c r="X27" s="435" t="str">
        <f t="shared" ca="1" si="0"/>
        <v>-</v>
      </c>
      <c r="Y27" s="502"/>
      <c r="Z27" s="406">
        <f ca="1">SUM(Z20:Z26)</f>
        <v>0</v>
      </c>
      <c r="AA27" s="401"/>
      <c r="AB27" s="402"/>
      <c r="AC27" s="440">
        <f ca="1">SUM(AC20:AC26)</f>
        <v>0</v>
      </c>
      <c r="AD27" s="440"/>
      <c r="AE27" s="440"/>
      <c r="AF27" s="440"/>
      <c r="AG27" s="441"/>
      <c r="AH27" s="499" t="str">
        <f t="shared" ca="1" si="1"/>
        <v>-</v>
      </c>
      <c r="AI27" s="499"/>
    </row>
    <row r="28" spans="2:35" s="1" customFormat="1" ht="16.5" customHeight="1" x14ac:dyDescent="0.15">
      <c r="B28" s="516" t="s">
        <v>58</v>
      </c>
      <c r="C28" s="318" t="s">
        <v>59</v>
      </c>
      <c r="D28" s="313"/>
      <c r="E28" s="425" t="str">
        <f>IF(ISBLANK($E$12),"",$E$12)</f>
        <v/>
      </c>
      <c r="F28" s="426"/>
      <c r="G28" s="426"/>
      <c r="H28" s="426"/>
      <c r="I28" s="426"/>
      <c r="J28" s="426"/>
      <c r="K28" s="426"/>
      <c r="L28" s="426"/>
      <c r="M28" s="426"/>
      <c r="N28" s="426"/>
      <c r="O28" s="426"/>
      <c r="P28" s="506" t="str">
        <f ca="1">IF(OR(LEN($E28)=0,LEN(P$10)&lt;4),"",LocalIFERROR(SUMIF(INDIRECT("'"&amp;管理データ!$A$5&amp;管理データ!$B$5),"合計（"&amp;$C28&amp;"）",INDIRECT("'"&amp;管理データ!$A$5&amp;管理データ!$E$5)),0))</f>
        <v/>
      </c>
      <c r="Q28" s="507"/>
      <c r="R28" s="483"/>
      <c r="S28" s="505" t="str">
        <f ca="1">IF(OR(LEN($E28)=0,LEN(P$10)&lt;4),"",LocalIFERROR(SUMIF(INDIRECT("'"&amp;管理データ!$A$4&amp;管理データ!$B$4),"合計（"&amp;$C28&amp;"）",INDIRECT("'"&amp;管理データ!$A$4&amp;管理データ!$C$4)),0)+LocalIFERROR(SUMIF(INDIRECT("'"&amp;管理データ!$A$5&amp;管理データ!$B$5),"合計（"&amp;$C28&amp;"）",INDIRECT("'"&amp;管理データ!$A$5&amp;管理データ!$C$5)),0))</f>
        <v/>
      </c>
      <c r="T28" s="505"/>
      <c r="U28" s="505"/>
      <c r="V28" s="505"/>
      <c r="W28" s="505"/>
      <c r="X28" s="503" t="str">
        <f t="shared" ca="1" si="0"/>
        <v/>
      </c>
      <c r="Y28" s="504"/>
      <c r="Z28" s="512" t="str">
        <f ca="1">IF(OR(LEN($E28)=0,LEN(Z$10)&lt;4),"",LocalIFERROR(SUMIF(INDIRECT("'"&amp;管理データ!$A$5&amp;管理データ!$B$5),"合計（"&amp;$C28&amp;"）",INDIRECT("'"&amp;管理データ!$A$5&amp;管理データ!$F$5)),0))</f>
        <v/>
      </c>
      <c r="AA28" s="507"/>
      <c r="AB28" s="483"/>
      <c r="AC28" s="522" t="str">
        <f ca="1">IF(OR(LEN($E28)=0,LEN(Z$10)&lt;4),"",LocalIFERROR(SUMIF(INDIRECT("'"&amp;管理データ!$A$4&amp;管理データ!$B$4),"合計（"&amp;$C28&amp;"）",INDIRECT("'"&amp;管理データ!$A$4&amp;管理データ!$C$4)),0)+LocalIFERROR(SUMIF(INDIRECT("'"&amp;管理データ!$A$5&amp;管理データ!$B$5),"合計（"&amp;$C28&amp;"）",INDIRECT("'"&amp;管理データ!$A$5&amp;管理データ!$D$5)),0))</f>
        <v/>
      </c>
      <c r="AD28" s="508"/>
      <c r="AE28" s="508"/>
      <c r="AF28" s="508"/>
      <c r="AG28" s="509"/>
      <c r="AH28" s="500" t="str">
        <f t="shared" ca="1" si="1"/>
        <v/>
      </c>
      <c r="AI28" s="500"/>
    </row>
    <row r="29" spans="2:35" s="1" customFormat="1" ht="16.5" customHeight="1" x14ac:dyDescent="0.15">
      <c r="B29" s="514"/>
      <c r="C29" s="63" t="s">
        <v>60</v>
      </c>
      <c r="D29" s="25"/>
      <c r="E29" s="427" t="str">
        <f>IF(ISBLANK($E$13),"",$E$13)</f>
        <v/>
      </c>
      <c r="F29" s="428"/>
      <c r="G29" s="428"/>
      <c r="H29" s="428"/>
      <c r="I29" s="428"/>
      <c r="J29" s="428"/>
      <c r="K29" s="428"/>
      <c r="L29" s="428"/>
      <c r="M29" s="428"/>
      <c r="N29" s="428"/>
      <c r="O29" s="428"/>
      <c r="P29" s="413" t="str">
        <f ca="1">IF(OR(LEN($E29)=0,LEN(P$10)&lt;4),"",LocalIFERROR(SUMIF(INDIRECT("'"&amp;管理データ!$A$5&amp;管理データ!$B$5),"合計（"&amp;$C29&amp;"）",INDIRECT("'"&amp;管理データ!$A$5&amp;管理データ!$E$5)),0))</f>
        <v/>
      </c>
      <c r="Q29" s="414"/>
      <c r="R29" s="415"/>
      <c r="S29" s="420" t="str">
        <f ca="1">IF(OR(LEN($E29)=0,LEN(P$10)&lt;4),"",LocalIFERROR(SUMIF(INDIRECT("'"&amp;管理データ!$A$4&amp;管理データ!$B$4),"合計（"&amp;$C29&amp;"）",INDIRECT("'"&amp;管理データ!$A$4&amp;管理データ!$C$4)),0)+LocalIFERROR(SUMIF(INDIRECT("'"&amp;管理データ!$A$5&amp;管理データ!$B$5),"合計（"&amp;$C29&amp;"）",INDIRECT("'"&amp;管理データ!$A$5&amp;管理データ!$C$5)),0))</f>
        <v/>
      </c>
      <c r="T29" s="420"/>
      <c r="U29" s="420"/>
      <c r="V29" s="420"/>
      <c r="W29" s="420"/>
      <c r="X29" s="423" t="str">
        <f t="shared" ca="1" si="0"/>
        <v/>
      </c>
      <c r="Y29" s="424"/>
      <c r="Z29" s="490" t="str">
        <f ca="1">IF(OR(LEN($E29)=0,LEN(Z$10)&lt;4),"",LocalIFERROR(SUMIF(INDIRECT("'"&amp;管理データ!$A$5&amp;管理データ!$B$5),"合計（"&amp;$C29&amp;"）",INDIRECT("'"&amp;管理データ!$A$5&amp;管理データ!$F$5)),0))</f>
        <v/>
      </c>
      <c r="AA29" s="414"/>
      <c r="AB29" s="415"/>
      <c r="AC29" s="492" t="str">
        <f ca="1">IF(OR(LEN($E29)=0,LEN(Z$10)&lt;4),"",LocalIFERROR(SUMIF(INDIRECT("'"&amp;管理データ!$A$4&amp;管理データ!$B$4),"合計（"&amp;$C29&amp;"）",INDIRECT("'"&amp;管理データ!$A$4&amp;管理データ!$C$4)),0)+LocalIFERROR(SUMIF(INDIRECT("'"&amp;管理データ!$A$5&amp;管理データ!$B$5),"合計（"&amp;$C29&amp;"）",INDIRECT("'"&amp;管理データ!$A$5&amp;管理データ!$D$5)),0))</f>
        <v/>
      </c>
      <c r="AD29" s="451"/>
      <c r="AE29" s="451"/>
      <c r="AF29" s="451"/>
      <c r="AG29" s="452"/>
      <c r="AH29" s="489" t="str">
        <f t="shared" ca="1" si="1"/>
        <v/>
      </c>
      <c r="AI29" s="489"/>
    </row>
    <row r="30" spans="2:35" s="1" customFormat="1" ht="16.5" customHeight="1" x14ac:dyDescent="0.15">
      <c r="B30" s="514"/>
      <c r="C30" s="63" t="s">
        <v>61</v>
      </c>
      <c r="D30" s="25"/>
      <c r="E30" s="427" t="str">
        <f>IF(ISBLANK($E$14),"",$E$14)</f>
        <v/>
      </c>
      <c r="F30" s="428"/>
      <c r="G30" s="428"/>
      <c r="H30" s="428"/>
      <c r="I30" s="428"/>
      <c r="J30" s="428"/>
      <c r="K30" s="428"/>
      <c r="L30" s="428"/>
      <c r="M30" s="428"/>
      <c r="N30" s="428"/>
      <c r="O30" s="428"/>
      <c r="P30" s="413" t="str">
        <f ca="1">IF(OR(LEN($E30)=0,LEN(P$10)&lt;4),"",LocalIFERROR(SUMIF(INDIRECT("'"&amp;管理データ!$A$5&amp;管理データ!$B$5),"合計（"&amp;$C30&amp;"）",INDIRECT("'"&amp;管理データ!$A$5&amp;管理データ!$E$5)),0))</f>
        <v/>
      </c>
      <c r="Q30" s="414"/>
      <c r="R30" s="415"/>
      <c r="S30" s="420" t="str">
        <f ca="1">IF(OR(LEN($E30)=0,LEN(P$10)&lt;4),"",LocalIFERROR(SUMIF(INDIRECT("'"&amp;管理データ!$A$4&amp;管理データ!$B$4),"合計（"&amp;$C30&amp;"）",INDIRECT("'"&amp;管理データ!$A$4&amp;管理データ!$C$4)),0)+LocalIFERROR(SUMIF(INDIRECT("'"&amp;管理データ!$A$5&amp;管理データ!$B$5),"合計（"&amp;$C30&amp;"）",INDIRECT("'"&amp;管理データ!$A$5&amp;管理データ!$C$5)),0))</f>
        <v/>
      </c>
      <c r="T30" s="420"/>
      <c r="U30" s="420"/>
      <c r="V30" s="420"/>
      <c r="W30" s="420"/>
      <c r="X30" s="423" t="str">
        <f t="shared" ca="1" si="0"/>
        <v/>
      </c>
      <c r="Y30" s="424"/>
      <c r="Z30" s="490" t="str">
        <f ca="1">IF(OR(LEN($E30)=0,LEN(Z$10)&lt;4),"",LocalIFERROR(SUMIF(INDIRECT("'"&amp;管理データ!$A$5&amp;管理データ!$B$5),"合計（"&amp;$C30&amp;"）",INDIRECT("'"&amp;管理データ!$A$5&amp;管理データ!$F$5)),0))</f>
        <v/>
      </c>
      <c r="AA30" s="414"/>
      <c r="AB30" s="415"/>
      <c r="AC30" s="492" t="str">
        <f ca="1">IF(OR(LEN($E30)=0,LEN(Z$10)&lt;4),"",LocalIFERROR(SUMIF(INDIRECT("'"&amp;管理データ!$A$4&amp;管理データ!$B$4),"合計（"&amp;$C30&amp;"）",INDIRECT("'"&amp;管理データ!$A$4&amp;管理データ!$C$4)),0)+LocalIFERROR(SUMIF(INDIRECT("'"&amp;管理データ!$A$5&amp;管理データ!$B$5),"合計（"&amp;$C30&amp;"）",INDIRECT("'"&amp;管理データ!$A$5&amp;管理データ!$D$5)),0))</f>
        <v/>
      </c>
      <c r="AD30" s="451"/>
      <c r="AE30" s="451"/>
      <c r="AF30" s="451"/>
      <c r="AG30" s="452"/>
      <c r="AH30" s="489" t="str">
        <f t="shared" ca="1" si="1"/>
        <v/>
      </c>
      <c r="AI30" s="489"/>
    </row>
    <row r="31" spans="2:35" s="1" customFormat="1" ht="17.100000000000001" customHeight="1" x14ac:dyDescent="0.15">
      <c r="B31" s="514"/>
      <c r="C31" s="63" t="s">
        <v>62</v>
      </c>
      <c r="D31" s="25"/>
      <c r="E31" s="427" t="str">
        <f>IF(ISBLANK($E$15),"",$E$15)</f>
        <v/>
      </c>
      <c r="F31" s="428"/>
      <c r="G31" s="428"/>
      <c r="H31" s="428"/>
      <c r="I31" s="428"/>
      <c r="J31" s="428"/>
      <c r="K31" s="428"/>
      <c r="L31" s="428"/>
      <c r="M31" s="428"/>
      <c r="N31" s="428"/>
      <c r="O31" s="428"/>
      <c r="P31" s="413" t="str">
        <f ca="1">IF(OR(LEN($E31)=0,LEN(P$10)&lt;4),"",LocalIFERROR(SUMIF(INDIRECT("'"&amp;管理データ!$A$5&amp;管理データ!$B$5),"合計（"&amp;$C31&amp;"）",INDIRECT("'"&amp;管理データ!$A$5&amp;管理データ!$E$5)),0))</f>
        <v/>
      </c>
      <c r="Q31" s="414"/>
      <c r="R31" s="415"/>
      <c r="S31" s="420" t="str">
        <f ca="1">IF(OR(LEN($E31)=0,LEN(P$10)&lt;4),"",LocalIFERROR(SUMIF(INDIRECT("'"&amp;管理データ!$A$4&amp;管理データ!$B$4),"合計（"&amp;$C31&amp;"）",INDIRECT("'"&amp;管理データ!$A$4&amp;管理データ!$C$4)),0)+LocalIFERROR(SUMIF(INDIRECT("'"&amp;管理データ!$A$5&amp;管理データ!$B$5),"合計（"&amp;$C31&amp;"）",INDIRECT("'"&amp;管理データ!$A$5&amp;管理データ!$C$5)),0))</f>
        <v/>
      </c>
      <c r="T31" s="420"/>
      <c r="U31" s="420"/>
      <c r="V31" s="420"/>
      <c r="W31" s="420"/>
      <c r="X31" s="423" t="str">
        <f t="shared" ca="1" si="0"/>
        <v/>
      </c>
      <c r="Y31" s="424"/>
      <c r="Z31" s="490" t="str">
        <f ca="1">IF(OR(LEN($E31)=0,LEN(Z$10)&lt;4),"",LocalIFERROR(SUMIF(INDIRECT("'"&amp;管理データ!$A$5&amp;管理データ!$B$5),"合計（"&amp;$C31&amp;"）",INDIRECT("'"&amp;管理データ!$A$5&amp;管理データ!$F$5)),0))</f>
        <v/>
      </c>
      <c r="AA31" s="414"/>
      <c r="AB31" s="415"/>
      <c r="AC31" s="492" t="str">
        <f ca="1">IF(OR(LEN($E31)=0,LEN(Z$10)&lt;4),"",LocalIFERROR(SUMIF(INDIRECT("'"&amp;管理データ!$A$4&amp;管理データ!$B$4),"合計（"&amp;$C31&amp;"）",INDIRECT("'"&amp;管理データ!$A$4&amp;管理データ!$C$4)),0)+LocalIFERROR(SUMIF(INDIRECT("'"&amp;管理データ!$A$5&amp;管理データ!$B$5),"合計（"&amp;$C31&amp;"）",INDIRECT("'"&amp;管理データ!$A$5&amp;管理データ!$D$5)),0))</f>
        <v/>
      </c>
      <c r="AD31" s="451"/>
      <c r="AE31" s="451"/>
      <c r="AF31" s="451"/>
      <c r="AG31" s="452"/>
      <c r="AH31" s="489" t="str">
        <f t="shared" ca="1" si="1"/>
        <v/>
      </c>
      <c r="AI31" s="489"/>
    </row>
    <row r="32" spans="2:35" s="1" customFormat="1" ht="17.100000000000001" customHeight="1" x14ac:dyDescent="0.15">
      <c r="B32" s="514"/>
      <c r="C32" s="63" t="s">
        <v>63</v>
      </c>
      <c r="D32" s="25"/>
      <c r="E32" s="427" t="str">
        <f>IF(ISBLANK($E$16),"",$E$16)</f>
        <v/>
      </c>
      <c r="F32" s="428"/>
      <c r="G32" s="428"/>
      <c r="H32" s="428"/>
      <c r="I32" s="428"/>
      <c r="J32" s="428"/>
      <c r="K32" s="428"/>
      <c r="L32" s="428"/>
      <c r="M32" s="428"/>
      <c r="N32" s="428"/>
      <c r="O32" s="428"/>
      <c r="P32" s="413" t="str">
        <f ca="1">IF(OR(LEN($E32)=0,LEN(P$10)&lt;4),"",LocalIFERROR(SUMIF(INDIRECT("'"&amp;管理データ!$A$5&amp;管理データ!$B$5),"合計（"&amp;$C32&amp;"）",INDIRECT("'"&amp;管理データ!$A$5&amp;管理データ!$E$5)),0))</f>
        <v/>
      </c>
      <c r="Q32" s="414"/>
      <c r="R32" s="415"/>
      <c r="S32" s="420" t="str">
        <f ca="1">IF(OR(LEN($E32)=0,LEN(P$10)&lt;4),"",LocalIFERROR(SUMIF(INDIRECT("'"&amp;管理データ!$A$4&amp;管理データ!$B$4),"合計（"&amp;$C32&amp;"）",INDIRECT("'"&amp;管理データ!$A$4&amp;管理データ!$C$4)),0)+LocalIFERROR(SUMIF(INDIRECT("'"&amp;管理データ!$A$5&amp;管理データ!$B$5),"合計（"&amp;$C32&amp;"）",INDIRECT("'"&amp;管理データ!$A$5&amp;管理データ!$C$5)),0))</f>
        <v/>
      </c>
      <c r="T32" s="420"/>
      <c r="U32" s="420"/>
      <c r="V32" s="420"/>
      <c r="W32" s="420"/>
      <c r="X32" s="423" t="str">
        <f t="shared" ca="1" si="0"/>
        <v/>
      </c>
      <c r="Y32" s="424"/>
      <c r="Z32" s="490" t="str">
        <f ca="1">IF(OR(LEN($E32)=0,LEN(Z$10)&lt;4),"",LocalIFERROR(SUMIF(INDIRECT("'"&amp;管理データ!$A$5&amp;管理データ!$B$5),"合計（"&amp;$C32&amp;"）",INDIRECT("'"&amp;管理データ!$A$5&amp;管理データ!$F$5)),0))</f>
        <v/>
      </c>
      <c r="AA32" s="414"/>
      <c r="AB32" s="415"/>
      <c r="AC32" s="492" t="str">
        <f ca="1">IF(OR(LEN($E32)=0,LEN(Z$10)&lt;4),"",LocalIFERROR(SUMIF(INDIRECT("'"&amp;管理データ!$A$4&amp;管理データ!$B$4),"合計（"&amp;$C32&amp;"）",INDIRECT("'"&amp;管理データ!$A$4&amp;管理データ!$C$4)),0)+LocalIFERROR(SUMIF(INDIRECT("'"&amp;管理データ!$A$5&amp;管理データ!$B$5),"合計（"&amp;$C32&amp;"）",INDIRECT("'"&amp;管理データ!$A$5&amp;管理データ!$D$5)),0))</f>
        <v/>
      </c>
      <c r="AD32" s="451"/>
      <c r="AE32" s="451"/>
      <c r="AF32" s="451"/>
      <c r="AG32" s="452"/>
      <c r="AH32" s="489" t="str">
        <f t="shared" ca="1" si="1"/>
        <v/>
      </c>
      <c r="AI32" s="489"/>
    </row>
    <row r="33" spans="2:35" s="1" customFormat="1" ht="17.100000000000001" customHeight="1" x14ac:dyDescent="0.15">
      <c r="B33" s="514"/>
      <c r="C33" s="63" t="s">
        <v>64</v>
      </c>
      <c r="D33" s="25"/>
      <c r="E33" s="427" t="str">
        <f>IF(ISBLANK($E$17),"",$E$17)</f>
        <v/>
      </c>
      <c r="F33" s="428"/>
      <c r="G33" s="428"/>
      <c r="H33" s="428"/>
      <c r="I33" s="428"/>
      <c r="J33" s="428"/>
      <c r="K33" s="428"/>
      <c r="L33" s="428"/>
      <c r="M33" s="428"/>
      <c r="N33" s="428"/>
      <c r="O33" s="428"/>
      <c r="P33" s="413" t="str">
        <f ca="1">IF(OR(LEN($E33)=0,LEN(P$10)&lt;4),"",LocalIFERROR(SUMIF(INDIRECT("'"&amp;管理データ!$A$5&amp;管理データ!$B$5),"合計（"&amp;$C33&amp;"）",INDIRECT("'"&amp;管理データ!$A$5&amp;管理データ!$E$5)),0))</f>
        <v/>
      </c>
      <c r="Q33" s="414"/>
      <c r="R33" s="415"/>
      <c r="S33" s="420" t="str">
        <f ca="1">IF(OR(LEN($E33)=0,LEN(P$10)&lt;4),"",LocalIFERROR(SUMIF(INDIRECT("'"&amp;管理データ!$A$4&amp;管理データ!$B$4),"合計（"&amp;$C33&amp;"）",INDIRECT("'"&amp;管理データ!$A$4&amp;管理データ!$C$4)),0)+LocalIFERROR(SUMIF(INDIRECT("'"&amp;管理データ!$A$5&amp;管理データ!$B$5),"合計（"&amp;$C33&amp;"）",INDIRECT("'"&amp;管理データ!$A$5&amp;管理データ!$C$5)),0))</f>
        <v/>
      </c>
      <c r="T33" s="420"/>
      <c r="U33" s="420"/>
      <c r="V33" s="420"/>
      <c r="W33" s="420"/>
      <c r="X33" s="423" t="str">
        <f t="shared" ca="1" si="0"/>
        <v/>
      </c>
      <c r="Y33" s="424"/>
      <c r="Z33" s="490" t="str">
        <f ca="1">IF(OR(LEN($E33)=0,LEN(Z$10)&lt;4),"",LocalIFERROR(SUMIF(INDIRECT("'"&amp;管理データ!$A$5&amp;管理データ!$B$5),"合計（"&amp;$C33&amp;"）",INDIRECT("'"&amp;管理データ!$A$5&amp;管理データ!$F$5)),0))</f>
        <v/>
      </c>
      <c r="AA33" s="414"/>
      <c r="AB33" s="415"/>
      <c r="AC33" s="492" t="str">
        <f ca="1">IF(OR(LEN($E33)=0,LEN(Z$10)&lt;4),"",LocalIFERROR(SUMIF(INDIRECT("'"&amp;管理データ!$A$4&amp;管理データ!$B$4),"合計（"&amp;$C33&amp;"）",INDIRECT("'"&amp;管理データ!$A$4&amp;管理データ!$C$4)),0)+LocalIFERROR(SUMIF(INDIRECT("'"&amp;管理データ!$A$5&amp;管理データ!$B$5),"合計（"&amp;$C33&amp;"）",INDIRECT("'"&amp;管理データ!$A$5&amp;管理データ!$D$5)),0))</f>
        <v/>
      </c>
      <c r="AD33" s="451"/>
      <c r="AE33" s="451"/>
      <c r="AF33" s="451"/>
      <c r="AG33" s="452"/>
      <c r="AH33" s="489" t="str">
        <f t="shared" ca="1" si="1"/>
        <v/>
      </c>
      <c r="AI33" s="489"/>
    </row>
    <row r="34" spans="2:35" s="1" customFormat="1" ht="17.100000000000001" customHeight="1" x14ac:dyDescent="0.15">
      <c r="B34" s="514"/>
      <c r="C34" s="63" t="s">
        <v>65</v>
      </c>
      <c r="D34" s="25"/>
      <c r="E34" s="427" t="str">
        <f>IF(ISBLANK($E$18),"",$E$18)</f>
        <v/>
      </c>
      <c r="F34" s="428"/>
      <c r="G34" s="428"/>
      <c r="H34" s="428"/>
      <c r="I34" s="428"/>
      <c r="J34" s="428"/>
      <c r="K34" s="428"/>
      <c r="L34" s="428"/>
      <c r="M34" s="428"/>
      <c r="N34" s="428"/>
      <c r="O34" s="428"/>
      <c r="P34" s="416" t="str">
        <f ca="1">IF(OR(LEN($E34)=0,LEN(P$10)&lt;4),"",LocalIFERROR(SUMIF(INDIRECT("'"&amp;管理データ!$A$5&amp;管理データ!$B$5),"合計（"&amp;$C34&amp;"）",INDIRECT("'"&amp;管理データ!$A$5&amp;管理データ!$E$5)),0))</f>
        <v/>
      </c>
      <c r="Q34" s="417"/>
      <c r="R34" s="418"/>
      <c r="S34" s="421" t="str">
        <f ca="1">IF(OR(LEN($E34)=0,LEN(P$10)&lt;4),"",LocalIFERROR(SUMIF(INDIRECT("'"&amp;管理データ!$A$4&amp;管理データ!$B$4),"合計（"&amp;$C34&amp;"）",INDIRECT("'"&amp;管理データ!$A$4&amp;管理データ!$C$4)),0)+LocalIFERROR(SUMIF(INDIRECT("'"&amp;管理データ!$A$5&amp;管理データ!$B$5),"合計（"&amp;$C34&amp;"）",INDIRECT("'"&amp;管理データ!$A$5&amp;管理データ!$C$5)),0))</f>
        <v/>
      </c>
      <c r="T34" s="421"/>
      <c r="U34" s="421"/>
      <c r="V34" s="421"/>
      <c r="W34" s="421"/>
      <c r="X34" s="442" t="str">
        <f t="shared" ca="1" si="0"/>
        <v/>
      </c>
      <c r="Y34" s="443"/>
      <c r="Z34" s="419" t="str">
        <f ca="1">IF(OR(LEN($E34)=0,LEN(Z$10)&lt;4),"",LocalIFERROR(SUMIF(INDIRECT("'"&amp;管理データ!$A$5&amp;管理データ!$B$5),"合計（"&amp;$C34&amp;"）",INDIRECT("'"&amp;管理データ!$A$5&amp;管理データ!$F$5)),0))</f>
        <v/>
      </c>
      <c r="AA34" s="417"/>
      <c r="AB34" s="418"/>
      <c r="AC34" s="493" t="str">
        <f ca="1">IF(OR(LEN($E34)=0,LEN(Z$10)&lt;4),"",LocalIFERROR(SUMIF(INDIRECT("'"&amp;管理データ!$A$4&amp;管理データ!$B$4),"合計（"&amp;$C34&amp;"）",INDIRECT("'"&amp;管理データ!$A$4&amp;管理データ!$C$4)),0)+LocalIFERROR(SUMIF(INDIRECT("'"&amp;管理データ!$A$5&amp;管理データ!$B$5),"合計（"&amp;$C34&amp;"）",INDIRECT("'"&amp;管理データ!$A$5&amp;管理データ!$D$5)),0))</f>
        <v/>
      </c>
      <c r="AD34" s="449"/>
      <c r="AE34" s="449"/>
      <c r="AF34" s="449"/>
      <c r="AG34" s="450"/>
      <c r="AH34" s="484" t="str">
        <f t="shared" ca="1" si="1"/>
        <v/>
      </c>
      <c r="AI34" s="484"/>
    </row>
    <row r="35" spans="2:35" s="1" customFormat="1" ht="21" customHeight="1" thickBot="1" x14ac:dyDescent="0.2">
      <c r="B35" s="514"/>
      <c r="C35" s="314" t="s">
        <v>66</v>
      </c>
      <c r="D35" s="315"/>
      <c r="E35" s="315"/>
      <c r="F35" s="315"/>
      <c r="G35" s="315"/>
      <c r="H35" s="315"/>
      <c r="I35" s="315"/>
      <c r="J35" s="315"/>
      <c r="K35" s="315"/>
      <c r="L35" s="316"/>
      <c r="M35" s="316"/>
      <c r="N35" s="316"/>
      <c r="O35" s="317"/>
      <c r="P35" s="410">
        <f ca="1">SUM(P28:P34)</f>
        <v>0</v>
      </c>
      <c r="Q35" s="411"/>
      <c r="R35" s="412"/>
      <c r="S35" s="422">
        <f ca="1">SUM(S28:S34)</f>
        <v>0</v>
      </c>
      <c r="T35" s="422"/>
      <c r="U35" s="422"/>
      <c r="V35" s="422"/>
      <c r="W35" s="422"/>
      <c r="X35" s="510" t="str">
        <f t="shared" ca="1" si="0"/>
        <v>-</v>
      </c>
      <c r="Y35" s="511"/>
      <c r="Z35" s="491">
        <f ca="1">SUM(Z28:Z34)</f>
        <v>0</v>
      </c>
      <c r="AA35" s="411"/>
      <c r="AB35" s="412"/>
      <c r="AC35" s="494">
        <f ca="1">SUM(AC28:AC34)</f>
        <v>0</v>
      </c>
      <c r="AD35" s="494"/>
      <c r="AE35" s="494"/>
      <c r="AF35" s="494"/>
      <c r="AG35" s="495"/>
      <c r="AH35" s="487" t="str">
        <f t="shared" ca="1" si="1"/>
        <v>-</v>
      </c>
      <c r="AI35" s="487"/>
    </row>
    <row r="36" spans="2:35" s="1" customFormat="1" ht="16.5" customHeight="1" thickTop="1" x14ac:dyDescent="0.15">
      <c r="B36" s="513" t="s">
        <v>67</v>
      </c>
      <c r="C36" s="312">
        <v>1</v>
      </c>
      <c r="D36" s="313"/>
      <c r="E36" s="425" t="str">
        <f>IF(ISBLANK($E$12),"",$E$12)</f>
        <v/>
      </c>
      <c r="F36" s="426"/>
      <c r="G36" s="426"/>
      <c r="H36" s="426"/>
      <c r="I36" s="426"/>
      <c r="J36" s="426"/>
      <c r="K36" s="426"/>
      <c r="L36" s="426"/>
      <c r="M36" s="426"/>
      <c r="N36" s="426"/>
      <c r="O36" s="426"/>
      <c r="P36" s="431" t="str">
        <f>IF(LEN($E36)=0,"",SUMIF($E$12:$E$34,$E36,$P$12:$P$34))</f>
        <v/>
      </c>
      <c r="Q36" s="432"/>
      <c r="R36" s="433"/>
      <c r="S36" s="434" t="str">
        <f t="shared" ref="S36:S43" si="2">IF(LEN($E36)=0,"",SUMIF($E$12:$E$34,$E36,$S$12:$S$34))</f>
        <v/>
      </c>
      <c r="T36" s="434"/>
      <c r="U36" s="434"/>
      <c r="V36" s="434"/>
      <c r="W36" s="434"/>
      <c r="X36" s="429" t="str">
        <f t="shared" si="0"/>
        <v/>
      </c>
      <c r="Y36" s="430"/>
      <c r="Z36" s="498" t="str">
        <f>IF(LEN($E36)=0,"",SUMIF($E$12:$E$34,$E36,$Z$12:$Z$34))</f>
        <v/>
      </c>
      <c r="AA36" s="432"/>
      <c r="AB36" s="433"/>
      <c r="AC36" s="496" t="str">
        <f t="shared" ref="AC36:AC43" si="3">IF(LEN($E36)=0,"",SUMIF($E$12:$E$34,$E36,$AC$12:$AC$34))</f>
        <v/>
      </c>
      <c r="AD36" s="496"/>
      <c r="AE36" s="496"/>
      <c r="AF36" s="496"/>
      <c r="AG36" s="497"/>
      <c r="AH36" s="488" t="str">
        <f t="shared" si="1"/>
        <v/>
      </c>
      <c r="AI36" s="488"/>
    </row>
    <row r="37" spans="2:35" s="1" customFormat="1" ht="16.5" customHeight="1" x14ac:dyDescent="0.15">
      <c r="B37" s="514"/>
      <c r="C37" s="24">
        <v>2</v>
      </c>
      <c r="D37" s="25"/>
      <c r="E37" s="427" t="str">
        <f>IF(ISBLANK($E$13),"",$E$13)</f>
        <v/>
      </c>
      <c r="F37" s="428"/>
      <c r="G37" s="428"/>
      <c r="H37" s="428"/>
      <c r="I37" s="428"/>
      <c r="J37" s="428"/>
      <c r="K37" s="428"/>
      <c r="L37" s="428"/>
      <c r="M37" s="428"/>
      <c r="N37" s="428"/>
      <c r="O37" s="428"/>
      <c r="P37" s="413" t="str">
        <f>IF(LEN($E37)=0,"",SUMIF($E$12:$E$34,$E37,$P$12:$P$34))</f>
        <v/>
      </c>
      <c r="Q37" s="414"/>
      <c r="R37" s="415"/>
      <c r="S37" s="420" t="str">
        <f t="shared" si="2"/>
        <v/>
      </c>
      <c r="T37" s="420"/>
      <c r="U37" s="420"/>
      <c r="V37" s="420"/>
      <c r="W37" s="420"/>
      <c r="X37" s="423" t="str">
        <f t="shared" si="0"/>
        <v/>
      </c>
      <c r="Y37" s="424"/>
      <c r="Z37" s="490" t="str">
        <f>IF(LEN($E37)=0,"",SUMIF($E$12:$E$34,$E37,$Z$12:$Z$34))</f>
        <v/>
      </c>
      <c r="AA37" s="414"/>
      <c r="AB37" s="415"/>
      <c r="AC37" s="451" t="str">
        <f t="shared" si="3"/>
        <v/>
      </c>
      <c r="AD37" s="451"/>
      <c r="AE37" s="451"/>
      <c r="AF37" s="451"/>
      <c r="AG37" s="452"/>
      <c r="AH37" s="489" t="str">
        <f t="shared" si="1"/>
        <v/>
      </c>
      <c r="AI37" s="489"/>
    </row>
    <row r="38" spans="2:35" s="1" customFormat="1" ht="16.5" customHeight="1" x14ac:dyDescent="0.15">
      <c r="B38" s="514"/>
      <c r="C38" s="24">
        <v>3</v>
      </c>
      <c r="D38" s="25"/>
      <c r="E38" s="427" t="str">
        <f>IF(ISBLANK($E$14),"",$E$14)</f>
        <v/>
      </c>
      <c r="F38" s="428"/>
      <c r="G38" s="428"/>
      <c r="H38" s="428"/>
      <c r="I38" s="428"/>
      <c r="J38" s="428"/>
      <c r="K38" s="428"/>
      <c r="L38" s="428"/>
      <c r="M38" s="428"/>
      <c r="N38" s="428"/>
      <c r="O38" s="428"/>
      <c r="P38" s="413" t="str">
        <f>IF(LEN($E38)=0,"",SUMIF($E$12:$E$34,$E38,$P$12:$P$34))</f>
        <v/>
      </c>
      <c r="Q38" s="414"/>
      <c r="R38" s="415"/>
      <c r="S38" s="420" t="str">
        <f t="shared" si="2"/>
        <v/>
      </c>
      <c r="T38" s="420"/>
      <c r="U38" s="420"/>
      <c r="V38" s="420"/>
      <c r="W38" s="420"/>
      <c r="X38" s="423" t="str">
        <f t="shared" si="0"/>
        <v/>
      </c>
      <c r="Y38" s="424"/>
      <c r="Z38" s="490" t="str">
        <f>IF(LEN($E38)=0,"",SUMIF($E$12:$E$34,$E38,$Z$12:$Z$34))</f>
        <v/>
      </c>
      <c r="AA38" s="414"/>
      <c r="AB38" s="415"/>
      <c r="AC38" s="451" t="str">
        <f t="shared" si="3"/>
        <v/>
      </c>
      <c r="AD38" s="451"/>
      <c r="AE38" s="451"/>
      <c r="AF38" s="451"/>
      <c r="AG38" s="452"/>
      <c r="AH38" s="489" t="str">
        <f t="shared" si="1"/>
        <v/>
      </c>
      <c r="AI38" s="489"/>
    </row>
    <row r="39" spans="2:35" s="1" customFormat="1" ht="17.100000000000001" customHeight="1" x14ac:dyDescent="0.15">
      <c r="B39" s="514"/>
      <c r="C39" s="24">
        <v>4</v>
      </c>
      <c r="D39" s="25"/>
      <c r="E39" s="427" t="str">
        <f>IF(ISBLANK($E$15),"",$E$15)</f>
        <v/>
      </c>
      <c r="F39" s="428"/>
      <c r="G39" s="428"/>
      <c r="H39" s="428"/>
      <c r="I39" s="428"/>
      <c r="J39" s="428"/>
      <c r="K39" s="428"/>
      <c r="L39" s="428"/>
      <c r="M39" s="428"/>
      <c r="N39" s="428"/>
      <c r="O39" s="428"/>
      <c r="P39" s="413" t="str">
        <f t="shared" ref="P39:P43" si="4">IF(LEN($E39)=0,"",SUMIF($E$12:$E$34,$E39,$P$12:$P$34))</f>
        <v/>
      </c>
      <c r="Q39" s="414"/>
      <c r="R39" s="415"/>
      <c r="S39" s="420" t="str">
        <f t="shared" si="2"/>
        <v/>
      </c>
      <c r="T39" s="420"/>
      <c r="U39" s="420"/>
      <c r="V39" s="420"/>
      <c r="W39" s="420"/>
      <c r="X39" s="423" t="str">
        <f t="shared" si="0"/>
        <v/>
      </c>
      <c r="Y39" s="424"/>
      <c r="Z39" s="490" t="str">
        <f t="shared" ref="Z39:Z43" si="5">IF(LEN($E39)=0,"",SUMIF($E$12:$E$34,$E39,$Z$12:$Z$34))</f>
        <v/>
      </c>
      <c r="AA39" s="414"/>
      <c r="AB39" s="415"/>
      <c r="AC39" s="451" t="str">
        <f t="shared" si="3"/>
        <v/>
      </c>
      <c r="AD39" s="451"/>
      <c r="AE39" s="451"/>
      <c r="AF39" s="451"/>
      <c r="AG39" s="452"/>
      <c r="AH39" s="489" t="str">
        <f t="shared" si="1"/>
        <v/>
      </c>
      <c r="AI39" s="489"/>
    </row>
    <row r="40" spans="2:35" s="1" customFormat="1" ht="17.100000000000001" customHeight="1" x14ac:dyDescent="0.15">
      <c r="B40" s="514"/>
      <c r="C40" s="24">
        <v>5</v>
      </c>
      <c r="D40" s="25"/>
      <c r="E40" s="427" t="str">
        <f>IF(ISBLANK($E$16),"",$E$16)</f>
        <v/>
      </c>
      <c r="F40" s="428"/>
      <c r="G40" s="428"/>
      <c r="H40" s="428"/>
      <c r="I40" s="428"/>
      <c r="J40" s="428"/>
      <c r="K40" s="428"/>
      <c r="L40" s="428"/>
      <c r="M40" s="428"/>
      <c r="N40" s="428"/>
      <c r="O40" s="428"/>
      <c r="P40" s="413" t="str">
        <f t="shared" si="4"/>
        <v/>
      </c>
      <c r="Q40" s="414"/>
      <c r="R40" s="415"/>
      <c r="S40" s="420" t="str">
        <f t="shared" si="2"/>
        <v/>
      </c>
      <c r="T40" s="420"/>
      <c r="U40" s="420"/>
      <c r="V40" s="420"/>
      <c r="W40" s="420"/>
      <c r="X40" s="423" t="str">
        <f t="shared" si="0"/>
        <v/>
      </c>
      <c r="Y40" s="424"/>
      <c r="Z40" s="490" t="str">
        <f t="shared" si="5"/>
        <v/>
      </c>
      <c r="AA40" s="414"/>
      <c r="AB40" s="415"/>
      <c r="AC40" s="451" t="str">
        <f t="shared" si="3"/>
        <v/>
      </c>
      <c r="AD40" s="451"/>
      <c r="AE40" s="451"/>
      <c r="AF40" s="451"/>
      <c r="AG40" s="452"/>
      <c r="AH40" s="489" t="str">
        <f t="shared" si="1"/>
        <v/>
      </c>
      <c r="AI40" s="489"/>
    </row>
    <row r="41" spans="2:35" s="1" customFormat="1" ht="17.100000000000001" customHeight="1" x14ac:dyDescent="0.15">
      <c r="B41" s="514"/>
      <c r="C41" s="24">
        <v>6</v>
      </c>
      <c r="D41" s="25"/>
      <c r="E41" s="427" t="str">
        <f>IF(ISBLANK($E$17),"",$E$17)</f>
        <v/>
      </c>
      <c r="F41" s="428"/>
      <c r="G41" s="428"/>
      <c r="H41" s="428"/>
      <c r="I41" s="428"/>
      <c r="J41" s="428"/>
      <c r="K41" s="428"/>
      <c r="L41" s="428"/>
      <c r="M41" s="428"/>
      <c r="N41" s="428"/>
      <c r="O41" s="428"/>
      <c r="P41" s="413" t="str">
        <f t="shared" si="4"/>
        <v/>
      </c>
      <c r="Q41" s="414"/>
      <c r="R41" s="415"/>
      <c r="S41" s="420" t="str">
        <f t="shared" si="2"/>
        <v/>
      </c>
      <c r="T41" s="420"/>
      <c r="U41" s="420"/>
      <c r="V41" s="420"/>
      <c r="W41" s="420"/>
      <c r="X41" s="423" t="str">
        <f t="shared" si="0"/>
        <v/>
      </c>
      <c r="Y41" s="424"/>
      <c r="Z41" s="490" t="str">
        <f t="shared" si="5"/>
        <v/>
      </c>
      <c r="AA41" s="414"/>
      <c r="AB41" s="415"/>
      <c r="AC41" s="451" t="str">
        <f t="shared" si="3"/>
        <v/>
      </c>
      <c r="AD41" s="451"/>
      <c r="AE41" s="451"/>
      <c r="AF41" s="451"/>
      <c r="AG41" s="452"/>
      <c r="AH41" s="489" t="str">
        <f t="shared" si="1"/>
        <v/>
      </c>
      <c r="AI41" s="489"/>
    </row>
    <row r="42" spans="2:35" s="1" customFormat="1" ht="17.100000000000001" customHeight="1" x14ac:dyDescent="0.15">
      <c r="B42" s="514"/>
      <c r="C42" s="600">
        <v>7</v>
      </c>
      <c r="D42" s="601"/>
      <c r="E42" s="602" t="str">
        <f>IF(ISBLANK($E$18),"",$E$18)</f>
        <v/>
      </c>
      <c r="F42" s="603"/>
      <c r="G42" s="603"/>
      <c r="H42" s="603"/>
      <c r="I42" s="603"/>
      <c r="J42" s="603"/>
      <c r="K42" s="603"/>
      <c r="L42" s="603"/>
      <c r="M42" s="603"/>
      <c r="N42" s="603"/>
      <c r="O42" s="603"/>
      <c r="P42" s="416" t="str">
        <f t="shared" si="4"/>
        <v/>
      </c>
      <c r="Q42" s="417"/>
      <c r="R42" s="418"/>
      <c r="S42" s="421" t="str">
        <f t="shared" si="2"/>
        <v/>
      </c>
      <c r="T42" s="421"/>
      <c r="U42" s="421"/>
      <c r="V42" s="421"/>
      <c r="W42" s="421"/>
      <c r="X42" s="442" t="str">
        <f t="shared" si="0"/>
        <v/>
      </c>
      <c r="Y42" s="443"/>
      <c r="Z42" s="419" t="str">
        <f t="shared" si="5"/>
        <v/>
      </c>
      <c r="AA42" s="417"/>
      <c r="AB42" s="418"/>
      <c r="AC42" s="449" t="str">
        <f t="shared" si="3"/>
        <v/>
      </c>
      <c r="AD42" s="449"/>
      <c r="AE42" s="449"/>
      <c r="AF42" s="449"/>
      <c r="AG42" s="450"/>
      <c r="AH42" s="484" t="str">
        <f t="shared" si="1"/>
        <v/>
      </c>
      <c r="AI42" s="484"/>
    </row>
    <row r="43" spans="2:35" s="1" customFormat="1" ht="17.100000000000001" customHeight="1" x14ac:dyDescent="0.15">
      <c r="B43" s="515"/>
      <c r="C43" s="604" t="s">
        <v>313</v>
      </c>
      <c r="D43" s="605"/>
      <c r="E43" s="605"/>
      <c r="F43" s="605"/>
      <c r="G43" s="605"/>
      <c r="H43" s="605"/>
      <c r="I43" s="605"/>
      <c r="J43" s="605"/>
      <c r="K43" s="605"/>
      <c r="L43" s="605"/>
      <c r="M43" s="605"/>
      <c r="N43" s="605"/>
      <c r="O43" s="606"/>
      <c r="P43" s="607">
        <f>-SUMIF(原価明細②!$C:$C,"寿命品予防交換サービス",原価明細②!R:R)</f>
        <v>0</v>
      </c>
      <c r="Q43" s="608"/>
      <c r="R43" s="609"/>
      <c r="S43" s="610"/>
      <c r="T43" s="610"/>
      <c r="U43" s="610"/>
      <c r="V43" s="610"/>
      <c r="W43" s="610"/>
      <c r="X43" s="611"/>
      <c r="Y43" s="612"/>
      <c r="Z43" s="613">
        <f>-SUMIF(原価明細②!$C:$C,"寿命品予防交換サービス",原価明細②!S:S)</f>
        <v>0</v>
      </c>
      <c r="AA43" s="608"/>
      <c r="AB43" s="609"/>
      <c r="AC43" s="614"/>
      <c r="AD43" s="614"/>
      <c r="AE43" s="614"/>
      <c r="AF43" s="614"/>
      <c r="AG43" s="615"/>
      <c r="AH43" s="611"/>
      <c r="AI43" s="611"/>
    </row>
    <row r="44" spans="2:35" s="1" customFormat="1" ht="21" customHeight="1" x14ac:dyDescent="0.15">
      <c r="B44" s="4"/>
      <c r="C44" s="345" t="s">
        <v>68</v>
      </c>
      <c r="D44" s="16"/>
      <c r="E44" s="16"/>
      <c r="F44" s="16"/>
      <c r="G44" s="16"/>
      <c r="H44" s="16"/>
      <c r="I44" s="16"/>
      <c r="J44" s="16"/>
      <c r="K44" s="16"/>
      <c r="L44" s="306"/>
      <c r="M44" s="388" t="s">
        <v>69</v>
      </c>
      <c r="N44" s="389"/>
      <c r="O44" s="390"/>
      <c r="P44" s="400">
        <f>SUM(P36:P43)</f>
        <v>0</v>
      </c>
      <c r="Q44" s="401"/>
      <c r="R44" s="402"/>
      <c r="S44" s="403">
        <f>SUM(S36:S43)</f>
        <v>0</v>
      </c>
      <c r="T44" s="403"/>
      <c r="U44" s="403"/>
      <c r="V44" s="403"/>
      <c r="W44" s="403"/>
      <c r="X44" s="404" t="str">
        <f>IF(P44="","",IF(P44=0,"-",P44/S44))</f>
        <v>-</v>
      </c>
      <c r="Y44" s="405"/>
      <c r="Z44" s="406">
        <f>SUM(Z36:Z43)</f>
        <v>0</v>
      </c>
      <c r="AA44" s="401"/>
      <c r="AB44" s="402"/>
      <c r="AC44" s="407">
        <f>SUM(AC36:AC43)</f>
        <v>0</v>
      </c>
      <c r="AD44" s="408"/>
      <c r="AE44" s="408"/>
      <c r="AF44" s="408"/>
      <c r="AG44" s="409"/>
      <c r="AH44" s="404" t="str">
        <f>IF(Z44="","",IF(Z44=0,"-",Z44/AC44))</f>
        <v>-</v>
      </c>
      <c r="AI44" s="404"/>
    </row>
    <row r="45" spans="2:35" s="1" customFormat="1" ht="15" customHeight="1" x14ac:dyDescent="0.15">
      <c r="B45" s="4"/>
      <c r="C45" s="345" t="s">
        <v>70</v>
      </c>
      <c r="D45" s="16"/>
      <c r="E45" s="16"/>
      <c r="F45" s="16"/>
      <c r="G45" s="16"/>
      <c r="H45" s="16"/>
      <c r="I45" s="16"/>
      <c r="J45" s="16"/>
      <c r="K45" s="16"/>
      <c r="L45" s="306"/>
      <c r="M45" s="306"/>
      <c r="N45" s="306"/>
      <c r="O45" s="306"/>
      <c r="P45" s="400"/>
      <c r="Q45" s="401"/>
      <c r="R45" s="402"/>
      <c r="S45" s="446">
        <f>-MOD(S44,1000)</f>
        <v>0</v>
      </c>
      <c r="T45" s="447"/>
      <c r="U45" s="447"/>
      <c r="V45" s="447"/>
      <c r="W45" s="448"/>
      <c r="X45" s="444"/>
      <c r="Y45" s="445"/>
      <c r="Z45" s="406"/>
      <c r="AA45" s="401"/>
      <c r="AB45" s="402"/>
      <c r="AC45" s="446">
        <f>-MOD(AC44,1000)</f>
        <v>0</v>
      </c>
      <c r="AD45" s="447"/>
      <c r="AE45" s="447"/>
      <c r="AF45" s="447"/>
      <c r="AG45" s="448"/>
      <c r="AH45" s="485"/>
      <c r="AI45" s="486"/>
    </row>
    <row r="46" spans="2:35" s="1" customFormat="1" ht="15" hidden="1" customHeight="1" x14ac:dyDescent="0.15">
      <c r="B46" s="4"/>
      <c r="C46" s="345" t="s">
        <v>71</v>
      </c>
      <c r="D46" s="16"/>
      <c r="E46" s="16"/>
      <c r="F46" s="16"/>
      <c r="G46" s="16"/>
      <c r="H46" s="16"/>
      <c r="I46" s="16"/>
      <c r="J46" s="16"/>
      <c r="K46" s="16"/>
      <c r="L46" s="306"/>
      <c r="M46" s="306"/>
      <c r="N46" s="306"/>
      <c r="O46" s="306"/>
      <c r="P46" s="400"/>
      <c r="Q46" s="401"/>
      <c r="R46" s="402"/>
      <c r="S46" s="439">
        <f>SUM(S44:S45)</f>
        <v>0</v>
      </c>
      <c r="T46" s="440"/>
      <c r="U46" s="440"/>
      <c r="V46" s="440"/>
      <c r="W46" s="441"/>
      <c r="X46" s="444" t="str">
        <f t="shared" si="0"/>
        <v/>
      </c>
      <c r="Y46" s="445"/>
      <c r="Z46" s="406"/>
      <c r="AA46" s="401"/>
      <c r="AB46" s="402"/>
      <c r="AC46" s="439">
        <f>SUM(AC44:AC45)</f>
        <v>0</v>
      </c>
      <c r="AD46" s="440"/>
      <c r="AE46" s="440"/>
      <c r="AF46" s="440"/>
      <c r="AG46" s="441"/>
      <c r="AH46" s="485" t="str">
        <f t="shared" si="1"/>
        <v/>
      </c>
      <c r="AI46" s="486"/>
    </row>
    <row r="47" spans="2:35" s="1" customFormat="1" ht="13.5" customHeight="1" x14ac:dyDescent="0.15">
      <c r="B47" s="461" t="s">
        <v>72</v>
      </c>
      <c r="C47" s="462"/>
      <c r="D47" s="463"/>
      <c r="E47" s="89" t="s">
        <v>73</v>
      </c>
      <c r="F47" s="90"/>
      <c r="G47" s="90"/>
      <c r="H47" s="90"/>
      <c r="I47" s="90"/>
      <c r="J47" s="90"/>
      <c r="K47" s="90"/>
      <c r="L47" s="90"/>
      <c r="M47" s="469">
        <v>0.32</v>
      </c>
      <c r="N47" s="470"/>
      <c r="O47" s="470"/>
      <c r="P47" s="471">
        <f>S46*M47</f>
        <v>0</v>
      </c>
      <c r="Q47" s="471"/>
      <c r="R47" s="471"/>
      <c r="S47" s="473"/>
      <c r="T47" s="473"/>
      <c r="U47" s="473"/>
      <c r="V47" s="473"/>
      <c r="W47" s="473"/>
      <c r="X47" s="477"/>
      <c r="Y47" s="478"/>
      <c r="Z47" s="483">
        <f>AC46*M47</f>
        <v>0</v>
      </c>
      <c r="AA47" s="471"/>
      <c r="AB47" s="471"/>
      <c r="AC47" s="473"/>
      <c r="AD47" s="473"/>
      <c r="AE47" s="473"/>
      <c r="AF47" s="473"/>
      <c r="AG47" s="473"/>
      <c r="AH47" s="477"/>
      <c r="AI47" s="477"/>
    </row>
    <row r="48" spans="2:35" s="1" customFormat="1" ht="13.5" customHeight="1" x14ac:dyDescent="0.15">
      <c r="B48" s="464"/>
      <c r="C48" s="465"/>
      <c r="D48" s="466"/>
      <c r="E48" s="91" t="s">
        <v>74</v>
      </c>
      <c r="F48" s="92"/>
      <c r="G48" s="92"/>
      <c r="H48" s="92"/>
      <c r="I48" s="92"/>
      <c r="J48" s="92"/>
      <c r="K48" s="92"/>
      <c r="L48" s="92"/>
      <c r="M48" s="467">
        <v>0.15</v>
      </c>
      <c r="N48" s="468"/>
      <c r="O48" s="468"/>
      <c r="P48" s="472">
        <f>S46*M48</f>
        <v>0</v>
      </c>
      <c r="Q48" s="472"/>
      <c r="R48" s="472"/>
      <c r="S48" s="479"/>
      <c r="T48" s="479"/>
      <c r="U48" s="479"/>
      <c r="V48" s="479"/>
      <c r="W48" s="479"/>
      <c r="X48" s="460"/>
      <c r="Y48" s="481"/>
      <c r="Z48" s="415">
        <f>AC46*M48</f>
        <v>0</v>
      </c>
      <c r="AA48" s="472"/>
      <c r="AB48" s="472"/>
      <c r="AC48" s="479"/>
      <c r="AD48" s="479"/>
      <c r="AE48" s="479"/>
      <c r="AF48" s="479"/>
      <c r="AG48" s="479"/>
      <c r="AH48" s="460"/>
      <c r="AI48" s="460"/>
    </row>
    <row r="49" spans="2:35" s="1" customFormat="1" ht="13.5" customHeight="1" x14ac:dyDescent="0.15">
      <c r="B49" s="464"/>
      <c r="C49" s="465"/>
      <c r="D49" s="466"/>
      <c r="E49" s="73" t="s">
        <v>75</v>
      </c>
      <c r="F49" s="74"/>
      <c r="G49" s="74"/>
      <c r="H49" s="74"/>
      <c r="I49" s="74"/>
      <c r="J49" s="74"/>
      <c r="K49" s="74"/>
      <c r="L49" s="356"/>
      <c r="M49" s="456">
        <v>0</v>
      </c>
      <c r="N49" s="457"/>
      <c r="O49" s="457"/>
      <c r="P49" s="458">
        <f>S46*M49</f>
        <v>0</v>
      </c>
      <c r="Q49" s="458"/>
      <c r="R49" s="458"/>
      <c r="S49" s="480"/>
      <c r="T49" s="480"/>
      <c r="U49" s="480"/>
      <c r="V49" s="480"/>
      <c r="W49" s="480"/>
      <c r="X49" s="459"/>
      <c r="Y49" s="482"/>
      <c r="Z49" s="418">
        <f>AC46*M49</f>
        <v>0</v>
      </c>
      <c r="AA49" s="458"/>
      <c r="AB49" s="458"/>
      <c r="AC49" s="480"/>
      <c r="AD49" s="480"/>
      <c r="AE49" s="480"/>
      <c r="AF49" s="480"/>
      <c r="AG49" s="480"/>
      <c r="AH49" s="459"/>
      <c r="AI49" s="459"/>
    </row>
    <row r="50" spans="2:35" s="1" customFormat="1" ht="18" customHeight="1" x14ac:dyDescent="0.15">
      <c r="B50" s="474" t="s">
        <v>76</v>
      </c>
      <c r="C50" s="475"/>
      <c r="D50" s="475"/>
      <c r="E50" s="475"/>
      <c r="F50" s="475"/>
      <c r="G50" s="475"/>
      <c r="H50" s="475"/>
      <c r="I50" s="475"/>
      <c r="J50" s="475"/>
      <c r="K50" s="475"/>
      <c r="L50" s="476"/>
      <c r="M50" s="388" t="s">
        <v>77</v>
      </c>
      <c r="N50" s="389"/>
      <c r="O50" s="390"/>
      <c r="P50" s="437">
        <f>SUM(P44:R49)</f>
        <v>0</v>
      </c>
      <c r="Q50" s="437"/>
      <c r="R50" s="437"/>
      <c r="S50" s="438">
        <f>S46</f>
        <v>0</v>
      </c>
      <c r="T50" s="438"/>
      <c r="U50" s="438"/>
      <c r="V50" s="438"/>
      <c r="W50" s="438"/>
      <c r="X50" s="435" t="str">
        <f t="shared" ref="X50" si="6">IF(P50="","",IF(P50=0,"-",P50/S50))</f>
        <v>-</v>
      </c>
      <c r="Y50" s="436"/>
      <c r="Z50" s="402">
        <f>SUM(Z44:AB49)</f>
        <v>0</v>
      </c>
      <c r="AA50" s="437"/>
      <c r="AB50" s="437"/>
      <c r="AC50" s="438">
        <f>AC46</f>
        <v>0</v>
      </c>
      <c r="AD50" s="438"/>
      <c r="AE50" s="438"/>
      <c r="AF50" s="438"/>
      <c r="AG50" s="438"/>
      <c r="AH50" s="435" t="str">
        <f>IF(Z50="","",IF(Z50=0,"-",Z50/AC50))</f>
        <v>-</v>
      </c>
      <c r="AI50" s="435"/>
    </row>
    <row r="51" spans="2:35" s="1" customFormat="1" x14ac:dyDescent="0.15">
      <c r="B51" s="311" t="s">
        <v>78</v>
      </c>
      <c r="S51" s="388" t="s">
        <v>79</v>
      </c>
      <c r="T51" s="391"/>
      <c r="U51" s="391"/>
      <c r="V51" s="391"/>
      <c r="W51" s="392"/>
      <c r="AC51" s="388" t="s">
        <v>79</v>
      </c>
      <c r="AD51" s="391"/>
      <c r="AE51" s="391"/>
      <c r="AF51" s="391"/>
      <c r="AG51" s="392"/>
      <c r="AI51" s="9"/>
    </row>
    <row r="52" spans="2:35" s="1" customFormat="1" x14ac:dyDescent="0.15">
      <c r="B52" s="376"/>
      <c r="C52" s="33"/>
      <c r="D52" s="33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52"/>
    </row>
    <row r="53" spans="2:35" s="1" customFormat="1" x14ac:dyDescent="0.15">
      <c r="B53" s="376"/>
      <c r="C53" s="33"/>
      <c r="D53" s="33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52"/>
    </row>
    <row r="54" spans="2:35" s="1" customFormat="1" x14ac:dyDescent="0.15">
      <c r="B54" s="376"/>
      <c r="C54" s="33"/>
      <c r="D54" s="33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52"/>
    </row>
    <row r="55" spans="2:35" s="1" customFormat="1" x14ac:dyDescent="0.15">
      <c r="B55" s="376"/>
      <c r="C55" s="33"/>
      <c r="D55" s="33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52"/>
    </row>
    <row r="56" spans="2:35" s="1" customFormat="1" x14ac:dyDescent="0.15">
      <c r="B56" s="376"/>
      <c r="C56" s="33"/>
      <c r="D56" s="33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52"/>
    </row>
    <row r="57" spans="2:35" s="1" customFormat="1" x14ac:dyDescent="0.15">
      <c r="B57" s="376"/>
      <c r="C57" s="33"/>
      <c r="D57" s="33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52"/>
    </row>
    <row r="58" spans="2:35" s="1" customFormat="1" x14ac:dyDescent="0.15">
      <c r="B58" s="377"/>
      <c r="C58" s="378"/>
      <c r="D58" s="378"/>
      <c r="E58" s="355"/>
      <c r="F58" s="355"/>
      <c r="G58" s="355"/>
      <c r="H58" s="355"/>
      <c r="I58" s="355"/>
      <c r="J58" s="355"/>
      <c r="K58" s="355"/>
      <c r="L58" s="355"/>
      <c r="M58" s="355"/>
      <c r="N58" s="355"/>
      <c r="O58" s="355"/>
      <c r="P58" s="355"/>
      <c r="Q58" s="355"/>
      <c r="R58" s="355"/>
      <c r="S58" s="355"/>
      <c r="T58" s="355"/>
      <c r="U58" s="355"/>
      <c r="V58" s="355"/>
      <c r="W58" s="355"/>
      <c r="X58" s="355"/>
      <c r="Y58" s="355"/>
      <c r="Z58" s="355"/>
      <c r="AA58" s="355"/>
      <c r="AB58" s="355"/>
      <c r="AC58" s="355"/>
      <c r="AD58" s="355"/>
      <c r="AE58" s="355"/>
      <c r="AF58" s="355"/>
      <c r="AG58" s="355"/>
      <c r="AH58" s="355"/>
      <c r="AI58" s="348"/>
    </row>
  </sheetData>
  <mergeCells count="302">
    <mergeCell ref="P43:R43"/>
    <mergeCell ref="S43:W43"/>
    <mergeCell ref="X43:Y43"/>
    <mergeCell ref="Z43:AB43"/>
    <mergeCell ref="AC43:AG43"/>
    <mergeCell ref="AH43:AI43"/>
    <mergeCell ref="B36:B43"/>
    <mergeCell ref="C43:O43"/>
    <mergeCell ref="BA3:BR3"/>
    <mergeCell ref="BA4:BR4"/>
    <mergeCell ref="BA6:BI6"/>
    <mergeCell ref="BM6:BR6"/>
    <mergeCell ref="S11:W11"/>
    <mergeCell ref="AC11:AG11"/>
    <mergeCell ref="X11:Y11"/>
    <mergeCell ref="AH15:AI15"/>
    <mergeCell ref="G4:V4"/>
    <mergeCell ref="G5:V5"/>
    <mergeCell ref="G6:V6"/>
    <mergeCell ref="G7:L7"/>
    <mergeCell ref="Q7:V7"/>
    <mergeCell ref="BM7:BR7"/>
    <mergeCell ref="BA7:BI7"/>
    <mergeCell ref="P10:Y10"/>
    <mergeCell ref="AC12:AG12"/>
    <mergeCell ref="AC13:AG13"/>
    <mergeCell ref="AC14:AG14"/>
    <mergeCell ref="AC15:AG15"/>
    <mergeCell ref="X12:Y12"/>
    <mergeCell ref="Z12:AB12"/>
    <mergeCell ref="Z13:AB13"/>
    <mergeCell ref="Z14:AB14"/>
    <mergeCell ref="B11:B19"/>
    <mergeCell ref="B20:B27"/>
    <mergeCell ref="G8:V8"/>
    <mergeCell ref="AC21:AG21"/>
    <mergeCell ref="AC28:AG28"/>
    <mergeCell ref="AC27:AG27"/>
    <mergeCell ref="S27:W27"/>
    <mergeCell ref="S28:W28"/>
    <mergeCell ref="Z27:AB27"/>
    <mergeCell ref="Z28:AB28"/>
    <mergeCell ref="P11:R11"/>
    <mergeCell ref="Z11:AB11"/>
    <mergeCell ref="Z10:AI10"/>
    <mergeCell ref="AH11:AI11"/>
    <mergeCell ref="AH12:AI12"/>
    <mergeCell ref="AH13:AI13"/>
    <mergeCell ref="AH14:AI14"/>
    <mergeCell ref="Z17:AB17"/>
    <mergeCell ref="Z23:AB23"/>
    <mergeCell ref="S16:W16"/>
    <mergeCell ref="S17:W17"/>
    <mergeCell ref="S18:W18"/>
    <mergeCell ref="S19:W19"/>
    <mergeCell ref="S20:W20"/>
    <mergeCell ref="S30:W30"/>
    <mergeCell ref="X29:Y29"/>
    <mergeCell ref="Z26:AB26"/>
    <mergeCell ref="X25:Y25"/>
    <mergeCell ref="P24:R24"/>
    <mergeCell ref="P25:R25"/>
    <mergeCell ref="P16:R16"/>
    <mergeCell ref="P17:R17"/>
    <mergeCell ref="P18:R18"/>
    <mergeCell ref="P19:R19"/>
    <mergeCell ref="P20:R20"/>
    <mergeCell ref="P28:R28"/>
    <mergeCell ref="P26:R26"/>
    <mergeCell ref="S21:W21"/>
    <mergeCell ref="S22:W22"/>
    <mergeCell ref="S23:W23"/>
    <mergeCell ref="S24:W24"/>
    <mergeCell ref="B28:B35"/>
    <mergeCell ref="S25:W25"/>
    <mergeCell ref="S26:W26"/>
    <mergeCell ref="P41:R41"/>
    <mergeCell ref="P42:R42"/>
    <mergeCell ref="Z41:AB41"/>
    <mergeCell ref="AC20:AG20"/>
    <mergeCell ref="X34:Y34"/>
    <mergeCell ref="X35:Y35"/>
    <mergeCell ref="Z18:AB18"/>
    <mergeCell ref="Z20:AB20"/>
    <mergeCell ref="Z21:AB21"/>
    <mergeCell ref="Z22:AB22"/>
    <mergeCell ref="AC31:AG31"/>
    <mergeCell ref="AC18:AG18"/>
    <mergeCell ref="AC19:AG19"/>
    <mergeCell ref="Z19:AB19"/>
    <mergeCell ref="AC26:AG26"/>
    <mergeCell ref="AC25:AG25"/>
    <mergeCell ref="X28:Y28"/>
    <mergeCell ref="X26:Y26"/>
    <mergeCell ref="Z25:AB25"/>
    <mergeCell ref="Z29:AB29"/>
    <mergeCell ref="AC29:AG29"/>
    <mergeCell ref="AC30:AG30"/>
    <mergeCell ref="X27:Y27"/>
    <mergeCell ref="Z31:AB31"/>
    <mergeCell ref="Z30:AB30"/>
    <mergeCell ref="X31:Y31"/>
    <mergeCell ref="Z15:AB15"/>
    <mergeCell ref="S12:W12"/>
    <mergeCell ref="S13:W13"/>
    <mergeCell ref="S14:W14"/>
    <mergeCell ref="S15:W15"/>
    <mergeCell ref="P12:R12"/>
    <mergeCell ref="P13:R13"/>
    <mergeCell ref="P14:R14"/>
    <mergeCell ref="P15:R15"/>
    <mergeCell ref="E13:O13"/>
    <mergeCell ref="E14:O14"/>
    <mergeCell ref="AC23:AG23"/>
    <mergeCell ref="AC24:AG24"/>
    <mergeCell ref="X13:Y13"/>
    <mergeCell ref="X14:Y14"/>
    <mergeCell ref="X15:Y15"/>
    <mergeCell ref="X16:Y16"/>
    <mergeCell ref="X17:Y17"/>
    <mergeCell ref="X18:Y18"/>
    <mergeCell ref="X19:Y19"/>
    <mergeCell ref="X20:Y20"/>
    <mergeCell ref="X21:Y21"/>
    <mergeCell ref="X22:Y22"/>
    <mergeCell ref="X23:Y23"/>
    <mergeCell ref="AC22:AG22"/>
    <mergeCell ref="Z16:AB16"/>
    <mergeCell ref="AC16:AG16"/>
    <mergeCell ref="AC17:AG17"/>
    <mergeCell ref="Z24:AB24"/>
    <mergeCell ref="X24:Y24"/>
    <mergeCell ref="P21:R21"/>
    <mergeCell ref="P22:R22"/>
    <mergeCell ref="P23:R23"/>
    <mergeCell ref="AH24:AI24"/>
    <mergeCell ref="AH25:AI25"/>
    <mergeCell ref="AH26:AI26"/>
    <mergeCell ref="AH27:AI27"/>
    <mergeCell ref="AH28:AI28"/>
    <mergeCell ref="AH29:AI29"/>
    <mergeCell ref="AH30:AI30"/>
    <mergeCell ref="AH31:AI31"/>
    <mergeCell ref="AH16:AI16"/>
    <mergeCell ref="AH17:AI17"/>
    <mergeCell ref="AH18:AI18"/>
    <mergeCell ref="AH19:AI19"/>
    <mergeCell ref="AH20:AI20"/>
    <mergeCell ref="AH21:AI21"/>
    <mergeCell ref="AH22:AI22"/>
    <mergeCell ref="AH23:AI23"/>
    <mergeCell ref="AC38:AG38"/>
    <mergeCell ref="AC39:AG39"/>
    <mergeCell ref="AC40:AG40"/>
    <mergeCell ref="Z33:AB33"/>
    <mergeCell ref="Z32:AB32"/>
    <mergeCell ref="Z35:AB35"/>
    <mergeCell ref="S32:W32"/>
    <mergeCell ref="AC32:AG32"/>
    <mergeCell ref="AC33:AG33"/>
    <mergeCell ref="AC34:AG34"/>
    <mergeCell ref="AC35:AG35"/>
    <mergeCell ref="AC36:AG36"/>
    <mergeCell ref="AC37:AG37"/>
    <mergeCell ref="Z36:AB36"/>
    <mergeCell ref="Z37:AB37"/>
    <mergeCell ref="Z38:AB38"/>
    <mergeCell ref="Z39:AB39"/>
    <mergeCell ref="Z40:AB40"/>
    <mergeCell ref="AH42:AI42"/>
    <mergeCell ref="AH46:AI46"/>
    <mergeCell ref="AH34:AI34"/>
    <mergeCell ref="AH35:AI35"/>
    <mergeCell ref="AH36:AI36"/>
    <mergeCell ref="AH37:AI37"/>
    <mergeCell ref="AH38:AI38"/>
    <mergeCell ref="AH32:AI32"/>
    <mergeCell ref="AH33:AI33"/>
    <mergeCell ref="AH39:AI39"/>
    <mergeCell ref="AH40:AI40"/>
    <mergeCell ref="AH45:AI45"/>
    <mergeCell ref="AH41:AI41"/>
    <mergeCell ref="AH47:AI47"/>
    <mergeCell ref="X47:Y47"/>
    <mergeCell ref="S48:W48"/>
    <mergeCell ref="S49:W49"/>
    <mergeCell ref="X48:Y48"/>
    <mergeCell ref="X49:Y49"/>
    <mergeCell ref="Z47:AB47"/>
    <mergeCell ref="Z48:AB48"/>
    <mergeCell ref="Z49:AB49"/>
    <mergeCell ref="AC47:AG47"/>
    <mergeCell ref="AC48:AG48"/>
    <mergeCell ref="AC49:AG49"/>
    <mergeCell ref="B47:D49"/>
    <mergeCell ref="P50:R50"/>
    <mergeCell ref="S50:W50"/>
    <mergeCell ref="M48:O48"/>
    <mergeCell ref="M47:O47"/>
    <mergeCell ref="P47:R47"/>
    <mergeCell ref="P48:R48"/>
    <mergeCell ref="S47:W47"/>
    <mergeCell ref="B50:L50"/>
    <mergeCell ref="M50:O50"/>
    <mergeCell ref="AH50:AI50"/>
    <mergeCell ref="E12:O12"/>
    <mergeCell ref="E15:O15"/>
    <mergeCell ref="E16:O16"/>
    <mergeCell ref="E17:O17"/>
    <mergeCell ref="E18:O18"/>
    <mergeCell ref="E20:O20"/>
    <mergeCell ref="E21:O21"/>
    <mergeCell ref="E22:O22"/>
    <mergeCell ref="E23:O23"/>
    <mergeCell ref="E24:O24"/>
    <mergeCell ref="E25:O25"/>
    <mergeCell ref="E26:O26"/>
    <mergeCell ref="E28:O28"/>
    <mergeCell ref="E29:O29"/>
    <mergeCell ref="E30:O30"/>
    <mergeCell ref="E31:O31"/>
    <mergeCell ref="E32:O32"/>
    <mergeCell ref="E33:O33"/>
    <mergeCell ref="E34:O34"/>
    <mergeCell ref="M49:O49"/>
    <mergeCell ref="P49:R49"/>
    <mergeCell ref="AH49:AI49"/>
    <mergeCell ref="AH48:AI48"/>
    <mergeCell ref="X50:Y50"/>
    <mergeCell ref="Z50:AB50"/>
    <mergeCell ref="AC50:AG50"/>
    <mergeCell ref="Z46:AB46"/>
    <mergeCell ref="P46:R46"/>
    <mergeCell ref="AC46:AG46"/>
    <mergeCell ref="X41:Y41"/>
    <mergeCell ref="X42:Y42"/>
    <mergeCell ref="X46:Y46"/>
    <mergeCell ref="P45:R45"/>
    <mergeCell ref="S45:W45"/>
    <mergeCell ref="X45:Y45"/>
    <mergeCell ref="Z45:AB45"/>
    <mergeCell ref="AC45:AG45"/>
    <mergeCell ref="S46:W46"/>
    <mergeCell ref="AC42:AG42"/>
    <mergeCell ref="AC41:AG41"/>
    <mergeCell ref="Z42:AB42"/>
    <mergeCell ref="S41:W41"/>
    <mergeCell ref="S42:W42"/>
    <mergeCell ref="E39:O39"/>
    <mergeCell ref="E40:O40"/>
    <mergeCell ref="E41:O41"/>
    <mergeCell ref="E42:O42"/>
    <mergeCell ref="X36:Y36"/>
    <mergeCell ref="X37:Y37"/>
    <mergeCell ref="X38:Y38"/>
    <mergeCell ref="X39:Y39"/>
    <mergeCell ref="X40:Y40"/>
    <mergeCell ref="P39:R39"/>
    <mergeCell ref="P40:R40"/>
    <mergeCell ref="P36:R36"/>
    <mergeCell ref="P37:R37"/>
    <mergeCell ref="P38:R38"/>
    <mergeCell ref="S36:W36"/>
    <mergeCell ref="S38:W38"/>
    <mergeCell ref="S39:W39"/>
    <mergeCell ref="S40:W40"/>
    <mergeCell ref="S37:W37"/>
    <mergeCell ref="S31:W31"/>
    <mergeCell ref="P29:R29"/>
    <mergeCell ref="P30:R30"/>
    <mergeCell ref="P31:R31"/>
    <mergeCell ref="X30:Y30"/>
    <mergeCell ref="E36:O36"/>
    <mergeCell ref="E37:O37"/>
    <mergeCell ref="E38:O38"/>
    <mergeCell ref="S29:W29"/>
    <mergeCell ref="X32:Y32"/>
    <mergeCell ref="X33:Y33"/>
    <mergeCell ref="G3:L3"/>
    <mergeCell ref="Q3:V3"/>
    <mergeCell ref="M3:P3"/>
    <mergeCell ref="M44:O44"/>
    <mergeCell ref="S51:W51"/>
    <mergeCell ref="AC51:AG51"/>
    <mergeCell ref="P9:Y9"/>
    <mergeCell ref="Z9:AI9"/>
    <mergeCell ref="M10:O10"/>
    <mergeCell ref="P44:R44"/>
    <mergeCell ref="S44:W44"/>
    <mergeCell ref="X44:Y44"/>
    <mergeCell ref="Z44:AB44"/>
    <mergeCell ref="AC44:AG44"/>
    <mergeCell ref="AH44:AI44"/>
    <mergeCell ref="P35:R35"/>
    <mergeCell ref="P32:R32"/>
    <mergeCell ref="P33:R33"/>
    <mergeCell ref="P34:R34"/>
    <mergeCell ref="Z34:AB34"/>
    <mergeCell ref="P27:R27"/>
    <mergeCell ref="S33:W33"/>
    <mergeCell ref="S34:W34"/>
    <mergeCell ref="S35:W35"/>
  </mergeCells>
  <phoneticPr fontId="21"/>
  <pageMargins left="0.59055118110236227" right="0.47244094488188981" top="0" bottom="0.39370078740157483" header="0.23622047244094491" footer="0.19685039370078741"/>
  <pageSetup paperSize="9" fitToHeight="0" orientation="portrait" r:id="rId1"/>
  <headerFooter alignWithMargins="0">
    <oddFooter>&amp;C&amp;"Meiryo UI,標準"&amp;14&amp;KFF0000Confidential（秘）</oddFooter>
  </headerFooter>
  <rowBreaks count="1" manualBreakCount="1">
    <brk id="72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EE446-73D9-4DDA-94FA-2A8F4144E4EE}">
  <sheetPr codeName="Sheet6">
    <tabColor indexed="11"/>
  </sheetPr>
  <dimension ref="B1:BN59"/>
  <sheetViews>
    <sheetView showGridLines="0" view="pageBreakPreview" zoomScaleNormal="100" workbookViewId="0">
      <selection activeCell="X37" sqref="X37"/>
    </sheetView>
  </sheetViews>
  <sheetFormatPr defaultColWidth="2.625" defaultRowHeight="13.5" x14ac:dyDescent="0.15"/>
  <cols>
    <col min="1" max="1" width="1.75" style="6" customWidth="1"/>
    <col min="2" max="35" width="2.625" style="6" customWidth="1"/>
    <col min="36" max="36" width="1.875" style="6" customWidth="1"/>
    <col min="37" max="16384" width="2.625" style="6"/>
  </cols>
  <sheetData>
    <row r="1" spans="2:35" s="1" customFormat="1" x14ac:dyDescent="0.15">
      <c r="AI1" s="7"/>
    </row>
    <row r="2" spans="2:35" s="40" customFormat="1" ht="16.5" customHeight="1" x14ac:dyDescent="0.15">
      <c r="B2" s="58" t="s">
        <v>80</v>
      </c>
      <c r="C2" s="81"/>
      <c r="D2" s="253"/>
      <c r="E2" s="19"/>
      <c r="F2" s="580" t="str">
        <f>IF(LEN(見積総括表!$G$4)=0,"",見積総括表!$G$4)</f>
        <v/>
      </c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81"/>
      <c r="AA2" s="582"/>
      <c r="AB2" s="18" t="s">
        <v>21</v>
      </c>
      <c r="AC2" s="17"/>
      <c r="AD2" s="17"/>
      <c r="AE2" s="583" t="str">
        <f>IF(LEN(見積総括表!$G$3)=0,"",見積総括表!$G$3)</f>
        <v/>
      </c>
      <c r="AF2" s="584"/>
      <c r="AG2" s="584"/>
      <c r="AH2" s="584"/>
      <c r="AI2" s="585"/>
    </row>
    <row r="3" spans="2:35" s="41" customFormat="1" ht="16.5" customHeight="1" x14ac:dyDescent="0.15">
      <c r="B3" s="58" t="s">
        <v>81</v>
      </c>
      <c r="C3" s="81"/>
      <c r="D3" s="17"/>
      <c r="E3" s="19"/>
      <c r="F3" s="580" t="str">
        <f>IF(LEN(見積総括表!$G$5)=0,"",見積総括表!$G$5)</f>
        <v/>
      </c>
      <c r="G3" s="581"/>
      <c r="H3" s="581"/>
      <c r="I3" s="581"/>
      <c r="J3" s="581"/>
      <c r="K3" s="581"/>
      <c r="L3" s="581"/>
      <c r="M3" s="581"/>
      <c r="N3" s="581"/>
      <c r="O3" s="581"/>
      <c r="P3" s="581"/>
      <c r="Q3" s="581"/>
      <c r="R3" s="581"/>
      <c r="S3" s="581"/>
      <c r="T3" s="581"/>
      <c r="U3" s="581"/>
      <c r="V3" s="581"/>
      <c r="W3" s="581"/>
      <c r="X3" s="581"/>
      <c r="Y3" s="581"/>
      <c r="Z3" s="581"/>
      <c r="AA3" s="582"/>
      <c r="AB3" s="18" t="s">
        <v>82</v>
      </c>
      <c r="AC3" s="17"/>
      <c r="AD3" s="17"/>
      <c r="AE3" s="580" t="str">
        <f>IF(LEN(原価明細②!L3)=0,"",原価明細②!L3)</f>
        <v/>
      </c>
      <c r="AF3" s="581"/>
      <c r="AG3" s="581"/>
      <c r="AH3" s="581"/>
      <c r="AI3" s="582"/>
    </row>
    <row r="4" spans="2:35" s="41" customFormat="1" ht="16.5" customHeight="1" x14ac:dyDescent="0.15">
      <c r="B4" s="58" t="s">
        <v>26</v>
      </c>
      <c r="C4" s="81"/>
      <c r="D4" s="17"/>
      <c r="E4" s="254"/>
      <c r="F4" s="580" t="str">
        <f>IF(LEN(見積総括表!$G$6)=0,"",見積総括表!$G$6)</f>
        <v/>
      </c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2"/>
      <c r="AB4" s="586" t="s">
        <v>27</v>
      </c>
      <c r="AC4" s="587"/>
      <c r="AD4" s="588"/>
      <c r="AE4" s="589" t="str">
        <f>IF(LEN(見積総括表!$G$7)=0,"",見積総括表!$G$7)</f>
        <v/>
      </c>
      <c r="AF4" s="590"/>
      <c r="AG4" s="590"/>
      <c r="AH4" s="590"/>
      <c r="AI4" s="591"/>
    </row>
    <row r="5" spans="2:35" s="14" customFormat="1" ht="15.95" customHeight="1" x14ac:dyDescent="0.15">
      <c r="G5" s="21"/>
      <c r="H5" s="79"/>
      <c r="I5" s="21"/>
      <c r="J5" s="21"/>
      <c r="K5" s="54"/>
      <c r="L5" s="21"/>
      <c r="M5" s="79"/>
      <c r="N5" s="21"/>
      <c r="O5" s="21"/>
      <c r="P5" s="54"/>
      <c r="Q5" s="21"/>
    </row>
    <row r="6" spans="2:35" s="1" customFormat="1" x14ac:dyDescent="0.15">
      <c r="B6" s="255" t="s">
        <v>83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2"/>
    </row>
    <row r="7" spans="2:35" s="1" customFormat="1" x14ac:dyDescent="0.15">
      <c r="B7" s="252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I7" s="9"/>
    </row>
    <row r="8" spans="2:35" s="1" customFormat="1" x14ac:dyDescent="0.15">
      <c r="B8" s="252"/>
      <c r="C8" s="42" t="s">
        <v>84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I8" s="9"/>
    </row>
    <row r="9" spans="2:35" s="1" customFormat="1" x14ac:dyDescent="0.15">
      <c r="B9" s="252"/>
      <c r="C9" s="570"/>
      <c r="D9" s="571"/>
      <c r="E9" s="571"/>
      <c r="F9" s="571"/>
      <c r="G9" s="571"/>
      <c r="H9" s="572"/>
      <c r="I9" s="324" t="s">
        <v>85</v>
      </c>
      <c r="J9" s="46"/>
      <c r="K9" s="46"/>
      <c r="L9" s="46"/>
      <c r="M9" s="46"/>
      <c r="N9" s="126"/>
      <c r="O9" s="325" t="s">
        <v>86</v>
      </c>
      <c r="P9" s="46"/>
      <c r="Q9" s="46"/>
      <c r="R9" s="46"/>
      <c r="S9" s="46"/>
      <c r="T9" s="46"/>
      <c r="U9" s="326" t="s">
        <v>87</v>
      </c>
      <c r="V9" s="46"/>
      <c r="W9" s="46"/>
      <c r="X9" s="46"/>
      <c r="Y9" s="46"/>
      <c r="Z9" s="126"/>
      <c r="AA9" s="14"/>
      <c r="AB9" s="14"/>
      <c r="AD9" s="323"/>
      <c r="AE9" s="323"/>
      <c r="AF9" s="323"/>
      <c r="AI9" s="9"/>
    </row>
    <row r="10" spans="2:35" s="1" customFormat="1" x14ac:dyDescent="0.15">
      <c r="B10" s="252"/>
      <c r="C10" s="327" t="s">
        <v>30</v>
      </c>
      <c r="D10" s="328"/>
      <c r="E10" s="328"/>
      <c r="F10" s="328"/>
      <c r="G10" s="328"/>
      <c r="H10" s="329"/>
      <c r="I10" s="573"/>
      <c r="J10" s="574"/>
      <c r="K10" s="574"/>
      <c r="L10" s="574"/>
      <c r="M10" s="574"/>
      <c r="N10" s="575"/>
      <c r="O10" s="576"/>
      <c r="P10" s="577"/>
      <c r="Q10" s="577"/>
      <c r="R10" s="577"/>
      <c r="S10" s="577"/>
      <c r="T10" s="577"/>
      <c r="U10" s="578"/>
      <c r="V10" s="577"/>
      <c r="W10" s="577"/>
      <c r="X10" s="577"/>
      <c r="Y10" s="577"/>
      <c r="Z10" s="579"/>
      <c r="AA10" s="14"/>
      <c r="AB10" s="14"/>
      <c r="AD10" s="323"/>
      <c r="AE10" s="323"/>
      <c r="AF10" s="323"/>
      <c r="AI10" s="9"/>
    </row>
    <row r="11" spans="2:35" s="1" customFormat="1" x14ac:dyDescent="0.15">
      <c r="B11" s="252"/>
      <c r="C11" s="330"/>
      <c r="D11" s="331" t="s">
        <v>88</v>
      </c>
      <c r="E11" s="332"/>
      <c r="F11" s="332"/>
      <c r="G11" s="332"/>
      <c r="H11" s="333"/>
      <c r="I11" s="546"/>
      <c r="J11" s="547"/>
      <c r="K11" s="547"/>
      <c r="L11" s="547"/>
      <c r="M11" s="547"/>
      <c r="N11" s="548"/>
      <c r="O11" s="334" t="str">
        <f>見積総括表!P10</f>
        <v>05SC4911</v>
      </c>
      <c r="P11" s="335"/>
      <c r="Q11" s="335"/>
      <c r="R11" s="335"/>
      <c r="S11" s="335"/>
      <c r="T11" s="335"/>
      <c r="U11" s="337"/>
      <c r="V11" s="335"/>
      <c r="W11" s="335"/>
      <c r="X11" s="335"/>
      <c r="Y11" s="335"/>
      <c r="Z11" s="336"/>
      <c r="AA11" s="14"/>
      <c r="AB11" s="14"/>
      <c r="AD11" s="323"/>
      <c r="AE11" s="323"/>
      <c r="AF11" s="323"/>
      <c r="AI11" s="9"/>
    </row>
    <row r="12" spans="2:35" s="1" customFormat="1" x14ac:dyDescent="0.15">
      <c r="B12" s="252"/>
      <c r="C12" s="304"/>
      <c r="D12" s="331" t="s">
        <v>39</v>
      </c>
      <c r="E12" s="332"/>
      <c r="F12" s="332"/>
      <c r="G12" s="332"/>
      <c r="H12" s="333"/>
      <c r="I12" s="560"/>
      <c r="J12" s="561"/>
      <c r="K12" s="561"/>
      <c r="L12" s="561"/>
      <c r="M12" s="561"/>
      <c r="N12" s="562"/>
      <c r="O12" s="555">
        <f>見積総括表!S50</f>
        <v>0</v>
      </c>
      <c r="P12" s="556"/>
      <c r="Q12" s="556"/>
      <c r="R12" s="556"/>
      <c r="S12" s="556"/>
      <c r="T12" s="556"/>
      <c r="U12" s="557" t="str">
        <f>IF(ISBLANK($I11),"",O12-I12)</f>
        <v/>
      </c>
      <c r="V12" s="558"/>
      <c r="W12" s="558"/>
      <c r="X12" s="558"/>
      <c r="Y12" s="558"/>
      <c r="Z12" s="559"/>
      <c r="AA12" s="14"/>
      <c r="AB12" s="14"/>
      <c r="AD12" s="323"/>
      <c r="AE12" s="323"/>
      <c r="AF12" s="323"/>
      <c r="AI12" s="9"/>
    </row>
    <row r="13" spans="2:35" s="1" customFormat="1" x14ac:dyDescent="0.15">
      <c r="B13" s="252"/>
      <c r="C13" s="304"/>
      <c r="D13" s="331" t="s">
        <v>89</v>
      </c>
      <c r="E13" s="332"/>
      <c r="F13" s="332"/>
      <c r="G13" s="332"/>
      <c r="H13" s="333"/>
      <c r="I13" s="560"/>
      <c r="J13" s="561"/>
      <c r="K13" s="561"/>
      <c r="L13" s="561"/>
      <c r="M13" s="561"/>
      <c r="N13" s="562"/>
      <c r="O13" s="555">
        <f>見積総括表!P44</f>
        <v>0</v>
      </c>
      <c r="P13" s="556"/>
      <c r="Q13" s="556"/>
      <c r="R13" s="556"/>
      <c r="S13" s="556"/>
      <c r="T13" s="556"/>
      <c r="U13" s="557" t="str">
        <f>IF(ISBLANK($I11),"",O13-I13)</f>
        <v/>
      </c>
      <c r="V13" s="558"/>
      <c r="W13" s="558"/>
      <c r="X13" s="558"/>
      <c r="Y13" s="558"/>
      <c r="Z13" s="559"/>
      <c r="AA13" s="14"/>
      <c r="AB13" s="14"/>
      <c r="AD13" s="323"/>
      <c r="AE13" s="323"/>
      <c r="AF13" s="323"/>
      <c r="AI13" s="9"/>
    </row>
    <row r="14" spans="2:35" s="1" customFormat="1" x14ac:dyDescent="0.15">
      <c r="B14" s="252"/>
      <c r="C14" s="304"/>
      <c r="D14" s="331" t="s">
        <v>90</v>
      </c>
      <c r="E14" s="332"/>
      <c r="F14" s="332"/>
      <c r="G14" s="332"/>
      <c r="H14" s="333"/>
      <c r="I14" s="560" t="str">
        <f>IF(ISBLANK($I11),"",I12*0.47)</f>
        <v/>
      </c>
      <c r="J14" s="561"/>
      <c r="K14" s="561"/>
      <c r="L14" s="561"/>
      <c r="M14" s="561"/>
      <c r="N14" s="562"/>
      <c r="O14" s="555">
        <f>O12*0.47</f>
        <v>0</v>
      </c>
      <c r="P14" s="556"/>
      <c r="Q14" s="556"/>
      <c r="R14" s="556"/>
      <c r="S14" s="556"/>
      <c r="T14" s="556"/>
      <c r="U14" s="557" t="str">
        <f>IF(ISBLANK($I11),"",O14-I14)</f>
        <v/>
      </c>
      <c r="V14" s="558"/>
      <c r="W14" s="558"/>
      <c r="X14" s="558"/>
      <c r="Y14" s="558"/>
      <c r="Z14" s="559"/>
      <c r="AA14" s="14"/>
      <c r="AB14" s="14"/>
      <c r="AD14" s="323"/>
      <c r="AE14" s="323"/>
      <c r="AF14" s="323"/>
      <c r="AI14" s="9"/>
    </row>
    <row r="15" spans="2:35" s="1" customFormat="1" x14ac:dyDescent="0.15">
      <c r="B15" s="252"/>
      <c r="C15" s="304"/>
      <c r="D15" s="338" t="s">
        <v>40</v>
      </c>
      <c r="E15" s="339"/>
      <c r="F15" s="339"/>
      <c r="G15" s="339"/>
      <c r="H15" s="340"/>
      <c r="I15" s="549" t="str">
        <f>IF(ISBLANK($I11),"",SUM(I13:N14)/I12)</f>
        <v/>
      </c>
      <c r="J15" s="550"/>
      <c r="K15" s="550"/>
      <c r="L15" s="550"/>
      <c r="M15" s="550"/>
      <c r="N15" s="551"/>
      <c r="O15" s="549" t="e">
        <f>SUM(O13:T14)/O12</f>
        <v>#DIV/0!</v>
      </c>
      <c r="P15" s="550"/>
      <c r="Q15" s="550"/>
      <c r="R15" s="550"/>
      <c r="S15" s="550"/>
      <c r="T15" s="550"/>
      <c r="U15" s="552" t="str">
        <f>IF(ISBLANK($I11),"",O15-I15)</f>
        <v/>
      </c>
      <c r="V15" s="553"/>
      <c r="W15" s="553"/>
      <c r="X15" s="553"/>
      <c r="Y15" s="553"/>
      <c r="Z15" s="554"/>
      <c r="AA15" s="14"/>
      <c r="AB15" s="14"/>
      <c r="AD15" s="323"/>
      <c r="AE15" s="323"/>
      <c r="AF15" s="323"/>
      <c r="AI15" s="9"/>
    </row>
    <row r="16" spans="2:35" s="1" customFormat="1" x14ac:dyDescent="0.15">
      <c r="B16" s="252"/>
      <c r="C16" s="341" t="s">
        <v>31</v>
      </c>
      <c r="D16" s="342"/>
      <c r="E16" s="342"/>
      <c r="F16" s="342"/>
      <c r="G16" s="342"/>
      <c r="H16" s="343"/>
      <c r="I16" s="563"/>
      <c r="J16" s="564"/>
      <c r="K16" s="564"/>
      <c r="L16" s="564"/>
      <c r="M16" s="564"/>
      <c r="N16" s="565"/>
      <c r="O16" s="566"/>
      <c r="P16" s="567"/>
      <c r="Q16" s="567"/>
      <c r="R16" s="567"/>
      <c r="S16" s="567"/>
      <c r="T16" s="567"/>
      <c r="U16" s="568"/>
      <c r="V16" s="567"/>
      <c r="W16" s="567"/>
      <c r="X16" s="567"/>
      <c r="Y16" s="567"/>
      <c r="Z16" s="569"/>
      <c r="AA16" s="14"/>
      <c r="AB16" s="14"/>
      <c r="AD16" s="323"/>
      <c r="AE16" s="323"/>
      <c r="AF16" s="323"/>
      <c r="AI16" s="9"/>
    </row>
    <row r="17" spans="2:66" s="1" customFormat="1" x14ac:dyDescent="0.15">
      <c r="B17" s="252"/>
      <c r="C17" s="330"/>
      <c r="D17" s="331" t="s">
        <v>88</v>
      </c>
      <c r="E17" s="332"/>
      <c r="F17" s="332"/>
      <c r="G17" s="332"/>
      <c r="H17" s="333"/>
      <c r="I17" s="546"/>
      <c r="J17" s="547"/>
      <c r="K17" s="547"/>
      <c r="L17" s="547"/>
      <c r="M17" s="547"/>
      <c r="N17" s="548"/>
      <c r="O17" s="334" t="str">
        <f>見積総括表!Z10</f>
        <v>05SC4911</v>
      </c>
      <c r="P17" s="335"/>
      <c r="Q17" s="335"/>
      <c r="R17" s="335"/>
      <c r="S17" s="335"/>
      <c r="T17" s="335"/>
      <c r="U17" s="337"/>
      <c r="V17" s="335"/>
      <c r="W17" s="335"/>
      <c r="X17" s="335"/>
      <c r="Y17" s="335"/>
      <c r="Z17" s="336"/>
      <c r="AA17" s="14"/>
      <c r="AB17" s="14"/>
      <c r="AD17" s="323"/>
      <c r="AE17" s="323"/>
      <c r="AF17" s="323"/>
      <c r="AH17" s="6"/>
      <c r="AI17" s="261"/>
    </row>
    <row r="18" spans="2:66" s="1" customFormat="1" x14ac:dyDescent="0.15">
      <c r="B18" s="252"/>
      <c r="C18" s="304"/>
      <c r="D18" s="331" t="s">
        <v>39</v>
      </c>
      <c r="E18" s="332"/>
      <c r="F18" s="332"/>
      <c r="G18" s="332"/>
      <c r="H18" s="333"/>
      <c r="I18" s="560"/>
      <c r="J18" s="561"/>
      <c r="K18" s="561"/>
      <c r="L18" s="561"/>
      <c r="M18" s="561"/>
      <c r="N18" s="562"/>
      <c r="O18" s="555">
        <f>見積総括表!AC50</f>
        <v>0</v>
      </c>
      <c r="P18" s="556"/>
      <c r="Q18" s="556"/>
      <c r="R18" s="556"/>
      <c r="S18" s="556"/>
      <c r="T18" s="556"/>
      <c r="U18" s="557" t="str">
        <f>IF(ISBLANK($I17),"",O18-I18)</f>
        <v/>
      </c>
      <c r="V18" s="558"/>
      <c r="W18" s="558"/>
      <c r="X18" s="558"/>
      <c r="Y18" s="558"/>
      <c r="Z18" s="559"/>
      <c r="AA18" s="14"/>
      <c r="AB18" s="14"/>
      <c r="AD18" s="323"/>
      <c r="AE18" s="323"/>
      <c r="AF18" s="323"/>
      <c r="AI18" s="9"/>
    </row>
    <row r="19" spans="2:66" s="1" customFormat="1" ht="13.5" customHeight="1" x14ac:dyDescent="0.15">
      <c r="B19" s="252"/>
      <c r="C19" s="304"/>
      <c r="D19" s="331" t="s">
        <v>89</v>
      </c>
      <c r="E19" s="332"/>
      <c r="F19" s="332"/>
      <c r="G19" s="332"/>
      <c r="H19" s="333"/>
      <c r="I19" s="560"/>
      <c r="J19" s="561"/>
      <c r="K19" s="561"/>
      <c r="L19" s="561"/>
      <c r="M19" s="561"/>
      <c r="N19" s="562"/>
      <c r="O19" s="555">
        <f>見積総括表!Z44</f>
        <v>0</v>
      </c>
      <c r="P19" s="556"/>
      <c r="Q19" s="556"/>
      <c r="R19" s="556"/>
      <c r="S19" s="556"/>
      <c r="T19" s="556"/>
      <c r="U19" s="557" t="str">
        <f>IF(ISBLANK($I17),"",O19-I19)</f>
        <v/>
      </c>
      <c r="V19" s="558"/>
      <c r="W19" s="558"/>
      <c r="X19" s="558"/>
      <c r="Y19" s="558"/>
      <c r="Z19" s="559"/>
      <c r="AA19" s="14"/>
      <c r="AB19" s="14"/>
      <c r="AD19" s="323"/>
      <c r="AE19" s="323"/>
      <c r="AF19" s="323"/>
      <c r="AI19" s="9"/>
      <c r="AQ19" s="14" t="s">
        <v>91</v>
      </c>
    </row>
    <row r="20" spans="2:66" s="1" customFormat="1" x14ac:dyDescent="0.15">
      <c r="B20" s="252"/>
      <c r="C20" s="304"/>
      <c r="D20" s="331" t="s">
        <v>90</v>
      </c>
      <c r="E20" s="332"/>
      <c r="F20" s="332"/>
      <c r="G20" s="332"/>
      <c r="H20" s="333"/>
      <c r="I20" s="560" t="str">
        <f>IF(ISBLANK($I17),"",I18*0.47)</f>
        <v/>
      </c>
      <c r="J20" s="561"/>
      <c r="K20" s="561"/>
      <c r="L20" s="561"/>
      <c r="M20" s="561"/>
      <c r="N20" s="562"/>
      <c r="O20" s="555">
        <f>O18*0.47</f>
        <v>0</v>
      </c>
      <c r="P20" s="556"/>
      <c r="Q20" s="556"/>
      <c r="R20" s="556"/>
      <c r="S20" s="556"/>
      <c r="T20" s="556"/>
      <c r="U20" s="557" t="str">
        <f>IF(ISBLANK($I17),"",O20-I20)</f>
        <v/>
      </c>
      <c r="V20" s="558"/>
      <c r="W20" s="558"/>
      <c r="X20" s="558"/>
      <c r="Y20" s="558"/>
      <c r="Z20" s="559"/>
      <c r="AA20" s="14"/>
      <c r="AB20" s="14"/>
      <c r="AD20" s="323"/>
      <c r="AE20" s="323"/>
      <c r="AF20" s="323"/>
      <c r="AI20" s="261"/>
      <c r="AQ20" s="14" t="s">
        <v>92</v>
      </c>
      <c r="AR20" s="14"/>
      <c r="AS20" s="14"/>
      <c r="AT20" s="14"/>
      <c r="AU20" s="14"/>
      <c r="AV20" s="14"/>
      <c r="AW20" s="14"/>
      <c r="AX20" s="14"/>
      <c r="AY20" s="14"/>
      <c r="AZ20" s="14"/>
    </row>
    <row r="21" spans="2:66" s="1" customFormat="1" x14ac:dyDescent="0.15">
      <c r="B21" s="252"/>
      <c r="C21" s="344"/>
      <c r="D21" s="338" t="s">
        <v>40</v>
      </c>
      <c r="E21" s="339"/>
      <c r="F21" s="339"/>
      <c r="G21" s="339"/>
      <c r="H21" s="340"/>
      <c r="I21" s="549" t="str">
        <f>IF(ISBLANK($I17),"",SUM(I19:N20)/I18)</f>
        <v/>
      </c>
      <c r="J21" s="550"/>
      <c r="K21" s="550"/>
      <c r="L21" s="550"/>
      <c r="M21" s="550"/>
      <c r="N21" s="551"/>
      <c r="O21" s="549" t="e">
        <f>SUM(O19:T20)/O18</f>
        <v>#DIV/0!</v>
      </c>
      <c r="P21" s="550"/>
      <c r="Q21" s="550"/>
      <c r="R21" s="550"/>
      <c r="S21" s="550"/>
      <c r="T21" s="550"/>
      <c r="U21" s="552" t="str">
        <f>IF(ISBLANK($I17),"",O21-I21)</f>
        <v/>
      </c>
      <c r="V21" s="553"/>
      <c r="W21" s="553"/>
      <c r="X21" s="553"/>
      <c r="Y21" s="553"/>
      <c r="Z21" s="554"/>
      <c r="AA21" s="14"/>
      <c r="AB21" s="14"/>
      <c r="AD21" s="323"/>
      <c r="AE21" s="323"/>
      <c r="AF21" s="323"/>
      <c r="AH21" s="6"/>
      <c r="AI21" s="261"/>
      <c r="AQ21" s="14"/>
      <c r="AR21" s="14" t="s">
        <v>93</v>
      </c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</row>
    <row r="22" spans="2:66" s="1" customFormat="1" x14ac:dyDescent="0.15">
      <c r="B22" s="252"/>
      <c r="C22" s="14" t="s">
        <v>94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I22" s="9"/>
      <c r="AQ22" s="14"/>
      <c r="AR22" s="14"/>
      <c r="AS22" s="14" t="s">
        <v>95</v>
      </c>
      <c r="AT22" s="14"/>
      <c r="AU22" s="14"/>
      <c r="AV22" s="14"/>
      <c r="AW22" s="14"/>
      <c r="AX22" s="14"/>
      <c r="AY22" s="14"/>
      <c r="AZ22" s="14" t="s">
        <v>96</v>
      </c>
      <c r="BB22" s="14" t="s">
        <v>97</v>
      </c>
      <c r="BC22" s="14"/>
      <c r="BD22" s="14"/>
      <c r="BE22" s="14"/>
      <c r="BF22" s="14"/>
    </row>
    <row r="23" spans="2:66" s="1" customFormat="1" x14ac:dyDescent="0.15">
      <c r="B23" s="252"/>
      <c r="C23" s="14"/>
      <c r="D23" s="14"/>
      <c r="E23" s="14" t="s">
        <v>98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I23" s="9"/>
      <c r="AQ23" s="14"/>
      <c r="AR23" s="14" t="s">
        <v>99</v>
      </c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</row>
    <row r="24" spans="2:66" s="1" customFormat="1" x14ac:dyDescent="0.15">
      <c r="B24" s="252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I24" s="9"/>
      <c r="AQ24" s="14"/>
      <c r="AR24" s="14"/>
      <c r="AS24" s="14" t="s">
        <v>100</v>
      </c>
      <c r="AT24" s="14"/>
      <c r="AU24" s="14"/>
      <c r="AV24" s="14"/>
      <c r="AW24" s="14"/>
      <c r="AX24" s="14"/>
      <c r="AY24" s="14"/>
      <c r="AZ24" s="14" t="s">
        <v>96</v>
      </c>
      <c r="BA24" s="14"/>
      <c r="BB24" s="14" t="s">
        <v>101</v>
      </c>
      <c r="BC24" s="14"/>
      <c r="BD24" s="14"/>
      <c r="BE24" s="14"/>
      <c r="BF24" s="14"/>
    </row>
    <row r="25" spans="2:66" s="1" customFormat="1" x14ac:dyDescent="0.15">
      <c r="B25" s="252"/>
      <c r="C25" s="42" t="s">
        <v>102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I25" s="9"/>
    </row>
    <row r="26" spans="2:66" s="1" customFormat="1" x14ac:dyDescent="0.15">
      <c r="B26" s="252"/>
      <c r="C26" s="14" t="s">
        <v>92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I26" s="9"/>
      <c r="AQ26" s="14" t="s">
        <v>91</v>
      </c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</row>
    <row r="27" spans="2:66" s="1" customFormat="1" x14ac:dyDescent="0.15">
      <c r="B27" s="252"/>
      <c r="C27" s="14"/>
      <c r="D27" s="14" t="s">
        <v>93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I27" s="9"/>
      <c r="AQ27" s="14" t="s">
        <v>103</v>
      </c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</row>
    <row r="28" spans="2:66" s="1" customFormat="1" x14ac:dyDescent="0.15">
      <c r="B28" s="252"/>
      <c r="C28" s="14"/>
      <c r="D28" s="14"/>
      <c r="E28" s="14" t="s">
        <v>95</v>
      </c>
      <c r="F28" s="14"/>
      <c r="G28" s="14"/>
      <c r="H28" s="14"/>
      <c r="I28" s="14"/>
      <c r="J28" s="14"/>
      <c r="K28" s="14"/>
      <c r="L28" s="14" t="s">
        <v>96</v>
      </c>
      <c r="N28" s="14" t="s">
        <v>97</v>
      </c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I28" s="9"/>
      <c r="AQ28" s="14"/>
      <c r="AR28" s="14" t="s">
        <v>104</v>
      </c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</row>
    <row r="29" spans="2:66" s="1" customFormat="1" x14ac:dyDescent="0.15">
      <c r="B29" s="252"/>
      <c r="C29" s="14"/>
      <c r="D29" s="14" t="s">
        <v>99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I29" s="9"/>
      <c r="AQ29" s="14"/>
      <c r="AR29" s="14"/>
      <c r="AS29" s="14" t="s">
        <v>95</v>
      </c>
      <c r="AT29" s="14"/>
      <c r="AU29" s="14"/>
      <c r="AV29" s="14"/>
      <c r="AW29" s="14"/>
      <c r="AX29" s="14"/>
      <c r="AY29" s="14"/>
      <c r="AZ29" s="14" t="s">
        <v>96</v>
      </c>
      <c r="BB29" s="14" t="s">
        <v>105</v>
      </c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</row>
    <row r="30" spans="2:66" s="1" customFormat="1" x14ac:dyDescent="0.15">
      <c r="B30" s="252"/>
      <c r="C30" s="14"/>
      <c r="D30" s="14"/>
      <c r="E30" s="14" t="s">
        <v>106</v>
      </c>
      <c r="F30" s="14"/>
      <c r="G30" s="14"/>
      <c r="H30" s="14"/>
      <c r="I30" s="14"/>
      <c r="J30" s="14"/>
      <c r="K30" s="14"/>
      <c r="M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I30" s="9"/>
      <c r="AQ30" s="14"/>
      <c r="AR30" s="14" t="s">
        <v>107</v>
      </c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</row>
    <row r="31" spans="2:66" s="1" customFormat="1" x14ac:dyDescent="0.15">
      <c r="B31" s="252"/>
      <c r="F31" s="14" t="s">
        <v>96</v>
      </c>
      <c r="H31" s="14" t="s">
        <v>108</v>
      </c>
      <c r="AI31" s="9"/>
      <c r="AQ31" s="14"/>
      <c r="AR31" s="14"/>
      <c r="AS31" s="14" t="s">
        <v>100</v>
      </c>
      <c r="AT31" s="14"/>
      <c r="AU31" s="14"/>
      <c r="AV31" s="14"/>
      <c r="AW31" s="14"/>
      <c r="AX31" s="14"/>
      <c r="AY31" s="14"/>
      <c r="AZ31" s="14" t="s">
        <v>96</v>
      </c>
      <c r="BA31" s="14"/>
      <c r="BB31" s="14" t="s">
        <v>109</v>
      </c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</row>
    <row r="32" spans="2:66" s="1" customFormat="1" x14ac:dyDescent="0.15">
      <c r="B32" s="252"/>
      <c r="C32" s="14" t="s">
        <v>110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I32" s="9"/>
      <c r="AQ32" s="14"/>
      <c r="AR32" s="14" t="s">
        <v>111</v>
      </c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</row>
    <row r="33" spans="2:66" s="1" customFormat="1" x14ac:dyDescent="0.15">
      <c r="B33" s="252"/>
      <c r="C33" s="14" t="s">
        <v>112</v>
      </c>
      <c r="D33" s="14"/>
      <c r="E33" s="14"/>
      <c r="F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I33" s="9"/>
      <c r="AQ33" s="14"/>
      <c r="AR33" s="14"/>
      <c r="AS33" s="14" t="s">
        <v>113</v>
      </c>
      <c r="AT33" s="14"/>
      <c r="AU33" s="14"/>
      <c r="AV33" s="14"/>
      <c r="AW33" s="14"/>
      <c r="AX33" s="14"/>
      <c r="AY33" s="14"/>
      <c r="AZ33" s="14" t="s">
        <v>96</v>
      </c>
      <c r="BA33" s="14"/>
      <c r="BB33" s="14" t="s">
        <v>114</v>
      </c>
      <c r="BC33" s="14"/>
      <c r="BD33" s="14"/>
      <c r="BE33" s="14"/>
      <c r="BF33" s="14"/>
      <c r="BG33" s="14"/>
      <c r="BH33" s="14"/>
      <c r="BI33" s="14"/>
      <c r="BJ33" s="14"/>
      <c r="BK33" s="14"/>
    </row>
    <row r="34" spans="2:66" s="1" customFormat="1" x14ac:dyDescent="0.15">
      <c r="B34" s="252"/>
      <c r="C34" s="14" t="s">
        <v>115</v>
      </c>
      <c r="D34" s="14"/>
      <c r="E34" s="14"/>
      <c r="F34" s="14"/>
      <c r="AI34" s="9"/>
      <c r="AR34" s="14" t="s">
        <v>116</v>
      </c>
      <c r="BD34" s="14"/>
      <c r="BE34" s="14"/>
      <c r="BF34" s="14"/>
      <c r="BG34" s="14"/>
      <c r="BH34" s="14"/>
      <c r="BI34" s="14"/>
      <c r="BJ34" s="14"/>
      <c r="BK34" s="14"/>
    </row>
    <row r="35" spans="2:66" s="1" customFormat="1" x14ac:dyDescent="0.15">
      <c r="B35" s="252"/>
      <c r="C35" s="14"/>
      <c r="D35" s="14" t="s">
        <v>117</v>
      </c>
      <c r="E35" s="14"/>
      <c r="F35" s="14"/>
      <c r="AI35" s="9"/>
      <c r="AQ35" s="14"/>
      <c r="AR35" s="14"/>
      <c r="AS35" s="14" t="s">
        <v>118</v>
      </c>
      <c r="AT35" s="14"/>
      <c r="AU35" s="14"/>
      <c r="AV35" s="14"/>
      <c r="AW35" s="14"/>
      <c r="AX35" s="14"/>
      <c r="AY35" s="14"/>
      <c r="AZ35" s="14" t="s">
        <v>96</v>
      </c>
      <c r="BA35" s="14"/>
      <c r="BB35" s="14" t="s">
        <v>119</v>
      </c>
      <c r="BC35" s="14"/>
      <c r="BD35" s="14"/>
      <c r="BE35" s="14"/>
      <c r="BF35" s="14"/>
      <c r="BG35" s="14"/>
      <c r="BH35" s="14"/>
      <c r="BI35" s="14"/>
      <c r="BJ35" s="14"/>
      <c r="BK35" s="14"/>
    </row>
    <row r="36" spans="2:66" s="1" customFormat="1" x14ac:dyDescent="0.15">
      <c r="B36" s="252"/>
      <c r="C36" s="42"/>
      <c r="D36" s="14"/>
      <c r="E36" s="14" t="s">
        <v>120</v>
      </c>
      <c r="F36" s="14"/>
      <c r="AI36" s="9"/>
    </row>
    <row r="37" spans="2:66" s="1" customFormat="1" x14ac:dyDescent="0.15">
      <c r="B37" s="252"/>
      <c r="C37" s="14"/>
      <c r="D37" s="14"/>
      <c r="E37" s="14" t="s">
        <v>121</v>
      </c>
      <c r="F37" s="14"/>
      <c r="AI37" s="9"/>
    </row>
    <row r="38" spans="2:66" s="1" customFormat="1" x14ac:dyDescent="0.15">
      <c r="B38" s="252"/>
      <c r="AI38" s="9"/>
      <c r="AQ38" s="14" t="s">
        <v>91</v>
      </c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</row>
    <row r="39" spans="2:66" s="1" customFormat="1" x14ac:dyDescent="0.15">
      <c r="B39" s="252"/>
      <c r="C39" s="322" t="s">
        <v>122</v>
      </c>
      <c r="AI39" s="9"/>
      <c r="AQ39" s="14" t="s">
        <v>123</v>
      </c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66" s="1" customFormat="1" x14ac:dyDescent="0.15">
      <c r="B40" s="252"/>
      <c r="C40" s="115" t="s">
        <v>124</v>
      </c>
      <c r="AI40" s="9"/>
      <c r="AQ40" s="14"/>
      <c r="AR40" s="14" t="s">
        <v>104</v>
      </c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66" s="1" customFormat="1" x14ac:dyDescent="0.15">
      <c r="B41" s="252"/>
      <c r="AI41" s="9"/>
      <c r="AQ41" s="14"/>
      <c r="AR41" s="14"/>
      <c r="AS41" s="14" t="s">
        <v>95</v>
      </c>
      <c r="AT41" s="14"/>
      <c r="AU41" s="14"/>
      <c r="AV41" s="14"/>
      <c r="AW41" s="14"/>
      <c r="AX41" s="14"/>
      <c r="AY41" s="14"/>
      <c r="AZ41" s="14" t="s">
        <v>96</v>
      </c>
      <c r="BB41" s="14" t="s">
        <v>125</v>
      </c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66" s="1" customFormat="1" x14ac:dyDescent="0.15">
      <c r="B42" s="252"/>
      <c r="AI42" s="9"/>
      <c r="AQ42" s="14"/>
      <c r="AR42" s="14" t="s">
        <v>126</v>
      </c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66" s="1" customFormat="1" x14ac:dyDescent="0.15">
      <c r="B43" s="252"/>
      <c r="AI43" s="9"/>
      <c r="AQ43" s="14"/>
      <c r="AR43" s="14"/>
      <c r="AS43" s="14" t="s">
        <v>100</v>
      </c>
      <c r="AT43" s="14"/>
      <c r="AU43" s="14"/>
      <c r="AV43" s="14"/>
      <c r="AW43" s="14"/>
      <c r="AX43" s="14"/>
      <c r="AY43" s="14"/>
      <c r="AZ43" s="14" t="s">
        <v>96</v>
      </c>
      <c r="BA43" s="14"/>
      <c r="BB43" s="14" t="s">
        <v>100</v>
      </c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</row>
    <row r="44" spans="2:66" s="1" customFormat="1" x14ac:dyDescent="0.15">
      <c r="B44" s="252"/>
      <c r="AI44" s="9"/>
      <c r="AQ44" s="14"/>
      <c r="AR44" s="14" t="s">
        <v>111</v>
      </c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</row>
    <row r="45" spans="2:66" s="1" customFormat="1" x14ac:dyDescent="0.15">
      <c r="B45" s="252"/>
      <c r="AI45" s="9"/>
      <c r="AQ45" s="14"/>
      <c r="AR45" s="14"/>
      <c r="AS45" s="14" t="s">
        <v>127</v>
      </c>
      <c r="AT45" s="14"/>
      <c r="AU45" s="14"/>
      <c r="AV45" s="14"/>
      <c r="AW45" s="14"/>
      <c r="AX45" s="14"/>
      <c r="AY45" s="14"/>
      <c r="AZ45" s="14" t="s">
        <v>96</v>
      </c>
      <c r="BA45" s="14"/>
      <c r="BB45" s="14" t="s">
        <v>128</v>
      </c>
      <c r="BC45" s="14"/>
      <c r="BD45" s="14"/>
      <c r="BE45" s="14"/>
      <c r="BF45" s="14"/>
      <c r="BG45" s="14"/>
      <c r="BH45" s="14"/>
      <c r="BI45" s="14"/>
      <c r="BJ45" s="14"/>
      <c r="BK45" s="14"/>
    </row>
    <row r="46" spans="2:66" s="1" customFormat="1" x14ac:dyDescent="0.15">
      <c r="B46" s="252"/>
      <c r="AI46" s="9"/>
      <c r="AR46" s="14"/>
      <c r="BB46" s="115" t="s">
        <v>129</v>
      </c>
      <c r="BD46" s="14"/>
      <c r="BE46" s="14"/>
      <c r="BF46" s="14"/>
      <c r="BG46" s="14"/>
      <c r="BH46" s="14"/>
      <c r="BI46" s="14"/>
      <c r="BJ46" s="14"/>
      <c r="BK46" s="14"/>
    </row>
    <row r="47" spans="2:66" s="1" customFormat="1" x14ac:dyDescent="0.15">
      <c r="B47" s="252"/>
      <c r="AI47" s="9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</row>
    <row r="48" spans="2:66" s="1" customFormat="1" x14ac:dyDescent="0.15">
      <c r="B48" s="252"/>
      <c r="AI48" s="9"/>
    </row>
    <row r="49" spans="2:35" s="1" customFormat="1" x14ac:dyDescent="0.15">
      <c r="B49" s="252"/>
      <c r="AI49" s="9"/>
    </row>
    <row r="50" spans="2:35" s="1" customFormat="1" x14ac:dyDescent="0.15">
      <c r="B50" s="252"/>
      <c r="AI50" s="9"/>
    </row>
    <row r="51" spans="2:35" s="1" customFormat="1" x14ac:dyDescent="0.15">
      <c r="B51" s="252"/>
      <c r="AI51" s="9"/>
    </row>
    <row r="52" spans="2:35" s="1" customFormat="1" x14ac:dyDescent="0.15">
      <c r="B52" s="252"/>
      <c r="AI52" s="9"/>
    </row>
    <row r="53" spans="2:35" s="1" customFormat="1" x14ac:dyDescent="0.15">
      <c r="B53" s="252"/>
      <c r="AI53" s="9"/>
    </row>
    <row r="54" spans="2:35" s="1" customFormat="1" x14ac:dyDescent="0.15">
      <c r="B54" s="252"/>
      <c r="AI54" s="9"/>
    </row>
    <row r="55" spans="2:35" s="1" customFormat="1" x14ac:dyDescent="0.15">
      <c r="B55" s="252"/>
      <c r="AI55" s="9"/>
    </row>
    <row r="56" spans="2:35" s="1" customFormat="1" x14ac:dyDescent="0.15">
      <c r="B56" s="252"/>
      <c r="AI56" s="9"/>
    </row>
    <row r="57" spans="2:35" s="1" customFormat="1" x14ac:dyDescent="0.15">
      <c r="B57" s="252"/>
      <c r="AI57" s="9"/>
    </row>
    <row r="58" spans="2:35" s="1" customFormat="1" x14ac:dyDescent="0.15">
      <c r="B58" s="252"/>
      <c r="AI58" s="9"/>
    </row>
    <row r="59" spans="2:35" s="1" customFormat="1" x14ac:dyDescent="0.15">
      <c r="B59" s="155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1"/>
    </row>
  </sheetData>
  <mergeCells count="40">
    <mergeCell ref="F2:AA2"/>
    <mergeCell ref="AE2:AI2"/>
    <mergeCell ref="F3:AA3"/>
    <mergeCell ref="AE3:AI3"/>
    <mergeCell ref="F4:AA4"/>
    <mergeCell ref="AB4:AD4"/>
    <mergeCell ref="AE4:AI4"/>
    <mergeCell ref="C9:H9"/>
    <mergeCell ref="I10:N10"/>
    <mergeCell ref="O10:T10"/>
    <mergeCell ref="U10:Z10"/>
    <mergeCell ref="I12:N12"/>
    <mergeCell ref="O12:T12"/>
    <mergeCell ref="U12:Z12"/>
    <mergeCell ref="I11:N11"/>
    <mergeCell ref="I13:N13"/>
    <mergeCell ref="O13:T13"/>
    <mergeCell ref="U13:Z13"/>
    <mergeCell ref="I14:N14"/>
    <mergeCell ref="O14:T14"/>
    <mergeCell ref="U14:Z14"/>
    <mergeCell ref="I15:N15"/>
    <mergeCell ref="O15:T15"/>
    <mergeCell ref="U15:Z15"/>
    <mergeCell ref="I16:N16"/>
    <mergeCell ref="O16:T16"/>
    <mergeCell ref="U16:Z16"/>
    <mergeCell ref="I17:N17"/>
    <mergeCell ref="I21:N21"/>
    <mergeCell ref="O21:T21"/>
    <mergeCell ref="U21:Z21"/>
    <mergeCell ref="O18:T18"/>
    <mergeCell ref="U18:Z18"/>
    <mergeCell ref="O19:T19"/>
    <mergeCell ref="U19:Z19"/>
    <mergeCell ref="O20:T20"/>
    <mergeCell ref="U20:Z20"/>
    <mergeCell ref="I18:N18"/>
    <mergeCell ref="I19:N19"/>
    <mergeCell ref="I20:N20"/>
  </mergeCells>
  <phoneticPr fontId="21"/>
  <pageMargins left="0.59055118110236227" right="0.47244094488188981" top="0.43307086614173229" bottom="0.39370078740157483" header="0.23622047244094491" footer="0.39370078740157483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11"/>
  </sheetPr>
  <dimension ref="B1:AI59"/>
  <sheetViews>
    <sheetView showGridLines="0" view="pageBreakPreview" zoomScaleNormal="100" workbookViewId="0">
      <selection activeCell="AO5" sqref="AO5"/>
    </sheetView>
  </sheetViews>
  <sheetFormatPr defaultColWidth="2.625" defaultRowHeight="13.5" x14ac:dyDescent="0.15"/>
  <cols>
    <col min="1" max="1" width="1.75" style="6" customWidth="1"/>
    <col min="2" max="35" width="2.625" style="6" customWidth="1"/>
    <col min="36" max="36" width="1.875" style="6" customWidth="1"/>
    <col min="37" max="16384" width="2.625" style="6"/>
  </cols>
  <sheetData>
    <row r="1" spans="2:35" s="1" customFormat="1" x14ac:dyDescent="0.15">
      <c r="AI1" s="7"/>
    </row>
    <row r="2" spans="2:35" s="40" customFormat="1" ht="16.5" customHeight="1" x14ac:dyDescent="0.15">
      <c r="B2" s="58" t="s">
        <v>80</v>
      </c>
      <c r="C2" s="81"/>
      <c r="D2" s="253"/>
      <c r="E2" s="19"/>
      <c r="F2" s="580" t="str">
        <f>IF(LEN(見積総括表!$G$4)=0,"",見積総括表!$G$4)</f>
        <v/>
      </c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81"/>
      <c r="AA2" s="582"/>
      <c r="AB2" s="18" t="s">
        <v>21</v>
      </c>
      <c r="AC2" s="17"/>
      <c r="AD2" s="17"/>
      <c r="AE2" s="583" t="str">
        <f>IF(LEN(見積総括表!$G$3)=0,"",見積総括表!$G$3)</f>
        <v/>
      </c>
      <c r="AF2" s="584"/>
      <c r="AG2" s="584"/>
      <c r="AH2" s="584"/>
      <c r="AI2" s="585"/>
    </row>
    <row r="3" spans="2:35" s="41" customFormat="1" ht="16.5" customHeight="1" x14ac:dyDescent="0.15">
      <c r="B3" s="58" t="s">
        <v>81</v>
      </c>
      <c r="C3" s="81"/>
      <c r="D3" s="17"/>
      <c r="E3" s="19"/>
      <c r="F3" s="580" t="str">
        <f>IF(LEN(見積総括表!$G$5)=0,"",見積総括表!$G$5)</f>
        <v/>
      </c>
      <c r="G3" s="581"/>
      <c r="H3" s="581"/>
      <c r="I3" s="581"/>
      <c r="J3" s="581"/>
      <c r="K3" s="581"/>
      <c r="L3" s="581"/>
      <c r="M3" s="581"/>
      <c r="N3" s="581"/>
      <c r="O3" s="581"/>
      <c r="P3" s="581"/>
      <c r="Q3" s="581"/>
      <c r="R3" s="581"/>
      <c r="S3" s="581"/>
      <c r="T3" s="581"/>
      <c r="U3" s="581"/>
      <c r="V3" s="581"/>
      <c r="W3" s="581"/>
      <c r="X3" s="581"/>
      <c r="Y3" s="581"/>
      <c r="Z3" s="581"/>
      <c r="AA3" s="582"/>
      <c r="AB3" s="18" t="s">
        <v>82</v>
      </c>
      <c r="AC3" s="17"/>
      <c r="AD3" s="17"/>
      <c r="AE3" s="580" t="str">
        <f>IF(LEN(原価明細②!L3)=0,"",原価明細②!L3)</f>
        <v/>
      </c>
      <c r="AF3" s="581"/>
      <c r="AG3" s="581"/>
      <c r="AH3" s="581"/>
      <c r="AI3" s="582"/>
    </row>
    <row r="4" spans="2:35" s="41" customFormat="1" ht="16.5" customHeight="1" x14ac:dyDescent="0.15">
      <c r="B4" s="58" t="s">
        <v>26</v>
      </c>
      <c r="C4" s="81"/>
      <c r="D4" s="17"/>
      <c r="E4" s="254"/>
      <c r="F4" s="580" t="str">
        <f>IF(LEN(見積総括表!$G$6)=0,"",見積総括表!$G$6)</f>
        <v/>
      </c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2"/>
      <c r="AB4" s="586" t="s">
        <v>27</v>
      </c>
      <c r="AC4" s="587"/>
      <c r="AD4" s="588"/>
      <c r="AE4" s="589" t="str">
        <f>IF(LEN(見積総括表!$G$7)=0,"",見積総括表!$G$7)</f>
        <v/>
      </c>
      <c r="AF4" s="590"/>
      <c r="AG4" s="590"/>
      <c r="AH4" s="590"/>
      <c r="AI4" s="591"/>
    </row>
    <row r="5" spans="2:35" s="14" customFormat="1" ht="15.95" customHeight="1" x14ac:dyDescent="0.15">
      <c r="G5" s="21"/>
      <c r="H5" s="79"/>
      <c r="I5" s="21"/>
      <c r="J5" s="21"/>
      <c r="K5" s="54"/>
      <c r="L5" s="21"/>
      <c r="M5" s="79"/>
      <c r="N5" s="21"/>
      <c r="O5" s="21"/>
      <c r="P5" s="54"/>
      <c r="Q5" s="21"/>
    </row>
    <row r="6" spans="2:35" s="1" customFormat="1" x14ac:dyDescent="0.15">
      <c r="B6" s="255" t="s">
        <v>130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2"/>
    </row>
    <row r="7" spans="2:35" s="1" customFormat="1" x14ac:dyDescent="0.15">
      <c r="B7" s="252"/>
      <c r="AI7" s="9"/>
    </row>
    <row r="8" spans="2:35" s="1" customFormat="1" x14ac:dyDescent="0.15">
      <c r="B8" s="252"/>
      <c r="AI8" s="9"/>
    </row>
    <row r="9" spans="2:35" s="1" customFormat="1" x14ac:dyDescent="0.15">
      <c r="B9" s="252"/>
      <c r="AI9" s="9"/>
    </row>
    <row r="10" spans="2:35" s="1" customFormat="1" x14ac:dyDescent="0.15">
      <c r="B10" s="252"/>
      <c r="AI10" s="9"/>
    </row>
    <row r="11" spans="2:35" s="1" customFormat="1" x14ac:dyDescent="0.15">
      <c r="B11" s="252"/>
      <c r="AI11" s="9"/>
    </row>
    <row r="12" spans="2:35" s="1" customFormat="1" x14ac:dyDescent="0.15">
      <c r="B12" s="252"/>
      <c r="AI12" s="9"/>
    </row>
    <row r="13" spans="2:35" s="1" customFormat="1" x14ac:dyDescent="0.15">
      <c r="B13" s="252"/>
      <c r="AI13" s="9"/>
    </row>
    <row r="14" spans="2:35" s="1" customFormat="1" x14ac:dyDescent="0.15">
      <c r="B14" s="252"/>
      <c r="AI14" s="9"/>
    </row>
    <row r="15" spans="2:35" s="1" customFormat="1" x14ac:dyDescent="0.15">
      <c r="B15" s="252"/>
      <c r="AI15" s="9"/>
    </row>
    <row r="16" spans="2:35" s="1" customFormat="1" x14ac:dyDescent="0.15">
      <c r="B16" s="252"/>
      <c r="AI16" s="9"/>
    </row>
    <row r="17" spans="2:35" s="1" customFormat="1" x14ac:dyDescent="0.15">
      <c r="B17" s="256"/>
      <c r="C17" s="257"/>
      <c r="T17" s="258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261"/>
    </row>
    <row r="18" spans="2:35" s="1" customFormat="1" x14ac:dyDescent="0.15">
      <c r="B18" s="259"/>
      <c r="AI18" s="9"/>
    </row>
    <row r="19" spans="2:35" s="1" customFormat="1" ht="13.5" customHeight="1" x14ac:dyDescent="0.15">
      <c r="B19" s="259"/>
      <c r="AI19" s="9"/>
    </row>
    <row r="20" spans="2:35" s="1" customFormat="1" x14ac:dyDescent="0.15">
      <c r="B20" s="260"/>
      <c r="AI20" s="261"/>
    </row>
    <row r="21" spans="2:35" s="1" customFormat="1" x14ac:dyDescent="0.15">
      <c r="B21" s="260"/>
      <c r="C21" s="14"/>
      <c r="T21" s="258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261"/>
    </row>
    <row r="22" spans="2:35" s="1" customFormat="1" x14ac:dyDescent="0.15">
      <c r="B22" s="252"/>
      <c r="AI22" s="9"/>
    </row>
    <row r="23" spans="2:35" s="1" customFormat="1" x14ac:dyDescent="0.15">
      <c r="B23" s="252"/>
      <c r="AI23" s="9"/>
    </row>
    <row r="24" spans="2:35" s="1" customFormat="1" x14ac:dyDescent="0.15">
      <c r="B24" s="252"/>
      <c r="AI24" s="9"/>
    </row>
    <row r="25" spans="2:35" s="1" customFormat="1" x14ac:dyDescent="0.15">
      <c r="B25" s="252"/>
      <c r="AI25" s="9"/>
    </row>
    <row r="26" spans="2:35" s="1" customFormat="1" x14ac:dyDescent="0.15">
      <c r="B26" s="252"/>
      <c r="AI26" s="9"/>
    </row>
    <row r="27" spans="2:35" s="1" customFormat="1" x14ac:dyDescent="0.15">
      <c r="B27" s="252"/>
      <c r="AI27" s="9"/>
    </row>
    <row r="28" spans="2:35" s="1" customFormat="1" x14ac:dyDescent="0.15">
      <c r="B28" s="252"/>
      <c r="AI28" s="9"/>
    </row>
    <row r="29" spans="2:35" s="1" customFormat="1" x14ac:dyDescent="0.15">
      <c r="B29" s="252"/>
      <c r="AI29" s="9"/>
    </row>
    <row r="30" spans="2:35" s="1" customFormat="1" x14ac:dyDescent="0.15">
      <c r="B30" s="252"/>
      <c r="AI30" s="9"/>
    </row>
    <row r="31" spans="2:35" s="1" customFormat="1" x14ac:dyDescent="0.15">
      <c r="B31" s="252"/>
      <c r="AI31" s="9"/>
    </row>
    <row r="32" spans="2:35" s="1" customFormat="1" x14ac:dyDescent="0.15">
      <c r="B32" s="252"/>
      <c r="AI32" s="9"/>
    </row>
    <row r="33" spans="2:35" s="1" customFormat="1" x14ac:dyDescent="0.15">
      <c r="B33" s="252"/>
      <c r="AI33" s="9"/>
    </row>
    <row r="34" spans="2:35" s="1" customFormat="1" x14ac:dyDescent="0.15">
      <c r="B34" s="252"/>
      <c r="AI34" s="9"/>
    </row>
    <row r="35" spans="2:35" s="1" customFormat="1" x14ac:dyDescent="0.15">
      <c r="B35" s="252"/>
      <c r="AI35" s="9"/>
    </row>
    <row r="36" spans="2:35" s="1" customFormat="1" x14ac:dyDescent="0.15">
      <c r="B36" s="252"/>
      <c r="AI36" s="9"/>
    </row>
    <row r="37" spans="2:35" s="1" customFormat="1" x14ac:dyDescent="0.15">
      <c r="B37" s="252"/>
      <c r="AI37" s="9"/>
    </row>
    <row r="38" spans="2:35" s="1" customFormat="1" x14ac:dyDescent="0.15">
      <c r="B38" s="252"/>
      <c r="AI38" s="9"/>
    </row>
    <row r="39" spans="2:35" s="1" customFormat="1" x14ac:dyDescent="0.15">
      <c r="B39" s="252"/>
      <c r="AI39" s="9"/>
    </row>
    <row r="40" spans="2:35" s="1" customFormat="1" x14ac:dyDescent="0.15">
      <c r="B40" s="252"/>
      <c r="AI40" s="9"/>
    </row>
    <row r="41" spans="2:35" s="1" customFormat="1" x14ac:dyDescent="0.15">
      <c r="B41" s="252"/>
      <c r="AI41" s="9"/>
    </row>
    <row r="42" spans="2:35" s="1" customFormat="1" x14ac:dyDescent="0.15">
      <c r="B42" s="252"/>
      <c r="AI42" s="9"/>
    </row>
    <row r="43" spans="2:35" s="1" customFormat="1" x14ac:dyDescent="0.15">
      <c r="B43" s="252"/>
      <c r="AI43" s="9"/>
    </row>
    <row r="44" spans="2:35" s="1" customFormat="1" x14ac:dyDescent="0.15">
      <c r="B44" s="252"/>
      <c r="AI44" s="9"/>
    </row>
    <row r="45" spans="2:35" s="1" customFormat="1" x14ac:dyDescent="0.15">
      <c r="B45" s="252"/>
      <c r="AI45" s="9"/>
    </row>
    <row r="46" spans="2:35" s="1" customFormat="1" x14ac:dyDescent="0.15">
      <c r="B46" s="252"/>
      <c r="AI46" s="9"/>
    </row>
    <row r="47" spans="2:35" s="1" customFormat="1" x14ac:dyDescent="0.15">
      <c r="B47" s="252"/>
      <c r="AI47" s="9"/>
    </row>
    <row r="48" spans="2:35" s="1" customFormat="1" x14ac:dyDescent="0.15">
      <c r="B48" s="252"/>
      <c r="AI48" s="9"/>
    </row>
    <row r="49" spans="2:35" s="1" customFormat="1" x14ac:dyDescent="0.15">
      <c r="B49" s="252"/>
      <c r="AI49" s="9"/>
    </row>
    <row r="50" spans="2:35" s="1" customFormat="1" x14ac:dyDescent="0.15">
      <c r="B50" s="252"/>
      <c r="AI50" s="9"/>
    </row>
    <row r="51" spans="2:35" s="1" customFormat="1" x14ac:dyDescent="0.15">
      <c r="B51" s="252"/>
      <c r="AI51" s="9"/>
    </row>
    <row r="52" spans="2:35" s="1" customFormat="1" x14ac:dyDescent="0.15">
      <c r="B52" s="252"/>
      <c r="AI52" s="9"/>
    </row>
    <row r="53" spans="2:35" s="1" customFormat="1" x14ac:dyDescent="0.15">
      <c r="B53" s="252"/>
      <c r="AI53" s="9"/>
    </row>
    <row r="54" spans="2:35" s="1" customFormat="1" x14ac:dyDescent="0.15">
      <c r="B54" s="252"/>
      <c r="AI54" s="9"/>
    </row>
    <row r="55" spans="2:35" s="1" customFormat="1" x14ac:dyDescent="0.15">
      <c r="B55" s="252"/>
      <c r="AI55" s="9"/>
    </row>
    <row r="56" spans="2:35" s="1" customFormat="1" x14ac:dyDescent="0.15">
      <c r="B56" s="252"/>
      <c r="AI56" s="9"/>
    </row>
    <row r="57" spans="2:35" s="1" customFormat="1" x14ac:dyDescent="0.15">
      <c r="B57" s="252"/>
      <c r="AI57" s="9"/>
    </row>
    <row r="58" spans="2:35" s="1" customFormat="1" x14ac:dyDescent="0.15">
      <c r="B58" s="252"/>
      <c r="AI58" s="9"/>
    </row>
    <row r="59" spans="2:35" s="1" customFormat="1" x14ac:dyDescent="0.15">
      <c r="B59" s="155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1"/>
    </row>
  </sheetData>
  <mergeCells count="7">
    <mergeCell ref="AE4:AI4"/>
    <mergeCell ref="AE2:AI2"/>
    <mergeCell ref="F2:AA2"/>
    <mergeCell ref="F3:AA3"/>
    <mergeCell ref="F4:AA4"/>
    <mergeCell ref="AE3:AI3"/>
    <mergeCell ref="AB4:AD4"/>
  </mergeCells>
  <phoneticPr fontId="21"/>
  <pageMargins left="0.59055118110236227" right="0.47244094488188981" top="0.43307086614173229" bottom="0.39370078740157483" header="0.23622047244094491" footer="0.3937007874015748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7"/>
    <pageSetUpPr fitToPage="1"/>
  </sheetPr>
  <dimension ref="A1:R33"/>
  <sheetViews>
    <sheetView showGridLines="0" view="pageBreakPreview" zoomScaleNormal="100" zoomScaleSheetLayoutView="100" workbookViewId="0">
      <pane xSplit="6" topLeftCell="G1" activePane="topRight" state="frozen"/>
      <selection activeCell="I26" sqref="I26"/>
      <selection pane="topRight" activeCell="H40" sqref="H40"/>
    </sheetView>
  </sheetViews>
  <sheetFormatPr defaultColWidth="2.625" defaultRowHeight="11.25" x14ac:dyDescent="0.15"/>
  <cols>
    <col min="1" max="2" width="3.125" style="23" customWidth="1"/>
    <col min="3" max="4" width="15.625" style="30" customWidth="1"/>
    <col min="5" max="6" width="3.125" style="30" customWidth="1"/>
    <col min="7" max="13" width="10.625" style="30" customWidth="1"/>
    <col min="14" max="14" width="40.625" style="26" customWidth="1"/>
    <col min="15" max="255" width="2.625" style="23" customWidth="1"/>
    <col min="256" max="16384" width="2.625" style="23"/>
  </cols>
  <sheetData>
    <row r="1" spans="1:18" ht="17.25" x14ac:dyDescent="0.15">
      <c r="A1" s="109" t="s">
        <v>131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8" ht="15" customHeight="1" x14ac:dyDescent="0.15"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92" t="str">
        <f>"（見積No."&amp;見積総括表!P10&amp;"）"</f>
        <v>（見積No.05SC4911）</v>
      </c>
      <c r="O2" s="6"/>
      <c r="P2" s="6"/>
      <c r="Q2" s="1"/>
      <c r="R2" s="1"/>
    </row>
    <row r="3" spans="1:18" ht="15" customHeight="1" x14ac:dyDescent="0.15">
      <c r="A3" s="93" t="s">
        <v>132</v>
      </c>
      <c r="B3" s="94"/>
      <c r="C3" s="94"/>
      <c r="D3" s="94"/>
      <c r="E3" s="94"/>
      <c r="F3" s="94"/>
      <c r="G3" s="93" t="s">
        <v>133</v>
      </c>
      <c r="H3" s="106"/>
      <c r="I3" s="106"/>
      <c r="J3" s="198"/>
      <c r="K3" s="106"/>
      <c r="L3" s="106"/>
      <c r="M3" s="235"/>
      <c r="N3" s="124" t="s">
        <v>134</v>
      </c>
      <c r="O3" s="6"/>
      <c r="P3" s="6"/>
      <c r="Q3" s="1"/>
      <c r="R3" s="1"/>
    </row>
    <row r="4" spans="1:18" ht="15" customHeight="1" x14ac:dyDescent="0.15">
      <c r="A4" s="107"/>
      <c r="B4" s="108"/>
      <c r="C4" s="108"/>
      <c r="D4" s="108"/>
      <c r="E4" s="108"/>
      <c r="F4" s="108"/>
      <c r="G4" s="263" t="str">
        <f>見積総括表!$E$20</f>
        <v/>
      </c>
      <c r="H4" s="263" t="str">
        <f>見積総括表!$E$21</f>
        <v/>
      </c>
      <c r="I4" s="263" t="str">
        <f>見積総括表!$E$22</f>
        <v/>
      </c>
      <c r="J4" s="263" t="str">
        <f>見積総括表!$E$23</f>
        <v/>
      </c>
      <c r="K4" s="263" t="str">
        <f>見積総括表!$E$24</f>
        <v/>
      </c>
      <c r="L4" s="263" t="str">
        <f>見積総括表!$E$25</f>
        <v/>
      </c>
      <c r="M4" s="263" t="str">
        <f>見積総括表!$E$26</f>
        <v/>
      </c>
      <c r="N4" s="27"/>
      <c r="O4" s="6"/>
      <c r="P4" s="6"/>
      <c r="Q4" s="1"/>
      <c r="R4" s="1"/>
    </row>
    <row r="5" spans="1:18" ht="15" customHeight="1" x14ac:dyDescent="0.15">
      <c r="A5" s="95" t="s">
        <v>135</v>
      </c>
      <c r="B5" s="96"/>
      <c r="C5" s="96"/>
      <c r="D5" s="96"/>
      <c r="E5" s="96"/>
      <c r="F5" s="96"/>
      <c r="G5" s="97"/>
      <c r="H5" s="97"/>
      <c r="I5" s="97"/>
      <c r="J5" s="97"/>
      <c r="K5" s="97"/>
      <c r="L5" s="97"/>
      <c r="M5" s="97"/>
      <c r="N5" s="97"/>
      <c r="O5" s="6"/>
      <c r="P5" s="6"/>
      <c r="Q5" s="1"/>
      <c r="R5" s="1"/>
    </row>
    <row r="6" spans="1:18" ht="15" customHeight="1" x14ac:dyDescent="0.15">
      <c r="A6" s="134">
        <v>1</v>
      </c>
      <c r="B6" s="103" t="s">
        <v>136</v>
      </c>
      <c r="C6" s="104"/>
      <c r="D6" s="104"/>
      <c r="E6" s="104"/>
      <c r="F6" s="104"/>
      <c r="G6" s="102"/>
      <c r="H6" s="102"/>
      <c r="I6" s="102"/>
      <c r="J6" s="102"/>
      <c r="K6" s="102"/>
      <c r="L6" s="102"/>
      <c r="M6" s="102"/>
      <c r="N6" s="105" t="s">
        <v>137</v>
      </c>
      <c r="O6" s="6"/>
      <c r="P6" s="6"/>
      <c r="Q6" s="1"/>
      <c r="R6" s="1"/>
    </row>
    <row r="7" spans="1:18" ht="15" customHeight="1" x14ac:dyDescent="0.15">
      <c r="A7" s="135"/>
      <c r="B7" s="139" t="s">
        <v>138</v>
      </c>
      <c r="C7" s="89" t="s">
        <v>139</v>
      </c>
      <c r="D7" s="90"/>
      <c r="E7" s="90"/>
      <c r="F7" s="90"/>
      <c r="G7" s="67"/>
      <c r="H7" s="67"/>
      <c r="I7" s="67"/>
      <c r="J7" s="67"/>
      <c r="K7" s="67"/>
      <c r="L7" s="67"/>
      <c r="M7" s="67"/>
      <c r="N7" s="68"/>
      <c r="O7" s="6"/>
      <c r="P7" s="6"/>
      <c r="Q7" s="1"/>
      <c r="R7" s="1"/>
    </row>
    <row r="8" spans="1:18" ht="15" customHeight="1" x14ac:dyDescent="0.15">
      <c r="A8" s="135"/>
      <c r="B8" s="140" t="s">
        <v>140</v>
      </c>
      <c r="C8" s="130" t="s">
        <v>141</v>
      </c>
      <c r="D8" s="131"/>
      <c r="E8" s="131"/>
      <c r="F8" s="131"/>
      <c r="G8" s="132"/>
      <c r="H8" s="132"/>
      <c r="I8" s="132"/>
      <c r="J8" s="132"/>
      <c r="K8" s="132"/>
      <c r="L8" s="132"/>
      <c r="M8" s="132"/>
      <c r="N8" s="133"/>
      <c r="O8" s="6"/>
      <c r="P8" s="6"/>
      <c r="Q8" s="1"/>
      <c r="R8" s="1"/>
    </row>
    <row r="9" spans="1:18" ht="15" customHeight="1" x14ac:dyDescent="0.15">
      <c r="A9" s="136">
        <v>2</v>
      </c>
      <c r="B9" s="73" t="s">
        <v>142</v>
      </c>
      <c r="C9" s="74"/>
      <c r="D9" s="74"/>
      <c r="E9" s="74"/>
      <c r="F9" s="74"/>
      <c r="G9" s="69"/>
      <c r="H9" s="69"/>
      <c r="I9" s="69"/>
      <c r="J9" s="69"/>
      <c r="K9" s="69"/>
      <c r="L9" s="69"/>
      <c r="M9" s="69"/>
      <c r="N9" s="70"/>
      <c r="O9" s="6"/>
      <c r="P9" s="6"/>
      <c r="Q9" s="1"/>
      <c r="R9" s="1"/>
    </row>
    <row r="10" spans="1:18" ht="15" customHeight="1" x14ac:dyDescent="0.15">
      <c r="A10" s="95" t="s">
        <v>143</v>
      </c>
      <c r="B10" s="96"/>
      <c r="C10" s="96"/>
      <c r="D10" s="96"/>
      <c r="E10" s="96"/>
      <c r="F10" s="96"/>
      <c r="G10" s="97"/>
      <c r="H10" s="97"/>
      <c r="I10" s="97"/>
      <c r="J10" s="97"/>
      <c r="K10" s="97"/>
      <c r="L10" s="97"/>
      <c r="M10" s="97"/>
      <c r="N10" s="97"/>
      <c r="O10" s="6"/>
      <c r="P10" s="6"/>
      <c r="Q10" s="1"/>
      <c r="R10" s="1"/>
    </row>
    <row r="11" spans="1:18" ht="15" customHeight="1" x14ac:dyDescent="0.15">
      <c r="A11" s="134">
        <v>1</v>
      </c>
      <c r="B11" s="103" t="s">
        <v>144</v>
      </c>
      <c r="C11" s="104"/>
      <c r="D11" s="104"/>
      <c r="E11" s="104"/>
      <c r="F11" s="104"/>
      <c r="G11" s="102"/>
      <c r="H11" s="102"/>
      <c r="I11" s="102"/>
      <c r="J11" s="102"/>
      <c r="K11" s="102"/>
      <c r="L11" s="102"/>
      <c r="M11" s="102"/>
      <c r="N11" s="105"/>
      <c r="O11" s="6"/>
      <c r="P11" s="6"/>
      <c r="Q11" s="1"/>
      <c r="R11" s="1"/>
    </row>
    <row r="12" spans="1:18" ht="15" customHeight="1" x14ac:dyDescent="0.15">
      <c r="A12" s="135"/>
      <c r="B12" s="141" t="s">
        <v>138</v>
      </c>
      <c r="C12" s="90" t="s">
        <v>145</v>
      </c>
      <c r="D12" s="90"/>
      <c r="E12" s="90"/>
      <c r="F12" s="90"/>
      <c r="G12" s="67"/>
      <c r="H12" s="67"/>
      <c r="I12" s="67"/>
      <c r="J12" s="67"/>
      <c r="K12" s="67"/>
      <c r="L12" s="67"/>
      <c r="M12" s="67"/>
      <c r="N12" s="68"/>
      <c r="O12" s="6"/>
      <c r="P12" s="6"/>
      <c r="Q12" s="1"/>
      <c r="R12" s="1"/>
    </row>
    <row r="13" spans="1:18" ht="15" customHeight="1" x14ac:dyDescent="0.15">
      <c r="A13" s="135"/>
      <c r="B13" s="138" t="s">
        <v>140</v>
      </c>
      <c r="C13" s="92" t="s">
        <v>146</v>
      </c>
      <c r="D13" s="92"/>
      <c r="E13" s="92"/>
      <c r="F13" s="92"/>
      <c r="G13" s="71"/>
      <c r="H13" s="71"/>
      <c r="I13" s="71"/>
      <c r="J13" s="71"/>
      <c r="K13" s="71"/>
      <c r="L13" s="71"/>
      <c r="M13" s="71"/>
      <c r="N13" s="72"/>
      <c r="O13" s="6"/>
      <c r="P13" s="6"/>
      <c r="Q13" s="1"/>
      <c r="R13" s="1"/>
    </row>
    <row r="14" spans="1:18" ht="15" customHeight="1" x14ac:dyDescent="0.15">
      <c r="A14" s="135"/>
      <c r="B14" s="138" t="s">
        <v>147</v>
      </c>
      <c r="C14" s="92" t="s">
        <v>148</v>
      </c>
      <c r="D14" s="92"/>
      <c r="E14" s="92"/>
      <c r="F14" s="92"/>
      <c r="G14" s="71"/>
      <c r="H14" s="71"/>
      <c r="I14" s="71"/>
      <c r="J14" s="71"/>
      <c r="K14" s="71"/>
      <c r="L14" s="71"/>
      <c r="M14" s="71"/>
      <c r="N14" s="72"/>
      <c r="O14" s="6"/>
      <c r="P14" s="6"/>
      <c r="Q14" s="1"/>
      <c r="R14" s="1"/>
    </row>
    <row r="15" spans="1:18" ht="15" customHeight="1" x14ac:dyDescent="0.15">
      <c r="A15" s="137"/>
      <c r="B15" s="138" t="s">
        <v>149</v>
      </c>
      <c r="C15" s="92" t="s">
        <v>150</v>
      </c>
      <c r="D15" s="92"/>
      <c r="E15" s="92"/>
      <c r="F15" s="92"/>
      <c r="G15" s="71"/>
      <c r="H15" s="71"/>
      <c r="I15" s="71"/>
      <c r="J15" s="71"/>
      <c r="K15" s="71"/>
      <c r="L15" s="71"/>
      <c r="M15" s="71"/>
      <c r="N15" s="72"/>
      <c r="O15" s="6"/>
      <c r="P15" s="6"/>
      <c r="Q15" s="1"/>
      <c r="R15" s="1"/>
    </row>
    <row r="16" spans="1:18" ht="15" customHeight="1" x14ac:dyDescent="0.15">
      <c r="A16" s="137">
        <v>2</v>
      </c>
      <c r="B16" s="91" t="s">
        <v>151</v>
      </c>
      <c r="C16" s="92"/>
      <c r="D16" s="92"/>
      <c r="E16" s="92"/>
      <c r="F16" s="92"/>
      <c r="G16" s="71"/>
      <c r="H16" s="71"/>
      <c r="I16" s="71"/>
      <c r="J16" s="71"/>
      <c r="K16" s="71"/>
      <c r="L16" s="71"/>
      <c r="M16" s="71"/>
      <c r="N16" s="72"/>
      <c r="O16" s="6"/>
      <c r="P16" s="6"/>
      <c r="Q16" s="1"/>
      <c r="R16" s="1"/>
    </row>
    <row r="17" spans="1:18" ht="15" customHeight="1" x14ac:dyDescent="0.15">
      <c r="A17" s="138">
        <v>3</v>
      </c>
      <c r="B17" s="91" t="s">
        <v>152</v>
      </c>
      <c r="C17" s="92"/>
      <c r="D17" s="92"/>
      <c r="E17" s="92"/>
      <c r="F17" s="92"/>
      <c r="G17" s="71"/>
      <c r="H17" s="71"/>
      <c r="I17" s="71"/>
      <c r="J17" s="71"/>
      <c r="K17" s="71"/>
      <c r="L17" s="71"/>
      <c r="M17" s="71"/>
      <c r="N17" s="72"/>
      <c r="O17" s="6"/>
      <c r="P17" s="6"/>
      <c r="Q17" s="1"/>
      <c r="R17" s="1"/>
    </row>
    <row r="18" spans="1:18" ht="15" customHeight="1" x14ac:dyDescent="0.15">
      <c r="A18" s="98" t="s">
        <v>153</v>
      </c>
      <c r="B18" s="99"/>
      <c r="C18" s="99"/>
      <c r="D18" s="99"/>
      <c r="E18" s="99"/>
      <c r="F18" s="99"/>
      <c r="G18" s="100"/>
      <c r="H18" s="100"/>
      <c r="I18" s="100"/>
      <c r="J18" s="100"/>
      <c r="K18" s="100"/>
      <c r="L18" s="100"/>
      <c r="M18" s="100"/>
      <c r="N18" s="101" t="s">
        <v>154</v>
      </c>
      <c r="O18" s="6"/>
      <c r="P18" s="6"/>
      <c r="Q18" s="1"/>
      <c r="R18" s="1"/>
    </row>
    <row r="19" spans="1:18" ht="15" customHeight="1" x14ac:dyDescent="0.15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66"/>
      <c r="O19" s="6"/>
      <c r="P19" s="6"/>
      <c r="Q19" s="1"/>
      <c r="R19" s="1"/>
    </row>
    <row r="20" spans="1:18" ht="15" customHeight="1" x14ac:dyDescent="0.15"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66"/>
      <c r="O20" s="6"/>
      <c r="P20" s="6"/>
      <c r="Q20" s="1"/>
      <c r="R20" s="1"/>
    </row>
    <row r="21" spans="1:18" ht="15" customHeight="1" x14ac:dyDescent="0.15"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66"/>
      <c r="O21" s="6"/>
      <c r="P21" s="6"/>
      <c r="Q21" s="1"/>
      <c r="R21" s="1"/>
    </row>
    <row r="22" spans="1:18" ht="15" customHeight="1" x14ac:dyDescent="0.15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</row>
    <row r="23" spans="1:18" ht="15" customHeight="1" x14ac:dyDescent="0.15"/>
    <row r="24" spans="1:18" ht="15" customHeight="1" x14ac:dyDescent="0.15">
      <c r="A24" s="31" t="s">
        <v>155</v>
      </c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75"/>
    </row>
    <row r="25" spans="1:18" ht="15" customHeight="1" x14ac:dyDescent="0.15">
      <c r="A25" s="304" t="str">
        <f>IF(COUNTIF(G12:N15,"○")&gt;0,"・ システム診断について","")</f>
        <v/>
      </c>
      <c r="N25" s="76"/>
    </row>
    <row r="26" spans="1:18" ht="15" customHeight="1" x14ac:dyDescent="0.15">
      <c r="A26" s="305" t="str">
        <f>IF(COUNTIF(G12:N15,"○")&gt;0,"  1. 本見積書ではシステム診断を対象としておりますが、USBメモリの利用に制限がある場合、","")</f>
        <v/>
      </c>
      <c r="N26" s="76"/>
    </row>
    <row r="27" spans="1:18" ht="15" customHeight="1" x14ac:dyDescent="0.15">
      <c r="A27" s="305" t="str">
        <f>IF(COUNTIF(G12:N15,"○")&gt;0,"　　 システム診断は実施不可となりますのでご了承願います。","")</f>
        <v/>
      </c>
      <c r="N27" s="76"/>
    </row>
    <row r="28" spans="1:18" ht="15" customHeight="1" x14ac:dyDescent="0.15">
      <c r="A28" s="32"/>
      <c r="N28" s="76"/>
    </row>
    <row r="29" spans="1:18" ht="15" customHeight="1" x14ac:dyDescent="0.15">
      <c r="A29" s="32"/>
      <c r="N29" s="76"/>
    </row>
    <row r="30" spans="1:18" ht="15" customHeight="1" x14ac:dyDescent="0.15">
      <c r="A30" s="32"/>
      <c r="N30" s="76"/>
    </row>
    <row r="31" spans="1:18" ht="15" customHeight="1" x14ac:dyDescent="0.15">
      <c r="A31" s="32"/>
      <c r="N31" s="76"/>
    </row>
    <row r="32" spans="1:18" ht="15" customHeight="1" x14ac:dyDescent="0.15">
      <c r="A32" s="32"/>
      <c r="N32" s="76"/>
    </row>
    <row r="33" spans="1:14" ht="15" customHeight="1" x14ac:dyDescent="0.15">
      <c r="A33" s="34"/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77"/>
    </row>
  </sheetData>
  <phoneticPr fontId="21"/>
  <printOptions horizontalCentered="1"/>
  <pageMargins left="0.59055118110236227" right="0.19685039370078741" top="0.39370078740157483" bottom="0.39370078740157483" header="0.19685039370078741" footer="0.19685039370078741"/>
  <pageSetup paperSize="9" scale="61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7"/>
    <pageSetUpPr fitToPage="1"/>
  </sheetPr>
  <dimension ref="A1:R33"/>
  <sheetViews>
    <sheetView showGridLines="0" view="pageBreakPreview" zoomScaleNormal="100" zoomScaleSheetLayoutView="100" workbookViewId="0">
      <pane xSplit="6" topLeftCell="G1" activePane="topRight" state="frozen"/>
      <selection activeCell="N7" sqref="N7"/>
      <selection pane="topRight" activeCell="I26" sqref="I26"/>
    </sheetView>
  </sheetViews>
  <sheetFormatPr defaultColWidth="2.625" defaultRowHeight="11.25" x14ac:dyDescent="0.15"/>
  <cols>
    <col min="1" max="2" width="3.125" style="23" customWidth="1"/>
    <col min="3" max="4" width="15.625" style="30" customWidth="1"/>
    <col min="5" max="6" width="3.125" style="30" customWidth="1"/>
    <col min="7" max="13" width="10.625" style="30" customWidth="1"/>
    <col min="14" max="14" width="40.625" style="26" customWidth="1"/>
    <col min="15" max="255" width="2.625" style="23" customWidth="1"/>
    <col min="256" max="16384" width="2.625" style="23"/>
  </cols>
  <sheetData>
    <row r="1" spans="1:18" ht="17.25" x14ac:dyDescent="0.15">
      <c r="A1" s="109" t="s">
        <v>131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8" ht="15" customHeight="1" x14ac:dyDescent="0.15"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92" t="str">
        <f>"（見積No."&amp;見積総括表!Z10&amp;"）"</f>
        <v>（見積No.05SC4911）</v>
      </c>
      <c r="O2" s="6"/>
      <c r="P2" s="6"/>
      <c r="Q2" s="1"/>
      <c r="R2" s="1"/>
    </row>
    <row r="3" spans="1:18" ht="15" customHeight="1" x14ac:dyDescent="0.15">
      <c r="A3" s="93" t="s">
        <v>132</v>
      </c>
      <c r="B3" s="94"/>
      <c r="C3" s="94"/>
      <c r="D3" s="94"/>
      <c r="E3" s="94"/>
      <c r="F3" s="94"/>
      <c r="G3" s="93" t="s">
        <v>133</v>
      </c>
      <c r="H3" s="106"/>
      <c r="I3" s="106"/>
      <c r="J3" s="198"/>
      <c r="K3" s="106"/>
      <c r="L3" s="106"/>
      <c r="M3" s="235"/>
      <c r="N3" s="124" t="s">
        <v>134</v>
      </c>
      <c r="O3" s="6"/>
      <c r="P3" s="6"/>
      <c r="Q3" s="1"/>
      <c r="R3" s="1"/>
    </row>
    <row r="4" spans="1:18" ht="15" customHeight="1" x14ac:dyDescent="0.15">
      <c r="A4" s="107"/>
      <c r="B4" s="108"/>
      <c r="C4" s="108"/>
      <c r="D4" s="108"/>
      <c r="E4" s="108"/>
      <c r="F4" s="108"/>
      <c r="G4" s="263" t="str">
        <f>見積総括表!$E$20</f>
        <v/>
      </c>
      <c r="H4" s="263" t="str">
        <f>見積総括表!$E$21</f>
        <v/>
      </c>
      <c r="I4" s="263" t="str">
        <f>見積総括表!$E$22</f>
        <v/>
      </c>
      <c r="J4" s="263" t="str">
        <f>見積総括表!$E$23</f>
        <v/>
      </c>
      <c r="K4" s="263" t="str">
        <f>見積総括表!$E$24</f>
        <v/>
      </c>
      <c r="L4" s="263" t="str">
        <f>見積総括表!$E$25</f>
        <v/>
      </c>
      <c r="M4" s="263" t="str">
        <f>見積総括表!$E$26</f>
        <v/>
      </c>
      <c r="N4" s="27"/>
      <c r="O4" s="6"/>
      <c r="P4" s="6"/>
      <c r="Q4" s="1"/>
      <c r="R4" s="1"/>
    </row>
    <row r="5" spans="1:18" ht="15" customHeight="1" x14ac:dyDescent="0.15">
      <c r="A5" s="95" t="s">
        <v>135</v>
      </c>
      <c r="B5" s="96"/>
      <c r="C5" s="96"/>
      <c r="D5" s="96"/>
      <c r="E5" s="96"/>
      <c r="F5" s="96"/>
      <c r="G5" s="97"/>
      <c r="H5" s="97"/>
      <c r="I5" s="97"/>
      <c r="J5" s="97"/>
      <c r="K5" s="97"/>
      <c r="L5" s="97"/>
      <c r="M5" s="97"/>
      <c r="N5" s="97"/>
      <c r="O5" s="6"/>
      <c r="P5" s="6"/>
      <c r="Q5" s="1"/>
      <c r="R5" s="1"/>
    </row>
    <row r="6" spans="1:18" ht="15" customHeight="1" x14ac:dyDescent="0.15">
      <c r="A6" s="134">
        <v>1</v>
      </c>
      <c r="B6" s="103" t="s">
        <v>136</v>
      </c>
      <c r="C6" s="104"/>
      <c r="D6" s="104"/>
      <c r="E6" s="104"/>
      <c r="F6" s="104"/>
      <c r="G6" s="102"/>
      <c r="H6" s="102"/>
      <c r="I6" s="102"/>
      <c r="J6" s="102"/>
      <c r="K6" s="102"/>
      <c r="L6" s="102"/>
      <c r="M6" s="102"/>
      <c r="N6" s="105" t="s">
        <v>137</v>
      </c>
      <c r="O6" s="6"/>
      <c r="P6" s="6"/>
      <c r="Q6" s="1"/>
      <c r="R6" s="1"/>
    </row>
    <row r="7" spans="1:18" ht="15" customHeight="1" x14ac:dyDescent="0.15">
      <c r="A7" s="135"/>
      <c r="B7" s="139" t="s">
        <v>138</v>
      </c>
      <c r="C7" s="89" t="s">
        <v>139</v>
      </c>
      <c r="D7" s="90"/>
      <c r="E7" s="90"/>
      <c r="F7" s="90"/>
      <c r="G7" s="67"/>
      <c r="H7" s="67"/>
      <c r="I7" s="67"/>
      <c r="J7" s="67"/>
      <c r="K7" s="67"/>
      <c r="L7" s="67"/>
      <c r="M7" s="67"/>
      <c r="N7" s="68"/>
      <c r="O7" s="6"/>
      <c r="P7" s="6"/>
      <c r="Q7" s="1"/>
      <c r="R7" s="1"/>
    </row>
    <row r="8" spans="1:18" ht="15" customHeight="1" x14ac:dyDescent="0.15">
      <c r="A8" s="135"/>
      <c r="B8" s="140" t="s">
        <v>140</v>
      </c>
      <c r="C8" s="130" t="s">
        <v>141</v>
      </c>
      <c r="D8" s="131"/>
      <c r="E8" s="131"/>
      <c r="F8" s="131"/>
      <c r="G8" s="132"/>
      <c r="H8" s="132"/>
      <c r="I8" s="132"/>
      <c r="J8" s="132"/>
      <c r="K8" s="132"/>
      <c r="L8" s="132"/>
      <c r="M8" s="132"/>
      <c r="N8" s="133"/>
      <c r="O8" s="6"/>
      <c r="P8" s="6"/>
      <c r="Q8" s="1"/>
      <c r="R8" s="1"/>
    </row>
    <row r="9" spans="1:18" ht="15" customHeight="1" x14ac:dyDescent="0.15">
      <c r="A9" s="136">
        <v>2</v>
      </c>
      <c r="B9" s="73" t="s">
        <v>142</v>
      </c>
      <c r="C9" s="74"/>
      <c r="D9" s="74"/>
      <c r="E9" s="74"/>
      <c r="F9" s="74"/>
      <c r="G9" s="69"/>
      <c r="H9" s="69"/>
      <c r="I9" s="69"/>
      <c r="J9" s="69"/>
      <c r="K9" s="69"/>
      <c r="L9" s="69"/>
      <c r="M9" s="69"/>
      <c r="N9" s="70"/>
      <c r="O9" s="6"/>
      <c r="P9" s="6"/>
      <c r="Q9" s="1"/>
      <c r="R9" s="1"/>
    </row>
    <row r="10" spans="1:18" ht="15" customHeight="1" x14ac:dyDescent="0.15">
      <c r="A10" s="95" t="s">
        <v>143</v>
      </c>
      <c r="B10" s="96"/>
      <c r="C10" s="96"/>
      <c r="D10" s="96"/>
      <c r="E10" s="96"/>
      <c r="F10" s="96"/>
      <c r="G10" s="97"/>
      <c r="H10" s="97"/>
      <c r="I10" s="97"/>
      <c r="J10" s="97"/>
      <c r="K10" s="97"/>
      <c r="L10" s="97"/>
      <c r="M10" s="97"/>
      <c r="N10" s="97"/>
      <c r="O10" s="6"/>
      <c r="P10" s="6"/>
      <c r="Q10" s="1"/>
      <c r="R10" s="1"/>
    </row>
    <row r="11" spans="1:18" ht="15" customHeight="1" x14ac:dyDescent="0.15">
      <c r="A11" s="134">
        <v>1</v>
      </c>
      <c r="B11" s="103" t="s">
        <v>144</v>
      </c>
      <c r="C11" s="104"/>
      <c r="D11" s="104"/>
      <c r="E11" s="104"/>
      <c r="F11" s="104"/>
      <c r="G11" s="102"/>
      <c r="H11" s="102"/>
      <c r="I11" s="102"/>
      <c r="J11" s="102"/>
      <c r="K11" s="102"/>
      <c r="L11" s="102"/>
      <c r="M11" s="102"/>
      <c r="N11" s="105"/>
      <c r="O11" s="6"/>
      <c r="P11" s="6"/>
      <c r="Q11" s="1"/>
      <c r="R11" s="1"/>
    </row>
    <row r="12" spans="1:18" ht="15" customHeight="1" x14ac:dyDescent="0.15">
      <c r="A12" s="135"/>
      <c r="B12" s="141" t="s">
        <v>138</v>
      </c>
      <c r="C12" s="90" t="s">
        <v>145</v>
      </c>
      <c r="D12" s="90"/>
      <c r="E12" s="90"/>
      <c r="F12" s="90"/>
      <c r="G12" s="67"/>
      <c r="H12" s="67"/>
      <c r="I12" s="67"/>
      <c r="J12" s="67"/>
      <c r="K12" s="67"/>
      <c r="L12" s="67"/>
      <c r="M12" s="67"/>
      <c r="N12" s="68"/>
      <c r="O12" s="6"/>
      <c r="P12" s="6"/>
      <c r="Q12" s="1"/>
      <c r="R12" s="1"/>
    </row>
    <row r="13" spans="1:18" ht="15" customHeight="1" x14ac:dyDescent="0.15">
      <c r="A13" s="135"/>
      <c r="B13" s="138" t="s">
        <v>140</v>
      </c>
      <c r="C13" s="92" t="s">
        <v>146</v>
      </c>
      <c r="D13" s="92"/>
      <c r="E13" s="92"/>
      <c r="F13" s="92"/>
      <c r="G13" s="71"/>
      <c r="H13" s="71"/>
      <c r="I13" s="71"/>
      <c r="J13" s="71"/>
      <c r="K13" s="71"/>
      <c r="L13" s="71"/>
      <c r="M13" s="71"/>
      <c r="N13" s="72"/>
      <c r="O13" s="6"/>
      <c r="P13" s="6"/>
      <c r="Q13" s="1"/>
      <c r="R13" s="1"/>
    </row>
    <row r="14" spans="1:18" ht="15" customHeight="1" x14ac:dyDescent="0.15">
      <c r="A14" s="135"/>
      <c r="B14" s="138" t="s">
        <v>147</v>
      </c>
      <c r="C14" s="92" t="s">
        <v>148</v>
      </c>
      <c r="D14" s="92"/>
      <c r="E14" s="92"/>
      <c r="F14" s="92"/>
      <c r="G14" s="71"/>
      <c r="H14" s="71"/>
      <c r="I14" s="71"/>
      <c r="J14" s="71"/>
      <c r="K14" s="71"/>
      <c r="L14" s="71"/>
      <c r="M14" s="71"/>
      <c r="N14" s="72"/>
      <c r="O14" s="6"/>
      <c r="P14" s="6"/>
      <c r="Q14" s="1"/>
      <c r="R14" s="1"/>
    </row>
    <row r="15" spans="1:18" ht="15" customHeight="1" x14ac:dyDescent="0.15">
      <c r="A15" s="137"/>
      <c r="B15" s="138" t="s">
        <v>149</v>
      </c>
      <c r="C15" s="92" t="s">
        <v>150</v>
      </c>
      <c r="D15" s="92"/>
      <c r="E15" s="92"/>
      <c r="F15" s="92"/>
      <c r="G15" s="71"/>
      <c r="H15" s="71"/>
      <c r="I15" s="71"/>
      <c r="J15" s="71"/>
      <c r="K15" s="71"/>
      <c r="L15" s="71"/>
      <c r="M15" s="71"/>
      <c r="N15" s="72"/>
      <c r="O15" s="6"/>
      <c r="P15" s="6"/>
      <c r="Q15" s="1"/>
      <c r="R15" s="1"/>
    </row>
    <row r="16" spans="1:18" ht="15" customHeight="1" x14ac:dyDescent="0.15">
      <c r="A16" s="137">
        <v>2</v>
      </c>
      <c r="B16" s="91" t="s">
        <v>151</v>
      </c>
      <c r="C16" s="92"/>
      <c r="D16" s="92"/>
      <c r="E16" s="92"/>
      <c r="F16" s="92"/>
      <c r="G16" s="71"/>
      <c r="H16" s="71"/>
      <c r="I16" s="71"/>
      <c r="J16" s="71"/>
      <c r="K16" s="71"/>
      <c r="L16" s="71"/>
      <c r="M16" s="71"/>
      <c r="N16" s="72"/>
      <c r="O16" s="6"/>
      <c r="P16" s="6"/>
      <c r="Q16" s="1"/>
      <c r="R16" s="1"/>
    </row>
    <row r="17" spans="1:18" ht="15" customHeight="1" x14ac:dyDescent="0.15">
      <c r="A17" s="138">
        <v>3</v>
      </c>
      <c r="B17" s="91" t="s">
        <v>152</v>
      </c>
      <c r="C17" s="92"/>
      <c r="D17" s="92"/>
      <c r="E17" s="92"/>
      <c r="F17" s="92"/>
      <c r="G17" s="71"/>
      <c r="H17" s="71"/>
      <c r="I17" s="71"/>
      <c r="J17" s="71"/>
      <c r="K17" s="71"/>
      <c r="L17" s="71"/>
      <c r="M17" s="71"/>
      <c r="N17" s="72"/>
      <c r="O17" s="6"/>
      <c r="P17" s="6"/>
      <c r="Q17" s="1"/>
      <c r="R17" s="1"/>
    </row>
    <row r="18" spans="1:18" ht="15" customHeight="1" x14ac:dyDescent="0.15">
      <c r="A18" s="98" t="s">
        <v>153</v>
      </c>
      <c r="B18" s="99"/>
      <c r="C18" s="99"/>
      <c r="D18" s="99"/>
      <c r="E18" s="99"/>
      <c r="F18" s="99"/>
      <c r="G18" s="100"/>
      <c r="H18" s="100"/>
      <c r="I18" s="100"/>
      <c r="J18" s="100"/>
      <c r="K18" s="100"/>
      <c r="L18" s="100"/>
      <c r="M18" s="100"/>
      <c r="N18" s="101" t="s">
        <v>154</v>
      </c>
      <c r="O18" s="6"/>
      <c r="P18" s="6"/>
      <c r="Q18" s="1"/>
      <c r="R18" s="1"/>
    </row>
    <row r="19" spans="1:18" ht="15" customHeight="1" x14ac:dyDescent="0.15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66"/>
      <c r="O19" s="6"/>
      <c r="P19" s="6"/>
      <c r="Q19" s="1"/>
      <c r="R19" s="1"/>
    </row>
    <row r="20" spans="1:18" ht="15" customHeight="1" x14ac:dyDescent="0.15"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66"/>
      <c r="O20" s="6"/>
      <c r="P20" s="6"/>
      <c r="Q20" s="1"/>
      <c r="R20" s="1"/>
    </row>
    <row r="21" spans="1:18" ht="15" customHeight="1" x14ac:dyDescent="0.15"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66"/>
      <c r="O21" s="6"/>
      <c r="P21" s="6"/>
      <c r="Q21" s="1"/>
      <c r="R21" s="1"/>
    </row>
    <row r="22" spans="1:18" ht="15" customHeight="1" x14ac:dyDescent="0.15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</row>
    <row r="23" spans="1:18" ht="15" customHeight="1" x14ac:dyDescent="0.15"/>
    <row r="24" spans="1:18" ht="15" customHeight="1" x14ac:dyDescent="0.15">
      <c r="A24" s="31" t="s">
        <v>155</v>
      </c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75"/>
    </row>
    <row r="25" spans="1:18" ht="15" customHeight="1" x14ac:dyDescent="0.15">
      <c r="A25" s="304" t="str">
        <f>IF(COUNTIF(G12:N15,"○")&gt;0,"・ システム診断について","")</f>
        <v/>
      </c>
      <c r="N25" s="76"/>
    </row>
    <row r="26" spans="1:18" ht="15" customHeight="1" x14ac:dyDescent="0.15">
      <c r="A26" s="305" t="str">
        <f>IF(COUNTIF(G12:N15,"○")&gt;0,"  1. 本見積書ではシステム診断を対象としておりますが、USBメモリの利用に制限がある場合、","")</f>
        <v/>
      </c>
      <c r="N26" s="76"/>
    </row>
    <row r="27" spans="1:18" ht="15" customHeight="1" x14ac:dyDescent="0.15">
      <c r="A27" s="305" t="str">
        <f>IF(COUNTIF(G12:N15,"○")&gt;0,"　　 システム診断は実施不可となりますのでご了承願います。","")</f>
        <v/>
      </c>
      <c r="N27" s="76"/>
    </row>
    <row r="28" spans="1:18" ht="15" customHeight="1" x14ac:dyDescent="0.15">
      <c r="A28" s="32"/>
      <c r="N28" s="76"/>
    </row>
    <row r="29" spans="1:18" ht="15" customHeight="1" x14ac:dyDescent="0.15">
      <c r="A29" s="32"/>
      <c r="N29" s="76"/>
    </row>
    <row r="30" spans="1:18" ht="15" customHeight="1" x14ac:dyDescent="0.15">
      <c r="A30" s="32"/>
      <c r="N30" s="76"/>
    </row>
    <row r="31" spans="1:18" ht="15" customHeight="1" x14ac:dyDescent="0.15">
      <c r="A31" s="32"/>
      <c r="N31" s="76"/>
    </row>
    <row r="32" spans="1:18" ht="15" customHeight="1" x14ac:dyDescent="0.15">
      <c r="A32" s="32"/>
      <c r="N32" s="76"/>
    </row>
    <row r="33" spans="1:14" ht="15" customHeight="1" x14ac:dyDescent="0.15">
      <c r="A33" s="34"/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77"/>
    </row>
  </sheetData>
  <phoneticPr fontId="21"/>
  <printOptions horizontalCentered="1"/>
  <pageMargins left="0.59055118110236227" right="0.19685039370078741" top="0.39370078740157483" bottom="0.39370078740157483" header="0.19685039370078741" footer="0.19685039370078741"/>
  <pageSetup paperSize="9" scale="61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C000"/>
    <pageSetUpPr fitToPage="1"/>
  </sheetPr>
  <dimension ref="A1:S249"/>
  <sheetViews>
    <sheetView showGridLines="0" view="pageBreakPreview" zoomScaleNormal="100" zoomScaleSheetLayoutView="100" workbookViewId="0">
      <pane ySplit="6" topLeftCell="A7" activePane="bottomLeft" state="frozen"/>
      <selection pane="bottomLeft" activeCell="C1" sqref="C1"/>
    </sheetView>
  </sheetViews>
  <sheetFormatPr defaultColWidth="2.625" defaultRowHeight="12" x14ac:dyDescent="0.15"/>
  <cols>
    <col min="1" max="1" width="2.625" style="13" customWidth="1"/>
    <col min="2" max="2" width="3.375" style="13" customWidth="1"/>
    <col min="3" max="4" width="3.625" style="13" customWidth="1"/>
    <col min="5" max="5" width="4.125" style="13" customWidth="1"/>
    <col min="6" max="6" width="25.625" style="13" customWidth="1"/>
    <col min="7" max="7" width="20.625" style="13" customWidth="1"/>
    <col min="8" max="8" width="4.75" style="79" bestFit="1" customWidth="1"/>
    <col min="9" max="9" width="9.625" style="21" customWidth="1"/>
    <col min="10" max="10" width="4.75" style="79" bestFit="1" customWidth="1"/>
    <col min="11" max="11" width="9.625" style="21" customWidth="1"/>
    <col min="12" max="12" width="25.625" style="13" customWidth="1"/>
    <col min="13" max="13" width="2.625" style="13"/>
    <col min="14" max="16" width="10.625" style="13" customWidth="1"/>
    <col min="17" max="17" width="9.625" style="13" customWidth="1"/>
    <col min="18" max="22" width="8.75" style="13" customWidth="1"/>
    <col min="23" max="16384" width="2.625" style="13"/>
  </cols>
  <sheetData>
    <row r="1" spans="1:19" s="14" customFormat="1" ht="18.75" customHeight="1" x14ac:dyDescent="0.15">
      <c r="B1" s="37"/>
      <c r="C1" s="38" t="s">
        <v>156</v>
      </c>
      <c r="D1" s="38"/>
      <c r="E1" s="38"/>
      <c r="F1" s="37"/>
      <c r="G1" s="37"/>
      <c r="H1" s="78"/>
      <c r="I1" s="39"/>
      <c r="J1" s="78"/>
      <c r="K1" s="39"/>
      <c r="L1" s="33"/>
      <c r="N1" s="308" t="s">
        <v>157</v>
      </c>
      <c r="O1"/>
      <c r="P1"/>
    </row>
    <row r="2" spans="1:19" s="40" customFormat="1" ht="16.5" customHeight="1" x14ac:dyDescent="0.15">
      <c r="B2" s="58" t="s">
        <v>80</v>
      </c>
      <c r="C2" s="81"/>
      <c r="D2" s="19"/>
      <c r="E2" s="580" t="str">
        <f>IF(LEN(見積総括表!$G$4)=0,"",見積総括表!$G$4)</f>
        <v/>
      </c>
      <c r="F2" s="581"/>
      <c r="G2" s="581"/>
      <c r="H2" s="581"/>
      <c r="I2" s="581"/>
      <c r="J2" s="582"/>
      <c r="K2" s="18" t="s">
        <v>21</v>
      </c>
      <c r="L2" s="350" t="str">
        <f>IF(LEN(見積総括表!$G$3)=0,"",見積総括表!$G$3)</f>
        <v/>
      </c>
      <c r="N2" s="230" t="s">
        <v>158</v>
      </c>
      <c r="O2" s="309">
        <f>330*12</f>
        <v>3960</v>
      </c>
      <c r="P2"/>
      <c r="Q2" s="230" t="s">
        <v>159</v>
      </c>
    </row>
    <row r="3" spans="1:19" s="41" customFormat="1" ht="16.5" customHeight="1" x14ac:dyDescent="0.15">
      <c r="B3" s="58" t="s">
        <v>81</v>
      </c>
      <c r="C3" s="81"/>
      <c r="D3" s="19"/>
      <c r="E3" s="580" t="str">
        <f>IF(LEN(見積総括表!$G$5)=0,"",見積総括表!$G$5)</f>
        <v/>
      </c>
      <c r="F3" s="581"/>
      <c r="G3" s="581"/>
      <c r="H3" s="581"/>
      <c r="I3" s="581"/>
      <c r="J3" s="582"/>
      <c r="K3" s="18" t="s">
        <v>82</v>
      </c>
      <c r="L3" s="351"/>
      <c r="N3" s="236" t="s">
        <v>160</v>
      </c>
      <c r="O3" s="309">
        <v>0</v>
      </c>
      <c r="P3"/>
      <c r="Q3" s="146">
        <v>20000</v>
      </c>
    </row>
    <row r="4" spans="1:19" s="41" customFormat="1" ht="16.5" customHeight="1" x14ac:dyDescent="0.15">
      <c r="B4" s="58" t="s">
        <v>26</v>
      </c>
      <c r="C4" s="81"/>
      <c r="D4" s="19"/>
      <c r="E4" s="580" t="str">
        <f>IF(LEN(見積総括表!$G$6)=0,"",見積総括表!$G$6)</f>
        <v/>
      </c>
      <c r="F4" s="581"/>
      <c r="G4" s="581"/>
      <c r="H4" s="581"/>
      <c r="I4" s="581"/>
      <c r="J4" s="582"/>
      <c r="K4" s="18" t="s">
        <v>27</v>
      </c>
      <c r="L4" s="352" t="str">
        <f>IF(LEN(見積総括表!$G$7)=0,"",見積総括表!$G$7)</f>
        <v/>
      </c>
      <c r="N4" s="230" t="s">
        <v>161</v>
      </c>
      <c r="O4" s="309">
        <v>0</v>
      </c>
      <c r="P4"/>
    </row>
    <row r="5" spans="1:19" s="14" customFormat="1" ht="15.95" customHeight="1" thickBot="1" x14ac:dyDescent="0.2">
      <c r="H5" s="79"/>
      <c r="I5" s="21"/>
      <c r="J5" s="79"/>
      <c r="K5" s="21"/>
      <c r="N5" s="230" t="s">
        <v>162</v>
      </c>
      <c r="O5" s="309">
        <f>3900*12</f>
        <v>46800</v>
      </c>
      <c r="P5"/>
    </row>
    <row r="6" spans="1:19" s="14" customFormat="1" ht="17.25" customHeight="1" x14ac:dyDescent="0.15">
      <c r="H6" s="175" t="s">
        <v>30</v>
      </c>
      <c r="I6" s="167"/>
      <c r="J6" s="175" t="s">
        <v>31</v>
      </c>
      <c r="K6" s="167"/>
      <c r="P6" s="13" t="s">
        <v>310</v>
      </c>
      <c r="Q6" s="14" t="s">
        <v>311</v>
      </c>
      <c r="R6" s="14" t="s">
        <v>4</v>
      </c>
      <c r="S6" s="14" t="s">
        <v>5</v>
      </c>
    </row>
    <row r="7" spans="1:19" s="14" customFormat="1" ht="17.25" customHeight="1" x14ac:dyDescent="0.15">
      <c r="A7" s="262" t="str">
        <f>見積総括表!$E$20</f>
        <v/>
      </c>
      <c r="B7" s="64"/>
      <c r="C7" s="64"/>
      <c r="D7" s="64"/>
      <c r="E7" s="64"/>
      <c r="F7" s="64"/>
      <c r="G7" s="64"/>
      <c r="H7" s="168"/>
      <c r="I7" s="83"/>
      <c r="J7" s="168"/>
      <c r="K7" s="83"/>
      <c r="L7" s="65"/>
    </row>
    <row r="8" spans="1:19" s="14" customFormat="1" ht="15.95" customHeight="1" x14ac:dyDescent="0.15">
      <c r="A8" s="86"/>
      <c r="B8" s="42" t="s">
        <v>163</v>
      </c>
      <c r="H8" s="176"/>
      <c r="I8" s="169"/>
      <c r="J8" s="176"/>
      <c r="K8" s="169"/>
    </row>
    <row r="9" spans="1:19" s="14" customFormat="1" x14ac:dyDescent="0.15">
      <c r="A9" s="86"/>
      <c r="B9" s="149" t="s">
        <v>164</v>
      </c>
      <c r="C9" s="53" t="s">
        <v>165</v>
      </c>
      <c r="D9" s="44"/>
      <c r="E9" s="44"/>
      <c r="F9" s="154"/>
      <c r="G9" s="154"/>
      <c r="H9" s="177" t="s">
        <v>166</v>
      </c>
      <c r="I9" s="170" t="s">
        <v>167</v>
      </c>
      <c r="J9" s="177" t="s">
        <v>166</v>
      </c>
      <c r="K9" s="170" t="s">
        <v>167</v>
      </c>
      <c r="L9" s="144" t="s">
        <v>168</v>
      </c>
    </row>
    <row r="10" spans="1:19" s="14" customFormat="1" ht="12" customHeight="1" x14ac:dyDescent="0.15">
      <c r="A10" s="86"/>
      <c r="B10" s="150"/>
      <c r="C10" s="43"/>
      <c r="D10" s="153"/>
      <c r="E10" s="153"/>
      <c r="F10" s="8"/>
      <c r="G10" s="8"/>
      <c r="H10" s="178"/>
      <c r="I10" s="171"/>
      <c r="J10" s="178"/>
      <c r="K10" s="171"/>
      <c r="L10" s="151"/>
      <c r="N10" s="14" t="s">
        <v>169</v>
      </c>
    </row>
    <row r="11" spans="1:19" ht="13.5" x14ac:dyDescent="0.15">
      <c r="A11" s="87"/>
      <c r="B11" s="119">
        <v>1</v>
      </c>
      <c r="C11" s="56" t="s">
        <v>170</v>
      </c>
      <c r="D11" s="142"/>
      <c r="E11" s="46"/>
      <c r="F11" s="46"/>
      <c r="G11" s="46"/>
      <c r="H11" s="179"/>
      <c r="I11" s="174"/>
      <c r="J11" s="179"/>
      <c r="K11" s="174"/>
      <c r="L11" s="159"/>
      <c r="N11" s="230" t="s">
        <v>171</v>
      </c>
      <c r="O11"/>
      <c r="P11" s="14" t="s">
        <v>312</v>
      </c>
      <c r="Q11" s="270"/>
    </row>
    <row r="12" spans="1:19" x14ac:dyDescent="0.15">
      <c r="A12" s="87"/>
      <c r="B12" s="120"/>
      <c r="C12" s="47" t="s">
        <v>138</v>
      </c>
      <c r="D12" s="48" t="s">
        <v>172</v>
      </c>
      <c r="E12" s="110"/>
      <c r="F12" s="110"/>
      <c r="G12" s="110"/>
      <c r="H12" s="180" t="str">
        <f>IF(ISBLANK('保守仕様明細②-8H'!$G7),"",'保守仕様明細②-8H'!$G7)</f>
        <v/>
      </c>
      <c r="I12" s="181" t="str">
        <f>IF(AND($H12="○",$H14="×"),P12+P14+P27,"-")</f>
        <v>-</v>
      </c>
      <c r="J12" s="180" t="str">
        <f>IF(ISBLANK('保守仕様明細②-24H'!$G7),"",'保守仕様明細②-24H'!$G7)</f>
        <v/>
      </c>
      <c r="K12" s="181" t="str">
        <f>IF(AND($J12="○",$J14="○"),Q12+Q14+Q27,"-")</f>
        <v>-</v>
      </c>
      <c r="L12" s="111"/>
      <c r="N12" s="146"/>
      <c r="O12" s="308"/>
      <c r="P12" s="270">
        <f>ROUNDUP(MAX($N12*0.05,180000),-3)</f>
        <v>180000</v>
      </c>
      <c r="Q12" s="270">
        <f>ROUNDUP(IF($N12&lt;100000000,MAX($N12*0.08,240000),$N12*0.1),-3)</f>
        <v>240000</v>
      </c>
    </row>
    <row r="13" spans="1:19" x14ac:dyDescent="0.15">
      <c r="A13" s="87"/>
      <c r="B13" s="120"/>
      <c r="C13" s="55" t="s">
        <v>140</v>
      </c>
      <c r="D13" s="56" t="s">
        <v>173</v>
      </c>
      <c r="E13" s="118"/>
      <c r="F13" s="118"/>
      <c r="G13" s="118"/>
      <c r="H13" s="188" t="str">
        <f>IF(ISBLANK('保守仕様明細②-8H'!$G8),"",'保守仕様明細②-8H'!$G8)</f>
        <v/>
      </c>
      <c r="I13" s="182"/>
      <c r="J13" s="188" t="str">
        <f>IF(ISBLANK('保守仕様明細②-24H'!$G8),"",'保守仕様明細②-24H'!$G8)</f>
        <v/>
      </c>
      <c r="K13" s="182"/>
      <c r="L13" s="159"/>
      <c r="P13" s="308" t="s">
        <v>309</v>
      </c>
      <c r="Q13" s="270"/>
    </row>
    <row r="14" spans="1:19" ht="13.5" x14ac:dyDescent="0.15">
      <c r="A14" s="87"/>
      <c r="B14" s="51">
        <v>2</v>
      </c>
      <c r="C14" s="52" t="s">
        <v>174</v>
      </c>
      <c r="D14" s="143"/>
      <c r="E14" s="113"/>
      <c r="F14" s="113"/>
      <c r="G14" s="113"/>
      <c r="H14" s="183" t="str">
        <f>IF(ISBLANK('保守仕様明細②-8H'!$G9),"",'保守仕様明細②-8H'!$G9)</f>
        <v/>
      </c>
      <c r="I14" s="184" t="s">
        <v>175</v>
      </c>
      <c r="J14" s="183" t="str">
        <f>IF(ISBLANK('保守仕様明細②-24H'!$G9),"",'保守仕様明細②-24H'!$G9)</f>
        <v/>
      </c>
      <c r="K14" s="347"/>
      <c r="L14" s="114"/>
      <c r="N14"/>
      <c r="P14" s="270" t="e">
        <f ca="1">MAX(ROUNDUP(見積総括表!$P$36/38%,-3)-SUM(見積総括表!$S$12,P12,I15,P27,見積総括表!$S$28),0)</f>
        <v>#VALUE!</v>
      </c>
      <c r="Q14" s="270" t="e">
        <f ca="1">MAX(ROUNDUP(見積総括表!$Z$36/38%,-3)-SUM(見積総括表!$AC$12,Q12,K15,Q27,見積総括表!$AC$28),$P14,0)</f>
        <v>#VALUE!</v>
      </c>
    </row>
    <row r="15" spans="1:19" ht="13.5" x14ac:dyDescent="0.15">
      <c r="A15" s="87"/>
      <c r="B15" s="582" t="s">
        <v>176</v>
      </c>
      <c r="C15" s="592" t="s">
        <v>177</v>
      </c>
      <c r="D15" s="592"/>
      <c r="E15" s="592"/>
      <c r="F15" s="592"/>
      <c r="G15" s="593"/>
      <c r="H15" s="346"/>
      <c r="I15" s="347">
        <f ca="1">ROUNDUP((LocalIFERROR(SUMIF(INDIRECT("'"&amp;管理データ!$A$2&amp;管理データ!$B$2),"合計（"&amp;見積総括表!$C12&amp;"）",INDIRECT("'"&amp;管理データ!$A$2&amp;管理データ!$E$2)),0)+LocalIFERROR(SUMIF(INDIRECT("'"&amp;管理データ!$A$5&amp;管理データ!$B$5),"合計（"&amp;見積総括表!$C28&amp;"）",INDIRECT("'"&amp;管理データ!$A$5&amp;管理データ!$E$5)),0))*0.15,-3)</f>
        <v>0</v>
      </c>
      <c r="J15" s="346"/>
      <c r="K15" s="347">
        <f ca="1">ROUNDUP((LocalIFERROR(SUMIF(INDIRECT("'"&amp;管理データ!$A$2&amp;管理データ!$B$2),"合計（"&amp;見積総括表!$C12&amp;"）",INDIRECT("'"&amp;管理データ!$A$2&amp;管理データ!$F$2)),0)+LocalIFERROR(SUMIF(INDIRECT("'"&amp;管理データ!$A$5&amp;管理データ!$B$5),"合計（"&amp;見積総括表!$C28&amp;"）",INDIRECT("'"&amp;管理データ!$A$5&amp;管理データ!$F$5)),0))*0.15,-3)</f>
        <v>0</v>
      </c>
      <c r="L15" s="348" t="s">
        <v>178</v>
      </c>
      <c r="M15" s="13" t="s">
        <v>169</v>
      </c>
      <c r="N15" s="230" t="s">
        <v>179</v>
      </c>
    </row>
    <row r="16" spans="1:19" ht="13.5" x14ac:dyDescent="0.15">
      <c r="A16" s="87"/>
      <c r="B16" s="582" t="s">
        <v>181</v>
      </c>
      <c r="C16" s="592"/>
      <c r="D16" s="592"/>
      <c r="E16" s="592"/>
      <c r="F16" s="592"/>
      <c r="G16" s="593"/>
      <c r="H16" s="185"/>
      <c r="I16" s="375">
        <f ca="1">SUM(I11:I15)</f>
        <v>0</v>
      </c>
      <c r="J16" s="185"/>
      <c r="K16" s="375">
        <f ca="1">SUM(K11:K15)</f>
        <v>0</v>
      </c>
      <c r="L16" s="349"/>
      <c r="N16" s="230"/>
    </row>
    <row r="17" spans="1:19" x14ac:dyDescent="0.15">
      <c r="A17" s="87"/>
      <c r="B17" s="21"/>
      <c r="C17" s="14"/>
      <c r="D17" s="14"/>
      <c r="E17" s="14"/>
      <c r="F17" s="14"/>
      <c r="G17" s="14"/>
      <c r="H17" s="176"/>
      <c r="I17" s="173"/>
      <c r="J17" s="176"/>
      <c r="K17" s="173"/>
      <c r="L17" s="14"/>
    </row>
    <row r="18" spans="1:19" x14ac:dyDescent="0.15">
      <c r="A18" s="87"/>
      <c r="B18" s="42" t="s">
        <v>182</v>
      </c>
      <c r="C18" s="14"/>
      <c r="D18" s="14"/>
      <c r="E18" s="14"/>
      <c r="F18" s="14"/>
      <c r="G18" s="14"/>
      <c r="H18" s="176"/>
      <c r="I18" s="169"/>
      <c r="J18" s="176"/>
      <c r="K18" s="169"/>
      <c r="L18" s="14"/>
    </row>
    <row r="19" spans="1:19" s="14" customFormat="1" x14ac:dyDescent="0.15">
      <c r="A19" s="86"/>
      <c r="B19" s="149" t="s">
        <v>164</v>
      </c>
      <c r="C19" s="53" t="s">
        <v>165</v>
      </c>
      <c r="D19" s="44"/>
      <c r="E19" s="44"/>
      <c r="F19" s="154"/>
      <c r="G19" s="154"/>
      <c r="H19" s="177" t="s">
        <v>166</v>
      </c>
      <c r="I19" s="170" t="s">
        <v>167</v>
      </c>
      <c r="J19" s="177" t="s">
        <v>166</v>
      </c>
      <c r="K19" s="170" t="s">
        <v>167</v>
      </c>
      <c r="L19" s="144" t="s">
        <v>168</v>
      </c>
      <c r="M19" s="13"/>
    </row>
    <row r="20" spans="1:19" s="14" customFormat="1" ht="12" customHeight="1" x14ac:dyDescent="0.15">
      <c r="A20" s="86"/>
      <c r="B20" s="150"/>
      <c r="C20" s="43"/>
      <c r="D20" s="153"/>
      <c r="E20" s="153"/>
      <c r="F20" s="8"/>
      <c r="G20" s="8"/>
      <c r="H20" s="178"/>
      <c r="I20" s="171"/>
      <c r="J20" s="178"/>
      <c r="K20" s="171"/>
      <c r="L20" s="151"/>
      <c r="M20" s="13"/>
    </row>
    <row r="21" spans="1:19" x14ac:dyDescent="0.15">
      <c r="A21" s="87"/>
      <c r="B21" s="119">
        <v>1</v>
      </c>
      <c r="C21" s="122" t="s">
        <v>144</v>
      </c>
      <c r="D21" s="123"/>
      <c r="E21" s="123"/>
      <c r="F21" s="123"/>
      <c r="G21" s="123"/>
      <c r="H21" s="185"/>
      <c r="I21" s="186"/>
      <c r="J21" s="185"/>
      <c r="K21" s="186"/>
      <c r="L21" s="349"/>
      <c r="N21" s="230" t="s">
        <v>183</v>
      </c>
    </row>
    <row r="22" spans="1:19" x14ac:dyDescent="0.15">
      <c r="A22" s="87"/>
      <c r="B22" s="120"/>
      <c r="C22" s="57" t="s">
        <v>138</v>
      </c>
      <c r="D22" s="121" t="s">
        <v>145</v>
      </c>
      <c r="E22" s="121"/>
      <c r="F22" s="121"/>
      <c r="G22" s="121"/>
      <c r="H22" s="180" t="str">
        <f>IF(ISBLANK('保守仕様明細②-8H'!$G12),"",'保守仕様明細②-8H'!$G12)</f>
        <v/>
      </c>
      <c r="I22" s="187"/>
      <c r="J22" s="180" t="str">
        <f>IF(ISBLANK('保守仕様明細②-24H'!$G12),"",'保守仕様明細②-24H'!$G12)</f>
        <v/>
      </c>
      <c r="K22" s="187"/>
      <c r="L22" s="379" t="s">
        <v>184</v>
      </c>
      <c r="N22" s="230" t="s">
        <v>185</v>
      </c>
      <c r="O22" s="231">
        <v>0</v>
      </c>
    </row>
    <row r="23" spans="1:19" x14ac:dyDescent="0.15">
      <c r="A23" s="87"/>
      <c r="B23" s="120"/>
      <c r="C23" s="50" t="s">
        <v>140</v>
      </c>
      <c r="D23" s="112" t="s">
        <v>146</v>
      </c>
      <c r="E23" s="112"/>
      <c r="F23" s="112"/>
      <c r="G23" s="112"/>
      <c r="H23" s="188" t="str">
        <f>IF(ISBLANK('保守仕様明細②-8H'!$G13),"",'保守仕様明細②-8H'!$G13)</f>
        <v/>
      </c>
      <c r="I23" s="189"/>
      <c r="J23" s="188" t="str">
        <f>IF(ISBLANK('保守仕様明細②-24H'!$G13),"",'保守仕様明細②-24H'!$G13)</f>
        <v/>
      </c>
      <c r="K23" s="189"/>
      <c r="L23" s="380"/>
      <c r="N23" s="230" t="s">
        <v>186</v>
      </c>
      <c r="O23" s="146">
        <v>500000</v>
      </c>
      <c r="P23" s="13" t="s">
        <v>187</v>
      </c>
    </row>
    <row r="24" spans="1:19" x14ac:dyDescent="0.15">
      <c r="A24" s="87"/>
      <c r="B24" s="120"/>
      <c r="C24" s="50" t="s">
        <v>147</v>
      </c>
      <c r="D24" s="112" t="s">
        <v>148</v>
      </c>
      <c r="E24" s="118"/>
      <c r="F24" s="112"/>
      <c r="G24" s="112"/>
      <c r="H24" s="188" t="str">
        <f>IF(ISBLANK('保守仕様明細②-8H'!$G14),"",'保守仕様明細②-8H'!$G14)</f>
        <v/>
      </c>
      <c r="I24" s="189"/>
      <c r="J24" s="188" t="str">
        <f>IF(ISBLANK('保守仕様明細②-24H'!$G14),"",'保守仕様明細②-24H'!$G14)</f>
        <v/>
      </c>
      <c r="K24" s="189"/>
      <c r="L24" s="380"/>
      <c r="N24" s="230" t="s">
        <v>188</v>
      </c>
    </row>
    <row r="25" spans="1:19" x14ac:dyDescent="0.15">
      <c r="A25" s="87"/>
      <c r="B25" s="57"/>
      <c r="C25" s="50" t="s">
        <v>149</v>
      </c>
      <c r="D25" s="112" t="s">
        <v>150</v>
      </c>
      <c r="E25" s="118"/>
      <c r="F25" s="112"/>
      <c r="G25" s="112"/>
      <c r="H25" s="188" t="str">
        <f>IF(ISBLANK('保守仕様明細②-8H'!$G15),"",'保守仕様明細②-8H'!$G15)</f>
        <v/>
      </c>
      <c r="I25" s="189"/>
      <c r="J25" s="188" t="str">
        <f>IF(ISBLANK('保守仕様明細②-24H'!$G15),"",'保守仕様明細②-24H'!$G15)</f>
        <v/>
      </c>
      <c r="K25" s="189"/>
      <c r="L25" s="380"/>
      <c r="N25" s="230" t="s">
        <v>185</v>
      </c>
      <c r="O25" s="231">
        <v>0</v>
      </c>
    </row>
    <row r="26" spans="1:19" ht="12.75" thickBot="1" x14ac:dyDescent="0.2">
      <c r="A26" s="87"/>
      <c r="B26" s="85">
        <v>2</v>
      </c>
      <c r="C26" s="142" t="s">
        <v>151</v>
      </c>
      <c r="D26" s="118"/>
      <c r="E26" s="118"/>
      <c r="F26" s="118"/>
      <c r="G26" s="118"/>
      <c r="H26" s="188" t="str">
        <f>IF(ISBLANK('保守仕様明細②-8H'!$G16),"",'保守仕様明細②-8H'!$G16)</f>
        <v/>
      </c>
      <c r="I26" s="190"/>
      <c r="J26" s="188" t="str">
        <f>IF(ISBLANK('保守仕様明細②-24H'!$G16),"",'保守仕様明細②-24H'!$G16)</f>
        <v/>
      </c>
      <c r="K26" s="190"/>
      <c r="L26" s="380"/>
      <c r="N26" s="230" t="s">
        <v>186</v>
      </c>
      <c r="O26" s="232">
        <v>250000</v>
      </c>
      <c r="P26" s="13" t="s">
        <v>189</v>
      </c>
    </row>
    <row r="27" spans="1:19" ht="12.75" thickTop="1" x14ac:dyDescent="0.15">
      <c r="A27" s="87"/>
      <c r="B27" s="51">
        <v>3</v>
      </c>
      <c r="C27" s="143" t="s">
        <v>152</v>
      </c>
      <c r="D27" s="113"/>
      <c r="E27" s="113"/>
      <c r="F27" s="113"/>
      <c r="G27" s="113"/>
      <c r="H27" s="183" t="str">
        <f>IF(ISBLANK('保守仕様明細②-8H'!$G17),"",'保守仕様明細②-8H'!$G17)</f>
        <v/>
      </c>
      <c r="I27" s="184"/>
      <c r="J27" s="183" t="str">
        <f>IF(ISBLANK('保守仕様明細②-24H'!$G17),"",'保守仕様明細②-24H'!$G17)</f>
        <v/>
      </c>
      <c r="K27" s="184"/>
      <c r="L27" s="381"/>
      <c r="N27" s="298" t="s">
        <v>190</v>
      </c>
      <c r="O27" s="299">
        <f>O23*O22+O26*O25*2</f>
        <v>0</v>
      </c>
      <c r="P27" s="13">
        <f>IF($H27="○",$O27/10,0)</f>
        <v>0</v>
      </c>
      <c r="Q27" s="13">
        <f>IF($J27="○",$O27/10,0)</f>
        <v>0</v>
      </c>
      <c r="R27" s="13">
        <f>IF($H27="○",$O27/10,0)</f>
        <v>0</v>
      </c>
      <c r="S27" s="13">
        <f>IF($J27="○",$O27/10,0)</f>
        <v>0</v>
      </c>
    </row>
    <row r="28" spans="1:19" ht="13.5" x14ac:dyDescent="0.15">
      <c r="A28" s="87"/>
      <c r="B28" s="582" t="s">
        <v>181</v>
      </c>
      <c r="C28" s="592"/>
      <c r="D28" s="592"/>
      <c r="E28" s="592"/>
      <c r="F28" s="592"/>
      <c r="G28" s="593"/>
      <c r="H28" s="185"/>
      <c r="I28" s="172">
        <f>SUM(I21:I27)</f>
        <v>0</v>
      </c>
      <c r="J28" s="185"/>
      <c r="K28" s="172">
        <f>SUM(K21:K27)</f>
        <v>0</v>
      </c>
      <c r="L28" s="349"/>
      <c r="N28" s="230" t="s">
        <v>191</v>
      </c>
      <c r="O28" s="146">
        <v>0</v>
      </c>
      <c r="Q28" s="307"/>
    </row>
    <row r="29" spans="1:19" x14ac:dyDescent="0.15">
      <c r="A29" s="87"/>
      <c r="B29" s="21"/>
      <c r="C29" s="14"/>
      <c r="D29" s="14"/>
      <c r="E29" s="14"/>
      <c r="F29" s="14"/>
      <c r="G29" s="14"/>
      <c r="H29" s="176"/>
      <c r="I29" s="173"/>
      <c r="J29" s="176"/>
      <c r="K29" s="173"/>
      <c r="L29" s="14"/>
    </row>
    <row r="30" spans="1:19" x14ac:dyDescent="0.15">
      <c r="A30" s="87"/>
      <c r="B30" s="42" t="s">
        <v>192</v>
      </c>
      <c r="C30" s="14"/>
      <c r="D30" s="14"/>
      <c r="E30" s="14"/>
      <c r="F30" s="14"/>
      <c r="G30" s="14"/>
      <c r="H30" s="176"/>
      <c r="I30" s="169"/>
      <c r="J30" s="176"/>
      <c r="K30" s="169"/>
      <c r="L30" s="14"/>
      <c r="O30" s="14"/>
    </row>
    <row r="31" spans="1:19" s="14" customFormat="1" x14ac:dyDescent="0.15">
      <c r="A31" s="86"/>
      <c r="B31" s="149" t="s">
        <v>164</v>
      </c>
      <c r="C31" s="53" t="s">
        <v>165</v>
      </c>
      <c r="D31" s="44"/>
      <c r="E31" s="44"/>
      <c r="F31" s="154"/>
      <c r="G31" s="154"/>
      <c r="H31" s="177" t="s">
        <v>166</v>
      </c>
      <c r="I31" s="170" t="s">
        <v>167</v>
      </c>
      <c r="J31" s="177" t="s">
        <v>166</v>
      </c>
      <c r="K31" s="170" t="s">
        <v>167</v>
      </c>
      <c r="L31" s="144" t="s">
        <v>168</v>
      </c>
      <c r="M31" s="13"/>
      <c r="N31" s="13"/>
    </row>
    <row r="32" spans="1:19" s="14" customFormat="1" ht="12" customHeight="1" x14ac:dyDescent="0.15">
      <c r="A32" s="86"/>
      <c r="B32" s="150"/>
      <c r="C32" s="43"/>
      <c r="D32" s="153"/>
      <c r="E32" s="153"/>
      <c r="F32" s="8"/>
      <c r="G32" s="8"/>
      <c r="H32" s="178"/>
      <c r="I32" s="171"/>
      <c r="J32" s="178"/>
      <c r="K32" s="171"/>
      <c r="L32" s="151"/>
      <c r="M32" s="13"/>
      <c r="N32" s="13"/>
      <c r="O32" s="13"/>
    </row>
    <row r="33" spans="1:19" x14ac:dyDescent="0.15">
      <c r="A33" s="87"/>
      <c r="B33" s="119">
        <v>1</v>
      </c>
      <c r="C33" s="122" t="s">
        <v>193</v>
      </c>
      <c r="D33" s="123"/>
      <c r="E33" s="123"/>
      <c r="F33" s="123"/>
      <c r="G33" s="123"/>
      <c r="H33" s="185"/>
      <c r="I33" s="186"/>
      <c r="J33" s="185"/>
      <c r="K33" s="186"/>
      <c r="L33" s="349"/>
      <c r="N33" s="230" t="s">
        <v>158</v>
      </c>
      <c r="O33" s="300">
        <v>60000</v>
      </c>
      <c r="R33" s="13">
        <f>IF(AND($H34="○",$O33&gt;0),$O$2,0)</f>
        <v>0</v>
      </c>
      <c r="S33" s="13">
        <f>IF(AND($J34="○",$O33&gt;0),$O$2,0)</f>
        <v>0</v>
      </c>
    </row>
    <row r="34" spans="1:19" x14ac:dyDescent="0.15">
      <c r="A34" s="87"/>
      <c r="B34" s="120"/>
      <c r="C34" s="57" t="s">
        <v>138</v>
      </c>
      <c r="D34" s="121" t="s">
        <v>194</v>
      </c>
      <c r="E34" s="121"/>
      <c r="F34" s="121"/>
      <c r="G34" s="121"/>
      <c r="H34" s="180" t="str">
        <f>IF(ISBLANK('保守仕様明細②-8H'!$G18),"",'保守仕様明細②-8H'!$G18)</f>
        <v/>
      </c>
      <c r="I34" s="187" t="str">
        <f>IF($H34="○",$O33+($O34*$P34),"-")</f>
        <v>-</v>
      </c>
      <c r="J34" s="180" t="str">
        <f>IF(ISBLANK('保守仕様明細②-24H'!$G18),"",'保守仕様明細②-24H'!$G18)</f>
        <v/>
      </c>
      <c r="K34" s="187" t="str">
        <f>IF($J34="○",$O33+($O34*$P34),"-")</f>
        <v>-</v>
      </c>
      <c r="L34" s="111"/>
      <c r="N34" s="236" t="s">
        <v>195</v>
      </c>
      <c r="O34" s="230">
        <v>0</v>
      </c>
      <c r="P34" s="146">
        <f>ROUNDDOWN(14400+3650,-3)</f>
        <v>18000</v>
      </c>
      <c r="Q34" s="13" t="s">
        <v>196</v>
      </c>
      <c r="R34" s="13">
        <f>IF(H34="×",0,$O$3*$O34)</f>
        <v>0</v>
      </c>
      <c r="S34" s="13">
        <f>IF(J34="×",0,$O$3*$O34)</f>
        <v>0</v>
      </c>
    </row>
    <row r="35" spans="1:19" x14ac:dyDescent="0.15">
      <c r="A35" s="87"/>
      <c r="B35" s="158"/>
      <c r="C35" s="50" t="s">
        <v>140</v>
      </c>
      <c r="D35" s="112" t="s">
        <v>197</v>
      </c>
      <c r="E35" s="118"/>
      <c r="F35" s="112"/>
      <c r="G35" s="112"/>
      <c r="H35" s="188" t="s">
        <v>198</v>
      </c>
      <c r="I35" s="189" t="str">
        <f>IF($H35="○",$O35,"-")</f>
        <v>-</v>
      </c>
      <c r="J35" s="188" t="s">
        <v>198</v>
      </c>
      <c r="K35" s="189" t="str">
        <f>IF($J35="○",$O35,"-")</f>
        <v>-</v>
      </c>
      <c r="L35" s="114" t="s">
        <v>199</v>
      </c>
      <c r="N35" s="230" t="s">
        <v>162</v>
      </c>
      <c r="O35" s="146">
        <v>60000</v>
      </c>
      <c r="R35" s="13">
        <f>IF(AND(H35="○",I35&gt;0),$O$5,0)</f>
        <v>0</v>
      </c>
      <c r="S35" s="13">
        <f>IF(AND(J35="○",K35&gt;0),$O$5,0)</f>
        <v>0</v>
      </c>
    </row>
    <row r="36" spans="1:19" ht="13.5" x14ac:dyDescent="0.15">
      <c r="A36" s="87"/>
      <c r="B36" s="594" t="s">
        <v>181</v>
      </c>
      <c r="C36" s="592"/>
      <c r="D36" s="592"/>
      <c r="E36" s="592"/>
      <c r="F36" s="592"/>
      <c r="G36" s="593"/>
      <c r="H36" s="185"/>
      <c r="I36" s="172">
        <f>SUM(I33:I35)</f>
        <v>0</v>
      </c>
      <c r="J36" s="185"/>
      <c r="K36" s="172">
        <f>SUM(K33:K35)</f>
        <v>0</v>
      </c>
      <c r="L36" s="349"/>
      <c r="M36" s="13" t="s">
        <v>200</v>
      </c>
    </row>
    <row r="37" spans="1:19" x14ac:dyDescent="0.15">
      <c r="A37" s="87"/>
      <c r="H37" s="176"/>
      <c r="I37" s="173"/>
      <c r="J37" s="176"/>
      <c r="K37" s="173"/>
      <c r="L37" s="14"/>
      <c r="N37" s="14"/>
    </row>
    <row r="38" spans="1:19" x14ac:dyDescent="0.15">
      <c r="A38" s="87"/>
      <c r="H38" s="176"/>
      <c r="I38" s="169"/>
      <c r="J38" s="176"/>
      <c r="K38" s="169"/>
      <c r="L38" s="14"/>
      <c r="N38" s="14"/>
    </row>
    <row r="39" spans="1:19" ht="13.5" x14ac:dyDescent="0.15">
      <c r="A39" s="88"/>
      <c r="B39" s="44" t="str">
        <f>"合計（"&amp;N10&amp;"）"</f>
        <v>合計（②-1）</v>
      </c>
      <c r="C39" s="44"/>
      <c r="D39" s="44"/>
      <c r="E39" s="44"/>
      <c r="F39" s="44"/>
      <c r="G39" s="125"/>
      <c r="H39" s="191"/>
      <c r="I39" s="174">
        <f ca="1">SUMIF($B9:$B38,"小計",$I9:$I38)</f>
        <v>0</v>
      </c>
      <c r="J39" s="191"/>
      <c r="K39" s="174">
        <f ca="1">SUMIF($B9:$B38,"小計",$K9:$K38)</f>
        <v>0</v>
      </c>
      <c r="L39" s="44"/>
      <c r="N39" s="14"/>
      <c r="Q39" s="13" t="str">
        <f>"原価（"&amp;N10&amp;"）"</f>
        <v>原価（②-1）</v>
      </c>
      <c r="R39" s="13">
        <f>SUM(R9:R38)</f>
        <v>0</v>
      </c>
      <c r="S39" s="13">
        <f>SUM(S9:S38)</f>
        <v>0</v>
      </c>
    </row>
    <row r="40" spans="1:19" x14ac:dyDescent="0.15">
      <c r="H40" s="176"/>
      <c r="I40" s="84"/>
      <c r="J40" s="176"/>
      <c r="K40" s="84"/>
      <c r="N40" s="14"/>
    </row>
    <row r="41" spans="1:19" x14ac:dyDescent="0.15">
      <c r="H41" s="176"/>
      <c r="I41" s="84"/>
      <c r="J41" s="176"/>
      <c r="K41" s="84"/>
      <c r="L41" s="153"/>
      <c r="O41" s="14"/>
    </row>
    <row r="42" spans="1:19" s="14" customFormat="1" ht="17.25" customHeight="1" x14ac:dyDescent="0.15">
      <c r="A42" s="262" t="str">
        <f>見積総括表!$E$21</f>
        <v/>
      </c>
      <c r="B42" s="64"/>
      <c r="C42" s="64"/>
      <c r="D42" s="64"/>
      <c r="E42" s="64"/>
      <c r="F42" s="64"/>
      <c r="G42" s="64"/>
      <c r="H42" s="168"/>
      <c r="I42" s="83"/>
      <c r="J42" s="168"/>
      <c r="K42" s="83"/>
      <c r="L42" s="65"/>
    </row>
    <row r="43" spans="1:19" s="14" customFormat="1" ht="15.95" customHeight="1" x14ac:dyDescent="0.15">
      <c r="A43" s="86"/>
      <c r="B43" s="42" t="s">
        <v>163</v>
      </c>
      <c r="H43" s="176"/>
      <c r="I43" s="169"/>
      <c r="J43" s="176"/>
      <c r="K43" s="169"/>
    </row>
    <row r="44" spans="1:19" s="14" customFormat="1" x14ac:dyDescent="0.15">
      <c r="A44" s="86"/>
      <c r="B44" s="149" t="s">
        <v>164</v>
      </c>
      <c r="C44" s="53" t="s">
        <v>165</v>
      </c>
      <c r="D44" s="44"/>
      <c r="E44" s="44"/>
      <c r="F44" s="154"/>
      <c r="G44" s="154"/>
      <c r="H44" s="177" t="s">
        <v>166</v>
      </c>
      <c r="I44" s="170" t="s">
        <v>167</v>
      </c>
      <c r="J44" s="177" t="s">
        <v>166</v>
      </c>
      <c r="K44" s="170" t="s">
        <v>167</v>
      </c>
      <c r="L44" s="144" t="s">
        <v>168</v>
      </c>
    </row>
    <row r="45" spans="1:19" s="14" customFormat="1" ht="12" customHeight="1" x14ac:dyDescent="0.15">
      <c r="A45" s="86"/>
      <c r="B45" s="150"/>
      <c r="C45" s="43"/>
      <c r="D45" s="153"/>
      <c r="E45" s="153"/>
      <c r="F45" s="8"/>
      <c r="G45" s="8"/>
      <c r="H45" s="178"/>
      <c r="I45" s="171"/>
      <c r="J45" s="178"/>
      <c r="K45" s="171"/>
      <c r="L45" s="151"/>
      <c r="N45" s="14" t="s">
        <v>201</v>
      </c>
    </row>
    <row r="46" spans="1:19" ht="13.5" x14ac:dyDescent="0.15">
      <c r="A46" s="87"/>
      <c r="B46" s="119">
        <v>1</v>
      </c>
      <c r="C46" s="56" t="s">
        <v>170</v>
      </c>
      <c r="D46" s="142"/>
      <c r="E46" s="46"/>
      <c r="F46" s="46"/>
      <c r="G46" s="46"/>
      <c r="H46" s="179"/>
      <c r="I46" s="174"/>
      <c r="J46" s="179"/>
      <c r="K46" s="174"/>
      <c r="L46" s="159"/>
      <c r="N46" s="230" t="s">
        <v>171</v>
      </c>
      <c r="O46"/>
      <c r="P46" s="14" t="s">
        <v>312</v>
      </c>
      <c r="Q46" s="270"/>
    </row>
    <row r="47" spans="1:19" ht="13.5" x14ac:dyDescent="0.15">
      <c r="A47" s="87"/>
      <c r="B47" s="120"/>
      <c r="C47" s="47" t="s">
        <v>138</v>
      </c>
      <c r="D47" s="48" t="s">
        <v>172</v>
      </c>
      <c r="E47" s="110"/>
      <c r="F47" s="110"/>
      <c r="G47" s="110"/>
      <c r="H47" s="180" t="str">
        <f>IF(ISBLANK('保守仕様明細②-8H'!$H$7),"",'保守仕様明細②-8H'!$H$7)</f>
        <v/>
      </c>
      <c r="I47" s="181" t="str">
        <f>IF(AND($H47="○",$H49="×"),P47+P49+P62,"-")</f>
        <v>-</v>
      </c>
      <c r="J47" s="180" t="str">
        <f>IF(ISBLANK('保守仕様明細②-24H'!$H$7),"",'保守仕様明細②-24H'!$H$7)</f>
        <v/>
      </c>
      <c r="K47" s="181" t="str">
        <f>IF(AND($J47="○",$J49="○"),Q47+Q49+Q62,"-")</f>
        <v>-</v>
      </c>
      <c r="L47" s="111"/>
      <c r="N47" s="146"/>
      <c r="O47"/>
      <c r="P47" s="270">
        <f>ROUNDUP(MAX($N47*0.05,180000),-3)</f>
        <v>180000</v>
      </c>
      <c r="Q47" s="270">
        <f>ROUNDUP(IF($N47&lt;100000000,MAX($N47*0.08,240000),$N47*0.1),-3)</f>
        <v>240000</v>
      </c>
    </row>
    <row r="48" spans="1:19" x14ac:dyDescent="0.15">
      <c r="A48" s="87"/>
      <c r="B48" s="120"/>
      <c r="C48" s="55" t="s">
        <v>140</v>
      </c>
      <c r="D48" s="56" t="s">
        <v>173</v>
      </c>
      <c r="E48" s="118"/>
      <c r="F48" s="118"/>
      <c r="G48" s="118"/>
      <c r="H48" s="188" t="str">
        <f>IF(ISBLANK('保守仕様明細②-8H'!$H$8),"",'保守仕様明細②-8H'!$H$8)</f>
        <v/>
      </c>
      <c r="I48" s="182"/>
      <c r="J48" s="188" t="str">
        <f>IF(ISBLANK('保守仕様明細②-24H'!$H$8),"",'保守仕様明細②-24H'!$H$8)</f>
        <v/>
      </c>
      <c r="K48" s="182"/>
      <c r="L48" s="159"/>
      <c r="P48" s="308" t="s">
        <v>180</v>
      </c>
      <c r="Q48" s="270"/>
    </row>
    <row r="49" spans="1:19" ht="13.5" x14ac:dyDescent="0.15">
      <c r="A49" s="87"/>
      <c r="B49" s="51">
        <v>2</v>
      </c>
      <c r="C49" s="52" t="s">
        <v>174</v>
      </c>
      <c r="D49" s="143"/>
      <c r="E49" s="113"/>
      <c r="F49" s="113"/>
      <c r="G49" s="113"/>
      <c r="H49" s="183" t="str">
        <f>IF(ISBLANK('保守仕様明細②-8H'!$H$9),"",'保守仕様明細②-8H'!$H$9)</f>
        <v/>
      </c>
      <c r="I49" s="184" t="s">
        <v>175</v>
      </c>
      <c r="J49" s="183" t="str">
        <f>IF(ISBLANK('保守仕様明細②-24H'!$H$9),"",'保守仕様明細②-24H'!$H$9)</f>
        <v/>
      </c>
      <c r="K49" s="347"/>
      <c r="L49" s="114"/>
      <c r="N49"/>
      <c r="P49" s="270" t="e">
        <f ca="1">MAX(ROUNDUP(OFFSET(見積総括表!$P$36,VALUE(RIGHT($N45))-1,0)/38%,-3)-SUM(OFFSET(見積総括表!$S$12,VALUE(RIGHT($N45))-1,0),P47,I50,P62,OFFSET(見積総括表!$S$28,VALUE(RIGHT($N45))-1,0)),0)</f>
        <v>#VALUE!</v>
      </c>
      <c r="Q49" s="270" t="e">
        <f ca="1">MAX(ROUNDUP(OFFSET(見積総括表!$Z$36,VALUE(RIGHT($N45))-1,0)/38%,-3)-SUM(OFFSET(見積総括表!$AC$12,VALUE(RIGHT($N45))-1,0),Q47,K50,Q62,OFFSET(見積総括表!$AC$28,VALUE(RIGHT($N45))-1,0)),$P49,0)</f>
        <v>#VALUE!</v>
      </c>
    </row>
    <row r="50" spans="1:19" ht="13.5" x14ac:dyDescent="0.15">
      <c r="A50" s="87"/>
      <c r="B50" s="582" t="s">
        <v>176</v>
      </c>
      <c r="C50" s="592" t="s">
        <v>177</v>
      </c>
      <c r="D50" s="592"/>
      <c r="E50" s="592"/>
      <c r="F50" s="592"/>
      <c r="G50" s="593"/>
      <c r="H50" s="346"/>
      <c r="I50" s="347">
        <f ca="1">ROUNDUP((LocalIFERROR(SUMIF(INDIRECT("'"&amp;管理データ!$A$2&amp;管理データ!$B$2),"合計（"&amp;見積総括表!$C13&amp;"）",INDIRECT("'"&amp;管理データ!$A$2&amp;管理データ!$E$2)),0)+LocalIFERROR(SUMIF(INDIRECT("'"&amp;管理データ!$A$5&amp;管理データ!$B$5),"合計（"&amp;見積総括表!$C29&amp;"）",INDIRECT("'"&amp;管理データ!$A$5&amp;管理データ!$E$5)),0))*0.15,-3)</f>
        <v>0</v>
      </c>
      <c r="J50" s="346"/>
      <c r="K50" s="347">
        <f ca="1">ROUNDUP((LocalIFERROR(SUMIF(INDIRECT("'"&amp;管理データ!$A$2&amp;管理データ!$B$2),"合計（"&amp;見積総括表!$C13&amp;"）",INDIRECT("'"&amp;管理データ!$A$2&amp;管理データ!$F$2)),0)+LocalIFERROR(SUMIF(INDIRECT("'"&amp;管理データ!$A$5&amp;管理データ!$B$5),"合計（"&amp;見積総括表!$C29&amp;"）",INDIRECT("'"&amp;管理データ!$A$5&amp;管理データ!$F$5)),0))*0.15,-3)</f>
        <v>0</v>
      </c>
      <c r="L50" s="348" t="s">
        <v>178</v>
      </c>
      <c r="M50" s="13" t="s">
        <v>201</v>
      </c>
      <c r="N50" s="230" t="s">
        <v>179</v>
      </c>
    </row>
    <row r="51" spans="1:19" ht="13.5" x14ac:dyDescent="0.15">
      <c r="A51" s="87"/>
      <c r="B51" s="582" t="s">
        <v>181</v>
      </c>
      <c r="C51" s="592"/>
      <c r="D51" s="592"/>
      <c r="E51" s="592"/>
      <c r="F51" s="592"/>
      <c r="G51" s="593"/>
      <c r="H51" s="185"/>
      <c r="I51" s="172">
        <f ca="1">SUM(I46:I50)</f>
        <v>0</v>
      </c>
      <c r="J51" s="185"/>
      <c r="K51" s="172">
        <f ca="1">SUM(K46:K50)</f>
        <v>0</v>
      </c>
      <c r="L51" s="349"/>
      <c r="N51" s="230"/>
    </row>
    <row r="52" spans="1:19" x14ac:dyDescent="0.15">
      <c r="A52" s="87"/>
      <c r="B52" s="21"/>
      <c r="C52" s="14"/>
      <c r="D52" s="14"/>
      <c r="E52" s="14"/>
      <c r="F52" s="14"/>
      <c r="G52" s="14"/>
      <c r="H52" s="176"/>
      <c r="I52" s="173"/>
      <c r="J52" s="176"/>
      <c r="K52" s="173"/>
      <c r="L52" s="14"/>
    </row>
    <row r="53" spans="1:19" x14ac:dyDescent="0.15">
      <c r="A53" s="87"/>
      <c r="B53" s="42" t="s">
        <v>182</v>
      </c>
      <c r="C53" s="14"/>
      <c r="D53" s="14"/>
      <c r="E53" s="14"/>
      <c r="F53" s="14"/>
      <c r="G53" s="14"/>
      <c r="H53" s="176"/>
      <c r="I53" s="169"/>
      <c r="J53" s="176"/>
      <c r="K53" s="169"/>
      <c r="L53" s="14"/>
    </row>
    <row r="54" spans="1:19" s="14" customFormat="1" x14ac:dyDescent="0.15">
      <c r="A54" s="86"/>
      <c r="B54" s="149" t="s">
        <v>164</v>
      </c>
      <c r="C54" s="53" t="s">
        <v>165</v>
      </c>
      <c r="D54" s="44"/>
      <c r="E54" s="44"/>
      <c r="F54" s="154"/>
      <c r="G54" s="154"/>
      <c r="H54" s="177" t="s">
        <v>166</v>
      </c>
      <c r="I54" s="170" t="s">
        <v>167</v>
      </c>
      <c r="J54" s="177" t="s">
        <v>166</v>
      </c>
      <c r="K54" s="170" t="s">
        <v>167</v>
      </c>
      <c r="L54" s="144" t="s">
        <v>168</v>
      </c>
    </row>
    <row r="55" spans="1:19" s="14" customFormat="1" ht="12" customHeight="1" x14ac:dyDescent="0.15">
      <c r="A55" s="86"/>
      <c r="B55" s="150"/>
      <c r="C55" s="43"/>
      <c r="D55" s="153"/>
      <c r="E55" s="153"/>
      <c r="F55" s="8"/>
      <c r="G55" s="8"/>
      <c r="H55" s="178"/>
      <c r="I55" s="171"/>
      <c r="J55" s="178"/>
      <c r="K55" s="171"/>
      <c r="L55" s="151"/>
    </row>
    <row r="56" spans="1:19" x14ac:dyDescent="0.15">
      <c r="A56" s="87"/>
      <c r="B56" s="119">
        <v>1</v>
      </c>
      <c r="C56" s="122" t="s">
        <v>144</v>
      </c>
      <c r="D56" s="123"/>
      <c r="E56" s="123"/>
      <c r="F56" s="123"/>
      <c r="G56" s="123"/>
      <c r="H56" s="185"/>
      <c r="I56" s="186"/>
      <c r="J56" s="185"/>
      <c r="K56" s="186"/>
      <c r="L56" s="349"/>
      <c r="N56" s="230" t="s">
        <v>183</v>
      </c>
    </row>
    <row r="57" spans="1:19" x14ac:dyDescent="0.15">
      <c r="A57" s="87"/>
      <c r="B57" s="120"/>
      <c r="C57" s="57" t="s">
        <v>138</v>
      </c>
      <c r="D57" s="121" t="s">
        <v>145</v>
      </c>
      <c r="E57" s="121"/>
      <c r="F57" s="121"/>
      <c r="G57" s="121"/>
      <c r="H57" s="180" t="str">
        <f>IF(ISBLANK('保守仕様明細②-8H'!$H$12),"",'保守仕様明細②-8H'!$H$12)</f>
        <v/>
      </c>
      <c r="I57" s="187"/>
      <c r="J57" s="180" t="str">
        <f>IF(ISBLANK('保守仕様明細②-24H'!$H$12),"",'保守仕様明細②-24H'!$H$12)</f>
        <v/>
      </c>
      <c r="K57" s="187"/>
      <c r="L57" s="379" t="s">
        <v>184</v>
      </c>
      <c r="N57" s="230" t="s">
        <v>185</v>
      </c>
      <c r="O57" s="231">
        <v>0</v>
      </c>
    </row>
    <row r="58" spans="1:19" x14ac:dyDescent="0.15">
      <c r="A58" s="87"/>
      <c r="B58" s="120"/>
      <c r="C58" s="50" t="s">
        <v>140</v>
      </c>
      <c r="D58" s="112" t="s">
        <v>146</v>
      </c>
      <c r="E58" s="112"/>
      <c r="F58" s="112"/>
      <c r="G58" s="112"/>
      <c r="H58" s="188" t="str">
        <f>IF(ISBLANK('保守仕様明細②-8H'!$H$13),"",'保守仕様明細②-8H'!$H$13)</f>
        <v/>
      </c>
      <c r="I58" s="189"/>
      <c r="J58" s="188" t="str">
        <f>IF(ISBLANK('保守仕様明細②-24H'!$H$13),"",'保守仕様明細②-24H'!$H$13)</f>
        <v/>
      </c>
      <c r="K58" s="189"/>
      <c r="L58" s="380"/>
      <c r="N58" s="230" t="s">
        <v>186</v>
      </c>
      <c r="O58" s="146">
        <v>400000</v>
      </c>
      <c r="P58" s="13" t="s">
        <v>187</v>
      </c>
    </row>
    <row r="59" spans="1:19" x14ac:dyDescent="0.15">
      <c r="A59" s="87"/>
      <c r="B59" s="120"/>
      <c r="C59" s="50" t="s">
        <v>147</v>
      </c>
      <c r="D59" s="112" t="s">
        <v>148</v>
      </c>
      <c r="E59" s="118"/>
      <c r="F59" s="112"/>
      <c r="G59" s="112"/>
      <c r="H59" s="188" t="str">
        <f>IF(ISBLANK('保守仕様明細②-8H'!$H$14),"",'保守仕様明細②-8H'!$H$14)</f>
        <v/>
      </c>
      <c r="I59" s="189"/>
      <c r="J59" s="188" t="str">
        <f>IF(ISBLANK('保守仕様明細②-24H'!$H$14),"",'保守仕様明細②-24H'!$H$14)</f>
        <v/>
      </c>
      <c r="K59" s="189"/>
      <c r="L59" s="380"/>
      <c r="N59" s="230" t="s">
        <v>188</v>
      </c>
    </row>
    <row r="60" spans="1:19" x14ac:dyDescent="0.15">
      <c r="A60" s="87"/>
      <c r="B60" s="57"/>
      <c r="C60" s="50" t="s">
        <v>149</v>
      </c>
      <c r="D60" s="112" t="s">
        <v>150</v>
      </c>
      <c r="E60" s="118"/>
      <c r="F60" s="112"/>
      <c r="G60" s="112"/>
      <c r="H60" s="188" t="str">
        <f>IF(ISBLANK('保守仕様明細②-8H'!$H$15),"",'保守仕様明細②-8H'!$H$15)</f>
        <v/>
      </c>
      <c r="I60" s="189"/>
      <c r="J60" s="188" t="str">
        <f>IF(ISBLANK('保守仕様明細②-24H'!$H$15),"",'保守仕様明細②-24H'!$H$15)</f>
        <v/>
      </c>
      <c r="K60" s="189"/>
      <c r="L60" s="380"/>
      <c r="N60" s="230" t="s">
        <v>185</v>
      </c>
      <c r="O60" s="231">
        <v>0</v>
      </c>
    </row>
    <row r="61" spans="1:19" ht="12.75" thickBot="1" x14ac:dyDescent="0.2">
      <c r="A61" s="87"/>
      <c r="B61" s="85">
        <v>2</v>
      </c>
      <c r="C61" s="142" t="s">
        <v>151</v>
      </c>
      <c r="D61" s="118"/>
      <c r="E61" s="118"/>
      <c r="F61" s="118"/>
      <c r="G61" s="118"/>
      <c r="H61" s="188" t="str">
        <f>IF(ISBLANK('保守仕様明細②-8H'!$H$16),"",'保守仕様明細②-8H'!$H$16)</f>
        <v/>
      </c>
      <c r="I61" s="190"/>
      <c r="J61" s="188" t="str">
        <f>IF(ISBLANK('保守仕様明細②-24H'!$H$16),"",'保守仕様明細②-24H'!$H$16)</f>
        <v/>
      </c>
      <c r="K61" s="190"/>
      <c r="L61" s="380"/>
      <c r="N61" s="230" t="s">
        <v>186</v>
      </c>
      <c r="O61" s="232">
        <v>250000</v>
      </c>
      <c r="P61" s="13" t="s">
        <v>189</v>
      </c>
    </row>
    <row r="62" spans="1:19" ht="12.75" thickTop="1" x14ac:dyDescent="0.15">
      <c r="A62" s="87"/>
      <c r="B62" s="51">
        <v>3</v>
      </c>
      <c r="C62" s="143" t="s">
        <v>152</v>
      </c>
      <c r="D62" s="113"/>
      <c r="E62" s="113"/>
      <c r="F62" s="113"/>
      <c r="G62" s="113"/>
      <c r="H62" s="183" t="str">
        <f>IF(ISBLANK('保守仕様明細②-8H'!$H$17),"",'保守仕様明細②-8H'!$H$17)</f>
        <v/>
      </c>
      <c r="I62" s="184"/>
      <c r="J62" s="183" t="str">
        <f>IF(ISBLANK('保守仕様明細②-24H'!$H$17),"",'保守仕様明細②-24H'!$H$17)</f>
        <v/>
      </c>
      <c r="K62" s="184"/>
      <c r="L62" s="381"/>
      <c r="N62" s="298" t="s">
        <v>190</v>
      </c>
      <c r="O62" s="299">
        <f>O58*O57+O61*O60*2</f>
        <v>0</v>
      </c>
      <c r="P62" s="13">
        <f>IF($H62="○",$O62/10,0)</f>
        <v>0</v>
      </c>
      <c r="Q62" s="13">
        <f>IF($J62="○",$O62/10,0)</f>
        <v>0</v>
      </c>
      <c r="R62" s="13">
        <f>IF($H62="○",$O62/10,0)</f>
        <v>0</v>
      </c>
      <c r="S62" s="13">
        <f>IF($J62="○",$O62/10,0)</f>
        <v>0</v>
      </c>
    </row>
    <row r="63" spans="1:19" ht="13.5" x14ac:dyDescent="0.15">
      <c r="A63" s="87"/>
      <c r="B63" s="582" t="s">
        <v>181</v>
      </c>
      <c r="C63" s="592"/>
      <c r="D63" s="592"/>
      <c r="E63" s="592"/>
      <c r="F63" s="592"/>
      <c r="G63" s="593"/>
      <c r="H63" s="185"/>
      <c r="I63" s="172">
        <f>SUM(I56:I62)</f>
        <v>0</v>
      </c>
      <c r="J63" s="185"/>
      <c r="K63" s="172">
        <f>SUM(K56:K62)</f>
        <v>0</v>
      </c>
      <c r="L63" s="349"/>
      <c r="N63" s="230" t="s">
        <v>191</v>
      </c>
      <c r="O63" s="146">
        <v>0</v>
      </c>
      <c r="Q63" s="307"/>
    </row>
    <row r="64" spans="1:19" x14ac:dyDescent="0.15">
      <c r="A64" s="87"/>
      <c r="B64" s="21"/>
      <c r="C64" s="14"/>
      <c r="D64" s="14"/>
      <c r="E64" s="14"/>
      <c r="F64" s="14"/>
      <c r="G64" s="14"/>
      <c r="H64" s="176"/>
      <c r="I64" s="173"/>
      <c r="J64" s="176"/>
      <c r="K64" s="173"/>
      <c r="L64" s="14"/>
    </row>
    <row r="65" spans="1:19" x14ac:dyDescent="0.15">
      <c r="A65" s="87"/>
      <c r="B65" s="42" t="s">
        <v>192</v>
      </c>
      <c r="C65" s="14"/>
      <c r="D65" s="14"/>
      <c r="E65" s="14"/>
      <c r="F65" s="14"/>
      <c r="G65" s="14"/>
      <c r="H65" s="176"/>
      <c r="I65" s="169"/>
      <c r="J65" s="176"/>
      <c r="K65" s="169"/>
      <c r="L65" s="14"/>
      <c r="O65" s="14"/>
    </row>
    <row r="66" spans="1:19" s="14" customFormat="1" x14ac:dyDescent="0.15">
      <c r="A66" s="86"/>
      <c r="B66" s="149" t="s">
        <v>164</v>
      </c>
      <c r="C66" s="53" t="s">
        <v>165</v>
      </c>
      <c r="D66" s="44"/>
      <c r="E66" s="44"/>
      <c r="F66" s="154"/>
      <c r="G66" s="154"/>
      <c r="H66" s="177" t="s">
        <v>166</v>
      </c>
      <c r="I66" s="170" t="s">
        <v>167</v>
      </c>
      <c r="J66" s="177" t="s">
        <v>166</v>
      </c>
      <c r="K66" s="170" t="s">
        <v>167</v>
      </c>
      <c r="L66" s="144" t="s">
        <v>168</v>
      </c>
      <c r="N66" s="13"/>
    </row>
    <row r="67" spans="1:19" s="14" customFormat="1" ht="12" customHeight="1" x14ac:dyDescent="0.15">
      <c r="A67" s="86"/>
      <c r="B67" s="150"/>
      <c r="C67" s="43"/>
      <c r="D67" s="153"/>
      <c r="E67" s="153"/>
      <c r="F67" s="8"/>
      <c r="G67" s="8"/>
      <c r="H67" s="178"/>
      <c r="I67" s="171"/>
      <c r="J67" s="178"/>
      <c r="K67" s="171"/>
      <c r="L67" s="151"/>
      <c r="N67" s="13"/>
      <c r="O67" s="13"/>
    </row>
    <row r="68" spans="1:19" x14ac:dyDescent="0.15">
      <c r="A68" s="87"/>
      <c r="B68" s="119">
        <v>1</v>
      </c>
      <c r="C68" s="122" t="s">
        <v>193</v>
      </c>
      <c r="D68" s="123"/>
      <c r="E68" s="123"/>
      <c r="F68" s="123"/>
      <c r="G68" s="123"/>
      <c r="H68" s="185"/>
      <c r="I68" s="186"/>
      <c r="J68" s="185"/>
      <c r="K68" s="186"/>
      <c r="L68" s="349"/>
      <c r="N68" s="230" t="s">
        <v>158</v>
      </c>
      <c r="O68" s="300">
        <v>0</v>
      </c>
      <c r="R68" s="13">
        <f>IF(AND($H69="○",$O68&gt;0),$O$2,0)</f>
        <v>0</v>
      </c>
      <c r="S68" s="13">
        <f>IF(AND($J69="○",$O68&gt;0),$O$2,0)</f>
        <v>0</v>
      </c>
    </row>
    <row r="69" spans="1:19" x14ac:dyDescent="0.15">
      <c r="A69" s="87"/>
      <c r="B69" s="120"/>
      <c r="C69" s="57" t="s">
        <v>138</v>
      </c>
      <c r="D69" s="121" t="s">
        <v>194</v>
      </c>
      <c r="E69" s="121"/>
      <c r="F69" s="121"/>
      <c r="G69" s="121"/>
      <c r="H69" s="180" t="str">
        <f>IF(ISBLANK('保守仕様明細②-8H'!$H$18),"",'保守仕様明細②-8H'!$H$18)</f>
        <v/>
      </c>
      <c r="I69" s="187" t="str">
        <f>IF($H69="○",$O68+($O69*$P69),"-")</f>
        <v>-</v>
      </c>
      <c r="J69" s="180" t="str">
        <f>IF(ISBLANK('保守仕様明細②-24H'!$H$18),"",'保守仕様明細②-24H'!$H$18)</f>
        <v/>
      </c>
      <c r="K69" s="187" t="str">
        <f>IF($J69="○",$O68+($O69*$P69),"-")</f>
        <v>-</v>
      </c>
      <c r="L69" s="111"/>
      <c r="N69" s="236" t="s">
        <v>195</v>
      </c>
      <c r="O69" s="230">
        <v>0</v>
      </c>
      <c r="P69" s="146">
        <f>ROUNDDOWN(14400+3650,-3)</f>
        <v>18000</v>
      </c>
      <c r="Q69" s="13" t="s">
        <v>196</v>
      </c>
      <c r="R69" s="13">
        <f>IF(H69="×",0,$O$3*$O69)</f>
        <v>0</v>
      </c>
      <c r="S69" s="13">
        <f>IF(J69="×",0,$O$3*$O69)</f>
        <v>0</v>
      </c>
    </row>
    <row r="70" spans="1:19" x14ac:dyDescent="0.15">
      <c r="A70" s="87"/>
      <c r="B70" s="158"/>
      <c r="C70" s="50" t="s">
        <v>140</v>
      </c>
      <c r="D70" s="112" t="s">
        <v>197</v>
      </c>
      <c r="E70" s="118"/>
      <c r="F70" s="112"/>
      <c r="G70" s="112"/>
      <c r="H70" s="188" t="s">
        <v>198</v>
      </c>
      <c r="I70" s="189" t="str">
        <f>IF($H70="○",$O70,"-")</f>
        <v>-</v>
      </c>
      <c r="J70" s="188" t="s">
        <v>198</v>
      </c>
      <c r="K70" s="189" t="str">
        <f>IF($J70="○",$O70,"-")</f>
        <v>-</v>
      </c>
      <c r="L70" s="114" t="s">
        <v>199</v>
      </c>
      <c r="N70" s="230" t="s">
        <v>162</v>
      </c>
      <c r="O70" s="146">
        <v>0</v>
      </c>
      <c r="R70" s="13">
        <f>IF(AND(H70="○",I70&gt;0),$O$5,0)</f>
        <v>0</v>
      </c>
      <c r="S70" s="13">
        <f>IF(AND(J70="○",K70&gt;0),$O$5,0)</f>
        <v>0</v>
      </c>
    </row>
    <row r="71" spans="1:19" ht="13.5" x14ac:dyDescent="0.15">
      <c r="A71" s="87"/>
      <c r="B71" s="594" t="s">
        <v>181</v>
      </c>
      <c r="C71" s="592"/>
      <c r="D71" s="592"/>
      <c r="E71" s="592"/>
      <c r="F71" s="592"/>
      <c r="G71" s="593"/>
      <c r="H71" s="185"/>
      <c r="I71" s="172">
        <f>SUM(I68:I70)</f>
        <v>0</v>
      </c>
      <c r="J71" s="185"/>
      <c r="K71" s="172">
        <f>SUM(K68:K70)</f>
        <v>0</v>
      </c>
      <c r="L71" s="349"/>
      <c r="M71" s="13" t="s">
        <v>202</v>
      </c>
    </row>
    <row r="72" spans="1:19" x14ac:dyDescent="0.15">
      <c r="A72" s="87"/>
      <c r="H72" s="176"/>
      <c r="I72" s="173"/>
      <c r="J72" s="176"/>
      <c r="K72" s="173"/>
      <c r="L72" s="14"/>
      <c r="N72" s="14"/>
    </row>
    <row r="73" spans="1:19" x14ac:dyDescent="0.15">
      <c r="A73" s="87"/>
      <c r="H73" s="176"/>
      <c r="I73" s="169"/>
      <c r="J73" s="176"/>
      <c r="K73" s="169"/>
      <c r="L73" s="14"/>
      <c r="N73" s="14"/>
    </row>
    <row r="74" spans="1:19" ht="13.5" x14ac:dyDescent="0.15">
      <c r="A74" s="88"/>
      <c r="B74" s="44" t="str">
        <f>"合計（"&amp;N45&amp;"）"</f>
        <v>合計（②-2）</v>
      </c>
      <c r="C74" s="44"/>
      <c r="D74" s="44"/>
      <c r="E74" s="44"/>
      <c r="F74" s="44"/>
      <c r="G74" s="125"/>
      <c r="H74" s="191"/>
      <c r="I74" s="174">
        <f ca="1">SUMIF($B44:$B73,"小計",$I44:$I73)</f>
        <v>0</v>
      </c>
      <c r="J74" s="191"/>
      <c r="K74" s="174">
        <f ca="1">SUMIF($B44:$B73,"小計",$K44:$K73)</f>
        <v>0</v>
      </c>
      <c r="L74" s="44"/>
      <c r="N74" s="14"/>
      <c r="Q74" s="13" t="str">
        <f>"原価（"&amp;N45&amp;"）"</f>
        <v>原価（②-2）</v>
      </c>
      <c r="R74" s="13">
        <f>SUM(R44:R73)</f>
        <v>0</v>
      </c>
      <c r="S74" s="13">
        <f>SUM(S44:S73)</f>
        <v>0</v>
      </c>
    </row>
    <row r="75" spans="1:19" x14ac:dyDescent="0.15">
      <c r="H75" s="176"/>
      <c r="I75" s="84"/>
      <c r="J75" s="176"/>
      <c r="K75" s="84"/>
      <c r="N75" s="14"/>
    </row>
    <row r="76" spans="1:19" x14ac:dyDescent="0.15">
      <c r="H76" s="176"/>
      <c r="I76" s="169"/>
      <c r="J76" s="176"/>
      <c r="K76" s="169"/>
      <c r="O76" s="14"/>
    </row>
    <row r="77" spans="1:19" s="14" customFormat="1" ht="17.25" customHeight="1" x14ac:dyDescent="0.15">
      <c r="A77" s="262" t="str">
        <f>見積総括表!$E$22</f>
        <v/>
      </c>
      <c r="B77" s="64"/>
      <c r="C77" s="64"/>
      <c r="D77" s="64"/>
      <c r="E77" s="64"/>
      <c r="F77" s="64"/>
      <c r="G77" s="64"/>
      <c r="H77" s="168"/>
      <c r="I77" s="83"/>
      <c r="J77" s="168"/>
      <c r="K77" s="83"/>
      <c r="L77" s="65"/>
    </row>
    <row r="78" spans="1:19" s="14" customFormat="1" ht="15.95" customHeight="1" x14ac:dyDescent="0.15">
      <c r="A78" s="86"/>
      <c r="B78" s="42" t="s">
        <v>163</v>
      </c>
      <c r="H78" s="176"/>
      <c r="I78" s="169"/>
      <c r="J78" s="176"/>
      <c r="K78" s="169"/>
    </row>
    <row r="79" spans="1:19" s="14" customFormat="1" x14ac:dyDescent="0.15">
      <c r="A79" s="86"/>
      <c r="B79" s="149" t="s">
        <v>164</v>
      </c>
      <c r="C79" s="53" t="s">
        <v>165</v>
      </c>
      <c r="D79" s="44"/>
      <c r="E79" s="44"/>
      <c r="F79" s="154"/>
      <c r="G79" s="154"/>
      <c r="H79" s="177" t="s">
        <v>166</v>
      </c>
      <c r="I79" s="170" t="s">
        <v>167</v>
      </c>
      <c r="J79" s="177" t="s">
        <v>166</v>
      </c>
      <c r="K79" s="170" t="s">
        <v>167</v>
      </c>
      <c r="L79" s="144" t="s">
        <v>168</v>
      </c>
    </row>
    <row r="80" spans="1:19" s="14" customFormat="1" ht="12" customHeight="1" x14ac:dyDescent="0.15">
      <c r="A80" s="86"/>
      <c r="B80" s="150"/>
      <c r="C80" s="43"/>
      <c r="D80" s="153"/>
      <c r="E80" s="153"/>
      <c r="F80" s="8"/>
      <c r="G80" s="8"/>
      <c r="H80" s="178"/>
      <c r="I80" s="171"/>
      <c r="J80" s="178"/>
      <c r="K80" s="171"/>
      <c r="L80" s="151"/>
      <c r="N80" s="14" t="s">
        <v>203</v>
      </c>
    </row>
    <row r="81" spans="1:17" ht="13.5" x14ac:dyDescent="0.15">
      <c r="A81" s="87"/>
      <c r="B81" s="119">
        <v>1</v>
      </c>
      <c r="C81" s="56" t="s">
        <v>170</v>
      </c>
      <c r="D81" s="142"/>
      <c r="E81" s="46"/>
      <c r="F81" s="46"/>
      <c r="G81" s="46"/>
      <c r="H81" s="179"/>
      <c r="I81" s="174"/>
      <c r="J81" s="179"/>
      <c r="K81" s="174"/>
      <c r="L81" s="159"/>
      <c r="N81" s="230" t="s">
        <v>171</v>
      </c>
      <c r="O81"/>
      <c r="P81" s="14" t="s">
        <v>312</v>
      </c>
      <c r="Q81" s="270"/>
    </row>
    <row r="82" spans="1:17" ht="13.5" x14ac:dyDescent="0.15">
      <c r="A82" s="87"/>
      <c r="B82" s="120"/>
      <c r="C82" s="47" t="s">
        <v>138</v>
      </c>
      <c r="D82" s="48" t="s">
        <v>172</v>
      </c>
      <c r="E82" s="110"/>
      <c r="F82" s="110"/>
      <c r="G82" s="110"/>
      <c r="H82" s="180" t="str">
        <f>IF(ISBLANK('保守仕様明細②-8H'!$I$7),"",'保守仕様明細②-8H'!$I$7)</f>
        <v/>
      </c>
      <c r="I82" s="181" t="str">
        <f>IF(AND($H82="○",$H84="×"),P82+P84+P97,"-")</f>
        <v>-</v>
      </c>
      <c r="J82" s="180" t="str">
        <f>IF(ISBLANK('保守仕様明細②-24H'!$I$7),"",'保守仕様明細②-24H'!$I$7)</f>
        <v/>
      </c>
      <c r="K82" s="181" t="str">
        <f>IF(AND($J82="○",$J84="○"),Q82+Q84+Q97,"-")</f>
        <v>-</v>
      </c>
      <c r="L82" s="111"/>
      <c r="N82" s="146"/>
      <c r="O82"/>
      <c r="P82" s="270">
        <f>ROUNDUP(MAX($N82*0.05,180000),-3)</f>
        <v>180000</v>
      </c>
      <c r="Q82" s="270">
        <f>ROUNDUP(IF($N82&lt;100000000,MAX($N82*0.08,240000),$N82*0.1),-3)</f>
        <v>240000</v>
      </c>
    </row>
    <row r="83" spans="1:17" x14ac:dyDescent="0.15">
      <c r="A83" s="87"/>
      <c r="B83" s="120"/>
      <c r="C83" s="55" t="s">
        <v>140</v>
      </c>
      <c r="D83" s="56" t="s">
        <v>173</v>
      </c>
      <c r="E83" s="118"/>
      <c r="F83" s="118"/>
      <c r="G83" s="118"/>
      <c r="H83" s="188" t="str">
        <f>IF(ISBLANK('保守仕様明細②-8H'!$I$8),"",'保守仕様明細②-8H'!$I$8)</f>
        <v/>
      </c>
      <c r="I83" s="182"/>
      <c r="J83" s="188" t="str">
        <f>IF(ISBLANK('保守仕様明細②-24H'!$I$8),"",'保守仕様明細②-24H'!$I$8)</f>
        <v/>
      </c>
      <c r="K83" s="182"/>
      <c r="L83" s="159"/>
      <c r="P83" s="308" t="s">
        <v>180</v>
      </c>
      <c r="Q83" s="270"/>
    </row>
    <row r="84" spans="1:17" ht="13.5" x14ac:dyDescent="0.15">
      <c r="A84" s="87"/>
      <c r="B84" s="51">
        <v>2</v>
      </c>
      <c r="C84" s="52" t="s">
        <v>174</v>
      </c>
      <c r="D84" s="143"/>
      <c r="E84" s="113"/>
      <c r="F84" s="113"/>
      <c r="G84" s="113"/>
      <c r="H84" s="183" t="str">
        <f>IF(ISBLANK('保守仕様明細②-8H'!$I$9),"",'保守仕様明細②-8H'!$I$9)</f>
        <v/>
      </c>
      <c r="I84" s="184" t="s">
        <v>175</v>
      </c>
      <c r="J84" s="183" t="str">
        <f>IF(ISBLANK('保守仕様明細②-24H'!$I$9),"",'保守仕様明細②-24H'!$I$9)</f>
        <v/>
      </c>
      <c r="K84" s="347"/>
      <c r="L84" s="114"/>
      <c r="N84"/>
      <c r="P84" s="270" t="e">
        <f ca="1">MAX(ROUNDUP(OFFSET(見積総括表!$P$36,VALUE(RIGHT($N80))-1,0)/38%,-3)-SUM(OFFSET(見積総括表!$S$12,VALUE(RIGHT($N80))-1,0),P82,I85,P97,OFFSET(見積総括表!$S$28,VALUE(RIGHT($N80))-1,0)),0)</f>
        <v>#VALUE!</v>
      </c>
      <c r="Q84" s="270" t="e">
        <f ca="1">MAX(ROUNDUP(OFFSET(見積総括表!$Z$36,VALUE(RIGHT($N80))-1,0)/38%,-3)-SUM(OFFSET(見積総括表!$AC$12,VALUE(RIGHT($N80))-1,0),Q82,K85,Q97,OFFSET(見積総括表!$AC$28,VALUE(RIGHT($N80))-1,0)),$P84,0)</f>
        <v>#VALUE!</v>
      </c>
    </row>
    <row r="85" spans="1:17" ht="13.5" x14ac:dyDescent="0.15">
      <c r="A85" s="87"/>
      <c r="B85" s="582" t="s">
        <v>176</v>
      </c>
      <c r="C85" s="592" t="s">
        <v>177</v>
      </c>
      <c r="D85" s="592"/>
      <c r="E85" s="592"/>
      <c r="F85" s="592"/>
      <c r="G85" s="593"/>
      <c r="H85" s="346"/>
      <c r="I85" s="347">
        <f ca="1">ROUNDUP((LocalIFERROR(SUMIF(INDIRECT("'"&amp;管理データ!$A$2&amp;管理データ!$B$2),"合計（"&amp;見積総括表!$C14&amp;"）",INDIRECT("'"&amp;管理データ!$A$2&amp;管理データ!$E$2)),0)+LocalIFERROR(SUMIF(INDIRECT("'"&amp;管理データ!$A$5&amp;管理データ!$B$5),"合計（"&amp;見積総括表!$C30&amp;"）",INDIRECT("'"&amp;管理データ!$A$5&amp;管理データ!$E$5)),0))*0.15,-3)</f>
        <v>0</v>
      </c>
      <c r="J85" s="346"/>
      <c r="K85" s="347">
        <f ca="1">ROUNDUP((LocalIFERROR(SUMIF(INDIRECT("'"&amp;管理データ!$A$2&amp;管理データ!$B$2),"合計（"&amp;見積総括表!$C14&amp;"）",INDIRECT("'"&amp;管理データ!$A$2&amp;管理データ!$F$2)),0)+LocalIFERROR(SUMIF(INDIRECT("'"&amp;管理データ!$A$5&amp;管理データ!$B$5),"合計（"&amp;見積総括表!$C30&amp;"）",INDIRECT("'"&amp;管理データ!$A$5&amp;管理データ!$F$5)),0))*0.15,-3)</f>
        <v>0</v>
      </c>
      <c r="L85" s="348" t="s">
        <v>178</v>
      </c>
      <c r="M85" s="13" t="s">
        <v>203</v>
      </c>
      <c r="N85" s="230" t="s">
        <v>179</v>
      </c>
    </row>
    <row r="86" spans="1:17" ht="13.5" x14ac:dyDescent="0.15">
      <c r="A86" s="87"/>
      <c r="B86" s="582" t="s">
        <v>181</v>
      </c>
      <c r="C86" s="592"/>
      <c r="D86" s="592"/>
      <c r="E86" s="592"/>
      <c r="F86" s="592"/>
      <c r="G86" s="593"/>
      <c r="H86" s="185"/>
      <c r="I86" s="172">
        <f ca="1">SUM(I81:I85)</f>
        <v>0</v>
      </c>
      <c r="J86" s="185"/>
      <c r="K86" s="172">
        <f ca="1">SUM(K81:K85)</f>
        <v>0</v>
      </c>
      <c r="L86" s="349"/>
      <c r="N86" s="230"/>
    </row>
    <row r="87" spans="1:17" x14ac:dyDescent="0.15">
      <c r="A87" s="87"/>
      <c r="B87" s="21"/>
      <c r="C87" s="14"/>
      <c r="D87" s="14"/>
      <c r="E87" s="14"/>
      <c r="F87" s="14"/>
      <c r="G87" s="14"/>
      <c r="H87" s="176"/>
      <c r="I87" s="173"/>
      <c r="J87" s="176"/>
      <c r="K87" s="173"/>
      <c r="L87" s="14"/>
    </row>
    <row r="88" spans="1:17" x14ac:dyDescent="0.15">
      <c r="A88" s="87"/>
      <c r="B88" s="42" t="s">
        <v>182</v>
      </c>
      <c r="C88" s="14"/>
      <c r="D88" s="14"/>
      <c r="E88" s="14"/>
      <c r="F88" s="14"/>
      <c r="G88" s="14"/>
      <c r="H88" s="176"/>
      <c r="I88" s="169"/>
      <c r="J88" s="176"/>
      <c r="K88" s="169"/>
      <c r="L88" s="14"/>
    </row>
    <row r="89" spans="1:17" s="14" customFormat="1" x14ac:dyDescent="0.15">
      <c r="A89" s="86"/>
      <c r="B89" s="149" t="s">
        <v>164</v>
      </c>
      <c r="C89" s="53" t="s">
        <v>165</v>
      </c>
      <c r="D89" s="44"/>
      <c r="E89" s="44"/>
      <c r="F89" s="154"/>
      <c r="G89" s="154"/>
      <c r="H89" s="177" t="s">
        <v>166</v>
      </c>
      <c r="I89" s="170" t="s">
        <v>167</v>
      </c>
      <c r="J89" s="177" t="s">
        <v>166</v>
      </c>
      <c r="K89" s="170" t="s">
        <v>167</v>
      </c>
      <c r="L89" s="144" t="s">
        <v>168</v>
      </c>
    </row>
    <row r="90" spans="1:17" s="14" customFormat="1" ht="12" customHeight="1" x14ac:dyDescent="0.15">
      <c r="A90" s="86"/>
      <c r="B90" s="150"/>
      <c r="C90" s="43"/>
      <c r="D90" s="153"/>
      <c r="E90" s="153"/>
      <c r="F90" s="8"/>
      <c r="G90" s="8"/>
      <c r="H90" s="178"/>
      <c r="I90" s="171"/>
      <c r="J90" s="178"/>
      <c r="K90" s="171"/>
      <c r="L90" s="151"/>
    </row>
    <row r="91" spans="1:17" x14ac:dyDescent="0.15">
      <c r="A91" s="87"/>
      <c r="B91" s="119">
        <v>1</v>
      </c>
      <c r="C91" s="122" t="s">
        <v>144</v>
      </c>
      <c r="D91" s="123"/>
      <c r="E91" s="123"/>
      <c r="F91" s="123"/>
      <c r="G91" s="123"/>
      <c r="H91" s="185"/>
      <c r="I91" s="186"/>
      <c r="J91" s="185"/>
      <c r="K91" s="186"/>
      <c r="L91" s="349"/>
      <c r="N91" s="230" t="s">
        <v>183</v>
      </c>
    </row>
    <row r="92" spans="1:17" x14ac:dyDescent="0.15">
      <c r="A92" s="87"/>
      <c r="B92" s="120"/>
      <c r="C92" s="57" t="s">
        <v>138</v>
      </c>
      <c r="D92" s="121" t="s">
        <v>145</v>
      </c>
      <c r="E92" s="121"/>
      <c r="F92" s="121"/>
      <c r="G92" s="121"/>
      <c r="H92" s="180" t="str">
        <f>IF(ISBLANK('保守仕様明細②-8H'!$I$12),"",'保守仕様明細②-8H'!$I$12)</f>
        <v/>
      </c>
      <c r="I92" s="187"/>
      <c r="J92" s="180" t="str">
        <f>IF(ISBLANK('保守仕様明細②-24H'!$I$12),"",'保守仕様明細②-24H'!$I$12)</f>
        <v/>
      </c>
      <c r="K92" s="187"/>
      <c r="L92" s="126" t="s">
        <v>184</v>
      </c>
      <c r="N92" s="230" t="s">
        <v>185</v>
      </c>
      <c r="O92" s="231">
        <v>0</v>
      </c>
    </row>
    <row r="93" spans="1:17" x14ac:dyDescent="0.15">
      <c r="A93" s="87"/>
      <c r="B93" s="120"/>
      <c r="C93" s="50" t="s">
        <v>140</v>
      </c>
      <c r="D93" s="112" t="s">
        <v>146</v>
      </c>
      <c r="E93" s="112"/>
      <c r="F93" s="112"/>
      <c r="G93" s="112"/>
      <c r="H93" s="188" t="str">
        <f>IF(ISBLANK('保守仕様明細②-8H'!$I$13),"",'保守仕様明細②-8H'!$I$13)</f>
        <v/>
      </c>
      <c r="I93" s="189"/>
      <c r="J93" s="188" t="str">
        <f>IF(ISBLANK('保守仕様明細②-24H'!$I$13),"",'保守仕様明細②-24H'!$I$13)</f>
        <v/>
      </c>
      <c r="K93" s="189"/>
      <c r="L93" s="152"/>
      <c r="N93" s="230" t="s">
        <v>186</v>
      </c>
      <c r="O93" s="146">
        <v>400000</v>
      </c>
      <c r="P93" s="13" t="s">
        <v>187</v>
      </c>
    </row>
    <row r="94" spans="1:17" x14ac:dyDescent="0.15">
      <c r="A94" s="87"/>
      <c r="B94" s="120"/>
      <c r="C94" s="50" t="s">
        <v>147</v>
      </c>
      <c r="D94" s="112" t="s">
        <v>148</v>
      </c>
      <c r="E94" s="118"/>
      <c r="F94" s="112"/>
      <c r="G94" s="112"/>
      <c r="H94" s="188" t="str">
        <f>IF(ISBLANK('保守仕様明細②-8H'!$I$14),"",'保守仕様明細②-8H'!$I$14)</f>
        <v/>
      </c>
      <c r="I94" s="189"/>
      <c r="J94" s="188" t="str">
        <f>IF(ISBLANK('保守仕様明細②-24H'!$I$14),"",'保守仕様明細②-24H'!$I$14)</f>
        <v/>
      </c>
      <c r="K94" s="189"/>
      <c r="L94" s="152"/>
      <c r="N94" s="230" t="s">
        <v>188</v>
      </c>
    </row>
    <row r="95" spans="1:17" x14ac:dyDescent="0.15">
      <c r="A95" s="87"/>
      <c r="B95" s="57"/>
      <c r="C95" s="50" t="s">
        <v>149</v>
      </c>
      <c r="D95" s="112" t="s">
        <v>150</v>
      </c>
      <c r="E95" s="118"/>
      <c r="F95" s="112"/>
      <c r="G95" s="112"/>
      <c r="H95" s="188" t="str">
        <f>IF(ISBLANK('保守仕様明細②-8H'!$I$15),"",'保守仕様明細②-8H'!$I$15)</f>
        <v/>
      </c>
      <c r="I95" s="189"/>
      <c r="J95" s="188" t="str">
        <f>IF(ISBLANK('保守仕様明細②-24H'!$I$15),"",'保守仕様明細②-24H'!$I$15)</f>
        <v/>
      </c>
      <c r="K95" s="189"/>
      <c r="L95" s="152"/>
      <c r="N95" s="230" t="s">
        <v>185</v>
      </c>
      <c r="O95" s="231">
        <v>0</v>
      </c>
    </row>
    <row r="96" spans="1:17" ht="12.75" thickBot="1" x14ac:dyDescent="0.2">
      <c r="A96" s="87"/>
      <c r="B96" s="85">
        <v>2</v>
      </c>
      <c r="C96" s="142" t="s">
        <v>151</v>
      </c>
      <c r="D96" s="118"/>
      <c r="E96" s="118"/>
      <c r="F96" s="118"/>
      <c r="G96" s="118"/>
      <c r="H96" s="188" t="str">
        <f>IF(ISBLANK('保守仕様明細②-8H'!$I$16),"",'保守仕様明細②-8H'!$I$16)</f>
        <v/>
      </c>
      <c r="I96" s="190"/>
      <c r="J96" s="188" t="str">
        <f>IF(ISBLANK('保守仕様明細②-24H'!$I$16),"",'保守仕様明細②-24H'!$I$16)</f>
        <v/>
      </c>
      <c r="K96" s="190"/>
      <c r="L96" s="152"/>
      <c r="N96" s="230" t="s">
        <v>186</v>
      </c>
      <c r="O96" s="232">
        <v>250000</v>
      </c>
      <c r="P96" s="13" t="s">
        <v>189</v>
      </c>
    </row>
    <row r="97" spans="1:19" ht="12.75" thickTop="1" x14ac:dyDescent="0.15">
      <c r="A97" s="87"/>
      <c r="B97" s="51">
        <v>3</v>
      </c>
      <c r="C97" s="143" t="s">
        <v>152</v>
      </c>
      <c r="D97" s="113"/>
      <c r="E97" s="113"/>
      <c r="F97" s="113"/>
      <c r="G97" s="113"/>
      <c r="H97" s="183" t="str">
        <f>IF(ISBLANK('保守仕様明細②-8H'!$I$17),"",'保守仕様明細②-8H'!$I$17)</f>
        <v/>
      </c>
      <c r="I97" s="184"/>
      <c r="J97" s="183" t="str">
        <f>IF(ISBLANK('保守仕様明細②-24H'!$I$17),"",'保守仕様明細②-24H'!$I$17)</f>
        <v/>
      </c>
      <c r="K97" s="184"/>
      <c r="L97" s="114"/>
      <c r="N97" s="233" t="s">
        <v>190</v>
      </c>
      <c r="O97" s="234">
        <f>O93*O92+O96*O95*2</f>
        <v>0</v>
      </c>
      <c r="P97" s="13">
        <f>IF($H97="○",$O97/10,0)</f>
        <v>0</v>
      </c>
      <c r="Q97" s="13">
        <f>IF($J97="○",$O97/10,0)</f>
        <v>0</v>
      </c>
      <c r="R97" s="13">
        <f>IF($H97="○",$O97/10,0)</f>
        <v>0</v>
      </c>
      <c r="S97" s="13">
        <f>IF($J97="○",$O97/10,0)</f>
        <v>0</v>
      </c>
    </row>
    <row r="98" spans="1:19" ht="13.5" x14ac:dyDescent="0.15">
      <c r="A98" s="87"/>
      <c r="B98" s="582" t="s">
        <v>181</v>
      </c>
      <c r="C98" s="592"/>
      <c r="D98" s="592"/>
      <c r="E98" s="592"/>
      <c r="F98" s="592"/>
      <c r="G98" s="593"/>
      <c r="H98" s="185"/>
      <c r="I98" s="172">
        <f>SUM(I91:I97)</f>
        <v>0</v>
      </c>
      <c r="J98" s="185"/>
      <c r="K98" s="172">
        <f>SUM(K91:K97)</f>
        <v>0</v>
      </c>
      <c r="L98" s="349"/>
      <c r="N98" s="230" t="s">
        <v>191</v>
      </c>
      <c r="O98" s="146">
        <v>0</v>
      </c>
      <c r="Q98" s="307"/>
    </row>
    <row r="99" spans="1:19" x14ac:dyDescent="0.15">
      <c r="A99" s="87"/>
      <c r="B99" s="21"/>
      <c r="C99" s="14"/>
      <c r="D99" s="14"/>
      <c r="E99" s="14"/>
      <c r="F99" s="14"/>
      <c r="G99" s="14"/>
      <c r="H99" s="176"/>
      <c r="I99" s="173"/>
      <c r="J99" s="176"/>
      <c r="K99" s="173"/>
      <c r="L99" s="14"/>
    </row>
    <row r="100" spans="1:19" x14ac:dyDescent="0.15">
      <c r="A100" s="87"/>
      <c r="B100" s="42" t="s">
        <v>192</v>
      </c>
      <c r="C100" s="14"/>
      <c r="D100" s="14"/>
      <c r="E100" s="14"/>
      <c r="F100" s="14"/>
      <c r="G100" s="14"/>
      <c r="H100" s="176"/>
      <c r="I100" s="169"/>
      <c r="J100" s="176"/>
      <c r="K100" s="169"/>
      <c r="L100" s="14"/>
      <c r="O100" s="14"/>
    </row>
    <row r="101" spans="1:19" s="14" customFormat="1" x14ac:dyDescent="0.15">
      <c r="A101" s="86"/>
      <c r="B101" s="149" t="s">
        <v>164</v>
      </c>
      <c r="C101" s="53" t="s">
        <v>165</v>
      </c>
      <c r="D101" s="44"/>
      <c r="E101" s="44"/>
      <c r="F101" s="154"/>
      <c r="G101" s="154"/>
      <c r="H101" s="177" t="s">
        <v>166</v>
      </c>
      <c r="I101" s="170" t="s">
        <v>167</v>
      </c>
      <c r="J101" s="177" t="s">
        <v>166</v>
      </c>
      <c r="K101" s="170" t="s">
        <v>167</v>
      </c>
      <c r="L101" s="144" t="s">
        <v>168</v>
      </c>
      <c r="N101" s="13"/>
    </row>
    <row r="102" spans="1:19" s="14" customFormat="1" ht="12" customHeight="1" x14ac:dyDescent="0.15">
      <c r="A102" s="86"/>
      <c r="B102" s="150"/>
      <c r="C102" s="43"/>
      <c r="D102" s="153"/>
      <c r="E102" s="153"/>
      <c r="F102" s="8"/>
      <c r="G102" s="8"/>
      <c r="H102" s="178"/>
      <c r="I102" s="171"/>
      <c r="J102" s="178"/>
      <c r="K102" s="171"/>
      <c r="L102" s="151"/>
      <c r="N102" s="13"/>
      <c r="O102" s="13"/>
    </row>
    <row r="103" spans="1:19" x14ac:dyDescent="0.15">
      <c r="A103" s="87"/>
      <c r="B103" s="119">
        <v>1</v>
      </c>
      <c r="C103" s="122" t="s">
        <v>193</v>
      </c>
      <c r="D103" s="123"/>
      <c r="E103" s="123"/>
      <c r="F103" s="123"/>
      <c r="G103" s="123"/>
      <c r="H103" s="185"/>
      <c r="I103" s="186"/>
      <c r="J103" s="185"/>
      <c r="K103" s="186"/>
      <c r="L103" s="349"/>
      <c r="N103" s="230" t="s">
        <v>158</v>
      </c>
      <c r="O103" s="300">
        <v>0</v>
      </c>
      <c r="R103" s="13">
        <f>IF(AND($H104="○",$O103&gt;0),$O$2,0)</f>
        <v>0</v>
      </c>
      <c r="S103" s="13">
        <f>IF(AND($J104="○",$O103&gt;0),$O$2,0)</f>
        <v>0</v>
      </c>
    </row>
    <row r="104" spans="1:19" x14ac:dyDescent="0.15">
      <c r="A104" s="87"/>
      <c r="B104" s="120"/>
      <c r="C104" s="57" t="s">
        <v>138</v>
      </c>
      <c r="D104" s="121" t="s">
        <v>194</v>
      </c>
      <c r="E104" s="121"/>
      <c r="F104" s="121"/>
      <c r="G104" s="121"/>
      <c r="H104" s="180" t="str">
        <f>IF(ISBLANK('保守仕様明細②-8H'!$I$18),"",'保守仕様明細②-8H'!$I$18)</f>
        <v/>
      </c>
      <c r="I104" s="187" t="str">
        <f>IF($H104="○",$O103+($O104*$P104),"-")</f>
        <v>-</v>
      </c>
      <c r="J104" s="180" t="str">
        <f>IF(ISBLANK('保守仕様明細②-24H'!$I$18),"",'保守仕様明細②-24H'!$I$18)</f>
        <v/>
      </c>
      <c r="K104" s="187" t="str">
        <f>IF($J104="○",$O103+($O104*$P104),"-")</f>
        <v>-</v>
      </c>
      <c r="L104" s="111"/>
      <c r="N104" s="236" t="s">
        <v>195</v>
      </c>
      <c r="O104" s="230">
        <v>0</v>
      </c>
      <c r="P104" s="146">
        <f>ROUNDDOWN(14400+3650,-3)</f>
        <v>18000</v>
      </c>
      <c r="Q104" s="13" t="s">
        <v>196</v>
      </c>
      <c r="R104" s="13">
        <f>IF(H104="×",0,$O$3*$O104)</f>
        <v>0</v>
      </c>
      <c r="S104" s="13">
        <f>IF(J104="×",0,$O$3*$O104)</f>
        <v>0</v>
      </c>
    </row>
    <row r="105" spans="1:19" x14ac:dyDescent="0.15">
      <c r="A105" s="87"/>
      <c r="B105" s="158"/>
      <c r="C105" s="50" t="s">
        <v>140</v>
      </c>
      <c r="D105" s="112" t="s">
        <v>197</v>
      </c>
      <c r="E105" s="118"/>
      <c r="F105" s="112"/>
      <c r="G105" s="112"/>
      <c r="H105" s="188" t="s">
        <v>198</v>
      </c>
      <c r="I105" s="189" t="str">
        <f>IF($H105="○",$O105,"-")</f>
        <v>-</v>
      </c>
      <c r="J105" s="188" t="s">
        <v>198</v>
      </c>
      <c r="K105" s="189" t="str">
        <f>IF($J105="○",$O105,"-")</f>
        <v>-</v>
      </c>
      <c r="L105" s="114" t="s">
        <v>199</v>
      </c>
      <c r="N105" s="230" t="s">
        <v>162</v>
      </c>
      <c r="O105" s="146">
        <v>60000</v>
      </c>
      <c r="R105" s="13">
        <f>IF(AND(H105="○",I105&gt;0),$O$5,0)</f>
        <v>0</v>
      </c>
      <c r="S105" s="13">
        <f>IF(AND(J105="○",K105&gt;0),$O$5,0)</f>
        <v>0</v>
      </c>
    </row>
    <row r="106" spans="1:19" ht="13.5" x14ac:dyDescent="0.15">
      <c r="A106" s="87"/>
      <c r="B106" s="594" t="s">
        <v>181</v>
      </c>
      <c r="C106" s="592"/>
      <c r="D106" s="592"/>
      <c r="E106" s="592"/>
      <c r="F106" s="592"/>
      <c r="G106" s="593"/>
      <c r="H106" s="185"/>
      <c r="I106" s="172">
        <f>SUM(I103:I105)</f>
        <v>0</v>
      </c>
      <c r="J106" s="185"/>
      <c r="K106" s="172">
        <f>SUM(K103:K105)</f>
        <v>0</v>
      </c>
      <c r="L106" s="349"/>
      <c r="M106" s="13" t="s">
        <v>204</v>
      </c>
    </row>
    <row r="107" spans="1:19" x14ac:dyDescent="0.15">
      <c r="A107" s="87"/>
      <c r="H107" s="176"/>
      <c r="I107" s="173"/>
      <c r="J107" s="176"/>
      <c r="K107" s="173"/>
      <c r="L107" s="14"/>
      <c r="N107" s="14"/>
    </row>
    <row r="108" spans="1:19" x14ac:dyDescent="0.15">
      <c r="A108" s="87"/>
      <c r="H108" s="176"/>
      <c r="I108" s="169"/>
      <c r="J108" s="176"/>
      <c r="K108" s="169"/>
      <c r="L108" s="14"/>
      <c r="N108" s="14"/>
    </row>
    <row r="109" spans="1:19" ht="13.5" x14ac:dyDescent="0.15">
      <c r="A109" s="88"/>
      <c r="B109" s="44" t="str">
        <f>"合計（"&amp;N80&amp;"）"</f>
        <v>合計（②-3）</v>
      </c>
      <c r="C109" s="44"/>
      <c r="D109" s="44"/>
      <c r="E109" s="44"/>
      <c r="F109" s="44"/>
      <c r="G109" s="125"/>
      <c r="H109" s="191"/>
      <c r="I109" s="174">
        <f ca="1">SUMIF($B79:$B108,"小計",$I79:$I108)</f>
        <v>0</v>
      </c>
      <c r="J109" s="191"/>
      <c r="K109" s="174">
        <f ca="1">SUMIF($B79:$B108,"小計",$K79:$K108)</f>
        <v>0</v>
      </c>
      <c r="L109" s="44"/>
      <c r="N109" s="14"/>
      <c r="Q109" s="13" t="str">
        <f>"原価（"&amp;N80&amp;"）"</f>
        <v>原価（②-3）</v>
      </c>
      <c r="R109" s="13">
        <f>SUM(R79:R108)</f>
        <v>0</v>
      </c>
      <c r="S109" s="13">
        <f>SUM(S79:S108)</f>
        <v>0</v>
      </c>
    </row>
    <row r="110" spans="1:19" x14ac:dyDescent="0.15">
      <c r="H110" s="176"/>
      <c r="I110" s="84"/>
      <c r="J110" s="176"/>
      <c r="K110" s="84"/>
      <c r="N110" s="14"/>
    </row>
    <row r="111" spans="1:19" x14ac:dyDescent="0.15">
      <c r="H111" s="176"/>
      <c r="I111" s="169"/>
      <c r="J111" s="176"/>
      <c r="K111" s="169"/>
      <c r="O111" s="14"/>
    </row>
    <row r="112" spans="1:19" s="14" customFormat="1" ht="17.25" customHeight="1" x14ac:dyDescent="0.15">
      <c r="A112" s="262" t="str">
        <f>見積総括表!$E$23</f>
        <v/>
      </c>
      <c r="B112" s="64"/>
      <c r="C112" s="64"/>
      <c r="D112" s="64"/>
      <c r="E112" s="64"/>
      <c r="F112" s="64"/>
      <c r="G112" s="64"/>
      <c r="H112" s="168"/>
      <c r="I112" s="83"/>
      <c r="J112" s="168"/>
      <c r="K112" s="83"/>
      <c r="L112" s="65"/>
    </row>
    <row r="113" spans="1:17" s="14" customFormat="1" ht="15.95" customHeight="1" x14ac:dyDescent="0.15">
      <c r="A113" s="86"/>
      <c r="B113" s="42" t="s">
        <v>163</v>
      </c>
      <c r="H113" s="176"/>
      <c r="I113" s="169"/>
      <c r="J113" s="176"/>
      <c r="K113" s="169"/>
    </row>
    <row r="114" spans="1:17" s="14" customFormat="1" x14ac:dyDescent="0.15">
      <c r="A114" s="86"/>
      <c r="B114" s="149" t="s">
        <v>164</v>
      </c>
      <c r="C114" s="53" t="s">
        <v>165</v>
      </c>
      <c r="D114" s="44"/>
      <c r="E114" s="44"/>
      <c r="F114" s="154"/>
      <c r="G114" s="154"/>
      <c r="H114" s="177" t="s">
        <v>166</v>
      </c>
      <c r="I114" s="170" t="s">
        <v>167</v>
      </c>
      <c r="J114" s="177" t="s">
        <v>166</v>
      </c>
      <c r="K114" s="170" t="s">
        <v>167</v>
      </c>
      <c r="L114" s="144" t="s">
        <v>168</v>
      </c>
    </row>
    <row r="115" spans="1:17" s="14" customFormat="1" ht="12" customHeight="1" x14ac:dyDescent="0.15">
      <c r="A115" s="86"/>
      <c r="B115" s="150"/>
      <c r="C115" s="43"/>
      <c r="D115" s="153"/>
      <c r="E115" s="153"/>
      <c r="F115" s="8"/>
      <c r="G115" s="8"/>
      <c r="H115" s="178"/>
      <c r="I115" s="171"/>
      <c r="J115" s="178"/>
      <c r="K115" s="171"/>
      <c r="L115" s="151"/>
      <c r="N115" s="14" t="s">
        <v>53</v>
      </c>
    </row>
    <row r="116" spans="1:17" ht="13.5" x14ac:dyDescent="0.15">
      <c r="A116" s="87"/>
      <c r="B116" s="119">
        <v>1</v>
      </c>
      <c r="C116" s="56" t="s">
        <v>170</v>
      </c>
      <c r="D116" s="142"/>
      <c r="E116" s="46"/>
      <c r="F116" s="46"/>
      <c r="G116" s="46"/>
      <c r="H116" s="179"/>
      <c r="I116" s="174"/>
      <c r="J116" s="179"/>
      <c r="K116" s="174"/>
      <c r="L116" s="159"/>
      <c r="N116" s="230" t="s">
        <v>171</v>
      </c>
      <c r="O116"/>
      <c r="P116" s="14" t="s">
        <v>312</v>
      </c>
      <c r="Q116" s="270"/>
    </row>
    <row r="117" spans="1:17" ht="13.5" x14ac:dyDescent="0.15">
      <c r="A117" s="87"/>
      <c r="B117" s="120"/>
      <c r="C117" s="47" t="s">
        <v>138</v>
      </c>
      <c r="D117" s="48" t="s">
        <v>172</v>
      </c>
      <c r="E117" s="110"/>
      <c r="F117" s="110"/>
      <c r="G117" s="110"/>
      <c r="H117" s="180" t="str">
        <f>IF(ISBLANK('保守仕様明細②-8H'!$J$7),"",'保守仕様明細②-8H'!$J$7)</f>
        <v/>
      </c>
      <c r="I117" s="181" t="str">
        <f>IF(AND($H117="○",$H119="×"),P117+P119+P132,"-")</f>
        <v>-</v>
      </c>
      <c r="J117" s="180" t="str">
        <f>IF(ISBLANK('保守仕様明細②-24H'!$J$7),"",'保守仕様明細②-24H'!$J$7)</f>
        <v/>
      </c>
      <c r="K117" s="181" t="str">
        <f>IF(AND($J117="○",$J119="○"),Q117+Q119+Q132,"-")</f>
        <v>-</v>
      </c>
      <c r="L117" s="111"/>
      <c r="N117" s="146"/>
      <c r="O117"/>
      <c r="P117" s="270">
        <f>ROUNDUP(MAX($N117*0.05,180000),-3)</f>
        <v>180000</v>
      </c>
      <c r="Q117" s="270">
        <f>ROUNDUP(IF($N117&lt;100000000,MAX($N117*0.08,240000),$N117*0.1),-3)</f>
        <v>240000</v>
      </c>
    </row>
    <row r="118" spans="1:17" x14ac:dyDescent="0.15">
      <c r="A118" s="87"/>
      <c r="B118" s="120"/>
      <c r="C118" s="55" t="s">
        <v>140</v>
      </c>
      <c r="D118" s="56" t="s">
        <v>173</v>
      </c>
      <c r="E118" s="118"/>
      <c r="F118" s="118"/>
      <c r="G118" s="118"/>
      <c r="H118" s="188" t="str">
        <f>IF(ISBLANK('保守仕様明細②-8H'!$J$8),"",'保守仕様明細②-8H'!$J$8)</f>
        <v/>
      </c>
      <c r="I118" s="182"/>
      <c r="J118" s="188" t="str">
        <f>IF(ISBLANK('保守仕様明細②-24H'!$J$8),"",'保守仕様明細②-24H'!$J$8)</f>
        <v/>
      </c>
      <c r="K118" s="182"/>
      <c r="L118" s="159"/>
      <c r="P118" s="308" t="s">
        <v>180</v>
      </c>
      <c r="Q118" s="270"/>
    </row>
    <row r="119" spans="1:17" ht="13.5" x14ac:dyDescent="0.15">
      <c r="A119" s="87"/>
      <c r="B119" s="51">
        <v>2</v>
      </c>
      <c r="C119" s="52" t="s">
        <v>174</v>
      </c>
      <c r="D119" s="143"/>
      <c r="E119" s="113"/>
      <c r="F119" s="113"/>
      <c r="G119" s="113"/>
      <c r="H119" s="183" t="str">
        <f>IF(ISBLANK('保守仕様明細②-8H'!$J$9),"",'保守仕様明細②-8H'!$J$9)</f>
        <v/>
      </c>
      <c r="I119" s="184" t="s">
        <v>175</v>
      </c>
      <c r="J119" s="183" t="str">
        <f>IF(ISBLANK('保守仕様明細②-24H'!$J$9),"",'保守仕様明細②-24H'!$J$9)</f>
        <v/>
      </c>
      <c r="K119" s="347"/>
      <c r="L119" s="114"/>
      <c r="N119"/>
      <c r="P119" s="270" t="e">
        <f ca="1">MAX(ROUNDUP(OFFSET(見積総括表!$P$36,VALUE(RIGHT($N115))-1,0)/38%,-3)-SUM(OFFSET(見積総括表!$S$12,VALUE(RIGHT($N115))-1,0),P117,I120,P132,OFFSET(見積総括表!$S$28,VALUE(RIGHT($N115))-1,0)),0)</f>
        <v>#VALUE!</v>
      </c>
      <c r="Q119" s="270" t="e">
        <f ca="1">MAX(ROUNDUP(OFFSET(見積総括表!$Z$36,VALUE(RIGHT($N115))-1,0)/38%,-3)-SUM(OFFSET(見積総括表!$AC$12,VALUE(RIGHT($N115))-1,0),Q117,K120,Q132,OFFSET(見積総括表!$AC$28,VALUE(RIGHT($N115))-1,0)),$P119,0)</f>
        <v>#VALUE!</v>
      </c>
    </row>
    <row r="120" spans="1:17" ht="13.5" x14ac:dyDescent="0.15">
      <c r="A120" s="87"/>
      <c r="B120" s="582" t="s">
        <v>176</v>
      </c>
      <c r="C120" s="592" t="s">
        <v>177</v>
      </c>
      <c r="D120" s="592"/>
      <c r="E120" s="592"/>
      <c r="F120" s="592"/>
      <c r="G120" s="593"/>
      <c r="H120" s="346"/>
      <c r="I120" s="347">
        <f ca="1">ROUNDUP((LocalIFERROR(SUMIF(INDIRECT("'"&amp;管理データ!$A$2&amp;管理データ!$B$2),"合計（"&amp;見積総括表!$C15&amp;"）",INDIRECT("'"&amp;管理データ!$A$2&amp;管理データ!$E$2)),0)+LocalIFERROR(SUMIF(INDIRECT("'"&amp;管理データ!$A$5&amp;管理データ!$B$5),"合計（"&amp;見積総括表!$C31&amp;"）",INDIRECT("'"&amp;管理データ!$A$5&amp;管理データ!$E$5)),0))*0.15,-3)</f>
        <v>0</v>
      </c>
      <c r="J120" s="346"/>
      <c r="K120" s="347">
        <f ca="1">ROUNDUP((LocalIFERROR(SUMIF(INDIRECT("'"&amp;管理データ!$A$2&amp;管理データ!$B$2),"合計（"&amp;見積総括表!$C15&amp;"）",INDIRECT("'"&amp;管理データ!$A$2&amp;管理データ!$F$2)),0)+LocalIFERROR(SUMIF(INDIRECT("'"&amp;管理データ!$A$5&amp;管理データ!$B$5),"合計（"&amp;見積総括表!$C31&amp;"）",INDIRECT("'"&amp;管理データ!$A$5&amp;管理データ!$F$5)),0))*0.15,-3)</f>
        <v>0</v>
      </c>
      <c r="L120" s="348" t="s">
        <v>178</v>
      </c>
      <c r="M120" s="13" t="s">
        <v>53</v>
      </c>
      <c r="N120" s="230" t="s">
        <v>179</v>
      </c>
    </row>
    <row r="121" spans="1:17" ht="13.5" x14ac:dyDescent="0.15">
      <c r="A121" s="87"/>
      <c r="B121" s="582" t="s">
        <v>181</v>
      </c>
      <c r="C121" s="592"/>
      <c r="D121" s="592"/>
      <c r="E121" s="592"/>
      <c r="F121" s="592"/>
      <c r="G121" s="593"/>
      <c r="H121" s="185"/>
      <c r="I121" s="172">
        <f ca="1">SUM(I116:I120)</f>
        <v>0</v>
      </c>
      <c r="J121" s="185"/>
      <c r="K121" s="172">
        <f ca="1">SUM(K116:K120)</f>
        <v>0</v>
      </c>
      <c r="L121" s="349"/>
      <c r="N121" s="230"/>
    </row>
    <row r="122" spans="1:17" x14ac:dyDescent="0.15">
      <c r="A122" s="87"/>
      <c r="B122" s="21"/>
      <c r="C122" s="14"/>
      <c r="D122" s="14"/>
      <c r="E122" s="14"/>
      <c r="F122" s="14"/>
      <c r="G122" s="14"/>
      <c r="H122" s="176"/>
      <c r="I122" s="173"/>
      <c r="J122" s="176"/>
      <c r="K122" s="173"/>
      <c r="L122" s="14"/>
    </row>
    <row r="123" spans="1:17" x14ac:dyDescent="0.15">
      <c r="A123" s="87"/>
      <c r="B123" s="42" t="s">
        <v>182</v>
      </c>
      <c r="C123" s="14"/>
      <c r="D123" s="14"/>
      <c r="E123" s="14"/>
      <c r="F123" s="14"/>
      <c r="G123" s="14"/>
      <c r="H123" s="176"/>
      <c r="I123" s="169"/>
      <c r="J123" s="176"/>
      <c r="K123" s="169"/>
      <c r="L123" s="14"/>
    </row>
    <row r="124" spans="1:17" s="14" customFormat="1" x14ac:dyDescent="0.15">
      <c r="A124" s="86"/>
      <c r="B124" s="149" t="s">
        <v>164</v>
      </c>
      <c r="C124" s="53" t="s">
        <v>165</v>
      </c>
      <c r="D124" s="44"/>
      <c r="E124" s="44"/>
      <c r="F124" s="154"/>
      <c r="G124" s="154"/>
      <c r="H124" s="177" t="s">
        <v>166</v>
      </c>
      <c r="I124" s="170" t="s">
        <v>167</v>
      </c>
      <c r="J124" s="177" t="s">
        <v>166</v>
      </c>
      <c r="K124" s="170" t="s">
        <v>167</v>
      </c>
      <c r="L124" s="144" t="s">
        <v>168</v>
      </c>
    </row>
    <row r="125" spans="1:17" s="14" customFormat="1" ht="12" customHeight="1" x14ac:dyDescent="0.15">
      <c r="A125" s="86"/>
      <c r="B125" s="150"/>
      <c r="C125" s="43"/>
      <c r="D125" s="153"/>
      <c r="E125" s="153"/>
      <c r="F125" s="8"/>
      <c r="G125" s="8"/>
      <c r="H125" s="178"/>
      <c r="I125" s="171"/>
      <c r="J125" s="178"/>
      <c r="K125" s="171"/>
      <c r="L125" s="151"/>
    </row>
    <row r="126" spans="1:17" x14ac:dyDescent="0.15">
      <c r="A126" s="87"/>
      <c r="B126" s="119">
        <v>1</v>
      </c>
      <c r="C126" s="122" t="s">
        <v>144</v>
      </c>
      <c r="D126" s="123"/>
      <c r="E126" s="123"/>
      <c r="F126" s="123"/>
      <c r="G126" s="123"/>
      <c r="H126" s="185"/>
      <c r="I126" s="186"/>
      <c r="J126" s="185"/>
      <c r="K126" s="186"/>
      <c r="L126" s="349"/>
      <c r="N126" s="230" t="s">
        <v>183</v>
      </c>
    </row>
    <row r="127" spans="1:17" x14ac:dyDescent="0.15">
      <c r="A127" s="87"/>
      <c r="B127" s="120"/>
      <c r="C127" s="57" t="s">
        <v>138</v>
      </c>
      <c r="D127" s="121" t="s">
        <v>145</v>
      </c>
      <c r="E127" s="121"/>
      <c r="F127" s="121"/>
      <c r="G127" s="121"/>
      <c r="H127" s="180" t="str">
        <f>IF(ISBLANK('保守仕様明細②-8H'!$J$12),"",'保守仕様明細②-8H'!$J$12)</f>
        <v/>
      </c>
      <c r="I127" s="187"/>
      <c r="J127" s="180" t="str">
        <f>IF(ISBLANK('保守仕様明細②-24H'!$J$12),"",'保守仕様明細②-24H'!$J$12)</f>
        <v/>
      </c>
      <c r="K127" s="187"/>
      <c r="L127" s="126" t="s">
        <v>184</v>
      </c>
      <c r="N127" s="230" t="s">
        <v>185</v>
      </c>
      <c r="O127" s="231">
        <v>0</v>
      </c>
    </row>
    <row r="128" spans="1:17" x14ac:dyDescent="0.15">
      <c r="A128" s="87"/>
      <c r="B128" s="120"/>
      <c r="C128" s="50" t="s">
        <v>140</v>
      </c>
      <c r="D128" s="112" t="s">
        <v>146</v>
      </c>
      <c r="E128" s="112"/>
      <c r="F128" s="112"/>
      <c r="G128" s="112"/>
      <c r="H128" s="188" t="str">
        <f>IF(ISBLANK('保守仕様明細②-8H'!$J$13),"",'保守仕様明細②-8H'!$J$13)</f>
        <v/>
      </c>
      <c r="I128" s="189"/>
      <c r="J128" s="188" t="str">
        <f>IF(ISBLANK('保守仕様明細②-24H'!$J$13),"",'保守仕様明細②-24H'!$J$13)</f>
        <v/>
      </c>
      <c r="K128" s="189"/>
      <c r="L128" s="152"/>
      <c r="N128" s="230" t="s">
        <v>186</v>
      </c>
      <c r="O128" s="146">
        <v>400000</v>
      </c>
      <c r="P128" s="13" t="s">
        <v>187</v>
      </c>
    </row>
    <row r="129" spans="1:19" x14ac:dyDescent="0.15">
      <c r="A129" s="87"/>
      <c r="B129" s="120"/>
      <c r="C129" s="50" t="s">
        <v>147</v>
      </c>
      <c r="D129" s="112" t="s">
        <v>148</v>
      </c>
      <c r="E129" s="118"/>
      <c r="F129" s="112"/>
      <c r="G129" s="112"/>
      <c r="H129" s="188" t="str">
        <f>IF(ISBLANK('保守仕様明細②-8H'!$J$14),"",'保守仕様明細②-8H'!$J$14)</f>
        <v/>
      </c>
      <c r="I129" s="189"/>
      <c r="J129" s="188" t="str">
        <f>IF(ISBLANK('保守仕様明細②-24H'!$J$14),"",'保守仕様明細②-24H'!$J$14)</f>
        <v/>
      </c>
      <c r="K129" s="189"/>
      <c r="L129" s="152"/>
      <c r="N129" s="230" t="s">
        <v>188</v>
      </c>
    </row>
    <row r="130" spans="1:19" x14ac:dyDescent="0.15">
      <c r="A130" s="87"/>
      <c r="B130" s="57"/>
      <c r="C130" s="50" t="s">
        <v>149</v>
      </c>
      <c r="D130" s="112" t="s">
        <v>150</v>
      </c>
      <c r="E130" s="118"/>
      <c r="F130" s="112"/>
      <c r="G130" s="112"/>
      <c r="H130" s="188" t="str">
        <f>IF(ISBLANK('保守仕様明細②-8H'!$J$15),"",'保守仕様明細②-8H'!$J$15)</f>
        <v/>
      </c>
      <c r="I130" s="189"/>
      <c r="J130" s="188" t="str">
        <f>IF(ISBLANK('保守仕様明細②-24H'!$J$15),"",'保守仕様明細②-24H'!$J$15)</f>
        <v/>
      </c>
      <c r="K130" s="189"/>
      <c r="L130" s="152"/>
      <c r="N130" s="230" t="s">
        <v>185</v>
      </c>
      <c r="O130" s="231">
        <v>0</v>
      </c>
    </row>
    <row r="131" spans="1:19" ht="12.75" thickBot="1" x14ac:dyDescent="0.2">
      <c r="A131" s="87"/>
      <c r="B131" s="85">
        <v>2</v>
      </c>
      <c r="C131" s="142" t="s">
        <v>151</v>
      </c>
      <c r="D131" s="118"/>
      <c r="E131" s="118"/>
      <c r="F131" s="118"/>
      <c r="G131" s="118"/>
      <c r="H131" s="188" t="str">
        <f>IF(ISBLANK('保守仕様明細②-8H'!$J$16),"",'保守仕様明細②-8H'!$J$16)</f>
        <v/>
      </c>
      <c r="I131" s="190"/>
      <c r="J131" s="188" t="str">
        <f>IF(ISBLANK('保守仕様明細②-24H'!$J$16),"",'保守仕様明細②-24H'!$J$16)</f>
        <v/>
      </c>
      <c r="K131" s="190"/>
      <c r="L131" s="152"/>
      <c r="N131" s="230" t="s">
        <v>186</v>
      </c>
      <c r="O131" s="232">
        <v>250000</v>
      </c>
      <c r="P131" s="13" t="s">
        <v>189</v>
      </c>
    </row>
    <row r="132" spans="1:19" x14ac:dyDescent="0.15">
      <c r="A132" s="87"/>
      <c r="B132" s="51">
        <v>3</v>
      </c>
      <c r="C132" s="143" t="s">
        <v>152</v>
      </c>
      <c r="D132" s="113"/>
      <c r="E132" s="113"/>
      <c r="F132" s="113"/>
      <c r="G132" s="113"/>
      <c r="H132" s="183" t="str">
        <f>IF(ISBLANK('保守仕様明細②-8H'!$J$17),"",'保守仕様明細②-8H'!$J$17)</f>
        <v/>
      </c>
      <c r="I132" s="184"/>
      <c r="J132" s="183" t="str">
        <f>IF(ISBLANK('保守仕様明細②-24H'!$J$17),"",'保守仕様明細②-24H'!$J$17)</f>
        <v/>
      </c>
      <c r="K132" s="184"/>
      <c r="L132" s="114"/>
      <c r="N132" s="233" t="s">
        <v>190</v>
      </c>
      <c r="O132" s="234">
        <f>O128*O127+O131*O130*2</f>
        <v>0</v>
      </c>
      <c r="P132" s="13">
        <f>IF($H132="○",$O132/10,0)</f>
        <v>0</v>
      </c>
      <c r="Q132" s="13">
        <f>IF($J132="○",$O132/10,0)</f>
        <v>0</v>
      </c>
      <c r="R132" s="13">
        <f>IF($H132="○",$O132/10,0)</f>
        <v>0</v>
      </c>
      <c r="S132" s="13">
        <f>IF($J132="○",$O132/10,0)</f>
        <v>0</v>
      </c>
    </row>
    <row r="133" spans="1:19" ht="13.5" x14ac:dyDescent="0.15">
      <c r="A133" s="87"/>
      <c r="B133" s="582" t="s">
        <v>181</v>
      </c>
      <c r="C133" s="592"/>
      <c r="D133" s="592"/>
      <c r="E133" s="592"/>
      <c r="F133" s="592"/>
      <c r="G133" s="593"/>
      <c r="H133" s="185"/>
      <c r="I133" s="172">
        <f>SUM(I126:I132)</f>
        <v>0</v>
      </c>
      <c r="J133" s="185"/>
      <c r="K133" s="172">
        <f>SUM(K126:K132)</f>
        <v>0</v>
      </c>
      <c r="L133" s="349"/>
      <c r="N133" s="230" t="s">
        <v>191</v>
      </c>
      <c r="O133" s="146">
        <v>0</v>
      </c>
      <c r="Q133" s="307"/>
    </row>
    <row r="134" spans="1:19" x14ac:dyDescent="0.15">
      <c r="A134" s="87"/>
      <c r="B134" s="21"/>
      <c r="C134" s="14"/>
      <c r="D134" s="14"/>
      <c r="E134" s="14"/>
      <c r="F134" s="14"/>
      <c r="G134" s="14"/>
      <c r="H134" s="176"/>
      <c r="I134" s="173"/>
      <c r="J134" s="176"/>
      <c r="K134" s="173"/>
      <c r="L134" s="14"/>
    </row>
    <row r="135" spans="1:19" x14ac:dyDescent="0.15">
      <c r="A135" s="87"/>
      <c r="B135" s="42" t="s">
        <v>192</v>
      </c>
      <c r="C135" s="14"/>
      <c r="D135" s="14"/>
      <c r="E135" s="14"/>
      <c r="F135" s="14"/>
      <c r="G135" s="14"/>
      <c r="H135" s="176"/>
      <c r="I135" s="169"/>
      <c r="J135" s="176"/>
      <c r="K135" s="169"/>
      <c r="L135" s="14"/>
      <c r="O135" s="14"/>
    </row>
    <row r="136" spans="1:19" s="14" customFormat="1" x14ac:dyDescent="0.15">
      <c r="A136" s="86"/>
      <c r="B136" s="149" t="s">
        <v>164</v>
      </c>
      <c r="C136" s="53" t="s">
        <v>165</v>
      </c>
      <c r="D136" s="44"/>
      <c r="E136" s="44"/>
      <c r="F136" s="154"/>
      <c r="G136" s="154"/>
      <c r="H136" s="177" t="s">
        <v>166</v>
      </c>
      <c r="I136" s="170" t="s">
        <v>167</v>
      </c>
      <c r="J136" s="177" t="s">
        <v>166</v>
      </c>
      <c r="K136" s="170" t="s">
        <v>167</v>
      </c>
      <c r="L136" s="144" t="s">
        <v>168</v>
      </c>
      <c r="N136" s="13"/>
    </row>
    <row r="137" spans="1:19" s="14" customFormat="1" ht="12" customHeight="1" x14ac:dyDescent="0.15">
      <c r="A137" s="86"/>
      <c r="B137" s="150"/>
      <c r="C137" s="43"/>
      <c r="D137" s="153"/>
      <c r="E137" s="153"/>
      <c r="F137" s="8"/>
      <c r="G137" s="8"/>
      <c r="H137" s="178"/>
      <c r="I137" s="171"/>
      <c r="J137" s="178"/>
      <c r="K137" s="171"/>
      <c r="L137" s="151"/>
      <c r="N137" s="13"/>
      <c r="O137" s="13"/>
    </row>
    <row r="138" spans="1:19" x14ac:dyDescent="0.15">
      <c r="A138" s="87"/>
      <c r="B138" s="119">
        <v>1</v>
      </c>
      <c r="C138" s="122" t="s">
        <v>193</v>
      </c>
      <c r="D138" s="123"/>
      <c r="E138" s="123"/>
      <c r="F138" s="123"/>
      <c r="G138" s="123"/>
      <c r="H138" s="185"/>
      <c r="I138" s="186"/>
      <c r="J138" s="185"/>
      <c r="K138" s="186"/>
      <c r="L138" s="349"/>
      <c r="N138" s="230" t="s">
        <v>158</v>
      </c>
      <c r="O138" s="300">
        <v>0</v>
      </c>
      <c r="R138" s="13">
        <f>IF(AND($H139="○",$O138&gt;0),$O$2,0)</f>
        <v>0</v>
      </c>
      <c r="S138" s="13">
        <f>IF(AND($J139="○",$O138&gt;0),$O$2,0)</f>
        <v>0</v>
      </c>
    </row>
    <row r="139" spans="1:19" x14ac:dyDescent="0.15">
      <c r="A139" s="87"/>
      <c r="B139" s="120"/>
      <c r="C139" s="57" t="s">
        <v>138</v>
      </c>
      <c r="D139" s="121" t="s">
        <v>194</v>
      </c>
      <c r="E139" s="121"/>
      <c r="F139" s="121"/>
      <c r="G139" s="121"/>
      <c r="H139" s="180" t="str">
        <f>IF(ISBLANK('保守仕様明細②-8H'!$J$18),"",'保守仕様明細②-8H'!$J$18)</f>
        <v/>
      </c>
      <c r="I139" s="187" t="str">
        <f>IF($H139="○",$O138+($O139*$P139),"-")</f>
        <v>-</v>
      </c>
      <c r="J139" s="180" t="str">
        <f>IF(ISBLANK('保守仕様明細②-24H'!$J$18),"",'保守仕様明細②-24H'!$J$18)</f>
        <v/>
      </c>
      <c r="K139" s="187" t="str">
        <f>IF($J139="○",$O138+($O139*$P139),"-")</f>
        <v>-</v>
      </c>
      <c r="L139" s="111"/>
      <c r="N139" s="236" t="s">
        <v>195</v>
      </c>
      <c r="O139" s="230">
        <v>0</v>
      </c>
      <c r="P139" s="146">
        <f>ROUNDDOWN(14400+3650,-3)</f>
        <v>18000</v>
      </c>
      <c r="Q139" s="13" t="s">
        <v>196</v>
      </c>
      <c r="R139" s="13">
        <f>IF(H139="×",0,$O$3*$O139)</f>
        <v>0</v>
      </c>
      <c r="S139" s="13">
        <f>IF(J139="×",0,$O$3*$O139)</f>
        <v>0</v>
      </c>
    </row>
    <row r="140" spans="1:19" x14ac:dyDescent="0.15">
      <c r="A140" s="87"/>
      <c r="B140" s="158"/>
      <c r="C140" s="50" t="s">
        <v>140</v>
      </c>
      <c r="D140" s="112" t="s">
        <v>197</v>
      </c>
      <c r="E140" s="118"/>
      <c r="F140" s="112"/>
      <c r="G140" s="112"/>
      <c r="H140" s="188" t="s">
        <v>198</v>
      </c>
      <c r="I140" s="189" t="str">
        <f>IF($H140="○",$O140,"-")</f>
        <v>-</v>
      </c>
      <c r="J140" s="188" t="s">
        <v>198</v>
      </c>
      <c r="K140" s="189" t="str">
        <f>IF($J140="○",$O140,"-")</f>
        <v>-</v>
      </c>
      <c r="L140" s="114" t="s">
        <v>199</v>
      </c>
      <c r="N140" s="230" t="s">
        <v>162</v>
      </c>
      <c r="O140" s="146">
        <v>60000</v>
      </c>
      <c r="R140" s="13">
        <f>IF(AND(H140="○",I140&gt;0),$O$5,0)</f>
        <v>0</v>
      </c>
      <c r="S140" s="13">
        <f>IF(AND(J140="○",K140&gt;0),$O$5,0)</f>
        <v>0</v>
      </c>
    </row>
    <row r="141" spans="1:19" ht="13.5" x14ac:dyDescent="0.15">
      <c r="A141" s="87"/>
      <c r="B141" s="594" t="s">
        <v>181</v>
      </c>
      <c r="C141" s="592"/>
      <c r="D141" s="592"/>
      <c r="E141" s="592"/>
      <c r="F141" s="592"/>
      <c r="G141" s="593"/>
      <c r="H141" s="185"/>
      <c r="I141" s="172">
        <f>SUM(I138:I140)</f>
        <v>0</v>
      </c>
      <c r="J141" s="185"/>
      <c r="K141" s="172">
        <f>SUM(K138:K140)</f>
        <v>0</v>
      </c>
      <c r="L141" s="349"/>
      <c r="M141" s="13" t="s">
        <v>205</v>
      </c>
    </row>
    <row r="142" spans="1:19" x14ac:dyDescent="0.15">
      <c r="A142" s="87"/>
      <c r="H142" s="176"/>
      <c r="I142" s="173"/>
      <c r="J142" s="176"/>
      <c r="K142" s="173"/>
      <c r="L142" s="14"/>
      <c r="N142" s="14"/>
    </row>
    <row r="143" spans="1:19" x14ac:dyDescent="0.15">
      <c r="A143" s="87"/>
      <c r="H143" s="176"/>
      <c r="I143" s="169"/>
      <c r="J143" s="176"/>
      <c r="K143" s="169"/>
      <c r="L143" s="14"/>
      <c r="N143" s="14"/>
    </row>
    <row r="144" spans="1:19" ht="13.5" x14ac:dyDescent="0.15">
      <c r="A144" s="88"/>
      <c r="B144" s="44" t="str">
        <f>"合計（"&amp;N115&amp;"）"</f>
        <v>合計（②-4）</v>
      </c>
      <c r="C144" s="44"/>
      <c r="D144" s="44"/>
      <c r="E144" s="44"/>
      <c r="F144" s="44"/>
      <c r="G144" s="125"/>
      <c r="H144" s="191"/>
      <c r="I144" s="174">
        <f ca="1">SUMIF($B114:$B143,"小計",$I114:$I143)</f>
        <v>0</v>
      </c>
      <c r="J144" s="191"/>
      <c r="K144" s="174">
        <f ca="1">SUMIF($B114:$B143,"小計",$K114:$K143)</f>
        <v>0</v>
      </c>
      <c r="L144" s="44"/>
      <c r="N144" s="14"/>
      <c r="Q144" s="13" t="str">
        <f>"原価（"&amp;N115&amp;"）"</f>
        <v>原価（②-4）</v>
      </c>
      <c r="R144" s="13">
        <f>SUM(R114:R143)</f>
        <v>0</v>
      </c>
      <c r="S144" s="13">
        <f>SUM(S114:S143)</f>
        <v>0</v>
      </c>
    </row>
    <row r="145" spans="1:17" x14ac:dyDescent="0.15">
      <c r="H145" s="176"/>
      <c r="I145" s="84"/>
      <c r="J145" s="176"/>
      <c r="K145" s="84"/>
      <c r="N145" s="14"/>
    </row>
    <row r="146" spans="1:17" x14ac:dyDescent="0.15">
      <c r="H146" s="176"/>
      <c r="I146" s="169"/>
      <c r="J146" s="176"/>
      <c r="K146" s="169"/>
      <c r="O146" s="14"/>
    </row>
    <row r="147" spans="1:17" s="14" customFormat="1" ht="17.25" customHeight="1" x14ac:dyDescent="0.15">
      <c r="A147" s="262" t="str">
        <f>見積総括表!$E$24</f>
        <v/>
      </c>
      <c r="B147" s="64"/>
      <c r="C147" s="64"/>
      <c r="D147" s="64"/>
      <c r="E147" s="64"/>
      <c r="F147" s="64"/>
      <c r="G147" s="64"/>
      <c r="H147" s="168"/>
      <c r="I147" s="83"/>
      <c r="J147" s="168"/>
      <c r="K147" s="83"/>
      <c r="L147" s="65"/>
    </row>
    <row r="148" spans="1:17" s="14" customFormat="1" ht="15.95" customHeight="1" x14ac:dyDescent="0.15">
      <c r="A148" s="86"/>
      <c r="B148" s="42" t="s">
        <v>163</v>
      </c>
      <c r="H148" s="176"/>
      <c r="I148" s="169"/>
      <c r="J148" s="176"/>
      <c r="K148" s="169"/>
    </row>
    <row r="149" spans="1:17" s="14" customFormat="1" x14ac:dyDescent="0.15">
      <c r="A149" s="86"/>
      <c r="B149" s="149" t="s">
        <v>164</v>
      </c>
      <c r="C149" s="53" t="s">
        <v>165</v>
      </c>
      <c r="D149" s="44"/>
      <c r="E149" s="44"/>
      <c r="F149" s="154"/>
      <c r="G149" s="154"/>
      <c r="H149" s="177" t="s">
        <v>166</v>
      </c>
      <c r="I149" s="170" t="s">
        <v>167</v>
      </c>
      <c r="J149" s="177" t="s">
        <v>166</v>
      </c>
      <c r="K149" s="170" t="s">
        <v>167</v>
      </c>
      <c r="L149" s="144" t="s">
        <v>168</v>
      </c>
    </row>
    <row r="150" spans="1:17" s="14" customFormat="1" ht="12" customHeight="1" x14ac:dyDescent="0.15">
      <c r="A150" s="86"/>
      <c r="B150" s="150"/>
      <c r="C150" s="43"/>
      <c r="D150" s="153"/>
      <c r="E150" s="153"/>
      <c r="F150" s="8"/>
      <c r="G150" s="8"/>
      <c r="H150" s="178"/>
      <c r="I150" s="171"/>
      <c r="J150" s="178"/>
      <c r="K150" s="171"/>
      <c r="L150" s="151"/>
      <c r="N150" s="14" t="s">
        <v>54</v>
      </c>
    </row>
    <row r="151" spans="1:17" ht="13.5" x14ac:dyDescent="0.15">
      <c r="A151" s="87"/>
      <c r="B151" s="119">
        <v>1</v>
      </c>
      <c r="C151" s="56" t="s">
        <v>170</v>
      </c>
      <c r="D151" s="142"/>
      <c r="E151" s="46"/>
      <c r="F151" s="46"/>
      <c r="G151" s="46"/>
      <c r="H151" s="179"/>
      <c r="I151" s="174"/>
      <c r="J151" s="179"/>
      <c r="K151" s="174"/>
      <c r="L151" s="159"/>
      <c r="N151" s="230" t="s">
        <v>171</v>
      </c>
      <c r="O151"/>
      <c r="P151" s="14" t="s">
        <v>312</v>
      </c>
      <c r="Q151" s="270"/>
    </row>
    <row r="152" spans="1:17" ht="13.5" x14ac:dyDescent="0.15">
      <c r="A152" s="87"/>
      <c r="B152" s="120"/>
      <c r="C152" s="47" t="s">
        <v>138</v>
      </c>
      <c r="D152" s="48" t="s">
        <v>172</v>
      </c>
      <c r="E152" s="110"/>
      <c r="F152" s="110"/>
      <c r="G152" s="110"/>
      <c r="H152" s="180" t="str">
        <f>IF(ISBLANK('保守仕様明細②-8H'!$K$7),"",'保守仕様明細②-8H'!$K$7)</f>
        <v/>
      </c>
      <c r="I152" s="181" t="str">
        <f>IF(AND($H152="○",$H154="×"),P152+P154+P167,"-")</f>
        <v>-</v>
      </c>
      <c r="J152" s="180" t="str">
        <f>IF(ISBLANK('保守仕様明細②-24H'!$K$7),"",'保守仕様明細②-24H'!$K$7)</f>
        <v/>
      </c>
      <c r="K152" s="181" t="str">
        <f>IF(AND($J152="○",$J154="○"),Q152+Q154+Q167,"-")</f>
        <v>-</v>
      </c>
      <c r="L152" s="111"/>
      <c r="N152" s="146"/>
      <c r="O152"/>
      <c r="P152" s="270">
        <f>ROUNDUP(MAX($N152*0.05,180000),-3)</f>
        <v>180000</v>
      </c>
      <c r="Q152" s="270">
        <f>ROUNDUP(IF($N152&lt;100000000,MAX($N152*0.08,240000),$N152*0.1),-3)</f>
        <v>240000</v>
      </c>
    </row>
    <row r="153" spans="1:17" x14ac:dyDescent="0.15">
      <c r="A153" s="87"/>
      <c r="B153" s="120"/>
      <c r="C153" s="55" t="s">
        <v>140</v>
      </c>
      <c r="D153" s="56" t="s">
        <v>173</v>
      </c>
      <c r="E153" s="118"/>
      <c r="F153" s="118"/>
      <c r="G153" s="118"/>
      <c r="H153" s="188" t="str">
        <f>IF(ISBLANK('保守仕様明細②-8H'!$K$8),"",'保守仕様明細②-8H'!$K$8)</f>
        <v/>
      </c>
      <c r="I153" s="182"/>
      <c r="J153" s="188" t="str">
        <f>IF(ISBLANK('保守仕様明細②-24H'!$K$8),"",'保守仕様明細②-24H'!$K$8)</f>
        <v/>
      </c>
      <c r="K153" s="182"/>
      <c r="L153" s="159"/>
      <c r="P153" s="308" t="s">
        <v>180</v>
      </c>
      <c r="Q153" s="270"/>
    </row>
    <row r="154" spans="1:17" ht="13.5" x14ac:dyDescent="0.15">
      <c r="A154" s="87"/>
      <c r="B154" s="51">
        <v>2</v>
      </c>
      <c r="C154" s="52" t="s">
        <v>174</v>
      </c>
      <c r="D154" s="143"/>
      <c r="E154" s="113"/>
      <c r="F154" s="113"/>
      <c r="G154" s="113"/>
      <c r="H154" s="183" t="str">
        <f>IF(ISBLANK('保守仕様明細②-8H'!$K$9),"",'保守仕様明細②-8H'!$K$9)</f>
        <v/>
      </c>
      <c r="I154" s="184" t="s">
        <v>175</v>
      </c>
      <c r="J154" s="183" t="str">
        <f>IF(ISBLANK('保守仕様明細②-24H'!$K$9),"",'保守仕様明細②-24H'!$K$9)</f>
        <v/>
      </c>
      <c r="K154" s="347"/>
      <c r="L154" s="114"/>
      <c r="N154"/>
      <c r="P154" s="270" t="e">
        <f ca="1">MAX(ROUNDUP(OFFSET(見積総括表!$P$36,VALUE(RIGHT($N150))-1,0)/38%,-3)-SUM(OFFSET(見積総括表!$S$12,VALUE(RIGHT($N150))-1,0),P152,I155,P167,OFFSET(見積総括表!$S$28,VALUE(RIGHT($N150))-1,0)),0)</f>
        <v>#VALUE!</v>
      </c>
      <c r="Q154" s="270" t="e">
        <f ca="1">MAX(ROUNDUP(OFFSET(見積総括表!$Z$36,VALUE(RIGHT($N150))-1,0)/38%,-3)-SUM(OFFSET(見積総括表!$AC$12,VALUE(RIGHT($N150))-1,0),Q152,K155,Q167,OFFSET(見積総括表!$AC$28,VALUE(RIGHT($N150))-1,0)),$P154,0)</f>
        <v>#VALUE!</v>
      </c>
    </row>
    <row r="155" spans="1:17" ht="13.5" x14ac:dyDescent="0.15">
      <c r="A155" s="87"/>
      <c r="B155" s="582" t="s">
        <v>176</v>
      </c>
      <c r="C155" s="592" t="s">
        <v>177</v>
      </c>
      <c r="D155" s="592"/>
      <c r="E155" s="592"/>
      <c r="F155" s="592"/>
      <c r="G155" s="593"/>
      <c r="H155" s="346"/>
      <c r="I155" s="347">
        <f ca="1">ROUNDUP((LocalIFERROR(SUMIF(INDIRECT("'"&amp;管理データ!$A$2&amp;管理データ!$B$2),"合計（"&amp;見積総括表!$C16&amp;"）",INDIRECT("'"&amp;管理データ!$A$2&amp;管理データ!$E$2)),0)+LocalIFERROR(SUMIF(INDIRECT("'"&amp;管理データ!$A$5&amp;管理データ!$B$5),"合計（"&amp;見積総括表!$C32&amp;"）",INDIRECT("'"&amp;管理データ!$A$5&amp;管理データ!$E$5)),0))*0.15,-3)</f>
        <v>0</v>
      </c>
      <c r="J155" s="346"/>
      <c r="K155" s="347">
        <f ca="1">ROUNDUP((LocalIFERROR(SUMIF(INDIRECT("'"&amp;管理データ!$A$2&amp;管理データ!$B$2),"合計（"&amp;見積総括表!$C16&amp;"）",INDIRECT("'"&amp;管理データ!$A$2&amp;管理データ!$F$2)),0)+LocalIFERROR(SUMIF(INDIRECT("'"&amp;管理データ!$A$5&amp;管理データ!$B$5),"合計（"&amp;見積総括表!$C32&amp;"）",INDIRECT("'"&amp;管理データ!$A$5&amp;管理データ!$F$5)),0))*0.15,-3)</f>
        <v>0</v>
      </c>
      <c r="L155" s="348" t="s">
        <v>178</v>
      </c>
      <c r="M155" s="13" t="s">
        <v>54</v>
      </c>
      <c r="N155" s="230" t="s">
        <v>179</v>
      </c>
    </row>
    <row r="156" spans="1:17" ht="13.5" x14ac:dyDescent="0.15">
      <c r="A156" s="87"/>
      <c r="B156" s="582" t="s">
        <v>181</v>
      </c>
      <c r="C156" s="592"/>
      <c r="D156" s="592"/>
      <c r="E156" s="592"/>
      <c r="F156" s="592"/>
      <c r="G156" s="593"/>
      <c r="H156" s="185"/>
      <c r="I156" s="172">
        <f ca="1">SUM(I151:I155)</f>
        <v>0</v>
      </c>
      <c r="J156" s="185"/>
      <c r="K156" s="172">
        <f ca="1">SUM(K151:K155)</f>
        <v>0</v>
      </c>
      <c r="L156" s="349"/>
      <c r="N156" s="230"/>
    </row>
    <row r="157" spans="1:17" x14ac:dyDescent="0.15">
      <c r="A157" s="87"/>
      <c r="B157" s="21"/>
      <c r="C157" s="14"/>
      <c r="D157" s="14"/>
      <c r="E157" s="14"/>
      <c r="F157" s="14"/>
      <c r="G157" s="14"/>
      <c r="H157" s="176"/>
      <c r="I157" s="173"/>
      <c r="J157" s="176"/>
      <c r="K157" s="173"/>
      <c r="L157" s="14"/>
    </row>
    <row r="158" spans="1:17" x14ac:dyDescent="0.15">
      <c r="A158" s="87"/>
      <c r="B158" s="42" t="s">
        <v>182</v>
      </c>
      <c r="C158" s="14"/>
      <c r="D158" s="14"/>
      <c r="E158" s="14"/>
      <c r="F158" s="14"/>
      <c r="G158" s="14"/>
      <c r="H158" s="176"/>
      <c r="I158" s="169"/>
      <c r="J158" s="176"/>
      <c r="K158" s="169"/>
      <c r="L158" s="14"/>
    </row>
    <row r="159" spans="1:17" s="14" customFormat="1" x14ac:dyDescent="0.15">
      <c r="A159" s="86"/>
      <c r="B159" s="149" t="s">
        <v>164</v>
      </c>
      <c r="C159" s="53" t="s">
        <v>165</v>
      </c>
      <c r="D159" s="44"/>
      <c r="E159" s="44"/>
      <c r="F159" s="154"/>
      <c r="G159" s="154"/>
      <c r="H159" s="177" t="s">
        <v>166</v>
      </c>
      <c r="I159" s="170" t="s">
        <v>167</v>
      </c>
      <c r="J159" s="177" t="s">
        <v>166</v>
      </c>
      <c r="K159" s="170" t="s">
        <v>167</v>
      </c>
      <c r="L159" s="144" t="s">
        <v>168</v>
      </c>
    </row>
    <row r="160" spans="1:17" s="14" customFormat="1" ht="12" customHeight="1" x14ac:dyDescent="0.15">
      <c r="A160" s="86"/>
      <c r="B160" s="150"/>
      <c r="C160" s="43"/>
      <c r="D160" s="153"/>
      <c r="E160" s="153"/>
      <c r="F160" s="8"/>
      <c r="G160" s="8"/>
      <c r="H160" s="178"/>
      <c r="I160" s="171"/>
      <c r="J160" s="178"/>
      <c r="K160" s="171"/>
      <c r="L160" s="151"/>
    </row>
    <row r="161" spans="1:19" x14ac:dyDescent="0.15">
      <c r="A161" s="87"/>
      <c r="B161" s="119">
        <v>1</v>
      </c>
      <c r="C161" s="122" t="s">
        <v>144</v>
      </c>
      <c r="D161" s="123"/>
      <c r="E161" s="123"/>
      <c r="F161" s="123"/>
      <c r="G161" s="123"/>
      <c r="H161" s="185"/>
      <c r="I161" s="186"/>
      <c r="J161" s="185"/>
      <c r="K161" s="186"/>
      <c r="L161" s="349"/>
      <c r="N161" s="230" t="s">
        <v>183</v>
      </c>
    </row>
    <row r="162" spans="1:19" x14ac:dyDescent="0.15">
      <c r="A162" s="87"/>
      <c r="B162" s="120"/>
      <c r="C162" s="57" t="s">
        <v>138</v>
      </c>
      <c r="D162" s="121" t="s">
        <v>145</v>
      </c>
      <c r="E162" s="121"/>
      <c r="F162" s="121"/>
      <c r="G162" s="121"/>
      <c r="H162" s="180" t="str">
        <f>IF(ISBLANK('保守仕様明細②-8H'!$K$12),"",'保守仕様明細②-8H'!$K$12)</f>
        <v/>
      </c>
      <c r="I162" s="187"/>
      <c r="J162" s="180" t="str">
        <f>IF(ISBLANK('保守仕様明細②-24H'!$K$12),"",'保守仕様明細②-24H'!$K$12)</f>
        <v/>
      </c>
      <c r="K162" s="187"/>
      <c r="L162" s="126" t="s">
        <v>184</v>
      </c>
      <c r="N162" s="230" t="s">
        <v>185</v>
      </c>
      <c r="O162" s="231">
        <v>0</v>
      </c>
    </row>
    <row r="163" spans="1:19" x14ac:dyDescent="0.15">
      <c r="A163" s="87"/>
      <c r="B163" s="120"/>
      <c r="C163" s="50" t="s">
        <v>140</v>
      </c>
      <c r="D163" s="112" t="s">
        <v>146</v>
      </c>
      <c r="E163" s="112"/>
      <c r="F163" s="112"/>
      <c r="G163" s="112"/>
      <c r="H163" s="188" t="str">
        <f>IF(ISBLANK('保守仕様明細②-8H'!$K$13),"",'保守仕様明細②-8H'!$K$13)</f>
        <v/>
      </c>
      <c r="I163" s="189"/>
      <c r="J163" s="188" t="str">
        <f>IF(ISBLANK('保守仕様明細②-24H'!$K$13),"",'保守仕様明細②-24H'!$K$13)</f>
        <v/>
      </c>
      <c r="K163" s="189"/>
      <c r="L163" s="152"/>
      <c r="N163" s="230" t="s">
        <v>186</v>
      </c>
      <c r="O163" s="146">
        <v>400000</v>
      </c>
      <c r="P163" s="13" t="s">
        <v>187</v>
      </c>
    </row>
    <row r="164" spans="1:19" x14ac:dyDescent="0.15">
      <c r="A164" s="87"/>
      <c r="B164" s="120"/>
      <c r="C164" s="50" t="s">
        <v>147</v>
      </c>
      <c r="D164" s="112" t="s">
        <v>148</v>
      </c>
      <c r="E164" s="118"/>
      <c r="F164" s="112"/>
      <c r="G164" s="112"/>
      <c r="H164" s="188" t="str">
        <f>IF(ISBLANK('保守仕様明細②-8H'!$K$14),"",'保守仕様明細②-8H'!$K$14)</f>
        <v/>
      </c>
      <c r="I164" s="189"/>
      <c r="J164" s="188" t="str">
        <f>IF(ISBLANK('保守仕様明細②-24H'!$K$14),"",'保守仕様明細②-24H'!$K$14)</f>
        <v/>
      </c>
      <c r="K164" s="189"/>
      <c r="L164" s="152"/>
      <c r="N164" s="230" t="s">
        <v>188</v>
      </c>
    </row>
    <row r="165" spans="1:19" x14ac:dyDescent="0.15">
      <c r="A165" s="87"/>
      <c r="B165" s="57"/>
      <c r="C165" s="50" t="s">
        <v>149</v>
      </c>
      <c r="D165" s="112" t="s">
        <v>150</v>
      </c>
      <c r="E165" s="118"/>
      <c r="F165" s="112"/>
      <c r="G165" s="112"/>
      <c r="H165" s="188" t="str">
        <f>IF(ISBLANK('保守仕様明細②-8H'!$K$15),"",'保守仕様明細②-8H'!$K$15)</f>
        <v/>
      </c>
      <c r="I165" s="189"/>
      <c r="J165" s="188" t="str">
        <f>IF(ISBLANK('保守仕様明細②-24H'!$K$15),"",'保守仕様明細②-24H'!$K$15)</f>
        <v/>
      </c>
      <c r="K165" s="189"/>
      <c r="L165" s="152"/>
      <c r="N165" s="230" t="s">
        <v>185</v>
      </c>
      <c r="O165" s="231">
        <v>0</v>
      </c>
    </row>
    <row r="166" spans="1:19" ht="12.75" thickBot="1" x14ac:dyDescent="0.2">
      <c r="A166" s="87"/>
      <c r="B166" s="85">
        <v>2</v>
      </c>
      <c r="C166" s="142" t="s">
        <v>151</v>
      </c>
      <c r="D166" s="118"/>
      <c r="E166" s="118"/>
      <c r="F166" s="118"/>
      <c r="G166" s="118"/>
      <c r="H166" s="188" t="str">
        <f>IF(ISBLANK('保守仕様明細②-8H'!$K$16),"",'保守仕様明細②-8H'!$K$16)</f>
        <v/>
      </c>
      <c r="I166" s="190"/>
      <c r="J166" s="188" t="str">
        <f>IF(ISBLANK('保守仕様明細②-24H'!$K$16),"",'保守仕様明細②-24H'!$K$16)</f>
        <v/>
      </c>
      <c r="K166" s="190"/>
      <c r="L166" s="152"/>
      <c r="N166" s="230" t="s">
        <v>186</v>
      </c>
      <c r="O166" s="232">
        <v>250000</v>
      </c>
      <c r="P166" s="13" t="s">
        <v>189</v>
      </c>
    </row>
    <row r="167" spans="1:19" ht="12.75" thickTop="1" x14ac:dyDescent="0.15">
      <c r="A167" s="87"/>
      <c r="B167" s="51">
        <v>3</v>
      </c>
      <c r="C167" s="143" t="s">
        <v>152</v>
      </c>
      <c r="D167" s="113"/>
      <c r="E167" s="113"/>
      <c r="F167" s="113"/>
      <c r="G167" s="113"/>
      <c r="H167" s="183" t="str">
        <f>IF(ISBLANK('保守仕様明細②-8H'!$K$17),"",'保守仕様明細②-8H'!$K$17)</f>
        <v/>
      </c>
      <c r="I167" s="184"/>
      <c r="J167" s="183" t="str">
        <f>IF(ISBLANK('保守仕様明細②-24H'!$K$17),"",'保守仕様明細②-24H'!$K$17)</f>
        <v/>
      </c>
      <c r="K167" s="184"/>
      <c r="L167" s="114"/>
      <c r="N167" s="233" t="s">
        <v>190</v>
      </c>
      <c r="O167" s="234">
        <f>O163*O162+O166*O165*2</f>
        <v>0</v>
      </c>
      <c r="P167" s="13">
        <f>IF($H167="○",$O167/10,0)</f>
        <v>0</v>
      </c>
      <c r="Q167" s="13">
        <f>IF($J167="○",$O167/10,0)</f>
        <v>0</v>
      </c>
      <c r="R167" s="13">
        <f>IF($H167="○",$O167/10,0)</f>
        <v>0</v>
      </c>
      <c r="S167" s="13">
        <f>IF($J167="○",$O167/10,0)</f>
        <v>0</v>
      </c>
    </row>
    <row r="168" spans="1:19" ht="13.5" x14ac:dyDescent="0.15">
      <c r="A168" s="87"/>
      <c r="B168" s="582" t="s">
        <v>181</v>
      </c>
      <c r="C168" s="592"/>
      <c r="D168" s="592"/>
      <c r="E168" s="592"/>
      <c r="F168" s="592"/>
      <c r="G168" s="593"/>
      <c r="H168" s="185"/>
      <c r="I168" s="172">
        <f>SUM(I161:I167)</f>
        <v>0</v>
      </c>
      <c r="J168" s="185"/>
      <c r="K168" s="172">
        <f>SUM(K161:K167)</f>
        <v>0</v>
      </c>
      <c r="L168" s="349"/>
      <c r="N168" s="230" t="s">
        <v>191</v>
      </c>
      <c r="O168" s="146">
        <v>0</v>
      </c>
      <c r="Q168" s="307"/>
    </row>
    <row r="169" spans="1:19" x14ac:dyDescent="0.15">
      <c r="A169" s="87"/>
      <c r="B169" s="21"/>
      <c r="C169" s="14"/>
      <c r="D169" s="14"/>
      <c r="E169" s="14"/>
      <c r="F169" s="14"/>
      <c r="G169" s="14"/>
      <c r="H169" s="176"/>
      <c r="I169" s="173"/>
      <c r="J169" s="176"/>
      <c r="K169" s="173"/>
      <c r="L169" s="14"/>
    </row>
    <row r="170" spans="1:19" x14ac:dyDescent="0.15">
      <c r="A170" s="87"/>
      <c r="B170" s="42" t="s">
        <v>192</v>
      </c>
      <c r="C170" s="14"/>
      <c r="D170" s="14"/>
      <c r="E170" s="14"/>
      <c r="F170" s="14"/>
      <c r="G170" s="14"/>
      <c r="H170" s="176"/>
      <c r="I170" s="169"/>
      <c r="J170" s="176"/>
      <c r="K170" s="169"/>
      <c r="L170" s="14"/>
      <c r="O170" s="14"/>
    </row>
    <row r="171" spans="1:19" s="14" customFormat="1" x14ac:dyDescent="0.15">
      <c r="A171" s="86"/>
      <c r="B171" s="149" t="s">
        <v>164</v>
      </c>
      <c r="C171" s="53" t="s">
        <v>165</v>
      </c>
      <c r="D171" s="44"/>
      <c r="E171" s="44"/>
      <c r="F171" s="154"/>
      <c r="G171" s="154"/>
      <c r="H171" s="177" t="s">
        <v>166</v>
      </c>
      <c r="I171" s="170" t="s">
        <v>167</v>
      </c>
      <c r="J171" s="177" t="s">
        <v>166</v>
      </c>
      <c r="K171" s="170" t="s">
        <v>167</v>
      </c>
      <c r="L171" s="144" t="s">
        <v>168</v>
      </c>
      <c r="N171" s="13"/>
    </row>
    <row r="172" spans="1:19" s="14" customFormat="1" ht="12" customHeight="1" x14ac:dyDescent="0.15">
      <c r="A172" s="86"/>
      <c r="B172" s="150"/>
      <c r="C172" s="43"/>
      <c r="D172" s="153"/>
      <c r="E172" s="153"/>
      <c r="F172" s="8"/>
      <c r="G172" s="8"/>
      <c r="H172" s="178"/>
      <c r="I172" s="171"/>
      <c r="J172" s="178"/>
      <c r="K172" s="171"/>
      <c r="L172" s="151"/>
      <c r="N172" s="13"/>
      <c r="O172" s="13"/>
    </row>
    <row r="173" spans="1:19" x14ac:dyDescent="0.15">
      <c r="A173" s="87"/>
      <c r="B173" s="119">
        <v>1</v>
      </c>
      <c r="C173" s="122" t="s">
        <v>193</v>
      </c>
      <c r="D173" s="123"/>
      <c r="E173" s="123"/>
      <c r="F173" s="123"/>
      <c r="G173" s="123"/>
      <c r="H173" s="185"/>
      <c r="I173" s="186"/>
      <c r="J173" s="185"/>
      <c r="K173" s="186"/>
      <c r="L173" s="349"/>
      <c r="N173" s="230" t="s">
        <v>158</v>
      </c>
      <c r="O173" s="300">
        <v>0</v>
      </c>
      <c r="R173" s="13">
        <f>IF(AND($H174="○",$O173&gt;0),$O$2,0)</f>
        <v>0</v>
      </c>
      <c r="S173" s="13">
        <f>IF(AND($J174="○",$O173&gt;0),$O$2,0)</f>
        <v>0</v>
      </c>
    </row>
    <row r="174" spans="1:19" x14ac:dyDescent="0.15">
      <c r="A174" s="87"/>
      <c r="B174" s="120"/>
      <c r="C174" s="57" t="s">
        <v>138</v>
      </c>
      <c r="D174" s="121" t="s">
        <v>194</v>
      </c>
      <c r="E174" s="121"/>
      <c r="F174" s="121"/>
      <c r="G174" s="121"/>
      <c r="H174" s="180" t="str">
        <f>IF(ISBLANK('保守仕様明細②-8H'!$K$18),"",'保守仕様明細②-8H'!$K$18)</f>
        <v/>
      </c>
      <c r="I174" s="187" t="str">
        <f>IF($H174="○",$O173+($O174*$P174),"-")</f>
        <v>-</v>
      </c>
      <c r="J174" s="180" t="str">
        <f>IF(ISBLANK('保守仕様明細②-24H'!$K$18),"",'保守仕様明細②-24H'!$K$18)</f>
        <v/>
      </c>
      <c r="K174" s="187" t="str">
        <f>IF($J174="○",$O173+($O174*$P174),"-")</f>
        <v>-</v>
      </c>
      <c r="L174" s="111"/>
      <c r="N174" s="236" t="s">
        <v>195</v>
      </c>
      <c r="O174" s="230">
        <v>0</v>
      </c>
      <c r="P174" s="146">
        <f>ROUNDDOWN(14400+3650,-3)</f>
        <v>18000</v>
      </c>
      <c r="Q174" s="13" t="s">
        <v>196</v>
      </c>
      <c r="R174" s="13">
        <f>IF(H174="×",0,$O$3*$O174)</f>
        <v>0</v>
      </c>
      <c r="S174" s="13">
        <f>IF(J174="×",0,$O$3*$O174)</f>
        <v>0</v>
      </c>
    </row>
    <row r="175" spans="1:19" x14ac:dyDescent="0.15">
      <c r="A175" s="87"/>
      <c r="B175" s="158"/>
      <c r="C175" s="50" t="s">
        <v>140</v>
      </c>
      <c r="D175" s="112" t="s">
        <v>197</v>
      </c>
      <c r="E175" s="118"/>
      <c r="F175" s="112"/>
      <c r="G175" s="112"/>
      <c r="H175" s="188" t="s">
        <v>198</v>
      </c>
      <c r="I175" s="189" t="str">
        <f>IF($H175="○",$O175,"-")</f>
        <v>-</v>
      </c>
      <c r="J175" s="188" t="s">
        <v>198</v>
      </c>
      <c r="K175" s="189" t="str">
        <f>IF($J175="○",$O175,"-")</f>
        <v>-</v>
      </c>
      <c r="L175" s="114" t="s">
        <v>199</v>
      </c>
      <c r="N175" s="230" t="s">
        <v>162</v>
      </c>
      <c r="O175" s="146">
        <v>60000</v>
      </c>
      <c r="R175" s="13">
        <f>IF(AND(H175="○",I175&gt;0),$O$5,0)</f>
        <v>0</v>
      </c>
      <c r="S175" s="13">
        <f>IF(AND(J175="○",K175&gt;0),$O$5,0)</f>
        <v>0</v>
      </c>
    </row>
    <row r="176" spans="1:19" ht="13.5" x14ac:dyDescent="0.15">
      <c r="A176" s="87"/>
      <c r="B176" s="594" t="s">
        <v>181</v>
      </c>
      <c r="C176" s="592"/>
      <c r="D176" s="592"/>
      <c r="E176" s="592"/>
      <c r="F176" s="592"/>
      <c r="G176" s="593"/>
      <c r="H176" s="185"/>
      <c r="I176" s="172">
        <f>SUM(I173:I175)</f>
        <v>0</v>
      </c>
      <c r="J176" s="185"/>
      <c r="K176" s="172">
        <f>SUM(K173:K175)</f>
        <v>0</v>
      </c>
      <c r="L176" s="349"/>
      <c r="M176" s="13" t="s">
        <v>206</v>
      </c>
    </row>
    <row r="177" spans="1:19" x14ac:dyDescent="0.15">
      <c r="A177" s="87"/>
      <c r="H177" s="176"/>
      <c r="I177" s="173"/>
      <c r="J177" s="176"/>
      <c r="K177" s="173"/>
      <c r="L177" s="14"/>
      <c r="N177" s="14"/>
    </row>
    <row r="178" spans="1:19" x14ac:dyDescent="0.15">
      <c r="A178" s="87"/>
      <c r="H178" s="176"/>
      <c r="I178" s="169"/>
      <c r="J178" s="176"/>
      <c r="K178" s="169"/>
      <c r="L178" s="14"/>
      <c r="N178" s="14"/>
    </row>
    <row r="179" spans="1:19" ht="13.5" x14ac:dyDescent="0.15">
      <c r="A179" s="88"/>
      <c r="B179" s="44" t="str">
        <f>"合計（"&amp;N150&amp;"）"</f>
        <v>合計（②-5）</v>
      </c>
      <c r="C179" s="44"/>
      <c r="D179" s="44"/>
      <c r="E179" s="44"/>
      <c r="F179" s="44"/>
      <c r="G179" s="125"/>
      <c r="H179" s="191"/>
      <c r="I179" s="174">
        <f ca="1">SUMIF($B149:$B178,"小計",$I149:$I178)</f>
        <v>0</v>
      </c>
      <c r="J179" s="191"/>
      <c r="K179" s="174">
        <f ca="1">SUMIF($B149:$B178,"小計",$K149:$K178)</f>
        <v>0</v>
      </c>
      <c r="L179" s="44"/>
      <c r="N179" s="14"/>
      <c r="Q179" s="13" t="str">
        <f>"原価（"&amp;N150&amp;"）"</f>
        <v>原価（②-5）</v>
      </c>
      <c r="R179" s="13">
        <f>SUM(R149:R178)</f>
        <v>0</v>
      </c>
      <c r="S179" s="13">
        <f>SUM(S149:S178)</f>
        <v>0</v>
      </c>
    </row>
    <row r="180" spans="1:19" x14ac:dyDescent="0.15">
      <c r="H180" s="176"/>
      <c r="I180" s="84"/>
      <c r="J180" s="176"/>
      <c r="K180" s="84"/>
      <c r="N180" s="14"/>
    </row>
    <row r="181" spans="1:19" x14ac:dyDescent="0.15">
      <c r="H181" s="176"/>
      <c r="I181" s="169"/>
      <c r="J181" s="176"/>
      <c r="K181" s="169"/>
      <c r="O181" s="14"/>
    </row>
    <row r="182" spans="1:19" s="14" customFormat="1" ht="17.25" customHeight="1" x14ac:dyDescent="0.15">
      <c r="A182" s="262" t="str">
        <f>見積総括表!$E$25</f>
        <v/>
      </c>
      <c r="B182" s="64"/>
      <c r="C182" s="64"/>
      <c r="D182" s="64"/>
      <c r="E182" s="64"/>
      <c r="F182" s="64"/>
      <c r="G182" s="64"/>
      <c r="H182" s="168"/>
      <c r="I182" s="83"/>
      <c r="J182" s="168"/>
      <c r="K182" s="83"/>
      <c r="L182" s="65"/>
    </row>
    <row r="183" spans="1:19" s="14" customFormat="1" ht="15.95" customHeight="1" x14ac:dyDescent="0.15">
      <c r="A183" s="86"/>
      <c r="B183" s="42" t="s">
        <v>163</v>
      </c>
      <c r="H183" s="176"/>
      <c r="I183" s="169"/>
      <c r="J183" s="176"/>
      <c r="K183" s="169"/>
    </row>
    <row r="184" spans="1:19" s="14" customFormat="1" x14ac:dyDescent="0.15">
      <c r="A184" s="86"/>
      <c r="B184" s="149" t="s">
        <v>164</v>
      </c>
      <c r="C184" s="53" t="s">
        <v>165</v>
      </c>
      <c r="D184" s="44"/>
      <c r="E184" s="44"/>
      <c r="F184" s="154"/>
      <c r="G184" s="154"/>
      <c r="H184" s="177" t="s">
        <v>166</v>
      </c>
      <c r="I184" s="170" t="s">
        <v>167</v>
      </c>
      <c r="J184" s="177" t="s">
        <v>166</v>
      </c>
      <c r="K184" s="170" t="s">
        <v>167</v>
      </c>
      <c r="L184" s="144" t="s">
        <v>168</v>
      </c>
    </row>
    <row r="185" spans="1:19" s="14" customFormat="1" ht="12" customHeight="1" x14ac:dyDescent="0.15">
      <c r="A185" s="86"/>
      <c r="B185" s="150"/>
      <c r="C185" s="43"/>
      <c r="D185" s="153"/>
      <c r="E185" s="153"/>
      <c r="F185" s="8"/>
      <c r="G185" s="8"/>
      <c r="H185" s="178"/>
      <c r="I185" s="171"/>
      <c r="J185" s="178"/>
      <c r="K185" s="171"/>
      <c r="L185" s="151"/>
      <c r="N185" s="14" t="s">
        <v>55</v>
      </c>
    </row>
    <row r="186" spans="1:19" ht="13.5" x14ac:dyDescent="0.15">
      <c r="A186" s="87"/>
      <c r="B186" s="119">
        <v>1</v>
      </c>
      <c r="C186" s="56" t="s">
        <v>170</v>
      </c>
      <c r="D186" s="142"/>
      <c r="E186" s="46"/>
      <c r="F186" s="46"/>
      <c r="G186" s="46"/>
      <c r="H186" s="179"/>
      <c r="I186" s="174"/>
      <c r="J186" s="179"/>
      <c r="K186" s="174"/>
      <c r="L186" s="159"/>
      <c r="N186" s="230" t="s">
        <v>171</v>
      </c>
      <c r="O186"/>
      <c r="P186" s="14" t="s">
        <v>312</v>
      </c>
      <c r="Q186" s="270"/>
    </row>
    <row r="187" spans="1:19" ht="13.5" x14ac:dyDescent="0.15">
      <c r="A187" s="87"/>
      <c r="B187" s="120"/>
      <c r="C187" s="47" t="s">
        <v>138</v>
      </c>
      <c r="D187" s="48" t="s">
        <v>172</v>
      </c>
      <c r="E187" s="110"/>
      <c r="F187" s="110"/>
      <c r="G187" s="110"/>
      <c r="H187" s="180" t="str">
        <f>IF(ISBLANK('保守仕様明細②-8H'!$L$7),"",'保守仕様明細②-8H'!$L$7)</f>
        <v/>
      </c>
      <c r="I187" s="181" t="str">
        <f>IF(AND($H187="○",$H189="×"),P187+P189+P202,"-")</f>
        <v>-</v>
      </c>
      <c r="J187" s="180" t="str">
        <f>IF(ISBLANK('保守仕様明細②-24H'!$L$7),"",'保守仕様明細②-24H'!$L$7)</f>
        <v/>
      </c>
      <c r="K187" s="181" t="str">
        <f>IF(AND($J187="○",$J189="○"),Q187+Q189+Q202,"-")</f>
        <v>-</v>
      </c>
      <c r="L187" s="111"/>
      <c r="N187" s="146"/>
      <c r="O187"/>
      <c r="P187" s="270">
        <f>ROUNDUP(MAX($N187*0.05,180000),-3)</f>
        <v>180000</v>
      </c>
      <c r="Q187" s="270">
        <f>ROUNDUP(IF($N187&lt;100000000,MAX($N187*0.08,240000),$N187*0.1),-3)</f>
        <v>240000</v>
      </c>
    </row>
    <row r="188" spans="1:19" x14ac:dyDescent="0.15">
      <c r="A188" s="87"/>
      <c r="B188" s="120"/>
      <c r="C188" s="55" t="s">
        <v>140</v>
      </c>
      <c r="D188" s="56" t="s">
        <v>173</v>
      </c>
      <c r="E188" s="118"/>
      <c r="F188" s="118"/>
      <c r="G188" s="118"/>
      <c r="H188" s="188" t="str">
        <f>IF(ISBLANK('保守仕様明細②-8H'!$L$8),"",'保守仕様明細②-8H'!$L$8)</f>
        <v/>
      </c>
      <c r="I188" s="182"/>
      <c r="J188" s="188" t="str">
        <f>IF(ISBLANK('保守仕様明細②-24H'!$L$8),"",'保守仕様明細②-24H'!$L$8)</f>
        <v/>
      </c>
      <c r="K188" s="182"/>
      <c r="L188" s="159"/>
      <c r="P188" s="308" t="s">
        <v>180</v>
      </c>
      <c r="Q188" s="270"/>
    </row>
    <row r="189" spans="1:19" ht="13.5" x14ac:dyDescent="0.15">
      <c r="A189" s="87"/>
      <c r="B189" s="51">
        <v>2</v>
      </c>
      <c r="C189" s="52" t="s">
        <v>174</v>
      </c>
      <c r="D189" s="143"/>
      <c r="E189" s="113"/>
      <c r="F189" s="113"/>
      <c r="G189" s="113"/>
      <c r="H189" s="183" t="str">
        <f>IF(ISBLANK('保守仕様明細②-8H'!$L$9),"",'保守仕様明細②-8H'!$L$9)</f>
        <v/>
      </c>
      <c r="I189" s="184" t="s">
        <v>175</v>
      </c>
      <c r="J189" s="183" t="str">
        <f>IF(ISBLANK('保守仕様明細②-24H'!$L$9),"",'保守仕様明細②-24H'!$L$9)</f>
        <v/>
      </c>
      <c r="K189" s="347"/>
      <c r="L189" s="114"/>
      <c r="N189"/>
      <c r="P189" s="270" t="e">
        <f ca="1">MAX(ROUNDUP(OFFSET(見積総括表!$P$36,VALUE(RIGHT($N185))-1,0)/38%,-3)-SUM(OFFSET(見積総括表!$S$12,VALUE(RIGHT($N185))-1,0),P187,I190,P202,OFFSET(見積総括表!$S$28,VALUE(RIGHT($N185))-1,0)),0)</f>
        <v>#VALUE!</v>
      </c>
      <c r="Q189" s="270" t="e">
        <f ca="1">MAX(ROUNDUP(OFFSET(見積総括表!$Z$36,VALUE(RIGHT($N185))-1,0)/38%,-3)-SUM(OFFSET(見積総括表!$AC$12,VALUE(RIGHT($N185))-1,0),Q187,K190,Q202,OFFSET(見積総括表!$AC$28,VALUE(RIGHT($N185))-1,0)),$P189,0)</f>
        <v>#VALUE!</v>
      </c>
    </row>
    <row r="190" spans="1:19" ht="13.5" x14ac:dyDescent="0.15">
      <c r="A190" s="87"/>
      <c r="B190" s="582" t="s">
        <v>176</v>
      </c>
      <c r="C190" s="592" t="s">
        <v>177</v>
      </c>
      <c r="D190" s="592"/>
      <c r="E190" s="592"/>
      <c r="F190" s="592"/>
      <c r="G190" s="593"/>
      <c r="H190" s="346"/>
      <c r="I190" s="347">
        <f ca="1">ROUNDUP((LocalIFERROR(SUMIF(INDIRECT("'"&amp;管理データ!$A$2&amp;管理データ!$B$2),"合計（"&amp;見積総括表!$C17&amp;"）",INDIRECT("'"&amp;管理データ!$A$2&amp;管理データ!$E$2)),0)+LocalIFERROR(SUMIF(INDIRECT("'"&amp;管理データ!$A$5&amp;管理データ!$B$5),"合計（"&amp;見積総括表!$C33&amp;"）",INDIRECT("'"&amp;管理データ!$A$5&amp;管理データ!$E$5)),0))*0.15,-3)</f>
        <v>0</v>
      </c>
      <c r="J190" s="346"/>
      <c r="K190" s="347">
        <f ca="1">ROUNDUP((LocalIFERROR(SUMIF(INDIRECT("'"&amp;管理データ!$A$2&amp;管理データ!$B$2),"合計（"&amp;見積総括表!$C17&amp;"）",INDIRECT("'"&amp;管理データ!$A$2&amp;管理データ!$F$2)),0)+LocalIFERROR(SUMIF(INDIRECT("'"&amp;管理データ!$A$5&amp;管理データ!$B$5),"合計（"&amp;見積総括表!$C33&amp;"）",INDIRECT("'"&amp;管理データ!$A$5&amp;管理データ!$F$5)),0))*0.15,-3)</f>
        <v>0</v>
      </c>
      <c r="L190" s="348" t="s">
        <v>178</v>
      </c>
      <c r="M190" s="13" t="s">
        <v>55</v>
      </c>
      <c r="N190" s="230" t="s">
        <v>179</v>
      </c>
    </row>
    <row r="191" spans="1:19" ht="13.5" x14ac:dyDescent="0.15">
      <c r="A191" s="87"/>
      <c r="B191" s="582" t="s">
        <v>181</v>
      </c>
      <c r="C191" s="592"/>
      <c r="D191" s="592"/>
      <c r="E191" s="592"/>
      <c r="F191" s="592"/>
      <c r="G191" s="593"/>
      <c r="H191" s="185"/>
      <c r="I191" s="172">
        <f ca="1">SUM(I186:I190)</f>
        <v>0</v>
      </c>
      <c r="J191" s="185"/>
      <c r="K191" s="172">
        <f ca="1">SUM(K186:K190)</f>
        <v>0</v>
      </c>
      <c r="L191" s="349"/>
      <c r="N191" s="230"/>
    </row>
    <row r="192" spans="1:19" x14ac:dyDescent="0.15">
      <c r="A192" s="87"/>
      <c r="B192" s="21"/>
      <c r="C192" s="14"/>
      <c r="D192" s="14"/>
      <c r="E192" s="14"/>
      <c r="F192" s="14"/>
      <c r="G192" s="14"/>
      <c r="H192" s="176"/>
      <c r="I192" s="173"/>
      <c r="J192" s="176"/>
      <c r="K192" s="173"/>
      <c r="L192" s="14"/>
    </row>
    <row r="193" spans="1:19" x14ac:dyDescent="0.15">
      <c r="A193" s="87"/>
      <c r="B193" s="42" t="s">
        <v>182</v>
      </c>
      <c r="C193" s="14"/>
      <c r="D193" s="14"/>
      <c r="E193" s="14"/>
      <c r="F193" s="14"/>
      <c r="G193" s="14"/>
      <c r="H193" s="176"/>
      <c r="I193" s="169"/>
      <c r="J193" s="176"/>
      <c r="K193" s="169"/>
      <c r="L193" s="14"/>
    </row>
    <row r="194" spans="1:19" s="14" customFormat="1" x14ac:dyDescent="0.15">
      <c r="A194" s="86"/>
      <c r="B194" s="149" t="s">
        <v>164</v>
      </c>
      <c r="C194" s="53" t="s">
        <v>165</v>
      </c>
      <c r="D194" s="44"/>
      <c r="E194" s="44"/>
      <c r="F194" s="154"/>
      <c r="G194" s="154"/>
      <c r="H194" s="177" t="s">
        <v>166</v>
      </c>
      <c r="I194" s="170" t="s">
        <v>167</v>
      </c>
      <c r="J194" s="177" t="s">
        <v>166</v>
      </c>
      <c r="K194" s="170" t="s">
        <v>167</v>
      </c>
      <c r="L194" s="144" t="s">
        <v>168</v>
      </c>
    </row>
    <row r="195" spans="1:19" s="14" customFormat="1" ht="12" customHeight="1" x14ac:dyDescent="0.15">
      <c r="A195" s="86"/>
      <c r="B195" s="150"/>
      <c r="C195" s="43"/>
      <c r="D195" s="153"/>
      <c r="E195" s="153"/>
      <c r="F195" s="8"/>
      <c r="G195" s="8"/>
      <c r="H195" s="178"/>
      <c r="I195" s="171"/>
      <c r="J195" s="178"/>
      <c r="K195" s="171"/>
      <c r="L195" s="151"/>
    </row>
    <row r="196" spans="1:19" x14ac:dyDescent="0.15">
      <c r="A196" s="87"/>
      <c r="B196" s="119">
        <v>1</v>
      </c>
      <c r="C196" s="122" t="s">
        <v>144</v>
      </c>
      <c r="D196" s="123"/>
      <c r="E196" s="123"/>
      <c r="F196" s="123"/>
      <c r="G196" s="123"/>
      <c r="H196" s="185"/>
      <c r="I196" s="186"/>
      <c r="J196" s="185"/>
      <c r="K196" s="186"/>
      <c r="L196" s="349"/>
      <c r="N196" s="230" t="s">
        <v>183</v>
      </c>
    </row>
    <row r="197" spans="1:19" x14ac:dyDescent="0.15">
      <c r="A197" s="87"/>
      <c r="B197" s="120"/>
      <c r="C197" s="57" t="s">
        <v>138</v>
      </c>
      <c r="D197" s="121" t="s">
        <v>145</v>
      </c>
      <c r="E197" s="121"/>
      <c r="F197" s="121"/>
      <c r="G197" s="121"/>
      <c r="H197" s="180" t="str">
        <f>IF(ISBLANK('保守仕様明細②-8H'!$L$12),"",'保守仕様明細②-8H'!$L$12)</f>
        <v/>
      </c>
      <c r="I197" s="187"/>
      <c r="J197" s="180" t="str">
        <f>IF(ISBLANK('保守仕様明細②-24H'!$L$12),"",'保守仕様明細②-24H'!$L$12)</f>
        <v/>
      </c>
      <c r="K197" s="187"/>
      <c r="L197" s="126" t="s">
        <v>184</v>
      </c>
      <c r="N197" s="230" t="s">
        <v>185</v>
      </c>
      <c r="O197" s="231">
        <v>0</v>
      </c>
    </row>
    <row r="198" spans="1:19" x14ac:dyDescent="0.15">
      <c r="A198" s="87"/>
      <c r="B198" s="120"/>
      <c r="C198" s="50" t="s">
        <v>140</v>
      </c>
      <c r="D198" s="112" t="s">
        <v>146</v>
      </c>
      <c r="E198" s="112"/>
      <c r="F198" s="112"/>
      <c r="G198" s="112"/>
      <c r="H198" s="188" t="str">
        <f>IF(ISBLANK('保守仕様明細②-8H'!$L$13),"",'保守仕様明細②-8H'!$L$13)</f>
        <v/>
      </c>
      <c r="I198" s="189"/>
      <c r="J198" s="188" t="str">
        <f>IF(ISBLANK('保守仕様明細②-24H'!$L$13),"",'保守仕様明細②-24H'!$L$13)</f>
        <v/>
      </c>
      <c r="K198" s="189"/>
      <c r="L198" s="152"/>
      <c r="N198" s="230" t="s">
        <v>186</v>
      </c>
      <c r="O198" s="146">
        <v>400000</v>
      </c>
      <c r="P198" s="13" t="s">
        <v>187</v>
      </c>
    </row>
    <row r="199" spans="1:19" x14ac:dyDescent="0.15">
      <c r="A199" s="87"/>
      <c r="B199" s="120"/>
      <c r="C199" s="50" t="s">
        <v>147</v>
      </c>
      <c r="D199" s="112" t="s">
        <v>148</v>
      </c>
      <c r="E199" s="118"/>
      <c r="F199" s="112"/>
      <c r="G199" s="112"/>
      <c r="H199" s="188" t="str">
        <f>IF(ISBLANK('保守仕様明細②-8H'!$L$14),"",'保守仕様明細②-8H'!$L$14)</f>
        <v/>
      </c>
      <c r="I199" s="189"/>
      <c r="J199" s="188" t="str">
        <f>IF(ISBLANK('保守仕様明細②-24H'!$L$14),"",'保守仕様明細②-24H'!$L$14)</f>
        <v/>
      </c>
      <c r="K199" s="189"/>
      <c r="L199" s="152"/>
      <c r="N199" s="230" t="s">
        <v>188</v>
      </c>
    </row>
    <row r="200" spans="1:19" x14ac:dyDescent="0.15">
      <c r="A200" s="87"/>
      <c r="B200" s="57"/>
      <c r="C200" s="50" t="s">
        <v>149</v>
      </c>
      <c r="D200" s="112" t="s">
        <v>150</v>
      </c>
      <c r="E200" s="118"/>
      <c r="F200" s="112"/>
      <c r="G200" s="112"/>
      <c r="H200" s="188" t="str">
        <f>IF(ISBLANK('保守仕様明細②-8H'!$L$15),"",'保守仕様明細②-8H'!$L$15)</f>
        <v/>
      </c>
      <c r="I200" s="189"/>
      <c r="J200" s="188" t="str">
        <f>IF(ISBLANK('保守仕様明細②-24H'!$L$15),"",'保守仕様明細②-24H'!$L$15)</f>
        <v/>
      </c>
      <c r="K200" s="189"/>
      <c r="L200" s="152"/>
      <c r="N200" s="230" t="s">
        <v>185</v>
      </c>
      <c r="O200" s="231">
        <v>0</v>
      </c>
    </row>
    <row r="201" spans="1:19" ht="12.75" thickBot="1" x14ac:dyDescent="0.2">
      <c r="A201" s="87"/>
      <c r="B201" s="85">
        <v>2</v>
      </c>
      <c r="C201" s="142" t="s">
        <v>151</v>
      </c>
      <c r="D201" s="118"/>
      <c r="E201" s="118"/>
      <c r="F201" s="118"/>
      <c r="G201" s="118"/>
      <c r="H201" s="188" t="str">
        <f>IF(ISBLANK('保守仕様明細②-8H'!$L$16),"",'保守仕様明細②-8H'!$L$16)</f>
        <v/>
      </c>
      <c r="I201" s="190"/>
      <c r="J201" s="188" t="str">
        <f>IF(ISBLANK('保守仕様明細②-24H'!$L$16),"",'保守仕様明細②-24H'!$L$16)</f>
        <v/>
      </c>
      <c r="K201" s="190"/>
      <c r="L201" s="152"/>
      <c r="N201" s="230" t="s">
        <v>186</v>
      </c>
      <c r="O201" s="232">
        <v>250000</v>
      </c>
      <c r="P201" s="13" t="s">
        <v>189</v>
      </c>
    </row>
    <row r="202" spans="1:19" x14ac:dyDescent="0.15">
      <c r="A202" s="87"/>
      <c r="B202" s="51">
        <v>3</v>
      </c>
      <c r="C202" s="143" t="s">
        <v>152</v>
      </c>
      <c r="D202" s="113"/>
      <c r="E202" s="113"/>
      <c r="F202" s="113"/>
      <c r="G202" s="113"/>
      <c r="H202" s="183" t="str">
        <f>IF(ISBLANK('保守仕様明細②-8H'!$L$17),"",'保守仕様明細②-8H'!$L$17)</f>
        <v/>
      </c>
      <c r="I202" s="184"/>
      <c r="J202" s="183" t="str">
        <f>IF(ISBLANK('保守仕様明細②-24H'!$L$17),"",'保守仕様明細②-24H'!$L$17)</f>
        <v/>
      </c>
      <c r="K202" s="184"/>
      <c r="L202" s="114"/>
      <c r="N202" s="233" t="s">
        <v>190</v>
      </c>
      <c r="O202" s="234">
        <f>O198*O197+O201*O200*2</f>
        <v>0</v>
      </c>
      <c r="P202" s="13">
        <f>IF($H202="○",$O202/10,0)</f>
        <v>0</v>
      </c>
      <c r="Q202" s="13">
        <f>IF($J202="○",$O202/10,0)</f>
        <v>0</v>
      </c>
      <c r="R202" s="13">
        <f>IF($H202="○",$O202/10,0)</f>
        <v>0</v>
      </c>
      <c r="S202" s="13">
        <f>IF($J202="○",$O202/10,0)</f>
        <v>0</v>
      </c>
    </row>
    <row r="203" spans="1:19" ht="13.5" x14ac:dyDescent="0.15">
      <c r="A203" s="87"/>
      <c r="B203" s="582" t="s">
        <v>181</v>
      </c>
      <c r="C203" s="592"/>
      <c r="D203" s="592"/>
      <c r="E203" s="592"/>
      <c r="F203" s="592"/>
      <c r="G203" s="593"/>
      <c r="H203" s="185"/>
      <c r="I203" s="172">
        <f>SUM(I196:I202)</f>
        <v>0</v>
      </c>
      <c r="J203" s="185"/>
      <c r="K203" s="172">
        <f>SUM(K196:K202)</f>
        <v>0</v>
      </c>
      <c r="L203" s="349"/>
      <c r="N203" s="230" t="s">
        <v>191</v>
      </c>
      <c r="O203" s="146"/>
      <c r="Q203" s="307"/>
    </row>
    <row r="204" spans="1:19" x14ac:dyDescent="0.15">
      <c r="A204" s="87"/>
      <c r="B204" s="21"/>
      <c r="C204" s="14"/>
      <c r="D204" s="14"/>
      <c r="E204" s="14"/>
      <c r="F204" s="14"/>
      <c r="G204" s="14"/>
      <c r="H204" s="176"/>
      <c r="I204" s="173"/>
      <c r="J204" s="176"/>
      <c r="K204" s="173"/>
      <c r="L204" s="14"/>
    </row>
    <row r="205" spans="1:19" x14ac:dyDescent="0.15">
      <c r="A205" s="87"/>
      <c r="B205" s="42" t="s">
        <v>192</v>
      </c>
      <c r="C205" s="14"/>
      <c r="D205" s="14"/>
      <c r="E205" s="14"/>
      <c r="F205" s="14"/>
      <c r="G205" s="14"/>
      <c r="H205" s="176"/>
      <c r="I205" s="169"/>
      <c r="J205" s="176"/>
      <c r="K205" s="169"/>
      <c r="L205" s="14"/>
      <c r="O205" s="14"/>
    </row>
    <row r="206" spans="1:19" s="14" customFormat="1" x14ac:dyDescent="0.15">
      <c r="A206" s="86"/>
      <c r="B206" s="149" t="s">
        <v>164</v>
      </c>
      <c r="C206" s="53" t="s">
        <v>165</v>
      </c>
      <c r="D206" s="44"/>
      <c r="E206" s="44"/>
      <c r="F206" s="154"/>
      <c r="G206" s="154"/>
      <c r="H206" s="177" t="s">
        <v>166</v>
      </c>
      <c r="I206" s="170" t="s">
        <v>167</v>
      </c>
      <c r="J206" s="177" t="s">
        <v>166</v>
      </c>
      <c r="K206" s="170" t="s">
        <v>167</v>
      </c>
      <c r="L206" s="144" t="s">
        <v>168</v>
      </c>
      <c r="N206" s="13"/>
    </row>
    <row r="207" spans="1:19" s="14" customFormat="1" ht="12" customHeight="1" x14ac:dyDescent="0.15">
      <c r="A207" s="86"/>
      <c r="B207" s="150"/>
      <c r="C207" s="43"/>
      <c r="D207" s="153"/>
      <c r="E207" s="153"/>
      <c r="F207" s="8"/>
      <c r="G207" s="8"/>
      <c r="H207" s="178"/>
      <c r="I207" s="171"/>
      <c r="J207" s="178"/>
      <c r="K207" s="171"/>
      <c r="L207" s="151"/>
      <c r="N207" s="13"/>
      <c r="O207" s="13"/>
    </row>
    <row r="208" spans="1:19" x14ac:dyDescent="0.15">
      <c r="A208" s="87"/>
      <c r="B208" s="119">
        <v>1</v>
      </c>
      <c r="C208" s="122" t="s">
        <v>193</v>
      </c>
      <c r="D208" s="123"/>
      <c r="E208" s="123"/>
      <c r="F208" s="123"/>
      <c r="G208" s="123"/>
      <c r="H208" s="185"/>
      <c r="I208" s="186"/>
      <c r="J208" s="185"/>
      <c r="K208" s="186"/>
      <c r="L208" s="349"/>
      <c r="N208" s="230" t="s">
        <v>158</v>
      </c>
      <c r="O208" s="300">
        <v>60000</v>
      </c>
      <c r="R208" s="13">
        <f>IF(AND($H209="○",$O208&gt;0),$O$2,0)</f>
        <v>0</v>
      </c>
      <c r="S208" s="13">
        <f>IF(AND($J209="○",$O208&gt;0),$O$2,0)</f>
        <v>0</v>
      </c>
    </row>
    <row r="209" spans="1:19" x14ac:dyDescent="0.15">
      <c r="A209" s="87"/>
      <c r="B209" s="120"/>
      <c r="C209" s="57" t="s">
        <v>138</v>
      </c>
      <c r="D209" s="121" t="s">
        <v>194</v>
      </c>
      <c r="E209" s="121"/>
      <c r="F209" s="121"/>
      <c r="G209" s="121"/>
      <c r="H209" s="180" t="str">
        <f>IF(ISBLANK('保守仕様明細②-8H'!$L$18),"",'保守仕様明細②-8H'!$L$18)</f>
        <v/>
      </c>
      <c r="I209" s="187" t="str">
        <f>IF($H209="○",$O208+($O209*$P209),"-")</f>
        <v>-</v>
      </c>
      <c r="J209" s="180" t="str">
        <f>IF(ISBLANK('保守仕様明細②-24H'!$L$18),"",'保守仕様明細②-24H'!$L$18)</f>
        <v/>
      </c>
      <c r="K209" s="187" t="str">
        <f>IF($J209="○",$O208+($O209*$P209),"-")</f>
        <v>-</v>
      </c>
      <c r="L209" s="111"/>
      <c r="N209" s="236" t="s">
        <v>195</v>
      </c>
      <c r="O209" s="230">
        <v>0</v>
      </c>
      <c r="P209" s="146">
        <f>ROUNDDOWN(14400+3650,-3)</f>
        <v>18000</v>
      </c>
      <c r="Q209" s="13" t="s">
        <v>196</v>
      </c>
      <c r="R209" s="13">
        <f>IF(H209="×",0,$O$3*$O209)</f>
        <v>0</v>
      </c>
      <c r="S209" s="13">
        <f>IF(J209="×",0,$O$3*$O209)</f>
        <v>0</v>
      </c>
    </row>
    <row r="210" spans="1:19" x14ac:dyDescent="0.15">
      <c r="A210" s="87"/>
      <c r="B210" s="158"/>
      <c r="C210" s="50" t="s">
        <v>140</v>
      </c>
      <c r="D210" s="112" t="s">
        <v>197</v>
      </c>
      <c r="E210" s="118"/>
      <c r="F210" s="112"/>
      <c r="G210" s="112"/>
      <c r="H210" s="188" t="s">
        <v>198</v>
      </c>
      <c r="I210" s="189" t="str">
        <f>IF($H210="○",$O210,"-")</f>
        <v>-</v>
      </c>
      <c r="J210" s="188" t="s">
        <v>198</v>
      </c>
      <c r="K210" s="189" t="str">
        <f>IF($J210="○",$O210,"-")</f>
        <v>-</v>
      </c>
      <c r="L210" s="114" t="s">
        <v>199</v>
      </c>
      <c r="N210" s="230" t="s">
        <v>162</v>
      </c>
      <c r="O210" s="146">
        <v>60000</v>
      </c>
      <c r="R210" s="13">
        <f>IF(AND(H210="○",I210&gt;0),$O$5,0)</f>
        <v>0</v>
      </c>
      <c r="S210" s="13">
        <f>IF(AND(J210="○",K210&gt;0),$O$5,0)</f>
        <v>0</v>
      </c>
    </row>
    <row r="211" spans="1:19" ht="13.5" x14ac:dyDescent="0.15">
      <c r="A211" s="87"/>
      <c r="B211" s="594" t="s">
        <v>181</v>
      </c>
      <c r="C211" s="592"/>
      <c r="D211" s="592"/>
      <c r="E211" s="592"/>
      <c r="F211" s="592"/>
      <c r="G211" s="593"/>
      <c r="H211" s="185"/>
      <c r="I211" s="172">
        <f>SUM(I208:I210)</f>
        <v>0</v>
      </c>
      <c r="J211" s="185"/>
      <c r="K211" s="172">
        <f>SUM(K208:K210)</f>
        <v>0</v>
      </c>
      <c r="L211" s="349"/>
      <c r="M211" s="13" t="s">
        <v>207</v>
      </c>
    </row>
    <row r="212" spans="1:19" x14ac:dyDescent="0.15">
      <c r="A212" s="87"/>
      <c r="H212" s="176"/>
      <c r="I212" s="173"/>
      <c r="J212" s="176"/>
      <c r="K212" s="173"/>
      <c r="L212" s="14"/>
      <c r="N212" s="14"/>
    </row>
    <row r="213" spans="1:19" x14ac:dyDescent="0.15">
      <c r="A213" s="87"/>
      <c r="H213" s="176"/>
      <c r="I213" s="169"/>
      <c r="J213" s="176"/>
      <c r="K213" s="169"/>
      <c r="L213" s="14"/>
      <c r="N213" s="14"/>
    </row>
    <row r="214" spans="1:19" ht="13.5" x14ac:dyDescent="0.15">
      <c r="A214" s="88"/>
      <c r="B214" s="44" t="str">
        <f>"合計（"&amp;N185&amp;"）"</f>
        <v>合計（②-6）</v>
      </c>
      <c r="C214" s="44"/>
      <c r="D214" s="44"/>
      <c r="E214" s="44"/>
      <c r="F214" s="44"/>
      <c r="G214" s="125"/>
      <c r="H214" s="191"/>
      <c r="I214" s="174">
        <f ca="1">SUMIF($B184:$B213,"小計",$I184:$I213)</f>
        <v>0</v>
      </c>
      <c r="J214" s="191"/>
      <c r="K214" s="174">
        <f ca="1">SUMIF($B184:$B213,"小計",$K184:$K213)</f>
        <v>0</v>
      </c>
      <c r="L214" s="44"/>
      <c r="N214" s="14"/>
      <c r="Q214" s="13" t="str">
        <f>"原価（"&amp;N185&amp;"）"</f>
        <v>原価（②-6）</v>
      </c>
      <c r="R214" s="13">
        <f>SUM(R184:R213)</f>
        <v>0</v>
      </c>
      <c r="S214" s="13">
        <f>SUM(S184:S213)</f>
        <v>0</v>
      </c>
    </row>
    <row r="215" spans="1:19" x14ac:dyDescent="0.15">
      <c r="H215" s="176"/>
      <c r="I215" s="84"/>
      <c r="J215" s="176"/>
      <c r="K215" s="84"/>
      <c r="N215" s="14"/>
    </row>
    <row r="216" spans="1:19" x14ac:dyDescent="0.15">
      <c r="H216" s="176"/>
      <c r="I216" s="169"/>
      <c r="J216" s="176"/>
      <c r="K216" s="169"/>
      <c r="O216" s="14"/>
    </row>
    <row r="217" spans="1:19" s="14" customFormat="1" ht="17.25" customHeight="1" x14ac:dyDescent="0.15">
      <c r="A217" s="262" t="str">
        <f>見積総括表!$E$26</f>
        <v/>
      </c>
      <c r="B217" s="64"/>
      <c r="C217" s="64"/>
      <c r="D217" s="64"/>
      <c r="E217" s="64"/>
      <c r="F217" s="64"/>
      <c r="G217" s="64"/>
      <c r="H217" s="168"/>
      <c r="I217" s="83"/>
      <c r="J217" s="168"/>
      <c r="K217" s="83"/>
      <c r="L217" s="65"/>
    </row>
    <row r="218" spans="1:19" s="14" customFormat="1" ht="15.95" customHeight="1" x14ac:dyDescent="0.15">
      <c r="A218" s="86"/>
      <c r="B218" s="42" t="s">
        <v>163</v>
      </c>
      <c r="H218" s="176"/>
      <c r="I218" s="169"/>
      <c r="J218" s="176"/>
      <c r="K218" s="169"/>
    </row>
    <row r="219" spans="1:19" s="14" customFormat="1" x14ac:dyDescent="0.15">
      <c r="A219" s="86"/>
      <c r="B219" s="149" t="s">
        <v>164</v>
      </c>
      <c r="C219" s="53" t="s">
        <v>165</v>
      </c>
      <c r="D219" s="44"/>
      <c r="E219" s="44"/>
      <c r="F219" s="154"/>
      <c r="G219" s="154"/>
      <c r="H219" s="177" t="s">
        <v>166</v>
      </c>
      <c r="I219" s="170" t="s">
        <v>167</v>
      </c>
      <c r="J219" s="177" t="s">
        <v>166</v>
      </c>
      <c r="K219" s="170" t="s">
        <v>167</v>
      </c>
      <c r="L219" s="144" t="s">
        <v>168</v>
      </c>
    </row>
    <row r="220" spans="1:19" s="14" customFormat="1" ht="12" customHeight="1" x14ac:dyDescent="0.15">
      <c r="A220" s="86"/>
      <c r="B220" s="150"/>
      <c r="C220" s="43"/>
      <c r="D220" s="153"/>
      <c r="E220" s="153"/>
      <c r="F220" s="8"/>
      <c r="G220" s="8"/>
      <c r="H220" s="178"/>
      <c r="I220" s="171"/>
      <c r="J220" s="178"/>
      <c r="K220" s="171"/>
      <c r="L220" s="151"/>
      <c r="N220" s="14" t="s">
        <v>56</v>
      </c>
    </row>
    <row r="221" spans="1:19" ht="13.5" x14ac:dyDescent="0.15">
      <c r="A221" s="87"/>
      <c r="B221" s="119">
        <v>1</v>
      </c>
      <c r="C221" s="56" t="s">
        <v>170</v>
      </c>
      <c r="D221" s="142"/>
      <c r="E221" s="46"/>
      <c r="F221" s="46"/>
      <c r="G221" s="46"/>
      <c r="H221" s="179"/>
      <c r="I221" s="174"/>
      <c r="J221" s="179"/>
      <c r="K221" s="174"/>
      <c r="L221" s="159"/>
      <c r="N221" s="230" t="s">
        <v>171</v>
      </c>
      <c r="O221"/>
      <c r="P221" s="14" t="s">
        <v>312</v>
      </c>
      <c r="Q221" s="270"/>
    </row>
    <row r="222" spans="1:19" ht="13.5" x14ac:dyDescent="0.15">
      <c r="A222" s="87"/>
      <c r="B222" s="120"/>
      <c r="C222" s="47" t="s">
        <v>138</v>
      </c>
      <c r="D222" s="48" t="s">
        <v>172</v>
      </c>
      <c r="E222" s="110"/>
      <c r="F222" s="110"/>
      <c r="G222" s="110"/>
      <c r="H222" s="180" t="str">
        <f>IF(ISBLANK('保守仕様明細②-8H'!$M$7),"",'保守仕様明細②-8H'!$M$7)</f>
        <v/>
      </c>
      <c r="I222" s="181" t="str">
        <f>IF(AND($H222="○",$H224="×"),P222+P224+P237,"-")</f>
        <v>-</v>
      </c>
      <c r="J222" s="180" t="str">
        <f>IF(ISBLANK('保守仕様明細②-24H'!$M$7),"",'保守仕様明細②-24H'!$M$7)</f>
        <v/>
      </c>
      <c r="K222" s="181" t="str">
        <f>IF(AND($J222="○",$J224="○"),Q222+Q224+Q237,"-")</f>
        <v>-</v>
      </c>
      <c r="L222" s="111"/>
      <c r="N222" s="146"/>
      <c r="O222"/>
      <c r="P222" s="270">
        <f>ROUNDUP(MAX($N222*0.05,180000),-3)</f>
        <v>180000</v>
      </c>
      <c r="Q222" s="270">
        <f>ROUNDUP(IF($N222&lt;100000000,MAX($N222*0.08,240000),$N222*0.1),-3)</f>
        <v>240000</v>
      </c>
    </row>
    <row r="223" spans="1:19" x14ac:dyDescent="0.15">
      <c r="A223" s="87"/>
      <c r="B223" s="120"/>
      <c r="C223" s="55" t="s">
        <v>140</v>
      </c>
      <c r="D223" s="56" t="s">
        <v>173</v>
      </c>
      <c r="E223" s="118"/>
      <c r="F223" s="118"/>
      <c r="G223" s="118"/>
      <c r="H223" s="188" t="str">
        <f>IF(ISBLANK('保守仕様明細②-8H'!$M$8),"",'保守仕様明細②-8H'!$M$8)</f>
        <v/>
      </c>
      <c r="I223" s="182"/>
      <c r="J223" s="188" t="str">
        <f>IF(ISBLANK('保守仕様明細②-24H'!$M$8),"",'保守仕様明細②-24H'!$M$8)</f>
        <v/>
      </c>
      <c r="K223" s="182"/>
      <c r="L223" s="159"/>
      <c r="P223" s="308" t="s">
        <v>180</v>
      </c>
      <c r="Q223" s="270"/>
    </row>
    <row r="224" spans="1:19" ht="13.5" x14ac:dyDescent="0.15">
      <c r="A224" s="87"/>
      <c r="B224" s="51">
        <v>2</v>
      </c>
      <c r="C224" s="52" t="s">
        <v>174</v>
      </c>
      <c r="D224" s="143"/>
      <c r="E224" s="113"/>
      <c r="F224" s="113"/>
      <c r="G224" s="113"/>
      <c r="H224" s="183" t="str">
        <f>IF(ISBLANK('保守仕様明細②-8H'!$M$9),"",'保守仕様明細②-8H'!$M$9)</f>
        <v/>
      </c>
      <c r="I224" s="184" t="s">
        <v>175</v>
      </c>
      <c r="J224" s="183" t="str">
        <f>IF(ISBLANK('保守仕様明細②-24H'!$M$9),"",'保守仕様明細②-24H'!$M$9)</f>
        <v/>
      </c>
      <c r="K224" s="347"/>
      <c r="L224" s="114"/>
      <c r="N224"/>
      <c r="P224" s="270" t="e">
        <f ca="1">MAX(ROUNDUP(OFFSET(見積総括表!$P$36,VALUE(RIGHT($N220))-1,0)/38%,-3)-SUM(OFFSET(見積総括表!$S$12,VALUE(RIGHT($N220))-1,0),P222,I225,P237,OFFSET(見積総括表!$S$28,VALUE(RIGHT($N220))-1,0)),0)</f>
        <v>#VALUE!</v>
      </c>
      <c r="Q224" s="270" t="e">
        <f ca="1">MAX(ROUNDUP(OFFSET(見積総括表!$Z$36,VALUE(RIGHT($N220))-1,0)/38%,-3)-SUM(OFFSET(見積総括表!$AC$12,VALUE(RIGHT($N220))-1,0),Q222,K225,Q237,OFFSET(見積総括表!$AC$28,VALUE(RIGHT($N220))-1,0)),$P224,0)</f>
        <v>#VALUE!</v>
      </c>
    </row>
    <row r="225" spans="1:19" ht="13.5" x14ac:dyDescent="0.15">
      <c r="A225" s="87"/>
      <c r="B225" s="582" t="s">
        <v>176</v>
      </c>
      <c r="C225" s="592" t="s">
        <v>177</v>
      </c>
      <c r="D225" s="592"/>
      <c r="E225" s="592"/>
      <c r="F225" s="592"/>
      <c r="G225" s="593"/>
      <c r="H225" s="346"/>
      <c r="I225" s="347">
        <f ca="1">ROUNDUP((LocalIFERROR(SUMIF(INDIRECT("'"&amp;管理データ!$A$2&amp;管理データ!$B$2),"合計（"&amp;見積総括表!$C18&amp;"）",INDIRECT("'"&amp;管理データ!$A$2&amp;管理データ!$E$2)),0)+LocalIFERROR(SUMIF(INDIRECT("'"&amp;管理データ!$A$5&amp;管理データ!$B$5),"合計（"&amp;見積総括表!$C34&amp;"）",INDIRECT("'"&amp;管理データ!$A$5&amp;管理データ!$E$5)),0))*0.15,-3)</f>
        <v>0</v>
      </c>
      <c r="J225" s="346"/>
      <c r="K225" s="347">
        <f ca="1">ROUNDUP((LocalIFERROR(SUMIF(INDIRECT("'"&amp;管理データ!$A$2&amp;管理データ!$B$2),"合計（"&amp;見積総括表!$C18&amp;"）",INDIRECT("'"&amp;管理データ!$A$2&amp;管理データ!$F$2)),0)+LocalIFERROR(SUMIF(INDIRECT("'"&amp;管理データ!$A$5&amp;管理データ!$B$5),"合計（"&amp;見積総括表!$C34&amp;"）",INDIRECT("'"&amp;管理データ!$A$5&amp;管理データ!$F$5)),0))*0.15,-3)</f>
        <v>0</v>
      </c>
      <c r="L225" s="348" t="s">
        <v>178</v>
      </c>
      <c r="M225" s="13" t="s">
        <v>56</v>
      </c>
      <c r="N225" s="230" t="s">
        <v>179</v>
      </c>
    </row>
    <row r="226" spans="1:19" ht="13.5" x14ac:dyDescent="0.15">
      <c r="A226" s="87"/>
      <c r="B226" s="582" t="s">
        <v>181</v>
      </c>
      <c r="C226" s="592"/>
      <c r="D226" s="592"/>
      <c r="E226" s="592"/>
      <c r="F226" s="592"/>
      <c r="G226" s="593"/>
      <c r="H226" s="185"/>
      <c r="I226" s="172">
        <f ca="1">SUM(I221:I225)</f>
        <v>0</v>
      </c>
      <c r="J226" s="185"/>
      <c r="K226" s="172">
        <f ca="1">SUM(K221:K225)</f>
        <v>0</v>
      </c>
      <c r="L226" s="349"/>
      <c r="N226" s="230"/>
    </row>
    <row r="227" spans="1:19" x14ac:dyDescent="0.15">
      <c r="A227" s="87"/>
      <c r="B227" s="21"/>
      <c r="C227" s="14"/>
      <c r="D227" s="14"/>
      <c r="E227" s="14"/>
      <c r="F227" s="14"/>
      <c r="G227" s="14"/>
      <c r="H227" s="176"/>
      <c r="I227" s="173"/>
      <c r="J227" s="176"/>
      <c r="K227" s="173"/>
      <c r="L227" s="14"/>
    </row>
    <row r="228" spans="1:19" x14ac:dyDescent="0.15">
      <c r="A228" s="87"/>
      <c r="B228" s="42" t="s">
        <v>182</v>
      </c>
      <c r="C228" s="14"/>
      <c r="D228" s="14"/>
      <c r="E228" s="14"/>
      <c r="F228" s="14"/>
      <c r="G228" s="14"/>
      <c r="H228" s="176"/>
      <c r="I228" s="169"/>
      <c r="J228" s="176"/>
      <c r="K228" s="169"/>
      <c r="L228" s="14"/>
    </row>
    <row r="229" spans="1:19" s="14" customFormat="1" x14ac:dyDescent="0.15">
      <c r="A229" s="86"/>
      <c r="B229" s="149" t="s">
        <v>164</v>
      </c>
      <c r="C229" s="53" t="s">
        <v>165</v>
      </c>
      <c r="D229" s="44"/>
      <c r="E229" s="44"/>
      <c r="F229" s="154"/>
      <c r="G229" s="154"/>
      <c r="H229" s="177" t="s">
        <v>166</v>
      </c>
      <c r="I229" s="170" t="s">
        <v>167</v>
      </c>
      <c r="J229" s="177" t="s">
        <v>166</v>
      </c>
      <c r="K229" s="170" t="s">
        <v>167</v>
      </c>
      <c r="L229" s="144" t="s">
        <v>168</v>
      </c>
    </row>
    <row r="230" spans="1:19" s="14" customFormat="1" ht="12" customHeight="1" x14ac:dyDescent="0.15">
      <c r="A230" s="86"/>
      <c r="B230" s="150"/>
      <c r="C230" s="43"/>
      <c r="D230" s="153"/>
      <c r="E230" s="153"/>
      <c r="F230" s="8"/>
      <c r="G230" s="8"/>
      <c r="H230" s="178"/>
      <c r="I230" s="171"/>
      <c r="J230" s="178"/>
      <c r="K230" s="171"/>
      <c r="L230" s="151"/>
    </row>
    <row r="231" spans="1:19" x14ac:dyDescent="0.15">
      <c r="A231" s="87"/>
      <c r="B231" s="119">
        <v>1</v>
      </c>
      <c r="C231" s="122" t="s">
        <v>144</v>
      </c>
      <c r="D231" s="123"/>
      <c r="E231" s="123"/>
      <c r="F231" s="123"/>
      <c r="G231" s="123"/>
      <c r="H231" s="185"/>
      <c r="I231" s="186"/>
      <c r="J231" s="185"/>
      <c r="K231" s="186"/>
      <c r="L231" s="349"/>
      <c r="N231" s="230" t="s">
        <v>183</v>
      </c>
    </row>
    <row r="232" spans="1:19" x14ac:dyDescent="0.15">
      <c r="A232" s="87"/>
      <c r="B232" s="120"/>
      <c r="C232" s="57" t="s">
        <v>138</v>
      </c>
      <c r="D232" s="121" t="s">
        <v>145</v>
      </c>
      <c r="E232" s="121"/>
      <c r="F232" s="121"/>
      <c r="G232" s="121"/>
      <c r="H232" s="180" t="str">
        <f>IF(ISBLANK('保守仕様明細②-8H'!$M$12),"",'保守仕様明細②-8H'!$M$12)</f>
        <v/>
      </c>
      <c r="I232" s="187"/>
      <c r="J232" s="180" t="str">
        <f>IF(ISBLANK('保守仕様明細②-24H'!$M$12),"",'保守仕様明細②-24H'!$M$12)</f>
        <v/>
      </c>
      <c r="K232" s="187"/>
      <c r="L232" s="126" t="s">
        <v>184</v>
      </c>
      <c r="N232" s="230" t="s">
        <v>185</v>
      </c>
      <c r="O232" s="231">
        <v>0</v>
      </c>
    </row>
    <row r="233" spans="1:19" x14ac:dyDescent="0.15">
      <c r="A233" s="87"/>
      <c r="B233" s="120"/>
      <c r="C233" s="50" t="s">
        <v>140</v>
      </c>
      <c r="D233" s="112" t="s">
        <v>146</v>
      </c>
      <c r="E233" s="112"/>
      <c r="F233" s="112"/>
      <c r="G233" s="112"/>
      <c r="H233" s="188" t="str">
        <f>IF(ISBLANK('保守仕様明細②-8H'!$M$13),"",'保守仕様明細②-8H'!$M$13)</f>
        <v/>
      </c>
      <c r="I233" s="189"/>
      <c r="J233" s="188" t="str">
        <f>IF(ISBLANK('保守仕様明細②-24H'!$M$13),"",'保守仕様明細②-24H'!$M$13)</f>
        <v/>
      </c>
      <c r="K233" s="189"/>
      <c r="L233" s="152"/>
      <c r="N233" s="230" t="s">
        <v>186</v>
      </c>
      <c r="O233" s="146">
        <v>400000</v>
      </c>
      <c r="P233" s="13" t="s">
        <v>187</v>
      </c>
    </row>
    <row r="234" spans="1:19" x14ac:dyDescent="0.15">
      <c r="A234" s="87"/>
      <c r="B234" s="120"/>
      <c r="C234" s="50" t="s">
        <v>147</v>
      </c>
      <c r="D234" s="112" t="s">
        <v>148</v>
      </c>
      <c r="E234" s="118"/>
      <c r="F234" s="112"/>
      <c r="G234" s="112"/>
      <c r="H234" s="188" t="str">
        <f>IF(ISBLANK('保守仕様明細②-8H'!$M$14),"",'保守仕様明細②-8H'!$M$14)</f>
        <v/>
      </c>
      <c r="I234" s="189"/>
      <c r="J234" s="188" t="str">
        <f>IF(ISBLANK('保守仕様明細②-24H'!$M$14),"",'保守仕様明細②-24H'!$M$14)</f>
        <v/>
      </c>
      <c r="K234" s="189"/>
      <c r="L234" s="152"/>
      <c r="N234" s="230" t="s">
        <v>188</v>
      </c>
    </row>
    <row r="235" spans="1:19" x14ac:dyDescent="0.15">
      <c r="A235" s="87"/>
      <c r="B235" s="57"/>
      <c r="C235" s="50" t="s">
        <v>149</v>
      </c>
      <c r="D235" s="112" t="s">
        <v>150</v>
      </c>
      <c r="E235" s="118"/>
      <c r="F235" s="112"/>
      <c r="G235" s="112"/>
      <c r="H235" s="188" t="str">
        <f>IF(ISBLANK('保守仕様明細②-8H'!$M$15),"",'保守仕様明細②-8H'!$M$15)</f>
        <v/>
      </c>
      <c r="I235" s="189"/>
      <c r="J235" s="188" t="str">
        <f>IF(ISBLANK('保守仕様明細②-24H'!$M$15),"",'保守仕様明細②-24H'!$M$15)</f>
        <v/>
      </c>
      <c r="K235" s="189"/>
      <c r="L235" s="152"/>
      <c r="N235" s="230" t="s">
        <v>185</v>
      </c>
      <c r="O235" s="231">
        <v>0</v>
      </c>
    </row>
    <row r="236" spans="1:19" ht="12.75" thickBot="1" x14ac:dyDescent="0.2">
      <c r="A236" s="87"/>
      <c r="B236" s="85">
        <v>2</v>
      </c>
      <c r="C236" s="142" t="s">
        <v>151</v>
      </c>
      <c r="D236" s="118"/>
      <c r="E236" s="118"/>
      <c r="F236" s="118"/>
      <c r="G236" s="118"/>
      <c r="H236" s="188" t="str">
        <f>IF(ISBLANK('保守仕様明細②-8H'!$M$16),"",'保守仕様明細②-8H'!$M$16)</f>
        <v/>
      </c>
      <c r="I236" s="190"/>
      <c r="J236" s="188" t="str">
        <f>IF(ISBLANK('保守仕様明細②-24H'!$M$16),"",'保守仕様明細②-24H'!$M$16)</f>
        <v/>
      </c>
      <c r="K236" s="190"/>
      <c r="L236" s="152"/>
      <c r="N236" s="230" t="s">
        <v>186</v>
      </c>
      <c r="O236" s="232">
        <v>250000</v>
      </c>
      <c r="P236" s="13" t="s">
        <v>189</v>
      </c>
    </row>
    <row r="237" spans="1:19" ht="12.75" thickTop="1" x14ac:dyDescent="0.15">
      <c r="A237" s="87"/>
      <c r="B237" s="51">
        <v>3</v>
      </c>
      <c r="C237" s="143" t="s">
        <v>152</v>
      </c>
      <c r="D237" s="113"/>
      <c r="E237" s="113"/>
      <c r="F237" s="113"/>
      <c r="G237" s="113"/>
      <c r="H237" s="183" t="str">
        <f>IF(ISBLANK('保守仕様明細②-8H'!$M$17),"",'保守仕様明細②-8H'!$M$17)</f>
        <v/>
      </c>
      <c r="I237" s="184"/>
      <c r="J237" s="183" t="str">
        <f>IF(ISBLANK('保守仕様明細②-24H'!$M$17),"",'保守仕様明細②-24H'!$M$17)</f>
        <v/>
      </c>
      <c r="K237" s="184"/>
      <c r="L237" s="114"/>
      <c r="N237" s="233" t="s">
        <v>190</v>
      </c>
      <c r="O237" s="234">
        <f>O233*O232+O236*O235*2</f>
        <v>0</v>
      </c>
      <c r="P237" s="13">
        <f>IF($H237="○",$O237/10,0)</f>
        <v>0</v>
      </c>
      <c r="Q237" s="13">
        <f>IF($J237="○",$O237/10,0)</f>
        <v>0</v>
      </c>
      <c r="R237" s="13">
        <f>IF($H237="○",$O237/10,0)</f>
        <v>0</v>
      </c>
      <c r="S237" s="13">
        <f>IF($J237="○",$O237/10,0)</f>
        <v>0</v>
      </c>
    </row>
    <row r="238" spans="1:19" ht="13.5" x14ac:dyDescent="0.15">
      <c r="A238" s="87"/>
      <c r="B238" s="582" t="s">
        <v>181</v>
      </c>
      <c r="C238" s="592"/>
      <c r="D238" s="592"/>
      <c r="E238" s="592"/>
      <c r="F238" s="592"/>
      <c r="G238" s="593"/>
      <c r="H238" s="185"/>
      <c r="I238" s="172">
        <f>SUM(I231:I237)</f>
        <v>0</v>
      </c>
      <c r="J238" s="185"/>
      <c r="K238" s="172">
        <f>SUM(K231:K237)</f>
        <v>0</v>
      </c>
      <c r="L238" s="349"/>
      <c r="N238" s="230" t="s">
        <v>191</v>
      </c>
      <c r="O238" s="146"/>
      <c r="Q238" s="307"/>
    </row>
    <row r="239" spans="1:19" x14ac:dyDescent="0.15">
      <c r="A239" s="87"/>
      <c r="B239" s="21"/>
      <c r="C239" s="14"/>
      <c r="D239" s="14"/>
      <c r="E239" s="14"/>
      <c r="F239" s="14"/>
      <c r="G239" s="14"/>
      <c r="H239" s="176"/>
      <c r="I239" s="173"/>
      <c r="J239" s="176"/>
      <c r="K239" s="173"/>
      <c r="L239" s="14"/>
    </row>
    <row r="240" spans="1:19" x14ac:dyDescent="0.15">
      <c r="A240" s="87"/>
      <c r="B240" s="42" t="s">
        <v>192</v>
      </c>
      <c r="C240" s="14"/>
      <c r="D240" s="14"/>
      <c r="E240" s="14"/>
      <c r="F240" s="14"/>
      <c r="G240" s="14"/>
      <c r="H240" s="176"/>
      <c r="I240" s="169"/>
      <c r="J240" s="176"/>
      <c r="K240" s="169"/>
      <c r="L240" s="14"/>
      <c r="O240" s="14"/>
    </row>
    <row r="241" spans="1:19" s="14" customFormat="1" x14ac:dyDescent="0.15">
      <c r="A241" s="86"/>
      <c r="B241" s="149" t="s">
        <v>164</v>
      </c>
      <c r="C241" s="53" t="s">
        <v>165</v>
      </c>
      <c r="D241" s="44"/>
      <c r="E241" s="44"/>
      <c r="F241" s="154"/>
      <c r="G241" s="154"/>
      <c r="H241" s="177" t="s">
        <v>166</v>
      </c>
      <c r="I241" s="170" t="s">
        <v>167</v>
      </c>
      <c r="J241" s="177" t="s">
        <v>166</v>
      </c>
      <c r="K241" s="170" t="s">
        <v>167</v>
      </c>
      <c r="L241" s="144" t="s">
        <v>168</v>
      </c>
      <c r="N241" s="13"/>
    </row>
    <row r="242" spans="1:19" s="14" customFormat="1" ht="12" customHeight="1" x14ac:dyDescent="0.15">
      <c r="A242" s="86"/>
      <c r="B242" s="150"/>
      <c r="C242" s="43"/>
      <c r="D242" s="153"/>
      <c r="E242" s="153"/>
      <c r="F242" s="8"/>
      <c r="G242" s="8"/>
      <c r="H242" s="178"/>
      <c r="I242" s="171"/>
      <c r="J242" s="178"/>
      <c r="K242" s="171"/>
      <c r="L242" s="151"/>
      <c r="N242" s="13"/>
      <c r="O242" s="13"/>
    </row>
    <row r="243" spans="1:19" x14ac:dyDescent="0.15">
      <c r="A243" s="87"/>
      <c r="B243" s="119">
        <v>1</v>
      </c>
      <c r="C243" s="122" t="s">
        <v>193</v>
      </c>
      <c r="D243" s="123"/>
      <c r="E243" s="123"/>
      <c r="F243" s="123"/>
      <c r="G243" s="123"/>
      <c r="H243" s="185"/>
      <c r="I243" s="186"/>
      <c r="J243" s="185"/>
      <c r="K243" s="186"/>
      <c r="L243" s="349"/>
      <c r="N243" s="230" t="s">
        <v>158</v>
      </c>
      <c r="O243" s="300">
        <v>60000</v>
      </c>
      <c r="R243" s="13">
        <f>IF(AND($H244="○",$O243&gt;0),$O$2,0)</f>
        <v>0</v>
      </c>
      <c r="S243" s="13">
        <f>IF(AND($J244="○",$O243&gt;0),$O$2,0)</f>
        <v>0</v>
      </c>
    </row>
    <row r="244" spans="1:19" x14ac:dyDescent="0.15">
      <c r="A244" s="87"/>
      <c r="B244" s="120"/>
      <c r="C244" s="57" t="s">
        <v>138</v>
      </c>
      <c r="D244" s="121" t="s">
        <v>194</v>
      </c>
      <c r="E244" s="121"/>
      <c r="F244" s="121"/>
      <c r="G244" s="121"/>
      <c r="H244" s="180" t="str">
        <f>IF(ISBLANK('保守仕様明細②-8H'!$M$18),"",'保守仕様明細②-8H'!$M$18)</f>
        <v/>
      </c>
      <c r="I244" s="187" t="str">
        <f>IF($H244="○",$O243+($O244*$P244),"-")</f>
        <v>-</v>
      </c>
      <c r="J244" s="180" t="str">
        <f>IF(ISBLANK('保守仕様明細②-24H'!$M$18),"",'保守仕様明細②-24H'!$M$18)</f>
        <v/>
      </c>
      <c r="K244" s="187" t="str">
        <f>IF($J244="○",$O243+($O244*$P244),"-")</f>
        <v>-</v>
      </c>
      <c r="L244" s="111"/>
      <c r="N244" s="236" t="s">
        <v>195</v>
      </c>
      <c r="O244" s="230">
        <v>0</v>
      </c>
      <c r="P244" s="146">
        <f>ROUNDDOWN(14400+3650,-3)</f>
        <v>18000</v>
      </c>
      <c r="Q244" s="13" t="s">
        <v>196</v>
      </c>
      <c r="R244" s="13">
        <f>IF(H244="×",0,$O$3*$O244)</f>
        <v>0</v>
      </c>
      <c r="S244" s="13">
        <f>IF(J244="×",0,$O$3*$O244)</f>
        <v>0</v>
      </c>
    </row>
    <row r="245" spans="1:19" x14ac:dyDescent="0.15">
      <c r="A245" s="87"/>
      <c r="B245" s="158"/>
      <c r="C245" s="50" t="s">
        <v>140</v>
      </c>
      <c r="D245" s="112" t="s">
        <v>197</v>
      </c>
      <c r="E245" s="118"/>
      <c r="F245" s="112"/>
      <c r="G245" s="112"/>
      <c r="H245" s="188" t="s">
        <v>198</v>
      </c>
      <c r="I245" s="189" t="str">
        <f>IF($H245="○",$O245,"-")</f>
        <v>-</v>
      </c>
      <c r="J245" s="188" t="s">
        <v>198</v>
      </c>
      <c r="K245" s="189" t="str">
        <f>IF($J245="○",$O245,"-")</f>
        <v>-</v>
      </c>
      <c r="L245" s="114" t="s">
        <v>199</v>
      </c>
      <c r="N245" s="230" t="s">
        <v>162</v>
      </c>
      <c r="O245" s="146">
        <v>60000</v>
      </c>
      <c r="R245" s="13">
        <f>IF(AND(H245="○",I245&gt;0),$O$5,0)</f>
        <v>0</v>
      </c>
      <c r="S245" s="13">
        <f>IF(AND(J245="○",K245&gt;0),$O$5,0)</f>
        <v>0</v>
      </c>
    </row>
    <row r="246" spans="1:19" ht="13.5" x14ac:dyDescent="0.15">
      <c r="A246" s="87"/>
      <c r="B246" s="594" t="s">
        <v>181</v>
      </c>
      <c r="C246" s="592"/>
      <c r="D246" s="592"/>
      <c r="E246" s="592"/>
      <c r="F246" s="592"/>
      <c r="G246" s="593"/>
      <c r="H246" s="185"/>
      <c r="I246" s="172">
        <f>SUM(I243:I245)</f>
        <v>0</v>
      </c>
      <c r="J246" s="185"/>
      <c r="K246" s="172">
        <f>SUM(K243:K245)</f>
        <v>0</v>
      </c>
      <c r="L246" s="349"/>
      <c r="M246" s="13" t="s">
        <v>208</v>
      </c>
    </row>
    <row r="247" spans="1:19" x14ac:dyDescent="0.15">
      <c r="A247" s="87"/>
      <c r="H247" s="176"/>
      <c r="I247" s="173"/>
      <c r="J247" s="176"/>
      <c r="K247" s="173"/>
      <c r="L247" s="14"/>
      <c r="N247" s="14"/>
    </row>
    <row r="248" spans="1:19" x14ac:dyDescent="0.15">
      <c r="A248" s="87"/>
      <c r="H248" s="176"/>
      <c r="I248" s="169"/>
      <c r="J248" s="176"/>
      <c r="K248" s="169"/>
      <c r="L248" s="14"/>
      <c r="N248" s="14"/>
    </row>
    <row r="249" spans="1:19" ht="13.5" x14ac:dyDescent="0.15">
      <c r="A249" s="88"/>
      <c r="B249" s="44" t="str">
        <f>"合計（"&amp;N220&amp;"）"</f>
        <v>合計（②-7）</v>
      </c>
      <c r="C249" s="44"/>
      <c r="D249" s="44"/>
      <c r="E249" s="44"/>
      <c r="F249" s="44"/>
      <c r="G249" s="125"/>
      <c r="H249" s="295"/>
      <c r="I249" s="296">
        <f ca="1">SUMIF($B219:$B248,"小計",$I219:$I248)</f>
        <v>0</v>
      </c>
      <c r="J249" s="295"/>
      <c r="K249" s="296">
        <f ca="1">SUMIF($B219:$B248,"小計",$K219:$K248)</f>
        <v>0</v>
      </c>
      <c r="L249" s="44"/>
      <c r="N249" s="14"/>
      <c r="Q249" s="13" t="str">
        <f>"原価（"&amp;N220&amp;"）"</f>
        <v>原価（②-7）</v>
      </c>
      <c r="R249" s="13">
        <f>SUM(R219:R248)</f>
        <v>0</v>
      </c>
      <c r="S249" s="13">
        <f>SUM(S219:S248)</f>
        <v>0</v>
      </c>
    </row>
  </sheetData>
  <mergeCells count="31">
    <mergeCell ref="B63:G63"/>
    <mergeCell ref="B50:G50"/>
    <mergeCell ref="B156:G156"/>
    <mergeCell ref="E2:J2"/>
    <mergeCell ref="E3:J3"/>
    <mergeCell ref="E4:J4"/>
    <mergeCell ref="B15:G15"/>
    <mergeCell ref="B51:G51"/>
    <mergeCell ref="B16:G16"/>
    <mergeCell ref="B28:G28"/>
    <mergeCell ref="B36:G36"/>
    <mergeCell ref="B71:G71"/>
    <mergeCell ref="B85:G85"/>
    <mergeCell ref="B120:G120"/>
    <mergeCell ref="B155:G155"/>
    <mergeCell ref="B86:G86"/>
    <mergeCell ref="B190:G190"/>
    <mergeCell ref="B133:G133"/>
    <mergeCell ref="B121:G121"/>
    <mergeCell ref="B98:G98"/>
    <mergeCell ref="B106:G106"/>
    <mergeCell ref="B168:G168"/>
    <mergeCell ref="B141:G141"/>
    <mergeCell ref="B176:G176"/>
    <mergeCell ref="B226:G226"/>
    <mergeCell ref="B238:G238"/>
    <mergeCell ref="B246:G246"/>
    <mergeCell ref="B191:G191"/>
    <mergeCell ref="B225:G225"/>
    <mergeCell ref="B211:G211"/>
    <mergeCell ref="B203:G203"/>
  </mergeCells>
  <phoneticPr fontId="21"/>
  <printOptions horizontalCentered="1"/>
  <pageMargins left="0.39370078740157483" right="0.39370078740157483" top="0.39370078740157483" bottom="0.39370078740157483" header="0.19685039370078741" footer="0.39370078740157483"/>
  <pageSetup paperSize="9" scale="81" fitToHeight="0" orientation="portrait" r:id="rId1"/>
  <headerFooter alignWithMargins="0"/>
  <rowBreaks count="6" manualBreakCount="6">
    <brk id="40" max="11" man="1"/>
    <brk id="75" max="11" man="1"/>
    <brk id="110" max="11" man="1"/>
    <brk id="145" max="11" man="1"/>
    <brk id="180" max="11" man="1"/>
    <brk id="215" max="11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indexed="48"/>
    <pageSetUpPr fitToPage="1"/>
  </sheetPr>
  <dimension ref="A1:X43"/>
  <sheetViews>
    <sheetView showGridLines="0" view="pageBreakPreview" topLeftCell="A37" zoomScaleNormal="100" zoomScaleSheetLayoutView="100" workbookViewId="0">
      <selection activeCell="L54" sqref="L54"/>
    </sheetView>
  </sheetViews>
  <sheetFormatPr defaultColWidth="2.625" defaultRowHeight="12" x14ac:dyDescent="0.15"/>
  <cols>
    <col min="1" max="1" width="2.625" style="13" customWidth="1"/>
    <col min="2" max="2" width="3.375" style="13" customWidth="1"/>
    <col min="3" max="4" width="3.625" style="13" customWidth="1"/>
    <col min="5" max="14" width="4.625" style="13" customWidth="1"/>
    <col min="15" max="15" width="4.625" style="79" customWidth="1"/>
    <col min="16" max="17" width="9.625" style="21" customWidth="1"/>
    <col min="18" max="21" width="8.625" style="21" customWidth="1"/>
    <col min="22" max="22" width="2.625" style="13"/>
    <col min="23" max="24" width="10.625" style="13" customWidth="1"/>
    <col min="25" max="16384" width="2.625" style="13"/>
  </cols>
  <sheetData>
    <row r="1" spans="1:21" s="14" customFormat="1" ht="18.75" customHeight="1" x14ac:dyDescent="0.15">
      <c r="B1" s="37"/>
      <c r="C1" s="38" t="s">
        <v>209</v>
      </c>
      <c r="D1" s="38"/>
      <c r="E1" s="38"/>
      <c r="F1" s="37"/>
      <c r="G1" s="37"/>
      <c r="H1" s="37"/>
      <c r="I1" s="37"/>
      <c r="J1" s="37"/>
      <c r="K1" s="37"/>
      <c r="L1" s="37"/>
      <c r="M1" s="37"/>
      <c r="N1" s="37"/>
      <c r="O1" s="78"/>
      <c r="P1" s="39"/>
      <c r="Q1" s="39"/>
      <c r="R1" s="39"/>
      <c r="S1" s="39"/>
      <c r="T1" s="39"/>
      <c r="U1" s="39"/>
    </row>
    <row r="2" spans="1:21" s="40" customFormat="1" ht="16.5" customHeight="1" x14ac:dyDescent="0.15">
      <c r="B2" s="58" t="s">
        <v>80</v>
      </c>
      <c r="C2" s="81"/>
      <c r="D2" s="19"/>
      <c r="E2" s="580" t="str">
        <f>IF(LEN(見積総括表!$G$4)=0,"",見積総括表!$G$4)</f>
        <v/>
      </c>
      <c r="F2" s="581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2"/>
      <c r="R2" s="18" t="s">
        <v>21</v>
      </c>
      <c r="S2" s="595" t="str">
        <f>IF(LEN(見積総括表!$G$3)=0,"",見積総括表!$G$3)</f>
        <v/>
      </c>
      <c r="T2" s="595"/>
      <c r="U2" s="595"/>
    </row>
    <row r="3" spans="1:21" s="41" customFormat="1" ht="16.5" customHeight="1" x14ac:dyDescent="0.15">
      <c r="B3" s="58" t="s">
        <v>81</v>
      </c>
      <c r="C3" s="81"/>
      <c r="D3" s="19"/>
      <c r="E3" s="580" t="str">
        <f>IF(LEN(見積総括表!$G$5)=0,"",見積総括表!$G$5)</f>
        <v/>
      </c>
      <c r="F3" s="581"/>
      <c r="G3" s="581"/>
      <c r="H3" s="581"/>
      <c r="I3" s="581"/>
      <c r="J3" s="581"/>
      <c r="K3" s="581"/>
      <c r="L3" s="581"/>
      <c r="M3" s="581"/>
      <c r="N3" s="581"/>
      <c r="O3" s="581"/>
      <c r="P3" s="581"/>
      <c r="Q3" s="582"/>
      <c r="R3" s="18" t="s">
        <v>82</v>
      </c>
      <c r="S3" s="596" t="str">
        <f>IF(LEN(原価明細②!$L$3)=0,"",原価明細②!$L$3)</f>
        <v/>
      </c>
      <c r="T3" s="596"/>
      <c r="U3" s="596"/>
    </row>
    <row r="4" spans="1:21" s="41" customFormat="1" ht="16.5" customHeight="1" x14ac:dyDescent="0.15">
      <c r="B4" s="58" t="s">
        <v>26</v>
      </c>
      <c r="C4" s="81"/>
      <c r="D4" s="19"/>
      <c r="E4" s="580" t="str">
        <f>IF(LEN(見積総括表!$G$6)=0,"",見積総括表!$G$6)</f>
        <v/>
      </c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2"/>
      <c r="R4" s="18" t="s">
        <v>27</v>
      </c>
      <c r="S4" s="597" t="str">
        <f>IF(LEN(見積総括表!$G$7)=0,"",見積総括表!$G$7)</f>
        <v/>
      </c>
      <c r="T4" s="597"/>
      <c r="U4" s="597"/>
    </row>
    <row r="5" spans="1:21" s="14" customFormat="1" ht="15.95" customHeight="1" x14ac:dyDescent="0.15">
      <c r="O5" s="79"/>
      <c r="P5" s="21"/>
      <c r="Q5" s="21"/>
      <c r="R5" s="21"/>
      <c r="S5" s="21"/>
      <c r="T5" s="21"/>
      <c r="U5" s="21"/>
    </row>
    <row r="6" spans="1:21" s="14" customFormat="1" ht="15.95" customHeight="1" x14ac:dyDescent="0.15">
      <c r="B6" s="244" t="s">
        <v>210</v>
      </c>
      <c r="O6" s="192"/>
      <c r="P6" s="157"/>
      <c r="Q6" s="157"/>
      <c r="R6" s="21"/>
      <c r="S6" s="21"/>
      <c r="T6" s="21"/>
      <c r="U6" s="21"/>
    </row>
    <row r="7" spans="1:21" s="14" customFormat="1" x14ac:dyDescent="0.15">
      <c r="A7" s="152"/>
      <c r="B7" s="149" t="s">
        <v>164</v>
      </c>
      <c r="C7" s="53" t="s">
        <v>165</v>
      </c>
      <c r="D7" s="44"/>
      <c r="E7" s="44"/>
      <c r="F7" s="154"/>
      <c r="G7" s="154"/>
      <c r="H7" s="154"/>
      <c r="I7" s="154"/>
      <c r="J7" s="154"/>
      <c r="K7" s="154"/>
      <c r="L7" s="154"/>
      <c r="M7" s="154"/>
      <c r="N7" s="154"/>
      <c r="O7" s="240" t="s">
        <v>211</v>
      </c>
      <c r="P7" s="598" t="s">
        <v>212</v>
      </c>
      <c r="Q7" s="599"/>
      <c r="R7" s="53" t="s">
        <v>168</v>
      </c>
      <c r="S7" s="44"/>
      <c r="T7" s="44"/>
      <c r="U7" s="144"/>
    </row>
    <row r="8" spans="1:21" s="14" customFormat="1" ht="12" customHeight="1" x14ac:dyDescent="0.15">
      <c r="A8" s="152"/>
      <c r="B8" s="150"/>
      <c r="C8" s="43"/>
      <c r="D8" s="153"/>
      <c r="E8" s="153"/>
      <c r="F8" s="8"/>
      <c r="G8" s="8"/>
      <c r="H8" s="8"/>
      <c r="I8" s="8"/>
      <c r="J8" s="8"/>
      <c r="K8" s="8"/>
      <c r="L8" s="8"/>
      <c r="M8" s="8"/>
      <c r="N8" s="8"/>
      <c r="O8" s="241"/>
      <c r="P8" s="155" t="s">
        <v>213</v>
      </c>
      <c r="Q8" s="302" t="s">
        <v>214</v>
      </c>
      <c r="R8" s="20"/>
      <c r="S8" s="192"/>
      <c r="T8" s="192"/>
      <c r="U8" s="156"/>
    </row>
    <row r="9" spans="1:21" x14ac:dyDescent="0.15">
      <c r="A9" s="243"/>
      <c r="B9" s="47">
        <v>1</v>
      </c>
      <c r="C9" s="251" t="s">
        <v>215</v>
      </c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247"/>
      <c r="P9" s="245">
        <v>11500</v>
      </c>
      <c r="Q9" s="246" t="str">
        <f>IF(O9="","-",P9*O9)</f>
        <v>-</v>
      </c>
      <c r="R9" s="269"/>
      <c r="S9" s="270"/>
      <c r="T9" s="270"/>
      <c r="U9" s="271"/>
    </row>
    <row r="10" spans="1:21" x14ac:dyDescent="0.15">
      <c r="A10" s="243"/>
      <c r="B10" s="50">
        <v>2</v>
      </c>
      <c r="C10" s="251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247"/>
      <c r="P10" s="245"/>
      <c r="Q10" s="246" t="str">
        <f>IF(O10="","-",P10*O10)</f>
        <v>-</v>
      </c>
      <c r="R10" s="272"/>
      <c r="S10" s="273"/>
      <c r="T10" s="273"/>
      <c r="U10" s="274"/>
    </row>
    <row r="11" spans="1:21" x14ac:dyDescent="0.15">
      <c r="A11" s="243"/>
      <c r="B11" s="50">
        <v>3</v>
      </c>
      <c r="C11" s="251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247"/>
      <c r="P11" s="245"/>
      <c r="Q11" s="246" t="str">
        <f>IF(O11="","-",P11*O11)</f>
        <v>-</v>
      </c>
      <c r="R11" s="272"/>
      <c r="S11" s="273"/>
      <c r="T11" s="273"/>
      <c r="U11" s="274"/>
    </row>
    <row r="12" spans="1:21" x14ac:dyDescent="0.15">
      <c r="A12" s="243"/>
      <c r="B12" s="50">
        <v>4</v>
      </c>
      <c r="C12" s="251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247"/>
      <c r="P12" s="245"/>
      <c r="Q12" s="246" t="str">
        <f>IF(O12="","-",P12*O12)</f>
        <v>-</v>
      </c>
      <c r="R12" s="272"/>
      <c r="S12" s="273"/>
      <c r="T12" s="273"/>
      <c r="U12" s="274"/>
    </row>
    <row r="13" spans="1:21" x14ac:dyDescent="0.15">
      <c r="A13" s="243"/>
      <c r="B13" s="50">
        <v>5</v>
      </c>
      <c r="C13" s="251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247"/>
      <c r="P13" s="245"/>
      <c r="Q13" s="246" t="str">
        <f>IF(O13="","-",P13*O13)</f>
        <v>-</v>
      </c>
      <c r="R13" s="272"/>
      <c r="S13" s="273"/>
      <c r="T13" s="273"/>
      <c r="U13" s="274"/>
    </row>
    <row r="14" spans="1:21" ht="13.5" x14ac:dyDescent="0.15">
      <c r="A14" s="243"/>
      <c r="B14" s="582" t="s">
        <v>181</v>
      </c>
      <c r="C14" s="592"/>
      <c r="D14" s="592"/>
      <c r="E14" s="592"/>
      <c r="F14" s="592"/>
      <c r="G14" s="593"/>
      <c r="H14" s="275"/>
      <c r="I14" s="275"/>
      <c r="J14" s="275"/>
      <c r="K14" s="275"/>
      <c r="L14" s="275"/>
      <c r="M14" s="275"/>
      <c r="N14" s="275"/>
      <c r="O14" s="242"/>
      <c r="P14" s="239"/>
      <c r="Q14" s="82">
        <f>SUM(Q9:Q13)</f>
        <v>0</v>
      </c>
      <c r="R14" s="239"/>
      <c r="S14" s="276"/>
      <c r="T14" s="276"/>
      <c r="U14" s="277"/>
    </row>
    <row r="15" spans="1:21" x14ac:dyDescent="0.15">
      <c r="B15" s="4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P15" s="45"/>
      <c r="Q15" s="45"/>
      <c r="R15" s="13"/>
      <c r="S15" s="13"/>
      <c r="T15" s="13"/>
      <c r="U15" s="13"/>
    </row>
    <row r="16" spans="1:21" x14ac:dyDescent="0.15">
      <c r="B16" s="244" t="s">
        <v>216</v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92"/>
      <c r="P16" s="157"/>
      <c r="Q16" s="157"/>
      <c r="R16" s="13"/>
      <c r="S16" s="13"/>
      <c r="T16" s="13"/>
      <c r="U16" s="13"/>
    </row>
    <row r="17" spans="1:24" s="14" customFormat="1" x14ac:dyDescent="0.15">
      <c r="A17" s="152"/>
      <c r="B17" s="149" t="s">
        <v>164</v>
      </c>
      <c r="C17" s="53" t="s">
        <v>165</v>
      </c>
      <c r="D17" s="44"/>
      <c r="E17" s="44"/>
      <c r="F17" s="154"/>
      <c r="G17" s="154"/>
      <c r="H17" s="154"/>
      <c r="I17" s="154"/>
      <c r="J17" s="154"/>
      <c r="K17" s="154"/>
      <c r="L17" s="154"/>
      <c r="M17" s="154"/>
      <c r="N17" s="154"/>
      <c r="O17" s="240" t="s">
        <v>211</v>
      </c>
      <c r="P17" s="598" t="s">
        <v>212</v>
      </c>
      <c r="Q17" s="599"/>
      <c r="R17" s="53" t="s">
        <v>168</v>
      </c>
      <c r="S17" s="44"/>
      <c r="T17" s="44"/>
      <c r="U17" s="144"/>
    </row>
    <row r="18" spans="1:24" s="14" customFormat="1" ht="12" customHeight="1" x14ac:dyDescent="0.15">
      <c r="A18" s="152"/>
      <c r="B18" s="150"/>
      <c r="C18" s="43"/>
      <c r="D18" s="153"/>
      <c r="E18" s="153"/>
      <c r="F18" s="8"/>
      <c r="G18" s="8"/>
      <c r="H18" s="8"/>
      <c r="I18" s="8"/>
      <c r="J18" s="8"/>
      <c r="K18" s="8"/>
      <c r="L18" s="8"/>
      <c r="M18" s="8"/>
      <c r="N18" s="8"/>
      <c r="O18" s="241"/>
      <c r="P18" s="155" t="s">
        <v>213</v>
      </c>
      <c r="Q18" s="302" t="s">
        <v>214</v>
      </c>
      <c r="R18" s="43"/>
      <c r="S18" s="153"/>
      <c r="T18" s="153"/>
      <c r="U18" s="151"/>
    </row>
    <row r="19" spans="1:24" x14ac:dyDescent="0.15">
      <c r="A19" s="243"/>
      <c r="B19" s="47">
        <v>1</v>
      </c>
      <c r="C19" s="116" t="s">
        <v>217</v>
      </c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278"/>
      <c r="P19" s="161">
        <f>X19</f>
        <v>200000</v>
      </c>
      <c r="Q19" s="49" t="str">
        <f>IF(O19="","-",P19*O19)</f>
        <v>-</v>
      </c>
      <c r="R19" s="279" t="s">
        <v>218</v>
      </c>
      <c r="S19" s="280"/>
      <c r="T19" s="280"/>
      <c r="U19" s="281"/>
      <c r="W19" s="236" t="s">
        <v>219</v>
      </c>
      <c r="X19" s="264">
        <v>200000</v>
      </c>
    </row>
    <row r="20" spans="1:24" x14ac:dyDescent="0.15">
      <c r="A20" s="243"/>
      <c r="B20" s="50">
        <v>2</v>
      </c>
      <c r="C20" s="251" t="s">
        <v>220</v>
      </c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282"/>
      <c r="P20" s="248">
        <v>40000</v>
      </c>
      <c r="Q20" s="249" t="str">
        <f>IF(O20="","-",P20*O20)</f>
        <v>-</v>
      </c>
      <c r="R20" s="283" t="s">
        <v>221</v>
      </c>
      <c r="S20" s="284"/>
      <c r="T20" s="284"/>
      <c r="U20" s="285"/>
    </row>
    <row r="21" spans="1:24" x14ac:dyDescent="0.15">
      <c r="A21" s="243"/>
      <c r="B21" s="50">
        <v>3</v>
      </c>
      <c r="C21" s="251" t="s">
        <v>222</v>
      </c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286"/>
      <c r="P21" s="250">
        <v>12000</v>
      </c>
      <c r="Q21" s="249" t="str">
        <f>IF(O21="","-",P21*O21)</f>
        <v>-</v>
      </c>
      <c r="R21" s="283" t="s">
        <v>223</v>
      </c>
      <c r="S21" s="284"/>
      <c r="T21" s="284"/>
      <c r="U21" s="285"/>
    </row>
    <row r="22" spans="1:24" x14ac:dyDescent="0.15">
      <c r="A22" s="243"/>
      <c r="B22" s="50">
        <v>4</v>
      </c>
      <c r="C22" s="117" t="s">
        <v>224</v>
      </c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247"/>
      <c r="P22" s="250">
        <v>20000</v>
      </c>
      <c r="Q22" s="249" t="str">
        <f>IF(O22="","-",P22*O22)</f>
        <v>-</v>
      </c>
      <c r="R22" s="283" t="s">
        <v>225</v>
      </c>
      <c r="S22" s="284"/>
      <c r="T22" s="284"/>
      <c r="U22" s="285"/>
    </row>
    <row r="23" spans="1:24" ht="13.5" x14ac:dyDescent="0.15">
      <c r="A23" s="243"/>
      <c r="B23" s="582" t="s">
        <v>181</v>
      </c>
      <c r="C23" s="592"/>
      <c r="D23" s="592"/>
      <c r="E23" s="592"/>
      <c r="F23" s="592"/>
      <c r="G23" s="593"/>
      <c r="H23" s="275"/>
      <c r="I23" s="275"/>
      <c r="J23" s="275"/>
      <c r="K23" s="275"/>
      <c r="L23" s="275"/>
      <c r="M23" s="275"/>
      <c r="N23" s="287"/>
      <c r="O23" s="242"/>
      <c r="P23" s="239"/>
      <c r="Q23" s="82">
        <f>SUM(Q19:Q22)</f>
        <v>0</v>
      </c>
      <c r="R23" s="239"/>
      <c r="S23" s="276"/>
      <c r="T23" s="276"/>
      <c r="U23" s="277"/>
    </row>
    <row r="24" spans="1:24" x14ac:dyDescent="0.15">
      <c r="B24" s="44"/>
      <c r="O24" s="154"/>
      <c r="P24" s="45"/>
      <c r="Q24" s="45"/>
    </row>
    <row r="25" spans="1:24" x14ac:dyDescent="0.15">
      <c r="B25" s="153"/>
      <c r="O25" s="192"/>
      <c r="P25" s="157"/>
      <c r="Q25" s="157"/>
    </row>
    <row r="26" spans="1:24" ht="13.5" x14ac:dyDescent="0.15">
      <c r="B26" s="44"/>
      <c r="C26" s="44"/>
      <c r="D26" s="44"/>
      <c r="E26" s="44"/>
      <c r="F26" s="44"/>
      <c r="G26" s="125"/>
      <c r="H26" s="125"/>
      <c r="I26" s="125"/>
      <c r="J26" s="125"/>
      <c r="K26" s="125"/>
      <c r="L26" s="125"/>
      <c r="M26" s="125"/>
      <c r="N26" s="125"/>
      <c r="O26" s="125"/>
      <c r="P26" s="301" t="s">
        <v>226</v>
      </c>
      <c r="Q26" s="145">
        <f>SUMIF($B7:$B25,"小計",$Q7:$Q25)</f>
        <v>0</v>
      </c>
      <c r="R26" s="288"/>
      <c r="S26" s="288"/>
      <c r="T26" s="288"/>
      <c r="U26" s="288"/>
    </row>
    <row r="28" spans="1:24" ht="17.25" x14ac:dyDescent="0.15">
      <c r="C28" s="303" t="s">
        <v>227</v>
      </c>
      <c r="P28" s="13"/>
      <c r="Q28" s="13"/>
    </row>
    <row r="30" spans="1:24" ht="13.5" x14ac:dyDescent="0.15">
      <c r="B30" s="265" t="s">
        <v>228</v>
      </c>
      <c r="C30" s="16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154"/>
      <c r="P30" s="45"/>
      <c r="Q30" s="45"/>
      <c r="R30" s="45"/>
      <c r="S30" s="45"/>
      <c r="T30" s="45"/>
      <c r="U30" s="289"/>
    </row>
    <row r="31" spans="1:24" ht="13.5" x14ac:dyDescent="0.15">
      <c r="B31" s="260"/>
      <c r="C31" s="6" t="s">
        <v>229</v>
      </c>
      <c r="U31" s="290"/>
    </row>
    <row r="32" spans="1:24" ht="13.5" x14ac:dyDescent="0.15">
      <c r="B32" s="260"/>
      <c r="C32" s="6"/>
      <c r="U32" s="290"/>
    </row>
    <row r="33" spans="2:21" ht="13.5" x14ac:dyDescent="0.15">
      <c r="B33" s="260" t="s">
        <v>230</v>
      </c>
      <c r="C33" s="6"/>
      <c r="U33" s="290"/>
    </row>
    <row r="34" spans="2:21" ht="13.5" x14ac:dyDescent="0.15">
      <c r="B34" s="260"/>
      <c r="C34" s="6" t="s">
        <v>231</v>
      </c>
      <c r="U34" s="290"/>
    </row>
    <row r="35" spans="2:21" ht="13.5" x14ac:dyDescent="0.15">
      <c r="B35" s="260"/>
      <c r="C35" s="6" t="s">
        <v>232</v>
      </c>
      <c r="U35" s="290"/>
    </row>
    <row r="36" spans="2:21" ht="13.5" x14ac:dyDescent="0.15">
      <c r="B36" s="260"/>
      <c r="C36" s="6" t="s">
        <v>233</v>
      </c>
      <c r="U36" s="290"/>
    </row>
    <row r="37" spans="2:21" ht="13.5" x14ac:dyDescent="0.15">
      <c r="B37" s="260"/>
      <c r="C37" s="6" t="s">
        <v>234</v>
      </c>
      <c r="U37" s="290"/>
    </row>
    <row r="38" spans="2:21" ht="13.5" x14ac:dyDescent="0.15">
      <c r="B38" s="266"/>
      <c r="C38" s="6" t="s">
        <v>235</v>
      </c>
      <c r="E38" s="267"/>
      <c r="F38" s="267"/>
      <c r="G38" s="267"/>
      <c r="H38" s="267"/>
      <c r="I38" s="268"/>
      <c r="U38" s="290"/>
    </row>
    <row r="39" spans="2:21" ht="13.5" x14ac:dyDescent="0.15">
      <c r="B39" s="266"/>
      <c r="C39" s="165" t="s">
        <v>236</v>
      </c>
      <c r="E39" s="267"/>
      <c r="F39" s="267"/>
      <c r="G39" s="267"/>
      <c r="H39" s="267"/>
      <c r="I39" s="268"/>
      <c r="U39" s="290"/>
    </row>
    <row r="40" spans="2:21" ht="13.5" x14ac:dyDescent="0.15">
      <c r="B40" s="266"/>
      <c r="C40" s="165"/>
      <c r="E40" s="267"/>
      <c r="F40" s="267"/>
      <c r="G40" s="267"/>
      <c r="H40" s="267"/>
      <c r="I40" s="268"/>
      <c r="U40" s="290"/>
    </row>
    <row r="41" spans="2:21" ht="13.5" x14ac:dyDescent="0.15">
      <c r="B41" s="266"/>
      <c r="C41" s="165" t="s">
        <v>237</v>
      </c>
      <c r="E41" s="267"/>
      <c r="F41" s="267"/>
      <c r="G41" s="267"/>
      <c r="H41" s="267"/>
      <c r="I41" s="268"/>
      <c r="U41" s="290"/>
    </row>
    <row r="42" spans="2:21" ht="27" customHeight="1" x14ac:dyDescent="0.15">
      <c r="B42" s="266"/>
      <c r="C42" s="165" t="s">
        <v>238</v>
      </c>
      <c r="E42" s="267"/>
      <c r="F42" s="267"/>
      <c r="G42" s="267"/>
      <c r="H42" s="267"/>
      <c r="I42" s="268"/>
      <c r="U42" s="290"/>
    </row>
    <row r="43" spans="2:21" x14ac:dyDescent="0.15">
      <c r="B43" s="4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92"/>
      <c r="P43" s="157"/>
      <c r="Q43" s="157"/>
      <c r="R43" s="157"/>
      <c r="S43" s="157"/>
      <c r="T43" s="157"/>
      <c r="U43" s="291"/>
    </row>
  </sheetData>
  <mergeCells count="10">
    <mergeCell ref="B14:G14"/>
    <mergeCell ref="B23:G23"/>
    <mergeCell ref="S2:U2"/>
    <mergeCell ref="S3:U3"/>
    <mergeCell ref="S4:U4"/>
    <mergeCell ref="E2:Q2"/>
    <mergeCell ref="E3:Q3"/>
    <mergeCell ref="E4:Q4"/>
    <mergeCell ref="P7:Q7"/>
    <mergeCell ref="P17:Q17"/>
  </mergeCells>
  <phoneticPr fontId="21"/>
  <printOptions horizontalCentered="1"/>
  <pageMargins left="0.39370078740157483" right="0.39370078740157483" top="0.39370078740157483" bottom="0.39370078740157483" header="0.19685039370078741" footer="0.39370078740157483"/>
  <pageSetup paperSize="9" scale="81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indexed="13"/>
    <pageSetUpPr fitToPage="1"/>
  </sheetPr>
  <dimension ref="A1:I38"/>
  <sheetViews>
    <sheetView showGridLines="0" view="pageBreakPreview" topLeftCell="A4" zoomScaleNormal="100" zoomScaleSheetLayoutView="100" workbookViewId="0">
      <selection activeCell="C16" sqref="C16"/>
    </sheetView>
  </sheetViews>
  <sheetFormatPr defaultRowHeight="13.5" x14ac:dyDescent="0.15"/>
  <cols>
    <col min="1" max="1" width="15.375" customWidth="1"/>
    <col min="2" max="2" width="14.875" hidden="1" customWidth="1"/>
    <col min="3" max="3" width="30" customWidth="1"/>
    <col min="4" max="4" width="4.625" customWidth="1"/>
    <col min="5" max="5" width="3.125" style="195" customWidth="1"/>
    <col min="6" max="6" width="4.625" customWidth="1"/>
    <col min="7" max="7" width="5.625" customWidth="1"/>
    <col min="8" max="8" width="18.625" customWidth="1"/>
    <col min="12" max="24" width="5.25" customWidth="1"/>
  </cols>
  <sheetData>
    <row r="1" spans="1:8" ht="17.25" x14ac:dyDescent="0.15">
      <c r="A1" s="109"/>
      <c r="B1" s="109"/>
      <c r="C1" s="109"/>
      <c r="D1" s="109"/>
    </row>
    <row r="2" spans="1:8" ht="17.25" x14ac:dyDescent="0.15">
      <c r="A2" s="22" t="s">
        <v>239</v>
      </c>
      <c r="B2" s="22"/>
      <c r="C2" s="22"/>
      <c r="D2" s="22"/>
      <c r="E2"/>
    </row>
    <row r="3" spans="1:8" ht="17.25" x14ac:dyDescent="0.15">
      <c r="A3" s="109"/>
      <c r="B3" s="109"/>
      <c r="C3" s="109"/>
      <c r="D3" s="109"/>
    </row>
    <row r="4" spans="1:8" x14ac:dyDescent="0.15">
      <c r="A4" s="129" t="s">
        <v>240</v>
      </c>
      <c r="B4" s="196" t="s">
        <v>241</v>
      </c>
      <c r="C4" s="196" t="s">
        <v>242</v>
      </c>
      <c r="D4" s="197" t="s">
        <v>243</v>
      </c>
      <c r="E4" s="198"/>
      <c r="F4" s="198"/>
      <c r="G4" s="198"/>
      <c r="H4" s="196"/>
    </row>
    <row r="5" spans="1:8" x14ac:dyDescent="0.15">
      <c r="A5" s="199" t="s">
        <v>244</v>
      </c>
      <c r="B5" s="200" t="s">
        <v>245</v>
      </c>
      <c r="C5" s="357" t="s">
        <v>246</v>
      </c>
      <c r="D5" s="201">
        <v>0.375</v>
      </c>
      <c r="E5" s="358" t="s">
        <v>247</v>
      </c>
      <c r="F5" s="359">
        <v>0.70833333333333337</v>
      </c>
      <c r="G5" s="359" t="s">
        <v>248</v>
      </c>
      <c r="H5" s="360" t="s">
        <v>249</v>
      </c>
    </row>
    <row r="6" spans="1:8" x14ac:dyDescent="0.15">
      <c r="A6" s="202"/>
      <c r="B6" s="357"/>
      <c r="C6" s="203" t="s">
        <v>250</v>
      </c>
      <c r="D6" s="204">
        <v>0.35416666666666669</v>
      </c>
      <c r="E6" s="361" t="s">
        <v>251</v>
      </c>
      <c r="F6" s="205">
        <v>0.72916666666666663</v>
      </c>
      <c r="G6" s="205" t="s">
        <v>252</v>
      </c>
      <c r="H6" s="206"/>
    </row>
    <row r="7" spans="1:8" x14ac:dyDescent="0.15">
      <c r="A7" s="199" t="s">
        <v>253</v>
      </c>
      <c r="B7" s="200" t="s">
        <v>245</v>
      </c>
      <c r="C7" s="357" t="s">
        <v>254</v>
      </c>
      <c r="D7" s="201">
        <v>0.375</v>
      </c>
      <c r="E7" s="358" t="s">
        <v>247</v>
      </c>
      <c r="F7" s="359">
        <v>0.70833333333333337</v>
      </c>
      <c r="G7" s="359" t="s">
        <v>252</v>
      </c>
      <c r="H7" s="360"/>
    </row>
    <row r="8" spans="1:8" ht="22.5" x14ac:dyDescent="0.15">
      <c r="A8" s="207" t="s">
        <v>255</v>
      </c>
      <c r="B8" s="357" t="s">
        <v>256</v>
      </c>
      <c r="C8" s="208" t="s">
        <v>257</v>
      </c>
      <c r="D8" s="209">
        <v>0.33333333333333331</v>
      </c>
      <c r="E8" s="362" t="s">
        <v>247</v>
      </c>
      <c r="F8" s="210">
        <v>0.79166666666666663</v>
      </c>
      <c r="G8" s="210" t="s">
        <v>248</v>
      </c>
      <c r="H8" s="363" t="s">
        <v>249</v>
      </c>
    </row>
    <row r="9" spans="1:8" ht="22.5" x14ac:dyDescent="0.15">
      <c r="A9" s="202"/>
      <c r="B9" s="357"/>
      <c r="C9" s="211" t="s">
        <v>258</v>
      </c>
      <c r="D9" s="212">
        <v>0.36458333333333331</v>
      </c>
      <c r="E9" s="364" t="s">
        <v>247</v>
      </c>
      <c r="F9" s="213">
        <v>0.72916666666666663</v>
      </c>
      <c r="G9" s="213" t="s">
        <v>248</v>
      </c>
      <c r="H9" s="365" t="s">
        <v>249</v>
      </c>
    </row>
    <row r="10" spans="1:8" x14ac:dyDescent="0.15">
      <c r="A10" s="202"/>
      <c r="B10" s="357"/>
      <c r="C10" s="357" t="s">
        <v>259</v>
      </c>
      <c r="D10" s="214">
        <v>0.375</v>
      </c>
      <c r="E10" s="366" t="s">
        <v>247</v>
      </c>
      <c r="F10" s="215">
        <v>0.70833333333333337</v>
      </c>
      <c r="G10" s="215" t="s">
        <v>248</v>
      </c>
      <c r="H10" s="367" t="s">
        <v>249</v>
      </c>
    </row>
    <row r="11" spans="1:8" ht="14.25" customHeight="1" x14ac:dyDescent="0.15">
      <c r="A11" s="202"/>
      <c r="B11" s="357"/>
      <c r="C11" s="216" t="s">
        <v>260</v>
      </c>
      <c r="D11" s="214">
        <v>0.375</v>
      </c>
      <c r="E11" s="366" t="s">
        <v>247</v>
      </c>
      <c r="F11" s="215">
        <v>0.70833333333333337</v>
      </c>
      <c r="G11" s="215" t="s">
        <v>248</v>
      </c>
      <c r="H11" s="367" t="s">
        <v>249</v>
      </c>
    </row>
    <row r="12" spans="1:8" x14ac:dyDescent="0.15">
      <c r="A12" s="202"/>
      <c r="B12" s="357"/>
      <c r="C12" s="218" t="s">
        <v>261</v>
      </c>
      <c r="D12" s="214">
        <v>0.375</v>
      </c>
      <c r="E12" s="366" t="s">
        <v>251</v>
      </c>
      <c r="F12" s="215">
        <v>0.70833333333333337</v>
      </c>
      <c r="G12" s="215" t="s">
        <v>252</v>
      </c>
      <c r="H12" s="367"/>
    </row>
    <row r="13" spans="1:8" x14ac:dyDescent="0.15">
      <c r="A13" s="202"/>
      <c r="B13" s="217" t="s">
        <v>262</v>
      </c>
      <c r="C13" s="218" t="s">
        <v>250</v>
      </c>
      <c r="D13" s="214">
        <v>0.375</v>
      </c>
      <c r="E13" s="366" t="s">
        <v>247</v>
      </c>
      <c r="F13" s="215">
        <v>0.70833333333333337</v>
      </c>
      <c r="G13" s="215" t="s">
        <v>248</v>
      </c>
      <c r="H13" s="367" t="s">
        <v>249</v>
      </c>
    </row>
    <row r="14" spans="1:8" x14ac:dyDescent="0.15">
      <c r="A14" s="202"/>
      <c r="B14" s="357" t="s">
        <v>245</v>
      </c>
      <c r="C14" s="219"/>
      <c r="D14" s="220">
        <v>0.375</v>
      </c>
      <c r="E14" s="368" t="s">
        <v>247</v>
      </c>
      <c r="F14" s="221">
        <v>0.5</v>
      </c>
      <c r="G14" s="221" t="s">
        <v>263</v>
      </c>
      <c r="H14" s="369" t="s">
        <v>249</v>
      </c>
    </row>
    <row r="15" spans="1:8" x14ac:dyDescent="0.15">
      <c r="A15" s="199" t="s">
        <v>264</v>
      </c>
      <c r="B15" s="200" t="s">
        <v>262</v>
      </c>
      <c r="C15" s="200" t="s">
        <v>265</v>
      </c>
      <c r="D15" s="222">
        <v>0.35416666666666669</v>
      </c>
      <c r="E15" s="370" t="s">
        <v>247</v>
      </c>
      <c r="F15" s="223">
        <v>0.72916666666666663</v>
      </c>
      <c r="G15" s="223" t="s">
        <v>248</v>
      </c>
      <c r="H15" s="371" t="s">
        <v>249</v>
      </c>
    </row>
    <row r="16" spans="1:8" x14ac:dyDescent="0.15">
      <c r="A16" s="199" t="s">
        <v>266</v>
      </c>
      <c r="B16" s="200" t="s">
        <v>267</v>
      </c>
      <c r="C16" s="200" t="s">
        <v>268</v>
      </c>
      <c r="D16" s="222">
        <v>0.375</v>
      </c>
      <c r="E16" s="370" t="s">
        <v>247</v>
      </c>
      <c r="F16" s="223">
        <v>0.70833333333333337</v>
      </c>
      <c r="G16" s="223" t="s">
        <v>248</v>
      </c>
      <c r="H16" s="371" t="s">
        <v>249</v>
      </c>
    </row>
    <row r="17" spans="1:9" x14ac:dyDescent="0.15">
      <c r="A17" s="224"/>
      <c r="B17" s="217" t="s">
        <v>262</v>
      </c>
      <c r="C17" s="203" t="s">
        <v>250</v>
      </c>
      <c r="D17" s="204">
        <v>0.33333333333333331</v>
      </c>
      <c r="E17" s="361" t="s">
        <v>247</v>
      </c>
      <c r="F17" s="205">
        <v>0.83333333333333337</v>
      </c>
      <c r="G17" s="205" t="s">
        <v>252</v>
      </c>
      <c r="H17" s="372"/>
    </row>
    <row r="18" spans="1:9" ht="22.5" x14ac:dyDescent="0.15">
      <c r="A18" s="199" t="s">
        <v>269</v>
      </c>
      <c r="B18" s="357" t="s">
        <v>245</v>
      </c>
      <c r="C18" s="225" t="s">
        <v>270</v>
      </c>
      <c r="D18" s="222">
        <v>0.375</v>
      </c>
      <c r="E18" s="370" t="s">
        <v>247</v>
      </c>
      <c r="F18" s="223">
        <v>0.70833333333333337</v>
      </c>
      <c r="G18" s="223" t="s">
        <v>248</v>
      </c>
      <c r="H18" s="371" t="s">
        <v>249</v>
      </c>
      <c r="I18" s="227"/>
    </row>
    <row r="19" spans="1:9" x14ac:dyDescent="0.15">
      <c r="A19" s="199" t="s">
        <v>271</v>
      </c>
      <c r="B19" s="357"/>
      <c r="C19" s="225" t="s">
        <v>272</v>
      </c>
      <c r="D19" s="237">
        <v>0.375</v>
      </c>
      <c r="E19" s="320" t="s">
        <v>251</v>
      </c>
      <c r="F19" s="238">
        <v>0.83333333333333337</v>
      </c>
      <c r="G19" s="238" t="s">
        <v>252</v>
      </c>
      <c r="H19" s="321"/>
    </row>
    <row r="20" spans="1:9" x14ac:dyDescent="0.15">
      <c r="A20" s="199" t="s">
        <v>273</v>
      </c>
      <c r="B20" s="357"/>
      <c r="C20" s="225" t="s">
        <v>274</v>
      </c>
      <c r="D20" s="222">
        <v>0.35416666666666669</v>
      </c>
      <c r="E20" s="370" t="s">
        <v>247</v>
      </c>
      <c r="F20" s="223">
        <v>0.72916666666666663</v>
      </c>
      <c r="G20" s="223" t="s">
        <v>248</v>
      </c>
      <c r="H20" s="371" t="s">
        <v>249</v>
      </c>
    </row>
    <row r="21" spans="1:9" x14ac:dyDescent="0.15">
      <c r="A21" s="226" t="s">
        <v>275</v>
      </c>
      <c r="B21" s="217"/>
      <c r="C21" s="217" t="s">
        <v>276</v>
      </c>
      <c r="D21" s="222">
        <v>0.375</v>
      </c>
      <c r="E21" s="370" t="s">
        <v>247</v>
      </c>
      <c r="F21" s="223">
        <v>0.72916666666666663</v>
      </c>
      <c r="G21" s="223" t="s">
        <v>248</v>
      </c>
      <c r="H21" s="371" t="s">
        <v>249</v>
      </c>
    </row>
    <row r="22" spans="1:9" x14ac:dyDescent="0.15">
      <c r="A22" s="226" t="s">
        <v>277</v>
      </c>
      <c r="B22" s="228"/>
      <c r="C22" s="217" t="s">
        <v>276</v>
      </c>
      <c r="D22" s="222">
        <v>0.375</v>
      </c>
      <c r="E22" s="370" t="s">
        <v>247</v>
      </c>
      <c r="F22" s="223">
        <v>0.70833333333333337</v>
      </c>
      <c r="G22" s="223" t="s">
        <v>248</v>
      </c>
      <c r="H22" s="371" t="s">
        <v>249</v>
      </c>
    </row>
    <row r="23" spans="1:9" x14ac:dyDescent="0.15">
      <c r="A23" s="226" t="s">
        <v>278</v>
      </c>
      <c r="B23" s="228" t="s">
        <v>262</v>
      </c>
      <c r="C23" s="217" t="s">
        <v>276</v>
      </c>
      <c r="D23" s="222">
        <v>0.375</v>
      </c>
      <c r="E23" s="370" t="s">
        <v>247</v>
      </c>
      <c r="F23" s="223">
        <v>0.72916666666666663</v>
      </c>
      <c r="G23" s="223" t="s">
        <v>248</v>
      </c>
      <c r="H23" s="371" t="s">
        <v>249</v>
      </c>
    </row>
    <row r="24" spans="1:9" x14ac:dyDescent="0.15">
      <c r="A24" s="226" t="s">
        <v>279</v>
      </c>
      <c r="B24" s="228" t="s">
        <v>267</v>
      </c>
      <c r="C24" s="217" t="s">
        <v>276</v>
      </c>
      <c r="D24" s="222">
        <v>0.375</v>
      </c>
      <c r="E24" s="370" t="s">
        <v>247</v>
      </c>
      <c r="F24" s="223">
        <v>0.70833333333333337</v>
      </c>
      <c r="G24" s="223" t="s">
        <v>280</v>
      </c>
      <c r="H24" s="371" t="s">
        <v>249</v>
      </c>
    </row>
    <row r="25" spans="1:9" x14ac:dyDescent="0.15">
      <c r="A25" s="199" t="s">
        <v>281</v>
      </c>
      <c r="B25" s="357"/>
      <c r="C25" s="200" t="s">
        <v>276</v>
      </c>
      <c r="D25" s="222">
        <v>0.375</v>
      </c>
      <c r="E25" s="370" t="s">
        <v>247</v>
      </c>
      <c r="F25" s="223">
        <v>0.72916666666666663</v>
      </c>
      <c r="G25" s="223" t="s">
        <v>248</v>
      </c>
      <c r="H25" s="371" t="s">
        <v>249</v>
      </c>
    </row>
    <row r="26" spans="1:9" ht="22.5" x14ac:dyDescent="0.15">
      <c r="A26" s="199" t="s">
        <v>282</v>
      </c>
      <c r="B26" s="357" t="s">
        <v>283</v>
      </c>
      <c r="C26" s="225" t="s">
        <v>284</v>
      </c>
      <c r="D26" s="222">
        <v>0.375</v>
      </c>
      <c r="E26" s="370" t="s">
        <v>247</v>
      </c>
      <c r="F26" s="223">
        <v>0.70833333333333337</v>
      </c>
      <c r="G26" s="238" t="s">
        <v>248</v>
      </c>
      <c r="H26" s="321" t="s">
        <v>249</v>
      </c>
    </row>
    <row r="27" spans="1:9" ht="22.5" x14ac:dyDescent="0.15">
      <c r="A27" s="226" t="s">
        <v>285</v>
      </c>
      <c r="B27" s="217" t="s">
        <v>286</v>
      </c>
      <c r="C27" s="229" t="s">
        <v>284</v>
      </c>
      <c r="D27" s="222">
        <v>0.375</v>
      </c>
      <c r="E27" s="370" t="s">
        <v>247</v>
      </c>
      <c r="F27" s="223">
        <v>0.70833333333333337</v>
      </c>
      <c r="G27" s="359" t="s">
        <v>252</v>
      </c>
      <c r="H27" s="360"/>
    </row>
    <row r="28" spans="1:9" x14ac:dyDescent="0.15">
      <c r="A28" s="202" t="s">
        <v>287</v>
      </c>
      <c r="B28" s="200" t="s">
        <v>245</v>
      </c>
      <c r="C28" s="357" t="s">
        <v>288</v>
      </c>
      <c r="D28" s="222">
        <v>0.375</v>
      </c>
      <c r="E28" s="370" t="s">
        <v>247</v>
      </c>
      <c r="F28" s="223">
        <v>0.70833333333333337</v>
      </c>
      <c r="G28" s="223" t="s">
        <v>248</v>
      </c>
      <c r="H28" s="371" t="s">
        <v>249</v>
      </c>
    </row>
    <row r="29" spans="1:9" ht="22.5" x14ac:dyDescent="0.15">
      <c r="A29" s="226" t="s">
        <v>289</v>
      </c>
      <c r="B29" s="217" t="s">
        <v>262</v>
      </c>
      <c r="C29" s="229" t="s">
        <v>290</v>
      </c>
      <c r="D29" s="222">
        <v>0.375</v>
      </c>
      <c r="E29" s="370" t="s">
        <v>247</v>
      </c>
      <c r="F29" s="223">
        <v>0.70833333333333337</v>
      </c>
      <c r="G29" s="223" t="s">
        <v>248</v>
      </c>
      <c r="H29" s="371" t="s">
        <v>249</v>
      </c>
    </row>
    <row r="30" spans="1:9" ht="22.5" x14ac:dyDescent="0.15">
      <c r="A30" s="226" t="s">
        <v>291</v>
      </c>
      <c r="B30" s="217" t="s">
        <v>262</v>
      </c>
      <c r="C30" s="229" t="s">
        <v>290</v>
      </c>
      <c r="D30" s="222">
        <v>0.375</v>
      </c>
      <c r="E30" s="370" t="s">
        <v>247</v>
      </c>
      <c r="F30" s="223">
        <v>0.72916666666666663</v>
      </c>
      <c r="G30" s="223" t="s">
        <v>248</v>
      </c>
      <c r="H30" s="371" t="s">
        <v>249</v>
      </c>
    </row>
    <row r="31" spans="1:9" x14ac:dyDescent="0.15">
      <c r="A31" s="199" t="s">
        <v>292</v>
      </c>
      <c r="B31" s="357" t="s">
        <v>293</v>
      </c>
      <c r="C31" s="225" t="s">
        <v>294</v>
      </c>
      <c r="D31" s="237">
        <v>0.375</v>
      </c>
      <c r="E31" s="320" t="s">
        <v>247</v>
      </c>
      <c r="F31" s="238">
        <v>0.75</v>
      </c>
      <c r="G31" s="238" t="s">
        <v>248</v>
      </c>
      <c r="H31" s="371" t="s">
        <v>249</v>
      </c>
    </row>
    <row r="32" spans="1:9" x14ac:dyDescent="0.15">
      <c r="A32" s="199" t="s">
        <v>295</v>
      </c>
      <c r="B32" s="357"/>
      <c r="C32" s="225" t="s">
        <v>296</v>
      </c>
      <c r="D32" s="237">
        <v>0.375</v>
      </c>
      <c r="E32" s="320" t="s">
        <v>247</v>
      </c>
      <c r="F32" s="238">
        <v>0.72916666666666663</v>
      </c>
      <c r="G32" s="238" t="s">
        <v>248</v>
      </c>
      <c r="H32" s="371" t="s">
        <v>249</v>
      </c>
    </row>
    <row r="33" spans="1:8" x14ac:dyDescent="0.15">
      <c r="A33" s="199" t="s">
        <v>297</v>
      </c>
      <c r="B33" s="357"/>
      <c r="C33" s="208" t="s">
        <v>298</v>
      </c>
      <c r="D33" s="201">
        <v>0.375</v>
      </c>
      <c r="E33" s="358" t="s">
        <v>247</v>
      </c>
      <c r="F33" s="359">
        <v>0.875</v>
      </c>
      <c r="G33" s="359" t="s">
        <v>252</v>
      </c>
      <c r="H33" s="363" t="s">
        <v>299</v>
      </c>
    </row>
    <row r="34" spans="1:8" x14ac:dyDescent="0.15">
      <c r="A34" s="202"/>
      <c r="B34" s="357"/>
      <c r="C34" s="293" t="s">
        <v>300</v>
      </c>
      <c r="D34" s="204">
        <v>0.375</v>
      </c>
      <c r="E34" s="361" t="s">
        <v>251</v>
      </c>
      <c r="F34" s="205">
        <v>0.72916666666666663</v>
      </c>
      <c r="G34" s="205" t="s">
        <v>248</v>
      </c>
      <c r="H34" s="372" t="s">
        <v>301</v>
      </c>
    </row>
    <row r="35" spans="1:8" x14ac:dyDescent="0.15">
      <c r="A35" s="199" t="s">
        <v>302</v>
      </c>
      <c r="B35" s="357" t="s">
        <v>293</v>
      </c>
      <c r="C35" s="225" t="s">
        <v>254</v>
      </c>
      <c r="D35" s="222">
        <v>0.375</v>
      </c>
      <c r="E35" s="370" t="s">
        <v>247</v>
      </c>
      <c r="F35" s="223">
        <v>0.70833333333333337</v>
      </c>
      <c r="G35" s="223" t="s">
        <v>248</v>
      </c>
      <c r="H35" s="371" t="s">
        <v>249</v>
      </c>
    </row>
    <row r="36" spans="1:8" x14ac:dyDescent="0.15">
      <c r="A36" s="199" t="s">
        <v>303</v>
      </c>
      <c r="B36" s="217" t="s">
        <v>293</v>
      </c>
      <c r="C36" s="373" t="s">
        <v>304</v>
      </c>
      <c r="D36" s="209">
        <v>0.35416666666666669</v>
      </c>
      <c r="E36" s="362" t="s">
        <v>247</v>
      </c>
      <c r="F36" s="210">
        <v>0.75</v>
      </c>
      <c r="G36" s="210" t="s">
        <v>248</v>
      </c>
      <c r="H36" s="363" t="s">
        <v>305</v>
      </c>
    </row>
    <row r="37" spans="1:8" x14ac:dyDescent="0.15">
      <c r="A37" s="224"/>
      <c r="B37" s="217"/>
      <c r="C37" s="374" t="s">
        <v>306</v>
      </c>
      <c r="D37" s="204">
        <v>0.375</v>
      </c>
      <c r="E37" s="361" t="s">
        <v>251</v>
      </c>
      <c r="F37" s="205">
        <v>0.75</v>
      </c>
      <c r="G37" s="205" t="s">
        <v>248</v>
      </c>
      <c r="H37" s="372" t="s">
        <v>301</v>
      </c>
    </row>
    <row r="38" spans="1:8" x14ac:dyDescent="0.15">
      <c r="A38" s="226" t="s">
        <v>307</v>
      </c>
      <c r="B38" s="217" t="s">
        <v>293</v>
      </c>
      <c r="C38" s="229" t="s">
        <v>308</v>
      </c>
      <c r="D38" s="237">
        <v>0.375</v>
      </c>
      <c r="E38" s="320" t="s">
        <v>247</v>
      </c>
      <c r="F38" s="238">
        <v>0.70833333333333337</v>
      </c>
      <c r="G38" s="238" t="s">
        <v>248</v>
      </c>
      <c r="H38" s="321" t="s">
        <v>249</v>
      </c>
    </row>
  </sheetData>
  <phoneticPr fontId="21"/>
  <printOptions horizontalCentered="1"/>
  <pageMargins left="0.39370078740157483" right="0.39370078740157483" top="0.39370078740157483" bottom="0.39370078740157483" header="0.19685039370078741" footer="0.19685039370078741"/>
  <pageSetup paperSize="9" fitToHeight="0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6e20f74-9fe5-416d-b0fd-f07dcd0a5a0b" xsi:nil="true"/>
    <lcf76f155ced4ddcb4097134ff3c332f xmlns="a0e40bf2-c0e7-4c11-a7b1-c4a6e0bc9aa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2616C224BAAB459A2EF1C6A95A0868" ma:contentTypeVersion="11" ma:contentTypeDescription="Create a new document." ma:contentTypeScope="" ma:versionID="2ef278e2b7d95f4d87e6c6ca560521e3">
  <xsd:schema xmlns:xsd="http://www.w3.org/2001/XMLSchema" xmlns:xs="http://www.w3.org/2001/XMLSchema" xmlns:p="http://schemas.microsoft.com/office/2006/metadata/properties" xmlns:ns2="a0e40bf2-c0e7-4c11-a7b1-c4a6e0bc9aa9" xmlns:ns3="16e20f74-9fe5-416d-b0fd-f07dcd0a5a0b" targetNamespace="http://schemas.microsoft.com/office/2006/metadata/properties" ma:root="true" ma:fieldsID="413fa75b8485624aa7c33c07895e431c" ns2:_="" ns3:_="">
    <xsd:import namespace="a0e40bf2-c0e7-4c11-a7b1-c4a6e0bc9aa9"/>
    <xsd:import namespace="16e20f74-9fe5-416d-b0fd-f07dcd0a5a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e40bf2-c0e7-4c11-a7b1-c4a6e0bc9a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4f751fe-e508-435b-9695-4e1b110d1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e20f74-9fe5-416d-b0fd-f07dcd0a5a0b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36bfa0d-54ff-49c4-943d-513c1ef3703d}" ma:internalName="TaxCatchAll" ma:showField="CatchAllData" ma:web="16e20f74-9fe5-416d-b0fd-f07dcd0a5a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066A20E-B5F7-4274-A902-BA5C6F9504AC}">
  <ds:schemaRefs>
    <ds:schemaRef ds:uri="http://schemas.microsoft.com/office/2006/metadata/properties"/>
    <ds:schemaRef ds:uri="http://schemas.microsoft.com/office/infopath/2007/PartnerControls"/>
    <ds:schemaRef ds:uri="16e20f74-9fe5-416d-b0fd-f07dcd0a5a0b"/>
    <ds:schemaRef ds:uri="a0e40bf2-c0e7-4c11-a7b1-c4a6e0bc9aa9"/>
  </ds:schemaRefs>
</ds:datastoreItem>
</file>

<file path=customXml/itemProps2.xml><?xml version="1.0" encoding="utf-8"?>
<ds:datastoreItem xmlns:ds="http://schemas.openxmlformats.org/officeDocument/2006/customXml" ds:itemID="{7C2723F8-994F-496A-9213-4D5C2844B4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5160A12-F5D1-4D3F-8016-A0F0E1919F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e40bf2-c0e7-4c11-a7b1-c4a6e0bc9aa9"/>
    <ds:schemaRef ds:uri="16e20f74-9fe5-416d-b0fd-f07dcd0a5a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管理データ</vt:lpstr>
      <vt:lpstr>見積総括表</vt:lpstr>
      <vt:lpstr>RN前との比較</vt:lpstr>
      <vt:lpstr>特記事項</vt:lpstr>
      <vt:lpstr>保守仕様明細②-8H</vt:lpstr>
      <vt:lpstr>保守仕様明細②-24H</vt:lpstr>
      <vt:lpstr>原価明細②</vt:lpstr>
      <vt:lpstr>導入費④</vt:lpstr>
      <vt:lpstr>（別紙）8H保守時間表</vt:lpstr>
      <vt:lpstr>'（別紙）8H保守時間表'!Print_Area</vt:lpstr>
      <vt:lpstr>RN前との比較!Print_Area</vt:lpstr>
      <vt:lpstr>見積総括表!Print_Area</vt:lpstr>
      <vt:lpstr>原価明細②!Print_Area</vt:lpstr>
      <vt:lpstr>導入費④!Print_Area</vt:lpstr>
      <vt:lpstr>原価明細②!Print_Titles</vt:lpstr>
      <vt:lpstr>導入費④!Print_Titles</vt:lpstr>
    </vt:vector>
  </TitlesOfParts>
  <Manager/>
  <Company>DAIFUKU CO.,LTD.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K29150</dc:creator>
  <cp:keywords/>
  <dc:description/>
  <cp:lastModifiedBy>山田 祥広(Yoshihiro YAMADA)</cp:lastModifiedBy>
  <cp:revision/>
  <dcterms:created xsi:type="dcterms:W3CDTF">2014-12-10T05:54:39Z</dcterms:created>
  <dcterms:modified xsi:type="dcterms:W3CDTF">2026-10-08T04:57:05Z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0x010100DA2616C224BAAB459A2EF1C6A95A0868</vt:lpwstr>
  </property>
  <property fmtid="{D5CDD505-2E9C-101B-9397-08002B2CF9AE}" pid="3" name="MediaServiceImageTags">
    <vt:lpwstr/>
  </property>
</Properties>
</file>