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保守見積作成\"/>
    </mc:Choice>
  </mc:AlternateContent>
  <xr:revisionPtr revIDLastSave="0" documentId="13_ncr:1_{64CC28E8-4185-42E7-8529-15D7F01C9913}" xr6:coauthVersionLast="47" xr6:coauthVersionMax="47" xr10:uidLastSave="{00000000-0000-0000-0000-000000000000}"/>
  <bookViews>
    <workbookView xWindow="1590" yWindow="75" windowWidth="27930" windowHeight="15015" tabRatio="825" xr2:uid="{00000000-000D-0000-FFFF-FFFF00000000}"/>
  </bookViews>
  <sheets>
    <sheet name="操作シート" sheetId="1" r:id="rId1"/>
    <sheet name="終息日抽出" sheetId="900" state="hidden" r:id="rId2"/>
    <sheet name="終息日抽出（確認用）" sheetId="2" state="hidden" r:id="rId3"/>
    <sheet name="見積情報抽出" sheetId="5" state="hidden" r:id="rId4"/>
    <sheet name="【temp】見積情報抽出" sheetId="6" state="hidden" r:id="rId5"/>
    <sheet name="各種テンプレート" sheetId="142" state="hidden" r:id="rId6"/>
    <sheet name="特記事項リスト" sheetId="410" r:id="rId7"/>
    <sheet name="置換パターン" sheetId="901" state="hidden" r:id="rId8"/>
    <sheet name="_MCM_SQL" sheetId="902" state="veryHidden" r:id="rId1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3" i="5" l="1"/>
  <c r="R22" i="1" l="1"/>
  <c r="R5" i="1"/>
  <c r="A263" i="6" l="1"/>
  <c r="A273" i="900" l="1"/>
  <c r="A272" i="900"/>
  <c r="A243" i="900"/>
  <c r="A242" i="900"/>
  <c r="A238" i="900"/>
  <c r="A131" i="900"/>
  <c r="A126" i="900"/>
  <c r="J6" i="142" l="1"/>
  <c r="O6" i="142" l="1"/>
  <c r="O5" i="142"/>
  <c r="J5" i="142"/>
</calcChain>
</file>

<file path=xl/sharedStrings.xml><?xml version="1.0" encoding="utf-8"?>
<sst xmlns="http://schemas.openxmlformats.org/spreadsheetml/2006/main" count="1574" uniqueCount="606">
  <si>
    <t>8h見積ID</t>
    <rPh sb="2" eb="4">
      <t>ミツモリ</t>
    </rPh>
    <phoneticPr fontId="1"/>
  </si>
  <si>
    <t>24h見積ID</t>
    <rPh sb="3" eb="5">
      <t>ミツモリ</t>
    </rPh>
    <phoneticPr fontId="1"/>
  </si>
  <si>
    <t>サポートID</t>
    <phoneticPr fontId="1"/>
  </si>
  <si>
    <t>納入先</t>
    <phoneticPr fontId="1"/>
  </si>
  <si>
    <t>見積期間パターン</t>
    <rPh sb="0" eb="2">
      <t>ミツモリ</t>
    </rPh>
    <rPh sb="2" eb="4">
      <t>キカン</t>
    </rPh>
    <phoneticPr fontId="1"/>
  </si>
  <si>
    <t>見積ファイル名</t>
    <rPh sb="0" eb="2">
      <t>ミツモリ</t>
    </rPh>
    <rPh sb="6" eb="7">
      <t>メイ</t>
    </rPh>
    <phoneticPr fontId="1"/>
  </si>
  <si>
    <t>8h見積No</t>
    <rPh sb="2" eb="4">
      <t>ミツモリ</t>
    </rPh>
    <phoneticPr fontId="1"/>
  </si>
  <si>
    <t>工場名</t>
    <rPh sb="0" eb="2">
      <t>コウジョウ</t>
    </rPh>
    <rPh sb="2" eb="3">
      <t>メイ</t>
    </rPh>
    <phoneticPr fontId="1"/>
  </si>
  <si>
    <t>24h見積No</t>
    <rPh sb="3" eb="5">
      <t>ミツモリ</t>
    </rPh>
    <phoneticPr fontId="1"/>
  </si>
  <si>
    <t>システム名</t>
    <rPh sb="4" eb="5">
      <t>メイ</t>
    </rPh>
    <phoneticPr fontId="1"/>
  </si>
  <si>
    <t>作成日</t>
    <rPh sb="0" eb="3">
      <t>サクセイビ</t>
    </rPh>
    <phoneticPr fontId="1"/>
  </si>
  <si>
    <t>8h保守仕様</t>
    <rPh sb="2" eb="4">
      <t>ホシュ</t>
    </rPh>
    <rPh sb="4" eb="6">
      <t>シヨウ</t>
    </rPh>
    <phoneticPr fontId="1"/>
  </si>
  <si>
    <t>撤去日スライサー</t>
    <rPh sb="0" eb="2">
      <t>テッキョ</t>
    </rPh>
    <rPh sb="2" eb="3">
      <t>ビ</t>
    </rPh>
    <phoneticPr fontId="1"/>
  </si>
  <si>
    <t>作成者</t>
    <rPh sb="0" eb="3">
      <t>サクセイシャ</t>
    </rPh>
    <phoneticPr fontId="1"/>
  </si>
  <si>
    <t>◆ソフトウェア保守</t>
    <rPh sb="7" eb="9">
      <t>ホシュ</t>
    </rPh>
    <phoneticPr fontId="6"/>
  </si>
  <si>
    <t>入力した撤去日以前が登録されたデータは出力しない</t>
    <rPh sb="0" eb="2">
      <t>ニュウリョク</t>
    </rPh>
    <rPh sb="4" eb="6">
      <t>テッキョ</t>
    </rPh>
    <rPh sb="6" eb="7">
      <t>ビ</t>
    </rPh>
    <rPh sb="7" eb="9">
      <t>イゼン</t>
    </rPh>
    <rPh sb="10" eb="12">
      <t>トウロク</t>
    </rPh>
    <rPh sb="19" eb="21">
      <t>シュツリョク</t>
    </rPh>
    <phoneticPr fontId="1"/>
  </si>
  <si>
    <t>納入プロダクト</t>
    <rPh sb="0" eb="2">
      <t>ノウニュウ</t>
    </rPh>
    <phoneticPr fontId="1"/>
  </si>
  <si>
    <t>8Hサポート</t>
    <phoneticPr fontId="6"/>
  </si>
  <si>
    <t>※未指定の場合は、撤去日が登録されたデータは出力しない</t>
    <rPh sb="1" eb="4">
      <t>ミシテイ</t>
    </rPh>
    <rPh sb="5" eb="7">
      <t>バアイ</t>
    </rPh>
    <rPh sb="9" eb="11">
      <t>テッキョ</t>
    </rPh>
    <rPh sb="11" eb="12">
      <t>ビ</t>
    </rPh>
    <rPh sb="13" eb="15">
      <t>トウロク</t>
    </rPh>
    <rPh sb="22" eb="24">
      <t>シュツリョク</t>
    </rPh>
    <phoneticPr fontId="1"/>
  </si>
  <si>
    <t>→
ココから右は
マクロ作業スペース
落書き禁止！！</t>
    <rPh sb="6" eb="7">
      <t>ミギ</t>
    </rPh>
    <rPh sb="12" eb="14">
      <t>サギョウ</t>
    </rPh>
    <rPh sb="20" eb="22">
      <t>ラクガ</t>
    </rPh>
    <rPh sb="23" eb="25">
      <t>キンシ</t>
    </rPh>
    <phoneticPr fontId="1"/>
  </si>
  <si>
    <t>①</t>
    <phoneticPr fontId="6"/>
  </si>
  <si>
    <t>復旧支援</t>
    <phoneticPr fontId="6"/>
  </si>
  <si>
    <t>②</t>
    <phoneticPr fontId="6"/>
  </si>
  <si>
    <t>運用支援(データメンテナンス)</t>
    <phoneticPr fontId="6"/>
  </si>
  <si>
    <t>特記事項テンプレートファイル指定</t>
    <rPh sb="0" eb="2">
      <t>トッキ</t>
    </rPh>
    <rPh sb="2" eb="4">
      <t>ジコウ</t>
    </rPh>
    <rPh sb="14" eb="16">
      <t>シテイ</t>
    </rPh>
    <phoneticPr fontId="1"/>
  </si>
  <si>
    <t>24Hサポート(受付)</t>
    <phoneticPr fontId="6"/>
  </si>
  <si>
    <t>IF(ISBLANK(R[-5]C),"","×")</t>
  </si>
  <si>
    <t>IF(ISBLANK(X5),"","×")</t>
  </si>
  <si>
    <t>\\file-sig\S-DTS\FE業務改革室\業務G2T\10.保守見積\保守見積データ\保守見積業務用マスタ\特記事項テンプレート.xlsx</t>
    <rPh sb="47" eb="49">
      <t>ホシュ</t>
    </rPh>
    <rPh sb="49" eb="51">
      <t>ミツモリ</t>
    </rPh>
    <rPh sb="51" eb="54">
      <t>ギョウムヨウ</t>
    </rPh>
    <phoneticPr fontId="1"/>
  </si>
  <si>
    <t>◆点検</t>
    <rPh sb="1" eb="3">
      <t>テンケン</t>
    </rPh>
    <phoneticPr fontId="6"/>
  </si>
  <si>
    <t>システム診断</t>
    <rPh sb="4" eb="6">
      <t>シンダン</t>
    </rPh>
    <phoneticPr fontId="6"/>
  </si>
  <si>
    <t>ソフトウェア点検</t>
    <rPh sb="6" eb="8">
      <t>テンケン</t>
    </rPh>
    <phoneticPr fontId="6"/>
  </si>
  <si>
    <t>コンピュータ点検</t>
    <rPh sb="6" eb="8">
      <t>テンケン</t>
    </rPh>
    <phoneticPr fontId="6"/>
  </si>
  <si>
    <t>③</t>
    <phoneticPr fontId="6"/>
  </si>
  <si>
    <t>BoxCell点検</t>
    <rPh sb="7" eb="9">
      <t>テンケン</t>
    </rPh>
    <phoneticPr fontId="6"/>
  </si>
  <si>
    <t>見積No未指定の場合、保守仕様明細枠を作成して終了</t>
    <rPh sb="0" eb="2">
      <t>ミツモリ</t>
    </rPh>
    <rPh sb="4" eb="7">
      <t>ミシテイ</t>
    </rPh>
    <rPh sb="8" eb="10">
      <t>バアイ</t>
    </rPh>
    <rPh sb="11" eb="13">
      <t>ホシュ</t>
    </rPh>
    <rPh sb="13" eb="15">
      <t>シヨウ</t>
    </rPh>
    <rPh sb="15" eb="17">
      <t>メイサイ</t>
    </rPh>
    <rPh sb="17" eb="18">
      <t>ワク</t>
    </rPh>
    <rPh sb="19" eb="21">
      <t>サクセイ</t>
    </rPh>
    <rPh sb="23" eb="25">
      <t>シュウリョウ</t>
    </rPh>
    <phoneticPr fontId="1"/>
  </si>
  <si>
    <t>④</t>
    <phoneticPr fontId="6"/>
  </si>
  <si>
    <t>ウイルスチェック</t>
    <phoneticPr fontId="6"/>
  </si>
  <si>
    <t>下記の確認に利用できます。</t>
    <rPh sb="0" eb="2">
      <t>カキ</t>
    </rPh>
    <rPh sb="3" eb="5">
      <t>カクニン</t>
    </rPh>
    <rPh sb="6" eb="8">
      <t>リヨウ</t>
    </rPh>
    <phoneticPr fontId="1"/>
  </si>
  <si>
    <t>コンピュータメーカー点検管理</t>
    <rPh sb="10" eb="12">
      <t>テンケン</t>
    </rPh>
    <rPh sb="12" eb="14">
      <t>カンリ</t>
    </rPh>
    <phoneticPr fontId="6"/>
  </si>
  <si>
    <t>・終息日の入力状況の確認</t>
    <rPh sb="1" eb="3">
      <t>シュウソク</t>
    </rPh>
    <rPh sb="3" eb="4">
      <t>ビ</t>
    </rPh>
    <rPh sb="5" eb="7">
      <t>ニュウリョク</t>
    </rPh>
    <rPh sb="7" eb="9">
      <t>ジョウキョウ</t>
    </rPh>
    <rPh sb="10" eb="12">
      <t>カクニン</t>
    </rPh>
    <phoneticPr fontId="1"/>
  </si>
  <si>
    <t>寿命品予防交換サービス</t>
    <rPh sb="0" eb="2">
      <t>ジュミョウ</t>
    </rPh>
    <rPh sb="2" eb="3">
      <t>ヒン</t>
    </rPh>
    <rPh sb="3" eb="5">
      <t>ヨボウ</t>
    </rPh>
    <rPh sb="5" eb="7">
      <t>コウカン</t>
    </rPh>
    <phoneticPr fontId="6"/>
  </si>
  <si>
    <t>・取扱機器マスタの取引先確認</t>
    <rPh sb="1" eb="3">
      <t>トリアツカイ</t>
    </rPh>
    <rPh sb="3" eb="5">
      <t>キキ</t>
    </rPh>
    <rPh sb="9" eb="11">
      <t>トリヒキ</t>
    </rPh>
    <rPh sb="11" eb="12">
      <t>サキ</t>
    </rPh>
    <rPh sb="12" eb="14">
      <t>カクニン</t>
    </rPh>
    <phoneticPr fontId="1"/>
  </si>
  <si>
    <t>◆リモートメンテナンスサービス</t>
  </si>
  <si>
    <t>◆リモート監視サービス(DREMOS)</t>
    <rPh sb="5" eb="7">
      <t>カンシ</t>
    </rPh>
    <phoneticPr fontId="6"/>
  </si>
  <si>
    <t>24h保守仕様</t>
    <rPh sb="3" eb="5">
      <t>ホシュ</t>
    </rPh>
    <rPh sb="5" eb="7">
      <t>シヨウ</t>
    </rPh>
    <phoneticPr fontId="1"/>
  </si>
  <si>
    <t>SET SERVEROUTPUT ON</t>
  </si>
  <si>
    <t>SET HEADING ON</t>
  </si>
  <si>
    <t>SET FEEDBACK OFF</t>
  </si>
  <si>
    <t>SET TRIMSPOOL ON</t>
  </si>
  <si>
    <t>SET TERMOUT OFF</t>
  </si>
  <si>
    <t>SET ECHO OFF</t>
  </si>
  <si>
    <t>SET PAGESIZE 0</t>
  </si>
  <si>
    <t>SET LINESIZE 2000</t>
  </si>
  <si>
    <t>SPOOL 保守終息日一覧.csv</t>
  </si>
  <si>
    <t>prompt 機器管理ID,個体管理ID,機器明細ID,機器構成ID,明細/構成ID,サポートID,納入先名,納入先工場名,システム名（プラント名）,CTLフラグ,ブランド詳細名,機器構成名,保守可否FLG,個体名,製造メーカー,品名,型式,数量,一次納入日,二次納入日,撤去日,保守終息日,延長保守終息日,保守終息日(固定日),保守終息日(納入日起算),備考</t>
    <rPh sb="35" eb="37">
      <t>メイサイ</t>
    </rPh>
    <rPh sb="38" eb="40">
      <t>コウセイ</t>
    </rPh>
    <rPh sb="53" eb="54">
      <t>メイ</t>
    </rPh>
    <rPh sb="55" eb="57">
      <t>ノウニュウ</t>
    </rPh>
    <rPh sb="96" eb="98">
      <t>ホシュ</t>
    </rPh>
    <rPh sb="108" eb="110">
      <t>セイゾウ</t>
    </rPh>
    <rPh sb="154" eb="156">
      <t>ホシュ</t>
    </rPh>
    <rPh sb="160" eb="162">
      <t>コテイ</t>
    </rPh>
    <rPh sb="162" eb="163">
      <t>ビ</t>
    </rPh>
    <rPh sb="165" eb="167">
      <t>ホシュ</t>
    </rPh>
    <rPh sb="167" eb="169">
      <t>シュウソク</t>
    </rPh>
    <rPh sb="169" eb="170">
      <t>ビ</t>
    </rPh>
    <rPh sb="171" eb="174">
      <t>ノウニュウビ</t>
    </rPh>
    <rPh sb="174" eb="176">
      <t>キサン</t>
    </rPh>
    <rPh sb="178" eb="180">
      <t>ビコウ</t>
    </rPh>
    <phoneticPr fontId="1"/>
  </si>
  <si>
    <t>SELECT</t>
  </si>
  <si>
    <t xml:space="preserve"> '"' ||</t>
  </si>
  <si>
    <t xml:space="preserve"> LPAD(TO_CHAR(MAG.KOTAIKANRI_ID),8,'0') || ' / ' ||</t>
    <phoneticPr fontId="1"/>
  </si>
  <si>
    <t xml:space="preserve"> LPAD(TO_CHAR(MAF.KIKIMEISAI_ID),8,'0') || '","' ||</t>
  </si>
  <si>
    <t xml:space="preserve"> MAG.KOTAIKANRI_ID || '","' ||</t>
  </si>
  <si>
    <t xml:space="preserve"> MAF.KIKIMEISAI_ID || '","' ||</t>
  </si>
  <si>
    <t xml:space="preserve"> MAE.KIKIKOSEI_ID || '","' ||</t>
    <phoneticPr fontId="1"/>
  </si>
  <si>
    <t xml:space="preserve"> LPAD(TO_CHAR(MAF.KIKIMEISAI_ID),8,'0') || ' / ' ||</t>
    <phoneticPr fontId="1"/>
  </si>
  <si>
    <t xml:space="preserve"> MAD.HYOJIJUN || '-' ||</t>
  </si>
  <si>
    <t xml:space="preserve"> LPAD(TO_CHAR(MAE.KIKIKOSEI_ID),8,'0') || '","' ||</t>
    <phoneticPr fontId="1"/>
  </si>
  <si>
    <t xml:space="preserve"> MAE.HYOJIJUN || '-' ||</t>
  </si>
  <si>
    <t xml:space="preserve">/* MAG.HYOJIJUN || '-' || </t>
    <phoneticPr fontId="1"/>
  </si>
  <si>
    <t xml:space="preserve"> MAF.HYOJIJUN || '","' || */</t>
    <phoneticPr fontId="1"/>
  </si>
  <si>
    <t xml:space="preserve"> MAB.SUPPORT_ID || '","' ||</t>
  </si>
  <si>
    <t xml:space="preserve"> MAA.NONYUSAKI_NK || '","' ||</t>
  </si>
  <si>
    <t xml:space="preserve"> MAA.NONYUSAKIKOJO_NK || '","' ||</t>
    <phoneticPr fontId="1"/>
  </si>
  <si>
    <t xml:space="preserve"> MAB.PLANT_NK || '","' ||</t>
  </si>
  <si>
    <t xml:space="preserve"> MAE.CONTROLLER_FLG || '","' ||</t>
  </si>
  <si>
    <t xml:space="preserve"> MAD.BRANDSYOSAI_NK || '","' ||</t>
  </si>
  <si>
    <t xml:space="preserve"> MAE.KIKIKOSEI_NK || '","' ||</t>
  </si>
  <si>
    <t xml:space="preserve"> CASE</t>
  </si>
  <si>
    <t xml:space="preserve"> REPLACE(REPLACE(MAG.SETCHIBASYO,chr(13),' '),chr(10),' ') || '","' ||</t>
  </si>
  <si>
    <t xml:space="preserve">  WHEN MAI2.HOSYUKEIYAKUTAISYO_FLG = 0 THEN '○'</t>
    <phoneticPr fontId="1"/>
  </si>
  <si>
    <t xml:space="preserve">  WHEN MAI2.HOSYUKEIYAKUTAISYO_FLG = 1 THEN '×'</t>
    <phoneticPr fontId="1"/>
  </si>
  <si>
    <t xml:space="preserve">  ELSE NULL</t>
  </si>
  <si>
    <t xml:space="preserve"> END || '","' ||</t>
    <phoneticPr fontId="1"/>
  </si>
  <si>
    <t xml:space="preserve"> REPLACE(MAG.KOTAI_NK,chr(13) || chr(10),' ') || '","' ||</t>
  </si>
  <si>
    <t xml:space="preserve"> MAJ.SEIZOMAKER_NK || '","' ||</t>
  </si>
  <si>
    <t xml:space="preserve"> MAH.ATSUKAIKIKI_NK || '","' ||</t>
  </si>
  <si>
    <t xml:space="preserve"> MAH.KATASHIKI || '","' ||</t>
  </si>
  <si>
    <t xml:space="preserve"> MAF.SURYO_NM || '","' ||</t>
  </si>
  <si>
    <t xml:space="preserve"> TO_CHAR(MAG.ITIJINONYU_DT,'yyyy/mm/dd') || '","' ||</t>
  </si>
  <si>
    <t xml:space="preserve"> TO_CHAR(MAD.NONYU_DT,'yyyy/mm/dd') || '","' ||</t>
  </si>
  <si>
    <t xml:space="preserve"> TO_CHAR(MAG.TEKKYO_DT,'yyyy/mm/dd') || '","' ||</t>
  </si>
  <si>
    <t xml:space="preserve">  WHEN MAI2.HOSYUKEIYAKUTAISYO_FLG = 0</t>
    <phoneticPr fontId="1"/>
  </si>
  <si>
    <t xml:space="preserve">   THEN TO_CHAR(MAG.KEIYAKUKIGEN_DT,'yyyy/mm/dd')</t>
  </si>
  <si>
    <t xml:space="preserve">   THEN TO_CHAR(MAG.ENCHOKEIYAKUKIGEN_DT,'yyyy/mm/dd')</t>
    <phoneticPr fontId="1"/>
  </si>
  <si>
    <t>/* CASE</t>
    <phoneticPr fontId="1"/>
  </si>
  <si>
    <t xml:space="preserve">  WHEN MAM.KOTAIKANRI_FLG = 0 AND MAM.KIKIBUNRUI_NK = '基本筐体用ｵﾌﾟｼｮﾝ（内蔵）'</t>
  </si>
  <si>
    <t xml:space="preserve">  WHEN MAM.KOTAIKANRI_FLG = 1</t>
  </si>
  <si>
    <t xml:space="preserve">   THEN TO_CHAR(MAG.ENCHOKEIYAKUKIGEN_DT,'yyyy/mm/dd') */</t>
    <phoneticPr fontId="1"/>
  </si>
  <si>
    <t xml:space="preserve">  WHEN MAI2.HOSYUKEIYAKUTAISYO_FLG = 0 AND MAI.MAKERHOSYU_DT IS NOT NULL</t>
    <phoneticPr fontId="1"/>
  </si>
  <si>
    <t xml:space="preserve">   THEN TO_CHAR(MAI.MAKERHOSYU_DT,'yyyy/mm/dd')</t>
  </si>
  <si>
    <t>CASE</t>
    <phoneticPr fontId="1"/>
  </si>
  <si>
    <t xml:space="preserve">  WHEN MAI2.HOSYUKEIYAKUTAISYO_FLG = 0 AND MAI.KEIYAKUKANOKIKAN IS NOT NULL </t>
    <phoneticPr fontId="1"/>
  </si>
  <si>
    <t xml:space="preserve">   THEN TO_CHAR(add_months(MAG.ITIJINONYU_DT,MAI.KEIYAKUKANOKIKAN * 12),'yyyy/mm/dd')</t>
  </si>
  <si>
    <t xml:space="preserve">  ELSE NULL</t>
    <phoneticPr fontId="1"/>
  </si>
  <si>
    <t xml:space="preserve"> MAF.BIKO ||</t>
    <phoneticPr fontId="1"/>
  </si>
  <si>
    <t xml:space="preserve"> '"'</t>
  </si>
  <si>
    <t>FROM    /* 納入先マスタ */</t>
  </si>
  <si>
    <t xml:space="preserve"> MCM_MA_NONYUSAKI MAA</t>
  </si>
  <si>
    <t>JOIN</t>
  </si>
  <si>
    <t xml:space="preserve"> MCM_MA_PLANT MAB</t>
  </si>
  <si>
    <t>/* プラントマスタ */</t>
  </si>
  <si>
    <t>ON</t>
  </si>
  <si>
    <t>MAA.NONYUSAKI_ID = MAB.NONYUSAKI_ID</t>
  </si>
  <si>
    <t xml:space="preserve"> MCM_MA_BRAND_KOSEI MAD</t>
  </si>
  <si>
    <t>/* ブランド構成 */</t>
  </si>
  <si>
    <t xml:space="preserve"> MAB.PLANT_ID = MAD.PLANT_ID</t>
  </si>
  <si>
    <t xml:space="preserve"> MCM_MA_KIKIKOTAIKANRI MAG</t>
  </si>
  <si>
    <t>/* 機器個体管理 */</t>
  </si>
  <si>
    <t xml:space="preserve"> MAD.BRANDKOSEI_ID = MAG.BRANDKOSEI_ID</t>
  </si>
  <si>
    <t xml:space="preserve"> MCM_MA_ATSUKAIKIKI_KOSEI MAI</t>
  </si>
  <si>
    <t>/* 取扱機器構成 */</t>
  </si>
  <si>
    <t xml:space="preserve"> MAG.ATSUKAIKIKIKOSEI_ID = MAI.ATSUKAIKIKIKOSEI_ID</t>
  </si>
  <si>
    <t xml:space="preserve">JOIN </t>
  </si>
  <si>
    <t xml:space="preserve"> MCM_MA_KIKIKOSEI MAE</t>
  </si>
  <si>
    <t>/* 機器構成パターン */</t>
  </si>
  <si>
    <t xml:space="preserve"> MAG.KIKIKOSEI_ID = MAE.KIKIKOSEI_ID</t>
  </si>
  <si>
    <t xml:space="preserve"> MCM_MA_KIKIMEISAI MAF</t>
  </si>
  <si>
    <t>/* 機器明細 */</t>
  </si>
  <si>
    <t xml:space="preserve"> MAG.KIKIKOSEI_ID = MAF.KIKIKOSEI_ID</t>
  </si>
  <si>
    <t xml:space="preserve"> MCM_MA_ATSUKAIKIKI MAH</t>
  </si>
  <si>
    <t>/* 取扱機器マスタ */</t>
  </si>
  <si>
    <t xml:space="preserve"> MAF.ATSUKAIKIKI_ID = MAH.ATSUKAIKIKI_ID</t>
  </si>
  <si>
    <t xml:space="preserve"> MCM_MA_ATSUKAIKIKI MAH2</t>
  </si>
  <si>
    <t xml:space="preserve"> MAI.ATSUKAIKIKI_ID = MAH2.ATSUKAIKIKI_ID</t>
  </si>
  <si>
    <t xml:space="preserve"> MCM_MA_KIKIBUNRUI MAM</t>
  </si>
  <si>
    <t>/* 分類マスタ */</t>
  </si>
  <si>
    <t xml:space="preserve"> MAH.KIKIBUNRUI_ID = MAM.KIKIBUNRUI_ID</t>
  </si>
  <si>
    <t xml:space="preserve"> MCM_MA_KIKIBUNRUI MAM2</t>
  </si>
  <si>
    <t xml:space="preserve"> MAH2.KIKIBUNRUI_ID = MAM2.KIKIBUNRUI_ID</t>
  </si>
  <si>
    <t xml:space="preserve"> MCM_MA_SEIZOMAKER MAJ</t>
  </si>
  <si>
    <t>/* 製造メーカーマスタ */</t>
  </si>
  <si>
    <t xml:space="preserve"> MAH.SEIZOMAKER_ID =  MAJ.SEIZOMAKER_ID</t>
  </si>
  <si>
    <t xml:space="preserve"> MCM_MA_TORIHIKISAKI MAK</t>
  </si>
  <si>
    <t>/* 取引先マスタ */</t>
  </si>
  <si>
    <t xml:space="preserve"> MAI.TORIHIKISAKI_ID = MAK. TORIHIKISAKI_ID</t>
  </si>
  <si>
    <t xml:space="preserve"> MCM_MA_ATSUKAIKIKI_KOSEI MAI2</t>
  </si>
  <si>
    <t xml:space="preserve"> MAH.ATSUKAIKIKI_ID = MAI2.ATSUKAIKIKI_ID</t>
    <phoneticPr fontId="1"/>
  </si>
  <si>
    <t>WHERE</t>
  </si>
  <si>
    <t xml:space="preserve"> MAF.NOUNYU_KBN IS NULL</t>
    <phoneticPr fontId="1"/>
  </si>
  <si>
    <t xml:space="preserve"> AND MAM.OYAKIKIBUNRUI_CD = MAM2.OYAKIKIBUNRUI_CD</t>
  </si>
  <si>
    <t xml:space="preserve"> AND MAI.TORIHIKISAKI_ID = MAI2.TORIHIKISAKI_ID </t>
    <phoneticPr fontId="1"/>
  </si>
  <si>
    <t xml:space="preserve"> AND MAH.DUMMY_FLG = 0</t>
  </si>
  <si>
    <t xml:space="preserve"> AND MAH.MITSUMORIHYOJI_FLG = 0</t>
  </si>
  <si>
    <t xml:space="preserve"> AND MAB.SUPPORT_ID  '1300253'</t>
  </si>
  <si>
    <t>ORDER BY</t>
    <phoneticPr fontId="1"/>
  </si>
  <si>
    <t xml:space="preserve"> MAB.PLANT_ID ASC,</t>
  </si>
  <si>
    <t xml:space="preserve"> MAD.HYOJIJUN ASC,</t>
  </si>
  <si>
    <t xml:space="preserve"> MAE.CONTROLLER_FLG ASC,</t>
  </si>
  <si>
    <t xml:space="preserve"> MAE.HYOJIJUN ASC,</t>
  </si>
  <si>
    <t xml:space="preserve"> MAF.HYOJIJUN ASC,</t>
    <phoneticPr fontId="1"/>
  </si>
  <si>
    <t xml:space="preserve"> MAG.HYOJIJUN ASC;</t>
    <phoneticPr fontId="1"/>
  </si>
  <si>
    <t>SPOOL OFF</t>
  </si>
  <si>
    <t>SPOOL 納入機器明細一覧.csv</t>
  </si>
  <si>
    <t>prompt 機器管理ID,個体管理ID,機器明細ID,機器構成ID,明細/構成ID,サポートID,納入先名,納入先工場名,システム名（プラント名）,CTLフラグ,ブランド詳細名,機器構成名,設置場所,個体名,製造メーカー,品名,型式,数量,一次納入日,二次納入日,撤去日,保守終息日,延長保守終息日</t>
  </si>
  <si>
    <t xml:space="preserve"> LPAD(TO_CHAR(MAG.KOTAIKANRI_ID),8,'0') || ' / ' ||</t>
  </si>
  <si>
    <t xml:space="preserve"> LPAD(TO_CHAR(MAF.KIKIMEISAI_ID),8,'0') || '","' ||</t>
    <phoneticPr fontId="1"/>
  </si>
  <si>
    <t xml:space="preserve"> MAE.KIKIKOSEI_ID || '","' ||</t>
  </si>
  <si>
    <t xml:space="preserve"> LPAD(TO_CHAR(MAF.KIKIMEISAI_ID),8,'0') || ' / ' ||</t>
  </si>
  <si>
    <t xml:space="preserve"> LPAD(TO_CHAR(MAE.KIKIKOSEI_ID),8,'0') || '","' ||</t>
  </si>
  <si>
    <t xml:space="preserve">/* MAG.HYOJIJUN || '-' || </t>
  </si>
  <si>
    <t xml:space="preserve"> MAF.HYOJIJUN || '","' || */</t>
  </si>
  <si>
    <t xml:space="preserve"> MAA.NONYUSAKIKOJO_NK || '","' ||</t>
  </si>
  <si>
    <t>CASE</t>
  </si>
  <si>
    <t xml:space="preserve"> WHEN MAE.CONTROLLER_FLG = '1' AND MAH.KIKIBUNRUI_ID = '21'</t>
  </si>
  <si>
    <t xml:space="preserve"> WHEN MAE.CONTROLLER_FLG  '1' AND MAH.KIKIBUNRUI_ID  '21'</t>
  </si>
  <si>
    <t xml:space="preserve">   OR MAE.CONTROLLER_FLG = '1' AND MAH.KIKIBUNRUI_ID = '16'</t>
  </si>
  <si>
    <t xml:space="preserve">   OR MAE.CONTROLLER_FLG  '1' AND MAH.KIKIBUNRUI_ID  '16'</t>
  </si>
  <si>
    <t xml:space="preserve">  THEN 'CELL'</t>
  </si>
  <si>
    <t xml:space="preserve"> ELSE TO_CHAR(MAE.CONTROLLER_FLG)</t>
  </si>
  <si>
    <t>END || '","' ||</t>
  </si>
  <si>
    <t xml:space="preserve"> MAG.BIKO || '","' ||</t>
    <phoneticPr fontId="1"/>
  </si>
  <si>
    <t xml:space="preserve"> MAF.SURYO_NM || '","' ||</t>
    <phoneticPr fontId="1"/>
  </si>
  <si>
    <t xml:space="preserve"> TO_CHAR(MAG.TEKKYO_DT,'yyyy/mm/dd') ||</t>
    <phoneticPr fontId="1"/>
  </si>
  <si>
    <t xml:space="preserve"> MAF.NOUNYU_KBN IS NULL</t>
  </si>
  <si>
    <t>ORDER BY</t>
  </si>
  <si>
    <t xml:space="preserve"> MAF.HYOJIJUN ASC,</t>
  </si>
  <si>
    <t xml:space="preserve"> MAG.HYOJIJUN ASC;</t>
  </si>
  <si>
    <t>SET LINESIZE 4000</t>
  </si>
  <si>
    <t>SPOOL ブランド名.txt</t>
  </si>
  <si>
    <t>MAD.BRANDSYOSAI_NK</t>
  </si>
  <si>
    <t>FROM</t>
  </si>
  <si>
    <t xml:space="preserve"> MAD.HYOJIJUN ASC;</t>
  </si>
  <si>
    <t>quit</t>
  </si>
  <si>
    <t>DBMS_OUTPUTの出力を有効化</t>
    <phoneticPr fontId="1"/>
  </si>
  <si>
    <t>列ヘッダを表示</t>
    <phoneticPr fontId="1"/>
  </si>
  <si>
    <t>件数表示を抑制</t>
    <phoneticPr fontId="1"/>
  </si>
  <si>
    <t>スプール時に行末の空白を削除</t>
    <phoneticPr fontId="1"/>
  </si>
  <si>
    <t>画面出力を抑制（スプールのみに出力）</t>
    <phoneticPr fontId="1"/>
  </si>
  <si>
    <t>実行SQLの表示を抑制</t>
    <phoneticPr fontId="1"/>
  </si>
  <si>
    <t>改ページなし</t>
    <phoneticPr fontId="1"/>
  </si>
  <si>
    <t>1行の最大文字数</t>
    <phoneticPr fontId="1"/>
  </si>
  <si>
    <t>SPOOL 保守終息日一覧.csv</t>
    <phoneticPr fontId="1"/>
  </si>
  <si>
    <t>CSVファイルへ出力開始</t>
    <phoneticPr fontId="1"/>
  </si>
  <si>
    <t>prompt 機器管理ID,個体管理ID,機器明細ID,機器構成ID,明細/構成ID,サポートID,納入先名,納入先工場名,システム名（プラント名）,CTLフラグ,ブランド詳細名,機器構成名,保守可否FLG,個体名,製造メーカー,品名,型式,数量,一次納入日,二次納入日,撤去日,保守終息日,延長保守終息日,保守終息日(固定日),保守終息日(納入日起算)</t>
    <rPh sb="35" eb="37">
      <t>メイサイ</t>
    </rPh>
    <rPh sb="38" eb="40">
      <t>コウセイ</t>
    </rPh>
    <rPh sb="53" eb="54">
      <t>メイ</t>
    </rPh>
    <rPh sb="55" eb="57">
      <t>ノウニュウ</t>
    </rPh>
    <rPh sb="96" eb="98">
      <t>ホシュ</t>
    </rPh>
    <rPh sb="108" eb="110">
      <t>セイゾウ</t>
    </rPh>
    <rPh sb="154" eb="156">
      <t>ホシュ</t>
    </rPh>
    <rPh sb="160" eb="162">
      <t>コテイ</t>
    </rPh>
    <rPh sb="162" eb="163">
      <t>ビ</t>
    </rPh>
    <rPh sb="165" eb="167">
      <t>ホシュ</t>
    </rPh>
    <rPh sb="167" eb="169">
      <t>シュウソク</t>
    </rPh>
    <rPh sb="169" eb="170">
      <t>ビ</t>
    </rPh>
    <rPh sb="171" eb="174">
      <t>ノウニュウビ</t>
    </rPh>
    <rPh sb="174" eb="176">
      <t>キサン</t>
    </rPh>
    <phoneticPr fontId="1"/>
  </si>
  <si>
    <t>個体管理ID / 明細ID をゼロ埋めで連結</t>
    <phoneticPr fontId="1"/>
  </si>
  <si>
    <t>|</t>
    <phoneticPr fontId="1"/>
  </si>
  <si>
    <t>各項目をダブルクォート区切りで連結（CSV生成）</t>
    <phoneticPr fontId="1"/>
  </si>
  <si>
    <t>明細ID / 構成IDの組み合わせ表示</t>
    <phoneticPr fontId="1"/>
  </si>
  <si>
    <t>納入先・工場名</t>
    <phoneticPr fontId="1"/>
  </si>
  <si>
    <t>プラント名</t>
    <phoneticPr fontId="1"/>
  </si>
  <si>
    <t>コントローラフラグ</t>
    <phoneticPr fontId="1"/>
  </si>
  <si>
    <t>ブランド詳細</t>
    <phoneticPr fontId="1"/>
  </si>
  <si>
    <t>機器構成名</t>
    <phoneticPr fontId="1"/>
  </si>
  <si>
    <t xml:space="preserve">  WHEN MAI2.HOSYUKEIYAKUTAISYO_FLG  0 THEN '○'</t>
  </si>
  <si>
    <t>保守可否フラグ（0○,1×）</t>
  </si>
  <si>
    <t xml:space="preserve">  WHEN MAI2.HOSYUKEIYAKUTAISYO_FLG  1 THEN '×'</t>
  </si>
  <si>
    <t>個体名（改行除去）</t>
    <phoneticPr fontId="1"/>
  </si>
  <si>
    <t>製造メーカー</t>
    <phoneticPr fontId="1"/>
  </si>
  <si>
    <t>品名・型式・数量</t>
    <phoneticPr fontId="1"/>
  </si>
  <si>
    <t>一次／二次納入日</t>
    <phoneticPr fontId="1"/>
  </si>
  <si>
    <t>撤去日</t>
    <phoneticPr fontId="1"/>
  </si>
  <si>
    <t>保守終息日（対象フラグ0のみ）</t>
  </si>
  <si>
    <t xml:space="preserve">  WHEN MAI2.HOSYUKEIYAKUTAISYO_FLG  0</t>
  </si>
  <si>
    <t xml:space="preserve">  WHEN MAM.KOTAIKANRI_FLG  0 AND MAM.KIKIBUNRUI_NK  '基本筐体用ｵﾌﾟｼｮﾝ（内蔵）'</t>
  </si>
  <si>
    <t>延長保守終息日（条件付き表示）</t>
    <phoneticPr fontId="1"/>
  </si>
  <si>
    <t xml:space="preserve">  WHEN MAM.KOTAIKANRI_FLG  1</t>
  </si>
  <si>
    <t xml:space="preserve">  WHEN MAI2.HOSYUKEIYAKUTAISYO_FLG  0 AND MAI.MAKERHOSYU_DT IS NOT NULL</t>
  </si>
  <si>
    <t>メーカー保守終了日</t>
    <phoneticPr fontId="1"/>
  </si>
  <si>
    <t xml:space="preserve">  WHEN MAI2.HOSYUKEIYAKUTAISYO_FLG  0 AND MAI.KEIYAKUKANOKIKAN IS NOT NULL </t>
  </si>
  <si>
    <t>納入日起算の保守終息日</t>
    <phoneticPr fontId="1"/>
  </si>
  <si>
    <t>END ||</t>
    <phoneticPr fontId="1"/>
  </si>
  <si>
    <t>/* 納入先マスタ */</t>
    <rPh sb="3" eb="6">
      <t>ノウニュウサキ</t>
    </rPh>
    <phoneticPr fontId="1"/>
  </si>
  <si>
    <t>MAA.NONYUSAKI_ID  MAB.NONYUSAKI_ID</t>
  </si>
  <si>
    <t xml:space="preserve"> MAB.PLANT_ID  MAD.PLANT_ID</t>
  </si>
  <si>
    <t xml:space="preserve"> MAD.BRANDKOSEI_ID  MAG.BRANDKOSEI_ID</t>
  </si>
  <si>
    <t xml:space="preserve"> MAG.ATSUKAIKIKIKOSEI_ID  MAI.ATSUKAIKIKIKOSEI_ID</t>
  </si>
  <si>
    <t xml:space="preserve"> MAG.KIKIKOSEI_ID  MAE.KIKIKOSEI_ID</t>
  </si>
  <si>
    <t xml:space="preserve"> MAG.KIKIKOSEI_ID  MAF.KIKIKOSEI_ID</t>
  </si>
  <si>
    <t xml:space="preserve"> MAF.ATSUKAIKIKI_ID  MAH.ATSUKAIKIKI_ID</t>
  </si>
  <si>
    <t xml:space="preserve"> MAI.ATSUKAIKIKI_ID  MAH2.ATSUKAIKIKI_ID</t>
  </si>
  <si>
    <t xml:space="preserve"> MAH.KIKIBUNRUI_ID  MAM.KIKIBUNRUI_ID</t>
  </si>
  <si>
    <t xml:space="preserve"> MAH2.KIKIBUNRUI_ID  MAM2.KIKIBUNRUI_ID</t>
  </si>
  <si>
    <t xml:space="preserve"> MAH.SEIZOMAKER_ID   MAJ.SEIZOMAKER_ID</t>
  </si>
  <si>
    <t>/* 取引先マスタ */</t>
    <phoneticPr fontId="1"/>
  </si>
  <si>
    <t xml:space="preserve"> MAI.TORIHIKISAKI_ID  MAK. TORIHIKISAKI_ID</t>
  </si>
  <si>
    <t xml:space="preserve"> MAH.ATSUKAIKIKI_ID  MAI2.ATSUKAIKIKI_ID</t>
  </si>
  <si>
    <t>/* 納入区分無し */</t>
    <rPh sb="3" eb="8">
      <t>ノウニュウクブンナ</t>
    </rPh>
    <phoneticPr fontId="1"/>
  </si>
  <si>
    <t>IF(ISBLANK(操作シート!$B$6)," AND MAG.TEKKYO_DT IS NULL"," AND (MAG.TEKKYO_DT &gt; '"&amp;TEXT(操作シート!$B$6,"yyyy/mm/dd")&amp;"' OR MAG.TEKKYO_DT IS NULL)")</t>
  </si>
  <si>
    <t xml:space="preserve"> AND MAM.OYAKIKIBUNRUI_CD  MAM2.OYAKIKIBUNRUI_CD</t>
  </si>
  <si>
    <t>/*未撤去*/</t>
    <phoneticPr fontId="1"/>
  </si>
  <si>
    <t xml:space="preserve"> AND MAI.TORIHIKISAKI_ID  MAI2.TORIHIKISAKI_ID </t>
  </si>
  <si>
    <t>/*分類一致*/</t>
    <phoneticPr fontId="1"/>
  </si>
  <si>
    <t xml:space="preserve"> AND MAH.DUMMY_FLG  0</t>
  </si>
  <si>
    <t>/*ダミー除外*/</t>
    <phoneticPr fontId="1"/>
  </si>
  <si>
    <t xml:space="preserve"> AND MAH.MITSUMORIHYOJI_FLG  0</t>
  </si>
  <si>
    <t>/*見積除外*/</t>
    <phoneticPr fontId="1"/>
  </si>
  <si>
    <t>" AND MAB.SUPPORT_ID  '"&amp;TEXT(操作シート!$B$2,"0000000")&amp;"'"</t>
  </si>
  <si>
    <t>/*対象サポートID*/</t>
    <phoneticPr fontId="1"/>
  </si>
  <si>
    <t>/*並び順*/</t>
    <phoneticPr fontId="1"/>
  </si>
  <si>
    <t>個体管理IDと機器明細IDをゼロ埋めして「／」連結</t>
    <phoneticPr fontId="1"/>
  </si>
  <si>
    <t>個体管理ID</t>
    <phoneticPr fontId="1"/>
  </si>
  <si>
    <t>機器明細ID</t>
    <phoneticPr fontId="1"/>
  </si>
  <si>
    <t>機器構成ID</t>
    <phoneticPr fontId="1"/>
  </si>
  <si>
    <t>明細ID／構成ID（ゼロ埋め連結</t>
    <phoneticPr fontId="1"/>
  </si>
  <si>
    <t>表示順連結（現在はコメントアウト）</t>
    <phoneticPr fontId="1"/>
  </si>
  <si>
    <t>納入先名称</t>
    <phoneticPr fontId="1"/>
  </si>
  <si>
    <t>納入先工場名</t>
    <phoneticPr fontId="1"/>
  </si>
  <si>
    <t>CTLフラグ（特定条件でCELL表示）</t>
    <phoneticPr fontId="1"/>
  </si>
  <si>
    <t>条件一致時はCELLに変換</t>
    <phoneticPr fontId="1"/>
  </si>
  <si>
    <t>それ以外は元値</t>
    <phoneticPr fontId="1"/>
  </si>
  <si>
    <t>ブランド詳細名</t>
    <phoneticPr fontId="1"/>
  </si>
  <si>
    <t>設置場所（備考）</t>
    <phoneticPr fontId="1"/>
  </si>
  <si>
    <t>個体名（改行コード除去）</t>
    <phoneticPr fontId="1"/>
  </si>
  <si>
    <t>製造メーカー名</t>
    <phoneticPr fontId="1"/>
  </si>
  <si>
    <t>品名</t>
    <phoneticPr fontId="1"/>
  </si>
  <si>
    <t>型式</t>
    <rPh sb="0" eb="2">
      <t>カタシキ</t>
    </rPh>
    <phoneticPr fontId="1"/>
  </si>
  <si>
    <t>数量</t>
    <rPh sb="0" eb="2">
      <t>スウリョウ</t>
    </rPh>
    <phoneticPr fontId="1"/>
  </si>
  <si>
    <t>一次納入日</t>
    <phoneticPr fontId="1"/>
  </si>
  <si>
    <t>二次納入日</t>
    <rPh sb="0" eb="2">
      <t>ニジ</t>
    </rPh>
    <phoneticPr fontId="1"/>
  </si>
  <si>
    <t>撤去日</t>
    <rPh sb="0" eb="3">
      <t>テッキョビ</t>
    </rPh>
    <phoneticPr fontId="1"/>
  </si>
  <si>
    <t>/*====== テーブル結合 ======*/</t>
    <phoneticPr fontId="1"/>
  </si>
  <si>
    <t>納入先マスタ</t>
    <phoneticPr fontId="1"/>
  </si>
  <si>
    <t>納入先とプラントを紐付け</t>
    <phoneticPr fontId="1"/>
  </si>
  <si>
    <t>プラントとブランド構成を紐付け</t>
    <phoneticPr fontId="1"/>
  </si>
  <si>
    <t>ブランドと個体管理を紐付け</t>
    <phoneticPr fontId="1"/>
  </si>
  <si>
    <t>個体と扱い機器構成を紐付け</t>
    <phoneticPr fontId="1"/>
  </si>
  <si>
    <t>個体と機器構成を紐付け</t>
    <phoneticPr fontId="1"/>
  </si>
  <si>
    <t>構成と明細を紐付け</t>
    <phoneticPr fontId="1"/>
  </si>
  <si>
    <t>明細と扱い機器を紐付け</t>
    <phoneticPr fontId="1"/>
  </si>
  <si>
    <t>別経路の扱い機器（比較用）</t>
    <phoneticPr fontId="1"/>
  </si>
  <si>
    <t>機器分類（明細側）</t>
    <phoneticPr fontId="1"/>
  </si>
  <si>
    <t>機器分類（構成側）</t>
    <phoneticPr fontId="1"/>
  </si>
  <si>
    <t>製造メーカー紐付け</t>
    <phoneticPr fontId="1"/>
  </si>
  <si>
    <t>取引先紐付け</t>
    <phoneticPr fontId="1"/>
  </si>
  <si>
    <t>/*====== 抽出条件 ======*/</t>
    <phoneticPr fontId="1"/>
  </si>
  <si>
    <t>納入区分が未設定のみ</t>
    <phoneticPr fontId="1"/>
  </si>
  <si>
    <t>Excel条件：基準日が空なら未撤去のみ、それ以外は指定日以降</t>
    <phoneticPr fontId="1"/>
  </si>
  <si>
    <t>親分類コード一致</t>
    <phoneticPr fontId="1"/>
  </si>
  <si>
    <t>ダミーデータ除外</t>
    <phoneticPr fontId="1"/>
  </si>
  <si>
    <t>見積表示対象外データ除外</t>
    <phoneticPr fontId="1"/>
  </si>
  <si>
    <t>サポートID条件（Excelセルから動的生成）</t>
    <phoneticPr fontId="1"/>
  </si>
  <si>
    <t>IF(ISBLANK(操作シート!$B$6)," AND (MAD.TEKKYO_DT IS NULL AND MAD.NOUNYU_KBN IS NULL)"," AND ((MAD.TEKKYO_DT &gt; '"&amp;TEXT(操作シート!$B$6,"yyyy/mm/dd")&amp;"' OR MAD.TEKKYO_DT IS NULL)AND MAD.NOUNYU_KBN IS NULL)")</t>
  </si>
  <si>
    <t>ブランドの撤去条件（Excel条件分岐）</t>
    <phoneticPr fontId="1"/>
  </si>
  <si>
    <t>/*=======並び順======*/</t>
    <rPh sb="9" eb="10">
      <t>ナラ</t>
    </rPh>
    <rPh sb="11" eb="12">
      <t>ジュン</t>
    </rPh>
    <phoneticPr fontId="1"/>
  </si>
  <si>
    <t>プラント</t>
    <phoneticPr fontId="1"/>
  </si>
  <si>
    <t>プラント表示順</t>
    <rPh sb="4" eb="7">
      <t>ヒョウジジュン</t>
    </rPh>
    <phoneticPr fontId="1"/>
  </si>
  <si>
    <t>CTL区分</t>
    <rPh sb="3" eb="5">
      <t>クブン</t>
    </rPh>
    <phoneticPr fontId="1"/>
  </si>
  <si>
    <t>構成順</t>
    <rPh sb="0" eb="3">
      <t>コウセイジュン</t>
    </rPh>
    <phoneticPr fontId="1"/>
  </si>
  <si>
    <t>明細順</t>
    <rPh sb="0" eb="3">
      <t>メイサイジュン</t>
    </rPh>
    <phoneticPr fontId="1"/>
  </si>
  <si>
    <t>個体順</t>
    <rPh sb="0" eb="3">
      <t>コタイジュン</t>
    </rPh>
    <phoneticPr fontId="1"/>
  </si>
  <si>
    <t>ファイル出力終了</t>
    <rPh sb="4" eb="6">
      <t>シュツリョク</t>
    </rPh>
    <rPh sb="6" eb="8">
      <t>シュウリョウ</t>
    </rPh>
    <phoneticPr fontId="1"/>
  </si>
  <si>
    <t>出力ファイル</t>
    <phoneticPr fontId="1"/>
  </si>
  <si>
    <t>ブランド名のみ取得</t>
    <phoneticPr fontId="1"/>
  </si>
  <si>
    <t>プラントと紐付け</t>
    <phoneticPr fontId="1"/>
  </si>
  <si>
    <t>サポートID（Excelから生成）</t>
    <phoneticPr fontId="1"/>
  </si>
  <si>
    <t>" MAB.SUPPORT_ID  '"&amp;TEXT(操作シート!$B$2,"0000000")&amp;"'"</t>
  </si>
  <si>
    <t>撤去条件（Excel分岐）</t>
    <phoneticPr fontId="1"/>
  </si>
  <si>
    <t>表示順</t>
    <phoneticPr fontId="1"/>
  </si>
  <si>
    <t>SPOOL 店舗見積.csv</t>
  </si>
  <si>
    <t>prompt 見積No,契約時間帯,店舗見積ID,納入先名,サポートID,プラント名,見積日付,見積作成者,送付先店舗,ブランド詳細名,機器構成名,製造メーカ,機器品名,本体フラグ,見積期間from,見積期間to,店舗見積機器明細ID,明細/構成ID/ブランド名,機器管理ID,仕切り価格,明細/構成ID,点検回数,保守方法,保守契約時間帯,標準金額,BOXCELLFLG,見積備考</t>
  </si>
  <si>
    <t>UMA.UM_MITSUMORI_NO || '","' ||</t>
  </si>
  <si>
    <t>UMA.KEIYAKUJIKANTAI || '","' ||</t>
  </si>
  <si>
    <t>UMG.UM_MITSUMORI_ID || '","' ||</t>
  </si>
  <si>
    <t>UMA.NONYUSAKI_NK || '","' ||</t>
  </si>
  <si>
    <t>UMA.SUPPORT_ID || '","' ||</t>
  </si>
  <si>
    <t>UMA.PLANT_NK || '","' ||</t>
  </si>
  <si>
    <t>TO_CHAR(UMA.MITSUMORI_DT,'yyyy/mm/dd') || '","' ||</t>
  </si>
  <si>
    <t>UMA.MITSUMORISAKUSEISYA_NK || '","' ||</t>
  </si>
  <si>
    <t>REPLACE(UMA.SOFUMEISHO4_NK,'カスタマーステーション','CS') || '","' ||</t>
  </si>
  <si>
    <t>UMB.BRANDSYOSAI_NK || '","' ||</t>
  </si>
  <si>
    <t>UMC.KIKIKOSEI_NK || '","' ||</t>
  </si>
  <si>
    <t>UMD.SEIZOMAKER_NK || '","' ||</t>
  </si>
  <si>
    <t>UMD.KIKIHINMEI_NK || ' ◆' || UMD.KIKIKATASHIKI || '","' ||</t>
  </si>
  <si>
    <t xml:space="preserve"> WHEN MAH.KIKIBUNRUI_ID = '1' THEN 'CPU'</t>
  </si>
  <si>
    <t xml:space="preserve"> WHEN MAH.KIKIBUNRUI_ID = '6' THEN 'PRN'</t>
  </si>
  <si>
    <t xml:space="preserve"> WHEN UMD.KIKIHINMEI_NK like '%寿命品予防交換%' OR (UMD.KIKIHINMEI_NK like '%ｻｰﾋﾞｽ期限延長%' AND MAG.ITIJINONYU_DT &lt; '2023/4/1')THEN 'Mainte'</t>
  </si>
  <si>
    <t xml:space="preserve"> ELSE Null</t>
  </si>
  <si>
    <t>TO_CHAR(UMG.KAISI_DT,'yyyy/mm/dd') || '","' ||</t>
  </si>
  <si>
    <t>TO_CHAR(UMG.SYURYO_DT,'yyyy/mm/dd') || '","' ||</t>
  </si>
  <si>
    <t>UMD.KIKIMEISAI_ID || '","' ||</t>
  </si>
  <si>
    <t xml:space="preserve"> LPAD(TO_CHAR(UMD.KIKIMEISAI_ID),8,'0') || ' / ' || LPAD(TO_CHAR(UMC.KIKIKOSEI_ID),8,'0') || ' / ' || UMB.BRANDSYOSAI_NK || '","' ||</t>
  </si>
  <si>
    <t xml:space="preserve"> LPAD(TO_CHAR(UME.KOTAIKANRI_ID),8,'0') || ' / ' || LPAD(TO_CHAR(UMD.KIKIMEISAI_ID),8,'0') ||'","'||</t>
  </si>
  <si>
    <t>UMF.SIKIRI_KIN || '","' ||</t>
  </si>
  <si>
    <t xml:space="preserve"> LPAD(TO_CHAR(UMD.KIKIMEISAI_ID),8,'0') || ' / ' || LPAD(TO_CHAR(UMC.KIKIKOSEI_ID),8,'0') || '","' ||</t>
  </si>
  <si>
    <t xml:space="preserve"> WHEN MAH.KIKIBUNRUI_ID = '13'</t>
  </si>
  <si>
    <t xml:space="preserve">   OR MAH.KIKIBUNRUI_ID = '14'</t>
  </si>
  <si>
    <t xml:space="preserve">   OR MAH.KIKIBUNRUI_ID = '23'</t>
  </si>
  <si>
    <t xml:space="preserve">   OR MAH.KIKIBUNRUI_ID = '24'</t>
  </si>
  <si>
    <t xml:space="preserve">   OR MAH.KIKIBUNRUI_ID = '26'</t>
  </si>
  <si>
    <t xml:space="preserve">   OR MAH.KIKIBUNRUI_ID = '27'   OR MAH.KIKIBUNRUI_ID = '30'</t>
  </si>
  <si>
    <t xml:space="preserve">   THEN '-'</t>
  </si>
  <si>
    <t xml:space="preserve"> WHEN UMF.TENKENKAISU IS NULL THEN 'ERR'</t>
  </si>
  <si>
    <t xml:space="preserve"> ELSE LPAD(TO_CHAR(UMF.TENKENKAISU),2,'0')</t>
  </si>
  <si>
    <t>UMF.HOSYUHOHO || '","' ||</t>
  </si>
  <si>
    <t xml:space="preserve"> WHEN UMF.TORIHOSYUJIKAN_ID IS NULL OR UMF.HOSYUHOHO IS NULL THEN 'ERR'</t>
  </si>
  <si>
    <t xml:space="preserve">     OR MAQ.HOSYUJIKAN_DT &lt;&gt; '24'</t>
  </si>
  <si>
    <t xml:space="preserve"> WHEN UMF.TORIHOSYUJIKAN_ID IS NOT NULL AND MAQ.HOSYUJIKAN_DT &lt;&gt; '24'</t>
  </si>
  <si>
    <t xml:space="preserve">   THEN '8'</t>
  </si>
  <si>
    <t xml:space="preserve"> ELSE TO_CHAR(MAQ.HOSYUJIKAN_DT)</t>
  </si>
  <si>
    <t>END ||'","' ||</t>
  </si>
  <si>
    <t>UMF.HYOJUN_KIN ||'","' ||</t>
  </si>
  <si>
    <t xml:space="preserve"> WHEN UMF.TORIHOSYUJIKAN_ID IS NULL</t>
  </si>
  <si>
    <t xml:space="preserve">   THEN 'BOXCELL'</t>
  </si>
  <si>
    <t xml:space="preserve"> ELSE ''</t>
  </si>
  <si>
    <t>UMF.BIKO || '"'</t>
  </si>
  <si>
    <t xml:space="preserve"> MCM_UM_KIHON_MITSUMORI UMA</t>
  </si>
  <si>
    <t xml:space="preserve"> MCM_UM_KIHON_BRAND UMB</t>
  </si>
  <si>
    <t xml:space="preserve"> UMA.UM_KIHON_MITSUMORI_ID = UMB.UM_KIHON_MITSUMORI_ID</t>
  </si>
  <si>
    <t xml:space="preserve"> MCM_UM_MITSUMORI UMG</t>
  </si>
  <si>
    <t xml:space="preserve"> UMA.UM_KIHON_MITSUMORI_ID = UMG.UM_KIHON_MITSUMORI_ID</t>
  </si>
  <si>
    <t xml:space="preserve"> MCM_UM_KIKIKOSEI UMC</t>
  </si>
  <si>
    <t xml:space="preserve"> UMB.UM_KIHON_BRAND_ID = UMC.UM_KIHON_BRAND_ID</t>
  </si>
  <si>
    <t xml:space="preserve"> MCM_UM_KIKIMEISAI UMD</t>
  </si>
  <si>
    <t xml:space="preserve"> UMC.UM_KIKIKOSEI_ID = UMD.UM_KIKIKOSEI_ID</t>
  </si>
  <si>
    <t xml:space="preserve"> MCM_UM_TANKA UMF</t>
  </si>
  <si>
    <t xml:space="preserve"> UMD.UM_KIKIMEISAI_ID = UMF.UM_KIKIMEISAI_ID</t>
  </si>
  <si>
    <t>AND</t>
  </si>
  <si>
    <t xml:space="preserve"> UMF.UM_MITSUMORI_ID = UMG.UM_MITSUMORI_ID </t>
  </si>
  <si>
    <t xml:space="preserve"> UMD.ATSUKAIKIKI_ID = MAH.ATSUKAIKIKI_ID</t>
  </si>
  <si>
    <t>LEFT JOIN</t>
  </si>
  <si>
    <t xml:space="preserve"> MCM_MA_TORIHOSYUJIKAN MAQ</t>
  </si>
  <si>
    <t xml:space="preserve"> UMF.TORIHOSYUJIKAN_ID = MAQ.TORIHOSYUJIKAN_ID</t>
  </si>
  <si>
    <t>LEFT JOIN MCM_UM_KOTAIMEISAI UME</t>
  </si>
  <si>
    <t>ON UMD.UM_KIKIMEISAI_ID = UME.UM_KIKIMEISAI_ID</t>
  </si>
  <si>
    <t>JOIN MCM_MA_KIKIKOTAIKANRI MAG</t>
  </si>
  <si>
    <t>ON UME.KOTAIKANRI_ID = MAG.KOTAIKANRI_ID</t>
  </si>
  <si>
    <t>{MITSUMORI_CONDITION}</t>
  </si>
  <si>
    <t>MAH.MITSUMORIHYOJI_FLG = '0'</t>
  </si>
  <si>
    <t xml:space="preserve"> UMG.KAISI_DT ASC,</t>
  </si>
  <si>
    <t xml:space="preserve"> UMG.UM_MITSUMORI_ID ASC,</t>
  </si>
  <si>
    <t xml:space="preserve"> UMD.KIKIMEISAI_ID ASC;</t>
  </si>
  <si>
    <t>SPOOL ソフト保守契約.csv</t>
  </si>
  <si>
    <t>prompt 見積No,ブランド詳細名,プログラム作成費,ソフト契約,DREMOS契約,リモート保守契約,見積作成者,見積期間From,見積期間to,契約時間帯,送付先店舗</t>
  </si>
  <si>
    <t xml:space="preserve"> UMA.UM_MITSUMORI_NO || '","' ||</t>
  </si>
  <si>
    <t xml:space="preserve"> UMB.BRANDSYOSAI_NK || '","' ||</t>
  </si>
  <si>
    <t>UMB.PROGRAMSAKUSEI_KIN || '","' ||</t>
  </si>
  <si>
    <t xml:space="preserve"> WHEN UMB.SOFT_FLG = '1'</t>
  </si>
  <si>
    <t xml:space="preserve">   THEN '○'</t>
  </si>
  <si>
    <t xml:space="preserve">   ELSE '×'</t>
  </si>
  <si>
    <t xml:space="preserve"> WHEN UMB.DREMOS_FLG = '1'</t>
  </si>
  <si>
    <t xml:space="preserve"> WHEN UMB.REMOTE_FLG = '1'</t>
  </si>
  <si>
    <t xml:space="preserve">TO_CHAR(UMG.SYURYO_DT,'yyyy/mm/dd') || '","' || UMB.KEIYAKUJIKANTAI || '","' || REPLACE(UMA.SOFUMEISHO4_NK,'カスタマーステーション','CS') || </t>
  </si>
  <si>
    <t>MCM_UM_MITSUMORI UMG</t>
  </si>
  <si>
    <t xml:space="preserve"> UMA.UM_MITSUMORI_NO ASC;</t>
  </si>
  <si>
    <t>SPOOL PACK契約.csv</t>
  </si>
  <si>
    <t>PROMPT 個体管理ID/機器明細ID,備考,保守契約時間帯,保守方法,機器構成ID,機器構成名,機器品名,機器型式,数量,契約日付,契約満了日,パック契約フラグ</t>
  </si>
  <si>
    <t>'"'||</t>
  </si>
  <si>
    <t xml:space="preserve"> LPAD(TO_CHAR(TKE.KOTAIKANRI_ID),8,'0') ||' / '||</t>
  </si>
  <si>
    <t xml:space="preserve"> LPAD(TO_CHAR(TKD.KIKIMEISAI_ID),8,'0') ||'","'||</t>
  </si>
  <si>
    <t xml:space="preserve"> TKB.BIKO ||'","'||</t>
  </si>
  <si>
    <t xml:space="preserve"> WHEN TKB.KEIYAKUJIKANTAI='24' THEN '24時間365日'</t>
  </si>
  <si>
    <t xml:space="preserve"> WHEN TKB.KEIYAKUJIKANTAI='8'THEN</t>
  </si>
  <si>
    <t xml:space="preserve">  TKB.KEIYAKUJIKANTAI ||'H '||</t>
  </si>
  <si>
    <t xml:space="preserve">  CASE</t>
  </si>
  <si>
    <t xml:space="preserve">   WHEN MAQ.KAISIYOBI = '1' THEN '日'</t>
  </si>
  <si>
    <t xml:space="preserve">   WHEN MAQ.KAISIYOBI = '2' THEN '月'</t>
  </si>
  <si>
    <t xml:space="preserve">   WHEN MAQ.KAISIYOBI = '3' THEN '火'</t>
  </si>
  <si>
    <t xml:space="preserve">   WHEN MAQ.KAISIYOBI = '4' THEN '水'</t>
  </si>
  <si>
    <t xml:space="preserve">   WHEN MAQ.KAISIYOBI = '5' THEN '木'</t>
  </si>
  <si>
    <t xml:space="preserve">   WHEN MAQ.KAISIYOBI = '6' THEN '金'</t>
  </si>
  <si>
    <t xml:space="preserve">   WHEN MAQ.KAISIYOBI = '7' THEN '土'</t>
  </si>
  <si>
    <t xml:space="preserve">  END||'～'||</t>
  </si>
  <si>
    <t xml:space="preserve">   WHEN MAQ.SYURYOYOBI = '1' THEN '日'</t>
  </si>
  <si>
    <t xml:space="preserve">   WHEN MAQ.SYURYOYOBI = '2' THEN '月'</t>
  </si>
  <si>
    <t xml:space="preserve">   WHEN MAQ.SYURYOYOBI = '3' THEN '火'</t>
  </si>
  <si>
    <t xml:space="preserve">   WHEN MAQ.SYURYOYOBI = '4' THEN '水'</t>
  </si>
  <si>
    <t xml:space="preserve">   WHEN MAQ.SYURYOYOBI = '5' THEN '木'</t>
  </si>
  <si>
    <t xml:space="preserve">   WHEN MAQ.SYURYOYOBI = '6' THEN '金'</t>
  </si>
  <si>
    <t xml:space="preserve">   WHEN MAQ.SYURYOYOBI = '7' THEN '土'</t>
  </si>
  <si>
    <t xml:space="preserve">  END||</t>
  </si>
  <si>
    <t xml:space="preserve">   WHEN MAQ.BIKO IS NULL THEN NULL</t>
  </si>
  <si>
    <t xml:space="preserve">   ELSE '('||MAQ.BIKO||')'</t>
  </si>
  <si>
    <t xml:space="preserve"> END</t>
  </si>
  <si>
    <t>END ||'","'||</t>
  </si>
  <si>
    <t xml:space="preserve"> WHEN TKB.HOSYUHOHO = 'F' THEN '当日オンサイト'</t>
  </si>
  <si>
    <t xml:space="preserve"> WHEN TKB.HOSYUHOHO = 'S' THEN 'センドバック'</t>
  </si>
  <si>
    <t xml:space="preserve"> WHEN TKB.HOSYUHOHO = 'T' THEN '電話対応'</t>
  </si>
  <si>
    <t xml:space="preserve"> ELSE TKB.HOSYUHOHO</t>
  </si>
  <si>
    <t>END||'","'||</t>
  </si>
  <si>
    <t xml:space="preserve"> LPAD(TO_CHAR(TKC.KIKIKOSEI_ID),8,'0') ||'","'||</t>
  </si>
  <si>
    <t xml:space="preserve"> TKC.KIKIKOSEI_NK ||'","'||</t>
  </si>
  <si>
    <t xml:space="preserve"> TKD.KIKIHINMEI_NK ||'","'||</t>
  </si>
  <si>
    <t xml:space="preserve"> TO_CHAR(TKD.KIKIKATASHIKI) ||'","'||</t>
  </si>
  <si>
    <t xml:space="preserve"> TKD.SURYO_NM ||'","'||</t>
  </si>
  <si>
    <t xml:space="preserve"> TO_CHAR(TKA.KEIYAKU_DT,'yyyy/mm/dd') ||'","'||</t>
  </si>
  <si>
    <t xml:space="preserve"> TO_CHAR(TKA.KEIYAKUMANRYO_DT,'yyyy/mm/dd') ||'","'||</t>
  </si>
  <si>
    <t xml:space="preserve"> TKA.PACK_FLG ||</t>
  </si>
  <si>
    <t>'"'</t>
  </si>
  <si>
    <t xml:space="preserve"> MCM_TK_KIKAN TKB</t>
  </si>
  <si>
    <t>INNER JOIN (SELECT</t>
  </si>
  <si>
    <t xml:space="preserve">             TK_KEIYAKU_ID,</t>
  </si>
  <si>
    <t xml:space="preserve">             MAX(TK_KIKAN_ID) MaxID</t>
  </si>
  <si>
    <t xml:space="preserve">            FROM</t>
  </si>
  <si>
    <t xml:space="preserve">             MCM_TK_KIKAN</t>
  </si>
  <si>
    <t xml:space="preserve">            WHERE</t>
  </si>
  <si>
    <t xml:space="preserve">              MCM_TK_KIKAN.YUKO_FLG like '%%'</t>
  </si>
  <si>
    <t xml:space="preserve">            GROUP BY</t>
  </si>
  <si>
    <t xml:space="preserve">             TK_KEIYAKU_ID) TKB2</t>
  </si>
  <si>
    <t xml:space="preserve"> TKB.TK_KEIYAKU_ID = TKB2.TK_KEIYAKU_ID</t>
  </si>
  <si>
    <t xml:space="preserve"> AND</t>
  </si>
  <si>
    <t xml:space="preserve">  TKB.TK_KIKAN_ID = TKB2.MaxID</t>
  </si>
  <si>
    <t xml:space="preserve"> JOIN</t>
  </si>
  <si>
    <t xml:space="preserve">  MCM_TK_KEIYAKU TKA</t>
  </si>
  <si>
    <t xml:space="preserve">  ON</t>
  </si>
  <si>
    <t xml:space="preserve">   TKB.TK_KEIYAKU_ID = TKA.TK_KEIYAKU_ID</t>
  </si>
  <si>
    <t xml:space="preserve">  MCM_TK_KIKIKOSEI TKC</t>
  </si>
  <si>
    <t xml:space="preserve">   TKB.TK_KIKAN_ID = TKC.TK_KIKAN_ID</t>
  </si>
  <si>
    <t xml:space="preserve">  MCM_TK_KIKIMEISAI TKD</t>
  </si>
  <si>
    <t xml:space="preserve">   TKC.TK_KIKIKOSEI_ID = TKD.TK_KIKIKOSEI_ID</t>
  </si>
  <si>
    <t xml:space="preserve">  MCM_TK_KOTAIMEISAI TKE</t>
  </si>
  <si>
    <t xml:space="preserve">   TKD.TK_KIKIMEISAI_ID = TKE.TK_KIKIMEISAI_ID</t>
  </si>
  <si>
    <t xml:space="preserve">  MCM_TK_TANKA TKF</t>
  </si>
  <si>
    <t xml:space="preserve">   TKD.TK_KIKIMEISAI_ID = TKF.TK_KIKIMEISAI_ID</t>
  </si>
  <si>
    <t xml:space="preserve">  MCM_MA_TORIHOSYUJIKAN MAQ</t>
  </si>
  <si>
    <t xml:space="preserve">   TKF.TORIHOSYUJIKAN_ID = MAQ.TORIHOSYUJIKAN_ID</t>
  </si>
  <si>
    <t>--- AND TKB.YUKO_FLG='0'</t>
  </si>
  <si>
    <t xml:space="preserve"> AND TKA.JOTAI = '2' </t>
  </si>
  <si>
    <t xml:space="preserve"> AND TKA.PACK_FLG='1';</t>
  </si>
  <si>
    <t xml:space="preserve"> WHEN UMD.KIKIHINMEI_NK like '%寿命品予防交換%' OR UMD.KIKIHINMEI_NK like '%ｻｰﾋﾞｽ期限延長%' THEN 'Mainte'</t>
    <rPh sb="31" eb="33">
      <t>ジュミョウ</t>
    </rPh>
    <rPh sb="33" eb="34">
      <t>ヒン</t>
    </rPh>
    <rPh sb="34" eb="36">
      <t>ヨボウ</t>
    </rPh>
    <rPh sb="36" eb="38">
      <t>コウカン</t>
    </rPh>
    <rPh sb="74" eb="76">
      <t>キゲン</t>
    </rPh>
    <rPh sb="76" eb="78">
      <t>エンチョウ</t>
    </rPh>
    <phoneticPr fontId="1"/>
  </si>
  <si>
    <t>/*UMB.PROGRAMSAKUSEI_KIN*/  '","","'||</t>
  </si>
  <si>
    <t xml:space="preserve"> MCM_UM_KOTAIMEISAI UME</t>
  </si>
  <si>
    <t xml:space="preserve"> UMD.UM_KIKIMEISAI_ID  UME.UM_KIKIMEISAI_ID</t>
  </si>
  <si>
    <t>TO_CHAR(UMG.SYURYO_DT,'yyyy/mm/dd') ||</t>
    <phoneticPr fontId="1"/>
  </si>
  <si>
    <t>JOIN</t>
    <phoneticPr fontId="1"/>
  </si>
  <si>
    <t>MCM_UM_MITSUMORI UMG</t>
    <phoneticPr fontId="1"/>
  </si>
  <si>
    <t>製造メーカー</t>
    <rPh sb="0" eb="2">
      <t>セイゾウ</t>
    </rPh>
    <phoneticPr fontId="1"/>
  </si>
  <si>
    <t>品名</t>
    <rPh sb="0" eb="2">
      <t>ヒンメイ</t>
    </rPh>
    <phoneticPr fontId="1"/>
  </si>
  <si>
    <t>契約</t>
    <rPh sb="0" eb="2">
      <t>ケイヤク</t>
    </rPh>
    <phoneticPr fontId="1"/>
  </si>
  <si>
    <t>原価①</t>
    <rPh sb="0" eb="2">
      <t>ゲンカ</t>
    </rPh>
    <phoneticPr fontId="6"/>
  </si>
  <si>
    <t>見積売価(①+管理費)</t>
    <rPh sb="0" eb="2">
      <t>ミツモリ</t>
    </rPh>
    <rPh sb="2" eb="4">
      <t>バイカ</t>
    </rPh>
    <rPh sb="7" eb="10">
      <t>カンリヒ</t>
    </rPh>
    <phoneticPr fontId="6"/>
  </si>
  <si>
    <t>備考</t>
    <rPh sb="0" eb="2">
      <t>ビコウ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</si>
  <si>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</si>
  <si>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</si>
  <si>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単価</t>
    <rPh sb="0" eb="2">
      <t>タンカ</t>
    </rPh>
    <phoneticPr fontId="6"/>
  </si>
  <si>
    <t>金額</t>
    <rPh sb="0" eb="2">
      <t>キンガク</t>
    </rPh>
    <phoneticPr fontId="6"/>
  </si>
  <si>
    <t>調整費</t>
    <rPh sb="0" eb="2">
      <t>チョウセイ</t>
    </rPh>
    <rPh sb="2" eb="3">
      <t>ヒ</t>
    </rPh>
    <phoneticPr fontId="1"/>
  </si>
  <si>
    <t>小計</t>
    <rPh sb="0" eb="2">
      <t>ショウケイ</t>
    </rPh>
    <phoneticPr fontId="1"/>
  </si>
  <si>
    <t>合計（③-1）</t>
    <phoneticPr fontId="1"/>
  </si>
  <si>
    <t>■</t>
  </si>
  <si>
    <t>ハードウェア保守費明細</t>
  </si>
  <si>
    <t>納入先</t>
    <rPh sb="0" eb="3">
      <t>ノウニュウサキ</t>
    </rPh>
    <phoneticPr fontId="6"/>
  </si>
  <si>
    <t>作成日</t>
    <rPh sb="0" eb="3">
      <t>サクセイビ</t>
    </rPh>
    <phoneticPr fontId="6"/>
  </si>
  <si>
    <t>納入先工場</t>
    <rPh sb="0" eb="2">
      <t>ノウニュウ</t>
    </rPh>
    <rPh sb="2" eb="3">
      <t>サキ</t>
    </rPh>
    <rPh sb="3" eb="5">
      <t>コウジョウ</t>
    </rPh>
    <phoneticPr fontId="6"/>
  </si>
  <si>
    <t>作成者</t>
    <rPh sb="0" eb="3">
      <t>サクセイシャ</t>
    </rPh>
    <phoneticPr fontId="6"/>
  </si>
  <si>
    <t>システム名</t>
    <phoneticPr fontId="6"/>
  </si>
  <si>
    <t>サポートID</t>
    <phoneticPr fontId="6"/>
  </si>
  <si>
    <t>種別</t>
    <rPh sb="0" eb="2">
      <t>シュベツ</t>
    </rPh>
    <phoneticPr fontId="1"/>
  </si>
  <si>
    <t>機器名</t>
    <rPh sb="0" eb="2">
      <t>キキ</t>
    </rPh>
    <rPh sb="2" eb="3">
      <t>メイ</t>
    </rPh>
    <phoneticPr fontId="1"/>
  </si>
  <si>
    <t>型式（図番）</t>
    <rPh sb="0" eb="2">
      <t>カタシキ</t>
    </rPh>
    <rPh sb="3" eb="4">
      <t>ズ</t>
    </rPh>
    <rPh sb="4" eb="5">
      <t>バン</t>
    </rPh>
    <phoneticPr fontId="1"/>
  </si>
  <si>
    <t>仕切原価</t>
    <rPh sb="0" eb="2">
      <t>シキリ</t>
    </rPh>
    <rPh sb="2" eb="4">
      <t>ゲンカ</t>
    </rPh>
    <phoneticPr fontId="1"/>
  </si>
  <si>
    <t>管理費</t>
    <rPh sb="0" eb="3">
      <t>カンリヒ</t>
    </rPh>
    <phoneticPr fontId="1"/>
  </si>
  <si>
    <t>販売価格</t>
    <rPh sb="0" eb="2">
      <t>ハンバイ</t>
    </rPh>
    <rPh sb="2" eb="4">
      <t>カカク</t>
    </rPh>
    <phoneticPr fontId="1"/>
  </si>
  <si>
    <t>（注記）</t>
    <phoneticPr fontId="6"/>
  </si>
  <si>
    <t>※ 保守対応時間はメーカーにより異なります。</t>
    <rPh sb="2" eb="4">
      <t>ホシュ</t>
    </rPh>
    <rPh sb="4" eb="6">
      <t>タイオウ</t>
    </rPh>
    <rPh sb="6" eb="8">
      <t>ジカン</t>
    </rPh>
    <rPh sb="16" eb="17">
      <t>コト</t>
    </rPh>
    <phoneticPr fontId="6"/>
  </si>
  <si>
    <t>　　保守契約時の対応時間帯は以下の通り。</t>
    <rPh sb="2" eb="4">
      <t>ホシュ</t>
    </rPh>
    <rPh sb="4" eb="6">
      <t>ケイヤク</t>
    </rPh>
    <rPh sb="6" eb="7">
      <t>ジ</t>
    </rPh>
    <rPh sb="8" eb="10">
      <t>タイオウ</t>
    </rPh>
    <rPh sb="10" eb="13">
      <t>ジカンタイ</t>
    </rPh>
    <rPh sb="14" eb="16">
      <t>イカ</t>
    </rPh>
    <rPh sb="17" eb="18">
      <t>トオ</t>
    </rPh>
    <phoneticPr fontId="6"/>
  </si>
  <si>
    <t>■</t>
    <phoneticPr fontId="1"/>
  </si>
  <si>
    <t>プロダクト</t>
    <phoneticPr fontId="1"/>
  </si>
  <si>
    <t>予防交換算出データ</t>
    <rPh sb="0" eb="2">
      <t>ヨボウ</t>
    </rPh>
    <rPh sb="2" eb="4">
      <t>コウカン</t>
    </rPh>
    <rPh sb="4" eb="6">
      <t>サンシュツ</t>
    </rPh>
    <phoneticPr fontId="1"/>
  </si>
  <si>
    <t>VPNリモート</t>
    <phoneticPr fontId="1"/>
  </si>
  <si>
    <t>SW製作費</t>
    <rPh sb="2" eb="5">
      <t>セイサクヒ</t>
    </rPh>
    <phoneticPr fontId="1"/>
  </si>
  <si>
    <t>8H</t>
    <phoneticPr fontId="1"/>
  </si>
  <si>
    <t>24H</t>
    <phoneticPr fontId="1"/>
  </si>
  <si>
    <t>予防交換SE作業員数</t>
    <rPh sb="0" eb="2">
      <t>ヨボウ</t>
    </rPh>
    <rPh sb="2" eb="4">
      <t>コウカン</t>
    </rPh>
    <rPh sb="6" eb="9">
      <t>サギョウイン</t>
    </rPh>
    <rPh sb="9" eb="10">
      <t>スウ</t>
    </rPh>
    <phoneticPr fontId="1"/>
  </si>
  <si>
    <t>予防保守ツール費用
total</t>
    <rPh sb="0" eb="2">
      <t>ヨボウ</t>
    </rPh>
    <rPh sb="2" eb="4">
      <t>ホシュ</t>
    </rPh>
    <rPh sb="7" eb="9">
      <t>ヒヨウ</t>
    </rPh>
    <phoneticPr fontId="1"/>
  </si>
  <si>
    <t>情報系SV</t>
    <rPh sb="0" eb="2">
      <t>ジョウホウ</t>
    </rPh>
    <rPh sb="2" eb="3">
      <t>ケイ</t>
    </rPh>
    <phoneticPr fontId="1"/>
  </si>
  <si>
    <t>情報系FA</t>
    <rPh sb="0" eb="2">
      <t>ジョウホウ</t>
    </rPh>
    <rPh sb="2" eb="3">
      <t>ケイ</t>
    </rPh>
    <phoneticPr fontId="1"/>
  </si>
  <si>
    <t>制御系SV</t>
    <rPh sb="0" eb="3">
      <t>セイギョケイ</t>
    </rPh>
    <phoneticPr fontId="1"/>
  </si>
  <si>
    <t>制御系FA</t>
    <rPh sb="0" eb="2">
      <t>セイギョ</t>
    </rPh>
    <rPh sb="2" eb="3">
      <t>ケイ</t>
    </rPh>
    <phoneticPr fontId="1"/>
  </si>
  <si>
    <t>リモート同時接続数</t>
    <rPh sb="4" eb="6">
      <t>ドウジ</t>
    </rPh>
    <rPh sb="6" eb="8">
      <t>セツゾク</t>
    </rPh>
    <rPh sb="8" eb="9">
      <t>スウ</t>
    </rPh>
    <phoneticPr fontId="1"/>
  </si>
  <si>
    <t>回線オーナー</t>
    <rPh sb="0" eb="2">
      <t>カイセン</t>
    </rPh>
    <phoneticPr fontId="1"/>
  </si>
  <si>
    <t>保守費</t>
    <phoneticPr fontId="1"/>
  </si>
  <si>
    <t>ｻｰﾋﾞｽｻﾎﾟｰﾄ費</t>
    <phoneticPr fontId="1"/>
  </si>
  <si>
    <t>･</t>
    <phoneticPr fontId="1"/>
  </si>
  <si>
    <t>・本システム保守見積について</t>
    <rPh sb="1" eb="2">
      <t>ホン</t>
    </rPh>
    <rPh sb="6" eb="8">
      <t>ホシュ</t>
    </rPh>
    <rPh sb="8" eb="10">
      <t>ミツ</t>
    </rPh>
    <phoneticPr fontId="6"/>
  </si>
  <si>
    <t>◆</t>
  </si>
  <si>
    <r>
      <t xml:space="preserve">　1. </t>
    </r>
    <r>
      <rPr>
        <b/>
        <u/>
        <sz val="9"/>
        <rFont val="ＭＳ Ｐゴシック"/>
        <family val="3"/>
        <charset val="128"/>
      </rPr>
      <t>ハードウェア（○○○, ○○○等）, ホストOS, 仮想環境（ゲストOS含む）は、お客様支給品の為、</t>
    </r>
    <rPh sb="19" eb="20">
      <t>ナド</t>
    </rPh>
    <rPh sb="46" eb="48">
      <t>キャクサマ</t>
    </rPh>
    <rPh sb="48" eb="50">
      <t>シキュウ</t>
    </rPh>
    <rPh sb="50" eb="51">
      <t>ヒン</t>
    </rPh>
    <rPh sb="52" eb="53">
      <t>タメ</t>
    </rPh>
    <phoneticPr fontId="6"/>
  </si>
  <si>
    <r>
      <t>　 　</t>
    </r>
    <r>
      <rPr>
        <b/>
        <u/>
        <sz val="9"/>
        <rFont val="ＭＳ Ｐゴシック"/>
        <family val="3"/>
        <charset val="128"/>
      </rPr>
      <t>本システム保守見積では対象外としております。</t>
    </r>
    <phoneticPr fontId="6"/>
  </si>
  <si>
    <t>　2. ハードウェア, 仮想環境等の障害につきましては、お客様にて復旧対応していただきますようお願いいたします。</t>
    <rPh sb="12" eb="14">
      <t>カソウ</t>
    </rPh>
    <rPh sb="14" eb="16">
      <t>カンキョウ</t>
    </rPh>
    <rPh sb="16" eb="17">
      <t>ナド</t>
    </rPh>
    <rPh sb="18" eb="20">
      <t>ショウガイ</t>
    </rPh>
    <rPh sb="29" eb="30">
      <t>キャク</t>
    </rPh>
    <rPh sb="30" eb="31">
      <t>サマ</t>
    </rPh>
    <rPh sb="33" eb="35">
      <t>フッキュウ</t>
    </rPh>
    <rPh sb="35" eb="37">
      <t>タイオウ</t>
    </rPh>
    <phoneticPr fontId="6"/>
  </si>
  <si>
    <t>　3. ハードウェア, 仮想環境等に起因するサポート対応は「システムサポート」の対象外です。</t>
    <rPh sb="12" eb="14">
      <t>カソウ</t>
    </rPh>
    <rPh sb="14" eb="16">
      <t>カンキョウ</t>
    </rPh>
    <rPh sb="16" eb="17">
      <t>ナド</t>
    </rPh>
    <rPh sb="18" eb="20">
      <t>キイン</t>
    </rPh>
    <rPh sb="26" eb="28">
      <t>タイオウ</t>
    </rPh>
    <rPh sb="40" eb="43">
      <t>タイショウガイ</t>
    </rPh>
    <phoneticPr fontId="15"/>
  </si>
  <si>
    <t>　 　サポート対応時は別途有償となります。</t>
    <rPh sb="7" eb="9">
      <t>タイオウ</t>
    </rPh>
    <rPh sb="9" eb="10">
      <t>ジ</t>
    </rPh>
    <rPh sb="11" eb="13">
      <t>ベット</t>
    </rPh>
    <rPh sb="13" eb="15">
      <t>ユウショウ</t>
    </rPh>
    <phoneticPr fontId="15"/>
  </si>
  <si>
    <t>・ 本見積書(ハードウェア保守のみ) 保守契約について</t>
    <rPh sb="2" eb="3">
      <t>ホン</t>
    </rPh>
    <rPh sb="3" eb="5">
      <t>ミツモリ</t>
    </rPh>
    <rPh sb="5" eb="6">
      <t>ショ</t>
    </rPh>
    <rPh sb="13" eb="15">
      <t>ホシュ</t>
    </rPh>
    <rPh sb="19" eb="21">
      <t>ホシュ</t>
    </rPh>
    <rPh sb="21" eb="23">
      <t>ケイヤク</t>
    </rPh>
    <phoneticPr fontId="15"/>
  </si>
  <si>
    <t>　1. 本見積書はハードウェア保守のみ契約する場合の見積です。</t>
    <rPh sb="4" eb="5">
      <t>ホン</t>
    </rPh>
    <rPh sb="5" eb="7">
      <t>ミツモリ</t>
    </rPh>
    <rPh sb="7" eb="8">
      <t>ショ</t>
    </rPh>
    <rPh sb="15" eb="17">
      <t>ホシュ</t>
    </rPh>
    <rPh sb="19" eb="21">
      <t>ケイヤク</t>
    </rPh>
    <rPh sb="23" eb="25">
      <t>バアイ</t>
    </rPh>
    <rPh sb="26" eb="28">
      <t>ミツモリ</t>
    </rPh>
    <phoneticPr fontId="15"/>
  </si>
  <si>
    <t>　2. 本システムに関連するソフトウェアやデータの調査、復旧作業、問合せの対応および</t>
    <rPh sb="4" eb="5">
      <t>ホン</t>
    </rPh>
    <rPh sb="10" eb="12">
      <t>カンレン</t>
    </rPh>
    <rPh sb="25" eb="27">
      <t>チョウサ</t>
    </rPh>
    <rPh sb="28" eb="30">
      <t>フッキュウ</t>
    </rPh>
    <rPh sb="30" eb="32">
      <t>サギョウ</t>
    </rPh>
    <rPh sb="33" eb="35">
      <t>トイアワ</t>
    </rPh>
    <rPh sb="37" eb="39">
      <t>タイオウ</t>
    </rPh>
    <phoneticPr fontId="15"/>
  </si>
  <si>
    <t>　　 ハードウェア故障によるハードディスク交換で発生するソフトウェアのインストール作業は別途有償となります。</t>
    <rPh sb="9" eb="11">
      <t>コショウ</t>
    </rPh>
    <phoneticPr fontId="15"/>
  </si>
  <si>
    <t>特記事項シート</t>
    <phoneticPr fontId="1"/>
  </si>
  <si>
    <t>保守終息日</t>
  </si>
  <si>
    <t>延長保守終息日</t>
  </si>
  <si>
    <t>優先順位</t>
    <rPh sb="0" eb="4">
      <t>ユウセンジュンイ</t>
    </rPh>
    <phoneticPr fontId="1"/>
  </si>
  <si>
    <t>判定方法</t>
    <rPh sb="0" eb="4">
      <t>ハンテイホウホウ</t>
    </rPh>
    <phoneticPr fontId="1"/>
  </si>
  <si>
    <t>判定文字列</t>
    <rPh sb="0" eb="5">
      <t>ハンテイモジレツ</t>
    </rPh>
    <phoneticPr fontId="1"/>
  </si>
  <si>
    <t>置換文字列</t>
    <rPh sb="0" eb="5">
      <t>チカンモジレツ</t>
    </rPh>
    <phoneticPr fontId="1"/>
  </si>
  <si>
    <t>末尾一致</t>
    <rPh sb="0" eb="4">
      <t>マツビイッチ</t>
    </rPh>
    <phoneticPr fontId="1"/>
  </si>
  <si>
    <t>病院</t>
    <rPh sb="0" eb="2">
      <t>ビョウイン</t>
    </rPh>
    <phoneticPr fontId="1"/>
  </si>
  <si>
    <t>貴院支給品</t>
    <rPh sb="0" eb="2">
      <t>キイン</t>
    </rPh>
    <rPh sb="2" eb="5">
      <t>シキュウヒン</t>
    </rPh>
    <phoneticPr fontId="1"/>
  </si>
  <si>
    <t>医療センター</t>
    <rPh sb="0" eb="2">
      <t>イリョウ</t>
    </rPh>
    <phoneticPr fontId="1"/>
  </si>
  <si>
    <t>銀行</t>
    <rPh sb="0" eb="2">
      <t>ギンコウ</t>
    </rPh>
    <phoneticPr fontId="1"/>
  </si>
  <si>
    <t>貴行支給品</t>
    <rPh sb="0" eb="2">
      <t>キコウ</t>
    </rPh>
    <rPh sb="2" eb="5">
      <t>シキュウヒン</t>
    </rPh>
    <phoneticPr fontId="1"/>
  </si>
  <si>
    <t>大学</t>
    <rPh sb="0" eb="2">
      <t>ダイガク</t>
    </rPh>
    <phoneticPr fontId="1"/>
  </si>
  <si>
    <t>貴学支給品</t>
    <rPh sb="0" eb="2">
      <t>キガク</t>
    </rPh>
    <rPh sb="2" eb="5">
      <t>シキュウヒン</t>
    </rPh>
    <phoneticPr fontId="1"/>
  </si>
  <si>
    <t>先頭一致</t>
    <rPh sb="0" eb="2">
      <t>セントウ</t>
    </rPh>
    <rPh sb="2" eb="4">
      <t>イッチ</t>
    </rPh>
    <phoneticPr fontId="1"/>
  </si>
  <si>
    <t>一般社団法人</t>
    <rPh sb="0" eb="6">
      <t>イッパンシャダンホウジン</t>
    </rPh>
    <phoneticPr fontId="1"/>
  </si>
  <si>
    <t>貴法人支給品</t>
    <rPh sb="0" eb="3">
      <t>キホウジン</t>
    </rPh>
    <rPh sb="3" eb="6">
      <t>シキュウヒン</t>
    </rPh>
    <phoneticPr fontId="1"/>
  </si>
  <si>
    <t>独立行政法人</t>
    <rPh sb="0" eb="6">
      <t>ドクリツギョウセイホウジン</t>
    </rPh>
    <phoneticPr fontId="1"/>
  </si>
  <si>
    <t>宗教法人</t>
    <rPh sb="0" eb="4">
      <t>シュウキョウホウジン</t>
    </rPh>
    <phoneticPr fontId="1"/>
  </si>
  <si>
    <t>中間一致</t>
    <rPh sb="0" eb="4">
      <t>チュウカンイッチ</t>
    </rPh>
    <phoneticPr fontId="1"/>
  </si>
  <si>
    <t>協同組合</t>
    <rPh sb="0" eb="4">
      <t>キョウドウクミアイ</t>
    </rPh>
    <phoneticPr fontId="1"/>
  </si>
  <si>
    <t>貴組合支給品</t>
    <rPh sb="0" eb="3">
      <t>キクミアイ</t>
    </rPh>
    <rPh sb="3" eb="6">
      <t>シキュウヒン</t>
    </rPh>
    <phoneticPr fontId="1"/>
  </si>
  <si>
    <t>寺</t>
    <rPh sb="0" eb="1">
      <t>テラ</t>
    </rPh>
    <phoneticPr fontId="1"/>
  </si>
  <si>
    <t>貴寺支給品</t>
    <rPh sb="0" eb="2">
      <t>キジ</t>
    </rPh>
    <rPh sb="2" eb="5">
      <t>シキュウヒン</t>
    </rPh>
    <phoneticPr fontId="1"/>
  </si>
  <si>
    <t>院</t>
    <rPh sb="0" eb="1">
      <t>イン</t>
    </rPh>
    <phoneticPr fontId="1"/>
  </si>
  <si>
    <t>デフォルト</t>
    <phoneticPr fontId="1"/>
  </si>
  <si>
    <t>貴社支給品</t>
    <rPh sb="0" eb="5">
      <t>キシャシキュウヒン</t>
    </rPh>
    <phoneticPr fontId="1"/>
  </si>
  <si>
    <t>IF(ISBLANK(R[-3]C),"",IF(COUNTIFS(ソフト保守情報!C1,R[-3]C18,ソフト保守情報!C2,R[-3]C,ソフト保守情報!C4,"○")&gt;0,"○","×"))</t>
  </si>
  <si>
    <t>IF(ISBLANK(R[-4]C),"",IF(COUNTIFS(ソフト保守情報!C1,R[-4]C18,ソフト保守情報!C2,R[-4]C,ソフト保守情報!C4,"○")&gt;0,"○","×"))</t>
  </si>
  <si>
    <t>IF(ISBLANK(R[-12]C),"",IF(SUMIFS(店舗見積!C22,店舗見積!C1,R[-12]C18,店舗見積!C10,R[-12]C,店舗見積!C12,"&lt;&gt;DAIFUKU")&gt;0,"○","×"))</t>
  </si>
  <si>
    <t>IF(ISBLANK(R[-13]C),"",IF(COUNTIFS(店舗見積!C1,R[-13]C18,店舗見積!C10,R[-13]C,店舗見積!C13,"*寿命品予防交換*")+COUNTIFS(店舗見積!C1,R[-13]C18,店舗見積!C10,R[-13]C,店舗見積!C13,"*ｻｰﾋﾞｽ期限延長*")&gt;0,"○","×"))</t>
  </si>
  <si>
    <t>IF(ISBLANK(R[-14]C),"",IF(COUNTIFS(ソフト保守情報!C1,R[-14]C18,ソフト保守情報!C2,R[-14]C,ソフト保守情報!C6,"○")&gt;0,"○","×"))</t>
  </si>
  <si>
    <t>IF(ISBLANK(R[-15]C),"",IF(COUNTIFS(ソフト保守情報!C1,R[-15]C18,ソフト保守情報!C2,R[-15]C,ソフト保守情報!C5,"○")&gt;0,"○","×"))</t>
  </si>
  <si>
    <t>IF(ISBLANK(R[-5]C),"",IF(COUNTIFS(ソフト保守情報!C1,R[-5]C18,ソフト保守情報!C2,R[-5]C,ソフト保守情報!C4,"○",ソフト保守情報!C10,24)&gt;0,"○","×"))</t>
  </si>
  <si>
    <t>IF(ISBLANK(X22),"",IF(COUNTIFS(ソフト保守情報!$A:$A,$R22,ソフト保守情報!$B:$B,X22,ソフト保守情報!$D:$D,"○")&gt;0,"○","×"))</t>
  </si>
  <si>
    <t>IF(ISBLANK(X22),"",IF(COUNTIFS(ソフト保守情報!$A:$A,$R22,ソフト保守情報!$B:$B,X22,ソフト保守情報!$D:$D,"○",ソフト保守情報!$J:$J,24)&gt;0,"○","×"))</t>
  </si>
  <si>
    <t>IF(ISBLANK(X22),"",IF(SUMIFS(店舗見積!$V:$V,店舗見積!$A:$A,$R22,店舗見積!$J:$J,X22,店舗見積!$L:$L,"&lt;&gt;DAIFUKU")&gt;0,"○","×"))</t>
  </si>
  <si>
    <t>IF(ISBLANK(X22),"",IF(COUNTIFS(店舗見積!$A:$A,$R22,店舗見積!$J:$J,X22,店舗見積!$M:$M,"*寿命品予防交換*")+COUNTIFS(店舗見積!$A:$A,$R22,店舗見積!$J:$J,X22,店舗見積!$M:$M,"*ｻｰﾋﾞｽ期限延長*")&gt;0,"○","×"))</t>
  </si>
  <si>
    <t>IF(ISBLANK(X22),"",IF(COUNTIFS(ソフト保守情報!$A:$A,$R22,ソフト保守情報!$B:$B,X22,ソフト保守情報!$F:$F,"○")&gt;0,"○","×"))</t>
  </si>
  <si>
    <t>IF(ISBLANK(X22),"",IF(COUNTIFS(ソフト保守情報!$A:$A,$R22,ソフト保守情報!$B:$B,X22,ソフト保守情報!$E:$E,"○")&gt;0,"○","×"))</t>
  </si>
  <si>
    <t>IF(ISBLANK(X5),"",IF(COUNTIFS(ソフト保守情報!$A:$A,$R5,ソフト保守情報!$B:$B,X5,ソフト保守情報!$D:$D,"○")&gt;0,"○","×"))</t>
  </si>
  <si>
    <t>IF(ISBLANK(X5),"",IF(SUMIFS(店舗見積!$V:$V,店舗見積!$A:$A,$R5,店舗見積!$J:$J,X5,店舗見積!$L:$L,"&lt;&gt;DAIFUKU")&gt;0,"○","×"))</t>
  </si>
  <si>
    <t>IF(ISBLANK(X5),"",IF(COUNTIFS(店舗見積!$A:$A,$R5,店舗見積!$J:$J,X5,店舗見積!$M:$M,"*寿命品予防交換*")+COUNTIFS(店舗見積!$A:$A,$R5,店舗見積!$J:$J,X5,店舗見積!$M:$M,"*ｻｰﾋﾞｽ期限延長*")&gt;0,"○","×"))</t>
  </si>
  <si>
    <t>IF(ISBLANK(X5),"",IF(COUNTIFS(ソフト保守情報!$A:$A,$R5,ソフト保守情報!$B:$B,X5,ソフト保守情報!$F:$F,"○")&gt;0,"○","×"))</t>
  </si>
  <si>
    <t>IF(ISBLANK(X5),"",IF(COUNTIFS(ソフト保守情報!$A:$A,$R5,ソフト保守情報!$B:$B,X5,ソフト保守情報!$E:$E,"○")&gt;0,"○","×"))</t>
  </si>
  <si>
    <t>作成明細</t>
    <rPh sb="0" eb="4">
      <t>サクセイメイサイ</t>
    </rPh>
    <phoneticPr fontId="1"/>
  </si>
  <si>
    <t>調整費</t>
    <rPh sb="0" eb="3">
      <t>チョウセイヒ</t>
    </rPh>
    <phoneticPr fontId="1"/>
  </si>
  <si>
    <t>IF(ISBLANK(W5),"",IF(COUNTIFS(ソフト保守情報!$A:$A,$R5,ソフト保守情報!$B:$B,W5,ソフト保守情報!$D:$D,"○")&gt;0,"○","×"))</t>
  </si>
  <si>
    <t>IF(ISBLANK(W5),"","×")</t>
  </si>
  <si>
    <t>IF(ISBLANK(W5),"",IF(SUMIFS(店舗見積!$V:$V,店舗見積!$A:$A,$R5,店舗見積!$J:$J,W5,店舗見積!$L:$L,"&lt;&gt;DAIFUKU")&gt;0,"○","×"))</t>
  </si>
  <si>
    <t>IF(ISBLANK(W5),"",IF(COUNTIFS(店舗見積!$A:$A,$R5,店舗見積!$J:$J,W5,店舗見積!$M:$M,"*寿命品予防交換*")+COUNTIFS(店舗見積!$A:$A,$R5,店舗見積!$J:$J,W5,店舗見積!$M:$M,"*ｻｰﾋﾞｽ期限延長*")&gt;0,"○","×"))</t>
  </si>
  <si>
    <t>IF(ISBLANK(W5),"",IF(COUNTIFS(ソフト保守情報!$A:$A,$R5,ソフト保守情報!$B:$B,W5,ソフト保守情報!$F:$F,"○")&gt;0,"○","×"))</t>
  </si>
  <si>
    <t>IF(ISBLANK(W5),"",IF(COUNTIFS(ソフト保守情報!$A:$A,$R5,ソフト保守情報!$B:$B,W5,ソフト保守情報!$E:$E,"○")&gt;0,"○","×"))</t>
  </si>
  <si>
    <t>IF(ISBLANK(W22),"",IF(COUNTIFS(ソフト保守情報!$A:$A,$R22,ソフト保守情報!$B:$B,W22,ソフト保守情報!$D:$D,"○")&gt;0,"○","×"))</t>
  </si>
  <si>
    <t>IF(ISBLANK(W22),"",IF(COUNTIFS(ソフト保守情報!$A:$A,$R22,ソフト保守情報!$B:$B,W22,ソフト保守情報!$D:$D,"○",ソフト保守情報!$J:$J,24)&gt;0,"○","×"))</t>
  </si>
  <si>
    <t>IF(ISBLANK(W22),"",IF(SUMIFS(店舗見積!$V:$V,店舗見積!$A:$A,$R22,店舗見積!$J:$J,W22,店舗見積!$L:$L,"&lt;&gt;DAIFUKU")&gt;0,"○","×"))</t>
  </si>
  <si>
    <t>IF(ISBLANK(W22),"",IF(COUNTIFS(店舗見積!$A:$A,$R22,店舗見積!$J:$J,W22,店舗見積!$M:$M,"*寿命品予防交換*")+COUNTIFS(店舗見積!$A:$A,$R22,店舗見積!$J:$J,W22,店舗見積!$M:$M,"*ｻｰﾋﾞｽ期限延長*")&gt;0,"○","×"))</t>
  </si>
  <si>
    <t>IF(ISBLANK(W22),"",IF(COUNTIFS(ソフト保守情報!$A:$A,$R22,ソフト保守情報!$B:$B,W22,ソフト保守情報!$F:$F,"○")&gt;0,"○","×"))</t>
  </si>
  <si>
    <t>IF(ISBLANK(W22),"",IF(COUNTIFS(ソフト保守情報!$A:$A,$R22,ソフト保守情報!$B:$B,W22,ソフト保守情報!$E:$E,"○")&gt;0,"○","×"))</t>
  </si>
  <si>
    <t>11SCE571</t>
    <phoneticPr fontId="1"/>
  </si>
  <si>
    <t>11SCE581</t>
    <phoneticPr fontId="1"/>
  </si>
  <si>
    <t>合計（①-1）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</si>
</sst>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176" formatCode="&quot;¥&quot;#,##0;&quot;¥&quot;\-#,##0;\-"/>
    <numFmt numFmtId="177" formatCode="0000000"/>
    <numFmt numFmtId="178" formatCode="yyyy/mm/dd"/>
  </numFmts>
  <fonts count="3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color theme="1"/>
      <name val="メイリオ"/>
      <family val="3"/>
      <charset val="128"/>
    </font>
    <font>
      <b/>
      <sz val="9"/>
      <name val="メイリオ"/>
      <family val="3"/>
      <charset val="128"/>
    </font>
    <font>
      <sz val="9"/>
      <name val="メイリオ"/>
      <family val="3"/>
      <charset val="128"/>
    </font>
    <font>
      <sz val="9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color theme="0"/>
      <name val="メイリオ"/>
      <family val="3"/>
      <charset val="128"/>
    </font>
    <font>
      <b/>
      <u/>
      <sz val="11"/>
      <name val="ＭＳ Ｐゴシック"/>
      <family val="3"/>
      <charset val="128"/>
    </font>
    <font>
      <u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u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Ｐゴシック"/>
      <family val="3"/>
      <charset val="128"/>
    </font>
    <font>
      <sz val="9"/>
      <color theme="1"/>
      <name val="ＭＳ Ｐゴシック"/>
      <family val="2"/>
      <scheme val="minor"/>
    </font>
    <font>
      <u/>
      <sz val="9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6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8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4" fillId="0" borderId="0"/>
    <xf numFmtId="0" fontId="11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14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3" fillId="2" borderId="4" xfId="0" applyNumberFormat="1" applyFont="1" applyFill="1" applyBorder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5" fillId="0" borderId="7" xfId="1" applyFont="1" applyBorder="1" applyAlignment="1">
      <alignment horizontal="right" vertical="center"/>
    </xf>
    <xf numFmtId="0" fontId="5" fillId="0" borderId="0" xfId="1" applyFont="1" applyAlignment="1">
      <alignment horizontal="left" vertical="center"/>
    </xf>
    <xf numFmtId="0" fontId="5" fillId="0" borderId="8" xfId="1" applyFont="1" applyBorder="1" applyAlignment="1">
      <alignment vertical="center"/>
    </xf>
    <xf numFmtId="176" fontId="5" fillId="0" borderId="1" xfId="1" applyNumberFormat="1" applyFont="1" applyBorder="1" applyAlignment="1">
      <alignment horizontal="right" vertical="center"/>
    </xf>
    <xf numFmtId="0" fontId="5" fillId="0" borderId="0" xfId="1" applyFont="1" applyAlignment="1">
      <alignment horizontal="center" vertical="center"/>
    </xf>
    <xf numFmtId="176" fontId="5" fillId="0" borderId="3" xfId="1" applyNumberFormat="1" applyFont="1" applyBorder="1" applyAlignment="1">
      <alignment horizontal="right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9" fillId="0" borderId="0" xfId="0" applyFont="1">
      <alignment vertical="center"/>
    </xf>
    <xf numFmtId="49" fontId="9" fillId="0" borderId="1" xfId="0" applyNumberFormat="1" applyFont="1" applyBorder="1">
      <alignment vertical="center"/>
    </xf>
    <xf numFmtId="49" fontId="9" fillId="0" borderId="1" xfId="0" applyNumberFormat="1" applyFont="1" applyBorder="1" applyAlignment="1">
      <alignment vertical="center" wrapText="1"/>
    </xf>
    <xf numFmtId="0" fontId="9" fillId="0" borderId="1" xfId="0" applyFont="1" applyBorder="1">
      <alignment vertical="center"/>
    </xf>
    <xf numFmtId="49" fontId="9" fillId="0" borderId="2" xfId="0" applyNumberFormat="1" applyFont="1" applyBorder="1">
      <alignment vertical="center"/>
    </xf>
    <xf numFmtId="49" fontId="9" fillId="0" borderId="2" xfId="0" applyNumberFormat="1" applyFont="1" applyBorder="1" applyAlignment="1">
      <alignment vertical="center" wrapText="1"/>
    </xf>
    <xf numFmtId="0" fontId="9" fillId="0" borderId="2" xfId="0" applyFont="1" applyBorder="1">
      <alignment vertical="center"/>
    </xf>
    <xf numFmtId="0" fontId="9" fillId="0" borderId="8" xfId="0" applyFont="1" applyBorder="1">
      <alignment vertical="center"/>
    </xf>
    <xf numFmtId="0" fontId="10" fillId="0" borderId="1" xfId="0" applyFont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5" xfId="0" applyNumberFormat="1" applyFont="1" applyBorder="1">
      <alignment vertical="center"/>
    </xf>
    <xf numFmtId="49" fontId="9" fillId="0" borderId="3" xfId="0" applyNumberFormat="1" applyFont="1" applyBorder="1">
      <alignment vertical="center"/>
    </xf>
    <xf numFmtId="49" fontId="9" fillId="0" borderId="6" xfId="0" applyNumberFormat="1" applyFont="1" applyBorder="1">
      <alignment vertical="center"/>
    </xf>
    <xf numFmtId="0" fontId="9" fillId="0" borderId="6" xfId="0" applyFont="1" applyBorder="1">
      <alignment vertical="center"/>
    </xf>
    <xf numFmtId="49" fontId="9" fillId="0" borderId="8" xfId="0" applyNumberFormat="1" applyFont="1" applyBorder="1">
      <alignment vertical="center"/>
    </xf>
    <xf numFmtId="0" fontId="9" fillId="0" borderId="9" xfId="0" applyFont="1" applyBorder="1" applyAlignment="1">
      <alignment horizontal="center" vertical="center"/>
    </xf>
    <xf numFmtId="0" fontId="9" fillId="0" borderId="3" xfId="0" applyFont="1" applyBorder="1">
      <alignment vertical="center"/>
    </xf>
    <xf numFmtId="49" fontId="9" fillId="0" borderId="4" xfId="0" applyNumberFormat="1" applyFont="1" applyBorder="1">
      <alignment vertical="center"/>
    </xf>
    <xf numFmtId="0" fontId="10" fillId="0" borderId="4" xfId="0" applyFont="1" applyBorder="1">
      <alignment vertical="center"/>
    </xf>
    <xf numFmtId="49" fontId="3" fillId="0" borderId="4" xfId="0" applyNumberFormat="1" applyFont="1" applyBorder="1">
      <alignment vertical="center"/>
    </xf>
    <xf numFmtId="0" fontId="5" fillId="0" borderId="4" xfId="1" applyFont="1" applyBorder="1" applyAlignment="1">
      <alignment vertical="center"/>
    </xf>
    <xf numFmtId="0" fontId="5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2" fillId="0" borderId="8" xfId="1" applyFont="1" applyBorder="1" applyAlignment="1">
      <alignment vertical="center"/>
    </xf>
    <xf numFmtId="0" fontId="12" fillId="0" borderId="8" xfId="1" applyFont="1" applyBorder="1" applyAlignment="1">
      <alignment horizontal="center" vertical="center"/>
    </xf>
    <xf numFmtId="0" fontId="12" fillId="0" borderId="8" xfId="1" applyFont="1" applyBorder="1" applyAlignment="1">
      <alignment horizontal="right" vertical="center"/>
    </xf>
    <xf numFmtId="0" fontId="12" fillId="0" borderId="9" xfId="1" applyFont="1" applyBorder="1" applyAlignment="1">
      <alignment vertical="center"/>
    </xf>
    <xf numFmtId="0" fontId="13" fillId="0" borderId="2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12" fillId="0" borderId="0" xfId="1" applyFont="1" applyAlignment="1">
      <alignment horizontal="center" vertical="center"/>
    </xf>
    <xf numFmtId="0" fontId="12" fillId="0" borderId="0" xfId="1" applyFont="1" applyAlignment="1">
      <alignment horizontal="right" vertical="center"/>
    </xf>
    <xf numFmtId="0" fontId="12" fillId="0" borderId="0" xfId="1" applyFont="1" applyAlignment="1">
      <alignment horizontal="left" vertical="center"/>
    </xf>
    <xf numFmtId="0" fontId="12" fillId="0" borderId="24" xfId="1" applyFont="1" applyBorder="1" applyAlignment="1">
      <alignment vertical="center"/>
    </xf>
    <xf numFmtId="0" fontId="12" fillId="0" borderId="23" xfId="1" applyFont="1" applyBorder="1" applyAlignment="1">
      <alignment vertical="center"/>
    </xf>
    <xf numFmtId="0" fontId="12" fillId="0" borderId="21" xfId="1" applyFont="1" applyBorder="1" applyAlignment="1">
      <alignment vertical="center"/>
    </xf>
    <xf numFmtId="0" fontId="12" fillId="0" borderId="7" xfId="1" applyFont="1" applyBorder="1" applyAlignment="1">
      <alignment vertical="center"/>
    </xf>
    <xf numFmtId="0" fontId="12" fillId="0" borderId="7" xfId="1" applyFont="1" applyBorder="1" applyAlignment="1">
      <alignment horizontal="center" vertical="center"/>
    </xf>
    <xf numFmtId="0" fontId="12" fillId="0" borderId="7" xfId="1" applyFont="1" applyBorder="1" applyAlignment="1">
      <alignment horizontal="right" vertical="center"/>
    </xf>
    <xf numFmtId="0" fontId="12" fillId="0" borderId="22" xfId="1" applyFont="1" applyBorder="1" applyAlignment="1">
      <alignment vertical="center"/>
    </xf>
    <xf numFmtId="0" fontId="14" fillId="0" borderId="0" xfId="0" applyFont="1">
      <alignment vertical="center"/>
    </xf>
    <xf numFmtId="14" fontId="14" fillId="0" borderId="0" xfId="0" applyNumberFormat="1" applyFont="1">
      <alignment vertical="center"/>
    </xf>
    <xf numFmtId="0" fontId="15" fillId="0" borderId="3" xfId="1" applyFont="1" applyBorder="1" applyAlignment="1">
      <alignment vertical="center"/>
    </xf>
    <xf numFmtId="0" fontId="15" fillId="0" borderId="8" xfId="1" applyFont="1" applyBorder="1" applyAlignment="1">
      <alignment vertical="center"/>
    </xf>
    <xf numFmtId="0" fontId="16" fillId="0" borderId="1" xfId="1" applyFont="1" applyBorder="1" applyAlignment="1">
      <alignment horizontal="right" vertical="center"/>
    </xf>
    <xf numFmtId="0" fontId="16" fillId="0" borderId="3" xfId="1" applyFont="1" applyBorder="1" applyAlignment="1">
      <alignment horizontal="left" vertical="center"/>
    </xf>
    <xf numFmtId="0" fontId="16" fillId="0" borderId="8" xfId="1" applyFont="1" applyBorder="1" applyAlignment="1">
      <alignment horizontal="left" vertical="center"/>
    </xf>
    <xf numFmtId="0" fontId="16" fillId="0" borderId="13" xfId="1" applyFont="1" applyBorder="1" applyAlignment="1">
      <alignment horizontal="right" vertical="center"/>
    </xf>
    <xf numFmtId="0" fontId="16" fillId="0" borderId="13" xfId="1" applyFont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6" fillId="0" borderId="15" xfId="1" applyFont="1" applyBorder="1" applyAlignment="1">
      <alignment horizontal="right" vertical="center"/>
    </xf>
    <xf numFmtId="0" fontId="16" fillId="0" borderId="15" xfId="1" applyFont="1" applyBorder="1" applyAlignment="1">
      <alignment horizontal="left" vertical="center"/>
    </xf>
    <xf numFmtId="0" fontId="16" fillId="0" borderId="12" xfId="1" applyFont="1" applyBorder="1" applyAlignment="1">
      <alignment horizontal="right" vertical="center"/>
    </xf>
    <xf numFmtId="0" fontId="16" fillId="0" borderId="16" xfId="1" applyFont="1" applyBorder="1" applyAlignment="1">
      <alignment horizontal="left" vertical="center"/>
    </xf>
    <xf numFmtId="0" fontId="16" fillId="0" borderId="17" xfId="1" applyFont="1" applyBorder="1" applyAlignment="1">
      <alignment horizontal="left" vertical="center"/>
    </xf>
    <xf numFmtId="0" fontId="16" fillId="0" borderId="10" xfId="1" applyFont="1" applyBorder="1" applyAlignment="1">
      <alignment horizontal="right" vertical="center"/>
    </xf>
    <xf numFmtId="0" fontId="16" fillId="0" borderId="14" xfId="1" applyFont="1" applyBorder="1" applyAlignment="1">
      <alignment horizontal="left" vertical="center"/>
    </xf>
    <xf numFmtId="0" fontId="16" fillId="0" borderId="11" xfId="1" applyFont="1" applyBorder="1" applyAlignment="1">
      <alignment horizontal="right" vertical="center"/>
    </xf>
    <xf numFmtId="0" fontId="16" fillId="0" borderId="18" xfId="1" applyFont="1" applyBorder="1" applyAlignment="1">
      <alignment horizontal="left" vertical="center"/>
    </xf>
    <xf numFmtId="0" fontId="16" fillId="0" borderId="19" xfId="1" applyFont="1" applyBorder="1" applyAlignment="1">
      <alignment horizontal="right" vertical="center"/>
    </xf>
    <xf numFmtId="0" fontId="16" fillId="0" borderId="20" xfId="1" applyFont="1" applyBorder="1" applyAlignment="1">
      <alignment horizontal="left" vertical="center"/>
    </xf>
    <xf numFmtId="0" fontId="15" fillId="0" borderId="5" xfId="1" applyFont="1" applyBorder="1" applyAlignment="1">
      <alignment vertical="center"/>
    </xf>
    <xf numFmtId="0" fontId="14" fillId="0" borderId="5" xfId="0" applyFont="1" applyBorder="1">
      <alignment vertical="center"/>
    </xf>
    <xf numFmtId="178" fontId="14" fillId="0" borderId="25" xfId="0" applyNumberFormat="1" applyFont="1" applyBorder="1">
      <alignment vertical="center"/>
    </xf>
    <xf numFmtId="0" fontId="18" fillId="0" borderId="0" xfId="3" applyAlignment="1">
      <alignment vertical="center"/>
    </xf>
    <xf numFmtId="0" fontId="0" fillId="0" borderId="0" xfId="0" quotePrefix="1">
      <alignment vertical="center"/>
    </xf>
    <xf numFmtId="0" fontId="14" fillId="0" borderId="0" xfId="0" applyFont="1" applyAlignment="1">
      <alignment horizontal="left"/>
    </xf>
    <xf numFmtId="49" fontId="14" fillId="0" borderId="0" xfId="0" applyNumberFormat="1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9" fillId="0" borderId="0" xfId="0" applyFo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4" fillId="0" borderId="0" xfId="1" applyAlignment="1">
      <alignment horizontal="left" vertical="center"/>
    </xf>
    <xf numFmtId="0" fontId="20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/>
    </xf>
    <xf numFmtId="178" fontId="17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16" fillId="0" borderId="0" xfId="0" applyFont="1">
      <alignment vertical="center"/>
    </xf>
    <xf numFmtId="0" fontId="22" fillId="0" borderId="0" xfId="1" applyFont="1" applyAlignment="1">
      <alignment horizontal="left" vertical="center"/>
    </xf>
    <xf numFmtId="0" fontId="9" fillId="0" borderId="7" xfId="4" applyFont="1" applyBorder="1">
      <alignment vertical="center"/>
    </xf>
    <xf numFmtId="0" fontId="9" fillId="0" borderId="26" xfId="4" applyFont="1" applyBorder="1">
      <alignment vertical="center"/>
    </xf>
    <xf numFmtId="0" fontId="9" fillId="0" borderId="5" xfId="4" applyFont="1" applyBorder="1">
      <alignment vertical="center"/>
    </xf>
    <xf numFmtId="0" fontId="9" fillId="0" borderId="27" xfId="4" applyFont="1" applyBorder="1">
      <alignment vertical="center"/>
    </xf>
    <xf numFmtId="0" fontId="9" fillId="0" borderId="28" xfId="4" applyFont="1" applyBorder="1">
      <alignment vertical="center"/>
    </xf>
    <xf numFmtId="0" fontId="25" fillId="0" borderId="0" xfId="0" applyFont="1" applyAlignment="1"/>
    <xf numFmtId="0" fontId="25" fillId="0" borderId="0" xfId="1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5" fillId="0" borderId="0" xfId="1" applyFont="1" applyAlignment="1">
      <alignment vertical="center"/>
    </xf>
    <xf numFmtId="0" fontId="23" fillId="0" borderId="0" xfId="1" applyFont="1" applyAlignment="1">
      <alignment horizontal="left" vertical="center"/>
    </xf>
    <xf numFmtId="0" fontId="27" fillId="0" borderId="0" xfId="1" applyFont="1" applyAlignment="1">
      <alignment horizontal="left" vertical="center"/>
    </xf>
    <xf numFmtId="0" fontId="28" fillId="0" borderId="8" xfId="0" applyFont="1" applyBorder="1" applyAlignment="1">
      <alignment vertical="center" shrinkToFit="1"/>
    </xf>
    <xf numFmtId="176" fontId="7" fillId="0" borderId="1" xfId="1" applyNumberFormat="1" applyFont="1" applyBorder="1" applyAlignment="1">
      <alignment horizontal="right" vertical="center" shrinkToFit="1"/>
    </xf>
    <xf numFmtId="0" fontId="14" fillId="0" borderId="29" xfId="0" quotePrefix="1" applyFont="1" applyBorder="1" applyAlignment="1">
      <alignment vertical="center" wrapText="1"/>
    </xf>
    <xf numFmtId="0" fontId="14" fillId="0" borderId="29" xfId="0" applyFont="1" applyBorder="1">
      <alignment vertical="center"/>
    </xf>
    <xf numFmtId="0" fontId="9" fillId="0" borderId="29" xfId="0" applyFont="1" applyBorder="1">
      <alignment vertical="center"/>
    </xf>
    <xf numFmtId="0" fontId="5" fillId="0" borderId="29" xfId="1" applyFont="1" applyBorder="1" applyAlignment="1">
      <alignment horizontal="center" vertical="center"/>
    </xf>
    <xf numFmtId="5" fontId="5" fillId="0" borderId="29" xfId="1" applyNumberFormat="1" applyFont="1" applyBorder="1" applyAlignment="1">
      <alignment horizontal="right" vertical="center"/>
    </xf>
    <xf numFmtId="176" fontId="5" fillId="0" borderId="29" xfId="1" applyNumberFormat="1" applyFont="1" applyBorder="1" applyAlignment="1">
      <alignment vertical="center"/>
    </xf>
    <xf numFmtId="0" fontId="9" fillId="0" borderId="27" xfId="0" applyFont="1" applyBorder="1">
      <alignment vertical="center"/>
    </xf>
    <xf numFmtId="176" fontId="7" fillId="0" borderId="29" xfId="1" applyNumberFormat="1" applyFont="1" applyBorder="1" applyAlignment="1">
      <alignment vertical="center" shrinkToFit="1"/>
    </xf>
    <xf numFmtId="49" fontId="5" fillId="0" borderId="29" xfId="1" applyNumberFormat="1" applyFont="1" applyBorder="1" applyAlignment="1">
      <alignment horizontal="left" vertical="center"/>
    </xf>
    <xf numFmtId="14" fontId="5" fillId="0" borderId="29" xfId="1" applyNumberFormat="1" applyFont="1" applyBorder="1" applyAlignment="1">
      <alignment horizontal="left" vertical="center"/>
    </xf>
    <xf numFmtId="0" fontId="5" fillId="0" borderId="29" xfId="1" applyFont="1" applyBorder="1" applyAlignment="1">
      <alignment horizontal="left" vertical="center"/>
    </xf>
    <xf numFmtId="177" fontId="5" fillId="0" borderId="29" xfId="1" applyNumberFormat="1" applyFont="1" applyBorder="1" applyAlignment="1">
      <alignment horizontal="left" vertical="center"/>
    </xf>
    <xf numFmtId="0" fontId="9" fillId="0" borderId="29" xfId="0" applyFont="1" applyBorder="1" applyAlignment="1">
      <alignment horizontal="center" vertical="center"/>
    </xf>
    <xf numFmtId="49" fontId="14" fillId="3" borderId="29" xfId="0" applyNumberFormat="1" applyFont="1" applyFill="1" applyBorder="1">
      <alignment vertical="center"/>
    </xf>
    <xf numFmtId="0" fontId="14" fillId="3" borderId="29" xfId="0" applyFont="1" applyFill="1" applyBorder="1">
      <alignment vertical="center"/>
    </xf>
    <xf numFmtId="0" fontId="16" fillId="0" borderId="30" xfId="1" applyFont="1" applyBorder="1" applyAlignment="1">
      <alignment horizontal="right" vertical="center"/>
    </xf>
    <xf numFmtId="0" fontId="15" fillId="0" borderId="31" xfId="1" applyFont="1" applyBorder="1" applyAlignment="1">
      <alignment vertical="center"/>
    </xf>
    <xf numFmtId="0" fontId="14" fillId="0" borderId="0" xfId="0" applyFont="1" applyAlignment="1">
      <alignment horizontal="center" vertical="center" wrapText="1"/>
    </xf>
    <xf numFmtId="49" fontId="14" fillId="3" borderId="3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9" fillId="0" borderId="29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49" fontId="5" fillId="0" borderId="29" xfId="1" applyNumberFormat="1" applyFont="1" applyBorder="1" applyAlignment="1">
      <alignment horizontal="left" vertical="center"/>
    </xf>
    <xf numFmtId="49" fontId="5" fillId="0" borderId="5" xfId="1" applyNumberFormat="1" applyFont="1" applyBorder="1" applyAlignment="1">
      <alignment horizontal="left" vertical="center"/>
    </xf>
    <xf numFmtId="49" fontId="5" fillId="0" borderId="6" xfId="1" applyNumberFormat="1" applyFont="1" applyBorder="1" applyAlignment="1">
      <alignment horizontal="left" vertical="center"/>
    </xf>
    <xf numFmtId="49" fontId="5" fillId="0" borderId="27" xfId="1" applyNumberFormat="1" applyFont="1" applyBorder="1" applyAlignment="1">
      <alignment horizontal="left" vertical="center"/>
    </xf>
    <xf numFmtId="49" fontId="14" fillId="3" borderId="23" xfId="0" applyNumberFormat="1" applyFont="1" applyFill="1" applyBorder="1" applyAlignment="1">
      <alignment horizontal="center" vertical="center"/>
    </xf>
    <xf numFmtId="49" fontId="14" fillId="3" borderId="21" xfId="0" applyNumberFormat="1" applyFont="1" applyFill="1" applyBorder="1" applyAlignment="1">
      <alignment horizontal="center" vertical="center"/>
    </xf>
    <xf numFmtId="49" fontId="14" fillId="3" borderId="29" xfId="0" applyNumberFormat="1" applyFont="1" applyFill="1" applyBorder="1" applyAlignment="1">
      <alignment horizontal="center" vertical="center"/>
    </xf>
    <xf numFmtId="0" fontId="14" fillId="3" borderId="29" xfId="0" applyFont="1" applyFill="1" applyBorder="1" applyAlignment="1">
      <alignment horizontal="center" vertical="center"/>
    </xf>
    <xf numFmtId="0" fontId="14" fillId="3" borderId="29" xfId="0" applyFont="1" applyFill="1" applyBorder="1" applyAlignment="1">
      <alignment horizontal="center" vertical="center" wrapText="1"/>
    </xf>
  </cellXfs>
  <cellStyles count="6">
    <cellStyle name="ハイパーリンク" xfId="3" builtinId="8"/>
    <cellStyle name="標準" xfId="0" builtinId="0"/>
    <cellStyle name="標準 2" xfId="2" xr:uid="{00000000-0005-0000-0000-000002000000}"/>
    <cellStyle name="標準 3" xfId="4" xr:uid="{A470A561-ABEA-4341-91E2-2F5B5A494EAD}"/>
    <cellStyle name="標準 3 2" xfId="5" xr:uid="{836DC731-597A-4C59-B81A-B4541D3F0794}"/>
    <cellStyle name="標準_MCM2001P_店舗見積書類" xfId="1" xr:uid="{00000000-0005-0000-0000-000003000000}"/>
  </cellStyles>
  <dxfs count="0"/>
  <tableStyles count="0" defaultTableStyle="TableStyleMedium2" defaultPivotStyle="PivotStyleLight16"/>
  <colors>
    <mruColors>
      <color rgb="FFC0C0C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Relationship Id="rId17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A$5" lockText="1" noThreeD="1"/>
</file>

<file path=xl/ctrlProps/ctrlProp6.xml><?xml version="1.0" encoding="utf-8"?>
<formControlPr xmlns="http://schemas.microsoft.com/office/spreadsheetml/2009/9/main" objectType="CheckBox" fmlaLink="$B$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0</xdr:row>
          <xdr:rowOff>47625</xdr:rowOff>
        </xdr:from>
        <xdr:to>
          <xdr:col>3</xdr:col>
          <xdr:colOff>723900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(*ﾟДﾟ)σ</a:t>
              </a: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19</xdr:row>
          <xdr:rowOff>57150</xdr:rowOff>
        </xdr:from>
        <xdr:to>
          <xdr:col>3</xdr:col>
          <xdr:colOff>647700</xdr:colOff>
          <xdr:row>22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見積データ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〆(・ω・)ｶｷｶｷ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3</xdr:row>
          <xdr:rowOff>104775</xdr:rowOff>
        </xdr:from>
        <xdr:to>
          <xdr:col>3</xdr:col>
          <xdr:colOff>704850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  <a:endParaRPr lang="ja-JP" altLang="en-US" sz="8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(((ロ(・ω・*) ｹｼｹｼ♪.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974911</xdr:colOff>
      <xdr:row>20</xdr:row>
      <xdr:rowOff>11206</xdr:rowOff>
    </xdr:from>
    <xdr:to>
      <xdr:col>6</xdr:col>
      <xdr:colOff>64659</xdr:colOff>
      <xdr:row>23</xdr:row>
      <xdr:rowOff>65700</xdr:rowOff>
    </xdr:to>
    <xdr:sp macro="" textlink="">
      <xdr:nvSpPr>
        <xdr:cNvPr id="5" name="社外秘テキスト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392705" y="3821206"/>
          <a:ext cx="1422689" cy="623454"/>
        </a:xfrm>
        <a:prstGeom prst="rect">
          <a:avLst/>
        </a:prstGeom>
        <a:solidFill>
          <a:srgbClr val="FFFF00">
            <a:alpha val="70000"/>
          </a:srgbClr>
        </a:solidFill>
        <a:ln w="25400" cap="rnd" cmpd="thickThin">
          <a:solidFill>
            <a:srgbClr val="FF0000"/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 i="1" u="sng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社外秘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19</xdr:row>
          <xdr:rowOff>47625</xdr:rowOff>
        </xdr:from>
        <xdr:to>
          <xdr:col>2</xdr:col>
          <xdr:colOff>0</xdr:colOff>
          <xdr:row>22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予防交換SE算出</a:t>
              </a:r>
              <a:endParaRPr lang="ja-JP" altLang="en-US" sz="9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(*ﾉ・ω・)ﾉミ□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161925</xdr:rowOff>
        </xdr:from>
        <xdr:to>
          <xdr:col>2</xdr:col>
          <xdr:colOff>485775</xdr:colOff>
          <xdr:row>5</xdr:row>
          <xdr:rowOff>19050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ソフトウェア保守のみ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171450</xdr:rowOff>
        </xdr:from>
        <xdr:to>
          <xdr:col>1</xdr:col>
          <xdr:colOff>0</xdr:colOff>
          <xdr:row>5</xdr:row>
          <xdr:rowOff>28575</xdr:rowOff>
        </xdr:to>
        <xdr:sp macro="" textlink="">
          <xdr:nvSpPr>
            <xdr:cNvPr id="1030" name="Check Box 6" descr="MIND版VP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MIND版VPN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file-sig\S-DTS\FE&#26989;&#21209;&#25913;&#38761;&#23460;\&#26989;&#21209;G2T\10.&#20445;&#23432;&#35211;&#31309;\&#20445;&#23432;&#35211;&#31309;&#12487;&#12540;&#12479;\&#20445;&#23432;&#35211;&#31309;&#26989;&#21209;&#29992;&#12510;&#12473;&#12479;\&#29305;&#35352;&#20107;&#38917;&#12486;&#12531;&#12503;&#12524;&#12540;&#12488;.xls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O42"/>
  <sheetViews>
    <sheetView tabSelected="1" zoomScale="90" zoomScaleNormal="90" workbookViewId="0">
      <selection activeCell="A26" sqref="A26:O34"/>
    </sheetView>
  </sheetViews>
  <sheetFormatPr defaultColWidth="9" defaultRowHeight="15" x14ac:dyDescent="0.15"/>
  <cols>
    <col min="1" max="5" width="12.625" style="54" customWidth="1"/>
    <col min="6" max="6" width="17.875" style="54" customWidth="1"/>
    <col min="7" max="7" width="13.625" style="54" customWidth="1"/>
    <col min="8" max="8" width="10.75" style="54" customWidth="1"/>
    <col min="9" max="10" width="14.375" style="54" customWidth="1"/>
    <col min="11" max="12" width="14.625" style="54" customWidth="1"/>
    <col min="13" max="13" width="14.375" style="54" customWidth="1"/>
    <col min="14" max="15" width="14.625" style="54" customWidth="1"/>
    <col min="16" max="16" width="4.125" style="92" customWidth="1"/>
    <col min="17" max="17" width="16.375" style="54" customWidth="1"/>
    <col min="18" max="16384" width="9" style="54"/>
  </cols>
  <sheetData>
    <row r="1" spans="1:41" ht="13.5" customHeight="1" x14ac:dyDescent="0.15">
      <c r="J1" s="54" t="s">
        <v>0</v>
      </c>
      <c r="K1" s="54" t="s">
        <v>1</v>
      </c>
    </row>
    <row r="2" spans="1:41" x14ac:dyDescent="0.15">
      <c r="A2" s="108" t="s">
        <v>2</v>
      </c>
      <c r="B2" s="107">
        <v>1700140</v>
      </c>
      <c r="F2" s="54" t="s">
        <v>3</v>
      </c>
      <c r="I2" s="54" t="s">
        <v>4</v>
      </c>
      <c r="L2" s="54" t="s">
        <v>589</v>
      </c>
      <c r="M2" s="54" t="s">
        <v>5</v>
      </c>
    </row>
    <row r="3" spans="1:41" ht="15" customHeight="1" x14ac:dyDescent="0.15">
      <c r="A3" s="108" t="s">
        <v>6</v>
      </c>
      <c r="B3" s="107" t="s">
        <v>603</v>
      </c>
      <c r="F3" s="54" t="s">
        <v>7</v>
      </c>
      <c r="I3"/>
    </row>
    <row r="4" spans="1:41" ht="15" customHeight="1" x14ac:dyDescent="0.15">
      <c r="A4" s="108" t="s">
        <v>8</v>
      </c>
      <c r="B4" s="107" t="s">
        <v>604</v>
      </c>
      <c r="F4" s="54" t="s">
        <v>9</v>
      </c>
      <c r="I4"/>
    </row>
    <row r="5" spans="1:41" ht="15.75" thickBot="1" x14ac:dyDescent="0.2">
      <c r="A5" s="84" t="b">
        <v>0</v>
      </c>
      <c r="B5" s="84"/>
      <c r="F5" s="54" t="s">
        <v>10</v>
      </c>
      <c r="G5" s="55"/>
      <c r="I5"/>
      <c r="Q5" s="54" t="s">
        <v>11</v>
      </c>
      <c r="R5" s="54" t="str">
        <f>IF(ISBLANK(J2),"",J2)</f>
        <v/>
      </c>
      <c r="AM5"/>
      <c r="AN5"/>
      <c r="AO5"/>
    </row>
    <row r="6" spans="1:41" ht="16.5" thickTop="1" thickBot="1" x14ac:dyDescent="0.2">
      <c r="A6" s="76" t="s">
        <v>12</v>
      </c>
      <c r="B6" s="77"/>
      <c r="F6" s="54" t="s">
        <v>13</v>
      </c>
      <c r="I6"/>
      <c r="Q6" s="56" t="s">
        <v>14</v>
      </c>
      <c r="R6" s="57"/>
      <c r="S6" s="57"/>
    </row>
    <row r="7" spans="1:41" ht="15.75" thickTop="1" x14ac:dyDescent="0.15">
      <c r="A7" s="54" t="s">
        <v>15</v>
      </c>
      <c r="F7" s="54" t="s">
        <v>16</v>
      </c>
      <c r="I7"/>
      <c r="Q7" s="58">
        <v>1</v>
      </c>
      <c r="R7" s="59" t="s">
        <v>17</v>
      </c>
      <c r="S7" s="60"/>
    </row>
    <row r="8" spans="1:41" ht="13.5" customHeight="1" x14ac:dyDescent="0.15">
      <c r="A8" s="54" t="s">
        <v>18</v>
      </c>
      <c r="F8" s="124" t="s">
        <v>19</v>
      </c>
      <c r="I8"/>
      <c r="Q8" s="122"/>
      <c r="R8" s="69" t="s">
        <v>20</v>
      </c>
      <c r="S8" s="62" t="s">
        <v>21</v>
      </c>
      <c r="T8" s="54" t="s">
        <v>571</v>
      </c>
      <c r="U8" s="54" t="s">
        <v>571</v>
      </c>
      <c r="V8" s="54" t="s">
        <v>571</v>
      </c>
      <c r="W8" s="54" t="s">
        <v>591</v>
      </c>
      <c r="X8" s="54" t="s">
        <v>571</v>
      </c>
      <c r="Y8" s="54" t="s">
        <v>571</v>
      </c>
      <c r="Z8" s="54" t="s">
        <v>584</v>
      </c>
    </row>
    <row r="9" spans="1:41" x14ac:dyDescent="0.15">
      <c r="B9" s="63"/>
      <c r="F9" s="124"/>
      <c r="I9"/>
      <c r="Q9" s="122"/>
      <c r="R9" s="71" t="s">
        <v>22</v>
      </c>
      <c r="S9" s="65" t="s">
        <v>23</v>
      </c>
      <c r="T9" s="54" t="s">
        <v>572</v>
      </c>
      <c r="U9" s="54" t="s">
        <v>572</v>
      </c>
      <c r="V9" s="54" t="s">
        <v>572</v>
      </c>
      <c r="W9" s="54" t="s">
        <v>591</v>
      </c>
      <c r="X9" s="54" t="s">
        <v>572</v>
      </c>
      <c r="Y9" s="54" t="s">
        <v>572</v>
      </c>
      <c r="Z9" s="54" t="s">
        <v>584</v>
      </c>
    </row>
    <row r="10" spans="1:41" x14ac:dyDescent="0.35">
      <c r="A10" s="80" t="s">
        <v>24</v>
      </c>
      <c r="B10" s="80"/>
      <c r="F10" s="124"/>
      <c r="I10"/>
      <c r="Q10" s="66">
        <v>2</v>
      </c>
      <c r="R10" s="67" t="s">
        <v>25</v>
      </c>
      <c r="S10" s="68"/>
      <c r="T10" s="54" t="s">
        <v>26</v>
      </c>
      <c r="U10" s="54" t="s">
        <v>26</v>
      </c>
      <c r="V10" s="54" t="s">
        <v>26</v>
      </c>
      <c r="W10" s="54" t="s">
        <v>592</v>
      </c>
      <c r="X10" s="54" t="s">
        <v>26</v>
      </c>
      <c r="Y10" s="54" t="s">
        <v>26</v>
      </c>
      <c r="Z10" s="54" t="s">
        <v>27</v>
      </c>
    </row>
    <row r="11" spans="1:41" x14ac:dyDescent="0.15">
      <c r="A11" s="78" t="s">
        <v>28</v>
      </c>
      <c r="B11"/>
      <c r="C11"/>
      <c r="D11"/>
      <c r="E11"/>
      <c r="F11" s="124"/>
      <c r="I11"/>
      <c r="Q11" s="56" t="s">
        <v>29</v>
      </c>
      <c r="R11" s="57"/>
      <c r="S11" s="57"/>
    </row>
    <row r="12" spans="1:41" x14ac:dyDescent="0.15">
      <c r="F12" s="124"/>
      <c r="I12"/>
      <c r="Q12" s="58">
        <v>1</v>
      </c>
      <c r="R12" s="59" t="s">
        <v>30</v>
      </c>
      <c r="S12" s="60"/>
    </row>
    <row r="13" spans="1:41" x14ac:dyDescent="0.15">
      <c r="F13" s="124"/>
      <c r="I13"/>
      <c r="Q13" s="122"/>
      <c r="R13" s="69" t="s">
        <v>20</v>
      </c>
      <c r="S13" s="70" t="s">
        <v>31</v>
      </c>
    </row>
    <row r="14" spans="1:41" x14ac:dyDescent="0.15">
      <c r="F14" s="124"/>
      <c r="I14"/>
      <c r="Q14" s="122"/>
      <c r="R14" s="71" t="s">
        <v>22</v>
      </c>
      <c r="S14" s="72" t="s">
        <v>32</v>
      </c>
    </row>
    <row r="15" spans="1:41" x14ac:dyDescent="0.15">
      <c r="F15" s="124"/>
      <c r="I15"/>
      <c r="Q15" s="122"/>
      <c r="R15" s="71" t="s">
        <v>33</v>
      </c>
      <c r="S15" s="72" t="s">
        <v>34</v>
      </c>
    </row>
    <row r="16" spans="1:41" x14ac:dyDescent="0.15">
      <c r="A16" s="54" t="s">
        <v>35</v>
      </c>
      <c r="F16" s="124"/>
      <c r="I16"/>
      <c r="Q16" s="73"/>
      <c r="R16" s="71" t="s">
        <v>36</v>
      </c>
      <c r="S16" s="72" t="s">
        <v>37</v>
      </c>
    </row>
    <row r="17" spans="1:41" x14ac:dyDescent="0.15">
      <c r="A17" s="54" t="s">
        <v>38</v>
      </c>
      <c r="F17" s="124"/>
      <c r="I17"/>
      <c r="Q17" s="73">
        <v>2</v>
      </c>
      <c r="R17" s="74" t="s">
        <v>39</v>
      </c>
      <c r="S17" s="72"/>
      <c r="T17" s="54" t="s">
        <v>573</v>
      </c>
      <c r="U17" s="54" t="s">
        <v>573</v>
      </c>
      <c r="V17" s="54" t="s">
        <v>573</v>
      </c>
      <c r="W17" s="54" t="s">
        <v>593</v>
      </c>
      <c r="X17" s="54" t="s">
        <v>573</v>
      </c>
      <c r="Y17" s="54" t="s">
        <v>573</v>
      </c>
      <c r="Z17" s="54" t="s">
        <v>585</v>
      </c>
    </row>
    <row r="18" spans="1:41" x14ac:dyDescent="0.15">
      <c r="A18" s="54" t="s">
        <v>40</v>
      </c>
      <c r="F18" s="124"/>
      <c r="I18"/>
      <c r="Q18" s="71">
        <v>3</v>
      </c>
      <c r="R18" s="74" t="s">
        <v>41</v>
      </c>
      <c r="S18" s="72"/>
      <c r="T18" s="54" t="s">
        <v>574</v>
      </c>
      <c r="U18" s="54" t="s">
        <v>574</v>
      </c>
      <c r="V18" s="54" t="s">
        <v>574</v>
      </c>
      <c r="W18" s="54" t="s">
        <v>594</v>
      </c>
      <c r="X18" s="54" t="s">
        <v>574</v>
      </c>
      <c r="Y18" s="54" t="s">
        <v>574</v>
      </c>
      <c r="Z18" s="54" t="s">
        <v>586</v>
      </c>
    </row>
    <row r="19" spans="1:41" x14ac:dyDescent="0.15">
      <c r="A19" s="54" t="s">
        <v>42</v>
      </c>
      <c r="F19" s="124"/>
      <c r="I19"/>
      <c r="Q19" s="75" t="s">
        <v>43</v>
      </c>
      <c r="R19" s="123"/>
      <c r="S19" s="123"/>
      <c r="T19" s="54" t="s">
        <v>575</v>
      </c>
      <c r="U19" s="54" t="s">
        <v>575</v>
      </c>
      <c r="V19" s="54" t="s">
        <v>575</v>
      </c>
      <c r="W19" s="54" t="s">
        <v>595</v>
      </c>
      <c r="X19" s="54" t="s">
        <v>575</v>
      </c>
      <c r="Y19" s="54" t="s">
        <v>575</v>
      </c>
      <c r="Z19" s="54" t="s">
        <v>587</v>
      </c>
    </row>
    <row r="20" spans="1:41" x14ac:dyDescent="0.15">
      <c r="F20" s="124"/>
      <c r="I20"/>
      <c r="Q20" s="75" t="s">
        <v>44</v>
      </c>
      <c r="R20" s="123"/>
      <c r="S20" s="123"/>
      <c r="T20" s="54" t="s">
        <v>576</v>
      </c>
      <c r="U20" s="54" t="s">
        <v>576</v>
      </c>
      <c r="V20" s="54" t="s">
        <v>576</v>
      </c>
      <c r="W20" s="54" t="s">
        <v>596</v>
      </c>
      <c r="X20" s="54" t="s">
        <v>576</v>
      </c>
      <c r="Y20" s="54" t="s">
        <v>576</v>
      </c>
      <c r="Z20" s="54" t="s">
        <v>588</v>
      </c>
    </row>
    <row r="21" spans="1:41" x14ac:dyDescent="0.15">
      <c r="F21" s="124"/>
      <c r="I21"/>
    </row>
    <row r="22" spans="1:41" x14ac:dyDescent="0.15">
      <c r="F22" s="124"/>
      <c r="I22"/>
      <c r="M22"/>
      <c r="N22"/>
      <c r="O22"/>
      <c r="Q22" s="54" t="s">
        <v>45</v>
      </c>
      <c r="R22" s="54" t="str">
        <f>IF(ISBLANK(K2),"",K2)</f>
        <v/>
      </c>
      <c r="AM22"/>
      <c r="AN22"/>
      <c r="AO22"/>
    </row>
    <row r="23" spans="1:41" x14ac:dyDescent="0.15">
      <c r="F23" s="124"/>
      <c r="I23"/>
      <c r="L23"/>
      <c r="M23"/>
      <c r="N23"/>
      <c r="O23"/>
      <c r="Q23" s="56" t="s">
        <v>14</v>
      </c>
      <c r="R23" s="57"/>
      <c r="S23" s="57"/>
    </row>
    <row r="24" spans="1:41" x14ac:dyDescent="0.15">
      <c r="F24" s="124"/>
      <c r="I24"/>
      <c r="L24"/>
      <c r="M24"/>
      <c r="N24"/>
      <c r="O24"/>
      <c r="Q24" s="58">
        <v>1</v>
      </c>
      <c r="R24" s="59" t="s">
        <v>17</v>
      </c>
      <c r="S24" s="60"/>
    </row>
    <row r="25" spans="1:41" x14ac:dyDescent="0.15">
      <c r="I25"/>
      <c r="L25"/>
      <c r="M25"/>
      <c r="N25"/>
      <c r="O25"/>
      <c r="Q25" s="122"/>
      <c r="R25" s="61" t="s">
        <v>20</v>
      </c>
      <c r="S25" s="62" t="s">
        <v>21</v>
      </c>
      <c r="T25" s="54" t="s">
        <v>571</v>
      </c>
      <c r="U25" s="54" t="s">
        <v>571</v>
      </c>
      <c r="V25" s="54" t="s">
        <v>571</v>
      </c>
      <c r="W25" s="54" t="s">
        <v>597</v>
      </c>
      <c r="X25" s="54" t="s">
        <v>571</v>
      </c>
      <c r="Y25" s="54" t="s">
        <v>571</v>
      </c>
      <c r="Z25" s="54" t="s">
        <v>578</v>
      </c>
    </row>
    <row r="26" spans="1:41" ht="15" customHeight="1" x14ac:dyDescent="0.15">
      <c r="Q26" s="122"/>
      <c r="R26" s="64" t="s">
        <v>22</v>
      </c>
      <c r="S26" s="65" t="s">
        <v>23</v>
      </c>
      <c r="T26" s="54" t="s">
        <v>572</v>
      </c>
      <c r="U26" s="54" t="s">
        <v>572</v>
      </c>
      <c r="V26" s="54" t="s">
        <v>572</v>
      </c>
      <c r="W26" s="54" t="s">
        <v>597</v>
      </c>
      <c r="X26" s="54" t="s">
        <v>572</v>
      </c>
      <c r="Y26" s="54" t="s">
        <v>572</v>
      </c>
      <c r="Z26" s="54" t="s">
        <v>578</v>
      </c>
    </row>
    <row r="27" spans="1:41" ht="15" customHeight="1" x14ac:dyDescent="0.15">
      <c r="Q27" s="66">
        <v>2</v>
      </c>
      <c r="R27" s="67" t="s">
        <v>25</v>
      </c>
      <c r="S27" s="68"/>
      <c r="T27" s="54" t="s">
        <v>577</v>
      </c>
      <c r="U27" s="54" t="s">
        <v>577</v>
      </c>
      <c r="V27" s="54" t="s">
        <v>577</v>
      </c>
      <c r="W27" s="54" t="s">
        <v>598</v>
      </c>
      <c r="X27" s="54" t="s">
        <v>577</v>
      </c>
      <c r="Y27" s="54" t="s">
        <v>577</v>
      </c>
      <c r="Z27" s="54" t="s">
        <v>579</v>
      </c>
    </row>
    <row r="28" spans="1:41" x14ac:dyDescent="0.15">
      <c r="Q28" s="56" t="s">
        <v>29</v>
      </c>
      <c r="R28" s="57"/>
      <c r="S28" s="57"/>
    </row>
    <row r="29" spans="1:41" x14ac:dyDescent="0.15">
      <c r="Q29" s="58">
        <v>1</v>
      </c>
      <c r="R29" s="59" t="s">
        <v>30</v>
      </c>
      <c r="S29" s="60"/>
    </row>
    <row r="30" spans="1:41" x14ac:dyDescent="0.15">
      <c r="Q30" s="122"/>
      <c r="R30" s="69" t="s">
        <v>20</v>
      </c>
      <c r="S30" s="70" t="s">
        <v>31</v>
      </c>
    </row>
    <row r="31" spans="1:41" x14ac:dyDescent="0.15">
      <c r="Q31" s="122"/>
      <c r="R31" s="71" t="s">
        <v>22</v>
      </c>
      <c r="S31" s="72" t="s">
        <v>32</v>
      </c>
    </row>
    <row r="32" spans="1:41" x14ac:dyDescent="0.15">
      <c r="Q32" s="122"/>
      <c r="R32" s="71" t="s">
        <v>33</v>
      </c>
      <c r="S32" s="72" t="s">
        <v>34</v>
      </c>
    </row>
    <row r="33" spans="17:26" x14ac:dyDescent="0.15">
      <c r="Q33" s="73"/>
      <c r="R33" s="71" t="s">
        <v>36</v>
      </c>
      <c r="S33" s="72" t="s">
        <v>37</v>
      </c>
    </row>
    <row r="34" spans="17:26" x14ac:dyDescent="0.15">
      <c r="Q34" s="73">
        <v>2</v>
      </c>
      <c r="R34" s="74" t="s">
        <v>39</v>
      </c>
      <c r="S34" s="72"/>
      <c r="T34" s="54" t="s">
        <v>573</v>
      </c>
      <c r="U34" s="54" t="s">
        <v>573</v>
      </c>
      <c r="V34" s="54" t="s">
        <v>573</v>
      </c>
      <c r="W34" s="54" t="s">
        <v>599</v>
      </c>
      <c r="X34" s="54" t="s">
        <v>573</v>
      </c>
      <c r="Y34" s="54" t="s">
        <v>573</v>
      </c>
      <c r="Z34" s="54" t="s">
        <v>580</v>
      </c>
    </row>
    <row r="35" spans="17:26" x14ac:dyDescent="0.15">
      <c r="Q35" s="71">
        <v>3</v>
      </c>
      <c r="R35" s="74" t="s">
        <v>41</v>
      </c>
      <c r="S35" s="72"/>
      <c r="T35" s="54" t="s">
        <v>574</v>
      </c>
      <c r="U35" s="54" t="s">
        <v>574</v>
      </c>
      <c r="V35" s="54" t="s">
        <v>574</v>
      </c>
      <c r="W35" s="54" t="s">
        <v>600</v>
      </c>
      <c r="X35" s="54" t="s">
        <v>574</v>
      </c>
      <c r="Y35" s="54" t="s">
        <v>574</v>
      </c>
      <c r="Z35" s="54" t="s">
        <v>581</v>
      </c>
    </row>
    <row r="36" spans="17:26" x14ac:dyDescent="0.15">
      <c r="Q36" s="75" t="s">
        <v>43</v>
      </c>
      <c r="R36" s="123"/>
      <c r="S36" s="123"/>
      <c r="T36" s="54" t="s">
        <v>575</v>
      </c>
      <c r="U36" s="54" t="s">
        <v>575</v>
      </c>
      <c r="V36" s="54" t="s">
        <v>575</v>
      </c>
      <c r="W36" s="54" t="s">
        <v>601</v>
      </c>
      <c r="X36" s="54" t="s">
        <v>575</v>
      </c>
      <c r="Y36" s="54" t="s">
        <v>575</v>
      </c>
      <c r="Z36" s="54" t="s">
        <v>582</v>
      </c>
    </row>
    <row r="37" spans="17:26" x14ac:dyDescent="0.15">
      <c r="Q37" s="75" t="s">
        <v>44</v>
      </c>
      <c r="R37" s="123"/>
      <c r="S37" s="123"/>
      <c r="T37" s="54" t="s">
        <v>576</v>
      </c>
      <c r="U37" s="54" t="s">
        <v>576</v>
      </c>
      <c r="V37" s="54" t="s">
        <v>576</v>
      </c>
      <c r="W37" s="54" t="s">
        <v>602</v>
      </c>
      <c r="X37" s="54" t="s">
        <v>576</v>
      </c>
      <c r="Y37" s="54" t="s">
        <v>576</v>
      </c>
      <c r="Z37" s="54" t="s">
        <v>583</v>
      </c>
    </row>
    <row r="40" spans="17:26" x14ac:dyDescent="0.15">
      <c r="Q40" s="81"/>
      <c r="W40" s="82"/>
      <c r="X40" s="82"/>
    </row>
    <row r="41" spans="17:26" ht="15" customHeight="1" x14ac:dyDescent="0.15">
      <c r="Q41" s="81"/>
      <c r="V41" s="83"/>
      <c r="W41" s="82"/>
      <c r="X41" s="82"/>
    </row>
    <row r="42" spans="17:26" x14ac:dyDescent="0.15">
      <c r="Q42" s="81"/>
      <c r="R42" s="81"/>
      <c r="S42" s="81"/>
      <c r="U42" s="81"/>
    </row>
  </sheetData>
  <sortState xmlns:xlrd2="http://schemas.microsoft.com/office/spreadsheetml/2017/richdata2" ref="L3:L4">
    <sortCondition ref="L2"/>
  </sortState>
  <dataConsolidate/>
  <mergeCells count="1">
    <mergeCell ref="F8:F24"/>
  </mergeCells>
  <phoneticPr fontId="1"/>
  <hyperlinks>
    <hyperlink ref="A11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reate_MainteEndList">
                <anchor moveWithCells="1">
                  <from>
                    <xdr:col>2</xdr:col>
                    <xdr:colOff>542925</xdr:colOff>
                    <xdr:row>0</xdr:row>
                    <xdr:rowOff>47625</xdr:rowOff>
                  </from>
                  <to>
                    <xdr:col>3</xdr:col>
                    <xdr:colOff>723900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stimate_Pattarn">
                <anchor moveWithCells="1">
                  <from>
                    <xdr:col>2</xdr:col>
                    <xdr:colOff>142875</xdr:colOff>
                    <xdr:row>19</xdr:row>
                    <xdr:rowOff>57150</xdr:rowOff>
                  </from>
                  <to>
                    <xdr:col>3</xdr:col>
                    <xdr:colOff>647700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del_TestData">
                <anchor moveWithCells="1">
                  <from>
                    <xdr:col>2</xdr:col>
                    <xdr:colOff>552450</xdr:colOff>
                    <xdr:row>3</xdr:row>
                    <xdr:rowOff>104775</xdr:rowOff>
                  </from>
                  <to>
                    <xdr:col>3</xdr:col>
                    <xdr:colOff>704850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alc_SE">
                <anchor moveWithCells="1">
                  <from>
                    <xdr:col>0</xdr:col>
                    <xdr:colOff>428625</xdr:colOff>
                    <xdr:row>19</xdr:row>
                    <xdr:rowOff>47625</xdr:rowOff>
                  </from>
                  <to>
                    <xdr:col>2</xdr:col>
                    <xdr:colOff>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 altText="MIND版VPN">
                <anchor moveWithCells="1"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3</xdr:row>
                    <xdr:rowOff>161925</xdr:rowOff>
                  </from>
                  <to>
                    <xdr:col>2</xdr:col>
                    <xdr:colOff>485775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54BC3-587A-45F8-8E3F-22E948807BFA}">
  <sheetPr codeName="Sheet3"/>
  <dimension ref="A1:C277"/>
  <sheetViews>
    <sheetView topLeftCell="A109" workbookViewId="0">
      <selection activeCell="A127" sqref="A127"/>
    </sheetView>
  </sheetViews>
  <sheetFormatPr defaultRowHeight="13.5" x14ac:dyDescent="0.15"/>
  <cols>
    <col min="1" max="1" width="69.375" customWidth="1"/>
  </cols>
  <sheetData>
    <row r="1" spans="1:1" x14ac:dyDescent="0.15">
      <c r="A1" t="s">
        <v>46</v>
      </c>
    </row>
    <row r="2" spans="1:1" x14ac:dyDescent="0.15">
      <c r="A2" t="s">
        <v>47</v>
      </c>
    </row>
    <row r="3" spans="1:1" x14ac:dyDescent="0.15">
      <c r="A3" t="s">
        <v>48</v>
      </c>
    </row>
    <row r="4" spans="1:1" x14ac:dyDescent="0.15">
      <c r="A4" t="s">
        <v>49</v>
      </c>
    </row>
    <row r="5" spans="1:1" x14ac:dyDescent="0.15">
      <c r="A5" t="s">
        <v>50</v>
      </c>
    </row>
    <row r="6" spans="1:1" x14ac:dyDescent="0.15">
      <c r="A6" t="s">
        <v>51</v>
      </c>
    </row>
    <row r="7" spans="1:1" x14ac:dyDescent="0.15">
      <c r="A7" t="s">
        <v>52</v>
      </c>
    </row>
    <row r="8" spans="1:1" x14ac:dyDescent="0.15">
      <c r="A8" t="s">
        <v>53</v>
      </c>
    </row>
    <row r="9" spans="1:1" x14ac:dyDescent="0.15">
      <c r="A9" t="s">
        <v>54</v>
      </c>
    </row>
    <row r="11" spans="1:1" x14ac:dyDescent="0.15">
      <c r="A11" t="s">
        <v>55</v>
      </c>
    </row>
    <row r="12" spans="1:1" x14ac:dyDescent="0.15">
      <c r="A12" t="s">
        <v>56</v>
      </c>
    </row>
    <row r="13" spans="1:1" x14ac:dyDescent="0.15">
      <c r="A13" t="s">
        <v>57</v>
      </c>
    </row>
    <row r="14" spans="1:1" x14ac:dyDescent="0.15">
      <c r="A14" t="s">
        <v>58</v>
      </c>
    </row>
    <row r="15" spans="1:1" x14ac:dyDescent="0.15">
      <c r="A15" t="s">
        <v>59</v>
      </c>
    </row>
    <row r="16" spans="1:1" x14ac:dyDescent="0.15">
      <c r="A16" t="s">
        <v>60</v>
      </c>
    </row>
    <row r="17" spans="1:3" x14ac:dyDescent="0.15">
      <c r="A17" t="s">
        <v>61</v>
      </c>
    </row>
    <row r="18" spans="1:3" x14ac:dyDescent="0.15">
      <c r="A18" t="s">
        <v>62</v>
      </c>
    </row>
    <row r="19" spans="1:3" x14ac:dyDescent="0.15">
      <c r="A19" t="s">
        <v>63</v>
      </c>
      <c r="C19" t="s">
        <v>64</v>
      </c>
    </row>
    <row r="20" spans="1:3" x14ac:dyDescent="0.15">
      <c r="A20" t="s">
        <v>65</v>
      </c>
      <c r="C20" t="s">
        <v>66</v>
      </c>
    </row>
    <row r="21" spans="1:3" x14ac:dyDescent="0.15">
      <c r="A21" t="s">
        <v>67</v>
      </c>
    </row>
    <row r="22" spans="1:3" x14ac:dyDescent="0.15">
      <c r="A22" t="s">
        <v>68</v>
      </c>
    </row>
    <row r="23" spans="1:3" x14ac:dyDescent="0.15">
      <c r="A23" t="s">
        <v>69</v>
      </c>
    </row>
    <row r="24" spans="1:3" x14ac:dyDescent="0.15">
      <c r="A24" t="s">
        <v>70</v>
      </c>
    </row>
    <row r="25" spans="1:3" x14ac:dyDescent="0.15">
      <c r="A25" t="s">
        <v>71</v>
      </c>
    </row>
    <row r="26" spans="1:3" x14ac:dyDescent="0.15">
      <c r="A26" t="s">
        <v>72</v>
      </c>
    </row>
    <row r="27" spans="1:3" x14ac:dyDescent="0.15">
      <c r="A27" t="s">
        <v>73</v>
      </c>
    </row>
    <row r="28" spans="1:3" x14ac:dyDescent="0.15">
      <c r="A28" t="s">
        <v>74</v>
      </c>
    </row>
    <row r="29" spans="1:3" x14ac:dyDescent="0.15">
      <c r="A29" t="s">
        <v>75</v>
      </c>
    </row>
    <row r="30" spans="1:3" x14ac:dyDescent="0.15">
      <c r="A30" t="s">
        <v>76</v>
      </c>
      <c r="B30" t="s">
        <v>77</v>
      </c>
    </row>
    <row r="31" spans="1:3" x14ac:dyDescent="0.15">
      <c r="A31" t="s">
        <v>78</v>
      </c>
    </row>
    <row r="32" spans="1:3" x14ac:dyDescent="0.15">
      <c r="A32" t="s">
        <v>79</v>
      </c>
    </row>
    <row r="33" spans="1:1" x14ac:dyDescent="0.15">
      <c r="A33" t="s">
        <v>80</v>
      </c>
    </row>
    <row r="34" spans="1:1" x14ac:dyDescent="0.15">
      <c r="A34" t="s">
        <v>81</v>
      </c>
    </row>
    <row r="35" spans="1:1" x14ac:dyDescent="0.15">
      <c r="A35" t="s">
        <v>82</v>
      </c>
    </row>
    <row r="36" spans="1:1" x14ac:dyDescent="0.15">
      <c r="A36" t="s">
        <v>83</v>
      </c>
    </row>
    <row r="37" spans="1:1" x14ac:dyDescent="0.15">
      <c r="A37" t="s">
        <v>84</v>
      </c>
    </row>
    <row r="38" spans="1:1" x14ac:dyDescent="0.15">
      <c r="A38" t="s">
        <v>85</v>
      </c>
    </row>
    <row r="39" spans="1:1" x14ac:dyDescent="0.15">
      <c r="A39" t="s">
        <v>86</v>
      </c>
    </row>
    <row r="40" spans="1:1" x14ac:dyDescent="0.15">
      <c r="A40" t="s">
        <v>87</v>
      </c>
    </row>
    <row r="41" spans="1:1" x14ac:dyDescent="0.15">
      <c r="A41" t="s">
        <v>88</v>
      </c>
    </row>
    <row r="42" spans="1:1" x14ac:dyDescent="0.15">
      <c r="A42" t="s">
        <v>89</v>
      </c>
    </row>
    <row r="43" spans="1:1" x14ac:dyDescent="0.15">
      <c r="A43" t="s">
        <v>76</v>
      </c>
    </row>
    <row r="44" spans="1:1" x14ac:dyDescent="0.15">
      <c r="A44" t="s">
        <v>90</v>
      </c>
    </row>
    <row r="45" spans="1:1" x14ac:dyDescent="0.15">
      <c r="A45" t="s">
        <v>91</v>
      </c>
    </row>
    <row r="46" spans="1:1" x14ac:dyDescent="0.15">
      <c r="A46" t="s">
        <v>80</v>
      </c>
    </row>
    <row r="47" spans="1:1" x14ac:dyDescent="0.15">
      <c r="A47" t="s">
        <v>81</v>
      </c>
    </row>
    <row r="48" spans="1:1" x14ac:dyDescent="0.15">
      <c r="A48" t="s">
        <v>76</v>
      </c>
    </row>
    <row r="49" spans="1:1" x14ac:dyDescent="0.15">
      <c r="A49" t="s">
        <v>90</v>
      </c>
    </row>
    <row r="50" spans="1:1" x14ac:dyDescent="0.15">
      <c r="A50" t="s">
        <v>92</v>
      </c>
    </row>
    <row r="51" spans="1:1" x14ac:dyDescent="0.15">
      <c r="A51" t="s">
        <v>93</v>
      </c>
    </row>
    <row r="52" spans="1:1" x14ac:dyDescent="0.15">
      <c r="A52" t="s">
        <v>94</v>
      </c>
    </row>
    <row r="53" spans="1:1" x14ac:dyDescent="0.15">
      <c r="A53" t="s">
        <v>92</v>
      </c>
    </row>
    <row r="54" spans="1:1" x14ac:dyDescent="0.15">
      <c r="A54" t="s">
        <v>95</v>
      </c>
    </row>
    <row r="55" spans="1:1" x14ac:dyDescent="0.15">
      <c r="A55" t="s">
        <v>96</v>
      </c>
    </row>
    <row r="56" spans="1:1" x14ac:dyDescent="0.15">
      <c r="A56" t="s">
        <v>80</v>
      </c>
    </row>
    <row r="57" spans="1:1" x14ac:dyDescent="0.15">
      <c r="A57" t="s">
        <v>81</v>
      </c>
    </row>
    <row r="58" spans="1:1" x14ac:dyDescent="0.15">
      <c r="A58" t="s">
        <v>76</v>
      </c>
    </row>
    <row r="59" spans="1:1" x14ac:dyDescent="0.15">
      <c r="A59" t="s">
        <v>97</v>
      </c>
    </row>
    <row r="60" spans="1:1" x14ac:dyDescent="0.15">
      <c r="A60" t="s">
        <v>98</v>
      </c>
    </row>
    <row r="61" spans="1:1" x14ac:dyDescent="0.15">
      <c r="A61" t="s">
        <v>80</v>
      </c>
    </row>
    <row r="62" spans="1:1" x14ac:dyDescent="0.15">
      <c r="A62" t="s">
        <v>81</v>
      </c>
    </row>
    <row r="63" spans="1:1" x14ac:dyDescent="0.15">
      <c r="A63" t="s">
        <v>99</v>
      </c>
    </row>
    <row r="64" spans="1:1" x14ac:dyDescent="0.15">
      <c r="A64" t="s">
        <v>100</v>
      </c>
    </row>
    <row r="65" spans="1:2" x14ac:dyDescent="0.15">
      <c r="A65" t="s">
        <v>101</v>
      </c>
    </row>
    <row r="66" spans="1:2" x14ac:dyDescent="0.15">
      <c r="A66" t="s">
        <v>102</v>
      </c>
    </row>
    <row r="67" spans="1:2" x14ac:dyDescent="0.15">
      <c r="A67" t="s">
        <v>81</v>
      </c>
    </row>
    <row r="68" spans="1:2" x14ac:dyDescent="0.15">
      <c r="A68" t="s">
        <v>103</v>
      </c>
    </row>
    <row r="69" spans="1:2" x14ac:dyDescent="0.15">
      <c r="A69" t="s">
        <v>104</v>
      </c>
    </row>
    <row r="70" spans="1:2" x14ac:dyDescent="0.15">
      <c r="A70" t="s">
        <v>105</v>
      </c>
    </row>
    <row r="71" spans="1:2" x14ac:dyDescent="0.15">
      <c r="A71" t="s">
        <v>106</v>
      </c>
    </row>
    <row r="72" spans="1:2" x14ac:dyDescent="0.15">
      <c r="A72" t="s">
        <v>107</v>
      </c>
    </row>
    <row r="73" spans="1:2" x14ac:dyDescent="0.15">
      <c r="A73" t="s">
        <v>108</v>
      </c>
      <c r="B73" t="s">
        <v>109</v>
      </c>
    </row>
    <row r="74" spans="1:2" x14ac:dyDescent="0.15">
      <c r="A74" t="s">
        <v>110</v>
      </c>
    </row>
    <row r="75" spans="1:2" x14ac:dyDescent="0.15">
      <c r="A75" t="s">
        <v>111</v>
      </c>
    </row>
    <row r="76" spans="1:2" x14ac:dyDescent="0.15">
      <c r="A76" t="s">
        <v>107</v>
      </c>
    </row>
    <row r="77" spans="1:2" x14ac:dyDescent="0.15">
      <c r="A77" t="s">
        <v>112</v>
      </c>
      <c r="B77" t="s">
        <v>113</v>
      </c>
    </row>
    <row r="78" spans="1:2" x14ac:dyDescent="0.15">
      <c r="A78" t="s">
        <v>110</v>
      </c>
    </row>
    <row r="79" spans="1:2" x14ac:dyDescent="0.15">
      <c r="A79" t="s">
        <v>114</v>
      </c>
    </row>
    <row r="80" spans="1:2" x14ac:dyDescent="0.15">
      <c r="A80" t="s">
        <v>107</v>
      </c>
    </row>
    <row r="81" spans="1:2" x14ac:dyDescent="0.15">
      <c r="A81" t="s">
        <v>115</v>
      </c>
      <c r="B81" t="s">
        <v>116</v>
      </c>
    </row>
    <row r="82" spans="1:2" x14ac:dyDescent="0.15">
      <c r="A82" t="s">
        <v>110</v>
      </c>
    </row>
    <row r="83" spans="1:2" x14ac:dyDescent="0.15">
      <c r="A83" t="s">
        <v>117</v>
      </c>
    </row>
    <row r="84" spans="1:2" x14ac:dyDescent="0.15">
      <c r="A84" t="s">
        <v>107</v>
      </c>
    </row>
    <row r="85" spans="1:2" x14ac:dyDescent="0.15">
      <c r="A85" t="s">
        <v>118</v>
      </c>
      <c r="B85" t="s">
        <v>119</v>
      </c>
    </row>
    <row r="86" spans="1:2" x14ac:dyDescent="0.15">
      <c r="A86" t="s">
        <v>110</v>
      </c>
    </row>
    <row r="87" spans="1:2" x14ac:dyDescent="0.15">
      <c r="A87" t="s">
        <v>120</v>
      </c>
    </row>
    <row r="88" spans="1:2" x14ac:dyDescent="0.15">
      <c r="A88" t="s">
        <v>121</v>
      </c>
    </row>
    <row r="89" spans="1:2" x14ac:dyDescent="0.15">
      <c r="A89" t="s">
        <v>122</v>
      </c>
      <c r="B89" t="s">
        <v>123</v>
      </c>
    </row>
    <row r="90" spans="1:2" x14ac:dyDescent="0.15">
      <c r="A90" t="s">
        <v>110</v>
      </c>
    </row>
    <row r="91" spans="1:2" x14ac:dyDescent="0.15">
      <c r="A91" t="s">
        <v>124</v>
      </c>
    </row>
    <row r="92" spans="1:2" x14ac:dyDescent="0.15">
      <c r="A92" t="s">
        <v>107</v>
      </c>
    </row>
    <row r="93" spans="1:2" x14ac:dyDescent="0.15">
      <c r="A93" t="s">
        <v>125</v>
      </c>
      <c r="B93" t="s">
        <v>126</v>
      </c>
    </row>
    <row r="94" spans="1:2" x14ac:dyDescent="0.15">
      <c r="A94" t="s">
        <v>110</v>
      </c>
    </row>
    <row r="95" spans="1:2" x14ac:dyDescent="0.15">
      <c r="A95" t="s">
        <v>127</v>
      </c>
    </row>
    <row r="96" spans="1:2" x14ac:dyDescent="0.15">
      <c r="A96" t="s">
        <v>107</v>
      </c>
    </row>
    <row r="97" spans="1:2" x14ac:dyDescent="0.15">
      <c r="A97" t="s">
        <v>128</v>
      </c>
      <c r="B97" t="s">
        <v>129</v>
      </c>
    </row>
    <row r="98" spans="1:2" x14ac:dyDescent="0.15">
      <c r="A98" t="s">
        <v>110</v>
      </c>
    </row>
    <row r="99" spans="1:2" x14ac:dyDescent="0.15">
      <c r="A99" t="s">
        <v>130</v>
      </c>
    </row>
    <row r="100" spans="1:2" x14ac:dyDescent="0.15">
      <c r="A100" t="s">
        <v>107</v>
      </c>
    </row>
    <row r="101" spans="1:2" x14ac:dyDescent="0.15">
      <c r="A101" t="s">
        <v>131</v>
      </c>
    </row>
    <row r="102" spans="1:2" x14ac:dyDescent="0.15">
      <c r="A102" t="s">
        <v>110</v>
      </c>
    </row>
    <row r="103" spans="1:2" x14ac:dyDescent="0.15">
      <c r="A103" t="s">
        <v>132</v>
      </c>
    </row>
    <row r="104" spans="1:2" x14ac:dyDescent="0.15">
      <c r="A104" t="s">
        <v>107</v>
      </c>
    </row>
    <row r="105" spans="1:2" x14ac:dyDescent="0.15">
      <c r="A105" t="s">
        <v>133</v>
      </c>
      <c r="B105" t="s">
        <v>134</v>
      </c>
    </row>
    <row r="106" spans="1:2" x14ac:dyDescent="0.15">
      <c r="A106" t="s">
        <v>110</v>
      </c>
    </row>
    <row r="107" spans="1:2" x14ac:dyDescent="0.15">
      <c r="A107" t="s">
        <v>135</v>
      </c>
    </row>
    <row r="108" spans="1:2" x14ac:dyDescent="0.15">
      <c r="A108" t="s">
        <v>107</v>
      </c>
    </row>
    <row r="109" spans="1:2" x14ac:dyDescent="0.15">
      <c r="A109" t="s">
        <v>136</v>
      </c>
    </row>
    <row r="110" spans="1:2" x14ac:dyDescent="0.15">
      <c r="A110" t="s">
        <v>110</v>
      </c>
    </row>
    <row r="111" spans="1:2" x14ac:dyDescent="0.15">
      <c r="A111" t="s">
        <v>137</v>
      </c>
    </row>
    <row r="112" spans="1:2" x14ac:dyDescent="0.15">
      <c r="A112" t="s">
        <v>121</v>
      </c>
    </row>
    <row r="113" spans="1:2" x14ac:dyDescent="0.15">
      <c r="A113" t="s">
        <v>138</v>
      </c>
      <c r="B113" t="s">
        <v>139</v>
      </c>
    </row>
    <row r="114" spans="1:2" x14ac:dyDescent="0.15">
      <c r="A114" t="s">
        <v>110</v>
      </c>
    </row>
    <row r="115" spans="1:2" x14ac:dyDescent="0.15">
      <c r="A115" t="s">
        <v>140</v>
      </c>
    </row>
    <row r="116" spans="1:2" x14ac:dyDescent="0.15">
      <c r="A116" t="s">
        <v>107</v>
      </c>
    </row>
    <row r="117" spans="1:2" x14ac:dyDescent="0.15">
      <c r="A117" t="s">
        <v>141</v>
      </c>
      <c r="B117" t="s">
        <v>142</v>
      </c>
    </row>
    <row r="118" spans="1:2" x14ac:dyDescent="0.15">
      <c r="A118" t="s">
        <v>110</v>
      </c>
    </row>
    <row r="119" spans="1:2" x14ac:dyDescent="0.15">
      <c r="A119" t="s">
        <v>143</v>
      </c>
    </row>
    <row r="120" spans="1:2" x14ac:dyDescent="0.15">
      <c r="A120" t="s">
        <v>107</v>
      </c>
    </row>
    <row r="121" spans="1:2" x14ac:dyDescent="0.15">
      <c r="A121" t="s">
        <v>144</v>
      </c>
    </row>
    <row r="122" spans="1:2" x14ac:dyDescent="0.15">
      <c r="A122" t="s">
        <v>110</v>
      </c>
    </row>
    <row r="123" spans="1:2" x14ac:dyDescent="0.15">
      <c r="A123" t="s">
        <v>145</v>
      </c>
    </row>
    <row r="124" spans="1:2" x14ac:dyDescent="0.15">
      <c r="A124" t="s">
        <v>146</v>
      </c>
    </row>
    <row r="125" spans="1:2" x14ac:dyDescent="0.15">
      <c r="A125" t="s">
        <v>147</v>
      </c>
    </row>
    <row r="126" spans="1:2" x14ac:dyDescent="0.15">
      <c r="A126" t="str">
        <f>IF(ISBLANK(操作シート!$B$6)," AND MAG.TEKKYO_DT IS NULL"," AND (MAG.TEKKYO_DT &gt;= '"&amp;TEXT(操作シート!$B$6,"yyyy/mm/dd")&amp;"' OR MAG.TEKKYO_DT IS NULL)")</f>
        <v xml:space="preserve"> AND MAG.TEKKYO_DT IS NULL</v>
      </c>
    </row>
    <row r="127" spans="1:2" x14ac:dyDescent="0.15">
      <c r="A127" t="s">
        <v>148</v>
      </c>
    </row>
    <row r="128" spans="1:2" x14ac:dyDescent="0.15">
      <c r="A128" t="s">
        <v>149</v>
      </c>
    </row>
    <row r="129" spans="1:3" x14ac:dyDescent="0.15">
      <c r="A129" t="s">
        <v>150</v>
      </c>
    </row>
    <row r="130" spans="1:3" x14ac:dyDescent="0.15">
      <c r="A130" t="s">
        <v>151</v>
      </c>
    </row>
    <row r="131" spans="1:3" x14ac:dyDescent="0.15">
      <c r="A131" t="str">
        <f>" AND MAB.SUPPORT_ID = '"&amp;TEXT(操作シート!$B$2,"0000000")&amp;"'"</f>
        <v xml:space="preserve"> AND MAB.SUPPORT_ID = '1700140'</v>
      </c>
      <c r="C131" t="s">
        <v>152</v>
      </c>
    </row>
    <row r="132" spans="1:3" x14ac:dyDescent="0.15">
      <c r="A132" t="s">
        <v>153</v>
      </c>
    </row>
    <row r="133" spans="1:3" x14ac:dyDescent="0.15">
      <c r="A133" t="s">
        <v>154</v>
      </c>
    </row>
    <row r="134" spans="1:3" x14ac:dyDescent="0.15">
      <c r="A134" t="s">
        <v>155</v>
      </c>
    </row>
    <row r="135" spans="1:3" x14ac:dyDescent="0.15">
      <c r="A135" t="s">
        <v>156</v>
      </c>
    </row>
    <row r="136" spans="1:3" x14ac:dyDescent="0.15">
      <c r="A136" t="s">
        <v>157</v>
      </c>
    </row>
    <row r="137" spans="1:3" x14ac:dyDescent="0.15">
      <c r="A137" t="s">
        <v>158</v>
      </c>
    </row>
    <row r="138" spans="1:3" x14ac:dyDescent="0.15">
      <c r="A138" t="s">
        <v>159</v>
      </c>
    </row>
    <row r="139" spans="1:3" x14ac:dyDescent="0.15">
      <c r="A139" t="s">
        <v>160</v>
      </c>
    </row>
    <row r="142" spans="1:3" x14ac:dyDescent="0.15">
      <c r="A142" t="s">
        <v>46</v>
      </c>
    </row>
    <row r="143" spans="1:3" x14ac:dyDescent="0.15">
      <c r="A143" t="s">
        <v>47</v>
      </c>
    </row>
    <row r="144" spans="1:3" x14ac:dyDescent="0.15">
      <c r="A144" t="s">
        <v>48</v>
      </c>
    </row>
    <row r="145" spans="1:3" x14ac:dyDescent="0.15">
      <c r="A145" t="s">
        <v>49</v>
      </c>
    </row>
    <row r="146" spans="1:3" x14ac:dyDescent="0.15">
      <c r="A146" t="s">
        <v>50</v>
      </c>
    </row>
    <row r="147" spans="1:3" x14ac:dyDescent="0.15">
      <c r="A147" t="s">
        <v>51</v>
      </c>
    </row>
    <row r="148" spans="1:3" x14ac:dyDescent="0.15">
      <c r="A148" t="s">
        <v>52</v>
      </c>
    </row>
    <row r="149" spans="1:3" x14ac:dyDescent="0.15">
      <c r="A149" t="s">
        <v>53</v>
      </c>
    </row>
    <row r="150" spans="1:3" x14ac:dyDescent="0.15">
      <c r="A150" t="s">
        <v>161</v>
      </c>
    </row>
    <row r="152" spans="1:3" x14ac:dyDescent="0.15">
      <c r="A152" t="s">
        <v>162</v>
      </c>
    </row>
    <row r="153" spans="1:3" x14ac:dyDescent="0.15">
      <c r="A153" t="s">
        <v>56</v>
      </c>
    </row>
    <row r="154" spans="1:3" x14ac:dyDescent="0.15">
      <c r="A154" t="s">
        <v>57</v>
      </c>
    </row>
    <row r="155" spans="1:3" x14ac:dyDescent="0.15">
      <c r="A155" t="s">
        <v>163</v>
      </c>
    </row>
    <row r="156" spans="1:3" x14ac:dyDescent="0.15">
      <c r="A156" t="s">
        <v>164</v>
      </c>
    </row>
    <row r="157" spans="1:3" x14ac:dyDescent="0.15">
      <c r="A157" t="s">
        <v>60</v>
      </c>
    </row>
    <row r="158" spans="1:3" x14ac:dyDescent="0.15">
      <c r="A158" t="s">
        <v>61</v>
      </c>
    </row>
    <row r="159" spans="1:3" x14ac:dyDescent="0.15">
      <c r="A159" t="s">
        <v>165</v>
      </c>
    </row>
    <row r="160" spans="1:3" x14ac:dyDescent="0.15">
      <c r="A160" t="s">
        <v>166</v>
      </c>
      <c r="C160" t="s">
        <v>64</v>
      </c>
    </row>
    <row r="161" spans="1:3" x14ac:dyDescent="0.15">
      <c r="A161" t="s">
        <v>167</v>
      </c>
      <c r="C161" t="s">
        <v>66</v>
      </c>
    </row>
    <row r="162" spans="1:3" x14ac:dyDescent="0.15">
      <c r="A162" t="s">
        <v>168</v>
      </c>
    </row>
    <row r="163" spans="1:3" x14ac:dyDescent="0.15">
      <c r="A163" t="s">
        <v>169</v>
      </c>
    </row>
    <row r="164" spans="1:3" x14ac:dyDescent="0.15">
      <c r="A164" t="s">
        <v>69</v>
      </c>
    </row>
    <row r="165" spans="1:3" x14ac:dyDescent="0.15">
      <c r="A165" t="s">
        <v>70</v>
      </c>
    </row>
    <row r="166" spans="1:3" x14ac:dyDescent="0.15">
      <c r="A166" t="s">
        <v>170</v>
      </c>
    </row>
    <row r="167" spans="1:3" x14ac:dyDescent="0.15">
      <c r="A167" t="s">
        <v>72</v>
      </c>
    </row>
    <row r="168" spans="1:3" x14ac:dyDescent="0.15">
      <c r="A168" t="s">
        <v>171</v>
      </c>
    </row>
    <row r="169" spans="1:3" x14ac:dyDescent="0.15">
      <c r="A169" t="s">
        <v>172</v>
      </c>
      <c r="C169" t="s">
        <v>173</v>
      </c>
    </row>
    <row r="170" spans="1:3" x14ac:dyDescent="0.15">
      <c r="A170" t="s">
        <v>174</v>
      </c>
      <c r="C170" t="s">
        <v>175</v>
      </c>
    </row>
    <row r="171" spans="1:3" x14ac:dyDescent="0.15">
      <c r="A171" t="s">
        <v>176</v>
      </c>
    </row>
    <row r="172" spans="1:3" x14ac:dyDescent="0.15">
      <c r="A172" t="s">
        <v>177</v>
      </c>
    </row>
    <row r="173" spans="1:3" x14ac:dyDescent="0.15">
      <c r="A173" t="s">
        <v>178</v>
      </c>
    </row>
    <row r="174" spans="1:3" x14ac:dyDescent="0.15">
      <c r="A174" t="s">
        <v>74</v>
      </c>
    </row>
    <row r="175" spans="1:3" x14ac:dyDescent="0.15">
      <c r="A175" t="s">
        <v>75</v>
      </c>
    </row>
    <row r="176" spans="1:3" x14ac:dyDescent="0.15">
      <c r="A176" t="s">
        <v>179</v>
      </c>
    </row>
    <row r="177" spans="1:1" x14ac:dyDescent="0.15">
      <c r="A177" t="s">
        <v>82</v>
      </c>
    </row>
    <row r="178" spans="1:1" x14ac:dyDescent="0.15">
      <c r="A178" t="s">
        <v>83</v>
      </c>
    </row>
    <row r="179" spans="1:1" x14ac:dyDescent="0.15">
      <c r="A179" t="s">
        <v>84</v>
      </c>
    </row>
    <row r="180" spans="1:1" x14ac:dyDescent="0.15">
      <c r="A180" t="s">
        <v>85</v>
      </c>
    </row>
    <row r="181" spans="1:1" x14ac:dyDescent="0.15">
      <c r="A181" t="s">
        <v>180</v>
      </c>
    </row>
    <row r="182" spans="1:1" x14ac:dyDescent="0.15">
      <c r="A182" t="s">
        <v>87</v>
      </c>
    </row>
    <row r="183" spans="1:1" x14ac:dyDescent="0.15">
      <c r="A183" t="s">
        <v>88</v>
      </c>
    </row>
    <row r="184" spans="1:1" x14ac:dyDescent="0.15">
      <c r="A184" t="s">
        <v>181</v>
      </c>
    </row>
    <row r="185" spans="1:1" x14ac:dyDescent="0.15">
      <c r="A185" t="s">
        <v>104</v>
      </c>
    </row>
    <row r="186" spans="1:1" x14ac:dyDescent="0.15">
      <c r="A186" t="s">
        <v>105</v>
      </c>
    </row>
    <row r="187" spans="1:1" x14ac:dyDescent="0.15">
      <c r="A187" t="s">
        <v>106</v>
      </c>
    </row>
    <row r="188" spans="1:1" x14ac:dyDescent="0.15">
      <c r="A188" t="s">
        <v>107</v>
      </c>
    </row>
    <row r="189" spans="1:1" x14ac:dyDescent="0.15">
      <c r="A189" t="s">
        <v>108</v>
      </c>
    </row>
    <row r="190" spans="1:1" x14ac:dyDescent="0.15">
      <c r="A190" t="s">
        <v>110</v>
      </c>
    </row>
    <row r="191" spans="1:1" x14ac:dyDescent="0.15">
      <c r="A191" t="s">
        <v>111</v>
      </c>
    </row>
    <row r="192" spans="1:1" x14ac:dyDescent="0.15">
      <c r="A192" t="s">
        <v>107</v>
      </c>
    </row>
    <row r="193" spans="1:1" x14ac:dyDescent="0.15">
      <c r="A193" t="s">
        <v>112</v>
      </c>
    </row>
    <row r="194" spans="1:1" x14ac:dyDescent="0.15">
      <c r="A194" t="s">
        <v>110</v>
      </c>
    </row>
    <row r="195" spans="1:1" x14ac:dyDescent="0.15">
      <c r="A195" t="s">
        <v>114</v>
      </c>
    </row>
    <row r="196" spans="1:1" x14ac:dyDescent="0.15">
      <c r="A196" t="s">
        <v>107</v>
      </c>
    </row>
    <row r="197" spans="1:1" x14ac:dyDescent="0.15">
      <c r="A197" t="s">
        <v>115</v>
      </c>
    </row>
    <row r="198" spans="1:1" x14ac:dyDescent="0.15">
      <c r="A198" t="s">
        <v>110</v>
      </c>
    </row>
    <row r="199" spans="1:1" x14ac:dyDescent="0.15">
      <c r="A199" t="s">
        <v>117</v>
      </c>
    </row>
    <row r="200" spans="1:1" x14ac:dyDescent="0.15">
      <c r="A200" t="s">
        <v>107</v>
      </c>
    </row>
    <row r="201" spans="1:1" x14ac:dyDescent="0.15">
      <c r="A201" t="s">
        <v>118</v>
      </c>
    </row>
    <row r="202" spans="1:1" x14ac:dyDescent="0.15">
      <c r="A202" t="s">
        <v>110</v>
      </c>
    </row>
    <row r="203" spans="1:1" x14ac:dyDescent="0.15">
      <c r="A203" t="s">
        <v>120</v>
      </c>
    </row>
    <row r="204" spans="1:1" x14ac:dyDescent="0.15">
      <c r="A204" t="s">
        <v>121</v>
      </c>
    </row>
    <row r="205" spans="1:1" x14ac:dyDescent="0.15">
      <c r="A205" t="s">
        <v>122</v>
      </c>
    </row>
    <row r="206" spans="1:1" x14ac:dyDescent="0.15">
      <c r="A206" t="s">
        <v>110</v>
      </c>
    </row>
    <row r="207" spans="1:1" x14ac:dyDescent="0.15">
      <c r="A207" t="s">
        <v>124</v>
      </c>
    </row>
    <row r="208" spans="1:1" x14ac:dyDescent="0.15">
      <c r="A208" t="s">
        <v>107</v>
      </c>
    </row>
    <row r="209" spans="1:1" x14ac:dyDescent="0.15">
      <c r="A209" t="s">
        <v>125</v>
      </c>
    </row>
    <row r="210" spans="1:1" x14ac:dyDescent="0.15">
      <c r="A210" t="s">
        <v>110</v>
      </c>
    </row>
    <row r="211" spans="1:1" x14ac:dyDescent="0.15">
      <c r="A211" t="s">
        <v>127</v>
      </c>
    </row>
    <row r="212" spans="1:1" x14ac:dyDescent="0.15">
      <c r="A212" t="s">
        <v>107</v>
      </c>
    </row>
    <row r="213" spans="1:1" x14ac:dyDescent="0.15">
      <c r="A213" t="s">
        <v>128</v>
      </c>
    </row>
    <row r="214" spans="1:1" x14ac:dyDescent="0.15">
      <c r="A214" t="s">
        <v>110</v>
      </c>
    </row>
    <row r="215" spans="1:1" x14ac:dyDescent="0.15">
      <c r="A215" t="s">
        <v>130</v>
      </c>
    </row>
    <row r="216" spans="1:1" x14ac:dyDescent="0.15">
      <c r="A216" t="s">
        <v>107</v>
      </c>
    </row>
    <row r="217" spans="1:1" x14ac:dyDescent="0.15">
      <c r="A217" t="s">
        <v>131</v>
      </c>
    </row>
    <row r="218" spans="1:1" x14ac:dyDescent="0.15">
      <c r="A218" t="s">
        <v>110</v>
      </c>
    </row>
    <row r="219" spans="1:1" x14ac:dyDescent="0.15">
      <c r="A219" t="s">
        <v>132</v>
      </c>
    </row>
    <row r="220" spans="1:1" x14ac:dyDescent="0.15">
      <c r="A220" t="s">
        <v>107</v>
      </c>
    </row>
    <row r="221" spans="1:1" x14ac:dyDescent="0.15">
      <c r="A221" t="s">
        <v>133</v>
      </c>
    </row>
    <row r="222" spans="1:1" x14ac:dyDescent="0.15">
      <c r="A222" t="s">
        <v>110</v>
      </c>
    </row>
    <row r="223" spans="1:1" x14ac:dyDescent="0.15">
      <c r="A223" t="s">
        <v>135</v>
      </c>
    </row>
    <row r="224" spans="1:1" x14ac:dyDescent="0.15">
      <c r="A224" t="s">
        <v>107</v>
      </c>
    </row>
    <row r="225" spans="1:1" x14ac:dyDescent="0.15">
      <c r="A225" t="s">
        <v>136</v>
      </c>
    </row>
    <row r="226" spans="1:1" x14ac:dyDescent="0.15">
      <c r="A226" t="s">
        <v>110</v>
      </c>
    </row>
    <row r="227" spans="1:1" x14ac:dyDescent="0.15">
      <c r="A227" t="s">
        <v>137</v>
      </c>
    </row>
    <row r="228" spans="1:1" x14ac:dyDescent="0.15">
      <c r="A228" t="s">
        <v>121</v>
      </c>
    </row>
    <row r="229" spans="1:1" x14ac:dyDescent="0.15">
      <c r="A229" t="s">
        <v>138</v>
      </c>
    </row>
    <row r="230" spans="1:1" x14ac:dyDescent="0.15">
      <c r="A230" t="s">
        <v>110</v>
      </c>
    </row>
    <row r="231" spans="1:1" x14ac:dyDescent="0.15">
      <c r="A231" t="s">
        <v>140</v>
      </c>
    </row>
    <row r="232" spans="1:1" x14ac:dyDescent="0.15">
      <c r="A232" t="s">
        <v>107</v>
      </c>
    </row>
    <row r="233" spans="1:1" x14ac:dyDescent="0.15">
      <c r="A233" t="s">
        <v>141</v>
      </c>
    </row>
    <row r="234" spans="1:1" x14ac:dyDescent="0.15">
      <c r="A234" t="s">
        <v>110</v>
      </c>
    </row>
    <row r="235" spans="1:1" x14ac:dyDescent="0.15">
      <c r="A235" t="s">
        <v>143</v>
      </c>
    </row>
    <row r="236" spans="1:1" x14ac:dyDescent="0.15">
      <c r="A236" t="s">
        <v>146</v>
      </c>
    </row>
    <row r="237" spans="1:1" x14ac:dyDescent="0.15">
      <c r="A237" t="s">
        <v>182</v>
      </c>
    </row>
    <row r="238" spans="1:1" x14ac:dyDescent="0.15">
      <c r="A238" t="str">
        <f>IF(ISBLANK(操作シート!$B$6)," AND MAG.TEKKYO_DT IS NULL"," AND (MAG.TEKKYO_DT &gt;= '"&amp;TEXT(操作シート!$B$6,"yyyy/mm/dd")&amp;"' OR MAG.TEKKYO_DT IS NULL)")</f>
        <v xml:space="preserve"> AND MAG.TEKKYO_DT IS NULL</v>
      </c>
    </row>
    <row r="239" spans="1:1" x14ac:dyDescent="0.15">
      <c r="A239" t="s">
        <v>148</v>
      </c>
    </row>
    <row r="240" spans="1:1" x14ac:dyDescent="0.15">
      <c r="A240" t="s">
        <v>150</v>
      </c>
    </row>
    <row r="241" spans="1:1" x14ac:dyDescent="0.15">
      <c r="A241" t="s">
        <v>151</v>
      </c>
    </row>
    <row r="242" spans="1:1" x14ac:dyDescent="0.15">
      <c r="A242" t="str">
        <f>" AND MAB.SUPPORT_ID = '"&amp;TEXT(操作シート!$B$2,"0000000")&amp;"'"</f>
        <v xml:space="preserve"> AND MAB.SUPPORT_ID = '1700140'</v>
      </c>
    </row>
    <row r="243" spans="1:1" x14ac:dyDescent="0.15">
      <c r="A243" t="str">
        <f>IF(ISBLANK(操作シート!$B$6)," AND (MAD.TEKKYO_DT IS NULL AND MAD.NOUNYU_KBN IS NULL)"," AND ((MAD.TEKKYO_DT &gt;= '"&amp;TEXT(操作シート!$B$6,"yyyy/mm/dd")&amp;"' OR MAD.TEKKYO_DT IS NULL)AND MAD.NOUNYU_KBN IS NULL)")</f>
        <v xml:space="preserve"> AND (MAD.TEKKYO_DT IS NULL AND MAD.NOUNYU_KBN IS NULL)</v>
      </c>
    </row>
    <row r="244" spans="1:1" x14ac:dyDescent="0.15">
      <c r="A244" t="s">
        <v>183</v>
      </c>
    </row>
    <row r="245" spans="1:1" x14ac:dyDescent="0.15">
      <c r="A245" t="s">
        <v>154</v>
      </c>
    </row>
    <row r="246" spans="1:1" x14ac:dyDescent="0.15">
      <c r="A246" t="s">
        <v>155</v>
      </c>
    </row>
    <row r="247" spans="1:1" x14ac:dyDescent="0.15">
      <c r="A247" t="s">
        <v>156</v>
      </c>
    </row>
    <row r="248" spans="1:1" x14ac:dyDescent="0.15">
      <c r="A248" t="s">
        <v>157</v>
      </c>
    </row>
    <row r="249" spans="1:1" x14ac:dyDescent="0.15">
      <c r="A249" t="s">
        <v>184</v>
      </c>
    </row>
    <row r="250" spans="1:1" x14ac:dyDescent="0.15">
      <c r="A250" t="s">
        <v>185</v>
      </c>
    </row>
    <row r="251" spans="1:1" x14ac:dyDescent="0.15">
      <c r="A251" t="s">
        <v>160</v>
      </c>
    </row>
    <row r="253" spans="1:1" x14ac:dyDescent="0.15">
      <c r="A253" t="s">
        <v>46</v>
      </c>
    </row>
    <row r="254" spans="1:1" x14ac:dyDescent="0.15">
      <c r="A254" t="s">
        <v>47</v>
      </c>
    </row>
    <row r="255" spans="1:1" x14ac:dyDescent="0.15">
      <c r="A255" t="s">
        <v>48</v>
      </c>
    </row>
    <row r="256" spans="1:1" x14ac:dyDescent="0.15">
      <c r="A256" t="s">
        <v>49</v>
      </c>
    </row>
    <row r="257" spans="1:1" x14ac:dyDescent="0.15">
      <c r="A257" t="s">
        <v>50</v>
      </c>
    </row>
    <row r="258" spans="1:1" x14ac:dyDescent="0.15">
      <c r="A258" t="s">
        <v>51</v>
      </c>
    </row>
    <row r="259" spans="1:1" x14ac:dyDescent="0.15">
      <c r="A259" t="s">
        <v>52</v>
      </c>
    </row>
    <row r="260" spans="1:1" x14ac:dyDescent="0.15">
      <c r="A260" t="s">
        <v>186</v>
      </c>
    </row>
    <row r="261" spans="1:1" x14ac:dyDescent="0.15">
      <c r="A261" t="s">
        <v>187</v>
      </c>
    </row>
    <row r="263" spans="1:1" x14ac:dyDescent="0.15">
      <c r="A263" t="s">
        <v>56</v>
      </c>
    </row>
    <row r="264" spans="1:1" x14ac:dyDescent="0.15">
      <c r="A264" t="s">
        <v>188</v>
      </c>
    </row>
    <row r="265" spans="1:1" x14ac:dyDescent="0.15">
      <c r="A265" t="s">
        <v>189</v>
      </c>
    </row>
    <row r="266" spans="1:1" x14ac:dyDescent="0.15">
      <c r="A266" t="s">
        <v>112</v>
      </c>
    </row>
    <row r="267" spans="1:1" x14ac:dyDescent="0.15">
      <c r="A267" t="s">
        <v>107</v>
      </c>
    </row>
    <row r="268" spans="1:1" x14ac:dyDescent="0.15">
      <c r="A268" t="s">
        <v>108</v>
      </c>
    </row>
    <row r="269" spans="1:1" x14ac:dyDescent="0.15">
      <c r="A269" t="s">
        <v>110</v>
      </c>
    </row>
    <row r="270" spans="1:1" x14ac:dyDescent="0.15">
      <c r="A270" t="s">
        <v>114</v>
      </c>
    </row>
    <row r="271" spans="1:1" x14ac:dyDescent="0.15">
      <c r="A271" t="s">
        <v>146</v>
      </c>
    </row>
    <row r="272" spans="1:1" x14ac:dyDescent="0.15">
      <c r="A272" t="str">
        <f>" MAB.SUPPORT_ID = '"&amp;TEXT(操作シート!$B$2,"0000000")&amp;"'"</f>
        <v xml:space="preserve"> MAB.SUPPORT_ID = '1700140'</v>
      </c>
    </row>
    <row r="273" spans="1:1" x14ac:dyDescent="0.15">
      <c r="A273" t="str">
        <f>IF(ISBLANK(操作シート!$B$6)," AND (MAD.TEKKYO_DT IS NULL AND MAD.NOUNYU_KBN IS NULL)"," AND ((MAD.TEKKYO_DT &gt;= '"&amp;TEXT(操作シート!$B$6,"yyyy/mm/dd")&amp;"' OR MAD.TEKKYO_DT IS NULL)AND MAD.NOUNYU_KBN IS NULL)")</f>
        <v xml:space="preserve"> AND (MAD.TEKKYO_DT IS NULL AND MAD.NOUNYU_KBN IS NULL)</v>
      </c>
    </row>
    <row r="274" spans="1:1" x14ac:dyDescent="0.15">
      <c r="A274" t="s">
        <v>183</v>
      </c>
    </row>
    <row r="275" spans="1:1" x14ac:dyDescent="0.15">
      <c r="A275" t="s">
        <v>190</v>
      </c>
    </row>
    <row r="276" spans="1:1" x14ac:dyDescent="0.15">
      <c r="A276" t="s">
        <v>160</v>
      </c>
    </row>
    <row r="277" spans="1:1" x14ac:dyDescent="0.15">
      <c r="A277" t="s">
        <v>191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C273"/>
  <sheetViews>
    <sheetView topLeftCell="A211" workbookViewId="0">
      <selection activeCell="A127" sqref="A127"/>
    </sheetView>
  </sheetViews>
  <sheetFormatPr defaultRowHeight="13.5" x14ac:dyDescent="0.15"/>
  <cols>
    <col min="1" max="1" width="130.625" customWidth="1"/>
    <col min="2" max="2" width="33.125" customWidth="1"/>
  </cols>
  <sheetData>
    <row r="1" spans="1:2" x14ac:dyDescent="0.15">
      <c r="A1" t="s">
        <v>46</v>
      </c>
      <c r="B1" t="s">
        <v>192</v>
      </c>
    </row>
    <row r="2" spans="1:2" x14ac:dyDescent="0.15">
      <c r="A2" t="s">
        <v>47</v>
      </c>
      <c r="B2" t="s">
        <v>193</v>
      </c>
    </row>
    <row r="3" spans="1:2" x14ac:dyDescent="0.15">
      <c r="A3" t="s">
        <v>48</v>
      </c>
      <c r="B3" t="s">
        <v>194</v>
      </c>
    </row>
    <row r="4" spans="1:2" x14ac:dyDescent="0.15">
      <c r="A4" t="s">
        <v>49</v>
      </c>
      <c r="B4" t="s">
        <v>195</v>
      </c>
    </row>
    <row r="5" spans="1:2" x14ac:dyDescent="0.15">
      <c r="A5" t="s">
        <v>50</v>
      </c>
      <c r="B5" t="s">
        <v>196</v>
      </c>
    </row>
    <row r="6" spans="1:2" x14ac:dyDescent="0.15">
      <c r="A6" t="s">
        <v>51</v>
      </c>
      <c r="B6" t="s">
        <v>197</v>
      </c>
    </row>
    <row r="7" spans="1:2" x14ac:dyDescent="0.15">
      <c r="A7" t="s">
        <v>52</v>
      </c>
      <c r="B7" t="s">
        <v>198</v>
      </c>
    </row>
    <row r="8" spans="1:2" x14ac:dyDescent="0.15">
      <c r="A8" t="s">
        <v>53</v>
      </c>
      <c r="B8" t="s">
        <v>199</v>
      </c>
    </row>
    <row r="9" spans="1:2" x14ac:dyDescent="0.15">
      <c r="A9" t="s">
        <v>200</v>
      </c>
      <c r="B9" t="s">
        <v>201</v>
      </c>
    </row>
    <row r="11" spans="1:2" x14ac:dyDescent="0.15">
      <c r="A11" t="s">
        <v>202</v>
      </c>
    </row>
    <row r="12" spans="1:2" x14ac:dyDescent="0.15">
      <c r="A12" t="s">
        <v>56</v>
      </c>
    </row>
    <row r="13" spans="1:2" x14ac:dyDescent="0.15">
      <c r="A13" t="s">
        <v>57</v>
      </c>
    </row>
    <row r="14" spans="1:2" x14ac:dyDescent="0.15">
      <c r="A14" t="s">
        <v>58</v>
      </c>
      <c r="B14" t="s">
        <v>203</v>
      </c>
    </row>
    <row r="15" spans="1:2" x14ac:dyDescent="0.15">
      <c r="A15" t="s">
        <v>59</v>
      </c>
      <c r="B15" t="s">
        <v>204</v>
      </c>
    </row>
    <row r="16" spans="1:2" x14ac:dyDescent="0.15">
      <c r="A16" t="s">
        <v>60</v>
      </c>
      <c r="B16" t="s">
        <v>205</v>
      </c>
    </row>
    <row r="17" spans="1:3" x14ac:dyDescent="0.15">
      <c r="A17" t="s">
        <v>61</v>
      </c>
      <c r="B17" t="s">
        <v>204</v>
      </c>
    </row>
    <row r="18" spans="1:3" x14ac:dyDescent="0.15">
      <c r="A18" t="s">
        <v>62</v>
      </c>
      <c r="B18" t="s">
        <v>204</v>
      </c>
    </row>
    <row r="19" spans="1:3" x14ac:dyDescent="0.15">
      <c r="A19" t="s">
        <v>63</v>
      </c>
      <c r="B19" t="s">
        <v>206</v>
      </c>
      <c r="C19" t="s">
        <v>64</v>
      </c>
    </row>
    <row r="20" spans="1:3" x14ac:dyDescent="0.15">
      <c r="A20" t="s">
        <v>65</v>
      </c>
      <c r="B20" t="s">
        <v>204</v>
      </c>
      <c r="C20" t="s">
        <v>66</v>
      </c>
    </row>
    <row r="21" spans="1:3" x14ac:dyDescent="0.15">
      <c r="A21" t="s">
        <v>67</v>
      </c>
    </row>
    <row r="22" spans="1:3" x14ac:dyDescent="0.15">
      <c r="A22" t="s">
        <v>68</v>
      </c>
    </row>
    <row r="23" spans="1:3" x14ac:dyDescent="0.15">
      <c r="A23" t="s">
        <v>69</v>
      </c>
      <c r="B23" t="s">
        <v>2</v>
      </c>
    </row>
    <row r="24" spans="1:3" x14ac:dyDescent="0.15">
      <c r="A24" t="s">
        <v>70</v>
      </c>
      <c r="B24" t="s">
        <v>207</v>
      </c>
    </row>
    <row r="25" spans="1:3" x14ac:dyDescent="0.15">
      <c r="A25" t="s">
        <v>71</v>
      </c>
      <c r="B25" t="s">
        <v>204</v>
      </c>
    </row>
    <row r="26" spans="1:3" x14ac:dyDescent="0.15">
      <c r="A26" t="s">
        <v>72</v>
      </c>
      <c r="B26" t="s">
        <v>208</v>
      </c>
    </row>
    <row r="27" spans="1:3" x14ac:dyDescent="0.15">
      <c r="A27" t="s">
        <v>73</v>
      </c>
      <c r="B27" t="s">
        <v>209</v>
      </c>
    </row>
    <row r="28" spans="1:3" x14ac:dyDescent="0.15">
      <c r="A28" t="s">
        <v>74</v>
      </c>
      <c r="B28" t="s">
        <v>210</v>
      </c>
    </row>
    <row r="29" spans="1:3" x14ac:dyDescent="0.15">
      <c r="A29" t="s">
        <v>75</v>
      </c>
      <c r="B29" t="s">
        <v>211</v>
      </c>
    </row>
    <row r="30" spans="1:3" x14ac:dyDescent="0.15">
      <c r="A30" t="s">
        <v>76</v>
      </c>
      <c r="C30" t="s">
        <v>77</v>
      </c>
    </row>
    <row r="31" spans="1:3" x14ac:dyDescent="0.15">
      <c r="A31" t="s">
        <v>212</v>
      </c>
      <c r="B31" t="s">
        <v>213</v>
      </c>
    </row>
    <row r="32" spans="1:3" x14ac:dyDescent="0.15">
      <c r="A32" t="s">
        <v>214</v>
      </c>
      <c r="B32" t="s">
        <v>204</v>
      </c>
    </row>
    <row r="33" spans="1:2" x14ac:dyDescent="0.15">
      <c r="A33" t="s">
        <v>80</v>
      </c>
    </row>
    <row r="34" spans="1:2" x14ac:dyDescent="0.15">
      <c r="A34" t="s">
        <v>81</v>
      </c>
    </row>
    <row r="35" spans="1:2" x14ac:dyDescent="0.15">
      <c r="A35" t="s">
        <v>82</v>
      </c>
      <c r="B35" t="s">
        <v>215</v>
      </c>
    </row>
    <row r="36" spans="1:2" x14ac:dyDescent="0.15">
      <c r="A36" t="s">
        <v>83</v>
      </c>
      <c r="B36" t="s">
        <v>216</v>
      </c>
    </row>
    <row r="37" spans="1:2" x14ac:dyDescent="0.15">
      <c r="A37" t="s">
        <v>84</v>
      </c>
      <c r="B37" t="s">
        <v>217</v>
      </c>
    </row>
    <row r="38" spans="1:2" x14ac:dyDescent="0.15">
      <c r="A38" t="s">
        <v>85</v>
      </c>
      <c r="B38" t="s">
        <v>204</v>
      </c>
    </row>
    <row r="39" spans="1:2" x14ac:dyDescent="0.15">
      <c r="A39" t="s">
        <v>86</v>
      </c>
      <c r="B39" t="s">
        <v>204</v>
      </c>
    </row>
    <row r="40" spans="1:2" x14ac:dyDescent="0.15">
      <c r="A40" t="s">
        <v>87</v>
      </c>
      <c r="B40" t="s">
        <v>218</v>
      </c>
    </row>
    <row r="41" spans="1:2" x14ac:dyDescent="0.15">
      <c r="A41" t="s">
        <v>88</v>
      </c>
      <c r="B41" t="s">
        <v>204</v>
      </c>
    </row>
    <row r="42" spans="1:2" x14ac:dyDescent="0.15">
      <c r="A42" t="s">
        <v>89</v>
      </c>
      <c r="B42" t="s">
        <v>219</v>
      </c>
    </row>
    <row r="43" spans="1:2" x14ac:dyDescent="0.15">
      <c r="A43" t="s">
        <v>76</v>
      </c>
      <c r="B43" t="s">
        <v>220</v>
      </c>
    </row>
    <row r="44" spans="1:2" x14ac:dyDescent="0.15">
      <c r="A44" t="s">
        <v>221</v>
      </c>
      <c r="B44" t="s">
        <v>204</v>
      </c>
    </row>
    <row r="45" spans="1:2" x14ac:dyDescent="0.15">
      <c r="A45" t="s">
        <v>91</v>
      </c>
      <c r="B45" t="s">
        <v>204</v>
      </c>
    </row>
    <row r="46" spans="1:2" x14ac:dyDescent="0.15">
      <c r="A46" t="s">
        <v>80</v>
      </c>
      <c r="B46" t="s">
        <v>204</v>
      </c>
    </row>
    <row r="47" spans="1:2" x14ac:dyDescent="0.15">
      <c r="A47" t="s">
        <v>81</v>
      </c>
      <c r="B47" t="s">
        <v>204</v>
      </c>
    </row>
    <row r="48" spans="1:2" x14ac:dyDescent="0.15">
      <c r="A48" t="s">
        <v>76</v>
      </c>
    </row>
    <row r="49" spans="1:2" x14ac:dyDescent="0.15">
      <c r="A49" t="s">
        <v>222</v>
      </c>
      <c r="B49" t="s">
        <v>223</v>
      </c>
    </row>
    <row r="50" spans="1:2" x14ac:dyDescent="0.15">
      <c r="A50" t="s">
        <v>92</v>
      </c>
      <c r="B50" t="s">
        <v>204</v>
      </c>
    </row>
    <row r="51" spans="1:2" x14ac:dyDescent="0.15">
      <c r="A51" t="s">
        <v>224</v>
      </c>
      <c r="B51" t="s">
        <v>204</v>
      </c>
    </row>
    <row r="52" spans="1:2" x14ac:dyDescent="0.15">
      <c r="A52" t="s">
        <v>92</v>
      </c>
      <c r="B52" t="s">
        <v>204</v>
      </c>
    </row>
    <row r="53" spans="1:2" x14ac:dyDescent="0.15">
      <c r="A53" t="s">
        <v>80</v>
      </c>
      <c r="B53" t="s">
        <v>204</v>
      </c>
    </row>
    <row r="54" spans="1:2" x14ac:dyDescent="0.15">
      <c r="A54" t="s">
        <v>81</v>
      </c>
      <c r="B54" t="s">
        <v>204</v>
      </c>
    </row>
    <row r="55" spans="1:2" x14ac:dyDescent="0.15">
      <c r="A55" t="s">
        <v>76</v>
      </c>
    </row>
    <row r="56" spans="1:2" x14ac:dyDescent="0.15">
      <c r="A56" t="s">
        <v>225</v>
      </c>
      <c r="B56" t="s">
        <v>226</v>
      </c>
    </row>
    <row r="57" spans="1:2" x14ac:dyDescent="0.15">
      <c r="A57" t="s">
        <v>98</v>
      </c>
      <c r="B57" t="s">
        <v>204</v>
      </c>
    </row>
    <row r="58" spans="1:2" x14ac:dyDescent="0.15">
      <c r="A58" t="s">
        <v>80</v>
      </c>
      <c r="B58" t="s">
        <v>204</v>
      </c>
    </row>
    <row r="59" spans="1:2" x14ac:dyDescent="0.15">
      <c r="A59" t="s">
        <v>81</v>
      </c>
      <c r="B59" t="s">
        <v>204</v>
      </c>
    </row>
    <row r="60" spans="1:2" x14ac:dyDescent="0.15">
      <c r="A60" t="s">
        <v>99</v>
      </c>
    </row>
    <row r="61" spans="1:2" x14ac:dyDescent="0.15">
      <c r="A61" t="s">
        <v>227</v>
      </c>
      <c r="B61" t="s">
        <v>228</v>
      </c>
    </row>
    <row r="62" spans="1:2" x14ac:dyDescent="0.15">
      <c r="A62" t="s">
        <v>101</v>
      </c>
      <c r="B62" t="s">
        <v>204</v>
      </c>
    </row>
    <row r="63" spans="1:2" x14ac:dyDescent="0.15">
      <c r="A63" t="s">
        <v>102</v>
      </c>
      <c r="B63" t="s">
        <v>204</v>
      </c>
    </row>
    <row r="64" spans="1:2" x14ac:dyDescent="0.15">
      <c r="A64" t="s">
        <v>229</v>
      </c>
      <c r="B64" t="s">
        <v>204</v>
      </c>
    </row>
    <row r="65" spans="1:2" x14ac:dyDescent="0.15">
      <c r="A65" t="s">
        <v>104</v>
      </c>
    </row>
    <row r="66" spans="1:2" x14ac:dyDescent="0.15">
      <c r="A66" t="s">
        <v>105</v>
      </c>
    </row>
    <row r="67" spans="1:2" x14ac:dyDescent="0.15">
      <c r="A67" t="s">
        <v>106</v>
      </c>
      <c r="B67" t="s">
        <v>230</v>
      </c>
    </row>
    <row r="68" spans="1:2" x14ac:dyDescent="0.15">
      <c r="A68" t="s">
        <v>107</v>
      </c>
    </row>
    <row r="69" spans="1:2" x14ac:dyDescent="0.15">
      <c r="A69" t="s">
        <v>108</v>
      </c>
      <c r="B69" t="s">
        <v>109</v>
      </c>
    </row>
    <row r="70" spans="1:2" x14ac:dyDescent="0.15">
      <c r="A70" t="s">
        <v>110</v>
      </c>
    </row>
    <row r="71" spans="1:2" x14ac:dyDescent="0.15">
      <c r="A71" t="s">
        <v>231</v>
      </c>
    </row>
    <row r="72" spans="1:2" x14ac:dyDescent="0.15">
      <c r="A72" t="s">
        <v>107</v>
      </c>
    </row>
    <row r="73" spans="1:2" x14ac:dyDescent="0.15">
      <c r="A73" t="s">
        <v>112</v>
      </c>
      <c r="B73" t="s">
        <v>113</v>
      </c>
    </row>
    <row r="74" spans="1:2" x14ac:dyDescent="0.15">
      <c r="A74" t="s">
        <v>110</v>
      </c>
    </row>
    <row r="75" spans="1:2" x14ac:dyDescent="0.15">
      <c r="A75" t="s">
        <v>232</v>
      </c>
    </row>
    <row r="76" spans="1:2" x14ac:dyDescent="0.15">
      <c r="A76" t="s">
        <v>107</v>
      </c>
    </row>
    <row r="77" spans="1:2" x14ac:dyDescent="0.15">
      <c r="A77" t="s">
        <v>115</v>
      </c>
      <c r="B77" t="s">
        <v>116</v>
      </c>
    </row>
    <row r="78" spans="1:2" x14ac:dyDescent="0.15">
      <c r="A78" t="s">
        <v>110</v>
      </c>
    </row>
    <row r="79" spans="1:2" x14ac:dyDescent="0.15">
      <c r="A79" t="s">
        <v>233</v>
      </c>
    </row>
    <row r="80" spans="1:2" x14ac:dyDescent="0.15">
      <c r="A80" t="s">
        <v>107</v>
      </c>
    </row>
    <row r="81" spans="1:2" x14ac:dyDescent="0.15">
      <c r="A81" t="s">
        <v>118</v>
      </c>
      <c r="B81" t="s">
        <v>119</v>
      </c>
    </row>
    <row r="82" spans="1:2" x14ac:dyDescent="0.15">
      <c r="A82" t="s">
        <v>110</v>
      </c>
    </row>
    <row r="83" spans="1:2" x14ac:dyDescent="0.15">
      <c r="A83" t="s">
        <v>234</v>
      </c>
    </row>
    <row r="84" spans="1:2" x14ac:dyDescent="0.15">
      <c r="A84" t="s">
        <v>121</v>
      </c>
    </row>
    <row r="85" spans="1:2" x14ac:dyDescent="0.15">
      <c r="A85" t="s">
        <v>122</v>
      </c>
      <c r="B85" t="s">
        <v>123</v>
      </c>
    </row>
    <row r="86" spans="1:2" x14ac:dyDescent="0.15">
      <c r="A86" t="s">
        <v>110</v>
      </c>
    </row>
    <row r="87" spans="1:2" x14ac:dyDescent="0.15">
      <c r="A87" t="s">
        <v>235</v>
      </c>
    </row>
    <row r="88" spans="1:2" x14ac:dyDescent="0.15">
      <c r="A88" t="s">
        <v>107</v>
      </c>
    </row>
    <row r="89" spans="1:2" x14ac:dyDescent="0.15">
      <c r="A89" t="s">
        <v>125</v>
      </c>
      <c r="B89" t="s">
        <v>126</v>
      </c>
    </row>
    <row r="90" spans="1:2" x14ac:dyDescent="0.15">
      <c r="A90" t="s">
        <v>110</v>
      </c>
    </row>
    <row r="91" spans="1:2" x14ac:dyDescent="0.15">
      <c r="A91" t="s">
        <v>236</v>
      </c>
    </row>
    <row r="92" spans="1:2" x14ac:dyDescent="0.15">
      <c r="A92" t="s">
        <v>107</v>
      </c>
    </row>
    <row r="93" spans="1:2" x14ac:dyDescent="0.15">
      <c r="A93" t="s">
        <v>128</v>
      </c>
      <c r="B93" t="s">
        <v>129</v>
      </c>
    </row>
    <row r="94" spans="1:2" x14ac:dyDescent="0.15">
      <c r="A94" t="s">
        <v>110</v>
      </c>
    </row>
    <row r="95" spans="1:2" x14ac:dyDescent="0.15">
      <c r="A95" t="s">
        <v>237</v>
      </c>
    </row>
    <row r="96" spans="1:2" x14ac:dyDescent="0.15">
      <c r="A96" t="s">
        <v>107</v>
      </c>
    </row>
    <row r="97" spans="1:2" x14ac:dyDescent="0.15">
      <c r="A97" t="s">
        <v>131</v>
      </c>
    </row>
    <row r="98" spans="1:2" x14ac:dyDescent="0.15">
      <c r="A98" t="s">
        <v>110</v>
      </c>
    </row>
    <row r="99" spans="1:2" x14ac:dyDescent="0.15">
      <c r="A99" t="s">
        <v>238</v>
      </c>
    </row>
    <row r="100" spans="1:2" x14ac:dyDescent="0.15">
      <c r="A100" t="s">
        <v>107</v>
      </c>
    </row>
    <row r="101" spans="1:2" x14ac:dyDescent="0.15">
      <c r="A101" t="s">
        <v>133</v>
      </c>
      <c r="B101" t="s">
        <v>134</v>
      </c>
    </row>
    <row r="102" spans="1:2" x14ac:dyDescent="0.15">
      <c r="A102" t="s">
        <v>110</v>
      </c>
    </row>
    <row r="103" spans="1:2" x14ac:dyDescent="0.15">
      <c r="A103" t="s">
        <v>239</v>
      </c>
    </row>
    <row r="104" spans="1:2" x14ac:dyDescent="0.15">
      <c r="A104" t="s">
        <v>107</v>
      </c>
    </row>
    <row r="105" spans="1:2" x14ac:dyDescent="0.15">
      <c r="A105" t="s">
        <v>136</v>
      </c>
    </row>
    <row r="106" spans="1:2" x14ac:dyDescent="0.15">
      <c r="A106" t="s">
        <v>110</v>
      </c>
    </row>
    <row r="107" spans="1:2" x14ac:dyDescent="0.15">
      <c r="A107" t="s">
        <v>240</v>
      </c>
    </row>
    <row r="108" spans="1:2" x14ac:dyDescent="0.15">
      <c r="A108" t="s">
        <v>121</v>
      </c>
    </row>
    <row r="109" spans="1:2" x14ac:dyDescent="0.15">
      <c r="A109" t="s">
        <v>138</v>
      </c>
      <c r="B109" t="s">
        <v>139</v>
      </c>
    </row>
    <row r="110" spans="1:2" x14ac:dyDescent="0.15">
      <c r="A110" t="s">
        <v>110</v>
      </c>
    </row>
    <row r="111" spans="1:2" x14ac:dyDescent="0.15">
      <c r="A111" t="s">
        <v>241</v>
      </c>
    </row>
    <row r="112" spans="1:2" x14ac:dyDescent="0.15">
      <c r="A112" t="s">
        <v>107</v>
      </c>
    </row>
    <row r="113" spans="1:3" x14ac:dyDescent="0.15">
      <c r="A113" t="s">
        <v>141</v>
      </c>
      <c r="B113" t="s">
        <v>242</v>
      </c>
    </row>
    <row r="114" spans="1:3" x14ac:dyDescent="0.15">
      <c r="A114" t="s">
        <v>110</v>
      </c>
    </row>
    <row r="115" spans="1:3" x14ac:dyDescent="0.15">
      <c r="A115" t="s">
        <v>243</v>
      </c>
    </row>
    <row r="116" spans="1:3" x14ac:dyDescent="0.15">
      <c r="A116" t="s">
        <v>107</v>
      </c>
    </row>
    <row r="117" spans="1:3" x14ac:dyDescent="0.15">
      <c r="A117" t="s">
        <v>144</v>
      </c>
    </row>
    <row r="118" spans="1:3" x14ac:dyDescent="0.15">
      <c r="A118" t="s">
        <v>110</v>
      </c>
    </row>
    <row r="119" spans="1:3" x14ac:dyDescent="0.15">
      <c r="A119" t="s">
        <v>244</v>
      </c>
    </row>
    <row r="120" spans="1:3" x14ac:dyDescent="0.15">
      <c r="A120" t="s">
        <v>146</v>
      </c>
    </row>
    <row r="121" spans="1:3" x14ac:dyDescent="0.15">
      <c r="A121" t="s">
        <v>147</v>
      </c>
      <c r="B121" t="s">
        <v>245</v>
      </c>
    </row>
    <row r="122" spans="1:3" x14ac:dyDescent="0.15">
      <c r="A122" t="s">
        <v>246</v>
      </c>
    </row>
    <row r="123" spans="1:3" x14ac:dyDescent="0.15">
      <c r="A123" t="s">
        <v>247</v>
      </c>
      <c r="B123" t="s">
        <v>248</v>
      </c>
    </row>
    <row r="124" spans="1:3" x14ac:dyDescent="0.15">
      <c r="A124" t="s">
        <v>249</v>
      </c>
      <c r="B124" t="s">
        <v>250</v>
      </c>
    </row>
    <row r="125" spans="1:3" x14ac:dyDescent="0.15">
      <c r="A125" t="s">
        <v>251</v>
      </c>
      <c r="B125" t="s">
        <v>252</v>
      </c>
    </row>
    <row r="126" spans="1:3" x14ac:dyDescent="0.15">
      <c r="A126" t="s">
        <v>253</v>
      </c>
      <c r="B126" t="s">
        <v>254</v>
      </c>
    </row>
    <row r="127" spans="1:3" x14ac:dyDescent="0.15">
      <c r="A127" t="s">
        <v>255</v>
      </c>
      <c r="B127" t="s">
        <v>256</v>
      </c>
      <c r="C127" t="s">
        <v>152</v>
      </c>
    </row>
    <row r="128" spans="1:3" x14ac:dyDescent="0.15">
      <c r="A128" t="s">
        <v>153</v>
      </c>
      <c r="B128" t="s">
        <v>257</v>
      </c>
    </row>
    <row r="129" spans="1:1" x14ac:dyDescent="0.15">
      <c r="A129" t="s">
        <v>154</v>
      </c>
    </row>
    <row r="130" spans="1:1" x14ac:dyDescent="0.15">
      <c r="A130" t="s">
        <v>155</v>
      </c>
    </row>
    <row r="131" spans="1:1" x14ac:dyDescent="0.15">
      <c r="A131" t="s">
        <v>156</v>
      </c>
    </row>
    <row r="132" spans="1:1" x14ac:dyDescent="0.15">
      <c r="A132" t="s">
        <v>157</v>
      </c>
    </row>
    <row r="133" spans="1:1" x14ac:dyDescent="0.15">
      <c r="A133" t="s">
        <v>158</v>
      </c>
    </row>
    <row r="134" spans="1:1" x14ac:dyDescent="0.15">
      <c r="A134" t="s">
        <v>159</v>
      </c>
    </row>
    <row r="135" spans="1:1" x14ac:dyDescent="0.15">
      <c r="A135" t="s">
        <v>160</v>
      </c>
    </row>
    <row r="138" spans="1:1" x14ac:dyDescent="0.15">
      <c r="A138" t="s">
        <v>46</v>
      </c>
    </row>
    <row r="139" spans="1:1" x14ac:dyDescent="0.15">
      <c r="A139" t="s">
        <v>47</v>
      </c>
    </row>
    <row r="140" spans="1:1" x14ac:dyDescent="0.15">
      <c r="A140" t="s">
        <v>48</v>
      </c>
    </row>
    <row r="141" spans="1:1" x14ac:dyDescent="0.15">
      <c r="A141" t="s">
        <v>49</v>
      </c>
    </row>
    <row r="142" spans="1:1" x14ac:dyDescent="0.15">
      <c r="A142" t="s">
        <v>50</v>
      </c>
    </row>
    <row r="143" spans="1:1" x14ac:dyDescent="0.15">
      <c r="A143" t="s">
        <v>51</v>
      </c>
    </row>
    <row r="144" spans="1:1" x14ac:dyDescent="0.15">
      <c r="A144" t="s">
        <v>52</v>
      </c>
    </row>
    <row r="145" spans="1:3" x14ac:dyDescent="0.15">
      <c r="A145" t="s">
        <v>53</v>
      </c>
    </row>
    <row r="146" spans="1:3" x14ac:dyDescent="0.15">
      <c r="A146" t="s">
        <v>161</v>
      </c>
    </row>
    <row r="148" spans="1:3" x14ac:dyDescent="0.15">
      <c r="A148" t="s">
        <v>162</v>
      </c>
    </row>
    <row r="149" spans="1:3" x14ac:dyDescent="0.15">
      <c r="A149" t="s">
        <v>56</v>
      </c>
    </row>
    <row r="150" spans="1:3" x14ac:dyDescent="0.15">
      <c r="A150" t="s">
        <v>57</v>
      </c>
    </row>
    <row r="151" spans="1:3" x14ac:dyDescent="0.15">
      <c r="A151" t="s">
        <v>163</v>
      </c>
      <c r="B151" t="s">
        <v>258</v>
      </c>
    </row>
    <row r="152" spans="1:3" x14ac:dyDescent="0.15">
      <c r="A152" t="s">
        <v>164</v>
      </c>
      <c r="B152" t="s">
        <v>204</v>
      </c>
    </row>
    <row r="153" spans="1:3" x14ac:dyDescent="0.15">
      <c r="A153" t="s">
        <v>60</v>
      </c>
      <c r="B153" t="s">
        <v>259</v>
      </c>
    </row>
    <row r="154" spans="1:3" x14ac:dyDescent="0.15">
      <c r="A154" t="s">
        <v>61</v>
      </c>
      <c r="B154" t="s">
        <v>260</v>
      </c>
    </row>
    <row r="155" spans="1:3" x14ac:dyDescent="0.15">
      <c r="A155" t="s">
        <v>165</v>
      </c>
      <c r="B155" t="s">
        <v>261</v>
      </c>
    </row>
    <row r="156" spans="1:3" x14ac:dyDescent="0.15">
      <c r="A156" t="s">
        <v>166</v>
      </c>
      <c r="B156" t="s">
        <v>262</v>
      </c>
      <c r="C156" t="s">
        <v>64</v>
      </c>
    </row>
    <row r="157" spans="1:3" x14ac:dyDescent="0.15">
      <c r="A157" t="s">
        <v>167</v>
      </c>
      <c r="B157" t="s">
        <v>204</v>
      </c>
      <c r="C157" t="s">
        <v>66</v>
      </c>
    </row>
    <row r="158" spans="1:3" x14ac:dyDescent="0.15">
      <c r="A158" t="s">
        <v>168</v>
      </c>
      <c r="B158" t="s">
        <v>263</v>
      </c>
    </row>
    <row r="159" spans="1:3" x14ac:dyDescent="0.15">
      <c r="A159" t="s">
        <v>169</v>
      </c>
      <c r="B159" t="s">
        <v>204</v>
      </c>
    </row>
    <row r="160" spans="1:3" x14ac:dyDescent="0.15">
      <c r="A160" t="s">
        <v>69</v>
      </c>
      <c r="B160" t="s">
        <v>2</v>
      </c>
    </row>
    <row r="161" spans="1:3" x14ac:dyDescent="0.15">
      <c r="A161" t="s">
        <v>70</v>
      </c>
      <c r="B161" t="s">
        <v>264</v>
      </c>
    </row>
    <row r="162" spans="1:3" x14ac:dyDescent="0.15">
      <c r="A162" t="s">
        <v>170</v>
      </c>
      <c r="B162" t="s">
        <v>265</v>
      </c>
    </row>
    <row r="163" spans="1:3" x14ac:dyDescent="0.15">
      <c r="A163" t="s">
        <v>72</v>
      </c>
      <c r="B163" t="s">
        <v>208</v>
      </c>
    </row>
    <row r="164" spans="1:3" x14ac:dyDescent="0.15">
      <c r="A164" t="s">
        <v>171</v>
      </c>
      <c r="B164" t="s">
        <v>266</v>
      </c>
    </row>
    <row r="165" spans="1:3" x14ac:dyDescent="0.15">
      <c r="A165" t="s">
        <v>173</v>
      </c>
      <c r="B165" t="s">
        <v>204</v>
      </c>
      <c r="C165" t="s">
        <v>173</v>
      </c>
    </row>
    <row r="166" spans="1:3" x14ac:dyDescent="0.15">
      <c r="A166" t="s">
        <v>175</v>
      </c>
      <c r="B166" t="s">
        <v>204</v>
      </c>
      <c r="C166" t="s">
        <v>175</v>
      </c>
    </row>
    <row r="167" spans="1:3" x14ac:dyDescent="0.15">
      <c r="A167" t="s">
        <v>176</v>
      </c>
      <c r="B167" t="s">
        <v>267</v>
      </c>
    </row>
    <row r="168" spans="1:3" x14ac:dyDescent="0.15">
      <c r="A168" t="s">
        <v>177</v>
      </c>
      <c r="B168" t="s">
        <v>268</v>
      </c>
    </row>
    <row r="169" spans="1:3" x14ac:dyDescent="0.15">
      <c r="A169" t="s">
        <v>178</v>
      </c>
    </row>
    <row r="170" spans="1:3" x14ac:dyDescent="0.15">
      <c r="A170" t="s">
        <v>74</v>
      </c>
      <c r="B170" t="s">
        <v>269</v>
      </c>
    </row>
    <row r="171" spans="1:3" x14ac:dyDescent="0.15">
      <c r="A171" t="s">
        <v>75</v>
      </c>
      <c r="B171" t="s">
        <v>211</v>
      </c>
    </row>
    <row r="172" spans="1:3" x14ac:dyDescent="0.15">
      <c r="A172" t="s">
        <v>179</v>
      </c>
      <c r="B172" t="s">
        <v>270</v>
      </c>
    </row>
    <row r="173" spans="1:3" x14ac:dyDescent="0.15">
      <c r="A173" t="s">
        <v>82</v>
      </c>
      <c r="B173" t="s">
        <v>271</v>
      </c>
    </row>
    <row r="174" spans="1:3" x14ac:dyDescent="0.15">
      <c r="A174" t="s">
        <v>83</v>
      </c>
      <c r="B174" t="s">
        <v>272</v>
      </c>
    </row>
    <row r="175" spans="1:3" x14ac:dyDescent="0.15">
      <c r="A175" t="s">
        <v>84</v>
      </c>
      <c r="B175" t="s">
        <v>273</v>
      </c>
    </row>
    <row r="176" spans="1:3" x14ac:dyDescent="0.15">
      <c r="A176" t="s">
        <v>85</v>
      </c>
      <c r="B176" t="s">
        <v>274</v>
      </c>
    </row>
    <row r="177" spans="1:2" x14ac:dyDescent="0.15">
      <c r="A177" t="s">
        <v>180</v>
      </c>
      <c r="B177" t="s">
        <v>275</v>
      </c>
    </row>
    <row r="178" spans="1:2" x14ac:dyDescent="0.15">
      <c r="A178" t="s">
        <v>87</v>
      </c>
      <c r="B178" t="s">
        <v>276</v>
      </c>
    </row>
    <row r="179" spans="1:2" x14ac:dyDescent="0.15">
      <c r="A179" t="s">
        <v>88</v>
      </c>
      <c r="B179" t="s">
        <v>277</v>
      </c>
    </row>
    <row r="180" spans="1:2" x14ac:dyDescent="0.15">
      <c r="A180" t="s">
        <v>181</v>
      </c>
      <c r="B180" t="s">
        <v>278</v>
      </c>
    </row>
    <row r="181" spans="1:2" x14ac:dyDescent="0.15">
      <c r="A181" t="s">
        <v>104</v>
      </c>
      <c r="B181" t="s">
        <v>279</v>
      </c>
    </row>
    <row r="182" spans="1:2" x14ac:dyDescent="0.15">
      <c r="A182" t="s">
        <v>105</v>
      </c>
      <c r="B182" t="s">
        <v>280</v>
      </c>
    </row>
    <row r="183" spans="1:2" x14ac:dyDescent="0.15">
      <c r="A183" t="s">
        <v>106</v>
      </c>
      <c r="B183" t="s">
        <v>204</v>
      </c>
    </row>
    <row r="184" spans="1:2" x14ac:dyDescent="0.15">
      <c r="A184" t="s">
        <v>107</v>
      </c>
      <c r="B184" t="s">
        <v>281</v>
      </c>
    </row>
    <row r="185" spans="1:2" x14ac:dyDescent="0.15">
      <c r="A185" t="s">
        <v>108</v>
      </c>
      <c r="B185" t="s">
        <v>204</v>
      </c>
    </row>
    <row r="186" spans="1:2" x14ac:dyDescent="0.15">
      <c r="A186" t="s">
        <v>110</v>
      </c>
      <c r="B186" t="s">
        <v>204</v>
      </c>
    </row>
    <row r="187" spans="1:2" x14ac:dyDescent="0.15">
      <c r="A187" t="s">
        <v>231</v>
      </c>
      <c r="B187" t="s">
        <v>204</v>
      </c>
    </row>
    <row r="188" spans="1:2" x14ac:dyDescent="0.15">
      <c r="A188" t="s">
        <v>107</v>
      </c>
      <c r="B188" t="s">
        <v>282</v>
      </c>
    </row>
    <row r="189" spans="1:2" x14ac:dyDescent="0.15">
      <c r="A189" t="s">
        <v>112</v>
      </c>
      <c r="B189" t="s">
        <v>204</v>
      </c>
    </row>
    <row r="190" spans="1:2" x14ac:dyDescent="0.15">
      <c r="A190" t="s">
        <v>110</v>
      </c>
      <c r="B190" t="s">
        <v>204</v>
      </c>
    </row>
    <row r="191" spans="1:2" x14ac:dyDescent="0.15">
      <c r="A191" t="s">
        <v>232</v>
      </c>
      <c r="B191" t="s">
        <v>204</v>
      </c>
    </row>
    <row r="192" spans="1:2" x14ac:dyDescent="0.15">
      <c r="A192" t="s">
        <v>107</v>
      </c>
      <c r="B192" t="s">
        <v>283</v>
      </c>
    </row>
    <row r="193" spans="1:3" x14ac:dyDescent="0.15">
      <c r="A193" t="s">
        <v>115</v>
      </c>
      <c r="B193" t="s">
        <v>204</v>
      </c>
    </row>
    <row r="194" spans="1:3" x14ac:dyDescent="0.15">
      <c r="A194" t="s">
        <v>110</v>
      </c>
      <c r="B194" t="s">
        <v>204</v>
      </c>
    </row>
    <row r="195" spans="1:3" x14ac:dyDescent="0.15">
      <c r="A195" t="s">
        <v>233</v>
      </c>
      <c r="B195" t="s">
        <v>204</v>
      </c>
    </row>
    <row r="196" spans="1:3" x14ac:dyDescent="0.15">
      <c r="A196" t="s">
        <v>107</v>
      </c>
      <c r="B196" t="s">
        <v>284</v>
      </c>
    </row>
    <row r="197" spans="1:3" x14ac:dyDescent="0.15">
      <c r="A197" t="s">
        <v>118</v>
      </c>
      <c r="B197" t="s">
        <v>204</v>
      </c>
    </row>
    <row r="198" spans="1:3" x14ac:dyDescent="0.15">
      <c r="A198" t="s">
        <v>110</v>
      </c>
      <c r="B198" t="s">
        <v>204</v>
      </c>
    </row>
    <row r="199" spans="1:3" x14ac:dyDescent="0.15">
      <c r="A199" t="s">
        <v>234</v>
      </c>
      <c r="B199" t="s">
        <v>204</v>
      </c>
    </row>
    <row r="200" spans="1:3" x14ac:dyDescent="0.15">
      <c r="A200" t="s">
        <v>121</v>
      </c>
      <c r="B200" t="s">
        <v>285</v>
      </c>
      <c r="C200">
        <v>106</v>
      </c>
    </row>
    <row r="201" spans="1:3" x14ac:dyDescent="0.15">
      <c r="A201" t="s">
        <v>122</v>
      </c>
      <c r="B201" t="s">
        <v>204</v>
      </c>
    </row>
    <row r="202" spans="1:3" x14ac:dyDescent="0.15">
      <c r="A202" t="s">
        <v>110</v>
      </c>
      <c r="B202" t="s">
        <v>204</v>
      </c>
    </row>
    <row r="203" spans="1:3" x14ac:dyDescent="0.15">
      <c r="A203" t="s">
        <v>235</v>
      </c>
      <c r="B203" t="s">
        <v>204</v>
      </c>
    </row>
    <row r="204" spans="1:3" x14ac:dyDescent="0.15">
      <c r="A204" t="s">
        <v>107</v>
      </c>
      <c r="B204" t="s">
        <v>286</v>
      </c>
    </row>
    <row r="205" spans="1:3" x14ac:dyDescent="0.15">
      <c r="A205" t="s">
        <v>125</v>
      </c>
      <c r="B205" t="s">
        <v>204</v>
      </c>
    </row>
    <row r="206" spans="1:3" x14ac:dyDescent="0.15">
      <c r="A206" t="s">
        <v>110</v>
      </c>
      <c r="B206" t="s">
        <v>204</v>
      </c>
    </row>
    <row r="207" spans="1:3" x14ac:dyDescent="0.15">
      <c r="A207" t="s">
        <v>236</v>
      </c>
      <c r="B207" t="s">
        <v>204</v>
      </c>
    </row>
    <row r="208" spans="1:3" x14ac:dyDescent="0.15">
      <c r="A208" t="s">
        <v>107</v>
      </c>
      <c r="B208" t="s">
        <v>287</v>
      </c>
    </row>
    <row r="209" spans="1:2" x14ac:dyDescent="0.15">
      <c r="A209" t="s">
        <v>128</v>
      </c>
      <c r="B209" t="s">
        <v>204</v>
      </c>
    </row>
    <row r="210" spans="1:2" x14ac:dyDescent="0.15">
      <c r="A210" t="s">
        <v>110</v>
      </c>
      <c r="B210" t="s">
        <v>204</v>
      </c>
    </row>
    <row r="211" spans="1:2" x14ac:dyDescent="0.15">
      <c r="A211" t="s">
        <v>237</v>
      </c>
      <c r="B211" t="s">
        <v>204</v>
      </c>
    </row>
    <row r="212" spans="1:2" x14ac:dyDescent="0.15">
      <c r="A212" t="s">
        <v>107</v>
      </c>
      <c r="B212" t="s">
        <v>288</v>
      </c>
    </row>
    <row r="213" spans="1:2" x14ac:dyDescent="0.15">
      <c r="A213" t="s">
        <v>131</v>
      </c>
      <c r="B213" t="s">
        <v>204</v>
      </c>
    </row>
    <row r="214" spans="1:2" x14ac:dyDescent="0.15">
      <c r="A214" t="s">
        <v>110</v>
      </c>
      <c r="B214" t="s">
        <v>204</v>
      </c>
    </row>
    <row r="215" spans="1:2" x14ac:dyDescent="0.15">
      <c r="A215" t="s">
        <v>238</v>
      </c>
      <c r="B215" t="s">
        <v>204</v>
      </c>
    </row>
    <row r="216" spans="1:2" x14ac:dyDescent="0.15">
      <c r="A216" t="s">
        <v>107</v>
      </c>
      <c r="B216" t="s">
        <v>289</v>
      </c>
    </row>
    <row r="217" spans="1:2" x14ac:dyDescent="0.15">
      <c r="A217" t="s">
        <v>133</v>
      </c>
      <c r="B217" t="s">
        <v>204</v>
      </c>
    </row>
    <row r="218" spans="1:2" x14ac:dyDescent="0.15">
      <c r="A218" t="s">
        <v>110</v>
      </c>
      <c r="B218" t="s">
        <v>204</v>
      </c>
    </row>
    <row r="219" spans="1:2" x14ac:dyDescent="0.15">
      <c r="A219" t="s">
        <v>239</v>
      </c>
      <c r="B219" t="s">
        <v>204</v>
      </c>
    </row>
    <row r="220" spans="1:2" x14ac:dyDescent="0.15">
      <c r="A220" t="s">
        <v>107</v>
      </c>
      <c r="B220" t="s">
        <v>290</v>
      </c>
    </row>
    <row r="221" spans="1:2" x14ac:dyDescent="0.15">
      <c r="A221" t="s">
        <v>136</v>
      </c>
      <c r="B221" t="s">
        <v>204</v>
      </c>
    </row>
    <row r="222" spans="1:2" x14ac:dyDescent="0.15">
      <c r="A222" t="s">
        <v>110</v>
      </c>
      <c r="B222" t="s">
        <v>204</v>
      </c>
    </row>
    <row r="223" spans="1:2" x14ac:dyDescent="0.15">
      <c r="A223" t="s">
        <v>240</v>
      </c>
      <c r="B223" t="s">
        <v>204</v>
      </c>
    </row>
    <row r="224" spans="1:2" x14ac:dyDescent="0.15">
      <c r="A224" t="s">
        <v>121</v>
      </c>
      <c r="B224" t="s">
        <v>291</v>
      </c>
    </row>
    <row r="225" spans="1:2" x14ac:dyDescent="0.15">
      <c r="A225" t="s">
        <v>138</v>
      </c>
      <c r="B225" t="s">
        <v>204</v>
      </c>
    </row>
    <row r="226" spans="1:2" x14ac:dyDescent="0.15">
      <c r="A226" t="s">
        <v>110</v>
      </c>
      <c r="B226" t="s">
        <v>204</v>
      </c>
    </row>
    <row r="227" spans="1:2" x14ac:dyDescent="0.15">
      <c r="A227" t="s">
        <v>241</v>
      </c>
      <c r="B227" t="s">
        <v>204</v>
      </c>
    </row>
    <row r="228" spans="1:2" x14ac:dyDescent="0.15">
      <c r="A228" t="s">
        <v>107</v>
      </c>
      <c r="B228" t="s">
        <v>292</v>
      </c>
    </row>
    <row r="229" spans="1:2" x14ac:dyDescent="0.15">
      <c r="A229" t="s">
        <v>141</v>
      </c>
      <c r="B229" t="s">
        <v>204</v>
      </c>
    </row>
    <row r="230" spans="1:2" x14ac:dyDescent="0.15">
      <c r="A230" t="s">
        <v>110</v>
      </c>
      <c r="B230" t="s">
        <v>204</v>
      </c>
    </row>
    <row r="231" spans="1:2" x14ac:dyDescent="0.15">
      <c r="A231" t="s">
        <v>243</v>
      </c>
      <c r="B231" t="s">
        <v>204</v>
      </c>
    </row>
    <row r="232" spans="1:2" x14ac:dyDescent="0.15">
      <c r="A232" t="s">
        <v>146</v>
      </c>
      <c r="B232" t="s">
        <v>293</v>
      </c>
    </row>
    <row r="233" spans="1:2" x14ac:dyDescent="0.15">
      <c r="A233" t="s">
        <v>182</v>
      </c>
      <c r="B233" t="s">
        <v>294</v>
      </c>
    </row>
    <row r="234" spans="1:2" x14ac:dyDescent="0.15">
      <c r="A234" t="s">
        <v>246</v>
      </c>
      <c r="B234" t="s">
        <v>295</v>
      </c>
    </row>
    <row r="235" spans="1:2" x14ac:dyDescent="0.15">
      <c r="A235" t="s">
        <v>247</v>
      </c>
      <c r="B235" t="s">
        <v>296</v>
      </c>
    </row>
    <row r="236" spans="1:2" x14ac:dyDescent="0.15">
      <c r="A236" t="s">
        <v>251</v>
      </c>
      <c r="B236" t="s">
        <v>297</v>
      </c>
    </row>
    <row r="237" spans="1:2" x14ac:dyDescent="0.15">
      <c r="A237" t="s">
        <v>253</v>
      </c>
      <c r="B237" t="s">
        <v>298</v>
      </c>
    </row>
    <row r="238" spans="1:2" x14ac:dyDescent="0.15">
      <c r="A238" t="s">
        <v>255</v>
      </c>
      <c r="B238" t="s">
        <v>299</v>
      </c>
    </row>
    <row r="239" spans="1:2" x14ac:dyDescent="0.15">
      <c r="A239" t="s">
        <v>300</v>
      </c>
      <c r="B239" t="s">
        <v>301</v>
      </c>
    </row>
    <row r="240" spans="1:2" x14ac:dyDescent="0.15">
      <c r="A240" t="s">
        <v>183</v>
      </c>
      <c r="B240" t="s">
        <v>302</v>
      </c>
    </row>
    <row r="241" spans="1:2" x14ac:dyDescent="0.15">
      <c r="A241" t="s">
        <v>154</v>
      </c>
      <c r="B241" t="s">
        <v>303</v>
      </c>
    </row>
    <row r="242" spans="1:2" x14ac:dyDescent="0.15">
      <c r="A242" t="s">
        <v>155</v>
      </c>
      <c r="B242" t="s">
        <v>304</v>
      </c>
    </row>
    <row r="243" spans="1:2" x14ac:dyDescent="0.15">
      <c r="A243" t="s">
        <v>156</v>
      </c>
      <c r="B243" t="s">
        <v>305</v>
      </c>
    </row>
    <row r="244" spans="1:2" x14ac:dyDescent="0.15">
      <c r="A244" t="s">
        <v>157</v>
      </c>
      <c r="B244" t="s">
        <v>306</v>
      </c>
    </row>
    <row r="245" spans="1:2" x14ac:dyDescent="0.15">
      <c r="A245" t="s">
        <v>184</v>
      </c>
      <c r="B245" t="s">
        <v>307</v>
      </c>
    </row>
    <row r="246" spans="1:2" x14ac:dyDescent="0.15">
      <c r="A246" t="s">
        <v>185</v>
      </c>
      <c r="B246" t="s">
        <v>308</v>
      </c>
    </row>
    <row r="247" spans="1:2" x14ac:dyDescent="0.15">
      <c r="A247" t="s">
        <v>160</v>
      </c>
      <c r="B247" t="s">
        <v>309</v>
      </c>
    </row>
    <row r="249" spans="1:2" x14ac:dyDescent="0.15">
      <c r="A249" t="s">
        <v>46</v>
      </c>
    </row>
    <row r="250" spans="1:2" x14ac:dyDescent="0.15">
      <c r="A250" t="s">
        <v>47</v>
      </c>
    </row>
    <row r="251" spans="1:2" x14ac:dyDescent="0.15">
      <c r="A251" t="s">
        <v>48</v>
      </c>
    </row>
    <row r="252" spans="1:2" x14ac:dyDescent="0.15">
      <c r="A252" t="s">
        <v>49</v>
      </c>
    </row>
    <row r="253" spans="1:2" x14ac:dyDescent="0.15">
      <c r="A253" t="s">
        <v>50</v>
      </c>
    </row>
    <row r="254" spans="1:2" x14ac:dyDescent="0.15">
      <c r="A254" t="s">
        <v>51</v>
      </c>
    </row>
    <row r="255" spans="1:2" x14ac:dyDescent="0.15">
      <c r="A255" t="s">
        <v>52</v>
      </c>
    </row>
    <row r="256" spans="1:2" x14ac:dyDescent="0.15">
      <c r="A256" t="s">
        <v>186</v>
      </c>
    </row>
    <row r="257" spans="1:2" x14ac:dyDescent="0.15">
      <c r="A257" t="s">
        <v>187</v>
      </c>
      <c r="B257" t="s">
        <v>310</v>
      </c>
    </row>
    <row r="259" spans="1:2" x14ac:dyDescent="0.15">
      <c r="A259" t="s">
        <v>56</v>
      </c>
    </row>
    <row r="260" spans="1:2" x14ac:dyDescent="0.15">
      <c r="A260" t="s">
        <v>188</v>
      </c>
      <c r="B260" t="s">
        <v>311</v>
      </c>
    </row>
    <row r="261" spans="1:2" x14ac:dyDescent="0.15">
      <c r="A261" t="s">
        <v>189</v>
      </c>
      <c r="B261" t="s">
        <v>312</v>
      </c>
    </row>
    <row r="262" spans="1:2" x14ac:dyDescent="0.15">
      <c r="A262" t="s">
        <v>112</v>
      </c>
      <c r="B262" t="s">
        <v>204</v>
      </c>
    </row>
    <row r="263" spans="1:2" x14ac:dyDescent="0.15">
      <c r="A263" t="s">
        <v>107</v>
      </c>
      <c r="B263" t="s">
        <v>204</v>
      </c>
    </row>
    <row r="264" spans="1:2" x14ac:dyDescent="0.15">
      <c r="A264" t="s">
        <v>108</v>
      </c>
      <c r="B264" t="s">
        <v>204</v>
      </c>
    </row>
    <row r="265" spans="1:2" x14ac:dyDescent="0.15">
      <c r="A265" t="s">
        <v>110</v>
      </c>
      <c r="B265" t="s">
        <v>204</v>
      </c>
    </row>
    <row r="266" spans="1:2" x14ac:dyDescent="0.15">
      <c r="A266" t="s">
        <v>232</v>
      </c>
      <c r="B266" t="s">
        <v>204</v>
      </c>
    </row>
    <row r="267" spans="1:2" x14ac:dyDescent="0.15">
      <c r="A267" t="s">
        <v>146</v>
      </c>
      <c r="B267" t="s">
        <v>313</v>
      </c>
    </row>
    <row r="268" spans="1:2" x14ac:dyDescent="0.15">
      <c r="A268" t="s">
        <v>314</v>
      </c>
      <c r="B268" t="s">
        <v>315</v>
      </c>
    </row>
    <row r="269" spans="1:2" x14ac:dyDescent="0.15">
      <c r="A269" t="s">
        <v>300</v>
      </c>
      <c r="B269" t="s">
        <v>204</v>
      </c>
    </row>
    <row r="270" spans="1:2" x14ac:dyDescent="0.15">
      <c r="A270" t="s">
        <v>183</v>
      </c>
      <c r="B270" t="s">
        <v>316</v>
      </c>
    </row>
    <row r="271" spans="1:2" x14ac:dyDescent="0.15">
      <c r="A271" t="s">
        <v>190</v>
      </c>
      <c r="B271" t="s">
        <v>204</v>
      </c>
    </row>
    <row r="272" spans="1:2" x14ac:dyDescent="0.15">
      <c r="A272" t="s">
        <v>160</v>
      </c>
    </row>
    <row r="273" spans="1:1" x14ac:dyDescent="0.15">
      <c r="A273" t="s">
        <v>191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268"/>
  <sheetViews>
    <sheetView workbookViewId="0">
      <selection activeCell="A102" sqref="A102"/>
    </sheetView>
  </sheetViews>
  <sheetFormatPr defaultRowHeight="13.5" x14ac:dyDescent="0.15"/>
  <cols>
    <col min="1" max="1" width="109" customWidth="1"/>
  </cols>
  <sheetData>
    <row r="1" spans="1:1" x14ac:dyDescent="0.15">
      <c r="A1" t="s">
        <v>46</v>
      </c>
    </row>
    <row r="2" spans="1:1" x14ac:dyDescent="0.15">
      <c r="A2" t="s">
        <v>47</v>
      </c>
    </row>
    <row r="3" spans="1:1" x14ac:dyDescent="0.15">
      <c r="A3" t="s">
        <v>48</v>
      </c>
    </row>
    <row r="4" spans="1:1" x14ac:dyDescent="0.15">
      <c r="A4" t="s">
        <v>49</v>
      </c>
    </row>
    <row r="5" spans="1:1" x14ac:dyDescent="0.15">
      <c r="A5" t="s">
        <v>50</v>
      </c>
    </row>
    <row r="6" spans="1:1" x14ac:dyDescent="0.15">
      <c r="A6" t="s">
        <v>51</v>
      </c>
    </row>
    <row r="7" spans="1:1" x14ac:dyDescent="0.15">
      <c r="A7" t="s">
        <v>52</v>
      </c>
    </row>
    <row r="8" spans="1:1" x14ac:dyDescent="0.15">
      <c r="A8" t="s">
        <v>186</v>
      </c>
    </row>
    <row r="9" spans="1:1" x14ac:dyDescent="0.15">
      <c r="A9" t="s">
        <v>317</v>
      </c>
    </row>
    <row r="11" spans="1:1" x14ac:dyDescent="0.15">
      <c r="A11" t="s">
        <v>318</v>
      </c>
    </row>
    <row r="12" spans="1:1" x14ac:dyDescent="0.15">
      <c r="A12" t="s">
        <v>56</v>
      </c>
    </row>
    <row r="13" spans="1:1" x14ac:dyDescent="0.15">
      <c r="A13" t="s">
        <v>57</v>
      </c>
    </row>
    <row r="14" spans="1:1" x14ac:dyDescent="0.15">
      <c r="A14" t="s">
        <v>319</v>
      </c>
    </row>
    <row r="15" spans="1:1" x14ac:dyDescent="0.15">
      <c r="A15" t="s">
        <v>320</v>
      </c>
    </row>
    <row r="16" spans="1:1" x14ac:dyDescent="0.15">
      <c r="A16" t="s">
        <v>321</v>
      </c>
    </row>
    <row r="17" spans="1:1" x14ac:dyDescent="0.15">
      <c r="A17" t="s">
        <v>322</v>
      </c>
    </row>
    <row r="18" spans="1:1" x14ac:dyDescent="0.15">
      <c r="A18" t="s">
        <v>323</v>
      </c>
    </row>
    <row r="19" spans="1:1" x14ac:dyDescent="0.15">
      <c r="A19" t="s">
        <v>324</v>
      </c>
    </row>
    <row r="20" spans="1:1" x14ac:dyDescent="0.15">
      <c r="A20" t="s">
        <v>325</v>
      </c>
    </row>
    <row r="21" spans="1:1" x14ac:dyDescent="0.15">
      <c r="A21" t="s">
        <v>326</v>
      </c>
    </row>
    <row r="22" spans="1:1" x14ac:dyDescent="0.15">
      <c r="A22" t="s">
        <v>327</v>
      </c>
    </row>
    <row r="23" spans="1:1" x14ac:dyDescent="0.15">
      <c r="A23" t="s">
        <v>328</v>
      </c>
    </row>
    <row r="24" spans="1:1" x14ac:dyDescent="0.15">
      <c r="A24" t="s">
        <v>329</v>
      </c>
    </row>
    <row r="25" spans="1:1" x14ac:dyDescent="0.15">
      <c r="A25" t="s">
        <v>330</v>
      </c>
    </row>
    <row r="26" spans="1:1" x14ac:dyDescent="0.15">
      <c r="A26" t="s">
        <v>331</v>
      </c>
    </row>
    <row r="27" spans="1:1" x14ac:dyDescent="0.15">
      <c r="A27" t="s">
        <v>171</v>
      </c>
    </row>
    <row r="28" spans="1:1" x14ac:dyDescent="0.15">
      <c r="A28" t="s">
        <v>332</v>
      </c>
    </row>
    <row r="29" spans="1:1" x14ac:dyDescent="0.15">
      <c r="A29" t="s">
        <v>333</v>
      </c>
    </row>
    <row r="30" spans="1:1" x14ac:dyDescent="0.15">
      <c r="A30" t="s">
        <v>334</v>
      </c>
    </row>
    <row r="31" spans="1:1" x14ac:dyDescent="0.15">
      <c r="A31" t="s">
        <v>335</v>
      </c>
    </row>
    <row r="32" spans="1:1" x14ac:dyDescent="0.15">
      <c r="A32" t="s">
        <v>178</v>
      </c>
    </row>
    <row r="33" spans="1:1" x14ac:dyDescent="0.15">
      <c r="A33" t="s">
        <v>336</v>
      </c>
    </row>
    <row r="34" spans="1:1" x14ac:dyDescent="0.15">
      <c r="A34" t="s">
        <v>337</v>
      </c>
    </row>
    <row r="35" spans="1:1" x14ac:dyDescent="0.15">
      <c r="A35" t="s">
        <v>338</v>
      </c>
    </row>
    <row r="36" spans="1:1" x14ac:dyDescent="0.15">
      <c r="A36" t="s">
        <v>339</v>
      </c>
    </row>
    <row r="37" spans="1:1" x14ac:dyDescent="0.15">
      <c r="A37" t="s">
        <v>340</v>
      </c>
    </row>
    <row r="38" spans="1:1" x14ac:dyDescent="0.15">
      <c r="A38" t="s">
        <v>341</v>
      </c>
    </row>
    <row r="39" spans="1:1" x14ac:dyDescent="0.15">
      <c r="A39" t="s">
        <v>342</v>
      </c>
    </row>
    <row r="40" spans="1:1" x14ac:dyDescent="0.15">
      <c r="A40" t="s">
        <v>171</v>
      </c>
    </row>
    <row r="41" spans="1:1" x14ac:dyDescent="0.15">
      <c r="A41" t="s">
        <v>343</v>
      </c>
    </row>
    <row r="42" spans="1:1" x14ac:dyDescent="0.15">
      <c r="A42" t="s">
        <v>344</v>
      </c>
    </row>
    <row r="43" spans="1:1" x14ac:dyDescent="0.15">
      <c r="A43" t="s">
        <v>345</v>
      </c>
    </row>
    <row r="44" spans="1:1" x14ac:dyDescent="0.15">
      <c r="A44" t="s">
        <v>346</v>
      </c>
    </row>
    <row r="45" spans="1:1" x14ac:dyDescent="0.15">
      <c r="A45" t="s">
        <v>347</v>
      </c>
    </row>
    <row r="46" spans="1:1" x14ac:dyDescent="0.15">
      <c r="A46" t="s">
        <v>348</v>
      </c>
    </row>
    <row r="47" spans="1:1" x14ac:dyDescent="0.15">
      <c r="A47" t="s">
        <v>349</v>
      </c>
    </row>
    <row r="48" spans="1:1" x14ac:dyDescent="0.15">
      <c r="A48" t="s">
        <v>350</v>
      </c>
    </row>
    <row r="49" spans="1:3" x14ac:dyDescent="0.15">
      <c r="A49" t="s">
        <v>351</v>
      </c>
    </row>
    <row r="50" spans="1:3" x14ac:dyDescent="0.15">
      <c r="A50" t="s">
        <v>178</v>
      </c>
    </row>
    <row r="51" spans="1:3" x14ac:dyDescent="0.15">
      <c r="A51" t="s">
        <v>352</v>
      </c>
    </row>
    <row r="52" spans="1:3" x14ac:dyDescent="0.15">
      <c r="A52" t="s">
        <v>171</v>
      </c>
    </row>
    <row r="53" spans="1:3" x14ac:dyDescent="0.15">
      <c r="A53" t="s">
        <v>353</v>
      </c>
      <c r="C53" t="s">
        <v>354</v>
      </c>
    </row>
    <row r="54" spans="1:3" x14ac:dyDescent="0.15">
      <c r="A54" t="s">
        <v>355</v>
      </c>
    </row>
    <row r="55" spans="1:3" x14ac:dyDescent="0.15">
      <c r="A55" t="s">
        <v>356</v>
      </c>
    </row>
    <row r="56" spans="1:3" x14ac:dyDescent="0.15">
      <c r="A56" t="s">
        <v>357</v>
      </c>
    </row>
    <row r="57" spans="1:3" x14ac:dyDescent="0.15">
      <c r="A57" t="s">
        <v>358</v>
      </c>
    </row>
    <row r="58" spans="1:3" x14ac:dyDescent="0.15">
      <c r="A58" t="s">
        <v>359</v>
      </c>
    </row>
    <row r="59" spans="1:3" x14ac:dyDescent="0.15">
      <c r="A59" t="s">
        <v>171</v>
      </c>
    </row>
    <row r="60" spans="1:3" x14ac:dyDescent="0.15">
      <c r="A60" t="s">
        <v>360</v>
      </c>
    </row>
    <row r="61" spans="1:3" x14ac:dyDescent="0.15">
      <c r="A61" t="s">
        <v>361</v>
      </c>
    </row>
    <row r="62" spans="1:3" x14ac:dyDescent="0.15">
      <c r="A62" t="s">
        <v>362</v>
      </c>
    </row>
    <row r="63" spans="1:3" x14ac:dyDescent="0.15">
      <c r="A63" t="s">
        <v>178</v>
      </c>
    </row>
    <row r="64" spans="1:3" x14ac:dyDescent="0.15">
      <c r="A64" t="s">
        <v>363</v>
      </c>
    </row>
    <row r="65" spans="1:1" x14ac:dyDescent="0.15">
      <c r="A65" t="s">
        <v>189</v>
      </c>
    </row>
    <row r="66" spans="1:1" x14ac:dyDescent="0.15">
      <c r="A66" t="s">
        <v>364</v>
      </c>
    </row>
    <row r="67" spans="1:1" x14ac:dyDescent="0.15">
      <c r="A67" t="s">
        <v>107</v>
      </c>
    </row>
    <row r="68" spans="1:1" x14ac:dyDescent="0.15">
      <c r="A68" t="s">
        <v>365</v>
      </c>
    </row>
    <row r="69" spans="1:1" x14ac:dyDescent="0.15">
      <c r="A69" t="s">
        <v>110</v>
      </c>
    </row>
    <row r="70" spans="1:1" x14ac:dyDescent="0.15">
      <c r="A70" t="s">
        <v>366</v>
      </c>
    </row>
    <row r="71" spans="1:1" x14ac:dyDescent="0.15">
      <c r="A71" t="s">
        <v>107</v>
      </c>
    </row>
    <row r="72" spans="1:1" x14ac:dyDescent="0.15">
      <c r="A72" t="s">
        <v>367</v>
      </c>
    </row>
    <row r="73" spans="1:1" x14ac:dyDescent="0.15">
      <c r="A73" t="s">
        <v>110</v>
      </c>
    </row>
    <row r="74" spans="1:1" x14ac:dyDescent="0.15">
      <c r="A74" t="s">
        <v>368</v>
      </c>
    </row>
    <row r="75" spans="1:1" x14ac:dyDescent="0.15">
      <c r="A75" t="s">
        <v>107</v>
      </c>
    </row>
    <row r="76" spans="1:1" x14ac:dyDescent="0.15">
      <c r="A76" t="s">
        <v>369</v>
      </c>
    </row>
    <row r="77" spans="1:1" x14ac:dyDescent="0.15">
      <c r="A77" t="s">
        <v>110</v>
      </c>
    </row>
    <row r="78" spans="1:1" x14ac:dyDescent="0.15">
      <c r="A78" t="s">
        <v>370</v>
      </c>
    </row>
    <row r="79" spans="1:1" x14ac:dyDescent="0.15">
      <c r="A79" t="s">
        <v>107</v>
      </c>
    </row>
    <row r="80" spans="1:1" x14ac:dyDescent="0.15">
      <c r="A80" t="s">
        <v>371</v>
      </c>
    </row>
    <row r="81" spans="1:1" x14ac:dyDescent="0.15">
      <c r="A81" t="s">
        <v>110</v>
      </c>
    </row>
    <row r="82" spans="1:1" x14ac:dyDescent="0.15">
      <c r="A82" t="s">
        <v>372</v>
      </c>
    </row>
    <row r="83" spans="1:1" x14ac:dyDescent="0.15">
      <c r="A83" t="s">
        <v>107</v>
      </c>
    </row>
    <row r="84" spans="1:1" x14ac:dyDescent="0.15">
      <c r="A84" t="s">
        <v>373</v>
      </c>
    </row>
    <row r="85" spans="1:1" x14ac:dyDescent="0.15">
      <c r="A85" t="s">
        <v>110</v>
      </c>
    </row>
    <row r="86" spans="1:1" x14ac:dyDescent="0.15">
      <c r="A86" t="s">
        <v>374</v>
      </c>
    </row>
    <row r="87" spans="1:1" x14ac:dyDescent="0.15">
      <c r="A87" t="s">
        <v>375</v>
      </c>
    </row>
    <row r="88" spans="1:1" x14ac:dyDescent="0.15">
      <c r="A88" t="s">
        <v>376</v>
      </c>
    </row>
    <row r="89" spans="1:1" x14ac:dyDescent="0.15">
      <c r="A89" t="s">
        <v>107</v>
      </c>
    </row>
    <row r="90" spans="1:1" x14ac:dyDescent="0.15">
      <c r="A90" t="s">
        <v>128</v>
      </c>
    </row>
    <row r="91" spans="1:1" x14ac:dyDescent="0.15">
      <c r="A91" t="s">
        <v>110</v>
      </c>
    </row>
    <row r="92" spans="1:1" x14ac:dyDescent="0.15">
      <c r="A92" t="s">
        <v>377</v>
      </c>
    </row>
    <row r="93" spans="1:1" x14ac:dyDescent="0.15">
      <c r="A93" t="s">
        <v>378</v>
      </c>
    </row>
    <row r="94" spans="1:1" x14ac:dyDescent="0.15">
      <c r="A94" t="s">
        <v>379</v>
      </c>
    </row>
    <row r="95" spans="1:1" x14ac:dyDescent="0.15">
      <c r="A95" t="s">
        <v>110</v>
      </c>
    </row>
    <row r="96" spans="1:1" x14ac:dyDescent="0.15">
      <c r="A96" t="s">
        <v>380</v>
      </c>
    </row>
    <row r="97" spans="1:1" x14ac:dyDescent="0.15">
      <c r="A97" t="s">
        <v>381</v>
      </c>
    </row>
    <row r="98" spans="1:1" x14ac:dyDescent="0.15">
      <c r="A98" t="s">
        <v>382</v>
      </c>
    </row>
    <row r="99" spans="1:1" x14ac:dyDescent="0.15">
      <c r="A99" t="s">
        <v>383</v>
      </c>
    </row>
    <row r="100" spans="1:1" x14ac:dyDescent="0.15">
      <c r="A100" t="s">
        <v>384</v>
      </c>
    </row>
    <row r="101" spans="1:1" x14ac:dyDescent="0.15">
      <c r="A101" t="s">
        <v>146</v>
      </c>
    </row>
    <row r="102" spans="1:1" x14ac:dyDescent="0.15">
      <c r="A102" t="s">
        <v>385</v>
      </c>
    </row>
    <row r="103" spans="1:1" x14ac:dyDescent="0.15">
      <c r="A103" t="s">
        <v>375</v>
      </c>
    </row>
    <row r="104" spans="1:1" x14ac:dyDescent="0.15">
      <c r="A104" t="s">
        <v>386</v>
      </c>
    </row>
    <row r="105" spans="1:1" x14ac:dyDescent="0.15">
      <c r="A105" t="s">
        <v>183</v>
      </c>
    </row>
    <row r="106" spans="1:1" x14ac:dyDescent="0.15">
      <c r="A106" t="s">
        <v>387</v>
      </c>
    </row>
    <row r="107" spans="1:1" x14ac:dyDescent="0.15">
      <c r="A107" t="s">
        <v>388</v>
      </c>
    </row>
    <row r="108" spans="1:1" x14ac:dyDescent="0.15">
      <c r="A108" t="s">
        <v>389</v>
      </c>
    </row>
    <row r="109" spans="1:1" x14ac:dyDescent="0.15">
      <c r="A109" t="s">
        <v>160</v>
      </c>
    </row>
    <row r="112" spans="1:1" x14ac:dyDescent="0.15">
      <c r="A112" t="s">
        <v>46</v>
      </c>
    </row>
    <row r="113" spans="1:1" x14ac:dyDescent="0.15">
      <c r="A113" t="s">
        <v>47</v>
      </c>
    </row>
    <row r="114" spans="1:1" x14ac:dyDescent="0.15">
      <c r="A114" t="s">
        <v>48</v>
      </c>
    </row>
    <row r="115" spans="1:1" x14ac:dyDescent="0.15">
      <c r="A115" t="s">
        <v>49</v>
      </c>
    </row>
    <row r="116" spans="1:1" x14ac:dyDescent="0.15">
      <c r="A116" t="s">
        <v>50</v>
      </c>
    </row>
    <row r="117" spans="1:1" x14ac:dyDescent="0.15">
      <c r="A117" t="s">
        <v>51</v>
      </c>
    </row>
    <row r="118" spans="1:1" x14ac:dyDescent="0.15">
      <c r="A118" t="s">
        <v>52</v>
      </c>
    </row>
    <row r="119" spans="1:1" x14ac:dyDescent="0.15">
      <c r="A119" t="s">
        <v>186</v>
      </c>
    </row>
    <row r="120" spans="1:1" x14ac:dyDescent="0.15">
      <c r="A120" t="s">
        <v>390</v>
      </c>
    </row>
    <row r="122" spans="1:1" x14ac:dyDescent="0.15">
      <c r="A122" t="s">
        <v>391</v>
      </c>
    </row>
    <row r="123" spans="1:1" x14ac:dyDescent="0.15">
      <c r="A123" t="s">
        <v>56</v>
      </c>
    </row>
    <row r="124" spans="1:1" x14ac:dyDescent="0.15">
      <c r="A124" t="s">
        <v>57</v>
      </c>
    </row>
    <row r="125" spans="1:1" x14ac:dyDescent="0.15">
      <c r="A125" t="s">
        <v>392</v>
      </c>
    </row>
    <row r="126" spans="1:1" x14ac:dyDescent="0.15">
      <c r="A126" t="s">
        <v>393</v>
      </c>
    </row>
    <row r="127" spans="1:1" x14ac:dyDescent="0.15">
      <c r="A127" t="s">
        <v>394</v>
      </c>
    </row>
    <row r="128" spans="1:1" x14ac:dyDescent="0.15">
      <c r="A128" t="s">
        <v>171</v>
      </c>
    </row>
    <row r="129" spans="1:1" x14ac:dyDescent="0.15">
      <c r="A129" t="s">
        <v>395</v>
      </c>
    </row>
    <row r="130" spans="1:1" x14ac:dyDescent="0.15">
      <c r="A130" t="s">
        <v>396</v>
      </c>
    </row>
    <row r="131" spans="1:1" x14ac:dyDescent="0.15">
      <c r="A131" t="s">
        <v>397</v>
      </c>
    </row>
    <row r="132" spans="1:1" x14ac:dyDescent="0.15">
      <c r="A132" t="s">
        <v>178</v>
      </c>
    </row>
    <row r="133" spans="1:1" x14ac:dyDescent="0.15">
      <c r="A133" t="s">
        <v>171</v>
      </c>
    </row>
    <row r="134" spans="1:1" x14ac:dyDescent="0.15">
      <c r="A134" t="s">
        <v>398</v>
      </c>
    </row>
    <row r="135" spans="1:1" x14ac:dyDescent="0.15">
      <c r="A135" t="s">
        <v>396</v>
      </c>
    </row>
    <row r="136" spans="1:1" x14ac:dyDescent="0.15">
      <c r="A136" t="s">
        <v>397</v>
      </c>
    </row>
    <row r="137" spans="1:1" x14ac:dyDescent="0.15">
      <c r="A137" t="s">
        <v>178</v>
      </c>
    </row>
    <row r="138" spans="1:1" x14ac:dyDescent="0.15">
      <c r="A138" t="s">
        <v>171</v>
      </c>
    </row>
    <row r="139" spans="1:1" x14ac:dyDescent="0.15">
      <c r="A139" t="s">
        <v>399</v>
      </c>
    </row>
    <row r="140" spans="1:1" x14ac:dyDescent="0.15">
      <c r="A140" t="s">
        <v>396</v>
      </c>
    </row>
    <row r="141" spans="1:1" x14ac:dyDescent="0.15">
      <c r="A141" t="s">
        <v>397</v>
      </c>
    </row>
    <row r="142" spans="1:1" x14ac:dyDescent="0.15">
      <c r="A142" t="s">
        <v>178</v>
      </c>
    </row>
    <row r="143" spans="1:1" x14ac:dyDescent="0.15">
      <c r="A143" t="s">
        <v>326</v>
      </c>
    </row>
    <row r="144" spans="1:1" x14ac:dyDescent="0.15">
      <c r="A144" t="s">
        <v>336</v>
      </c>
    </row>
    <row r="145" spans="1:1" x14ac:dyDescent="0.15">
      <c r="A145" t="s">
        <v>400</v>
      </c>
    </row>
    <row r="146" spans="1:1" x14ac:dyDescent="0.15">
      <c r="A146" t="s">
        <v>104</v>
      </c>
    </row>
    <row r="147" spans="1:1" x14ac:dyDescent="0.15">
      <c r="A147" t="s">
        <v>189</v>
      </c>
    </row>
    <row r="148" spans="1:1" x14ac:dyDescent="0.15">
      <c r="A148" t="s">
        <v>364</v>
      </c>
    </row>
    <row r="149" spans="1:1" x14ac:dyDescent="0.15">
      <c r="A149" t="s">
        <v>107</v>
      </c>
    </row>
    <row r="150" spans="1:1" x14ac:dyDescent="0.15">
      <c r="A150" t="s">
        <v>365</v>
      </c>
    </row>
    <row r="151" spans="1:1" x14ac:dyDescent="0.15">
      <c r="A151" t="s">
        <v>110</v>
      </c>
    </row>
    <row r="152" spans="1:1" x14ac:dyDescent="0.15">
      <c r="A152" t="s">
        <v>366</v>
      </c>
    </row>
    <row r="153" spans="1:1" x14ac:dyDescent="0.15">
      <c r="A153" t="s">
        <v>107</v>
      </c>
    </row>
    <row r="154" spans="1:1" x14ac:dyDescent="0.15">
      <c r="A154" t="s">
        <v>401</v>
      </c>
    </row>
    <row r="155" spans="1:1" x14ac:dyDescent="0.15">
      <c r="A155" t="s">
        <v>110</v>
      </c>
    </row>
    <row r="156" spans="1:1" x14ac:dyDescent="0.15">
      <c r="A156" t="s">
        <v>368</v>
      </c>
    </row>
    <row r="157" spans="1:1" x14ac:dyDescent="0.15">
      <c r="A157" t="s">
        <v>146</v>
      </c>
    </row>
    <row r="158" spans="1:1" x14ac:dyDescent="0.15">
      <c r="A158" t="s">
        <v>385</v>
      </c>
    </row>
    <row r="159" spans="1:1" x14ac:dyDescent="0.15">
      <c r="A159" t="s">
        <v>183</v>
      </c>
    </row>
    <row r="160" spans="1:1" x14ac:dyDescent="0.15">
      <c r="A160" t="s">
        <v>402</v>
      </c>
    </row>
    <row r="161" spans="1:1" x14ac:dyDescent="0.15">
      <c r="A161" t="s">
        <v>160</v>
      </c>
    </row>
    <row r="164" spans="1:1" x14ac:dyDescent="0.15">
      <c r="A164" t="s">
        <v>46</v>
      </c>
    </row>
    <row r="165" spans="1:1" x14ac:dyDescent="0.15">
      <c r="A165" t="s">
        <v>47</v>
      </c>
    </row>
    <row r="166" spans="1:1" x14ac:dyDescent="0.15">
      <c r="A166" t="s">
        <v>48</v>
      </c>
    </row>
    <row r="167" spans="1:1" x14ac:dyDescent="0.15">
      <c r="A167" t="s">
        <v>49</v>
      </c>
    </row>
    <row r="168" spans="1:1" x14ac:dyDescent="0.15">
      <c r="A168" t="s">
        <v>50</v>
      </c>
    </row>
    <row r="169" spans="1:1" x14ac:dyDescent="0.15">
      <c r="A169" t="s">
        <v>51</v>
      </c>
    </row>
    <row r="170" spans="1:1" x14ac:dyDescent="0.15">
      <c r="A170" t="s">
        <v>52</v>
      </c>
    </row>
    <row r="171" spans="1:1" x14ac:dyDescent="0.15">
      <c r="A171" t="s">
        <v>53</v>
      </c>
    </row>
    <row r="172" spans="1:1" x14ac:dyDescent="0.15">
      <c r="A172" t="s">
        <v>403</v>
      </c>
    </row>
    <row r="174" spans="1:1" x14ac:dyDescent="0.15">
      <c r="A174" t="s">
        <v>404</v>
      </c>
    </row>
    <row r="176" spans="1:1" x14ac:dyDescent="0.15">
      <c r="A176" t="s">
        <v>56</v>
      </c>
    </row>
    <row r="177" spans="1:1" x14ac:dyDescent="0.15">
      <c r="A177" t="s">
        <v>405</v>
      </c>
    </row>
    <row r="178" spans="1:1" x14ac:dyDescent="0.15">
      <c r="A178" t="s">
        <v>406</v>
      </c>
    </row>
    <row r="179" spans="1:1" x14ac:dyDescent="0.15">
      <c r="A179" t="s">
        <v>407</v>
      </c>
    </row>
    <row r="180" spans="1:1" x14ac:dyDescent="0.15">
      <c r="A180" t="s">
        <v>408</v>
      </c>
    </row>
    <row r="181" spans="1:1" x14ac:dyDescent="0.15">
      <c r="A181" t="s">
        <v>171</v>
      </c>
    </row>
    <row r="182" spans="1:1" x14ac:dyDescent="0.15">
      <c r="A182" t="s">
        <v>409</v>
      </c>
    </row>
    <row r="183" spans="1:1" x14ac:dyDescent="0.15">
      <c r="A183" t="s">
        <v>410</v>
      </c>
    </row>
    <row r="184" spans="1:1" x14ac:dyDescent="0.15">
      <c r="A184" t="s">
        <v>411</v>
      </c>
    </row>
    <row r="185" spans="1:1" x14ac:dyDescent="0.15">
      <c r="A185" t="s">
        <v>412</v>
      </c>
    </row>
    <row r="186" spans="1:1" x14ac:dyDescent="0.15">
      <c r="A186" t="s">
        <v>413</v>
      </c>
    </row>
    <row r="187" spans="1:1" x14ac:dyDescent="0.15">
      <c r="A187" t="s">
        <v>414</v>
      </c>
    </row>
    <row r="188" spans="1:1" x14ac:dyDescent="0.15">
      <c r="A188" t="s">
        <v>415</v>
      </c>
    </row>
    <row r="189" spans="1:1" x14ac:dyDescent="0.15">
      <c r="A189" t="s">
        <v>416</v>
      </c>
    </row>
    <row r="190" spans="1:1" x14ac:dyDescent="0.15">
      <c r="A190" t="s">
        <v>417</v>
      </c>
    </row>
    <row r="191" spans="1:1" x14ac:dyDescent="0.15">
      <c r="A191" t="s">
        <v>418</v>
      </c>
    </row>
    <row r="192" spans="1:1" x14ac:dyDescent="0.15">
      <c r="A192" t="s">
        <v>419</v>
      </c>
    </row>
    <row r="193" spans="1:1" x14ac:dyDescent="0.15">
      <c r="A193" t="s">
        <v>420</v>
      </c>
    </row>
    <row r="194" spans="1:1" x14ac:dyDescent="0.15">
      <c r="A194" t="s">
        <v>412</v>
      </c>
    </row>
    <row r="195" spans="1:1" x14ac:dyDescent="0.15">
      <c r="A195" t="s">
        <v>421</v>
      </c>
    </row>
    <row r="196" spans="1:1" x14ac:dyDescent="0.15">
      <c r="A196" t="s">
        <v>422</v>
      </c>
    </row>
    <row r="197" spans="1:1" x14ac:dyDescent="0.15">
      <c r="A197" t="s">
        <v>423</v>
      </c>
    </row>
    <row r="198" spans="1:1" x14ac:dyDescent="0.15">
      <c r="A198" t="s">
        <v>424</v>
      </c>
    </row>
    <row r="199" spans="1:1" x14ac:dyDescent="0.15">
      <c r="A199" t="s">
        <v>425</v>
      </c>
    </row>
    <row r="200" spans="1:1" x14ac:dyDescent="0.15">
      <c r="A200" t="s">
        <v>426</v>
      </c>
    </row>
    <row r="201" spans="1:1" x14ac:dyDescent="0.15">
      <c r="A201" t="s">
        <v>427</v>
      </c>
    </row>
    <row r="202" spans="1:1" x14ac:dyDescent="0.15">
      <c r="A202" t="s">
        <v>428</v>
      </c>
    </row>
    <row r="203" spans="1:1" x14ac:dyDescent="0.15">
      <c r="A203" t="s">
        <v>76</v>
      </c>
    </row>
    <row r="204" spans="1:1" x14ac:dyDescent="0.15">
      <c r="A204" t="s">
        <v>429</v>
      </c>
    </row>
    <row r="205" spans="1:1" x14ac:dyDescent="0.15">
      <c r="A205" t="s">
        <v>430</v>
      </c>
    </row>
    <row r="206" spans="1:1" x14ac:dyDescent="0.15">
      <c r="A206" t="s">
        <v>431</v>
      </c>
    </row>
    <row r="207" spans="1:1" x14ac:dyDescent="0.15">
      <c r="A207" t="s">
        <v>432</v>
      </c>
    </row>
    <row r="208" spans="1:1" x14ac:dyDescent="0.15">
      <c r="A208" t="s">
        <v>171</v>
      </c>
    </row>
    <row r="209" spans="1:1" x14ac:dyDescent="0.15">
      <c r="A209" t="s">
        <v>433</v>
      </c>
    </row>
    <row r="210" spans="1:1" x14ac:dyDescent="0.15">
      <c r="A210" t="s">
        <v>434</v>
      </c>
    </row>
    <row r="211" spans="1:1" x14ac:dyDescent="0.15">
      <c r="A211" t="s">
        <v>435</v>
      </c>
    </row>
    <row r="212" spans="1:1" x14ac:dyDescent="0.15">
      <c r="A212" t="s">
        <v>436</v>
      </c>
    </row>
    <row r="213" spans="1:1" x14ac:dyDescent="0.15">
      <c r="A213" t="s">
        <v>437</v>
      </c>
    </row>
    <row r="214" spans="1:1" x14ac:dyDescent="0.15">
      <c r="A214" t="s">
        <v>438</v>
      </c>
    </row>
    <row r="215" spans="1:1" x14ac:dyDescent="0.15">
      <c r="A215" t="s">
        <v>439</v>
      </c>
    </row>
    <row r="216" spans="1:1" x14ac:dyDescent="0.15">
      <c r="A216" t="s">
        <v>440</v>
      </c>
    </row>
    <row r="217" spans="1:1" x14ac:dyDescent="0.15">
      <c r="A217" t="s">
        <v>441</v>
      </c>
    </row>
    <row r="218" spans="1:1" x14ac:dyDescent="0.15">
      <c r="A218" t="s">
        <v>442</v>
      </c>
    </row>
    <row r="219" spans="1:1" x14ac:dyDescent="0.15">
      <c r="A219" t="s">
        <v>443</v>
      </c>
    </row>
    <row r="220" spans="1:1" x14ac:dyDescent="0.15">
      <c r="A220" t="s">
        <v>444</v>
      </c>
    </row>
    <row r="221" spans="1:1" x14ac:dyDescent="0.15">
      <c r="A221" t="s">
        <v>445</v>
      </c>
    </row>
    <row r="222" spans="1:1" x14ac:dyDescent="0.15">
      <c r="A222" t="s">
        <v>446</v>
      </c>
    </row>
    <row r="223" spans="1:1" x14ac:dyDescent="0.15">
      <c r="A223" t="s">
        <v>189</v>
      </c>
    </row>
    <row r="224" spans="1:1" x14ac:dyDescent="0.15">
      <c r="A224" t="s">
        <v>447</v>
      </c>
    </row>
    <row r="225" spans="1:1" x14ac:dyDescent="0.15">
      <c r="A225" t="s">
        <v>448</v>
      </c>
    </row>
    <row r="226" spans="1:1" x14ac:dyDescent="0.15">
      <c r="A226" t="s">
        <v>449</v>
      </c>
    </row>
    <row r="227" spans="1:1" x14ac:dyDescent="0.15">
      <c r="A227" t="s">
        <v>450</v>
      </c>
    </row>
    <row r="228" spans="1:1" x14ac:dyDescent="0.15">
      <c r="A228" t="s">
        <v>451</v>
      </c>
    </row>
    <row r="229" spans="1:1" x14ac:dyDescent="0.15">
      <c r="A229" t="s">
        <v>452</v>
      </c>
    </row>
    <row r="230" spans="1:1" x14ac:dyDescent="0.15">
      <c r="A230" t="s">
        <v>453</v>
      </c>
    </row>
    <row r="231" spans="1:1" x14ac:dyDescent="0.15">
      <c r="A231" t="s">
        <v>454</v>
      </c>
    </row>
    <row r="232" spans="1:1" x14ac:dyDescent="0.15">
      <c r="A232" t="s">
        <v>455</v>
      </c>
    </row>
    <row r="233" spans="1:1" x14ac:dyDescent="0.15">
      <c r="A233" t="s">
        <v>456</v>
      </c>
    </row>
    <row r="234" spans="1:1" x14ac:dyDescent="0.15">
      <c r="A234" t="s">
        <v>110</v>
      </c>
    </row>
    <row r="235" spans="1:1" x14ac:dyDescent="0.15">
      <c r="A235" t="s">
        <v>457</v>
      </c>
    </row>
    <row r="236" spans="1:1" x14ac:dyDescent="0.15">
      <c r="A236" t="s">
        <v>458</v>
      </c>
    </row>
    <row r="237" spans="1:1" x14ac:dyDescent="0.15">
      <c r="A237" t="s">
        <v>459</v>
      </c>
    </row>
    <row r="238" spans="1:1" x14ac:dyDescent="0.15">
      <c r="A238" t="s">
        <v>460</v>
      </c>
    </row>
    <row r="239" spans="1:1" x14ac:dyDescent="0.15">
      <c r="A239" t="s">
        <v>461</v>
      </c>
    </row>
    <row r="240" spans="1:1" x14ac:dyDescent="0.15">
      <c r="A240" t="s">
        <v>462</v>
      </c>
    </row>
    <row r="241" spans="1:1" x14ac:dyDescent="0.15">
      <c r="A241" t="s">
        <v>463</v>
      </c>
    </row>
    <row r="242" spans="1:1" x14ac:dyDescent="0.15">
      <c r="A242" t="s">
        <v>460</v>
      </c>
    </row>
    <row r="243" spans="1:1" x14ac:dyDescent="0.15">
      <c r="A243" t="s">
        <v>464</v>
      </c>
    </row>
    <row r="244" spans="1:1" x14ac:dyDescent="0.15">
      <c r="A244" t="s">
        <v>462</v>
      </c>
    </row>
    <row r="245" spans="1:1" x14ac:dyDescent="0.15">
      <c r="A245" t="s">
        <v>465</v>
      </c>
    </row>
    <row r="246" spans="1:1" x14ac:dyDescent="0.15">
      <c r="A246" t="s">
        <v>460</v>
      </c>
    </row>
    <row r="247" spans="1:1" x14ac:dyDescent="0.15">
      <c r="A247" t="s">
        <v>466</v>
      </c>
    </row>
    <row r="248" spans="1:1" x14ac:dyDescent="0.15">
      <c r="A248" t="s">
        <v>462</v>
      </c>
    </row>
    <row r="249" spans="1:1" x14ac:dyDescent="0.15">
      <c r="A249" t="s">
        <v>467</v>
      </c>
    </row>
    <row r="250" spans="1:1" x14ac:dyDescent="0.15">
      <c r="A250" t="s">
        <v>460</v>
      </c>
    </row>
    <row r="251" spans="1:1" x14ac:dyDescent="0.15">
      <c r="A251" t="s">
        <v>468</v>
      </c>
    </row>
    <row r="252" spans="1:1" x14ac:dyDescent="0.15">
      <c r="A252" t="s">
        <v>462</v>
      </c>
    </row>
    <row r="253" spans="1:1" x14ac:dyDescent="0.15">
      <c r="A253" t="s">
        <v>469</v>
      </c>
    </row>
    <row r="254" spans="1:1" x14ac:dyDescent="0.15">
      <c r="A254" t="s">
        <v>460</v>
      </c>
    </row>
    <row r="255" spans="1:1" x14ac:dyDescent="0.15">
      <c r="A255" t="s">
        <v>470</v>
      </c>
    </row>
    <row r="256" spans="1:1" x14ac:dyDescent="0.15">
      <c r="A256" t="s">
        <v>462</v>
      </c>
    </row>
    <row r="257" spans="1:1" x14ac:dyDescent="0.15">
      <c r="A257" t="s">
        <v>471</v>
      </c>
    </row>
    <row r="258" spans="1:1" x14ac:dyDescent="0.15">
      <c r="A258" t="s">
        <v>460</v>
      </c>
    </row>
    <row r="259" spans="1:1" x14ac:dyDescent="0.15">
      <c r="A259" t="s">
        <v>472</v>
      </c>
    </row>
    <row r="260" spans="1:1" x14ac:dyDescent="0.15">
      <c r="A260" t="s">
        <v>462</v>
      </c>
    </row>
    <row r="261" spans="1:1" x14ac:dyDescent="0.15">
      <c r="A261" t="s">
        <v>473</v>
      </c>
    </row>
    <row r="262" spans="1:1" x14ac:dyDescent="0.15">
      <c r="A262" t="s">
        <v>146</v>
      </c>
    </row>
    <row r="263" spans="1:1" x14ac:dyDescent="0.15">
      <c r="A263" t="str">
        <f>" TKB.SUPPORT_ID='"&amp;TEXT(操作シート!B2,"0000000")&amp;"'"</f>
        <v xml:space="preserve"> TKB.SUPPORT_ID='1700140'</v>
      </c>
    </row>
    <row r="264" spans="1:1" x14ac:dyDescent="0.15">
      <c r="A264" s="79" t="s">
        <v>474</v>
      </c>
    </row>
    <row r="265" spans="1:1" x14ac:dyDescent="0.15">
      <c r="A265" t="s">
        <v>475</v>
      </c>
    </row>
    <row r="266" spans="1:1" x14ac:dyDescent="0.15">
      <c r="A266" t="s">
        <v>476</v>
      </c>
    </row>
    <row r="267" spans="1:1" x14ac:dyDescent="0.15">
      <c r="A267" t="s">
        <v>160</v>
      </c>
    </row>
    <row r="268" spans="1:1" x14ac:dyDescent="0.15">
      <c r="A268" t="s">
        <v>191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268"/>
  <sheetViews>
    <sheetView zoomScaleNormal="100" workbookViewId="0">
      <selection activeCell="A263" sqref="A263"/>
    </sheetView>
  </sheetViews>
  <sheetFormatPr defaultRowHeight="13.5" x14ac:dyDescent="0.15"/>
  <cols>
    <col min="1" max="1" width="109" customWidth="1"/>
    <col min="2" max="2" width="17.125" customWidth="1"/>
  </cols>
  <sheetData>
    <row r="1" spans="1:1" x14ac:dyDescent="0.15">
      <c r="A1" t="s">
        <v>46</v>
      </c>
    </row>
    <row r="2" spans="1:1" x14ac:dyDescent="0.15">
      <c r="A2" t="s">
        <v>47</v>
      </c>
    </row>
    <row r="3" spans="1:1" x14ac:dyDescent="0.15">
      <c r="A3" t="s">
        <v>48</v>
      </c>
    </row>
    <row r="4" spans="1:1" x14ac:dyDescent="0.15">
      <c r="A4" t="s">
        <v>49</v>
      </c>
    </row>
    <row r="5" spans="1:1" x14ac:dyDescent="0.15">
      <c r="A5" t="s">
        <v>50</v>
      </c>
    </row>
    <row r="6" spans="1:1" x14ac:dyDescent="0.15">
      <c r="A6" t="s">
        <v>51</v>
      </c>
    </row>
    <row r="7" spans="1:1" x14ac:dyDescent="0.15">
      <c r="A7" t="s">
        <v>52</v>
      </c>
    </row>
    <row r="8" spans="1:1" x14ac:dyDescent="0.15">
      <c r="A8" t="s">
        <v>186</v>
      </c>
    </row>
    <row r="9" spans="1:1" x14ac:dyDescent="0.15">
      <c r="A9" t="s">
        <v>317</v>
      </c>
    </row>
    <row r="11" spans="1:1" x14ac:dyDescent="0.15">
      <c r="A11" t="s">
        <v>318</v>
      </c>
    </row>
    <row r="12" spans="1:1" x14ac:dyDescent="0.15">
      <c r="A12" t="s">
        <v>56</v>
      </c>
    </row>
    <row r="13" spans="1:1" x14ac:dyDescent="0.15">
      <c r="A13" t="s">
        <v>57</v>
      </c>
    </row>
    <row r="14" spans="1:1" x14ac:dyDescent="0.15">
      <c r="A14" t="s">
        <v>319</v>
      </c>
    </row>
    <row r="15" spans="1:1" x14ac:dyDescent="0.15">
      <c r="A15" t="s">
        <v>320</v>
      </c>
    </row>
    <row r="16" spans="1:1" x14ac:dyDescent="0.15">
      <c r="A16" t="s">
        <v>321</v>
      </c>
    </row>
    <row r="17" spans="1:2" x14ac:dyDescent="0.15">
      <c r="A17" t="s">
        <v>322</v>
      </c>
    </row>
    <row r="18" spans="1:2" x14ac:dyDescent="0.15">
      <c r="A18" t="s">
        <v>323</v>
      </c>
    </row>
    <row r="19" spans="1:2" x14ac:dyDescent="0.15">
      <c r="A19" t="s">
        <v>324</v>
      </c>
    </row>
    <row r="20" spans="1:2" x14ac:dyDescent="0.15">
      <c r="A20" t="s">
        <v>325</v>
      </c>
    </row>
    <row r="21" spans="1:2" x14ac:dyDescent="0.15">
      <c r="A21" t="s">
        <v>326</v>
      </c>
    </row>
    <row r="22" spans="1:2" x14ac:dyDescent="0.15">
      <c r="A22" t="s">
        <v>327</v>
      </c>
    </row>
    <row r="23" spans="1:2" x14ac:dyDescent="0.15">
      <c r="A23" t="s">
        <v>328</v>
      </c>
    </row>
    <row r="24" spans="1:2" x14ac:dyDescent="0.15">
      <c r="A24" t="s">
        <v>329</v>
      </c>
    </row>
    <row r="25" spans="1:2" x14ac:dyDescent="0.15">
      <c r="A25" t="s">
        <v>330</v>
      </c>
    </row>
    <row r="26" spans="1:2" x14ac:dyDescent="0.15">
      <c r="A26" t="s">
        <v>331</v>
      </c>
    </row>
    <row r="27" spans="1:2" x14ac:dyDescent="0.15">
      <c r="A27" t="s">
        <v>171</v>
      </c>
    </row>
    <row r="28" spans="1:2" x14ac:dyDescent="0.15">
      <c r="A28" t="s">
        <v>332</v>
      </c>
    </row>
    <row r="29" spans="1:2" x14ac:dyDescent="0.15">
      <c r="A29" t="s">
        <v>333</v>
      </c>
    </row>
    <row r="30" spans="1:2" x14ac:dyDescent="0.15">
      <c r="A30" t="s">
        <v>334</v>
      </c>
      <c r="B30" t="s">
        <v>477</v>
      </c>
    </row>
    <row r="31" spans="1:2" x14ac:dyDescent="0.15">
      <c r="A31" t="s">
        <v>335</v>
      </c>
    </row>
    <row r="32" spans="1:2" x14ac:dyDescent="0.15">
      <c r="A32" t="s">
        <v>178</v>
      </c>
      <c r="B32" t="s">
        <v>478</v>
      </c>
    </row>
    <row r="33" spans="1:1" x14ac:dyDescent="0.15">
      <c r="A33" t="s">
        <v>336</v>
      </c>
    </row>
    <row r="34" spans="1:1" x14ac:dyDescent="0.15">
      <c r="A34" t="s">
        <v>337</v>
      </c>
    </row>
    <row r="35" spans="1:1" x14ac:dyDescent="0.15">
      <c r="A35" t="s">
        <v>338</v>
      </c>
    </row>
    <row r="36" spans="1:1" x14ac:dyDescent="0.15">
      <c r="A36" t="s">
        <v>339</v>
      </c>
    </row>
    <row r="37" spans="1:1" x14ac:dyDescent="0.15">
      <c r="A37" t="s">
        <v>340</v>
      </c>
    </row>
    <row r="38" spans="1:1" x14ac:dyDescent="0.15">
      <c r="A38" t="s">
        <v>341</v>
      </c>
    </row>
    <row r="39" spans="1:1" x14ac:dyDescent="0.15">
      <c r="A39" t="s">
        <v>342</v>
      </c>
    </row>
    <row r="40" spans="1:1" x14ac:dyDescent="0.15">
      <c r="A40" t="s">
        <v>171</v>
      </c>
    </row>
    <row r="41" spans="1:1" x14ac:dyDescent="0.15">
      <c r="A41" t="s">
        <v>343</v>
      </c>
    </row>
    <row r="42" spans="1:1" x14ac:dyDescent="0.15">
      <c r="A42" t="s">
        <v>344</v>
      </c>
    </row>
    <row r="43" spans="1:1" x14ac:dyDescent="0.15">
      <c r="A43" t="s">
        <v>345</v>
      </c>
    </row>
    <row r="44" spans="1:1" x14ac:dyDescent="0.15">
      <c r="A44" t="s">
        <v>346</v>
      </c>
    </row>
    <row r="45" spans="1:1" x14ac:dyDescent="0.15">
      <c r="A45" t="s">
        <v>347</v>
      </c>
    </row>
    <row r="46" spans="1:1" x14ac:dyDescent="0.15">
      <c r="A46" t="s">
        <v>348</v>
      </c>
    </row>
    <row r="47" spans="1:1" x14ac:dyDescent="0.15">
      <c r="A47" t="s">
        <v>349</v>
      </c>
    </row>
    <row r="48" spans="1:1" x14ac:dyDescent="0.15">
      <c r="A48" t="s">
        <v>350</v>
      </c>
    </row>
    <row r="49" spans="1:1" x14ac:dyDescent="0.15">
      <c r="A49" t="s">
        <v>351</v>
      </c>
    </row>
    <row r="50" spans="1:1" x14ac:dyDescent="0.15">
      <c r="A50" t="s">
        <v>178</v>
      </c>
    </row>
    <row r="51" spans="1:1" x14ac:dyDescent="0.15">
      <c r="A51" t="s">
        <v>352</v>
      </c>
    </row>
    <row r="52" spans="1:1" x14ac:dyDescent="0.15">
      <c r="A52" t="s">
        <v>171</v>
      </c>
    </row>
    <row r="53" spans="1:1" x14ac:dyDescent="0.15">
      <c r="A53" t="s">
        <v>353</v>
      </c>
    </row>
    <row r="54" spans="1:1" x14ac:dyDescent="0.15">
      <c r="A54" t="s">
        <v>355</v>
      </c>
    </row>
    <row r="55" spans="1:1" x14ac:dyDescent="0.15">
      <c r="A55" t="s">
        <v>356</v>
      </c>
    </row>
    <row r="56" spans="1:1" x14ac:dyDescent="0.15">
      <c r="A56" t="s">
        <v>357</v>
      </c>
    </row>
    <row r="57" spans="1:1" x14ac:dyDescent="0.15">
      <c r="A57" t="s">
        <v>358</v>
      </c>
    </row>
    <row r="58" spans="1:1" x14ac:dyDescent="0.15">
      <c r="A58" t="s">
        <v>359</v>
      </c>
    </row>
    <row r="59" spans="1:1" x14ac:dyDescent="0.15">
      <c r="A59" t="s">
        <v>171</v>
      </c>
    </row>
    <row r="60" spans="1:1" x14ac:dyDescent="0.15">
      <c r="A60" t="s">
        <v>360</v>
      </c>
    </row>
    <row r="61" spans="1:1" x14ac:dyDescent="0.15">
      <c r="A61" t="s">
        <v>361</v>
      </c>
    </row>
    <row r="62" spans="1:1" x14ac:dyDescent="0.15">
      <c r="A62" t="s">
        <v>362</v>
      </c>
    </row>
    <row r="63" spans="1:1" x14ac:dyDescent="0.15">
      <c r="A63" t="s">
        <v>178</v>
      </c>
    </row>
    <row r="64" spans="1:1" x14ac:dyDescent="0.15">
      <c r="A64" t="s">
        <v>363</v>
      </c>
    </row>
    <row r="65" spans="1:1" x14ac:dyDescent="0.15">
      <c r="A65" t="s">
        <v>189</v>
      </c>
    </row>
    <row r="66" spans="1:1" x14ac:dyDescent="0.15">
      <c r="A66" t="s">
        <v>364</v>
      </c>
    </row>
    <row r="67" spans="1:1" x14ac:dyDescent="0.15">
      <c r="A67" t="s">
        <v>107</v>
      </c>
    </row>
    <row r="68" spans="1:1" x14ac:dyDescent="0.15">
      <c r="A68" t="s">
        <v>365</v>
      </c>
    </row>
    <row r="69" spans="1:1" x14ac:dyDescent="0.15">
      <c r="A69" t="s">
        <v>110</v>
      </c>
    </row>
    <row r="70" spans="1:1" x14ac:dyDescent="0.15">
      <c r="A70" t="s">
        <v>366</v>
      </c>
    </row>
    <row r="71" spans="1:1" x14ac:dyDescent="0.15">
      <c r="A71" t="s">
        <v>107</v>
      </c>
    </row>
    <row r="72" spans="1:1" x14ac:dyDescent="0.15">
      <c r="A72" t="s">
        <v>367</v>
      </c>
    </row>
    <row r="73" spans="1:1" x14ac:dyDescent="0.15">
      <c r="A73" t="s">
        <v>110</v>
      </c>
    </row>
    <row r="74" spans="1:1" x14ac:dyDescent="0.15">
      <c r="A74" t="s">
        <v>368</v>
      </c>
    </row>
    <row r="75" spans="1:1" x14ac:dyDescent="0.15">
      <c r="A75" t="s">
        <v>107</v>
      </c>
    </row>
    <row r="76" spans="1:1" x14ac:dyDescent="0.15">
      <c r="A76" t="s">
        <v>369</v>
      </c>
    </row>
    <row r="77" spans="1:1" x14ac:dyDescent="0.15">
      <c r="A77" t="s">
        <v>110</v>
      </c>
    </row>
    <row r="78" spans="1:1" x14ac:dyDescent="0.15">
      <c r="A78" t="s">
        <v>370</v>
      </c>
    </row>
    <row r="79" spans="1:1" x14ac:dyDescent="0.15">
      <c r="A79" t="s">
        <v>107</v>
      </c>
    </row>
    <row r="80" spans="1:1" x14ac:dyDescent="0.15">
      <c r="A80" t="s">
        <v>371</v>
      </c>
    </row>
    <row r="81" spans="1:1" x14ac:dyDescent="0.15">
      <c r="A81" t="s">
        <v>110</v>
      </c>
    </row>
    <row r="82" spans="1:1" x14ac:dyDescent="0.15">
      <c r="A82" t="s">
        <v>372</v>
      </c>
    </row>
    <row r="83" spans="1:1" x14ac:dyDescent="0.15">
      <c r="A83" t="s">
        <v>107</v>
      </c>
    </row>
    <row r="84" spans="1:1" x14ac:dyDescent="0.15">
      <c r="A84" t="s">
        <v>373</v>
      </c>
    </row>
    <row r="85" spans="1:1" x14ac:dyDescent="0.15">
      <c r="A85" t="s">
        <v>110</v>
      </c>
    </row>
    <row r="86" spans="1:1" x14ac:dyDescent="0.15">
      <c r="A86" t="s">
        <v>374</v>
      </c>
    </row>
    <row r="87" spans="1:1" x14ac:dyDescent="0.15">
      <c r="A87" t="s">
        <v>375</v>
      </c>
    </row>
    <row r="88" spans="1:1" x14ac:dyDescent="0.15">
      <c r="A88" t="s">
        <v>376</v>
      </c>
    </row>
    <row r="89" spans="1:1" x14ac:dyDescent="0.15">
      <c r="A89" t="s">
        <v>107</v>
      </c>
    </row>
    <row r="90" spans="1:1" x14ac:dyDescent="0.15">
      <c r="A90" t="s">
        <v>128</v>
      </c>
    </row>
    <row r="91" spans="1:1" x14ac:dyDescent="0.15">
      <c r="A91" t="s">
        <v>110</v>
      </c>
    </row>
    <row r="92" spans="1:1" x14ac:dyDescent="0.15">
      <c r="A92" t="s">
        <v>377</v>
      </c>
    </row>
    <row r="93" spans="1:1" x14ac:dyDescent="0.15">
      <c r="A93" t="s">
        <v>378</v>
      </c>
    </row>
    <row r="94" spans="1:1" x14ac:dyDescent="0.15">
      <c r="A94" t="s">
        <v>379</v>
      </c>
    </row>
    <row r="95" spans="1:1" x14ac:dyDescent="0.15">
      <c r="A95" t="s">
        <v>110</v>
      </c>
    </row>
    <row r="96" spans="1:1" x14ac:dyDescent="0.15">
      <c r="A96" t="s">
        <v>380</v>
      </c>
    </row>
    <row r="97" spans="1:2" x14ac:dyDescent="0.15">
      <c r="A97" t="s">
        <v>381</v>
      </c>
      <c r="B97" t="s">
        <v>378</v>
      </c>
    </row>
    <row r="98" spans="1:2" x14ac:dyDescent="0.15">
      <c r="A98" t="s">
        <v>382</v>
      </c>
      <c r="B98" t="s">
        <v>479</v>
      </c>
    </row>
    <row r="99" spans="1:2" x14ac:dyDescent="0.15">
      <c r="A99" t="s">
        <v>383</v>
      </c>
      <c r="B99" t="s">
        <v>110</v>
      </c>
    </row>
    <row r="100" spans="1:2" x14ac:dyDescent="0.15">
      <c r="A100" t="s">
        <v>384</v>
      </c>
      <c r="B100" t="s">
        <v>480</v>
      </c>
    </row>
    <row r="101" spans="1:2" x14ac:dyDescent="0.15">
      <c r="A101" t="s">
        <v>146</v>
      </c>
    </row>
    <row r="102" spans="1:2" x14ac:dyDescent="0.15">
      <c r="A102" t="s">
        <v>385</v>
      </c>
    </row>
    <row r="103" spans="1:2" x14ac:dyDescent="0.15">
      <c r="A103" t="s">
        <v>375</v>
      </c>
    </row>
    <row r="104" spans="1:2" x14ac:dyDescent="0.15">
      <c r="A104" t="s">
        <v>386</v>
      </c>
    </row>
    <row r="105" spans="1:2" x14ac:dyDescent="0.15">
      <c r="A105" t="s">
        <v>183</v>
      </c>
    </row>
    <row r="106" spans="1:2" x14ac:dyDescent="0.15">
      <c r="A106" t="s">
        <v>387</v>
      </c>
    </row>
    <row r="107" spans="1:2" x14ac:dyDescent="0.15">
      <c r="A107" t="s">
        <v>388</v>
      </c>
    </row>
    <row r="108" spans="1:2" x14ac:dyDescent="0.15">
      <c r="A108" t="s">
        <v>389</v>
      </c>
    </row>
    <row r="109" spans="1:2" x14ac:dyDescent="0.15">
      <c r="A109" t="s">
        <v>160</v>
      </c>
    </row>
    <row r="112" spans="1:2" x14ac:dyDescent="0.15">
      <c r="A112" t="s">
        <v>46</v>
      </c>
    </row>
    <row r="113" spans="1:1" x14ac:dyDescent="0.15">
      <c r="A113" t="s">
        <v>47</v>
      </c>
    </row>
    <row r="114" spans="1:1" x14ac:dyDescent="0.15">
      <c r="A114" t="s">
        <v>48</v>
      </c>
    </row>
    <row r="115" spans="1:1" x14ac:dyDescent="0.15">
      <c r="A115" t="s">
        <v>49</v>
      </c>
    </row>
    <row r="116" spans="1:1" x14ac:dyDescent="0.15">
      <c r="A116" t="s">
        <v>50</v>
      </c>
    </row>
    <row r="117" spans="1:1" x14ac:dyDescent="0.15">
      <c r="A117" t="s">
        <v>51</v>
      </c>
    </row>
    <row r="118" spans="1:1" x14ac:dyDescent="0.15">
      <c r="A118" t="s">
        <v>52</v>
      </c>
    </row>
    <row r="119" spans="1:1" x14ac:dyDescent="0.15">
      <c r="A119" t="s">
        <v>186</v>
      </c>
    </row>
    <row r="120" spans="1:1" x14ac:dyDescent="0.15">
      <c r="A120" t="s">
        <v>390</v>
      </c>
    </row>
    <row r="122" spans="1:1" x14ac:dyDescent="0.15">
      <c r="A122" t="s">
        <v>391</v>
      </c>
    </row>
    <row r="123" spans="1:1" x14ac:dyDescent="0.15">
      <c r="A123" t="s">
        <v>56</v>
      </c>
    </row>
    <row r="124" spans="1:1" x14ac:dyDescent="0.15">
      <c r="A124" t="s">
        <v>57</v>
      </c>
    </row>
    <row r="125" spans="1:1" x14ac:dyDescent="0.15">
      <c r="A125" t="s">
        <v>392</v>
      </c>
    </row>
    <row r="126" spans="1:1" x14ac:dyDescent="0.15">
      <c r="A126" t="s">
        <v>393</v>
      </c>
    </row>
    <row r="127" spans="1:1" x14ac:dyDescent="0.15">
      <c r="A127" t="s">
        <v>394</v>
      </c>
    </row>
    <row r="128" spans="1:1" x14ac:dyDescent="0.15">
      <c r="A128" t="s">
        <v>171</v>
      </c>
    </row>
    <row r="129" spans="1:2" x14ac:dyDescent="0.15">
      <c r="A129" t="s">
        <v>395</v>
      </c>
    </row>
    <row r="130" spans="1:2" x14ac:dyDescent="0.15">
      <c r="A130" t="s">
        <v>396</v>
      </c>
    </row>
    <row r="131" spans="1:2" x14ac:dyDescent="0.15">
      <c r="A131" t="s">
        <v>397</v>
      </c>
    </row>
    <row r="132" spans="1:2" x14ac:dyDescent="0.15">
      <c r="A132" t="s">
        <v>178</v>
      </c>
    </row>
    <row r="133" spans="1:2" x14ac:dyDescent="0.15">
      <c r="A133" t="s">
        <v>171</v>
      </c>
    </row>
    <row r="134" spans="1:2" x14ac:dyDescent="0.15">
      <c r="A134" t="s">
        <v>398</v>
      </c>
    </row>
    <row r="135" spans="1:2" x14ac:dyDescent="0.15">
      <c r="A135" t="s">
        <v>396</v>
      </c>
    </row>
    <row r="136" spans="1:2" x14ac:dyDescent="0.15">
      <c r="A136" t="s">
        <v>397</v>
      </c>
    </row>
    <row r="137" spans="1:2" x14ac:dyDescent="0.15">
      <c r="A137" t="s">
        <v>178</v>
      </c>
      <c r="B137" t="s">
        <v>178</v>
      </c>
    </row>
    <row r="138" spans="1:2" x14ac:dyDescent="0.15">
      <c r="A138" t="s">
        <v>171</v>
      </c>
      <c r="B138" t="s">
        <v>326</v>
      </c>
    </row>
    <row r="139" spans="1:2" x14ac:dyDescent="0.15">
      <c r="A139" t="s">
        <v>399</v>
      </c>
      <c r="B139" t="s">
        <v>336</v>
      </c>
    </row>
    <row r="140" spans="1:2" x14ac:dyDescent="0.15">
      <c r="A140" t="s">
        <v>396</v>
      </c>
      <c r="B140" t="s">
        <v>481</v>
      </c>
    </row>
    <row r="141" spans="1:2" x14ac:dyDescent="0.15">
      <c r="A141" t="s">
        <v>397</v>
      </c>
      <c r="B141" t="s">
        <v>104</v>
      </c>
    </row>
    <row r="142" spans="1:2" x14ac:dyDescent="0.15">
      <c r="A142" t="s">
        <v>178</v>
      </c>
    </row>
    <row r="143" spans="1:2" x14ac:dyDescent="0.15">
      <c r="A143" t="s">
        <v>326</v>
      </c>
    </row>
    <row r="144" spans="1:2" x14ac:dyDescent="0.15">
      <c r="A144" t="s">
        <v>336</v>
      </c>
    </row>
    <row r="145" spans="1:2" x14ac:dyDescent="0.15">
      <c r="A145" t="s">
        <v>400</v>
      </c>
    </row>
    <row r="146" spans="1:2" x14ac:dyDescent="0.15">
      <c r="A146" t="s">
        <v>104</v>
      </c>
    </row>
    <row r="147" spans="1:2" x14ac:dyDescent="0.15">
      <c r="A147" t="s">
        <v>189</v>
      </c>
    </row>
    <row r="148" spans="1:2" x14ac:dyDescent="0.15">
      <c r="A148" t="s">
        <v>364</v>
      </c>
    </row>
    <row r="149" spans="1:2" x14ac:dyDescent="0.15">
      <c r="A149" t="s">
        <v>107</v>
      </c>
    </row>
    <row r="150" spans="1:2" x14ac:dyDescent="0.15">
      <c r="A150" t="s">
        <v>365</v>
      </c>
    </row>
    <row r="151" spans="1:2" x14ac:dyDescent="0.15">
      <c r="A151" t="s">
        <v>110</v>
      </c>
    </row>
    <row r="152" spans="1:2" x14ac:dyDescent="0.15">
      <c r="A152" t="s">
        <v>366</v>
      </c>
    </row>
    <row r="153" spans="1:2" x14ac:dyDescent="0.15">
      <c r="A153" t="s">
        <v>107</v>
      </c>
    </row>
    <row r="154" spans="1:2" x14ac:dyDescent="0.15">
      <c r="A154" t="s">
        <v>401</v>
      </c>
    </row>
    <row r="155" spans="1:2" x14ac:dyDescent="0.15">
      <c r="A155" t="s">
        <v>110</v>
      </c>
    </row>
    <row r="156" spans="1:2" x14ac:dyDescent="0.15">
      <c r="A156" t="s">
        <v>368</v>
      </c>
    </row>
    <row r="157" spans="1:2" x14ac:dyDescent="0.15">
      <c r="A157" t="s">
        <v>146</v>
      </c>
      <c r="B157" t="s">
        <v>482</v>
      </c>
    </row>
    <row r="158" spans="1:2" x14ac:dyDescent="0.15">
      <c r="A158" t="s">
        <v>385</v>
      </c>
      <c r="B158" t="s">
        <v>483</v>
      </c>
    </row>
    <row r="159" spans="1:2" x14ac:dyDescent="0.15">
      <c r="A159" t="s">
        <v>183</v>
      </c>
    </row>
    <row r="160" spans="1:2" x14ac:dyDescent="0.15">
      <c r="A160" t="s">
        <v>402</v>
      </c>
    </row>
    <row r="161" spans="1:1" x14ac:dyDescent="0.15">
      <c r="A161" t="s">
        <v>160</v>
      </c>
    </row>
    <row r="164" spans="1:1" x14ac:dyDescent="0.15">
      <c r="A164" t="s">
        <v>46</v>
      </c>
    </row>
    <row r="165" spans="1:1" x14ac:dyDescent="0.15">
      <c r="A165" t="s">
        <v>47</v>
      </c>
    </row>
    <row r="166" spans="1:1" x14ac:dyDescent="0.15">
      <c r="A166" t="s">
        <v>48</v>
      </c>
    </row>
    <row r="167" spans="1:1" x14ac:dyDescent="0.15">
      <c r="A167" t="s">
        <v>49</v>
      </c>
    </row>
    <row r="168" spans="1:1" x14ac:dyDescent="0.15">
      <c r="A168" t="s">
        <v>50</v>
      </c>
    </row>
    <row r="169" spans="1:1" x14ac:dyDescent="0.15">
      <c r="A169" t="s">
        <v>51</v>
      </c>
    </row>
    <row r="170" spans="1:1" x14ac:dyDescent="0.15">
      <c r="A170" t="s">
        <v>52</v>
      </c>
    </row>
    <row r="171" spans="1:1" x14ac:dyDescent="0.15">
      <c r="A171" t="s">
        <v>53</v>
      </c>
    </row>
    <row r="172" spans="1:1" x14ac:dyDescent="0.15">
      <c r="A172" t="s">
        <v>403</v>
      </c>
    </row>
    <row r="174" spans="1:1" x14ac:dyDescent="0.15">
      <c r="A174" t="s">
        <v>404</v>
      </c>
    </row>
    <row r="176" spans="1:1" x14ac:dyDescent="0.15">
      <c r="A176" t="s">
        <v>56</v>
      </c>
    </row>
    <row r="177" spans="1:1" x14ac:dyDescent="0.15">
      <c r="A177" t="s">
        <v>405</v>
      </c>
    </row>
    <row r="178" spans="1:1" x14ac:dyDescent="0.15">
      <c r="A178" t="s">
        <v>406</v>
      </c>
    </row>
    <row r="179" spans="1:1" x14ac:dyDescent="0.15">
      <c r="A179" t="s">
        <v>407</v>
      </c>
    </row>
    <row r="180" spans="1:1" x14ac:dyDescent="0.15">
      <c r="A180" t="s">
        <v>408</v>
      </c>
    </row>
    <row r="181" spans="1:1" x14ac:dyDescent="0.15">
      <c r="A181" t="s">
        <v>171</v>
      </c>
    </row>
    <row r="182" spans="1:1" x14ac:dyDescent="0.15">
      <c r="A182" t="s">
        <v>409</v>
      </c>
    </row>
    <row r="183" spans="1:1" x14ac:dyDescent="0.15">
      <c r="A183" t="s">
        <v>410</v>
      </c>
    </row>
    <row r="184" spans="1:1" x14ac:dyDescent="0.15">
      <c r="A184" t="s">
        <v>411</v>
      </c>
    </row>
    <row r="185" spans="1:1" x14ac:dyDescent="0.15">
      <c r="A185" t="s">
        <v>412</v>
      </c>
    </row>
    <row r="186" spans="1:1" x14ac:dyDescent="0.15">
      <c r="A186" t="s">
        <v>413</v>
      </c>
    </row>
    <row r="187" spans="1:1" x14ac:dyDescent="0.15">
      <c r="A187" t="s">
        <v>414</v>
      </c>
    </row>
    <row r="188" spans="1:1" x14ac:dyDescent="0.15">
      <c r="A188" t="s">
        <v>415</v>
      </c>
    </row>
    <row r="189" spans="1:1" x14ac:dyDescent="0.15">
      <c r="A189" t="s">
        <v>416</v>
      </c>
    </row>
    <row r="190" spans="1:1" x14ac:dyDescent="0.15">
      <c r="A190" t="s">
        <v>417</v>
      </c>
    </row>
    <row r="191" spans="1:1" x14ac:dyDescent="0.15">
      <c r="A191" t="s">
        <v>418</v>
      </c>
    </row>
    <row r="192" spans="1:1" x14ac:dyDescent="0.15">
      <c r="A192" t="s">
        <v>419</v>
      </c>
    </row>
    <row r="193" spans="1:1" x14ac:dyDescent="0.15">
      <c r="A193" t="s">
        <v>420</v>
      </c>
    </row>
    <row r="194" spans="1:1" x14ac:dyDescent="0.15">
      <c r="A194" t="s">
        <v>412</v>
      </c>
    </row>
    <row r="195" spans="1:1" x14ac:dyDescent="0.15">
      <c r="A195" t="s">
        <v>421</v>
      </c>
    </row>
    <row r="196" spans="1:1" x14ac:dyDescent="0.15">
      <c r="A196" t="s">
        <v>422</v>
      </c>
    </row>
    <row r="197" spans="1:1" x14ac:dyDescent="0.15">
      <c r="A197" t="s">
        <v>423</v>
      </c>
    </row>
    <row r="198" spans="1:1" x14ac:dyDescent="0.15">
      <c r="A198" t="s">
        <v>424</v>
      </c>
    </row>
    <row r="199" spans="1:1" x14ac:dyDescent="0.15">
      <c r="A199" t="s">
        <v>425</v>
      </c>
    </row>
    <row r="200" spans="1:1" x14ac:dyDescent="0.15">
      <c r="A200" t="s">
        <v>426</v>
      </c>
    </row>
    <row r="201" spans="1:1" x14ac:dyDescent="0.15">
      <c r="A201" t="s">
        <v>427</v>
      </c>
    </row>
    <row r="202" spans="1:1" x14ac:dyDescent="0.15">
      <c r="A202" t="s">
        <v>428</v>
      </c>
    </row>
    <row r="203" spans="1:1" x14ac:dyDescent="0.15">
      <c r="A203" t="s">
        <v>76</v>
      </c>
    </row>
    <row r="204" spans="1:1" x14ac:dyDescent="0.15">
      <c r="A204" t="s">
        <v>429</v>
      </c>
    </row>
    <row r="205" spans="1:1" x14ac:dyDescent="0.15">
      <c r="A205" t="s">
        <v>430</v>
      </c>
    </row>
    <row r="206" spans="1:1" x14ac:dyDescent="0.15">
      <c r="A206" t="s">
        <v>431</v>
      </c>
    </row>
    <row r="207" spans="1:1" x14ac:dyDescent="0.15">
      <c r="A207" t="s">
        <v>432</v>
      </c>
    </row>
    <row r="208" spans="1:1" x14ac:dyDescent="0.15">
      <c r="A208" t="s">
        <v>171</v>
      </c>
    </row>
    <row r="209" spans="1:1" x14ac:dyDescent="0.15">
      <c r="A209" t="s">
        <v>433</v>
      </c>
    </row>
    <row r="210" spans="1:1" x14ac:dyDescent="0.15">
      <c r="A210" t="s">
        <v>434</v>
      </c>
    </row>
    <row r="211" spans="1:1" x14ac:dyDescent="0.15">
      <c r="A211" t="s">
        <v>435</v>
      </c>
    </row>
    <row r="212" spans="1:1" x14ac:dyDescent="0.15">
      <c r="A212" t="s">
        <v>436</v>
      </c>
    </row>
    <row r="213" spans="1:1" x14ac:dyDescent="0.15">
      <c r="A213" t="s">
        <v>437</v>
      </c>
    </row>
    <row r="214" spans="1:1" x14ac:dyDescent="0.15">
      <c r="A214" t="s">
        <v>438</v>
      </c>
    </row>
    <row r="215" spans="1:1" x14ac:dyDescent="0.15">
      <c r="A215" t="s">
        <v>439</v>
      </c>
    </row>
    <row r="216" spans="1:1" x14ac:dyDescent="0.15">
      <c r="A216" t="s">
        <v>440</v>
      </c>
    </row>
    <row r="217" spans="1:1" x14ac:dyDescent="0.15">
      <c r="A217" t="s">
        <v>441</v>
      </c>
    </row>
    <row r="218" spans="1:1" x14ac:dyDescent="0.15">
      <c r="A218" t="s">
        <v>442</v>
      </c>
    </row>
    <row r="219" spans="1:1" x14ac:dyDescent="0.15">
      <c r="A219" t="s">
        <v>443</v>
      </c>
    </row>
    <row r="220" spans="1:1" x14ac:dyDescent="0.15">
      <c r="A220" t="s">
        <v>444</v>
      </c>
    </row>
    <row r="221" spans="1:1" x14ac:dyDescent="0.15">
      <c r="A221" t="s">
        <v>445</v>
      </c>
    </row>
    <row r="222" spans="1:1" x14ac:dyDescent="0.15">
      <c r="A222" t="s">
        <v>446</v>
      </c>
    </row>
    <row r="223" spans="1:1" x14ac:dyDescent="0.15">
      <c r="A223" t="s">
        <v>189</v>
      </c>
    </row>
    <row r="224" spans="1:1" x14ac:dyDescent="0.15">
      <c r="A224" t="s">
        <v>447</v>
      </c>
    </row>
    <row r="225" spans="1:1" x14ac:dyDescent="0.15">
      <c r="A225" t="s">
        <v>448</v>
      </c>
    </row>
    <row r="226" spans="1:1" x14ac:dyDescent="0.15">
      <c r="A226" t="s">
        <v>449</v>
      </c>
    </row>
    <row r="227" spans="1:1" x14ac:dyDescent="0.15">
      <c r="A227" t="s">
        <v>450</v>
      </c>
    </row>
    <row r="228" spans="1:1" x14ac:dyDescent="0.15">
      <c r="A228" t="s">
        <v>451</v>
      </c>
    </row>
    <row r="229" spans="1:1" x14ac:dyDescent="0.15">
      <c r="A229" t="s">
        <v>452</v>
      </c>
    </row>
    <row r="230" spans="1:1" x14ac:dyDescent="0.15">
      <c r="A230" t="s">
        <v>453</v>
      </c>
    </row>
    <row r="231" spans="1:1" x14ac:dyDescent="0.15">
      <c r="A231" t="s">
        <v>454</v>
      </c>
    </row>
    <row r="232" spans="1:1" x14ac:dyDescent="0.15">
      <c r="A232" t="s">
        <v>455</v>
      </c>
    </row>
    <row r="233" spans="1:1" x14ac:dyDescent="0.15">
      <c r="A233" t="s">
        <v>456</v>
      </c>
    </row>
    <row r="234" spans="1:1" x14ac:dyDescent="0.15">
      <c r="A234" t="s">
        <v>110</v>
      </c>
    </row>
    <row r="235" spans="1:1" x14ac:dyDescent="0.15">
      <c r="A235" t="s">
        <v>457</v>
      </c>
    </row>
    <row r="236" spans="1:1" x14ac:dyDescent="0.15">
      <c r="A236" t="s">
        <v>458</v>
      </c>
    </row>
    <row r="237" spans="1:1" x14ac:dyDescent="0.15">
      <c r="A237" t="s">
        <v>459</v>
      </c>
    </row>
    <row r="238" spans="1:1" x14ac:dyDescent="0.15">
      <c r="A238" t="s">
        <v>460</v>
      </c>
    </row>
    <row r="239" spans="1:1" x14ac:dyDescent="0.15">
      <c r="A239" t="s">
        <v>461</v>
      </c>
    </row>
    <row r="240" spans="1:1" x14ac:dyDescent="0.15">
      <c r="A240" t="s">
        <v>462</v>
      </c>
    </row>
    <row r="241" spans="1:1" x14ac:dyDescent="0.15">
      <c r="A241" t="s">
        <v>463</v>
      </c>
    </row>
    <row r="242" spans="1:1" x14ac:dyDescent="0.15">
      <c r="A242" t="s">
        <v>460</v>
      </c>
    </row>
    <row r="243" spans="1:1" x14ac:dyDescent="0.15">
      <c r="A243" t="s">
        <v>464</v>
      </c>
    </row>
    <row r="244" spans="1:1" x14ac:dyDescent="0.15">
      <c r="A244" t="s">
        <v>462</v>
      </c>
    </row>
    <row r="245" spans="1:1" x14ac:dyDescent="0.15">
      <c r="A245" t="s">
        <v>465</v>
      </c>
    </row>
    <row r="246" spans="1:1" x14ac:dyDescent="0.15">
      <c r="A246" t="s">
        <v>460</v>
      </c>
    </row>
    <row r="247" spans="1:1" x14ac:dyDescent="0.15">
      <c r="A247" t="s">
        <v>466</v>
      </c>
    </row>
    <row r="248" spans="1:1" x14ac:dyDescent="0.15">
      <c r="A248" t="s">
        <v>462</v>
      </c>
    </row>
    <row r="249" spans="1:1" x14ac:dyDescent="0.15">
      <c r="A249" t="s">
        <v>467</v>
      </c>
    </row>
    <row r="250" spans="1:1" x14ac:dyDescent="0.15">
      <c r="A250" t="s">
        <v>460</v>
      </c>
    </row>
    <row r="251" spans="1:1" x14ac:dyDescent="0.15">
      <c r="A251" t="s">
        <v>468</v>
      </c>
    </row>
    <row r="252" spans="1:1" x14ac:dyDescent="0.15">
      <c r="A252" t="s">
        <v>462</v>
      </c>
    </row>
    <row r="253" spans="1:1" x14ac:dyDescent="0.15">
      <c r="A253" t="s">
        <v>469</v>
      </c>
    </row>
    <row r="254" spans="1:1" x14ac:dyDescent="0.15">
      <c r="A254" t="s">
        <v>460</v>
      </c>
    </row>
    <row r="255" spans="1:1" x14ac:dyDescent="0.15">
      <c r="A255" t="s">
        <v>470</v>
      </c>
    </row>
    <row r="256" spans="1:1" x14ac:dyDescent="0.15">
      <c r="A256" t="s">
        <v>462</v>
      </c>
    </row>
    <row r="257" spans="1:1" x14ac:dyDescent="0.15">
      <c r="A257" t="s">
        <v>471</v>
      </c>
    </row>
    <row r="258" spans="1:1" x14ac:dyDescent="0.15">
      <c r="A258" t="s">
        <v>460</v>
      </c>
    </row>
    <row r="259" spans="1:1" x14ac:dyDescent="0.15">
      <c r="A259" t="s">
        <v>472</v>
      </c>
    </row>
    <row r="260" spans="1:1" x14ac:dyDescent="0.15">
      <c r="A260" t="s">
        <v>462</v>
      </c>
    </row>
    <row r="261" spans="1:1" x14ac:dyDescent="0.15">
      <c r="A261" t="s">
        <v>473</v>
      </c>
    </row>
    <row r="262" spans="1:1" x14ac:dyDescent="0.15">
      <c r="A262" t="s">
        <v>146</v>
      </c>
    </row>
    <row r="263" spans="1:1" x14ac:dyDescent="0.15">
      <c r="A263" t="str">
        <f>" TKB.SUPPORT_ID='"&amp;TEXT(操作シート!B2,"0000000")&amp;"'"</f>
        <v xml:space="preserve"> TKB.SUPPORT_ID='1700140'</v>
      </c>
    </row>
    <row r="264" spans="1:1" x14ac:dyDescent="0.15">
      <c r="A264" s="79" t="s">
        <v>474</v>
      </c>
    </row>
    <row r="265" spans="1:1" x14ac:dyDescent="0.15">
      <c r="A265" t="s">
        <v>475</v>
      </c>
    </row>
    <row r="266" spans="1:1" x14ac:dyDescent="0.15">
      <c r="A266" t="s">
        <v>476</v>
      </c>
    </row>
    <row r="267" spans="1:1" x14ac:dyDescent="0.15">
      <c r="A267" t="s">
        <v>160</v>
      </c>
    </row>
    <row r="268" spans="1:1" x14ac:dyDescent="0.15">
      <c r="A268" t="s">
        <v>191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M75"/>
  <sheetViews>
    <sheetView topLeftCell="A49" workbookViewId="0">
      <selection activeCell="A51" sqref="A51:A53"/>
    </sheetView>
  </sheetViews>
  <sheetFormatPr defaultRowHeight="17.25" x14ac:dyDescent="0.15"/>
  <cols>
    <col min="1" max="1" width="9" style="2"/>
    <col min="18" max="39" width="3.125" customWidth="1"/>
  </cols>
  <sheetData>
    <row r="2" spans="1:18" x14ac:dyDescent="0.15">
      <c r="A2" s="3"/>
      <c r="B2" s="15" t="s">
        <v>484</v>
      </c>
      <c r="C2" s="16" t="s">
        <v>485</v>
      </c>
      <c r="D2" s="16" t="s">
        <v>274</v>
      </c>
      <c r="E2" s="17" t="s">
        <v>275</v>
      </c>
      <c r="F2" s="17" t="s">
        <v>486</v>
      </c>
      <c r="G2" s="96" t="s">
        <v>487</v>
      </c>
      <c r="H2" s="97"/>
      <c r="I2" s="96" t="s">
        <v>488</v>
      </c>
      <c r="J2" s="98"/>
      <c r="K2" s="17" t="s">
        <v>486</v>
      </c>
      <c r="L2" s="96" t="s">
        <v>487</v>
      </c>
      <c r="M2" s="97"/>
      <c r="N2" s="96" t="s">
        <v>488</v>
      </c>
      <c r="O2" s="98"/>
      <c r="P2" s="17" t="s">
        <v>489</v>
      </c>
    </row>
    <row r="3" spans="1:18" x14ac:dyDescent="0.15">
      <c r="A3" s="3"/>
      <c r="B3" s="18"/>
      <c r="C3" s="19"/>
      <c r="D3" s="19"/>
      <c r="E3" s="20"/>
      <c r="F3" s="20"/>
      <c r="G3" s="109" t="s">
        <v>490</v>
      </c>
      <c r="H3" s="109" t="s">
        <v>491</v>
      </c>
      <c r="I3" s="94" t="s">
        <v>492</v>
      </c>
      <c r="J3" s="95" t="s">
        <v>493</v>
      </c>
      <c r="K3" s="20"/>
      <c r="L3" s="109" t="s">
        <v>490</v>
      </c>
      <c r="M3" s="109" t="s">
        <v>491</v>
      </c>
      <c r="N3" s="94" t="s">
        <v>492</v>
      </c>
      <c r="O3" s="95" t="s">
        <v>493</v>
      </c>
      <c r="P3" s="20"/>
    </row>
    <row r="4" spans="1:18" x14ac:dyDescent="0.15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</row>
    <row r="5" spans="1:18" x14ac:dyDescent="0.15">
      <c r="A5" s="34"/>
      <c r="B5" s="131" t="s">
        <v>494</v>
      </c>
      <c r="C5" s="131"/>
      <c r="D5" s="131"/>
      <c r="E5" s="132"/>
      <c r="F5" s="110"/>
      <c r="G5" s="111"/>
      <c r="H5" s="112"/>
      <c r="I5" s="112"/>
      <c r="J5" s="112">
        <f>I5</f>
        <v>0</v>
      </c>
      <c r="K5" s="110"/>
      <c r="L5" s="111"/>
      <c r="M5" s="112"/>
      <c r="N5" s="112"/>
      <c r="O5" s="112">
        <f>N5</f>
        <v>0</v>
      </c>
      <c r="P5" s="113"/>
    </row>
    <row r="6" spans="1:18" x14ac:dyDescent="0.15">
      <c r="A6" s="34"/>
      <c r="B6" s="131" t="s">
        <v>495</v>
      </c>
      <c r="C6" s="131"/>
      <c r="D6" s="131"/>
      <c r="E6" s="132"/>
      <c r="F6" s="110"/>
      <c r="G6" s="114"/>
      <c r="H6" s="114"/>
      <c r="I6" s="114"/>
      <c r="J6" s="114">
        <f>SUM(H6:I6)</f>
        <v>0</v>
      </c>
      <c r="K6" s="110"/>
      <c r="L6" s="114"/>
      <c r="M6" s="114"/>
      <c r="N6" s="114"/>
      <c r="O6" s="114">
        <f>SUM(M6:N6)</f>
        <v>0</v>
      </c>
      <c r="P6" s="113"/>
    </row>
    <row r="7" spans="1:18" ht="13.5" x14ac:dyDescent="0.15">
      <c r="A7" s="35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</row>
    <row r="8" spans="1:18" ht="13.5" x14ac:dyDescent="0.15">
      <c r="A8" s="35"/>
      <c r="B8" s="4"/>
      <c r="C8" s="4"/>
      <c r="D8" s="4"/>
      <c r="E8" s="4"/>
      <c r="F8" s="5"/>
      <c r="G8" s="10"/>
      <c r="H8" s="6"/>
      <c r="I8" s="6"/>
      <c r="J8" s="6"/>
      <c r="K8" s="6"/>
      <c r="L8" s="10"/>
      <c r="M8" s="6"/>
      <c r="N8" s="6"/>
      <c r="O8" s="6"/>
      <c r="P8" s="6"/>
      <c r="Q8" s="7"/>
    </row>
    <row r="9" spans="1:18" ht="14.25" x14ac:dyDescent="0.15">
      <c r="A9" s="36"/>
      <c r="B9" s="8" t="s">
        <v>605</v>
      </c>
      <c r="C9" s="8"/>
      <c r="D9" s="8"/>
      <c r="E9" s="21"/>
      <c r="F9" s="21"/>
      <c r="G9" s="105"/>
      <c r="H9" s="106"/>
      <c r="I9" s="106"/>
      <c r="J9" s="106"/>
      <c r="K9" s="11"/>
      <c r="L9" s="105"/>
      <c r="M9" s="106"/>
      <c r="N9" s="106"/>
      <c r="O9" s="106"/>
      <c r="P9" s="11"/>
      <c r="Q9" s="4"/>
      <c r="R9" s="1" t="s">
        <v>497</v>
      </c>
    </row>
    <row r="10" spans="1:18" ht="13.5" x14ac:dyDescent="0.15">
      <c r="A10" s="4"/>
      <c r="B10" s="4"/>
      <c r="C10" s="4"/>
      <c r="D10" s="4"/>
      <c r="E10" s="4"/>
      <c r="F10" s="5"/>
      <c r="G10" s="10"/>
      <c r="H10" s="5"/>
      <c r="I10" s="5"/>
      <c r="J10" s="5"/>
      <c r="K10" s="5"/>
      <c r="L10" s="10"/>
      <c r="M10" s="5"/>
      <c r="N10" s="5"/>
      <c r="O10" s="5"/>
      <c r="P10" s="5"/>
      <c r="Q10" s="4"/>
    </row>
    <row r="11" spans="1:18" ht="13.5" x14ac:dyDescent="0.15">
      <c r="A11" s="4"/>
      <c r="B11" s="4"/>
      <c r="C11" s="4"/>
      <c r="D11" s="4"/>
      <c r="E11" s="4"/>
      <c r="F11" s="5"/>
      <c r="G11" s="10"/>
      <c r="H11" s="5"/>
      <c r="I11" s="5"/>
      <c r="J11" s="5"/>
      <c r="K11" s="5"/>
      <c r="L11" s="10"/>
      <c r="M11" s="5"/>
      <c r="N11" s="5"/>
      <c r="O11" s="5"/>
      <c r="P11" s="5"/>
      <c r="Q11" s="4"/>
    </row>
    <row r="13" spans="1:18" x14ac:dyDescent="0.15">
      <c r="B13" s="12"/>
      <c r="C13" s="13" t="s">
        <v>498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8" ht="13.5" x14ac:dyDescent="0.15">
      <c r="A14" s="133" t="s">
        <v>499</v>
      </c>
      <c r="B14" s="133"/>
      <c r="C14" s="134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6"/>
      <c r="O14" s="115" t="s">
        <v>500</v>
      </c>
      <c r="P14" s="116"/>
    </row>
    <row r="15" spans="1:18" ht="13.5" x14ac:dyDescent="0.15">
      <c r="A15" s="133" t="s">
        <v>501</v>
      </c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15" t="s">
        <v>502</v>
      </c>
      <c r="P15" s="117"/>
    </row>
    <row r="16" spans="1:18" ht="13.5" x14ac:dyDescent="0.15">
      <c r="A16" s="133" t="s">
        <v>503</v>
      </c>
      <c r="B16" s="133"/>
      <c r="C16" s="134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6"/>
      <c r="O16" s="115" t="s">
        <v>504</v>
      </c>
      <c r="P16" s="118"/>
    </row>
    <row r="20" spans="1:18" x14ac:dyDescent="0.15">
      <c r="Q20" s="1"/>
    </row>
    <row r="21" spans="1:18" ht="13.5" x14ac:dyDescent="0.15">
      <c r="A21" s="33"/>
      <c r="B21" s="22" t="s">
        <v>484</v>
      </c>
      <c r="C21" s="17" t="s">
        <v>505</v>
      </c>
      <c r="D21" s="17" t="s">
        <v>506</v>
      </c>
      <c r="E21" s="17" t="s">
        <v>507</v>
      </c>
      <c r="F21" s="23" t="s">
        <v>486</v>
      </c>
      <c r="G21" s="17" t="s">
        <v>508</v>
      </c>
      <c r="H21" s="17" t="s">
        <v>509</v>
      </c>
      <c r="I21" s="17" t="s">
        <v>510</v>
      </c>
      <c r="J21" s="17" t="s">
        <v>489</v>
      </c>
      <c r="K21" s="1"/>
    </row>
    <row r="22" spans="1:18" ht="13.5" x14ac:dyDescent="0.15">
      <c r="A22" s="33"/>
      <c r="B22" s="20"/>
      <c r="C22" s="20"/>
      <c r="D22" s="20"/>
      <c r="E22" s="20"/>
      <c r="F22" s="24"/>
      <c r="G22" s="20"/>
      <c r="H22" s="20"/>
      <c r="I22" s="20"/>
      <c r="J22" s="20"/>
      <c r="K22" s="1"/>
    </row>
    <row r="23" spans="1:18" ht="13.5" x14ac:dyDescent="0.15">
      <c r="A23" s="14"/>
      <c r="B23" s="14"/>
      <c r="C23" s="14"/>
      <c r="D23" s="14"/>
      <c r="E23" s="14"/>
      <c r="F23" s="14"/>
      <c r="G23" s="14"/>
      <c r="H23" s="14"/>
      <c r="I23" s="14"/>
      <c r="J23" s="14"/>
    </row>
    <row r="24" spans="1:18" ht="13.5" x14ac:dyDescent="0.15">
      <c r="A24" s="14"/>
      <c r="B24" s="14"/>
      <c r="C24" s="14"/>
      <c r="D24" s="14"/>
      <c r="E24" s="14"/>
      <c r="F24" s="14"/>
      <c r="G24" s="14"/>
      <c r="H24" s="14"/>
      <c r="I24" s="14"/>
      <c r="J24" s="14"/>
    </row>
    <row r="25" spans="1:18" ht="13.5" x14ac:dyDescent="0.15">
      <c r="A25" s="32"/>
      <c r="B25" s="25" t="s">
        <v>495</v>
      </c>
      <c r="C25" s="27"/>
      <c r="D25" s="28"/>
      <c r="E25" s="113"/>
      <c r="F25" s="119"/>
      <c r="G25" s="112"/>
      <c r="H25" s="112"/>
      <c r="I25" s="112"/>
      <c r="J25" s="109"/>
    </row>
    <row r="26" spans="1:18" ht="13.5" x14ac:dyDescent="0.15">
      <c r="A26" s="32"/>
      <c r="B26" s="14"/>
      <c r="C26" s="14"/>
      <c r="D26" s="14"/>
      <c r="E26" s="14"/>
      <c r="F26" s="14"/>
      <c r="G26" s="14"/>
      <c r="H26" s="14"/>
      <c r="I26" s="14"/>
      <c r="J26" s="14"/>
    </row>
    <row r="27" spans="1:18" ht="13.5" x14ac:dyDescent="0.15">
      <c r="A27" s="32"/>
      <c r="B27" s="14"/>
      <c r="C27" s="14"/>
      <c r="D27" s="14"/>
      <c r="E27" s="14"/>
      <c r="F27" s="14"/>
      <c r="G27" s="14"/>
      <c r="H27" s="14"/>
      <c r="I27" s="14"/>
      <c r="J27" s="14"/>
    </row>
    <row r="28" spans="1:18" ht="13.5" x14ac:dyDescent="0.15">
      <c r="A28" s="18"/>
      <c r="B28" s="26" t="s">
        <v>496</v>
      </c>
      <c r="C28" s="29"/>
      <c r="D28" s="21"/>
      <c r="E28" s="21"/>
      <c r="F28" s="30"/>
      <c r="G28" s="9"/>
      <c r="H28" s="9"/>
      <c r="I28" s="9"/>
      <c r="J28" s="31"/>
      <c r="R28" s="1" t="s">
        <v>497</v>
      </c>
    </row>
    <row r="29" spans="1:18" ht="13.5" x14ac:dyDescent="0.15">
      <c r="A29" s="14"/>
      <c r="B29" s="14"/>
      <c r="C29" s="14"/>
      <c r="D29" s="14"/>
      <c r="E29" s="14"/>
      <c r="F29" s="14"/>
      <c r="G29" s="14"/>
      <c r="H29" s="14"/>
      <c r="I29" s="14"/>
      <c r="J29" s="14"/>
    </row>
    <row r="31" spans="1:18" x14ac:dyDescent="0.15">
      <c r="B31" s="12"/>
      <c r="C31" s="13" t="s">
        <v>498</v>
      </c>
      <c r="D31" s="1"/>
      <c r="E31" s="1"/>
      <c r="F31" s="1"/>
      <c r="G31" s="1"/>
      <c r="H31" s="1"/>
      <c r="I31" s="1"/>
      <c r="J31" s="1"/>
    </row>
    <row r="32" spans="1:18" ht="13.5" x14ac:dyDescent="0.15">
      <c r="A32" s="133" t="s">
        <v>499</v>
      </c>
      <c r="B32" s="133"/>
      <c r="C32" s="134"/>
      <c r="D32" s="135"/>
      <c r="E32" s="135"/>
      <c r="F32" s="135"/>
      <c r="G32" s="135"/>
      <c r="H32" s="136"/>
      <c r="I32" s="115" t="s">
        <v>500</v>
      </c>
      <c r="J32" s="116"/>
    </row>
    <row r="33" spans="1:16" ht="13.5" x14ac:dyDescent="0.15">
      <c r="A33" s="133" t="s">
        <v>501</v>
      </c>
      <c r="B33" s="133"/>
      <c r="C33" s="134"/>
      <c r="D33" s="135"/>
      <c r="E33" s="135"/>
      <c r="F33" s="135"/>
      <c r="G33" s="135"/>
      <c r="H33" s="136"/>
      <c r="I33" s="115" t="s">
        <v>502</v>
      </c>
      <c r="J33" s="117"/>
    </row>
    <row r="34" spans="1:16" ht="13.5" x14ac:dyDescent="0.15">
      <c r="A34" s="133" t="s">
        <v>503</v>
      </c>
      <c r="B34" s="133"/>
      <c r="C34" s="134"/>
      <c r="D34" s="135"/>
      <c r="E34" s="135"/>
      <c r="F34" s="135"/>
      <c r="G34" s="135"/>
      <c r="H34" s="136"/>
      <c r="I34" s="115" t="s">
        <v>504</v>
      </c>
      <c r="J34" s="118"/>
    </row>
    <row r="37" spans="1:16" ht="13.5" x14ac:dyDescent="0.15">
      <c r="A37" s="37" t="s">
        <v>511</v>
      </c>
      <c r="B37" s="38"/>
      <c r="C37" s="38"/>
      <c r="D37" s="39"/>
      <c r="E37" s="40"/>
      <c r="F37" s="39"/>
      <c r="G37" s="39"/>
      <c r="H37" s="39"/>
      <c r="I37" s="39"/>
      <c r="J37" s="39"/>
      <c r="K37" s="39"/>
      <c r="L37" s="39"/>
      <c r="M37" s="41"/>
      <c r="N37" s="1"/>
      <c r="O37" s="1"/>
      <c r="P37" s="1"/>
    </row>
    <row r="38" spans="1:16" ht="13.5" x14ac:dyDescent="0.15">
      <c r="A38" s="42" t="s">
        <v>512</v>
      </c>
      <c r="B38" s="43"/>
      <c r="C38" s="43"/>
      <c r="D38" s="44"/>
      <c r="E38" s="45"/>
      <c r="F38" s="44"/>
      <c r="G38" s="44"/>
      <c r="H38" s="44"/>
      <c r="I38" s="44"/>
      <c r="J38" s="44"/>
      <c r="K38" s="46"/>
      <c r="L38" s="44"/>
      <c r="M38" s="47"/>
      <c r="N38" s="1"/>
      <c r="O38" s="1"/>
      <c r="P38" s="1"/>
    </row>
    <row r="39" spans="1:16" ht="13.5" x14ac:dyDescent="0.15">
      <c r="A39" s="42" t="s">
        <v>513</v>
      </c>
      <c r="B39" s="43"/>
      <c r="C39" s="43"/>
      <c r="D39" s="44"/>
      <c r="E39" s="45"/>
      <c r="F39" s="44"/>
      <c r="G39" s="44"/>
      <c r="H39" s="44"/>
      <c r="I39" s="44"/>
      <c r="J39" s="44"/>
      <c r="K39" s="46"/>
      <c r="L39" s="44"/>
      <c r="M39" s="47"/>
      <c r="N39" s="1"/>
      <c r="O39" s="1"/>
      <c r="P39" s="1"/>
    </row>
    <row r="40" spans="1:16" ht="13.5" x14ac:dyDescent="0.15">
      <c r="A40" s="48"/>
      <c r="B40" s="43"/>
      <c r="C40" s="43"/>
      <c r="D40" s="44"/>
      <c r="E40" s="45"/>
      <c r="F40" s="44"/>
      <c r="G40" s="44"/>
      <c r="H40" s="44"/>
      <c r="I40" s="44"/>
      <c r="J40" s="44"/>
      <c r="K40" s="46"/>
      <c r="L40" s="44"/>
      <c r="M40" s="47"/>
      <c r="N40" s="1"/>
      <c r="O40" s="1"/>
      <c r="P40" s="1"/>
    </row>
    <row r="41" spans="1:16" ht="13.5" x14ac:dyDescent="0.15">
      <c r="A41" s="48"/>
      <c r="B41" s="43"/>
      <c r="C41" s="43"/>
      <c r="D41" s="44"/>
      <c r="E41" s="45"/>
      <c r="F41" s="44"/>
      <c r="G41" s="44"/>
      <c r="H41" s="44"/>
      <c r="I41" s="44"/>
      <c r="J41" s="44"/>
      <c r="K41" s="46"/>
      <c r="L41" s="44"/>
      <c r="M41" s="47"/>
      <c r="N41" s="1"/>
      <c r="O41" s="1"/>
      <c r="P41" s="1"/>
    </row>
    <row r="42" spans="1:16" ht="13.5" x14ac:dyDescent="0.15">
      <c r="A42" s="48"/>
      <c r="B42" s="43"/>
      <c r="C42" s="43"/>
      <c r="D42" s="44"/>
      <c r="E42" s="45"/>
      <c r="F42" s="44"/>
      <c r="G42" s="44"/>
      <c r="H42" s="44"/>
      <c r="I42" s="44"/>
      <c r="J42" s="44"/>
      <c r="K42" s="46"/>
      <c r="L42" s="44"/>
      <c r="M42" s="47"/>
      <c r="N42" s="1"/>
      <c r="O42" s="1"/>
      <c r="P42" s="1"/>
    </row>
    <row r="43" spans="1:16" ht="13.5" x14ac:dyDescent="0.15">
      <c r="A43" s="48"/>
      <c r="B43" s="43"/>
      <c r="C43" s="43"/>
      <c r="D43" s="44"/>
      <c r="E43" s="45"/>
      <c r="F43" s="44"/>
      <c r="G43" s="44"/>
      <c r="H43" s="44"/>
      <c r="I43" s="44"/>
      <c r="J43" s="44"/>
      <c r="K43" s="46"/>
      <c r="L43" s="44"/>
      <c r="M43" s="47"/>
      <c r="N43" s="1"/>
      <c r="O43" s="1"/>
      <c r="P43" s="1"/>
    </row>
    <row r="44" spans="1:16" ht="13.5" x14ac:dyDescent="0.15">
      <c r="A44" s="48"/>
      <c r="B44" s="43"/>
      <c r="C44" s="43"/>
      <c r="D44" s="44"/>
      <c r="E44" s="45"/>
      <c r="F44" s="44"/>
      <c r="G44" s="44"/>
      <c r="H44" s="44"/>
      <c r="I44" s="44"/>
      <c r="J44" s="44"/>
      <c r="K44" s="46"/>
      <c r="L44" s="44"/>
      <c r="M44" s="47"/>
      <c r="N44" s="1"/>
      <c r="O44" s="1"/>
      <c r="P44" s="1"/>
    </row>
    <row r="45" spans="1:16" ht="13.5" x14ac:dyDescent="0.15">
      <c r="A45" s="48"/>
      <c r="B45" s="43"/>
      <c r="C45" s="43"/>
      <c r="D45" s="44"/>
      <c r="E45" s="45"/>
      <c r="F45" s="44"/>
      <c r="G45" s="44"/>
      <c r="H45" s="44"/>
      <c r="I45" s="44"/>
      <c r="J45" s="44"/>
      <c r="K45" s="46"/>
      <c r="L45" s="44"/>
      <c r="M45" s="47"/>
      <c r="N45" s="1"/>
      <c r="O45" s="1"/>
      <c r="P45" s="1"/>
    </row>
    <row r="46" spans="1:16" ht="13.5" x14ac:dyDescent="0.15">
      <c r="A46" s="49"/>
      <c r="B46" s="50"/>
      <c r="C46" s="50"/>
      <c r="D46" s="51"/>
      <c r="E46" s="52"/>
      <c r="F46" s="51"/>
      <c r="G46" s="51"/>
      <c r="H46" s="51"/>
      <c r="I46" s="51"/>
      <c r="J46" s="51"/>
      <c r="K46" s="51"/>
      <c r="L46" s="51"/>
      <c r="M46" s="53"/>
      <c r="N46" s="1"/>
      <c r="O46" s="1"/>
      <c r="P46" s="1" t="s">
        <v>514</v>
      </c>
    </row>
    <row r="51" spans="1:39" ht="15" customHeight="1" x14ac:dyDescent="0.15">
      <c r="A51" s="139" t="s">
        <v>515</v>
      </c>
      <c r="B51" s="140" t="s">
        <v>516</v>
      </c>
      <c r="C51" s="140"/>
      <c r="D51" s="140"/>
      <c r="E51" s="140"/>
      <c r="F51" s="140"/>
      <c r="G51" s="140" t="s">
        <v>517</v>
      </c>
      <c r="H51" s="140"/>
      <c r="I51" s="125" t="s">
        <v>518</v>
      </c>
      <c r="J51" s="125" t="s">
        <v>519</v>
      </c>
      <c r="K51" s="126"/>
      <c r="L51" s="127"/>
      <c r="M51" s="125" t="s">
        <v>520</v>
      </c>
      <c r="N51" s="126"/>
      <c r="O51" s="127"/>
    </row>
    <row r="52" spans="1:39" ht="15" customHeight="1" x14ac:dyDescent="0.15">
      <c r="A52" s="139"/>
      <c r="B52" s="140" t="s">
        <v>521</v>
      </c>
      <c r="C52" s="140"/>
      <c r="D52" s="140"/>
      <c r="E52" s="140"/>
      <c r="F52" s="141" t="s">
        <v>522</v>
      </c>
      <c r="G52" s="140"/>
      <c r="H52" s="140"/>
      <c r="I52" s="137"/>
      <c r="J52" s="128"/>
      <c r="K52" s="129"/>
      <c r="L52" s="130"/>
      <c r="M52" s="128"/>
      <c r="N52" s="129"/>
      <c r="O52" s="130"/>
    </row>
    <row r="53" spans="1:39" ht="15" x14ac:dyDescent="0.15">
      <c r="A53" s="139"/>
      <c r="B53" s="120" t="s">
        <v>523</v>
      </c>
      <c r="C53" s="120" t="s">
        <v>524</v>
      </c>
      <c r="D53" s="121" t="s">
        <v>525</v>
      </c>
      <c r="E53" s="120" t="s">
        <v>526</v>
      </c>
      <c r="F53" s="140"/>
      <c r="G53" s="121" t="s">
        <v>527</v>
      </c>
      <c r="H53" s="121" t="s">
        <v>528</v>
      </c>
      <c r="I53" s="138"/>
      <c r="J53" s="120" t="s">
        <v>529</v>
      </c>
      <c r="K53" s="120" t="s">
        <v>530</v>
      </c>
      <c r="L53" s="120" t="s">
        <v>590</v>
      </c>
      <c r="M53" s="120" t="s">
        <v>529</v>
      </c>
      <c r="N53" s="120" t="s">
        <v>530</v>
      </c>
      <c r="O53" s="120" t="s">
        <v>590</v>
      </c>
    </row>
    <row r="57" spans="1:39" x14ac:dyDescent="0.15">
      <c r="B57" s="2"/>
    </row>
    <row r="58" spans="1:39" x14ac:dyDescent="0.15">
      <c r="B58" s="2"/>
    </row>
    <row r="59" spans="1:39" x14ac:dyDescent="0.15">
      <c r="B59" s="2"/>
    </row>
    <row r="60" spans="1:39" x14ac:dyDescent="0.15">
      <c r="B60" s="2"/>
    </row>
    <row r="61" spans="1:39" ht="13.5" x14ac:dyDescent="0.15">
      <c r="A61" s="85" t="s">
        <v>531</v>
      </c>
      <c r="B61" s="93" t="s">
        <v>532</v>
      </c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1"/>
      <c r="AK61" s="1"/>
      <c r="AL61" s="1" t="s">
        <v>533</v>
      </c>
      <c r="AM61" s="1"/>
    </row>
    <row r="62" spans="1:39" ht="13.5" x14ac:dyDescent="0.15">
      <c r="A62" s="85" t="s">
        <v>531</v>
      </c>
      <c r="B62" s="46" t="s">
        <v>534</v>
      </c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1"/>
      <c r="AK62" s="1"/>
      <c r="AL62" s="1"/>
      <c r="AM62" s="1"/>
    </row>
    <row r="63" spans="1:39" ht="13.5" x14ac:dyDescent="0.15">
      <c r="A63" s="85" t="s">
        <v>531</v>
      </c>
      <c r="B63" s="46" t="s">
        <v>535</v>
      </c>
      <c r="C63" s="87"/>
      <c r="D63" s="87"/>
      <c r="E63" s="87"/>
      <c r="F63" s="87"/>
      <c r="G63" s="88"/>
      <c r="H63" s="88"/>
      <c r="I63" s="88"/>
      <c r="J63" s="88"/>
      <c r="K63" s="88"/>
      <c r="L63" s="88"/>
      <c r="M63" s="88"/>
      <c r="N63" s="88"/>
      <c r="O63" s="89"/>
      <c r="P63" s="89"/>
      <c r="Q63" s="89"/>
      <c r="R63" s="89"/>
      <c r="S63" s="89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J63" s="1"/>
      <c r="AK63" s="1"/>
      <c r="AL63" s="1"/>
      <c r="AM63" s="1"/>
    </row>
    <row r="64" spans="1:39" ht="13.5" x14ac:dyDescent="0.15">
      <c r="A64" s="85" t="s">
        <v>531</v>
      </c>
      <c r="B64" s="46" t="s">
        <v>536</v>
      </c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J64" s="1"/>
      <c r="AK64" s="1"/>
      <c r="AL64" s="1"/>
      <c r="AM64" s="1"/>
    </row>
    <row r="65" spans="1:39" ht="13.5" x14ac:dyDescent="0.15">
      <c r="A65" s="85" t="s">
        <v>531</v>
      </c>
      <c r="B65" s="46" t="s">
        <v>537</v>
      </c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J65" s="1"/>
      <c r="AK65" s="1"/>
      <c r="AL65" s="1"/>
      <c r="AM65" s="1"/>
    </row>
    <row r="66" spans="1:39" ht="13.5" x14ac:dyDescent="0.15">
      <c r="A66" s="85" t="s">
        <v>531</v>
      </c>
      <c r="B66" s="46" t="s">
        <v>538</v>
      </c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  <c r="AA66" s="87"/>
      <c r="AB66" s="87"/>
      <c r="AC66" s="87"/>
      <c r="AD66" s="87"/>
      <c r="AJ66" s="1"/>
      <c r="AK66" s="1"/>
      <c r="AL66" s="1"/>
      <c r="AM66" s="1"/>
    </row>
    <row r="67" spans="1:39" ht="13.5" x14ac:dyDescent="0.15">
      <c r="A67" s="85" t="s">
        <v>531</v>
      </c>
      <c r="B67" s="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7"/>
      <c r="AC67" s="87"/>
      <c r="AD67" s="87"/>
      <c r="AJ67" s="1"/>
      <c r="AK67" s="1"/>
      <c r="AL67" s="1"/>
      <c r="AM67" s="1" t="s">
        <v>533</v>
      </c>
    </row>
    <row r="70" spans="1:39" s="1" customFormat="1" ht="13.5" x14ac:dyDescent="0.15">
      <c r="A70" s="85" t="s">
        <v>531</v>
      </c>
      <c r="B70" s="93" t="s">
        <v>539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L70" s="1" t="s">
        <v>533</v>
      </c>
    </row>
    <row r="71" spans="1:39" s="1" customFormat="1" ht="13.5" x14ac:dyDescent="0.15">
      <c r="A71" s="85" t="s">
        <v>531</v>
      </c>
      <c r="B71" s="43" t="s">
        <v>540</v>
      </c>
      <c r="C71" s="43"/>
      <c r="D71" s="99"/>
      <c r="E71" s="100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86"/>
      <c r="AE71" s="86"/>
      <c r="AF71" s="86"/>
      <c r="AG71" s="86"/>
      <c r="AH71" s="86"/>
      <c r="AI71" s="86"/>
    </row>
    <row r="72" spans="1:39" s="1" customFormat="1" ht="13.5" x14ac:dyDescent="0.15">
      <c r="A72" s="85" t="s">
        <v>531</v>
      </c>
      <c r="B72" s="43" t="s">
        <v>541</v>
      </c>
      <c r="C72" s="43"/>
      <c r="D72" s="102"/>
      <c r="E72" s="100"/>
      <c r="F72" s="46"/>
      <c r="G72" s="103"/>
      <c r="H72" s="103"/>
      <c r="I72" s="103"/>
      <c r="J72" s="103"/>
      <c r="K72" s="103"/>
      <c r="L72" s="103"/>
      <c r="M72" s="103"/>
      <c r="N72" s="103"/>
      <c r="O72" s="104"/>
      <c r="P72" s="104"/>
      <c r="Q72" s="104"/>
      <c r="R72" s="104"/>
      <c r="S72" s="104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87"/>
      <c r="AE72"/>
      <c r="AF72"/>
      <c r="AG72"/>
      <c r="AH72"/>
      <c r="AI72"/>
    </row>
    <row r="73" spans="1:39" s="1" customFormat="1" ht="13.5" x14ac:dyDescent="0.15">
      <c r="A73" s="85" t="s">
        <v>531</v>
      </c>
      <c r="B73" s="43" t="s">
        <v>542</v>
      </c>
      <c r="C73" s="43"/>
      <c r="D73" s="102"/>
      <c r="E73" s="100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87"/>
      <c r="AE73"/>
      <c r="AF73"/>
      <c r="AG73"/>
      <c r="AH73"/>
      <c r="AI73"/>
    </row>
    <row r="74" spans="1:39" s="1" customFormat="1" ht="11.25" x14ac:dyDescent="0.15">
      <c r="AM74" s="1" t="s">
        <v>533</v>
      </c>
    </row>
    <row r="75" spans="1:39" s="1" customFormat="1" ht="11.25" x14ac:dyDescent="0.15"/>
  </sheetData>
  <mergeCells count="22">
    <mergeCell ref="C34:H34"/>
    <mergeCell ref="A51:A53"/>
    <mergeCell ref="B51:F51"/>
    <mergeCell ref="B52:E52"/>
    <mergeCell ref="F52:F53"/>
    <mergeCell ref="G51:H52"/>
    <mergeCell ref="M51:O52"/>
    <mergeCell ref="B5:E5"/>
    <mergeCell ref="B6:E6"/>
    <mergeCell ref="A14:B14"/>
    <mergeCell ref="C14:N14"/>
    <mergeCell ref="C16:N16"/>
    <mergeCell ref="I51:I53"/>
    <mergeCell ref="A15:B15"/>
    <mergeCell ref="C15:N15"/>
    <mergeCell ref="A16:B16"/>
    <mergeCell ref="A32:B32"/>
    <mergeCell ref="C32:H32"/>
    <mergeCell ref="A33:B33"/>
    <mergeCell ref="C33:H33"/>
    <mergeCell ref="J51:L52"/>
    <mergeCell ref="A34:B34"/>
  </mergeCells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2"/>
  <dimension ref="A1:D1"/>
  <sheetViews>
    <sheetView workbookViewId="0">
      <selection activeCell="B47" sqref="B47"/>
    </sheetView>
  </sheetViews>
  <sheetFormatPr defaultColWidth="9" defaultRowHeight="11.25" x14ac:dyDescent="0.15"/>
  <cols>
    <col min="1" max="1" width="11.375" style="1" bestFit="1" customWidth="1"/>
    <col min="2" max="2" width="13.125" style="91" customWidth="1"/>
    <col min="3" max="3" width="10.625" style="91" customWidth="1"/>
    <col min="4" max="4" width="14.125" style="91" customWidth="1"/>
    <col min="5" max="6" width="9" style="1"/>
    <col min="7" max="42" width="2.625" style="1" customWidth="1"/>
    <col min="43" max="16384" width="9" style="1"/>
  </cols>
  <sheetData>
    <row r="1" spans="1:4" x14ac:dyDescent="0.15">
      <c r="A1" s="1" t="s">
        <v>543</v>
      </c>
      <c r="B1" s="90" t="s">
        <v>276</v>
      </c>
      <c r="C1" s="90" t="s">
        <v>544</v>
      </c>
      <c r="D1" s="90" t="s">
        <v>545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BFD4C-E8BA-4955-B70F-A9BF25A80B5B}">
  <sheetPr codeName="Sheet21"/>
  <dimension ref="A1:D12"/>
  <sheetViews>
    <sheetView zoomScaleNormal="100" workbookViewId="0">
      <selection activeCell="W27" sqref="W27"/>
    </sheetView>
  </sheetViews>
  <sheetFormatPr defaultRowHeight="13.5" x14ac:dyDescent="0.15"/>
  <cols>
    <col min="3" max="4" width="12.625" customWidth="1"/>
  </cols>
  <sheetData>
    <row r="1" spans="1:4" x14ac:dyDescent="0.15">
      <c r="A1" t="s">
        <v>546</v>
      </c>
      <c r="B1" t="s">
        <v>547</v>
      </c>
      <c r="C1" t="s">
        <v>548</v>
      </c>
      <c r="D1" t="s">
        <v>549</v>
      </c>
    </row>
    <row r="2" spans="1:4" x14ac:dyDescent="0.15">
      <c r="A2">
        <v>1</v>
      </c>
      <c r="B2" t="s">
        <v>550</v>
      </c>
      <c r="C2" t="s">
        <v>551</v>
      </c>
      <c r="D2" t="s">
        <v>552</v>
      </c>
    </row>
    <row r="3" spans="1:4" x14ac:dyDescent="0.15">
      <c r="A3">
        <v>2</v>
      </c>
      <c r="B3" t="s">
        <v>550</v>
      </c>
      <c r="C3" t="s">
        <v>553</v>
      </c>
      <c r="D3" t="s">
        <v>552</v>
      </c>
    </row>
    <row r="4" spans="1:4" x14ac:dyDescent="0.15">
      <c r="A4">
        <v>3</v>
      </c>
      <c r="B4" t="s">
        <v>550</v>
      </c>
      <c r="C4" t="s">
        <v>554</v>
      </c>
      <c r="D4" t="s">
        <v>555</v>
      </c>
    </row>
    <row r="5" spans="1:4" x14ac:dyDescent="0.15">
      <c r="A5">
        <v>4</v>
      </c>
      <c r="B5" t="s">
        <v>550</v>
      </c>
      <c r="C5" t="s">
        <v>556</v>
      </c>
      <c r="D5" t="s">
        <v>557</v>
      </c>
    </row>
    <row r="6" spans="1:4" x14ac:dyDescent="0.15">
      <c r="A6">
        <v>5</v>
      </c>
      <c r="B6" t="s">
        <v>558</v>
      </c>
      <c r="C6" t="s">
        <v>559</v>
      </c>
      <c r="D6" t="s">
        <v>560</v>
      </c>
    </row>
    <row r="7" spans="1:4" x14ac:dyDescent="0.15">
      <c r="A7">
        <v>6</v>
      </c>
      <c r="B7" t="s">
        <v>558</v>
      </c>
      <c r="C7" t="s">
        <v>561</v>
      </c>
      <c r="D7" t="s">
        <v>560</v>
      </c>
    </row>
    <row r="8" spans="1:4" x14ac:dyDescent="0.15">
      <c r="A8">
        <v>7</v>
      </c>
      <c r="B8" t="s">
        <v>558</v>
      </c>
      <c r="C8" t="s">
        <v>562</v>
      </c>
      <c r="D8" t="s">
        <v>560</v>
      </c>
    </row>
    <row r="9" spans="1:4" x14ac:dyDescent="0.15">
      <c r="A9">
        <v>8</v>
      </c>
      <c r="B9" t="s">
        <v>563</v>
      </c>
      <c r="C9" t="s">
        <v>564</v>
      </c>
      <c r="D9" t="s">
        <v>565</v>
      </c>
    </row>
    <row r="10" spans="1:4" x14ac:dyDescent="0.15">
      <c r="A10">
        <v>9</v>
      </c>
      <c r="B10" t="s">
        <v>550</v>
      </c>
      <c r="C10" t="s">
        <v>566</v>
      </c>
      <c r="D10" t="s">
        <v>567</v>
      </c>
    </row>
    <row r="11" spans="1:4" x14ac:dyDescent="0.15">
      <c r="A11">
        <v>10</v>
      </c>
      <c r="B11" t="s">
        <v>550</v>
      </c>
      <c r="C11" t="s">
        <v>568</v>
      </c>
      <c r="D11" t="s">
        <v>552</v>
      </c>
    </row>
    <row r="12" spans="1:4" x14ac:dyDescent="0.15">
      <c r="A12">
        <v>11</v>
      </c>
      <c r="B12" t="s">
        <v>569</v>
      </c>
      <c r="D12" t="s">
        <v>570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McmSqlStore"/>
  <dimension ref="A1:E34"/>
  <sheetViews>
    <sheetView workbookViewId="0"/>
  </sheetViews>
  <sheetData>
    <row r="1">
      <c r="A1" t="inlineStr">
        <is>
          <t xml:space="preserve">MCM_EMBEDDED_SQL_V1</t>
        </is>
      </c>
    </row>
    <row r="2">
      <c r="A2" t="inlineStr">
        <is>
          <t xml:space="preserve">Key</t>
        </is>
      </c>
      <c r="B2" t="inlineStr">
        <is>
          <t xml:space="preserve">Part</t>
        </is>
      </c>
      <c r="C2" t="inlineStr">
        <is>
          <t xml:space="preserve">Count</t>
        </is>
      </c>
      <c r="D2" t="inlineStr">
        <is>
          <t xml:space="preserve">Length</t>
        </is>
      </c>
      <c r="E2" t="inlineStr">
        <is>
          <t xml:space="preserve">Text</t>
        </is>
      </c>
    </row>
    <row r="3">
      <c r="A3" t="inlineStr">
        <is>
          <t xml:space="preserve">payment-batch-dates.sql</t>
        </is>
      </c>
      <c r="B3">
        <v>1</v>
      </c>
      <c r="C3">
        <v>1</v>
      </c>
      <c r="D3">
        <v>234</v>
      </c>
      <c r="E3" t="inlineStr">
        <is>
          <t xml:space="preserve">SELECT J.TK_KIKAN_ID,K.TSUKI FROM MCM.MCM_TK_SIHARAI J
JOIN MCM.MCM_TK_SIHARAIMEISAI K ON K.TK_SIHARAI_ID=J.TK_SIHARAI_ID
WHERE J.TK_KIKAN_ID IN (/*MCM_PERIOD_IDS*/)
AND K.ON_FLG=1 AND K.OFF_FLG=0 AND K.TSUKI&gt;=@p901 AND K.TSUKI&lt;@p902
</t>
        </is>
      </c>
    </row>
    <row r="4">
      <c r="A4" t="inlineStr">
        <is>
          <t xml:space="preserve">payment-batch-rates.sql</t>
        </is>
      </c>
      <c r="B4">
        <v>1</v>
      </c>
      <c r="C4">
        <v>1</v>
      </c>
      <c r="D4">
        <v>480</v>
      </c>
      <c r="E4" t="inlineStr">
        <is>
          <t xml:space="preserve">SELECT P.TK_KIKAN_ID,G.KAISI_DT,G.SYURYO_DT,G.SIKIRIGOKEI_KIN
FROM (VALUES /*MCM_PERIOD_VALUES*/) AS P(TK_KIKAN_ID)
CROSS JOIN MCM.MCM_TM_KIKAN G
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C.TK_KIKAN_ID=P.TK_KIKAN_ID AND MF.TM_KIKAN_ID=G.TM_KIKAN_ID)
</t>
        </is>
      </c>
    </row>
    <row r="5">
      <c r="A5" t="inlineStr">
        <is>
          <t xml:space="preserve">payment-dates.sql</t>
        </is>
      </c>
      <c r="B5">
        <v>1</v>
      </c>
      <c r="C5">
        <v>1</v>
      </c>
      <c r="D5">
        <v>201</v>
      </c>
      <c r="E5" t="inlineStr">
        <is>
          <t xml:space="preserve">SELECT K.TSUKI FROM MCM.MCM_TK_SIHARAI J
JOIN MCM.MCM_TK_SIHARAIMEISAI K ON K.TK_SIHARAI_ID=J.TK_SIHARAI_ID
WHERE J.TK_KIKAN_ID=@p901 AND K.ON_FLG=1 AND K.OFF_FLG=0 AND K.TSUKI&gt;=@p902 AND K.TSUKI&lt;@p903</t>
        </is>
      </c>
    </row>
    <row r="6">
      <c r="A6" t="inlineStr">
        <is>
          <t xml:space="preserve">payment-rates.sql</t>
        </is>
      </c>
      <c r="B6">
        <v>1</v>
      </c>
      <c r="C6">
        <v>1</v>
      </c>
      <c r="D6">
        <v>397</v>
      </c>
      <c r="E6" t="inlineStr">
        <is>
          <t xml:space="preserve">SELECT G.KAISI_DT,G.SYURYO_DT,G.SIKIRIGOKEI_KIN
FROM MCM.MCM_TM_KIKAN G 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C.TK_KIKAN_ID=@p901 AND MF.TM_KIKAN_ID=G.TM_KIKAN_ID)</t>
        </is>
      </c>
    </row>
    <row r="7">
      <c r="A7" t="inlineStr">
        <is>
          <t xml:space="preserve">queries/T34_00_0_01.sql</t>
        </is>
      </c>
      <c r="B7">
        <v>1</v>
      </c>
      <c r="C7">
        <v>2</v>
      </c>
      <c r="D7">
        <v>10799</v>
      </c>
      <c r="E7" t="inlineStr">
        <is>
          <t xml:space="preserve">SELECT
  CONCAT(
    CAST(N'' AS NVARCHAR(MAX)),
    CASE
      WHEN (
        CASE
          WHEN DATALENGTH(CAST(CAST(MAG.KOTAIKANRI_ID AS NVARCHAR(MAX)) AS NVARCHAR(MAX))) = 0
          THEN NULL
          ELSE CAST(CAST(MAG.KOTAIKANRI_ID AS NVARCHAR(MAX)) AS NVARCHAR(MAX))
        END
      ) IS NULL
      THEN NULL
      WHEN (
        LEN(
          CONCAT(
            (
              CASE
                WHEN DATALENGTH(CAST(CAST(MAG.KOTAIKANRI_ID AS NVARCHAR(MAX)) AS NVARCHAR(MAX))) = 0
                THEN NULL
                ELSE CAST(CAST(MAG.KOTAIKANRI_ID AS NVARCHAR(MAX)) AS NVARCHAR(MAX))
              END
            ),
            N'#'
          )
        ) - 1
      ) &gt;= 8
      THEN LEFT(
        (
          CASE
            WHEN DATALENGTH(CAST(CAST(MAG.KOTAIKANRI_ID AS NVARCHAR(MAX)) AS NVARCHAR(MAX))) = 0
            THEN NULL
            ELSE CAST(CAST(MAG.KOTAIKANRI_ID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DATALENGTH(CAST(CAST(MAG.KOTAIKANRI_ID AS NVARCHAR(MAX)) AS NVARCHAR(MAX))) = 0
                    THEN NULL
                    ELSE CAST(CAST(MAG.KOTAIKANRI_ID AS NVARCHAR(MAX)) AS NVARCHAR(MAX))
                  END
                ),
                N'#'
              )
            ) - 1
          )
        ),
        (
          CASE
            WHEN DATALENGTH(CAST(CAST(MAG.KOTAIKANRI_ID AS NVARCHAR(MAX)) AS NVARCHAR(MAX))) = 0
            THEN NULL
            ELSE CAST(CAST(MAG.KOTAIKANRI_ID AS NVARCHAR(MAX)) AS NVARCHAR(MAX))
          END
        )
      )
    END,
    N' / ',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
  ) AS C001,
  MAG.KOTAIKANRI_ID AS C002,
  MAF.KIKIMEISAI_ID AS C003,
  MAE.KIKIKOSEI_ID AS C004,
  CONCAT(
    CAST(N'' AS NVARCHAR(MAX)),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END,
    N' / ',
    CASE
      WHEN (
        CASE
          WHEN DATALENGTH(CAST(CAST(MAE.KIKIKOSEI_ID AS NVARCHAR(MAX)) AS NVARCHAR(MAX))) = 0
          THEN NULL
          ELSE CAST(CAST(MAE.KIKIKOSEI_ID AS NVARCHAR(MAX)) AS NVARCHAR(MAX))
        END
      ) IS NULL
      THEN NULL
      WHEN (
        LEN(
          CONCAT(
            (
              CASE
                WHEN DATALENGTH(CAST(CAST(MAE.KIKIKOSEI_ID AS NVARCHAR(MAX)) AS NVARCHAR(MAX))) = 0
                THEN NULL
                ELSE CAST(CAST(MAE.KIKIKOSEI_ID AS NVARCHAR(MAX)) AS NVARCHAR(MAX))
              END
            ),
            N'#'
          )
        ) - 1
      ) &gt;= 8
      THEN LEFT(
        (
 </t>
        </is>
      </c>
    </row>
    <row r="8">
      <c r="A8" t="inlineStr">
        <is>
          <t xml:space="preserve">queries/T34_00_0_01.sql</t>
        </is>
      </c>
      <c r="B8">
        <v>2</v>
      </c>
      <c r="C8">
        <v>2</v>
      </c>
      <c r="D8">
        <v>10799</v>
      </c>
      <c r="E8" t="inlineStr">
        <is>
          <t xml:space="preserve">         CASE
            WHEN DATALENGTH(CAST(CAST(MAE.KIKIKOSEI_ID AS NVARCHAR(MAX)) AS NVARCHAR(MAX))) = 0
            THEN NULL
            ELSE CAST(CAST(MAE.KIKIKOSEI_ID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DATALENGTH(CAST(CAST(MAE.KIKIKOSEI_ID AS NVARCHAR(MAX)) AS NVARCHAR(MAX))) = 0
                    THEN NULL
                    ELSE CAST(CAST(MAE.KIKIKOSEI_ID AS NVARCHAR(MAX)) AS NVARCHAR(MAX))
                  END
                ),
                N'#'
              )
            ) - 1
          )
        ),
        (
          CASE
            WHEN DATALENGTH(CAST(CAST(MAE.KIKIKOSEI_ID AS NVARCHAR(MAX)) AS NVARCHAR(MAX))) = 0
            THEN NULL
            ELSE CAST(CAST(MAE.KIKIKOSEI_ID AS NVARCHAR(MAX)) AS NVARCHAR(MAX))
          END
        )
      )
    END
  ) AS C005,
  MAB.SUPPORT_ID /* MAG.HYOJIJUN || '-' || 
 MAF.HYOJIJUN || '","' || */ AS C006,
  MAA.NONYUSAKI_NK AS C007,
  MAA.NONYUSAKIKOJO_NK AS C008,
  MAB.PLANT_NK AS C009,
  MAE.CONTROLLER_FLG AS C010,
  MAD.BRANDSYOSAI_NK AS C011,
  MAE.KIKIKOSEI_NK AS C012,
  CASE
    WHEN MAI2.HOSYUKEIYAKUTAISYO_FLG = 0
    THEN N'○'
    WHEN MAI2.HOSYUKEIYAKUTAISYO_FLG = 1
    THEN N'×'
    ELSE NULL
  END AS C013,
  REPLACE(MAG.KOTAI_NK, CONCAT(CAST(N'' AS NVARCHAR(MAX)), NCHAR(13), NCHAR(10)), N' ') AS C014,
  MAJ.SEIZOMAKER_NK AS C015,
  MAH.ATSUKAIKIKI_NK AS C016,
  MAH.KATASHIKI AS C017,
  MAF.SURYO_NM AS C018,
  CONVERT(NVARCHAR(10), MAG.ITIJINONYU_DT, 111) AS C019,
  CONVERT(NVARCHAR(10), MAD.NONYU_DT, 111) AS C020,
  CONVERT(NVARCHAR(10), MAG.TEKKYO_DT, 111) AS C021,
  CASE
    WHEN MAI2.HOSYUKEIYAKUTAISYO_FLG = 0
    THEN CONVERT(NVARCHAR(10), MAG.KEIYAKUKIGEN_DT, 111)
    ELSE NULL
  END AS C022,
  CASE
    WHEN MAI2.HOSYUKEIYAKUTAISYO_FLG = 0
    THEN CONVERT(NVARCHAR(10), MAG.ENCHOKEIYAKUKIGEN_DT, 111)
    ELSE NULL
  END AS C023,
  CASE
    WHEN MAI2.HOSYUKEIYAKUTAISYO_FLG = 0 AND NOT MAI.MAKERHOSYU_DT IS NULL
    THEN CONVERT(NVARCHAR(10), MAI.MAKERHOSYU_DT, 111)
    ELSE NULL
  END AS C024,
  CASE
    WHEN MAI2.HOSYUKEIYAKUTAISYO_FLG = 0 AND NOT MAI.KEIYAKUKANOKIKAN IS NULL
    THEN CONVERT(
      NVARCHAR(10),
      CASE
        WHEN CONVERT(DATE, MAG.ITIJINONYU_DT) = EOMONTH(CAST(MAG.ITIJINONYU_DT AS DATE))
        THEN DATEADD(
          DAY,
          DATEDIFF(
            DAY,
            CAST(CONVERT(DATE, DATEADD(MONTH, MAI.KEIYAKUKANOKIKAN * 12, MAG.ITIJINONYU_DT)) AS DATETIME2),
            CAST(EOMONTH(CAST(DATEADD(MONTH, MAI.KEIYAKUKANOKIKAN * 12, MAG.ITIJINONYU_DT) AS DATE)) AS DATETIME2)
          ),
          DATEADD(MONTH, MAI.KEIYAKUKANOKIKAN * 12, MAG.ITIJINONYU_DT)
        )
        ELSE DATEADD(MONTH, MAI.KEIYAKUKANOKIKAN * 12, MAG.ITIJINONYU_DT)
      END,
      111
    )
    ELSE NULL
  END AS C025,
  MAF.BIKO AS C026
/* 納入先マスタ */
FROM MCM.MCM_MA_NONYUSAKI AS MAA
JOIN MCM.MCM_MA_PLANT AS MAB
  ON MAA.NONYUSAKI_ID = MAB.NONYUSAKI_ID
JOIN MCM.MCM_MA_BRAND_KOSEI AS MAD
  ON MAB.PLANT_ID = MAD.PLANT_ID
JOIN MCM.MCM_MA_KIKIKOTAIKANRI AS MAG
  ON MAD.BRANDKOSEI_ID = MAG.BRANDKOSEI_ID
JOIN MCM.MCM_MA_ATSUKAIKIKI_KOSEI AS MAI
  ON MAG.ATSUKAIKIKIKOSEI_ID = MAI.ATSUKAIKIKIKOSEI_ID
JOIN MCM.MCM_MA_KIKIKOSEI AS MAE
  ON MAG.KIKIKOSEI_ID = MAE.KIKIKOSEI_ID
JOIN MCM.MCM_MA_KIKIMEISAI AS MAF
  ON MAG.KIKIKOSEI_ID = MAF.KIKIKOSEI_ID
JOIN MCM.MCM_MA_ATSUKAIKIKI AS MAH
  ON MAF.ATSUKAIKIKI_ID = MAH.ATSUKAIKIKI_ID
JOIN MCM.MCM_MA_ATSUKAIKIKI AS MAH2
  ON MAI.ATSUKAIKIKI_ID = MAH2.ATSUKAIKIKI_ID
JOIN MCM.MCM_MA_KIKIBUNRUI AS MAM
  ON MAH.KIKIBUNRUI_ID = MAM.KIKIBUNRUI_ID
JOIN MCM.MCM_MA_KIKIBUNRUI AS MAM2
  ON MAH2.KIKIBUNRUI_ID = MAM2.KIKIBUNRUI_ID
JOIN MCM.MCM_MA_SEIZOMAKER AS MAJ
  ON MAH.SEIZOMAKER_ID = MAJ.SEIZOMAKER_ID
JOIN MCM.MCM_MA_TORIHIKISAKI AS MAK
  ON MAI.TORIHIKISAKI_ID = MAK.TORIHIKISAKI_ID
JOIN MCM.MCM_MA_ATSUKAIKIKI_KOSEI AS MAI2
  ON MAH.ATSUKAIKIKI_ID = MAI2.ATSUKAIKIKI_ID
WHERE
  MAF.NOUNYU_KBN IS NULL
  AND (
    MAG.TEKKYO_DT &gt;= @p001 OR MAG.TEKKYO_DT IS NULL
  )
  AND MAM.OYAKIKIBUNRUI_CD = MAM2.OYAKIKIBUNRUI_CD
  AND MAI.TORIHIKISAKI_ID = MAI2.TORIHIKISAKI_ID
  AND MAH.DUMMY_FLG = 0
  AND MAH.MITSUMORIHYOJI_FLG = 0
  AND MAB.SUPPORT_ID = @p002
ORDER BY
  CASE WHEN MAB.PLANT_ID IS NULL THEN 1 ELSE 0 END, MAB.PLANT_ID ASC,
  CASE WHEN MAD.HYOJIJUN IS NULL THEN 1 ELSE 0 END, MAD.HYOJIJUN ASC,
  CASE WHEN MAE.CONTROLLER_FLG IS NULL THEN 1 ELSE 0 END, MAE.CONTROLLER_FLG ASC,
  CASE WHEN MAE.HYOJIJUN IS NULL THEN 1 ELSE 0 END, MAE.HYOJIJUN ASC,
  CASE WHEN MAF.HYOJIJUN IS NULL THEN 1 ELSE 0 END, MAF.HYOJIJUN ASC,
  CASE WHEN MAG.HYOJIJUN IS NULL THEN 1 ELSE 0 END, MAG.HYOJIJUN ASC;
</t>
        </is>
      </c>
    </row>
    <row r="9">
      <c r="A9" t="inlineStr">
        <is>
          <t xml:space="preserve">queries/T34_00_0_02.sql</t>
        </is>
      </c>
      <c r="B9">
        <v>1</v>
      </c>
      <c r="C9">
        <v>2</v>
      </c>
      <c r="D9">
        <v>9666</v>
      </c>
      <c r="E9" t="inlineStr">
        <is>
          <t xml:space="preserve">SELECT
  CONCAT(
    CAST(N'' AS NVARCHAR(MAX)),
    CASE
      WHEN (
        CASE
          WHEN DATALENGTH(CAST(CAST(MAG.KOTAIKANRI_ID AS NVARCHAR(MAX)) AS NVARCHAR(MAX))) = 0
          THEN NULL
          ELSE CAST(CAST(MAG.KOTAIKANRI_ID AS NVARCHAR(MAX)) AS NVARCHAR(MAX))
        END
      ) IS NULL
      THEN NULL
      WHEN (
        LEN(
          CONCAT(
            (
              CASE
                WHEN DATALENGTH(CAST(CAST(MAG.KOTAIKANRI_ID AS NVARCHAR(MAX)) AS NVARCHAR(MAX))) = 0
                THEN NULL
                ELSE CAST(CAST(MAG.KOTAIKANRI_ID AS NVARCHAR(MAX)) AS NVARCHAR(MAX))
              END
            ),
            N'#'
          )
        ) - 1
      ) &gt;= 8
      THEN LEFT(
        (
          CASE
            WHEN DATALENGTH(CAST(CAST(MAG.KOTAIKANRI_ID AS NVARCHAR(MAX)) AS NVARCHAR(MAX))) = 0
            THEN NULL
            ELSE CAST(CAST(MAG.KOTAIKANRI_ID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DATALENGTH(CAST(CAST(MAG.KOTAIKANRI_ID AS NVARCHAR(MAX)) AS NVARCHAR(MAX))) = 0
                    THEN NULL
                    ELSE CAST(CAST(MAG.KOTAIKANRI_ID AS NVARCHAR(MAX)) AS NVARCHAR(MAX))
                  END
                ),
                N'#'
              )
            ) - 1
          )
        ),
        (
          CASE
            WHEN DATALENGTH(CAST(CAST(MAG.KOTAIKANRI_ID AS NVARCHAR(MAX)) AS NVARCHAR(MAX))) = 0
            THEN NULL
            ELSE CAST(CAST(MAG.KOTAIKANRI_ID AS NVARCHAR(MAX)) AS NVARCHAR(MAX))
          END
        )
      )
    END,
    N' / ',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
  ) AS C001,
  MAG.KOTAIKANRI_ID AS C002,
  MAF.KIKIMEISAI_ID AS C003,
  MAE.KIKIKOSEI_ID AS C004,
  CONCAT(
    CAST(N'' AS NVARCHAR(MAX)),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END,
    N' / ',
    CASE
      WHEN (
        CASE
          WHEN DATALENGTH(CAST(CAST(MAE.KIKIKOSEI_ID AS NVARCHAR(MAX)) AS NVARCHAR(MAX))) = 0
          THEN NULL
          ELSE CAST(CAST(MAE.KIKIKOSEI_ID AS NVARCHAR(MAX)) AS NVARCHAR(MAX))
        END
      ) IS NULL
      THEN NULL
      WHEN (
        LEN(
          CONCAT(
            (
              CASE
                WHEN DATALENGTH(CAST(CAST(MAE.KIKIKOSEI_ID AS NVARCHAR(MAX)) AS NVARCHAR(MAX))) = 0
                THEN NULL
                ELSE CAST(CAST(MAE.KIKIKOSEI_ID AS NVARCHAR(MAX)) AS NVARCHAR(MAX))
              END
            ),
            N'#'
          )
        ) - 1
      ) &gt;= 8
      THEN LEFT(
        (
 </t>
        </is>
      </c>
    </row>
    <row r="10">
      <c r="A10" t="inlineStr">
        <is>
          <t xml:space="preserve">queries/T34_00_0_02.sql</t>
        </is>
      </c>
      <c r="B10">
        <v>2</v>
      </c>
      <c r="C10">
        <v>2</v>
      </c>
      <c r="D10">
        <v>9666</v>
      </c>
      <c r="E10" t="inlineStr">
        <is>
          <t xml:space="preserve">         CASE
            WHEN DATALENGTH(CAST(CAST(MAE.KIKIKOSEI_ID AS NVARCHAR(MAX)) AS NVARCHAR(MAX))) = 0
            THEN NULL
            ELSE CAST(CAST(MAE.KIKIKOSEI_ID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DATALENGTH(CAST(CAST(MAE.KIKIKOSEI_ID AS NVARCHAR(MAX)) AS NVARCHAR(MAX))) = 0
                    THEN NULL
                    ELSE CAST(CAST(MAE.KIKIKOSEI_ID AS NVARCHAR(MAX)) AS NVARCHAR(MAX))
                  END
                ),
                N'#'
              )
            ) - 1
          )
        ),
        (
          CASE
            WHEN DATALENGTH(CAST(CAST(MAE.KIKIKOSEI_ID AS NVARCHAR(MAX)) AS NVARCHAR(MAX))) = 0
            THEN NULL
            ELSE CAST(CAST(MAE.KIKIKOSEI_ID AS NVARCHAR(MAX)) AS NVARCHAR(MAX))
          END
        )
      )
    END
  ) AS C005,
  MAB.SUPPORT_ID /* MAG.HYOJIJUN || '-' || 
 MAF.HYOJIJUN || '","' || */ AS C006,
  MAA.NONYUSAKI_NK AS C007,
  MAA.NONYUSAKIKOJO_NK AS C008,
  MAB.PLANT_NK AS C009,
  CASE
    WHEN MAE.CONTROLLER_FLG = N'1'
    AND MAH.KIKIBUNRUI_ID = N'21'
    OR MAE.CONTROLLER_FLG = N'1'
    AND MAH.KIKIBUNRUI_ID = N'16'
    THEN N'CELL'
    ELSE CAST(MAE.CONTROLLER_FLG AS NVARCHAR(MAX))
  END AS C010,
  MAD.BRANDSYOSAI_NK AS C011,
  MAE.KIKIKOSEI_NK AS C012,
  MAG.BIKO AS C013,
  REPLACE(MAG.KOTAI_NK, CONCAT(CAST(N'' AS NVARCHAR(MAX)), NCHAR(13), NCHAR(10)), N' ') AS C014,
  MAJ.SEIZOMAKER_NK AS C015,
  MAH.ATSUKAIKIKI_NK AS C016,
  MAH.KATASHIKI AS C017,
  MAF.SURYO_NM AS C018,
  CONVERT(NVARCHAR(10), MAG.ITIJINONYU_DT, 111) AS C019,
  CONVERT(NVARCHAR(10), MAD.NONYU_DT, 111) AS C020,
  CONVERT(NVARCHAR(10), MAG.TEKKYO_DT, 111) AS C021,
  NULL AS C022,
  NULL AS C023
/* 納入先マスタ */
FROM MCM.MCM_MA_NONYUSAKI AS MAA
JOIN MCM.MCM_MA_PLANT AS MAB
  ON MAA.NONYUSAKI_ID = MAB.NONYUSAKI_ID
JOIN MCM.MCM_MA_BRAND_KOSEI AS MAD
  ON MAB.PLANT_ID = MAD.PLANT_ID
JOIN MCM.MCM_MA_KIKIKOTAIKANRI AS MAG
  ON MAD.BRANDKOSEI_ID = MAG.BRANDKOSEI_ID
JOIN MCM.MCM_MA_ATSUKAIKIKI_KOSEI AS MAI
  ON MAG.ATSUKAIKIKIKOSEI_ID = MAI.ATSUKAIKIKIKOSEI_ID
JOIN MCM.MCM_MA_KIKIKOSEI AS MAE
  ON MAG.KIKIKOSEI_ID = MAE.KIKIKOSEI_ID
JOIN MCM.MCM_MA_KIKIMEISAI AS MAF
  ON MAG.KIKIKOSEI_ID = MAF.KIKIKOSEI_ID
JOIN MCM.MCM_MA_ATSUKAIKIKI AS MAH
  ON MAF.ATSUKAIKIKI_ID = MAH.ATSUKAIKIKI_ID
JOIN MCM.MCM_MA_ATSUKAIKIKI AS MAH2
  ON MAI.ATSUKAIKIKI_ID = MAH2.ATSUKAIKIKI_ID
JOIN MCM.MCM_MA_KIKIBUNRUI AS MAM
  ON MAH.KIKIBUNRUI_ID = MAM.KIKIBUNRUI_ID
JOIN MCM.MCM_MA_KIKIBUNRUI AS MAM2
  ON MAH2.KIKIBUNRUI_ID = MAM2.KIKIBUNRUI_ID
JOIN MCM.MCM_MA_SEIZOMAKER AS MAJ
  ON MAH.SEIZOMAKER_ID = MAJ.SEIZOMAKER_ID
JOIN MCM.MCM_MA_TORIHIKISAKI AS MAK
  ON MAI.TORIHIKISAKI_ID = MAK.TORIHIKISAKI_ID
WHERE
  MAF.NOUNYU_KBN IS NULL
  AND (
    MAG.TEKKYO_DT &gt;= @p001 OR MAG.TEKKYO_DT IS NULL
  )
  AND MAM.OYAKIKIBUNRUI_CD = MAM2.OYAKIKIBUNRUI_CD
  AND MAH.DUMMY_FLG = 0
  AND MAH.MITSUMORIHYOJI_FLG = 0
  AND MAB.SUPPORT_ID = @p002
  AND (
    (
      MAD.TEKKYO_DT &gt;= @p001 OR MAD.TEKKYO_DT IS NULL
    ) AND MAD.NOUNYU_KBN IS NULL
  )
ORDER BY
  CASE WHEN MAB.PLANT_ID IS NULL THEN 1 ELSE 0 END, MAB.PLANT_ID ASC,
  CASE WHEN MAD.HYOJIJUN IS NULL THEN 1 ELSE 0 END, MAD.HYOJIJUN ASC,
  CASE WHEN MAE.CONTROLLER_FLG IS NULL THEN 1 ELSE 0 END, MAE.CONTROLLER_FLG ASC,
  CASE WHEN MAE.HYOJIJUN IS NULL THEN 1 ELSE 0 END, MAE.HYOJIJUN ASC,
  CASE WHEN MAF.HYOJIJUN IS NULL THEN 1 ELSE 0 END, MAF.HYOJIJUN ASC,
  CASE WHEN MAG.HYOJIJUN IS NULL THEN 1 ELSE 0 END, MAG.HYOJIJUN ASC;
</t>
        </is>
      </c>
    </row>
    <row r="11">
      <c r="A11" t="inlineStr">
        <is>
          <t xml:space="preserve">queries/T34_00_0_03.sql</t>
        </is>
      </c>
      <c r="B11">
        <v>1</v>
      </c>
      <c r="C11">
        <v>1</v>
      </c>
      <c r="D11">
        <v>348</v>
      </c>
      <c r="E11" t="inlineStr">
        <is>
          <t xml:space="preserve">SELECT
  MAD.BRANDSYOSAI_NK AS C001
FROM MCM.MCM_MA_BRAND_KOSEI AS MAD
JOIN MCM.MCM_MA_PLANT AS MAB
  ON MAB.PLANT_ID = MAD.PLANT_ID
WHERE
  MAB.SUPPORT_ID = @p002
  AND (
    (
      MAD.TEKKYO_DT &gt;= @p001 OR MAD.TEKKYO_DT IS NULL
    ) AND MAD.NOUNYU_KBN IS NULL
  )
ORDER BY
  CASE WHEN MAD.HYOJIJUN IS NULL THEN 1 ELSE 0 END, MAD.HYOJIJUN ASC;
</t>
        </is>
      </c>
    </row>
    <row r="12">
      <c r="A12" t="inlineStr">
        <is>
          <t xml:space="preserve">queries/T34_00_1_01.sql</t>
        </is>
      </c>
      <c r="B12">
        <v>1</v>
      </c>
      <c r="C12">
        <v>2</v>
      </c>
      <c r="D12">
        <v>10763</v>
      </c>
      <c r="E12" t="inlineStr">
        <is>
          <t xml:space="preserve">SELECT
  CONCAT(
    CAST(N'' AS NVARCHAR(MAX)),
    CASE
      WHEN (
        CASE
          WHEN DATALENGTH(CAST(CAST(MAG.KOTAIKANRI_ID AS NVARCHAR(MAX)) AS NVARCHAR(MAX))) = 0
          THEN NULL
          ELSE CAST(CAST(MAG.KOTAIKANRI_ID AS NVARCHAR(MAX)) AS NVARCHAR(MAX))
        END
      ) IS NULL
      THEN NULL
      WHEN (
        LEN(
          CONCAT(
            (
              CASE
                WHEN DATALENGTH(CAST(CAST(MAG.KOTAIKANRI_ID AS NVARCHAR(MAX)) AS NVARCHAR(MAX))) = 0
                THEN NULL
                ELSE CAST(CAST(MAG.KOTAIKANRI_ID AS NVARCHAR(MAX)) AS NVARCHAR(MAX))
              END
            ),
            N'#'
          )
        ) - 1
      ) &gt;= 8
      THEN LEFT(
        (
          CASE
            WHEN DATALENGTH(CAST(CAST(MAG.KOTAIKANRI_ID AS NVARCHAR(MAX)) AS NVARCHAR(MAX))) = 0
            THEN NULL
            ELSE CAST(CAST(MAG.KOTAIKANRI_ID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DATALENGTH(CAST(CAST(MAG.KOTAIKANRI_ID AS NVARCHAR(MAX)) AS NVARCHAR(MAX))) = 0
                    THEN NULL
                    ELSE CAST(CAST(MAG.KOTAIKANRI_ID AS NVARCHAR(MAX)) AS NVARCHAR(MAX))
                  END
                ),
                N'#'
              )
            ) - 1
          )
        ),
        (
          CASE
            WHEN DATALENGTH(CAST(CAST(MAG.KOTAIKANRI_ID AS NVARCHAR(MAX)) AS NVARCHAR(MAX))) = 0
            THEN NULL
            ELSE CAST(CAST(MAG.KOTAIKANRI_ID AS NVARCHAR(MAX)) AS NVARCHAR(MAX))
          END
        )
      )
    END,
    N' / ',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
  ) AS C001,
  MAG.KOTAIKANRI_ID AS C002,
  MAF.KIKIMEISAI_ID AS C003,
  MAE.KIKIKOSEI_ID AS C004,
  CONCAT(
    CAST(N'' AS NVARCHAR(MAX)),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END,
    N' / ',
    CASE
      WHEN (
        CASE
          WHEN DATALENGTH(CAST(CAST(MAE.KIKIKOSEI_ID AS NVARCHAR(MAX)) AS NVARCHAR(MAX))) = 0
          THEN NULL
          ELSE CAST(CAST(MAE.KIKIKOSEI_ID AS NVARCHAR(MAX)) AS NVARCHAR(MAX))
        END
      ) IS NULL
      THEN NULL
      WHEN (
        LEN(
          CONCAT(
            (
              CASE
                WHEN DATALENGTH(CAST(CAST(MAE.KIKIKOSEI_ID AS NVARCHAR(MAX)) AS NVARCHAR(MAX))) = 0
                THEN NULL
                ELSE CAST(CAST(MAE.KIKIKOSEI_ID AS NVARCHAR(MAX)) AS NVARCHAR(MAX))
              END
            ),
            N'#'
          )
        ) - 1
      ) &gt;= 8
      THEN LEFT(
        (
 </t>
        </is>
      </c>
    </row>
    <row r="13">
      <c r="A13" t="inlineStr">
        <is>
          <t xml:space="preserve">queries/T34_00_1_01.sql</t>
        </is>
      </c>
      <c r="B13">
        <v>2</v>
      </c>
      <c r="C13">
        <v>2</v>
      </c>
      <c r="D13">
        <v>10763</v>
      </c>
      <c r="E13" t="inlineStr">
        <is>
          <t xml:space="preserve">         CASE
            WHEN DATALENGTH(CAST(CAST(MAE.KIKIKOSEI_ID AS NVARCHAR(MAX)) AS NVARCHAR(MAX))) = 0
            THEN NULL
            ELSE CAST(CAST(MAE.KIKIKOSEI_ID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DATALENGTH(CAST(CAST(MAE.KIKIKOSEI_ID AS NVARCHAR(MAX)) AS NVARCHAR(MAX))) = 0
                    THEN NULL
                    ELSE CAST(CAST(MAE.KIKIKOSEI_ID AS NVARCHAR(MAX)) AS NVARCHAR(MAX))
                  END
                ),
                N'#'
              )
            ) - 1
          )
        ),
        (
          CASE
            WHEN DATALENGTH(CAST(CAST(MAE.KIKIKOSEI_ID AS NVARCHAR(MAX)) AS NVARCHAR(MAX))) = 0
            THEN NULL
            ELSE CAST(CAST(MAE.KIKIKOSEI_ID AS NVARCHAR(MAX)) AS NVARCHAR(MAX))
          END
        )
      )
    END
  ) AS C005,
  MAB.SUPPORT_ID /* MAG.HYOJIJUN || '-' || 
 MAF.HYOJIJUN || '","' || */ AS C006,
  MAA.NONYUSAKI_NK AS C007,
  MAA.NONYUSAKIKOJO_NK AS C008,
  MAB.PLANT_NK AS C009,
  MAE.CONTROLLER_FLG AS C010,
  MAD.BRANDSYOSAI_NK AS C011,
  MAE.KIKIKOSEI_NK AS C012,
  CASE
    WHEN MAI2.HOSYUKEIYAKUTAISYO_FLG = 0
    THEN N'○'
    WHEN MAI2.HOSYUKEIYAKUTAISYO_FLG = 1
    THEN N'×'
    ELSE NULL
  END AS C013,
  REPLACE(MAG.KOTAI_NK, CONCAT(CAST(N'' AS NVARCHAR(MAX)), NCHAR(13), NCHAR(10)), N' ') AS C014,
  MAJ.SEIZOMAKER_NK AS C015,
  MAH.ATSUKAIKIKI_NK AS C016,
  MAH.KATASHIKI AS C017,
  MAF.SURYO_NM AS C018,
  CONVERT(NVARCHAR(10), MAG.ITIJINONYU_DT, 111) AS C019,
  CONVERT(NVARCHAR(10), MAD.NONYU_DT, 111) AS C020,
  CONVERT(NVARCHAR(10), MAG.TEKKYO_DT, 111) AS C021,
  CASE
    WHEN MAI2.HOSYUKEIYAKUTAISYO_FLG = 0
    THEN CONVERT(NVARCHAR(10), MAG.KEIYAKUKIGEN_DT, 111)
    ELSE NULL
  END AS C022,
  CASE
    WHEN MAI2.HOSYUKEIYAKUTAISYO_FLG = 0
    THEN CONVERT(NVARCHAR(10), MAG.ENCHOKEIYAKUKIGEN_DT, 111)
    ELSE NULL
  END AS C023,
  CASE
    WHEN MAI2.HOSYUKEIYAKUTAISYO_FLG = 0 AND NOT MAI.MAKERHOSYU_DT IS NULL
    THEN CONVERT(NVARCHAR(10), MAI.MAKERHOSYU_DT, 111)
    ELSE NULL
  END AS C024,
  CASE
    WHEN MAI2.HOSYUKEIYAKUTAISYO_FLG = 0 AND NOT MAI.KEIYAKUKANOKIKAN IS NULL
    THEN CONVERT(
      NVARCHAR(10),
      CASE
        WHEN CONVERT(DATE, MAG.ITIJINONYU_DT) = EOMONTH(CAST(MAG.ITIJINONYU_DT AS DATE))
        THEN DATEADD(
          DAY,
          DATEDIFF(
            DAY,
            CAST(CONVERT(DATE, DATEADD(MONTH, MAI.KEIYAKUKANOKIKAN * 12, MAG.ITIJINONYU_DT)) AS DATETIME2),
            CAST(EOMONTH(CAST(DATEADD(MONTH, MAI.KEIYAKUKANOKIKAN * 12, MAG.ITIJINONYU_DT) AS DATE)) AS DATETIME2)
          ),
          DATEADD(MONTH, MAI.KEIYAKUKANOKIKAN * 12, MAG.ITIJINONYU_DT)
        )
        ELSE DATEADD(MONTH, MAI.KEIYAKUKANOKIKAN * 12, MAG.ITIJINONYU_DT)
      END,
      111
    )
    ELSE NULL
  END AS C025,
  MAF.BIKO AS C026
/* 納入先マスタ */
FROM MCM.MCM_MA_NONYUSAKI AS MAA
JOIN MCM.MCM_MA_PLANT AS MAB
  ON MAA.NONYUSAKI_ID = MAB.NONYUSAKI_ID
JOIN MCM.MCM_MA_BRAND_KOSEI AS MAD
  ON MAB.PLANT_ID = MAD.PLANT_ID
JOIN MCM.MCM_MA_KIKIKOTAIKANRI AS MAG
  ON MAD.BRANDKOSEI_ID = MAG.BRANDKOSEI_ID
JOIN MCM.MCM_MA_ATSUKAIKIKI_KOSEI AS MAI
  ON MAG.ATSUKAIKIKIKOSEI_ID = MAI.ATSUKAIKIKIKOSEI_ID
JOIN MCM.MCM_MA_KIKIKOSEI AS MAE
  ON MAG.KIKIKOSEI_ID = MAE.KIKIKOSEI_ID
JOIN MCM.MCM_MA_KIKIMEISAI AS MAF
  ON MAG.KIKIKOSEI_ID = MAF.KIKIKOSEI_ID
JOIN MCM.MCM_MA_ATSUKAIKIKI AS MAH
  ON MAF.ATSUKAIKIKI_ID = MAH.ATSUKAIKIKI_ID
JOIN MCM.MCM_MA_ATSUKAIKIKI AS MAH2
  ON MAI.ATSUKAIKIKI_ID = MAH2.ATSUKAIKIKI_ID
JOIN MCM.MCM_MA_KIKIBUNRUI AS MAM
  ON MAH.KIKIBUNRUI_ID = MAM.KIKIBUNRUI_ID
JOIN MCM.MCM_MA_KIKIBUNRUI AS MAM2
  ON MAH2.KIKIBUNRUI_ID = MAM2.KIKIBUNRUI_ID
JOIN MCM.MCM_MA_SEIZOMAKER AS MAJ
  ON MAH.SEIZOMAKER_ID = MAJ.SEIZOMAKER_ID
JOIN MCM.MCM_MA_TORIHIKISAKI AS MAK
  ON MAI.TORIHIKISAKI_ID = MAK.TORIHIKISAKI_ID
JOIN MCM.MCM_MA_ATSUKAIKIKI_KOSEI AS MAI2
  ON MAH.ATSUKAIKIKI_ID = MAI2.ATSUKAIKIKI_ID
WHERE
  MAF.NOUNYU_KBN IS NULL
  AND MAG.TEKKYO_DT IS NULL
  AND MAM.OYAKIKIBUNRUI_CD = MAM2.OYAKIKIBUNRUI_CD
  AND MAI.TORIHIKISAKI_ID = MAI2.TORIHIKISAKI_ID
  AND MAH.DUMMY_FLG = 0
  AND MAH.MITSUMORIHYOJI_FLG = 0
  AND MAB.SUPPORT_ID = @p002
ORDER BY
  CASE WHEN MAB.PLANT_ID IS NULL THEN 1 ELSE 0 END, MAB.PLANT_ID ASC,
  CASE WHEN MAD.HYOJIJUN IS NULL THEN 1 ELSE 0 END, MAD.HYOJIJUN ASC,
  CASE WHEN MAE.CONTROLLER_FLG IS NULL THEN 1 ELSE 0 END, MAE.CONTROLLER_FLG ASC,
  CASE WHEN MAE.HYOJIJUN IS NULL THEN 1 ELSE 0 END, MAE.HYOJIJUN ASC,
  CASE WHEN MAF.HYOJIJUN IS NULL THEN 1 ELSE 0 END, MAF.HYOJIJUN ASC,
  CASE WHEN MAG.HYOJIJUN IS NULL THEN 1 ELSE 0 END, MAG.HYOJIJUN ASC;
</t>
        </is>
      </c>
    </row>
    <row r="14">
      <c r="A14" t="inlineStr">
        <is>
          <t xml:space="preserve">queries/T34_00_1_02.sql</t>
        </is>
      </c>
      <c r="B14">
        <v>1</v>
      </c>
      <c r="C14">
        <v>2</v>
      </c>
      <c r="D14">
        <v>9590</v>
      </c>
      <c r="E14" t="inlineStr">
        <is>
          <t xml:space="preserve">SELECT
  CONCAT(
    CAST(N'' AS NVARCHAR(MAX)),
    CASE
      WHEN (
        CASE
          WHEN DATALENGTH(CAST(CAST(MAG.KOTAIKANRI_ID AS NVARCHAR(MAX)) AS NVARCHAR(MAX))) = 0
          THEN NULL
          ELSE CAST(CAST(MAG.KOTAIKANRI_ID AS NVARCHAR(MAX)) AS NVARCHAR(MAX))
        END
      ) IS NULL
      THEN NULL
      WHEN (
        LEN(
          CONCAT(
            (
              CASE
                WHEN DATALENGTH(CAST(CAST(MAG.KOTAIKANRI_ID AS NVARCHAR(MAX)) AS NVARCHAR(MAX))) = 0
                THEN NULL
                ELSE CAST(CAST(MAG.KOTAIKANRI_ID AS NVARCHAR(MAX)) AS NVARCHAR(MAX))
              END
            ),
            N'#'
          )
        ) - 1
      ) &gt;= 8
      THEN LEFT(
        (
          CASE
            WHEN DATALENGTH(CAST(CAST(MAG.KOTAIKANRI_ID AS NVARCHAR(MAX)) AS NVARCHAR(MAX))) = 0
            THEN NULL
            ELSE CAST(CAST(MAG.KOTAIKANRI_ID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DATALENGTH(CAST(CAST(MAG.KOTAIKANRI_ID AS NVARCHAR(MAX)) AS NVARCHAR(MAX))) = 0
                    THEN NULL
                    ELSE CAST(CAST(MAG.KOTAIKANRI_ID AS NVARCHAR(MAX)) AS NVARCHAR(MAX))
                  END
                ),
                N'#'
              )
            ) - 1
          )
        ),
        (
          CASE
            WHEN DATALENGTH(CAST(CAST(MAG.KOTAIKANRI_ID AS NVARCHAR(MAX)) AS NVARCHAR(MAX))) = 0
            THEN NULL
            ELSE CAST(CAST(MAG.KOTAIKANRI_ID AS NVARCHAR(MAX)) AS NVARCHAR(MAX))
          END
        )
      )
    END,
    N' / ',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
  ) AS C001,
  MAG.KOTAIKANRI_ID AS C002,
  MAF.KIKIMEISAI_ID AS C003,
  MAE.KIKIKOSEI_ID AS C004,
  CONCAT(
    CAST(N'' AS NVARCHAR(MAX)),
    CASE
      WHEN (
        CASE
          WHEN DATALENGTH(CAST(CAST(MAF.KIKIMEISAI_ID AS NVARCHAR(MAX)) AS NVARCHAR(MAX))) = 0
          THEN NULL
          ELSE CAST(CAST(MAF.KIKIMEISAI_ID AS NVARCHAR(MAX)) AS NVARCHAR(MAX))
        END
      ) IS NULL
      THEN NULL
      WHEN (
        LEN(
          CONCAT(
            (
              CASE
                WHEN DATALENGTH(CAST(CAST(MAF.KIKIMEISAI_ID AS NVARCHAR(MAX)) AS NVARCHAR(MAX))) = 0
                THEN NULL
                ELSE CAST(CAST(MAF.KIKIMEISAI_ID AS NVARCHAR(MAX)) AS NVARCHAR(MAX))
              END
            ),
            N'#'
          )
        ) - 1
      ) &gt;= 8
      THEN LEFT(
        (
          CASE
            WHEN DATALENGTH(CAST(CAST(MAF.KIKIMEISAI_ID AS NVARCHAR(MAX)) AS NVARCHAR(MAX))) = 0
            THEN NULL
            ELSE CAST(CAST(MAF.KIKIMEISAI_ID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DATALENGTH(CAST(CAST(MAF.KIKIMEISAI_ID AS NVARCHAR(MAX)) AS NVARCHAR(MAX))) = 0
                    THEN NULL
                    ELSE CAST(CAST(MAF.KIKIMEISAI_ID AS NVARCHAR(MAX)) AS NVARCHAR(MAX))
                  END
                ),
                N'#'
              )
            ) - 1
          )
        ),
        (
          CASE
            WHEN DATALENGTH(CAST(CAST(MAF.KIKIMEISAI_ID AS NVARCHAR(MAX)) AS NVARCHAR(MAX))) = 0
            THEN NULL
            ELSE CAST(CAST(MAF.KIKIMEISAI_ID AS NVARCHAR(MAX)) AS NVARCHAR(MAX))
          END
        )
      )
    END,
    N' / ',
    CASE
      WHEN (
        CASE
          WHEN DATALENGTH(CAST(CAST(MAE.KIKIKOSEI_ID AS NVARCHAR(MAX)) AS NVARCHAR(MAX))) = 0
          THEN NULL
          ELSE CAST(CAST(MAE.KIKIKOSEI_ID AS NVARCHAR(MAX)) AS NVARCHAR(MAX))
        END
      ) IS NULL
      THEN NULL
      WHEN (
        LEN(
          CONCAT(
            (
              CASE
                WHEN DATALENGTH(CAST(CAST(MAE.KIKIKOSEI_ID AS NVARCHAR(MAX)) AS NVARCHAR(MAX))) = 0
                THEN NULL
                ELSE CAST(CAST(MAE.KIKIKOSEI_ID AS NVARCHAR(MAX)) AS NVARCHAR(MAX))
              END
            ),
            N'#'
          )
        ) - 1
      ) &gt;= 8
      THEN LEFT(
        (
 </t>
        </is>
      </c>
    </row>
    <row r="15">
      <c r="A15" t="inlineStr">
        <is>
          <t xml:space="preserve">queries/T34_00_1_02.sql</t>
        </is>
      </c>
      <c r="B15">
        <v>2</v>
      </c>
      <c r="C15">
        <v>2</v>
      </c>
      <c r="D15">
        <v>9590</v>
      </c>
      <c r="E15" t="inlineStr">
        <is>
          <t xml:space="preserve">         CASE
            WHEN DATALENGTH(CAST(CAST(MAE.KIKIKOSEI_ID AS NVARCHAR(MAX)) AS NVARCHAR(MAX))) = 0
            THEN NULL
            ELSE CAST(CAST(MAE.KIKIKOSEI_ID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DATALENGTH(CAST(CAST(MAE.KIKIKOSEI_ID AS NVARCHAR(MAX)) AS NVARCHAR(MAX))) = 0
                    THEN NULL
                    ELSE CAST(CAST(MAE.KIKIKOSEI_ID AS NVARCHAR(MAX)) AS NVARCHAR(MAX))
                  END
                ),
                N'#'
              )
            ) - 1
          )
        ),
        (
          CASE
            WHEN DATALENGTH(CAST(CAST(MAE.KIKIKOSEI_ID AS NVARCHAR(MAX)) AS NVARCHAR(MAX))) = 0
            THEN NULL
            ELSE CAST(CAST(MAE.KIKIKOSEI_ID AS NVARCHAR(MAX)) AS NVARCHAR(MAX))
          END
        )
      )
    END
  ) AS C005,
  MAB.SUPPORT_ID /* MAG.HYOJIJUN || '-' || 
 MAF.HYOJIJUN || '","' || */ AS C006,
  MAA.NONYUSAKI_NK AS C007,
  MAA.NONYUSAKIKOJO_NK AS C008,
  MAB.PLANT_NK AS C009,
  CASE
    WHEN MAE.CONTROLLER_FLG = N'1'
    AND MAH.KIKIBUNRUI_ID = N'21'
    OR MAE.CONTROLLER_FLG = N'1'
    AND MAH.KIKIBUNRUI_ID = N'16'
    THEN N'CELL'
    ELSE CAST(MAE.CONTROLLER_FLG AS NVARCHAR(MAX))
  END AS C010,
  MAD.BRANDSYOSAI_NK AS C011,
  MAE.KIKIKOSEI_NK AS C012,
  MAG.BIKO AS C013,
  REPLACE(MAG.KOTAI_NK, CONCAT(CAST(N'' AS NVARCHAR(MAX)), NCHAR(13), NCHAR(10)), N' ') AS C014,
  MAJ.SEIZOMAKER_NK AS C015,
  MAH.ATSUKAIKIKI_NK AS C016,
  MAH.KATASHIKI AS C017,
  MAF.SURYO_NM AS C018,
  CONVERT(NVARCHAR(10), MAG.ITIJINONYU_DT, 111) AS C019,
  CONVERT(NVARCHAR(10), MAD.NONYU_DT, 111) AS C020,
  CONVERT(NVARCHAR(10), MAG.TEKKYO_DT, 111) AS C021,
  NULL AS C022,
  NULL AS C023
/* 納入先マスタ */
FROM MCM.MCM_MA_NONYUSAKI AS MAA
JOIN MCM.MCM_MA_PLANT AS MAB
  ON MAA.NONYUSAKI_ID = MAB.NONYUSAKI_ID
JOIN MCM.MCM_MA_BRAND_KOSEI AS MAD
  ON MAB.PLANT_ID = MAD.PLANT_ID
JOIN MCM.MCM_MA_KIKIKOTAIKANRI AS MAG
  ON MAD.BRANDKOSEI_ID = MAG.BRANDKOSEI_ID
JOIN MCM.MCM_MA_ATSUKAIKIKI_KOSEI AS MAI
  ON MAG.ATSUKAIKIKIKOSEI_ID = MAI.ATSUKAIKIKIKOSEI_ID
JOIN MCM.MCM_MA_KIKIKOSEI AS MAE
  ON MAG.KIKIKOSEI_ID = MAE.KIKIKOSEI_ID
JOIN MCM.MCM_MA_KIKIMEISAI AS MAF
  ON MAG.KIKIKOSEI_ID = MAF.KIKIKOSEI_ID
JOIN MCM.MCM_MA_ATSUKAIKIKI AS MAH
  ON MAF.ATSUKAIKIKI_ID = MAH.ATSUKAIKIKI_ID
JOIN MCM.MCM_MA_ATSUKAIKIKI AS MAH2
  ON MAI.ATSUKAIKIKI_ID = MAH2.ATSUKAIKIKI_ID
JOIN MCM.MCM_MA_KIKIBUNRUI AS MAM
  ON MAH.KIKIBUNRUI_ID = MAM.KIKIBUNRUI_ID
JOIN MCM.MCM_MA_KIKIBUNRUI AS MAM2
  ON MAH2.KIKIBUNRUI_ID = MAM2.KIKIBUNRUI_ID
JOIN MCM.MCM_MA_SEIZOMAKER AS MAJ
  ON MAH.SEIZOMAKER_ID = MAJ.SEIZOMAKER_ID
JOIN MCM.MCM_MA_TORIHIKISAKI AS MAK
  ON MAI.TORIHIKISAKI_ID = MAK.TORIHIKISAKI_ID
WHERE
  MAF.NOUNYU_KBN IS NULL
  AND MAG.TEKKYO_DT IS NULL
  AND MAM.OYAKIKIBUNRUI_CD = MAM2.OYAKIKIBUNRUI_CD
  AND MAH.DUMMY_FLG = 0
  AND MAH.MITSUMORIHYOJI_FLG = 0
  AND MAB.SUPPORT_ID = @p002
  AND (
    MAD.TEKKYO_DT IS NULL AND MAD.NOUNYU_KBN IS NULL
  )
ORDER BY
  CASE WHEN MAB.PLANT_ID IS NULL THEN 1 ELSE 0 END, MAB.PLANT_ID ASC,
  CASE WHEN MAD.HYOJIJUN IS NULL THEN 1 ELSE 0 END, MAD.HYOJIJUN ASC,
  CASE WHEN MAE.CONTROLLER_FLG IS NULL THEN 1 ELSE 0 END, MAE.CONTROLLER_FLG ASC,
  CASE WHEN MAE.HYOJIJUN IS NULL THEN 1 ELSE 0 END, MAE.HYOJIJUN ASC,
  CASE WHEN MAF.HYOJIJUN IS NULL THEN 1 ELSE 0 END, MAF.HYOJIJUN ASC,
  CASE WHEN MAG.HYOJIJUN IS NULL THEN 1 ELSE 0 END, MAG.HYOJIJUN ASC;
</t>
        </is>
      </c>
    </row>
    <row r="16">
      <c r="A16" t="inlineStr">
        <is>
          <t xml:space="preserve">queries/T34_00_1_03.sql</t>
        </is>
      </c>
      <c r="B16">
        <v>1</v>
      </c>
      <c r="C16">
        <v>1</v>
      </c>
      <c r="D16">
        <v>306</v>
      </c>
      <c r="E16" t="inlineStr">
        <is>
          <t xml:space="preserve">SELECT
  MAD.BRANDSYOSAI_NK AS C001
FROM MCM.MCM_MA_BRAND_KOSEI AS MAD
JOIN MCM.MCM_MA_PLANT AS MAB
  ON MAB.PLANT_ID = MAD.PLANT_ID
WHERE
  MAB.SUPPORT_ID = @p002 AND (
    MAD.TEKKYO_DT IS NULL AND MAD.NOUNYU_KBN IS NULL
  )
ORDER BY
  CASE WHEN MAD.HYOJIJUN IS NULL THEN 1 ELSE 0 END, MAD.HYOJIJUN ASC;
</t>
        </is>
      </c>
    </row>
    <row r="17">
      <c r="A17" t="inlineStr">
        <is>
          <t xml:space="preserve">queries/T34_01_00_01.sql</t>
        </is>
      </c>
      <c r="B17">
        <v>1</v>
      </c>
      <c r="C17">
        <v>3</v>
      </c>
      <c r="D17">
        <v>15017</v>
      </c>
      <c r="E17" t="inlineStr">
        <is>
          <t xml:space="preserve">SELECT
  UMA.UM_MITSUMORI_NO AS C001,
  UMA.KEIYAKUJIKANTAI AS C002,
  UMG.UM_MITSUMORI_ID AS C003,
  UMA.NONYUSAKI_NK AS C004,
  UMA.SUPPORT_ID AS C005,
  UMA.PLANT_NK AS C006,
  CONVERT(NVARCHAR(10), UMA.MITSUMORI_DT, 111) AS C007,
  UMA.MITSUMORISAKUSEISYA_NK AS C008,
  REPLACE(UMA.SOFUMEISHO4_NK, N'カスタマーステーション', N'CS') AS C009,
  UMB.BRANDSYOSAI_NK AS C010,
  UMC.KIKIKOSEI_NK AS C011,
  UMD.SEIZOMAKER_NK AS C012,
  CONCAT(CAST(N'' AS NVARCHAR(MAX)), UMD.KIKIHINMEI_NK, N' ◆', UMD.KIKIKATASHIKI) AS C013,
  CASE
    WHEN MAH.KIKIBUNRUI_ID = N'1'
    THEN N'CPU'
    WHEN MAH.KIKIBUNRUI_ID = N'6'
    THEN N'PRN'
    WHEN UMD.KIKIHINMEI_NK LIKE N'%寿命品予防交換%'
    OR (
      UMD.KIKIHINMEI_NK LIKE N'%ｻｰﾋﾞｽ期限延長%' AND MAG.ITIJINONYU_DT &lt; N'2023/4/1'
    )
    THEN N'Mainte'
    ELSE NULL
  END AS C014,
  CONVERT(NVARCHAR(10), UMG.KAISI_DT, 111) AS C015,
  CONVERT(NVARCHAR(10), UMG.SYURYO_DT, 111) AS C016,
  UMD.KIKIMEISAI_ID AS C017,
  CONCAT(
    CAST(N'' AS NVARCHAR(MAX)),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END,
    N' / ',
    CASE
      WHEN (
        CASE
          WHEN DATALENGTH(CAST(CAST(UMC.KIKIKOSEI_ID AS NVARCHAR(MAX)) AS NVARCHAR(MAX))) = 0
          THEN NULL
          ELSE CAST(CAST(UMC.KIKIKOSEI_ID AS NVARCHAR(MAX)) AS NVARCHAR(MAX))
        END
      ) IS NULL
      THEN NULL
      WHEN (
        LEN(
          CONCAT(
            (
              CASE
                WHEN DATALENGTH(CAST(CAST(UMC.KIKIKOSEI_ID AS NVARCHAR(MAX)) AS NVARCHAR(MAX))) = 0
                THEN NULL
                ELSE CAST(CAST(UMC.KIKIKOSEI_ID AS NVARCHAR(MAX)) AS NVARCHAR(MAX))
              END
            ),
            N'#'
          )
        ) - 1
      ) &gt;= 8
      THEN LEFT(
        (
          CASE
            WHEN DATALENGTH(CAST(CAST(UMC.KIKIKOSEI_ID AS NVARCHAR(MAX)) AS NVARCHAR(MAX))) = 0
            THEN NULL
            ELSE CAST(CAST(UMC.KIKIKOSEI_ID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DATALENGTH(CAST(CAST(UMC.KIKIKOSEI_ID AS NVARCHAR(MAX)) AS NVARCHAR(MAX))) = 0
                    THEN NULL
                    ELSE CAST(CAST(UMC.KIKIKOSEI_ID AS NVARCHAR(MAX)) AS NVARCHAR(MAX))
                  END
                ),
                N'#'
              )
            ) - 1
          )
        ),
        (
          CASE
            WHEN DATALENGTH(CAST(CAST(UMC.KIKIKOSEI_ID AS NVARCHAR(MAX)) AS NVARCHAR(MAX))) = 0
            THEN NULL
            ELSE CAST(CAST(UMC.KIKIKOSEI_ID AS NVARCHAR(MAX)) AS NVARCHAR(MAX))
          END
        )
      )
    END,
    N' / ',
    UMB.BRANDSYOSAI_NK
  ) AS C018,
  CONCAT(
    CAST(N'' AS NVARCHAR(MAX)),
    CASE
      WHEN (
        CASE
          WHEN DATALENGTH(CAST(CAST(UME.KOTAIKANRI_ID AS NVARCHAR(MAX)) AS NVARCHAR(MAX))) = 0
          THEN NULL
          ELSE CAST(CAST(UME.KOTAIKANRI_ID AS NVARCHAR(MAX)) AS NVARCHAR(MAX))
        END
      ) IS NULL
      THEN NULL
      WHEN (
        LEN(
          CONCAT(
            (
              CASE
                WHEN DATALENGTH(CAST(CAST(UME.KOTAIKANRI_ID AS NVARCHAR(MAX)) AS NVARCHAR(MAX))) = 0
                THEN NULL
                ELSE CAST(CAST(UME.KOTAIKANRI_ID AS NVARCHAR(MAX)) AS NVARCHAR(MAX))
              END
            ),
            N'#'
          )
        ) - 1
      ) &gt;= 8
      THEN LEFT(
        (
          CASE
            WHEN DATALENGTH(CAST(CAST(UME.KOTAIKANRI_ID AS NVARCHAR(MAX)) AS NVARCHAR(MAX))) = 0
            THEN NULL
            ELSE CAST(CAST(UME.KOTAIKANRI_ID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DATALENGTH(CAST(CAST(UME.KOTAIKANRI_ID AS NVARCHAR(MAX)) AS NVARCHAR(MAX))) = 0
                    THEN NULL
                    ELSE CAST(CAST(UME.KOTAIKANRI_ID AS NVARCHAR(MAX)) AS NVARCHAR(MAX))
                  END
                ),
                N'#'
              )
            ) - 1
          )
        ),
        (
          CASE
            WHEN DATALENGTH(CAST(CAST(UME.KOTAIKANRI_I</t>
        </is>
      </c>
    </row>
    <row r="18">
      <c r="A18" t="inlineStr">
        <is>
          <t xml:space="preserve">queries/T34_01_00_01.sql</t>
        </is>
      </c>
      <c r="B18">
        <v>2</v>
      </c>
      <c r="C18">
        <v>3</v>
      </c>
      <c r="D18">
        <v>15017</v>
      </c>
      <c r="E18" t="inlineStr">
        <is>
          <t xml:space="preserve">D AS NVARCHAR(MAX)) AS NVARCHAR(MAX))) = 0
            THEN NULL
            ELSE CAST(CAST(UME.KOTAIKANRI_ID AS NVARCHAR(MAX)) AS NVARCHAR(MAX))
          END
        )
      )
    END,
    N' / ',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
  ) AS C019,
  UMF.SIKIRI_KIN AS C020,
  CONCAT(
    CAST(N'' AS NVARCHAR(MAX)),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END,
    N' / ',
    CASE
      WHEN (
        CASE
          WHEN DATALENGTH(CAST(CAST(UMC.KIKIKOSEI_ID AS NVARCHAR(MAX)) AS NVARCHAR(MAX))) = 0
          THEN NULL
          ELSE CAST(CAST(UMC.KIKIKOSEI_ID AS NVARCHAR(MAX)) AS NVARCHAR(MAX))
        END
      ) IS NULL
      THEN NULL
      WHEN (
        LEN(
          CONCAT(
            (
              CASE
                WHEN DATALENGTH(CAST(CAST(UMC.KIKIKOSEI_ID AS NVARCHAR(MAX)) AS NVARCHAR(MAX))) = 0
                THEN NULL
                ELSE CAST(CAST(UMC.KIKIKOSEI_ID AS NVARCHAR(MAX)) AS NVARCHAR(MAX))
              END
            ),
            N'#'
          )
        ) - 1
      ) &gt;= 8
      THEN LEFT(
        (
          CASE
            WHEN DATALENGTH(CAST(CAST(UMC.KIKIKOSEI_ID AS NVARCHAR(MAX)) AS NVARCHAR(MAX))) = 0
            THEN NULL
            ELSE CAST(CAST(UMC.KIKIKOSEI_ID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DATALENGTH(CAST(CAST(UMC.KIKIKOSEI_ID AS NVARCHAR(MAX)) AS NVARCHAR(MAX))) = 0
                    THEN NULL
                    ELSE CAST(CAST(UMC.KIKIKOSEI_ID AS NVARCHAR(MAX)) AS NVARCHAR(MAX))
                  END
                ),
                N'#'
              )
            ) - 1
          )
        ),
        (
          CASE
            WHEN DATALENGTH(CAST(CAST(UMC.KIKIKOSEI_ID AS NVARCHAR(MAX)) AS NVARCHAR(MAX))) = 0
            THEN NULL
            ELSE CAST(CAST(UMC.KIKIKOSEI_ID AS NVARCHAR(MAX)) AS NVARCHAR(MAX))
          END
        )
      )
    END
  ) AS C021,
  CASE
    WHEN MAH.KIKIBUNRUI_ID = N'13'
    OR MAH.KIKIBUNRUI_ID = N'14'
    OR MAH.KIKIBUNRUI_ID = N'23'
    OR MAH.KIKIBUNRUI_ID = N'24'
    OR MAH.KIKIBUNRUI_ID = N'26'
    OR MAH.KIKIBUNRUI_ID = N'27'
    OR MAH.KIKIBUNRUI_ID = N'30'
    THEN N'-'
    WHEN UMF.TENKENKAISU IS NULL
    THEN N'ERR'
    ELSE CASE
      WHEN (
        CASE
          WHEN DATALENGTH(CAST(CAST(UMF.TENKENKAISU AS NVARCHAR(MAX)) AS NVARCHAR(MAX))) = 0
          THEN NULL
          ELSE CAST(CAST(UMF.TENKENKAISU AS NVARCHAR(MAX)) AS NVARCHAR(MAX))
        END
      ) IS NULL
      THEN NULL
      WHEN (
     </t>
        </is>
      </c>
    </row>
    <row r="19">
      <c r="A19" t="inlineStr">
        <is>
          <t xml:space="preserve">queries/T34_01_00_01.sql</t>
        </is>
      </c>
      <c r="B19">
        <v>3</v>
      </c>
      <c r="C19">
        <v>3</v>
      </c>
      <c r="D19">
        <v>15017</v>
      </c>
      <c r="E19" t="inlineStr">
        <is>
          <t xml:space="preserve">   LEN(
          CONCAT(
            (
              CASE
                WHEN DATALENGTH(CAST(CAST(UMF.TENKENKAISU AS NVARCHAR(MAX)) AS NVARCHAR(MAX))) = 0
                THEN NULL
                ELSE CAST(CAST(UMF.TENKENKAISU AS NVARCHAR(MAX)) AS NVARCHAR(MAX))
              END
            ),
            N'#'
          )
        ) - 1
      ) &gt;= 2
      THEN LEFT(
        (
          CASE
            WHEN DATALENGTH(CAST(CAST(UMF.TENKENKAISU AS NVARCHAR(MAX)) AS NVARCHAR(MAX))) = 0
            THEN NULL
            ELSE CAST(CAST(UMF.TENKENKAISU AS NVARCHAR(MAX)) AS NVARCHAR(MAX))
          END
        ),
        2
      )
      ELSE CONCAT(
        LEFT(
          REPLICATE(N'0', 2),
          2 - (
            LEN(
              CONCAT(
                (
                  CASE
                    WHEN DATALENGTH(CAST(CAST(UMF.TENKENKAISU AS NVARCHAR(MAX)) AS NVARCHAR(MAX))) = 0
                    THEN NULL
                    ELSE CAST(CAST(UMF.TENKENKAISU AS NVARCHAR(MAX)) AS NVARCHAR(MAX))
                  END
                ),
                N'#'
              )
            ) - 1
          )
        ),
        (
          CASE
            WHEN DATALENGTH(CAST(CAST(UMF.TENKENKAISU AS NVARCHAR(MAX)) AS NVARCHAR(MAX))) = 0
            THEN NULL
            ELSE CAST(CAST(UMF.TENKENKAISU AS NVARCHAR(MAX)) AS NVARCHAR(MAX))
          END
        )
      )
    END
  END AS C022,
  UMF.HOSYUHOHO AS C023,
  CASE
    WHEN UMF.TORIHOSYUJIKAN_ID IS NULL OR UMF.HOSYUHOHO IS NULL
    THEN N'ERR'
    WHEN NOT UMF.TORIHOSYUJIKAN_ID IS NULL AND MAQ.HOSYUJIKAN_DT &lt;&gt; N'24'
    THEN N'8'
    ELSE CAST(MAQ.HOSYUJIKAN_DT AS NVARCHAR(MAX))
  END AS C024,
  UMF.HYOJUN_KIN AS C025,
  CASE WHEN UMF.TORIHOSYUJIKAN_ID IS NULL THEN N'BOXCELL' ELSE N'' END AS C026,
  UMF.BIKO AS C027
FROM MCM.MCM_UM_KIHON_MITSUMORI AS UMA
JOIN MCM.MCM_UM_KIHON_BRAND AS UMB
  ON UMA.UM_KIHON_MITSUMORI_ID = UMB.UM_KIHON_MITSUMORI_ID
JOIN MCM.MCM_UM_MITSUMORI AS UMG
  ON UMA.UM_KIHON_MITSUMORI_ID = UMG.UM_KIHON_MITSUMORI_ID
JOIN MCM.MCM_UM_KIKIKOSEI AS UMC
  ON UMB.UM_KIHON_BRAND_ID = UMC.UM_KIHON_BRAND_ID
JOIN MCM.MCM_UM_KIKIMEISAI AS UMD
  ON UMC.UM_KIKIKOSEI_ID = UMD.UM_KIKIKOSEI_ID
JOIN MCM.MCM_UM_TANKA AS UMF
  ON UMD.UM_KIKIMEISAI_ID = UMF.UM_KIKIMEISAI_ID
  AND UMF.UM_MITSUMORI_ID = UMG.UM_MITSUMORI_ID
JOIN MCM.MCM_MA_ATSUKAIKIKI AS MAH
  ON UMD.ATSUKAIKIKI_ID = MAH.ATSUKAIKIKI_ID
LEFT JOIN MCM.MCM_MA_TORIHOSYUJIKAN AS MAQ
  ON UMF.TORIHOSYUJIKAN_ID = MAQ.TORIHOSYUJIKAN_ID
LEFT JOIN MCM.MCM_UM_KOTAIMEISAI AS UME
  ON UMD.UM_KIKIMEISAI_ID = UME.UM_KIKIMEISAI_ID
JOIN MCM.MCM_MA_KIKIKOTAIKANRI AS MAG
  ON UME.KOTAIKANRI_ID = MAG.KOTAIKANRI_ID
WHERE
  (
    UMA.UM_MITSUMORI_NO = @p001 OR UMA.UM_MITSUMORI_NO = @p002
  )
  AND MAH.MITSUMORIHYOJI_FLG = N'0'
ORDER BY
  CASE WHEN UMG.KAISI_DT IS NULL THEN 1 ELSE 0 END, UMG.KAISI_DT ASC,
  CASE WHEN UMG.UM_MITSUMORI_ID IS NULL THEN 1 ELSE 0 END, UMG.UM_MITSUMORI_ID ASC,
  CASE WHEN UMD.KIKIMEISAI_ID IS NULL THEN 1 ELSE 0 END, UMD.KIKIMEISAI_ID ASC;
</t>
        </is>
      </c>
    </row>
    <row r="20">
      <c r="A20" t="inlineStr">
        <is>
          <t xml:space="preserve">queries/T34_01_00_02.sql</t>
        </is>
      </c>
      <c r="B20">
        <v>1</v>
      </c>
      <c r="C20">
        <v>1</v>
      </c>
      <c r="D20">
        <v>931</v>
      </c>
      <c r="E20" t="inlineStr">
        <is>
          <t xml:space="preserve">SELECT
  UMA.UM_MITSUMORI_NO AS C001,
  UMB.BRANDSYOSAI_NK AS C002,
  UMB.PROGRAMSAKUSEI_KIN AS C003,
  CASE WHEN UMB.SOFT_FLG = N'1' THEN N'○' ELSE N'×' END AS C004,
  CASE WHEN UMB.DREMOS_FLG = N'1' THEN N'○' ELSE N'×' END AS C005,
  CASE WHEN UMB.REMOTE_FLG = N'1' THEN N'○' ELSE N'×' END AS C006,
  UMA.MITSUMORISAKUSEISYA_NK AS C007,
  CONVERT(NVARCHAR(10), UMG.KAISI_DT, 111) AS C008,
  CONVERT(NVARCHAR(10), UMG.SYURYO_DT, 111) AS C009,
  UMB.KEIYAKUJIKANTAI AS C010,
  REPLACE(UMA.SOFUMEISHO4_NK, N'カスタマーステーション', N'CS') AS C011
FROM MCM.MCM_UM_KIHON_MITSUMORI AS UMA
JOIN MCM.MCM_UM_KIHON_BRAND AS UMB
  ON UMA.UM_KIHON_MITSUMORI_ID = UMB.UM_KIHON_MITSUMORI_ID
JOIN MCM.MCM_UM_MITSUMORI AS UMG
  ON UMA.UM_KIHON_MITSUMORI_ID = UMG.UM_KIHON_MITSUMORI_ID
WHERE
  (
    UMA.UM_MITSUMORI_NO = @p001 OR UMA.UM_MITSUMORI_NO = @p002
  )
ORDER BY
  CASE WHEN UMA.UM_MITSUMORI_NO IS NULL THEN 1 ELSE 0 END, UMA.UM_MITSUMORI_NO ASC;
</t>
        </is>
      </c>
    </row>
    <row r="21">
      <c r="A21" t="inlineStr">
        <is>
          <t xml:space="preserve">queries/T34_01_00_03.sql</t>
        </is>
      </c>
      <c r="B21">
        <v>1</v>
      </c>
      <c r="C21">
        <v>2</v>
      </c>
      <c r="D21">
        <v>7577</v>
      </c>
      <c r="E21" t="inlineStr">
        <is>
          <t xml:space="preserve">SELECT
  CONCAT(
    CAST(N'' AS NVARCHAR(MAX)),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END,
    N' / ',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
  ) AS C001,
  TKB.BIKO AS C002,
  CASE
    WHEN TKB.KEIYAKUJIKANTAI = N'24'
    THEN N'24時間365日'
    WHEN TKB.KEIYAKUJIKANTAI = N'8'
    THEN CONCAT(
      CAST(N'' AS NVARCHAR(MAX)),
      TKB.KEIYAKUJIKANTAI,
      N'H ',
      CASE
        WHEN MAQ.KAISIYOBI = N'1'
        THEN N'日'
        WHEN MAQ.KAISIYOBI = N'2'
        THEN N'月'
        WHEN MAQ.KAISIYOBI = N'3'
        THEN N'火'
        WHEN MAQ.KAISIYOBI = N'4'
        THEN N'水'
        WHEN MAQ.KAISIYOBI = N'5'
        THEN N'木'
        WHEN MAQ.KAISIYOBI = N'6'
        THEN N'金'
        WHEN MAQ.KAISIYOBI = N'7'
        THEN N'土'
      END,
      N'～',
      CASE
        WHEN MAQ.SYURYOYOBI = N'1'
        THEN N'日'
        WHEN MAQ.SYURYOYOBI = N'2'
        THEN N'月'
        WHEN MAQ.SYURYOYOBI = N'3'
        THEN N'火'
        WHEN MAQ.SYURYOYOBI = N'4'
        THEN N'水'
        WHEN MAQ.SYURYOYOBI = N'5'
        THEN N'木'
        WHEN MAQ.SYURYOYOBI = N'6'
        THEN N'金'
        WHEN MAQ.SYURYOYOBI = N'7'
        THEN N'土'
      END,
      CASE
        WHEN MAQ.BIKO IS NULL
        THEN NULL
        ELSE CONCAT(CAST(N'' AS NVARCHAR(MAX)), N'(', MAQ.BIKO, N')')
      END
    )
  END AS C003,
  CASE
    WHEN TKB.HOSYUHOHO = N'F'
    THEN N'当日オンサイト'
    WHEN TKB.HOSYUHOHO = N'S'
    THEN N'センドバック'
    WHEN TKB.HOSYUHOHO = N'T'
    THEN N'電話対応'
    ELSE TKB.HOSYUHOHO
  END AS C004,
  CASE
    WHEN (
      CASE
        WHEN DATALENGTH(CAST(CAST(TKC.KIKIKOSEI_ID AS NVARCHAR(MAX)) AS NVARCHAR(MAX))) = 0
        THEN NULL
        ELSE CAST(CAST(TKC.KIKIKOSEI_ID AS NVARCHAR(MAX)) AS NVARCHAR(MAX))
      END
    ) IS NULL
    THEN NULL
    WHEN (
      LEN(
        CONCAT(
          (
            CASE
              WHEN DATALENGTH(CAST(CAST(TKC.KIKIKOSEI_ID AS NVARCHAR(MAX)) AS NVARCHAR(MAX))) = 0
              THEN NULL
              ELSE CAST(CAST(TKC.KIKIKOSEI_ID AS NVARCHAR(MAX)) AS NVARCHAR(MAX))
            END
          ),
          N'#'
        )
      ) - 1
    ) &gt;= 8
    THEN LEFT(
      (
        CASE
          WHEN DATALENGTH(CAST(CAST(TKC.KIKIKOSEI_ID AS NVARCHAR(MAX)) AS NVARCHAR(MAX))) = 0
          THEN NULL
          ELSE CAST(CAST(TKC.KIKIKOSEI_ID AS NVARCHAR(MAX)) AS NVARCHAR(MAX))
        END
      ),
      8
    )
    ELSE CONCAT(
      LEFT(
        REPLICATE(N'0', 8),
        8 - (
          LEN(
            CONCAT(
              (
                CASE
                  WHEN DATALENGTH(CAST(CAST(TKC.KIKIKOSEI_ID AS NVARCHAR(MAX)) AS NVARCHAR(MAX))) = 0
                  THEN NULL
                  ELSE CAST(</t>
        </is>
      </c>
    </row>
    <row r="22">
      <c r="A22" t="inlineStr">
        <is>
          <t xml:space="preserve">queries/T34_01_00_03.sql</t>
        </is>
      </c>
      <c r="B22">
        <v>2</v>
      </c>
      <c r="C22">
        <v>2</v>
      </c>
      <c r="D22">
        <v>7577</v>
      </c>
      <c r="E22" t="inlineStr">
        <is>
          <t xml:space="preserve">CAST(TKC.KIKIKOSEI_ID AS NVARCHAR(MAX)) AS NVARCHAR(MAX))
                END
              ),
              N'#'
            )
          ) - 1
        )
      ),
      (
        CASE
          WHEN DATALENGTH(CAST(CAST(TKC.KIKIKOSEI_ID AS NVARCHAR(MAX)) AS NVARCHAR(MAX))) = 0
          THEN NULL
          ELSE CAST(CAST(TKC.KIKIKOSEI_ID AS NVARCHAR(MAX)) AS NVARCHAR(MAX))
        END
      )
    )
  END AS C005,
  TKC.KIKIKOSEI_NK AS C006,
  TKD.KIKIHINMEI_NK AS C007,
  CAST(TKD.KIKIKATASHIKI AS NVARCHAR(MAX)) AS C008,
  TKD.SURYO_NM AS C009,
  CONVERT(NVARCHAR(10), TKA.KEIYAKU_DT, 111) AS C010,
  CONVERT(NVARCHAR(10), TKA.KEIYAKUMANRYO_DT, 111) AS C011,
  TKA.PACK_FLG AS C012
FROM MCM.MCM_TK_KIKAN AS TKB
INNER JOIN (
  SELECT
    TK_KEIYAKU_ID AS TK_KEIYAKU_ID,
    MAX(TK_KIKAN_ID) AS MaxID
  FROM MCM.MCM_TK_KIKAN
  WHERE
    MCM_TK_KIKAN.YUKO_FLG LIKE N'%%'
  GROUP BY
    TK_KEIYAKU_ID
) AS TKB2
  ON TKB.TK_KEIYAKU_ID = TKB2.TK_KEIYAKU_ID AND TKB.TK_KIKAN_ID = TKB2.MaxID
JOIN MCM.MCM_TK_KEIYAKU AS TKA
  ON TKB.TK_KEIYAKU_ID = TKA.TK_KEIYAKU_ID
JOIN MCM.MCM_TK_KIKIKOSEI AS TKC
  ON TKB.TK_KIKAN_ID = TKC.TK_KIKAN_ID
JOIN MCM.MCM_TK_KIKIMEISAI AS TKD
  ON TKC.TK_KIKIKOSEI_ID = TKD.TK_KIKIKOSEI_ID
JOIN MCM.MCM_TK_KOTAIMEISAI AS TKE
  ON TKD.TK_KIKIMEISAI_ID = TKE.TK_KIKIMEISAI_ID
JOIN MCM.MCM_TK_TANKA AS TKF
  ON TKD.TK_KIKIMEISAI_ID = TKF.TK_KIKIMEISAI_ID
JOIN MCM.MCM_MA_TORIHOSYUJIKAN AS MAQ
  ON TKF.TORIHOSYUJIKAN_ID = MAQ.TORIHOSYUJIKAN_ID
WHERE
  TKB.SUPPORT_ID = @p003
  AND /* - AND TKB.YUKO_FLG='0' */ TKA.JOTAI = N'2'
  AND TKA.PACK_FLG = N'1';
</t>
        </is>
      </c>
    </row>
    <row r="23">
      <c r="A23" t="inlineStr">
        <is>
          <t xml:space="preserve">queries/T34_01_01_01.sql</t>
        </is>
      </c>
      <c r="B23">
        <v>1</v>
      </c>
      <c r="C23">
        <v>3</v>
      </c>
      <c r="D23">
        <v>14984</v>
      </c>
      <c r="E23" t="inlineStr">
        <is>
          <t xml:space="preserve">SELECT
  UMA.UM_MITSUMORI_NO AS C001,
  UMA.KEIYAKUJIKANTAI AS C002,
  UMG.UM_MITSUMORI_ID AS C003,
  UMA.NONYUSAKI_NK AS C004,
  UMA.SUPPORT_ID AS C005,
  UMA.PLANT_NK AS C006,
  CONVERT(NVARCHAR(10), UMA.MITSUMORI_DT, 111) AS C007,
  UMA.MITSUMORISAKUSEISYA_NK AS C008,
  REPLACE(UMA.SOFUMEISHO4_NK, N'カスタマーステーション', N'CS') AS C009,
  UMB.BRANDSYOSAI_NK AS C010,
  UMC.KIKIKOSEI_NK AS C011,
  UMD.SEIZOMAKER_NK AS C012,
  CONCAT(CAST(N'' AS NVARCHAR(MAX)), UMD.KIKIHINMEI_NK, N' ◆', UMD.KIKIKATASHIKI) AS C013,
  CASE
    WHEN MAH.KIKIBUNRUI_ID = N'1'
    THEN N'CPU'
    WHEN MAH.KIKIBUNRUI_ID = N'6'
    THEN N'PRN'
    WHEN UMD.KIKIHINMEI_NK LIKE N'%寿命品予防交換%'
    OR (
      UMD.KIKIHINMEI_NK LIKE N'%ｻｰﾋﾞｽ期限延長%' AND MAG.ITIJINONYU_DT &lt; N'2023/4/1'
    )
    THEN N'Mainte'
    ELSE NULL
  END AS C014,
  CONVERT(NVARCHAR(10), UMG.KAISI_DT, 111) AS C015,
  CONVERT(NVARCHAR(10), UMG.SYURYO_DT, 111) AS C016,
  UMD.KIKIMEISAI_ID AS C017,
  CONCAT(
    CAST(N'' AS NVARCHAR(MAX)),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END,
    N' / ',
    CASE
      WHEN (
        CASE
          WHEN DATALENGTH(CAST(CAST(UMC.KIKIKOSEI_ID AS NVARCHAR(MAX)) AS NVARCHAR(MAX))) = 0
          THEN NULL
          ELSE CAST(CAST(UMC.KIKIKOSEI_ID AS NVARCHAR(MAX)) AS NVARCHAR(MAX))
        END
      ) IS NULL
      THEN NULL
      WHEN (
        LEN(
          CONCAT(
            (
              CASE
                WHEN DATALENGTH(CAST(CAST(UMC.KIKIKOSEI_ID AS NVARCHAR(MAX)) AS NVARCHAR(MAX))) = 0
                THEN NULL
                ELSE CAST(CAST(UMC.KIKIKOSEI_ID AS NVARCHAR(MAX)) AS NVARCHAR(MAX))
              END
            ),
            N'#'
          )
        ) - 1
      ) &gt;= 8
      THEN LEFT(
        (
          CASE
            WHEN DATALENGTH(CAST(CAST(UMC.KIKIKOSEI_ID AS NVARCHAR(MAX)) AS NVARCHAR(MAX))) = 0
            THEN NULL
            ELSE CAST(CAST(UMC.KIKIKOSEI_ID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DATALENGTH(CAST(CAST(UMC.KIKIKOSEI_ID AS NVARCHAR(MAX)) AS NVARCHAR(MAX))) = 0
                    THEN NULL
                    ELSE CAST(CAST(UMC.KIKIKOSEI_ID AS NVARCHAR(MAX)) AS NVARCHAR(MAX))
                  END
                ),
                N'#'
              )
            ) - 1
          )
        ),
        (
          CASE
            WHEN DATALENGTH(CAST(CAST(UMC.KIKIKOSEI_ID AS NVARCHAR(MAX)) AS NVARCHAR(MAX))) = 0
            THEN NULL
            ELSE CAST(CAST(UMC.KIKIKOSEI_ID AS NVARCHAR(MAX)) AS NVARCHAR(MAX))
          END
        )
      )
    END,
    N' / ',
    UMB.BRANDSYOSAI_NK
  ) AS C018,
  CONCAT(
    CAST(N'' AS NVARCHAR(MAX)),
    CASE
      WHEN (
        CASE
          WHEN DATALENGTH(CAST(CAST(UME.KOTAIKANRI_ID AS NVARCHAR(MAX)) AS NVARCHAR(MAX))) = 0
          THEN NULL
          ELSE CAST(CAST(UME.KOTAIKANRI_ID AS NVARCHAR(MAX)) AS NVARCHAR(MAX))
        END
      ) IS NULL
      THEN NULL
      WHEN (
        LEN(
          CONCAT(
            (
              CASE
                WHEN DATALENGTH(CAST(CAST(UME.KOTAIKANRI_ID AS NVARCHAR(MAX)) AS NVARCHAR(MAX))) = 0
                THEN NULL
                ELSE CAST(CAST(UME.KOTAIKANRI_ID AS NVARCHAR(MAX)) AS NVARCHAR(MAX))
              END
            ),
            N'#'
          )
        ) - 1
      ) &gt;= 8
      THEN LEFT(
        (
          CASE
            WHEN DATALENGTH(CAST(CAST(UME.KOTAIKANRI_ID AS NVARCHAR(MAX)) AS NVARCHAR(MAX))) = 0
            THEN NULL
            ELSE CAST(CAST(UME.KOTAIKANRI_ID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DATALENGTH(CAST(CAST(UME.KOTAIKANRI_ID AS NVARCHAR(MAX)) AS NVARCHAR(MAX))) = 0
                    THEN NULL
                    ELSE CAST(CAST(UME.KOTAIKANRI_ID AS NVARCHAR(MAX)) AS NVARCHAR(MAX))
                  END
                ),
                N'#'
              )
            ) - 1
          )
        ),
        (
          CASE
            WHEN DATALENGTH(CAST(CAST(UME.KOTAIKANRI_I</t>
        </is>
      </c>
    </row>
    <row r="24">
      <c r="A24" t="inlineStr">
        <is>
          <t xml:space="preserve">queries/T34_01_01_01.sql</t>
        </is>
      </c>
      <c r="B24">
        <v>2</v>
      </c>
      <c r="C24">
        <v>3</v>
      </c>
      <c r="D24">
        <v>14984</v>
      </c>
      <c r="E24" t="inlineStr">
        <is>
          <t xml:space="preserve">D AS NVARCHAR(MAX)) AS NVARCHAR(MAX))) = 0
            THEN NULL
            ELSE CAST(CAST(UME.KOTAIKANRI_ID AS NVARCHAR(MAX)) AS NVARCHAR(MAX))
          END
        )
      )
    END,
    N' / ',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
  ) AS C019,
  UMF.SIKIRI_KIN AS C020,
  CONCAT(
    CAST(N'' AS NVARCHAR(MAX)),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END,
    N' / ',
    CASE
      WHEN (
        CASE
          WHEN DATALENGTH(CAST(CAST(UMC.KIKIKOSEI_ID AS NVARCHAR(MAX)) AS NVARCHAR(MAX))) = 0
          THEN NULL
          ELSE CAST(CAST(UMC.KIKIKOSEI_ID AS NVARCHAR(MAX)) AS NVARCHAR(MAX))
        END
      ) IS NULL
      THEN NULL
      WHEN (
        LEN(
          CONCAT(
            (
              CASE
                WHEN DATALENGTH(CAST(CAST(UMC.KIKIKOSEI_ID AS NVARCHAR(MAX)) AS NVARCHAR(MAX))) = 0
                THEN NULL
                ELSE CAST(CAST(UMC.KIKIKOSEI_ID AS NVARCHAR(MAX)) AS NVARCHAR(MAX))
              END
            ),
            N'#'
          )
        ) - 1
      ) &gt;= 8
      THEN LEFT(
        (
          CASE
            WHEN DATALENGTH(CAST(CAST(UMC.KIKIKOSEI_ID AS NVARCHAR(MAX)) AS NVARCHAR(MAX))) = 0
            THEN NULL
            ELSE CAST(CAST(UMC.KIKIKOSEI_ID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DATALENGTH(CAST(CAST(UMC.KIKIKOSEI_ID AS NVARCHAR(MAX)) AS NVARCHAR(MAX))) = 0
                    THEN NULL
                    ELSE CAST(CAST(UMC.KIKIKOSEI_ID AS NVARCHAR(MAX)) AS NVARCHAR(MAX))
                  END
                ),
                N'#'
              )
            ) - 1
          )
        ),
        (
          CASE
            WHEN DATALENGTH(CAST(CAST(UMC.KIKIKOSEI_ID AS NVARCHAR(MAX)) AS NVARCHAR(MAX))) = 0
            THEN NULL
            ELSE CAST(CAST(UMC.KIKIKOSEI_ID AS NVARCHAR(MAX)) AS NVARCHAR(MAX))
          END
        )
      )
    END
  ) AS C021,
  CASE
    WHEN MAH.KIKIBUNRUI_ID = N'13'
    OR MAH.KIKIBUNRUI_ID = N'14'
    OR MAH.KIKIBUNRUI_ID = N'23'
    OR MAH.KIKIBUNRUI_ID = N'24'
    OR MAH.KIKIBUNRUI_ID = N'26'
    OR MAH.KIKIBUNRUI_ID = N'27'
    OR MAH.KIKIBUNRUI_ID = N'30'
    THEN N'-'
    WHEN UMF.TENKENKAISU IS NULL
    THEN N'ERR'
    ELSE CASE
      WHEN (
        CASE
          WHEN DATALENGTH(CAST(CAST(UMF.TENKENKAISU AS NVARCHAR(MAX)) AS NVARCHAR(MAX))) = 0
          THEN NULL
          ELSE CAST(CAST(UMF.TENKENKAISU AS NVARCHAR(MAX)) AS NVARCHAR(MAX))
        END
      ) IS NULL
      THEN NULL
      WHEN (
     </t>
        </is>
      </c>
    </row>
    <row r="25">
      <c r="A25" t="inlineStr">
        <is>
          <t xml:space="preserve">queries/T34_01_01_01.sql</t>
        </is>
      </c>
      <c r="B25">
        <v>3</v>
      </c>
      <c r="C25">
        <v>3</v>
      </c>
      <c r="D25">
        <v>14984</v>
      </c>
      <c r="E25" t="inlineStr">
        <is>
          <t xml:space="preserve">   LEN(
          CONCAT(
            (
              CASE
                WHEN DATALENGTH(CAST(CAST(UMF.TENKENKAISU AS NVARCHAR(MAX)) AS NVARCHAR(MAX))) = 0
                THEN NULL
                ELSE CAST(CAST(UMF.TENKENKAISU AS NVARCHAR(MAX)) AS NVARCHAR(MAX))
              END
            ),
            N'#'
          )
        ) - 1
      ) &gt;= 2
      THEN LEFT(
        (
          CASE
            WHEN DATALENGTH(CAST(CAST(UMF.TENKENKAISU AS NVARCHAR(MAX)) AS NVARCHAR(MAX))) = 0
            THEN NULL
            ELSE CAST(CAST(UMF.TENKENKAISU AS NVARCHAR(MAX)) AS NVARCHAR(MAX))
          END
        ),
        2
      )
      ELSE CONCAT(
        LEFT(
          REPLICATE(N'0', 2),
          2 - (
            LEN(
              CONCAT(
                (
                  CASE
                    WHEN DATALENGTH(CAST(CAST(UMF.TENKENKAISU AS NVARCHAR(MAX)) AS NVARCHAR(MAX))) = 0
                    THEN NULL
                    ELSE CAST(CAST(UMF.TENKENKAISU AS NVARCHAR(MAX)) AS NVARCHAR(MAX))
                  END
                ),
                N'#'
              )
            ) - 1
          )
        ),
        (
          CASE
            WHEN DATALENGTH(CAST(CAST(UMF.TENKENKAISU AS NVARCHAR(MAX)) AS NVARCHAR(MAX))) = 0
            THEN NULL
            ELSE CAST(CAST(UMF.TENKENKAISU AS NVARCHAR(MAX)) AS NVARCHAR(MAX))
          END
        )
      )
    END
  END AS C022,
  UMF.HOSYUHOHO AS C023,
  CASE
    WHEN UMF.TORIHOSYUJIKAN_ID IS NULL OR UMF.HOSYUHOHO IS NULL
    THEN N'ERR'
    WHEN NOT UMF.TORIHOSYUJIKAN_ID IS NULL AND MAQ.HOSYUJIKAN_DT &lt;&gt; N'24'
    THEN N'8'
    ELSE CAST(MAQ.HOSYUJIKAN_DT AS NVARCHAR(MAX))
  END AS C024,
  UMF.HYOJUN_KIN AS C025,
  CASE WHEN UMF.TORIHOSYUJIKAN_ID IS NULL THEN N'BOXCELL' ELSE N'' END AS C026,
  UMF.BIKO AS C027
FROM MCM.MCM_UM_KIHON_MITSUMORI AS UMA
JOIN MCM.MCM_UM_KIHON_BRAND AS UMB
  ON UMA.UM_KIHON_MITSUMORI_ID = UMB.UM_KIHON_MITSUMORI_ID
JOIN MCM.MCM_UM_MITSUMORI AS UMG
  ON UMA.UM_KIHON_MITSUMORI_ID = UMG.UM_KIHON_MITSUMORI_ID
JOIN MCM.MCM_UM_KIKIKOSEI AS UMC
  ON UMB.UM_KIHON_BRAND_ID = UMC.UM_KIHON_BRAND_ID
JOIN MCM.MCM_UM_KIKIMEISAI AS UMD
  ON UMC.UM_KIKIKOSEI_ID = UMD.UM_KIKIKOSEI_ID
JOIN MCM.MCM_UM_TANKA AS UMF
  ON UMD.UM_KIKIMEISAI_ID = UMF.UM_KIKIMEISAI_ID
  AND UMF.UM_MITSUMORI_ID = UMG.UM_MITSUMORI_ID
JOIN MCM.MCM_MA_ATSUKAIKIKI AS MAH
  ON UMD.ATSUKAIKIKI_ID = MAH.ATSUKAIKIKI_ID
LEFT JOIN MCM.MCM_MA_TORIHOSYUJIKAN AS MAQ
  ON UMF.TORIHOSYUJIKAN_ID = MAQ.TORIHOSYUJIKAN_ID
LEFT JOIN MCM.MCM_UM_KOTAIMEISAI AS UME
  ON UMD.UM_KIKIMEISAI_ID = UME.UM_KIKIMEISAI_ID
JOIN MCM.MCM_MA_KIKIKOTAIKANRI AS MAG
  ON UME.KOTAIKANRI_ID = MAG.KOTAIKANRI_ID
WHERE
  (
    UMA.UM_MITSUMORI_NO = @p001
  ) AND MAH.MITSUMORIHYOJI_FLG = N'0'
ORDER BY
  CASE WHEN UMG.KAISI_DT IS NULL THEN 1 ELSE 0 END, UMG.KAISI_DT ASC,
  CASE WHEN UMG.UM_MITSUMORI_ID IS NULL THEN 1 ELSE 0 END, UMG.UM_MITSUMORI_ID ASC,
  CASE WHEN UMD.KIKIMEISAI_ID IS NULL THEN 1 ELSE 0 END, UMD.KIKIMEISAI_ID ASC;
</t>
        </is>
      </c>
    </row>
    <row r="26">
      <c r="A26" t="inlineStr">
        <is>
          <t xml:space="preserve">queries/T34_01_01_02.sql</t>
        </is>
      </c>
      <c r="B26">
        <v>1</v>
      </c>
      <c r="C26">
        <v>1</v>
      </c>
      <c r="D26">
        <v>900</v>
      </c>
      <c r="E26" t="inlineStr">
        <is>
          <t xml:space="preserve">SELECT
  UMA.UM_MITSUMORI_NO AS C001,
  UMB.BRANDSYOSAI_NK AS C002,
  UMB.PROGRAMSAKUSEI_KIN AS C003,
  CASE WHEN UMB.SOFT_FLG = N'1' THEN N'○' ELSE N'×' END AS C004,
  CASE WHEN UMB.DREMOS_FLG = N'1' THEN N'○' ELSE N'×' END AS C005,
  CASE WHEN UMB.REMOTE_FLG = N'1' THEN N'○' ELSE N'×' END AS C006,
  UMA.MITSUMORISAKUSEISYA_NK AS C007,
  CONVERT(NVARCHAR(10), UMG.KAISI_DT, 111) AS C008,
  CONVERT(NVARCHAR(10), UMG.SYURYO_DT, 111) AS C009,
  UMB.KEIYAKUJIKANTAI AS C010,
  REPLACE(UMA.SOFUMEISHO4_NK, N'カスタマーステーション', N'CS') AS C011
FROM MCM.MCM_UM_KIHON_MITSUMORI AS UMA
JOIN MCM.MCM_UM_KIHON_BRAND AS UMB
  ON UMA.UM_KIHON_MITSUMORI_ID = UMB.UM_KIHON_MITSUMORI_ID
JOIN MCM.MCM_UM_MITSUMORI AS UMG
  ON UMA.UM_KIHON_MITSUMORI_ID = UMG.UM_KIHON_MITSUMORI_ID
WHERE
  (
    UMA.UM_MITSUMORI_NO = @p001
  )
ORDER BY
  CASE WHEN UMA.UM_MITSUMORI_NO IS NULL THEN 1 ELSE 0 END, UMA.UM_MITSUMORI_NO ASC;
</t>
        </is>
      </c>
    </row>
    <row r="27">
      <c r="A27" t="inlineStr">
        <is>
          <t xml:space="preserve">queries/T34_01_01_03.sql</t>
        </is>
      </c>
      <c r="B27">
        <v>1</v>
      </c>
      <c r="C27">
        <v>2</v>
      </c>
      <c r="D27">
        <v>7577</v>
      </c>
      <c r="E27" t="inlineStr">
        <is>
          <t xml:space="preserve">SELECT
  CONCAT(
    CAST(N'' AS NVARCHAR(MAX)),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END,
    N' / ',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
  ) AS C001,
  TKB.BIKO AS C002,
  CASE
    WHEN TKB.KEIYAKUJIKANTAI = N'24'
    THEN N'24時間365日'
    WHEN TKB.KEIYAKUJIKANTAI = N'8'
    THEN CONCAT(
      CAST(N'' AS NVARCHAR(MAX)),
      TKB.KEIYAKUJIKANTAI,
      N'H ',
      CASE
        WHEN MAQ.KAISIYOBI = N'1'
        THEN N'日'
        WHEN MAQ.KAISIYOBI = N'2'
        THEN N'月'
        WHEN MAQ.KAISIYOBI = N'3'
        THEN N'火'
        WHEN MAQ.KAISIYOBI = N'4'
        THEN N'水'
        WHEN MAQ.KAISIYOBI = N'5'
        THEN N'木'
        WHEN MAQ.KAISIYOBI = N'6'
        THEN N'金'
        WHEN MAQ.KAISIYOBI = N'7'
        THEN N'土'
      END,
      N'～',
      CASE
        WHEN MAQ.SYURYOYOBI = N'1'
        THEN N'日'
        WHEN MAQ.SYURYOYOBI = N'2'
        THEN N'月'
        WHEN MAQ.SYURYOYOBI = N'3'
        THEN N'火'
        WHEN MAQ.SYURYOYOBI = N'4'
        THEN N'水'
        WHEN MAQ.SYURYOYOBI = N'5'
        THEN N'木'
        WHEN MAQ.SYURYOYOBI = N'6'
        THEN N'金'
        WHEN MAQ.SYURYOYOBI = N'7'
        THEN N'土'
      END,
      CASE
        WHEN MAQ.BIKO IS NULL
        THEN NULL
        ELSE CONCAT(CAST(N'' AS NVARCHAR(MAX)), N'(', MAQ.BIKO, N')')
      END
    )
  END AS C003,
  CASE
    WHEN TKB.HOSYUHOHO = N'F'
    THEN N'当日オンサイト'
    WHEN TKB.HOSYUHOHO = N'S'
    THEN N'センドバック'
    WHEN TKB.HOSYUHOHO = N'T'
    THEN N'電話対応'
    ELSE TKB.HOSYUHOHO
  END AS C004,
  CASE
    WHEN (
      CASE
        WHEN DATALENGTH(CAST(CAST(TKC.KIKIKOSEI_ID AS NVARCHAR(MAX)) AS NVARCHAR(MAX))) = 0
        THEN NULL
        ELSE CAST(CAST(TKC.KIKIKOSEI_ID AS NVARCHAR(MAX)) AS NVARCHAR(MAX))
      END
    ) IS NULL
    THEN NULL
    WHEN (
      LEN(
        CONCAT(
          (
            CASE
              WHEN DATALENGTH(CAST(CAST(TKC.KIKIKOSEI_ID AS NVARCHAR(MAX)) AS NVARCHAR(MAX))) = 0
              THEN NULL
              ELSE CAST(CAST(TKC.KIKIKOSEI_ID AS NVARCHAR(MAX)) AS NVARCHAR(MAX))
            END
          ),
          N'#'
        )
      ) - 1
    ) &gt;= 8
    THEN LEFT(
      (
        CASE
          WHEN DATALENGTH(CAST(CAST(TKC.KIKIKOSEI_ID AS NVARCHAR(MAX)) AS NVARCHAR(MAX))) = 0
          THEN NULL
          ELSE CAST(CAST(TKC.KIKIKOSEI_ID AS NVARCHAR(MAX)) AS NVARCHAR(MAX))
        END
      ),
      8
    )
    ELSE CONCAT(
      LEFT(
        REPLICATE(N'0', 8),
        8 - (
          LEN(
            CONCAT(
              (
                CASE
                  WHEN DATALENGTH(CAST(CAST(TKC.KIKIKOSEI_ID AS NVARCHAR(MAX)) AS NVARCHAR(MAX))) = 0
                  THEN NULL
                  ELSE CAST(</t>
        </is>
      </c>
    </row>
    <row r="28">
      <c r="A28" t="inlineStr">
        <is>
          <t xml:space="preserve">queries/T34_01_01_03.sql</t>
        </is>
      </c>
      <c r="B28">
        <v>2</v>
      </c>
      <c r="C28">
        <v>2</v>
      </c>
      <c r="D28">
        <v>7577</v>
      </c>
      <c r="E28" t="inlineStr">
        <is>
          <t xml:space="preserve">CAST(TKC.KIKIKOSEI_ID AS NVARCHAR(MAX)) AS NVARCHAR(MAX))
                END
              ),
              N'#'
            )
          ) - 1
        )
      ),
      (
        CASE
          WHEN DATALENGTH(CAST(CAST(TKC.KIKIKOSEI_ID AS NVARCHAR(MAX)) AS NVARCHAR(MAX))) = 0
          THEN NULL
          ELSE CAST(CAST(TKC.KIKIKOSEI_ID AS NVARCHAR(MAX)) AS NVARCHAR(MAX))
        END
      )
    )
  END AS C005,
  TKC.KIKIKOSEI_NK AS C006,
  TKD.KIKIHINMEI_NK AS C007,
  CAST(TKD.KIKIKATASHIKI AS NVARCHAR(MAX)) AS C008,
  TKD.SURYO_NM AS C009,
  CONVERT(NVARCHAR(10), TKA.KEIYAKU_DT, 111) AS C010,
  CONVERT(NVARCHAR(10), TKA.KEIYAKUMANRYO_DT, 111) AS C011,
  TKA.PACK_FLG AS C012
FROM MCM.MCM_TK_KIKAN AS TKB
INNER JOIN (
  SELECT
    TK_KEIYAKU_ID AS TK_KEIYAKU_ID,
    MAX(TK_KIKAN_ID) AS MaxID
  FROM MCM.MCM_TK_KIKAN
  WHERE
    MCM_TK_KIKAN.YUKO_FLG LIKE N'%%'
  GROUP BY
    TK_KEIYAKU_ID
) AS TKB2
  ON TKB.TK_KEIYAKU_ID = TKB2.TK_KEIYAKU_ID AND TKB.TK_KIKAN_ID = TKB2.MaxID
JOIN MCM.MCM_TK_KEIYAKU AS TKA
  ON TKB.TK_KEIYAKU_ID = TKA.TK_KEIYAKU_ID
JOIN MCM.MCM_TK_KIKIKOSEI AS TKC
  ON TKB.TK_KIKAN_ID = TKC.TK_KIKAN_ID
JOIN MCM.MCM_TK_KIKIMEISAI AS TKD
  ON TKC.TK_KIKIKOSEI_ID = TKD.TK_KIKIKOSEI_ID
JOIN MCM.MCM_TK_KOTAIMEISAI AS TKE
  ON TKD.TK_KIKIMEISAI_ID = TKE.TK_KIKIMEISAI_ID
JOIN MCM.MCM_TK_TANKA AS TKF
  ON TKD.TK_KIKIMEISAI_ID = TKF.TK_KIKIMEISAI_ID
JOIN MCM.MCM_MA_TORIHOSYUJIKAN AS MAQ
  ON TKF.TORIHOSYUJIKAN_ID = MAQ.TORIHOSYUJIKAN_ID
WHERE
  TKB.SUPPORT_ID = @p003
  AND /* - AND TKB.YUKO_FLG='0' */ TKA.JOTAI = N'2'
  AND TKA.PACK_FLG = N'1';
</t>
        </is>
      </c>
    </row>
    <row r="29">
      <c r="A29" t="inlineStr">
        <is>
          <t xml:space="preserve">queries/T34_01_10_01.sql</t>
        </is>
      </c>
      <c r="B29">
        <v>1</v>
      </c>
      <c r="C29">
        <v>3</v>
      </c>
      <c r="D29">
        <v>14984</v>
      </c>
      <c r="E29" t="inlineStr">
        <is>
          <t xml:space="preserve">SELECT
  UMA.UM_MITSUMORI_NO AS C001,
  UMA.KEIYAKUJIKANTAI AS C002,
  UMG.UM_MITSUMORI_ID AS C003,
  UMA.NONYUSAKI_NK AS C004,
  UMA.SUPPORT_ID AS C005,
  UMA.PLANT_NK AS C006,
  CONVERT(NVARCHAR(10), UMA.MITSUMORI_DT, 111) AS C007,
  UMA.MITSUMORISAKUSEISYA_NK AS C008,
  REPLACE(UMA.SOFUMEISHO4_NK, N'カスタマーステーション', N'CS') AS C009,
  UMB.BRANDSYOSAI_NK AS C010,
  UMC.KIKIKOSEI_NK AS C011,
  UMD.SEIZOMAKER_NK AS C012,
  CONCAT(CAST(N'' AS NVARCHAR(MAX)), UMD.KIKIHINMEI_NK, N' ◆', UMD.KIKIKATASHIKI) AS C013,
  CASE
    WHEN MAH.KIKIBUNRUI_ID = N'1'
    THEN N'CPU'
    WHEN MAH.KIKIBUNRUI_ID = N'6'
    THEN N'PRN'
    WHEN UMD.KIKIHINMEI_NK LIKE N'%寿命品予防交換%'
    OR (
      UMD.KIKIHINMEI_NK LIKE N'%ｻｰﾋﾞｽ期限延長%' AND MAG.ITIJINONYU_DT &lt; N'2023/4/1'
    )
    THEN N'Mainte'
    ELSE NULL
  END AS C014,
  CONVERT(NVARCHAR(10), UMG.KAISI_DT, 111) AS C015,
  CONVERT(NVARCHAR(10), UMG.SYURYO_DT, 111) AS C016,
  UMD.KIKIMEISAI_ID AS C017,
  CONCAT(
    CAST(N'' AS NVARCHAR(MAX)),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END,
    N' / ',
    CASE
      WHEN (
        CASE
          WHEN DATALENGTH(CAST(CAST(UMC.KIKIKOSEI_ID AS NVARCHAR(MAX)) AS NVARCHAR(MAX))) = 0
          THEN NULL
          ELSE CAST(CAST(UMC.KIKIKOSEI_ID AS NVARCHAR(MAX)) AS NVARCHAR(MAX))
        END
      ) IS NULL
      THEN NULL
      WHEN (
        LEN(
          CONCAT(
            (
              CASE
                WHEN DATALENGTH(CAST(CAST(UMC.KIKIKOSEI_ID AS NVARCHAR(MAX)) AS NVARCHAR(MAX))) = 0
                THEN NULL
                ELSE CAST(CAST(UMC.KIKIKOSEI_ID AS NVARCHAR(MAX)) AS NVARCHAR(MAX))
              END
            ),
            N'#'
          )
        ) - 1
      ) &gt;= 8
      THEN LEFT(
        (
          CASE
            WHEN DATALENGTH(CAST(CAST(UMC.KIKIKOSEI_ID AS NVARCHAR(MAX)) AS NVARCHAR(MAX))) = 0
            THEN NULL
            ELSE CAST(CAST(UMC.KIKIKOSEI_ID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DATALENGTH(CAST(CAST(UMC.KIKIKOSEI_ID AS NVARCHAR(MAX)) AS NVARCHAR(MAX))) = 0
                    THEN NULL
                    ELSE CAST(CAST(UMC.KIKIKOSEI_ID AS NVARCHAR(MAX)) AS NVARCHAR(MAX))
                  END
                ),
                N'#'
              )
            ) - 1
          )
        ),
        (
          CASE
            WHEN DATALENGTH(CAST(CAST(UMC.KIKIKOSEI_ID AS NVARCHAR(MAX)) AS NVARCHAR(MAX))) = 0
            THEN NULL
            ELSE CAST(CAST(UMC.KIKIKOSEI_ID AS NVARCHAR(MAX)) AS NVARCHAR(MAX))
          END
        )
      )
    END,
    N' / ',
    UMB.BRANDSYOSAI_NK
  ) AS C018,
  CONCAT(
    CAST(N'' AS NVARCHAR(MAX)),
    CASE
      WHEN (
        CASE
          WHEN DATALENGTH(CAST(CAST(UME.KOTAIKANRI_ID AS NVARCHAR(MAX)) AS NVARCHAR(MAX))) = 0
          THEN NULL
          ELSE CAST(CAST(UME.KOTAIKANRI_ID AS NVARCHAR(MAX)) AS NVARCHAR(MAX))
        END
      ) IS NULL
      THEN NULL
      WHEN (
        LEN(
          CONCAT(
            (
              CASE
                WHEN DATALENGTH(CAST(CAST(UME.KOTAIKANRI_ID AS NVARCHAR(MAX)) AS NVARCHAR(MAX))) = 0
                THEN NULL
                ELSE CAST(CAST(UME.KOTAIKANRI_ID AS NVARCHAR(MAX)) AS NVARCHAR(MAX))
              END
            ),
            N'#'
          )
        ) - 1
      ) &gt;= 8
      THEN LEFT(
        (
          CASE
            WHEN DATALENGTH(CAST(CAST(UME.KOTAIKANRI_ID AS NVARCHAR(MAX)) AS NVARCHAR(MAX))) = 0
            THEN NULL
            ELSE CAST(CAST(UME.KOTAIKANRI_ID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DATALENGTH(CAST(CAST(UME.KOTAIKANRI_ID AS NVARCHAR(MAX)) AS NVARCHAR(MAX))) = 0
                    THEN NULL
                    ELSE CAST(CAST(UME.KOTAIKANRI_ID AS NVARCHAR(MAX)) AS NVARCHAR(MAX))
                  END
                ),
                N'#'
              )
            ) - 1
          )
        ),
        (
          CASE
            WHEN DATALENGTH(CAST(CAST(UME.KOTAIKANRI_I</t>
        </is>
      </c>
    </row>
    <row r="30">
      <c r="A30" t="inlineStr">
        <is>
          <t xml:space="preserve">queries/T34_01_10_01.sql</t>
        </is>
      </c>
      <c r="B30">
        <v>2</v>
      </c>
      <c r="C30">
        <v>3</v>
      </c>
      <c r="D30">
        <v>14984</v>
      </c>
      <c r="E30" t="inlineStr">
        <is>
          <t xml:space="preserve">D AS NVARCHAR(MAX)) AS NVARCHAR(MAX))) = 0
            THEN NULL
            ELSE CAST(CAST(UME.KOTAIKANRI_ID AS NVARCHAR(MAX)) AS NVARCHAR(MAX))
          END
        )
      )
    END,
    N' / ',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
  ) AS C019,
  UMF.SIKIRI_KIN AS C020,
  CONCAT(
    CAST(N'' AS NVARCHAR(MAX)),
    CASE
      WHEN (
        CASE
          WHEN DATALENGTH(CAST(CAST(UMD.KIKIMEISAI_ID AS NVARCHAR(MAX)) AS NVARCHAR(MAX))) = 0
          THEN NULL
          ELSE CAST(CAST(UMD.KIKIMEISAI_ID AS NVARCHAR(MAX)) AS NVARCHAR(MAX))
        END
      ) IS NULL
      THEN NULL
      WHEN (
        LEN(
          CONCAT(
            (
              CASE
                WHEN DATALENGTH(CAST(CAST(UMD.KIKIMEISAI_ID AS NVARCHAR(MAX)) AS NVARCHAR(MAX))) = 0
                THEN NULL
                ELSE CAST(CAST(UMD.KIKIMEISAI_ID AS NVARCHAR(MAX)) AS NVARCHAR(MAX))
              END
            ),
            N'#'
          )
        ) - 1
      ) &gt;= 8
      THEN LEFT(
        (
          CASE
            WHEN DATALENGTH(CAST(CAST(UMD.KIKIMEISAI_ID AS NVARCHAR(MAX)) AS NVARCHAR(MAX))) = 0
            THEN NULL
            ELSE CAST(CAST(UMD.KIKIMEISAI_ID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DATALENGTH(CAST(CAST(UMD.KIKIMEISAI_ID AS NVARCHAR(MAX)) AS NVARCHAR(MAX))) = 0
                    THEN NULL
                    ELSE CAST(CAST(UMD.KIKIMEISAI_ID AS NVARCHAR(MAX)) AS NVARCHAR(MAX))
                  END
                ),
                N'#'
              )
            ) - 1
          )
        ),
        (
          CASE
            WHEN DATALENGTH(CAST(CAST(UMD.KIKIMEISAI_ID AS NVARCHAR(MAX)) AS NVARCHAR(MAX))) = 0
            THEN NULL
            ELSE CAST(CAST(UMD.KIKIMEISAI_ID AS NVARCHAR(MAX)) AS NVARCHAR(MAX))
          END
        )
      )
    END,
    N' / ',
    CASE
      WHEN (
        CASE
          WHEN DATALENGTH(CAST(CAST(UMC.KIKIKOSEI_ID AS NVARCHAR(MAX)) AS NVARCHAR(MAX))) = 0
          THEN NULL
          ELSE CAST(CAST(UMC.KIKIKOSEI_ID AS NVARCHAR(MAX)) AS NVARCHAR(MAX))
        END
      ) IS NULL
      THEN NULL
      WHEN (
        LEN(
          CONCAT(
            (
              CASE
                WHEN DATALENGTH(CAST(CAST(UMC.KIKIKOSEI_ID AS NVARCHAR(MAX)) AS NVARCHAR(MAX))) = 0
                THEN NULL
                ELSE CAST(CAST(UMC.KIKIKOSEI_ID AS NVARCHAR(MAX)) AS NVARCHAR(MAX))
              END
            ),
            N'#'
          )
        ) - 1
      ) &gt;= 8
      THEN LEFT(
        (
          CASE
            WHEN DATALENGTH(CAST(CAST(UMC.KIKIKOSEI_ID AS NVARCHAR(MAX)) AS NVARCHAR(MAX))) = 0
            THEN NULL
            ELSE CAST(CAST(UMC.KIKIKOSEI_ID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DATALENGTH(CAST(CAST(UMC.KIKIKOSEI_ID AS NVARCHAR(MAX)) AS NVARCHAR(MAX))) = 0
                    THEN NULL
                    ELSE CAST(CAST(UMC.KIKIKOSEI_ID AS NVARCHAR(MAX)) AS NVARCHAR(MAX))
                  END
                ),
                N'#'
              )
            ) - 1
          )
        ),
        (
          CASE
            WHEN DATALENGTH(CAST(CAST(UMC.KIKIKOSEI_ID AS NVARCHAR(MAX)) AS NVARCHAR(MAX))) = 0
            THEN NULL
            ELSE CAST(CAST(UMC.KIKIKOSEI_ID AS NVARCHAR(MAX)) AS NVARCHAR(MAX))
          END
        )
      )
    END
  ) AS C021,
  CASE
    WHEN MAH.KIKIBUNRUI_ID = N'13'
    OR MAH.KIKIBUNRUI_ID = N'14'
    OR MAH.KIKIBUNRUI_ID = N'23'
    OR MAH.KIKIBUNRUI_ID = N'24'
    OR MAH.KIKIBUNRUI_ID = N'26'
    OR MAH.KIKIBUNRUI_ID = N'27'
    OR MAH.KIKIBUNRUI_ID = N'30'
    THEN N'-'
    WHEN UMF.TENKENKAISU IS NULL
    THEN N'ERR'
    ELSE CASE
      WHEN (
        CASE
          WHEN DATALENGTH(CAST(CAST(UMF.TENKENKAISU AS NVARCHAR(MAX)) AS NVARCHAR(MAX))) = 0
          THEN NULL
          ELSE CAST(CAST(UMF.TENKENKAISU AS NVARCHAR(MAX)) AS NVARCHAR(MAX))
        END
      ) IS NULL
      THEN NULL
      WHEN (
     </t>
        </is>
      </c>
    </row>
    <row r="31">
      <c r="A31" t="inlineStr">
        <is>
          <t xml:space="preserve">queries/T34_01_10_01.sql</t>
        </is>
      </c>
      <c r="B31">
        <v>3</v>
      </c>
      <c r="C31">
        <v>3</v>
      </c>
      <c r="D31">
        <v>14984</v>
      </c>
      <c r="E31" t="inlineStr">
        <is>
          <t xml:space="preserve">   LEN(
          CONCAT(
            (
              CASE
                WHEN DATALENGTH(CAST(CAST(UMF.TENKENKAISU AS NVARCHAR(MAX)) AS NVARCHAR(MAX))) = 0
                THEN NULL
                ELSE CAST(CAST(UMF.TENKENKAISU AS NVARCHAR(MAX)) AS NVARCHAR(MAX))
              END
            ),
            N'#'
          )
        ) - 1
      ) &gt;= 2
      THEN LEFT(
        (
          CASE
            WHEN DATALENGTH(CAST(CAST(UMF.TENKENKAISU AS NVARCHAR(MAX)) AS NVARCHAR(MAX))) = 0
            THEN NULL
            ELSE CAST(CAST(UMF.TENKENKAISU AS NVARCHAR(MAX)) AS NVARCHAR(MAX))
          END
        ),
        2
      )
      ELSE CONCAT(
        LEFT(
          REPLICATE(N'0', 2),
          2 - (
            LEN(
              CONCAT(
                (
                  CASE
                    WHEN DATALENGTH(CAST(CAST(UMF.TENKENKAISU AS NVARCHAR(MAX)) AS NVARCHAR(MAX))) = 0
                    THEN NULL
                    ELSE CAST(CAST(UMF.TENKENKAISU AS NVARCHAR(MAX)) AS NVARCHAR(MAX))
                  END
                ),
                N'#'
              )
            ) - 1
          )
        ),
        (
          CASE
            WHEN DATALENGTH(CAST(CAST(UMF.TENKENKAISU AS NVARCHAR(MAX)) AS NVARCHAR(MAX))) = 0
            THEN NULL
            ELSE CAST(CAST(UMF.TENKENKAISU AS NVARCHAR(MAX)) AS NVARCHAR(MAX))
          END
        )
      )
    END
  END AS C022,
  UMF.HOSYUHOHO AS C023,
  CASE
    WHEN UMF.TORIHOSYUJIKAN_ID IS NULL OR UMF.HOSYUHOHO IS NULL
    THEN N'ERR'
    WHEN NOT UMF.TORIHOSYUJIKAN_ID IS NULL AND MAQ.HOSYUJIKAN_DT &lt;&gt; N'24'
    THEN N'8'
    ELSE CAST(MAQ.HOSYUJIKAN_DT AS NVARCHAR(MAX))
  END AS C024,
  UMF.HYOJUN_KIN AS C025,
  CASE WHEN UMF.TORIHOSYUJIKAN_ID IS NULL THEN N'BOXCELL' ELSE N'' END AS C026,
  UMF.BIKO AS C027
FROM MCM.MCM_UM_KIHON_MITSUMORI AS UMA
JOIN MCM.MCM_UM_KIHON_BRAND AS UMB
  ON UMA.UM_KIHON_MITSUMORI_ID = UMB.UM_KIHON_MITSUMORI_ID
JOIN MCM.MCM_UM_MITSUMORI AS UMG
  ON UMA.UM_KIHON_MITSUMORI_ID = UMG.UM_KIHON_MITSUMORI_ID
JOIN MCM.MCM_UM_KIKIKOSEI AS UMC
  ON UMB.UM_KIHON_BRAND_ID = UMC.UM_KIHON_BRAND_ID
JOIN MCM.MCM_UM_KIKIMEISAI AS UMD
  ON UMC.UM_KIKIKOSEI_ID = UMD.UM_KIKIKOSEI_ID
JOIN MCM.MCM_UM_TANKA AS UMF
  ON UMD.UM_KIKIMEISAI_ID = UMF.UM_KIKIMEISAI_ID
  AND UMF.UM_MITSUMORI_ID = UMG.UM_MITSUMORI_ID
JOIN MCM.MCM_MA_ATSUKAIKIKI AS MAH
  ON UMD.ATSUKAIKIKI_ID = MAH.ATSUKAIKIKI_ID
LEFT JOIN MCM.MCM_MA_TORIHOSYUJIKAN AS MAQ
  ON UMF.TORIHOSYUJIKAN_ID = MAQ.TORIHOSYUJIKAN_ID
LEFT JOIN MCM.MCM_UM_KOTAIMEISAI AS UME
  ON UMD.UM_KIKIMEISAI_ID = UME.UM_KIKIMEISAI_ID
JOIN MCM.MCM_MA_KIKIKOTAIKANRI AS MAG
  ON UME.KOTAIKANRI_ID = MAG.KOTAIKANRI_ID
WHERE
  (
    UMA.UM_MITSUMORI_NO = @p002
  ) AND MAH.MITSUMORIHYOJI_FLG = N'0'
ORDER BY
  CASE WHEN UMG.KAISI_DT IS NULL THEN 1 ELSE 0 END, UMG.KAISI_DT ASC,
  CASE WHEN UMG.UM_MITSUMORI_ID IS NULL THEN 1 ELSE 0 END, UMG.UM_MITSUMORI_ID ASC,
  CASE WHEN UMD.KIKIMEISAI_ID IS NULL THEN 1 ELSE 0 END, UMD.KIKIMEISAI_ID ASC;
</t>
        </is>
      </c>
    </row>
    <row r="32">
      <c r="A32" t="inlineStr">
        <is>
          <t xml:space="preserve">queries/T34_01_10_02.sql</t>
        </is>
      </c>
      <c r="B32">
        <v>1</v>
      </c>
      <c r="C32">
        <v>1</v>
      </c>
      <c r="D32">
        <v>900</v>
      </c>
      <c r="E32" t="inlineStr">
        <is>
          <t xml:space="preserve">SELECT
  UMA.UM_MITSUMORI_NO AS C001,
  UMB.BRANDSYOSAI_NK AS C002,
  UMB.PROGRAMSAKUSEI_KIN AS C003,
  CASE WHEN UMB.SOFT_FLG = N'1' THEN N'○' ELSE N'×' END AS C004,
  CASE WHEN UMB.DREMOS_FLG = N'1' THEN N'○' ELSE N'×' END AS C005,
  CASE WHEN UMB.REMOTE_FLG = N'1' THEN N'○' ELSE N'×' END AS C006,
  UMA.MITSUMORISAKUSEISYA_NK AS C007,
  CONVERT(NVARCHAR(10), UMG.KAISI_DT, 111) AS C008,
  CONVERT(NVARCHAR(10), UMG.SYURYO_DT, 111) AS C009,
  UMB.KEIYAKUJIKANTAI AS C010,
  REPLACE(UMA.SOFUMEISHO4_NK, N'カスタマーステーション', N'CS') AS C011
FROM MCM.MCM_UM_KIHON_MITSUMORI AS UMA
JOIN MCM.MCM_UM_KIHON_BRAND AS UMB
  ON UMA.UM_KIHON_MITSUMORI_ID = UMB.UM_KIHON_MITSUMORI_ID
JOIN MCM.MCM_UM_MITSUMORI AS UMG
  ON UMA.UM_KIHON_MITSUMORI_ID = UMG.UM_KIHON_MITSUMORI_ID
WHERE
  (
    UMA.UM_MITSUMORI_NO = @p002
  )
ORDER BY
  CASE WHEN UMA.UM_MITSUMORI_NO IS NULL THEN 1 ELSE 0 END, UMA.UM_MITSUMORI_NO ASC;
</t>
        </is>
      </c>
    </row>
    <row r="33">
      <c r="A33" t="inlineStr">
        <is>
          <t xml:space="preserve">queries/T34_01_10_03.sql</t>
        </is>
      </c>
      <c r="B33">
        <v>1</v>
      </c>
      <c r="C33">
        <v>2</v>
      </c>
      <c r="D33">
        <v>7577</v>
      </c>
      <c r="E33" t="inlineStr">
        <is>
          <t xml:space="preserve">SELECT
  CONCAT(
    CAST(N'' AS NVARCHAR(MAX)),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END,
    N' / ',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
  ) AS C001,
  TKB.BIKO AS C002,
  CASE
    WHEN TKB.KEIYAKUJIKANTAI = N'24'
    THEN N'24時間365日'
    WHEN TKB.KEIYAKUJIKANTAI = N'8'
    THEN CONCAT(
      CAST(N'' AS NVARCHAR(MAX)),
      TKB.KEIYAKUJIKANTAI,
      N'H ',
      CASE
        WHEN MAQ.KAISIYOBI = N'1'
        THEN N'日'
        WHEN MAQ.KAISIYOBI = N'2'
        THEN N'月'
        WHEN MAQ.KAISIYOBI = N'3'
        THEN N'火'
        WHEN MAQ.KAISIYOBI = N'4'
        THEN N'水'
        WHEN MAQ.KAISIYOBI = N'5'
        THEN N'木'
        WHEN MAQ.KAISIYOBI = N'6'
        THEN N'金'
        WHEN MAQ.KAISIYOBI = N'7'
        THEN N'土'
      END,
      N'～',
      CASE
        WHEN MAQ.SYURYOYOBI = N'1'
        THEN N'日'
        WHEN MAQ.SYURYOYOBI = N'2'
        THEN N'月'
        WHEN MAQ.SYURYOYOBI = N'3'
        THEN N'火'
        WHEN MAQ.SYURYOYOBI = N'4'
        THEN N'水'
        WHEN MAQ.SYURYOYOBI = N'5'
        THEN N'木'
        WHEN MAQ.SYURYOYOBI = N'6'
        THEN N'金'
        WHEN MAQ.SYURYOYOBI = N'7'
        THEN N'土'
      END,
      CASE
        WHEN MAQ.BIKO IS NULL
        THEN NULL
        ELSE CONCAT(CAST(N'' AS NVARCHAR(MAX)), N'(', MAQ.BIKO, N')')
      END
    )
  END AS C003,
  CASE
    WHEN TKB.HOSYUHOHO = N'F'
    THEN N'当日オンサイト'
    WHEN TKB.HOSYUHOHO = N'S'
    THEN N'センドバック'
    WHEN TKB.HOSYUHOHO = N'T'
    THEN N'電話対応'
    ELSE TKB.HOSYUHOHO
  END AS C004,
  CASE
    WHEN (
      CASE
        WHEN DATALENGTH(CAST(CAST(TKC.KIKIKOSEI_ID AS NVARCHAR(MAX)) AS NVARCHAR(MAX))) = 0
        THEN NULL
        ELSE CAST(CAST(TKC.KIKIKOSEI_ID AS NVARCHAR(MAX)) AS NVARCHAR(MAX))
      END
    ) IS NULL
    THEN NULL
    WHEN (
      LEN(
        CONCAT(
          (
            CASE
              WHEN DATALENGTH(CAST(CAST(TKC.KIKIKOSEI_ID AS NVARCHAR(MAX)) AS NVARCHAR(MAX))) = 0
              THEN NULL
              ELSE CAST(CAST(TKC.KIKIKOSEI_ID AS NVARCHAR(MAX)) AS NVARCHAR(MAX))
            END
          ),
          N'#'
        )
      ) - 1
    ) &gt;= 8
    THEN LEFT(
      (
        CASE
          WHEN DATALENGTH(CAST(CAST(TKC.KIKIKOSEI_ID AS NVARCHAR(MAX)) AS NVARCHAR(MAX))) = 0
          THEN NULL
          ELSE CAST(CAST(TKC.KIKIKOSEI_ID AS NVARCHAR(MAX)) AS NVARCHAR(MAX))
        END
      ),
      8
    )
    ELSE CONCAT(
      LEFT(
        REPLICATE(N'0', 8),
        8 - (
          LEN(
            CONCAT(
              (
                CASE
                  WHEN DATALENGTH(CAST(CAST(TKC.KIKIKOSEI_ID AS NVARCHAR(MAX)) AS NVARCHAR(MAX))) = 0
                  THEN NULL
                  ELSE CAST(</t>
        </is>
      </c>
    </row>
    <row r="34">
      <c r="A34" t="inlineStr">
        <is>
          <t xml:space="preserve">queries/T34_01_10_03.sql</t>
        </is>
      </c>
      <c r="B34">
        <v>2</v>
      </c>
      <c r="C34">
        <v>2</v>
      </c>
      <c r="D34">
        <v>7577</v>
      </c>
      <c r="E34" t="inlineStr">
        <is>
          <t xml:space="preserve">CAST(TKC.KIKIKOSEI_ID AS NVARCHAR(MAX)) AS NVARCHAR(MAX))
                END
              ),
              N'#'
            )
          ) - 1
        )
      ),
      (
        CASE
          WHEN DATALENGTH(CAST(CAST(TKC.KIKIKOSEI_ID AS NVARCHAR(MAX)) AS NVARCHAR(MAX))) = 0
          THEN NULL
          ELSE CAST(CAST(TKC.KIKIKOSEI_ID AS NVARCHAR(MAX)) AS NVARCHAR(MAX))
        END
      )
    )
  END AS C005,
  TKC.KIKIKOSEI_NK AS C006,
  TKD.KIKIHINMEI_NK AS C007,
  CAST(TKD.KIKIKATASHIKI AS NVARCHAR(MAX)) AS C008,
  TKD.SURYO_NM AS C009,
  CONVERT(NVARCHAR(10), TKA.KEIYAKU_DT, 111) AS C010,
  CONVERT(NVARCHAR(10), TKA.KEIYAKUMANRYO_DT, 111) AS C011,
  TKA.PACK_FLG AS C012
FROM MCM.MCM_TK_KIKAN AS TKB
INNER JOIN (
  SELECT
    TK_KEIYAKU_ID AS TK_KEIYAKU_ID,
    MAX(TK_KIKAN_ID) AS MaxID
  FROM MCM.MCM_TK_KIKAN
  WHERE
    MCM_TK_KIKAN.YUKO_FLG LIKE N'%%'
  GROUP BY
    TK_KEIYAKU_ID
) AS TKB2
  ON TKB.TK_KEIYAKU_ID = TKB2.TK_KEIYAKU_ID AND TKB.TK_KIKAN_ID = TKB2.MaxID
JOIN MCM.MCM_TK_KEIYAKU AS TKA
  ON TKB.TK_KEIYAKU_ID = TKA.TK_KEIYAKU_ID
JOIN MCM.MCM_TK_KIKIKOSEI AS TKC
  ON TKB.TK_KIKAN_ID = TKC.TK_KIKAN_ID
JOIN MCM.MCM_TK_KIKIMEISAI AS TKD
  ON TKC.TK_KIKIKOSEI_ID = TKD.TK_KIKIKOSEI_ID
JOIN MCM.MCM_TK_KOTAIMEISAI AS TKE
  ON TKD.TK_KIKIMEISAI_ID = TKE.TK_KIKIMEISAI_ID
JOIN MCM.MCM_TK_TANKA AS TKF
  ON TKD.TK_KIKIMEISAI_ID = TKF.TK_KIKIMEISAI_ID
JOIN MCM.MCM_MA_TORIHOSYUJIKAN AS MAQ
  ON TKF.TORIHOSYUJIKAN_ID = MAQ.TORIHOSYUJIKAN_ID
WHERE
  TKB.SUPPORT_ID = @p003
  AND /* - AND TKB.YUKO_FLG='0' */ TKA.JOTAI = N'2'
  AND TKA.PACK_FLG = N'1';
</t>
        </is>
      </c>
    </row>
  </sheetData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2616C224BAAB459A2EF1C6A95A0868" ma:contentTypeVersion="11" ma:contentTypeDescription="Create a new document." ma:contentTypeScope="" ma:versionID="2ef278e2b7d95f4d87e6c6ca560521e3">
  <xsd:schema xmlns:xsd="http://www.w3.org/2001/XMLSchema" xmlns:xs="http://www.w3.org/2001/XMLSchema" xmlns:p="http://schemas.microsoft.com/office/2006/metadata/properties" xmlns:ns2="a0e40bf2-c0e7-4c11-a7b1-c4a6e0bc9aa9" xmlns:ns3="16e20f74-9fe5-416d-b0fd-f07dcd0a5a0b" targetNamespace="http://schemas.microsoft.com/office/2006/metadata/properties" ma:root="true" ma:fieldsID="413fa75b8485624aa7c33c07895e431c" ns2:_="" ns3:_="">
    <xsd:import namespace="a0e40bf2-c0e7-4c11-a7b1-c4a6e0bc9aa9"/>
    <xsd:import namespace="16e20f74-9fe5-416d-b0fd-f07dcd0a5a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e40bf2-c0e7-4c11-a7b1-c4a6e0bc9a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4f751fe-e508-435b-9695-4e1b110d1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e20f74-9fe5-416d-b0fd-f07dcd0a5a0b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36bfa0d-54ff-49c4-943d-513c1ef3703d}" ma:internalName="TaxCatchAll" ma:showField="CatchAllData" ma:web="16e20f74-9fe5-416d-b0fd-f07dcd0a5a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6e20f74-9fe5-416d-b0fd-f07dcd0a5a0b" xsi:nil="true"/>
    <lcf76f155ced4ddcb4097134ff3c332f xmlns="a0e40bf2-c0e7-4c11-a7b1-c4a6e0bc9aa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DFB0197-F384-4BEF-A62E-0447EFFB44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e40bf2-c0e7-4c11-a7b1-c4a6e0bc9aa9"/>
    <ds:schemaRef ds:uri="16e20f74-9fe5-416d-b0fd-f07dcd0a5a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AEF233-1B9C-4DF4-B0B1-652D729EB0E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F40BE4-2547-4C6D-B169-CF92E3A687A0}">
  <ds:schemaRefs>
    <ds:schemaRef ds:uri="http://schemas.microsoft.com/office/2006/metadata/properties"/>
    <ds:schemaRef ds:uri="http://schemas.microsoft.com/office/infopath/2007/PartnerControls"/>
    <ds:schemaRef ds:uri="16e20f74-9fe5-416d-b0fd-f07dcd0a5a0b"/>
    <ds:schemaRef ds:uri="a0e40bf2-c0e7-4c11-a7b1-c4a6e0bc9aa9"/>
  </ds:schemaRefs>
</ds:datastoreItem>
</file>

<file path=docMetadata/LabelInfo.xml><?xml version="1.0" encoding="utf-8"?>
<clbl:labelList xmlns:clbl="http://schemas.microsoft.com/office/2020/mipLabelMetadata">
  <clbl:label id="{2c37a7a4-57e3-4d99-9ccb-ff1f4750c108}" enabled="0" method="" siteId="{2c37a7a4-57e3-4d99-9ccb-ff1f4750c10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操作シート</vt:lpstr>
      <vt:lpstr>終息日抽出</vt:lpstr>
      <vt:lpstr>終息日抽出（確認用）</vt:lpstr>
      <vt:lpstr>見積情報抽出</vt:lpstr>
      <vt:lpstr>【temp】見積情報抽出</vt:lpstr>
      <vt:lpstr>各種テンプレート</vt:lpstr>
      <vt:lpstr>特記事項リスト</vt:lpstr>
      <vt:lpstr>置換パターン</vt:lpstr>
    </vt:vector>
  </TitlesOfParts>
  <Manager/>
  <Company>（株）ダイフク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森　優一郎</dc:creator>
  <cp:keywords/>
  <dc:description/>
  <cp:lastModifiedBy>山田 祥広(Yoshihiro YAMADA)</cp:lastModifiedBy>
  <cp:revision/>
  <dcterms:created xsi:type="dcterms:W3CDTF">2018-10-16T00:32:53Z</dcterms:created>
  <dcterms:modified xsi:type="dcterms:W3CDTF">2026-10-20T06:14:45Z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0x010100DA2616C224BAAB459A2EF1C6A95A0868</vt:lpwstr>
  </property>
  <property fmtid="{D5CDD505-2E9C-101B-9397-08002B2CF9AE}" pid="3" name="MediaServiceImageTags">
    <vt:lpwstr/>
  </property>
</Properties>
</file>