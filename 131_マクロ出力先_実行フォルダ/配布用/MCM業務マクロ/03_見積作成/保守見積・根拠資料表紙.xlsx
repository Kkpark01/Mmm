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保守見積作成\"/>
    </mc:Choice>
  </mc:AlternateContent>
  <xr:revisionPtr revIDLastSave="0" documentId="13_ncr:1_{3E690716-1437-4F67-B752-E7DDACF3F3D6}" xr6:coauthVersionLast="47" xr6:coauthVersionMax="47" xr10:uidLastSave="{00000000-0000-0000-0000-000000000000}"/>
  <bookViews>
    <workbookView xWindow="1365" yWindow="660" windowWidth="23160" windowHeight="14265" tabRatio="770" xr2:uid="{00000000-000D-0000-FFFF-FFFF00000000}"/>
  </bookViews>
  <sheets>
    <sheet name="保守見積書(見積表紙)" sheetId="1" r:id="rId1"/>
    <sheet name="保守見積書(証憑表紙)" sheetId="2" r:id="rId2"/>
    <sheet name="リモート導入見積(見積表紙)" sheetId="5" r:id="rId3"/>
    <sheet name="予防保守見積(見積表紙)" sheetId="6" r:id="rId4"/>
    <sheet name="保守パック見積(見積表紙)" sheetId="7" r:id="rId5"/>
    <sheet name="ソフトサポート費算出根拠" sheetId="4" r:id="rId6"/>
    <sheet name="サマリデータ" sheetId="3" state="hidden" r:id="rId7"/>
  </sheets>
  <definedNames>
    <definedName name="_xlnm.Print_Area" localSheetId="2">'リモート導入見積(見積表紙)'!$A$1:$AJ$31</definedName>
    <definedName name="_xlnm.Print_Area" localSheetId="4">'保守パック見積(見積表紙)'!$A$1:$AJ$31</definedName>
    <definedName name="_xlnm.Print_Area" localSheetId="0">'保守見積書(見積表紙)'!$A$1:$AJ$51</definedName>
    <definedName name="_xlnm.Print_Area" localSheetId="1">'保守見積書(証憑表紙)'!$A$1:$AJ$51</definedName>
    <definedName name="_xlnm.Print_Area" localSheetId="3">'予防保守見積(見積表紙)'!$A$1:$AJ$31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X26" i="7" l="1"/>
  <c r="N26" i="7"/>
  <c r="N25" i="7"/>
  <c r="N24" i="7"/>
  <c r="N23" i="7"/>
  <c r="X26" i="6"/>
  <c r="N26" i="6"/>
  <c r="N25" i="6"/>
  <c r="N24" i="6"/>
  <c r="N23" i="6"/>
  <c r="X26" i="5"/>
  <c r="N26" i="5"/>
  <c r="N25" i="5"/>
  <c r="N24" i="5"/>
  <c r="N23" i="5"/>
  <c r="N27" i="6"/>
  <c r="N27" i="7"/>
  <c r="N27" i="5"/>
  <c r="C6" i="4" l="1"/>
  <c r="C5" i="4"/>
  <c r="C4" i="4"/>
  <c r="C3" i="4"/>
  <c r="N28" i="2" l="1"/>
  <c r="N27" i="2"/>
  <c r="X26" i="2"/>
  <c r="N26" i="2"/>
  <c r="N25" i="2"/>
  <c r="N24" i="2"/>
  <c r="N23" i="2"/>
  <c r="N28" i="1"/>
  <c r="N27" i="1"/>
  <c r="X26" i="1"/>
  <c r="N26" i="1"/>
  <c r="N25" i="1"/>
  <c r="N24" i="1"/>
  <c r="N23" i="1"/>
</calcChain>
</file>

<file path=xl/sharedStrings.xml><?xml version="1.0" encoding="utf-8"?>
<sst xmlns="http://schemas.openxmlformats.org/spreadsheetml/2006/main" count="81" uniqueCount="32">
  <si>
    <t>承認</t>
    <rPh sb="0" eb="2">
      <t>ショウニン</t>
    </rPh>
    <phoneticPr fontId="7"/>
  </si>
  <si>
    <t>審査</t>
    <rPh sb="0" eb="2">
      <t>シンサ</t>
    </rPh>
    <phoneticPr fontId="7"/>
  </si>
  <si>
    <t>確認</t>
    <rPh sb="0" eb="2">
      <t>カクニン</t>
    </rPh>
    <phoneticPr fontId="7"/>
  </si>
  <si>
    <t>担当</t>
    <rPh sb="0" eb="2">
      <t>タントウ</t>
    </rPh>
    <phoneticPr fontId="7"/>
  </si>
  <si>
    <t>納入先</t>
    <rPh sb="0" eb="2">
      <t>ノウニュウ</t>
    </rPh>
    <rPh sb="2" eb="3">
      <t>サキ</t>
    </rPh>
    <phoneticPr fontId="7"/>
  </si>
  <si>
    <t>工場名</t>
    <rPh sb="0" eb="2">
      <t>コウジョウ</t>
    </rPh>
    <rPh sb="2" eb="3">
      <t>メイ</t>
    </rPh>
    <phoneticPr fontId="7"/>
  </si>
  <si>
    <t>システム名</t>
    <rPh sb="4" eb="5">
      <t>メイ</t>
    </rPh>
    <phoneticPr fontId="7"/>
  </si>
  <si>
    <t>サポートID</t>
    <phoneticPr fontId="7"/>
  </si>
  <si>
    <t>担当店舗</t>
    <rPh sb="0" eb="2">
      <t>タントウ</t>
    </rPh>
    <rPh sb="2" eb="4">
      <t>テンポ</t>
    </rPh>
    <phoneticPr fontId="7"/>
  </si>
  <si>
    <t>見積No.</t>
    <rPh sb="0" eb="2">
      <t>ミツモリ</t>
    </rPh>
    <phoneticPr fontId="7"/>
  </si>
  <si>
    <t>8H</t>
    <phoneticPr fontId="7"/>
  </si>
  <si>
    <t>24H</t>
    <phoneticPr fontId="7"/>
  </si>
  <si>
    <t>保守見積根拠資料</t>
    <rPh sb="0" eb="2">
      <t>ホシュ</t>
    </rPh>
    <rPh sb="2" eb="4">
      <t>ミツモリ</t>
    </rPh>
    <rPh sb="4" eb="6">
      <t>コンキョ</t>
    </rPh>
    <rPh sb="6" eb="8">
      <t>シリョウ</t>
    </rPh>
    <phoneticPr fontId="7"/>
  </si>
  <si>
    <t>8h見積No</t>
    <rPh sb="2" eb="4">
      <t>ミツモリ</t>
    </rPh>
    <phoneticPr fontId="7"/>
  </si>
  <si>
    <t>24h見積No</t>
    <rPh sb="3" eb="5">
      <t>ミツモリ</t>
    </rPh>
    <phoneticPr fontId="7"/>
  </si>
  <si>
    <t>サポートID</t>
    <phoneticPr fontId="7"/>
  </si>
  <si>
    <t>　ソフトサポート費算出根拠　</t>
    <rPh sb="8" eb="9">
      <t>ヒ</t>
    </rPh>
    <rPh sb="9" eb="11">
      <t>サンシュツ</t>
    </rPh>
    <rPh sb="11" eb="13">
      <t>コンキョ</t>
    </rPh>
    <phoneticPr fontId="3"/>
  </si>
  <si>
    <t>VPNリモート見積No</t>
    <rPh sb="7" eb="9">
      <t>ミツモリ</t>
    </rPh>
    <phoneticPr fontId="7"/>
  </si>
  <si>
    <t>契約前作業見積No</t>
    <rPh sb="0" eb="2">
      <t>ケイヤク</t>
    </rPh>
    <rPh sb="2" eb="3">
      <t>マエ</t>
    </rPh>
    <rPh sb="3" eb="5">
      <t>サギョウ</t>
    </rPh>
    <rPh sb="5" eb="7">
      <t>ミツモリ</t>
    </rPh>
    <phoneticPr fontId="7"/>
  </si>
  <si>
    <t>パック購入見積No</t>
    <rPh sb="3" eb="5">
      <t>コウニュウ</t>
    </rPh>
    <rPh sb="5" eb="7">
      <t>ミツモリ</t>
    </rPh>
    <phoneticPr fontId="7"/>
  </si>
  <si>
    <t>リモート導入費見積</t>
    <rPh sb="4" eb="6">
      <t>ドウニュウ</t>
    </rPh>
    <rPh sb="6" eb="7">
      <t>ヒ</t>
    </rPh>
    <rPh sb="7" eb="9">
      <t>ミツモリ</t>
    </rPh>
    <phoneticPr fontId="7"/>
  </si>
  <si>
    <t>契約前予防保守見積</t>
    <rPh sb="0" eb="2">
      <t>ケイヤク</t>
    </rPh>
    <rPh sb="2" eb="3">
      <t>マエ</t>
    </rPh>
    <rPh sb="3" eb="5">
      <t>ヨボウ</t>
    </rPh>
    <rPh sb="5" eb="7">
      <t>ホシュ</t>
    </rPh>
    <rPh sb="7" eb="9">
      <t>ミツモリ</t>
    </rPh>
    <phoneticPr fontId="7"/>
  </si>
  <si>
    <t>保守パック購入見積</t>
    <rPh sb="0" eb="2">
      <t>ホシュ</t>
    </rPh>
    <rPh sb="5" eb="7">
      <t>コウニュウ</t>
    </rPh>
    <rPh sb="7" eb="9">
      <t>ミツモリ</t>
    </rPh>
    <phoneticPr fontId="7"/>
  </si>
  <si>
    <t>担当店舗</t>
  </si>
  <si>
    <t>保守見積原価計算書</t>
    <rPh sb="0" eb="2">
      <t>ホシュ</t>
    </rPh>
    <rPh sb="2" eb="4">
      <t>ミツモリ</t>
    </rPh>
    <rPh sb="4" eb="6">
      <t>ゲンカ</t>
    </rPh>
    <rPh sb="6" eb="9">
      <t>ケイサンショ</t>
    </rPh>
    <phoneticPr fontId="7"/>
  </si>
  <si>
    <t>田辺三菱製薬工場株式会社</t>
  </si>
  <si>
    <t>小野田工場</t>
  </si>
  <si>
    <t>第三製剤棟自動倉庫システム</t>
  </si>
  <si>
    <t>山口CS</t>
  </si>
  <si>
    <t>10SC4561</t>
  </si>
  <si>
    <t>10SC4571</t>
  </si>
  <si>
    <t>見積作成日</t>
    <rPh sb="0" eb="5">
      <t>ミツモリサクセイビ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</si>
</sst>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77" formatCode="yy\.mm\.dd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b/>
      <u/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6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0" xfId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0" fillId="0" borderId="0" xfId="1" applyFont="1" applyAlignment="1">
      <alignment horizontal="left" vertical="center"/>
    </xf>
    <xf numFmtId="49" fontId="5" fillId="0" borderId="0" xfId="1" applyNumberFormat="1" applyFont="1" applyAlignment="1">
      <alignment vertical="center"/>
    </xf>
    <xf numFmtId="0" fontId="1" fillId="0" borderId="9" xfId="1" applyBorder="1" applyAlignment="1">
      <alignment horizontal="centerContinuous" vertical="center"/>
    </xf>
    <xf numFmtId="0" fontId="1" fillId="0" borderId="10" xfId="1" applyBorder="1" applyAlignment="1">
      <alignment horizontal="centerContinuous" vertical="center"/>
    </xf>
    <xf numFmtId="0" fontId="1" fillId="0" borderId="11" xfId="1" applyBorder="1" applyAlignment="1">
      <alignment horizontal="centerContinuous" vertical="center"/>
    </xf>
    <xf numFmtId="0" fontId="0" fillId="0" borderId="10" xfId="1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13" xfId="0" applyFont="1" applyBorder="1" applyAlignment="1">
      <alignment horizontal="centerContinuous"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0" fillId="0" borderId="9" xfId="1" applyFont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8" fillId="0" borderId="17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8" fillId="0" borderId="9" xfId="1" applyFont="1" applyBorder="1" applyAlignment="1">
      <alignment vertical="center"/>
    </xf>
    <xf numFmtId="0" fontId="8" fillId="0" borderId="11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8" fillId="0" borderId="14" xfId="1" applyFont="1" applyBorder="1" applyAlignment="1">
      <alignment vertical="center"/>
    </xf>
    <xf numFmtId="0" fontId="8" fillId="0" borderId="16" xfId="1" applyFont="1" applyBorder="1" applyAlignment="1">
      <alignment vertical="center"/>
    </xf>
    <xf numFmtId="0" fontId="8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1" fillId="0" borderId="0" xfId="1" applyAlignment="1">
      <alignment vertical="center"/>
    </xf>
    <xf numFmtId="0" fontId="1" fillId="0" borderId="19" xfId="1" applyBorder="1" applyAlignment="1">
      <alignment horizontal="left" vertical="center"/>
    </xf>
    <xf numFmtId="0" fontId="0" fillId="0" borderId="19" xfId="0" applyBorder="1">
      <alignment vertical="center"/>
    </xf>
    <xf numFmtId="0" fontId="0" fillId="0" borderId="19" xfId="1" applyFont="1" applyBorder="1" applyAlignment="1">
      <alignment horizontal="left" vertical="center"/>
    </xf>
    <xf numFmtId="0" fontId="8" fillId="0" borderId="19" xfId="1" applyFont="1" applyBorder="1" applyAlignment="1">
      <alignment vertical="center"/>
    </xf>
    <xf numFmtId="176" fontId="0" fillId="0" borderId="19" xfId="0" applyNumberFormat="1" applyBorder="1">
      <alignment vertical="center"/>
    </xf>
    <xf numFmtId="0" fontId="9" fillId="0" borderId="0" xfId="0" applyFont="1">
      <alignment vertical="center"/>
    </xf>
    <xf numFmtId="177" fontId="0" fillId="0" borderId="19" xfId="0" applyNumberFormat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0" fillId="0" borderId="9" xfId="1" applyFont="1" applyBorder="1" applyAlignment="1">
      <alignment horizontal="left" vertical="center"/>
    </xf>
    <xf numFmtId="0" fontId="0" fillId="0" borderId="10" xfId="1" applyFont="1" applyBorder="1" applyAlignment="1">
      <alignment horizontal="left" vertical="center"/>
    </xf>
    <xf numFmtId="0" fontId="0" fillId="0" borderId="11" xfId="1" applyFont="1" applyBorder="1" applyAlignment="1">
      <alignment horizontal="left" vertical="center"/>
    </xf>
    <xf numFmtId="176" fontId="0" fillId="0" borderId="9" xfId="1" applyNumberFormat="1" applyFont="1" applyBorder="1" applyAlignment="1">
      <alignment horizontal="left" vertical="center"/>
    </xf>
    <xf numFmtId="176" fontId="0" fillId="0" borderId="10" xfId="1" applyNumberFormat="1" applyFont="1" applyBorder="1" applyAlignment="1">
      <alignment horizontal="left" vertical="center"/>
    </xf>
    <xf numFmtId="176" fontId="0" fillId="0" borderId="11" xfId="1" applyNumberFormat="1" applyFont="1" applyBorder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176" fontId="0" fillId="0" borderId="19" xfId="0" applyNumberFormat="1" applyBorder="1" applyAlignment="1">
      <alignment horizontal="left" vertical="center"/>
    </xf>
  </cellXfs>
  <cellStyles count="2">
    <cellStyle name="標準" xfId="0" builtinId="0"/>
    <cellStyle name="標準_MCM2001P_店舗見積書類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190500</xdr:colOff>
      <xdr:row>11</xdr:row>
      <xdr:rowOff>95250</xdr:rowOff>
    </xdr:from>
    <xdr:to>
      <xdr:col>36</xdr:col>
      <xdr:colOff>0</xdr:colOff>
      <xdr:row>13</xdr:row>
      <xdr:rowOff>9525</xdr:rowOff>
    </xdr:to>
    <xdr:sp macro="" textlink="">
      <xdr:nvSpPr>
        <xdr:cNvPr id="2" name="stp_lastname">
          <a:extLst>
            <a:ext uri="{FF2B5EF4-FFF2-40B4-BE49-F238E27FC236}">
              <a16:creationId xmlns:a16="http://schemas.microsoft.com/office/drawing/2014/main" id="{72580168-F4F2-4F86-8E70-343CE84A4BD3}"/>
            </a:ext>
          </a:extLst>
        </xdr:cNvPr>
        <xdr:cNvSpPr txBox="1">
          <a:spLocks noChangeArrowheads="1"/>
        </xdr:cNvSpPr>
      </xdr:nvSpPr>
      <xdr:spPr bwMode="auto">
        <a:xfrm>
          <a:off x="6324600" y="24193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ｻｰﾋﾞｽ</a:t>
          </a:r>
        </a:p>
      </xdr:txBody>
    </xdr:sp>
    <xdr:clientData/>
  </xdr:twoCellAnchor>
  <xdr:twoCellAnchor>
    <xdr:from>
      <xdr:col>31</xdr:col>
      <xdr:colOff>190500</xdr:colOff>
      <xdr:row>14</xdr:row>
      <xdr:rowOff>0</xdr:rowOff>
    </xdr:from>
    <xdr:to>
      <xdr:col>36</xdr:col>
      <xdr:colOff>0</xdr:colOff>
      <xdr:row>15</xdr:row>
      <xdr:rowOff>85725</xdr:rowOff>
    </xdr:to>
    <xdr:sp macro="" textlink="">
      <xdr:nvSpPr>
        <xdr:cNvPr id="3" name="stp_firstname">
          <a:extLst>
            <a:ext uri="{FF2B5EF4-FFF2-40B4-BE49-F238E27FC236}">
              <a16:creationId xmlns:a16="http://schemas.microsoft.com/office/drawing/2014/main" id="{B4BC2E4E-6278-4373-926C-35009B6D0F11}"/>
            </a:ext>
          </a:extLst>
        </xdr:cNvPr>
        <xdr:cNvSpPr txBox="1">
          <a:spLocks noChangeArrowheads="1"/>
        </xdr:cNvSpPr>
      </xdr:nvSpPr>
      <xdr:spPr bwMode="auto">
        <a:xfrm>
          <a:off x="6324600" y="28384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山田</a:t>
          </a:r>
        </a:p>
      </xdr:txBody>
    </xdr:sp>
    <xdr:clientData/>
  </xdr:twoCellAnchor>
  <xdr:twoCellAnchor>
    <xdr:from>
      <xdr:col>32</xdr:col>
      <xdr:colOff>85725</xdr:colOff>
      <xdr:row>13</xdr:row>
      <xdr:rowOff>0</xdr:rowOff>
    </xdr:from>
    <xdr:to>
      <xdr:col>35</xdr:col>
      <xdr:colOff>114300</xdr:colOff>
      <xdr:row>14</xdr:row>
      <xdr:rowOff>19050</xdr:rowOff>
    </xdr:to>
    <xdr:sp macro="" textlink="サマリデータ!C12">
      <xdr:nvSpPr>
        <xdr:cNvPr id="4" name="stp_date">
          <a:extLst>
            <a:ext uri="{FF2B5EF4-FFF2-40B4-BE49-F238E27FC236}">
              <a16:creationId xmlns:a16="http://schemas.microsoft.com/office/drawing/2014/main" id="{77BA005C-1929-4B5A-9DCA-08BAFA159880}"/>
            </a:ext>
          </a:extLst>
        </xdr:cNvPr>
        <xdr:cNvSpPr>
          <a:spLocks noChangeArrowheads="1"/>
        </xdr:cNvSpPr>
      </xdr:nvSpPr>
      <xdr:spPr bwMode="auto">
        <a:xfrm>
          <a:off x="6419850" y="2667000"/>
          <a:ext cx="6286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22225">
              <a:solidFill>
                <a:srgbClr xmlns:mc="http://schemas.openxmlformats.org/markup-compatibility/2006" val="FF0000" mc:Ignorable="a14" a14:legacySpreadsheetColorIndex="1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fld id="{6E8A5992-0718-4AE7-B3CB-554A1ED65994}" type="TxLink">
            <a:rPr lang="en-US" altLang="en-US" sz="800" b="0" i="0" u="none" strike="noStrike" baseline="0">
              <a:solidFill>
                <a:srgbClr val="FF0000"/>
              </a:solidFill>
              <a:latin typeface="GulimChe" panose="020B0609000101010101" pitchFamily="49" charset="-127"/>
              <a:ea typeface="GulimChe" panose="020B0609000101010101" pitchFamily="49" charset="-127"/>
            </a:rPr>
            <a:pPr algn="ctr" rtl="0">
              <a:defRPr sz="1000"/>
            </a:pPr>
            <a:t>26.07.14</a:t>
          </a:fld>
          <a:endParaRPr lang="ja-JP" altLang="en-US" sz="800" b="0" i="0" u="none" strike="noStrike" baseline="0">
            <a:solidFill>
              <a:srgbClr val="FF0000"/>
            </a:solidFill>
            <a:latin typeface="GulimChe" panose="020B0609000101010101" pitchFamily="49" charset="-127"/>
            <a:ea typeface="GulimChe" panose="020B0609000101010101" pitchFamily="49" charset="-127"/>
          </a:endParaRPr>
        </a:p>
      </xdr:txBody>
    </xdr:sp>
    <xdr:clientData/>
  </xdr:twoCellAnchor>
  <xdr:twoCellAnchor>
    <xdr:from>
      <xdr:col>32</xdr:col>
      <xdr:colOff>28575</xdr:colOff>
      <xdr:row>11</xdr:row>
      <xdr:rowOff>57150</xdr:rowOff>
    </xdr:from>
    <xdr:to>
      <xdr:col>35</xdr:col>
      <xdr:colOff>171450</xdr:colOff>
      <xdr:row>15</xdr:row>
      <xdr:rowOff>114300</xdr:rowOff>
    </xdr:to>
    <xdr:sp macro="" textlink="">
      <xdr:nvSpPr>
        <xdr:cNvPr id="5" name="stp_circle">
          <a:extLst>
            <a:ext uri="{FF2B5EF4-FFF2-40B4-BE49-F238E27FC236}">
              <a16:creationId xmlns:a16="http://schemas.microsoft.com/office/drawing/2014/main" id="{5964726B-4876-4E41-934C-3D134F104A90}"/>
            </a:ext>
          </a:extLst>
        </xdr:cNvPr>
        <xdr:cNvSpPr>
          <a:spLocks noChangeAspect="1" noChangeArrowheads="1"/>
        </xdr:cNvSpPr>
      </xdr:nvSpPr>
      <xdr:spPr bwMode="auto">
        <a:xfrm>
          <a:off x="6362700" y="2381250"/>
          <a:ext cx="714375" cy="7429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32</xdr:col>
      <xdr:colOff>47625</xdr:colOff>
      <xdr:row>13</xdr:row>
      <xdr:rowOff>0</xdr:rowOff>
    </xdr:from>
    <xdr:to>
      <xdr:col>35</xdr:col>
      <xdr:colOff>152400</xdr:colOff>
      <xdr:row>13</xdr:row>
      <xdr:rowOff>0</xdr:rowOff>
    </xdr:to>
    <xdr:sp macro="" textlink="">
      <xdr:nvSpPr>
        <xdr:cNvPr id="6" name="stp_topline">
          <a:extLst>
            <a:ext uri="{FF2B5EF4-FFF2-40B4-BE49-F238E27FC236}">
              <a16:creationId xmlns:a16="http://schemas.microsoft.com/office/drawing/2014/main" id="{7C118B92-96BC-4A3F-AD35-64DF5C0ECA65}"/>
            </a:ext>
          </a:extLst>
        </xdr:cNvPr>
        <xdr:cNvSpPr>
          <a:spLocks noChangeShapeType="1"/>
        </xdr:cNvSpPr>
      </xdr:nvSpPr>
      <xdr:spPr bwMode="auto">
        <a:xfrm>
          <a:off x="6381750" y="26670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47625</xdr:colOff>
      <xdr:row>14</xdr:row>
      <xdr:rowOff>19050</xdr:rowOff>
    </xdr:from>
    <xdr:to>
      <xdr:col>35</xdr:col>
      <xdr:colOff>152400</xdr:colOff>
      <xdr:row>14</xdr:row>
      <xdr:rowOff>19050</xdr:rowOff>
    </xdr:to>
    <xdr:sp macro="" textlink="">
      <xdr:nvSpPr>
        <xdr:cNvPr id="7" name="stp_btmline">
          <a:extLst>
            <a:ext uri="{FF2B5EF4-FFF2-40B4-BE49-F238E27FC236}">
              <a16:creationId xmlns:a16="http://schemas.microsoft.com/office/drawing/2014/main" id="{7BB912B3-740A-47BF-97E4-9AFF389122D2}"/>
            </a:ext>
          </a:extLst>
        </xdr:cNvPr>
        <xdr:cNvSpPr>
          <a:spLocks noChangeShapeType="1"/>
        </xdr:cNvSpPr>
      </xdr:nvSpPr>
      <xdr:spPr bwMode="auto">
        <a:xfrm>
          <a:off x="6381750" y="28575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190500</xdr:colOff>
      <xdr:row>11</xdr:row>
      <xdr:rowOff>95250</xdr:rowOff>
    </xdr:from>
    <xdr:to>
      <xdr:col>36</xdr:col>
      <xdr:colOff>0</xdr:colOff>
      <xdr:row>13</xdr:row>
      <xdr:rowOff>9525</xdr:rowOff>
    </xdr:to>
    <xdr:sp macro="" textlink="">
      <xdr:nvSpPr>
        <xdr:cNvPr id="8" name="stp_lastname">
          <a:extLst>
            <a:ext uri="{FF2B5EF4-FFF2-40B4-BE49-F238E27FC236}">
              <a16:creationId xmlns:a16="http://schemas.microsoft.com/office/drawing/2014/main" id="{D037F64A-3021-4237-A74E-4E45C738CA37}"/>
            </a:ext>
          </a:extLst>
        </xdr:cNvPr>
        <xdr:cNvSpPr txBox="1">
          <a:spLocks noChangeArrowheads="1"/>
        </xdr:cNvSpPr>
      </xdr:nvSpPr>
      <xdr:spPr bwMode="auto">
        <a:xfrm>
          <a:off x="6324600" y="24193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ｻｰﾋﾞｽ</a:t>
          </a:r>
        </a:p>
      </xdr:txBody>
    </xdr:sp>
    <xdr:clientData/>
  </xdr:twoCellAnchor>
  <xdr:twoCellAnchor>
    <xdr:from>
      <xdr:col>31</xdr:col>
      <xdr:colOff>190500</xdr:colOff>
      <xdr:row>14</xdr:row>
      <xdr:rowOff>0</xdr:rowOff>
    </xdr:from>
    <xdr:to>
      <xdr:col>36</xdr:col>
      <xdr:colOff>0</xdr:colOff>
      <xdr:row>15</xdr:row>
      <xdr:rowOff>85725</xdr:rowOff>
    </xdr:to>
    <xdr:sp macro="" textlink="">
      <xdr:nvSpPr>
        <xdr:cNvPr id="9" name="stp_firstname">
          <a:extLst>
            <a:ext uri="{FF2B5EF4-FFF2-40B4-BE49-F238E27FC236}">
              <a16:creationId xmlns:a16="http://schemas.microsoft.com/office/drawing/2014/main" id="{A13831B6-03CA-4E69-96E1-6C38F2CD5659}"/>
            </a:ext>
          </a:extLst>
        </xdr:cNvPr>
        <xdr:cNvSpPr txBox="1">
          <a:spLocks noChangeArrowheads="1"/>
        </xdr:cNvSpPr>
      </xdr:nvSpPr>
      <xdr:spPr bwMode="auto">
        <a:xfrm>
          <a:off x="6324600" y="28384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山田</a:t>
          </a:r>
        </a:p>
      </xdr:txBody>
    </xdr:sp>
    <xdr:clientData/>
  </xdr:twoCellAnchor>
  <xdr:twoCellAnchor>
    <xdr:from>
      <xdr:col>32</xdr:col>
      <xdr:colOff>28575</xdr:colOff>
      <xdr:row>11</xdr:row>
      <xdr:rowOff>57150</xdr:rowOff>
    </xdr:from>
    <xdr:to>
      <xdr:col>35</xdr:col>
      <xdr:colOff>171450</xdr:colOff>
      <xdr:row>15</xdr:row>
      <xdr:rowOff>114300</xdr:rowOff>
    </xdr:to>
    <xdr:sp macro="" textlink="">
      <xdr:nvSpPr>
        <xdr:cNvPr id="10" name="stp_circle">
          <a:extLst>
            <a:ext uri="{FF2B5EF4-FFF2-40B4-BE49-F238E27FC236}">
              <a16:creationId xmlns:a16="http://schemas.microsoft.com/office/drawing/2014/main" id="{9FE0DAAA-5AFD-43DE-BC3A-015CE597F996}"/>
            </a:ext>
          </a:extLst>
        </xdr:cNvPr>
        <xdr:cNvSpPr>
          <a:spLocks noChangeAspect="1" noChangeArrowheads="1"/>
        </xdr:cNvSpPr>
      </xdr:nvSpPr>
      <xdr:spPr bwMode="auto">
        <a:xfrm>
          <a:off x="6362700" y="2381250"/>
          <a:ext cx="714375" cy="7429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32</xdr:col>
      <xdr:colOff>47625</xdr:colOff>
      <xdr:row>13</xdr:row>
      <xdr:rowOff>0</xdr:rowOff>
    </xdr:from>
    <xdr:to>
      <xdr:col>35</xdr:col>
      <xdr:colOff>152400</xdr:colOff>
      <xdr:row>13</xdr:row>
      <xdr:rowOff>0</xdr:rowOff>
    </xdr:to>
    <xdr:sp macro="" textlink="">
      <xdr:nvSpPr>
        <xdr:cNvPr id="11" name="stp_topline">
          <a:extLst>
            <a:ext uri="{FF2B5EF4-FFF2-40B4-BE49-F238E27FC236}">
              <a16:creationId xmlns:a16="http://schemas.microsoft.com/office/drawing/2014/main" id="{B6090065-BABF-4D8C-814C-ABAC1428CC27}"/>
            </a:ext>
          </a:extLst>
        </xdr:cNvPr>
        <xdr:cNvSpPr>
          <a:spLocks noChangeShapeType="1"/>
        </xdr:cNvSpPr>
      </xdr:nvSpPr>
      <xdr:spPr bwMode="auto">
        <a:xfrm>
          <a:off x="6381750" y="26670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47625</xdr:colOff>
      <xdr:row>14</xdr:row>
      <xdr:rowOff>19050</xdr:rowOff>
    </xdr:from>
    <xdr:to>
      <xdr:col>35</xdr:col>
      <xdr:colOff>152400</xdr:colOff>
      <xdr:row>14</xdr:row>
      <xdr:rowOff>19050</xdr:rowOff>
    </xdr:to>
    <xdr:sp macro="" textlink="">
      <xdr:nvSpPr>
        <xdr:cNvPr id="12" name="stp_btmline">
          <a:extLst>
            <a:ext uri="{FF2B5EF4-FFF2-40B4-BE49-F238E27FC236}">
              <a16:creationId xmlns:a16="http://schemas.microsoft.com/office/drawing/2014/main" id="{0AB7F7E3-555F-4821-A639-BC5BDB81C5EE}"/>
            </a:ext>
          </a:extLst>
        </xdr:cNvPr>
        <xdr:cNvSpPr>
          <a:spLocks noChangeShapeType="1"/>
        </xdr:cNvSpPr>
      </xdr:nvSpPr>
      <xdr:spPr bwMode="auto">
        <a:xfrm>
          <a:off x="6381750" y="28575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190500</xdr:colOff>
      <xdr:row>11</xdr:row>
      <xdr:rowOff>95250</xdr:rowOff>
    </xdr:from>
    <xdr:to>
      <xdr:col>36</xdr:col>
      <xdr:colOff>0</xdr:colOff>
      <xdr:row>13</xdr:row>
      <xdr:rowOff>9525</xdr:rowOff>
    </xdr:to>
    <xdr:sp macro="" textlink="">
      <xdr:nvSpPr>
        <xdr:cNvPr id="13" name="stp_lastname">
          <a:extLst>
            <a:ext uri="{FF2B5EF4-FFF2-40B4-BE49-F238E27FC236}">
              <a16:creationId xmlns:a16="http://schemas.microsoft.com/office/drawing/2014/main" id="{763486D3-9DF7-4B7E-94AD-8212865468F6}"/>
            </a:ext>
          </a:extLst>
        </xdr:cNvPr>
        <xdr:cNvSpPr txBox="1">
          <a:spLocks noChangeArrowheads="1"/>
        </xdr:cNvSpPr>
      </xdr:nvSpPr>
      <xdr:spPr bwMode="auto">
        <a:xfrm>
          <a:off x="6324600" y="24193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ｻｰﾋﾞｽ</a:t>
          </a:r>
        </a:p>
      </xdr:txBody>
    </xdr:sp>
    <xdr:clientData/>
  </xdr:twoCellAnchor>
  <xdr:twoCellAnchor>
    <xdr:from>
      <xdr:col>31</xdr:col>
      <xdr:colOff>190500</xdr:colOff>
      <xdr:row>14</xdr:row>
      <xdr:rowOff>0</xdr:rowOff>
    </xdr:from>
    <xdr:to>
      <xdr:col>36</xdr:col>
      <xdr:colOff>0</xdr:colOff>
      <xdr:row>15</xdr:row>
      <xdr:rowOff>85725</xdr:rowOff>
    </xdr:to>
    <xdr:sp macro="" textlink="">
      <xdr:nvSpPr>
        <xdr:cNvPr id="14" name="stp_firstname">
          <a:extLst>
            <a:ext uri="{FF2B5EF4-FFF2-40B4-BE49-F238E27FC236}">
              <a16:creationId xmlns:a16="http://schemas.microsoft.com/office/drawing/2014/main" id="{6BD37E2A-A66E-41D0-9B47-A8C5C18D04F2}"/>
            </a:ext>
          </a:extLst>
        </xdr:cNvPr>
        <xdr:cNvSpPr txBox="1">
          <a:spLocks noChangeArrowheads="1"/>
        </xdr:cNvSpPr>
      </xdr:nvSpPr>
      <xdr:spPr bwMode="auto">
        <a:xfrm>
          <a:off x="6324600" y="28384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山田</a:t>
          </a:r>
        </a:p>
      </xdr:txBody>
    </xdr:sp>
    <xdr:clientData/>
  </xdr:twoCellAnchor>
  <xdr:twoCellAnchor>
    <xdr:from>
      <xdr:col>32</xdr:col>
      <xdr:colOff>85725</xdr:colOff>
      <xdr:row>13</xdr:row>
      <xdr:rowOff>0</xdr:rowOff>
    </xdr:from>
    <xdr:to>
      <xdr:col>35</xdr:col>
      <xdr:colOff>114300</xdr:colOff>
      <xdr:row>14</xdr:row>
      <xdr:rowOff>19050</xdr:rowOff>
    </xdr:to>
    <xdr:sp macro="" textlink="サマリデータ!C12">
      <xdr:nvSpPr>
        <xdr:cNvPr id="15" name="stp_date">
          <a:extLst>
            <a:ext uri="{FF2B5EF4-FFF2-40B4-BE49-F238E27FC236}">
              <a16:creationId xmlns:a16="http://schemas.microsoft.com/office/drawing/2014/main" id="{EB029356-A547-4875-A9F2-E9480F733B49}"/>
            </a:ext>
          </a:extLst>
        </xdr:cNvPr>
        <xdr:cNvSpPr>
          <a:spLocks noChangeArrowheads="1"/>
        </xdr:cNvSpPr>
      </xdr:nvSpPr>
      <xdr:spPr bwMode="auto">
        <a:xfrm>
          <a:off x="6419850" y="2667000"/>
          <a:ext cx="6286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22225">
              <a:solidFill>
                <a:srgbClr xmlns:mc="http://schemas.openxmlformats.org/markup-compatibility/2006" val="FF0000" mc:Ignorable="a14" a14:legacySpreadsheetColorIndex="1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fld id="{6E8A5992-0718-4AE7-B3CB-554A1ED65994}" type="TxLink">
            <a:rPr lang="en-US" altLang="en-US" sz="800" b="0" i="0" u="none" strike="noStrike" baseline="0">
              <a:solidFill>
                <a:srgbClr val="FF0000"/>
              </a:solidFill>
              <a:latin typeface="GulimChe" panose="020B0609000101010101" pitchFamily="49" charset="-127"/>
              <a:ea typeface="GulimChe" panose="020B0609000101010101" pitchFamily="49" charset="-127"/>
            </a:rPr>
            <a:pPr algn="ctr" rtl="0">
              <a:defRPr sz="1000"/>
            </a:pPr>
            <a:t>26.07.14</a:t>
          </a:fld>
          <a:endParaRPr lang="ja-JP" altLang="en-US" sz="800" b="0" i="0" u="none" strike="noStrike" baseline="0">
            <a:solidFill>
              <a:srgbClr val="FF0000"/>
            </a:solidFill>
            <a:latin typeface="GulimChe" panose="020B0609000101010101" pitchFamily="49" charset="-127"/>
            <a:ea typeface="GulimChe" panose="020B0609000101010101" pitchFamily="49" charset="-127"/>
          </a:endParaRPr>
        </a:p>
      </xdr:txBody>
    </xdr:sp>
    <xdr:clientData/>
  </xdr:twoCellAnchor>
  <xdr:twoCellAnchor>
    <xdr:from>
      <xdr:col>32</xdr:col>
      <xdr:colOff>28575</xdr:colOff>
      <xdr:row>11</xdr:row>
      <xdr:rowOff>57150</xdr:rowOff>
    </xdr:from>
    <xdr:to>
      <xdr:col>35</xdr:col>
      <xdr:colOff>171450</xdr:colOff>
      <xdr:row>15</xdr:row>
      <xdr:rowOff>114300</xdr:rowOff>
    </xdr:to>
    <xdr:sp macro="" textlink="">
      <xdr:nvSpPr>
        <xdr:cNvPr id="16" name="stp_circle">
          <a:extLst>
            <a:ext uri="{FF2B5EF4-FFF2-40B4-BE49-F238E27FC236}">
              <a16:creationId xmlns:a16="http://schemas.microsoft.com/office/drawing/2014/main" id="{6C09DE0D-179E-4973-B3ED-ABF1173158ED}"/>
            </a:ext>
          </a:extLst>
        </xdr:cNvPr>
        <xdr:cNvSpPr>
          <a:spLocks noChangeAspect="1" noChangeArrowheads="1"/>
        </xdr:cNvSpPr>
      </xdr:nvSpPr>
      <xdr:spPr bwMode="auto">
        <a:xfrm>
          <a:off x="6362700" y="2381250"/>
          <a:ext cx="714375" cy="7429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32</xdr:col>
      <xdr:colOff>47625</xdr:colOff>
      <xdr:row>13</xdr:row>
      <xdr:rowOff>0</xdr:rowOff>
    </xdr:from>
    <xdr:to>
      <xdr:col>35</xdr:col>
      <xdr:colOff>152400</xdr:colOff>
      <xdr:row>13</xdr:row>
      <xdr:rowOff>0</xdr:rowOff>
    </xdr:to>
    <xdr:sp macro="" textlink="">
      <xdr:nvSpPr>
        <xdr:cNvPr id="17" name="stp_topline">
          <a:extLst>
            <a:ext uri="{FF2B5EF4-FFF2-40B4-BE49-F238E27FC236}">
              <a16:creationId xmlns:a16="http://schemas.microsoft.com/office/drawing/2014/main" id="{B9EAB53B-A6C6-42B5-BF7F-BA7CD68D5DE4}"/>
            </a:ext>
          </a:extLst>
        </xdr:cNvPr>
        <xdr:cNvSpPr>
          <a:spLocks noChangeShapeType="1"/>
        </xdr:cNvSpPr>
      </xdr:nvSpPr>
      <xdr:spPr bwMode="auto">
        <a:xfrm>
          <a:off x="6381750" y="26670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47625</xdr:colOff>
      <xdr:row>14</xdr:row>
      <xdr:rowOff>19050</xdr:rowOff>
    </xdr:from>
    <xdr:to>
      <xdr:col>35</xdr:col>
      <xdr:colOff>152400</xdr:colOff>
      <xdr:row>14</xdr:row>
      <xdr:rowOff>19050</xdr:rowOff>
    </xdr:to>
    <xdr:sp macro="" textlink="">
      <xdr:nvSpPr>
        <xdr:cNvPr id="18" name="stp_btmline">
          <a:extLst>
            <a:ext uri="{FF2B5EF4-FFF2-40B4-BE49-F238E27FC236}">
              <a16:creationId xmlns:a16="http://schemas.microsoft.com/office/drawing/2014/main" id="{A7940669-4A6B-4931-8A73-8EC8AAB96519}"/>
            </a:ext>
          </a:extLst>
        </xdr:cNvPr>
        <xdr:cNvSpPr>
          <a:spLocks noChangeShapeType="1"/>
        </xdr:cNvSpPr>
      </xdr:nvSpPr>
      <xdr:spPr bwMode="auto">
        <a:xfrm>
          <a:off x="6381750" y="28575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190500</xdr:colOff>
      <xdr:row>11</xdr:row>
      <xdr:rowOff>95250</xdr:rowOff>
    </xdr:from>
    <xdr:to>
      <xdr:col>36</xdr:col>
      <xdr:colOff>0</xdr:colOff>
      <xdr:row>13</xdr:row>
      <xdr:rowOff>9525</xdr:rowOff>
    </xdr:to>
    <xdr:sp macro="" textlink="">
      <xdr:nvSpPr>
        <xdr:cNvPr id="19" name="stp_lastname">
          <a:extLst>
            <a:ext uri="{FF2B5EF4-FFF2-40B4-BE49-F238E27FC236}">
              <a16:creationId xmlns:a16="http://schemas.microsoft.com/office/drawing/2014/main" id="{C8F57327-1F3A-4677-A3AC-7F134CED7507}"/>
            </a:ext>
          </a:extLst>
        </xdr:cNvPr>
        <xdr:cNvSpPr txBox="1">
          <a:spLocks noChangeArrowheads="1"/>
        </xdr:cNvSpPr>
      </xdr:nvSpPr>
      <xdr:spPr bwMode="auto">
        <a:xfrm>
          <a:off x="6324600" y="24193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ｻｰﾋﾞｽ</a:t>
          </a:r>
        </a:p>
      </xdr:txBody>
    </xdr:sp>
    <xdr:clientData/>
  </xdr:twoCellAnchor>
  <xdr:twoCellAnchor>
    <xdr:from>
      <xdr:col>31</xdr:col>
      <xdr:colOff>190500</xdr:colOff>
      <xdr:row>14</xdr:row>
      <xdr:rowOff>0</xdr:rowOff>
    </xdr:from>
    <xdr:to>
      <xdr:col>36</xdr:col>
      <xdr:colOff>0</xdr:colOff>
      <xdr:row>15</xdr:row>
      <xdr:rowOff>85725</xdr:rowOff>
    </xdr:to>
    <xdr:sp macro="" textlink="">
      <xdr:nvSpPr>
        <xdr:cNvPr id="20" name="stp_firstname">
          <a:extLst>
            <a:ext uri="{FF2B5EF4-FFF2-40B4-BE49-F238E27FC236}">
              <a16:creationId xmlns:a16="http://schemas.microsoft.com/office/drawing/2014/main" id="{654E7A6A-5531-4A2D-B8BD-40DA6294B934}"/>
            </a:ext>
          </a:extLst>
        </xdr:cNvPr>
        <xdr:cNvSpPr txBox="1">
          <a:spLocks noChangeArrowheads="1"/>
        </xdr:cNvSpPr>
      </xdr:nvSpPr>
      <xdr:spPr bwMode="auto">
        <a:xfrm>
          <a:off x="6324600" y="2838450"/>
          <a:ext cx="7524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FF0000"/>
              </a:solidFill>
              <a:latin typeface="HG正楷書体-PRO"/>
              <a:ea typeface="HG正楷書体-PRO"/>
            </a:rPr>
            <a:t>山田</a:t>
          </a:r>
        </a:p>
      </xdr:txBody>
    </xdr:sp>
    <xdr:clientData/>
  </xdr:twoCellAnchor>
  <xdr:twoCellAnchor>
    <xdr:from>
      <xdr:col>32</xdr:col>
      <xdr:colOff>28575</xdr:colOff>
      <xdr:row>11</xdr:row>
      <xdr:rowOff>57150</xdr:rowOff>
    </xdr:from>
    <xdr:to>
      <xdr:col>35</xdr:col>
      <xdr:colOff>171450</xdr:colOff>
      <xdr:row>15</xdr:row>
      <xdr:rowOff>114300</xdr:rowOff>
    </xdr:to>
    <xdr:sp macro="" textlink="">
      <xdr:nvSpPr>
        <xdr:cNvPr id="21" name="stp_circle">
          <a:extLst>
            <a:ext uri="{FF2B5EF4-FFF2-40B4-BE49-F238E27FC236}">
              <a16:creationId xmlns:a16="http://schemas.microsoft.com/office/drawing/2014/main" id="{4DFE7C78-2862-40E3-8469-7655B90507BB}"/>
            </a:ext>
          </a:extLst>
        </xdr:cNvPr>
        <xdr:cNvSpPr>
          <a:spLocks noChangeAspect="1" noChangeArrowheads="1"/>
        </xdr:cNvSpPr>
      </xdr:nvSpPr>
      <xdr:spPr bwMode="auto">
        <a:xfrm>
          <a:off x="6362700" y="2381250"/>
          <a:ext cx="714375" cy="7429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endParaRPr lang="ja-JP" altLang="en-US"/>
        </a:p>
      </xdr:txBody>
    </xdr:sp>
    <xdr:clientData/>
  </xdr:twoCellAnchor>
  <xdr:twoCellAnchor>
    <xdr:from>
      <xdr:col>32</xdr:col>
      <xdr:colOff>47625</xdr:colOff>
      <xdr:row>13</xdr:row>
      <xdr:rowOff>0</xdr:rowOff>
    </xdr:from>
    <xdr:to>
      <xdr:col>35</xdr:col>
      <xdr:colOff>152400</xdr:colOff>
      <xdr:row>13</xdr:row>
      <xdr:rowOff>0</xdr:rowOff>
    </xdr:to>
    <xdr:sp macro="" textlink="">
      <xdr:nvSpPr>
        <xdr:cNvPr id="22" name="stp_topline">
          <a:extLst>
            <a:ext uri="{FF2B5EF4-FFF2-40B4-BE49-F238E27FC236}">
              <a16:creationId xmlns:a16="http://schemas.microsoft.com/office/drawing/2014/main" id="{D6BABF07-3510-4223-9628-DE955F822944}"/>
            </a:ext>
          </a:extLst>
        </xdr:cNvPr>
        <xdr:cNvSpPr>
          <a:spLocks noChangeShapeType="1"/>
        </xdr:cNvSpPr>
      </xdr:nvSpPr>
      <xdr:spPr bwMode="auto">
        <a:xfrm>
          <a:off x="6381750" y="26670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47625</xdr:colOff>
      <xdr:row>14</xdr:row>
      <xdr:rowOff>19050</xdr:rowOff>
    </xdr:from>
    <xdr:to>
      <xdr:col>35</xdr:col>
      <xdr:colOff>152400</xdr:colOff>
      <xdr:row>14</xdr:row>
      <xdr:rowOff>19050</xdr:rowOff>
    </xdr:to>
    <xdr:sp macro="" textlink="">
      <xdr:nvSpPr>
        <xdr:cNvPr id="23" name="stp_btmline">
          <a:extLst>
            <a:ext uri="{FF2B5EF4-FFF2-40B4-BE49-F238E27FC236}">
              <a16:creationId xmlns:a16="http://schemas.microsoft.com/office/drawing/2014/main" id="{5E72D7A3-61F9-41DB-BDFE-0E03E0AE0D27}"/>
            </a:ext>
          </a:extLst>
        </xdr:cNvPr>
        <xdr:cNvSpPr>
          <a:spLocks noChangeShapeType="1"/>
        </xdr:cNvSpPr>
      </xdr:nvSpPr>
      <xdr:spPr bwMode="auto">
        <a:xfrm>
          <a:off x="6381750" y="2857500"/>
          <a:ext cx="695325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0000"/>
  </sheetPr>
  <dimension ref="A1:BR53"/>
  <sheetViews>
    <sheetView showGridLines="0" tabSelected="1" view="pageBreakPreview" zoomScaleNormal="100" zoomScaleSheetLayoutView="100" workbookViewId="0">
      <selection activeCell="I20" sqref="I20"/>
    </sheetView>
  </sheetViews>
  <sheetFormatPr defaultColWidth="2.625" defaultRowHeight="13.5" x14ac:dyDescent="0.15"/>
  <cols>
    <col min="1" max="1" width="1.75" style="37" customWidth="1"/>
    <col min="2" max="35" width="2.625" style="37" customWidth="1"/>
    <col min="36" max="36" width="1.875" style="37" customWidth="1"/>
    <col min="37" max="40" width="2.625" style="37"/>
    <col min="41" max="41" width="8.5" style="37" bestFit="1" customWidth="1"/>
    <col min="42" max="16384" width="2.625" style="37"/>
  </cols>
  <sheetData>
    <row r="1" spans="1:70" s="2" customFormat="1" ht="16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70" s="3" customFormat="1" ht="16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70" s="3" customFormat="1" ht="16.5" customHeight="1" thickBo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W3" s="4"/>
      <c r="AX3" s="4"/>
      <c r="AY3" s="4"/>
      <c r="AZ3" s="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</row>
    <row r="4" spans="1:70" s="3" customFormat="1" ht="16.5" customHeight="1" thickTop="1" x14ac:dyDescent="0.15">
      <c r="A4" s="1"/>
      <c r="B4" s="1"/>
      <c r="C4" s="1"/>
      <c r="I4" s="55" t="s">
        <v>24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1"/>
      <c r="AE4" s="1"/>
      <c r="AF4" s="1"/>
      <c r="AG4" s="1"/>
      <c r="AH4" s="1"/>
      <c r="AI4" s="1"/>
      <c r="AJ4" s="1"/>
      <c r="AW4" s="4"/>
      <c r="AX4" s="4"/>
      <c r="AY4" s="4"/>
      <c r="AZ4" s="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</row>
    <row r="5" spans="1:70" s="3" customFormat="1" ht="16.5" customHeight="1" x14ac:dyDescent="0.15">
      <c r="A5" s="1"/>
      <c r="B5" s="1"/>
      <c r="C5" s="1"/>
      <c r="D5" s="5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D5" s="1"/>
      <c r="AE5" s="1"/>
      <c r="AF5" s="1"/>
      <c r="AG5" s="1"/>
      <c r="AH5" s="1"/>
      <c r="AI5" s="1"/>
      <c r="AJ5" s="1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spans="1:70" s="3" customFormat="1" ht="16.5" customHeight="1" x14ac:dyDescent="0.15">
      <c r="A6" s="1"/>
      <c r="B6" s="1"/>
      <c r="C6" s="1"/>
      <c r="D6" s="5"/>
      <c r="I6" s="58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  <c r="AD6" s="1"/>
      <c r="AE6" s="1"/>
      <c r="AF6" s="1"/>
      <c r="AG6" s="1"/>
      <c r="AH6" s="1"/>
      <c r="AI6" s="1"/>
      <c r="AJ6" s="1"/>
      <c r="AW6" s="4"/>
      <c r="AX6" s="4"/>
      <c r="AY6" s="4"/>
      <c r="AZ6" s="4"/>
      <c r="BA6" s="54"/>
      <c r="BB6" s="54"/>
      <c r="BC6" s="54"/>
      <c r="BD6" s="54"/>
      <c r="BE6" s="54"/>
      <c r="BF6" s="54"/>
      <c r="BG6" s="54"/>
      <c r="BH6" s="54"/>
      <c r="BI6" s="54"/>
      <c r="BJ6" s="4"/>
      <c r="BK6" s="6"/>
      <c r="BL6" s="4"/>
      <c r="BM6" s="54"/>
      <c r="BN6" s="54"/>
      <c r="BO6" s="54"/>
      <c r="BP6" s="54"/>
      <c r="BQ6" s="54"/>
      <c r="BR6" s="54"/>
    </row>
    <row r="7" spans="1:70" s="3" customFormat="1" ht="16.5" customHeight="1" thickBot="1" x14ac:dyDescent="0.2">
      <c r="A7" s="1"/>
      <c r="B7" s="1"/>
      <c r="C7" s="1"/>
      <c r="D7" s="5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3"/>
      <c r="AD7" s="1"/>
      <c r="AE7" s="1"/>
      <c r="AF7" s="1"/>
      <c r="AG7" s="1"/>
      <c r="AH7" s="1"/>
      <c r="AI7" s="1"/>
      <c r="AJ7" s="1"/>
      <c r="AW7" s="4"/>
      <c r="AX7" s="4"/>
      <c r="AY7" s="4"/>
      <c r="AZ7" s="4"/>
      <c r="BA7" s="54"/>
      <c r="BB7" s="54"/>
      <c r="BC7" s="54"/>
      <c r="BD7" s="54"/>
      <c r="BE7" s="54"/>
      <c r="BF7" s="54"/>
      <c r="BG7" s="54"/>
      <c r="BH7" s="54"/>
      <c r="BI7" s="54"/>
      <c r="BJ7" s="4"/>
      <c r="BK7" s="6"/>
      <c r="BL7" s="4"/>
      <c r="BM7" s="54"/>
      <c r="BN7" s="54"/>
      <c r="BO7" s="54"/>
      <c r="BP7" s="54"/>
      <c r="BQ7" s="54"/>
      <c r="BR7" s="54"/>
    </row>
    <row r="8" spans="1:70" s="3" customFormat="1" ht="16.5" customHeight="1" thickTop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70" s="3" customFormat="1" ht="16.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70" s="3" customFormat="1" ht="16.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70" s="3" customFormat="1" ht="18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 t="s">
        <v>0</v>
      </c>
      <c r="V11" s="8"/>
      <c r="W11" s="8"/>
      <c r="X11" s="8"/>
      <c r="Y11" s="7" t="s">
        <v>1</v>
      </c>
      <c r="Z11" s="8"/>
      <c r="AA11" s="8"/>
      <c r="AB11" s="9"/>
      <c r="AC11" s="10" t="s">
        <v>2</v>
      </c>
      <c r="AD11" s="8"/>
      <c r="AE11" s="8"/>
      <c r="AF11" s="9"/>
      <c r="AG11" s="8" t="s">
        <v>3</v>
      </c>
      <c r="AH11" s="8"/>
      <c r="AI11" s="8"/>
      <c r="AJ11" s="9"/>
    </row>
    <row r="12" spans="1:70" s="3" customFormat="1" ht="13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1"/>
      <c r="V12" s="12"/>
      <c r="W12" s="12"/>
      <c r="X12" s="12"/>
      <c r="Y12" s="11"/>
      <c r="Z12" s="12"/>
      <c r="AA12" s="12"/>
      <c r="AB12" s="13"/>
      <c r="AC12" s="12"/>
      <c r="AD12" s="12"/>
      <c r="AE12" s="12"/>
      <c r="AF12" s="13"/>
      <c r="AG12" s="12"/>
      <c r="AH12" s="12"/>
      <c r="AI12" s="12"/>
      <c r="AJ12" s="13"/>
    </row>
    <row r="13" spans="1:70" s="3" customFormat="1" ht="13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1"/>
      <c r="V13" s="12"/>
      <c r="W13" s="12"/>
      <c r="X13" s="12"/>
      <c r="Y13" s="11"/>
      <c r="Z13" s="12"/>
      <c r="AA13" s="12"/>
      <c r="AB13" s="13"/>
      <c r="AC13" s="12"/>
      <c r="AD13" s="12"/>
      <c r="AE13" s="12"/>
      <c r="AF13" s="13"/>
      <c r="AG13" s="12"/>
      <c r="AH13" s="12"/>
      <c r="AI13" s="12"/>
      <c r="AJ13" s="13"/>
    </row>
    <row r="14" spans="1:70" s="3" customFormat="1" ht="13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4"/>
      <c r="V14" s="15"/>
      <c r="W14" s="15"/>
      <c r="X14" s="15"/>
      <c r="Y14" s="14"/>
      <c r="Z14" s="15"/>
      <c r="AA14" s="15"/>
      <c r="AB14" s="16"/>
      <c r="AC14" s="15"/>
      <c r="AD14" s="15"/>
      <c r="AE14" s="15"/>
      <c r="AF14" s="16"/>
      <c r="AG14" s="15"/>
      <c r="AH14" s="15"/>
      <c r="AI14" s="15"/>
      <c r="AJ14" s="16"/>
    </row>
    <row r="15" spans="1:70" s="3" customFormat="1" ht="13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4"/>
      <c r="V15" s="15"/>
      <c r="W15" s="15"/>
      <c r="X15" s="15"/>
      <c r="Y15" s="14"/>
      <c r="Z15" s="15"/>
      <c r="AA15" s="15"/>
      <c r="AB15" s="16"/>
      <c r="AC15" s="15"/>
      <c r="AD15" s="15"/>
      <c r="AE15" s="15"/>
      <c r="AF15" s="16"/>
      <c r="AG15" s="15"/>
      <c r="AH15" s="15"/>
      <c r="AI15" s="15"/>
      <c r="AJ15" s="16"/>
    </row>
    <row r="16" spans="1:70" s="3" customFormat="1" ht="13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7"/>
      <c r="V16" s="18"/>
      <c r="W16" s="18"/>
      <c r="X16" s="18"/>
      <c r="Y16" s="17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</row>
    <row r="17" spans="1:36" s="3" customFormat="1" ht="17.10000000000000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3" customFormat="1" ht="17.10000000000000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3" customFormat="1" ht="18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3" customFormat="1" ht="16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3" customFormat="1" ht="16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3" customFormat="1" ht="16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3" customFormat="1" ht="17.100000000000001" customHeight="1" x14ac:dyDescent="0.15">
      <c r="A23" s="1"/>
      <c r="B23" s="1"/>
      <c r="C23" s="1"/>
      <c r="D23" s="1"/>
      <c r="E23" s="1"/>
      <c r="F23" s="1"/>
      <c r="G23" s="1"/>
      <c r="H23" s="1"/>
      <c r="I23" s="20" t="s">
        <v>4</v>
      </c>
      <c r="J23" s="21"/>
      <c r="K23" s="21"/>
      <c r="L23" s="21"/>
      <c r="M23" s="21"/>
      <c r="N23" s="45" t="str">
        <f>IF(ISBLANK(サマリデータ!C2),"",サマリデータ!C2)</f>
        <v>田辺三菱製薬工場株式会社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7"/>
      <c r="AD23" s="1"/>
      <c r="AE23" s="1"/>
      <c r="AF23" s="1"/>
      <c r="AG23" s="1"/>
      <c r="AH23" s="1"/>
      <c r="AI23" s="1"/>
      <c r="AJ23" s="1"/>
    </row>
    <row r="24" spans="1:36" s="3" customFormat="1" ht="17.25" x14ac:dyDescent="0.15">
      <c r="A24" s="1"/>
      <c r="B24" s="1"/>
      <c r="C24" s="1"/>
      <c r="D24" s="1"/>
      <c r="E24" s="1"/>
      <c r="F24" s="1"/>
      <c r="G24" s="1"/>
      <c r="H24" s="1"/>
      <c r="I24" s="22" t="s">
        <v>5</v>
      </c>
      <c r="J24" s="21"/>
      <c r="K24" s="21"/>
      <c r="L24" s="21"/>
      <c r="M24" s="21"/>
      <c r="N24" s="48" t="str">
        <f>IF(ISBLANK(サマリデータ!C3),"",サマリデータ!C3)</f>
        <v>小野田工場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7"/>
      <c r="AD24" s="1"/>
      <c r="AE24" s="1"/>
      <c r="AF24" s="1"/>
      <c r="AG24" s="1"/>
      <c r="AH24" s="1"/>
      <c r="AI24" s="1"/>
      <c r="AJ24" s="1"/>
    </row>
    <row r="25" spans="1:36" s="3" customFormat="1" ht="16.5" customHeight="1" x14ac:dyDescent="0.15">
      <c r="A25" s="1"/>
      <c r="B25" s="1"/>
      <c r="C25" s="1"/>
      <c r="D25" s="1"/>
      <c r="E25" s="1"/>
      <c r="F25" s="1"/>
      <c r="G25" s="1"/>
      <c r="H25" s="1"/>
      <c r="I25" s="22" t="s">
        <v>6</v>
      </c>
      <c r="J25" s="21"/>
      <c r="K25" s="21"/>
      <c r="L25" s="21"/>
      <c r="M25" s="21"/>
      <c r="N25" s="48" t="str">
        <f>IF(ISBLANK(サマリデータ!C4),"",サマリデータ!C4)</f>
        <v>第三製剤棟自動倉庫システム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50"/>
      <c r="AD25" s="1"/>
      <c r="AE25" s="1"/>
      <c r="AF25" s="1"/>
      <c r="AG25" s="1"/>
      <c r="AH25" s="1"/>
      <c r="AI25" s="1"/>
      <c r="AJ25" s="1"/>
    </row>
    <row r="26" spans="1:36" s="3" customFormat="1" ht="16.5" customHeight="1" x14ac:dyDescent="0.15">
      <c r="A26" s="1"/>
      <c r="B26" s="1"/>
      <c r="C26" s="1"/>
      <c r="D26" s="1"/>
      <c r="E26" s="1"/>
      <c r="F26" s="1"/>
      <c r="G26" s="1"/>
      <c r="H26" s="1"/>
      <c r="I26" s="22" t="s">
        <v>7</v>
      </c>
      <c r="J26" s="21"/>
      <c r="K26" s="21"/>
      <c r="L26" s="21"/>
      <c r="M26" s="21"/>
      <c r="N26" s="51">
        <f>IF(ISBLANK(サマリデータ!C5),"",サマリデータ!C5)</f>
        <v>3500228</v>
      </c>
      <c r="O26" s="52"/>
      <c r="P26" s="52"/>
      <c r="Q26" s="52"/>
      <c r="R26" s="52"/>
      <c r="S26" s="53"/>
      <c r="T26" s="22" t="s">
        <v>8</v>
      </c>
      <c r="U26" s="23"/>
      <c r="V26" s="23"/>
      <c r="W26" s="23"/>
      <c r="X26" s="48" t="str">
        <f>IF(ISBLANK(サマリデータ!C6),"",サマリデータ!C6)</f>
        <v>山口CS</v>
      </c>
      <c r="Y26" s="49"/>
      <c r="Z26" s="49"/>
      <c r="AA26" s="49"/>
      <c r="AB26" s="49"/>
      <c r="AC26" s="50"/>
      <c r="AD26" s="1"/>
      <c r="AE26" s="1"/>
      <c r="AF26" s="1"/>
      <c r="AG26" s="1"/>
      <c r="AH26" s="1"/>
      <c r="AI26" s="1"/>
      <c r="AJ26" s="1"/>
    </row>
    <row r="27" spans="1:36" s="3" customFormat="1" ht="16.5" customHeight="1" x14ac:dyDescent="0.15">
      <c r="A27" s="1"/>
      <c r="B27" s="1"/>
      <c r="C27" s="1"/>
      <c r="D27" s="1"/>
      <c r="E27" s="1"/>
      <c r="F27" s="1"/>
      <c r="G27" s="1"/>
      <c r="H27" s="1"/>
      <c r="I27" s="24" t="s">
        <v>9</v>
      </c>
      <c r="J27" s="25"/>
      <c r="K27" s="25"/>
      <c r="L27" s="26" t="s">
        <v>10</v>
      </c>
      <c r="M27" s="27"/>
      <c r="N27" s="28" t="str">
        <f>IF(ISBLANK(サマリデータ!C7),"",サマリデータ!C7)</f>
        <v>10SC4561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0"/>
      <c r="AD27" s="1"/>
      <c r="AE27" s="1"/>
      <c r="AF27" s="1"/>
      <c r="AG27" s="1"/>
      <c r="AH27" s="1"/>
      <c r="AI27" s="1"/>
      <c r="AJ27" s="1"/>
    </row>
    <row r="28" spans="1:36" s="3" customFormat="1" ht="17.100000000000001" customHeight="1" x14ac:dyDescent="0.15">
      <c r="A28" s="1"/>
      <c r="B28" s="1"/>
      <c r="C28" s="1"/>
      <c r="D28" s="1"/>
      <c r="E28" s="1"/>
      <c r="F28" s="1"/>
      <c r="G28" s="1"/>
      <c r="H28" s="1"/>
      <c r="I28" s="31"/>
      <c r="J28" s="32"/>
      <c r="K28" s="32"/>
      <c r="L28" s="33" t="s">
        <v>11</v>
      </c>
      <c r="M28" s="34"/>
      <c r="N28" s="35" t="str">
        <f>IF(ISBLANK(サマリデータ!C8),"",サマリデータ!C8)</f>
        <v>10SC4571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6"/>
      <c r="AD28" s="1"/>
      <c r="AE28" s="1"/>
      <c r="AF28" s="1"/>
      <c r="AG28" s="1"/>
      <c r="AH28" s="1"/>
      <c r="AI28" s="1"/>
      <c r="AJ28" s="1"/>
    </row>
    <row r="29" spans="1:36" s="3" customFormat="1" ht="17.10000000000000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s="3" customFormat="1" ht="17.100000000000001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s="3" customFormat="1" ht="17.100000000000001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s="3" customFormat="1" ht="21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3" customFormat="1" ht="16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3" customFormat="1" ht="16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3" customFormat="1" ht="16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3" customFormat="1" ht="17.100000000000001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s="3" customFormat="1" ht="17.100000000000001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s="3" customFormat="1" ht="17.100000000000001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s="3" customFormat="1" ht="17.100000000000001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s="3" customFormat="1" ht="18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3" customFormat="1" ht="18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3" customFormat="1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3" customFormat="1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3" customFormat="1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s="3" customFormat="1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3" customFormat="1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s="3" customFormat="1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3" customFormat="1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s="3" customFormat="1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s="3" customFormat="1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s="3" customFormat="1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3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mergeCells count="12">
    <mergeCell ref="BA3:BR3"/>
    <mergeCell ref="I4:AC7"/>
    <mergeCell ref="BA4:BR4"/>
    <mergeCell ref="BA6:BI6"/>
    <mergeCell ref="BM6:BR6"/>
    <mergeCell ref="BA7:BI7"/>
    <mergeCell ref="BM7:BR7"/>
    <mergeCell ref="N23:AC23"/>
    <mergeCell ref="N24:AC24"/>
    <mergeCell ref="N25:AC25"/>
    <mergeCell ref="N26:S26"/>
    <mergeCell ref="X26:AC26"/>
  </mergeCells>
  <phoneticPr fontId="3"/>
  <pageMargins left="0.59055118110236227" right="0.47244094488188981" top="0.43307086614173229" bottom="0.39370078740157483" header="0.23622047244094491" footer="0.39370078740157483"/>
  <pageSetup paperSize="9" fitToHeight="0" orientation="portrait" r:id="rId1"/>
  <headerFooter alignWithMargins="0"/>
  <rowBreaks count="1" manualBreakCount="1">
    <brk id="6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00"/>
  </sheetPr>
  <dimension ref="A1:BR53"/>
  <sheetViews>
    <sheetView showGridLines="0" view="pageBreakPreview" zoomScaleNormal="100" zoomScaleSheetLayoutView="100" workbookViewId="0">
      <selection activeCell="AV17" sqref="AV17"/>
    </sheetView>
  </sheetViews>
  <sheetFormatPr defaultColWidth="2.625" defaultRowHeight="13.5" x14ac:dyDescent="0.15"/>
  <cols>
    <col min="1" max="1" width="1.75" style="37" customWidth="1"/>
    <col min="2" max="35" width="2.625" style="37" customWidth="1"/>
    <col min="36" max="36" width="1.875" style="37" customWidth="1"/>
    <col min="37" max="40" width="2.625" style="37"/>
    <col min="41" max="41" width="8.5" style="37" bestFit="1" customWidth="1"/>
    <col min="42" max="16384" width="2.625" style="37"/>
  </cols>
  <sheetData>
    <row r="1" spans="1:70" s="2" customFormat="1" ht="16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70" s="3" customFormat="1" ht="16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70" s="3" customFormat="1" ht="16.5" customHeight="1" thickBo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W3" s="4"/>
      <c r="AX3" s="4"/>
      <c r="AY3" s="4"/>
      <c r="AZ3" s="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</row>
    <row r="4" spans="1:70" s="3" customFormat="1" ht="16.5" customHeight="1" thickTop="1" x14ac:dyDescent="0.15">
      <c r="A4" s="1"/>
      <c r="B4" s="1"/>
      <c r="C4" s="1"/>
      <c r="I4" s="55" t="s">
        <v>12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1"/>
      <c r="AE4" s="1"/>
      <c r="AF4" s="1"/>
      <c r="AG4" s="1"/>
      <c r="AH4" s="1"/>
      <c r="AI4" s="1"/>
      <c r="AJ4" s="1"/>
      <c r="AW4" s="4"/>
      <c r="AX4" s="4"/>
      <c r="AY4" s="4"/>
      <c r="AZ4" s="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</row>
    <row r="5" spans="1:70" s="3" customFormat="1" ht="16.5" customHeight="1" x14ac:dyDescent="0.15">
      <c r="A5" s="1"/>
      <c r="B5" s="1"/>
      <c r="C5" s="1"/>
      <c r="D5" s="5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D5" s="1"/>
      <c r="AE5" s="1"/>
      <c r="AF5" s="1"/>
      <c r="AG5" s="1"/>
      <c r="AH5" s="1"/>
      <c r="AI5" s="1"/>
      <c r="AJ5" s="1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</row>
    <row r="6" spans="1:70" s="3" customFormat="1" ht="16.5" customHeight="1" x14ac:dyDescent="0.15">
      <c r="A6" s="1"/>
      <c r="B6" s="1"/>
      <c r="C6" s="1"/>
      <c r="D6" s="5"/>
      <c r="I6" s="58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  <c r="AD6" s="1"/>
      <c r="AE6" s="1"/>
      <c r="AF6" s="1"/>
      <c r="AG6" s="1"/>
      <c r="AH6" s="1"/>
      <c r="AI6" s="1"/>
      <c r="AJ6" s="1"/>
      <c r="AW6" s="4"/>
      <c r="AX6" s="4"/>
      <c r="AY6" s="4"/>
      <c r="AZ6" s="4"/>
      <c r="BA6" s="54"/>
      <c r="BB6" s="54"/>
      <c r="BC6" s="54"/>
      <c r="BD6" s="54"/>
      <c r="BE6" s="54"/>
      <c r="BF6" s="54"/>
      <c r="BG6" s="54"/>
      <c r="BH6" s="54"/>
      <c r="BI6" s="54"/>
      <c r="BJ6" s="4"/>
      <c r="BK6" s="6"/>
      <c r="BL6" s="4"/>
      <c r="BM6" s="54"/>
      <c r="BN6" s="54"/>
      <c r="BO6" s="54"/>
      <c r="BP6" s="54"/>
      <c r="BQ6" s="54"/>
      <c r="BR6" s="54"/>
    </row>
    <row r="7" spans="1:70" s="3" customFormat="1" ht="16.5" customHeight="1" thickBot="1" x14ac:dyDescent="0.2">
      <c r="A7" s="1"/>
      <c r="B7" s="1"/>
      <c r="C7" s="1"/>
      <c r="D7" s="5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3"/>
      <c r="AD7" s="1"/>
      <c r="AE7" s="1"/>
      <c r="AF7" s="1"/>
      <c r="AG7" s="1"/>
      <c r="AH7" s="1"/>
      <c r="AI7" s="1"/>
      <c r="AJ7" s="1"/>
      <c r="AW7" s="4"/>
      <c r="AX7" s="4"/>
      <c r="AY7" s="4"/>
      <c r="AZ7" s="4"/>
      <c r="BA7" s="54"/>
      <c r="BB7" s="54"/>
      <c r="BC7" s="54"/>
      <c r="BD7" s="54"/>
      <c r="BE7" s="54"/>
      <c r="BF7" s="54"/>
      <c r="BG7" s="54"/>
      <c r="BH7" s="54"/>
      <c r="BI7" s="54"/>
      <c r="BJ7" s="4"/>
      <c r="BK7" s="6"/>
      <c r="BL7" s="4"/>
      <c r="BM7" s="54"/>
      <c r="BN7" s="54"/>
      <c r="BO7" s="54"/>
      <c r="BP7" s="54"/>
      <c r="BQ7" s="54"/>
      <c r="BR7" s="54"/>
    </row>
    <row r="8" spans="1:70" s="3" customFormat="1" ht="16.5" customHeight="1" thickTop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70" s="3" customFormat="1" ht="16.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70" s="3" customFormat="1" ht="16.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70" s="3" customFormat="1" ht="18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 t="s">
        <v>0</v>
      </c>
      <c r="V11" s="8"/>
      <c r="W11" s="8"/>
      <c r="X11" s="8"/>
      <c r="Y11" s="7" t="s">
        <v>1</v>
      </c>
      <c r="Z11" s="8"/>
      <c r="AA11" s="8"/>
      <c r="AB11" s="9"/>
      <c r="AC11" s="10" t="s">
        <v>2</v>
      </c>
      <c r="AD11" s="8"/>
      <c r="AE11" s="8"/>
      <c r="AF11" s="9"/>
      <c r="AG11" s="8" t="s">
        <v>3</v>
      </c>
      <c r="AH11" s="8"/>
      <c r="AI11" s="8"/>
      <c r="AJ11" s="9"/>
    </row>
    <row r="12" spans="1:70" s="3" customFormat="1" ht="13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1"/>
      <c r="V12" s="12"/>
      <c r="W12" s="12"/>
      <c r="X12" s="12"/>
      <c r="Y12" s="11"/>
      <c r="Z12" s="12"/>
      <c r="AA12" s="12"/>
      <c r="AB12" s="13"/>
      <c r="AC12" s="12"/>
      <c r="AD12" s="12"/>
      <c r="AE12" s="12"/>
      <c r="AF12" s="13"/>
      <c r="AG12" s="12"/>
      <c r="AH12" s="12"/>
      <c r="AI12" s="12"/>
      <c r="AJ12" s="13"/>
    </row>
    <row r="13" spans="1:70" s="3" customFormat="1" ht="13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1"/>
      <c r="V13" s="12"/>
      <c r="W13" s="12"/>
      <c r="X13" s="12"/>
      <c r="Y13" s="11"/>
      <c r="Z13" s="12"/>
      <c r="AA13" s="12"/>
      <c r="AB13" s="13"/>
      <c r="AC13" s="12"/>
      <c r="AD13" s="12"/>
      <c r="AE13" s="12"/>
      <c r="AF13" s="13"/>
      <c r="AG13" s="12"/>
      <c r="AH13" s="12"/>
      <c r="AI13" s="12"/>
      <c r="AJ13" s="13"/>
    </row>
    <row r="14" spans="1:70" s="3" customFormat="1" ht="13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4"/>
      <c r="V14" s="15"/>
      <c r="W14" s="15"/>
      <c r="X14" s="15"/>
      <c r="Y14" s="14"/>
      <c r="Z14" s="15"/>
      <c r="AA14" s="15"/>
      <c r="AB14" s="16"/>
      <c r="AC14" s="15"/>
      <c r="AD14" s="15"/>
      <c r="AE14" s="15"/>
      <c r="AF14" s="16"/>
      <c r="AG14" s="15"/>
      <c r="AH14" s="15"/>
      <c r="AI14" s="15"/>
      <c r="AJ14" s="16"/>
    </row>
    <row r="15" spans="1:70" s="3" customFormat="1" ht="13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4"/>
      <c r="V15" s="15"/>
      <c r="W15" s="15"/>
      <c r="X15" s="15"/>
      <c r="Y15" s="14"/>
      <c r="Z15" s="15"/>
      <c r="AA15" s="15"/>
      <c r="AB15" s="16"/>
      <c r="AC15" s="15"/>
      <c r="AD15" s="15"/>
      <c r="AE15" s="15"/>
      <c r="AF15" s="16"/>
      <c r="AG15" s="15"/>
      <c r="AH15" s="15"/>
      <c r="AI15" s="15"/>
      <c r="AJ15" s="16"/>
    </row>
    <row r="16" spans="1:70" s="3" customFormat="1" ht="13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7"/>
      <c r="V16" s="18"/>
      <c r="W16" s="18"/>
      <c r="X16" s="18"/>
      <c r="Y16" s="17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</row>
    <row r="17" spans="1:36" s="3" customFormat="1" ht="17.10000000000000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3" customFormat="1" ht="17.10000000000000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3" customFormat="1" ht="18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3" customFormat="1" ht="16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3" customFormat="1" ht="16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3" customFormat="1" ht="16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3" customFormat="1" ht="17.100000000000001" customHeight="1" x14ac:dyDescent="0.15">
      <c r="A23" s="1"/>
      <c r="B23" s="1"/>
      <c r="C23" s="1"/>
      <c r="D23" s="1"/>
      <c r="E23" s="1"/>
      <c r="F23" s="1"/>
      <c r="G23" s="1"/>
      <c r="H23" s="1"/>
      <c r="I23" s="20" t="s">
        <v>4</v>
      </c>
      <c r="J23" s="21"/>
      <c r="K23" s="21"/>
      <c r="L23" s="21"/>
      <c r="M23" s="21"/>
      <c r="N23" s="45" t="str">
        <f>IF(ISBLANK(サマリデータ!C2),"",サマリデータ!C2)</f>
        <v>田辺三菱製薬工場株式会社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7"/>
      <c r="AD23" s="1"/>
      <c r="AE23" s="1"/>
      <c r="AF23" s="1"/>
      <c r="AG23" s="1"/>
      <c r="AH23" s="1"/>
      <c r="AI23" s="1"/>
      <c r="AJ23" s="1"/>
    </row>
    <row r="24" spans="1:36" s="3" customFormat="1" ht="17.25" x14ac:dyDescent="0.15">
      <c r="A24" s="1"/>
      <c r="B24" s="1"/>
      <c r="C24" s="1"/>
      <c r="D24" s="1"/>
      <c r="E24" s="1"/>
      <c r="F24" s="1"/>
      <c r="G24" s="1"/>
      <c r="H24" s="1"/>
      <c r="I24" s="22" t="s">
        <v>5</v>
      </c>
      <c r="J24" s="21"/>
      <c r="K24" s="21"/>
      <c r="L24" s="21"/>
      <c r="M24" s="21"/>
      <c r="N24" s="48" t="str">
        <f>IF(ISBLANK(サマリデータ!C3),"",サマリデータ!C3)</f>
        <v>小野田工場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7"/>
      <c r="AD24" s="1"/>
      <c r="AE24" s="1"/>
      <c r="AF24" s="1"/>
      <c r="AG24" s="1"/>
      <c r="AH24" s="1"/>
      <c r="AI24" s="1"/>
      <c r="AJ24" s="1"/>
    </row>
    <row r="25" spans="1:36" s="3" customFormat="1" ht="16.5" customHeight="1" x14ac:dyDescent="0.15">
      <c r="A25" s="1"/>
      <c r="B25" s="1"/>
      <c r="C25" s="1"/>
      <c r="D25" s="1"/>
      <c r="E25" s="1"/>
      <c r="F25" s="1"/>
      <c r="G25" s="1"/>
      <c r="H25" s="1"/>
      <c r="I25" s="22" t="s">
        <v>6</v>
      </c>
      <c r="J25" s="21"/>
      <c r="K25" s="21"/>
      <c r="L25" s="21"/>
      <c r="M25" s="21"/>
      <c r="N25" s="48" t="str">
        <f>IF(ISBLANK(サマリデータ!C4),"",サマリデータ!C4)</f>
        <v>第三製剤棟自動倉庫システム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50"/>
      <c r="AD25" s="1"/>
      <c r="AE25" s="1"/>
      <c r="AF25" s="1"/>
      <c r="AG25" s="1"/>
      <c r="AH25" s="1"/>
      <c r="AI25" s="1"/>
      <c r="AJ25" s="1"/>
    </row>
    <row r="26" spans="1:36" s="3" customFormat="1" ht="16.5" customHeight="1" x14ac:dyDescent="0.15">
      <c r="A26" s="1"/>
      <c r="B26" s="1"/>
      <c r="C26" s="1"/>
      <c r="D26" s="1"/>
      <c r="E26" s="1"/>
      <c r="F26" s="1"/>
      <c r="G26" s="1"/>
      <c r="H26" s="1"/>
      <c r="I26" s="22" t="s">
        <v>7</v>
      </c>
      <c r="J26" s="21"/>
      <c r="K26" s="21"/>
      <c r="L26" s="21"/>
      <c r="M26" s="21"/>
      <c r="N26" s="51">
        <f>IF(ISBLANK(サマリデータ!C5),"",サマリデータ!C5)</f>
        <v>3500228</v>
      </c>
      <c r="O26" s="52"/>
      <c r="P26" s="52"/>
      <c r="Q26" s="52"/>
      <c r="R26" s="52"/>
      <c r="S26" s="53"/>
      <c r="T26" s="22" t="s">
        <v>8</v>
      </c>
      <c r="U26" s="23"/>
      <c r="V26" s="23"/>
      <c r="W26" s="23"/>
      <c r="X26" s="48" t="str">
        <f>IF(ISBLANK(サマリデータ!C6),"",サマリデータ!C6)</f>
        <v>山口CS</v>
      </c>
      <c r="Y26" s="49"/>
      <c r="Z26" s="49"/>
      <c r="AA26" s="49"/>
      <c r="AB26" s="49"/>
      <c r="AC26" s="50"/>
      <c r="AD26" s="1"/>
      <c r="AE26" s="1"/>
      <c r="AF26" s="1"/>
      <c r="AG26" s="1"/>
      <c r="AH26" s="1"/>
      <c r="AI26" s="1"/>
      <c r="AJ26" s="1"/>
    </row>
    <row r="27" spans="1:36" s="3" customFormat="1" ht="16.5" customHeight="1" x14ac:dyDescent="0.15">
      <c r="A27" s="1"/>
      <c r="B27" s="1"/>
      <c r="C27" s="1"/>
      <c r="D27" s="1"/>
      <c r="E27" s="1"/>
      <c r="F27" s="1"/>
      <c r="G27" s="1"/>
      <c r="H27" s="1"/>
      <c r="I27" s="24" t="s">
        <v>9</v>
      </c>
      <c r="J27" s="25"/>
      <c r="K27" s="25"/>
      <c r="L27" s="26" t="s">
        <v>10</v>
      </c>
      <c r="M27" s="27"/>
      <c r="N27" s="28" t="str">
        <f>IF(ISBLANK(サマリデータ!C7),"",サマリデータ!C7)</f>
        <v>10SC4561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0"/>
      <c r="AD27" s="1"/>
      <c r="AE27" s="1"/>
      <c r="AF27" s="1"/>
      <c r="AG27" s="1"/>
      <c r="AH27" s="1"/>
      <c r="AI27" s="1"/>
      <c r="AJ27" s="1"/>
    </row>
    <row r="28" spans="1:36" s="3" customFormat="1" ht="17.100000000000001" customHeight="1" x14ac:dyDescent="0.15">
      <c r="A28" s="1"/>
      <c r="B28" s="1"/>
      <c r="C28" s="1"/>
      <c r="D28" s="1"/>
      <c r="E28" s="1"/>
      <c r="F28" s="1"/>
      <c r="G28" s="1"/>
      <c r="H28" s="1"/>
      <c r="I28" s="31"/>
      <c r="J28" s="32"/>
      <c r="K28" s="32"/>
      <c r="L28" s="33" t="s">
        <v>11</v>
      </c>
      <c r="M28" s="34"/>
      <c r="N28" s="35" t="str">
        <f>IF(ISBLANK(サマリデータ!C8),"",サマリデータ!C8)</f>
        <v>10SC4571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6"/>
      <c r="AD28" s="1"/>
      <c r="AE28" s="1"/>
      <c r="AF28" s="1"/>
      <c r="AG28" s="1"/>
      <c r="AH28" s="1"/>
      <c r="AI28" s="1"/>
      <c r="AJ28" s="1"/>
    </row>
    <row r="29" spans="1:36" s="3" customFormat="1" ht="17.10000000000000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s="3" customFormat="1" ht="17.100000000000001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s="3" customFormat="1" ht="17.100000000000001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s="3" customFormat="1" ht="21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3" customFormat="1" ht="16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3" customFormat="1" ht="16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3" customFormat="1" ht="16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3" customFormat="1" ht="17.100000000000001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s="3" customFormat="1" ht="17.100000000000001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s="3" customFormat="1" ht="17.100000000000001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s="3" customFormat="1" ht="17.100000000000001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s="3" customFormat="1" ht="18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3" customFormat="1" ht="18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3" customFormat="1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3" customFormat="1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3" customFormat="1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s="3" customFormat="1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3" customFormat="1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s="3" customFormat="1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3" customFormat="1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s="3" customFormat="1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s="3" customFormat="1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s="3" customFormat="1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3.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mergeCells count="12">
    <mergeCell ref="N23:AC23"/>
    <mergeCell ref="N24:AC24"/>
    <mergeCell ref="N25:AC25"/>
    <mergeCell ref="N26:S26"/>
    <mergeCell ref="X26:AC26"/>
    <mergeCell ref="BA3:BR3"/>
    <mergeCell ref="I4:AC7"/>
    <mergeCell ref="BA4:BR4"/>
    <mergeCell ref="BA6:BI6"/>
    <mergeCell ref="BM6:BR6"/>
    <mergeCell ref="BA7:BI7"/>
    <mergeCell ref="BM7:BR7"/>
  </mergeCells>
  <phoneticPr fontId="7"/>
  <pageMargins left="0.59055118110236227" right="0.47244094488188981" top="0.43307086614173229" bottom="0.39370078740157483" header="0.23622047244094491" footer="0.39370078740157483"/>
  <pageSetup paperSize="9" fitToHeight="0" orientation="portrait" r:id="rId1"/>
  <headerFooter alignWithMargins="0"/>
  <rowBreaks count="1" manualBreakCount="1">
    <brk id="6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60BB-E79D-42BB-B5CB-916CD08CDCB5}">
  <sheetPr codeName="Sheet2">
    <tabColor rgb="FFFFC000"/>
  </sheetPr>
  <dimension ref="A1:AJ52"/>
  <sheetViews>
    <sheetView showGridLines="0" view="pageBreakPreview" zoomScaleNormal="100" zoomScaleSheetLayoutView="100" workbookViewId="0">
      <selection activeCell="N23" sqref="N23:AC26"/>
    </sheetView>
  </sheetViews>
  <sheetFormatPr defaultColWidth="2.625" defaultRowHeight="13.5" x14ac:dyDescent="0.15"/>
  <cols>
    <col min="1" max="1" width="1.75" style="37" customWidth="1"/>
    <col min="2" max="35" width="2.625" style="37" customWidth="1"/>
    <col min="36" max="36" width="1.875" style="37" customWidth="1"/>
    <col min="37" max="256" width="2.625" style="37"/>
    <col min="257" max="257" width="1.75" style="37" customWidth="1"/>
    <col min="258" max="291" width="2.625" style="37"/>
    <col min="292" max="292" width="1.875" style="37" customWidth="1"/>
    <col min="293" max="512" width="2.625" style="37"/>
    <col min="513" max="513" width="1.75" style="37" customWidth="1"/>
    <col min="514" max="547" width="2.625" style="37"/>
    <col min="548" max="548" width="1.875" style="37" customWidth="1"/>
    <col min="549" max="768" width="2.625" style="37"/>
    <col min="769" max="769" width="1.75" style="37" customWidth="1"/>
    <col min="770" max="803" width="2.625" style="37"/>
    <col min="804" max="804" width="1.875" style="37" customWidth="1"/>
    <col min="805" max="1024" width="2.625" style="37"/>
    <col min="1025" max="1025" width="1.75" style="37" customWidth="1"/>
    <col min="1026" max="1059" width="2.625" style="37"/>
    <col min="1060" max="1060" width="1.875" style="37" customWidth="1"/>
    <col min="1061" max="1280" width="2.625" style="37"/>
    <col min="1281" max="1281" width="1.75" style="37" customWidth="1"/>
    <col min="1282" max="1315" width="2.625" style="37"/>
    <col min="1316" max="1316" width="1.875" style="37" customWidth="1"/>
    <col min="1317" max="1536" width="2.625" style="37"/>
    <col min="1537" max="1537" width="1.75" style="37" customWidth="1"/>
    <col min="1538" max="1571" width="2.625" style="37"/>
    <col min="1572" max="1572" width="1.875" style="37" customWidth="1"/>
    <col min="1573" max="1792" width="2.625" style="37"/>
    <col min="1793" max="1793" width="1.75" style="37" customWidth="1"/>
    <col min="1794" max="1827" width="2.625" style="37"/>
    <col min="1828" max="1828" width="1.875" style="37" customWidth="1"/>
    <col min="1829" max="2048" width="2.625" style="37"/>
    <col min="2049" max="2049" width="1.75" style="37" customWidth="1"/>
    <col min="2050" max="2083" width="2.625" style="37"/>
    <col min="2084" max="2084" width="1.875" style="37" customWidth="1"/>
    <col min="2085" max="2304" width="2.625" style="37"/>
    <col min="2305" max="2305" width="1.75" style="37" customWidth="1"/>
    <col min="2306" max="2339" width="2.625" style="37"/>
    <col min="2340" max="2340" width="1.875" style="37" customWidth="1"/>
    <col min="2341" max="2560" width="2.625" style="37"/>
    <col min="2561" max="2561" width="1.75" style="37" customWidth="1"/>
    <col min="2562" max="2595" width="2.625" style="37"/>
    <col min="2596" max="2596" width="1.875" style="37" customWidth="1"/>
    <col min="2597" max="2816" width="2.625" style="37"/>
    <col min="2817" max="2817" width="1.75" style="37" customWidth="1"/>
    <col min="2818" max="2851" width="2.625" style="37"/>
    <col min="2852" max="2852" width="1.875" style="37" customWidth="1"/>
    <col min="2853" max="3072" width="2.625" style="37"/>
    <col min="3073" max="3073" width="1.75" style="37" customWidth="1"/>
    <col min="3074" max="3107" width="2.625" style="37"/>
    <col min="3108" max="3108" width="1.875" style="37" customWidth="1"/>
    <col min="3109" max="3328" width="2.625" style="37"/>
    <col min="3329" max="3329" width="1.75" style="37" customWidth="1"/>
    <col min="3330" max="3363" width="2.625" style="37"/>
    <col min="3364" max="3364" width="1.875" style="37" customWidth="1"/>
    <col min="3365" max="3584" width="2.625" style="37"/>
    <col min="3585" max="3585" width="1.75" style="37" customWidth="1"/>
    <col min="3586" max="3619" width="2.625" style="37"/>
    <col min="3620" max="3620" width="1.875" style="37" customWidth="1"/>
    <col min="3621" max="3840" width="2.625" style="37"/>
    <col min="3841" max="3841" width="1.75" style="37" customWidth="1"/>
    <col min="3842" max="3875" width="2.625" style="37"/>
    <col min="3876" max="3876" width="1.875" style="37" customWidth="1"/>
    <col min="3877" max="4096" width="2.625" style="37"/>
    <col min="4097" max="4097" width="1.75" style="37" customWidth="1"/>
    <col min="4098" max="4131" width="2.625" style="37"/>
    <col min="4132" max="4132" width="1.875" style="37" customWidth="1"/>
    <col min="4133" max="4352" width="2.625" style="37"/>
    <col min="4353" max="4353" width="1.75" style="37" customWidth="1"/>
    <col min="4354" max="4387" width="2.625" style="37"/>
    <col min="4388" max="4388" width="1.875" style="37" customWidth="1"/>
    <col min="4389" max="4608" width="2.625" style="37"/>
    <col min="4609" max="4609" width="1.75" style="37" customWidth="1"/>
    <col min="4610" max="4643" width="2.625" style="37"/>
    <col min="4644" max="4644" width="1.875" style="37" customWidth="1"/>
    <col min="4645" max="4864" width="2.625" style="37"/>
    <col min="4865" max="4865" width="1.75" style="37" customWidth="1"/>
    <col min="4866" max="4899" width="2.625" style="37"/>
    <col min="4900" max="4900" width="1.875" style="37" customWidth="1"/>
    <col min="4901" max="5120" width="2.625" style="37"/>
    <col min="5121" max="5121" width="1.75" style="37" customWidth="1"/>
    <col min="5122" max="5155" width="2.625" style="37"/>
    <col min="5156" max="5156" width="1.875" style="37" customWidth="1"/>
    <col min="5157" max="5376" width="2.625" style="37"/>
    <col min="5377" max="5377" width="1.75" style="37" customWidth="1"/>
    <col min="5378" max="5411" width="2.625" style="37"/>
    <col min="5412" max="5412" width="1.875" style="37" customWidth="1"/>
    <col min="5413" max="5632" width="2.625" style="37"/>
    <col min="5633" max="5633" width="1.75" style="37" customWidth="1"/>
    <col min="5634" max="5667" width="2.625" style="37"/>
    <col min="5668" max="5668" width="1.875" style="37" customWidth="1"/>
    <col min="5669" max="5888" width="2.625" style="37"/>
    <col min="5889" max="5889" width="1.75" style="37" customWidth="1"/>
    <col min="5890" max="5923" width="2.625" style="37"/>
    <col min="5924" max="5924" width="1.875" style="37" customWidth="1"/>
    <col min="5925" max="6144" width="2.625" style="37"/>
    <col min="6145" max="6145" width="1.75" style="37" customWidth="1"/>
    <col min="6146" max="6179" width="2.625" style="37"/>
    <col min="6180" max="6180" width="1.875" style="37" customWidth="1"/>
    <col min="6181" max="6400" width="2.625" style="37"/>
    <col min="6401" max="6401" width="1.75" style="37" customWidth="1"/>
    <col min="6402" max="6435" width="2.625" style="37"/>
    <col min="6436" max="6436" width="1.875" style="37" customWidth="1"/>
    <col min="6437" max="6656" width="2.625" style="37"/>
    <col min="6657" max="6657" width="1.75" style="37" customWidth="1"/>
    <col min="6658" max="6691" width="2.625" style="37"/>
    <col min="6692" max="6692" width="1.875" style="37" customWidth="1"/>
    <col min="6693" max="6912" width="2.625" style="37"/>
    <col min="6913" max="6913" width="1.75" style="37" customWidth="1"/>
    <col min="6914" max="6947" width="2.625" style="37"/>
    <col min="6948" max="6948" width="1.875" style="37" customWidth="1"/>
    <col min="6949" max="7168" width="2.625" style="37"/>
    <col min="7169" max="7169" width="1.75" style="37" customWidth="1"/>
    <col min="7170" max="7203" width="2.625" style="37"/>
    <col min="7204" max="7204" width="1.875" style="37" customWidth="1"/>
    <col min="7205" max="7424" width="2.625" style="37"/>
    <col min="7425" max="7425" width="1.75" style="37" customWidth="1"/>
    <col min="7426" max="7459" width="2.625" style="37"/>
    <col min="7460" max="7460" width="1.875" style="37" customWidth="1"/>
    <col min="7461" max="7680" width="2.625" style="37"/>
    <col min="7681" max="7681" width="1.75" style="37" customWidth="1"/>
    <col min="7682" max="7715" width="2.625" style="37"/>
    <col min="7716" max="7716" width="1.875" style="37" customWidth="1"/>
    <col min="7717" max="7936" width="2.625" style="37"/>
    <col min="7937" max="7937" width="1.75" style="37" customWidth="1"/>
    <col min="7938" max="7971" width="2.625" style="37"/>
    <col min="7972" max="7972" width="1.875" style="37" customWidth="1"/>
    <col min="7973" max="8192" width="2.625" style="37"/>
    <col min="8193" max="8193" width="1.75" style="37" customWidth="1"/>
    <col min="8194" max="8227" width="2.625" style="37"/>
    <col min="8228" max="8228" width="1.875" style="37" customWidth="1"/>
    <col min="8229" max="8448" width="2.625" style="37"/>
    <col min="8449" max="8449" width="1.75" style="37" customWidth="1"/>
    <col min="8450" max="8483" width="2.625" style="37"/>
    <col min="8484" max="8484" width="1.875" style="37" customWidth="1"/>
    <col min="8485" max="8704" width="2.625" style="37"/>
    <col min="8705" max="8705" width="1.75" style="37" customWidth="1"/>
    <col min="8706" max="8739" width="2.625" style="37"/>
    <col min="8740" max="8740" width="1.875" style="37" customWidth="1"/>
    <col min="8741" max="8960" width="2.625" style="37"/>
    <col min="8961" max="8961" width="1.75" style="37" customWidth="1"/>
    <col min="8962" max="8995" width="2.625" style="37"/>
    <col min="8996" max="8996" width="1.875" style="37" customWidth="1"/>
    <col min="8997" max="9216" width="2.625" style="37"/>
    <col min="9217" max="9217" width="1.75" style="37" customWidth="1"/>
    <col min="9218" max="9251" width="2.625" style="37"/>
    <col min="9252" max="9252" width="1.875" style="37" customWidth="1"/>
    <col min="9253" max="9472" width="2.625" style="37"/>
    <col min="9473" max="9473" width="1.75" style="37" customWidth="1"/>
    <col min="9474" max="9507" width="2.625" style="37"/>
    <col min="9508" max="9508" width="1.875" style="37" customWidth="1"/>
    <col min="9509" max="9728" width="2.625" style="37"/>
    <col min="9729" max="9729" width="1.75" style="37" customWidth="1"/>
    <col min="9730" max="9763" width="2.625" style="37"/>
    <col min="9764" max="9764" width="1.875" style="37" customWidth="1"/>
    <col min="9765" max="9984" width="2.625" style="37"/>
    <col min="9985" max="9985" width="1.75" style="37" customWidth="1"/>
    <col min="9986" max="10019" width="2.625" style="37"/>
    <col min="10020" max="10020" width="1.875" style="37" customWidth="1"/>
    <col min="10021" max="10240" width="2.625" style="37"/>
    <col min="10241" max="10241" width="1.75" style="37" customWidth="1"/>
    <col min="10242" max="10275" width="2.625" style="37"/>
    <col min="10276" max="10276" width="1.875" style="37" customWidth="1"/>
    <col min="10277" max="10496" width="2.625" style="37"/>
    <col min="10497" max="10497" width="1.75" style="37" customWidth="1"/>
    <col min="10498" max="10531" width="2.625" style="37"/>
    <col min="10532" max="10532" width="1.875" style="37" customWidth="1"/>
    <col min="10533" max="10752" width="2.625" style="37"/>
    <col min="10753" max="10753" width="1.75" style="37" customWidth="1"/>
    <col min="10754" max="10787" width="2.625" style="37"/>
    <col min="10788" max="10788" width="1.875" style="37" customWidth="1"/>
    <col min="10789" max="11008" width="2.625" style="37"/>
    <col min="11009" max="11009" width="1.75" style="37" customWidth="1"/>
    <col min="11010" max="11043" width="2.625" style="37"/>
    <col min="11044" max="11044" width="1.875" style="37" customWidth="1"/>
    <col min="11045" max="11264" width="2.625" style="37"/>
    <col min="11265" max="11265" width="1.75" style="37" customWidth="1"/>
    <col min="11266" max="11299" width="2.625" style="37"/>
    <col min="11300" max="11300" width="1.875" style="37" customWidth="1"/>
    <col min="11301" max="11520" width="2.625" style="37"/>
    <col min="11521" max="11521" width="1.75" style="37" customWidth="1"/>
    <col min="11522" max="11555" width="2.625" style="37"/>
    <col min="11556" max="11556" width="1.875" style="37" customWidth="1"/>
    <col min="11557" max="11776" width="2.625" style="37"/>
    <col min="11777" max="11777" width="1.75" style="37" customWidth="1"/>
    <col min="11778" max="11811" width="2.625" style="37"/>
    <col min="11812" max="11812" width="1.875" style="37" customWidth="1"/>
    <col min="11813" max="12032" width="2.625" style="37"/>
    <col min="12033" max="12033" width="1.75" style="37" customWidth="1"/>
    <col min="12034" max="12067" width="2.625" style="37"/>
    <col min="12068" max="12068" width="1.875" style="37" customWidth="1"/>
    <col min="12069" max="12288" width="2.625" style="37"/>
    <col min="12289" max="12289" width="1.75" style="37" customWidth="1"/>
    <col min="12290" max="12323" width="2.625" style="37"/>
    <col min="12324" max="12324" width="1.875" style="37" customWidth="1"/>
    <col min="12325" max="12544" width="2.625" style="37"/>
    <col min="12545" max="12545" width="1.75" style="37" customWidth="1"/>
    <col min="12546" max="12579" width="2.625" style="37"/>
    <col min="12580" max="12580" width="1.875" style="37" customWidth="1"/>
    <col min="12581" max="12800" width="2.625" style="37"/>
    <col min="12801" max="12801" width="1.75" style="37" customWidth="1"/>
    <col min="12802" max="12835" width="2.625" style="37"/>
    <col min="12836" max="12836" width="1.875" style="37" customWidth="1"/>
    <col min="12837" max="13056" width="2.625" style="37"/>
    <col min="13057" max="13057" width="1.75" style="37" customWidth="1"/>
    <col min="13058" max="13091" width="2.625" style="37"/>
    <col min="13092" max="13092" width="1.875" style="37" customWidth="1"/>
    <col min="13093" max="13312" width="2.625" style="37"/>
    <col min="13313" max="13313" width="1.75" style="37" customWidth="1"/>
    <col min="13314" max="13347" width="2.625" style="37"/>
    <col min="13348" max="13348" width="1.875" style="37" customWidth="1"/>
    <col min="13349" max="13568" width="2.625" style="37"/>
    <col min="13569" max="13569" width="1.75" style="37" customWidth="1"/>
    <col min="13570" max="13603" width="2.625" style="37"/>
    <col min="13604" max="13604" width="1.875" style="37" customWidth="1"/>
    <col min="13605" max="13824" width="2.625" style="37"/>
    <col min="13825" max="13825" width="1.75" style="37" customWidth="1"/>
    <col min="13826" max="13859" width="2.625" style="37"/>
    <col min="13860" max="13860" width="1.875" style="37" customWidth="1"/>
    <col min="13861" max="14080" width="2.625" style="37"/>
    <col min="14081" max="14081" width="1.75" style="37" customWidth="1"/>
    <col min="14082" max="14115" width="2.625" style="37"/>
    <col min="14116" max="14116" width="1.875" style="37" customWidth="1"/>
    <col min="14117" max="14336" width="2.625" style="37"/>
    <col min="14337" max="14337" width="1.75" style="37" customWidth="1"/>
    <col min="14338" max="14371" width="2.625" style="37"/>
    <col min="14372" max="14372" width="1.875" style="37" customWidth="1"/>
    <col min="14373" max="14592" width="2.625" style="37"/>
    <col min="14593" max="14593" width="1.75" style="37" customWidth="1"/>
    <col min="14594" max="14627" width="2.625" style="37"/>
    <col min="14628" max="14628" width="1.875" style="37" customWidth="1"/>
    <col min="14629" max="14848" width="2.625" style="37"/>
    <col min="14849" max="14849" width="1.75" style="37" customWidth="1"/>
    <col min="14850" max="14883" width="2.625" style="37"/>
    <col min="14884" max="14884" width="1.875" style="37" customWidth="1"/>
    <col min="14885" max="15104" width="2.625" style="37"/>
    <col min="15105" max="15105" width="1.75" style="37" customWidth="1"/>
    <col min="15106" max="15139" width="2.625" style="37"/>
    <col min="15140" max="15140" width="1.875" style="37" customWidth="1"/>
    <col min="15141" max="15360" width="2.625" style="37"/>
    <col min="15361" max="15361" width="1.75" style="37" customWidth="1"/>
    <col min="15362" max="15395" width="2.625" style="37"/>
    <col min="15396" max="15396" width="1.875" style="37" customWidth="1"/>
    <col min="15397" max="15616" width="2.625" style="37"/>
    <col min="15617" max="15617" width="1.75" style="37" customWidth="1"/>
    <col min="15618" max="15651" width="2.625" style="37"/>
    <col min="15652" max="15652" width="1.875" style="37" customWidth="1"/>
    <col min="15653" max="15872" width="2.625" style="37"/>
    <col min="15873" max="15873" width="1.75" style="37" customWidth="1"/>
    <col min="15874" max="15907" width="2.625" style="37"/>
    <col min="15908" max="15908" width="1.875" style="37" customWidth="1"/>
    <col min="15909" max="16128" width="2.625" style="37"/>
    <col min="16129" max="16129" width="1.75" style="37" customWidth="1"/>
    <col min="16130" max="16163" width="2.625" style="37"/>
    <col min="16164" max="16164" width="1.875" style="37" customWidth="1"/>
    <col min="16165" max="16384" width="2.625" style="37"/>
  </cols>
  <sheetData>
    <row r="1" spans="1:36" s="2" customFormat="1" ht="16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3" customFormat="1" ht="16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3" customFormat="1" ht="16.5" customHeight="1" thickBo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3" customFormat="1" ht="16.5" customHeight="1" thickTop="1" x14ac:dyDescent="0.15">
      <c r="A4" s="1"/>
      <c r="B4" s="1"/>
      <c r="C4" s="1"/>
      <c r="I4" s="55" t="s">
        <v>20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1"/>
      <c r="AE4" s="1"/>
      <c r="AF4" s="1"/>
      <c r="AG4" s="1"/>
      <c r="AH4" s="1"/>
      <c r="AI4" s="1"/>
      <c r="AJ4" s="1"/>
    </row>
    <row r="5" spans="1:36" s="3" customFormat="1" ht="16.5" customHeight="1" x14ac:dyDescent="0.15">
      <c r="A5" s="1"/>
      <c r="B5" s="1"/>
      <c r="C5" s="1"/>
      <c r="D5" s="5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D5" s="1"/>
      <c r="AE5" s="1"/>
      <c r="AF5" s="1"/>
      <c r="AG5" s="1"/>
      <c r="AH5" s="1"/>
      <c r="AI5" s="1"/>
      <c r="AJ5" s="1"/>
    </row>
    <row r="6" spans="1:36" s="3" customFormat="1" ht="16.5" customHeight="1" x14ac:dyDescent="0.15">
      <c r="A6" s="1"/>
      <c r="B6" s="1"/>
      <c r="C6" s="1"/>
      <c r="D6" s="5"/>
      <c r="I6" s="58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  <c r="AD6" s="1"/>
      <c r="AE6" s="1"/>
      <c r="AF6" s="1"/>
      <c r="AG6" s="1"/>
      <c r="AH6" s="1"/>
      <c r="AI6" s="1"/>
      <c r="AJ6" s="1"/>
    </row>
    <row r="7" spans="1:36" s="3" customFormat="1" ht="16.5" customHeight="1" thickBot="1" x14ac:dyDescent="0.2">
      <c r="A7" s="1"/>
      <c r="B7" s="1"/>
      <c r="C7" s="1"/>
      <c r="D7" s="5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3"/>
      <c r="AD7" s="1"/>
      <c r="AE7" s="1"/>
      <c r="AF7" s="1"/>
      <c r="AG7" s="1"/>
      <c r="AH7" s="1"/>
      <c r="AI7" s="1"/>
      <c r="AJ7" s="1"/>
    </row>
    <row r="8" spans="1:36" s="3" customFormat="1" ht="16.5" customHeight="1" thickTop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3" customFormat="1" ht="16.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3" customFormat="1" ht="16.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s="3" customFormat="1" ht="18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 t="s">
        <v>0</v>
      </c>
      <c r="V11" s="8"/>
      <c r="W11" s="8"/>
      <c r="X11" s="8"/>
      <c r="Y11" s="7" t="s">
        <v>1</v>
      </c>
      <c r="Z11" s="8"/>
      <c r="AA11" s="8"/>
      <c r="AB11" s="9"/>
      <c r="AC11" s="10" t="s">
        <v>2</v>
      </c>
      <c r="AD11" s="8"/>
      <c r="AE11" s="8"/>
      <c r="AF11" s="9"/>
      <c r="AG11" s="8" t="s">
        <v>3</v>
      </c>
      <c r="AH11" s="8"/>
      <c r="AI11" s="8"/>
      <c r="AJ11" s="9"/>
    </row>
    <row r="12" spans="1:36" s="3" customFormat="1" ht="13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1"/>
      <c r="V12" s="12"/>
      <c r="W12" s="12"/>
      <c r="X12" s="12"/>
      <c r="Y12" s="11"/>
      <c r="Z12" s="12"/>
      <c r="AA12" s="12"/>
      <c r="AB12" s="13"/>
      <c r="AC12" s="12"/>
      <c r="AD12" s="12"/>
      <c r="AE12" s="12"/>
      <c r="AF12" s="13"/>
      <c r="AG12" s="12"/>
      <c r="AH12" s="12"/>
      <c r="AI12" s="12"/>
      <c r="AJ12" s="13"/>
    </row>
    <row r="13" spans="1:36" s="3" customFormat="1" ht="13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1"/>
      <c r="V13" s="12"/>
      <c r="W13" s="12"/>
      <c r="X13" s="12"/>
      <c r="Y13" s="11"/>
      <c r="Z13" s="12"/>
      <c r="AA13" s="12"/>
      <c r="AB13" s="13"/>
      <c r="AC13" s="12"/>
      <c r="AD13" s="12"/>
      <c r="AE13" s="12"/>
      <c r="AF13" s="13"/>
      <c r="AG13" s="12"/>
      <c r="AH13" s="12"/>
      <c r="AI13" s="12"/>
      <c r="AJ13" s="13"/>
    </row>
    <row r="14" spans="1:36" s="3" customFormat="1" ht="13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4"/>
      <c r="V14" s="15"/>
      <c r="W14" s="15"/>
      <c r="X14" s="15"/>
      <c r="Y14" s="14"/>
      <c r="Z14" s="15"/>
      <c r="AA14" s="15"/>
      <c r="AB14" s="16"/>
      <c r="AC14" s="15"/>
      <c r="AD14" s="15"/>
      <c r="AE14" s="15"/>
      <c r="AF14" s="16"/>
      <c r="AG14" s="15"/>
      <c r="AH14" s="15"/>
      <c r="AI14" s="15"/>
      <c r="AJ14" s="16"/>
    </row>
    <row r="15" spans="1:36" s="3" customFormat="1" ht="13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4"/>
      <c r="V15" s="15"/>
      <c r="W15" s="15"/>
      <c r="X15" s="15"/>
      <c r="Y15" s="14"/>
      <c r="Z15" s="15"/>
      <c r="AA15" s="15"/>
      <c r="AB15" s="16"/>
      <c r="AC15" s="15"/>
      <c r="AD15" s="15"/>
      <c r="AE15" s="15"/>
      <c r="AF15" s="16"/>
      <c r="AG15" s="15"/>
      <c r="AH15" s="15"/>
      <c r="AI15" s="15"/>
      <c r="AJ15" s="16"/>
    </row>
    <row r="16" spans="1:36" s="3" customFormat="1" ht="13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7"/>
      <c r="V16" s="18"/>
      <c r="W16" s="18"/>
      <c r="X16" s="18"/>
      <c r="Y16" s="17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</row>
    <row r="17" spans="1:36" s="3" customFormat="1" ht="17.10000000000000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3" customFormat="1" ht="17.10000000000000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3" customFormat="1" ht="18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3" customFormat="1" ht="16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3" customFormat="1" ht="16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3" customFormat="1" ht="16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3" customFormat="1" ht="17.100000000000001" customHeight="1" x14ac:dyDescent="0.15">
      <c r="A23" s="1"/>
      <c r="B23" s="1"/>
      <c r="C23" s="1"/>
      <c r="D23" s="1"/>
      <c r="E23" s="1"/>
      <c r="F23" s="1"/>
      <c r="G23" s="1"/>
      <c r="H23" s="1"/>
      <c r="I23" s="20" t="s">
        <v>4</v>
      </c>
      <c r="J23" s="21"/>
      <c r="K23" s="21"/>
      <c r="L23" s="21"/>
      <c r="M23" s="21"/>
      <c r="N23" s="45" t="str">
        <f>IF(ISBLANK(サマリデータ!C2),"",サマリデータ!C2)</f>
        <v>田辺三菱製薬工場株式会社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7"/>
      <c r="AD23" s="1"/>
      <c r="AE23" s="1"/>
      <c r="AF23" s="1"/>
      <c r="AG23" s="1"/>
      <c r="AH23" s="1"/>
      <c r="AI23" s="1"/>
      <c r="AJ23" s="1"/>
    </row>
    <row r="24" spans="1:36" s="3" customFormat="1" ht="17.25" x14ac:dyDescent="0.15">
      <c r="A24" s="1"/>
      <c r="B24" s="1"/>
      <c r="C24" s="1"/>
      <c r="D24" s="1"/>
      <c r="E24" s="1"/>
      <c r="F24" s="1"/>
      <c r="G24" s="1"/>
      <c r="H24" s="1"/>
      <c r="I24" s="22" t="s">
        <v>5</v>
      </c>
      <c r="J24" s="21"/>
      <c r="K24" s="21"/>
      <c r="L24" s="21"/>
      <c r="M24" s="21"/>
      <c r="N24" s="48" t="str">
        <f>IF(ISBLANK(サマリデータ!C3),"",サマリデータ!C3)</f>
        <v>小野田工場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7"/>
      <c r="AD24" s="1"/>
      <c r="AE24" s="1"/>
      <c r="AF24" s="1"/>
      <c r="AG24" s="1"/>
      <c r="AH24" s="1"/>
      <c r="AI24" s="1"/>
      <c r="AJ24" s="1"/>
    </row>
    <row r="25" spans="1:36" s="3" customFormat="1" ht="16.5" customHeight="1" x14ac:dyDescent="0.15">
      <c r="A25" s="1"/>
      <c r="B25" s="1"/>
      <c r="C25" s="1"/>
      <c r="D25" s="1"/>
      <c r="E25" s="1"/>
      <c r="F25" s="1"/>
      <c r="G25" s="1"/>
      <c r="H25" s="1"/>
      <c r="I25" s="22" t="s">
        <v>6</v>
      </c>
      <c r="J25" s="21"/>
      <c r="K25" s="21"/>
      <c r="L25" s="21"/>
      <c r="M25" s="21"/>
      <c r="N25" s="48" t="str">
        <f>IF(ISBLANK(サマリデータ!C4),"",サマリデータ!C4)</f>
        <v>第三製剤棟自動倉庫システム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50"/>
      <c r="AD25" s="1"/>
      <c r="AE25" s="1"/>
      <c r="AF25" s="1"/>
      <c r="AG25" s="1"/>
      <c r="AH25" s="1"/>
      <c r="AI25" s="1"/>
      <c r="AJ25" s="1"/>
    </row>
    <row r="26" spans="1:36" s="3" customFormat="1" ht="16.5" customHeight="1" x14ac:dyDescent="0.15">
      <c r="A26" s="1"/>
      <c r="B26" s="1"/>
      <c r="C26" s="1"/>
      <c r="D26" s="1"/>
      <c r="E26" s="1"/>
      <c r="F26" s="1"/>
      <c r="G26" s="1"/>
      <c r="H26" s="1"/>
      <c r="I26" s="22" t="s">
        <v>7</v>
      </c>
      <c r="J26" s="21"/>
      <c r="K26" s="21"/>
      <c r="L26" s="21"/>
      <c r="M26" s="21"/>
      <c r="N26" s="51">
        <f>IF(ISBLANK(サマリデータ!C5),"",サマリデータ!C5)</f>
        <v>3500228</v>
      </c>
      <c r="O26" s="52"/>
      <c r="P26" s="52"/>
      <c r="Q26" s="52"/>
      <c r="R26" s="52"/>
      <c r="S26" s="53"/>
      <c r="T26" s="22" t="s">
        <v>23</v>
      </c>
      <c r="U26" s="23"/>
      <c r="V26" s="23"/>
      <c r="W26" s="23"/>
      <c r="X26" s="48" t="str">
        <f>IF(ISBLANK(サマリデータ!C6),"",サマリデータ!C6)</f>
        <v>山口CS</v>
      </c>
      <c r="Y26" s="49"/>
      <c r="Z26" s="49"/>
      <c r="AA26" s="49"/>
      <c r="AB26" s="49"/>
      <c r="AC26" s="50"/>
      <c r="AD26" s="1"/>
      <c r="AE26" s="1"/>
      <c r="AF26" s="1"/>
      <c r="AG26" s="1"/>
      <c r="AH26" s="1"/>
      <c r="AI26" s="1"/>
      <c r="AJ26" s="1"/>
    </row>
    <row r="27" spans="1:36" s="3" customFormat="1" ht="16.5" customHeight="1" x14ac:dyDescent="0.15">
      <c r="A27" s="1"/>
      <c r="B27" s="1"/>
      <c r="C27" s="1"/>
      <c r="D27" s="1"/>
      <c r="E27" s="1"/>
      <c r="F27" s="1"/>
      <c r="G27" s="1"/>
      <c r="H27" s="1"/>
      <c r="I27" s="26" t="s">
        <v>9</v>
      </c>
      <c r="J27" s="28"/>
      <c r="K27" s="28"/>
      <c r="L27" s="28"/>
      <c r="M27" s="27"/>
      <c r="N27" s="28" t="str">
        <f>IF(ISBLANK(サマリデータ!$C$9),"",サマリデータ!$C$9)</f>
        <v>10SC45614571-R001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0"/>
      <c r="AD27" s="1"/>
      <c r="AE27" s="1"/>
      <c r="AF27" s="1"/>
      <c r="AG27" s="1"/>
      <c r="AH27" s="1"/>
      <c r="AI27" s="1"/>
      <c r="AJ27" s="1"/>
    </row>
    <row r="28" spans="1:36" s="3" customFormat="1" ht="17.100000000000001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s="3" customFormat="1" ht="17.10000000000000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s="3" customFormat="1" ht="17.100000000000001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s="3" customFormat="1" ht="21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s="3" customFormat="1" ht="16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3" customFormat="1" ht="16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3" customFormat="1" ht="16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3" customFormat="1" ht="17.100000000000001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3" customFormat="1" ht="17.100000000000001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s="3" customFormat="1" ht="17.100000000000001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s="3" customFormat="1" ht="17.100000000000001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s="3" customFormat="1" ht="18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s="3" customFormat="1" ht="18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3" customFormat="1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3" customFormat="1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3" customFormat="1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3" customFormat="1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s="3" customFormat="1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3" customFormat="1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s="3" customFormat="1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3" customFormat="1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s="3" customFormat="1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s="3" customFormat="1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</sheetData>
  <mergeCells count="6">
    <mergeCell ref="I4:AC7"/>
    <mergeCell ref="N23:AC23"/>
    <mergeCell ref="N24:AC24"/>
    <mergeCell ref="N25:AC25"/>
    <mergeCell ref="N26:S26"/>
    <mergeCell ref="X26:AC26"/>
  </mergeCells>
  <phoneticPr fontId="7"/>
  <pageMargins left="0.59055118110236227" right="0.47244094488188981" top="0.43307086614173229" bottom="0.39370078740157483" header="0.23622047244094491" footer="0.39370078740157483"/>
  <pageSetup paperSize="9" fitToHeight="0" orientation="portrait" r:id="rId1"/>
  <headerFooter alignWithMargins="0"/>
  <rowBreaks count="1" manualBreakCount="1">
    <brk id="6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F70E-EBBC-49F5-A5FB-EBD7A3BC4203}">
  <sheetPr codeName="Sheet4">
    <tabColor theme="5"/>
  </sheetPr>
  <dimension ref="A1:AJ52"/>
  <sheetViews>
    <sheetView showGridLines="0" view="pageBreakPreview" zoomScaleNormal="100" zoomScaleSheetLayoutView="100" workbookViewId="0">
      <selection activeCell="N23" sqref="N23:AC26"/>
    </sheetView>
  </sheetViews>
  <sheetFormatPr defaultColWidth="2.625" defaultRowHeight="13.5" x14ac:dyDescent="0.15"/>
  <cols>
    <col min="1" max="1" width="1.75" style="37" customWidth="1"/>
    <col min="2" max="35" width="2.625" style="37" customWidth="1"/>
    <col min="36" max="36" width="1.875" style="37" customWidth="1"/>
    <col min="37" max="256" width="2.625" style="37"/>
    <col min="257" max="257" width="1.75" style="37" customWidth="1"/>
    <col min="258" max="291" width="2.625" style="37"/>
    <col min="292" max="292" width="1.875" style="37" customWidth="1"/>
    <col min="293" max="512" width="2.625" style="37"/>
    <col min="513" max="513" width="1.75" style="37" customWidth="1"/>
    <col min="514" max="547" width="2.625" style="37"/>
    <col min="548" max="548" width="1.875" style="37" customWidth="1"/>
    <col min="549" max="768" width="2.625" style="37"/>
    <col min="769" max="769" width="1.75" style="37" customWidth="1"/>
    <col min="770" max="803" width="2.625" style="37"/>
    <col min="804" max="804" width="1.875" style="37" customWidth="1"/>
    <col min="805" max="1024" width="2.625" style="37"/>
    <col min="1025" max="1025" width="1.75" style="37" customWidth="1"/>
    <col min="1026" max="1059" width="2.625" style="37"/>
    <col min="1060" max="1060" width="1.875" style="37" customWidth="1"/>
    <col min="1061" max="1280" width="2.625" style="37"/>
    <col min="1281" max="1281" width="1.75" style="37" customWidth="1"/>
    <col min="1282" max="1315" width="2.625" style="37"/>
    <col min="1316" max="1316" width="1.875" style="37" customWidth="1"/>
    <col min="1317" max="1536" width="2.625" style="37"/>
    <col min="1537" max="1537" width="1.75" style="37" customWidth="1"/>
    <col min="1538" max="1571" width="2.625" style="37"/>
    <col min="1572" max="1572" width="1.875" style="37" customWidth="1"/>
    <col min="1573" max="1792" width="2.625" style="37"/>
    <col min="1793" max="1793" width="1.75" style="37" customWidth="1"/>
    <col min="1794" max="1827" width="2.625" style="37"/>
    <col min="1828" max="1828" width="1.875" style="37" customWidth="1"/>
    <col min="1829" max="2048" width="2.625" style="37"/>
    <col min="2049" max="2049" width="1.75" style="37" customWidth="1"/>
    <col min="2050" max="2083" width="2.625" style="37"/>
    <col min="2084" max="2084" width="1.875" style="37" customWidth="1"/>
    <col min="2085" max="2304" width="2.625" style="37"/>
    <col min="2305" max="2305" width="1.75" style="37" customWidth="1"/>
    <col min="2306" max="2339" width="2.625" style="37"/>
    <col min="2340" max="2340" width="1.875" style="37" customWidth="1"/>
    <col min="2341" max="2560" width="2.625" style="37"/>
    <col min="2561" max="2561" width="1.75" style="37" customWidth="1"/>
    <col min="2562" max="2595" width="2.625" style="37"/>
    <col min="2596" max="2596" width="1.875" style="37" customWidth="1"/>
    <col min="2597" max="2816" width="2.625" style="37"/>
    <col min="2817" max="2817" width="1.75" style="37" customWidth="1"/>
    <col min="2818" max="2851" width="2.625" style="37"/>
    <col min="2852" max="2852" width="1.875" style="37" customWidth="1"/>
    <col min="2853" max="3072" width="2.625" style="37"/>
    <col min="3073" max="3073" width="1.75" style="37" customWidth="1"/>
    <col min="3074" max="3107" width="2.625" style="37"/>
    <col min="3108" max="3108" width="1.875" style="37" customWidth="1"/>
    <col min="3109" max="3328" width="2.625" style="37"/>
    <col min="3329" max="3329" width="1.75" style="37" customWidth="1"/>
    <col min="3330" max="3363" width="2.625" style="37"/>
    <col min="3364" max="3364" width="1.875" style="37" customWidth="1"/>
    <col min="3365" max="3584" width="2.625" style="37"/>
    <col min="3585" max="3585" width="1.75" style="37" customWidth="1"/>
    <col min="3586" max="3619" width="2.625" style="37"/>
    <col min="3620" max="3620" width="1.875" style="37" customWidth="1"/>
    <col min="3621" max="3840" width="2.625" style="37"/>
    <col min="3841" max="3841" width="1.75" style="37" customWidth="1"/>
    <col min="3842" max="3875" width="2.625" style="37"/>
    <col min="3876" max="3876" width="1.875" style="37" customWidth="1"/>
    <col min="3877" max="4096" width="2.625" style="37"/>
    <col min="4097" max="4097" width="1.75" style="37" customWidth="1"/>
    <col min="4098" max="4131" width="2.625" style="37"/>
    <col min="4132" max="4132" width="1.875" style="37" customWidth="1"/>
    <col min="4133" max="4352" width="2.625" style="37"/>
    <col min="4353" max="4353" width="1.75" style="37" customWidth="1"/>
    <col min="4354" max="4387" width="2.625" style="37"/>
    <col min="4388" max="4388" width="1.875" style="37" customWidth="1"/>
    <col min="4389" max="4608" width="2.625" style="37"/>
    <col min="4609" max="4609" width="1.75" style="37" customWidth="1"/>
    <col min="4610" max="4643" width="2.625" style="37"/>
    <col min="4644" max="4644" width="1.875" style="37" customWidth="1"/>
    <col min="4645" max="4864" width="2.625" style="37"/>
    <col min="4865" max="4865" width="1.75" style="37" customWidth="1"/>
    <col min="4866" max="4899" width="2.625" style="37"/>
    <col min="4900" max="4900" width="1.875" style="37" customWidth="1"/>
    <col min="4901" max="5120" width="2.625" style="37"/>
    <col min="5121" max="5121" width="1.75" style="37" customWidth="1"/>
    <col min="5122" max="5155" width="2.625" style="37"/>
    <col min="5156" max="5156" width="1.875" style="37" customWidth="1"/>
    <col min="5157" max="5376" width="2.625" style="37"/>
    <col min="5377" max="5377" width="1.75" style="37" customWidth="1"/>
    <col min="5378" max="5411" width="2.625" style="37"/>
    <col min="5412" max="5412" width="1.875" style="37" customWidth="1"/>
    <col min="5413" max="5632" width="2.625" style="37"/>
    <col min="5633" max="5633" width="1.75" style="37" customWidth="1"/>
    <col min="5634" max="5667" width="2.625" style="37"/>
    <col min="5668" max="5668" width="1.875" style="37" customWidth="1"/>
    <col min="5669" max="5888" width="2.625" style="37"/>
    <col min="5889" max="5889" width="1.75" style="37" customWidth="1"/>
    <col min="5890" max="5923" width="2.625" style="37"/>
    <col min="5924" max="5924" width="1.875" style="37" customWidth="1"/>
    <col min="5925" max="6144" width="2.625" style="37"/>
    <col min="6145" max="6145" width="1.75" style="37" customWidth="1"/>
    <col min="6146" max="6179" width="2.625" style="37"/>
    <col min="6180" max="6180" width="1.875" style="37" customWidth="1"/>
    <col min="6181" max="6400" width="2.625" style="37"/>
    <col min="6401" max="6401" width="1.75" style="37" customWidth="1"/>
    <col min="6402" max="6435" width="2.625" style="37"/>
    <col min="6436" max="6436" width="1.875" style="37" customWidth="1"/>
    <col min="6437" max="6656" width="2.625" style="37"/>
    <col min="6657" max="6657" width="1.75" style="37" customWidth="1"/>
    <col min="6658" max="6691" width="2.625" style="37"/>
    <col min="6692" max="6692" width="1.875" style="37" customWidth="1"/>
    <col min="6693" max="6912" width="2.625" style="37"/>
    <col min="6913" max="6913" width="1.75" style="37" customWidth="1"/>
    <col min="6914" max="6947" width="2.625" style="37"/>
    <col min="6948" max="6948" width="1.875" style="37" customWidth="1"/>
    <col min="6949" max="7168" width="2.625" style="37"/>
    <col min="7169" max="7169" width="1.75" style="37" customWidth="1"/>
    <col min="7170" max="7203" width="2.625" style="37"/>
    <col min="7204" max="7204" width="1.875" style="37" customWidth="1"/>
    <col min="7205" max="7424" width="2.625" style="37"/>
    <col min="7425" max="7425" width="1.75" style="37" customWidth="1"/>
    <col min="7426" max="7459" width="2.625" style="37"/>
    <col min="7460" max="7460" width="1.875" style="37" customWidth="1"/>
    <col min="7461" max="7680" width="2.625" style="37"/>
    <col min="7681" max="7681" width="1.75" style="37" customWidth="1"/>
    <col min="7682" max="7715" width="2.625" style="37"/>
    <col min="7716" max="7716" width="1.875" style="37" customWidth="1"/>
    <col min="7717" max="7936" width="2.625" style="37"/>
    <col min="7937" max="7937" width="1.75" style="37" customWidth="1"/>
    <col min="7938" max="7971" width="2.625" style="37"/>
    <col min="7972" max="7972" width="1.875" style="37" customWidth="1"/>
    <col min="7973" max="8192" width="2.625" style="37"/>
    <col min="8193" max="8193" width="1.75" style="37" customWidth="1"/>
    <col min="8194" max="8227" width="2.625" style="37"/>
    <col min="8228" max="8228" width="1.875" style="37" customWidth="1"/>
    <col min="8229" max="8448" width="2.625" style="37"/>
    <col min="8449" max="8449" width="1.75" style="37" customWidth="1"/>
    <col min="8450" max="8483" width="2.625" style="37"/>
    <col min="8484" max="8484" width="1.875" style="37" customWidth="1"/>
    <col min="8485" max="8704" width="2.625" style="37"/>
    <col min="8705" max="8705" width="1.75" style="37" customWidth="1"/>
    <col min="8706" max="8739" width="2.625" style="37"/>
    <col min="8740" max="8740" width="1.875" style="37" customWidth="1"/>
    <col min="8741" max="8960" width="2.625" style="37"/>
    <col min="8961" max="8961" width="1.75" style="37" customWidth="1"/>
    <col min="8962" max="8995" width="2.625" style="37"/>
    <col min="8996" max="8996" width="1.875" style="37" customWidth="1"/>
    <col min="8997" max="9216" width="2.625" style="37"/>
    <col min="9217" max="9217" width="1.75" style="37" customWidth="1"/>
    <col min="9218" max="9251" width="2.625" style="37"/>
    <col min="9252" max="9252" width="1.875" style="37" customWidth="1"/>
    <col min="9253" max="9472" width="2.625" style="37"/>
    <col min="9473" max="9473" width="1.75" style="37" customWidth="1"/>
    <col min="9474" max="9507" width="2.625" style="37"/>
    <col min="9508" max="9508" width="1.875" style="37" customWidth="1"/>
    <col min="9509" max="9728" width="2.625" style="37"/>
    <col min="9729" max="9729" width="1.75" style="37" customWidth="1"/>
    <col min="9730" max="9763" width="2.625" style="37"/>
    <col min="9764" max="9764" width="1.875" style="37" customWidth="1"/>
    <col min="9765" max="9984" width="2.625" style="37"/>
    <col min="9985" max="9985" width="1.75" style="37" customWidth="1"/>
    <col min="9986" max="10019" width="2.625" style="37"/>
    <col min="10020" max="10020" width="1.875" style="37" customWidth="1"/>
    <col min="10021" max="10240" width="2.625" style="37"/>
    <col min="10241" max="10241" width="1.75" style="37" customWidth="1"/>
    <col min="10242" max="10275" width="2.625" style="37"/>
    <col min="10276" max="10276" width="1.875" style="37" customWidth="1"/>
    <col min="10277" max="10496" width="2.625" style="37"/>
    <col min="10497" max="10497" width="1.75" style="37" customWidth="1"/>
    <col min="10498" max="10531" width="2.625" style="37"/>
    <col min="10532" max="10532" width="1.875" style="37" customWidth="1"/>
    <col min="10533" max="10752" width="2.625" style="37"/>
    <col min="10753" max="10753" width="1.75" style="37" customWidth="1"/>
    <col min="10754" max="10787" width="2.625" style="37"/>
    <col min="10788" max="10788" width="1.875" style="37" customWidth="1"/>
    <col min="10789" max="11008" width="2.625" style="37"/>
    <col min="11009" max="11009" width="1.75" style="37" customWidth="1"/>
    <col min="11010" max="11043" width="2.625" style="37"/>
    <col min="11044" max="11044" width="1.875" style="37" customWidth="1"/>
    <col min="11045" max="11264" width="2.625" style="37"/>
    <col min="11265" max="11265" width="1.75" style="37" customWidth="1"/>
    <col min="11266" max="11299" width="2.625" style="37"/>
    <col min="11300" max="11300" width="1.875" style="37" customWidth="1"/>
    <col min="11301" max="11520" width="2.625" style="37"/>
    <col min="11521" max="11521" width="1.75" style="37" customWidth="1"/>
    <col min="11522" max="11555" width="2.625" style="37"/>
    <col min="11556" max="11556" width="1.875" style="37" customWidth="1"/>
    <col min="11557" max="11776" width="2.625" style="37"/>
    <col min="11777" max="11777" width="1.75" style="37" customWidth="1"/>
    <col min="11778" max="11811" width="2.625" style="37"/>
    <col min="11812" max="11812" width="1.875" style="37" customWidth="1"/>
    <col min="11813" max="12032" width="2.625" style="37"/>
    <col min="12033" max="12033" width="1.75" style="37" customWidth="1"/>
    <col min="12034" max="12067" width="2.625" style="37"/>
    <col min="12068" max="12068" width="1.875" style="37" customWidth="1"/>
    <col min="12069" max="12288" width="2.625" style="37"/>
    <col min="12289" max="12289" width="1.75" style="37" customWidth="1"/>
    <col min="12290" max="12323" width="2.625" style="37"/>
    <col min="12324" max="12324" width="1.875" style="37" customWidth="1"/>
    <col min="12325" max="12544" width="2.625" style="37"/>
    <col min="12545" max="12545" width="1.75" style="37" customWidth="1"/>
    <col min="12546" max="12579" width="2.625" style="37"/>
    <col min="12580" max="12580" width="1.875" style="37" customWidth="1"/>
    <col min="12581" max="12800" width="2.625" style="37"/>
    <col min="12801" max="12801" width="1.75" style="37" customWidth="1"/>
    <col min="12802" max="12835" width="2.625" style="37"/>
    <col min="12836" max="12836" width="1.875" style="37" customWidth="1"/>
    <col min="12837" max="13056" width="2.625" style="37"/>
    <col min="13057" max="13057" width="1.75" style="37" customWidth="1"/>
    <col min="13058" max="13091" width="2.625" style="37"/>
    <col min="13092" max="13092" width="1.875" style="37" customWidth="1"/>
    <col min="13093" max="13312" width="2.625" style="37"/>
    <col min="13313" max="13313" width="1.75" style="37" customWidth="1"/>
    <col min="13314" max="13347" width="2.625" style="37"/>
    <col min="13348" max="13348" width="1.875" style="37" customWidth="1"/>
    <col min="13349" max="13568" width="2.625" style="37"/>
    <col min="13569" max="13569" width="1.75" style="37" customWidth="1"/>
    <col min="13570" max="13603" width="2.625" style="37"/>
    <col min="13604" max="13604" width="1.875" style="37" customWidth="1"/>
    <col min="13605" max="13824" width="2.625" style="37"/>
    <col min="13825" max="13825" width="1.75" style="37" customWidth="1"/>
    <col min="13826" max="13859" width="2.625" style="37"/>
    <col min="13860" max="13860" width="1.875" style="37" customWidth="1"/>
    <col min="13861" max="14080" width="2.625" style="37"/>
    <col min="14081" max="14081" width="1.75" style="37" customWidth="1"/>
    <col min="14082" max="14115" width="2.625" style="37"/>
    <col min="14116" max="14116" width="1.875" style="37" customWidth="1"/>
    <col min="14117" max="14336" width="2.625" style="37"/>
    <col min="14337" max="14337" width="1.75" style="37" customWidth="1"/>
    <col min="14338" max="14371" width="2.625" style="37"/>
    <col min="14372" max="14372" width="1.875" style="37" customWidth="1"/>
    <col min="14373" max="14592" width="2.625" style="37"/>
    <col min="14593" max="14593" width="1.75" style="37" customWidth="1"/>
    <col min="14594" max="14627" width="2.625" style="37"/>
    <col min="14628" max="14628" width="1.875" style="37" customWidth="1"/>
    <col min="14629" max="14848" width="2.625" style="37"/>
    <col min="14849" max="14849" width="1.75" style="37" customWidth="1"/>
    <col min="14850" max="14883" width="2.625" style="37"/>
    <col min="14884" max="14884" width="1.875" style="37" customWidth="1"/>
    <col min="14885" max="15104" width="2.625" style="37"/>
    <col min="15105" max="15105" width="1.75" style="37" customWidth="1"/>
    <col min="15106" max="15139" width="2.625" style="37"/>
    <col min="15140" max="15140" width="1.875" style="37" customWidth="1"/>
    <col min="15141" max="15360" width="2.625" style="37"/>
    <col min="15361" max="15361" width="1.75" style="37" customWidth="1"/>
    <col min="15362" max="15395" width="2.625" style="37"/>
    <col min="15396" max="15396" width="1.875" style="37" customWidth="1"/>
    <col min="15397" max="15616" width="2.625" style="37"/>
    <col min="15617" max="15617" width="1.75" style="37" customWidth="1"/>
    <col min="15618" max="15651" width="2.625" style="37"/>
    <col min="15652" max="15652" width="1.875" style="37" customWidth="1"/>
    <col min="15653" max="15872" width="2.625" style="37"/>
    <col min="15873" max="15873" width="1.75" style="37" customWidth="1"/>
    <col min="15874" max="15907" width="2.625" style="37"/>
    <col min="15908" max="15908" width="1.875" style="37" customWidth="1"/>
    <col min="15909" max="16128" width="2.625" style="37"/>
    <col min="16129" max="16129" width="1.75" style="37" customWidth="1"/>
    <col min="16130" max="16163" width="2.625" style="37"/>
    <col min="16164" max="16164" width="1.875" style="37" customWidth="1"/>
    <col min="16165" max="16384" width="2.625" style="37"/>
  </cols>
  <sheetData>
    <row r="1" spans="1:36" s="2" customFormat="1" ht="16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3" customFormat="1" ht="16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3" customFormat="1" ht="16.5" customHeight="1" thickBo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3" customFormat="1" ht="16.5" customHeight="1" thickTop="1" x14ac:dyDescent="0.15">
      <c r="A4" s="1"/>
      <c r="B4" s="1"/>
      <c r="C4" s="1"/>
      <c r="I4" s="55" t="s">
        <v>21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1"/>
      <c r="AE4" s="1"/>
      <c r="AF4" s="1"/>
      <c r="AG4" s="1"/>
      <c r="AH4" s="1"/>
      <c r="AI4" s="1"/>
      <c r="AJ4" s="1"/>
    </row>
    <row r="5" spans="1:36" s="3" customFormat="1" ht="16.5" customHeight="1" x14ac:dyDescent="0.15">
      <c r="A5" s="1"/>
      <c r="B5" s="1"/>
      <c r="C5" s="1"/>
      <c r="D5" s="5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D5" s="1"/>
      <c r="AE5" s="1"/>
      <c r="AF5" s="1"/>
      <c r="AG5" s="1"/>
      <c r="AH5" s="1"/>
      <c r="AI5" s="1"/>
      <c r="AJ5" s="1"/>
    </row>
    <row r="6" spans="1:36" s="3" customFormat="1" ht="16.5" customHeight="1" x14ac:dyDescent="0.15">
      <c r="A6" s="1"/>
      <c r="B6" s="1"/>
      <c r="C6" s="1"/>
      <c r="D6" s="5"/>
      <c r="I6" s="58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  <c r="AD6" s="1"/>
      <c r="AE6" s="1"/>
      <c r="AF6" s="1"/>
      <c r="AG6" s="1"/>
      <c r="AH6" s="1"/>
      <c r="AI6" s="1"/>
      <c r="AJ6" s="1"/>
    </row>
    <row r="7" spans="1:36" s="3" customFormat="1" ht="16.5" customHeight="1" thickBot="1" x14ac:dyDescent="0.2">
      <c r="A7" s="1"/>
      <c r="B7" s="1"/>
      <c r="C7" s="1"/>
      <c r="D7" s="5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3"/>
      <c r="AD7" s="1"/>
      <c r="AE7" s="1"/>
      <c r="AF7" s="1"/>
      <c r="AG7" s="1"/>
      <c r="AH7" s="1"/>
      <c r="AI7" s="1"/>
      <c r="AJ7" s="1"/>
    </row>
    <row r="8" spans="1:36" s="3" customFormat="1" ht="16.5" customHeight="1" thickTop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3" customFormat="1" ht="16.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3" customFormat="1" ht="16.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s="3" customFormat="1" ht="18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 t="s">
        <v>0</v>
      </c>
      <c r="V11" s="8"/>
      <c r="W11" s="8"/>
      <c r="X11" s="8"/>
      <c r="Y11" s="7" t="s">
        <v>1</v>
      </c>
      <c r="Z11" s="8"/>
      <c r="AA11" s="8"/>
      <c r="AB11" s="9"/>
      <c r="AC11" s="10" t="s">
        <v>2</v>
      </c>
      <c r="AD11" s="8"/>
      <c r="AE11" s="8"/>
      <c r="AF11" s="9"/>
      <c r="AG11" s="8" t="s">
        <v>3</v>
      </c>
      <c r="AH11" s="8"/>
      <c r="AI11" s="8"/>
      <c r="AJ11" s="9"/>
    </row>
    <row r="12" spans="1:36" s="3" customFormat="1" ht="13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1"/>
      <c r="V12" s="12"/>
      <c r="W12" s="12"/>
      <c r="X12" s="12"/>
      <c r="Y12" s="11"/>
      <c r="Z12" s="12"/>
      <c r="AA12" s="12"/>
      <c r="AB12" s="13"/>
      <c r="AC12" s="12"/>
      <c r="AD12" s="12"/>
      <c r="AE12" s="12"/>
      <c r="AF12" s="13"/>
      <c r="AG12" s="12"/>
      <c r="AH12" s="12"/>
      <c r="AI12" s="12"/>
      <c r="AJ12" s="13"/>
    </row>
    <row r="13" spans="1:36" s="3" customFormat="1" ht="13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1"/>
      <c r="V13" s="12"/>
      <c r="W13" s="12"/>
      <c r="X13" s="12"/>
      <c r="Y13" s="11"/>
      <c r="Z13" s="12"/>
      <c r="AA13" s="12"/>
      <c r="AB13" s="13"/>
      <c r="AC13" s="12"/>
      <c r="AD13" s="12"/>
      <c r="AE13" s="12"/>
      <c r="AF13" s="13"/>
      <c r="AG13" s="12"/>
      <c r="AH13" s="12"/>
      <c r="AI13" s="12"/>
      <c r="AJ13" s="13"/>
    </row>
    <row r="14" spans="1:36" s="3" customFormat="1" ht="13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4"/>
      <c r="V14" s="15"/>
      <c r="W14" s="15"/>
      <c r="X14" s="15"/>
      <c r="Y14" s="14"/>
      <c r="Z14" s="15"/>
      <c r="AA14" s="15"/>
      <c r="AB14" s="16"/>
      <c r="AC14" s="15"/>
      <c r="AD14" s="15"/>
      <c r="AE14" s="15"/>
      <c r="AF14" s="16"/>
      <c r="AG14" s="15"/>
      <c r="AH14" s="15"/>
      <c r="AI14" s="15"/>
      <c r="AJ14" s="16"/>
    </row>
    <row r="15" spans="1:36" s="3" customFormat="1" ht="13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4"/>
      <c r="V15" s="15"/>
      <c r="W15" s="15"/>
      <c r="X15" s="15"/>
      <c r="Y15" s="14"/>
      <c r="Z15" s="15"/>
      <c r="AA15" s="15"/>
      <c r="AB15" s="16"/>
      <c r="AC15" s="15"/>
      <c r="AD15" s="15"/>
      <c r="AE15" s="15"/>
      <c r="AF15" s="16"/>
      <c r="AG15" s="15"/>
      <c r="AH15" s="15"/>
      <c r="AI15" s="15"/>
      <c r="AJ15" s="16"/>
    </row>
    <row r="16" spans="1:36" s="3" customFormat="1" ht="13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7"/>
      <c r="V16" s="18"/>
      <c r="W16" s="18"/>
      <c r="X16" s="18"/>
      <c r="Y16" s="17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</row>
    <row r="17" spans="1:36" s="3" customFormat="1" ht="17.10000000000000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3" customFormat="1" ht="17.10000000000000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3" customFormat="1" ht="18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3" customFormat="1" ht="16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3" customFormat="1" ht="16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3" customFormat="1" ht="16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3" customFormat="1" ht="17.100000000000001" customHeight="1" x14ac:dyDescent="0.15">
      <c r="A23" s="1"/>
      <c r="B23" s="1"/>
      <c r="C23" s="1"/>
      <c r="D23" s="1"/>
      <c r="E23" s="1"/>
      <c r="F23" s="1"/>
      <c r="G23" s="1"/>
      <c r="H23" s="1"/>
      <c r="I23" s="20" t="s">
        <v>4</v>
      </c>
      <c r="J23" s="21"/>
      <c r="K23" s="21"/>
      <c r="L23" s="21"/>
      <c r="M23" s="21"/>
      <c r="N23" s="45" t="str">
        <f>IF(ISBLANK(サマリデータ!C2),"",サマリデータ!C2)</f>
        <v>田辺三菱製薬工場株式会社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7"/>
      <c r="AD23" s="1"/>
      <c r="AE23" s="1"/>
      <c r="AF23" s="1"/>
      <c r="AG23" s="1"/>
      <c r="AH23" s="1"/>
      <c r="AI23" s="1"/>
      <c r="AJ23" s="1"/>
    </row>
    <row r="24" spans="1:36" s="3" customFormat="1" ht="17.25" x14ac:dyDescent="0.15">
      <c r="A24" s="1"/>
      <c r="B24" s="1"/>
      <c r="C24" s="1"/>
      <c r="D24" s="1"/>
      <c r="E24" s="1"/>
      <c r="F24" s="1"/>
      <c r="G24" s="1"/>
      <c r="H24" s="1"/>
      <c r="I24" s="22" t="s">
        <v>5</v>
      </c>
      <c r="J24" s="21"/>
      <c r="K24" s="21"/>
      <c r="L24" s="21"/>
      <c r="M24" s="21"/>
      <c r="N24" s="48" t="str">
        <f>IF(ISBLANK(サマリデータ!C3),"",サマリデータ!C3)</f>
        <v>小野田工場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7"/>
      <c r="AD24" s="1"/>
      <c r="AE24" s="1"/>
      <c r="AF24" s="1"/>
      <c r="AG24" s="1"/>
      <c r="AH24" s="1"/>
      <c r="AI24" s="1"/>
      <c r="AJ24" s="1"/>
    </row>
    <row r="25" spans="1:36" s="3" customFormat="1" ht="16.5" customHeight="1" x14ac:dyDescent="0.15">
      <c r="A25" s="1"/>
      <c r="B25" s="1"/>
      <c r="C25" s="1"/>
      <c r="D25" s="1"/>
      <c r="E25" s="1"/>
      <c r="F25" s="1"/>
      <c r="G25" s="1"/>
      <c r="H25" s="1"/>
      <c r="I25" s="22" t="s">
        <v>6</v>
      </c>
      <c r="J25" s="21"/>
      <c r="K25" s="21"/>
      <c r="L25" s="21"/>
      <c r="M25" s="21"/>
      <c r="N25" s="48" t="str">
        <f>IF(ISBLANK(サマリデータ!C4),"",サマリデータ!C4)</f>
        <v>第三製剤棟自動倉庫システム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50"/>
      <c r="AD25" s="1"/>
      <c r="AE25" s="1"/>
      <c r="AF25" s="1"/>
      <c r="AG25" s="1"/>
      <c r="AH25" s="1"/>
      <c r="AI25" s="1"/>
      <c r="AJ25" s="1"/>
    </row>
    <row r="26" spans="1:36" s="3" customFormat="1" ht="16.5" customHeight="1" x14ac:dyDescent="0.15">
      <c r="A26" s="1"/>
      <c r="B26" s="1"/>
      <c r="C26" s="1"/>
      <c r="D26" s="1"/>
      <c r="E26" s="1"/>
      <c r="F26" s="1"/>
      <c r="G26" s="1"/>
      <c r="H26" s="1"/>
      <c r="I26" s="22" t="s">
        <v>7</v>
      </c>
      <c r="J26" s="21"/>
      <c r="K26" s="21"/>
      <c r="L26" s="21"/>
      <c r="M26" s="21"/>
      <c r="N26" s="51">
        <f>IF(ISBLANK(サマリデータ!C5),"",サマリデータ!C5)</f>
        <v>3500228</v>
      </c>
      <c r="O26" s="52"/>
      <c r="P26" s="52"/>
      <c r="Q26" s="52"/>
      <c r="R26" s="52"/>
      <c r="S26" s="53"/>
      <c r="T26" s="22" t="s">
        <v>23</v>
      </c>
      <c r="U26" s="23"/>
      <c r="V26" s="23"/>
      <c r="W26" s="23"/>
      <c r="X26" s="48" t="str">
        <f>IF(ISBLANK(サマリデータ!C6),"",サマリデータ!C6)</f>
        <v>山口CS</v>
      </c>
      <c r="Y26" s="49"/>
      <c r="Z26" s="49"/>
      <c r="AA26" s="49"/>
      <c r="AB26" s="49"/>
      <c r="AC26" s="50"/>
      <c r="AD26" s="1"/>
      <c r="AE26" s="1"/>
      <c r="AF26" s="1"/>
      <c r="AG26" s="1"/>
      <c r="AH26" s="1"/>
      <c r="AI26" s="1"/>
      <c r="AJ26" s="1"/>
    </row>
    <row r="27" spans="1:36" s="3" customFormat="1" ht="16.5" customHeight="1" x14ac:dyDescent="0.15">
      <c r="A27" s="1"/>
      <c r="B27" s="1"/>
      <c r="C27" s="1"/>
      <c r="D27" s="1"/>
      <c r="E27" s="1"/>
      <c r="F27" s="1"/>
      <c r="G27" s="1"/>
      <c r="H27" s="1"/>
      <c r="I27" s="26" t="s">
        <v>9</v>
      </c>
      <c r="J27" s="28"/>
      <c r="K27" s="28"/>
      <c r="L27" s="28"/>
      <c r="M27" s="27"/>
      <c r="N27" s="28" t="str">
        <f>IF(ISBLANK(サマリデータ!$C$10),"",サマリデータ!$C$10)</f>
        <v>10SC45614571-BM001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0"/>
      <c r="AD27" s="1"/>
      <c r="AE27" s="1"/>
      <c r="AF27" s="1"/>
      <c r="AG27" s="1"/>
      <c r="AH27" s="1"/>
      <c r="AI27" s="1"/>
      <c r="AJ27" s="1"/>
    </row>
    <row r="28" spans="1:36" s="3" customFormat="1" ht="17.100000000000001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s="3" customFormat="1" ht="17.10000000000000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s="3" customFormat="1" ht="17.100000000000001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s="3" customFormat="1" ht="21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s="3" customFormat="1" ht="16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3" customFormat="1" ht="16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3" customFormat="1" ht="16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3" customFormat="1" ht="17.100000000000001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3" customFormat="1" ht="17.100000000000001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s="3" customFormat="1" ht="17.100000000000001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s="3" customFormat="1" ht="17.100000000000001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s="3" customFormat="1" ht="18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s="3" customFormat="1" ht="18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3" customFormat="1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3" customFormat="1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3" customFormat="1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3" customFormat="1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s="3" customFormat="1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3" customFormat="1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s="3" customFormat="1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3" customFormat="1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s="3" customFormat="1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s="3" customFormat="1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</sheetData>
  <mergeCells count="6">
    <mergeCell ref="I4:AC7"/>
    <mergeCell ref="N23:AC23"/>
    <mergeCell ref="N24:AC24"/>
    <mergeCell ref="N25:AC25"/>
    <mergeCell ref="N26:S26"/>
    <mergeCell ref="X26:AC26"/>
  </mergeCells>
  <phoneticPr fontId="7"/>
  <pageMargins left="0.59055118110236227" right="0.47244094488188981" top="0.43307086614173229" bottom="0.39370078740157483" header="0.23622047244094491" footer="0.39370078740157483"/>
  <pageSetup paperSize="9" fitToHeight="0" orientation="portrait" r:id="rId1"/>
  <headerFooter alignWithMargins="0"/>
  <rowBreaks count="1" manualBreakCount="1">
    <brk id="6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51FB-0F6C-4BD8-8AB0-958BD5CCD108}">
  <sheetPr codeName="Sheet7">
    <tabColor theme="4" tint="0.79998168889431442"/>
  </sheetPr>
  <dimension ref="A1:AJ52"/>
  <sheetViews>
    <sheetView showGridLines="0" view="pageBreakPreview" zoomScaleNormal="100" zoomScaleSheetLayoutView="100" workbookViewId="0">
      <selection activeCell="N26" sqref="N26:S26"/>
    </sheetView>
  </sheetViews>
  <sheetFormatPr defaultColWidth="2.625" defaultRowHeight="13.5" x14ac:dyDescent="0.15"/>
  <cols>
    <col min="1" max="1" width="1.75" style="37" customWidth="1"/>
    <col min="2" max="35" width="2.625" style="37" customWidth="1"/>
    <col min="36" max="36" width="1.875" style="37" customWidth="1"/>
    <col min="37" max="256" width="2.625" style="37"/>
    <col min="257" max="257" width="1.75" style="37" customWidth="1"/>
    <col min="258" max="291" width="2.625" style="37"/>
    <col min="292" max="292" width="1.875" style="37" customWidth="1"/>
    <col min="293" max="512" width="2.625" style="37"/>
    <col min="513" max="513" width="1.75" style="37" customWidth="1"/>
    <col min="514" max="547" width="2.625" style="37"/>
    <col min="548" max="548" width="1.875" style="37" customWidth="1"/>
    <col min="549" max="768" width="2.625" style="37"/>
    <col min="769" max="769" width="1.75" style="37" customWidth="1"/>
    <col min="770" max="803" width="2.625" style="37"/>
    <col min="804" max="804" width="1.875" style="37" customWidth="1"/>
    <col min="805" max="1024" width="2.625" style="37"/>
    <col min="1025" max="1025" width="1.75" style="37" customWidth="1"/>
    <col min="1026" max="1059" width="2.625" style="37"/>
    <col min="1060" max="1060" width="1.875" style="37" customWidth="1"/>
    <col min="1061" max="1280" width="2.625" style="37"/>
    <col min="1281" max="1281" width="1.75" style="37" customWidth="1"/>
    <col min="1282" max="1315" width="2.625" style="37"/>
    <col min="1316" max="1316" width="1.875" style="37" customWidth="1"/>
    <col min="1317" max="1536" width="2.625" style="37"/>
    <col min="1537" max="1537" width="1.75" style="37" customWidth="1"/>
    <col min="1538" max="1571" width="2.625" style="37"/>
    <col min="1572" max="1572" width="1.875" style="37" customWidth="1"/>
    <col min="1573" max="1792" width="2.625" style="37"/>
    <col min="1793" max="1793" width="1.75" style="37" customWidth="1"/>
    <col min="1794" max="1827" width="2.625" style="37"/>
    <col min="1828" max="1828" width="1.875" style="37" customWidth="1"/>
    <col min="1829" max="2048" width="2.625" style="37"/>
    <col min="2049" max="2049" width="1.75" style="37" customWidth="1"/>
    <col min="2050" max="2083" width="2.625" style="37"/>
    <col min="2084" max="2084" width="1.875" style="37" customWidth="1"/>
    <col min="2085" max="2304" width="2.625" style="37"/>
    <col min="2305" max="2305" width="1.75" style="37" customWidth="1"/>
    <col min="2306" max="2339" width="2.625" style="37"/>
    <col min="2340" max="2340" width="1.875" style="37" customWidth="1"/>
    <col min="2341" max="2560" width="2.625" style="37"/>
    <col min="2561" max="2561" width="1.75" style="37" customWidth="1"/>
    <col min="2562" max="2595" width="2.625" style="37"/>
    <col min="2596" max="2596" width="1.875" style="37" customWidth="1"/>
    <col min="2597" max="2816" width="2.625" style="37"/>
    <col min="2817" max="2817" width="1.75" style="37" customWidth="1"/>
    <col min="2818" max="2851" width="2.625" style="37"/>
    <col min="2852" max="2852" width="1.875" style="37" customWidth="1"/>
    <col min="2853" max="3072" width="2.625" style="37"/>
    <col min="3073" max="3073" width="1.75" style="37" customWidth="1"/>
    <col min="3074" max="3107" width="2.625" style="37"/>
    <col min="3108" max="3108" width="1.875" style="37" customWidth="1"/>
    <col min="3109" max="3328" width="2.625" style="37"/>
    <col min="3329" max="3329" width="1.75" style="37" customWidth="1"/>
    <col min="3330" max="3363" width="2.625" style="37"/>
    <col min="3364" max="3364" width="1.875" style="37" customWidth="1"/>
    <col min="3365" max="3584" width="2.625" style="37"/>
    <col min="3585" max="3585" width="1.75" style="37" customWidth="1"/>
    <col min="3586" max="3619" width="2.625" style="37"/>
    <col min="3620" max="3620" width="1.875" style="37" customWidth="1"/>
    <col min="3621" max="3840" width="2.625" style="37"/>
    <col min="3841" max="3841" width="1.75" style="37" customWidth="1"/>
    <col min="3842" max="3875" width="2.625" style="37"/>
    <col min="3876" max="3876" width="1.875" style="37" customWidth="1"/>
    <col min="3877" max="4096" width="2.625" style="37"/>
    <col min="4097" max="4097" width="1.75" style="37" customWidth="1"/>
    <col min="4098" max="4131" width="2.625" style="37"/>
    <col min="4132" max="4132" width="1.875" style="37" customWidth="1"/>
    <col min="4133" max="4352" width="2.625" style="37"/>
    <col min="4353" max="4353" width="1.75" style="37" customWidth="1"/>
    <col min="4354" max="4387" width="2.625" style="37"/>
    <col min="4388" max="4388" width="1.875" style="37" customWidth="1"/>
    <col min="4389" max="4608" width="2.625" style="37"/>
    <col min="4609" max="4609" width="1.75" style="37" customWidth="1"/>
    <col min="4610" max="4643" width="2.625" style="37"/>
    <col min="4644" max="4644" width="1.875" style="37" customWidth="1"/>
    <col min="4645" max="4864" width="2.625" style="37"/>
    <col min="4865" max="4865" width="1.75" style="37" customWidth="1"/>
    <col min="4866" max="4899" width="2.625" style="37"/>
    <col min="4900" max="4900" width="1.875" style="37" customWidth="1"/>
    <col min="4901" max="5120" width="2.625" style="37"/>
    <col min="5121" max="5121" width="1.75" style="37" customWidth="1"/>
    <col min="5122" max="5155" width="2.625" style="37"/>
    <col min="5156" max="5156" width="1.875" style="37" customWidth="1"/>
    <col min="5157" max="5376" width="2.625" style="37"/>
    <col min="5377" max="5377" width="1.75" style="37" customWidth="1"/>
    <col min="5378" max="5411" width="2.625" style="37"/>
    <col min="5412" max="5412" width="1.875" style="37" customWidth="1"/>
    <col min="5413" max="5632" width="2.625" style="37"/>
    <col min="5633" max="5633" width="1.75" style="37" customWidth="1"/>
    <col min="5634" max="5667" width="2.625" style="37"/>
    <col min="5668" max="5668" width="1.875" style="37" customWidth="1"/>
    <col min="5669" max="5888" width="2.625" style="37"/>
    <col min="5889" max="5889" width="1.75" style="37" customWidth="1"/>
    <col min="5890" max="5923" width="2.625" style="37"/>
    <col min="5924" max="5924" width="1.875" style="37" customWidth="1"/>
    <col min="5925" max="6144" width="2.625" style="37"/>
    <col min="6145" max="6145" width="1.75" style="37" customWidth="1"/>
    <col min="6146" max="6179" width="2.625" style="37"/>
    <col min="6180" max="6180" width="1.875" style="37" customWidth="1"/>
    <col min="6181" max="6400" width="2.625" style="37"/>
    <col min="6401" max="6401" width="1.75" style="37" customWidth="1"/>
    <col min="6402" max="6435" width="2.625" style="37"/>
    <col min="6436" max="6436" width="1.875" style="37" customWidth="1"/>
    <col min="6437" max="6656" width="2.625" style="37"/>
    <col min="6657" max="6657" width="1.75" style="37" customWidth="1"/>
    <col min="6658" max="6691" width="2.625" style="37"/>
    <col min="6692" max="6692" width="1.875" style="37" customWidth="1"/>
    <col min="6693" max="6912" width="2.625" style="37"/>
    <col min="6913" max="6913" width="1.75" style="37" customWidth="1"/>
    <col min="6914" max="6947" width="2.625" style="37"/>
    <col min="6948" max="6948" width="1.875" style="37" customWidth="1"/>
    <col min="6949" max="7168" width="2.625" style="37"/>
    <col min="7169" max="7169" width="1.75" style="37" customWidth="1"/>
    <col min="7170" max="7203" width="2.625" style="37"/>
    <col min="7204" max="7204" width="1.875" style="37" customWidth="1"/>
    <col min="7205" max="7424" width="2.625" style="37"/>
    <col min="7425" max="7425" width="1.75" style="37" customWidth="1"/>
    <col min="7426" max="7459" width="2.625" style="37"/>
    <col min="7460" max="7460" width="1.875" style="37" customWidth="1"/>
    <col min="7461" max="7680" width="2.625" style="37"/>
    <col min="7681" max="7681" width="1.75" style="37" customWidth="1"/>
    <col min="7682" max="7715" width="2.625" style="37"/>
    <col min="7716" max="7716" width="1.875" style="37" customWidth="1"/>
    <col min="7717" max="7936" width="2.625" style="37"/>
    <col min="7937" max="7937" width="1.75" style="37" customWidth="1"/>
    <col min="7938" max="7971" width="2.625" style="37"/>
    <col min="7972" max="7972" width="1.875" style="37" customWidth="1"/>
    <col min="7973" max="8192" width="2.625" style="37"/>
    <col min="8193" max="8193" width="1.75" style="37" customWidth="1"/>
    <col min="8194" max="8227" width="2.625" style="37"/>
    <col min="8228" max="8228" width="1.875" style="37" customWidth="1"/>
    <col min="8229" max="8448" width="2.625" style="37"/>
    <col min="8449" max="8449" width="1.75" style="37" customWidth="1"/>
    <col min="8450" max="8483" width="2.625" style="37"/>
    <col min="8484" max="8484" width="1.875" style="37" customWidth="1"/>
    <col min="8485" max="8704" width="2.625" style="37"/>
    <col min="8705" max="8705" width="1.75" style="37" customWidth="1"/>
    <col min="8706" max="8739" width="2.625" style="37"/>
    <col min="8740" max="8740" width="1.875" style="37" customWidth="1"/>
    <col min="8741" max="8960" width="2.625" style="37"/>
    <col min="8961" max="8961" width="1.75" style="37" customWidth="1"/>
    <col min="8962" max="8995" width="2.625" style="37"/>
    <col min="8996" max="8996" width="1.875" style="37" customWidth="1"/>
    <col min="8997" max="9216" width="2.625" style="37"/>
    <col min="9217" max="9217" width="1.75" style="37" customWidth="1"/>
    <col min="9218" max="9251" width="2.625" style="37"/>
    <col min="9252" max="9252" width="1.875" style="37" customWidth="1"/>
    <col min="9253" max="9472" width="2.625" style="37"/>
    <col min="9473" max="9473" width="1.75" style="37" customWidth="1"/>
    <col min="9474" max="9507" width="2.625" style="37"/>
    <col min="9508" max="9508" width="1.875" style="37" customWidth="1"/>
    <col min="9509" max="9728" width="2.625" style="37"/>
    <col min="9729" max="9729" width="1.75" style="37" customWidth="1"/>
    <col min="9730" max="9763" width="2.625" style="37"/>
    <col min="9764" max="9764" width="1.875" style="37" customWidth="1"/>
    <col min="9765" max="9984" width="2.625" style="37"/>
    <col min="9985" max="9985" width="1.75" style="37" customWidth="1"/>
    <col min="9986" max="10019" width="2.625" style="37"/>
    <col min="10020" max="10020" width="1.875" style="37" customWidth="1"/>
    <col min="10021" max="10240" width="2.625" style="37"/>
    <col min="10241" max="10241" width="1.75" style="37" customWidth="1"/>
    <col min="10242" max="10275" width="2.625" style="37"/>
    <col min="10276" max="10276" width="1.875" style="37" customWidth="1"/>
    <col min="10277" max="10496" width="2.625" style="37"/>
    <col min="10497" max="10497" width="1.75" style="37" customWidth="1"/>
    <col min="10498" max="10531" width="2.625" style="37"/>
    <col min="10532" max="10532" width="1.875" style="37" customWidth="1"/>
    <col min="10533" max="10752" width="2.625" style="37"/>
    <col min="10753" max="10753" width="1.75" style="37" customWidth="1"/>
    <col min="10754" max="10787" width="2.625" style="37"/>
    <col min="10788" max="10788" width="1.875" style="37" customWidth="1"/>
    <col min="10789" max="11008" width="2.625" style="37"/>
    <col min="11009" max="11009" width="1.75" style="37" customWidth="1"/>
    <col min="11010" max="11043" width="2.625" style="37"/>
    <col min="11044" max="11044" width="1.875" style="37" customWidth="1"/>
    <col min="11045" max="11264" width="2.625" style="37"/>
    <col min="11265" max="11265" width="1.75" style="37" customWidth="1"/>
    <col min="11266" max="11299" width="2.625" style="37"/>
    <col min="11300" max="11300" width="1.875" style="37" customWidth="1"/>
    <col min="11301" max="11520" width="2.625" style="37"/>
    <col min="11521" max="11521" width="1.75" style="37" customWidth="1"/>
    <col min="11522" max="11555" width="2.625" style="37"/>
    <col min="11556" max="11556" width="1.875" style="37" customWidth="1"/>
    <col min="11557" max="11776" width="2.625" style="37"/>
    <col min="11777" max="11777" width="1.75" style="37" customWidth="1"/>
    <col min="11778" max="11811" width="2.625" style="37"/>
    <col min="11812" max="11812" width="1.875" style="37" customWidth="1"/>
    <col min="11813" max="12032" width="2.625" style="37"/>
    <col min="12033" max="12033" width="1.75" style="37" customWidth="1"/>
    <col min="12034" max="12067" width="2.625" style="37"/>
    <col min="12068" max="12068" width="1.875" style="37" customWidth="1"/>
    <col min="12069" max="12288" width="2.625" style="37"/>
    <col min="12289" max="12289" width="1.75" style="37" customWidth="1"/>
    <col min="12290" max="12323" width="2.625" style="37"/>
    <col min="12324" max="12324" width="1.875" style="37" customWidth="1"/>
    <col min="12325" max="12544" width="2.625" style="37"/>
    <col min="12545" max="12545" width="1.75" style="37" customWidth="1"/>
    <col min="12546" max="12579" width="2.625" style="37"/>
    <col min="12580" max="12580" width="1.875" style="37" customWidth="1"/>
    <col min="12581" max="12800" width="2.625" style="37"/>
    <col min="12801" max="12801" width="1.75" style="37" customWidth="1"/>
    <col min="12802" max="12835" width="2.625" style="37"/>
    <col min="12836" max="12836" width="1.875" style="37" customWidth="1"/>
    <col min="12837" max="13056" width="2.625" style="37"/>
    <col min="13057" max="13057" width="1.75" style="37" customWidth="1"/>
    <col min="13058" max="13091" width="2.625" style="37"/>
    <col min="13092" max="13092" width="1.875" style="37" customWidth="1"/>
    <col min="13093" max="13312" width="2.625" style="37"/>
    <col min="13313" max="13313" width="1.75" style="37" customWidth="1"/>
    <col min="13314" max="13347" width="2.625" style="37"/>
    <col min="13348" max="13348" width="1.875" style="37" customWidth="1"/>
    <col min="13349" max="13568" width="2.625" style="37"/>
    <col min="13569" max="13569" width="1.75" style="37" customWidth="1"/>
    <col min="13570" max="13603" width="2.625" style="37"/>
    <col min="13604" max="13604" width="1.875" style="37" customWidth="1"/>
    <col min="13605" max="13824" width="2.625" style="37"/>
    <col min="13825" max="13825" width="1.75" style="37" customWidth="1"/>
    <col min="13826" max="13859" width="2.625" style="37"/>
    <col min="13860" max="13860" width="1.875" style="37" customWidth="1"/>
    <col min="13861" max="14080" width="2.625" style="37"/>
    <col min="14081" max="14081" width="1.75" style="37" customWidth="1"/>
    <col min="14082" max="14115" width="2.625" style="37"/>
    <col min="14116" max="14116" width="1.875" style="37" customWidth="1"/>
    <col min="14117" max="14336" width="2.625" style="37"/>
    <col min="14337" max="14337" width="1.75" style="37" customWidth="1"/>
    <col min="14338" max="14371" width="2.625" style="37"/>
    <col min="14372" max="14372" width="1.875" style="37" customWidth="1"/>
    <col min="14373" max="14592" width="2.625" style="37"/>
    <col min="14593" max="14593" width="1.75" style="37" customWidth="1"/>
    <col min="14594" max="14627" width="2.625" style="37"/>
    <col min="14628" max="14628" width="1.875" style="37" customWidth="1"/>
    <col min="14629" max="14848" width="2.625" style="37"/>
    <col min="14849" max="14849" width="1.75" style="37" customWidth="1"/>
    <col min="14850" max="14883" width="2.625" style="37"/>
    <col min="14884" max="14884" width="1.875" style="37" customWidth="1"/>
    <col min="14885" max="15104" width="2.625" style="37"/>
    <col min="15105" max="15105" width="1.75" style="37" customWidth="1"/>
    <col min="15106" max="15139" width="2.625" style="37"/>
    <col min="15140" max="15140" width="1.875" style="37" customWidth="1"/>
    <col min="15141" max="15360" width="2.625" style="37"/>
    <col min="15361" max="15361" width="1.75" style="37" customWidth="1"/>
    <col min="15362" max="15395" width="2.625" style="37"/>
    <col min="15396" max="15396" width="1.875" style="37" customWidth="1"/>
    <col min="15397" max="15616" width="2.625" style="37"/>
    <col min="15617" max="15617" width="1.75" style="37" customWidth="1"/>
    <col min="15618" max="15651" width="2.625" style="37"/>
    <col min="15652" max="15652" width="1.875" style="37" customWidth="1"/>
    <col min="15653" max="15872" width="2.625" style="37"/>
    <col min="15873" max="15873" width="1.75" style="37" customWidth="1"/>
    <col min="15874" max="15907" width="2.625" style="37"/>
    <col min="15908" max="15908" width="1.875" style="37" customWidth="1"/>
    <col min="15909" max="16128" width="2.625" style="37"/>
    <col min="16129" max="16129" width="1.75" style="37" customWidth="1"/>
    <col min="16130" max="16163" width="2.625" style="37"/>
    <col min="16164" max="16164" width="1.875" style="37" customWidth="1"/>
    <col min="16165" max="16384" width="2.625" style="37"/>
  </cols>
  <sheetData>
    <row r="1" spans="1:36" s="2" customFormat="1" ht="16.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3" customFormat="1" ht="16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3" customFormat="1" ht="16.5" customHeight="1" thickBo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3" customFormat="1" ht="16.5" customHeight="1" thickTop="1" x14ac:dyDescent="0.15">
      <c r="A4" s="1"/>
      <c r="B4" s="1"/>
      <c r="C4" s="1"/>
      <c r="I4" s="55" t="s">
        <v>22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1"/>
      <c r="AE4" s="1"/>
      <c r="AF4" s="1"/>
      <c r="AG4" s="1"/>
      <c r="AH4" s="1"/>
      <c r="AI4" s="1"/>
      <c r="AJ4" s="1"/>
    </row>
    <row r="5" spans="1:36" s="3" customFormat="1" ht="16.5" customHeight="1" x14ac:dyDescent="0.15">
      <c r="A5" s="1"/>
      <c r="B5" s="1"/>
      <c r="C5" s="1"/>
      <c r="D5" s="5"/>
      <c r="I5" s="58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60"/>
      <c r="AD5" s="1"/>
      <c r="AE5" s="1"/>
      <c r="AF5" s="1"/>
      <c r="AG5" s="1"/>
      <c r="AH5" s="1"/>
      <c r="AI5" s="1"/>
      <c r="AJ5" s="1"/>
    </row>
    <row r="6" spans="1:36" s="3" customFormat="1" ht="16.5" customHeight="1" x14ac:dyDescent="0.15">
      <c r="A6" s="1"/>
      <c r="B6" s="1"/>
      <c r="C6" s="1"/>
      <c r="D6" s="5"/>
      <c r="I6" s="58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  <c r="AD6" s="1"/>
      <c r="AE6" s="1"/>
      <c r="AF6" s="1"/>
      <c r="AG6" s="1"/>
      <c r="AH6" s="1"/>
      <c r="AI6" s="1"/>
      <c r="AJ6" s="1"/>
    </row>
    <row r="7" spans="1:36" s="3" customFormat="1" ht="16.5" customHeight="1" thickBot="1" x14ac:dyDescent="0.2">
      <c r="A7" s="1"/>
      <c r="B7" s="1"/>
      <c r="C7" s="1"/>
      <c r="D7" s="5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3"/>
      <c r="AD7" s="1"/>
      <c r="AE7" s="1"/>
      <c r="AF7" s="1"/>
      <c r="AG7" s="1"/>
      <c r="AH7" s="1"/>
      <c r="AI7" s="1"/>
      <c r="AJ7" s="1"/>
    </row>
    <row r="8" spans="1:36" s="3" customFormat="1" ht="16.5" customHeight="1" thickTop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s="3" customFormat="1" ht="16.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s="3" customFormat="1" ht="16.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s="3" customFormat="1" ht="18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7" t="s">
        <v>0</v>
      </c>
      <c r="V11" s="8"/>
      <c r="W11" s="8"/>
      <c r="X11" s="8"/>
      <c r="Y11" s="7" t="s">
        <v>1</v>
      </c>
      <c r="Z11" s="8"/>
      <c r="AA11" s="8"/>
      <c r="AB11" s="9"/>
      <c r="AC11" s="10" t="s">
        <v>2</v>
      </c>
      <c r="AD11" s="8"/>
      <c r="AE11" s="8"/>
      <c r="AF11" s="9"/>
      <c r="AG11" s="8" t="s">
        <v>3</v>
      </c>
      <c r="AH11" s="8"/>
      <c r="AI11" s="8"/>
      <c r="AJ11" s="9"/>
    </row>
    <row r="12" spans="1:36" s="3" customFormat="1" ht="13.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1"/>
      <c r="V12" s="12"/>
      <c r="W12" s="12"/>
      <c r="X12" s="12"/>
      <c r="Y12" s="11"/>
      <c r="Z12" s="12"/>
      <c r="AA12" s="12"/>
      <c r="AB12" s="13"/>
      <c r="AC12" s="12"/>
      <c r="AD12" s="12"/>
      <c r="AE12" s="12"/>
      <c r="AF12" s="13"/>
      <c r="AG12" s="12"/>
      <c r="AH12" s="12"/>
      <c r="AI12" s="12"/>
      <c r="AJ12" s="13"/>
    </row>
    <row r="13" spans="1:36" s="3" customFormat="1" ht="13.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1"/>
      <c r="V13" s="12"/>
      <c r="W13" s="12"/>
      <c r="X13" s="12"/>
      <c r="Y13" s="11"/>
      <c r="Z13" s="12"/>
      <c r="AA13" s="12"/>
      <c r="AB13" s="13"/>
      <c r="AC13" s="12"/>
      <c r="AD13" s="12"/>
      <c r="AE13" s="12"/>
      <c r="AF13" s="13"/>
      <c r="AG13" s="12"/>
      <c r="AH13" s="12"/>
      <c r="AI13" s="12"/>
      <c r="AJ13" s="13"/>
    </row>
    <row r="14" spans="1:36" s="3" customFormat="1" ht="13.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4"/>
      <c r="V14" s="15"/>
      <c r="W14" s="15"/>
      <c r="X14" s="15"/>
      <c r="Y14" s="14"/>
      <c r="Z14" s="15"/>
      <c r="AA14" s="15"/>
      <c r="AB14" s="16"/>
      <c r="AC14" s="15"/>
      <c r="AD14" s="15"/>
      <c r="AE14" s="15"/>
      <c r="AF14" s="16"/>
      <c r="AG14" s="15"/>
      <c r="AH14" s="15"/>
      <c r="AI14" s="15"/>
      <c r="AJ14" s="16"/>
    </row>
    <row r="15" spans="1:36" s="3" customFormat="1" ht="13.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4"/>
      <c r="V15" s="15"/>
      <c r="W15" s="15"/>
      <c r="X15" s="15"/>
      <c r="Y15" s="14"/>
      <c r="Z15" s="15"/>
      <c r="AA15" s="15"/>
      <c r="AB15" s="16"/>
      <c r="AC15" s="15"/>
      <c r="AD15" s="15"/>
      <c r="AE15" s="15"/>
      <c r="AF15" s="16"/>
      <c r="AG15" s="15"/>
      <c r="AH15" s="15"/>
      <c r="AI15" s="15"/>
      <c r="AJ15" s="16"/>
    </row>
    <row r="16" spans="1:36" s="3" customFormat="1" ht="13.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7"/>
      <c r="V16" s="18"/>
      <c r="W16" s="18"/>
      <c r="X16" s="18"/>
      <c r="Y16" s="17"/>
      <c r="Z16" s="18"/>
      <c r="AA16" s="18"/>
      <c r="AB16" s="19"/>
      <c r="AC16" s="18"/>
      <c r="AD16" s="18"/>
      <c r="AE16" s="18"/>
      <c r="AF16" s="19"/>
      <c r="AG16" s="18"/>
      <c r="AH16" s="18"/>
      <c r="AI16" s="18"/>
      <c r="AJ16" s="19"/>
    </row>
    <row r="17" spans="1:36" s="3" customFormat="1" ht="17.100000000000001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s="3" customFormat="1" ht="17.100000000000001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s="3" customFormat="1" ht="18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s="3" customFormat="1" ht="16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s="3" customFormat="1" ht="16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s="3" customFormat="1" ht="16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s="3" customFormat="1" ht="17.100000000000001" customHeight="1" x14ac:dyDescent="0.15">
      <c r="A23" s="1"/>
      <c r="B23" s="1"/>
      <c r="C23" s="1"/>
      <c r="D23" s="1"/>
      <c r="E23" s="1"/>
      <c r="F23" s="1"/>
      <c r="G23" s="1"/>
      <c r="H23" s="1"/>
      <c r="I23" s="20" t="s">
        <v>4</v>
      </c>
      <c r="J23" s="21"/>
      <c r="K23" s="21"/>
      <c r="L23" s="21"/>
      <c r="M23" s="21"/>
      <c r="N23" s="45" t="str">
        <f>IF(ISBLANK(サマリデータ!C2),"",サマリデータ!C2)</f>
        <v>田辺三菱製薬工場株式会社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7"/>
      <c r="AD23" s="1"/>
      <c r="AE23" s="1"/>
      <c r="AF23" s="1"/>
      <c r="AG23" s="1"/>
      <c r="AH23" s="1"/>
      <c r="AI23" s="1"/>
      <c r="AJ23" s="1"/>
    </row>
    <row r="24" spans="1:36" s="3" customFormat="1" ht="17.25" x14ac:dyDescent="0.15">
      <c r="A24" s="1"/>
      <c r="B24" s="1"/>
      <c r="C24" s="1"/>
      <c r="D24" s="1"/>
      <c r="E24" s="1"/>
      <c r="F24" s="1"/>
      <c r="G24" s="1"/>
      <c r="H24" s="1"/>
      <c r="I24" s="22" t="s">
        <v>5</v>
      </c>
      <c r="J24" s="21"/>
      <c r="K24" s="21"/>
      <c r="L24" s="21"/>
      <c r="M24" s="21"/>
      <c r="N24" s="48" t="str">
        <f>IF(ISBLANK(サマリデータ!C3),"",サマリデータ!C3)</f>
        <v>小野田工場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7"/>
      <c r="AD24" s="1"/>
      <c r="AE24" s="1"/>
      <c r="AF24" s="1"/>
      <c r="AG24" s="1"/>
      <c r="AH24" s="1"/>
      <c r="AI24" s="1"/>
      <c r="AJ24" s="1"/>
    </row>
    <row r="25" spans="1:36" s="3" customFormat="1" ht="16.5" customHeight="1" x14ac:dyDescent="0.15">
      <c r="A25" s="1"/>
      <c r="B25" s="1"/>
      <c r="C25" s="1"/>
      <c r="D25" s="1"/>
      <c r="E25" s="1"/>
      <c r="F25" s="1"/>
      <c r="G25" s="1"/>
      <c r="H25" s="1"/>
      <c r="I25" s="22" t="s">
        <v>6</v>
      </c>
      <c r="J25" s="21"/>
      <c r="K25" s="21"/>
      <c r="L25" s="21"/>
      <c r="M25" s="21"/>
      <c r="N25" s="48" t="str">
        <f>IF(ISBLANK(サマリデータ!C4),"",サマリデータ!C4)</f>
        <v>第三製剤棟自動倉庫システム</v>
      </c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50"/>
      <c r="AD25" s="1"/>
      <c r="AE25" s="1"/>
      <c r="AF25" s="1"/>
      <c r="AG25" s="1"/>
      <c r="AH25" s="1"/>
      <c r="AI25" s="1"/>
      <c r="AJ25" s="1"/>
    </row>
    <row r="26" spans="1:36" s="3" customFormat="1" ht="16.5" customHeight="1" x14ac:dyDescent="0.15">
      <c r="A26" s="1"/>
      <c r="B26" s="1"/>
      <c r="C26" s="1"/>
      <c r="D26" s="1"/>
      <c r="E26" s="1"/>
      <c r="F26" s="1"/>
      <c r="G26" s="1"/>
      <c r="H26" s="1"/>
      <c r="I26" s="22" t="s">
        <v>7</v>
      </c>
      <c r="J26" s="21"/>
      <c r="K26" s="21"/>
      <c r="L26" s="21"/>
      <c r="M26" s="21"/>
      <c r="N26" s="51">
        <f>IF(ISBLANK(サマリデータ!C5),"",サマリデータ!C5)</f>
        <v>3500228</v>
      </c>
      <c r="O26" s="52"/>
      <c r="P26" s="52"/>
      <c r="Q26" s="52"/>
      <c r="R26" s="52"/>
      <c r="S26" s="53"/>
      <c r="T26" s="22" t="s">
        <v>23</v>
      </c>
      <c r="U26" s="23"/>
      <c r="V26" s="23"/>
      <c r="W26" s="23"/>
      <c r="X26" s="48" t="str">
        <f>IF(ISBLANK(サマリデータ!C6),"",サマリデータ!C6)</f>
        <v>山口CS</v>
      </c>
      <c r="Y26" s="49"/>
      <c r="Z26" s="49"/>
      <c r="AA26" s="49"/>
      <c r="AB26" s="49"/>
      <c r="AC26" s="50"/>
      <c r="AD26" s="1"/>
      <c r="AE26" s="1"/>
      <c r="AF26" s="1"/>
      <c r="AG26" s="1"/>
      <c r="AH26" s="1"/>
      <c r="AI26" s="1"/>
      <c r="AJ26" s="1"/>
    </row>
    <row r="27" spans="1:36" s="3" customFormat="1" ht="16.5" customHeight="1" x14ac:dyDescent="0.15">
      <c r="A27" s="1"/>
      <c r="B27" s="1"/>
      <c r="C27" s="1"/>
      <c r="D27" s="1"/>
      <c r="E27" s="1"/>
      <c r="F27" s="1"/>
      <c r="G27" s="1"/>
      <c r="H27" s="1"/>
      <c r="I27" s="26" t="s">
        <v>9</v>
      </c>
      <c r="J27" s="28"/>
      <c r="K27" s="28"/>
      <c r="L27" s="28"/>
      <c r="M27" s="27"/>
      <c r="N27" s="28" t="str">
        <f>IF(ISBLANK(サマリデータ!$C$11),"",サマリデータ!$C$11)</f>
        <v>10SC45614571-PK001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0"/>
      <c r="AD27" s="1"/>
      <c r="AE27" s="1"/>
      <c r="AF27" s="1"/>
      <c r="AG27" s="1"/>
      <c r="AH27" s="1"/>
      <c r="AI27" s="1"/>
      <c r="AJ27" s="1"/>
    </row>
    <row r="28" spans="1:36" s="3" customFormat="1" ht="17.100000000000001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s="3" customFormat="1" ht="17.100000000000001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s="3" customFormat="1" ht="17.100000000000001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s="3" customFormat="1" ht="21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s="3" customFormat="1" ht="16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s="3" customFormat="1" ht="16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s="3" customFormat="1" ht="16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s="3" customFormat="1" ht="17.100000000000001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s="3" customFormat="1" ht="17.100000000000001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s="3" customFormat="1" ht="17.100000000000001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s="3" customFormat="1" ht="17.100000000000001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s="3" customFormat="1" ht="18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s="3" customFormat="1" ht="18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s="3" customFormat="1" ht="13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s="3" customFormat="1" ht="13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s="3" customFormat="1" ht="13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s="3" customFormat="1" ht="13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s="3" customFormat="1" ht="13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3" customFormat="1" ht="13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s="3" customFormat="1" ht="13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s="3" customFormat="1" ht="13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s="3" customFormat="1" ht="13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s="3" customFormat="1" ht="13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3.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</sheetData>
  <mergeCells count="6">
    <mergeCell ref="I4:AC7"/>
    <mergeCell ref="N23:AC23"/>
    <mergeCell ref="N24:AC24"/>
    <mergeCell ref="N25:AC25"/>
    <mergeCell ref="N26:S26"/>
    <mergeCell ref="X26:AC26"/>
  </mergeCells>
  <phoneticPr fontId="7"/>
  <pageMargins left="0.59055118110236227" right="0.47244094488188981" top="0.43307086614173229" bottom="0.39370078740157483" header="0.23622047244094491" footer="0.39370078740157483"/>
  <pageSetup paperSize="9" fitToHeight="0" orientation="portrait" r:id="rId1"/>
  <headerFooter alignWithMargins="0"/>
  <rowBreaks count="1" manualBreakCount="1">
    <brk id="6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  <pageSetUpPr fitToPage="1"/>
  </sheetPr>
  <dimension ref="B1:F11"/>
  <sheetViews>
    <sheetView workbookViewId="0">
      <selection activeCell="C6" sqref="C6:F6"/>
    </sheetView>
  </sheetViews>
  <sheetFormatPr defaultRowHeight="13.5" x14ac:dyDescent="0.15"/>
  <cols>
    <col min="1" max="1" width="18.875" bestFit="1" customWidth="1"/>
    <col min="2" max="2" width="10.625" bestFit="1" customWidth="1"/>
    <col min="3" max="3" width="18.625" customWidth="1"/>
    <col min="6" max="6" width="16.5" customWidth="1"/>
    <col min="8" max="8" width="10.5" customWidth="1"/>
  </cols>
  <sheetData>
    <row r="1" spans="2:6" ht="18.75" x14ac:dyDescent="0.15">
      <c r="B1" s="43" t="s">
        <v>16</v>
      </c>
    </row>
    <row r="3" spans="2:6" x14ac:dyDescent="0.15">
      <c r="B3" s="39" t="s">
        <v>4</v>
      </c>
      <c r="C3" s="64" t="str">
        <f>IF(ISBLANK(サマリデータ!C2),"",サマリデータ!C2)</f>
        <v>田辺三菱製薬工場株式会社</v>
      </c>
      <c r="D3" s="64"/>
      <c r="E3" s="64"/>
      <c r="F3" s="64"/>
    </row>
    <row r="4" spans="2:6" x14ac:dyDescent="0.15">
      <c r="B4" s="39" t="s">
        <v>5</v>
      </c>
      <c r="C4" s="64" t="str">
        <f>IF(ISBLANK(サマリデータ!C3),"",サマリデータ!C3)</f>
        <v>小野田工場</v>
      </c>
      <c r="D4" s="64"/>
      <c r="E4" s="64"/>
      <c r="F4" s="64"/>
    </row>
    <row r="5" spans="2:6" x14ac:dyDescent="0.15">
      <c r="B5" s="39" t="s">
        <v>6</v>
      </c>
      <c r="C5" s="64" t="str">
        <f>IF(ISBLANK(サマリデータ!C4),"",サマリデータ!C4)</f>
        <v>第三製剤棟自動倉庫システム</v>
      </c>
      <c r="D5" s="64"/>
      <c r="E5" s="64"/>
      <c r="F5" s="64"/>
    </row>
    <row r="6" spans="2:6" x14ac:dyDescent="0.15">
      <c r="B6" s="39" t="s">
        <v>15</v>
      </c>
      <c r="C6" s="65">
        <f>IF(ISBLANK(サマリデータ!C5),"",サマリデータ!C5)</f>
        <v>3500228</v>
      </c>
      <c r="D6" s="65"/>
      <c r="E6" s="65"/>
      <c r="F6" s="65"/>
    </row>
    <row r="7" spans="2:6" ht="15" customHeight="1" x14ac:dyDescent="0.15"/>
    <row r="11" spans="2:6" ht="15" customHeight="1" x14ac:dyDescent="0.15"/>
  </sheetData>
  <mergeCells count="4">
    <mergeCell ref="C3:F3"/>
    <mergeCell ref="C4:F4"/>
    <mergeCell ref="C5:F5"/>
    <mergeCell ref="C6:F6"/>
  </mergeCells>
  <phoneticPr fontId="3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1">
    <tabColor rgb="FFFF0000"/>
  </sheetPr>
  <dimension ref="B2:C12"/>
  <sheetViews>
    <sheetView workbookViewId="0">
      <selection activeCell="I25" sqref="I25"/>
    </sheetView>
  </sheetViews>
  <sheetFormatPr defaultRowHeight="13.5" x14ac:dyDescent="0.15"/>
  <cols>
    <col min="1" max="1" width="3.625" customWidth="1"/>
    <col min="2" max="2" width="19.375" bestFit="1" customWidth="1"/>
    <col min="3" max="3" width="34.125" customWidth="1"/>
  </cols>
  <sheetData>
    <row r="2" spans="2:3" x14ac:dyDescent="0.15">
      <c r="B2" s="38" t="s">
        <v>4</v>
      </c>
      <c r="C2" s="39" t="s">
        <v>25</v>
      </c>
    </row>
    <row r="3" spans="2:3" x14ac:dyDescent="0.15">
      <c r="B3" s="40" t="s">
        <v>5</v>
      </c>
      <c r="C3" s="39" t="s">
        <v>26</v>
      </c>
    </row>
    <row r="4" spans="2:3" x14ac:dyDescent="0.15">
      <c r="B4" s="40" t="s">
        <v>6</v>
      </c>
      <c r="C4" s="39" t="s">
        <v>27</v>
      </c>
    </row>
    <row r="5" spans="2:3" x14ac:dyDescent="0.15">
      <c r="B5" s="40" t="s">
        <v>7</v>
      </c>
      <c r="C5" s="42">
        <v>3500228</v>
      </c>
    </row>
    <row r="6" spans="2:3" x14ac:dyDescent="0.15">
      <c r="B6" s="40" t="s">
        <v>8</v>
      </c>
      <c r="C6" s="39" t="s">
        <v>28</v>
      </c>
    </row>
    <row r="7" spans="2:3" x14ac:dyDescent="0.15">
      <c r="B7" s="41" t="s">
        <v>13</v>
      </c>
      <c r="C7" s="39" t="s">
        <v>29</v>
      </c>
    </row>
    <row r="8" spans="2:3" x14ac:dyDescent="0.15">
      <c r="B8" s="41" t="s">
        <v>14</v>
      </c>
      <c r="C8" s="39" t="s">
        <v>30</v>
      </c>
    </row>
    <row r="9" spans="2:3" x14ac:dyDescent="0.15">
      <c r="B9" s="41" t="s">
        <v>17</v>
      </c>
      <c r="C9" s="39" t="str">
        <f>IF($C$7="－",LEFT(C8,4)&amp;"0000",$C$7)&amp;IF($C$8="－","0000",MID($C$8,5,4))&amp;"-R001"</f>
        <v>10SC45614571-R001</v>
      </c>
    </row>
    <row r="10" spans="2:3" x14ac:dyDescent="0.15">
      <c r="B10" s="41" t="s">
        <v>18</v>
      </c>
      <c r="C10" s="39" t="str">
        <f>IF($C$7="－",LEFT(C8,4)&amp;"0000",$C$7)&amp;IF($C$8="－","0000",MID($C$8,5,4))&amp;"-BM001"</f>
        <v>10SC45614571-BM001</v>
      </c>
    </row>
    <row r="11" spans="2:3" x14ac:dyDescent="0.15">
      <c r="B11" s="41" t="s">
        <v>19</v>
      </c>
      <c r="C11" s="39" t="str">
        <f>IF($C$7="－",LEFT(C8,4)&amp;"0000",$C$7)&amp;IF($C$8="－","0000",MID($C$8,5,4))&amp;"-PK001"</f>
        <v>10SC45614571-PK001</v>
      </c>
    </row>
    <row r="12" spans="2:3" x14ac:dyDescent="0.15">
      <c r="B12" s="39" t="s">
        <v>31</v>
      </c>
      <c r="C12" s="44">
        <f ca="1">TODAY()</f>
        <v>46217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保守見積書(見積表紙)</vt:lpstr>
      <vt:lpstr>保守見積書(証憑表紙)</vt:lpstr>
      <vt:lpstr>リモート導入見積(見積表紙)</vt:lpstr>
      <vt:lpstr>予防保守見積(見積表紙)</vt:lpstr>
      <vt:lpstr>保守パック見積(見積表紙)</vt:lpstr>
      <vt:lpstr>ソフトサポート費算出根拠</vt:lpstr>
      <vt:lpstr>サマリデータ</vt:lpstr>
      <vt:lpstr>'リモート導入見積(見積表紙)'!Print_Area</vt:lpstr>
      <vt:lpstr>'保守パック見積(見積表紙)'!Print_Area</vt:lpstr>
      <vt:lpstr>'保守見積書(見積表紙)'!Print_Area</vt:lpstr>
      <vt:lpstr>'保守見積書(証憑表紙)'!Print_Area</vt:lpstr>
      <vt:lpstr>'予防保守見積(見積表紙)'!Print_Area</vt:lpstr>
    </vt:vector>
  </TitlesOfParts>
  <Company>（株）ダイフク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 育太</dc:creator>
  <cp:lastModifiedBy>山田 祥広(Yoshihiro YAMADA)</cp:lastModifiedBy>
  <cp:lastPrinted>2018-11-30T07:41:05Z</cp:lastPrinted>
  <dcterms:created xsi:type="dcterms:W3CDTF">2018-11-30T04:56:38Z</dcterms:created>
  <dcterms:modified xsi:type="dcterms:W3CDTF">2026-07-14T04:23:40Z</dcterms:modified>
</cp:coreProperties>
</file>